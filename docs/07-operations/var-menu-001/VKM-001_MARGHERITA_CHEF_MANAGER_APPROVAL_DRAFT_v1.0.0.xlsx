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27d91a622b4c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ЛЬКУЛЯЦИЯ" sheetId="1" r:id="R4b0a3aceeb304b53"/>
    <x:sheet xmlns:r="http://schemas.openxmlformats.org/officeDocument/2006/relationships" name="ТЕХКАРТА" sheetId="2" r:id="R26b192f3cdc94062"/>
    <x:sheet xmlns:r="http://schemas.openxmlformats.org/officeDocument/2006/relationships" name="АНКЕТА" sheetId="3" r:id="R53254e2e9da74d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#,##0"/>
    <x:numFmt numFmtId="202" formatCode="0.00%"/>
    <x:numFmt numFmtId="203" formatCode="0.0%"/>
    <x:numFmt numFmtId="204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3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4" fillId="5" borderId="1" xfId="0" applyNumberFormat="1" applyFont="1" applyFill="1" applyBorder="1"/>
    <x:xf numFmtId="0" fontId="0" fillId="0" borderId="2" xfId="0" applyNumberFormat="1" applyFont="1" applyFill="1" applyBorder="1"/>
    <x:xf numFmtId="0" fontId="0" fillId="4" borderId="2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204" fontId="4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4" fontId="4" fillId="5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/>
    </x:xf>
    <x:xf numFmtId="0" fontId="0" fillId="4" borderId="2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f92da56dc8489d" /><Relationship Type="http://schemas.openxmlformats.org/officeDocument/2006/relationships/theme" Target="/xl/theme/theme1.xml" Id="R821bc319bdb94ccc" /><Relationship Type="http://schemas.openxmlformats.org/officeDocument/2006/relationships/sharedStrings" Target="/xl/sharedStrings.xml" Id="R102617b127d9453f" /><Relationship Type="http://schemas.openxmlformats.org/officeDocument/2006/relationships/worksheet" Target="/xl/worksheets/sheet1.xml" Id="R4b0a3aceeb304b53" /><Relationship Type="http://schemas.openxmlformats.org/officeDocument/2006/relationships/worksheet" Target="/xl/worksheets/sheet2.xml" Id="R26b192f3cdc94062" /><Relationship Type="http://schemas.openxmlformats.org/officeDocument/2006/relationships/worksheet" Target="/xl/worksheets/sheet3.xml" Id="R53254e2e9da74d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1" hidden="0" customWidth="1"/>
    <x:col min="3" max="3" width="21" hidden="0" customWidth="1"/>
    <x:col min="4" max="4" width="22" hidden="0" customWidth="1"/>
    <x:col min="5" max="5" width="18" hidden="0" customWidth="1"/>
    <x:col min="6" max="6" width="19" hidden="0" customWidth="1"/>
    <x:col min="7" max="7" width="18" hidden="0" customWidth="1"/>
    <x:col min="8" max="8" width="18" hidden="0" customWidth="1"/>
    <x:col min="9" max="9" width="17" hidden="0" customWidth="1"/>
    <x:col min="10" max="10" width="24" hidden="0" customWidth="1"/>
  </x:cols>
  <x:sheetData>
    <x:row r="1" ht="30" hidden="0" customHeight="1">
      <x:c r="A1" s="35" t="str">
        <x:v>VKM-001 «Маргарита» — калькуляция</x:v>
      </x:c>
      <x:c r="B1" s="35"/>
      <x:c r="C1" s="35"/>
      <x:c r="D1" s="35"/>
      <x:c r="E1" s="35"/>
      <x:c r="F1" s="35"/>
      <x:c r="G1" s="35"/>
      <x:c r="H1" s="35"/>
      <x:c r="I1" s="35"/>
      <x:c r="J1" s="35"/>
    </x:row>
    <x:row r="2" ht="30" hidden="0" customHeight="1">
      <x:c r="A2" s="27" t="str">
        <x:v>DRAFT · цена 740 ₽ едина для a-la carte, доставки и гостиничного ужина · суммы требуют проверки закупочными документами</x:v>
      </x:c>
      <x:c r="B2" s="27"/>
      <x:c r="C2" s="27"/>
      <x:c r="D2" s="27"/>
      <x:c r="E2" s="27"/>
      <x:c r="F2" s="27"/>
      <x:c r="G2" s="27"/>
      <x:c r="H2" s="27"/>
      <x:c r="I2" s="27"/>
      <x:c r="J2" s="27"/>
    </x:row>
    <x:row r="3" ht="15" hidden="0" customHeight="1">
      <x:c r="A3" s="36"/>
      <x:c r="B3" s="36"/>
      <x:c r="C3" s="36"/>
      <x:c r="D3" s="36"/>
      <x:c r="E3" s="36"/>
      <x:c r="F3" s="36"/>
      <x:c r="G3" s="36"/>
      <x:c r="H3" s="36"/>
      <x:c r="I3" s="36"/>
      <x:c r="J3" s="36"/>
    </x:row>
    <x:row r="4" ht="15" hidden="0" customHeight="1">
      <x:c r="A4" s="29" t="str">
        <x:v>Блок</x:v>
      </x:c>
      <x:c r="B4" s="29" t="str">
        <x:v>Наименование</x:v>
      </x:c>
      <x:c r="C4" s="29" t="str">
        <x:v>Количество</x:v>
      </x:c>
      <x:c r="D4" s="29" t="str">
        <x:v>Ед.</x:v>
      </x:c>
      <x:c r="E4" s="29" t="str">
        <x:v>Стоимость, ₽</x:v>
      </x:c>
      <x:c r="F4" s="29" t="str">
        <x:v>Статус</x:v>
      </x:c>
      <x:c r="G4" s="36"/>
      <x:c r="H4" s="36"/>
      <x:c r="I4" s="36"/>
      <x:c r="J4" s="36"/>
    </x:row>
    <x:row r="5" ht="15" hidden="0" customHeight="1">
      <x:c r="A5" s="36" t="str">
        <x:v>Рецептура</x:v>
      </x:c>
      <x:c r="B5" s="36" t="str">
        <x:v>ПФ тесто</x:v>
      </x:c>
      <x:c r="C5" s="36" t="n">
        <x:v>250</x:v>
      </x:c>
      <x:c r="D5" s="36" t="str">
        <x:v>г</x:v>
      </x:c>
      <x:c r="E5" s="37" t="n">
        <x:v>15.29</x:v>
      </x:c>
      <x:c r="F5" s="36" t="str">
        <x:v>Проверить цены</x:v>
      </x:c>
      <x:c r="G5" s="36"/>
      <x:c r="H5" s="36"/>
      <x:c r="I5" s="36"/>
      <x:c r="J5" s="36"/>
    </x:row>
    <x:row r="6" ht="15" hidden="0" customHeight="1">
      <x:c r="A6" s="36" t="str">
        <x:v>Рецептура</x:v>
      </x:c>
      <x:c r="B6" s="36" t="str">
        <x:v>ПФ томатный соус</x:v>
      </x:c>
      <x:c r="C6" s="36" t="n">
        <x:v>85</x:v>
      </x:c>
      <x:c r="D6" s="36" t="str">
        <x:v>г</x:v>
      </x:c>
      <x:c r="E6" s="37" t="n">
        <x:v>18.33</x:v>
      </x:c>
      <x:c r="F6" s="36" t="str">
        <x:v>Проверить цены</x:v>
      </x:c>
      <x:c r="G6" s="36"/>
      <x:c r="H6" s="36"/>
      <x:c r="I6" s="36"/>
      <x:c r="J6" s="36"/>
    </x:row>
    <x:row r="7" ht="15" hidden="0" customHeight="1">
      <x:c r="A7" s="36" t="str">
        <x:v>Рецептура</x:v>
      </x:c>
      <x:c r="B7" s="36" t="str">
        <x:v>Сыры + базилик + финишное масло</x:v>
      </x:c>
      <x:c r="C7" s="36" t="str"/>
      <x:c r="D7" s="36" t="str">
        <x:v>комплект</x:v>
      </x:c>
      <x:c r="E7" s="37" t="n">
        <x:v>126.3</x:v>
      </x:c>
      <x:c r="F7" s="36" t="str">
        <x:v>Проверить цены</x:v>
      </x:c>
      <x:c r="G7" s="36"/>
      <x:c r="H7" s="36"/>
      <x:c r="I7" s="36"/>
      <x:c r="J7" s="36"/>
    </x:row>
    <x:row r="8" ht="26.399999618530273" hidden="0" customHeight="1">
      <x:c r="A8" s="36" t="str">
        <x:v>ИТОГО</x:v>
      </x:c>
      <x:c r="B8" s="36" t="str">
        <x:v>Рецептурная себестоимость</x:v>
      </x:c>
      <x:c r="C8" s="36" t="str"/>
      <x:c r="D8" s="36" t="str">
        <x:v>₽</x:v>
      </x:c>
      <x:c r="E8" s="37" t="n">
        <x:f>SUM(E5:E7)</x:f>
        <x:v>159.92</x:v>
      </x:c>
      <x:c r="F8" s="36" t="str">
        <x:v>Расчёт; требует проверки</x:v>
      </x:c>
      <x:c r="G8" s="36"/>
      <x:c r="H8" s="36"/>
      <x:c r="I8" s="36"/>
      <x:c r="J8" s="36"/>
    </x:row>
    <x:row r="9" ht="15" hidden="0" customHeight="1">
      <x:c r="A9" s="36"/>
      <x:c r="B9" s="36"/>
      <x:c r="C9" s="36"/>
      <x:c r="D9" s="36"/>
      <x:c r="E9" s="36"/>
      <x:c r="F9" s="36"/>
      <x:c r="G9" s="36"/>
      <x:c r="H9" s="36"/>
      <x:c r="I9" s="36"/>
      <x:c r="J9" s="36"/>
    </x:row>
    <x:row r="10" ht="15" hidden="0" customHeight="1">
      <x:c r="A10" s="29" t="str">
        <x:v>Показатель</x:v>
      </x:c>
      <x:c r="B10" s="29" t="str">
        <x:v>Значение</x:v>
      </x:c>
      <x:c r="C10" s="29" t="str">
        <x:v>Ед.</x:v>
      </x:c>
      <x:c r="D10" s="29" t="str">
        <x:v>Формула / основание</x:v>
      </x:c>
      <x:c r="E10" s="29" t="str">
        <x:v>Статус</x:v>
      </x:c>
      <x:c r="F10" s="36"/>
      <x:c r="G10" s="36"/>
      <x:c r="H10" s="36"/>
      <x:c r="I10" s="36"/>
      <x:c r="J10" s="36"/>
    </x:row>
    <x:row r="11" ht="26.399999618530273" hidden="0" customHeight="1">
      <x:c r="A11" s="36" t="str">
        <x:v>Продажная цена</x:v>
      </x:c>
      <x:c r="B11" s="38" t="n">
        <x:v>740</x:v>
      </x:c>
      <x:c r="C11" s="36" t="str">
        <x:v>₽</x:v>
      </x:c>
      <x:c r="D11" s="36" t="str">
        <x:v>Решение владельца</x:v>
      </x:c>
      <x:c r="E11" s="36" t="str">
        <x:v>Утверждено владельцем</x:v>
      </x:c>
      <x:c r="F11" s="36"/>
      <x:c r="G11" s="36"/>
      <x:c r="H11" s="36"/>
      <x:c r="I11" s="36"/>
      <x:c r="J11" s="36"/>
    </x:row>
    <x:row r="12" ht="26.399999618530273" hidden="0" customHeight="1">
      <x:c r="A12" s="36" t="str">
        <x:v>Food cost</x:v>
      </x:c>
      <x:c r="B12" s="39" t="n">
        <x:f>E8/B11</x:f>
        <x:v>0.2161081081081081</x:v>
      </x:c>
      <x:c r="C12" s="36" t="str"/>
      <x:c r="D12" s="36" t="str">
        <x:v>Себестоимость / цена</x:v>
      </x:c>
      <x:c r="E12" s="36" t="str">
        <x:v>Расчёт; требует проверки</x:v>
      </x:c>
      <x:c r="F12" s="36"/>
      <x:c r="G12" s="36"/>
      <x:c r="H12" s="36"/>
      <x:c r="I12" s="36"/>
      <x:c r="J12" s="36"/>
    </x:row>
    <x:row r="13" ht="26.399999618530273" hidden="0" customHeight="1">
      <x:c r="A13" s="36" t="str">
        <x:v>Выход</x:v>
      </x:c>
      <x:c r="B13" s="36" t="n">
        <x:v>450</x:v>
      </x:c>
      <x:c r="C13" s="36" t="str">
        <x:v>г</x:v>
      </x:c>
      <x:c r="D13" s="36" t="str">
        <x:v>Контрольная проработка обязательна</x:v>
      </x:c>
      <x:c r="E13" s="36" t="str">
        <x:v>Проверяет шеф</x:v>
      </x:c>
      <x:c r="F13" s="36"/>
      <x:c r="G13" s="36"/>
      <x:c r="H13" s="36"/>
      <x:c r="I13" s="36"/>
      <x:c r="J13" s="36"/>
    </x:row>
    <x:row r="14" ht="15" hidden="0" customHeight="1">
      <x:c r="A14" s="36"/>
      <x:c r="B14" s="36"/>
      <x:c r="C14" s="36"/>
      <x:c r="D14" s="36"/>
      <x:c r="E14" s="36"/>
      <x:c r="F14" s="36"/>
      <x:c r="G14" s="36"/>
      <x:c r="H14" s="36"/>
      <x:c r="I14" s="36"/>
      <x:c r="J14" s="36"/>
    </x:row>
    <x:row r="15" ht="15" hidden="0" customHeight="1">
      <x:c r="A15" s="29" t="str">
        <x:v>Канал</x:v>
      </x:c>
      <x:c r="B15" s="29" t="str">
        <x:v>Цена, ₽</x:v>
      </x:c>
      <x:c r="C15" s="29" t="str">
        <x:v>Расходники / упаковка, ₽</x:v>
      </x:c>
      <x:c r="D15" s="29" t="str">
        <x:v>Прочие прямые, ₽</x:v>
      </x:c>
      <x:c r="E15" s="29" t="str">
        <x:v>Комиссия</x:v>
      </x:c>
      <x:c r="F15" s="29" t="str">
        <x:v>COGS, ₽</x:v>
      </x:c>
      <x:c r="G15" s="29" t="str">
        <x:v>Маржа, ₽</x:v>
      </x:c>
      <x:c r="H15" s="29" t="str">
        <x:v>Маржинальность</x:v>
      </x:c>
      <x:c r="I15" s="29" t="str">
        <x:v>Коэф. выбора</x:v>
      </x:c>
      <x:c r="J15" s="29" t="str">
        <x:v>Вклад в средний чек, ₽</x:v>
      </x:c>
    </x:row>
    <x:row r="16" ht="15" hidden="0" customHeight="1">
      <x:c r="A16" s="36" t="str">
        <x:v>A-la carte</x:v>
      </x:c>
      <x:c r="B16" s="37" t="n">
        <x:f>$B$11</x:f>
        <x:v>740</x:v>
      </x:c>
      <x:c r="C16" s="37" t="str">
        <x:v>8</x:v>
      </x:c>
      <x:c r="D16" s="37" t="n">
        <x:v>0</x:v>
      </x:c>
      <x:c r="E16" s="40" t="n">
        <x:v>0.02</x:v>
      </x:c>
      <x:c r="F16" s="37" t="n">
        <x:f>$E$8</x:f>
        <x:v>159.92</x:v>
      </x:c>
      <x:c r="G16" s="37" t="n">
        <x:f>IF(COUNT(C16:E16)&lt;3,"",B16-F16-C16-D16-B16*E16)</x:f>
        <x:v>557.2800000000001</x:v>
      </x:c>
      <x:c r="H16" s="39" t="n">
        <x:f>IF(G16="","",G16/B16)</x:f>
        <x:v>0.7530810810810812</x:v>
      </x:c>
      <x:c r="I16" s="39" t="n">
        <x:v>0.03</x:v>
      </x:c>
      <x:c r="J16" s="37" t="n">
        <x:f>B16*I16</x:f>
        <x:v>22.2</x:v>
      </x:c>
    </x:row>
    <x:row r="17" ht="15" hidden="0" customHeight="1">
      <x:c r="A17" s="36" t="str">
        <x:v>Доставка</x:v>
      </x:c>
      <x:c r="B17" s="37" t="n">
        <x:f>$B$11</x:f>
        <x:v>740</x:v>
      </x:c>
      <x:c r="C17" s="37" t="str">
        <x:v>65</x:v>
      </x:c>
      <x:c r="D17" s="37" t="n">
        <x:v>12</x:v>
      </x:c>
      <x:c r="E17" s="40" t="n">
        <x:v>0.3</x:v>
      </x:c>
      <x:c r="F17" s="37" t="n">
        <x:f>$E$8</x:f>
        <x:v>159.92</x:v>
      </x:c>
      <x:c r="G17" s="37" t="n">
        <x:f>IF(COUNT(C17:E17)&lt;3,"",B17-F17-C17-D17-B17*E17)</x:f>
        <x:v>281.08000000000004</x:v>
      </x:c>
      <x:c r="H17" s="39" t="n">
        <x:f>IF(G17="","",G17/B17)</x:f>
        <x:v>0.37983783783783787</x:v>
      </x:c>
      <x:c r="I17" s="39" t="n">
        <x:v>0.09</x:v>
      </x:c>
      <x:c r="J17" s="37" t="n">
        <x:f>B17*I17</x:f>
        <x:v>66.6</x:v>
      </x:c>
    </x:row>
    <x:row r="18" ht="15" hidden="0" customHeight="1">
      <x:c r="A18" s="36" t="str">
        <x:v>Гостиничный ужин</x:v>
      </x:c>
      <x:c r="B18" s="37" t="n">
        <x:f>$B$11</x:f>
        <x:v>740</x:v>
      </x:c>
      <x:c r="C18" s="37" t="str"/>
      <x:c r="D18" s="37" t="str"/>
      <x:c r="E18" s="40" t="str"/>
      <x:c r="F18" s="37" t="n">
        <x:f>$E$8</x:f>
        <x:v>159.92</x:v>
      </x:c>
      <x:c r="G18" s="37" t="str">
        <x:f>IF(COUNT(C18:E18)&lt;3,"",B18-F18-C18-D18-B18*E18)</x:f>
      </x:c>
      <x:c r="H18" s="39" t="str">
        <x:f>IF(G18="","",G18/B18)</x:f>
      </x:c>
      <x:c r="I18" s="39" t="n">
        <x:v>0.02</x:v>
      </x:c>
      <x:c r="J18" s="37" t="n">
        <x:f>B18*I18</x:f>
        <x:v>14.8</x:v>
      </x:c>
    </x:row>
    <x:row r="19" ht="15" hidden="0" customHeight="1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</x:row>
    <x:row r="20">
      <x:c r="A20" s="34" t="str">
        <x:v>Важно: расходы канала «Гостиничный ужин» неизвестны и не равны нулю (UNKNOWN_NOT_ZERO), поэтому его маржа намеренно не рассчитана. Налоговый режим в расчёт не включён. Коэффициенты выбора — предварительные и проверяются по POS/заказам.</x:v>
      </x:c>
      <x:c r="B20" s="34"/>
      <x:c r="C20" s="34"/>
      <x:c r="D20" s="34"/>
      <x:c r="E20" s="34"/>
      <x:c r="F20" s="34"/>
      <x:c r="G20" s="34"/>
      <x:c r="H20" s="34"/>
      <x:c r="I20" s="34"/>
      <x:c r="J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</x:row>
  </x:sheetData>
  <x:mergeCells>
    <x:mergeCell ref="A1:J1"/>
    <x:mergeCell ref="A2:J2"/>
    <x:mergeCell ref="A20:J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47" hidden="0" customWidth="1"/>
    <x:col min="3" max="3" width="18" hidden="0" customWidth="1"/>
    <x:col min="4" max="4" width="18" hidden="0" customWidth="1"/>
    <x:col min="5" max="5" width="27" hidden="0" customWidth="1"/>
    <x:col min="6" max="6" width="24" hidden="0" customWidth="1"/>
    <x:col min="7" max="7" width="20" hidden="0" customWidth="1"/>
    <x:col min="8" max="8" width="46" hidden="0" customWidth="1"/>
  </x:cols>
  <x:sheetData>
    <x:row r="1" ht="30" hidden="0" customHeight="1">
      <x:c r="A1" s="35" t="str">
        <x:v>VKM-001 «Маргарита» — технологическая карта</x:v>
      </x:c>
      <x:c r="B1" s="35"/>
      <x:c r="C1" s="35"/>
      <x:c r="D1" s="35"/>
      <x:c r="E1" s="35"/>
      <x:c r="F1" s="35"/>
      <x:c r="G1" s="35"/>
      <x:c r="H1" s="35"/>
    </x:row>
    <x:row r="2" ht="30" hidden="0" customHeight="1">
      <x:c r="A2" s="27" t="str">
        <x:v>Классическая Margherita · без масла в тесте, чеснока и орегано · норматив 8 минут проверяется шеф-поваром на практике</x:v>
      </x:c>
      <x:c r="B2" s="27"/>
      <x:c r="C2" s="27"/>
      <x:c r="D2" s="27"/>
      <x:c r="E2" s="27"/>
      <x:c r="F2" s="27"/>
      <x:c r="G2" s="27"/>
      <x:c r="H2" s="27"/>
    </x:row>
    <x:row r="3" ht="15" hidden="0" customHeight="1">
      <x:c r="A3" s="36"/>
      <x:c r="B3" s="36"/>
      <x:c r="C3" s="36"/>
      <x:c r="D3" s="36"/>
      <x:c r="E3" s="36"/>
      <x:c r="F3" s="36"/>
      <x:c r="G3" s="36"/>
      <x:c r="H3" s="36"/>
    </x:row>
    <x:row r="4" ht="15" hidden="0" customHeight="1">
      <x:c r="A4" s="29" t="str">
        <x:v>Группа</x:v>
      </x:c>
      <x:c r="B4" s="29" t="str">
        <x:v>Компонент</x:v>
      </x:c>
      <x:c r="C4" s="29" t="str">
        <x:v>Брутто, г</x:v>
      </x:c>
      <x:c r="D4" s="29" t="str">
        <x:v>Нетто, г</x:v>
      </x:c>
      <x:c r="E4" s="29" t="str">
        <x:v>Вклад в готовое блюдо, г</x:v>
      </x:c>
      <x:c r="F4" s="29" t="str">
        <x:v>Первичные потери, г</x:v>
      </x:c>
      <x:c r="G4" s="29" t="str">
        <x:v>Техпотери, г</x:v>
      </x:c>
      <x:c r="H4" s="29" t="str">
        <x:v>Примечание</x:v>
      </x:c>
    </x:row>
    <x:row r="5" ht="15" hidden="0" customHeight="1">
      <x:c r="A5" s="36" t="str">
        <x:v>ПФ тесто</x:v>
      </x:c>
      <x:c r="B5" s="36" t="str">
        <x:v>Мука 152; вода 92; дрожжи 2,5; соль 3,5</x:v>
      </x:c>
      <x:c r="C5" s="45" t="n">
        <x:v>250</x:v>
      </x:c>
      <x:c r="D5" s="45" t="n">
        <x:v>250</x:v>
      </x:c>
      <x:c r="E5" s="45" t="n">
        <x:v>220</x:v>
      </x:c>
      <x:c r="F5" s="45" t="n">
        <x:v>0</x:v>
      </x:c>
      <x:c r="G5" s="45" t="n">
        <x:v>30</x:v>
      </x:c>
      <x:c r="H5" s="36" t="str">
        <x:v>Масло в тесте отсутствует</x:v>
      </x:c>
    </x:row>
    <x:row r="6" ht="15" hidden="0" customHeight="1">
      <x:c r="A6" s="36" t="str">
        <x:v>ПФ соус</x:v>
      </x:c>
      <x:c r="B6" s="36" t="str">
        <x:v>Томаты 78; оливковое масло 6; соль 1</x:v>
      </x:c>
      <x:c r="C6" s="45" t="n">
        <x:v>85</x:v>
      </x:c>
      <x:c r="D6" s="45" t="n">
        <x:v>85</x:v>
      </x:c>
      <x:c r="E6" s="45" t="n">
        <x:v>78</x:v>
      </x:c>
      <x:c r="F6" s="45" t="n">
        <x:v>0</x:v>
      </x:c>
      <x:c r="G6" s="45" t="n">
        <x:v>7</x:v>
      </x:c>
      <x:c r="H6" s="36" t="str">
        <x:v>Без чеснока и орегано</x:v>
      </x:c>
    </x:row>
    <x:row r="7" ht="15" hidden="0" customHeight="1">
      <x:c r="A7" s="36" t="str">
        <x:v>Начинка</x:v>
      </x:c>
      <x:c r="B7" s="36" t="str">
        <x:v>Моцарелла</x:v>
      </x:c>
      <x:c r="C7" s="45" t="n">
        <x:v>130</x:v>
      </x:c>
      <x:c r="D7" s="45" t="n">
        <x:v>130</x:v>
      </x:c>
      <x:c r="E7" s="45" t="n">
        <x:v>125</x:v>
      </x:c>
      <x:c r="F7" s="45" t="n">
        <x:v>0</x:v>
      </x:c>
      <x:c r="G7" s="45" t="n">
        <x:v>5</x:v>
      </x:c>
      <x:c r="H7" s="36" t="str">
        <x:v>Российский аналог — только по спецификации</x:v>
      </x:c>
    </x:row>
    <x:row r="8" ht="15" hidden="0" customHeight="1">
      <x:c r="A8" s="36" t="str">
        <x:v>Начинка</x:v>
      </x:c>
      <x:c r="B8" s="36" t="str">
        <x:v>Выдержанный твёрдый сыр</x:v>
      </x:c>
      <x:c r="C8" s="45" t="n">
        <x:v>10</x:v>
      </x:c>
      <x:c r="D8" s="45" t="n">
        <x:v>10</x:v>
      </x:c>
      <x:c r="E8" s="45" t="n">
        <x:v>10</x:v>
      </x:c>
      <x:c r="F8" s="45" t="n">
        <x:v>0</x:v>
      </x:c>
      <x:c r="G8" s="45" t="n">
        <x:v>0</x:v>
      </x:c>
      <x:c r="H8" s="36" t="str">
        <x:v>Спецификация обязательна</x:v>
      </x:c>
    </x:row>
    <x:row r="9" ht="15" hidden="0" customHeight="1">
      <x:c r="A9" s="36" t="str">
        <x:v>Финиш</x:v>
      </x:c>
      <x:c r="B9" s="36" t="str">
        <x:v>Базилик</x:v>
      </x:c>
      <x:c r="C9" s="45" t="n">
        <x:v>7</x:v>
      </x:c>
      <x:c r="D9" s="45" t="n">
        <x:v>6</x:v>
      </x:c>
      <x:c r="E9" s="45" t="n">
        <x:v>5</x:v>
      </x:c>
      <x:c r="F9" s="45" t="n">
        <x:v>1</x:v>
      </x:c>
      <x:c r="G9" s="45" t="n">
        <x:v>1</x:v>
      </x:c>
      <x:c r="H9" s="36" t="str">
        <x:v>Добавить после выпечки</x:v>
      </x:c>
    </x:row>
    <x:row r="10" ht="15" hidden="0" customHeight="1">
      <x:c r="A10" s="36" t="str">
        <x:v>Финиш</x:v>
      </x:c>
      <x:c r="B10" s="36" t="str">
        <x:v>Оливковое масло</x:v>
      </x:c>
      <x:c r="C10" s="45" t="n">
        <x:v>12</x:v>
      </x:c>
      <x:c r="D10" s="45" t="n">
        <x:v>12</x:v>
      </x:c>
      <x:c r="E10" s="45" t="n">
        <x:v>12</x:v>
      </x:c>
      <x:c r="F10" s="45" t="n">
        <x:v>0</x:v>
      </x:c>
      <x:c r="G10" s="45" t="n">
        <x:v>0</x:v>
      </x:c>
      <x:c r="H10" s="36" t="str">
        <x:v>Добавить после выпечки</x:v>
      </x:c>
    </x:row>
    <x:row r="11" ht="15" hidden="0" customHeight="1">
      <x:c r="A11" s="36"/>
      <x:c r="B11" s="36"/>
      <x:c r="C11" s="45"/>
      <x:c r="D11" s="45"/>
      <x:c r="E11" s="45"/>
      <x:c r="F11" s="45"/>
      <x:c r="G11" s="45"/>
      <x:c r="H11" s="36"/>
    </x:row>
    <x:row r="12" ht="15" hidden="0" customHeight="1">
      <x:c r="A12" s="46" t="str">
        <x:v>ИТОГО</x:v>
      </x:c>
      <x:c r="B12" s="46" t="str">
        <x:v>Контрольный массо-баланс</x:v>
      </x:c>
      <x:c r="C12" s="47" t="n">
        <x:f>SUM(C5:C10)</x:f>
        <x:v>494</x:v>
      </x:c>
      <x:c r="D12" s="47" t="n">
        <x:f>SUM(D5:D10)</x:f>
        <x:v>493</x:v>
      </x:c>
      <x:c r="E12" s="47" t="n">
        <x:f>SUM(E5:E10)</x:f>
        <x:v>450</x:v>
      </x:c>
      <x:c r="F12" s="47" t="n">
        <x:f>SUM(F5:F10)</x:f>
        <x:v>1</x:v>
      </x:c>
      <x:c r="G12" s="47" t="n">
        <x:f>SUM(G5:G10)</x:f>
        <x:v>43</x:v>
      </x:c>
      <x:c r="H12" s="46" t="str">
        <x:v>Выход 450 г</x:v>
      </x:c>
    </x:row>
    <x:row r="13" ht="15" hidden="0" customHeight="1">
      <x:c r="A13" s="36"/>
      <x:c r="B13" s="36"/>
      <x:c r="C13" s="36"/>
      <x:c r="D13" s="36"/>
      <x:c r="E13" s="36"/>
      <x:c r="F13" s="36"/>
      <x:c r="G13" s="36"/>
      <x:c r="H13" s="36"/>
    </x:row>
    <x:row r="14" ht="15" hidden="0" customHeight="1">
      <x:c r="A14" s="36"/>
      <x:c r="B14" s="36"/>
      <x:c r="C14" s="36"/>
      <x:c r="D14" s="36"/>
      <x:c r="E14" s="36"/>
      <x:c r="F14" s="36"/>
      <x:c r="G14" s="36"/>
      <x:c r="H14" s="36"/>
    </x:row>
    <x:row r="15" ht="15" hidden="0" customHeight="1">
      <x:c r="A15" s="29" t="str">
        <x:v>Шаг</x:v>
      </x:c>
      <x:c r="B15" s="29" t="str">
        <x:v>Операция</x:v>
      </x:c>
      <x:c r="C15" s="29" t="str">
        <x:v>Контроль / параметр</x:v>
      </x:c>
      <x:c r="D15" s="29" t="str">
        <x:v>Норматив, мин</x:v>
      </x:c>
      <x:c r="E15" s="29" t="str">
        <x:v>Статус</x:v>
      </x:c>
      <x:c r="F15" s="29" t="str">
        <x:v>Что подтверждает шеф</x:v>
      </x:c>
      <x:c r="G15" s="36"/>
      <x:c r="H15" s="36"/>
    </x:row>
    <x:row r="16" ht="26.399999618530273" hidden="0" customHeight="1">
      <x:c r="A16" s="36" t="n">
        <x:v>1</x:v>
      </x:c>
      <x:c r="B16" s="36" t="str">
        <x:v>Входной контроль сырья</x:v>
      </x:c>
      <x:c r="C16" s="36" t="str">
        <x:v>SKU, партия, документы</x:v>
      </x:c>
      <x:c r="D16" s="36" t="str"/>
      <x:c r="E16" s="36" t="str">
        <x:v>Проверить</x:v>
      </x:c>
      <x:c r="F16" s="36" t="str">
        <x:v>Соответствие сырья спецификации</x:v>
      </x:c>
      <x:c r="G16" s="36"/>
      <x:c r="H16" s="36"/>
    </x:row>
    <x:row r="17" ht="26.399999618530273" hidden="0" customHeight="1">
      <x:c r="A17" s="36" t="n">
        <x:v>2</x:v>
      </x:c>
      <x:c r="B17" s="36" t="str">
        <x:v>Замес теста без масла</x:v>
      </x:c>
      <x:c r="C17" s="36" t="str">
        <x:v>Фактический режим и температура</x:v>
      </x:c>
      <x:c r="D17" s="36" t="str"/>
      <x:c r="E17" s="36" t="str">
        <x:v>Проверить</x:v>
      </x:c>
      <x:c r="F17" s="36" t="str">
        <x:v>Режим замеса</x:v>
      </x:c>
      <x:c r="G17" s="36"/>
      <x:c r="H17" s="36"/>
    </x:row>
    <x:row r="18" ht="15" hidden="0" customHeight="1">
      <x:c r="A18" s="36" t="n">
        <x:v>3</x:v>
      </x:c>
      <x:c r="B18" s="36" t="str">
        <x:v>Брожение, деление 250 г, холодная ферментация</x:v>
      </x:c>
      <x:c r="C18" s="36" t="str">
        <x:v>Время и температура</x:v>
      </x:c>
      <x:c r="D18" s="36" t="str"/>
      <x:c r="E18" s="36" t="str">
        <x:v>Проверить</x:v>
      </x:c>
      <x:c r="F18" s="36" t="str">
        <x:v>Режим ферментации</x:v>
      </x:c>
      <x:c r="G18" s="36"/>
      <x:c r="H18" s="36"/>
    </x:row>
    <x:row r="19" ht="15" hidden="0" customHeight="1">
      <x:c r="A19" s="36" t="n">
        <x:v>4</x:v>
      </x:c>
      <x:c r="B19" s="36" t="str">
        <x:v>Приготовление и маркировка соуса</x:v>
      </x:c>
      <x:c r="C19" s="36" t="str">
        <x:v>Состав 85 г; срок ПФ</x:v>
      </x:c>
      <x:c r="D19" s="36" t="str"/>
      <x:c r="E19" s="36" t="str">
        <x:v>Проверить</x:v>
      </x:c>
      <x:c r="F19" s="36" t="str">
        <x:v>Срок и условия хранения</x:v>
      </x:c>
      <x:c r="G19" s="36"/>
      <x:c r="H19" s="36"/>
    </x:row>
    <x:row r="20" ht="26.399999618530273" hidden="0" customHeight="1">
      <x:c r="A20" s="36" t="n">
        <x:v>5</x:v>
      </x:c>
      <x:c r="B20" s="36" t="str">
        <x:v>Обсушка и порционирование моцареллы</x:v>
      </x:c>
      <x:c r="C20" s="36" t="str">
        <x:v>130 г до выпечки</x:v>
      </x:c>
      <x:c r="D20" s="36" t="str"/>
      <x:c r="E20" s="36" t="str">
        <x:v>Проверить</x:v>
      </x:c>
      <x:c r="F20" s="36" t="str">
        <x:v>Метод и фактическая влажность</x:v>
      </x:c>
      <x:c r="G20" s="36"/>
      <x:c r="H20" s="36"/>
    </x:row>
    <x:row r="21" ht="26.399999618530273" hidden="0" customHeight="1">
      <x:c r="A21" s="36" t="n">
        <x:v>6</x:v>
      </x:c>
      <x:c r="B21" s="36" t="str">
        <x:v>Ручное формование без скалки</x:v>
      </x:c>
      <x:c r="C21" s="36" t="str">
        <x:v>Размер и равномерность</x:v>
      </x:c>
      <x:c r="D21" s="36" t="n">
        <x:v>4</x:v>
      </x:c>
      <x:c r="E21" s="36" t="str">
        <x:v>Норматив; проверить</x:v>
      </x:c>
      <x:c r="F21" s="36" t="str">
        <x:v>Фактическое время и диаметр</x:v>
      </x:c>
      <x:c r="G21" s="36"/>
      <x:c r="H21" s="36"/>
    </x:row>
    <x:row r="22" ht="26.399999618530273" hidden="0" customHeight="1">
      <x:c r="A22" s="36" t="n">
        <x:v>7</x:v>
      </x:c>
      <x:c r="B22" s="36" t="str">
        <x:v>Соус 85 г; моцарелла 130 г; сыр 10 г</x:v>
      </x:c>
      <x:c r="C22" s="36" t="str">
        <x:v>Повторяемость закладки</x:v>
      </x:c>
      <x:c r="D22" s="36" t="str"/>
      <x:c r="E22" s="36" t="str">
        <x:v>Проверить</x:v>
      </x:c>
      <x:c r="F22" s="36" t="str">
        <x:v>Подтвердить массы</x:v>
      </x:c>
      <x:c r="G22" s="36"/>
      <x:c r="H22" s="36"/>
    </x:row>
    <x:row r="23" ht="26.399999618530273" hidden="0" customHeight="1">
      <x:c r="A23" s="36" t="n">
        <x:v>8</x:v>
      </x:c>
      <x:c r="B23" s="36" t="str">
        <x:v>Выпечка сразу после сборки</x:v>
      </x:c>
      <x:c r="C23" s="36" t="str">
        <x:v>Режим печи не утверждён</x:v>
      </x:c>
      <x:c r="D23" s="36" t="n">
        <x:v>3.5</x:v>
      </x:c>
      <x:c r="E23" s="36" t="str">
        <x:v>Норматив; проверить</x:v>
      </x:c>
      <x:c r="F23" s="36" t="str">
        <x:v>Температура, время и критерий готовности</x:v>
      </x:c>
      <x:c r="G23" s="36"/>
      <x:c r="H23" s="36"/>
    </x:row>
    <x:row r="24" ht="15" hidden="0" customHeight="1">
      <x:c r="A24" s="36" t="n">
        <x:v>9</x:v>
      </x:c>
      <x:c r="B24" s="36" t="str">
        <x:v>Базилик 6 г нетто и масло 12 г; контроль; нарезка</x:v>
      </x:c>
      <x:c r="C24" s="36" t="str">
        <x:v>Выход 450 г</x:v>
      </x:c>
      <x:c r="D24" s="36" t="n">
        <x:v>0.5</x:v>
      </x:c>
      <x:c r="E24" s="36" t="str">
        <x:v>Норматив; проверить</x:v>
      </x:c>
      <x:c r="F24" s="36" t="str">
        <x:v>Фактическое время и выход</x:v>
      </x:c>
      <x:c r="G24" s="36"/>
      <x:c r="H24" s="36"/>
    </x:row>
    <x:row r="25" ht="26.399999618530273" hidden="0" customHeight="1">
      <x:c r="A25" s="36" t="n">
        <x:v>10</x:v>
      </x:c>
      <x:c r="B25" s="36" t="str">
        <x:v>Подача / упаковка</x:v>
      </x:c>
      <x:c r="C25" s="36" t="str">
        <x:v>Упаковка доставки +2 мин</x:v>
      </x:c>
      <x:c r="D25" s="36" t="n">
        <x:v>2</x:v>
      </x:c>
      <x:c r="E25" s="36" t="str">
        <x:v>Только доставка; проверить</x:v>
      </x:c>
      <x:c r="F25" s="36" t="str">
        <x:v>Сохранность при 15/30/45 мин</x:v>
      </x:c>
      <x:c r="G25" s="36"/>
      <x:c r="H25" s="36"/>
    </x:row>
    <x:row r="26" ht="15" hidden="0" customHeight="1">
      <x:c r="A26" s="36"/>
      <x:c r="B26" s="36"/>
      <x:c r="C26" s="36"/>
      <x:c r="D26" s="36"/>
      <x:c r="E26" s="36"/>
      <x:c r="F26" s="36"/>
      <x:c r="G26" s="36"/>
      <x:c r="H26" s="36"/>
    </x:row>
    <x:row r="27" ht="15" hidden="0" customHeight="1">
      <x:c r="A27" s="29" t="str">
        <x:v>Норматив</x:v>
      </x:c>
      <x:c r="B27" s="29" t="str">
        <x:v>Результат, мин</x:v>
      </x:c>
      <x:c r="C27" s="29" t="str">
        <x:v>Статус</x:v>
      </x:c>
      <x:c r="D27" s="36"/>
      <x:c r="E27" s="36"/>
      <x:c r="F27" s="36"/>
      <x:c r="G27" s="36"/>
      <x:c r="H27" s="36"/>
    </x:row>
    <x:row r="28" ht="26.399999618530273" hidden="0" customHeight="1">
      <x:c r="A28" s="36" t="str">
        <x:v>Приготовление</x:v>
      </x:c>
      <x:c r="B28" s="36" t="n">
        <x:f>SUM(D21,D23:D24)</x:f>
        <x:v>8</x:v>
      </x:c>
      <x:c r="C28" s="36" t="str">
        <x:v>Норматив; проверяет шеф</x:v>
      </x:c>
      <x:c r="D28" s="36"/>
      <x:c r="E28" s="36"/>
      <x:c r="F28" s="36"/>
      <x:c r="G28" s="36"/>
      <x:c r="H28" s="36"/>
    </x:row>
    <x:row r="29" ht="26.399999618530273" hidden="0" customHeight="1">
      <x:c r="A29" s="36" t="str">
        <x:v>До передачи курьеру</x:v>
      </x:c>
      <x:c r="B29" s="36" t="n">
        <x:f>B28+D25</x:f>
        <x:v>10</x:v>
      </x:c>
      <x:c r="C29" s="36" t="str">
        <x:v>Норматив; проверяет шеф</x:v>
      </x:c>
      <x:c r="D29" s="36"/>
      <x:c r="E29" s="36"/>
      <x:c r="F29" s="36"/>
      <x:c r="G29" s="36"/>
      <x:c r="H29" s="36"/>
    </x:row>
    <x:row r="30" ht="15" hidden="0" customHeight="1">
      <x:c r="A30" s="36"/>
      <x:c r="B30" s="36"/>
      <x:c r="C30" s="36"/>
      <x:c r="D30" s="36"/>
      <x:c r="E30" s="36"/>
      <x:c r="F30" s="36"/>
      <x:c r="G30" s="36"/>
      <x:c r="H30" s="36"/>
    </x:row>
    <x:row r="31">
      <x:c r="A31" s="44" t="str">
        <x:v>Органолептика: развитый светло-запечённый борт; пропечённое дно без сырой муки и горелости; центр удерживает начинку без водяной лужи; сыр расплавлен без избытка воды/жира; цвета красный/белый/зелёный; аромат хлеба, томата, молока, базилика и оливкового масла. Брак: сырой плотный центр, избыток влаги, горечь горелого, резиновый сыр, переброженное тесто. Аллергены: пшеница/глютен и молоко. Производственный режим не утверждён до контрольной проработки.</x:v>
      </x:c>
      <x:c r="B31" s="44"/>
      <x:c r="C31" s="44"/>
      <x:c r="D31" s="44"/>
      <x:c r="E31" s="44"/>
      <x:c r="F31" s="44"/>
      <x:c r="G31" s="44"/>
      <x:c r="H31" s="44"/>
    </x:row>
    <x:row r="32">
      <x:c r="A32" s="44"/>
      <x:c r="B32" s="44"/>
      <x:c r="C32" s="44"/>
      <x:c r="D32" s="44"/>
      <x:c r="E32" s="44"/>
      <x:c r="F32" s="44"/>
      <x:c r="G32" s="44"/>
      <x:c r="H32" s="44"/>
    </x:row>
    <x:row r="33">
      <x:c r="A33" s="44"/>
      <x:c r="B33" s="44"/>
      <x:c r="C33" s="44"/>
      <x:c r="D33" s="44"/>
      <x:c r="E33" s="44"/>
      <x:c r="F33" s="44"/>
      <x:c r="G33" s="44"/>
      <x:c r="H33" s="44"/>
    </x:row>
  </x:sheetData>
  <x:mergeCells>
    <x:mergeCell ref="A1:H1"/>
    <x:mergeCell ref="A2:H2"/>
    <x:mergeCell ref="A31:H3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18" hidden="0" customWidth="1"/>
    <x:col min="4" max="4" width="52" hidden="0" customWidth="1"/>
    <x:col min="5" max="5" width="32" hidden="0" customWidth="1"/>
    <x:col min="6" max="6" width="34" hidden="0" customWidth="1"/>
    <x:col min="7" max="7" width="21" hidden="0" customWidth="1"/>
    <x:col min="8" max="8" width="36" hidden="0" customWidth="1"/>
    <x:col min="9" max="9" width="14" hidden="0" customWidth="1"/>
    <x:col min="10" max="10" width="22" hidden="0" customWidth="1"/>
    <x:col min="11" max="11" width="24" hidden="0" customWidth="1"/>
  </x:cols>
  <x:sheetData>
    <x:row r="1" ht="30" hidden="0" customHeight="1">
      <x:c r="A1" s="35" t="str">
        <x:v>Анкета согласования VKM-001 «Маргарита»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</x:row>
    <x:row r="2" ht="30" hidden="0" customHeight="1">
      <x:c r="A2" s="27" t="str">
        <x:v>Заполните жёлтые поля. Если значение изменяется — укажите точное фактическое значение и комментарий. После заполнения сохраните файл и загрузите его обратно.</x:v>
      </x:c>
      <x:c r="B2" s="27"/>
      <x:c r="C2" s="27"/>
      <x:c r="D2" s="27"/>
      <x:c r="E2" s="27"/>
      <x:c r="F2" s="27"/>
      <x:c r="G2" s="27"/>
      <x:c r="H2" s="27"/>
      <x:c r="I2" s="27"/>
      <x:c r="J2" s="27"/>
      <x:c r="K2" s="27"/>
    </x:row>
    <x:row r="3" ht="15" hidden="0" customHeight="1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</x:row>
    <x:row r="4" ht="15" hidden="0" customHeight="1">
      <x:c r="A4" s="29" t="str">
        <x:v>№</x:v>
      </x:c>
      <x:c r="B4" s="29" t="str">
        <x:v>Кому</x:v>
      </x:c>
      <x:c r="C4" s="29" t="str">
        <x:v>Блок</x:v>
      </x:c>
      <x:c r="D4" s="29" t="str">
        <x:v>Вопрос</x:v>
      </x:c>
      <x:c r="E4" s="29" t="str">
        <x:v>Предлагаемое значение</x:v>
      </x:c>
      <x:c r="F4" s="29" t="str">
        <x:v>Ответ / фактическое значение</x:v>
      </x:c>
      <x:c r="G4" s="29" t="str">
        <x:v>Решение</x:v>
      </x:c>
      <x:c r="H4" s="29" t="str">
        <x:v>Комментарий / основание</x:v>
      </x:c>
      <x:c r="I4" s="29" t="str">
        <x:v>Дата</x:v>
      </x:c>
      <x:c r="J4" s="29" t="str">
        <x:v>ФИО</x:v>
      </x:c>
      <x:c r="K4" s="29" t="str">
        <x:v>Подпись / отметка</x:v>
      </x:c>
    </x:row>
    <x:row r="5" ht="26.399999618530273" hidden="0" customHeight="1">
      <x:c r="A5" s="51" t="n">
        <x:v>1</x:v>
      </x:c>
      <x:c r="B5" s="51" t="str">
        <x:v>Шеф-повар</x:v>
      </x:c>
      <x:c r="C5" s="51" t="str">
        <x:v>Рецептура</x:v>
      </x:c>
      <x:c r="D5" s="51" t="str">
        <x:v>Подтверждаете состав и отсутствие масла в тесте, чеснока и орегано?</x:v>
      </x:c>
      <x:c r="E5" s="51" t="str">
        <x:v>Да</x:v>
      </x:c>
      <x:c r="F5" s="52" t="str"/>
      <x:c r="G5" s="52" t="str"/>
      <x:c r="H5" s="52" t="str"/>
      <x:c r="I5" s="52" t="str"/>
      <x:c r="J5" s="52" t="str"/>
      <x:c r="K5" s="52" t="str"/>
    </x:row>
    <x:row r="6" ht="26.399999618530273" hidden="0" customHeight="1">
      <x:c r="A6" s="51" t="n">
        <x:v>2</x:v>
      </x:c>
      <x:c r="B6" s="51" t="str">
        <x:v>Шеф-повар</x:v>
      </x:c>
      <x:c r="C6" s="51" t="str">
        <x:v>Массы</x:v>
      </x:c>
      <x:c r="D6" s="51" t="str">
        <x:v>Подтверждаете закладку теста 250 г, соуса 85 г, моцареллы 130 г, сыра 10 г, базилика 7/6 г и масла 12 г?</x:v>
      </x:c>
      <x:c r="E6" s="51" t="str">
        <x:v>По техкарте</x:v>
      </x:c>
      <x:c r="F6" s="52" t="str"/>
      <x:c r="G6" s="52" t="str"/>
      <x:c r="H6" s="52" t="str"/>
      <x:c r="I6" s="52" t="str"/>
      <x:c r="J6" s="52" t="str"/>
      <x:c r="K6" s="52" t="str"/>
    </x:row>
    <x:row r="7" ht="26.399999618530273" hidden="0" customHeight="1">
      <x:c r="A7" s="51" t="n">
        <x:v>3</x:v>
      </x:c>
      <x:c r="B7" s="51" t="str">
        <x:v>Шеф-повар</x:v>
      </x:c>
      <x:c r="C7" s="51" t="str">
        <x:v>Выход</x:v>
      </x:c>
      <x:c r="D7" s="51" t="str">
        <x:v>Подтверждён ли выход готовой пиццы 450 г минимум в 3 прогонах?</x:v>
      </x:c>
      <x:c r="E7" s="51" t="str">
        <x:v>450 г; ≥3 прогона</x:v>
      </x:c>
      <x:c r="F7" s="52" t="str"/>
      <x:c r="G7" s="52" t="str"/>
      <x:c r="H7" s="52" t="str"/>
      <x:c r="I7" s="52" t="str"/>
      <x:c r="J7" s="52" t="str"/>
      <x:c r="K7" s="52" t="str"/>
    </x:row>
    <x:row r="8" ht="15" hidden="0" customHeight="1">
      <x:c r="A8" s="51" t="n">
        <x:v>4</x:v>
      </x:c>
      <x:c r="B8" s="51" t="str">
        <x:v>Шеф-повар</x:v>
      </x:c>
      <x:c r="C8" s="51" t="str">
        <x:v>Размер</x:v>
      </x:c>
      <x:c r="D8" s="51" t="str">
        <x:v>Какой фактический диаметр пиццы при выходе 450 г?</x:v>
      </x:c>
      <x:c r="E8" s="51" t="str">
        <x:v>Указать после теста</x:v>
      </x:c>
      <x:c r="F8" s="52" t="str"/>
      <x:c r="G8" s="52" t="str"/>
      <x:c r="H8" s="52" t="str"/>
      <x:c r="I8" s="52" t="str"/>
      <x:c r="J8" s="52" t="str"/>
      <x:c r="K8" s="52" t="str"/>
    </x:row>
    <x:row r="9" ht="26.399999618530273" hidden="0" customHeight="1">
      <x:c r="A9" s="51" t="n">
        <x:v>5</x:v>
      </x:c>
      <x:c r="B9" s="51" t="str">
        <x:v>Шеф-повар</x:v>
      </x:c>
      <x:c r="C9" s="51" t="str">
        <x:v>Тесто</x:v>
      </x:c>
      <x:c r="D9" s="51" t="str">
        <x:v>Укажите марку/тип муки, дрожжей, режим замеса и целевую температуру теста.</x:v>
      </x:c>
      <x:c r="E9" s="51" t="str">
        <x:v>Требуется факт</x:v>
      </x:c>
      <x:c r="F9" s="52" t="str"/>
      <x:c r="G9" s="52" t="str"/>
      <x:c r="H9" s="52" t="str"/>
      <x:c r="I9" s="52" t="str"/>
      <x:c r="J9" s="52" t="str"/>
      <x:c r="K9" s="52" t="str"/>
    </x:row>
    <x:row r="10" ht="26.399999618530273" hidden="0" customHeight="1">
      <x:c r="A10" s="51" t="n">
        <x:v>6</x:v>
      </x:c>
      <x:c r="B10" s="51" t="str">
        <x:v>Шеф-повар</x:v>
      </x:c>
      <x:c r="C10" s="51" t="str">
        <x:v>Ферментация</x:v>
      </x:c>
      <x:c r="D10" s="51" t="str">
        <x:v>Укажите длительность и температуру брожения/холодной ферментации, срок хранения ПФ теста.</x:v>
      </x:c>
      <x:c r="E10" s="51" t="str">
        <x:v>Требуется факт</x:v>
      </x:c>
      <x:c r="F10" s="52" t="str"/>
      <x:c r="G10" s="52" t="str"/>
      <x:c r="H10" s="52" t="str"/>
      <x:c r="I10" s="52" t="str"/>
      <x:c r="J10" s="52" t="str"/>
      <x:c r="K10" s="52" t="str"/>
    </x:row>
    <x:row r="11" ht="26.399999618530273" hidden="0" customHeight="1">
      <x:c r="A11" s="51" t="n">
        <x:v>7</x:v>
      </x:c>
      <x:c r="B11" s="51" t="str">
        <x:v>Шеф-повар</x:v>
      </x:c>
      <x:c r="C11" s="51" t="str">
        <x:v>Соус</x:v>
      </x:c>
      <x:c r="D11" s="51" t="str">
        <x:v>Подтверждаете формулу соуса и какой срок/условия хранения ПФ устанавливаете?</x:v>
      </x:c>
      <x:c r="E11" s="51" t="str">
        <x:v>78 г томатов + 6 г масла + 1 г соли</x:v>
      </x:c>
      <x:c r="F11" s="52" t="str"/>
      <x:c r="G11" s="52" t="str"/>
      <x:c r="H11" s="52" t="str"/>
      <x:c r="I11" s="52" t="str"/>
      <x:c r="J11" s="52" t="str"/>
      <x:c r="K11" s="52" t="str"/>
    </x:row>
    <x:row r="12" ht="26.399999618530273" hidden="0" customHeight="1">
      <x:c r="A12" s="51" t="n">
        <x:v>8</x:v>
      </x:c>
      <x:c r="B12" s="51" t="str">
        <x:v>Шеф-повар</x:v>
      </x:c>
      <x:c r="C12" s="51" t="str">
        <x:v>Сыр</x:v>
      </x:c>
      <x:c r="D12" s="51" t="str">
        <x:v>Какие SKU моцареллы и выдержанного сыра приняты? Сравнены ли минимум 2 российских образца?</x:v>
      </x:c>
      <x:c r="E12" s="51" t="str">
        <x:v>≥2 образца; по спецификации</x:v>
      </x:c>
      <x:c r="F12" s="52" t="str"/>
      <x:c r="G12" s="52" t="str"/>
      <x:c r="H12" s="52" t="str"/>
      <x:c r="I12" s="52" t="str"/>
      <x:c r="J12" s="52" t="str"/>
      <x:c r="K12" s="52" t="str"/>
    </x:row>
    <x:row r="13" ht="26.399999618530273" hidden="0" customHeight="1">
      <x:c r="A13" s="51" t="n">
        <x:v>9</x:v>
      </x:c>
      <x:c r="B13" s="51" t="str">
        <x:v>Шеф-повар</x:v>
      </x:c>
      <x:c r="C13" s="51" t="str">
        <x:v>Выпечка</x:v>
      </x:c>
      <x:c r="D13" s="51" t="str">
        <x:v>Укажите печь, фактическую температуру, время и измеримый критерий готовности.</x:v>
      </x:c>
      <x:c r="E13" s="51" t="str">
        <x:v>3,5 мин — норматив для проверки</x:v>
      </x:c>
      <x:c r="F13" s="52" t="str"/>
      <x:c r="G13" s="52" t="str"/>
      <x:c r="H13" s="52" t="str"/>
      <x:c r="I13" s="52" t="str"/>
      <x:c r="J13" s="52" t="str"/>
      <x:c r="K13" s="52" t="str"/>
    </x:row>
    <x:row r="14" ht="26.399999618530273" hidden="0" customHeight="1">
      <x:c r="A14" s="51" t="n">
        <x:v>10</x:v>
      </x:c>
      <x:c r="B14" s="51" t="str">
        <x:v>Шеф-повар</x:v>
      </x:c>
      <x:c r="C14" s="51" t="str">
        <x:v>Время</x:v>
      </x:c>
      <x:c r="D14" s="51" t="str">
        <x:v>Подтверждён ли общий норматив приготовления 8 минут без ухудшения качества?</x:v>
      </x:c>
      <x:c r="E14" s="51" t="str">
        <x:v>8 минут</x:v>
      </x:c>
      <x:c r="F14" s="52" t="str"/>
      <x:c r="G14" s="52" t="str"/>
      <x:c r="H14" s="52" t="str"/>
      <x:c r="I14" s="52" t="str"/>
      <x:c r="J14" s="52" t="str"/>
      <x:c r="K14" s="52" t="str"/>
    </x:row>
    <x:row r="15" ht="26.399999618530273" hidden="0" customHeight="1">
      <x:c r="A15" s="51" t="n">
        <x:v>11</x:v>
      </x:c>
      <x:c r="B15" s="51" t="str">
        <x:v>Шеф-повар</x:v>
      </x:c>
      <x:c r="C15" s="51" t="str">
        <x:v>Качество</x:v>
      </x:c>
      <x:c r="D15" s="51" t="str">
        <x:v>Подтверждаете органолептические критерии и признаки брака из техкарты?</x:v>
      </x:c>
      <x:c r="E15" s="51" t="str">
        <x:v>Да / указать изменения</x:v>
      </x:c>
      <x:c r="F15" s="52" t="str"/>
      <x:c r="G15" s="52" t="str"/>
      <x:c r="H15" s="52" t="str"/>
      <x:c r="I15" s="52" t="str"/>
      <x:c r="J15" s="52" t="str"/>
      <x:c r="K15" s="52" t="str"/>
    </x:row>
    <x:row r="16" ht="26.399999618530273" hidden="0" customHeight="1">
      <x:c r="A16" s="51" t="n">
        <x:v>12</x:v>
      </x:c>
      <x:c r="B16" s="51" t="str">
        <x:v>Шеф-повар</x:v>
      </x:c>
      <x:c r="C16" s="51" t="str">
        <x:v>Итог</x:v>
      </x:c>
      <x:c r="D16" s="51" t="str">
        <x:v>Разрешаете передать карту на финальное производственное согласование после закрытия замечаний?</x:v>
      </x:c>
      <x:c r="E16" s="51" t="str">
        <x:v>Только после контрольной проработки</x:v>
      </x:c>
      <x:c r="F16" s="52" t="str"/>
      <x:c r="G16" s="52" t="str"/>
      <x:c r="H16" s="52" t="str"/>
      <x:c r="I16" s="52" t="str"/>
      <x:c r="J16" s="52" t="str"/>
      <x:c r="K16" s="52" t="str"/>
    </x:row>
    <x:row r="17" ht="26.399999618530273" hidden="0" customHeight="1">
      <x:c r="A17" s="51" t="n">
        <x:v>13</x:v>
      </x:c>
      <x:c r="B17" s="51" t="str">
        <x:v>Управляющий</x:v>
      </x:c>
      <x:c r="C17" s="51" t="str">
        <x:v>Цена</x:v>
      </x:c>
      <x:c r="D17" s="51" t="str">
        <x:v>Подтверждаете единую цену 740 ₽ для a-la carte, доставки и гостиничного ужина?</x:v>
      </x:c>
      <x:c r="E17" s="51" t="str">
        <x:v>740 ₽</x:v>
      </x:c>
      <x:c r="F17" s="52" t="str"/>
      <x:c r="G17" s="52" t="str"/>
      <x:c r="H17" s="52" t="str"/>
      <x:c r="I17" s="52" t="str"/>
      <x:c r="J17" s="52" t="str"/>
      <x:c r="K17" s="52" t="str"/>
    </x:row>
    <x:row r="18" ht="26.399999618530273" hidden="0" customHeight="1">
      <x:c r="A18" s="51" t="n">
        <x:v>14</x:v>
      </x:c>
      <x:c r="B18" s="51" t="str">
        <x:v>Управляющий</x:v>
      </x:c>
      <x:c r="C18" s="51" t="str">
        <x:v>Закупки</x:v>
      </x:c>
      <x:c r="D18" s="51" t="str">
        <x:v>Укажите поставщика, SKU, цену и документы на муку, томаты, оба сыра, базилик и масло.</x:v>
      </x:c>
      <x:c r="E18" s="51" t="str">
        <x:v>Требуются КП/накладные/спецификации</x:v>
      </x:c>
      <x:c r="F18" s="52" t="str"/>
      <x:c r="G18" s="52" t="str"/>
      <x:c r="H18" s="52" t="str"/>
      <x:c r="I18" s="52" t="str"/>
      <x:c r="J18" s="52" t="str"/>
      <x:c r="K18" s="52" t="str"/>
    </x:row>
    <x:row r="19" ht="26.399999618530273" hidden="0" customHeight="1">
      <x:c r="A19" s="51" t="n">
        <x:v>15</x:v>
      </x:c>
      <x:c r="B19" s="51" t="str">
        <x:v>Управляющий</x:v>
      </x:c>
      <x:c r="C19" s="51" t="str">
        <x:v>Оборудование</x:v>
      </x:c>
      <x:c r="D19" s="51" t="str">
        <x:v>Какое оборудование соответствует BAK-01: марка, модель, серийный номер, паспорт, мощность, рабочая площадь, вытяжка?</x:v>
      </x:c>
      <x:c r="E19" s="51" t="str">
        <x:v>Требуется факт</x:v>
      </x:c>
      <x:c r="F19" s="52" t="str"/>
      <x:c r="G19" s="52" t="str"/>
      <x:c r="H19" s="52" t="str"/>
      <x:c r="I19" s="52" t="str"/>
      <x:c r="J19" s="52" t="str"/>
      <x:c r="K19" s="52" t="str"/>
    </x:row>
    <x:row r="20" ht="26.399999618530273" hidden="0" customHeight="1">
      <x:c r="A20" s="51" t="n">
        <x:v>16</x:v>
      </x:c>
      <x:c r="B20" s="51" t="str">
        <x:v>Управляющий</x:v>
      </x:c>
      <x:c r="C20" s="51" t="str">
        <x:v>Оснащение</x:v>
      </x:c>
      <x:c r="D20" s="51" t="str">
        <x:v>Подтверждены ли тестомес, холодильное хранение, боксы, весы, рабочее место и мойка?</x:v>
      </x:c>
      <x:c r="E20" s="51" t="str">
        <x:v>Перечень и вместимость</x:v>
      </x:c>
      <x:c r="F20" s="52" t="str"/>
      <x:c r="G20" s="52" t="str"/>
      <x:c r="H20" s="52" t="str"/>
      <x:c r="I20" s="52" t="str"/>
      <x:c r="J20" s="52" t="str"/>
      <x:c r="K20" s="52" t="str"/>
    </x:row>
    <x:row r="21" ht="26.399999618530273" hidden="0" customHeight="1">
      <x:c r="A21" s="51" t="n">
        <x:v>17</x:v>
      </x:c>
      <x:c r="B21" s="51" t="str">
        <x:v>Управляющий</x:v>
      </x:c>
      <x:c r="C21" s="51" t="str">
        <x:v>Доставка</x:v>
      </x:c>
      <x:c r="D21" s="51" t="str">
        <x:v>Укажите комиссию агрегатора по договору и кто обеспечивает курьера/термосумку.</x:v>
      </x:c>
      <x:c r="E21" s="51" t="str">
        <x:v>Расчёт: 30%; требуется факт</x:v>
      </x:c>
      <x:c r="F21" s="52" t="str"/>
      <x:c r="G21" s="52" t="str"/>
      <x:c r="H21" s="52" t="str"/>
      <x:c r="I21" s="52" t="str"/>
      <x:c r="J21" s="52" t="str"/>
      <x:c r="K21" s="52" t="str"/>
    </x:row>
    <x:row r="22" ht="26.399999618530273" hidden="0" customHeight="1">
      <x:c r="A22" s="51" t="n">
        <x:v>18</x:v>
      </x:c>
      <x:c r="B22" s="51" t="str">
        <x:v>Управляющий</x:v>
      </x:c>
      <x:c r="C22" s="51" t="str">
        <x:v>Упаковка</x:v>
      </x:c>
      <x:c r="D22" s="51" t="str">
        <x:v>Укажите коробку, размер, стоимость и документ о пригодности для горячей жирной пищи.</x:v>
      </x:c>
      <x:c r="E22" s="51" t="str">
        <x:v>Расчёт: 65 ₽; требуется факт</x:v>
      </x:c>
      <x:c r="F22" s="52" t="str"/>
      <x:c r="G22" s="52" t="str"/>
      <x:c r="H22" s="52" t="str"/>
      <x:c r="I22" s="52" t="str"/>
      <x:c r="J22" s="52" t="str"/>
      <x:c r="K22" s="52" t="str"/>
    </x:row>
    <x:row r="23" ht="26.399999618530273" hidden="0" customHeight="1">
      <x:c r="A23" s="51" t="n">
        <x:v>19</x:v>
      </x:c>
      <x:c r="B23" s="51" t="str">
        <x:v>Управляющий</x:v>
      </x:c>
      <x:c r="C23" s="51" t="str">
        <x:v>Доставка</x:v>
      </x:c>
      <x:c r="D23" s="51" t="str">
        <x:v>Какой максимальный SLA доставки утверждается после тестов 15/30/45 минут?</x:v>
      </x:c>
      <x:c r="E23" s="51" t="str">
        <x:v>Требуется результат теста</x:v>
      </x:c>
      <x:c r="F23" s="52" t="str"/>
      <x:c r="G23" s="52" t="str"/>
      <x:c r="H23" s="52" t="str"/>
      <x:c r="I23" s="52" t="str"/>
      <x:c r="J23" s="52" t="str"/>
      <x:c r="K23" s="52" t="str"/>
    </x:row>
    <x:row r="24" ht="26.399999618530273" hidden="0" customHeight="1">
      <x:c r="A24" s="51" t="n">
        <x:v>20</x:v>
      </x:c>
      <x:c r="B24" s="51" t="str">
        <x:v>Управляющий</x:v>
      </x:c>
      <x:c r="C24" s="51" t="str">
        <x:v>Гостиница</x:v>
      </x:c>
      <x:c r="D24" s="51" t="str">
        <x:v>Гостиничный ужин подаётся в ресторане или доставляется в номер? Укажите прямые расходы канала.</x:v>
      </x:c>
      <x:c r="E24" s="51" t="str">
        <x:v>UNKNOWN_NOT_ZERO</x:v>
      </x:c>
      <x:c r="F24" s="52" t="str"/>
      <x:c r="G24" s="52" t="str"/>
      <x:c r="H24" s="52" t="str"/>
      <x:c r="I24" s="52" t="str"/>
      <x:c r="J24" s="52" t="str"/>
      <x:c r="K24" s="52" t="str"/>
    </x:row>
    <x:row r="25" ht="26.399999618530273" hidden="0" customHeight="1">
      <x:c r="A25" s="51" t="n">
        <x:v>21</x:v>
      </x:c>
      <x:c r="B25" s="51" t="str">
        <x:v>Управляющий</x:v>
      </x:c>
      <x:c r="C25" s="51" t="str">
        <x:v>Безопасность</x:v>
      </x:c>
      <x:c r="D25" s="51" t="str">
        <x:v>Назначен ли ответственный за аллергенную матрицу, прослеживаемость и актуализацию ППК/ХАССП?</x:v>
      </x:c>
      <x:c r="E25" s="51" t="str">
        <x:v>Требуется ФИО и срок</x:v>
      </x:c>
      <x:c r="F25" s="52" t="str"/>
      <x:c r="G25" s="52" t="str"/>
      <x:c r="H25" s="52" t="str"/>
      <x:c r="I25" s="52" t="str"/>
      <x:c r="J25" s="52" t="str"/>
      <x:c r="K25" s="52" t="str"/>
    </x:row>
    <x:row r="26" ht="26.399999618530273" hidden="0" customHeight="1">
      <x:c r="A26" s="51" t="n">
        <x:v>22</x:v>
      </x:c>
      <x:c r="B26" s="51" t="str">
        <x:v>Управляющий</x:v>
      </x:c>
      <x:c r="C26" s="51" t="str">
        <x:v>Готовность</x:v>
      </x:c>
      <x:c r="D26" s="51" t="str">
        <x:v>Закрыты ли FS-01…FS-07 и можно ли переводить блюдо в READY_FOR_PRODUCTION?</x:v>
      </x:c>
      <x:c r="E26" s="51" t="str">
        <x:v>Нет до документального закрытия</x:v>
      </x:c>
      <x:c r="F26" s="52" t="str"/>
      <x:c r="G26" s="52" t="str"/>
      <x:c r="H26" s="52" t="str"/>
      <x:c r="I26" s="52" t="str"/>
      <x:c r="J26" s="52" t="str"/>
      <x:c r="K26" s="52" t="str"/>
    </x:row>
    <x:row r="27" ht="15" hidden="0" customHeight="1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</x:row>
    <x:row r="28" ht="15" hidden="0" customHeight="1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</x:row>
    <x:row r="29">
      <x:c r="A29" s="50" t="str">
        <x:v>Итоговое решение: ☐ СОГЛАСОВАНО  ☐ СОГЛАСОВАНО С УСЛОВИЯМИ  ☐ НА ДОРАБОТКУ  ☐ ОТКЛОНЕНО. Условия / замечания: __________________________________________________________________________________________</x:v>
      </x:c>
      <x:c r="B29" s="50"/>
      <x:c r="C29" s="50"/>
      <x:c r="D29" s="50"/>
      <x:c r="E29" s="50"/>
      <x:c r="F29" s="50"/>
      <x:c r="G29" s="50"/>
      <x:c r="H29" s="50"/>
      <x:c r="I29" s="50"/>
      <x:c r="J29" s="50"/>
      <x:c r="K29" s="50"/>
    </x:row>
    <x:row r="30">
      <x:c r="A30" s="50"/>
      <x:c r="B30" s="50"/>
      <x:c r="C30" s="50"/>
      <x:c r="D30" s="50"/>
      <x:c r="E30" s="50"/>
      <x:c r="F30" s="50"/>
      <x:c r="G30" s="50"/>
      <x:c r="H30" s="50"/>
      <x:c r="I30" s="50"/>
      <x:c r="J30" s="50"/>
      <x:c r="K30" s="50"/>
    </x:row>
    <x:row r="31">
      <x:c r="A31" s="50"/>
      <x:c r="B31" s="50"/>
      <x:c r="C31" s="50"/>
      <x:c r="D31" s="50"/>
      <x:c r="E31" s="50"/>
      <x:c r="F31" s="50"/>
      <x:c r="G31" s="50"/>
      <x:c r="H31" s="50"/>
      <x:c r="I31" s="50"/>
      <x:c r="J31" s="50"/>
      <x:c r="K31" s="50"/>
    </x:row>
  </x:sheetData>
  <x:mergeCells>
    <x:mergeCell ref="A1:K1"/>
    <x:mergeCell ref="A2:K2"/>
    <x:mergeCell ref="A29:K31"/>
  </x:mergeCells>
  <x:dataValidations count="2">
    <x:dataValidation type="list" sqref="G5:G26">
      <x:formula1>"СОГЛАСОВАНО,ИЗМЕНИТЬ,ОТКЛОНЕНО,ТРЕБУЕТСЯ ТЕСТ,Н/П"</x:formula1>
    </x:dataValidation>
    <x:dataValidation type="date" operator="between" sqref="I5:I26">
      <x:formula1>2026-01-01</x:formula1>
      <x:formula2>2030-12-31</x:formula2>
    </x:dataValidation>
  </x:dataValidations>
  <x:pageMargins left="0.7" right="0.7" top="0.75" bottom="0.75" header="0.3" footer="0.3"/>
</x:worksheet>
</file>