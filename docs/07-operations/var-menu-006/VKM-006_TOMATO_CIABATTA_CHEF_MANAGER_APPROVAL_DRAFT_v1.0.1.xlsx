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e8794441f49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ЛЬКУЛЯЦИЯ" sheetId="1" r:id="R75bc10e27d1c4e76"/>
    <x:sheet xmlns:r="http://schemas.openxmlformats.org/officeDocument/2006/relationships" name="ТЕХКАРТА" sheetId="2" r:id="Rdbb75a4507e34e5f"/>
    <x:sheet xmlns:r="http://schemas.openxmlformats.org/officeDocument/2006/relationships" name="АНКЕТА" sheetId="3" r:id="R28ab390195fc46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"/>
    <x:numFmt numFmtId="202" formatCode="0"/>
    <x:numFmt numFmtId="203" formatCode="0.00&quot; ₽&quot;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555555"/>
      <x:name val="Carlito"/>
    </x:font>
    <x:font>
      <x:b/>
      <x:sz val="11"/>
      <x:color rgb="FF3F1D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9E3D22"/>
      </x:patternFill>
    </x:fill>
    <x:fill>
      <x:patternFill patternType="solid">
        <x:fgColor rgb="FFF2F2F2"/>
      </x:patternFill>
    </x:fill>
    <x:fill>
      <x:patternFill patternType="solid">
        <x:fgColor rgb="FFE8B090"/>
      </x:patternFill>
    </x:fill>
    <x:fill>
      <x:patternFill patternType="solid">
        <x:fgColor rgb="FFF3D6C6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18">
    <x:border/>
    <x:border/>
    <x:border>
      <x:left style="thin">
        <x:color rgb="FFC9A795"/>
      </x:left>
      <x:top style="thin">
        <x:color rgb="FFC9A795"/>
      </x:top>
    </x:border>
    <x:border>
      <x:top style="thin">
        <x:color rgb="FFC9A795"/>
      </x:top>
    </x:border>
    <x:border>
      <x:right style="thin">
        <x:color rgb="FFC9A795"/>
      </x:right>
      <x:top style="thin">
        <x:color rgb="FFC9A795"/>
      </x:top>
    </x:border>
    <x:border>
      <x:left style="thin">
        <x:color rgb="FFC9A795"/>
      </x:left>
    </x:border>
    <x:border>
      <x:right style="thin">
        <x:color rgb="FFC9A795"/>
      </x:right>
    </x:border>
    <x:border>
      <x:left style="thin">
        <x:color rgb="FFC9A795"/>
      </x:left>
      <x:bottom style="thin">
        <x:color rgb="FFC9A795"/>
      </x:bottom>
    </x:border>
    <x:border>
      <x:bottom style="thin">
        <x:color rgb="FFC9A795"/>
      </x:bottom>
    </x:border>
    <x:border>
      <x:right style="thin">
        <x:color rgb="FFC9A795"/>
      </x:right>
      <x:bottom style="thin">
        <x:color rgb="FFC9A795"/>
      </x:bottom>
    </x:border>
    <x:border>
      <x:left style="thin">
        <x:color rgb="FFC9A795"/>
      </x:left>
      <x:top style="thin">
        <x:color rgb="FFC9A795"/>
      </x:top>
    </x:border>
    <x:border>
      <x:top style="thin">
        <x:color rgb="FFC9A795"/>
      </x:top>
    </x:border>
    <x:border>
      <x:right style="thin">
        <x:color rgb="FFC9A795"/>
      </x:right>
      <x:top style="thin">
        <x:color rgb="FFC9A795"/>
      </x:top>
    </x:border>
    <x:border>
      <x:left style="thin">
        <x:color rgb="FFC9A795"/>
      </x:left>
    </x:border>
    <x:border>
      <x:right style="thin">
        <x:color rgb="FFC9A795"/>
      </x:right>
    </x:border>
    <x:border>
      <x:left style="thin">
        <x:color rgb="FFC9A795"/>
      </x:left>
      <x:bottom style="thin">
        <x:color rgb="FFC9A795"/>
      </x:bottom>
    </x:border>
    <x:border>
      <x:bottom style="thin">
        <x:color rgb="FFC9A795"/>
      </x:bottom>
    </x:border>
    <x:border>
      <x:right style="thin">
        <x:color rgb="FFC9A795"/>
      </x:right>
      <x:bottom style="thin">
        <x:color rgb="FFC9A795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horizontal="center" vertical="top" wrapText="1"/>
    </x:xf>
    <x:xf numFmtId="0" fontId="3" fillId="5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horizontal="center" vertical="top" wrapText="1"/>
    </x:xf>
    <x:xf numFmtId="0" fontId="3" fillId="5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5" borderId="10" xfId="0" applyNumberFormat="1" applyFont="1" applyFill="1" applyBorder="1" applyAlignment="1">
      <x:alignment horizontal="center" vertical="top" wrapText="1"/>
    </x:xf>
    <x:xf numFmtId="0" fontId="3" fillId="5" borderId="11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vertical="top" wrapText="1"/>
    </x:xf>
    <x:xf numFmtId="0" fontId="3" fillId="4" borderId="14" xfId="0" applyNumberFormat="1" applyFont="1" applyFill="1" applyBorder="1" applyAlignment="1">
      <x:alignment vertical="top" wrapText="1"/>
    </x:xf>
    <x:xf numFmtId="0" fontId="3" fillId="5" borderId="13" xfId="0" applyNumberFormat="1" applyFont="1" applyFill="1" applyBorder="1" applyAlignment="1">
      <x:alignment horizontal="center" vertical="top" wrapText="1"/>
    </x:xf>
    <x:xf numFmtId="0" fontId="3" fillId="5" borderId="14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horizontal="center"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horizontal="center" vertical="top" wrapText="1"/>
    </x:xf>
    <x:xf numFmtId="0" fontId="0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3051b2cc841b3" /><Relationship Type="http://schemas.openxmlformats.org/officeDocument/2006/relationships/theme" Target="/xl/theme/theme1.xml" Id="Re2f93051ddb043c1" /><Relationship Type="http://schemas.openxmlformats.org/officeDocument/2006/relationships/sharedStrings" Target="/xl/sharedStrings.xml" Id="Rf99729a092a04f16" /><Relationship Type="http://schemas.openxmlformats.org/officeDocument/2006/relationships/worksheet" Target="/xl/worksheets/sheet1.xml" Id="R75bc10e27d1c4e76" /><Relationship Type="http://schemas.openxmlformats.org/officeDocument/2006/relationships/worksheet" Target="/xl/worksheets/sheet2.xml" Id="Rdbb75a4507e34e5f" /><Relationship Type="http://schemas.openxmlformats.org/officeDocument/2006/relationships/worksheet" Target="/xl/worksheets/sheet3.xml" Id="R28ab390195fc46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6" hidden="0" customWidth="1"/>
    <x:col min="5" max="5" width="22" hidden="0" customWidth="1"/>
    <x:col min="6" max="6" width="32" hidden="0" customWidth="1"/>
    <x:col min="7" max="7" width="16" hidden="0" customWidth="1"/>
    <x:col min="8" max="8" width="18" hidden="0" customWidth="1"/>
    <x:col min="9" max="9" width="16" hidden="0" customWidth="1"/>
    <x:col min="10" max="10" width="14" hidden="0" customWidth="1"/>
    <x:col min="11" max="11" width="22" hidden="0" customWidth="1"/>
    <x:col min="12" max="12" width="28" hidden="0" customWidth="1"/>
  </x:cols>
  <x:sheetData>
    <x:row r="1">
      <x:c r="A1" s="64" t="str">
        <x:v>VKM-006 «Томатная чиабатта» — калькуляция и экономика каналов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</x:row>
    <x:row r="2">
      <x:c r="A2" s="65" t="str">
        <x:v>PENDING_CHEF_MANAGER_VERIFICATION | SAFETY_BLOCKED_PENDING_VALIDATION | Не является APPROVED / READY_FOR_PRODUCTION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</x:row>
    <x:row r="4">
      <x:c r="A4" s="67" t="str">
        <x:v>1. Паспорт и единые входы</x:v>
      </x:c>
      <x:c r="B4" s="67"/>
      <x:c r="C4" s="67"/>
      <x:c r="D4" s="67"/>
      <x:c r="E4" s="67"/>
      <x:c r="F4" s="67"/>
      <x:c r="G4" s="66"/>
      <x:c r="H4" s="66"/>
      <x:c r="I4" s="66"/>
      <x:c r="J4" s="66"/>
      <x:c r="K4" s="66"/>
      <x:c r="L4" s="66"/>
    </x:row>
    <x:row r="5">
      <x:c r="A5" s="88" t="str">
        <x:v>Параметр</x:v>
      </x:c>
      <x:c r="B5" s="89" t="str">
        <x:v>Значение</x:v>
      </x:c>
      <x:c r="C5" s="89" t="str">
        <x:v>Ед.</x:v>
      </x:c>
      <x:c r="D5" s="89" t="str">
        <x:v>Статус</x:v>
      </x:c>
      <x:c r="E5" s="89" t="str">
        <x:v>Источник / основание</x:v>
      </x:c>
      <x:c r="F5" s="89" t="str">
        <x:v>Комментарий</x:v>
      </x:c>
      <x:c r="G5" s="90"/>
      <x:c r="H5" s="90"/>
      <x:c r="I5" s="90"/>
      <x:c r="J5" s="90"/>
      <x:c r="K5" s="90"/>
      <x:c r="L5" s="91"/>
    </x:row>
    <x:row r="6">
      <x:c r="A6" s="92" t="str">
        <x:v>Код блюда</x:v>
      </x:c>
      <x:c r="B6" s="69" t="str">
        <x:v>VKM-006</x:v>
      </x:c>
      <x:c r="C6" s="66" t="str"/>
      <x:c r="D6" s="66" t="str">
        <x:v>FACT_FROM_SOURCE</x:v>
      </x:c>
      <x:c r="E6" s="66" t="str">
        <x:v>Issue #106</x:v>
      </x:c>
      <x:c r="F6" s="66" t="str"/>
      <x:c r="G6" s="66"/>
      <x:c r="H6" s="66"/>
      <x:c r="I6" s="66"/>
      <x:c r="J6" s="66"/>
      <x:c r="K6" s="66"/>
      <x:c r="L6" s="93"/>
    </x:row>
    <x:row r="7">
      <x:c r="A7" s="92" t="str">
        <x:v>Код калькуляции</x:v>
      </x:c>
      <x:c r="B7" s="69" t="str">
        <x:v>VKC-006</x:v>
      </x:c>
      <x:c r="C7" s="66" t="str"/>
      <x:c r="D7" s="66" t="str">
        <x:v>FACT_FROM_SOURCE</x:v>
      </x:c>
      <x:c r="E7" s="66" t="str">
        <x:v>Issue #106</x:v>
      </x:c>
      <x:c r="F7" s="66" t="str"/>
      <x:c r="G7" s="66"/>
      <x:c r="H7" s="66"/>
      <x:c r="I7" s="66"/>
      <x:c r="J7" s="66"/>
      <x:c r="K7" s="66"/>
      <x:c r="L7" s="93"/>
    </x:row>
    <x:row r="8">
      <x:c r="A8" s="92" t="str">
        <x:v>Код технологии</x:v>
      </x:c>
      <x:c r="B8" s="69" t="str">
        <x:v>VKT-006</x:v>
      </x:c>
      <x:c r="C8" s="66" t="str"/>
      <x:c r="D8" s="66" t="str">
        <x:v>FACT_FROM_SOURCE</x:v>
      </x:c>
      <x:c r="E8" s="66" t="str">
        <x:v>Issue #106</x:v>
      </x:c>
      <x:c r="F8" s="66" t="str"/>
      <x:c r="G8" s="66"/>
      <x:c r="H8" s="66"/>
      <x:c r="I8" s="66"/>
      <x:c r="J8" s="66"/>
      <x:c r="K8" s="66"/>
      <x:c r="L8" s="93"/>
    </x:row>
    <x:row r="9">
      <x:c r="A9" s="92" t="str">
        <x:v>Базовая мука</x:v>
      </x:c>
      <x:c r="B9" s="69" t="n">
        <x:v>5000</x:v>
      </x:c>
      <x:c r="C9" s="66" t="str">
        <x:v>г</x:v>
      </x:c>
      <x:c r="D9" s="66" t="str">
        <x:v>OWNER_APPROVED</x:v>
      </x:c>
      <x:c r="E9" s="66" t="str">
        <x:v>VKM-005 / Owner Gate 0</x:v>
      </x:c>
      <x:c r="F9" s="66" t="str"/>
      <x:c r="G9" s="66"/>
      <x:c r="H9" s="66"/>
      <x:c r="I9" s="66"/>
      <x:c r="J9" s="66"/>
      <x:c r="K9" s="66"/>
      <x:c r="L9" s="93"/>
    </x:row>
    <x:row r="10">
      <x:c r="A10" s="92" t="str">
        <x:v>Базовая вода</x:v>
      </x:c>
      <x:c r="B10" s="69" t="n">
        <x:v>4000</x:v>
      </x:c>
      <x:c r="C10" s="66" t="str">
        <x:v>г</x:v>
      </x:c>
      <x:c r="D10" s="66" t="str">
        <x:v>OWNER_APPROVED</x:v>
      </x:c>
      <x:c r="E10" s="66" t="str">
        <x:v>VKM-005 / Owner Gate 0</x:v>
      </x:c>
      <x:c r="F10" s="66" t="str">
        <x:v>V1: возможен bassinage; V2: вода пасты вычитается</x:v>
      </x:c>
      <x:c r="G10" s="66"/>
      <x:c r="H10" s="66"/>
      <x:c r="I10" s="66"/>
      <x:c r="J10" s="66"/>
      <x:c r="K10" s="66"/>
      <x:c r="L10" s="93"/>
    </x:row>
    <x:row r="11">
      <x:c r="A11" s="92" t="str">
        <x:v>Соль</x:v>
      </x:c>
      <x:c r="B11" s="69" t="n">
        <x:v>110</x:v>
      </x:c>
      <x:c r="C11" s="66" t="str">
        <x:v>г</x:v>
      </x:c>
      <x:c r="D11" s="66" t="str">
        <x:v>OWNER_APPROVED</x:v>
      </x:c>
      <x:c r="E11" s="66" t="str">
        <x:v>VKM-005 / Owner Gate 0</x:v>
      </x:c>
      <x:c r="F11" s="66" t="str"/>
      <x:c r="G11" s="66"/>
      <x:c r="H11" s="66"/>
      <x:c r="I11" s="66"/>
      <x:c r="J11" s="66"/>
      <x:c r="K11" s="66"/>
      <x:c r="L11" s="93"/>
    </x:row>
    <x:row r="12">
      <x:c r="A12" s="92" t="str">
        <x:v>Дрожжи сухие</x:v>
      </x:c>
      <x:c r="B12" s="69" t="n">
        <x:v>30</x:v>
      </x:c>
      <x:c r="C12" s="66" t="str">
        <x:v>г</x:v>
      </x:c>
      <x:c r="D12" s="66" t="str">
        <x:v>OWNER_APPROVED</x:v>
      </x:c>
      <x:c r="E12" s="66" t="str">
        <x:v>VKM-005 / Owner Gate 0</x:v>
      </x:c>
      <x:c r="F12" s="66" t="str"/>
      <x:c r="G12" s="66"/>
      <x:c r="H12" s="66"/>
      <x:c r="I12" s="66"/>
      <x:c r="J12" s="66"/>
      <x:c r="K12" s="66"/>
      <x:c r="L12" s="93"/>
    </x:row>
    <x:row r="13">
      <x:c r="A13" s="92" t="str">
        <x:v>Масса сырой заготовки</x:v>
      </x:c>
      <x:c r="B13" s="69" t="n">
        <x:v>116</x:v>
      </x:c>
      <x:c r="C13" s="66" t="str">
        <x:v>г</x:v>
      </x:c>
      <x:c r="D13" s="66" t="str">
        <x:v>OWNER_APPROVED</x:v>
      </x:c>
      <x:c r="E13" s="66" t="str">
        <x:v>Owner Gate 0</x:v>
      </x:c>
      <x:c r="F13" s="66" t="str">
        <x:v>Подтвердить фактически</x:v>
      </x:c>
      <x:c r="G13" s="66"/>
      <x:c r="H13" s="66"/>
      <x:c r="I13" s="66"/>
      <x:c r="J13" s="66"/>
      <x:c r="K13" s="66"/>
      <x:c r="L13" s="93"/>
    </x:row>
    <x:row r="14">
      <x:c r="A14" s="92" t="str">
        <x:v>Проектный выход изделия</x:v>
      </x:c>
      <x:c r="B14" s="69" t="n">
        <x:v>100</x:v>
      </x:c>
      <x:c r="C14" s="66" t="str">
        <x:v>г</x:v>
      </x:c>
      <x:c r="D14" s="66" t="str">
        <x:v>OWNER_APPROVED</x:v>
      </x:c>
      <x:c r="E14" s="66" t="str">
        <x:v>Owner Gate 0</x:v>
      </x:c>
      <x:c r="F14" s="66" t="str">
        <x:v>Допуск определяет шеф-повар</x:v>
      </x:c>
      <x:c r="G14" s="66"/>
      <x:c r="H14" s="66"/>
      <x:c r="I14" s="66"/>
      <x:c r="J14" s="66"/>
      <x:c r="K14" s="66"/>
      <x:c r="L14" s="93"/>
    </x:row>
    <x:row r="15">
      <x:c r="A15" s="92" t="str">
        <x:v>Базовый COGS VKM-005</x:v>
      </x:c>
      <x:c r="B15" s="69" t="n">
        <x:v>16.8303525641</x:v>
      </x:c>
      <x:c r="C15" s="66" t="str">
        <x:v>₽/шт</x:v>
      </x:c>
      <x:c r="D15" s="66" t="str">
        <x:v>OWNER_APPROVED</x:v>
      </x:c>
      <x:c r="E15" s="66" t="str">
        <x:v>VKM-005 Wave 2</x:v>
      </x:c>
      <x:c r="F15" s="66" t="str"/>
      <x:c r="G15" s="66"/>
      <x:c r="H15" s="66"/>
      <x:c r="I15" s="66"/>
      <x:c r="J15" s="66"/>
      <x:c r="K15" s="66"/>
      <x:c r="L15" s="93"/>
    </x:row>
    <x:row r="16">
      <x:c r="A16" s="92" t="str">
        <x:v>Базовый выпуск VKM-005</x:v>
      </x:c>
      <x:c r="B16" s="69" t="n">
        <x:v>78</x:v>
      </x:c>
      <x:c r="C16" s="66" t="str">
        <x:v>шт</x:v>
      </x:c>
      <x:c r="D16" s="66" t="str">
        <x:v>OWNER_APPROVED</x:v>
      </x:c>
      <x:c r="E16" s="66" t="str">
        <x:v>VKM-005 Wave 2</x:v>
      </x:c>
      <x:c r="F16" s="66" t="str"/>
      <x:c r="G16" s="66"/>
      <x:c r="H16" s="66"/>
      <x:c r="I16" s="66"/>
      <x:c r="J16" s="66"/>
      <x:c r="K16" s="66"/>
      <x:c r="L16" s="93"/>
    </x:row>
    <x:row r="17">
      <x:c r="A17" s="92" t="str">
        <x:v>Цена томатного порошка</x:v>
      </x:c>
      <x:c r="B17" s="69" t="n">
        <x:v>530</x:v>
      </x:c>
      <x:c r="C17" s="66" t="str">
        <x:v>₽/кг</x:v>
      </x:c>
      <x:c r="D17" s="66" t="str">
        <x:v>EXPERT_ASSUMPTION_PENDING_MANAGER_VERIFICATION</x:v>
      </x:c>
      <x:c r="E17" s="66" t="str">
        <x:v>Публичный ориентир</x:v>
      </x:c>
      <x:c r="F17" s="66" t="str">
        <x:v>Получить КП</x:v>
      </x:c>
      <x:c r="G17" s="66"/>
      <x:c r="H17" s="66"/>
      <x:c r="I17" s="66"/>
      <x:c r="J17" s="66"/>
      <x:c r="K17" s="66"/>
      <x:c r="L17" s="93"/>
    </x:row>
    <x:row r="18">
      <x:c r="A18" s="92" t="str">
        <x:v>Цена томатной пасты</x:v>
      </x:c>
      <x:c r="B18" s="69" t="n">
        <x:v>346.36</x:v>
      </x:c>
      <x:c r="C18" s="66" t="str">
        <x:v>₽/кг</x:v>
      </x:c>
      <x:c r="D18" s="66" t="str">
        <x:v>EXPERT_ASSUMPTION_PENDING_MANAGER_VERIFICATION</x:v>
      </x:c>
      <x:c r="E18" s="66" t="str">
        <x:v>Публичный ориентир</x:v>
      </x:c>
      <x:c r="F18" s="66" t="str">
        <x:v>Получить КП</x:v>
      </x:c>
      <x:c r="G18" s="66"/>
      <x:c r="H18" s="66"/>
      <x:c r="I18" s="66"/>
      <x:c r="J18" s="66"/>
      <x:c r="K18" s="66"/>
      <x:c r="L18" s="93"/>
    </x:row>
    <x:row r="19">
      <x:c r="A19" s="92" t="str">
        <x:v>Brix пасты</x:v>
      </x:c>
      <x:c r="B19" s="69" t="n">
        <x:v>29</x:v>
      </x:c>
      <x:c r="C19" s="66" t="str">
        <x:v>%</x:v>
      </x:c>
      <x:c r="D19" s="66" t="str">
        <x:v>EXPERT_ASSUMPTION_PENDING_MANAGER_VERIFICATION</x:v>
      </x:c>
      <x:c r="E19" s="66" t="str">
        <x:v>Рабочая спецификация 28–30 Brix</x:v>
      </x:c>
      <x:c r="F19" s="66" t="str">
        <x:v>Проверить партию</x:v>
      </x:c>
      <x:c r="G19" s="66"/>
      <x:c r="H19" s="66"/>
      <x:c r="I19" s="66"/>
      <x:c r="J19" s="66"/>
      <x:c r="K19" s="66"/>
      <x:c r="L19" s="93"/>
    </x:row>
    <x:row r="20">
      <x:c r="A20" s="92" t="str">
        <x:v>Проектная цена</x:v>
      </x:c>
      <x:c r="B20" s="69" t="n">
        <x:v>120</x:v>
      </x:c>
      <x:c r="C20" s="66" t="str">
        <x:v>₽/шт</x:v>
      </x:c>
      <x:c r="D20" s="66" t="str">
        <x:v>OWNER_APPROVED</x:v>
      </x:c>
      <x:c r="E20" s="66" t="str">
        <x:v>Owner Gate 2</x:v>
      </x:c>
      <x:c r="F20" s="66" t="str">
        <x:v>Единая цена; экономика каналов раздельная</x:v>
      </x:c>
      <x:c r="G20" s="66"/>
      <x:c r="H20" s="66"/>
      <x:c r="I20" s="66"/>
      <x:c r="J20" s="66"/>
      <x:c r="K20" s="66"/>
      <x:c r="L20" s="93"/>
    </x:row>
    <x:row r="21">
      <x:c r="A21" s="92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  <x:c r="L21" s="93"/>
    </x:row>
    <x:row r="22">
      <x:c r="A22" s="94" t="str">
        <x:v>2. Сценарии V1 / V2</x:v>
      </x:c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95"/>
    </x:row>
    <x:row r="23">
      <x:c r="A23" s="96" t="str">
        <x:v>Код</x:v>
      </x:c>
      <x:c r="B23" s="68" t="str">
        <x:v>Вариант</x:v>
      </x:c>
      <x:c r="C23" s="68" t="str">
        <x:v>Томатные сухие вещества</x:v>
      </x:c>
      <x:c r="D23" s="68" t="str">
        <x:v>Ингредиент, г</x:v>
      </x:c>
      <x:c r="E23" s="68" t="str">
        <x:v>Вода в пасте, г</x:v>
      </x:c>
      <x:c r="F23" s="68" t="str">
        <x:v>Отдельная вода, г</x:v>
      </x:c>
      <x:c r="G23" s="68" t="str">
        <x:v>Масса теста, г</x:v>
      </x:c>
      <x:c r="H23" s="68" t="str">
        <x:v>Расчётный выпуск, шт</x:v>
      </x:c>
      <x:c r="I23" s="68" t="str">
        <x:v>COGS, ₽/шт</x:v>
      </x:c>
      <x:c r="J23" s="68" t="str">
        <x:v>Food cost</x:v>
      </x:c>
      <x:c r="K23" s="68" t="str">
        <x:v>Статус</x:v>
      </x:c>
      <x:c r="L23" s="97" t="str">
        <x:v>Применение</x:v>
      </x:c>
    </x:row>
    <x:row r="24">
      <x:c r="A24" s="92" t="str">
        <x:v>V1-03</x:v>
      </x:c>
      <x:c r="B24" s="66" t="str">
        <x:v>Томатный порошок</x:v>
      </x:c>
      <x:c r="C24" s="70" t="n">
        <x:v>0.03</x:v>
      </x:c>
      <x:c r="D24" s="71" t="n">
        <x:f>$B$9*C24</x:f>
        <x:v>150</x:v>
      </x:c>
      <x:c r="E24" s="71" t="n">
        <x:v>0</x:v>
      </x:c>
      <x:c r="F24" s="71" t="n">
        <x:f>$B$10</x:f>
        <x:v>4000</x:v>
      </x:c>
      <x:c r="G24" s="71" t="n">
        <x:f>$B$9+F24+$B$11+$B$12+D24</x:f>
        <x:v>9290</x:v>
      </x:c>
      <x:c r="H24" s="72" t="n">
        <x:f>INT(G24/$B$13)</x:f>
        <x:v>80</x:v>
      </x:c>
      <x:c r="I24" s="73" t="n">
        <x:f>(($B$15*$B$16)+(D24/1000*$B$17))/H24</x:f>
        <x:v>17.4033437499975</x:v>
      </x:c>
      <x:c r="J24" s="70" t="n">
        <x:f>I24/$B$20</x:f>
        <x:v>0.1450278645833125</x:v>
      </x:c>
      <x:c r="K24" s="66" t="str">
        <x:v>CALCULATED</x:v>
      </x:c>
      <x:c r="L24" s="93" t="str">
        <x:v>Основной проект</x:v>
      </x:c>
    </x:row>
    <x:row r="25">
      <x:c r="A25" s="92" t="str">
        <x:v>V1-045</x:v>
      </x:c>
      <x:c r="B25" s="66" t="str">
        <x:v>Томатный порошок</x:v>
      </x:c>
      <x:c r="C25" s="70" t="n">
        <x:v>0.045</x:v>
      </x:c>
      <x:c r="D25" s="71" t="n">
        <x:f>$B$9*C25</x:f>
        <x:v>225</x:v>
      </x:c>
      <x:c r="E25" s="71" t="n">
        <x:v>0</x:v>
      </x:c>
      <x:c r="F25" s="71" t="n">
        <x:f>$B$10</x:f>
        <x:v>4000</x:v>
      </x:c>
      <x:c r="G25" s="71" t="n">
        <x:f>$B$9+F25+$B$11+$B$12+D25</x:f>
        <x:v>9365</x:v>
      </x:c>
      <x:c r="H25" s="72" t="n">
        <x:f>INT(G25/$B$13)</x:f>
        <x:v>80</x:v>
      </x:c>
      <x:c r="I25" s="73" t="n">
        <x:f>(($B$15*$B$16)+(D25/1000*$B$17))/H25</x:f>
        <x:v>17.9002187499975</x:v>
      </x:c>
      <x:c r="J25" s="70" t="n">
        <x:f>I25/$B$20</x:f>
        <x:v>0.1491684895833125</x:v>
      </x:c>
      <x:c r="K25" s="66" t="str">
        <x:v>CONDITIONAL</x:v>
      </x:c>
      <x:c r="L25" s="93" t="str">
        <x:v>Если 3% недостаточно</x:v>
      </x:c>
    </x:row>
    <x:row r="26">
      <x:c r="A26" s="92" t="str">
        <x:v>V1-06</x:v>
      </x:c>
      <x:c r="B26" s="66" t="str">
        <x:v>Томатный порошок</x:v>
      </x:c>
      <x:c r="C26" s="70" t="n">
        <x:v>0.06</x:v>
      </x:c>
      <x:c r="D26" s="71" t="n">
        <x:f>$B$9*C26</x:f>
        <x:v>300</x:v>
      </x:c>
      <x:c r="E26" s="71" t="n">
        <x:v>0</x:v>
      </x:c>
      <x:c r="F26" s="71" t="n">
        <x:f>$B$10</x:f>
        <x:v>4000</x:v>
      </x:c>
      <x:c r="G26" s="71" t="n">
        <x:f>$B$9+F26+$B$11+$B$12+D26</x:f>
        <x:v>9440</x:v>
      </x:c>
      <x:c r="H26" s="72" t="n">
        <x:f>INT(G26/$B$13)</x:f>
        <x:v>81</x:v>
      </x:c>
      <x:c r="I26" s="73" t="n">
        <x:f>(($B$15*$B$16)+(D26/1000*$B$17))/H26</x:f>
        <x:v>18.169969135800002</x:v>
      </x:c>
      <x:c r="J26" s="70" t="n">
        <x:f>I26/$B$20</x:f>
        <x:v>0.151416409465</x:v>
      </x:c>
      <x:c r="K26" s="66" t="str">
        <x:v>CONDITIONAL</x:v>
      </x:c>
      <x:c r="L26" s="93" t="str">
        <x:v>Только после 4,5%</x:v>
      </x:c>
    </x:row>
    <x:row r="27">
      <x:c r="A27" s="92" t="str">
        <x:v>V2-03</x:v>
      </x:c>
      <x:c r="B27" s="66" t="str">
        <x:v>Томатная паста</x:v>
      </x:c>
      <x:c r="C27" s="70" t="n">
        <x:v>0.03</x:v>
      </x:c>
      <x:c r="D27" s="71" t="n">
        <x:f>($B$9*C27)/($B$19/100)</x:f>
        <x:v>517.2413793103449</x:v>
      </x:c>
      <x:c r="E27" s="71" t="n">
        <x:f>D27*(1-$B$19/100)</x:f>
        <x:v>367.2413793103448</x:v>
      </x:c>
      <x:c r="F27" s="71" t="n">
        <x:f>$B$10-E27</x:f>
        <x:v>3632.7586206896553</x:v>
      </x:c>
      <x:c r="G27" s="71" t="n">
        <x:f>$B$9+F27+$B$11+$B$12+D27</x:f>
        <x:v>9290</x:v>
      </x:c>
      <x:c r="H27" s="72" t="n">
        <x:f>INT(G27/$B$13)</x:f>
        <x:v>80</x:v>
      </x:c>
      <x:c r="I27" s="73" t="n">
        <x:f>(($B$15*$B$16)+(D27/1000*$B$18))/H27</x:f>
        <x:v>18.64899030172164</x:v>
      </x:c>
      <x:c r="J27" s="70" t="n">
        <x:f>I27/$B$20</x:f>
        <x:v>0.155408252514347</x:v>
      </x:c>
      <x:c r="K27" s="66" t="str">
        <x:v>CALCULATED</x:v>
      </x:c>
      <x:c r="L27" s="93" t="str">
        <x:v>Сравнительный проект</x:v>
      </x:c>
    </x:row>
    <x:row r="28">
      <x:c r="A28" s="92" t="str">
        <x:v>V2-045</x:v>
      </x:c>
      <x:c r="B28" s="66" t="str">
        <x:v>Томатная паста</x:v>
      </x:c>
      <x:c r="C28" s="70" t="n">
        <x:v>0.045</x:v>
      </x:c>
      <x:c r="D28" s="71" t="n">
        <x:f>($B$9*C28)/($B$19/100)</x:f>
        <x:v>775.8620689655173</x:v>
      </x:c>
      <x:c r="E28" s="71" t="n">
        <x:f>D28*(1-$B$19/100)</x:f>
        <x:v>550.8620689655173</x:v>
      </x:c>
      <x:c r="F28" s="71" t="n">
        <x:f>$B$10-E28</x:f>
        <x:v>3449.137931034483</x:v>
      </x:c>
      <x:c r="G28" s="71" t="n">
        <x:f>$B$9+F28+$B$11+$B$12+D28</x:f>
        <x:v>9365</x:v>
      </x:c>
      <x:c r="H28" s="72" t="n">
        <x:f>INT(G28/$B$13)</x:f>
        <x:v>80</x:v>
      </x:c>
      <x:c r="I28" s="73" t="n">
        <x:f>(($B$15*$B$16)+(D28/1000*$B$18))/H28</x:f>
        <x:v>19.76868857758371</x:v>
      </x:c>
      <x:c r="J28" s="70" t="n">
        <x:f>I28/$B$20</x:f>
        <x:v>0.16473907147986425</x:v>
      </x:c>
      <x:c r="K28" s="66" t="str">
        <x:v>CONDITIONAL</x:v>
      </x:c>
      <x:c r="L28" s="93" t="str">
        <x:v>Если 3% недостаточно</x:v>
      </x:c>
    </x:row>
    <x:row r="29">
      <x:c r="A29" s="92" t="str">
        <x:v>V2-06</x:v>
      </x:c>
      <x:c r="B29" s="66" t="str">
        <x:v>Томатная паста</x:v>
      </x:c>
      <x:c r="C29" s="70" t="n">
        <x:v>0.06</x:v>
      </x:c>
      <x:c r="D29" s="71" t="n">
        <x:f>($B$9*C29)/($B$19/100)</x:f>
        <x:v>1034.4827586206898</x:v>
      </x:c>
      <x:c r="E29" s="71" t="n">
        <x:f>D29*(1-$B$19/100)</x:f>
        <x:v>734.4827586206897</x:v>
      </x:c>
      <x:c r="F29" s="71" t="n">
        <x:f>$B$10-E29</x:f>
        <x:v>3265.5172413793102</x:v>
      </x:c>
      <x:c r="G29" s="71" t="n">
        <x:f>$B$9+F29+$B$11+$B$12+D29</x:f>
        <x:v>9440</x:v>
      </x:c>
      <x:c r="H29" s="72" t="n">
        <x:f>INT(G29/$B$13)</x:f>
        <x:v>81</x:v>
      </x:c>
      <x:c r="I29" s="73" t="n">
        <x:f>(($B$15*$B$16)+(D29/1000*$B$18))/H29</x:f>
        <x:v>20.630505534267435</x:v>
      </x:c>
      <x:c r="J29" s="70" t="n">
        <x:f>I29/$B$20</x:f>
        <x:v>0.17192087945222861</x:v>
      </x:c>
      <x:c r="K29" s="66" t="str">
        <x:v>CONDITIONAL</x:v>
      </x:c>
      <x:c r="L29" s="93" t="str">
        <x:v>Только после 4,5%</x:v>
      </x:c>
    </x:row>
    <x:row r="30">
      <x:c r="A30" s="92"/>
      <x:c r="B30" s="66"/>
      <x:c r="C30" s="66"/>
      <x:c r="D30" s="66"/>
      <x:c r="E30" s="66"/>
      <x:c r="F30" s="66"/>
      <x:c r="G30" s="66"/>
      <x:c r="H30" s="66"/>
      <x:c r="I30" s="66"/>
      <x:c r="J30" s="66"/>
      <x:c r="K30" s="66"/>
      <x:c r="L30" s="93"/>
    </x:row>
    <x:row r="31">
      <x:c r="A31" s="94" t="str">
        <x:v>3. Рецептурная калькуляция V1-03</x:v>
      </x:c>
      <x:c r="B31" s="67"/>
      <x:c r="C31" s="67"/>
      <x:c r="D31" s="67"/>
      <x:c r="E31" s="67"/>
      <x:c r="F31" s="67"/>
      <x:c r="G31" s="67"/>
      <x:c r="H31" s="67"/>
      <x:c r="I31" s="66"/>
      <x:c r="J31" s="66"/>
      <x:c r="K31" s="66"/>
      <x:c r="L31" s="93"/>
    </x:row>
    <x:row r="32">
      <x:c r="A32" s="96" t="str">
        <x:v>Ингредиент</x:v>
      </x:c>
      <x:c r="B32" s="68" t="str">
        <x:v>Норма, кг</x:v>
      </x:c>
      <x:c r="C32" s="68" t="str">
        <x:v>Цена, ₽/кг</x:v>
      </x:c>
      <x:c r="D32" s="68" t="str">
        <x:v>Стоимость, ₽</x:v>
      </x:c>
      <x:c r="E32" s="68" t="str">
        <x:v>Статус</x:v>
      </x:c>
      <x:c r="F32" s="68" t="str">
        <x:v>Аллерген</x:v>
      </x:c>
      <x:c r="G32" s="68" t="str">
        <x:v>Источник</x:v>
      </x:c>
      <x:c r="H32" s="68" t="str">
        <x:v>Комментарий</x:v>
      </x:c>
      <x:c r="I32" s="66"/>
      <x:c r="J32" s="66"/>
      <x:c r="K32" s="66"/>
      <x:c r="L32" s="93"/>
    </x:row>
    <x:row r="33">
      <x:c r="A33" s="92" t="str">
        <x:v>Мука пшеничная</x:v>
      </x:c>
      <x:c r="B33" s="66" t="n">
        <x:v>5</x:v>
      </x:c>
      <x:c r="C33" s="66" t="n">
        <x:v>62</x:v>
      </x:c>
      <x:c r="D33" s="66" t="n">
        <x:f>IF(OR(B33="",C33=""),"",B33*C33)</x:f>
        <x:v>310</x:v>
      </x:c>
      <x:c r="E33" s="66" t="str">
        <x:v>EXPERT_ASSUMPTION_PENDING_CHEF_MANAGER_VERIFICATION</x:v>
      </x:c>
      <x:c r="F33" s="66" t="str">
        <x:v>Пшеница, глютен</x:v>
      </x:c>
      <x:c r="G33" s="66" t="str">
        <x:v>VKM-005</x:v>
      </x:c>
      <x:c r="H33" s="66" t="str">
        <x:v>Фактический SKU не выбран</x:v>
      </x:c>
      <x:c r="I33" s="66"/>
      <x:c r="J33" s="66"/>
      <x:c r="K33" s="66"/>
      <x:c r="L33" s="93"/>
    </x:row>
    <x:row r="34">
      <x:c r="A34" s="92" t="str">
        <x:v>Вода</x:v>
      </x:c>
      <x:c r="B34" s="66" t="n">
        <x:v>4</x:v>
      </x:c>
      <x:c r="C34" s="66"/>
      <x:c r="D34" s="66"/>
      <x:c r="E34" s="66" t="str">
        <x:v>UNKNOWN_NOT_ZERO</x:v>
      </x:c>
      <x:c r="F34" s="66" t="str"/>
      <x:c r="G34" s="66" t="str">
        <x:v>VKM-005</x:v>
      </x:c>
      <x:c r="H34" s="66" t="str">
        <x:v>Стоимость воды не подменяется нулём</x:v>
      </x:c>
      <x:c r="I34" s="66"/>
      <x:c r="J34" s="66"/>
      <x:c r="K34" s="66"/>
      <x:c r="L34" s="93"/>
    </x:row>
    <x:row r="35">
      <x:c r="A35" s="92" t="str">
        <x:v>Соль</x:v>
      </x:c>
      <x:c r="B35" s="66" t="n">
        <x:v>0.11</x:v>
      </x:c>
      <x:c r="C35" s="66" t="n">
        <x:v>31.5</x:v>
      </x:c>
      <x:c r="D35" s="66" t="n">
        <x:f>IF(OR(B35="",C35=""),"",B35*C35)</x:f>
        <x:v>3.465</x:v>
      </x:c>
      <x:c r="E35" s="66" t="str">
        <x:v>EXPERT_ASSUMPTION_PENDING_CHEF_MANAGER_VERIFICATION</x:v>
      </x:c>
      <x:c r="F35" s="66" t="str"/>
      <x:c r="G35" s="66" t="str">
        <x:v>VKM-005</x:v>
      </x:c>
      <x:c r="H35" s="66" t="str"/>
      <x:c r="I35" s="66"/>
      <x:c r="J35" s="66"/>
      <x:c r="K35" s="66"/>
      <x:c r="L35" s="93"/>
    </x:row>
    <x:row r="36">
      <x:c r="A36" s="92" t="str">
        <x:v>Дрожжи сухие</x:v>
      </x:c>
      <x:c r="B36" s="66" t="n">
        <x:v>0.03</x:v>
      </x:c>
      <x:c r="C36" s="66" t="n">
        <x:v>550</x:v>
      </x:c>
      <x:c r="D36" s="66" t="n">
        <x:f>IF(OR(B36="",C36=""),"",B36*C36)</x:f>
        <x:v>16.5</x:v>
      </x:c>
      <x:c r="E36" s="66" t="str">
        <x:v>EXPERT_ASSUMPTION_PENDING_CHEF_MANAGER_VERIFICATION</x:v>
      </x:c>
      <x:c r="F36" s="66" t="str"/>
      <x:c r="G36" s="66" t="str">
        <x:v>VKM-005</x:v>
      </x:c>
      <x:c r="H36" s="66" t="str">
        <x:v>Фактический SKU не выбран</x:v>
      </x:c>
      <x:c r="I36" s="66"/>
      <x:c r="J36" s="66"/>
      <x:c r="K36" s="66"/>
      <x:c r="L36" s="93"/>
    </x:row>
    <x:row r="37">
      <x:c r="A37" s="92" t="str">
        <x:v>Томатный порошок V1-03</x:v>
      </x:c>
      <x:c r="B37" s="66" t="n">
        <x:f>$D$24/1000</x:f>
        <x:v>0.15</x:v>
      </x:c>
      <x:c r="C37" s="66" t="n">
        <x:f>$B$17</x:f>
        <x:v>530</x:v>
      </x:c>
      <x:c r="D37" s="66" t="n">
        <x:f>IF(OR(B37="",C37=""),"",B37*C37)</x:f>
        <x:v>79.5</x:v>
      </x:c>
      <x:c r="E37" s="66" t="str">
        <x:v>EXPERT_ASSUMPTION_PENDING_CHEF_MANAGER_VERIFICATION</x:v>
      </x:c>
      <x:c r="F37" s="66" t="str">
        <x:v>Проверить COA</x:v>
      </x:c>
      <x:c r="G37" s="66" t="str">
        <x:v>Owner Gate 1–3</x:v>
      </x:c>
      <x:c r="H37" s="66" t="str">
        <x:v>Основной проект</x:v>
      </x:c>
      <x:c r="I37" s="66"/>
      <x:c r="J37" s="66"/>
      <x:c r="K37" s="66"/>
      <x:c r="L37" s="93"/>
    </x:row>
    <x:row r="38">
      <x:c r="A38" s="92" t="str">
        <x:v>ИТОГО ИЗВЕСТНО</x:v>
      </x:c>
      <x:c r="B38" s="66" t="n">
        <x:f>SUM(B33:B37)</x:f>
        <x:v>9.29</x:v>
      </x:c>
      <x:c r="C38" s="66"/>
      <x:c r="D38" s="66" t="n">
        <x:f>SUM(D33:D37)</x:f>
        <x:v>409.465</x:v>
      </x:c>
      <x:c r="E38" s="66" t="str">
        <x:v>CALCULATED</x:v>
      </x:c>
      <x:c r="F38" s="66" t="str"/>
      <x:c r="G38" s="66" t="str"/>
      <x:c r="H38" s="66" t="str">
        <x:v>Без стоимости воды и иных UNKNOWN_NOT_ZERO</x:v>
      </x:c>
      <x:c r="I38" s="66"/>
      <x:c r="J38" s="66"/>
      <x:c r="K38" s="66"/>
      <x:c r="L38" s="93"/>
    </x:row>
    <x:row r="39">
      <x:c r="A39" s="92"/>
      <x:c r="B39" s="66"/>
      <x:c r="C39" s="66"/>
      <x:c r="D39" s="66"/>
      <x:c r="E39" s="66"/>
      <x:c r="F39" s="66"/>
      <x:c r="G39" s="66"/>
      <x:c r="H39" s="66"/>
      <x:c r="I39" s="66"/>
      <x:c r="J39" s="66"/>
      <x:c r="K39" s="66"/>
      <x:c r="L39" s="93"/>
    </x:row>
    <x:row r="40">
      <x:c r="A40" s="94" t="str">
        <x:v>4. Экономика каналов — V1-03</x:v>
      </x:c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95"/>
    </x:row>
    <x:row r="41">
      <x:c r="A41" s="96" t="str">
        <x:v>Канал</x:v>
      </x:c>
      <x:c r="B41" s="68" t="str">
        <x:v>Цена, ₽</x:v>
      </x:c>
      <x:c r="C41" s="68" t="str">
        <x:v>Модель</x:v>
      </x:c>
      <x:c r="D41" s="68" t="str">
        <x:v>Recipe COGS, ₽</x:v>
      </x:c>
      <x:c r="E41" s="68" t="str">
        <x:v>Упаковка/сервировка, ₽</x:v>
      </x:c>
      <x:c r="F41" s="68" t="str">
        <x:v>Эквайринг</x:v>
      </x:c>
      <x:c r="G41" s="68" t="str">
        <x:v>Комиссия</x:v>
      </x:c>
      <x:c r="H41" s="68" t="str">
        <x:v>Иные прямые, ₽</x:v>
      </x:c>
      <x:c r="I41" s="68" t="str">
        <x:v>Маржа, ₽</x:v>
      </x:c>
      <x:c r="J41" s="68" t="str">
        <x:v>Food cost</x:v>
      </x:c>
      <x:c r="K41" s="68" t="str">
        <x:v>Статус</x:v>
      </x:c>
      <x:c r="L41" s="97" t="str">
        <x:v>Комментарий</x:v>
      </x:c>
    </x:row>
    <x:row r="42">
      <x:c r="A42" s="92" t="str">
        <x:v>À la carte</x:v>
      </x:c>
      <x:c r="B42" s="66" t="n">
        <x:f>$B$20</x:f>
        <x:v>120</x:v>
      </x:c>
      <x:c r="C42" s="66" t="str">
        <x:v>MAKE</x:v>
      </x:c>
      <x:c r="D42" s="66" t="n">
        <x:f>$I$24</x:f>
        <x:v>17.4033437499975</x:v>
      </x:c>
      <x:c r="E42" s="66" t="n">
        <x:v>0</x:v>
      </x:c>
      <x:c r="F42" s="70" t="n">
        <x:v>0.02</x:v>
      </x:c>
      <x:c r="G42" s="70" t="n">
        <x:v>0</x:v>
      </x:c>
      <x:c r="H42" s="66" t="n">
        <x:v>0</x:v>
      </x:c>
      <x:c r="I42" s="66" t="n">
        <x:f>B42-D42-E42-B42*F42-B42*G42-H42</x:f>
        <x:v>100.19665625000249</x:v>
      </x:c>
      <x:c r="J42" s="70" t="n">
        <x:f>D42/B42</x:f>
        <x:v>0.1450278645833125</x:v>
      </x:c>
      <x:c r="K42" s="66" t="str">
        <x:v>CALCULATED</x:v>
      </x:c>
      <x:c r="L42" s="93" t="str">
        <x:v>Стандартное обслуживание</x:v>
      </x:c>
    </x:row>
    <x:row r="43">
      <x:c r="A43" s="92" t="str">
        <x:v>Ужин гостей гостиницы</x:v>
      </x:c>
      <x:c r="B43" s="66" t="n">
        <x:f>$B$20</x:f>
        <x:v>120</x:v>
      </x:c>
      <x:c r="C43" s="66" t="str">
        <x:v>MAKE</x:v>
      </x:c>
      <x:c r="D43" s="66" t="n">
        <x:f>$I$24</x:f>
        <x:v>17.4033437499975</x:v>
      </x:c>
      <x:c r="E43" s="69"/>
      <x:c r="F43" s="74"/>
      <x:c r="G43" s="74" t="n">
        <x:v>0</x:v>
      </x:c>
      <x:c r="H43" s="69"/>
      <x:c r="I43" s="66"/>
      <x:c r="J43" s="70"/>
      <x:c r="K43" s="66" t="str">
        <x:v>UNKNOWN_NOT_ZERO</x:v>
      </x:c>
      <x:c r="L43" s="93" t="str">
        <x:v>Отдельная модель канала</x:v>
      </x:c>
    </x:row>
    <x:row r="44">
      <x:c r="A44" s="92" t="str">
        <x:v>Навынос</x:v>
      </x:c>
      <x:c r="B44" s="66" t="n">
        <x:f>$B$20</x:f>
        <x:v>120</x:v>
      </x:c>
      <x:c r="C44" s="66" t="str">
        <x:v>MAKE</x:v>
      </x:c>
      <x:c r="D44" s="66" t="n">
        <x:f>$I$24</x:f>
        <x:v>17.4033437499975</x:v>
      </x:c>
      <x:c r="E44" s="66" t="n">
        <x:v>4</x:v>
      </x:c>
      <x:c r="F44" s="70" t="n">
        <x:v>0.02</x:v>
      </x:c>
      <x:c r="G44" s="70" t="n">
        <x:v>0</x:v>
      </x:c>
      <x:c r="H44" s="66" t="n">
        <x:v>0</x:v>
      </x:c>
      <x:c r="I44" s="66" t="n">
        <x:f>B44-D44-E44-B44*F44-B44*G44-H44</x:f>
        <x:v>96.19665625000249</x:v>
      </x:c>
      <x:c r="J44" s="70" t="n">
        <x:f>D44/B44</x:f>
        <x:v>0.1450278645833125</x:v>
      </x:c>
      <x:c r="K44" s="66" t="str">
        <x:v>CALCULATED</x:v>
      </x:c>
      <x:c r="L44" s="93" t="str"/>
    </x:row>
    <x:row r="45">
      <x:c r="A45" s="92" t="str">
        <x:v>Доставка</x:v>
      </x:c>
      <x:c r="B45" s="66" t="n">
        <x:f>$B$20</x:f>
        <x:v>120</x:v>
      </x:c>
      <x:c r="C45" s="66" t="str">
        <x:v>MAKE</x:v>
      </x:c>
      <x:c r="D45" s="66" t="n">
        <x:f>$I$24</x:f>
        <x:v>17.4033437499975</x:v>
      </x:c>
      <x:c r="E45" s="66" t="n">
        <x:v>6</x:v>
      </x:c>
      <x:c r="F45" s="70" t="n">
        <x:v>0</x:v>
      </x:c>
      <x:c r="G45" s="70" t="n">
        <x:v>0.3</x:v>
      </x:c>
      <x:c r="H45" s="66" t="n">
        <x:v>0</x:v>
      </x:c>
      <x:c r="I45" s="66" t="n">
        <x:f>B45-D45-E45-B45*F45-B45*G45-H45</x:f>
        <x:v>60.596656250002496</x:v>
      </x:c>
      <x:c r="J45" s="70" t="n">
        <x:f>D45/B45</x:f>
        <x:v>0.1450278645833125</x:v>
      </x:c>
      <x:c r="K45" s="66" t="str">
        <x:v>CALCULATED</x:v>
      </x:c>
      <x:c r="L45" s="93" t="str">
        <x:v>Цена предварительная</x:v>
      </x:c>
    </x:row>
    <x:row r="46">
      <x:c r="A46" s="92"/>
      <x:c r="B46" s="66"/>
      <x:c r="C46" s="66"/>
      <x:c r="D46" s="66"/>
      <x:c r="E46" s="66"/>
      <x:c r="F46" s="66"/>
      <x:c r="G46" s="66"/>
      <x:c r="H46" s="66"/>
      <x:c r="I46" s="66"/>
      <x:c r="J46" s="66"/>
      <x:c r="K46" s="66"/>
      <x:c r="L46" s="93"/>
    </x:row>
    <x:row r="47">
      <x:c r="A47" s="94" t="str">
        <x:v>5. Открытые блокеры</x:v>
      </x:c>
      <x:c r="B47" s="67"/>
      <x:c r="C47" s="67"/>
      <x:c r="D47" s="67"/>
      <x:c r="E47" s="67"/>
      <x:c r="F47" s="67"/>
      <x:c r="G47" s="66"/>
      <x:c r="H47" s="66"/>
      <x:c r="I47" s="66"/>
      <x:c r="J47" s="66"/>
      <x:c r="K47" s="66"/>
      <x:c r="L47" s="93"/>
    </x:row>
    <x:row r="48">
      <x:c r="A48" s="96" t="str">
        <x:v>ID</x:v>
      </x:c>
      <x:c r="B48" s="68" t="str">
        <x:v>Блокер</x:v>
      </x:c>
      <x:c r="C48" s="68" t="str">
        <x:v>Статус</x:v>
      </x:c>
      <x:c r="D48" s="68" t="str">
        <x:v>Критичность</x:v>
      </x:c>
      <x:c r="E48" s="68" t="str">
        <x:v>Условие снятия</x:v>
      </x:c>
      <x:c r="F48" s="68" t="str">
        <x:v>Влияние</x:v>
      </x:c>
      <x:c r="G48" s="66"/>
      <x:c r="H48" s="66"/>
      <x:c r="I48" s="66"/>
      <x:c r="J48" s="66"/>
      <x:c r="K48" s="66"/>
      <x:c r="L48" s="93"/>
    </x:row>
    <x:row r="49">
      <x:c r="A49" s="92" t="str">
        <x:v>FS-106-01</x:v>
      </x:c>
      <x:c r="B49" s="66" t="str">
        <x:v>Нет COA и спецификации порошка</x:v>
      </x:c>
      <x:c r="C49" s="75" t="str">
        <x:v>BLOCKED</x:v>
      </x:c>
      <x:c r="D49" s="66" t="str">
        <x:v>S1</x:v>
      </x:c>
      <x:c r="E49" s="66" t="str">
        <x:v>Документы поставщика</x:v>
      </x:c>
      <x:c r="F49" s="66" t="str">
        <x:v>Safety / закупка</x:v>
      </x:c>
      <x:c r="G49" s="66"/>
      <x:c r="H49" s="66"/>
      <x:c r="I49" s="66"/>
      <x:c r="J49" s="66"/>
      <x:c r="K49" s="66"/>
      <x:c r="L49" s="93"/>
    </x:row>
    <x:row r="50">
      <x:c r="A50" s="92" t="str">
        <x:v>FS-106-02</x:v>
      </x:c>
      <x:c r="B50" s="66" t="str">
        <x:v>Нет спецификации пасты и Brix</x:v>
      </x:c>
      <x:c r="C50" s="75" t="str">
        <x:v>BLOCKED</x:v>
      </x:c>
      <x:c r="D50" s="66" t="str">
        <x:v>S1</x:v>
      </x:c>
      <x:c r="E50" s="66" t="str">
        <x:v>Документы поставщика</x:v>
      </x:c>
      <x:c r="F50" s="66" t="str">
        <x:v>Safety / вода / COGS</x:v>
      </x:c>
      <x:c r="G50" s="66"/>
      <x:c r="H50" s="66"/>
      <x:c r="I50" s="66"/>
      <x:c r="J50" s="66"/>
      <x:c r="K50" s="66"/>
      <x:c r="L50" s="93"/>
    </x:row>
    <x:row r="51">
      <x:c r="A51" s="92" t="str">
        <x:v>FS-106-03</x:v>
      </x:c>
      <x:c r="B51" s="66" t="str">
        <x:v>Не подтверждена ферментация</x:v>
      </x:c>
      <x:c r="C51" s="75" t="str">
        <x:v>BLOCKED</x:v>
      </x:c>
      <x:c r="D51" s="66" t="str">
        <x:v>S1</x:v>
      </x:c>
      <x:c r="E51" s="66" t="str">
        <x:v>Контрольные прогоны</x:v>
      </x:c>
      <x:c r="F51" s="66" t="str">
        <x:v>Технология</x:v>
      </x:c>
      <x:c r="G51" s="66"/>
      <x:c r="H51" s="66"/>
      <x:c r="I51" s="66"/>
      <x:c r="J51" s="66"/>
      <x:c r="K51" s="66"/>
      <x:c r="L51" s="93"/>
    </x:row>
    <x:row r="52">
      <x:c r="A52" s="92" t="str">
        <x:v>FS-106-04</x:v>
      </x:c>
      <x:c r="B52" s="66" t="str">
        <x:v>Не подтверждён критерий готовности</x:v>
      </x:c>
      <x:c r="C52" s="75" t="str">
        <x:v>BLOCKED</x:v>
      </x:c>
      <x:c r="D52" s="66" t="str">
        <x:v>S1</x:v>
      </x:c>
      <x:c r="E52" s="66" t="str">
        <x:v>Контрольная выпечка</x:v>
      </x:c>
      <x:c r="F52" s="66" t="str">
        <x:v>Safety</x:v>
      </x:c>
      <x:c r="G52" s="66"/>
      <x:c r="H52" s="66"/>
      <x:c r="I52" s="66"/>
      <x:c r="J52" s="66"/>
      <x:c r="K52" s="66"/>
      <x:c r="L52" s="93"/>
    </x:row>
    <x:row r="53">
      <x:c r="A53" s="92" t="str">
        <x:v>FS-106-05</x:v>
      </x:c>
      <x:c r="B53" s="66" t="str">
        <x:v>Не подтверждён срок хранения</x:v>
      </x:c>
      <x:c r="C53" s="75" t="str">
        <x:v>BLOCKED</x:v>
      </x:c>
      <x:c r="D53" s="66" t="str">
        <x:v>S1</x:v>
      </x:c>
      <x:c r="E53" s="66" t="str">
        <x:v>Тесты 2/24/48 ч</x:v>
      </x:c>
      <x:c r="F53" s="66" t="str">
        <x:v>Safety / списания</x:v>
      </x:c>
      <x:c r="G53" s="66"/>
      <x:c r="H53" s="66"/>
      <x:c r="I53" s="66"/>
      <x:c r="J53" s="66"/>
      <x:c r="K53" s="66"/>
      <x:c r="L53" s="93"/>
    </x:row>
    <x:row r="54">
      <x:c r="A54" s="92" t="str">
        <x:v>FS-106-06</x:v>
      </x:c>
      <x:c r="B54" s="66" t="str">
        <x:v>Не установлен допуск массы</x:v>
      </x:c>
      <x:c r="C54" s="75" t="str">
        <x:v>BLOCKED</x:v>
      </x:c>
      <x:c r="D54" s="66" t="str">
        <x:v>S1</x:v>
      </x:c>
      <x:c r="E54" s="66" t="str">
        <x:v>Решение шеф-повара</x:v>
      </x:c>
      <x:c r="F54" s="66" t="str">
        <x:v>Выход</x:v>
      </x:c>
      <x:c r="G54" s="66"/>
      <x:c r="H54" s="66"/>
      <x:c r="I54" s="66"/>
      <x:c r="J54" s="66"/>
      <x:c r="K54" s="66"/>
      <x:c r="L54" s="93"/>
    </x:row>
    <x:row r="55">
      <x:c r="A55" s="92" t="str">
        <x:v>FS-106-07</x:v>
      </x:c>
      <x:c r="B55" s="66" t="str">
        <x:v>Не проверена санитарная обработка</x:v>
      </x:c>
      <x:c r="C55" s="75" t="str">
        <x:v>BLOCKED</x:v>
      </x:c>
      <x:c r="D55" s="66" t="str">
        <x:v>S1</x:v>
      </x:c>
      <x:c r="E55" s="66" t="str">
        <x:v>Санитарная проверка</x:v>
      </x:c>
      <x:c r="F55" s="66" t="str">
        <x:v>Safety</x:v>
      </x:c>
      <x:c r="G55" s="66"/>
      <x:c r="H55" s="66"/>
      <x:c r="I55" s="66"/>
      <x:c r="J55" s="66"/>
      <x:c r="K55" s="66"/>
      <x:c r="L55" s="93"/>
    </x:row>
    <x:row r="56">
      <x:c r="A56" s="98" t="str">
        <x:v>FS-106-08</x:v>
      </x:c>
      <x:c r="B56" s="99" t="str">
        <x:v>Не подтверждена воспроизводимость</x:v>
      </x:c>
      <x:c r="C56" s="100" t="str">
        <x:v>BLOCKED</x:v>
      </x:c>
      <x:c r="D56" s="99" t="str">
        <x:v>S1</x:v>
      </x:c>
      <x:c r="E56" s="99" t="str">
        <x:v>Три прогона</x:v>
      </x:c>
      <x:c r="F56" s="99" t="str">
        <x:v>Production gate</x:v>
      </x:c>
      <x:c r="G56" s="99"/>
      <x:c r="H56" s="99"/>
      <x:c r="I56" s="99"/>
      <x:c r="J56" s="99"/>
      <x:c r="K56" s="99"/>
      <x:c r="L56" s="101"/>
    </x:row>
    <x:row r="57">
      <x:c r="A57" s="66"/>
      <x:c r="B57" s="66"/>
      <x:c r="C57" s="66"/>
      <x:c r="D57" s="66"/>
      <x:c r="E57" s="66"/>
      <x:c r="F57" s="66"/>
      <x:c r="G57" s="66"/>
      <x:c r="H57" s="66"/>
      <x:c r="I57" s="66"/>
      <x:c r="J57" s="66"/>
      <x:c r="K57" s="66"/>
      <x:c r="L57" s="66"/>
    </x:row>
    <x:row r="58">
      <x:c r="A58" s="66"/>
      <x:c r="B58" s="66"/>
      <x:c r="C58" s="66"/>
      <x:c r="D58" s="66"/>
      <x:c r="E58" s="66"/>
      <x:c r="F58" s="66"/>
      <x:c r="G58" s="66"/>
      <x:c r="H58" s="66"/>
      <x:c r="I58" s="66"/>
      <x:c r="J58" s="66"/>
      <x:c r="K58" s="66"/>
      <x:c r="L58" s="66"/>
    </x:row>
    <x:row r="59">
      <x:c r="A59" s="66"/>
      <x:c r="B59" s="66"/>
      <x:c r="C59" s="66"/>
      <x:c r="D59" s="66"/>
      <x:c r="E59" s="66"/>
      <x:c r="F59" s="66"/>
      <x:c r="G59" s="66"/>
      <x:c r="H59" s="66"/>
      <x:c r="I59" s="66"/>
      <x:c r="J59" s="66"/>
      <x:c r="K59" s="66"/>
      <x:c r="L59" s="66"/>
    </x:row>
    <x:row r="60">
      <x:c r="A60" s="66"/>
      <x:c r="B60" s="66"/>
      <x:c r="C60" s="66"/>
      <x:c r="D60" s="66"/>
      <x:c r="E60" s="66"/>
      <x:c r="F60" s="66"/>
      <x:c r="G60" s="66"/>
      <x:c r="H60" s="66"/>
      <x:c r="I60" s="66"/>
      <x:c r="J60" s="66"/>
      <x:c r="K60" s="66"/>
      <x:c r="L60" s="66"/>
    </x:row>
    <x:row r="61">
      <x:c r="A61" s="66"/>
      <x:c r="B61" s="66"/>
      <x:c r="C61" s="66"/>
      <x:c r="D61" s="66"/>
      <x:c r="E61" s="66"/>
      <x:c r="F61" s="66"/>
      <x:c r="G61" s="66"/>
      <x:c r="H61" s="66"/>
      <x:c r="I61" s="66"/>
      <x:c r="J61" s="66"/>
      <x:c r="K61" s="66"/>
      <x:c r="L61" s="66"/>
    </x:row>
    <x:row r="62">
      <x:c r="A62" s="66"/>
      <x:c r="B62" s="66"/>
      <x:c r="C62" s="66"/>
      <x:c r="D62" s="66"/>
      <x:c r="E62" s="66"/>
      <x:c r="F62" s="66"/>
      <x:c r="G62" s="66"/>
      <x:c r="H62" s="66"/>
      <x:c r="I62" s="66"/>
      <x:c r="J62" s="66"/>
      <x:c r="K62" s="66"/>
      <x:c r="L62" s="66"/>
    </x:row>
    <x:row r="63">
      <x:c r="A63" s="66"/>
      <x:c r="B63" s="66"/>
      <x:c r="C63" s="66"/>
      <x:c r="D63" s="66"/>
      <x:c r="E63" s="66"/>
      <x:c r="F63" s="66"/>
      <x:c r="G63" s="66"/>
      <x:c r="H63" s="66"/>
      <x:c r="I63" s="66"/>
      <x:c r="J63" s="66"/>
      <x:c r="K63" s="66"/>
      <x:c r="L63" s="66"/>
    </x:row>
    <x:row r="64">
      <x:c r="A64" s="66"/>
      <x:c r="B64" s="66"/>
      <x:c r="C64" s="66"/>
      <x:c r="D64" s="66"/>
      <x:c r="E64" s="66"/>
      <x:c r="F64" s="66"/>
      <x:c r="G64" s="66"/>
      <x:c r="H64" s="66"/>
      <x:c r="I64" s="66"/>
      <x:c r="J64" s="66"/>
      <x:c r="K64" s="66"/>
      <x:c r="L64" s="66"/>
    </x:row>
    <x:row r="65">
      <x:c r="A65" s="66"/>
      <x:c r="B65" s="66"/>
      <x:c r="C65" s="66"/>
      <x:c r="D65" s="66"/>
      <x:c r="E65" s="66"/>
      <x:c r="F65" s="66"/>
      <x:c r="G65" s="66"/>
      <x:c r="H65" s="66"/>
      <x:c r="I65" s="66"/>
      <x:c r="J65" s="66"/>
      <x:c r="K65" s="66"/>
      <x:c r="L65" s="66"/>
    </x:row>
    <x:row r="66">
      <x:c r="A66" s="66"/>
      <x:c r="B66" s="66"/>
      <x:c r="C66" s="66"/>
      <x:c r="D66" s="66"/>
      <x:c r="E66" s="66"/>
      <x:c r="F66" s="66"/>
      <x:c r="G66" s="66"/>
      <x:c r="H66" s="66"/>
      <x:c r="I66" s="66"/>
      <x:c r="J66" s="66"/>
      <x:c r="K66" s="66"/>
      <x:c r="L66" s="66"/>
    </x:row>
    <x:row r="67">
      <x:c r="A67" s="66"/>
      <x:c r="B67" s="66"/>
      <x:c r="C67" s="66"/>
      <x:c r="D67" s="66"/>
      <x:c r="E67" s="66"/>
      <x:c r="F67" s="66"/>
      <x:c r="G67" s="66"/>
      <x:c r="H67" s="66"/>
      <x:c r="I67" s="66"/>
      <x:c r="J67" s="66"/>
      <x:c r="K67" s="66"/>
      <x:c r="L67" s="66"/>
    </x:row>
    <x:row r="68">
      <x:c r="A68" s="66"/>
      <x:c r="B68" s="66"/>
      <x:c r="C68" s="66"/>
      <x:c r="D68" s="66"/>
      <x:c r="E68" s="66"/>
      <x:c r="F68" s="66"/>
      <x:c r="G68" s="66"/>
      <x:c r="H68" s="66"/>
      <x:c r="I68" s="66"/>
      <x:c r="J68" s="66"/>
      <x:c r="K68" s="66"/>
      <x:c r="L68" s="66"/>
    </x:row>
    <x:row r="69">
      <x:c r="A69" s="66"/>
      <x:c r="B69" s="66"/>
      <x:c r="C69" s="66"/>
      <x:c r="D69" s="66"/>
      <x:c r="E69" s="66"/>
      <x:c r="F69" s="66"/>
      <x:c r="G69" s="66"/>
      <x:c r="H69" s="66"/>
      <x:c r="I69" s="66"/>
      <x:c r="J69" s="66"/>
      <x:c r="K69" s="66"/>
      <x:c r="L69" s="66"/>
    </x:row>
    <x:row r="70">
      <x:c r="A70" s="66"/>
      <x:c r="B70" s="66"/>
      <x:c r="C70" s="66"/>
      <x:c r="D70" s="66"/>
      <x:c r="E70" s="66"/>
      <x:c r="F70" s="66"/>
      <x:c r="G70" s="66"/>
      <x:c r="H70" s="66"/>
      <x:c r="I70" s="66"/>
      <x:c r="J70" s="66"/>
      <x:c r="K70" s="66"/>
      <x:c r="L70" s="66"/>
    </x:row>
    <x:row r="71">
      <x:c r="A71" s="66"/>
      <x:c r="B71" s="66"/>
      <x:c r="C71" s="66"/>
      <x:c r="D71" s="66"/>
      <x:c r="E71" s="66"/>
      <x:c r="F71" s="66"/>
      <x:c r="G71" s="66"/>
      <x:c r="H71" s="66"/>
      <x:c r="I71" s="66"/>
      <x:c r="J71" s="66"/>
      <x:c r="K71" s="66"/>
      <x:c r="L71" s="66"/>
    </x:row>
    <x:row r="72">
      <x:c r="A72" s="66"/>
      <x:c r="B72" s="66"/>
      <x:c r="C72" s="66"/>
      <x:c r="D72" s="66"/>
      <x:c r="E72" s="66"/>
      <x:c r="F72" s="66"/>
      <x:c r="G72" s="66"/>
      <x:c r="H72" s="66"/>
      <x:c r="I72" s="66"/>
      <x:c r="J72" s="66"/>
      <x:c r="K72" s="66"/>
      <x:c r="L72" s="66"/>
    </x:row>
    <x:row r="73">
      <x:c r="A73" s="66"/>
      <x:c r="B73" s="66"/>
      <x:c r="C73" s="66"/>
      <x:c r="D73" s="66"/>
      <x:c r="E73" s="66"/>
      <x:c r="F73" s="66"/>
      <x:c r="G73" s="66"/>
      <x:c r="H73" s="66"/>
      <x:c r="I73" s="66"/>
      <x:c r="J73" s="66"/>
      <x:c r="K73" s="66"/>
      <x:c r="L73" s="66"/>
    </x:row>
    <x:row r="74">
      <x:c r="A74" s="66"/>
      <x:c r="B74" s="66"/>
      <x:c r="C74" s="66"/>
      <x:c r="D74" s="66"/>
      <x:c r="E74" s="66"/>
      <x:c r="F74" s="66"/>
      <x:c r="G74" s="66"/>
      <x:c r="H74" s="66"/>
      <x:c r="I74" s="66"/>
      <x:c r="J74" s="66"/>
      <x:c r="K74" s="66"/>
      <x:c r="L74" s="66"/>
    </x:row>
    <x:row r="75">
      <x:c r="A75" s="66"/>
      <x:c r="B75" s="66"/>
      <x:c r="C75" s="66"/>
      <x:c r="D75" s="66"/>
      <x:c r="E75" s="66"/>
      <x:c r="F75" s="66"/>
      <x:c r="G75" s="66"/>
      <x:c r="H75" s="66"/>
      <x:c r="I75" s="66"/>
      <x:c r="J75" s="66"/>
      <x:c r="K75" s="66"/>
      <x:c r="L75" s="66"/>
    </x:row>
    <x:row r="76">
      <x:c r="A76" s="66"/>
      <x:c r="B76" s="66"/>
      <x:c r="C76" s="66"/>
      <x:c r="D76" s="66"/>
      <x:c r="E76" s="66"/>
      <x:c r="F76" s="66"/>
      <x:c r="G76" s="66"/>
      <x:c r="H76" s="66"/>
      <x:c r="I76" s="66"/>
      <x:c r="J76" s="66"/>
      <x:c r="K76" s="66"/>
      <x:c r="L76" s="66"/>
    </x:row>
    <x:row r="77">
      <x:c r="A77" s="66"/>
      <x:c r="B77" s="66"/>
      <x:c r="C77" s="66"/>
      <x:c r="D77" s="66"/>
      <x:c r="E77" s="66"/>
      <x:c r="F77" s="66"/>
      <x:c r="G77" s="66"/>
      <x:c r="H77" s="66"/>
      <x:c r="I77" s="66"/>
      <x:c r="J77" s="66"/>
      <x:c r="K77" s="66"/>
      <x:c r="L77" s="66"/>
    </x:row>
    <x:row r="78">
      <x:c r="A78" s="66"/>
      <x:c r="B78" s="66"/>
      <x:c r="C78" s="66"/>
      <x:c r="D78" s="66"/>
      <x:c r="E78" s="66"/>
      <x:c r="F78" s="66"/>
      <x:c r="G78" s="66"/>
      <x:c r="H78" s="66"/>
      <x:c r="I78" s="66"/>
      <x:c r="J78" s="66"/>
      <x:c r="K78" s="66"/>
      <x:c r="L78" s="66"/>
    </x:row>
    <x:row r="79">
      <x:c r="A79" s="66"/>
      <x:c r="B79" s="66"/>
      <x:c r="C79" s="66"/>
      <x:c r="D79" s="66"/>
      <x:c r="E79" s="66"/>
      <x:c r="F79" s="66"/>
      <x:c r="G79" s="66"/>
      <x:c r="H79" s="66"/>
      <x:c r="I79" s="66"/>
      <x:c r="J79" s="66"/>
      <x:c r="K79" s="66"/>
      <x:c r="L79" s="66"/>
    </x:row>
    <x:row r="80">
      <x:c r="A80" s="66"/>
      <x:c r="B80" s="66"/>
      <x:c r="C80" s="66"/>
      <x:c r="D80" s="66"/>
      <x:c r="E80" s="66"/>
      <x:c r="F80" s="66"/>
      <x:c r="G80" s="66"/>
      <x:c r="H80" s="66"/>
      <x:c r="I80" s="66"/>
      <x:c r="J80" s="66"/>
      <x:c r="K80" s="66"/>
      <x:c r="L80" s="66"/>
    </x:row>
    <x:row r="81">
      <x:c r="A81" s="66"/>
      <x:c r="B81" s="66"/>
      <x:c r="C81" s="66"/>
      <x:c r="D81" s="66"/>
      <x:c r="E81" s="66"/>
      <x:c r="F81" s="66"/>
      <x:c r="G81" s="66"/>
      <x:c r="H81" s="66"/>
      <x:c r="I81" s="66"/>
      <x:c r="J81" s="66"/>
      <x:c r="K81" s="66"/>
      <x:c r="L81" s="66"/>
    </x:row>
    <x:row r="82">
      <x:c r="A82" s="66"/>
      <x:c r="B82" s="66"/>
      <x:c r="C82" s="66"/>
      <x:c r="D82" s="66"/>
      <x:c r="E82" s="66"/>
      <x:c r="F82" s="66"/>
      <x:c r="G82" s="66"/>
      <x:c r="H82" s="66"/>
      <x:c r="I82" s="66"/>
      <x:c r="J82" s="66"/>
      <x:c r="K82" s="66"/>
      <x:c r="L82" s="66"/>
    </x:row>
    <x:row r="83">
      <x:c r="A83" s="66"/>
      <x:c r="B83" s="66"/>
      <x:c r="C83" s="66"/>
      <x:c r="D83" s="66"/>
      <x:c r="E83" s="66"/>
      <x:c r="F83" s="66"/>
      <x:c r="G83" s="66"/>
      <x:c r="H83" s="66"/>
      <x:c r="I83" s="66"/>
      <x:c r="J83" s="66"/>
      <x:c r="K83" s="66"/>
      <x:c r="L83" s="66"/>
    </x:row>
    <x:row r="84">
      <x:c r="A84" s="66"/>
      <x:c r="B84" s="66"/>
      <x:c r="C84" s="66"/>
      <x:c r="D84" s="66"/>
      <x:c r="E84" s="66"/>
      <x:c r="F84" s="66"/>
      <x:c r="G84" s="66"/>
      <x:c r="H84" s="66"/>
      <x:c r="I84" s="66"/>
      <x:c r="J84" s="66"/>
      <x:c r="K84" s="66"/>
      <x:c r="L84" s="66"/>
    </x:row>
    <x:row r="85">
      <x:c r="A85" s="66"/>
      <x:c r="B85" s="66"/>
      <x:c r="C85" s="66"/>
      <x:c r="D85" s="66"/>
      <x:c r="E85" s="66"/>
      <x:c r="F85" s="66"/>
      <x:c r="G85" s="66"/>
      <x:c r="H85" s="66"/>
      <x:c r="I85" s="66"/>
      <x:c r="J85" s="66"/>
      <x:c r="K85" s="66"/>
      <x:c r="L85" s="66"/>
    </x:row>
    <x:row r="86">
      <x:c r="A86" s="66"/>
      <x:c r="B86" s="66"/>
      <x:c r="C86" s="66"/>
      <x:c r="D86" s="66"/>
      <x:c r="E86" s="66"/>
      <x:c r="F86" s="66"/>
      <x:c r="G86" s="66"/>
      <x:c r="H86" s="66"/>
      <x:c r="I86" s="66"/>
      <x:c r="J86" s="66"/>
      <x:c r="K86" s="66"/>
      <x:c r="L86" s="66"/>
    </x:row>
    <x:row r="87">
      <x:c r="A87" s="66"/>
      <x:c r="B87" s="66"/>
      <x:c r="C87" s="66"/>
      <x:c r="D87" s="66"/>
      <x:c r="E87" s="66"/>
      <x:c r="F87" s="66"/>
      <x:c r="G87" s="66"/>
      <x:c r="H87" s="66"/>
      <x:c r="I87" s="66"/>
      <x:c r="J87" s="66"/>
      <x:c r="K87" s="66"/>
      <x:c r="L87" s="66"/>
    </x:row>
    <x:row r="88">
      <x:c r="A88" s="66"/>
      <x:c r="B88" s="66"/>
      <x:c r="C88" s="66"/>
      <x:c r="D88" s="66"/>
      <x:c r="E88" s="66"/>
      <x:c r="F88" s="66"/>
      <x:c r="G88" s="66"/>
      <x:c r="H88" s="66"/>
      <x:c r="I88" s="66"/>
      <x:c r="J88" s="66"/>
      <x:c r="K88" s="66"/>
      <x:c r="L88" s="66"/>
    </x:row>
    <x:row r="89">
      <x:c r="A89" s="66"/>
      <x:c r="B89" s="66"/>
      <x:c r="C89" s="66"/>
      <x:c r="D89" s="66"/>
      <x:c r="E89" s="66"/>
      <x:c r="F89" s="66"/>
      <x:c r="G89" s="66"/>
      <x:c r="H89" s="66"/>
      <x:c r="I89" s="66"/>
      <x:c r="J89" s="66"/>
      <x:c r="K89" s="66"/>
      <x:c r="L89" s="66"/>
    </x:row>
    <x:row r="90">
      <x:c r="A90" s="66"/>
      <x:c r="B90" s="66"/>
      <x:c r="C90" s="66"/>
      <x:c r="D90" s="66"/>
      <x:c r="E90" s="66"/>
      <x:c r="F90" s="66"/>
      <x:c r="G90" s="66"/>
      <x:c r="H90" s="66"/>
      <x:c r="I90" s="66"/>
      <x:c r="J90" s="66"/>
      <x:c r="K90" s="66"/>
      <x:c r="L90" s="66"/>
    </x:row>
    <x:row r="91">
      <x:c r="A91" s="66"/>
      <x:c r="B91" s="66"/>
      <x:c r="C91" s="66"/>
      <x:c r="D91" s="66"/>
      <x:c r="E91" s="66"/>
      <x:c r="F91" s="66"/>
      <x:c r="G91" s="66"/>
      <x:c r="H91" s="66"/>
      <x:c r="I91" s="66"/>
      <x:c r="J91" s="66"/>
      <x:c r="K91" s="66"/>
      <x:c r="L91" s="66"/>
    </x:row>
    <x:row r="92">
      <x:c r="A92" s="66"/>
      <x:c r="B92" s="66"/>
      <x:c r="C92" s="66"/>
      <x:c r="D92" s="66"/>
      <x:c r="E92" s="66"/>
      <x:c r="F92" s="66"/>
      <x:c r="G92" s="66"/>
      <x:c r="H92" s="66"/>
      <x:c r="I92" s="66"/>
      <x:c r="J92" s="66"/>
      <x:c r="K92" s="66"/>
      <x:c r="L92" s="66"/>
    </x:row>
    <x:row r="93">
      <x:c r="A93" s="66"/>
      <x:c r="B93" s="66"/>
      <x:c r="C93" s="66"/>
      <x:c r="D93" s="66"/>
      <x:c r="E93" s="66"/>
      <x:c r="F93" s="66"/>
      <x:c r="G93" s="66"/>
      <x:c r="H93" s="66"/>
      <x:c r="I93" s="66"/>
      <x:c r="J93" s="66"/>
      <x:c r="K93" s="66"/>
      <x:c r="L93" s="66"/>
    </x:row>
    <x:row r="94">
      <x:c r="A94" s="66"/>
      <x:c r="B94" s="66"/>
      <x:c r="C94" s="66"/>
      <x:c r="D94" s="66"/>
      <x:c r="E94" s="66"/>
      <x:c r="F94" s="66"/>
      <x:c r="G94" s="66"/>
      <x:c r="H94" s="66"/>
      <x:c r="I94" s="66"/>
      <x:c r="J94" s="66"/>
      <x:c r="K94" s="66"/>
      <x:c r="L94" s="66"/>
    </x:row>
    <x:row r="95">
      <x:c r="A95" s="66"/>
      <x:c r="B95" s="66"/>
      <x:c r="C95" s="66"/>
      <x:c r="D95" s="66"/>
      <x:c r="E95" s="66"/>
      <x:c r="F95" s="66"/>
      <x:c r="G95" s="66"/>
      <x:c r="H95" s="66"/>
      <x:c r="I95" s="66"/>
      <x:c r="J95" s="66"/>
      <x:c r="K95" s="66"/>
      <x:c r="L95" s="66"/>
    </x:row>
    <x:row r="96">
      <x:c r="A96" s="66"/>
      <x:c r="B96" s="66"/>
      <x:c r="C96" s="66"/>
      <x:c r="D96" s="66"/>
      <x:c r="E96" s="66"/>
      <x:c r="F96" s="66"/>
      <x:c r="G96" s="66"/>
      <x:c r="H96" s="66"/>
      <x:c r="I96" s="66"/>
      <x:c r="J96" s="66"/>
      <x:c r="K96" s="66"/>
      <x:c r="L96" s="66"/>
    </x:row>
    <x:row r="97">
      <x:c r="A97" s="66"/>
      <x:c r="B97" s="66"/>
      <x:c r="C97" s="66"/>
      <x:c r="D97" s="66"/>
      <x:c r="E97" s="66"/>
      <x:c r="F97" s="66"/>
      <x:c r="G97" s="66"/>
      <x:c r="H97" s="66"/>
      <x:c r="I97" s="66"/>
      <x:c r="J97" s="66"/>
      <x:c r="K97" s="66"/>
      <x:c r="L97" s="66"/>
    </x:row>
    <x:row r="98">
      <x:c r="A98" s="66"/>
      <x:c r="B98" s="66"/>
      <x:c r="C98" s="66"/>
      <x:c r="D98" s="66"/>
      <x:c r="E98" s="66"/>
      <x:c r="F98" s="66"/>
      <x:c r="G98" s="66"/>
      <x:c r="H98" s="66"/>
      <x:c r="I98" s="66"/>
      <x:c r="J98" s="66"/>
      <x:c r="K98" s="66"/>
      <x:c r="L98" s="66"/>
    </x:row>
    <x:row r="99">
      <x:c r="A99" s="66"/>
      <x:c r="B99" s="66"/>
      <x:c r="C99" s="66"/>
      <x:c r="D99" s="66"/>
      <x:c r="E99" s="66"/>
      <x:c r="F99" s="66"/>
      <x:c r="G99" s="66"/>
      <x:c r="H99" s="66"/>
      <x:c r="I99" s="66"/>
      <x:c r="J99" s="66"/>
      <x:c r="K99" s="66"/>
      <x:c r="L99" s="66"/>
    </x:row>
    <x:row r="100">
      <x:c r="A100" s="66"/>
      <x:c r="B100" s="66"/>
      <x:c r="C100" s="66"/>
      <x:c r="D100" s="66"/>
      <x:c r="E100" s="66"/>
      <x:c r="F100" s="66"/>
      <x:c r="G100" s="66"/>
      <x:c r="H100" s="66"/>
      <x:c r="I100" s="66"/>
      <x:c r="J100" s="66"/>
      <x:c r="K100" s="66"/>
      <x:c r="L100" s="66"/>
    </x:row>
  </x:sheetData>
  <x:mergeCells>
    <x:mergeCell ref="A1:L1"/>
    <x:mergeCell ref="A2:L2"/>
    <x:mergeCell ref="A4:F4"/>
    <x:mergeCell ref="A22:L22"/>
    <x:mergeCell ref="A31:H31"/>
    <x:mergeCell ref="A40:L40"/>
    <x:mergeCell ref="A47:F4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6" hidden="0" customWidth="1"/>
    <x:col min="4" max="4" width="16" hidden="0" customWidth="1"/>
    <x:col min="5" max="5" width="22" hidden="0" customWidth="1"/>
    <x:col min="6" max="6" width="24" hidden="0" customWidth="1"/>
    <x:col min="7" max="7" width="26" hidden="0" customWidth="1"/>
    <x:col min="8" max="8" width="30" hidden="0" customWidth="1"/>
  </x:cols>
  <x:sheetData>
    <x:row r="1">
      <x:c r="A1" s="64" t="str">
        <x:v>VKT-006 «Томатная чиабатта» — технологическая карта (проект)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6"/>
      <x:c r="L1" s="66"/>
    </x:row>
    <x:row r="2">
      <x:c r="A2" s="65" t="str">
        <x:v>PENDING_CHEF_MANAGER_VERIFICATION | SAFETY_BLOCKED_PENDING_VALIDATION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6"/>
      <x:c r="L2" s="66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</x:row>
    <x:row r="4">
      <x:c r="A4" s="67" t="str">
        <x:v>1. Паспорт</x:v>
      </x:c>
      <x:c r="B4" s="67"/>
      <x:c r="C4" s="67"/>
      <x:c r="D4" s="67"/>
      <x:c r="E4" s="67"/>
      <x:c r="F4" s="66"/>
      <x:c r="G4" s="66"/>
      <x:c r="H4" s="66"/>
      <x:c r="I4" s="66"/>
      <x:c r="J4" s="66"/>
      <x:c r="K4" s="66"/>
      <x:c r="L4" s="66"/>
    </x:row>
    <x:row r="5">
      <x:c r="A5" s="88" t="str">
        <x:v>Параметр</x:v>
      </x:c>
      <x:c r="B5" s="89" t="str">
        <x:v>Значение</x:v>
      </x:c>
      <x:c r="C5" s="89" t="str">
        <x:v>Статус</x:v>
      </x:c>
      <x:c r="D5" s="89" t="str">
        <x:v>Основание</x:v>
      </x:c>
      <x:c r="E5" s="89" t="str">
        <x:v>Комментарий</x:v>
      </x:c>
      <x:c r="F5" s="90"/>
      <x:c r="G5" s="90"/>
      <x:c r="H5" s="91"/>
      <x:c r="I5" s="66"/>
      <x:c r="J5" s="66"/>
      <x:c r="K5" s="66"/>
      <x:c r="L5" s="66"/>
    </x:row>
    <x:row r="6">
      <x:c r="A6" s="92" t="str">
        <x:v>Наименование</x:v>
      </x:c>
      <x:c r="B6" s="66" t="str">
        <x:v>Томатная чиабатта</x:v>
      </x:c>
      <x:c r="C6" s="66" t="str">
        <x:v>FACT_FROM_SOURCE</x:v>
      </x:c>
      <x:c r="D6" s="66" t="str">
        <x:v>Issue #106</x:v>
      </x:c>
      <x:c r="E6" s="66" t="str"/>
      <x:c r="F6" s="66"/>
      <x:c r="G6" s="66"/>
      <x:c r="H6" s="93"/>
      <x:c r="I6" s="66"/>
      <x:c r="J6" s="66"/>
      <x:c r="K6" s="66"/>
      <x:c r="L6" s="66"/>
    </x:row>
    <x:row r="7">
      <x:c r="A7" s="92" t="str">
        <x:v>Код</x:v>
      </x:c>
      <x:c r="B7" s="66" t="str">
        <x:v>VKM-006 / VKC-006 / VKT-006</x:v>
      </x:c>
      <x:c r="C7" s="66" t="str">
        <x:v>FACT_FROM_SOURCE</x:v>
      </x:c>
      <x:c r="D7" s="66" t="str">
        <x:v>Issue #106</x:v>
      </x:c>
      <x:c r="E7" s="66" t="str"/>
      <x:c r="F7" s="66"/>
      <x:c r="G7" s="66"/>
      <x:c r="H7" s="93"/>
      <x:c r="I7" s="66"/>
      <x:c r="J7" s="66"/>
      <x:c r="K7" s="66"/>
      <x:c r="L7" s="66"/>
    </x:row>
    <x:row r="8">
      <x:c r="A8" s="92" t="str">
        <x:v>Основной вариант</x:v>
      </x:c>
      <x:c r="B8" s="66" t="str">
        <x:v>V1-03 — томатный порошок 3%</x:v>
      </x:c>
      <x:c r="C8" s="66" t="str">
        <x:v>OWNER_APPROVED</x:v>
      </x:c>
      <x:c r="D8" s="66" t="str">
        <x:v>Owner Gate 2–3</x:v>
      </x:c>
      <x:c r="E8" s="66" t="str"/>
      <x:c r="F8" s="66"/>
      <x:c r="G8" s="66"/>
      <x:c r="H8" s="93"/>
      <x:c r="I8" s="66"/>
      <x:c r="J8" s="66"/>
      <x:c r="K8" s="66"/>
      <x:c r="L8" s="66"/>
    </x:row>
    <x:row r="9">
      <x:c r="A9" s="92" t="str">
        <x:v>Сравнительный вариант</x:v>
      </x:c>
      <x:c r="B9" s="66" t="str">
        <x:v>V2-03 — паста 28–30 Brix</x:v>
      </x:c>
      <x:c r="C9" s="66" t="str">
        <x:v>OWNER_APPROVED</x:v>
      </x:c>
      <x:c r="D9" s="66" t="str">
        <x:v>Owner Gate 2–3</x:v>
      </x:c>
      <x:c r="E9" s="66" t="str"/>
      <x:c r="F9" s="66"/>
      <x:c r="G9" s="66"/>
      <x:c r="H9" s="93"/>
      <x:c r="I9" s="66"/>
      <x:c r="J9" s="66"/>
      <x:c r="K9" s="66"/>
      <x:c r="L9" s="66"/>
    </x:row>
    <x:row r="10">
      <x:c r="A10" s="92" t="str">
        <x:v>Выход</x:v>
      </x:c>
      <x:c r="B10" s="66" t="str">
        <x:v>100 г</x:v>
      </x:c>
      <x:c r="C10" s="66" t="str">
        <x:v>OWNER_APPROVED</x:v>
      </x:c>
      <x:c r="D10" s="66" t="str">
        <x:v>Owner Gate 0</x:v>
      </x:c>
      <x:c r="E10" s="66" t="str">
        <x:v>Подтвердить фактически</x:v>
      </x:c>
      <x:c r="F10" s="66"/>
      <x:c r="G10" s="66"/>
      <x:c r="H10" s="93"/>
      <x:c r="I10" s="66"/>
      <x:c r="J10" s="66"/>
      <x:c r="K10" s="66"/>
      <x:c r="L10" s="66"/>
    </x:row>
    <x:row r="11">
      <x:c r="A11" s="92" t="str">
        <x:v>Заготовка</x:v>
      </x:c>
      <x:c r="B11" s="66" t="str">
        <x:v>116 г</x:v>
      </x:c>
      <x:c r="C11" s="66" t="str">
        <x:v>OWNER_APPROVED</x:v>
      </x:c>
      <x:c r="D11" s="66" t="str">
        <x:v>Owner Gate 0</x:v>
      </x:c>
      <x:c r="E11" s="66" t="str"/>
      <x:c r="F11" s="66"/>
      <x:c r="G11" s="66"/>
      <x:c r="H11" s="93"/>
      <x:c r="I11" s="66"/>
      <x:c r="J11" s="66"/>
      <x:c r="K11" s="66"/>
      <x:c r="L11" s="66"/>
    </x:row>
    <x:row r="12">
      <x:c r="A12" s="92" t="str">
        <x:v>Модель</x:v>
      </x:c>
      <x:c r="B12" s="66" t="str">
        <x:v>MAKE / резерв HYBRID / аварийный BUY</x:v>
      </x:c>
      <x:c r="C12" s="66" t="str">
        <x:v>OWNER_APPROVED</x:v>
      </x:c>
      <x:c r="D12" s="66" t="str">
        <x:v>Owner Gate 0</x:v>
      </x:c>
      <x:c r="E12" s="66" t="str"/>
      <x:c r="F12" s="66"/>
      <x:c r="G12" s="66"/>
      <x:c r="H12" s="93"/>
      <x:c r="I12" s="66"/>
      <x:c r="J12" s="66"/>
      <x:c r="K12" s="66"/>
      <x:c r="L12" s="66"/>
    </x:row>
    <x:row r="13">
      <x:c r="A13" s="92" t="str">
        <x:v>Аллерген</x:v>
      </x:c>
      <x:c r="B13" s="66" t="str">
        <x:v>Пшеница, глютен</x:v>
      </x:c>
      <x:c r="C13" s="66" t="str">
        <x:v>FACT_FROM_SOURCE</x:v>
      </x:c>
      <x:c r="D13" s="66" t="str">
        <x:v>Базовая рецептура</x:v>
      </x:c>
      <x:c r="E13" s="66" t="str">
        <x:v>Томатный компонент — по спецификации</x:v>
      </x:c>
      <x:c r="F13" s="66"/>
      <x:c r="G13" s="66"/>
      <x:c r="H13" s="93"/>
      <x:c r="I13" s="66"/>
      <x:c r="J13" s="66"/>
      <x:c r="K13" s="66"/>
      <x:c r="L13" s="66"/>
    </x:row>
    <x:row r="14">
      <x:c r="A14" s="92"/>
      <x:c r="B14" s="66"/>
      <x:c r="C14" s="66"/>
      <x:c r="D14" s="66"/>
      <x:c r="E14" s="66"/>
      <x:c r="F14" s="66"/>
      <x:c r="G14" s="66"/>
      <x:c r="H14" s="93"/>
      <x:c r="I14" s="66"/>
      <x:c r="J14" s="66"/>
      <x:c r="K14" s="66"/>
      <x:c r="L14" s="66"/>
    </x:row>
    <x:row r="15">
      <x:c r="A15" s="94" t="str">
        <x:v>2. Рецептура и массо-баланс V1-03</x:v>
      </x:c>
      <x:c r="B15" s="67"/>
      <x:c r="C15" s="67"/>
      <x:c r="D15" s="67"/>
      <x:c r="E15" s="67"/>
      <x:c r="F15" s="67"/>
      <x:c r="G15" s="67"/>
      <x:c r="H15" s="95"/>
      <x:c r="I15" s="66"/>
      <x:c r="J15" s="66"/>
      <x:c r="K15" s="66"/>
      <x:c r="L15" s="66"/>
    </x:row>
    <x:row r="16">
      <x:c r="A16" s="96" t="str">
        <x:v>Компонент</x:v>
      </x:c>
      <x:c r="B16" s="68" t="str">
        <x:v>Масса, г</x:v>
      </x:c>
      <x:c r="C16" s="68" t="str">
        <x:v>Пекарский %</x:v>
      </x:c>
      <x:c r="D16" s="68" t="str">
        <x:v>В biga, г</x:v>
      </x:c>
      <x:c r="E16" s="68" t="str">
        <x:v>В основной замес, г</x:v>
      </x:c>
      <x:c r="F16" s="68" t="str">
        <x:v>Статус</x:v>
      </x:c>
      <x:c r="G16" s="68" t="str">
        <x:v>Аллерген</x:v>
      </x:c>
      <x:c r="H16" s="97" t="str">
        <x:v>Комментарий</x:v>
      </x:c>
      <x:c r="I16" s="66"/>
      <x:c r="J16" s="66"/>
      <x:c r="K16" s="66"/>
      <x:c r="L16" s="66"/>
    </x:row>
    <x:row r="17">
      <x:c r="A17" s="92" t="str">
        <x:v>Мука пшеничная</x:v>
      </x:c>
      <x:c r="B17" s="66" t="n">
        <x:f>'КАЛЬКУЛЯЦИЯ'!$B$9</x:f>
        <x:v>5000</x:v>
      </x:c>
      <x:c r="C17" s="66" t="n">
        <x:f>100</x:f>
        <x:v>100</x:v>
      </x:c>
      <x:c r="D17" s="66" t="n">
        <x:v>1500</x:v>
      </x:c>
      <x:c r="E17" s="66" t="n">
        <x:v>3500</x:v>
      </x:c>
      <x:c r="F17" s="66" t="str">
        <x:v>OWNER_APPROVED_PROJECT_BASIS</x:v>
      </x:c>
      <x:c r="G17" s="66" t="str">
        <x:v>Пшеница, глютен</x:v>
      </x:c>
      <x:c r="H17" s="93" t="str">
        <x:v>VKM-005</x:v>
      </x:c>
      <x:c r="I17" s="66"/>
      <x:c r="J17" s="66"/>
      <x:c r="K17" s="66"/>
      <x:c r="L17" s="66"/>
    </x:row>
    <x:row r="18">
      <x:c r="A18" s="92" t="str">
        <x:v>Вода</x:v>
      </x:c>
      <x:c r="B18" s="66" t="n">
        <x:f>'КАЛЬКУЛЯЦИЯ'!$B$10</x:f>
        <x:v>4000</x:v>
      </x:c>
      <x:c r="C18" s="66" t="n">
        <x:f>B18/B17*100</x:f>
        <x:v>80</x:v>
      </x:c>
      <x:c r="D18" s="66" t="n">
        <x:v>900</x:v>
      </x:c>
      <x:c r="E18" s="66" t="n">
        <x:f>B18-D18</x:f>
        <x:v>3100</x:v>
      </x:c>
      <x:c r="F18" s="66" t="str">
        <x:v>EXPERT_NORMATIVE_PENDING_CHEF_VERIFICATION</x:v>
      </x:c>
      <x:c r="G18" s="66" t="str"/>
      <x:c r="H18" s="93" t="str">
        <x:v>Bassinage только по тесту</x:v>
      </x:c>
      <x:c r="I18" s="66"/>
      <x:c r="J18" s="66"/>
      <x:c r="K18" s="66"/>
      <x:c r="L18" s="66"/>
    </x:row>
    <x:row r="19">
      <x:c r="A19" s="92" t="str">
        <x:v>Соль</x:v>
      </x:c>
      <x:c r="B19" s="66" t="n">
        <x:f>'КАЛЬКУЛЯЦИЯ'!$B$11</x:f>
        <x:v>110</x:v>
      </x:c>
      <x:c r="C19" s="66" t="n">
        <x:f>B19/B17*100</x:f>
        <x:v>2.1999999999999997</x:v>
      </x:c>
      <x:c r="D19" s="66" t="n">
        <x:v>0</x:v>
      </x:c>
      <x:c r="E19" s="66" t="n">
        <x:v>110</x:v>
      </x:c>
      <x:c r="F19" s="66" t="str">
        <x:v>OWNER_APPROVED_PROJECT_BASIS</x:v>
      </x:c>
      <x:c r="G19" s="66" t="str"/>
      <x:c r="H19" s="93" t="str"/>
      <x:c r="I19" s="66"/>
      <x:c r="J19" s="66"/>
      <x:c r="K19" s="66"/>
      <x:c r="L19" s="66"/>
    </x:row>
    <x:row r="20">
      <x:c r="A20" s="92" t="str">
        <x:v>Дрожжи сухие</x:v>
      </x:c>
      <x:c r="B20" s="66" t="n">
        <x:f>'КАЛЬКУЛЯЦИЯ'!$B$12</x:f>
        <x:v>30</x:v>
      </x:c>
      <x:c r="C20" s="66" t="n">
        <x:f>B20/B17*100</x:f>
        <x:v>0.6</x:v>
      </x:c>
      <x:c r="D20" s="66" t="n">
        <x:v>1.5</x:v>
      </x:c>
      <x:c r="E20" s="66" t="n">
        <x:v>28.5</x:v>
      </x:c>
      <x:c r="F20" s="66" t="str">
        <x:v>OWNER_APPROVED_PROJECT_BASIS</x:v>
      </x:c>
      <x:c r="G20" s="66" t="str"/>
      <x:c r="H20" s="93" t="str"/>
      <x:c r="I20" s="66"/>
      <x:c r="J20" s="66"/>
      <x:c r="K20" s="66"/>
      <x:c r="L20" s="66"/>
    </x:row>
    <x:row r="21">
      <x:c r="A21" s="92" t="str">
        <x:v>Томатный порошок</x:v>
      </x:c>
      <x:c r="B21" s="66" t="n">
        <x:f>'КАЛЬКУЛЯЦИЯ'!$D$24</x:f>
        <x:v>150</x:v>
      </x:c>
      <x:c r="C21" s="66" t="n">
        <x:f>B21/B17*100</x:f>
        <x:v>3</x:v>
      </x:c>
      <x:c r="D21" s="66" t="n">
        <x:v>0</x:v>
      </x:c>
      <x:c r="E21" s="66" t="n">
        <x:f>B21</x:f>
        <x:v>150</x:v>
      </x:c>
      <x:c r="F21" s="66" t="str">
        <x:v>EXPERT_ASSUMPTION_PENDING_CHEF_MANAGER_VERIFICATION</x:v>
      </x:c>
      <x:c r="G21" s="66" t="str">
        <x:v>Проверить COA</x:v>
      </x:c>
      <x:c r="H21" s="93" t="str">
        <x:v>V1-03</x:v>
      </x:c>
      <x:c r="I21" s="66"/>
      <x:c r="J21" s="66"/>
      <x:c r="K21" s="66"/>
      <x:c r="L21" s="66"/>
    </x:row>
    <x:row r="22">
      <x:c r="A22" s="92" t="str">
        <x:v>ИТОГО ТЕСТА</x:v>
      </x:c>
      <x:c r="B22" s="66" t="n">
        <x:f>SUM(B17:B21)</x:f>
        <x:v>9290</x:v>
      </x:c>
      <x:c r="C22" s="66" t="n">
        <x:f>SUM(C17:C21)</x:f>
        <x:v>185.79999999999998</x:v>
      </x:c>
      <x:c r="D22" s="66" t="n">
        <x:f>SUM(D17:D21)</x:f>
        <x:v>2401.5</x:v>
      </x:c>
      <x:c r="E22" s="66" t="n">
        <x:f>SUM(E17:E21)</x:f>
        <x:v>6888.5</x:v>
      </x:c>
      <x:c r="F22" s="66" t="str">
        <x:v>CALCULATED</x:v>
      </x:c>
      <x:c r="G22" s="66" t="str"/>
      <x:c r="H22" s="93" t="str"/>
      <x:c r="I22" s="66"/>
      <x:c r="J22" s="66"/>
      <x:c r="K22" s="66"/>
      <x:c r="L22" s="66"/>
    </x:row>
    <x:row r="23">
      <x:c r="A23" s="92"/>
      <x:c r="B23" s="66"/>
      <x:c r="C23" s="66"/>
      <x:c r="D23" s="66"/>
      <x:c r="E23" s="66"/>
      <x:c r="F23" s="66"/>
      <x:c r="G23" s="66"/>
      <x:c r="H23" s="93"/>
      <x:c r="I23" s="66"/>
      <x:c r="J23" s="66"/>
      <x:c r="K23" s="66"/>
      <x:c r="L23" s="66"/>
    </x:row>
    <x:row r="24">
      <x:c r="A24" s="94" t="str">
        <x:v>3. Технологическая последовательность</x:v>
      </x:c>
      <x:c r="B24" s="67"/>
      <x:c r="C24" s="67"/>
      <x:c r="D24" s="67"/>
      <x:c r="E24" s="67"/>
      <x:c r="F24" s="67"/>
      <x:c r="G24" s="67"/>
      <x:c r="H24" s="93"/>
      <x:c r="I24" s="66"/>
      <x:c r="J24" s="66"/>
      <x:c r="K24" s="66"/>
      <x:c r="L24" s="66"/>
    </x:row>
    <x:row r="25">
      <x:c r="A25" s="96" t="str">
        <x:v>№</x:v>
      </x:c>
      <x:c r="B25" s="68" t="str">
        <x:v>Операция</x:v>
      </x:c>
      <x:c r="C25" s="68" t="str">
        <x:v>Описание / отличие VKM-006</x:v>
      </x:c>
      <x:c r="D25" s="68" t="str">
        <x:v>Активное время</x:v>
      </x:c>
      <x:c r="E25" s="68" t="str">
        <x:v>Температура / влажность</x:v>
      </x:c>
      <x:c r="F25" s="68" t="str">
        <x:v>Контроль</x:v>
      </x:c>
      <x:c r="G25" s="68" t="str">
        <x:v>Статус</x:v>
      </x:c>
      <x:c r="H25" s="93"/>
      <x:c r="I25" s="66"/>
      <x:c r="J25" s="66"/>
      <x:c r="K25" s="66"/>
      <x:c r="L25" s="66"/>
    </x:row>
    <x:row r="26">
      <x:c r="A26" s="92" t="n">
        <x:v>1</x:v>
      </x:c>
      <x:c r="B26" s="66" t="str">
        <x:v>Приёмка сырья</x:v>
      </x:c>
      <x:c r="C26" s="66" t="str">
        <x:v>COA порошка или Brix/состав пасты</x:v>
      </x:c>
      <x:c r="D26" s="66" t="str"/>
      <x:c r="E26" s="66" t="str"/>
      <x:c r="F26" s="66" t="str">
        <x:v>Прослеживаемость</x:v>
      </x:c>
      <x:c r="G26" s="66" t="str">
        <x:v>BLOCKED_PENDING_VALIDATION</x:v>
      </x:c>
      <x:c r="H26" s="93"/>
      <x:c r="I26" s="66"/>
      <x:c r="J26" s="66"/>
      <x:c r="K26" s="66"/>
      <x:c r="L26" s="66"/>
    </x:row>
    <x:row r="27">
      <x:c r="A27" s="92" t="n">
        <x:v>2</x:v>
      </x:c>
      <x:c r="B27" s="66" t="str">
        <x:v>Подготовка biga</x:v>
      </x:c>
      <x:c r="C27" s="66" t="str">
        <x:v>Мука 1500 г; вода 900 г; дрожжи 1,5 г</x:v>
      </x:c>
      <x:c r="D27" s="66" t="str">
        <x:v>10 мин</x:v>
      </x:c>
      <x:c r="E27" s="66" t="str">
        <x:v>16–18°C</x:v>
      </x:c>
      <x:c r="F27" s="66" t="str">
        <x:v>Равномерное соединение</x:v>
      </x:c>
      <x:c r="G27" s="66" t="str">
        <x:v>EXPERT_NORMATIVE_PENDING_CHEF_VERIFICATION</x:v>
      </x:c>
      <x:c r="H27" s="93"/>
      <x:c r="I27" s="66"/>
      <x:c r="J27" s="66"/>
      <x:c r="K27" s="66"/>
      <x:c r="L27" s="66"/>
    </x:row>
    <x:row r="28">
      <x:c r="A28" s="92" t="n">
        <x:v>3</x:v>
      </x:c>
      <x:c r="B28" s="66" t="str">
        <x:v>Ферментация biga</x:v>
      </x:c>
      <x:c r="C28" s="66" t="str">
        <x:v>12–16 часов как ориентир</x:v>
      </x:c>
      <x:c r="D28" s="66" t="str"/>
      <x:c r="E28" s="66" t="str">
        <x:v>16–18°C</x:v>
      </x:c>
      <x:c r="F28" s="66" t="str">
        <x:v>Объём, аромат, поверхность</x:v>
      </x:c>
      <x:c r="G28" s="66" t="str">
        <x:v>EXPERT_NORMATIVE_PENDING_CHEF_VERIFICATION</x:v>
      </x:c>
      <x:c r="H28" s="93"/>
      <x:c r="I28" s="66"/>
      <x:c r="J28" s="66"/>
      <x:c r="K28" s="66"/>
      <x:c r="L28" s="66"/>
    </x:row>
    <x:row r="29">
      <x:c r="A29" s="92" t="n">
        <x:v>4</x:v>
      </x:c>
      <x:c r="B29" s="66" t="str">
        <x:v>Подготовка томатного компонента</x:v>
      </x:c>
      <x:c r="C29" s="66" t="str">
        <x:v>V1: просеять/диспергировать; V2: пасту в части воды</x:v>
      </x:c>
      <x:c r="D29" s="66" t="str"/>
      <x:c r="E29" s="66" t="str"/>
      <x:c r="F29" s="66" t="str">
        <x:v>Однородность</x:v>
      </x:c>
      <x:c r="G29" s="66" t="str">
        <x:v>EXPERT_NORMATIVE_PENDING_CHEF_VERIFICATION</x:v>
      </x:c>
      <x:c r="H29" s="93"/>
      <x:c r="I29" s="66"/>
      <x:c r="J29" s="66"/>
      <x:c r="K29" s="66"/>
      <x:c r="L29" s="66"/>
    </x:row>
    <x:row r="30">
      <x:c r="A30" s="92" t="n">
        <x:v>5</x:v>
      </x:c>
      <x:c r="B30" s="66" t="str">
        <x:v>Финальный замес</x:v>
      </x:c>
      <x:c r="C30" s="66" t="str">
        <x:v>V1 bassinage по факту; V2 вода пасты вычтена</x:v>
      </x:c>
      <x:c r="D30" s="66" t="str">
        <x:v>15 мин</x:v>
      </x:c>
      <x:c r="E30" s="66" t="str">
        <x:v>Тесто 23–25°C</x:v>
      </x:c>
      <x:c r="F30" s="66" t="str">
        <x:v>Консистенция, цвет</x:v>
      </x:c>
      <x:c r="G30" s="66" t="str">
        <x:v>EXPERT_NORMATIVE_PENDING_CHEF_VERIFICATION</x:v>
      </x:c>
      <x:c r="H30" s="93"/>
      <x:c r="I30" s="66"/>
      <x:c r="J30" s="66"/>
      <x:c r="K30" s="66"/>
      <x:c r="L30" s="66"/>
    </x:row>
    <x:row r="31">
      <x:c r="A31" s="92" t="n">
        <x:v>6</x:v>
      </x:c>
      <x:c r="B31" s="66" t="str">
        <x:v>Основное брожение</x:v>
      </x:c>
      <x:c r="C31" s="66" t="str">
        <x:v>120–150 минут как ориентир; контроль кислотности</x:v>
      </x:c>
      <x:c r="D31" s="66" t="str"/>
      <x:c r="E31" s="66" t="str">
        <x:v>23–25°C</x:v>
      </x:c>
      <x:c r="F31" s="66" t="str">
        <x:v>Объём, структура, pH</x:v>
      </x:c>
      <x:c r="G31" s="66" t="str">
        <x:v>BLOCKED_PENDING_VALIDATION</x:v>
      </x:c>
      <x:c r="H31" s="93"/>
      <x:c r="I31" s="66"/>
      <x:c r="J31" s="66"/>
      <x:c r="K31" s="66"/>
      <x:c r="L31" s="66"/>
    </x:row>
    <x:row r="32">
      <x:c r="A32" s="92" t="n">
        <x:v>7</x:v>
      </x:c>
      <x:c r="B32" s="66" t="str">
        <x:v>Складывания</x:v>
      </x:c>
      <x:c r="C32" s="66" t="str">
        <x:v>Через 30, 60 и при необходимости 90 минут</x:v>
      </x:c>
      <x:c r="D32" s="66" t="str">
        <x:v>12 мин</x:v>
      </x:c>
      <x:c r="E32" s="66" t="str"/>
      <x:c r="F32" s="66" t="str">
        <x:v>Укрепление структуры</x:v>
      </x:c>
      <x:c r="G32" s="66" t="str">
        <x:v>EXPERT_NORMATIVE_PENDING_CHEF_VERIFICATION</x:v>
      </x:c>
      <x:c r="H32" s="93"/>
      <x:c r="I32" s="66"/>
      <x:c r="J32" s="66"/>
      <x:c r="K32" s="66"/>
      <x:c r="L32" s="66"/>
    </x:row>
    <x:row r="33">
      <x:c r="A33" s="92" t="n">
        <x:v>8</x:v>
      </x:c>
      <x:c r="B33" s="66" t="str">
        <x:v>Деление и формование</x:v>
      </x:c>
      <x:c r="C33" s="66" t="str">
        <x:v>Расчётно 80 заготовок по 116 г</x:v>
      </x:c>
      <x:c r="D33" s="66" t="str">
        <x:v>33 мин</x:v>
      </x:c>
      <x:c r="E33" s="66" t="str"/>
      <x:c r="F33" s="66" t="str">
        <x:v>Масса и пористость</x:v>
      </x:c>
      <x:c r="G33" s="66" t="str">
        <x:v>BLOCKED_PENDING_VALIDATION</x:v>
      </x:c>
      <x:c r="H33" s="93"/>
      <x:c r="I33" s="66"/>
      <x:c r="J33" s="66"/>
      <x:c r="K33" s="66"/>
      <x:c r="L33" s="66"/>
    </x:row>
    <x:row r="34">
      <x:c r="A34" s="92" t="n">
        <x:v>9</x:v>
      </x:c>
      <x:c r="B34" s="66" t="str">
        <x:v>Расстойка</x:v>
      </x:c>
      <x:c r="C34" s="66" t="str">
        <x:v>35–50 минут как ориентир</x:v>
      </x:c>
      <x:c r="D34" s="66" t="str"/>
      <x:c r="E34" s="66" t="str">
        <x:v>26–28°C; RH 65–75%</x:v>
      </x:c>
      <x:c r="F34" s="66" t="str">
        <x:v>Устойчивость</x:v>
      </x:c>
      <x:c r="G34" s="66" t="str">
        <x:v>BLOCKED_PENDING_VALIDATION</x:v>
      </x:c>
      <x:c r="H34" s="93"/>
      <x:c r="I34" s="66"/>
      <x:c r="J34" s="66"/>
      <x:c r="K34" s="66"/>
      <x:c r="L34" s="66"/>
    </x:row>
    <x:row r="35">
      <x:c r="A35" s="92" t="n">
        <x:v>10</x:v>
      </x:c>
      <x:c r="B35" s="66" t="str">
        <x:v>Выпечка</x:v>
      </x:c>
      <x:c r="C35" s="66" t="str">
        <x:v>15–22 минуты как ориентир; контроль окрашивания</x:v>
      </x:c>
      <x:c r="D35" s="66" t="str">
        <x:v>10 мин</x:v>
      </x:c>
      <x:c r="E35" s="66" t="str">
        <x:v>Старт 225–230°C; пар</x:v>
      </x:c>
      <x:c r="F35" s="66" t="str">
        <x:v>Цвет, температура центра</x:v>
      </x:c>
      <x:c r="G35" s="66" t="str">
        <x:v>BLOCKED_PENDING_VALIDATION</x:v>
      </x:c>
      <x:c r="H35" s="93"/>
      <x:c r="I35" s="66"/>
      <x:c r="J35" s="66"/>
      <x:c r="K35" s="66"/>
      <x:c r="L35" s="66"/>
    </x:row>
    <x:row r="36">
      <x:c r="A36" s="92" t="n">
        <x:v>11</x:v>
      </x:c>
      <x:c r="B36" s="66" t="str">
        <x:v>Охлаждение</x:v>
      </x:c>
      <x:c r="C36" s="66" t="str">
        <x:v>До стабилизации массы</x:v>
      </x:c>
      <x:c r="D36" s="66" t="str"/>
      <x:c r="E36" s="66" t="str"/>
      <x:c r="F36" s="66" t="str">
        <x:v>Нет конденсата; 100 г</x:v>
      </x:c>
      <x:c r="G36" s="66" t="str">
        <x:v>EXPERT_NORMATIVE_PENDING_CHEF_VERIFICATION</x:v>
      </x:c>
      <x:c r="H36" s="93"/>
      <x:c r="I36" s="66"/>
      <x:c r="J36" s="66"/>
      <x:c r="K36" s="66"/>
      <x:c r="L36" s="66"/>
    </x:row>
    <x:row r="37">
      <x:c r="A37" s="92" t="n">
        <x:v>12</x:v>
      </x:c>
      <x:c r="B37" s="66" t="str">
        <x:v>Контроль и маркировка</x:v>
      </x:c>
      <x:c r="C37" s="66" t="str">
        <x:v>Партия, масса, органолептика, тесты 2/24/48 ч</x:v>
      </x:c>
      <x:c r="D37" s="66" t="str">
        <x:v>15 мин</x:v>
      </x:c>
      <x:c r="E37" s="66" t="str"/>
      <x:c r="F37" s="66" t="str">
        <x:v>Годность / брак</x:v>
      </x:c>
      <x:c r="G37" s="66" t="str">
        <x:v>SAFETY_BLOCKED_PENDING_VALIDATION</x:v>
      </x:c>
      <x:c r="H37" s="93"/>
      <x:c r="I37" s="66"/>
      <x:c r="J37" s="66"/>
      <x:c r="K37" s="66"/>
      <x:c r="L37" s="66"/>
    </x:row>
    <x:row r="38">
      <x:c r="A38" s="92"/>
      <x:c r="B38" s="66"/>
      <x:c r="C38" s="66"/>
      <x:c r="D38" s="66"/>
      <x:c r="E38" s="66"/>
      <x:c r="F38" s="66"/>
      <x:c r="G38" s="66"/>
      <x:c r="H38" s="93"/>
      <x:c r="I38" s="66"/>
      <x:c r="J38" s="66"/>
      <x:c r="K38" s="66"/>
      <x:c r="L38" s="66"/>
    </x:row>
    <x:row r="39">
      <x:c r="A39" s="94" t="str">
        <x:v>4. Органолептика и безопасность</x:v>
      </x:c>
      <x:c r="B39" s="67"/>
      <x:c r="C39" s="67"/>
      <x:c r="D39" s="67"/>
      <x:c r="E39" s="67"/>
      <x:c r="F39" s="67"/>
      <x:c r="G39" s="67"/>
      <x:c r="H39" s="95"/>
      <x:c r="I39" s="66"/>
      <x:c r="J39" s="66"/>
      <x:c r="K39" s="66"/>
      <x:c r="L39" s="66"/>
    </x:row>
    <x:row r="40">
      <x:c r="A40" s="96" t="str">
        <x:v>Блок</x:v>
      </x:c>
      <x:c r="B40" s="68" t="str">
        <x:v>Требование</x:v>
      </x:c>
      <x:c r="C40" s="68" t="str">
        <x:v>Статус</x:v>
      </x:c>
      <x:c r="D40" s="68" t="str">
        <x:v>Блокер</x:v>
      </x:c>
      <x:c r="E40" s="68" t="str">
        <x:v>Критичность</x:v>
      </x:c>
      <x:c r="F40" s="68" t="str">
        <x:v>Критерий</x:v>
      </x:c>
      <x:c r="G40" s="68" t="str">
        <x:v>Норма</x:v>
      </x:c>
      <x:c r="H40" s="97" t="str">
        <x:v>Статус критерия</x:v>
      </x:c>
      <x:c r="I40" s="66"/>
      <x:c r="J40" s="66"/>
      <x:c r="K40" s="66"/>
      <x:c r="L40" s="66"/>
    </x:row>
    <x:row r="41">
      <x:c r="A41" s="92" t="str">
        <x:v>COA порошка</x:v>
      </x:c>
      <x:c r="B41" s="66" t="str">
        <x:v>Спецификация, состав, партия, хранение</x:v>
      </x:c>
      <x:c r="C41" s="75" t="str">
        <x:v>BLOCKED</x:v>
      </x:c>
      <x:c r="D41" s="66" t="str">
        <x:v>FS-106-01</x:v>
      </x:c>
      <x:c r="E41" s="66" t="str">
        <x:v>S1</x:v>
      </x:c>
      <x:c r="F41" s="66" t="str">
        <x:v>Корка</x:v>
      </x:c>
      <x:c r="G41" s="66" t="str">
        <x:v>Тонкая, хрустящая, золотисто-красноватая</x:v>
      </x:c>
      <x:c r="H41" s="93" t="str">
        <x:v>PROJECT</x:v>
      </x:c>
      <x:c r="I41" s="66"/>
      <x:c r="J41" s="66"/>
      <x:c r="K41" s="66"/>
      <x:c r="L41" s="66"/>
    </x:row>
    <x:row r="42">
      <x:c r="A42" s="92" t="str">
        <x:v>Спецификация пасты</x:v>
      </x:c>
      <x:c r="B42" s="66" t="str">
        <x:v>Brix, соль, сахар, хранение</x:v>
      </x:c>
      <x:c r="C42" s="75" t="str">
        <x:v>BLOCKED</x:v>
      </x:c>
      <x:c r="D42" s="66" t="str">
        <x:v>FS-106-02</x:v>
      </x:c>
      <x:c r="E42" s="66" t="str">
        <x:v>S1</x:v>
      </x:c>
      <x:c r="F42" s="66" t="str">
        <x:v>Мякиш</x:v>
      </x:c>
      <x:c r="G42" s="66" t="str">
        <x:v>Влажный, эластичный, оранжево-красный</x:v>
      </x:c>
      <x:c r="H42" s="93" t="str">
        <x:v>PROJECT</x:v>
      </x:c>
      <x:c r="I42" s="66"/>
      <x:c r="J42" s="66"/>
      <x:c r="K42" s="66"/>
      <x:c r="L42" s="66"/>
    </x:row>
    <x:row r="43">
      <x:c r="A43" s="92" t="str">
        <x:v>Ферментация</x:v>
      </x:c>
      <x:c r="B43" s="66" t="str">
        <x:v>Кислотность, газоудержание и время</x:v>
      </x:c>
      <x:c r="C43" s="75" t="str">
        <x:v>BLOCKED</x:v>
      </x:c>
      <x:c r="D43" s="66" t="str">
        <x:v>FS-106-03</x:v>
      </x:c>
      <x:c r="E43" s="66" t="str">
        <x:v>S1</x:v>
      </x:c>
      <x:c r="F43" s="66" t="str">
        <x:v>Пористость</x:v>
      </x:c>
      <x:c r="G43" s="66" t="str">
        <x:v>Неравномерная, средняя и крупная</x:v>
      </x:c>
      <x:c r="H43" s="93" t="str">
        <x:v>PROJECT</x:v>
      </x:c>
      <x:c r="I43" s="66"/>
      <x:c r="J43" s="66"/>
      <x:c r="K43" s="66"/>
      <x:c r="L43" s="66"/>
    </x:row>
    <x:row r="44">
      <x:c r="A44" s="92" t="str">
        <x:v>Готовность</x:v>
      </x:c>
      <x:c r="B44" s="66" t="str">
        <x:v>Температура центра и контрольная выпечка</x:v>
      </x:c>
      <x:c r="C44" s="75" t="str">
        <x:v>BLOCKED</x:v>
      </x:c>
      <x:c r="D44" s="66" t="str">
        <x:v>FS-106-04</x:v>
      </x:c>
      <x:c r="E44" s="66" t="str">
        <x:v>S1</x:v>
      </x:c>
      <x:c r="F44" s="66" t="str">
        <x:v>Аромат</x:v>
      </x:c>
      <x:c r="G44" s="66" t="str">
        <x:v>Хлебный с томатным оттенком</x:v>
      </x:c>
      <x:c r="H44" s="93" t="str">
        <x:v>PROJECT</x:v>
      </x:c>
      <x:c r="I44" s="66"/>
      <x:c r="J44" s="66"/>
      <x:c r="K44" s="66"/>
      <x:c r="L44" s="66"/>
    </x:row>
    <x:row r="45">
      <x:c r="A45" s="92" t="str">
        <x:v>Срок хранения</x:v>
      </x:c>
      <x:c r="B45" s="66" t="str">
        <x:v>Испытания 2/24/48 ч</x:v>
      </x:c>
      <x:c r="C45" s="75" t="str">
        <x:v>BLOCKED</x:v>
      </x:c>
      <x:c r="D45" s="66" t="str">
        <x:v>FS-106-05</x:v>
      </x:c>
      <x:c r="E45" s="66" t="str">
        <x:v>S1</x:v>
      </x:c>
      <x:c r="F45" s="66" t="str">
        <x:v>Вкус</x:v>
      </x:c>
      <x:c r="G45" s="66" t="str">
        <x:v>Томатный ≥3/5; без горечи и избыточной кислоты</x:v>
      </x:c>
      <x:c r="H45" s="93" t="str">
        <x:v>PROJECT</x:v>
      </x:c>
      <x:c r="I45" s="66"/>
      <x:c r="J45" s="66"/>
      <x:c r="K45" s="66"/>
      <x:c r="L45" s="66"/>
    </x:row>
    <x:row r="46">
      <x:c r="A46" s="92" t="str">
        <x:v>Допуск массы</x:v>
      </x:c>
      <x:c r="B46" s="66" t="str">
        <x:v>Установить допуск для 100 г</x:v>
      </x:c>
      <x:c r="C46" s="75" t="str">
        <x:v>BLOCKED</x:v>
      </x:c>
      <x:c r="D46" s="66" t="str">
        <x:v>FS-106-06</x:v>
      </x:c>
      <x:c r="E46" s="66" t="str">
        <x:v>S1</x:v>
      </x:c>
      <x:c r="F46" s="66" t="str">
        <x:v>Масса</x:v>
      </x:c>
      <x:c r="G46" s="66" t="str">
        <x:v>100 г; допуск утверждает шеф-повар</x:v>
      </x:c>
      <x:c r="H46" s="93" t="str">
        <x:v>BLOCKED</x:v>
      </x:c>
      <x:c r="I46" s="66"/>
      <x:c r="J46" s="66"/>
      <x:c r="K46" s="66"/>
      <x:c r="L46" s="66"/>
    </x:row>
    <x:row r="47">
      <x:c r="A47" s="92" t="str">
        <x:v>Санитарная обработка</x:v>
      </x:c>
      <x:c r="B47" s="66" t="str">
        <x:v>Порошок, паста, тара, маркировка</x:v>
      </x:c>
      <x:c r="C47" s="75" t="str">
        <x:v>BLOCKED</x:v>
      </x:c>
      <x:c r="D47" s="66" t="str">
        <x:v>FS-106-07</x:v>
      </x:c>
      <x:c r="E47" s="66" t="str">
        <x:v>S1</x:v>
      </x:c>
      <x:c r="F47" s="66" t="str">
        <x:v>Cross-contact</x:v>
      </x:c>
      <x:c r="G47" s="66" t="str">
        <x:v>Пшеница/глютен + спецификация компонента</x:v>
      </x:c>
      <x:c r="H47" s="93" t="str">
        <x:v>BLOCKED</x:v>
      </x:c>
      <x:c r="I47" s="66"/>
      <x:c r="J47" s="66"/>
      <x:c r="K47" s="66"/>
      <x:c r="L47" s="66"/>
    </x:row>
    <x:row r="48">
      <x:c r="A48" s="98" t="str">
        <x:v>Воспроизводимость</x:v>
      </x:c>
      <x:c r="B48" s="99" t="str">
        <x:v>Минимум три серии</x:v>
      </x:c>
      <x:c r="C48" s="100" t="str">
        <x:v>BLOCKED</x:v>
      </x:c>
      <x:c r="D48" s="99" t="str">
        <x:v>FS-106-08</x:v>
      </x:c>
      <x:c r="E48" s="99" t="str">
        <x:v>S1</x:v>
      </x:c>
      <x:c r="F48" s="99" t="str">
        <x:v>Общая приемлемость</x:v>
      </x:c>
      <x:c r="G48" s="99" t="str">
        <x:v>Не ниже 4/5</x:v>
      </x:c>
      <x:c r="H48" s="101" t="str">
        <x:v>PROJECT</x:v>
      </x:c>
      <x:c r="I48" s="66"/>
      <x:c r="J48" s="66"/>
      <x:c r="K48" s="66"/>
      <x:c r="L48" s="66"/>
    </x:row>
    <x:row r="49">
      <x:c r="A49" s="66"/>
      <x:c r="B49" s="66"/>
      <x:c r="C49" s="66"/>
      <x:c r="D49" s="66"/>
      <x:c r="E49" s="66"/>
      <x:c r="F49" s="66"/>
      <x:c r="G49" s="66"/>
      <x:c r="H49" s="66"/>
      <x:c r="I49" s="66"/>
      <x:c r="J49" s="66"/>
      <x:c r="K49" s="66"/>
      <x:c r="L49" s="66"/>
    </x:row>
    <x:row r="50">
      <x:c r="A50" s="66"/>
      <x:c r="B50" s="66"/>
      <x:c r="C50" s="66"/>
      <x:c r="D50" s="66"/>
      <x:c r="E50" s="66"/>
      <x:c r="F50" s="66"/>
      <x:c r="G50" s="66"/>
      <x:c r="H50" s="66"/>
      <x:c r="I50" s="66"/>
      <x:c r="J50" s="66"/>
      <x:c r="K50" s="66"/>
      <x:c r="L50" s="66"/>
    </x:row>
    <x:row r="51">
      <x:c r="A51" s="66"/>
      <x:c r="B51" s="66"/>
      <x:c r="C51" s="66"/>
      <x:c r="D51" s="66"/>
      <x:c r="E51" s="66"/>
      <x:c r="F51" s="66"/>
      <x:c r="G51" s="66"/>
      <x:c r="H51" s="66"/>
      <x:c r="I51" s="66"/>
      <x:c r="J51" s="66"/>
      <x:c r="K51" s="66"/>
      <x:c r="L51" s="66"/>
    </x:row>
    <x:row r="52">
      <x:c r="A52" s="66"/>
      <x:c r="B52" s="66"/>
      <x:c r="C52" s="66"/>
      <x:c r="D52" s="66"/>
      <x:c r="E52" s="66"/>
      <x:c r="F52" s="66"/>
      <x:c r="G52" s="66"/>
      <x:c r="H52" s="66"/>
      <x:c r="I52" s="66"/>
      <x:c r="J52" s="66"/>
      <x:c r="K52" s="66"/>
      <x:c r="L52" s="66"/>
    </x:row>
    <x:row r="53">
      <x:c r="A53" s="66"/>
      <x:c r="B53" s="66"/>
      <x:c r="C53" s="66"/>
      <x:c r="D53" s="66"/>
      <x:c r="E53" s="66"/>
      <x:c r="F53" s="66"/>
      <x:c r="G53" s="66"/>
      <x:c r="H53" s="66"/>
      <x:c r="I53" s="66"/>
      <x:c r="J53" s="66"/>
      <x:c r="K53" s="66"/>
      <x:c r="L53" s="66"/>
    </x:row>
    <x:row r="54">
      <x:c r="A54" s="66"/>
      <x:c r="B54" s="66"/>
      <x:c r="C54" s="66"/>
      <x:c r="D54" s="66"/>
      <x:c r="E54" s="66"/>
      <x:c r="F54" s="66"/>
      <x:c r="G54" s="66"/>
      <x:c r="H54" s="66"/>
      <x:c r="I54" s="66"/>
      <x:c r="J54" s="66"/>
      <x:c r="K54" s="66"/>
      <x:c r="L54" s="66"/>
    </x:row>
    <x:row r="55">
      <x:c r="A55" s="66"/>
      <x:c r="B55" s="66"/>
      <x:c r="C55" s="66"/>
      <x:c r="D55" s="66"/>
      <x:c r="E55" s="66"/>
      <x:c r="F55" s="66"/>
      <x:c r="G55" s="66"/>
      <x:c r="H55" s="66"/>
      <x:c r="I55" s="66"/>
      <x:c r="J55" s="66"/>
      <x:c r="K55" s="66"/>
      <x:c r="L55" s="66"/>
    </x:row>
    <x:row r="56">
      <x:c r="A56" s="66"/>
      <x:c r="B56" s="66"/>
      <x:c r="C56" s="66"/>
      <x:c r="D56" s="66"/>
      <x:c r="E56" s="66"/>
      <x:c r="F56" s="66"/>
      <x:c r="G56" s="66"/>
      <x:c r="H56" s="66"/>
      <x:c r="I56" s="66"/>
      <x:c r="J56" s="66"/>
      <x:c r="K56" s="66"/>
      <x:c r="L56" s="66"/>
    </x:row>
    <x:row r="57">
      <x:c r="A57" s="66"/>
      <x:c r="B57" s="66"/>
      <x:c r="C57" s="66"/>
      <x:c r="D57" s="66"/>
      <x:c r="E57" s="66"/>
      <x:c r="F57" s="66"/>
      <x:c r="G57" s="66"/>
      <x:c r="H57" s="66"/>
      <x:c r="I57" s="66"/>
      <x:c r="J57" s="66"/>
      <x:c r="K57" s="66"/>
      <x:c r="L57" s="66"/>
    </x:row>
    <x:row r="58">
      <x:c r="A58" s="66"/>
      <x:c r="B58" s="66"/>
      <x:c r="C58" s="66"/>
      <x:c r="D58" s="66"/>
      <x:c r="E58" s="66"/>
      <x:c r="F58" s="66"/>
      <x:c r="G58" s="66"/>
      <x:c r="H58" s="66"/>
      <x:c r="I58" s="66"/>
      <x:c r="J58" s="66"/>
      <x:c r="K58" s="66"/>
      <x:c r="L58" s="66"/>
    </x:row>
    <x:row r="59">
      <x:c r="A59" s="66"/>
      <x:c r="B59" s="66"/>
      <x:c r="C59" s="66"/>
      <x:c r="D59" s="66"/>
      <x:c r="E59" s="66"/>
      <x:c r="F59" s="66"/>
      <x:c r="G59" s="66"/>
      <x:c r="H59" s="66"/>
      <x:c r="I59" s="66"/>
      <x:c r="J59" s="66"/>
      <x:c r="K59" s="66"/>
      <x:c r="L59" s="66"/>
    </x:row>
    <x:row r="60">
      <x:c r="A60" s="66"/>
      <x:c r="B60" s="66"/>
      <x:c r="C60" s="66"/>
      <x:c r="D60" s="66"/>
      <x:c r="E60" s="66"/>
      <x:c r="F60" s="66"/>
      <x:c r="G60" s="66"/>
      <x:c r="H60" s="66"/>
      <x:c r="I60" s="66"/>
      <x:c r="J60" s="66"/>
      <x:c r="K60" s="66"/>
      <x:c r="L60" s="66"/>
    </x:row>
    <x:row r="61">
      <x:c r="A61" s="66"/>
      <x:c r="B61" s="66"/>
      <x:c r="C61" s="66"/>
      <x:c r="D61" s="66"/>
      <x:c r="E61" s="66"/>
      <x:c r="F61" s="66"/>
      <x:c r="G61" s="66"/>
      <x:c r="H61" s="66"/>
      <x:c r="I61" s="66"/>
      <x:c r="J61" s="66"/>
      <x:c r="K61" s="66"/>
      <x:c r="L61" s="66"/>
    </x:row>
    <x:row r="62">
      <x:c r="A62" s="66"/>
      <x:c r="B62" s="66"/>
      <x:c r="C62" s="66"/>
      <x:c r="D62" s="66"/>
      <x:c r="E62" s="66"/>
      <x:c r="F62" s="66"/>
      <x:c r="G62" s="66"/>
      <x:c r="H62" s="66"/>
      <x:c r="I62" s="66"/>
      <x:c r="J62" s="66"/>
      <x:c r="K62" s="66"/>
      <x:c r="L62" s="66"/>
    </x:row>
    <x:row r="63">
      <x:c r="A63" s="66"/>
      <x:c r="B63" s="66"/>
      <x:c r="C63" s="66"/>
      <x:c r="D63" s="66"/>
      <x:c r="E63" s="66"/>
      <x:c r="F63" s="66"/>
      <x:c r="G63" s="66"/>
      <x:c r="H63" s="66"/>
      <x:c r="I63" s="66"/>
      <x:c r="J63" s="66"/>
      <x:c r="K63" s="66"/>
      <x:c r="L63" s="66"/>
    </x:row>
    <x:row r="64">
      <x:c r="A64" s="66"/>
      <x:c r="B64" s="66"/>
      <x:c r="C64" s="66"/>
      <x:c r="D64" s="66"/>
      <x:c r="E64" s="66"/>
      <x:c r="F64" s="66"/>
      <x:c r="G64" s="66"/>
      <x:c r="H64" s="66"/>
      <x:c r="I64" s="66"/>
      <x:c r="J64" s="66"/>
      <x:c r="K64" s="66"/>
      <x:c r="L64" s="66"/>
    </x:row>
    <x:row r="65">
      <x:c r="A65" s="66"/>
      <x:c r="B65" s="66"/>
      <x:c r="C65" s="66"/>
      <x:c r="D65" s="66"/>
      <x:c r="E65" s="66"/>
      <x:c r="F65" s="66"/>
      <x:c r="G65" s="66"/>
      <x:c r="H65" s="66"/>
      <x:c r="I65" s="66"/>
      <x:c r="J65" s="66"/>
      <x:c r="K65" s="66"/>
      <x:c r="L65" s="66"/>
    </x:row>
    <x:row r="66">
      <x:c r="A66" s="66"/>
      <x:c r="B66" s="66"/>
      <x:c r="C66" s="66"/>
      <x:c r="D66" s="66"/>
      <x:c r="E66" s="66"/>
      <x:c r="F66" s="66"/>
      <x:c r="G66" s="66"/>
      <x:c r="H66" s="66"/>
      <x:c r="I66" s="66"/>
      <x:c r="J66" s="66"/>
      <x:c r="K66" s="66"/>
      <x:c r="L66" s="66"/>
    </x:row>
    <x:row r="67">
      <x:c r="A67" s="66"/>
      <x:c r="B67" s="66"/>
      <x:c r="C67" s="66"/>
      <x:c r="D67" s="66"/>
      <x:c r="E67" s="66"/>
      <x:c r="F67" s="66"/>
      <x:c r="G67" s="66"/>
      <x:c r="H67" s="66"/>
      <x:c r="I67" s="66"/>
      <x:c r="J67" s="66"/>
      <x:c r="K67" s="66"/>
      <x:c r="L67" s="66"/>
    </x:row>
    <x:row r="68">
      <x:c r="A68" s="66"/>
      <x:c r="B68" s="66"/>
      <x:c r="C68" s="66"/>
      <x:c r="D68" s="66"/>
      <x:c r="E68" s="66"/>
      <x:c r="F68" s="66"/>
      <x:c r="G68" s="66"/>
      <x:c r="H68" s="66"/>
      <x:c r="I68" s="66"/>
      <x:c r="J68" s="66"/>
      <x:c r="K68" s="66"/>
      <x:c r="L68" s="66"/>
    </x:row>
    <x:row r="69">
      <x:c r="A69" s="66"/>
      <x:c r="B69" s="66"/>
      <x:c r="C69" s="66"/>
      <x:c r="D69" s="66"/>
      <x:c r="E69" s="66"/>
      <x:c r="F69" s="66"/>
      <x:c r="G69" s="66"/>
      <x:c r="H69" s="66"/>
      <x:c r="I69" s="66"/>
      <x:c r="J69" s="66"/>
      <x:c r="K69" s="66"/>
      <x:c r="L69" s="66"/>
    </x:row>
    <x:row r="70">
      <x:c r="A70" s="66"/>
      <x:c r="B70" s="66"/>
      <x:c r="C70" s="66"/>
      <x:c r="D70" s="66"/>
      <x:c r="E70" s="66"/>
      <x:c r="F70" s="66"/>
      <x:c r="G70" s="66"/>
      <x:c r="H70" s="66"/>
      <x:c r="I70" s="66"/>
      <x:c r="J70" s="66"/>
      <x:c r="K70" s="66"/>
      <x:c r="L70" s="66"/>
    </x:row>
    <x:row r="71">
      <x:c r="A71" s="66"/>
      <x:c r="B71" s="66"/>
      <x:c r="C71" s="66"/>
      <x:c r="D71" s="66"/>
      <x:c r="E71" s="66"/>
      <x:c r="F71" s="66"/>
      <x:c r="G71" s="66"/>
      <x:c r="H71" s="66"/>
      <x:c r="I71" s="66"/>
      <x:c r="J71" s="66"/>
      <x:c r="K71" s="66"/>
      <x:c r="L71" s="66"/>
    </x:row>
    <x:row r="72">
      <x:c r="A72" s="66"/>
      <x:c r="B72" s="66"/>
      <x:c r="C72" s="66"/>
      <x:c r="D72" s="66"/>
      <x:c r="E72" s="66"/>
      <x:c r="F72" s="66"/>
      <x:c r="G72" s="66"/>
      <x:c r="H72" s="66"/>
      <x:c r="I72" s="66"/>
      <x:c r="J72" s="66"/>
      <x:c r="K72" s="66"/>
      <x:c r="L72" s="66"/>
    </x:row>
    <x:row r="73">
      <x:c r="A73" s="66"/>
      <x:c r="B73" s="66"/>
      <x:c r="C73" s="66"/>
      <x:c r="D73" s="66"/>
      <x:c r="E73" s="66"/>
      <x:c r="F73" s="66"/>
      <x:c r="G73" s="66"/>
      <x:c r="H73" s="66"/>
      <x:c r="I73" s="66"/>
      <x:c r="J73" s="66"/>
      <x:c r="K73" s="66"/>
      <x:c r="L73" s="66"/>
    </x:row>
    <x:row r="74">
      <x:c r="A74" s="66"/>
      <x:c r="B74" s="66"/>
      <x:c r="C74" s="66"/>
      <x:c r="D74" s="66"/>
      <x:c r="E74" s="66"/>
      <x:c r="F74" s="66"/>
      <x:c r="G74" s="66"/>
      <x:c r="H74" s="66"/>
      <x:c r="I74" s="66"/>
      <x:c r="J74" s="66"/>
      <x:c r="K74" s="66"/>
      <x:c r="L74" s="66"/>
    </x:row>
    <x:row r="75">
      <x:c r="A75" s="66"/>
      <x:c r="B75" s="66"/>
      <x:c r="C75" s="66"/>
      <x:c r="D75" s="66"/>
      <x:c r="E75" s="66"/>
      <x:c r="F75" s="66"/>
      <x:c r="G75" s="66"/>
      <x:c r="H75" s="66"/>
      <x:c r="I75" s="66"/>
      <x:c r="J75" s="66"/>
      <x:c r="K75" s="66"/>
      <x:c r="L75" s="66"/>
    </x:row>
    <x:row r="76">
      <x:c r="A76" s="66"/>
      <x:c r="B76" s="66"/>
      <x:c r="C76" s="66"/>
      <x:c r="D76" s="66"/>
      <x:c r="E76" s="66"/>
      <x:c r="F76" s="66"/>
      <x:c r="G76" s="66"/>
      <x:c r="H76" s="66"/>
      <x:c r="I76" s="66"/>
      <x:c r="J76" s="66"/>
      <x:c r="K76" s="66"/>
      <x:c r="L76" s="66"/>
    </x:row>
    <x:row r="77">
      <x:c r="A77" s="66"/>
      <x:c r="B77" s="66"/>
      <x:c r="C77" s="66"/>
      <x:c r="D77" s="66"/>
      <x:c r="E77" s="66"/>
      <x:c r="F77" s="66"/>
      <x:c r="G77" s="66"/>
      <x:c r="H77" s="66"/>
      <x:c r="I77" s="66"/>
      <x:c r="J77" s="66"/>
      <x:c r="K77" s="66"/>
      <x:c r="L77" s="66"/>
    </x:row>
    <x:row r="78">
      <x:c r="A78" s="66"/>
      <x:c r="B78" s="66"/>
      <x:c r="C78" s="66"/>
      <x:c r="D78" s="66"/>
      <x:c r="E78" s="66"/>
      <x:c r="F78" s="66"/>
      <x:c r="G78" s="66"/>
      <x:c r="H78" s="66"/>
      <x:c r="I78" s="66"/>
      <x:c r="J78" s="66"/>
      <x:c r="K78" s="66"/>
      <x:c r="L78" s="66"/>
    </x:row>
    <x:row r="79">
      <x:c r="A79" s="66"/>
      <x:c r="B79" s="66"/>
      <x:c r="C79" s="66"/>
      <x:c r="D79" s="66"/>
      <x:c r="E79" s="66"/>
      <x:c r="F79" s="66"/>
      <x:c r="G79" s="66"/>
      <x:c r="H79" s="66"/>
      <x:c r="I79" s="66"/>
      <x:c r="J79" s="66"/>
      <x:c r="K79" s="66"/>
      <x:c r="L79" s="66"/>
    </x:row>
    <x:row r="80">
      <x:c r="A80" s="66"/>
      <x:c r="B80" s="66"/>
      <x:c r="C80" s="66"/>
      <x:c r="D80" s="66"/>
      <x:c r="E80" s="66"/>
      <x:c r="F80" s="66"/>
      <x:c r="G80" s="66"/>
      <x:c r="H80" s="66"/>
      <x:c r="I80" s="66"/>
      <x:c r="J80" s="66"/>
      <x:c r="K80" s="66"/>
      <x:c r="L80" s="66"/>
    </x:row>
    <x:row r="81">
      <x:c r="A81" s="66"/>
      <x:c r="B81" s="66"/>
      <x:c r="C81" s="66"/>
      <x:c r="D81" s="66"/>
      <x:c r="E81" s="66"/>
      <x:c r="F81" s="66"/>
      <x:c r="G81" s="66"/>
      <x:c r="H81" s="66"/>
      <x:c r="I81" s="66"/>
      <x:c r="J81" s="66"/>
      <x:c r="K81" s="66"/>
      <x:c r="L81" s="66"/>
    </x:row>
    <x:row r="82">
      <x:c r="A82" s="66"/>
      <x:c r="B82" s="66"/>
      <x:c r="C82" s="66"/>
      <x:c r="D82" s="66"/>
      <x:c r="E82" s="66"/>
      <x:c r="F82" s="66"/>
      <x:c r="G82" s="66"/>
      <x:c r="H82" s="66"/>
      <x:c r="I82" s="66"/>
      <x:c r="J82" s="66"/>
      <x:c r="K82" s="66"/>
      <x:c r="L82" s="66"/>
    </x:row>
    <x:row r="83">
      <x:c r="A83" s="66"/>
      <x:c r="B83" s="66"/>
      <x:c r="C83" s="66"/>
      <x:c r="D83" s="66"/>
      <x:c r="E83" s="66"/>
      <x:c r="F83" s="66"/>
      <x:c r="G83" s="66"/>
      <x:c r="H83" s="66"/>
      <x:c r="I83" s="66"/>
      <x:c r="J83" s="66"/>
      <x:c r="K83" s="66"/>
      <x:c r="L83" s="66"/>
    </x:row>
    <x:row r="84">
      <x:c r="A84" s="66"/>
      <x:c r="B84" s="66"/>
      <x:c r="C84" s="66"/>
      <x:c r="D84" s="66"/>
      <x:c r="E84" s="66"/>
      <x:c r="F84" s="66"/>
      <x:c r="G84" s="66"/>
      <x:c r="H84" s="66"/>
      <x:c r="I84" s="66"/>
      <x:c r="J84" s="66"/>
      <x:c r="K84" s="66"/>
      <x:c r="L84" s="66"/>
    </x:row>
    <x:row r="85">
      <x:c r="A85" s="66"/>
      <x:c r="B85" s="66"/>
      <x:c r="C85" s="66"/>
      <x:c r="D85" s="66"/>
      <x:c r="E85" s="66"/>
      <x:c r="F85" s="66"/>
      <x:c r="G85" s="66"/>
      <x:c r="H85" s="66"/>
      <x:c r="I85" s="66"/>
      <x:c r="J85" s="66"/>
      <x:c r="K85" s="66"/>
      <x:c r="L85" s="66"/>
    </x:row>
    <x:row r="86">
      <x:c r="A86" s="66"/>
      <x:c r="B86" s="66"/>
      <x:c r="C86" s="66"/>
      <x:c r="D86" s="66"/>
      <x:c r="E86" s="66"/>
      <x:c r="F86" s="66"/>
      <x:c r="G86" s="66"/>
      <x:c r="H86" s="66"/>
      <x:c r="I86" s="66"/>
      <x:c r="J86" s="66"/>
      <x:c r="K86" s="66"/>
      <x:c r="L86" s="66"/>
    </x:row>
    <x:row r="87">
      <x:c r="A87" s="66"/>
      <x:c r="B87" s="66"/>
      <x:c r="C87" s="66"/>
      <x:c r="D87" s="66"/>
      <x:c r="E87" s="66"/>
      <x:c r="F87" s="66"/>
      <x:c r="G87" s="66"/>
      <x:c r="H87" s="66"/>
      <x:c r="I87" s="66"/>
      <x:c r="J87" s="66"/>
      <x:c r="K87" s="66"/>
      <x:c r="L87" s="66"/>
    </x:row>
    <x:row r="88">
      <x:c r="A88" s="66"/>
      <x:c r="B88" s="66"/>
      <x:c r="C88" s="66"/>
      <x:c r="D88" s="66"/>
      <x:c r="E88" s="66"/>
      <x:c r="F88" s="66"/>
      <x:c r="G88" s="66"/>
      <x:c r="H88" s="66"/>
      <x:c r="I88" s="66"/>
      <x:c r="J88" s="66"/>
      <x:c r="K88" s="66"/>
      <x:c r="L88" s="66"/>
    </x:row>
    <x:row r="89">
      <x:c r="A89" s="66"/>
      <x:c r="B89" s="66"/>
      <x:c r="C89" s="66"/>
      <x:c r="D89" s="66"/>
      <x:c r="E89" s="66"/>
      <x:c r="F89" s="66"/>
      <x:c r="G89" s="66"/>
      <x:c r="H89" s="66"/>
      <x:c r="I89" s="66"/>
      <x:c r="J89" s="66"/>
      <x:c r="K89" s="66"/>
      <x:c r="L89" s="66"/>
    </x:row>
    <x:row r="90">
      <x:c r="A90" s="66"/>
      <x:c r="B90" s="66"/>
      <x:c r="C90" s="66"/>
      <x:c r="D90" s="66"/>
      <x:c r="E90" s="66"/>
      <x:c r="F90" s="66"/>
      <x:c r="G90" s="66"/>
      <x:c r="H90" s="66"/>
      <x:c r="I90" s="66"/>
      <x:c r="J90" s="66"/>
      <x:c r="K90" s="66"/>
      <x:c r="L90" s="66"/>
    </x:row>
    <x:row r="91">
      <x:c r="A91" s="66"/>
      <x:c r="B91" s="66"/>
      <x:c r="C91" s="66"/>
      <x:c r="D91" s="66"/>
      <x:c r="E91" s="66"/>
      <x:c r="F91" s="66"/>
      <x:c r="G91" s="66"/>
      <x:c r="H91" s="66"/>
      <x:c r="I91" s="66"/>
      <x:c r="J91" s="66"/>
      <x:c r="K91" s="66"/>
      <x:c r="L91" s="66"/>
    </x:row>
    <x:row r="92">
      <x:c r="A92" s="66"/>
      <x:c r="B92" s="66"/>
      <x:c r="C92" s="66"/>
      <x:c r="D92" s="66"/>
      <x:c r="E92" s="66"/>
      <x:c r="F92" s="66"/>
      <x:c r="G92" s="66"/>
      <x:c r="H92" s="66"/>
      <x:c r="I92" s="66"/>
      <x:c r="J92" s="66"/>
      <x:c r="K92" s="66"/>
      <x:c r="L92" s="66"/>
    </x:row>
    <x:row r="93">
      <x:c r="A93" s="66"/>
      <x:c r="B93" s="66"/>
      <x:c r="C93" s="66"/>
      <x:c r="D93" s="66"/>
      <x:c r="E93" s="66"/>
      <x:c r="F93" s="66"/>
      <x:c r="G93" s="66"/>
      <x:c r="H93" s="66"/>
      <x:c r="I93" s="66"/>
      <x:c r="J93" s="66"/>
      <x:c r="K93" s="66"/>
      <x:c r="L93" s="66"/>
    </x:row>
    <x:row r="94">
      <x:c r="A94" s="66"/>
      <x:c r="B94" s="66"/>
      <x:c r="C94" s="66"/>
      <x:c r="D94" s="66"/>
      <x:c r="E94" s="66"/>
      <x:c r="F94" s="66"/>
      <x:c r="G94" s="66"/>
      <x:c r="H94" s="66"/>
      <x:c r="I94" s="66"/>
      <x:c r="J94" s="66"/>
      <x:c r="K94" s="66"/>
      <x:c r="L94" s="66"/>
    </x:row>
    <x:row r="95">
      <x:c r="A95" s="66"/>
      <x:c r="B95" s="66"/>
      <x:c r="C95" s="66"/>
      <x:c r="D95" s="66"/>
      <x:c r="E95" s="66"/>
      <x:c r="F95" s="66"/>
      <x:c r="G95" s="66"/>
      <x:c r="H95" s="66"/>
      <x:c r="I95" s="66"/>
      <x:c r="J95" s="66"/>
      <x:c r="K95" s="66"/>
      <x:c r="L95" s="66"/>
    </x:row>
    <x:row r="96">
      <x:c r="A96" s="66"/>
      <x:c r="B96" s="66"/>
      <x:c r="C96" s="66"/>
      <x:c r="D96" s="66"/>
      <x:c r="E96" s="66"/>
      <x:c r="F96" s="66"/>
      <x:c r="G96" s="66"/>
      <x:c r="H96" s="66"/>
      <x:c r="I96" s="66"/>
      <x:c r="J96" s="66"/>
      <x:c r="K96" s="66"/>
      <x:c r="L96" s="66"/>
    </x:row>
    <x:row r="97">
      <x:c r="A97" s="66"/>
      <x:c r="B97" s="66"/>
      <x:c r="C97" s="66"/>
      <x:c r="D97" s="66"/>
      <x:c r="E97" s="66"/>
      <x:c r="F97" s="66"/>
      <x:c r="G97" s="66"/>
      <x:c r="H97" s="66"/>
      <x:c r="I97" s="66"/>
      <x:c r="J97" s="66"/>
      <x:c r="K97" s="66"/>
      <x:c r="L97" s="66"/>
    </x:row>
    <x:row r="98">
      <x:c r="A98" s="66"/>
      <x:c r="B98" s="66"/>
      <x:c r="C98" s="66"/>
      <x:c r="D98" s="66"/>
      <x:c r="E98" s="66"/>
      <x:c r="F98" s="66"/>
      <x:c r="G98" s="66"/>
      <x:c r="H98" s="66"/>
      <x:c r="I98" s="66"/>
      <x:c r="J98" s="66"/>
      <x:c r="K98" s="66"/>
      <x:c r="L98" s="66"/>
    </x:row>
    <x:row r="99">
      <x:c r="A99" s="66"/>
      <x:c r="B99" s="66"/>
      <x:c r="C99" s="66"/>
      <x:c r="D99" s="66"/>
      <x:c r="E99" s="66"/>
      <x:c r="F99" s="66"/>
      <x:c r="G99" s="66"/>
      <x:c r="H99" s="66"/>
      <x:c r="I99" s="66"/>
      <x:c r="J99" s="66"/>
      <x:c r="K99" s="66"/>
      <x:c r="L99" s="66"/>
    </x:row>
    <x:row r="100">
      <x:c r="A100" s="66"/>
      <x:c r="B100" s="66"/>
      <x:c r="C100" s="66"/>
      <x:c r="D100" s="66"/>
      <x:c r="E100" s="66"/>
      <x:c r="F100" s="66"/>
      <x:c r="G100" s="66"/>
      <x:c r="H100" s="66"/>
      <x:c r="I100" s="66"/>
      <x:c r="J100" s="66"/>
      <x:c r="K100" s="66"/>
      <x:c r="L100" s="66"/>
    </x:row>
  </x:sheetData>
  <x:mergeCells>
    <x:mergeCell ref="A1:J1"/>
    <x:mergeCell ref="A2:J2"/>
    <x:mergeCell ref="A4:E4"/>
    <x:mergeCell ref="A15:H15"/>
    <x:mergeCell ref="A24:G24"/>
    <x:mergeCell ref="A39:H3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18" hidden="0" customWidth="1"/>
    <x:col min="4" max="4" width="40" hidden="0" customWidth="1"/>
    <x:col min="5" max="5" width="30" hidden="0" customWidth="1"/>
    <x:col min="6" max="6" width="24" hidden="0" customWidth="1"/>
    <x:col min="7" max="7" width="20" hidden="0" customWidth="1"/>
    <x:col min="8" max="8" width="28" hidden="0" customWidth="1"/>
    <x:col min="9" max="9" width="14" hidden="0" customWidth="1"/>
    <x:col min="10" max="10" width="18" hidden="0" customWidth="1"/>
    <x:col min="11" max="11" width="18" hidden="0" customWidth="1"/>
  </x:cols>
  <x:sheetData>
    <x:row r="1">
      <x:c r="A1" s="64" t="str">
        <x:v>VKM-006 «Томатная чиабатта» — анкета шеф-повару и управляющему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6"/>
    </x:row>
    <x:row r="2">
      <x:c r="A2" s="65" t="str">
        <x:v>Поля ответа и факта выделены жёлтым. Пакет не является производственным утверждением.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6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</x:row>
    <x:row r="4">
      <x:c r="A4" s="88" t="str">
        <x:v>№</x:v>
      </x:c>
      <x:c r="B4" s="89" t="str">
        <x:v>Кому</x:v>
      </x:c>
      <x:c r="C4" s="89" t="str">
        <x:v>Блок</x:v>
      </x:c>
      <x:c r="D4" s="89" t="str">
        <x:v>Вопрос</x:v>
      </x:c>
      <x:c r="E4" s="89" t="str">
        <x:v>Предлагаемое значение</x:v>
      </x:c>
      <x:c r="F4" s="89" t="str">
        <x:v>Ответ / факт</x:v>
      </x:c>
      <x:c r="G4" s="89" t="str">
        <x:v>Решение</x:v>
      </x:c>
      <x:c r="H4" s="89" t="str">
        <x:v>Комментарий</x:v>
      </x:c>
      <x:c r="I4" s="89" t="str">
        <x:v>Дата</x:v>
      </x:c>
      <x:c r="J4" s="89" t="str">
        <x:v>ФИО</x:v>
      </x:c>
      <x:c r="K4" s="116" t="str">
        <x:v>Подпись</x:v>
      </x:c>
      <x:c r="L4" s="66"/>
    </x:row>
    <x:row r="5">
      <x:c r="A5" s="92" t="n">
        <x:v>1</x:v>
      </x:c>
      <x:c r="B5" s="66" t="str">
        <x:v>Шеф-повар</x:v>
      </x:c>
      <x:c r="C5" s="66" t="str">
        <x:v>Концепция</x:v>
      </x:c>
      <x:c r="D5" s="66" t="str">
        <x:v>Подтвердить V1-03 как основной тест?</x:v>
      </x:c>
      <x:c r="E5" s="66" t="str">
        <x:v>3% порошка</x:v>
      </x:c>
      <x:c r="F5" s="69" t="str"/>
      <x:c r="G5" s="69" t="str"/>
      <x:c r="H5" s="69" t="str"/>
      <x:c r="I5" s="69" t="str"/>
      <x:c r="J5" s="69" t="str"/>
      <x:c r="K5" s="117" t="str"/>
      <x:c r="L5" s="66"/>
    </x:row>
    <x:row r="6">
      <x:c r="A6" s="92" t="n">
        <x:v>2</x:v>
      </x:c>
      <x:c r="B6" s="66" t="str">
        <x:v>Шеф-повар</x:v>
      </x:c>
      <x:c r="C6" s="66" t="str">
        <x:v>Сравнение</x:v>
      </x:c>
      <x:c r="D6" s="66" t="str">
        <x:v>Подтвердить V2-03?</x:v>
      </x:c>
      <x:c r="E6" s="66" t="str">
        <x:v>Паста 28–30 Brix, эквивалент 3% сухих веществ</x:v>
      </x:c>
      <x:c r="F6" s="69" t="str"/>
      <x:c r="G6" s="69" t="str"/>
      <x:c r="H6" s="69" t="str"/>
      <x:c r="I6" s="69" t="str"/>
      <x:c r="J6" s="69" t="str"/>
      <x:c r="K6" s="117" t="str"/>
      <x:c r="L6" s="66"/>
    </x:row>
    <x:row r="7">
      <x:c r="A7" s="92" t="n">
        <x:v>3</x:v>
      </x:c>
      <x:c r="B7" s="66" t="str">
        <x:v>Шеф-повар</x:v>
      </x:c>
      <x:c r="C7" s="66" t="str">
        <x:v>Вода</x:v>
      </x:c>
      <x:c r="D7" s="66" t="str">
        <x:v>Какой bassinage нужен V1-03?</x:v>
      </x:c>
      <x:c r="E7" s="66" t="str">
        <x:v>UNKNOWN_NOT_ZERO</x:v>
      </x:c>
      <x:c r="F7" s="69" t="str"/>
      <x:c r="G7" s="69" t="str"/>
      <x:c r="H7" s="69" t="str"/>
      <x:c r="I7" s="69" t="str"/>
      <x:c r="J7" s="69" t="str"/>
      <x:c r="K7" s="117" t="str"/>
      <x:c r="L7" s="66"/>
    </x:row>
    <x:row r="8">
      <x:c r="A8" s="92" t="n">
        <x:v>4</x:v>
      </x:c>
      <x:c r="B8" s="66" t="str">
        <x:v>Шеф-повар</x:v>
      </x:c>
      <x:c r="C8" s="66" t="str">
        <x:v>Ферментация</x:v>
      </x:c>
      <x:c r="D8" s="66" t="str">
        <x:v>Подтвердить время и критерий окончания?</x:v>
      </x:c>
      <x:c r="E8" s="66" t="str">
        <x:v>Определить прогоном</x:v>
      </x:c>
      <x:c r="F8" s="69" t="str"/>
      <x:c r="G8" s="69" t="str"/>
      <x:c r="H8" s="69" t="str"/>
      <x:c r="I8" s="69" t="str"/>
      <x:c r="J8" s="69" t="str"/>
      <x:c r="K8" s="117" t="str"/>
      <x:c r="L8" s="66"/>
    </x:row>
    <x:row r="9">
      <x:c r="A9" s="92" t="n">
        <x:v>5</x:v>
      </x:c>
      <x:c r="B9" s="66" t="str">
        <x:v>Шеф-повар</x:v>
      </x:c>
      <x:c r="C9" s="66" t="str">
        <x:v>Расстойка</x:v>
      </x:c>
      <x:c r="D9" s="66" t="str">
        <x:v>Подтвердить время и условия?</x:v>
      </x:c>
      <x:c r="E9" s="66" t="str">
        <x:v>VKM-005 как ориентир</x:v>
      </x:c>
      <x:c r="F9" s="69" t="str"/>
      <x:c r="G9" s="69" t="str"/>
      <x:c r="H9" s="69" t="str"/>
      <x:c r="I9" s="69" t="str"/>
      <x:c r="J9" s="69" t="str"/>
      <x:c r="K9" s="117" t="str"/>
      <x:c r="L9" s="66"/>
    </x:row>
    <x:row r="10">
      <x:c r="A10" s="92" t="n">
        <x:v>6</x:v>
      </x:c>
      <x:c r="B10" s="66" t="str">
        <x:v>Шеф-повар</x:v>
      </x:c>
      <x:c r="C10" s="66" t="str">
        <x:v>Выпечка</x:v>
      </x:c>
      <x:c r="D10" s="66" t="str">
        <x:v>Подтвердить режим и критерий готовности?</x:v>
      </x:c>
      <x:c r="E10" s="66" t="str">
        <x:v>Контроль окрашивания</x:v>
      </x:c>
      <x:c r="F10" s="69" t="str"/>
      <x:c r="G10" s="69" t="str"/>
      <x:c r="H10" s="69" t="str"/>
      <x:c r="I10" s="69" t="str"/>
      <x:c r="J10" s="69" t="str"/>
      <x:c r="K10" s="117" t="str"/>
      <x:c r="L10" s="66"/>
    </x:row>
    <x:row r="11">
      <x:c r="A11" s="92" t="n">
        <x:v>7</x:v>
      </x:c>
      <x:c r="B11" s="66" t="str">
        <x:v>Шеф-повар</x:v>
      </x:c>
      <x:c r="C11" s="66" t="str">
        <x:v>Выход</x:v>
      </x:c>
      <x:c r="D11" s="66" t="str">
        <x:v>Подтвердить 116 г / 100 г и допуск?</x:v>
      </x:c>
      <x:c r="E11" s="66" t="str">
        <x:v>Расчётно 80 изделий</x:v>
      </x:c>
      <x:c r="F11" s="69" t="str"/>
      <x:c r="G11" s="69" t="str"/>
      <x:c r="H11" s="69" t="str"/>
      <x:c r="I11" s="69" t="str"/>
      <x:c r="J11" s="69" t="str"/>
      <x:c r="K11" s="117" t="str"/>
      <x:c r="L11" s="66"/>
    </x:row>
    <x:row r="12">
      <x:c r="A12" s="92" t="n">
        <x:v>8</x:v>
      </x:c>
      <x:c r="B12" s="66" t="str">
        <x:v>Шеф-повар</x:v>
      </x:c>
      <x:c r="C12" s="66" t="str">
        <x:v>Органолептика</x:v>
      </x:c>
      <x:c r="D12" s="66" t="str">
        <x:v>Подтвердить вкус ≥3/5 и приемлемость ≥4/5?</x:v>
      </x:c>
      <x:c r="E12" s="66" t="str">
        <x:v>После T1/T2</x:v>
      </x:c>
      <x:c r="F12" s="69" t="str"/>
      <x:c r="G12" s="69" t="str"/>
      <x:c r="H12" s="69" t="str"/>
      <x:c r="I12" s="69" t="str"/>
      <x:c r="J12" s="69" t="str"/>
      <x:c r="K12" s="117" t="str"/>
      <x:c r="L12" s="66"/>
    </x:row>
    <x:row r="13">
      <x:c r="A13" s="92" t="n">
        <x:v>9</x:v>
      </x:c>
      <x:c r="B13" s="66" t="str">
        <x:v>Шеф-повар</x:v>
      </x:c>
      <x:c r="C13" s="66" t="str">
        <x:v>Хранение</x:v>
      </x:c>
      <x:c r="D13" s="66" t="str">
        <x:v>Установить срок после 2/24/48 ч?</x:v>
      </x:c>
      <x:c r="E13" s="66" t="str">
        <x:v>До теста не утверждать</x:v>
      </x:c>
      <x:c r="F13" s="69" t="str"/>
      <x:c r="G13" s="69" t="str"/>
      <x:c r="H13" s="69" t="str"/>
      <x:c r="I13" s="69" t="str"/>
      <x:c r="J13" s="69" t="str"/>
      <x:c r="K13" s="117" t="str"/>
      <x:c r="L13" s="66"/>
    </x:row>
    <x:row r="14">
      <x:c r="A14" s="92" t="n">
        <x:v>10</x:v>
      </x:c>
      <x:c r="B14" s="66" t="str">
        <x:v>Шеф-повар</x:v>
      </x:c>
      <x:c r="C14" s="66" t="str">
        <x:v>Воспроизводимость</x:v>
      </x:c>
      <x:c r="D14" s="66" t="str">
        <x:v>Минимум три прогона?</x:v>
      </x:c>
      <x:c r="E14" s="66" t="str">
        <x:v>Да</x:v>
      </x:c>
      <x:c r="F14" s="69" t="str"/>
      <x:c r="G14" s="69" t="str"/>
      <x:c r="H14" s="69" t="str"/>
      <x:c r="I14" s="69" t="str"/>
      <x:c r="J14" s="69" t="str"/>
      <x:c r="K14" s="117" t="str"/>
      <x:c r="L14" s="66"/>
    </x:row>
    <x:row r="15">
      <x:c r="A15" s="92" t="n">
        <x:v>11</x:v>
      </x:c>
      <x:c r="B15" s="66" t="str">
        <x:v>Управляющий</x:v>
      </x:c>
      <x:c r="C15" s="66" t="str">
        <x:v>Порошок</x:v>
      </x:c>
      <x:c r="D15" s="66" t="str">
        <x:v>Предоставить COA, цену, MOQ и доставку</x:v>
      </x:c>
      <x:c r="E15" s="66" t="str">
        <x:v>FS-106-01</x:v>
      </x:c>
      <x:c r="F15" s="69" t="str"/>
      <x:c r="G15" s="69" t="str"/>
      <x:c r="H15" s="69" t="str"/>
      <x:c r="I15" s="69" t="str"/>
      <x:c r="J15" s="69" t="str"/>
      <x:c r="K15" s="117" t="str"/>
      <x:c r="L15" s="66"/>
    </x:row>
    <x:row r="16">
      <x:c r="A16" s="92" t="n">
        <x:v>12</x:v>
      </x:c>
      <x:c r="B16" s="66" t="str">
        <x:v>Управляющий</x:v>
      </x:c>
      <x:c r="C16" s="66" t="str">
        <x:v>Паста</x:v>
      </x:c>
      <x:c r="D16" s="66" t="str">
        <x:v>Предоставить Brix, состав и хранение</x:v>
      </x:c>
      <x:c r="E16" s="66" t="str">
        <x:v>FS-106-02</x:v>
      </x:c>
      <x:c r="F16" s="69" t="str"/>
      <x:c r="G16" s="69" t="str"/>
      <x:c r="H16" s="69" t="str"/>
      <x:c r="I16" s="69" t="str"/>
      <x:c r="J16" s="69" t="str"/>
      <x:c r="K16" s="117" t="str"/>
      <x:c r="L16" s="66"/>
    </x:row>
    <x:row r="17">
      <x:c r="A17" s="92" t="n">
        <x:v>13</x:v>
      </x:c>
      <x:c r="B17" s="66" t="str">
        <x:v>Управляющий</x:v>
      </x:c>
      <x:c r="C17" s="66" t="str">
        <x:v>Цена</x:v>
      </x:c>
      <x:c r="D17" s="66" t="str">
        <x:v>Подтвердить 120 ₽?</x:v>
      </x:c>
      <x:c r="E17" s="66" t="str">
        <x:v>Экономика каналов раздельная</x:v>
      </x:c>
      <x:c r="F17" s="69" t="str"/>
      <x:c r="G17" s="69" t="str"/>
      <x:c r="H17" s="69" t="str"/>
      <x:c r="I17" s="69" t="str"/>
      <x:c r="J17" s="69" t="str"/>
      <x:c r="K17" s="117" t="str"/>
      <x:c r="L17" s="66"/>
    </x:row>
    <x:row r="18">
      <x:c r="A18" s="92" t="n">
        <x:v>14</x:v>
      </x:c>
      <x:c r="B18" s="66" t="str">
        <x:v>Управляющий</x:v>
      </x:c>
      <x:c r="C18" s="66" t="str">
        <x:v>Остатки</x:v>
      </x:c>
      <x:c r="D18" s="66" t="str">
        <x:v>Оценить списания пасты</x:v>
      </x:c>
      <x:c r="E18" s="66" t="str">
        <x:v>UNKNOWN_NOT_ZERO</x:v>
      </x:c>
      <x:c r="F18" s="69" t="str"/>
      <x:c r="G18" s="69" t="str"/>
      <x:c r="H18" s="69" t="str"/>
      <x:c r="I18" s="69" t="str"/>
      <x:c r="J18" s="69" t="str"/>
      <x:c r="K18" s="117" t="str"/>
      <x:c r="L18" s="66"/>
    </x:row>
    <x:row r="19">
      <x:c r="A19" s="92" t="n">
        <x:v>15</x:v>
      </x:c>
      <x:c r="B19" s="66" t="str">
        <x:v>Управляющий</x:v>
      </x:c>
      <x:c r="C19" s="66" t="str">
        <x:v>Труд</x:v>
      </x:c>
      <x:c r="D19" s="66" t="str">
        <x:v>Оценить доп. время и мойку</x:v>
      </x:c>
      <x:c r="E19" s="66" t="str">
        <x:v>UNKNOWN_NOT_ZERO</x:v>
      </x:c>
      <x:c r="F19" s="69" t="str"/>
      <x:c r="G19" s="69" t="str"/>
      <x:c r="H19" s="69" t="str"/>
      <x:c r="I19" s="69" t="str"/>
      <x:c r="J19" s="69" t="str"/>
      <x:c r="K19" s="117" t="str"/>
      <x:c r="L19" s="66"/>
    </x:row>
    <x:row r="20">
      <x:c r="A20" s="92" t="n">
        <x:v>16</x:v>
      </x:c>
      <x:c r="B20" s="66" t="str">
        <x:v>Управляющий</x:v>
      </x:c>
      <x:c r="C20" s="66" t="str">
        <x:v>Модель</x:v>
      </x:c>
      <x:c r="D20" s="66" t="str">
        <x:v>Подтвердить MAKE/HYBRID/BUY?</x:v>
      </x:c>
      <x:c r="E20" s="66" t="str">
        <x:v>По VKM-005</x:v>
      </x:c>
      <x:c r="F20" s="69" t="str"/>
      <x:c r="G20" s="69" t="str"/>
      <x:c r="H20" s="69" t="str"/>
      <x:c r="I20" s="69" t="str"/>
      <x:c r="J20" s="69" t="str"/>
      <x:c r="K20" s="117" t="str"/>
      <x:c r="L20" s="66"/>
    </x:row>
    <x:row r="21">
      <x:c r="A21" s="92" t="n">
        <x:v>17</x:v>
      </x:c>
      <x:c r="B21" s="66" t="str">
        <x:v>Управляющий</x:v>
      </x:c>
      <x:c r="C21" s="66" t="str">
        <x:v>Каналы</x:v>
      </x:c>
      <x:c r="D21" s="66" t="str">
        <x:v>Подтвердить 4 канала?</x:v>
      </x:c>
      <x:c r="E21" s="66" t="str">
        <x:v>Да; экономика раздельная</x:v>
      </x:c>
      <x:c r="F21" s="69" t="str"/>
      <x:c r="G21" s="69" t="str"/>
      <x:c r="H21" s="69" t="str"/>
      <x:c r="I21" s="69" t="str"/>
      <x:c r="J21" s="69" t="str"/>
      <x:c r="K21" s="117" t="str"/>
      <x:c r="L21" s="66"/>
    </x:row>
    <x:row r="22">
      <x:c r="A22" s="92" t="n">
        <x:v>18</x:v>
      </x:c>
      <x:c r="B22" s="66" t="str">
        <x:v>Совместно</x:v>
      </x:c>
      <x:c r="C22" s="66" t="str">
        <x:v>Safety</x:v>
      </x:c>
      <x:c r="D22" s="66" t="str">
        <x:v>Подтвердить отсутствие production approval</x:v>
      </x:c>
      <x:c r="E22" s="66" t="str">
        <x:v>SAFETY_BLOCKED_PENDING_VALIDATION</x:v>
      </x:c>
      <x:c r="F22" s="69" t="str"/>
      <x:c r="G22" s="69" t="str"/>
      <x:c r="H22" s="69" t="str"/>
      <x:c r="I22" s="69" t="str"/>
      <x:c r="J22" s="69" t="str"/>
      <x:c r="K22" s="117" t="str"/>
      <x:c r="L22" s="66"/>
    </x:row>
    <x:row r="23">
      <x:c r="A23" s="92"/>
      <x:c r="B23" s="66"/>
      <x:c r="C23" s="66"/>
      <x:c r="D23" s="66"/>
      <x:c r="E23" s="66"/>
      <x:c r="F23" s="66"/>
      <x:c r="G23" s="66"/>
      <x:c r="H23" s="66"/>
      <x:c r="I23" s="66"/>
      <x:c r="J23" s="66"/>
      <x:c r="K23" s="93"/>
      <x:c r="L23" s="66"/>
    </x:row>
    <x:row r="24">
      <x:c r="A24" s="94" t="str">
        <x:v>ФОРМА КОНТРОЛЬНЫХ ПРОГОНОВ</x:v>
      </x:c>
      <x:c r="B24" s="67"/>
      <x:c r="C24" s="67"/>
      <x:c r="D24" s="67"/>
      <x:c r="E24" s="67"/>
      <x:c r="F24" s="67"/>
      <x:c r="G24" s="67"/>
      <x:c r="H24" s="67"/>
      <x:c r="I24" s="67"/>
      <x:c r="J24" s="67"/>
      <x:c r="K24" s="95"/>
      <x:c r="L24" s="66"/>
    </x:row>
    <x:row r="25">
      <x:c r="A25" s="96" t="str">
        <x:v>Прогон</x:v>
      </x:c>
      <x:c r="B25" s="68" t="str">
        <x:v>Вариант</x:v>
      </x:c>
      <x:c r="C25" s="68" t="str">
        <x:v>Дата</x:v>
      </x:c>
      <x:c r="D25" s="68" t="str">
        <x:v>Партия сырья</x:v>
      </x:c>
      <x:c r="E25" s="68" t="str">
        <x:v>Вода факт, г</x:v>
      </x:c>
      <x:c r="F25" s="68" t="str">
        <x:v>Ферментация</x:v>
      </x:c>
      <x:c r="G25" s="68" t="str">
        <x:v>Выпечка</x:v>
      </x:c>
      <x:c r="H25" s="68" t="str">
        <x:v>Выход, шт</x:v>
      </x:c>
      <x:c r="I25" s="68" t="str">
        <x:v>Средняя масса, г</x:v>
      </x:c>
      <x:c r="J25" s="68" t="str">
        <x:v>Органолептика</x:v>
      </x:c>
      <x:c r="K25" s="97" t="str">
        <x:v>Решение</x:v>
      </x:c>
      <x:c r="L25" s="66"/>
    </x:row>
    <x:row r="26">
      <x:c r="A26" s="92" t="str">
        <x:v>T1</x:v>
      </x:c>
      <x:c r="B26" s="66" t="str">
        <x:v>V1-03</x:v>
      </x:c>
      <x:c r="C26" s="69" t="str"/>
      <x:c r="D26" s="69" t="str"/>
      <x:c r="E26" s="69" t="str"/>
      <x:c r="F26" s="69" t="str"/>
      <x:c r="G26" s="69" t="str"/>
      <x:c r="H26" s="69" t="str"/>
      <x:c r="I26" s="69" t="str"/>
      <x:c r="J26" s="69" t="str"/>
      <x:c r="K26" s="117" t="str"/>
      <x:c r="L26" s="66"/>
    </x:row>
    <x:row r="27">
      <x:c r="A27" s="92" t="str">
        <x:v>T2</x:v>
      </x:c>
      <x:c r="B27" s="66" t="str">
        <x:v>V2-03</x:v>
      </x:c>
      <x:c r="C27" s="69" t="str"/>
      <x:c r="D27" s="69" t="str"/>
      <x:c r="E27" s="69" t="str"/>
      <x:c r="F27" s="69" t="str"/>
      <x:c r="G27" s="69" t="str"/>
      <x:c r="H27" s="69" t="str"/>
      <x:c r="I27" s="69" t="str"/>
      <x:c r="J27" s="69" t="str"/>
      <x:c r="K27" s="117" t="str"/>
      <x:c r="L27" s="66"/>
    </x:row>
    <x:row r="28">
      <x:c r="A28" s="92" t="str">
        <x:v>T3</x:v>
      </x:c>
      <x:c r="B28" s="66" t="str">
        <x:v>Выбранный вариант</x:v>
      </x:c>
      <x:c r="C28" s="69" t="str"/>
      <x:c r="D28" s="69" t="str"/>
      <x:c r="E28" s="69" t="str"/>
      <x:c r="F28" s="69" t="str"/>
      <x:c r="G28" s="69" t="str"/>
      <x:c r="H28" s="69" t="str"/>
      <x:c r="I28" s="69" t="str"/>
      <x:c r="J28" s="69" t="str"/>
      <x:c r="K28" s="117" t="str"/>
      <x:c r="L28" s="66"/>
    </x:row>
    <x:row r="29">
      <x:c r="A29" s="92" t="str">
        <x:v>T4</x:v>
      </x:c>
      <x:c r="B29" s="66" t="str">
        <x:v>Выбранный вариант</x:v>
      </x:c>
      <x:c r="C29" s="69" t="str"/>
      <x:c r="D29" s="69" t="str"/>
      <x:c r="E29" s="69" t="str"/>
      <x:c r="F29" s="69" t="str"/>
      <x:c r="G29" s="69" t="str"/>
      <x:c r="H29" s="69" t="str"/>
      <x:c r="I29" s="69" t="str"/>
      <x:c r="J29" s="69" t="str"/>
      <x:c r="K29" s="117" t="str"/>
      <x:c r="L29" s="66"/>
    </x:row>
    <x:row r="30">
      <x:c r="A30" s="92" t="str">
        <x:v>T5</x:v>
      </x:c>
      <x:c r="B30" s="66" t="str">
        <x:v>Выбранный вариант</x:v>
      </x:c>
      <x:c r="C30" s="69" t="str"/>
      <x:c r="D30" s="69" t="str"/>
      <x:c r="E30" s="69" t="str"/>
      <x:c r="F30" s="69" t="str"/>
      <x:c r="G30" s="69" t="str"/>
      <x:c r="H30" s="69" t="str"/>
      <x:c r="I30" s="69" t="str"/>
      <x:c r="J30" s="69" t="str"/>
      <x:c r="K30" s="117" t="str"/>
      <x:c r="L30" s="66"/>
    </x:row>
    <x:row r="31">
      <x:c r="A31" s="92"/>
      <x:c r="B31" s="66"/>
      <x:c r="C31" s="66"/>
      <x:c r="D31" s="66"/>
      <x:c r="E31" s="66"/>
      <x:c r="F31" s="66"/>
      <x:c r="G31" s="66"/>
      <x:c r="H31" s="66"/>
      <x:c r="I31" s="66"/>
      <x:c r="J31" s="66"/>
      <x:c r="K31" s="93"/>
      <x:c r="L31" s="66"/>
    </x:row>
    <x:row r="32">
      <x:c r="A32" s="94" t="str">
        <x:v>ИТОГОВОЕ РЕШЕНИЕ</x:v>
      </x:c>
      <x:c r="B32" s="67"/>
      <x:c r="C32" s="67"/>
      <x:c r="D32" s="67"/>
      <x:c r="E32" s="67"/>
      <x:c r="F32" s="67"/>
      <x:c r="G32" s="67"/>
      <x:c r="H32" s="67"/>
      <x:c r="I32" s="67"/>
      <x:c r="J32" s="67"/>
      <x:c r="K32" s="95"/>
      <x:c r="L32" s="66"/>
    </x:row>
    <x:row r="33">
      <x:c r="A33" s="96" t="str">
        <x:v>Итог</x:v>
      </x:c>
      <x:c r="B33" s="69" t="str"/>
      <x:c r="C33" s="66"/>
      <x:c r="D33" s="66"/>
      <x:c r="E33" s="66"/>
      <x:c r="F33" s="66"/>
      <x:c r="G33" s="66"/>
      <x:c r="H33" s="66"/>
      <x:c r="I33" s="66"/>
      <x:c r="J33" s="66"/>
      <x:c r="K33" s="93"/>
      <x:c r="L33" s="66"/>
    </x:row>
    <x:row r="34">
      <x:c r="A34" s="96" t="str">
        <x:v>Условия</x:v>
      </x:c>
      <x:c r="B34" s="69" t="str"/>
      <x:c r="C34" s="66"/>
      <x:c r="D34" s="66"/>
      <x:c r="E34" s="66"/>
      <x:c r="F34" s="66"/>
      <x:c r="G34" s="66"/>
      <x:c r="H34" s="66"/>
      <x:c r="I34" s="66"/>
      <x:c r="J34" s="66"/>
      <x:c r="K34" s="93"/>
      <x:c r="L34" s="66"/>
    </x:row>
    <x:row r="35">
      <x:c r="A35" s="96" t="str">
        <x:v>Дата</x:v>
      </x:c>
      <x:c r="B35" s="69" t="str"/>
      <x:c r="C35" s="66"/>
      <x:c r="D35" s="66"/>
      <x:c r="E35" s="66"/>
      <x:c r="F35" s="66"/>
      <x:c r="G35" s="66"/>
      <x:c r="H35" s="66"/>
      <x:c r="I35" s="66"/>
      <x:c r="J35" s="66"/>
      <x:c r="K35" s="93"/>
      <x:c r="L35" s="66"/>
    </x:row>
    <x:row r="36">
      <x:c r="A36" s="118" t="str">
        <x:v>Ответственные</x:v>
      </x:c>
      <x:c r="B36" s="119" t="str"/>
      <x:c r="C36" s="99"/>
      <x:c r="D36" s="99"/>
      <x:c r="E36" s="99"/>
      <x:c r="F36" s="99"/>
      <x:c r="G36" s="99"/>
      <x:c r="H36" s="99"/>
      <x:c r="I36" s="99"/>
      <x:c r="J36" s="99"/>
      <x:c r="K36" s="101"/>
      <x:c r="L36" s="66"/>
    </x:row>
    <x:row r="37">
      <x:c r="A37" s="66"/>
      <x:c r="B37" s="66"/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</x:row>
    <x:row r="38">
      <x:c r="A38" s="66"/>
      <x:c r="B38" s="66"/>
      <x:c r="C38" s="66"/>
      <x:c r="D38" s="66"/>
      <x:c r="E38" s="66"/>
      <x:c r="F38" s="66"/>
      <x:c r="G38" s="66"/>
      <x:c r="H38" s="66"/>
      <x:c r="I38" s="66"/>
      <x:c r="J38" s="66"/>
      <x:c r="K38" s="66"/>
      <x:c r="L38" s="66"/>
    </x:row>
    <x:row r="39">
      <x:c r="A39" s="66"/>
      <x:c r="B39" s="66"/>
      <x:c r="C39" s="66"/>
      <x:c r="D39" s="66"/>
      <x:c r="E39" s="66"/>
      <x:c r="F39" s="66"/>
      <x:c r="G39" s="66"/>
      <x:c r="H39" s="66"/>
      <x:c r="I39" s="66"/>
      <x:c r="J39" s="66"/>
      <x:c r="K39" s="66"/>
      <x:c r="L39" s="66"/>
    </x:row>
    <x:row r="40">
      <x:c r="A40" s="66"/>
      <x:c r="B40" s="66"/>
      <x:c r="C40" s="66"/>
      <x:c r="D40" s="66"/>
      <x:c r="E40" s="66"/>
      <x:c r="F40" s="66"/>
      <x:c r="G40" s="66"/>
      <x:c r="H40" s="66"/>
      <x:c r="I40" s="66"/>
      <x:c r="J40" s="66"/>
      <x:c r="K40" s="66"/>
      <x:c r="L40" s="66"/>
    </x:row>
    <x:row r="41">
      <x:c r="A41" s="66"/>
      <x:c r="B41" s="66"/>
      <x:c r="C41" s="66"/>
      <x:c r="D41" s="66"/>
      <x:c r="E41" s="66"/>
      <x:c r="F41" s="66"/>
      <x:c r="G41" s="66"/>
      <x:c r="H41" s="66"/>
      <x:c r="I41" s="66"/>
      <x:c r="J41" s="66"/>
      <x:c r="K41" s="66"/>
      <x:c r="L41" s="66"/>
    </x:row>
    <x:row r="42">
      <x:c r="A42" s="66"/>
      <x:c r="B42" s="66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</x:row>
    <x:row r="43">
      <x:c r="A43" s="66"/>
      <x:c r="B43" s="66"/>
      <x:c r="C43" s="66"/>
      <x:c r="D43" s="66"/>
      <x:c r="E43" s="66"/>
      <x:c r="F43" s="66"/>
      <x:c r="G43" s="66"/>
      <x:c r="H43" s="66"/>
      <x:c r="I43" s="66"/>
      <x:c r="J43" s="66"/>
      <x:c r="K43" s="66"/>
      <x:c r="L43" s="66"/>
    </x:row>
    <x:row r="44">
      <x:c r="A44" s="66"/>
      <x:c r="B44" s="66"/>
      <x:c r="C44" s="66"/>
      <x:c r="D44" s="66"/>
      <x:c r="E44" s="66"/>
      <x:c r="F44" s="66"/>
      <x:c r="G44" s="66"/>
      <x:c r="H44" s="66"/>
      <x:c r="I44" s="66"/>
      <x:c r="J44" s="66"/>
      <x:c r="K44" s="66"/>
      <x:c r="L44" s="66"/>
    </x:row>
    <x:row r="45">
      <x:c r="A45" s="66"/>
      <x:c r="B45" s="66"/>
      <x:c r="C45" s="66"/>
      <x:c r="D45" s="66"/>
      <x:c r="E45" s="66"/>
      <x:c r="F45" s="66"/>
      <x:c r="G45" s="66"/>
      <x:c r="H45" s="66"/>
      <x:c r="I45" s="66"/>
      <x:c r="J45" s="66"/>
      <x:c r="K45" s="66"/>
      <x:c r="L45" s="66"/>
    </x:row>
    <x:row r="46">
      <x:c r="A46" s="66"/>
      <x:c r="B46" s="66"/>
      <x:c r="C46" s="66"/>
      <x:c r="D46" s="66"/>
      <x:c r="E46" s="66"/>
      <x:c r="F46" s="66"/>
      <x:c r="G46" s="66"/>
      <x:c r="H46" s="66"/>
      <x:c r="I46" s="66"/>
      <x:c r="J46" s="66"/>
      <x:c r="K46" s="66"/>
      <x:c r="L46" s="66"/>
    </x:row>
    <x:row r="47">
      <x:c r="A47" s="66"/>
      <x:c r="B47" s="66"/>
      <x:c r="C47" s="66"/>
      <x:c r="D47" s="66"/>
      <x:c r="E47" s="66"/>
      <x:c r="F47" s="66"/>
      <x:c r="G47" s="66"/>
      <x:c r="H47" s="66"/>
      <x:c r="I47" s="66"/>
      <x:c r="J47" s="66"/>
      <x:c r="K47" s="66"/>
      <x:c r="L47" s="66"/>
    </x:row>
    <x:row r="48">
      <x:c r="A48" s="66"/>
      <x:c r="B48" s="66"/>
      <x:c r="C48" s="66"/>
      <x:c r="D48" s="66"/>
      <x:c r="E48" s="66"/>
      <x:c r="F48" s="66"/>
      <x:c r="G48" s="66"/>
      <x:c r="H48" s="66"/>
      <x:c r="I48" s="66"/>
      <x:c r="J48" s="66"/>
      <x:c r="K48" s="66"/>
      <x:c r="L48" s="66"/>
    </x:row>
    <x:row r="49">
      <x:c r="A49" s="66"/>
      <x:c r="B49" s="66"/>
      <x:c r="C49" s="66"/>
      <x:c r="D49" s="66"/>
      <x:c r="E49" s="66"/>
      <x:c r="F49" s="66"/>
      <x:c r="G49" s="66"/>
      <x:c r="H49" s="66"/>
      <x:c r="I49" s="66"/>
      <x:c r="J49" s="66"/>
      <x:c r="K49" s="66"/>
      <x:c r="L49" s="66"/>
    </x:row>
    <x:row r="50">
      <x:c r="A50" s="66"/>
      <x:c r="B50" s="66"/>
      <x:c r="C50" s="66"/>
      <x:c r="D50" s="66"/>
      <x:c r="E50" s="66"/>
      <x:c r="F50" s="66"/>
      <x:c r="G50" s="66"/>
      <x:c r="H50" s="66"/>
      <x:c r="I50" s="66"/>
      <x:c r="J50" s="66"/>
      <x:c r="K50" s="66"/>
      <x:c r="L50" s="66"/>
    </x:row>
    <x:row r="51">
      <x:c r="A51" s="66"/>
      <x:c r="B51" s="66"/>
      <x:c r="C51" s="66"/>
      <x:c r="D51" s="66"/>
      <x:c r="E51" s="66"/>
      <x:c r="F51" s="66"/>
      <x:c r="G51" s="66"/>
      <x:c r="H51" s="66"/>
      <x:c r="I51" s="66"/>
      <x:c r="J51" s="66"/>
      <x:c r="K51" s="66"/>
      <x:c r="L51" s="66"/>
    </x:row>
    <x:row r="52">
      <x:c r="A52" s="66"/>
      <x:c r="B52" s="66"/>
      <x:c r="C52" s="66"/>
      <x:c r="D52" s="66"/>
      <x:c r="E52" s="66"/>
      <x:c r="F52" s="66"/>
      <x:c r="G52" s="66"/>
      <x:c r="H52" s="66"/>
      <x:c r="I52" s="66"/>
      <x:c r="J52" s="66"/>
      <x:c r="K52" s="66"/>
      <x:c r="L52" s="66"/>
    </x:row>
    <x:row r="53">
      <x:c r="A53" s="66"/>
      <x:c r="B53" s="66"/>
      <x:c r="C53" s="66"/>
      <x:c r="D53" s="66"/>
      <x:c r="E53" s="66"/>
      <x:c r="F53" s="66"/>
      <x:c r="G53" s="66"/>
      <x:c r="H53" s="66"/>
      <x:c r="I53" s="66"/>
      <x:c r="J53" s="66"/>
      <x:c r="K53" s="66"/>
      <x:c r="L53" s="66"/>
    </x:row>
    <x:row r="54">
      <x:c r="A54" s="66"/>
      <x:c r="B54" s="66"/>
      <x:c r="C54" s="66"/>
      <x:c r="D54" s="66"/>
      <x:c r="E54" s="66"/>
      <x:c r="F54" s="66"/>
      <x:c r="G54" s="66"/>
      <x:c r="H54" s="66"/>
      <x:c r="I54" s="66"/>
      <x:c r="J54" s="66"/>
      <x:c r="K54" s="66"/>
      <x:c r="L54" s="66"/>
    </x:row>
    <x:row r="55">
      <x:c r="A55" s="66"/>
      <x:c r="B55" s="66"/>
      <x:c r="C55" s="66"/>
      <x:c r="D55" s="66"/>
      <x:c r="E55" s="66"/>
      <x:c r="F55" s="66"/>
      <x:c r="G55" s="66"/>
      <x:c r="H55" s="66"/>
      <x:c r="I55" s="66"/>
      <x:c r="J55" s="66"/>
      <x:c r="K55" s="66"/>
      <x:c r="L55" s="66"/>
    </x:row>
    <x:row r="56">
      <x:c r="A56" s="66"/>
      <x:c r="B56" s="66"/>
      <x:c r="C56" s="66"/>
      <x:c r="D56" s="66"/>
      <x:c r="E56" s="66"/>
      <x:c r="F56" s="66"/>
      <x:c r="G56" s="66"/>
      <x:c r="H56" s="66"/>
      <x:c r="I56" s="66"/>
      <x:c r="J56" s="66"/>
      <x:c r="K56" s="66"/>
      <x:c r="L56" s="66"/>
    </x:row>
    <x:row r="57">
      <x:c r="A57" s="66"/>
      <x:c r="B57" s="66"/>
      <x:c r="C57" s="66"/>
      <x:c r="D57" s="66"/>
      <x:c r="E57" s="66"/>
      <x:c r="F57" s="66"/>
      <x:c r="G57" s="66"/>
      <x:c r="H57" s="66"/>
      <x:c r="I57" s="66"/>
      <x:c r="J57" s="66"/>
      <x:c r="K57" s="66"/>
      <x:c r="L57" s="66"/>
    </x:row>
    <x:row r="58">
      <x:c r="A58" s="66"/>
      <x:c r="B58" s="66"/>
      <x:c r="C58" s="66"/>
      <x:c r="D58" s="66"/>
      <x:c r="E58" s="66"/>
      <x:c r="F58" s="66"/>
      <x:c r="G58" s="66"/>
      <x:c r="H58" s="66"/>
      <x:c r="I58" s="66"/>
      <x:c r="J58" s="66"/>
      <x:c r="K58" s="66"/>
      <x:c r="L58" s="66"/>
    </x:row>
    <x:row r="59">
      <x:c r="A59" s="66"/>
      <x:c r="B59" s="66"/>
      <x:c r="C59" s="66"/>
      <x:c r="D59" s="66"/>
      <x:c r="E59" s="66"/>
      <x:c r="F59" s="66"/>
      <x:c r="G59" s="66"/>
      <x:c r="H59" s="66"/>
      <x:c r="I59" s="66"/>
      <x:c r="J59" s="66"/>
      <x:c r="K59" s="66"/>
      <x:c r="L59" s="66"/>
    </x:row>
    <x:row r="60">
      <x:c r="A60" s="66"/>
      <x:c r="B60" s="66"/>
      <x:c r="C60" s="66"/>
      <x:c r="D60" s="66"/>
      <x:c r="E60" s="66"/>
      <x:c r="F60" s="66"/>
      <x:c r="G60" s="66"/>
      <x:c r="H60" s="66"/>
      <x:c r="I60" s="66"/>
      <x:c r="J60" s="66"/>
      <x:c r="K60" s="66"/>
      <x:c r="L60" s="66"/>
    </x:row>
    <x:row r="61">
      <x:c r="A61" s="66"/>
      <x:c r="B61" s="66"/>
      <x:c r="C61" s="66"/>
      <x:c r="D61" s="66"/>
      <x:c r="E61" s="66"/>
      <x:c r="F61" s="66"/>
      <x:c r="G61" s="66"/>
      <x:c r="H61" s="66"/>
      <x:c r="I61" s="66"/>
      <x:c r="J61" s="66"/>
      <x:c r="K61" s="66"/>
      <x:c r="L61" s="66"/>
    </x:row>
    <x:row r="62">
      <x:c r="A62" s="66"/>
      <x:c r="B62" s="66"/>
      <x:c r="C62" s="66"/>
      <x:c r="D62" s="66"/>
      <x:c r="E62" s="66"/>
      <x:c r="F62" s="66"/>
      <x:c r="G62" s="66"/>
      <x:c r="H62" s="66"/>
      <x:c r="I62" s="66"/>
      <x:c r="J62" s="66"/>
      <x:c r="K62" s="66"/>
      <x:c r="L62" s="66"/>
    </x:row>
    <x:row r="63">
      <x:c r="A63" s="66"/>
      <x:c r="B63" s="66"/>
      <x:c r="C63" s="66"/>
      <x:c r="D63" s="66"/>
      <x:c r="E63" s="66"/>
      <x:c r="F63" s="66"/>
      <x:c r="G63" s="66"/>
      <x:c r="H63" s="66"/>
      <x:c r="I63" s="66"/>
      <x:c r="J63" s="66"/>
      <x:c r="K63" s="66"/>
      <x:c r="L63" s="66"/>
    </x:row>
    <x:row r="64">
      <x:c r="A64" s="66"/>
      <x:c r="B64" s="66"/>
      <x:c r="C64" s="66"/>
      <x:c r="D64" s="66"/>
      <x:c r="E64" s="66"/>
      <x:c r="F64" s="66"/>
      <x:c r="G64" s="66"/>
      <x:c r="H64" s="66"/>
      <x:c r="I64" s="66"/>
      <x:c r="J64" s="66"/>
      <x:c r="K64" s="66"/>
      <x:c r="L64" s="66"/>
    </x:row>
    <x:row r="65">
      <x:c r="A65" s="66"/>
      <x:c r="B65" s="66"/>
      <x:c r="C65" s="66"/>
      <x:c r="D65" s="66"/>
      <x:c r="E65" s="66"/>
      <x:c r="F65" s="66"/>
      <x:c r="G65" s="66"/>
      <x:c r="H65" s="66"/>
      <x:c r="I65" s="66"/>
      <x:c r="J65" s="66"/>
      <x:c r="K65" s="66"/>
      <x:c r="L65" s="66"/>
    </x:row>
    <x:row r="66">
      <x:c r="A66" s="66"/>
      <x:c r="B66" s="66"/>
      <x:c r="C66" s="66"/>
      <x:c r="D66" s="66"/>
      <x:c r="E66" s="66"/>
      <x:c r="F66" s="66"/>
      <x:c r="G66" s="66"/>
      <x:c r="H66" s="66"/>
      <x:c r="I66" s="66"/>
      <x:c r="J66" s="66"/>
      <x:c r="K66" s="66"/>
      <x:c r="L66" s="66"/>
    </x:row>
    <x:row r="67">
      <x:c r="A67" s="66"/>
      <x:c r="B67" s="66"/>
      <x:c r="C67" s="66"/>
      <x:c r="D67" s="66"/>
      <x:c r="E67" s="66"/>
      <x:c r="F67" s="66"/>
      <x:c r="G67" s="66"/>
      <x:c r="H67" s="66"/>
      <x:c r="I67" s="66"/>
      <x:c r="J67" s="66"/>
      <x:c r="K67" s="66"/>
      <x:c r="L67" s="66"/>
    </x:row>
    <x:row r="68">
      <x:c r="A68" s="66"/>
      <x:c r="B68" s="66"/>
      <x:c r="C68" s="66"/>
      <x:c r="D68" s="66"/>
      <x:c r="E68" s="66"/>
      <x:c r="F68" s="66"/>
      <x:c r="G68" s="66"/>
      <x:c r="H68" s="66"/>
      <x:c r="I68" s="66"/>
      <x:c r="J68" s="66"/>
      <x:c r="K68" s="66"/>
      <x:c r="L68" s="66"/>
    </x:row>
    <x:row r="69">
      <x:c r="A69" s="66"/>
      <x:c r="B69" s="66"/>
      <x:c r="C69" s="66"/>
      <x:c r="D69" s="66"/>
      <x:c r="E69" s="66"/>
      <x:c r="F69" s="66"/>
      <x:c r="G69" s="66"/>
      <x:c r="H69" s="66"/>
      <x:c r="I69" s="66"/>
      <x:c r="J69" s="66"/>
      <x:c r="K69" s="66"/>
      <x:c r="L69" s="66"/>
    </x:row>
    <x:row r="70">
      <x:c r="A70" s="66"/>
      <x:c r="B70" s="66"/>
      <x:c r="C70" s="66"/>
      <x:c r="D70" s="66"/>
      <x:c r="E70" s="66"/>
      <x:c r="F70" s="66"/>
      <x:c r="G70" s="66"/>
      <x:c r="H70" s="66"/>
      <x:c r="I70" s="66"/>
      <x:c r="J70" s="66"/>
      <x:c r="K70" s="66"/>
      <x:c r="L70" s="66"/>
    </x:row>
    <x:row r="71">
      <x:c r="A71" s="66"/>
      <x:c r="B71" s="66"/>
      <x:c r="C71" s="66"/>
      <x:c r="D71" s="66"/>
      <x:c r="E71" s="66"/>
      <x:c r="F71" s="66"/>
      <x:c r="G71" s="66"/>
      <x:c r="H71" s="66"/>
      <x:c r="I71" s="66"/>
      <x:c r="J71" s="66"/>
      <x:c r="K71" s="66"/>
      <x:c r="L71" s="66"/>
    </x:row>
    <x:row r="72">
      <x:c r="A72" s="66"/>
      <x:c r="B72" s="66"/>
      <x:c r="C72" s="66"/>
      <x:c r="D72" s="66"/>
      <x:c r="E72" s="66"/>
      <x:c r="F72" s="66"/>
      <x:c r="G72" s="66"/>
      <x:c r="H72" s="66"/>
      <x:c r="I72" s="66"/>
      <x:c r="J72" s="66"/>
      <x:c r="K72" s="66"/>
      <x:c r="L72" s="66"/>
    </x:row>
    <x:row r="73">
      <x:c r="A73" s="66"/>
      <x:c r="B73" s="66"/>
      <x:c r="C73" s="66"/>
      <x:c r="D73" s="66"/>
      <x:c r="E73" s="66"/>
      <x:c r="F73" s="66"/>
      <x:c r="G73" s="66"/>
      <x:c r="H73" s="66"/>
      <x:c r="I73" s="66"/>
      <x:c r="J73" s="66"/>
      <x:c r="K73" s="66"/>
      <x:c r="L73" s="66"/>
    </x:row>
    <x:row r="74">
      <x:c r="A74" s="66"/>
      <x:c r="B74" s="66"/>
      <x:c r="C74" s="66"/>
      <x:c r="D74" s="66"/>
      <x:c r="E74" s="66"/>
      <x:c r="F74" s="66"/>
      <x:c r="G74" s="66"/>
      <x:c r="H74" s="66"/>
      <x:c r="I74" s="66"/>
      <x:c r="J74" s="66"/>
      <x:c r="K74" s="66"/>
      <x:c r="L74" s="66"/>
    </x:row>
    <x:row r="75">
      <x:c r="A75" s="66"/>
      <x:c r="B75" s="66"/>
      <x:c r="C75" s="66"/>
      <x:c r="D75" s="66"/>
      <x:c r="E75" s="66"/>
      <x:c r="F75" s="66"/>
      <x:c r="G75" s="66"/>
      <x:c r="H75" s="66"/>
      <x:c r="I75" s="66"/>
      <x:c r="J75" s="66"/>
      <x:c r="K75" s="66"/>
      <x:c r="L75" s="66"/>
    </x:row>
    <x:row r="76">
      <x:c r="A76" s="66"/>
      <x:c r="B76" s="66"/>
      <x:c r="C76" s="66"/>
      <x:c r="D76" s="66"/>
      <x:c r="E76" s="66"/>
      <x:c r="F76" s="66"/>
      <x:c r="G76" s="66"/>
      <x:c r="H76" s="66"/>
      <x:c r="I76" s="66"/>
      <x:c r="J76" s="66"/>
      <x:c r="K76" s="66"/>
      <x:c r="L76" s="66"/>
    </x:row>
    <x:row r="77">
      <x:c r="A77" s="66"/>
      <x:c r="B77" s="66"/>
      <x:c r="C77" s="66"/>
      <x:c r="D77" s="66"/>
      <x:c r="E77" s="66"/>
      <x:c r="F77" s="66"/>
      <x:c r="G77" s="66"/>
      <x:c r="H77" s="66"/>
      <x:c r="I77" s="66"/>
      <x:c r="J77" s="66"/>
      <x:c r="K77" s="66"/>
      <x:c r="L77" s="66"/>
    </x:row>
    <x:row r="78">
      <x:c r="A78" s="66"/>
      <x:c r="B78" s="66"/>
      <x:c r="C78" s="66"/>
      <x:c r="D78" s="66"/>
      <x:c r="E78" s="66"/>
      <x:c r="F78" s="66"/>
      <x:c r="G78" s="66"/>
      <x:c r="H78" s="66"/>
      <x:c r="I78" s="66"/>
      <x:c r="J78" s="66"/>
      <x:c r="K78" s="66"/>
      <x:c r="L78" s="66"/>
    </x:row>
    <x:row r="79">
      <x:c r="A79" s="66"/>
      <x:c r="B79" s="66"/>
      <x:c r="C79" s="66"/>
      <x:c r="D79" s="66"/>
      <x:c r="E79" s="66"/>
      <x:c r="F79" s="66"/>
      <x:c r="G79" s="66"/>
      <x:c r="H79" s="66"/>
      <x:c r="I79" s="66"/>
      <x:c r="J79" s="66"/>
      <x:c r="K79" s="66"/>
      <x:c r="L79" s="66"/>
    </x:row>
    <x:row r="80">
      <x:c r="A80" s="66"/>
      <x:c r="B80" s="66"/>
      <x:c r="C80" s="66"/>
      <x:c r="D80" s="66"/>
      <x:c r="E80" s="66"/>
      <x:c r="F80" s="66"/>
      <x:c r="G80" s="66"/>
      <x:c r="H80" s="66"/>
      <x:c r="I80" s="66"/>
      <x:c r="J80" s="66"/>
      <x:c r="K80" s="66"/>
      <x:c r="L80" s="66"/>
    </x:row>
    <x:row r="81">
      <x:c r="A81" s="66"/>
      <x:c r="B81" s="66"/>
      <x:c r="C81" s="66"/>
      <x:c r="D81" s="66"/>
      <x:c r="E81" s="66"/>
      <x:c r="F81" s="66"/>
      <x:c r="G81" s="66"/>
      <x:c r="H81" s="66"/>
      <x:c r="I81" s="66"/>
      <x:c r="J81" s="66"/>
      <x:c r="K81" s="66"/>
      <x:c r="L81" s="66"/>
    </x:row>
    <x:row r="82">
      <x:c r="A82" s="66"/>
      <x:c r="B82" s="66"/>
      <x:c r="C82" s="66"/>
      <x:c r="D82" s="66"/>
      <x:c r="E82" s="66"/>
      <x:c r="F82" s="66"/>
      <x:c r="G82" s="66"/>
      <x:c r="H82" s="66"/>
      <x:c r="I82" s="66"/>
      <x:c r="J82" s="66"/>
      <x:c r="K82" s="66"/>
      <x:c r="L82" s="66"/>
    </x:row>
    <x:row r="83">
      <x:c r="A83" s="66"/>
      <x:c r="B83" s="66"/>
      <x:c r="C83" s="66"/>
      <x:c r="D83" s="66"/>
      <x:c r="E83" s="66"/>
      <x:c r="F83" s="66"/>
      <x:c r="G83" s="66"/>
      <x:c r="H83" s="66"/>
      <x:c r="I83" s="66"/>
      <x:c r="J83" s="66"/>
      <x:c r="K83" s="66"/>
      <x:c r="L83" s="66"/>
    </x:row>
    <x:row r="84">
      <x:c r="A84" s="66"/>
      <x:c r="B84" s="66"/>
      <x:c r="C84" s="66"/>
      <x:c r="D84" s="66"/>
      <x:c r="E84" s="66"/>
      <x:c r="F84" s="66"/>
      <x:c r="G84" s="66"/>
      <x:c r="H84" s="66"/>
      <x:c r="I84" s="66"/>
      <x:c r="J84" s="66"/>
      <x:c r="K84" s="66"/>
      <x:c r="L84" s="66"/>
    </x:row>
    <x:row r="85">
      <x:c r="A85" s="66"/>
      <x:c r="B85" s="66"/>
      <x:c r="C85" s="66"/>
      <x:c r="D85" s="66"/>
      <x:c r="E85" s="66"/>
      <x:c r="F85" s="66"/>
      <x:c r="G85" s="66"/>
      <x:c r="H85" s="66"/>
      <x:c r="I85" s="66"/>
      <x:c r="J85" s="66"/>
      <x:c r="K85" s="66"/>
      <x:c r="L85" s="66"/>
    </x:row>
    <x:row r="86">
      <x:c r="A86" s="66"/>
      <x:c r="B86" s="66"/>
      <x:c r="C86" s="66"/>
      <x:c r="D86" s="66"/>
      <x:c r="E86" s="66"/>
      <x:c r="F86" s="66"/>
      <x:c r="G86" s="66"/>
      <x:c r="H86" s="66"/>
      <x:c r="I86" s="66"/>
      <x:c r="J86" s="66"/>
      <x:c r="K86" s="66"/>
      <x:c r="L86" s="66"/>
    </x:row>
    <x:row r="87">
      <x:c r="A87" s="66"/>
      <x:c r="B87" s="66"/>
      <x:c r="C87" s="66"/>
      <x:c r="D87" s="66"/>
      <x:c r="E87" s="66"/>
      <x:c r="F87" s="66"/>
      <x:c r="G87" s="66"/>
      <x:c r="H87" s="66"/>
      <x:c r="I87" s="66"/>
      <x:c r="J87" s="66"/>
      <x:c r="K87" s="66"/>
      <x:c r="L87" s="66"/>
    </x:row>
    <x:row r="88">
      <x:c r="A88" s="66"/>
      <x:c r="B88" s="66"/>
      <x:c r="C88" s="66"/>
      <x:c r="D88" s="66"/>
      <x:c r="E88" s="66"/>
      <x:c r="F88" s="66"/>
      <x:c r="G88" s="66"/>
      <x:c r="H88" s="66"/>
      <x:c r="I88" s="66"/>
      <x:c r="J88" s="66"/>
      <x:c r="K88" s="66"/>
      <x:c r="L88" s="66"/>
    </x:row>
    <x:row r="89">
      <x:c r="A89" s="66"/>
      <x:c r="B89" s="66"/>
      <x:c r="C89" s="66"/>
      <x:c r="D89" s="66"/>
      <x:c r="E89" s="66"/>
      <x:c r="F89" s="66"/>
      <x:c r="G89" s="66"/>
      <x:c r="H89" s="66"/>
      <x:c r="I89" s="66"/>
      <x:c r="J89" s="66"/>
      <x:c r="K89" s="66"/>
      <x:c r="L89" s="66"/>
    </x:row>
    <x:row r="90">
      <x:c r="A90" s="66"/>
      <x:c r="B90" s="66"/>
      <x:c r="C90" s="66"/>
      <x:c r="D90" s="66"/>
      <x:c r="E90" s="66"/>
      <x:c r="F90" s="66"/>
      <x:c r="G90" s="66"/>
      <x:c r="H90" s="66"/>
      <x:c r="I90" s="66"/>
      <x:c r="J90" s="66"/>
      <x:c r="K90" s="66"/>
      <x:c r="L90" s="66"/>
    </x:row>
    <x:row r="91">
      <x:c r="A91" s="66"/>
      <x:c r="B91" s="66"/>
      <x:c r="C91" s="66"/>
      <x:c r="D91" s="66"/>
      <x:c r="E91" s="66"/>
      <x:c r="F91" s="66"/>
      <x:c r="G91" s="66"/>
      <x:c r="H91" s="66"/>
      <x:c r="I91" s="66"/>
      <x:c r="J91" s="66"/>
      <x:c r="K91" s="66"/>
      <x:c r="L91" s="66"/>
    </x:row>
    <x:row r="92">
      <x:c r="A92" s="66"/>
      <x:c r="B92" s="66"/>
      <x:c r="C92" s="66"/>
      <x:c r="D92" s="66"/>
      <x:c r="E92" s="66"/>
      <x:c r="F92" s="66"/>
      <x:c r="G92" s="66"/>
      <x:c r="H92" s="66"/>
      <x:c r="I92" s="66"/>
      <x:c r="J92" s="66"/>
      <x:c r="K92" s="66"/>
      <x:c r="L92" s="66"/>
    </x:row>
    <x:row r="93">
      <x:c r="A93" s="66"/>
      <x:c r="B93" s="66"/>
      <x:c r="C93" s="66"/>
      <x:c r="D93" s="66"/>
      <x:c r="E93" s="66"/>
      <x:c r="F93" s="66"/>
      <x:c r="G93" s="66"/>
      <x:c r="H93" s="66"/>
      <x:c r="I93" s="66"/>
      <x:c r="J93" s="66"/>
      <x:c r="K93" s="66"/>
      <x:c r="L93" s="66"/>
    </x:row>
    <x:row r="94">
      <x:c r="A94" s="66"/>
      <x:c r="B94" s="66"/>
      <x:c r="C94" s="66"/>
      <x:c r="D94" s="66"/>
      <x:c r="E94" s="66"/>
      <x:c r="F94" s="66"/>
      <x:c r="G94" s="66"/>
      <x:c r="H94" s="66"/>
      <x:c r="I94" s="66"/>
      <x:c r="J94" s="66"/>
      <x:c r="K94" s="66"/>
      <x:c r="L94" s="66"/>
    </x:row>
    <x:row r="95">
      <x:c r="A95" s="66"/>
      <x:c r="B95" s="66"/>
      <x:c r="C95" s="66"/>
      <x:c r="D95" s="66"/>
      <x:c r="E95" s="66"/>
      <x:c r="F95" s="66"/>
      <x:c r="G95" s="66"/>
      <x:c r="H95" s="66"/>
      <x:c r="I95" s="66"/>
      <x:c r="J95" s="66"/>
      <x:c r="K95" s="66"/>
      <x:c r="L95" s="66"/>
    </x:row>
    <x:row r="96">
      <x:c r="A96" s="66"/>
      <x:c r="B96" s="66"/>
      <x:c r="C96" s="66"/>
      <x:c r="D96" s="66"/>
      <x:c r="E96" s="66"/>
      <x:c r="F96" s="66"/>
      <x:c r="G96" s="66"/>
      <x:c r="H96" s="66"/>
      <x:c r="I96" s="66"/>
      <x:c r="J96" s="66"/>
      <x:c r="K96" s="66"/>
      <x:c r="L96" s="66"/>
    </x:row>
    <x:row r="97">
      <x:c r="A97" s="66"/>
      <x:c r="B97" s="66"/>
      <x:c r="C97" s="66"/>
      <x:c r="D97" s="66"/>
      <x:c r="E97" s="66"/>
      <x:c r="F97" s="66"/>
      <x:c r="G97" s="66"/>
      <x:c r="H97" s="66"/>
      <x:c r="I97" s="66"/>
      <x:c r="J97" s="66"/>
      <x:c r="K97" s="66"/>
      <x:c r="L97" s="66"/>
    </x:row>
    <x:row r="98">
      <x:c r="A98" s="66"/>
      <x:c r="B98" s="66"/>
      <x:c r="C98" s="66"/>
      <x:c r="D98" s="66"/>
      <x:c r="E98" s="66"/>
      <x:c r="F98" s="66"/>
      <x:c r="G98" s="66"/>
      <x:c r="H98" s="66"/>
      <x:c r="I98" s="66"/>
      <x:c r="J98" s="66"/>
      <x:c r="K98" s="66"/>
      <x:c r="L98" s="66"/>
    </x:row>
    <x:row r="99">
      <x:c r="A99" s="66"/>
      <x:c r="B99" s="66"/>
      <x:c r="C99" s="66"/>
      <x:c r="D99" s="66"/>
      <x:c r="E99" s="66"/>
      <x:c r="F99" s="66"/>
      <x:c r="G99" s="66"/>
      <x:c r="H99" s="66"/>
      <x:c r="I99" s="66"/>
      <x:c r="J99" s="66"/>
      <x:c r="K99" s="66"/>
      <x:c r="L99" s="66"/>
    </x:row>
    <x:row r="100">
      <x:c r="A100" s="66"/>
      <x:c r="B100" s="66"/>
      <x:c r="C100" s="66"/>
      <x:c r="D100" s="66"/>
      <x:c r="E100" s="66"/>
      <x:c r="F100" s="66"/>
      <x:c r="G100" s="66"/>
      <x:c r="H100" s="66"/>
      <x:c r="I100" s="66"/>
      <x:c r="J100" s="66"/>
      <x:c r="K100" s="66"/>
      <x:c r="L100" s="66"/>
    </x:row>
  </x:sheetData>
  <x:mergeCells>
    <x:mergeCell ref="A1:K1"/>
    <x:mergeCell ref="A2:K2"/>
    <x:mergeCell ref="A24:K24"/>
    <x:mergeCell ref="A32:K32"/>
  </x:mergeCells>
  <x:dataValidations count="2">
    <x:dataValidation type="list" sqref="G5:G22">
      <x:formula1>"СОГЛАСОВАНО,ИЗМЕНИТЬ,ОТКЛОНЕНО,ТРЕБУЕТСЯ ТЕСТ,Н/П"</x:formula1>
    </x:dataValidation>
    <x:dataValidation type="list" sqref="B33">
      <x:formula1>"СОГЛАСОВАНО,СОГЛАСОВАНО С УСЛОВИЯМИ,НА ДОРАБОТКУ,ОТКЛОНЕНО"</x:formula1>
    </x:dataValidation>
  </x:dataValidations>
  <x:pageMargins left="0.7" right="0.7" top="0.75" bottom="0.75" header="0.3" footer="0.3"/>
</x:worksheet>
</file>