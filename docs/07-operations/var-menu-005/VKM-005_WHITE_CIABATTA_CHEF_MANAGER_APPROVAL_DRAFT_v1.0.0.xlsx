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8ffafcc63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ЦИЯ" sheetId="1" r:id="R61e0698c55734981"/>
    <x:sheet xmlns:r="http://schemas.openxmlformats.org/officeDocument/2006/relationships" name="ТЕХКАРТА" sheetId="2" r:id="R3a1ed5f72aa84891"/>
    <x:sheet xmlns:r="http://schemas.openxmlformats.org/officeDocument/2006/relationships" name="АНКЕТА" sheetId="3" r:id="R3253502a2732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1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F1F1F"/>
      <x:name val="Carlito"/>
    </x:font>
    <x:font>
      <x:i/>
      <x:sz val="11"/>
      <x:color rgb="FF9C0006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75623"/>
      <x:name val="Carlito"/>
    </x:font>
    <x:font>
      <x:b/>
      <x:sz val="10"/>
      <x:color rgb="FF1F1F1F"/>
      <x:name val="Carlito"/>
    </x:font>
    <x:font>
      <x:i/>
      <x:sz val="10"/>
      <x:color rgb="FF9C0006"/>
      <x:name val="Carlito"/>
    </x:font>
    <x:font>
      <x:b/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5" xfId="0" applyNumberFormat="1" applyFont="1" applyFill="1" applyBorder="1"/>
    <x:xf numFmtId="0" fontId="3" fillId="4" borderId="5" xfId="0" applyNumberFormat="1" applyFont="1" applyFill="1" applyBorder="1"/>
    <x:xf numFmtId="0" fontId="0" fillId="4" borderId="11" xfId="0" applyNumberFormat="1" applyFont="1" applyFill="1" applyBorder="1"/>
    <x:xf numFmtId="0" fontId="3" fillId="4" borderId="11" xfId="0" applyNumberFormat="1" applyFont="1" applyFill="1" applyBorder="1"/>
    <x:xf numFmtId="0" fontId="0" fillId="5" borderId="7" xfId="0" applyNumberFormat="1" applyFont="1" applyFill="1" applyBorder="1"/>
    <x:xf numFmtId="0" fontId="0" fillId="5" borderId="13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7" borderId="15" xfId="0" applyNumberFormat="1" applyFont="1" applyFill="1" applyBorder="1"/>
    <x:xf numFmtId="0" fontId="5" fillId="7" borderId="15" xfId="0" applyNumberFormat="1" applyFont="1" applyFill="1" applyBorder="1"/>
    <x:xf numFmtId="0" fontId="0" fillId="7" borderId="17" xfId="0" applyNumberFormat="1" applyFont="1" applyFill="1" applyBorder="1"/>
    <x:xf numFmtId="0" fontId="5" fillId="7" borderId="17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0" fillId="5" borderId="14" xfId="0" applyNumberFormat="1" applyFont="1" applyFill="1" applyBorder="1"/>
    <x:xf numFmtId="0" fontId="0" fillId="5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11" xfId="0" applyNumberFormat="1" applyFont="1" applyFill="1" applyBorder="1"/>
    <x:xf numFmtId="0" fontId="0" fillId="5" borderId="17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0" borderId="14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8" fillId="0" borderId="14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11" fillId="7" borderId="15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horizontal="left" vertical="center" wrapText="1"/>
    </x:xf>
    <x:xf numFmtId="0" fontId="8" fillId="0" borderId="16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center" vertical="center"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5" borderId="16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17" xfId="0" applyNumberFormat="1" applyFont="1" applyFill="1" applyBorder="1" applyAlignment="1">
      <x:alignment wrapText="1"/>
    </x:xf>
    <x:xf numFmtId="200" fontId="8" fillId="0" borderId="14" xfId="0" applyNumberFormat="1" applyFont="1" applyFill="1" applyBorder="1" applyAlignment="1">
      <x:alignment wrapText="1"/>
    </x:xf>
    <x:xf numFmtId="200" fontId="11" fillId="7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8" fillId="0" borderId="15" xfId="0" applyNumberFormat="1" applyFont="1" applyFill="1" applyBorder="1" applyAlignment="1">
      <x:alignment wrapText="1"/>
    </x:xf>
    <x:xf numFmtId="200" fontId="8" fillId="0" borderId="16" xfId="0" applyNumberFormat="1" applyFont="1" applyFill="1" applyBorder="1" applyAlignment="1">
      <x:alignment wrapText="1"/>
    </x:xf>
    <x:xf numFmtId="200" fontId="11" fillId="7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0" fontId="8" fillId="0" borderId="17" xfId="0" applyNumberFormat="1" applyFont="1" applyFill="1" applyBorder="1" applyAlignment="1">
      <x:alignment wrapText="1"/>
    </x:xf>
    <x:xf numFmtId="200" fontId="8" fillId="0" borderId="3" xfId="0" applyNumberFormat="1" applyFont="1" applyFill="1" applyBorder="1" applyAlignment="1">
      <x:alignment wrapText="1"/>
    </x:xf>
    <x:xf numFmtId="200" fontId="8" fillId="0" borderId="5" xfId="0" applyNumberFormat="1" applyFont="1" applyFill="1" applyBorder="1" applyAlignment="1">
      <x:alignment wrapText="1"/>
    </x:xf>
    <x:xf numFmtId="200" fontId="8" fillId="0" borderId="9" xfId="0" applyNumberFormat="1" applyFont="1" applyFill="1" applyBorder="1" applyAlignment="1">
      <x:alignment wrapText="1"/>
    </x:xf>
    <x:xf numFmtId="200" fontId="8" fillId="0" borderId="11" xfId="0" applyNumberFormat="1" applyFont="1" applyFill="1" applyBorder="1" applyAlignment="1">
      <x:alignment wrapText="1"/>
    </x:xf>
    <x:xf numFmtId="200" fontId="11" fillId="7" borderId="15" xfId="0" applyNumberFormat="1" applyFont="1" applyFill="1" applyBorder="1" applyAlignment="1">
      <x:alignment wrapText="1"/>
    </x:xf>
    <x:xf numFmtId="200" fontId="11" fillId="7" borderId="17" xfId="0" applyNumberFormat="1" applyFont="1" applyFill="1" applyBorder="1" applyAlignment="1">
      <x:alignment wrapText="1"/>
    </x:xf>
    <x:xf numFmtId="201" fontId="8" fillId="0" borderId="14" xfId="0" applyNumberFormat="1" applyFont="1" applyFill="1" applyBorder="1" applyAlignment="1">
      <x:alignment wrapText="1"/>
    </x:xf>
    <x:xf numFmtId="201" fontId="11" fillId="7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1" fontId="8" fillId="0" borderId="15" xfId="0" applyNumberFormat="1" applyFont="1" applyFill="1" applyBorder="1" applyAlignment="1">
      <x:alignment wrapText="1"/>
    </x:xf>
    <x:xf numFmtId="201" fontId="8" fillId="0" borderId="16" xfId="0" applyNumberFormat="1" applyFont="1" applyFill="1" applyBorder="1" applyAlignment="1">
      <x:alignment wrapText="1"/>
    </x:xf>
    <x:xf numFmtId="201" fontId="11" fillId="7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 applyAlignment="1">
      <x:alignment wrapText="1"/>
    </x:xf>
    <x:xf numFmtId="201" fontId="8" fillId="0" borderId="17" xfId="0" applyNumberFormat="1" applyFont="1" applyFill="1" applyBorder="1" applyAlignment="1">
      <x:alignment wrapText="1"/>
    </x:xf>
    <x:xf numFmtId="200" fontId="8" fillId="0" borderId="7" xfId="0" applyNumberFormat="1" applyFont="1" applyFill="1" applyBorder="1" applyAlignment="1">
      <x:alignment wrapText="1"/>
    </x:xf>
    <x:xf numFmtId="200" fontId="8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68fc1143e4442" /><Relationship Type="http://schemas.openxmlformats.org/officeDocument/2006/relationships/theme" Target="/xl/theme/theme1.xml" Id="Rbcda0ce34a8d4b54" /><Relationship Type="http://schemas.openxmlformats.org/officeDocument/2006/relationships/sharedStrings" Target="/xl/sharedStrings.xml" Id="R49745a1068e545c7" /><Relationship Type="http://schemas.openxmlformats.org/officeDocument/2006/relationships/worksheet" Target="/xl/worksheets/sheet1.xml" Id="R61e0698c55734981" /><Relationship Type="http://schemas.openxmlformats.org/officeDocument/2006/relationships/worksheet" Target="/xl/worksheets/sheet2.xml" Id="R3a1ed5f72aa84891" /><Relationship Type="http://schemas.openxmlformats.org/officeDocument/2006/relationships/worksheet" Target="/xl/worksheets/sheet3.xml" Id="R3253502a273242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20" hidden="0" customWidth="1"/>
    <x:col min="7" max="7" width="18" hidden="0" customWidth="1"/>
    <x:col min="8" max="8" width="30" hidden="0" customWidth="1"/>
    <x:col min="9" max="9" width="16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 ht="28" customHeight="1">
      <x:c r="A1" s="119" t="str">
        <x:v>VKM-005 «Белая чиабатта» — калькуляция и экономика каналов</x:v>
      </x:c>
      <x:c r="B1" s="119"/>
      <x:c r="C1" s="119"/>
      <x:c r="D1" s="119"/>
      <x:c r="E1" s="119"/>
      <x:c r="F1" s="119"/>
      <x:c r="G1" s="119"/>
      <x:c r="H1" s="119"/>
      <x:c r="I1" s="120"/>
      <x:c r="J1" s="120"/>
      <x:c r="K1" s="120"/>
      <x:c r="L1" s="12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120"/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121" t="str">
        <x:v>Параметр</x:v>
      </x:c>
      <x:c r="B3" s="121" t="str">
        <x:v>Значение</x:v>
      </x:c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122" t="str">
        <x:v>Код блюда</x:v>
      </x:c>
      <x:c r="B4" s="123" t="str">
        <x:v>VKM-005</x:v>
      </x:c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124" t="str">
        <x:v>Код калькуляции</x:v>
      </x:c>
      <x:c r="B5" s="125" t="str">
        <x:v>VKC-005</x:v>
      </x:c>
      <x:c r="C5" s="120"/>
      <x:c r="D5" s="120"/>
      <x:c r="E5" s="120"/>
      <x:c r="F5" s="120"/>
      <x:c r="G5" s="120"/>
      <x:c r="H5" s="120"/>
      <x:c r="I5" s="120"/>
      <x:c r="J5" s="120"/>
      <x:c r="K5" s="120"/>
      <x:c r="L5" s="12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124" t="str">
        <x:v>Проектный выход готового изделия, г</x:v>
      </x:c>
      <x:c r="B6" s="125" t="n">
        <x:v>100</x:v>
      </x:c>
      <x:c r="C6" s="120"/>
      <x:c r="D6" s="120"/>
      <x:c r="E6" s="120"/>
      <x:c r="F6" s="120"/>
      <x:c r="G6" s="120"/>
      <x:c r="H6" s="120"/>
      <x:c r="I6" s="120"/>
      <x:c r="J6" s="120"/>
      <x:c r="K6" s="120"/>
      <x:c r="L6" s="12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124" t="str">
        <x:v>Целевая партия, шт.</x:v>
      </x:c>
      <x:c r="B7" s="125" t="n">
        <x:v>78</x:v>
      </x:c>
      <x:c r="C7" s="120"/>
      <x:c r="D7" s="120"/>
      <x:c r="E7" s="120"/>
      <x:c r="F7" s="120"/>
      <x:c r="G7" s="120"/>
      <x:c r="H7" s="120"/>
      <x:c r="I7" s="120"/>
      <x:c r="J7" s="120"/>
      <x:c r="K7" s="120"/>
      <x:c r="L7" s="12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124" t="str">
        <x:v>Статус блюда</x:v>
      </x:c>
      <x:c r="B8" s="126" t="str">
        <x:v>PENDING_CHEF_MANAGER_VERIFICATION</x:v>
      </x:c>
      <x:c r="C8" s="120"/>
      <x:c r="D8" s="120"/>
      <x:c r="E8" s="120"/>
      <x:c r="F8" s="120"/>
      <x:c r="G8" s="120"/>
      <x:c r="H8" s="120"/>
      <x:c r="I8" s="120"/>
      <x:c r="J8" s="120"/>
      <x:c r="K8" s="120"/>
      <x:c r="L8" s="12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124" t="str">
        <x:v>Safety-статус</x:v>
      </x:c>
      <x:c r="B9" s="126" t="str">
        <x:v>SAFETY_BLOCKED_PENDING_VALIDATION</x:v>
      </x:c>
      <x:c r="C9" s="120"/>
      <x:c r="D9" s="120"/>
      <x:c r="E9" s="120"/>
      <x:c r="F9" s="120"/>
      <x:c r="G9" s="120"/>
      <x:c r="H9" s="120"/>
      <x:c r="I9" s="120"/>
      <x:c r="J9" s="120"/>
      <x:c r="K9" s="120"/>
      <x:c r="L9" s="12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124" t="str">
        <x:v>Основная производственная модель</x:v>
      </x:c>
      <x:c r="B10" s="125" t="str">
        <x:v>MAKE</x:v>
      </x:c>
      <x:c r="C10" s="120"/>
      <x:c r="D10" s="120"/>
      <x:c r="E10" s="120"/>
      <x:c r="F10" s="120"/>
      <x:c r="G10" s="120"/>
      <x:c r="H10" s="120"/>
      <x:c r="I10" s="120"/>
      <x:c r="J10" s="120"/>
      <x:c r="K10" s="120"/>
      <x:c r="L10" s="12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124" t="str">
        <x:v>Резервная модель</x:v>
      </x:c>
      <x:c r="B11" s="125" t="str">
        <x:v>HYBRID</x:v>
      </x:c>
      <x:c r="C11" s="120"/>
      <x:c r="D11" s="120"/>
      <x:c r="E11" s="120"/>
      <x:c r="F11" s="120"/>
      <x:c r="G11" s="120"/>
      <x:c r="H11" s="120"/>
      <x:c r="I11" s="120"/>
      <x:c r="J11" s="120"/>
      <x:c r="K11" s="120"/>
      <x:c r="L11" s="12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27" t="str">
        <x:v>Базовая цена самостоятельной продажи, ₽</x:v>
      </x:c>
      <x:c r="B12" s="128" t="n">
        <x:v>120</x:v>
      </x:c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120"/>
      <x:c r="B13" s="120"/>
      <x:c r="C13" s="120"/>
      <x:c r="D13" s="120"/>
      <x:c r="E13" s="120"/>
      <x:c r="F13" s="120"/>
      <x:c r="G13" s="120"/>
      <x:c r="H13" s="120"/>
      <x:c r="I13" s="120"/>
      <x:c r="J13" s="120"/>
      <x:c r="K13" s="120"/>
      <x:c r="L13" s="12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129" t="str">
        <x:v>1. Рецептурная калькуляция MAKE на партию</x:v>
      </x:c>
      <x:c r="B14" s="129"/>
      <x:c r="C14" s="129"/>
      <x:c r="D14" s="129"/>
      <x:c r="E14" s="129"/>
      <x:c r="F14" s="129"/>
      <x:c r="G14" s="129"/>
      <x:c r="H14" s="129"/>
      <x:c r="I14" s="120"/>
      <x:c r="J14" s="120"/>
      <x:c r="K14" s="120"/>
      <x:c r="L14" s="12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121" t="str">
        <x:v>Ингредиент</x:v>
      </x:c>
      <x:c r="B15" s="121" t="str">
        <x:v>Норма, кг</x:v>
      </x:c>
      <x:c r="C15" s="121" t="str">
        <x:v>Цена, ₽/кг</x:v>
      </x:c>
      <x:c r="D15" s="121" t="str">
        <x:v>Стоимость, ₽</x:v>
      </x:c>
      <x:c r="E15" s="121" t="str">
        <x:v>Источник/дата</x:v>
      </x:c>
      <x:c r="F15" s="121" t="str">
        <x:v>Статус</x:v>
      </x:c>
      <x:c r="G15" s="121" t="str">
        <x:v>Аллерген</x:v>
      </x:c>
      <x:c r="H15" s="121" t="str">
        <x:v>Комментарий</x:v>
      </x:c>
      <x:c r="I15" s="120"/>
      <x:c r="J15" s="120"/>
      <x:c r="K15" s="120"/>
      <x:c r="L15" s="12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122" t="str">
        <x:v>Мука пшеничная</x:v>
      </x:c>
      <x:c r="B16" s="163" t="n">
        <x:v>5</x:v>
      </x:c>
      <x:c r="C16" s="163" t="n">
        <x:v>62</x:v>
      </x:c>
      <x:c r="D16" s="163" t="n">
        <x:f>B16*C16</x:f>
        <x:v>310</x:v>
      </x:c>
      <x:c r="E16" s="130" t="str">
        <x:v>Проектная ценовая база Wave 2</x:v>
      </x:c>
      <x:c r="F16" s="130" t="str">
        <x:v>EXPERT_ASSUMPTION</x:v>
      </x:c>
      <x:c r="G16" s="130" t="str">
        <x:v>Пшеница, глютен</x:v>
      </x:c>
      <x:c r="H16" s="123" t="str">
        <x:v>Фактический SKU не выбран</x:v>
      </x:c>
      <x:c r="I16" s="120"/>
      <x:c r="J16" s="120"/>
      <x:c r="K16" s="120"/>
      <x:c r="L16" s="12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124" t="str">
        <x:v>Вода</x:v>
      </x:c>
      <x:c r="B17" s="164" t="n">
        <x:v>4</x:v>
      </x:c>
      <x:c r="C17" s="164"/>
      <x:c r="D17" s="164" t="str">
        <x:f>IF(C17="","",B17*C17)</x:f>
      </x:c>
      <x:c r="E17" s="120" t="str">
        <x:v>Тариф объекта отсутствует</x:v>
      </x:c>
      <x:c r="F17" s="120" t="str">
        <x:v>UNKNOWN_NOT_ZERO</x:v>
      </x:c>
      <x:c r="G17" s="120" t="str"/>
      <x:c r="H17" s="125" t="str">
        <x:v>Не заменять нулём</x:v>
      </x:c>
      <x:c r="I17" s="120"/>
      <x:c r="J17" s="120"/>
      <x:c r="K17" s="120"/>
      <x:c r="L17" s="12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124" t="str">
        <x:v>Соль</x:v>
      </x:c>
      <x:c r="B18" s="165" t="n">
        <x:v>0.11</x:v>
      </x:c>
      <x:c r="C18" s="165" t="n">
        <x:v>31.5</x:v>
      </x:c>
      <x:c r="D18" s="165" t="n">
        <x:f>B18*C18</x:f>
        <x:v>3.465</x:v>
      </x:c>
      <x:c r="E18" s="120" t="str">
        <x:v>Проектная ценовая база Wave 2</x:v>
      </x:c>
      <x:c r="F18" s="120" t="str">
        <x:v>EXPERT_ASSUMPTION</x:v>
      </x:c>
      <x:c r="G18" s="120" t="str"/>
      <x:c r="H18" s="125" t="str"/>
      <x:c r="I18" s="120"/>
      <x:c r="J18" s="120"/>
      <x:c r="K18" s="120"/>
      <x:c r="L18" s="12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124" t="str">
        <x:v>Дрожжи сухие</x:v>
      </x:c>
      <x:c r="B19" s="165" t="n">
        <x:v>0.03</x:v>
      </x:c>
      <x:c r="C19" s="165" t="n">
        <x:v>550</x:v>
      </x:c>
      <x:c r="D19" s="165" t="n">
        <x:f>B19*C19</x:f>
        <x:v>16.5</x:v>
      </x:c>
      <x:c r="E19" s="120" t="str">
        <x:v>Проектная ценовая база Wave 2</x:v>
      </x:c>
      <x:c r="F19" s="120" t="str">
        <x:v>EXPERT_ASSUMPTION</x:v>
      </x:c>
      <x:c r="G19" s="120" t="str"/>
      <x:c r="H19" s="125" t="str">
        <x:v>Фактический SKU не выбран</x:v>
      </x:c>
      <x:c r="I19" s="120"/>
      <x:c r="J19" s="120"/>
      <x:c r="K19" s="120"/>
      <x:c r="L19" s="12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127" t="str">
        <x:v>ИТОГО ИЗВЕСТНО</x:v>
      </x:c>
      <x:c r="B20" s="166" t="n">
        <x:f>SUM(B16:B19)</x:f>
        <x:v>9.139999999999999</x:v>
      </x:c>
      <x:c r="C20" s="166"/>
      <x:c r="D20" s="166" t="n">
        <x:f>SUM(D16:D19)</x:f>
        <x:v>329.965</x:v>
      </x:c>
      <x:c r="E20" s="132" t="str"/>
      <x:c r="F20" s="132" t="str">
        <x:v>CALCULATED</x:v>
      </x:c>
      <x:c r="G20" s="132" t="str"/>
      <x:c r="H20" s="133" t="str">
        <x:v>Без стоимости воды</x:v>
      </x:c>
      <x:c r="I20" s="120"/>
      <x:c r="J20" s="120"/>
      <x:c r="K20" s="120"/>
      <x:c r="L20" s="12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120"/>
      <x:c r="B21" s="120"/>
      <x:c r="C21" s="120"/>
      <x:c r="D21" s="120"/>
      <x:c r="E21" s="120"/>
      <x:c r="F21" s="120"/>
      <x:c r="G21" s="120"/>
      <x:c r="H21" s="120"/>
      <x:c r="I21" s="120"/>
      <x:c r="J21" s="120"/>
      <x:c r="K21" s="120"/>
      <x:c r="L21" s="12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121" t="str">
        <x:v>Показатель</x:v>
      </x:c>
      <x:c r="B22" s="121" t="str">
        <x:v>MAKE</x:v>
      </x:c>
      <x:c r="C22" s="121" t="str">
        <x:v>BUY</x:v>
      </x:c>
      <x:c r="D22" s="121" t="str">
        <x:v>HYBRID 80/20</x:v>
      </x:c>
      <x:c r="E22" s="120"/>
      <x:c r="F22" s="120"/>
      <x:c r="G22" s="120"/>
      <x:c r="H22" s="120"/>
      <x:c r="I22" s="120"/>
      <x:c r="J22" s="120"/>
      <x:c r="K22" s="120"/>
      <x:c r="L22" s="12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122" t="str">
        <x:v>Recipe COGS / закупочная стоимость, ₽/шт.</x:v>
      </x:c>
      <x:c r="B23" s="163" t="n">
        <x:f>D20/$B$7</x:f>
        <x:v>4.230320512820512</x:v>
      </x:c>
      <x:c r="C23" s="163" t="n">
        <x:v>32.7</x:v>
      </x:c>
      <x:c r="D23" s="171" t="n">
        <x:f>B23*80%+C23*20%</x:f>
        <x:v>9.924256410256412</x:v>
      </x:c>
      <x:c r="E23" s="120"/>
      <x:c r="F23" s="120"/>
      <x:c r="G23" s="120"/>
      <x:c r="H23" s="120"/>
      <x:c r="I23" s="120"/>
      <x:c r="J23" s="120"/>
      <x:c r="K23" s="120"/>
      <x:c r="L23" s="12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124" t="str">
        <x:v>Прямой труд, ₽/шт.</x:v>
      </x:c>
      <x:c r="B24" s="165" t="n">
        <x:v>10.15</x:v>
      </x:c>
      <x:c r="C24" s="165" t="n">
        <x:v>2.78</x:v>
      </x:c>
      <x:c r="D24" s="172" t="n">
        <x:f>B24*80%+C24*20%</x:f>
        <x:v>8.676</x:v>
      </x:c>
      <x:c r="E24" s="120"/>
      <x:c r="F24" s="120"/>
      <x:c r="G24" s="120"/>
      <x:c r="H24" s="120"/>
      <x:c r="I24" s="120"/>
      <x:c r="J24" s="120"/>
      <x:c r="K24" s="120"/>
      <x:c r="L24" s="12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124" t="str">
        <x:v>Энергия, ₽/шт.</x:v>
      </x:c>
      <x:c r="B25" s="165" t="n">
        <x:v>0.92</x:v>
      </x:c>
      <x:c r="C25" s="165" t="n">
        <x:v>0.8</x:v>
      </x:c>
      <x:c r="D25" s="172" t="n">
        <x:f>B25*80%+C25*20%</x:f>
        <x:v>0.8960000000000001</x:v>
      </x:c>
      <x:c r="E25" s="120"/>
      <x:c r="F25" s="120"/>
      <x:c r="G25" s="120"/>
      <x:c r="H25" s="120"/>
      <x:c r="I25" s="120"/>
      <x:c r="J25" s="120"/>
      <x:c r="K25" s="120"/>
      <x:c r="L25" s="12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124" t="str">
        <x:v>Известная производственная стоимость, ₽/шт.</x:v>
      </x:c>
      <x:c r="B26" s="165" t="n">
        <x:f>SUM(B23:B25)</x:f>
        <x:v>15.300320512820512</x:v>
      </x:c>
      <x:c r="C26" s="165" t="n">
        <x:f>SUM(C23:C25)</x:f>
        <x:v>36.28</x:v>
      </x:c>
      <x:c r="D26" s="172" t="n">
        <x:f>SUM(D23:D25)</x:f>
        <x:v>19.496256410256414</x:v>
      </x:c>
      <x:c r="E26" s="120"/>
      <x:c r="F26" s="120"/>
      <x:c r="G26" s="120"/>
      <x:c r="H26" s="120"/>
      <x:c r="I26" s="120"/>
      <x:c r="J26" s="120"/>
      <x:c r="K26" s="120"/>
      <x:c r="L26" s="12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124" t="str">
        <x:v>Резерв на неучтённые прямые расходы</x:v>
      </x:c>
      <x:c r="B27" s="165" t="n">
        <x:v>0.1</x:v>
      </x:c>
      <x:c r="C27" s="165" t="n">
        <x:v>0.1</x:v>
      </x:c>
      <x:c r="D27" s="172" t="n">
        <x:v>0.1</x:v>
      </x:c>
      <x:c r="E27" s="120"/>
      <x:c r="F27" s="120"/>
      <x:c r="G27" s="120"/>
      <x:c r="H27" s="120"/>
      <x:c r="I27" s="120"/>
      <x:c r="J27" s="120"/>
      <x:c r="K27" s="120"/>
      <x:c r="L27" s="12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124" t="str">
        <x:v>Полная переменная стоимость, ₽/шт.</x:v>
      </x:c>
      <x:c r="B28" s="165" t="n">
        <x:f>B26*(1+B27)</x:f>
        <x:v>16.830352564102565</x:v>
      </x:c>
      <x:c r="C28" s="165" t="n">
        <x:f>C26*(1+C27)</x:f>
        <x:v>39.908</x:v>
      </x:c>
      <x:c r="D28" s="172" t="n">
        <x:f>D26*(1+D27)</x:f>
        <x:v>21.44588205128206</x:v>
      </x:c>
      <x:c r="E28" s="120"/>
      <x:c r="F28" s="120"/>
      <x:c r="G28" s="120"/>
      <x:c r="H28" s="120"/>
      <x:c r="I28" s="120"/>
      <x:c r="J28" s="120"/>
      <x:c r="K28" s="120"/>
      <x:c r="L28" s="12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127" t="str">
        <x:v>Точка безразличия MAKE/BUY, шт.</x:v>
      </x:c>
      <x:c r="B29" s="132" t="n">
        <x:v>24</x:v>
      </x:c>
      <x:c r="C29" s="132" t="str"/>
      <x:c r="D29" s="133" t="str"/>
      <x:c r="E29" s="120"/>
      <x:c r="F29" s="120"/>
      <x:c r="G29" s="120"/>
      <x:c r="H29" s="120"/>
      <x:c r="I29" s="120"/>
      <x:c r="J29" s="120"/>
      <x:c r="K29" s="120"/>
      <x:c r="L29" s="12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  <x:c r="K30" s="120"/>
      <x:c r="L30" s="12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129" t="str">
        <x:v>2. Экономика каналов</x:v>
      </x:c>
      <x:c r="B31" s="129"/>
      <x:c r="C31" s="129"/>
      <x:c r="D31" s="129"/>
      <x:c r="E31" s="129"/>
      <x:c r="F31" s="129"/>
      <x:c r="G31" s="129"/>
      <x:c r="H31" s="129"/>
      <x:c r="I31" s="120"/>
      <x:c r="J31" s="120"/>
      <x:c r="K31" s="120"/>
      <x:c r="L31" s="12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121" t="str">
        <x:v>Канал/модель</x:v>
      </x:c>
      <x:c r="B32" s="121" t="str">
        <x:v>Цена, ₽</x:v>
      </x:c>
      <x:c r="C32" s="121" t="str">
        <x:v>Производственная модель</x:v>
      </x:c>
      <x:c r="D32" s="121" t="str">
        <x:v>Полная переменная стоимость, ₽</x:v>
      </x:c>
      <x:c r="E32" s="121" t="str">
        <x:v>Упаковка/сервировка, ₽</x:v>
      </x:c>
      <x:c r="F32" s="121" t="str">
        <x:v>Эквайринг, %</x:v>
      </x:c>
      <x:c r="G32" s="121" t="str">
        <x:v>Комиссия, %</x:v>
      </x:c>
      <x:c r="H32" s="121" t="str">
        <x:v>Иные прямые расходы, ₽</x:v>
      </x:c>
      <x:c r="I32" s="121" t="str">
        <x:v>Маржа, ₽</x:v>
      </x:c>
      <x:c r="J32" s="121" t="str">
        <x:v>Food cost / доля переменных затрат</x:v>
      </x:c>
      <x:c r="K32" s="121" t="str">
        <x:v>Статус</x:v>
      </x:c>
      <x:c r="L32" s="121" t="str">
        <x:v>Комментарий</x:v>
      </x:c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122" t="str">
        <x:v>À la carte</x:v>
      </x:c>
      <x:c r="B33" s="163" t="n">
        <x:v>120</x:v>
      </x:c>
      <x:c r="C33" s="163" t="str">
        <x:v>MAKE</x:v>
      </x:c>
      <x:c r="D33" s="163" t="n">
        <x:f>$B$28</x:f>
        <x:v>16.830352564102565</x:v>
      </x:c>
      <x:c r="E33" s="163" t="n">
        <x:v>0</x:v>
      </x:c>
      <x:c r="F33" s="177" t="n">
        <x:v>0.02</x:v>
      </x:c>
      <x:c r="G33" s="177" t="n">
        <x:v>0</x:v>
      </x:c>
      <x:c r="H33" s="163" t="n">
        <x:v>0</x:v>
      </x:c>
      <x:c r="I33" s="163" t="n">
        <x:f>B33-D33-E33-(B33*F33)-(B33*G33)-H33</x:f>
        <x:v>100.76964743589743</x:v>
      </x:c>
      <x:c r="J33" s="177" t="n">
        <x:f>D33/B33</x:f>
        <x:v>0.14025293803418803</x:v>
      </x:c>
      <x:c r="K33" s="130" t="str">
        <x:v>PROJECT</x:v>
      </x:c>
      <x:c r="L33" s="123" t="str">
        <x:v>Стандартное обслуживание в зале</x:v>
      </x:c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124" t="str">
        <x:v>Ужин гостей гостиницы</x:v>
      </x:c>
      <x:c r="B34" s="165" t="n">
        <x:v>120</x:v>
      </x:c>
      <x:c r="C34" s="165" t="str">
        <x:v>MAKE</x:v>
      </x:c>
      <x:c r="D34" s="165" t="n">
        <x:f>$B$28</x:f>
        <x:v>16.830352564102565</x:v>
      </x:c>
      <x:c r="E34" s="164"/>
      <x:c r="F34" s="178"/>
      <x:c r="G34" s="178" t="n">
        <x:v>0</x:v>
      </x:c>
      <x:c r="H34" s="164"/>
      <x:c r="I34" s="165" t="str">
        <x:f>IF(OR(E34="",F34="",H34=""),"",B34-D34-E34-(B34*F34)-(B34*G34)-H34)</x:f>
      </x:c>
      <x:c r="J34" s="179" t="str">
        <x:f>IF(I34="","",D34/B34)</x:f>
      </x:c>
      <x:c r="K34" s="120" t="str">
        <x:v>UNKNOWN_NOT_ZERO</x:v>
      </x:c>
      <x:c r="L34" s="125" t="str">
        <x:v>Самостоятельная ценовая и маркетинговая модель</x:v>
      </x:c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124" t="str">
        <x:v>Навынос</x:v>
      </x:c>
      <x:c r="B35" s="165" t="n">
        <x:v>120</x:v>
      </x:c>
      <x:c r="C35" s="165" t="str">
        <x:v>MAKE</x:v>
      </x:c>
      <x:c r="D35" s="165" t="n">
        <x:f>$B$28</x:f>
        <x:v>16.830352564102565</x:v>
      </x:c>
      <x:c r="E35" s="165" t="n">
        <x:v>4</x:v>
      </x:c>
      <x:c r="F35" s="179" t="n">
        <x:v>0.02</x:v>
      </x:c>
      <x:c r="G35" s="179" t="n">
        <x:v>0</x:v>
      </x:c>
      <x:c r="H35" s="165" t="n">
        <x:v>0</x:v>
      </x:c>
      <x:c r="I35" s="165" t="n">
        <x:f>B35-D35-E35-(B35*F35)-(B35*G35)-H35</x:f>
        <x:v>96.76964743589743</x:v>
      </x:c>
      <x:c r="J35" s="179" t="n">
        <x:f>D35/B35</x:f>
        <x:v>0.14025293803418803</x:v>
      </x:c>
      <x:c r="K35" s="120" t="str">
        <x:v>PROJECT</x:v>
      </x:c>
      <x:c r="L35" s="125" t="str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124" t="str">
        <x:v>Доставка</x:v>
      </x:c>
      <x:c r="B36" s="165" t="n">
        <x:v>120</x:v>
      </x:c>
      <x:c r="C36" s="165" t="str">
        <x:v>MAKE</x:v>
      </x:c>
      <x:c r="D36" s="165" t="n">
        <x:f>$B$28</x:f>
        <x:v>16.830352564102565</x:v>
      </x:c>
      <x:c r="E36" s="165" t="n">
        <x:v>6</x:v>
      </x:c>
      <x:c r="F36" s="179" t="n">
        <x:v>0</x:v>
      </x:c>
      <x:c r="G36" s="179" t="n">
        <x:v>0.3</x:v>
      </x:c>
      <x:c r="H36" s="165" t="n">
        <x:v>0</x:v>
      </x:c>
      <x:c r="I36" s="165" t="n">
        <x:f>B36-D36-E36-(B36*F36)-(B36*G36)-H36</x:f>
        <x:v>61.16964743589743</x:v>
      </x:c>
      <x:c r="J36" s="179" t="n">
        <x:f>D36/B36</x:f>
        <x:v>0.14025293803418803</x:v>
      </x:c>
      <x:c r="K36" s="120" t="str">
        <x:v>PROJECT</x:v>
      </x:c>
      <x:c r="L36" s="125" t="str">
        <x:v>Цена предварительная</x:v>
      </x:c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127" t="str">
        <x:v>Обязательный компонент блюда/комплекса</x:v>
      </x:c>
      <x:c r="B37" s="175"/>
      <x:c r="C37" s="166" t="str">
        <x:v>MAKE</x:v>
      </x:c>
      <x:c r="D37" s="166" t="n">
        <x:f>$B$28</x:f>
        <x:v>16.830352564102565</x:v>
      </x:c>
      <x:c r="E37" s="166"/>
      <x:c r="F37" s="180" t="n">
        <x:v>0</x:v>
      </x:c>
      <x:c r="G37" s="180" t="n">
        <x:v>0</x:v>
      </x:c>
      <x:c r="H37" s="166"/>
      <x:c r="I37" s="166" t="str">
        <x:f>""</x:f>
      </x:c>
      <x:c r="J37" s="180" t="str">
        <x:f>""</x:f>
      </x:c>
      <x:c r="K37" s="132" t="str">
        <x:v>TRANSFER_COST</x:v>
      </x:c>
      <x:c r="L37" s="133" t="str">
        <x:v>Отдельной продажной цены нет</x:v>
      </x:c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120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12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129" t="str">
        <x:v>3. Чувствительность</x:v>
      </x:c>
      <x:c r="B39" s="129"/>
      <x:c r="C39" s="129"/>
      <x:c r="D39" s="129"/>
      <x:c r="E39" s="129"/>
      <x:c r="F39" s="129"/>
      <x:c r="G39" s="129"/>
      <x:c r="H39" s="129"/>
      <x:c r="I39" s="120"/>
      <x:c r="J39" s="120"/>
      <x:c r="K39" s="120"/>
      <x:c r="L39" s="12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121" t="str">
        <x:v>Сценарий</x:v>
      </x:c>
      <x:c r="B40" s="121" t="str">
        <x:v>Цена муки, ₽/кг</x:v>
      </x:c>
      <x:c r="C40" s="121" t="str">
        <x:v>Годный выход, шт.</x:v>
      </x:c>
      <x:c r="D40" s="121" t="str">
        <x:v>Труд, нормо-мин</x:v>
      </x:c>
      <x:c r="E40" s="121" t="str">
        <x:v>Расчётная стоимость MAKE, ₽/шт.</x:v>
      </x:c>
      <x:c r="F40" s="120"/>
      <x:c r="G40" s="120"/>
      <x:c r="H40" s="120"/>
      <x:c r="I40" s="120"/>
      <x:c r="J40" s="120"/>
      <x:c r="K40" s="120"/>
      <x:c r="L40" s="12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122" t="str">
        <x:v>База</x:v>
      </x:c>
      <x:c r="B41" s="130" t="n">
        <x:v>62</x:v>
      </x:c>
      <x:c r="C41" s="130" t="n">
        <x:v>78</x:v>
      </x:c>
      <x:c r="D41" s="130" t="n">
        <x:v>95</x:v>
      </x:c>
      <x:c r="E41" s="171" t="n">
        <x:f>(((5*B41)+3.465+16.5)+(D41/60*500)+72)/C41*1.1</x:f>
        <x:v>16.833267094017096</x:v>
      </x:c>
      <x:c r="F41" s="120"/>
      <x:c r="G41" s="120"/>
      <x:c r="H41" s="120"/>
      <x:c r="I41" s="120"/>
      <x:c r="J41" s="120"/>
      <x:c r="K41" s="120"/>
      <x:c r="L41" s="12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124" t="str">
        <x:v>Мука +20%</x:v>
      </x:c>
      <x:c r="B42" s="120" t="n">
        <x:v>74.4</x:v>
      </x:c>
      <x:c r="C42" s="120" t="n">
        <x:v>78</x:v>
      </x:c>
      <x:c r="D42" s="120" t="n">
        <x:v>95</x:v>
      </x:c>
      <x:c r="E42" s="172" t="n">
        <x:f>(((5*B42)+3.465+16.5)+(D42/60*500)+72)/C42*1.1</x:f>
        <x:v>17.707626068376072</x:v>
      </x:c>
      <x:c r="F42" s="120"/>
      <x:c r="G42" s="120"/>
      <x:c r="H42" s="120"/>
      <x:c r="I42" s="120"/>
      <x:c r="J42" s="120"/>
      <x:c r="K42" s="120"/>
      <x:c r="L42" s="12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124" t="str">
        <x:v>Выход 70 шт.</x:v>
      </x:c>
      <x:c r="B43" s="120" t="n">
        <x:v>62</x:v>
      </x:c>
      <x:c r="C43" s="120" t="n">
        <x:v>70</x:v>
      </x:c>
      <x:c r="D43" s="120" t="n">
        <x:v>95</x:v>
      </x:c>
      <x:c r="E43" s="172" t="n">
        <x:f>(((5*B43)+3.465+16.5)+(D43/60*500)+72)/C43*1.1</x:f>
        <x:v>18.757069047619048</x:v>
      </x:c>
      <x:c r="F43" s="120"/>
      <x:c r="G43" s="120"/>
      <x:c r="H43" s="120"/>
      <x:c r="I43" s="120"/>
      <x:c r="J43" s="120"/>
      <x:c r="K43" s="120"/>
      <x:c r="L43" s="12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124" t="str">
        <x:v>Труд 120 мин</x:v>
      </x:c>
      <x:c r="B44" s="120" t="n">
        <x:v>62</x:v>
      </x:c>
      <x:c r="C44" s="120" t="n">
        <x:v>78</x:v>
      </x:c>
      <x:c r="D44" s="120" t="n">
        <x:v>120</x:v>
      </x:c>
      <x:c r="E44" s="172" t="n">
        <x:f>(((5*B44)+3.465+16.5)+(D44/60*500)+72)/C44*1.1</x:f>
        <x:v>19.771301282051283</x:v>
      </x:c>
      <x:c r="F44" s="120"/>
      <x:c r="G44" s="120"/>
      <x:c r="H44" s="120"/>
      <x:c r="I44" s="120"/>
      <x:c r="J44" s="120"/>
      <x:c r="K44" s="120"/>
      <x:c r="L44" s="12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127" t="str">
        <x:v>Комбинированный стресс</x:v>
      </x:c>
      <x:c r="B45" s="132" t="n">
        <x:v>74.4</x:v>
      </x:c>
      <x:c r="C45" s="132" t="n">
        <x:v>70</x:v>
      </x:c>
      <x:c r="D45" s="132" t="n">
        <x:v>120</x:v>
      </x:c>
      <x:c r="E45" s="185" t="n">
        <x:f>(((5*B45)+3.465+16.5)+(D45/60*500)+72)/C45*1.1</x:f>
        <x:v>23.005164285714287</x:v>
      </x:c>
      <x:c r="F45" s="120"/>
      <x:c r="G45" s="120"/>
      <x:c r="H45" s="120"/>
      <x:c r="I45" s="120"/>
      <x:c r="J45" s="120"/>
      <x:c r="K45" s="120"/>
      <x:c r="L45" s="12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120"/>
      <x:c r="B46" s="120"/>
      <x:c r="C46" s="120"/>
      <x:c r="D46" s="120"/>
      <x:c r="E46" s="120"/>
      <x:c r="F46" s="120"/>
      <x:c r="G46" s="120"/>
      <x:c r="H46" s="120"/>
      <x:c r="I46" s="120"/>
      <x:c r="J46" s="120"/>
      <x:c r="K46" s="120"/>
      <x:c r="L46" s="12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131" t="str">
        <x:v>Примечание: числовые допущения подлежат замене фактическими данными. Неизвестные значения не заменяются нулями.</x:v>
      </x:c>
      <x:c r="B47" s="131"/>
      <x:c r="C47" s="131"/>
      <x:c r="D47" s="131"/>
      <x:c r="E47" s="131"/>
      <x:c r="F47" s="131"/>
      <x:c r="G47" s="131"/>
      <x:c r="H47" s="131"/>
      <x:c r="I47" s="131"/>
      <x:c r="J47" s="131"/>
      <x:c r="K47" s="131"/>
      <x:c r="L47" s="131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135" t="str">
        <x:v>Источник</x:v>
      </x:c>
      <x:c r="B48" s="135" t="str">
        <x:v>URL</x:v>
      </x:c>
      <x:c r="C48" s="120" t="str"/>
      <x:c r="D48" s="120" t="str"/>
      <x:c r="E48" s="120" t="str"/>
      <x:c r="F48" s="120" t="str"/>
      <x:c r="G48" s="120" t="str"/>
      <x:c r="H48" s="120" t="str"/>
      <x:c r="I48" s="120" t="str"/>
      <x:c r="J48" s="120" t="str"/>
      <x:c r="K48" s="120" t="str"/>
      <x:c r="L48" s="120" t="str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120" t="str">
        <x:v>Канонический маршрут</x:v>
      </x:c>
      <x:c r="B49" s="120" t="str">
        <x:v>https://github.com/slavagrachov/varshavka-cafe-usali-model/blob/main/docs/07-operations/var-menu-001/VAR-PROMPT-DISH-001.md</x:v>
      </x:c>
      <x:c r="C49" s="120" t="str"/>
      <x:c r="D49" s="120" t="str"/>
      <x:c r="E49" s="120" t="str"/>
      <x:c r="F49" s="120" t="str"/>
      <x:c r="G49" s="120" t="str"/>
      <x:c r="H49" s="120" t="str"/>
      <x:c r="I49" s="120" t="str"/>
      <x:c r="J49" s="120" t="str"/>
      <x:c r="K49" s="120" t="str"/>
      <x:c r="L49" s="120" t="str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120" t="str">
        <x:v>Excel QA</x:v>
      </x:c>
      <x:c r="B50" s="120" t="str">
        <x:v>https://github.com/slavagrachov/varshavka-cafe-usali-model/blob/main/docs/07-operations/var-menu-003/VAR-XLSX-QA-001_SAFE_EXCEL_BUILD_INSTRUCTION_v1.0.0.md</x:v>
      </x:c>
      <x:c r="C50" s="120" t="str"/>
      <x:c r="D50" s="120" t="str"/>
      <x:c r="E50" s="120" t="str"/>
      <x:c r="F50" s="120" t="str"/>
      <x:c r="G50" s="120" t="str"/>
      <x:c r="H50" s="120" t="str"/>
      <x:c r="I50" s="120" t="str"/>
      <x:c r="J50" s="120" t="str"/>
      <x:c r="K50" s="120" t="str"/>
      <x:c r="L50" s="120" t="str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120" t="str">
        <x:v>Issue #98</x:v>
      </x:c>
      <x:c r="B51" s="120" t="str">
        <x:v>https://github.com/slavagrachov/varshavka-cafe-usali-model/issues/98</x:v>
      </x:c>
      <x:c r="C51" s="120" t="str"/>
      <x:c r="D51" s="120" t="str"/>
      <x:c r="E51" s="120" t="str"/>
      <x:c r="F51" s="120" t="str"/>
      <x:c r="G51" s="120" t="str"/>
      <x:c r="H51" s="120" t="str"/>
      <x:c r="I51" s="120" t="str"/>
      <x:c r="J51" s="120" t="str"/>
      <x:c r="K51" s="120" t="str"/>
      <x:c r="L51" s="120" t="str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120"/>
      <x:c r="B52" s="120"/>
      <x:c r="C52" s="120"/>
      <x:c r="D52" s="120"/>
      <x:c r="E52" s="120"/>
      <x:c r="F52" s="120"/>
      <x:c r="G52" s="120"/>
      <x:c r="H52" s="120"/>
      <x:c r="I52" s="120"/>
      <x:c r="J52" s="120"/>
      <x:c r="K52" s="120"/>
      <x:c r="L52" s="12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120"/>
      <x:c r="B53" s="120"/>
      <x:c r="C53" s="120"/>
      <x:c r="D53" s="120"/>
      <x:c r="E53" s="120"/>
      <x:c r="F53" s="120"/>
      <x:c r="G53" s="120"/>
      <x:c r="H53" s="120"/>
      <x:c r="I53" s="120"/>
      <x:c r="J53" s="120"/>
      <x:c r="K53" s="120"/>
      <x:c r="L53" s="12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120"/>
      <x:c r="B54" s="120"/>
      <x:c r="C54" s="120"/>
      <x:c r="D54" s="120"/>
      <x:c r="E54" s="120"/>
      <x:c r="F54" s="120"/>
      <x:c r="G54" s="120"/>
      <x:c r="H54" s="120"/>
      <x:c r="I54" s="120"/>
      <x:c r="J54" s="120"/>
      <x:c r="K54" s="120"/>
      <x:c r="L54" s="12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120"/>
      <x:c r="B55" s="120"/>
      <x:c r="C55" s="120"/>
      <x:c r="D55" s="120"/>
      <x:c r="E55" s="120"/>
      <x:c r="F55" s="120"/>
      <x:c r="G55" s="120"/>
      <x:c r="H55" s="120"/>
      <x:c r="I55" s="120"/>
      <x:c r="J55" s="120"/>
      <x:c r="K55" s="120"/>
      <x:c r="L55" s="12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H1"/>
    <x:mergeCell ref="A14:H14"/>
    <x:mergeCell ref="A31:H31"/>
    <x:mergeCell ref="A39:H39"/>
    <x:mergeCell ref="A47:L47"/>
  </x:mergeCells>
  <x:conditionalFormatting sqref="K33:K37">
    <x:cfRule type="expression" dxfId="0" priority="1">
      <x:formula>K33="UNKNOWN_NOT_ZERO"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16" hidden="0" customWidth="1"/>
    <x:col min="5" max="5" width="22" hidden="0" customWidth="1"/>
    <x:col min="6" max="6" width="30" hidden="0" customWidth="1"/>
    <x:col min="7" max="7" width="18" hidden="0" customWidth="1"/>
    <x:col min="8" max="8" width="24" hidden="0" customWidth="1"/>
    <x:col min="9" max="9" width="38" hidden="0" customWidth="1"/>
    <x:col min="10" max="10" width="20" hidden="0" customWidth="1"/>
  </x:cols>
  <x:sheetData>
    <x:row r="1">
      <x:c r="A1" s="119" t="str">
        <x:v>VKT-005 «Белая чиабатта» — технологическая карта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120"/>
      <x:c r="B2" s="120"/>
      <x:c r="C2" s="120"/>
      <x:c r="D2" s="120"/>
      <x:c r="E2" s="120"/>
      <x:c r="F2" s="120"/>
      <x:c r="G2" s="120"/>
      <x:c r="H2" s="120"/>
      <x:c r="I2" s="120"/>
      <x:c r="J2" s="12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121" t="str">
        <x:v>Параметр</x:v>
      </x:c>
      <x:c r="B3" s="121" t="str">
        <x:v>Значение</x:v>
      </x:c>
      <x:c r="C3" s="120"/>
      <x:c r="D3" s="120"/>
      <x:c r="E3" s="120"/>
      <x:c r="F3" s="120"/>
      <x:c r="G3" s="120"/>
      <x:c r="H3" s="120"/>
      <x:c r="I3" s="120"/>
      <x:c r="J3" s="12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122" t="str">
        <x:v>Наименование</x:v>
      </x:c>
      <x:c r="B4" s="123" t="str">
        <x:v>Белая чиабатта</x:v>
      </x:c>
      <x:c r="C4" s="120"/>
      <x:c r="D4" s="120"/>
      <x:c r="E4" s="120"/>
      <x:c r="F4" s="120"/>
      <x:c r="G4" s="120"/>
      <x:c r="H4" s="120"/>
      <x:c r="I4" s="120"/>
      <x:c r="J4" s="12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124" t="str">
        <x:v>Выход</x:v>
      </x:c>
      <x:c r="B5" s="125" t="str">
        <x:v>100 г</x:v>
      </x:c>
      <x:c r="C5" s="120"/>
      <x:c r="D5" s="120"/>
      <x:c r="E5" s="120"/>
      <x:c r="F5" s="120"/>
      <x:c r="G5" s="120"/>
      <x:c r="H5" s="120"/>
      <x:c r="I5" s="120"/>
      <x:c r="J5" s="12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124" t="str">
        <x:v>Формат</x:v>
      </x:c>
      <x:c r="B6" s="125" t="str">
        <x:v>Индивидуально сформованное изделие</x:v>
      </x:c>
      <x:c r="C6" s="120"/>
      <x:c r="D6" s="120"/>
      <x:c r="E6" s="120"/>
      <x:c r="F6" s="120"/>
      <x:c r="G6" s="120"/>
      <x:c r="H6" s="120"/>
      <x:c r="I6" s="120"/>
      <x:c r="J6" s="12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124" t="str">
        <x:v>Производственная модель</x:v>
      </x:c>
      <x:c r="B7" s="125" t="str">
        <x:v>MAKE / резерв HYBRID</x:v>
      </x:c>
      <x:c r="C7" s="120"/>
      <x:c r="D7" s="120"/>
      <x:c r="E7" s="120"/>
      <x:c r="F7" s="120"/>
      <x:c r="G7" s="120"/>
      <x:c r="H7" s="120"/>
      <x:c r="I7" s="120"/>
      <x:c r="J7" s="12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124" t="str">
        <x:v>Статус</x:v>
      </x:c>
      <x:c r="B8" s="126" t="str">
        <x:v>PENDING_CHEF_MANAGER_VERIFICATION</x:v>
      </x:c>
      <x:c r="C8" s="120"/>
      <x:c r="D8" s="120"/>
      <x:c r="E8" s="120"/>
      <x:c r="F8" s="120"/>
      <x:c r="G8" s="120"/>
      <x:c r="H8" s="120"/>
      <x:c r="I8" s="120"/>
      <x:c r="J8" s="12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124" t="str">
        <x:v>Safety-статус</x:v>
      </x:c>
      <x:c r="B9" s="126" t="str">
        <x:v>SAFETY_BLOCKED_PENDING_VALIDATION</x:v>
      </x:c>
      <x:c r="C9" s="120"/>
      <x:c r="D9" s="120"/>
      <x:c r="E9" s="120"/>
      <x:c r="F9" s="120"/>
      <x:c r="G9" s="120"/>
      <x:c r="H9" s="120"/>
      <x:c r="I9" s="120"/>
      <x:c r="J9" s="12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124" t="str">
        <x:v>Аллерген MAKE</x:v>
      </x:c>
      <x:c r="B10" s="125" t="str">
        <x:v>Пшеница, глютен</x:v>
      </x:c>
      <x:c r="C10" s="120"/>
      <x:c r="D10" s="120"/>
      <x:c r="E10" s="120"/>
      <x:c r="F10" s="120"/>
      <x:c r="G10" s="120"/>
      <x:c r="H10" s="120"/>
      <x:c r="I10" s="120"/>
      <x:c r="J10" s="12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127" t="str">
        <x:v>Гостиничный завтрак</x:v>
      </x:c>
      <x:c r="B11" s="133" t="str">
        <x:v>Не используется</x:v>
      </x:c>
      <x:c r="C11" s="120"/>
      <x:c r="D11" s="120"/>
      <x:c r="E11" s="120"/>
      <x:c r="F11" s="120"/>
      <x:c r="G11" s="120"/>
      <x:c r="H11" s="120"/>
      <x:c r="I11" s="120"/>
      <x:c r="J11" s="12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20"/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129" t="str">
        <x:v>1. Рецептура и массо-баланс</x:v>
      </x:c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121" t="str">
        <x:v>Компонент</x:v>
      </x:c>
      <x:c r="B14" s="121" t="str">
        <x:v>Масса, г</x:v>
      </x:c>
      <x:c r="C14" s="121" t="str">
        <x:v>Пекарский %</x:v>
      </x:c>
      <x:c r="D14" s="121" t="str">
        <x:v>В biga, г</x:v>
      </x:c>
      <x:c r="E14" s="121" t="str">
        <x:v>В основной замес, г</x:v>
      </x:c>
      <x:c r="F14" s="121" t="str">
        <x:v>Статус</x:v>
      </x:c>
      <x:c r="G14" s="121" t="str">
        <x:v>Аллерген</x:v>
      </x:c>
      <x:c r="H14" s="121" t="str">
        <x:v>Комментарий</x:v>
      </x:c>
      <x:c r="I14" s="120"/>
      <x:c r="J14" s="12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122" t="str">
        <x:v>Мука пшеничная</x:v>
      </x:c>
      <x:c r="B15" s="163" t="n">
        <x:v>5000</x:v>
      </x:c>
      <x:c r="C15" s="163" t="n">
        <x:v>100</x:v>
      </x:c>
      <x:c r="D15" s="163" t="n">
        <x:v>1500</x:v>
      </x:c>
      <x:c r="E15" s="163" t="n">
        <x:v>3500</x:v>
      </x:c>
      <x:c r="F15" s="130" t="str">
        <x:v>OWNER_APPROVED_PROJECT_BASIS</x:v>
      </x:c>
      <x:c r="G15" s="130" t="str">
        <x:v>Пшеница, глютен</x:v>
      </x:c>
      <x:c r="H15" s="123" t="str"/>
      <x:c r="I15" s="120"/>
      <x:c r="J15" s="12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124" t="str">
        <x:v>Вода</x:v>
      </x:c>
      <x:c r="B16" s="165" t="n">
        <x:v>4000</x:v>
      </x:c>
      <x:c r="C16" s="165" t="n">
        <x:v>80</x:v>
      </x:c>
      <x:c r="D16" s="165" t="n">
        <x:v>900</x:v>
      </x:c>
      <x:c r="E16" s="165" t="n">
        <x:v>3100</x:v>
      </x:c>
      <x:c r="F16" s="120" t="str">
        <x:v>OWNER_APPROVED_PROJECT_BASIS</x:v>
      </x:c>
      <x:c r="G16" s="120" t="str"/>
      <x:c r="H16" s="125" t="str"/>
      <x:c r="I16" s="120"/>
      <x:c r="J16" s="12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124" t="str">
        <x:v>Соль</x:v>
      </x:c>
      <x:c r="B17" s="165" t="n">
        <x:v>110</x:v>
      </x:c>
      <x:c r="C17" s="165" t="n">
        <x:v>2.2</x:v>
      </x:c>
      <x:c r="D17" s="165" t="n">
        <x:v>0</x:v>
      </x:c>
      <x:c r="E17" s="165" t="n">
        <x:v>110</x:v>
      </x:c>
      <x:c r="F17" s="120" t="str">
        <x:v>OWNER_APPROVED_PROJECT_BASIS</x:v>
      </x:c>
      <x:c r="G17" s="120" t="str"/>
      <x:c r="H17" s="125" t="str"/>
      <x:c r="I17" s="120"/>
      <x:c r="J17" s="12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124" t="str">
        <x:v>Дрожжи сухие</x:v>
      </x:c>
      <x:c r="B18" s="165" t="n">
        <x:v>30</x:v>
      </x:c>
      <x:c r="C18" s="165" t="n">
        <x:v>0.6</x:v>
      </x:c>
      <x:c r="D18" s="165" t="n">
        <x:v>1.5</x:v>
      </x:c>
      <x:c r="E18" s="165" t="n">
        <x:v>28.5</x:v>
      </x:c>
      <x:c r="F18" s="120" t="str">
        <x:v>OWNER_APPROVED_PROJECT_BASIS</x:v>
      </x:c>
      <x:c r="G18" s="120" t="str"/>
      <x:c r="H18" s="125" t="str"/>
      <x:c r="I18" s="120"/>
      <x:c r="J18" s="12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124" t="str">
        <x:v>ИТОГО ТЕСТА</x:v>
      </x:c>
      <x:c r="B19" s="165" t="n">
        <x:f>SUM(B15:B18)</x:f>
        <x:v>9140</x:v>
      </x:c>
      <x:c r="C19" s="165" t="n">
        <x:f>SUM(C15:C18)</x:f>
        <x:v>182.79999999999998</x:v>
      </x:c>
      <x:c r="D19" s="165" t="n">
        <x:f>SUM(D15:D18)</x:f>
        <x:v>2401.5</x:v>
      </x:c>
      <x:c r="E19" s="165" t="n">
        <x:f>SUM(E15:E18)</x:f>
        <x:v>6738.5</x:v>
      </x:c>
      <x:c r="F19" s="120" t="str">
        <x:v>CALCULATED</x:v>
      </x:c>
      <x:c r="G19" s="120" t="str"/>
      <x:c r="H19" s="125" t="str"/>
      <x:c r="I19" s="120"/>
      <x:c r="J19" s="12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127" t="str">
        <x:v>Проектный выход</x:v>
      </x:c>
      <x:c r="B20" s="166" t="n">
        <x:v>7800</x:v>
      </x:c>
      <x:c r="C20" s="166"/>
      <x:c r="D20" s="166"/>
      <x:c r="E20" s="166"/>
      <x:c r="F20" s="132" t="str">
        <x:v>CALCULATED</x:v>
      </x:c>
      <x:c r="G20" s="132" t="str"/>
      <x:c r="H20" s="133" t="str">
        <x:v>78 изделий × 100 г</x:v>
      </x:c>
      <x:c r="I20" s="120"/>
      <x:c r="J20" s="12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120"/>
      <x:c r="B21" s="120"/>
      <x:c r="C21" s="120"/>
      <x:c r="D21" s="120"/>
      <x:c r="E21" s="120"/>
      <x:c r="F21" s="120"/>
      <x:c r="G21" s="120"/>
      <x:c r="H21" s="120"/>
      <x:c r="I21" s="120"/>
      <x:c r="J21" s="12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121" t="str">
        <x:v>Показатель</x:v>
      </x:c>
      <x:c r="B22" s="121" t="str">
        <x:v>Значение</x:v>
      </x:c>
      <x:c r="C22" s="121" t="str">
        <x:v>Ед.</x:v>
      </x:c>
      <x:c r="D22" s="121" t="str">
        <x:v>Формула/основание</x:v>
      </x:c>
      <x:c r="E22" s="121" t="str">
        <x:v>Статус</x:v>
      </x:c>
      <x:c r="F22" s="121" t="str">
        <x:v>Комментарий</x:v>
      </x:c>
      <x:c r="G22" s="120"/>
      <x:c r="H22" s="120"/>
      <x:c r="I22" s="120"/>
      <x:c r="J22" s="12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122" t="str">
        <x:v>Гидратация</x:v>
      </x:c>
      <x:c r="B23" s="163" t="n">
        <x:f>B16/B15*100</x:f>
        <x:v>80</x:v>
      </x:c>
      <x:c r="C23" s="130" t="str">
        <x:v>%</x:v>
      </x:c>
      <x:c r="D23" s="130" t="str">
        <x:v>Вода / мука</x:v>
      </x:c>
      <x:c r="E23" s="130" t="str">
        <x:v>CALCULATED</x:v>
      </x:c>
      <x:c r="F23" s="123" t="str">
        <x:v>Основная 80%; тест 76%</x:v>
      </x:c>
      <x:c r="G23" s="120"/>
      <x:c r="H23" s="120"/>
      <x:c r="I23" s="120"/>
      <x:c r="J23" s="12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124" t="str">
        <x:v>Масса заготовки</x:v>
      </x:c>
      <x:c r="B24" s="165" t="n">
        <x:v>116</x:v>
      </x:c>
      <x:c r="C24" s="120" t="str">
        <x:v>г</x:v>
      </x:c>
      <x:c r="D24" s="120" t="str">
        <x:v>Owner Gate 1</x:v>
      </x:c>
      <x:c r="E24" s="120" t="str">
        <x:v>PROJECT</x:v>
      </x:c>
      <x:c r="F24" s="125" t="str">
        <x:v>Временный допуск ±2 г</x:v>
      </x:c>
      <x:c r="G24" s="120"/>
      <x:c r="H24" s="120"/>
      <x:c r="I24" s="120"/>
      <x:c r="J24" s="12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124" t="str">
        <x:v>Количество заготовок</x:v>
      </x:c>
      <x:c r="B25" s="165" t="n">
        <x:v>78</x:v>
      </x:c>
      <x:c r="C25" s="120" t="str">
        <x:v>шт.</x:v>
      </x:c>
      <x:c r="D25" s="120" t="str">
        <x:v>Owner Gate 1</x:v>
      </x:c>
      <x:c r="E25" s="120" t="str">
        <x:v>PROJECT</x:v>
      </x:c>
      <x:c r="F25" s="125" t="str"/>
      <x:c r="G25" s="120"/>
      <x:c r="H25" s="120"/>
      <x:c r="I25" s="120"/>
      <x:c r="J25" s="12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124" t="str">
        <x:v>Потери до печи</x:v>
      </x:c>
      <x:c r="B26" s="165" t="n">
        <x:v>92</x:v>
      </x:c>
      <x:c r="C26" s="120" t="str">
        <x:v>г</x:v>
      </x:c>
      <x:c r="D26" s="120" t="str">
        <x:v>около 1,0%</x:v>
      </x:c>
      <x:c r="E26" s="120" t="str">
        <x:v>PENDING_TEST</x:v>
      </x:c>
      <x:c r="F26" s="125" t="str"/>
      <x:c r="G26" s="120"/>
      <x:c r="H26" s="120"/>
      <x:c r="I26" s="120"/>
      <x:c r="J26" s="12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124" t="str">
        <x:v>Потери выпечка+охлаждение</x:v>
      </x:c>
      <x:c r="B27" s="165" t="n">
        <x:v>1248</x:v>
      </x:c>
      <x:c r="C27" s="120" t="str">
        <x:v>г</x:v>
      </x:c>
      <x:c r="D27" s="120" t="str">
        <x:v>около 13,8%</x:v>
      </x:c>
      <x:c r="E27" s="120" t="str">
        <x:v>PENDING_TEST</x:v>
      </x:c>
      <x:c r="F27" s="125" t="str"/>
      <x:c r="G27" s="120"/>
      <x:c r="H27" s="120"/>
      <x:c r="I27" s="120"/>
      <x:c r="J27" s="12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127" t="str">
        <x:v>Совокупные потери</x:v>
      </x:c>
      <x:c r="B28" s="166" t="n">
        <x:f>(B19-B20)/B19*100</x:f>
        <x:v>14.660831509846828</x:v>
      </x:c>
      <x:c r="C28" s="132" t="str">
        <x:v>%</x:v>
      </x:c>
      <x:c r="D28" s="132" t="str">
        <x:v>(масса теста - выход)/масса теста</x:v>
      </x:c>
      <x:c r="E28" s="132" t="str">
        <x:v>CALCULATED</x:v>
      </x:c>
      <x:c r="F28" s="133" t="str"/>
      <x:c r="G28" s="120"/>
      <x:c r="H28" s="120"/>
      <x:c r="I28" s="120"/>
      <x:c r="J28" s="12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120"/>
      <x:c r="B29" s="120"/>
      <x:c r="C29" s="120"/>
      <x:c r="D29" s="120"/>
      <x:c r="E29" s="120"/>
      <x:c r="F29" s="120"/>
      <x:c r="G29" s="120"/>
      <x:c r="H29" s="120"/>
      <x:c r="I29" s="120"/>
      <x:c r="J29" s="12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129" t="str">
        <x:v>2. Технологическая последовательность</x:v>
      </x:c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121" t="str">
        <x:v>№</x:v>
      </x:c>
      <x:c r="B31" s="121" t="str">
        <x:v>Операция</x:v>
      </x:c>
      <x:c r="C31" s="121" t="str">
        <x:v>Режим/описание</x:v>
      </x:c>
      <x:c r="D31" s="121" t="str">
        <x:v>Активное время, мин</x:v>
      </x:c>
      <x:c r="E31" s="121" t="str">
        <x:v>Температура/влажность</x:v>
      </x:c>
      <x:c r="F31" s="121" t="str">
        <x:v>Контроль</x:v>
      </x:c>
      <x:c r="G31" s="120"/>
      <x:c r="H31" s="120"/>
      <x:c r="I31" s="120"/>
      <x:c r="J31" s="12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122" t="n">
        <x:v>1</x:v>
      </x:c>
      <x:c r="B32" s="130" t="str">
        <x:v>Приёмка сырья</x:v>
      </x:c>
      <x:c r="C32" s="130" t="str">
        <x:v>Проверить маркировку, срок, партию и документы</x:v>
      </x:c>
      <x:c r="D32" s="130" t="str"/>
      <x:c r="E32" s="130" t="str"/>
      <x:c r="F32" s="123" t="str">
        <x:v>Прослеживаемость</x:v>
      </x:c>
      <x:c r="G32" s="120"/>
      <x:c r="H32" s="120"/>
      <x:c r="I32" s="120"/>
      <x:c r="J32" s="12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124" t="n">
        <x:v>2</x:v>
      </x:c>
      <x:c r="B33" s="120" t="str">
        <x:v>Подготовка biga</x:v>
      </x:c>
      <x:c r="C33" s="120" t="str">
        <x:v>Мука 1500 г; вода 900 г; дрожжи 1,5 г</x:v>
      </x:c>
      <x:c r="D33" s="120" t="str">
        <x:v>10</x:v>
      </x:c>
      <x:c r="E33" s="120" t="str">
        <x:v>16–18°C</x:v>
      </x:c>
      <x:c r="F33" s="125" t="str">
        <x:v>Равномерное соединение</x:v>
      </x:c>
      <x:c r="G33" s="120"/>
      <x:c r="H33" s="120"/>
      <x:c r="I33" s="120"/>
      <x:c r="J33" s="12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124" t="n">
        <x:v>3</x:v>
      </x:c>
      <x:c r="B34" s="120" t="str">
        <x:v>Ферментация biga</x:v>
      </x:c>
      <x:c r="C34" s="120" t="str">
        <x:v>12–16 часов</x:v>
      </x:c>
      <x:c r="D34" s="120" t="str"/>
      <x:c r="E34" s="120" t="str">
        <x:v>16–18°C</x:v>
      </x:c>
      <x:c r="F34" s="125" t="str">
        <x:v>Объём, аромат, состояние поверхности</x:v>
      </x:c>
      <x:c r="G34" s="120"/>
      <x:c r="H34" s="120"/>
      <x:c r="I34" s="120"/>
      <x:c r="J34" s="12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124" t="n">
        <x:v>4</x:v>
      </x:c>
      <x:c r="B35" s="120" t="str">
        <x:v>Подготовка основного замеса</x:v>
      </x:c>
      <x:c r="C35" s="120" t="str">
        <x:v>Взвешивание компонентов</x:v>
      </x:c>
      <x:c r="D35" s="120" t="str">
        <x:v>10</x:v>
      </x:c>
      <x:c r="E35" s="120" t="str"/>
      <x:c r="F35" s="125" t="str">
        <x:v>Точность дозирования</x:v>
      </x:c>
      <x:c r="G35" s="120"/>
      <x:c r="H35" s="120"/>
      <x:c r="I35" s="120"/>
      <x:c r="J35" s="12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124" t="n">
        <x:v>5</x:v>
      </x:c>
      <x:c r="B36" s="120" t="str">
        <x:v>Основной замес</x:v>
      </x:c>
      <x:c r="C36" s="120" t="str">
        <x:v>Первая скорость около 3 мин; вторая 5–8 мин; двойная гидратация</x:v>
      </x:c>
      <x:c r="D36" s="120" t="str">
        <x:v>15</x:v>
      </x:c>
      <x:c r="E36" s="120" t="str">
        <x:v>Тесто 23–25°C</x:v>
      </x:c>
      <x:c r="F36" s="125" t="str">
        <x:v>Связная эластичная структура</x:v>
      </x:c>
      <x:c r="G36" s="120"/>
      <x:c r="H36" s="120"/>
      <x:c r="I36" s="120"/>
      <x:c r="J36" s="12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124" t="n">
        <x:v>6</x:v>
      </x:c>
      <x:c r="B37" s="120" t="str">
        <x:v>Основное брожение</x:v>
      </x:c>
      <x:c r="C37" s="120" t="str">
        <x:v>120–150 минут</x:v>
      </x:c>
      <x:c r="D37" s="120" t="str"/>
      <x:c r="E37" s="120" t="str">
        <x:v>23–25°C</x:v>
      </x:c>
      <x:c r="F37" s="125" t="str">
        <x:v>Газонасыщенность и объём</x:v>
      </x:c>
      <x:c r="G37" s="120"/>
      <x:c r="H37" s="120"/>
      <x:c r="I37" s="120"/>
      <x:c r="J37" s="12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124" t="n">
        <x:v>7</x:v>
      </x:c>
      <x:c r="B38" s="120" t="str">
        <x:v>Складывания</x:v>
      </x:c>
      <x:c r="C38" s="120" t="str">
        <x:v>Через 30, 60 и при необходимости 90 минут</x:v>
      </x:c>
      <x:c r="D38" s="120" t="str">
        <x:v>12</x:v>
      </x:c>
      <x:c r="E38" s="120" t="str"/>
      <x:c r="F38" s="125" t="str">
        <x:v>Укрепление структуры</x:v>
      </x:c>
      <x:c r="G38" s="120"/>
      <x:c r="H38" s="120"/>
      <x:c r="I38" s="120"/>
      <x:c r="J38" s="12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124" t="n">
        <x:v>8</x:v>
      </x:c>
      <x:c r="B39" s="120" t="str">
        <x:v>Деление и формование</x:v>
      </x:c>
      <x:c r="C39" s="120" t="str">
        <x:v>78 заготовок по 116 г; минимальная дегазация</x:v>
      </x:c>
      <x:c r="D39" s="120" t="str">
        <x:v>33</x:v>
      </x:c>
      <x:c r="E39" s="120" t="str"/>
      <x:c r="F39" s="125" t="str">
        <x:v>Масса и сохранение пористости</x:v>
      </x:c>
      <x:c r="G39" s="120"/>
      <x:c r="H39" s="120"/>
      <x:c r="I39" s="120"/>
      <x:c r="J39" s="12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124" t="n">
        <x:v>9</x:v>
      </x:c>
      <x:c r="B40" s="120" t="str">
        <x:v>Расстойка</x:v>
      </x:c>
      <x:c r="C40" s="120" t="str">
        <x:v>35–50 минут</x:v>
      </x:c>
      <x:c r="D40" s="120" t="str"/>
      <x:c r="E40" s="120" t="str">
        <x:v>26–28°C; RH 65–75%</x:v>
      </x:c>
      <x:c r="F40" s="125" t="str">
        <x:v>Защита от заветривания</x:v>
      </x:c>
      <x:c r="G40" s="120"/>
      <x:c r="H40" s="120"/>
      <x:c r="I40" s="120"/>
      <x:c r="J40" s="12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124" t="n">
        <x:v>10</x:v>
      </x:c>
      <x:c r="B41" s="120" t="str">
        <x:v>Выпечка</x:v>
      </x:c>
      <x:c r="C41" s="120" t="str">
        <x:v>15–22 мин; старт 225–230°C, затем снижение</x:v>
      </x:c>
      <x:c r="D41" s="120" t="str">
        <x:v>10</x:v>
      </x:c>
      <x:c r="E41" s="120" t="str">
        <x:v>Пар в начале</x:v>
      </x:c>
      <x:c r="F41" s="125" t="str">
        <x:v>Корка, мякиш, масса</x:v>
      </x:c>
      <x:c r="G41" s="120"/>
      <x:c r="H41" s="120"/>
      <x:c r="I41" s="120"/>
      <x:c r="J41" s="12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124" t="n">
        <x:v>11</x:v>
      </x:c>
      <x:c r="B42" s="120" t="str">
        <x:v>Охлаждение</x:v>
      </x:c>
      <x:c r="C42" s="120" t="str">
        <x:v>В один слой 45–60 минут</x:v>
      </x:c>
      <x:c r="D42" s="120" t="str"/>
      <x:c r="E42" s="120" t="str"/>
      <x:c r="F42" s="125" t="str">
        <x:v>Нет конденсата</x:v>
      </x:c>
      <x:c r="G42" s="120"/>
      <x:c r="H42" s="120"/>
      <x:c r="I42" s="120"/>
      <x:c r="J42" s="12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127" t="n">
        <x:v>12</x:v>
      </x:c>
      <x:c r="B43" s="132" t="str">
        <x:v>Контроль и маркировка</x:v>
      </x:c>
      <x:c r="C43" s="132" t="str">
        <x:v>Масса, органолептика, партия, срок</x:v>
      </x:c>
      <x:c r="D43" s="132" t="str">
        <x:v>15</x:v>
      </x:c>
      <x:c r="E43" s="132" t="str"/>
      <x:c r="F43" s="133" t="str">
        <x:v>Годность/брак</x:v>
      </x:c>
      <x:c r="G43" s="120"/>
      <x:c r="H43" s="120"/>
      <x:c r="I43" s="120"/>
      <x:c r="J43" s="12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120"/>
      <x:c r="B44" s="120"/>
      <x:c r="C44" s="120"/>
      <x:c r="D44" s="120"/>
      <x:c r="E44" s="120"/>
      <x:c r="F44" s="120"/>
      <x:c r="G44" s="120"/>
      <x:c r="H44" s="120"/>
      <x:c r="I44" s="120"/>
      <x:c r="J44" s="12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129" t="str">
        <x:v>3. Оборудование, органолептика и безопасность</x:v>
      </x:c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121" t="str">
        <x:v>Блок</x:v>
      </x:c>
      <x:c r="B46" s="121" t="str">
        <x:v>Требование</x:v>
      </x:c>
      <x:c r="C46" s="121" t="str">
        <x:v>Статус</x:v>
      </x:c>
      <x:c r="D46" s="121" t="str">
        <x:v>Блокер ID</x:v>
      </x:c>
      <x:c r="E46" s="121" t="str">
        <x:v>Критичность</x:v>
      </x:c>
      <x:c r="F46" s="121" t="str">
        <x:v>Комментарий</x:v>
      </x:c>
      <x:c r="G46" s="120"/>
      <x:c r="H46" s="121" t="str">
        <x:v>Критерий</x:v>
      </x:c>
      <x:c r="I46" s="121" t="str">
        <x:v>Норма</x:v>
      </x:c>
      <x:c r="J46" s="121" t="str">
        <x:v>Статус</x:v>
      </x:c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122" t="str">
        <x:v>Тестомес</x:v>
      </x:c>
      <x:c r="B47" s="130" t="str">
        <x:v>Стабильная работа с 9,14 кг высокогидратированного теста</x:v>
      </x:c>
      <x:c r="C47" s="130" t="str">
        <x:v>PENDING_VALIDATION</x:v>
      </x:c>
      <x:c r="D47" s="130" t="str">
        <x:v>FS-VKM005-01</x:v>
      </x:c>
      <x:c r="E47" s="130" t="str">
        <x:v>S2</x:v>
      </x:c>
      <x:c r="F47" s="123" t="str"/>
      <x:c r="G47" s="120"/>
      <x:c r="H47" s="122" t="str">
        <x:v>Корка</x:v>
      </x:c>
      <x:c r="I47" s="130" t="str">
        <x:v>Тонкая, хрустящая, золотистая/светло-коричневая</x:v>
      </x:c>
      <x:c r="J47" s="123" t="str">
        <x:v>PROJECT</x:v>
      </x:c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124" t="str">
        <x:v>Расстойка</x:v>
      </x:c>
      <x:c r="B48" s="120" t="str">
        <x:v>26–28°C; RH 65–75%; вместимость партии</x:v>
      </x:c>
      <x:c r="C48" s="120" t="str">
        <x:v>PENDING_VALIDATION</x:v>
      </x:c>
      <x:c r="D48" s="120" t="str">
        <x:v>FS-VKM005-05</x:v>
      </x:c>
      <x:c r="E48" s="120" t="str">
        <x:v>S2</x:v>
      </x:c>
      <x:c r="F48" s="125" t="str"/>
      <x:c r="G48" s="120"/>
      <x:c r="H48" s="124" t="str">
        <x:v>Мякиш</x:v>
      </x:c>
      <x:c r="I48" s="120" t="str">
        <x:v>Влажный, эластичный, не липкий</x:v>
      </x:c>
      <x:c r="J48" s="125" t="str">
        <x:v>PROJECT</x:v>
      </x:c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124" t="str">
        <x:v>Печь</x:v>
      </x:c>
      <x:c r="B49" s="120" t="str">
        <x:v>Пекарская печь с регулируемым паром; не более 4 загрузок</x:v>
      </x:c>
      <x:c r="C49" s="120" t="str">
        <x:v>PENDING_VALIDATION</x:v>
      </x:c>
      <x:c r="D49" s="120" t="str">
        <x:v>FS-VKM005-06</x:v>
      </x:c>
      <x:c r="E49" s="120" t="str">
        <x:v>S2</x:v>
      </x:c>
      <x:c r="F49" s="125" t="str"/>
      <x:c r="G49" s="120"/>
      <x:c r="H49" s="124" t="str">
        <x:v>Пористость</x:v>
      </x:c>
      <x:c r="I49" s="120" t="str">
        <x:v>Неравномерная, средняя и крупная</x:v>
      </x:c>
      <x:c r="J49" s="125" t="str">
        <x:v>PROJECT</x:v>
      </x:c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124" t="str">
        <x:v>Критерий пропекания</x:v>
      </x:c>
      <x:c r="B50" s="120" t="str">
        <x:v>Утверждается по контрольным выпечкам</x:v>
      </x:c>
      <x:c r="C50" s="120" t="str">
        <x:v>BLOCKED</x:v>
      </x:c>
      <x:c r="D50" s="120" t="str">
        <x:v>FS-VKM005-07</x:v>
      </x:c>
      <x:c r="E50" s="120" t="str">
        <x:v>S1</x:v>
      </x:c>
      <x:c r="F50" s="125" t="str"/>
      <x:c r="G50" s="120"/>
      <x:c r="H50" s="124" t="str">
        <x:v>Аромат</x:v>
      </x:c>
      <x:c r="I50" s="120" t="str">
        <x:v>Чистый хлебный</x:v>
      </x:c>
      <x:c r="J50" s="125" t="str">
        <x:v>PROJECT</x:v>
      </x:c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124" t="str">
        <x:v>Срок 24 часа</x:v>
      </x:c>
      <x:c r="B51" s="120" t="str">
        <x:v>Не подтверждён испытаниями</x:v>
      </x:c>
      <x:c r="C51" s="120" t="str">
        <x:v>BLOCKED</x:v>
      </x:c>
      <x:c r="D51" s="120" t="str">
        <x:v>FS-VKM005-08</x:v>
      </x:c>
      <x:c r="E51" s="120" t="str">
        <x:v>S1</x:v>
      </x:c>
      <x:c r="F51" s="125" t="str"/>
      <x:c r="G51" s="120"/>
      <x:c r="H51" s="124" t="str">
        <x:v>Вкус</x:v>
      </x:c>
      <x:c r="I51" s="120" t="str">
        <x:v>Без постороннего вкуса и запаха</x:v>
      </x:c>
      <x:c r="J51" s="125" t="str">
        <x:v>PROJECT</x:v>
      </x:c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124" t="str">
        <x:v>Cross-contact</x:v>
      </x:c>
      <x:c r="B52" s="120" t="str">
        <x:v>Молоко, яйцо, соя, кунжут, орехи и иные аллергены кухни</x:v>
      </x:c>
      <x:c r="C52" s="120" t="str">
        <x:v>BLOCKED</x:v>
      </x:c>
      <x:c r="D52" s="120" t="str">
        <x:v>FS-VKM005-11</x:v>
      </x:c>
      <x:c r="E52" s="120" t="str">
        <x:v>S1</x:v>
      </x:c>
      <x:c r="F52" s="125" t="str"/>
      <x:c r="G52" s="120"/>
      <x:c r="H52" s="124" t="str">
        <x:v>Масса</x:v>
      </x:c>
      <x:c r="I52" s="120" t="str">
        <x:v>100 г; временно 95–105 г</x:v>
      </x:c>
      <x:c r="J52" s="125" t="str">
        <x:v>PROJECT</x:v>
      </x:c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124" t="str">
        <x:v>Документы BUY</x:v>
      </x:c>
      <x:c r="B53" s="120" t="str">
        <x:v>Полный состав, аллергены, режимы хранения и допекания</x:v>
      </x:c>
      <x:c r="C53" s="120" t="str">
        <x:v>BLOCKED</x:v>
      </x:c>
      <x:c r="D53" s="120" t="str">
        <x:v>FS-VKM005-12</x:v>
      </x:c>
      <x:c r="E53" s="120" t="str">
        <x:v>S1</x:v>
      </x:c>
      <x:c r="F53" s="125" t="str"/>
      <x:c r="G53" s="120"/>
      <x:c r="H53" s="124" t="str">
        <x:v>Свежая реализация</x:v>
      </x:c>
      <x:c r="I53" s="120" t="str">
        <x:v>В пределах смены; 24 ч не подтверждены</x:v>
      </x:c>
      <x:c r="J53" s="125" t="str">
        <x:v>BLOCKED</x:v>
      </x:c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124" t="str">
        <x:v>Контрольные выпечки</x:v>
      </x:c>
      <x:c r="B54" s="120" t="str">
        <x:v>Минимум три серии</x:v>
      </x:c>
      <x:c r="C54" s="120" t="str">
        <x:v>BLOCKED</x:v>
      </x:c>
      <x:c r="D54" s="120" t="str">
        <x:v>FS-VKM005-14</x:v>
      </x:c>
      <x:c r="E54" s="120" t="str">
        <x:v>S1</x:v>
      </x:c>
      <x:c r="F54" s="125" t="str"/>
      <x:c r="G54" s="120"/>
      <x:c r="H54" s="124" t="str">
        <x:v>Заморозка</x:v>
      </x:c>
      <x:c r="I54" s="120" t="str">
        <x:v>−18°C; тест 7/14/30 суток</x:v>
      </x:c>
      <x:c r="J54" s="125" t="str">
        <x:v>PENDING_TEST</x:v>
      </x:c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127" t="str">
        <x:v>Канал «Ужин гостей гостиницы»</x:v>
      </x:c>
      <x:c r="B55" s="132" t="str">
        <x:v>Отдельная модель обслуживания и маркетинга</x:v>
      </x:c>
      <x:c r="C55" s="132" t="str">
        <x:v>PENDING_MANAGER_DECISION</x:v>
      </x:c>
      <x:c r="D55" s="132" t="str">
        <x:v>FS-VKM005-16</x:v>
      </x:c>
      <x:c r="E55" s="132" t="str">
        <x:v>S2</x:v>
      </x:c>
      <x:c r="F55" s="133" t="str"/>
      <x:c r="G55" s="120"/>
      <x:c r="H55" s="127" t="str">
        <x:v>Доставка</x:v>
      </x:c>
      <x:c r="I55" s="132" t="str">
        <x:v>Тесты 15/30/45 минут</x:v>
      </x:c>
      <x:c r="J55" s="133" t="str">
        <x:v>PENDING_TEST</x:v>
      </x:c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120"/>
      <x:c r="B56" s="120"/>
      <x:c r="C56" s="120"/>
      <x:c r="D56" s="120"/>
      <x:c r="E56" s="120"/>
      <x:c r="F56" s="120"/>
      <x:c r="G56" s="120"/>
      <x:c r="H56" s="120"/>
      <x:c r="I56" s="120"/>
      <x:c r="J56" s="12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120"/>
      <x:c r="B57" s="120"/>
      <x:c r="C57" s="120"/>
      <x:c r="D57" s="120"/>
      <x:c r="E57" s="120"/>
      <x:c r="F57" s="120"/>
      <x:c r="G57" s="120"/>
      <x:c r="H57" s="120"/>
      <x:c r="I57" s="120"/>
      <x:c r="J57" s="12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120"/>
      <x:c r="B58" s="120"/>
      <x:c r="C58" s="120"/>
      <x:c r="D58" s="120"/>
      <x:c r="E58" s="120"/>
      <x:c r="F58" s="120"/>
      <x:c r="G58" s="120"/>
      <x:c r="H58" s="120"/>
      <x:c r="I58" s="120"/>
      <x:c r="J58" s="12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120"/>
      <x:c r="B59" s="120"/>
      <x:c r="C59" s="120"/>
      <x:c r="D59" s="120"/>
      <x:c r="E59" s="120"/>
      <x:c r="F59" s="120"/>
      <x:c r="G59" s="120"/>
      <x:c r="H59" s="120"/>
      <x:c r="I59" s="120"/>
      <x:c r="J59" s="12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120"/>
      <x:c r="B60" s="120"/>
      <x:c r="C60" s="120"/>
      <x:c r="D60" s="120"/>
      <x:c r="E60" s="120"/>
      <x:c r="F60" s="120"/>
      <x:c r="G60" s="120"/>
      <x:c r="H60" s="120"/>
      <x:c r="I60" s="120"/>
      <x:c r="J60" s="12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J1"/>
    <x:mergeCell ref="A13:J13"/>
    <x:mergeCell ref="A30:J30"/>
    <x:mergeCell ref="A45:J45"/>
  </x:mergeCells>
  <x:conditionalFormatting sqref="C47:C55">
    <x:cfRule type="expression" dxfId="1" priority="1">
      <x:formula>C47="BLOCKED"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46" hidden="0" customWidth="1"/>
    <x:col min="5" max="5" width="34" hidden="0" customWidth="1"/>
    <x:col min="6" max="6" width="28" hidden="0" customWidth="1"/>
    <x:col min="7" max="7" width="20" hidden="0" customWidth="1"/>
    <x:col min="8" max="8" width="28" hidden="0" customWidth="1"/>
    <x:col min="9" max="9" width="14" hidden="0" customWidth="1"/>
    <x:col min="10" max="10" width="20" hidden="0" customWidth="1"/>
    <x:col min="11" max="11" width="18" hidden="0" customWidth="1"/>
  </x:cols>
  <x:sheetData>
    <x:row r="1">
      <x:c r="A1" s="119" t="str">
        <x:v>VKM-005 «Белая чиабатта» — анкета шеф-повару и управляющему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120"/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121" t="str">
        <x:v>№</x:v>
      </x:c>
      <x:c r="B3" s="121" t="str">
        <x:v>Кому</x:v>
      </x:c>
      <x:c r="C3" s="121" t="str">
        <x:v>Блок</x:v>
      </x:c>
      <x:c r="D3" s="121" t="str">
        <x:v>Вопрос</x:v>
      </x:c>
      <x:c r="E3" s="121" t="str">
        <x:v>Предлагаемое значение</x:v>
      </x:c>
      <x:c r="F3" s="121" t="str">
        <x:v>Ответ/факт</x:v>
      </x:c>
      <x:c r="G3" s="121" t="str">
        <x:v>Решение</x:v>
      </x:c>
      <x:c r="H3" s="121" t="str">
        <x:v>Комментарий</x:v>
      </x:c>
      <x:c r="I3" s="121" t="str">
        <x:v>Дата</x:v>
      </x:c>
      <x:c r="J3" s="121" t="str">
        <x:v>ФИО</x:v>
      </x:c>
      <x:c r="K3" s="121" t="str">
        <x:v>Подпись/отметка</x:v>
      </x:c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122" t="n">
        <x:v>1</x:v>
      </x:c>
      <x:c r="B4" s="130" t="str">
        <x:v>Шеф-повар</x:v>
      </x:c>
      <x:c r="C4" s="130" t="str">
        <x:v>Рецептура</x:v>
      </x:c>
      <x:c r="D4" s="130" t="str">
        <x:v>Подтвердить рецептуру без масла, сахара и улучшителя?</x:v>
      </x:c>
      <x:c r="E4" s="130" t="str">
        <x:v>Да</x:v>
      </x:c>
      <x:c r="F4" s="153" t="str"/>
      <x:c r="G4" s="153" t="str"/>
      <x:c r="H4" s="153" t="str"/>
      <x:c r="I4" s="153" t="str"/>
      <x:c r="J4" s="153" t="str"/>
      <x:c r="K4" s="154" t="str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124" t="n">
        <x:v>2</x:v>
      </x:c>
      <x:c r="B5" s="120" t="str">
        <x:v>Шеф-повар</x:v>
      </x:c>
      <x:c r="C5" s="120" t="str">
        <x:v>Гидратация</x:v>
      </x:c>
      <x:c r="D5" s="120" t="str">
        <x:v>Какая гидратация является рабочей?</x:v>
      </x:c>
      <x:c r="E5" s="120" t="str">
        <x:v>Основная 80%; тест 76%</x:v>
      </x:c>
      <x:c r="F5" s="155" t="str"/>
      <x:c r="G5" s="155" t="str"/>
      <x:c r="H5" s="155" t="str"/>
      <x:c r="I5" s="155" t="str"/>
      <x:c r="J5" s="155" t="str"/>
      <x:c r="K5" s="156" t="str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124" t="n">
        <x:v>3</x:v>
      </x:c>
      <x:c r="B6" s="120" t="str">
        <x:v>Шеф-повар</x:v>
      </x:c>
      <x:c r="C6" s="120" t="str">
        <x:v>biga</x:v>
      </x:c>
      <x:c r="D6" s="120" t="str">
        <x:v>Подтвердить biga на 30% муки и режим 12–16 ч при 16–18°C?</x:v>
      </x:c>
      <x:c r="E6" s="120" t="str">
        <x:v>Да</x:v>
      </x:c>
      <x:c r="F6" s="155" t="str"/>
      <x:c r="G6" s="155" t="str"/>
      <x:c r="H6" s="155" t="str"/>
      <x:c r="I6" s="155" t="str"/>
      <x:c r="J6" s="155" t="str"/>
      <x:c r="K6" s="156" t="str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124" t="n">
        <x:v>4</x:v>
      </x:c>
      <x:c r="B7" s="120" t="str">
        <x:v>Шеф-повар</x:v>
      </x:c>
      <x:c r="C7" s="120" t="str">
        <x:v>Выход</x:v>
      </x:c>
      <x:c r="D7" s="120" t="str">
        <x:v>Подтвердить массу заготовки 116 г и выход 100 г?</x:v>
      </x:c>
      <x:c r="E7" s="120" t="str">
        <x:v>Да; временный допуск 95–105 г</x:v>
      </x:c>
      <x:c r="F7" s="155" t="str"/>
      <x:c r="G7" s="155" t="str"/>
      <x:c r="H7" s="155" t="str"/>
      <x:c r="I7" s="155" t="str"/>
      <x:c r="J7" s="155" t="str"/>
      <x:c r="K7" s="156" t="str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124" t="n">
        <x:v>5</x:v>
      </x:c>
      <x:c r="B8" s="120" t="str">
        <x:v>Шеф-повар</x:v>
      </x:c>
      <x:c r="C8" s="120" t="str">
        <x:v>Брожение</x:v>
      </x:c>
      <x:c r="D8" s="120" t="str">
        <x:v>Подтвердить 120–150 мин и складывания 30/60/90 мин?</x:v>
      </x:c>
      <x:c r="E8" s="120" t="str">
        <x:v>Да</x:v>
      </x:c>
      <x:c r="F8" s="155" t="str"/>
      <x:c r="G8" s="155" t="str"/>
      <x:c r="H8" s="155" t="str"/>
      <x:c r="I8" s="155" t="str"/>
      <x:c r="J8" s="155" t="str"/>
      <x:c r="K8" s="156" t="str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124" t="n">
        <x:v>6</x:v>
      </x:c>
      <x:c r="B9" s="120" t="str">
        <x:v>Шеф-повар</x:v>
      </x:c>
      <x:c r="C9" s="120" t="str">
        <x:v>Расстойка</x:v>
      </x:c>
      <x:c r="D9" s="120" t="str">
        <x:v>Подтвердить 35–50 мин при 26–28°C и RH 65–75%?</x:v>
      </x:c>
      <x:c r="E9" s="120" t="str">
        <x:v>Да</x:v>
      </x:c>
      <x:c r="F9" s="155" t="str"/>
      <x:c r="G9" s="155" t="str"/>
      <x:c r="H9" s="155" t="str"/>
      <x:c r="I9" s="155" t="str"/>
      <x:c r="J9" s="155" t="str"/>
      <x:c r="K9" s="156" t="str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124" t="n">
        <x:v>7</x:v>
      </x:c>
      <x:c r="B10" s="120" t="str">
        <x:v>Шеф-повар</x:v>
      </x:c>
      <x:c r="C10" s="120" t="str">
        <x:v>Выпечка</x:v>
      </x:c>
      <x:c r="D10" s="120" t="str">
        <x:v>Какой точный режим печи и пара использовать?</x:v>
      </x:c>
      <x:c r="E10" s="120" t="str">
        <x:v>15–22 мин; старт 225–230°C</x:v>
      </x:c>
      <x:c r="F10" s="155" t="str"/>
      <x:c r="G10" s="155" t="str"/>
      <x:c r="H10" s="155" t="str"/>
      <x:c r="I10" s="155" t="str"/>
      <x:c r="J10" s="155" t="str"/>
      <x:c r="K10" s="156" t="str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124" t="n">
        <x:v>8</x:v>
      </x:c>
      <x:c r="B11" s="120" t="str">
        <x:v>Шеф-повар</x:v>
      </x:c>
      <x:c r="C11" s="120" t="str">
        <x:v>Готовность</x:v>
      </x:c>
      <x:c r="D11" s="120" t="str">
        <x:v>Какой критерий пропекания утвердить?</x:v>
      </x:c>
      <x:c r="E11" s="120" t="str">
        <x:v>По контрольным выпечкам</x:v>
      </x:c>
      <x:c r="F11" s="155" t="str"/>
      <x:c r="G11" s="155" t="str"/>
      <x:c r="H11" s="155" t="str"/>
      <x:c r="I11" s="155" t="str"/>
      <x:c r="J11" s="155" t="str"/>
      <x:c r="K11" s="156" t="str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124" t="n">
        <x:v>9</x:v>
      </x:c>
      <x:c r="B12" s="120" t="str">
        <x:v>Шеф-повар</x:v>
      </x:c>
      <x:c r="C12" s="120" t="str">
        <x:v>Органолептика</x:v>
      </x:c>
      <x:c r="D12" s="120" t="str">
        <x:v>Подтвердить органолептический эталон?</x:v>
      </x:c>
      <x:c r="E12" s="120" t="str">
        <x:v>См. ТЕХКАРТА</x:v>
      </x:c>
      <x:c r="F12" s="155" t="str"/>
      <x:c r="G12" s="155" t="str"/>
      <x:c r="H12" s="155" t="str"/>
      <x:c r="I12" s="155" t="str"/>
      <x:c r="J12" s="155" t="str"/>
      <x:c r="K12" s="156" t="str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124" t="n">
        <x:v>10</x:v>
      </x:c>
      <x:c r="B13" s="120" t="str">
        <x:v>Шеф-повар</x:v>
      </x:c>
      <x:c r="C13" s="120" t="str">
        <x:v>Хранение</x:v>
      </x:c>
      <x:c r="D13" s="120" t="str">
        <x:v>Допустима ли реализация в течение 24 часов?</x:v>
      </x:c>
      <x:c r="E13" s="120" t="str">
        <x:v>Только после испытаний</x:v>
      </x:c>
      <x:c r="F13" s="155" t="str"/>
      <x:c r="G13" s="155" t="str"/>
      <x:c r="H13" s="155" t="str"/>
      <x:c r="I13" s="155" t="str"/>
      <x:c r="J13" s="155" t="str"/>
      <x:c r="K13" s="156" t="str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124" t="n">
        <x:v>11</x:v>
      </x:c>
      <x:c r="B14" s="120" t="str">
        <x:v>Шеф-повар</x:v>
      </x:c>
      <x:c r="C14" s="120" t="str">
        <x:v>Заморозка</x:v>
      </x:c>
      <x:c r="D14" s="120" t="str">
        <x:v>Допустима ли заморозка готового изделия?</x:v>
      </x:c>
      <x:c r="E14" s="120" t="str">
        <x:v>Тест 7/14/30 суток</x:v>
      </x:c>
      <x:c r="F14" s="155" t="str"/>
      <x:c r="G14" s="155" t="str"/>
      <x:c r="H14" s="155" t="str"/>
      <x:c r="I14" s="155" t="str"/>
      <x:c r="J14" s="155" t="str"/>
      <x:c r="K14" s="156" t="str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124" t="n">
        <x:v>12</x:v>
      </x:c>
      <x:c r="B15" s="120" t="str">
        <x:v>Шеф-повар</x:v>
      </x:c>
      <x:c r="C15" s="120" t="str">
        <x:v>MAKE/BUY</x:v>
      </x:c>
      <x:c r="D15" s="120" t="str">
        <x:v>Как различать MAKE и BUY при выдаче?</x:v>
      </x:c>
      <x:c r="E15" s="120" t="str">
        <x:v>Раздельная маркировка и спецификация</x:v>
      </x:c>
      <x:c r="F15" s="155" t="str"/>
      <x:c r="G15" s="155" t="str"/>
      <x:c r="H15" s="155" t="str"/>
      <x:c r="I15" s="155" t="str"/>
      <x:c r="J15" s="155" t="str"/>
      <x:c r="K15" s="156" t="str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124" t="n">
        <x:v>13</x:v>
      </x:c>
      <x:c r="B16" s="120" t="str">
        <x:v>Управляющий</x:v>
      </x:c>
      <x:c r="C16" s="120" t="str">
        <x:v>Спрос</x:v>
      </x:c>
      <x:c r="D16" s="120" t="str">
        <x:v>Каков прогноз продаж по каждому каналу?</x:v>
      </x:c>
      <x:c r="E16" s="120" t="str">
        <x:v>UNKNOWN_NOT_ZERO</x:v>
      </x:c>
      <x:c r="F16" s="155" t="str"/>
      <x:c r="G16" s="155" t="str"/>
      <x:c r="H16" s="155" t="str"/>
      <x:c r="I16" s="155" t="str"/>
      <x:c r="J16" s="155" t="str"/>
      <x:c r="K16" s="156" t="str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124" t="n">
        <x:v>14</x:v>
      </x:c>
      <x:c r="B17" s="120" t="str">
        <x:v>Управляющий</x:v>
      </x:c>
      <x:c r="C17" s="120" t="str">
        <x:v>Партия</x:v>
      </x:c>
      <x:c r="D17" s="120" t="str">
        <x:v>Какой минимальный объём партии приемлем?</x:v>
      </x:c>
      <x:c r="E17" s="120" t="str">
        <x:v>Не менее 40; целевая 78</x:v>
      </x:c>
      <x:c r="F17" s="155" t="str"/>
      <x:c r="G17" s="155" t="str"/>
      <x:c r="H17" s="155" t="str"/>
      <x:c r="I17" s="155" t="str"/>
      <x:c r="J17" s="155" t="str"/>
      <x:c r="K17" s="156" t="str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124" t="n">
        <x:v>15</x:v>
      </x:c>
      <x:c r="B18" s="120" t="str">
        <x:v>Управляющий</x:v>
      </x:c>
      <x:c r="C18" s="120" t="str">
        <x:v>HYBRID</x:v>
      </x:c>
      <x:c r="D18" s="120" t="str">
        <x:v>Какой страховой запас BUY нужен?</x:v>
      </x:c>
      <x:c r="E18" s="120" t="str">
        <x:v>10–20% недельной потребности</x:v>
      </x:c>
      <x:c r="F18" s="155" t="str"/>
      <x:c r="G18" s="155" t="str"/>
      <x:c r="H18" s="155" t="str"/>
      <x:c r="I18" s="155" t="str"/>
      <x:c r="J18" s="155" t="str"/>
      <x:c r="K18" s="156" t="str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124" t="n">
        <x:v>16</x:v>
      </x:c>
      <x:c r="B19" s="120" t="str">
        <x:v>Управляющий</x:v>
      </x:c>
      <x:c r="C19" s="120" t="str">
        <x:v>Ужин гостей гостиницы</x:v>
      </x:c>
      <x:c r="D19" s="120" t="str">
        <x:v>Как гость узнаёт о возможности заказать ужин?</x:v>
      </x:c>
      <x:c r="E19" s="120" t="str">
        <x:v>Определить точки контакта</x:v>
      </x:c>
      <x:c r="F19" s="155" t="str"/>
      <x:c r="G19" s="155" t="str"/>
      <x:c r="H19" s="155" t="str"/>
      <x:c r="I19" s="155" t="str"/>
      <x:c r="J19" s="155" t="str"/>
      <x:c r="K19" s="156" t="str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124" t="n">
        <x:v>17</x:v>
      </x:c>
      <x:c r="B20" s="120" t="str">
        <x:v>Управляющий</x:v>
      </x:c>
      <x:c r="C20" s="120" t="str">
        <x:v>Ужин гостей гостиницы</x:v>
      </x:c>
      <x:c r="D20" s="120" t="str">
        <x:v>На каком этапе гостевого пути формируется предложение?</x:v>
      </x:c>
      <x:c r="E20" s="120" t="str">
        <x:v>UNKNOWN_NOT_ZERO</x:v>
      </x:c>
      <x:c r="F20" s="155" t="str"/>
      <x:c r="G20" s="155" t="str"/>
      <x:c r="H20" s="155" t="str"/>
      <x:c r="I20" s="155" t="str"/>
      <x:c r="J20" s="155" t="str"/>
      <x:c r="K20" s="156" t="str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124" t="n">
        <x:v>18</x:v>
      </x:c>
      <x:c r="B21" s="120" t="str">
        <x:v>Управляющий</x:v>
      </x:c>
      <x:c r="C21" s="120" t="str">
        <x:v>Ужин гостей гостиницы</x:v>
      </x:c>
      <x:c r="D21" s="120" t="str">
        <x:v>Кто принимает заказ и кто обслуживает гостя?</x:v>
      </x:c>
      <x:c r="E21" s="120" t="str">
        <x:v>UNKNOWN_NOT_ZERO</x:v>
      </x:c>
      <x:c r="F21" s="155" t="str"/>
      <x:c r="G21" s="155" t="str"/>
      <x:c r="H21" s="155" t="str"/>
      <x:c r="I21" s="155" t="str"/>
      <x:c r="J21" s="155" t="str"/>
      <x:c r="K21" s="156" t="str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124" t="n">
        <x:v>19</x:v>
      </x:c>
      <x:c r="B22" s="120" t="str">
        <x:v>Управляющий</x:v>
      </x:c>
      <x:c r="C22" s="120" t="str">
        <x:v>Ужин гостей гостиницы</x:v>
      </x:c>
      <x:c r="D22" s="120" t="str">
        <x:v>Где происходит потребление и требуется ли доставка?</x:v>
      </x:c>
      <x:c r="E22" s="120" t="str">
        <x:v>UNKNOWN_NOT_ZERO</x:v>
      </x:c>
      <x:c r="F22" s="155" t="str"/>
      <x:c r="G22" s="155" t="str"/>
      <x:c r="H22" s="155" t="str"/>
      <x:c r="I22" s="155" t="str"/>
      <x:c r="J22" s="155" t="str"/>
      <x:c r="K22" s="156" t="str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124" t="n">
        <x:v>20</x:v>
      </x:c>
      <x:c r="B23" s="120" t="str">
        <x:v>Управляющий</x:v>
      </x:c>
      <x:c r="C23" s="120" t="str">
        <x:v>Ужин гостей гостиницы</x:v>
      </x:c>
      <x:c r="D23" s="120" t="str">
        <x:v>Как производится оплата и распределяется эквайринг?</x:v>
      </x:c>
      <x:c r="E23" s="120" t="str">
        <x:v>UNKNOWN_NOT_ZERO</x:v>
      </x:c>
      <x:c r="F23" s="155" t="str"/>
      <x:c r="G23" s="155" t="str"/>
      <x:c r="H23" s="155" t="str"/>
      <x:c r="I23" s="155" t="str"/>
      <x:c r="J23" s="155" t="str"/>
      <x:c r="K23" s="156" t="str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124" t="n">
        <x:v>21</x:v>
      </x:c>
      <x:c r="B24" s="120" t="str">
        <x:v>Управляющий</x:v>
      </x:c>
      <x:c r="C24" s="120" t="str">
        <x:v>Ужин гостей гостиницы</x:v>
      </x:c>
      <x:c r="D24" s="120" t="str">
        <x:v>Нужна ли мотивация сотрудников ресепшена?</x:v>
      </x:c>
      <x:c r="E24" s="120" t="str">
        <x:v>UNKNOWN_NOT_ZERO</x:v>
      </x:c>
      <x:c r="F24" s="155" t="str"/>
      <x:c r="G24" s="155" t="str"/>
      <x:c r="H24" s="155" t="str"/>
      <x:c r="I24" s="155" t="str"/>
      <x:c r="J24" s="155" t="str"/>
      <x:c r="K24" s="156" t="str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124" t="n">
        <x:v>22</x:v>
      </x:c>
      <x:c r="B25" s="120" t="str">
        <x:v>Управляющий</x:v>
      </x:c>
      <x:c r="C25" s="120" t="str">
        <x:v>Ужин гостей гостиницы</x:v>
      </x:c>
      <x:c r="D25" s="120" t="str">
        <x:v>Какие маркетинговые материалы и QR-точки используются?</x:v>
      </x:c>
      <x:c r="E25" s="120" t="str">
        <x:v>UNKNOWN_NOT_ZERO</x:v>
      </x:c>
      <x:c r="F25" s="155" t="str"/>
      <x:c r="G25" s="155" t="str"/>
      <x:c r="H25" s="155" t="str"/>
      <x:c r="I25" s="155" t="str"/>
      <x:c r="J25" s="155" t="str"/>
      <x:c r="K25" s="156" t="str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124" t="n">
        <x:v>23</x:v>
      </x:c>
      <x:c r="B26" s="120" t="str">
        <x:v>Управляющий</x:v>
      </x:c>
      <x:c r="C26" s="120" t="str">
        <x:v>Ужин гостей гостиницы</x:v>
      </x:c>
      <x:c r="D26" s="120" t="str">
        <x:v>Какие прямые расходы относятся на канал?</x:v>
      </x:c>
      <x:c r="E26" s="120" t="str">
        <x:v>UNKNOWN_NOT_ZERO</x:v>
      </x:c>
      <x:c r="F26" s="155" t="str"/>
      <x:c r="G26" s="155" t="str"/>
      <x:c r="H26" s="155" t="str"/>
      <x:c r="I26" s="155" t="str"/>
      <x:c r="J26" s="155" t="str"/>
      <x:c r="K26" s="156" t="str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124" t="n">
        <x:v>24</x:v>
      </x:c>
      <x:c r="B27" s="120" t="str">
        <x:v>Управляющий</x:v>
      </x:c>
      <x:c r="C27" s="120" t="str">
        <x:v>Ужин гостей гостиницы</x:v>
      </x:c>
      <x:c r="D27" s="120" t="str">
        <x:v>Как измеряются конверсия и средний чек канала?</x:v>
      </x:c>
      <x:c r="E27" s="120" t="str">
        <x:v>UNKNOWN_NOT_ZERO</x:v>
      </x:c>
      <x:c r="F27" s="155" t="str"/>
      <x:c r="G27" s="155" t="str"/>
      <x:c r="H27" s="155" t="str"/>
      <x:c r="I27" s="155" t="str"/>
      <x:c r="J27" s="155" t="str"/>
      <x:c r="K27" s="156" t="str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124" t="n">
        <x:v>25</x:v>
      </x:c>
      <x:c r="B28" s="120" t="str">
        <x:v>Управляющий</x:v>
      </x:c>
      <x:c r="C28" s="120" t="str">
        <x:v>Цена</x:v>
      </x:c>
      <x:c r="D28" s="120" t="str">
        <x:v>Подтвердить самостоятельные цены 120 ₽ по каналам?</x:v>
      </x:c>
      <x:c r="E28" s="120" t="str">
        <x:v>À la carte 120; Ужин гостей гостиницы 120; Навынос 120; Доставка 120 предварительно</x:v>
      </x:c>
      <x:c r="F28" s="155" t="str"/>
      <x:c r="G28" s="155" t="str"/>
      <x:c r="H28" s="155" t="str"/>
      <x:c r="I28" s="155" t="str"/>
      <x:c r="J28" s="155" t="str"/>
      <x:c r="K28" s="156" t="str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127" t="n">
        <x:v>26</x:v>
      </x:c>
      <x:c r="B29" s="132" t="str">
        <x:v>Управляющий</x:v>
      </x:c>
      <x:c r="C29" s="132" t="str">
        <x:v>Завтрак</x:v>
      </x:c>
      <x:c r="D29" s="132" t="str">
        <x:v>Подтвердить, что чиабатта не входит в гостиничный завтрак?</x:v>
      </x:c>
      <x:c r="E29" s="132" t="str">
        <x:v>Да</x:v>
      </x:c>
      <x:c r="F29" s="157" t="str"/>
      <x:c r="G29" s="157" t="str"/>
      <x:c r="H29" s="157" t="str"/>
      <x:c r="I29" s="157" t="str"/>
      <x:c r="J29" s="157" t="str"/>
      <x:c r="K29" s="128" t="str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  <x:c r="K30" s="12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129" t="str">
        <x:v>ИТОГОВОЕ РЕШЕНИЕ</x:v>
      </x:c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120" t="str">
        <x:v>Итог</x:v>
      </x:c>
      <x:c r="B32" s="155" t="str"/>
      <x:c r="C32" s="120"/>
      <x:c r="D32" s="120"/>
      <x:c r="E32" s="120"/>
      <x:c r="F32" s="120"/>
      <x:c r="G32" s="120"/>
      <x:c r="H32" s="120"/>
      <x:c r="I32" s="120"/>
      <x:c r="J32" s="120"/>
      <x:c r="K32" s="12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120" t="str">
        <x:v>Условия</x:v>
      </x:c>
      <x:c r="B33" s="155" t="str"/>
      <x:c r="C33" s="120"/>
      <x:c r="D33" s="120"/>
      <x:c r="E33" s="120"/>
      <x:c r="F33" s="120"/>
      <x:c r="G33" s="120"/>
      <x:c r="H33" s="120"/>
      <x:c r="I33" s="120"/>
      <x:c r="J33" s="120"/>
      <x:c r="K33" s="12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120" t="str">
        <x:v>Дата</x:v>
      </x:c>
      <x:c r="B34" s="155" t="str"/>
      <x:c r="C34" s="120"/>
      <x:c r="D34" s="120"/>
      <x:c r="E34" s="120"/>
      <x:c r="F34" s="120"/>
      <x:c r="G34" s="120"/>
      <x:c r="H34" s="120"/>
      <x:c r="I34" s="120"/>
      <x:c r="J34" s="120"/>
      <x:c r="K34" s="12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120" t="str">
        <x:v>Ответственные</x:v>
      </x:c>
      <x:c r="B35" s="155" t="str"/>
      <x:c r="C35" s="120"/>
      <x:c r="D35" s="120"/>
      <x:c r="E35" s="120"/>
      <x:c r="F35" s="120"/>
      <x:c r="G35" s="120"/>
      <x:c r="H35" s="120"/>
      <x:c r="I35" s="120"/>
      <x:c r="J35" s="120"/>
      <x:c r="K35" s="12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120"/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120"/>
      <x:c r="B37" s="120"/>
      <x:c r="C37" s="120"/>
      <x:c r="D37" s="120"/>
      <x:c r="E37" s="120"/>
      <x:c r="F37" s="120"/>
      <x:c r="G37" s="120"/>
      <x:c r="H37" s="120"/>
      <x:c r="I37" s="120"/>
      <x:c r="J37" s="120"/>
      <x:c r="K37" s="12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120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120"/>
      <x:c r="B39" s="120"/>
      <x:c r="C39" s="120"/>
      <x:c r="D39" s="120"/>
      <x:c r="E39" s="120"/>
      <x:c r="F39" s="120"/>
      <x:c r="G39" s="120"/>
      <x:c r="H39" s="120"/>
      <x:c r="I39" s="120"/>
      <x:c r="J39" s="120"/>
      <x:c r="K39" s="12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120"/>
      <x:c r="B40" s="120"/>
      <x:c r="C40" s="120"/>
      <x:c r="D40" s="120"/>
      <x:c r="E40" s="120"/>
      <x:c r="F40" s="120"/>
      <x:c r="G40" s="120"/>
      <x:c r="H40" s="120"/>
      <x:c r="I40" s="120"/>
      <x:c r="J40" s="120"/>
      <x:c r="K40" s="12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K1"/>
    <x:mergeCell ref="A31:K31"/>
  </x:mergeCells>
  <x:dataValidations count="2">
    <x:dataValidation type="list" sqref="G4:G29">
      <x:formula1>"СОГЛАСОВАНО,ИЗМЕНИТЬ,ОТКЛОНЕНО,ТРЕБУЕТСЯ ТЕСТ,Н/П"</x:formula1>
    </x:dataValidation>
    <x:dataValidation type="list" sqref="B32">
      <x:formula1>"СОГЛАСОВАНО,СОГЛАСОВАНО С УСЛОВИЯМИ,НА ДОРАБОТКУ,ОТКЛОНЕНО"</x:formula1>
    </x:dataValidation>
  </x:dataValidations>
  <x:pageMargins left="0.7" right="0.7" top="0.75" bottom="0.75" header="0.3" footer="0.3"/>
</x:worksheet>
</file>