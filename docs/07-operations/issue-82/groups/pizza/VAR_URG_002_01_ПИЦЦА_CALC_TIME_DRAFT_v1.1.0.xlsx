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4af3a6f67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РЕЕСТР_БЛЮД" sheetId="1" r:id="R9e711a86581143f3"/>
    <x:sheet xmlns:r="http://schemas.openxmlformats.org/officeDocument/2006/relationships" name="01_КАЛЬКУЛЯЦИЯ" sheetId="2" r:id="R2c111cee33754ae8"/>
    <x:sheet xmlns:r="http://schemas.openxmlformats.org/officeDocument/2006/relationships" name="02_ВРЕМЯ" sheetId="3" r:id="Re23bd7b61751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38572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d0982e82e4028" /><Relationship Type="http://schemas.openxmlformats.org/officeDocument/2006/relationships/theme" Target="/xl/theme/theme1.xml" Id="R458cf590d87741c4" /><Relationship Type="http://schemas.openxmlformats.org/officeDocument/2006/relationships/sharedStrings" Target="/xl/sharedStrings.xml" Id="R34fe6a9dee054b23" /><Relationship Type="http://schemas.openxmlformats.org/officeDocument/2006/relationships/worksheet" Target="/xl/worksheets/sheet1.xml" Id="R9e711a86581143f3" /><Relationship Type="http://schemas.openxmlformats.org/officeDocument/2006/relationships/worksheet" Target="/xl/worksheets/sheet2.xml" Id="R2c111cee33754ae8" /><Relationship Type="http://schemas.openxmlformats.org/officeDocument/2006/relationships/worksheet" Target="/xl/worksheets/sheet3.xml" Id="Re23bd7b6175143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26" hidden="0" customWidth="1"/>
    <x:col min="13" max="13" width="34" hidden="0" customWidth="1"/>
  </x:cols>
  <x:sheetData>
    <x:row r="1">
      <x:c r="A1" s="73" t="str">
        <x:v>VAR-URG-002 / Группа «Пицца» — реестр блюд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>
      <x:c r="A2" s="38" t="str">
        <x:v>Статус пакета: PENDING_CHEF_MANAGER_VERIFICATION | цены: Owner-approved internet prices | дата расчёта: 2026-08-07</x:v>
      </x:c>
      <x:c r="B2" s="38" t="str">
        <x:v>Статус пакета: PENDING_CHEF_MANAGER_VERIFICATION | цены: Owner-approved internet prices | дата расчёта: 2026-08-07</x:v>
      </x:c>
      <x:c r="C2" s="38" t="str">
        <x:v>Статус пакета: PENDING_CHEF_MANAGER_VERIFICATION | цены: Owner-approved internet prices | дата расчёта: 2026-08-07</x:v>
      </x:c>
      <x:c r="D2" s="38" t="str">
        <x:v>Статус пакета: PENDING_CHEF_MANAGER_VERIFICATION | цены: Owner-approved internet prices | дата расчёта: 2026-08-07</x:v>
      </x:c>
      <x:c r="E2" s="38" t="str">
        <x:v>Статус пакета: PENDING_CHEF_MANAGER_VERIFICATION | цены: Owner-approved internet prices | дата расчёта: 2026-08-07</x:v>
      </x:c>
      <x:c r="F2" s="38" t="str">
        <x:v>Статус пакета: PENDING_CHEF_MANAGER_VERIFICATION | цены: Owner-approved internet prices | дата расчёта: 2026-08-07</x:v>
      </x:c>
      <x:c r="G2" s="38" t="str">
        <x:v>Статус пакета: PENDING_CHEF_MANAGER_VERIFICATION | цены: Owner-approved internet prices | дата расчёта: 2026-08-07</x:v>
      </x:c>
      <x:c r="H2" s="38" t="str">
        <x:v>Статус пакета: PENDING_CHEF_MANAGER_VERIFICATION | цены: Owner-approved internet prices | дата расчёта: 2026-08-07</x:v>
      </x:c>
      <x:c r="I2" s="38" t="str">
        <x:v>Статус пакета: PENDING_CHEF_MANAGER_VERIFICATION | цены: Owner-approved internet prices | дата расчёта: 2026-08-07</x:v>
      </x:c>
      <x:c r="J2" s="38" t="str">
        <x:v>Статус пакета: PENDING_CHEF_MANAGER_VERIFICATION | цены: Owner-approved internet prices | дата расчёта: 2026-08-07</x:v>
      </x:c>
      <x:c r="K2" s="38" t="str">
        <x:v>Статус пакета: PENDING_CHEF_MANAGER_VERIFICATION | цены: Owner-approved internet prices | дата расчёта: 2026-08-07</x:v>
      </x:c>
      <x:c r="L2" s="38" t="str">
        <x:v>Статус пакета: PENDING_CHEF_MANAGER_VERIFICATION | цены: Owner-approved internet prices | дата расчёта: 2026-08-07</x:v>
      </x:c>
      <x:c r="M2" s="38" t="str">
        <x:v>Статус пакета: PENDING_CHEF_MANAGER_VERIFICATION | цены: Owner-approved internet prices | дата расчёта: 2026-08-07</x:v>
      </x:c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>
      <x:c r="A4" s="20" t="str">
        <x:v>Поле</x:v>
      </x:c>
      <x:c r="B4" s="21" t="str">
        <x:v>Смысл</x:v>
      </x:c>
      <x:c r="C4" s="21" t="str">
        <x:v>Ед. изм.</x:v>
      </x:c>
      <x:c r="D4" s="21" t="str">
        <x:v>Источник</x:v>
      </x:c>
      <x:c r="E4" s="21" t="str">
        <x:v>Статус</x:v>
      </x:c>
      <x:c r="F4" s="21" t="str">
        <x:v>reuse_action</x:v>
      </x:c>
      <x:c r="G4" s="21" t="str">
        <x:v>Формула/правило</x:v>
      </x:c>
      <x:c r="H4" s="21" t="str">
        <x:v>Ответственный</x:v>
      </x:c>
      <x:c r="I4" s="21" t="str">
        <x:v>Когда обновлять</x:v>
      </x:c>
      <x:c r="J4" s="21" t="str">
        <x:v>Контроль</x:v>
      </x:c>
      <x:c r="K4" s="22" t="str">
        <x:v>Примечание</x:v>
      </x:c>
      <x:c r="L4" s="38"/>
      <x:c r="M4" s="38"/>
    </x:row>
    <x:row r="5">
      <x:c r="A5" s="37" t="str">
        <x:v>dish_code</x:v>
      </x:c>
      <x:c r="B5" s="38" t="str">
        <x:v>Уникальный код блюда</x:v>
      </x:c>
      <x:c r="C5" s="38" t="str">
        <x:v>код</x:v>
      </x:c>
      <x:c r="D5" s="38" t="str">
        <x:v>KITCHEN_MENU 3.0 / merged package</x:v>
      </x:c>
      <x:c r="E5" s="38" t="str">
        <x:v>REUSED</x:v>
      </x:c>
      <x:c r="F5" s="38" t="str">
        <x:v>REUSED_AS_IS</x:v>
      </x:c>
      <x:c r="G5" s="38" t="str">
        <x:v>без изменения</x:v>
      </x:c>
      <x:c r="H5" s="38" t="str">
        <x:v>Owner</x:v>
      </x:c>
      <x:c r="I5" s="38" t="str">
        <x:v>при изменении меню</x:v>
      </x:c>
      <x:c r="J5" s="38" t="str">
        <x:v>уникальность</x:v>
      </x:c>
      <x:c r="K5" s="39" t="str"/>
      <x:c r="L5" s="38"/>
      <x:c r="M5" s="38"/>
    </x:row>
    <x:row r="6">
      <x:c r="A6" s="37" t="str">
        <x:v>Наименование</x:v>
      </x:c>
      <x:c r="B6" s="38" t="str">
        <x:v>Название блюда</x:v>
      </x:c>
      <x:c r="C6" s="38" t="str">
        <x:v>текст</x:v>
      </x:c>
      <x:c r="D6" s="38" t="str">
        <x:v>KITCHEN_MENU 3.0</x:v>
      </x:c>
      <x:c r="E6" s="38" t="str">
        <x:v>REUSED</x:v>
      </x:c>
      <x:c r="F6" s="38" t="str">
        <x:v>REUSED_AS_IS</x:v>
      </x:c>
      <x:c r="G6" s="38" t="str">
        <x:v>без изменения</x:v>
      </x:c>
      <x:c r="H6" s="38" t="str">
        <x:v>Owner</x:v>
      </x:c>
      <x:c r="I6" s="38" t="str">
        <x:v>при изменении меню</x:v>
      </x:c>
      <x:c r="J6" s="38" t="str">
        <x:v>сверка с меню</x:v>
      </x:c>
      <x:c r="K6" s="39" t="str"/>
      <x:c r="L6" s="38"/>
      <x:c r="M6" s="38"/>
    </x:row>
    <x:row r="7">
      <x:c r="A7" s="37" t="str">
        <x:v>Выход</x:v>
      </x:c>
      <x:c r="B7" s="38" t="str">
        <x:v>Расчётный выход блюда</x:v>
      </x:c>
      <x:c r="C7" s="38" t="str">
        <x:v>г</x:v>
      </x:c>
      <x:c r="D7" s="38" t="str">
        <x:v>merged package</x:v>
      </x:c>
      <x:c r="E7" s="38" t="str">
        <x:v>ASSUMPTION</x:v>
      </x:c>
      <x:c r="F7" s="38" t="str">
        <x:v>REUSED_AS_IS</x:v>
      </x:c>
      <x:c r="G7" s="38" t="str">
        <x:v>без изменения</x:v>
      </x:c>
      <x:c r="H7" s="38" t="str">
        <x:v>Chef</x:v>
      </x:c>
      <x:c r="I7" s="38" t="str">
        <x:v>после контрольной проработки</x:v>
      </x:c>
      <x:c r="J7" s="38" t="str">
        <x:v>&gt;0</x:v>
      </x:c>
      <x:c r="K7" s="39" t="str"/>
      <x:c r="L7" s="38"/>
      <x:c r="M7" s="38"/>
    </x:row>
    <x:row r="8">
      <x:c r="A8" s="37" t="str">
        <x:v>Цена продажи</x:v>
      </x:c>
      <x:c r="B8" s="38" t="str">
        <x:v>Текущая проектная цена</x:v>
      </x:c>
      <x:c r="C8" s="38" t="str">
        <x:v>₽</x:v>
      </x:c>
      <x:c r="D8" s="38" t="str">
        <x:v>merged package</x:v>
      </x:c>
      <x:c r="E8" s="38" t="str">
        <x:v>PRELIMINARY</x:v>
      </x:c>
      <x:c r="F8" s="38" t="str">
        <x:v>REUSED_AS_IS</x:v>
      </x:c>
      <x:c r="G8" s="38" t="str">
        <x:v>без изменения</x:v>
      </x:c>
      <x:c r="H8" s="38" t="str">
        <x:v>Manager/Owner</x:v>
      </x:c>
      <x:c r="I8" s="38" t="str">
        <x:v>при изменении цены</x:v>
      </x:c>
      <x:c r="J8" s="38" t="str">
        <x:v>&gt;0</x:v>
      </x:c>
      <x:c r="K8" s="39" t="str"/>
      <x:c r="L8" s="38"/>
      <x:c r="M8" s="38"/>
    </x:row>
    <x:row r="9">
      <x:c r="A9" s="37" t="str">
        <x:v>Новый Recipe COGS</x:v>
      </x:c>
      <x:c r="B9" s="38" t="str">
        <x:v>Сумма текущих строк калькуляции</x:v>
      </x:c>
      <x:c r="C9" s="38" t="str">
        <x:v>₽</x:v>
      </x:c>
      <x:c r="D9" s="38" t="str">
        <x:v>01_КАЛЬКУЛЯЦИЯ</x:v>
      </x:c>
      <x:c r="E9" s="38" t="str">
        <x:v>CALCULATED</x:v>
      </x:c>
      <x:c r="F9" s="38" t="str">
        <x:v>RECALCULATED_DUE_TO_PRICE_CHANGE</x:v>
      </x:c>
      <x:c r="G9" s="38" t="str">
        <x:v>SUM строк блюда</x:v>
      </x:c>
      <x:c r="H9" s="38" t="str">
        <x:v>Owner/Costing</x:v>
      </x:c>
      <x:c r="I9" s="38" t="str">
        <x:v>при изменении цены/норм</x:v>
      </x:c>
      <x:c r="J9" s="38" t="str">
        <x:v>&gt;=0</x:v>
      </x:c>
      <x:c r="K9" s="39" t="str"/>
      <x:c r="L9" s="38"/>
      <x:c r="M9" s="38"/>
    </x:row>
    <x:row r="10">
      <x:c r="A10" s="37" t="str">
        <x:v>Контрольный COGS</x:v>
      </x:c>
      <x:c r="B10" s="38" t="str">
        <x:v>COGS последнего individual merged-пакета</x:v>
      </x:c>
      <x:c r="C10" s="38" t="str">
        <x:v>₽</x:v>
      </x:c>
      <x:c r="D10" s="38" t="str">
        <x:v>var-menu-001…004</x:v>
      </x:c>
      <x:c r="E10" s="38" t="str">
        <x:v>CONTROL</x:v>
      </x:c>
      <x:c r="F10" s="38" t="str">
        <x:v>REUSED_AS_IS</x:v>
      </x:c>
      <x:c r="G10" s="38" t="str">
        <x:v>без изменения</x:v>
      </x:c>
      <x:c r="H10" s="38" t="str">
        <x:v>Owner</x:v>
      </x:c>
      <x:c r="I10" s="38" t="str">
        <x:v>при новом merged package</x:v>
      </x:c>
      <x:c r="J10" s="38" t="str">
        <x:v>&gt;=0</x:v>
      </x:c>
      <x:c r="K10" s="39" t="str"/>
      <x:c r="L10" s="38"/>
      <x:c r="M10" s="38"/>
    </x:row>
    <x:row r="11">
      <x:c r="A11" s="37" t="str">
        <x:v>Отклонение</x:v>
      </x:c>
      <x:c r="B11" s="38" t="str">
        <x:v>Новый COGS минус контрольный</x:v>
      </x:c>
      <x:c r="C11" s="38" t="str">
        <x:v>₽</x:v>
      </x:c>
      <x:c r="D11" s="38" t="str">
        <x:v>расчёт</x:v>
      </x:c>
      <x:c r="E11" s="38" t="str">
        <x:v>CALCULATED</x:v>
      </x:c>
      <x:c r="F11" s="38" t="str">
        <x:v>RECALCULATED_DUE_TO_PRICE_CHANGE</x:v>
      </x:c>
      <x:c r="G11" s="38" t="str">
        <x:v>Новый - контрольный</x:v>
      </x:c>
      <x:c r="H11" s="38" t="str">
        <x:v>Costing</x:v>
      </x:c>
      <x:c r="I11" s="38" t="str">
        <x:v>автоматически</x:v>
      </x:c>
      <x:c r="J11" s="38" t="str">
        <x:v>может быть +/-</x:v>
      </x:c>
      <x:c r="K11" s="39" t="str"/>
      <x:c r="L11" s="38"/>
      <x:c r="M11" s="38"/>
    </x:row>
    <x:row r="12">
      <x:c r="A12" s="37" t="str">
        <x:v>Отклонение %</x:v>
      </x:c>
      <x:c r="B12" s="38" t="str">
        <x:v>Относительное расхождение</x:v>
      </x:c>
      <x:c r="C12" s="38" t="str">
        <x:v>%</x:v>
      </x:c>
      <x:c r="D12" s="38" t="str">
        <x:v>расчёт</x:v>
      </x:c>
      <x:c r="E12" s="38" t="str">
        <x:v>CALCULATED</x:v>
      </x:c>
      <x:c r="F12" s="38" t="str">
        <x:v>RECALCULATED_DUE_TO_PRICE_CHANGE</x:v>
      </x:c>
      <x:c r="G12" s="38" t="str">
        <x:v>Отклонение / контрольный</x:v>
      </x:c>
      <x:c r="H12" s="38" t="str">
        <x:v>Costing</x:v>
      </x:c>
      <x:c r="I12" s="38" t="str">
        <x:v>автоматически</x:v>
      </x:c>
      <x:c r="J12" s="38" t="str">
        <x:v>контроль RECONCILIATION_REQUIRED</x:v>
      </x:c>
      <x:c r="K12" s="39" t="str"/>
      <x:c r="L12" s="38"/>
      <x:c r="M12" s="38"/>
    </x:row>
    <x:row r="13">
      <x:c r="A13" s="37" t="str">
        <x:v>Food cost</x:v>
      </x:c>
      <x:c r="B13" s="38" t="str">
        <x:v>Новый COGS / цена продажи</x:v>
      </x:c>
      <x:c r="C13" s="38" t="str">
        <x:v>%</x:v>
      </x:c>
      <x:c r="D13" s="38" t="str">
        <x:v>расчёт</x:v>
      </x:c>
      <x:c r="E13" s="38" t="str">
        <x:v>CALCULATED</x:v>
      </x:c>
      <x:c r="F13" s="38" t="str">
        <x:v>RECALCULATED_DUE_TO_PRICE_CHANGE</x:v>
      </x:c>
      <x:c r="G13" s="38" t="str">
        <x:v>COGS / Цена</x:v>
      </x:c>
      <x:c r="H13" s="38" t="str">
        <x:v>Costing</x:v>
      </x:c>
      <x:c r="I13" s="38" t="str">
        <x:v>автоматически</x:v>
      </x:c>
      <x:c r="J13" s="38" t="str">
        <x:v>0–100%</x:v>
      </x:c>
      <x:c r="K13" s="39" t="str"/>
      <x:c r="L13" s="38"/>
      <x:c r="M13" s="38"/>
    </x:row>
    <x:row r="14">
      <x:c r="A14" s="37" t="str">
        <x:v>Активное время</x:v>
      </x:c>
      <x:c r="B14" s="38" t="str">
        <x:v>Трудозатраты активной работы</x:v>
      </x:c>
      <x:c r="C14" s="38" t="str">
        <x:v>мин</x:v>
      </x:c>
      <x:c r="D14" s="38" t="str">
        <x:v>existing time model</x:v>
      </x:c>
      <x:c r="E14" s="38" t="str">
        <x:v>ESTIMATE</x:v>
      </x:c>
      <x:c r="F14" s="38" t="str">
        <x:v>REUSED_AS_IS</x:v>
      </x:c>
      <x:c r="G14" s="38" t="str">
        <x:v>без изменения</x:v>
      </x:c>
      <x:c r="H14" s="38" t="str">
        <x:v>Chef</x:v>
      </x:c>
      <x:c r="I14" s="38" t="str">
        <x:v>после хронометража</x:v>
      </x:c>
      <x:c r="J14" s="38" t="str">
        <x:v>&gt;0</x:v>
      </x:c>
      <x:c r="K14" s="39" t="str"/>
      <x:c r="L14" s="38"/>
      <x:c r="M14" s="38"/>
    </x:row>
    <x:row r="15">
      <x:c r="A15" s="37" t="str">
        <x:v>Полное время</x:v>
      </x:c>
      <x:c r="B15" s="38" t="str">
        <x:v>Полный цикл по текущей модели</x:v>
      </x:c>
      <x:c r="C15" s="38" t="str">
        <x:v>мин</x:v>
      </x:c>
      <x:c r="D15" s="38" t="str">
        <x:v>existing time model</x:v>
      </x:c>
      <x:c r="E15" s="38" t="str">
        <x:v>ESTIMATE</x:v>
      </x:c>
      <x:c r="F15" s="38" t="str">
        <x:v>REUSED_AS_IS</x:v>
      </x:c>
      <x:c r="G15" s="38" t="str">
        <x:v>без изменения</x:v>
      </x:c>
      <x:c r="H15" s="38" t="str">
        <x:v>Chef</x:v>
      </x:c>
      <x:c r="I15" s="38" t="str">
        <x:v>после хронометража</x:v>
      </x:c>
      <x:c r="J15" s="38" t="str">
        <x:v>&gt;=active</x:v>
      </x:c>
      <x:c r="K15" s="39" t="str"/>
      <x:c r="L15" s="38"/>
      <x:c r="M15" s="38"/>
    </x:row>
    <x:row r="16">
      <x:c r="A16" s="37" t="str">
        <x:v>Статус сверки</x:v>
      </x:c>
      <x:c r="B16" s="38" t="str">
        <x:v>Нужно ли reconciliate COGS</x:v>
      </x:c>
      <x:c r="C16" s="38" t="str">
        <x:v>статус</x:v>
      </x:c>
      <x:c r="D16" s="38" t="str">
        <x:v>расчёт</x:v>
      </x:c>
      <x:c r="E16" s="38" t="str">
        <x:v>CALCULATED</x:v>
      </x:c>
      <x:c r="F16" s="38" t="str">
        <x:v>RECALCULATED_DUE_TO_PRICE_CHANGE</x:v>
      </x:c>
      <x:c r="G16" s="38" t="str">
        <x:v>если abs(diff%)&gt;10% =&gt; RECONCILIATION_REQUIRED</x:v>
      </x:c>
      <x:c r="H16" s="38" t="str">
        <x:v>Owner</x:v>
      </x:c>
      <x:c r="I16" s="38" t="str">
        <x:v>автоматически</x:v>
      </x:c>
      <x:c r="J16" s="38" t="str">
        <x:v>контроль</x:v>
      </x:c>
      <x:c r="K16" s="39" t="str"/>
      <x:c r="L16" s="38"/>
      <x:c r="M16" s="38"/>
    </x:row>
    <x:row r="17">
      <x:c r="A17" s="40" t="str">
        <x:v>Пакетный статус</x:v>
      </x:c>
      <x:c r="B17" s="41" t="str">
        <x:v>Максимальный статус группы</x:v>
      </x:c>
      <x:c r="C17" s="41" t="str">
        <x:v>статус</x:v>
      </x:c>
      <x:c r="D17" s="41" t="str">
        <x:v>Owner decision</x:v>
      </x:c>
      <x:c r="E17" s="41" t="str">
        <x:v>PENDING</x:v>
      </x:c>
      <x:c r="F17" s="41" t="str">
        <x:v>REUSED_AS_IS</x:v>
      </x:c>
      <x:c r="G17" s="41" t="str">
        <x:v>не повышать автоматически</x:v>
      </x:c>
      <x:c r="H17" s="41" t="str">
        <x:v>Owner</x:v>
      </x:c>
      <x:c r="I17" s="41" t="str">
        <x:v>Owner Gate</x:v>
      </x:c>
      <x:c r="J17" s="41" t="str">
        <x:v>фиксирован</x:v>
      </x:c>
      <x:c r="K17" s="42" t="str"/>
      <x:c r="L17" s="38"/>
      <x:c r="M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</x:row>
    <x:row r="19">
      <x:c r="A19" s="63" t="str">
        <x:v>dish_code</x:v>
      </x:c>
      <x:c r="B19" s="64" t="str">
        <x:v>Наименование</x:v>
      </x:c>
      <x:c r="C19" s="64" t="str">
        <x:v>Выход, г</x:v>
      </x:c>
      <x:c r="D19" s="64" t="str">
        <x:v>Цена продажи, ₽</x:v>
      </x:c>
      <x:c r="E19" s="64" t="str">
        <x:v>Новый Recipe COGS, ₽</x:v>
      </x:c>
      <x:c r="F19" s="64" t="str">
        <x:v>Контрольный COGS, ₽</x:v>
      </x:c>
      <x:c r="G19" s="64" t="str">
        <x:v>Отклонение, ₽</x:v>
      </x:c>
      <x:c r="H19" s="64" t="str">
        <x:v>Отклонение, %</x:v>
      </x:c>
      <x:c r="I19" s="64" t="str">
        <x:v>Food cost, %</x:v>
      </x:c>
      <x:c r="J19" s="64" t="str">
        <x:v>Активное время, мин</x:v>
      </x:c>
      <x:c r="K19" s="64" t="str">
        <x:v>Полное время, мин</x:v>
      </x:c>
      <x:c r="L19" s="64" t="str">
        <x:v>Статус сверки</x:v>
      </x:c>
      <x:c r="M19" s="65" t="str">
        <x:v>Пакетный статус</x:v>
      </x:c>
    </x:row>
    <x:row r="20">
      <x:c r="A20" s="37" t="str">
        <x:v>VKM-001</x:v>
      </x:c>
      <x:c r="B20" s="38" t="str">
        <x:v>Маргарита</x:v>
      </x:c>
      <x:c r="C20" s="74" t="n">
        <x:v>450</x:v>
      </x:c>
      <x:c r="D20" s="74" t="n">
        <x:v>740</x:v>
      </x:c>
      <x:c r="E20" s="74" t="n">
        <x:f>SUMIF('01_КАЛЬКУЛЯЦИЯ'!$A:$A,A20,'01_КАЛЬКУЛЯЦИЯ'!$L:$L)</x:f>
        <x:v>245.06853516483517</x:v>
      </x:c>
      <x:c r="F20" s="74" t="n">
        <x:v>159.92</x:v>
      </x:c>
      <x:c r="G20" s="74" t="n">
        <x:f>E20-F20</x:f>
        <x:v>85.14853516483518</x:v>
      </x:c>
      <x:c r="H20" s="75" t="n">
        <x:f>IFERROR(G20/F20,"")</x:f>
        <x:v>0.5324445670637518</x:v>
      </x:c>
      <x:c r="I20" s="75" t="n">
        <x:f>IFERROR(E20/D20,"")</x:f>
        <x:v>0.3311736961686962</x:v>
      </x:c>
      <x:c r="J20" s="38" t="n">
        <x:v>19</x:v>
      </x:c>
      <x:c r="K20" s="38" t="n">
        <x:v>90</x:v>
      </x:c>
      <x:c r="L20" s="38" t="str">
        <x:f>IF(ABS(H20)&gt;10%,"RECONCILIATION_REQUIRED","WITHIN_10_PERCENT")</x:f>
        <x:v>RECONCILIATION_REQUIRED</x:v>
      </x:c>
      <x:c r="M20" s="39" t="str">
        <x:v>PENDING_CHEF_MANAGER_VERIFICATION</x:v>
      </x:c>
    </x:row>
    <x:row r="21">
      <x:c r="A21" s="37" t="str">
        <x:v>VKM-002</x:v>
      </x:c>
      <x:c r="B21" s="38" t="str">
        <x:v>Четыре сыра</x:v>
      </x:c>
      <x:c r="C21" s="74" t="n">
        <x:v>480</x:v>
      </x:c>
      <x:c r="D21" s="74" t="n">
        <x:v>990</x:v>
      </x:c>
      <x:c r="E21" s="74" t="n">
        <x:f>SUMIF('01_КАЛЬКУЛЯЦИЯ'!$A:$A,A21,'01_КАЛЬКУЛЯЦИЯ'!$L:$L)</x:f>
        <x:v>433.8485351648352</x:v>
      </x:c>
      <x:c r="F21" s="74" t="n">
        <x:v>248.93</x:v>
      </x:c>
      <x:c r="G21" s="74" t="n">
        <x:f>E21-F21</x:f>
        <x:v>184.9185351648352</x:v>
      </x:c>
      <x:c r="H21" s="75" t="n">
        <x:f>IFERROR(G21/F21,"")</x:f>
        <x:v>0.7428535538699039</x:v>
      </x:c>
      <x:c r="I21" s="75" t="n">
        <x:f>IFERROR(E21/D21,"")</x:f>
        <x:v>0.43823084360084363</x:v>
      </x:c>
      <x:c r="J21" s="38" t="n">
        <x:v>20</x:v>
      </x:c>
      <x:c r="K21" s="38" t="n">
        <x:v>92</x:v>
      </x:c>
      <x:c r="L21" s="38" t="str">
        <x:f>IF(ABS(H21)&gt;10%,"RECONCILIATION_REQUIRED","WITHIN_10_PERCENT")</x:f>
        <x:v>RECONCILIATION_REQUIRED</x:v>
      </x:c>
      <x:c r="M21" s="39" t="str">
        <x:v>PENDING_CHEF_MANAGER_VERIFICATION</x:v>
      </x:c>
    </x:row>
    <x:row r="22">
      <x:c r="A22" s="37" t="str">
        <x:v>VKM-003</x:v>
      </x:c>
      <x:c r="B22" s="38" t="str">
        <x:v>Грибная с ветчиной</x:v>
      </x:c>
      <x:c r="C22" s="74" t="n">
        <x:v>500</x:v>
      </x:c>
      <x:c r="D22" s="74" t="n">
        <x:v>890</x:v>
      </x:c>
      <x:c r="E22" s="74" t="n">
        <x:f>SUMIF('01_КАЛЬКУЛЯЦИЯ'!$A:$A,A22,'01_КАЛЬКУЛЯЦИЯ'!$L:$L)</x:f>
        <x:v>211.95385164835167</x:v>
      </x:c>
      <x:c r="F22" s="74" t="n">
        <x:v>228.58</x:v>
      </x:c>
      <x:c r="G22" s="74" t="n">
        <x:f>E22-F22</x:f>
        <x:v>-16.62614835164834</x:v>
      </x:c>
      <x:c r="H22" s="75" t="n">
        <x:f>IFERROR(G22/F22,"")</x:f>
        <x:v>-0.07273667141328348</x:v>
      </x:c>
      <x:c r="I22" s="75" t="n">
        <x:f>IFERROR(E22/D22,"")</x:f>
        <x:v>0.2381503951105075</x:v>
      </x:c>
      <x:c r="J22" s="38" t="n">
        <x:v>22</x:v>
      </x:c>
      <x:c r="K22" s="38" t="n">
        <x:v>95</x:v>
      </x:c>
      <x:c r="L22" s="38" t="str">
        <x:f>IF(ABS(H22)&gt;10%,"RECONCILIATION_REQUIRED","WITHIN_10_PERCENT")</x:f>
        <x:v>WITHIN_10_PERCENT</x:v>
      </x:c>
      <x:c r="M22" s="39" t="str">
        <x:v>PENDING_CHEF_MANAGER_VERIFICATION</x:v>
      </x:c>
    </x:row>
    <x:row r="23">
      <x:c r="A23" s="40" t="str">
        <x:v>VKM-004</x:v>
      </x:c>
      <x:c r="B23" s="41" t="str">
        <x:v>Пепперони</x:v>
      </x:c>
      <x:c r="C23" s="76" t="n">
        <x:v>500</x:v>
      </x:c>
      <x:c r="D23" s="76" t="n">
        <x:v>890</x:v>
      </x:c>
      <x:c r="E23" s="76" t="n">
        <x:f>SUMIF('01_КАЛЬКУЛЯЦИЯ'!$A:$A,A23,'01_КАЛЬКУЛЯЦИЯ'!$L:$L)</x:f>
        <x:v>271.7065241758242</x:v>
      </x:c>
      <x:c r="F23" s="76" t="n">
        <x:v>258.6</x:v>
      </x:c>
      <x:c r="G23" s="76" t="n">
        <x:f>E23-F23</x:f>
        <x:v>13.106524175824177</x:v>
      </x:c>
      <x:c r="H23" s="77" t="n">
        <x:f>IFERROR(G23/F23,"")</x:f>
        <x:v>0.0506826147557006</x:v>
      </x:c>
      <x:c r="I23" s="77" t="n">
        <x:f>IFERROR(E23/D23,"")</x:f>
        <x:v>0.30528822941103845</x:v>
      </x:c>
      <x:c r="J23" s="41" t="n">
        <x:v>20</x:v>
      </x:c>
      <x:c r="K23" s="41" t="n">
        <x:v>92</x:v>
      </x:c>
      <x:c r="L23" s="41" t="str">
        <x:f>IF(ABS(H23)&gt;10%,"RECONCILIATION_REQUIRED","WITHIN_10_PERCENT")</x:f>
        <x:v>WITHIN_10_PERCENT</x:v>
      </x:c>
      <x:c r="M23" s="42" t="str">
        <x:v>PENDING_CHEF_MANAGER_VERIFICATION</x:v>
      </x:c>
    </x:row>
  </x:sheetData>
  <x:mergeCells>
    <x:mergeCell ref="A1:M1"/>
    <x:mergeCell ref="A2:M2"/>
  </x:mergeCells>
  <x:conditionalFormatting sqref="H20:H23">
    <x:cfRule type="expression" dxfId="0" priority="1">
      <x:formula>ABS(H20)&gt;10%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3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48" hidden="0" customWidth="1"/>
    <x:col min="14" max="14" width="14" hidden="0" customWidth="1"/>
    <x:col min="15" max="15" width="16" hidden="0" customWidth="1"/>
    <x:col min="16" max="16" width="28" hidden="0" customWidth="1"/>
    <x:col min="17" max="17" width="34" hidden="0" customWidth="1"/>
  </x:cols>
  <x:sheetData>
    <x:row r="1">
      <x:c r="A1" s="73" t="str">
        <x:v>VAR-URG-002 / Группа «Пицца» — построчная калькуляция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</x:row>
    <x:row r="2">
      <x:c r="A2" s="38" t="str">
        <x:v>Оливковое масло: плотность 0,91 кг/л — EXPERT_ASSUMPTION. Вода: NOT_COSTED_BY_OWNER_DECISION. Стоимость рассчитывается по БРУТТО.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</x:row>
    <x:row r="4">
      <x:c r="A4" s="20" t="str">
        <x:v>Поле</x:v>
      </x:c>
      <x:c r="B4" s="21" t="str">
        <x:v>Смысл</x:v>
      </x:c>
      <x:c r="C4" s="21" t="str">
        <x:v>Ед. изм.</x:v>
      </x:c>
      <x:c r="D4" s="21" t="str">
        <x:v>Источник</x:v>
      </x:c>
      <x:c r="E4" s="21" t="str">
        <x:v>Статус</x:v>
      </x:c>
      <x:c r="F4" s="21" t="str">
        <x:v>reuse_action</x:v>
      </x:c>
      <x:c r="G4" s="21" t="str">
        <x:v>Формула/правило</x:v>
      </x:c>
      <x:c r="H4" s="21" t="str">
        <x:v>Ответственный</x:v>
      </x:c>
      <x:c r="I4" s="21" t="str">
        <x:v>Когда обновлять</x:v>
      </x:c>
      <x:c r="J4" s="21" t="str">
        <x:v>Контроль</x:v>
      </x:c>
      <x:c r="K4" s="22" t="str">
        <x:v>Примечание</x:v>
      </x:c>
      <x:c r="L4" s="38"/>
      <x:c r="M4" s="38"/>
      <x:c r="N4" s="38"/>
      <x:c r="O4" s="38"/>
      <x:c r="P4" s="38"/>
      <x:c r="Q4" s="38"/>
    </x:row>
    <x:row r="5">
      <x:c r="A5" s="37" t="str">
        <x:v>dish_code</x:v>
      </x:c>
      <x:c r="B5" s="38" t="str">
        <x:v>Код блюда</x:v>
      </x:c>
      <x:c r="C5" s="38" t="str">
        <x:v>код</x:v>
      </x:c>
      <x:c r="D5" s="38" t="str">
        <x:v>KITCHEN_MENU 3.0</x:v>
      </x:c>
      <x:c r="E5" s="38" t="str">
        <x:v>REUSED</x:v>
      </x:c>
      <x:c r="F5" s="38" t="str">
        <x:v>REUSED_AS_IS</x:v>
      </x:c>
      <x:c r="G5" s="38" t="str">
        <x:v>без изменения</x:v>
      </x:c>
      <x:c r="H5" s="38" t="str">
        <x:v>Owner</x:v>
      </x:c>
      <x:c r="I5" s="38" t="str">
        <x:v>при изменении меню</x:v>
      </x:c>
      <x:c r="J5" s="38" t="str">
        <x:v>уникальный код</x:v>
      </x:c>
      <x:c r="K5" s="39" t="str"/>
      <x:c r="L5" s="38"/>
      <x:c r="M5" s="38"/>
      <x:c r="N5" s="38"/>
      <x:c r="O5" s="38"/>
      <x:c r="P5" s="38"/>
      <x:c r="Q5" s="38"/>
    </x:row>
    <x:row r="6">
      <x:c r="A6" s="37" t="str">
        <x:v>Блюдо</x:v>
      </x:c>
      <x:c r="B6" s="38" t="str">
        <x:v>Наименование блюда</x:v>
      </x:c>
      <x:c r="C6" s="38" t="str">
        <x:v>текст</x:v>
      </x:c>
      <x:c r="D6" s="38" t="str">
        <x:v>KITCHEN_MENU 3.0</x:v>
      </x:c>
      <x:c r="E6" s="38" t="str">
        <x:v>REUSED</x:v>
      </x:c>
      <x:c r="F6" s="38" t="str">
        <x:v>REUSED_AS_IS</x:v>
      </x:c>
      <x:c r="G6" s="38" t="str">
        <x:v>без изменения</x:v>
      </x:c>
      <x:c r="H6" s="38" t="str">
        <x:v>Owner</x:v>
      </x:c>
      <x:c r="I6" s="38" t="str">
        <x:v>при изменении меню</x:v>
      </x:c>
      <x:c r="J6" s="38" t="str">
        <x:v>сверка</x:v>
      </x:c>
      <x:c r="K6" s="39" t="str"/>
      <x:c r="L6" s="38"/>
      <x:c r="M6" s="38"/>
      <x:c r="N6" s="38"/>
      <x:c r="O6" s="38"/>
      <x:c r="P6" s="38"/>
      <x:c r="Q6" s="38"/>
    </x:row>
    <x:row r="7">
      <x:c r="A7" s="37" t="str">
        <x:v>Этап</x:v>
      </x:c>
      <x:c r="B7" s="38" t="str">
        <x:v>Технологический этап</x:v>
      </x:c>
      <x:c r="C7" s="38" t="str">
        <x:v>текст</x:v>
      </x:c>
      <x:c r="D7" s="38" t="str">
        <x:v>RECIPES.csv</x:v>
      </x:c>
      <x:c r="E7" s="38" t="str">
        <x:v>ASSUMPTION</x:v>
      </x:c>
      <x:c r="F7" s="38" t="str">
        <x:v>REUSED_AS_IS</x:v>
      </x:c>
      <x:c r="G7" s="38" t="str">
        <x:v>без изменения</x:v>
      </x:c>
      <x:c r="H7" s="38" t="str">
        <x:v>Chef</x:v>
      </x:c>
      <x:c r="I7" s="38" t="str">
        <x:v>после проработки</x:v>
      </x:c>
      <x:c r="J7" s="38" t="str">
        <x:v>не пусто</x:v>
      </x:c>
      <x:c r="K7" s="39" t="str"/>
      <x:c r="L7" s="38"/>
      <x:c r="M7" s="38"/>
      <x:c r="N7" s="38"/>
      <x:c r="O7" s="38"/>
      <x:c r="P7" s="38"/>
      <x:c r="Q7" s="38"/>
    </x:row>
    <x:row r="8">
      <x:c r="A8" s="37" t="str">
        <x:v>Ингредиент</x:v>
      </x:c>
      <x:c r="B8" s="38" t="str">
        <x:v>Сырьё/компонент</x:v>
      </x:c>
      <x:c r="C8" s="38" t="str">
        <x:v>текст</x:v>
      </x:c>
      <x:c r="D8" s="38" t="str">
        <x:v>RECIPES.csv</x:v>
      </x:c>
      <x:c r="E8" s="38" t="str">
        <x:v>ASSUMPTION</x:v>
      </x:c>
      <x:c r="F8" s="38" t="str">
        <x:v>REUSED_AS_IS</x:v>
      </x:c>
      <x:c r="G8" s="38" t="str">
        <x:v>без изменения</x:v>
      </x:c>
      <x:c r="H8" s="38" t="str">
        <x:v>Chef</x:v>
      </x:c>
      <x:c r="I8" s="38" t="str">
        <x:v>после проработки</x:v>
      </x:c>
      <x:c r="J8" s="38" t="str">
        <x:v>не пусто</x:v>
      </x:c>
      <x:c r="K8" s="39" t="str"/>
      <x:c r="L8" s="38"/>
      <x:c r="M8" s="38"/>
      <x:c r="N8" s="38"/>
      <x:c r="O8" s="38"/>
      <x:c r="P8" s="38"/>
      <x:c r="Q8" s="38"/>
    </x:row>
    <x:row r="9">
      <x:c r="A9" s="37" t="str">
        <x:v>Брутто</x:v>
      </x:c>
      <x:c r="B9" s="38" t="str">
        <x:v>Закупочная масса в рецептуре</x:v>
      </x:c>
      <x:c r="C9" s="38" t="str">
        <x:v>г</x:v>
      </x:c>
      <x:c r="D9" s="38" t="str">
        <x:v>RECIPES.csv</x:v>
      </x:c>
      <x:c r="E9" s="38" t="str">
        <x:v>ASSUMPTION</x:v>
      </x:c>
      <x:c r="F9" s="38" t="str">
        <x:v>REUSED_AS_IS</x:v>
      </x:c>
      <x:c r="G9" s="38" t="str">
        <x:v>без изменения</x:v>
      </x:c>
      <x:c r="H9" s="38" t="str">
        <x:v>Chef</x:v>
      </x:c>
      <x:c r="I9" s="38" t="str">
        <x:v>после проработки</x:v>
      </x:c>
      <x:c r="J9" s="38" t="str">
        <x:v>&gt;0</x:v>
      </x:c>
      <x:c r="K9" s="39" t="str"/>
      <x:c r="L9" s="38"/>
      <x:c r="M9" s="38"/>
      <x:c r="N9" s="38"/>
      <x:c r="O9" s="38"/>
      <x:c r="P9" s="38"/>
      <x:c r="Q9" s="38"/>
    </x:row>
    <x:row r="10">
      <x:c r="A10" s="37" t="str">
        <x:v>Нетто</x:v>
      </x:c>
      <x:c r="B10" s="38" t="str">
        <x:v>Масса после первичной обработки</x:v>
      </x:c>
      <x:c r="C10" s="38" t="str">
        <x:v>г</x:v>
      </x:c>
      <x:c r="D10" s="38" t="str">
        <x:v>RECIPES.csv</x:v>
      </x:c>
      <x:c r="E10" s="38" t="str">
        <x:v>ASSUMPTION</x:v>
      </x:c>
      <x:c r="F10" s="38" t="str">
        <x:v>REUSED_AS_IS</x:v>
      </x:c>
      <x:c r="G10" s="38" t="str">
        <x:v>без изменения</x:v>
      </x:c>
      <x:c r="H10" s="38" t="str">
        <x:v>Chef</x:v>
      </x:c>
      <x:c r="I10" s="38" t="str">
        <x:v>после проработки</x:v>
      </x:c>
      <x:c r="J10" s="38" t="str">
        <x:v>&gt;0</x:v>
      </x:c>
      <x:c r="K10" s="39" t="str"/>
      <x:c r="L10" s="38"/>
      <x:c r="M10" s="38"/>
      <x:c r="N10" s="38"/>
      <x:c r="O10" s="38"/>
      <x:c r="P10" s="38"/>
      <x:c r="Q10" s="38"/>
    </x:row>
    <x:row r="11">
      <x:c r="A11" s="37" t="str">
        <x:v>Потери</x:v>
      </x:c>
      <x:c r="B11" s="38" t="str">
        <x:v>Брутто - Нетто</x:v>
      </x:c>
      <x:c r="C11" s="38" t="str">
        <x:v>г</x:v>
      </x:c>
      <x:c r="D11" s="38" t="str">
        <x:v>расчёт</x:v>
      </x:c>
      <x:c r="E11" s="38" t="str">
        <x:v>CALCULATED</x:v>
      </x:c>
      <x:c r="F11" s="38" t="str">
        <x:v>REUSED_WITH_MAPPING</x:v>
      </x:c>
      <x:c r="G11" s="38" t="str">
        <x:v>Брутто-Нетто</x:v>
      </x:c>
      <x:c r="H11" s="38" t="str">
        <x:v>Costing</x:v>
      </x:c>
      <x:c r="I11" s="38" t="str">
        <x:v>автоматически</x:v>
      </x:c>
      <x:c r="J11" s="38" t="str">
        <x:v>&gt;=0</x:v>
      </x:c>
      <x:c r="K11" s="39" t="str"/>
      <x:c r="L11" s="38"/>
      <x:c r="M11" s="38"/>
      <x:c r="N11" s="38"/>
      <x:c r="O11" s="38"/>
      <x:c r="P11" s="38"/>
      <x:c r="Q11" s="38"/>
    </x:row>
    <x:row r="12">
      <x:c r="A12" s="37" t="str">
        <x:v>Цена</x:v>
      </x:c>
      <x:c r="B12" s="38" t="str">
        <x:v>Текущая цена сырья</x:v>
      </x:c>
      <x:c r="C12" s="38" t="str">
        <x:v>₽/кг или ₽/л</x:v>
      </x:c>
      <x:c r="D12" s="38" t="str">
        <x:v>Owner-approved internet price</x:v>
      </x:c>
      <x:c r="E12" s="38" t="str">
        <x:v>PRELIMINARY</x:v>
      </x:c>
      <x:c r="F12" s="38" t="str">
        <x:v>RECALCULATED_DUE_TO_PRICE_CHANGE</x:v>
      </x:c>
      <x:c r="G12" s="38" t="str">
        <x:v>как утверждено Owner</x:v>
      </x:c>
      <x:c r="H12" s="38" t="str">
        <x:v>Owner/Procurement</x:v>
      </x:c>
      <x:c r="I12" s="38" t="str">
        <x:v>при обновлении цены</x:v>
      </x:c>
      <x:c r="J12" s="38" t="str">
        <x:v>&gt;0, кроме воды</x:v>
      </x:c>
      <x:c r="K12" s="39" t="str"/>
      <x:c r="L12" s="38"/>
      <x:c r="M12" s="38"/>
      <x:c r="N12" s="38"/>
      <x:c r="O12" s="38"/>
      <x:c r="P12" s="38"/>
      <x:c r="Q12" s="38"/>
    </x:row>
    <x:row r="13">
      <x:c r="A13" s="37" t="str">
        <x:v>Ед. цены</x:v>
      </x:c>
      <x:c r="B13" s="38" t="str">
        <x:v>База цены</x:v>
      </x:c>
      <x:c r="C13" s="38" t="str">
        <x:v>текст</x:v>
      </x:c>
      <x:c r="D13" s="38" t="str">
        <x:v>источник цены</x:v>
      </x:c>
      <x:c r="E13" s="38" t="str">
        <x:v>PRELIMINARY</x:v>
      </x:c>
      <x:c r="F13" s="38" t="str">
        <x:v>RECALCULATED_DUE_TO_PRICE_CHANGE</x:v>
      </x:c>
      <x:c r="G13" s="38" t="str">
        <x:v>₽/кг или ₽/л</x:v>
      </x:c>
      <x:c r="H13" s="38" t="str">
        <x:v>Costing</x:v>
      </x:c>
      <x:c r="I13" s="38" t="str">
        <x:v>при цене</x:v>
      </x:c>
      <x:c r="J13" s="38" t="str">
        <x:v>валидная единица</x:v>
      </x:c>
      <x:c r="K13" s="39" t="str"/>
      <x:c r="L13" s="38"/>
      <x:c r="M13" s="38"/>
      <x:c r="N13" s="38"/>
      <x:c r="O13" s="38"/>
      <x:c r="P13" s="38"/>
      <x:c r="Q13" s="38"/>
    </x:row>
    <x:row r="14">
      <x:c r="A14" s="37" t="str">
        <x:v>Плотность</x:v>
      </x:c>
      <x:c r="B14" s="38" t="str">
        <x:v>Для перевода г масла в литры</x:v>
      </x:c>
      <x:c r="C14" s="38" t="str">
        <x:v>кг/л</x:v>
      </x:c>
      <x:c r="D14" s="38" t="str">
        <x:v>Owner decision / экспертное допущение</x:v>
      </x:c>
      <x:c r="E14" s="38" t="str">
        <x:v>EXPERT_ASSUMPTION</x:v>
      </x:c>
      <x:c r="F14" s="38" t="str">
        <x:v>REUSED_WITH_MAPPING</x:v>
      </x:c>
      <x:c r="G14" s="38" t="str">
        <x:v>0,91 только для масла</x:v>
      </x:c>
      <x:c r="H14" s="38" t="str">
        <x:v>Owner/Chef</x:v>
      </x:c>
      <x:c r="I14" s="38" t="str">
        <x:v>при уточнении</x:v>
      </x:c>
      <x:c r="J14" s="38" t="str">
        <x:v>&gt;0</x:v>
      </x:c>
      <x:c r="K14" s="39" t="str"/>
      <x:c r="L14" s="38"/>
      <x:c r="M14" s="38"/>
      <x:c r="N14" s="38"/>
      <x:c r="O14" s="38"/>
      <x:c r="P14" s="38"/>
      <x:c r="Q14" s="38"/>
    </x:row>
    <x:row r="15">
      <x:c r="A15" s="37" t="str">
        <x:v>Расчётное количество</x:v>
      </x:c>
      <x:c r="B15" s="38" t="str">
        <x:v>Количество в единице закупочной цены</x:v>
      </x:c>
      <x:c r="C15" s="38" t="str">
        <x:v>кг или л</x:v>
      </x:c>
      <x:c r="D15" s="38" t="str">
        <x:v>расчёт</x:v>
      </x:c>
      <x:c r="E15" s="38" t="str">
        <x:v>CALCULATED</x:v>
      </x:c>
      <x:c r="F15" s="38" t="str">
        <x:v>RECALCULATED_DUE_TO_PRICE_CHANGE</x:v>
      </x:c>
      <x:c r="G15" s="38" t="str">
        <x:v>г/1000 или г/(1000*плотность)</x:v>
      </x:c>
      <x:c r="H15" s="38" t="str">
        <x:v>Costing</x:v>
      </x:c>
      <x:c r="I15" s="38" t="str">
        <x:v>автоматически</x:v>
      </x:c>
      <x:c r="J15" s="38" t="str">
        <x:v>&gt;=0</x:v>
      </x:c>
      <x:c r="K15" s="39" t="str"/>
      <x:c r="L15" s="38"/>
      <x:c r="M15" s="38"/>
      <x:c r="N15" s="38"/>
      <x:c r="O15" s="38"/>
      <x:c r="P15" s="38"/>
      <x:c r="Q15" s="38"/>
    </x:row>
    <x:row r="16">
      <x:c r="A16" s="37" t="str">
        <x:v>Стоимость закладки</x:v>
      </x:c>
      <x:c r="B16" s="38" t="str">
        <x:v>Цена * расчётное количество</x:v>
      </x:c>
      <x:c r="C16" s="38" t="str">
        <x:v>₽</x:v>
      </x:c>
      <x:c r="D16" s="38" t="str">
        <x:v>расчёт</x:v>
      </x:c>
      <x:c r="E16" s="38" t="str">
        <x:v>CALCULATED</x:v>
      </x:c>
      <x:c r="F16" s="38" t="str">
        <x:v>RECALCULATED_DUE_TO_PRICE_CHANGE</x:v>
      </x:c>
      <x:c r="G16" s="38" t="str">
        <x:v>Цена×Количество</x:v>
      </x:c>
      <x:c r="H16" s="38" t="str">
        <x:v>Costing</x:v>
      </x:c>
      <x:c r="I16" s="38" t="str">
        <x:v>автоматически</x:v>
      </x:c>
      <x:c r="J16" s="38" t="str">
        <x:v>&gt;=0</x:v>
      </x:c>
      <x:c r="K16" s="39" t="str"/>
      <x:c r="L16" s="38"/>
      <x:c r="M16" s="38"/>
      <x:c r="N16" s="38"/>
      <x:c r="O16" s="38"/>
      <x:c r="P16" s="38"/>
      <x:c r="Q16" s="38"/>
    </x:row>
    <x:row r="17">
      <x:c r="A17" s="37" t="str">
        <x:v>Источник цены</x:v>
      </x:c>
      <x:c r="B17" s="38" t="str">
        <x:v>URL</x:v>
      </x:c>
      <x:c r="C17" s="38" t="str">
        <x:v>URL</x:v>
      </x:c>
      <x:c r="D17" s="38" t="str">
        <x:v>интернет-источник</x:v>
      </x:c>
      <x:c r="E17" s="38" t="str">
        <x:v>PRELIMINARY</x:v>
      </x:c>
      <x:c r="F17" s="38" t="str">
        <x:v>NEW_DATA</x:v>
      </x:c>
      <x:c r="G17" s="38" t="str">
        <x:v>прямая ссылка</x:v>
      </x:c>
      <x:c r="H17" s="38" t="str">
        <x:v>Procurement</x:v>
      </x:c>
      <x:c r="I17" s="38" t="str">
        <x:v>при обновлении цены</x:v>
      </x:c>
      <x:c r="J17" s="38" t="str">
        <x:v>URL</x:v>
      </x:c>
      <x:c r="K17" s="39" t="str"/>
      <x:c r="L17" s="38"/>
      <x:c r="M17" s="38"/>
      <x:c r="N17" s="38"/>
      <x:c r="O17" s="38"/>
      <x:c r="P17" s="38"/>
      <x:c r="Q17" s="38"/>
    </x:row>
    <x:row r="18">
      <x:c r="A18" s="37" t="str">
        <x:v>Дата цены</x:v>
      </x:c>
      <x:c r="B18" s="38" t="str">
        <x:v>Дата фиксации проектной цены</x:v>
      </x:c>
      <x:c r="C18" s="38" t="str">
        <x:v>дата</x:v>
      </x:c>
      <x:c r="D18" s="38" t="str">
        <x:v>Owner decision</x:v>
      </x:c>
      <x:c r="E18" s="38" t="str">
        <x:v>PRELIMINARY</x:v>
      </x:c>
      <x:c r="F18" s="38" t="str">
        <x:v>NEW_DATA</x:v>
      </x:c>
      <x:c r="G18" s="38" t="str">
        <x:v>2026-08-07</x:v>
      </x:c>
      <x:c r="H18" s="38" t="str">
        <x:v>Owner</x:v>
      </x:c>
      <x:c r="I18" s="38" t="str">
        <x:v>при обновлении цены</x:v>
      </x:c>
      <x:c r="J18" s="38" t="str">
        <x:v>дата</x:v>
      </x:c>
      <x:c r="K18" s="39" t="str"/>
      <x:c r="L18" s="38"/>
      <x:c r="M18" s="38"/>
      <x:c r="N18" s="38"/>
      <x:c r="O18" s="38"/>
      <x:c r="P18" s="38"/>
      <x:c r="Q18" s="38"/>
    </x:row>
    <x:row r="19">
      <x:c r="A19" s="37" t="str">
        <x:v>Статус нормы</x:v>
      </x:c>
      <x:c r="B19" s="38" t="str">
        <x:v>Статус рецептурной нормы</x:v>
      </x:c>
      <x:c r="C19" s="38" t="str">
        <x:v>статус</x:v>
      </x:c>
      <x:c r="D19" s="38" t="str">
        <x:v>Owner decision</x:v>
      </x:c>
      <x:c r="E19" s="38" t="str">
        <x:v>ASSUMPTION</x:v>
      </x:c>
      <x:c r="F19" s="38" t="str">
        <x:v>REUSED_AS_IS</x:v>
      </x:c>
      <x:c r="G19" s="38" t="str">
        <x:v>фиксирован</x:v>
      </x:c>
      <x:c r="H19" s="38" t="str">
        <x:v>Chef</x:v>
      </x:c>
      <x:c r="I19" s="38" t="str">
        <x:v>после теста</x:v>
      </x:c>
      <x:c r="J19" s="38" t="str">
        <x:v>ASSUMPTION</x:v>
      </x:c>
      <x:c r="K19" s="39" t="str"/>
      <x:c r="L19" s="38"/>
      <x:c r="M19" s="38"/>
      <x:c r="N19" s="38"/>
      <x:c r="O19" s="38"/>
      <x:c r="P19" s="38"/>
      <x:c r="Q19" s="38"/>
    </x:row>
    <x:row r="20">
      <x:c r="A20" s="37" t="str">
        <x:v>Статус цены</x:v>
      </x:c>
      <x:c r="B20" s="38" t="str">
        <x:v>Статус интернет-цены</x:v>
      </x:c>
      <x:c r="C20" s="38" t="str">
        <x:v>статус</x:v>
      </x:c>
      <x:c r="D20" s="38" t="str">
        <x:v>Owner decision</x:v>
      </x:c>
      <x:c r="E20" s="38" t="str">
        <x:v>PRELIMINARY</x:v>
      </x:c>
      <x:c r="F20" s="38" t="str">
        <x:v>NEW_DATA</x:v>
      </x:c>
      <x:c r="G20" s="38" t="str">
        <x:v>до КП/накладной</x:v>
      </x:c>
      <x:c r="H20" s="38" t="str">
        <x:v>Owner/Procurement</x:v>
      </x:c>
      <x:c r="I20" s="38" t="str">
        <x:v>при подтверждении</x:v>
      </x:c>
      <x:c r="J20" s="38" t="str">
        <x:v>PRELIMINARY</x:v>
      </x:c>
      <x:c r="K20" s="39" t="str"/>
      <x:c r="L20" s="38"/>
      <x:c r="M20" s="38"/>
      <x:c r="N20" s="38"/>
      <x:c r="O20" s="38"/>
      <x:c r="P20" s="38"/>
      <x:c r="Q20" s="38"/>
    </x:row>
    <x:row r="21">
      <x:c r="A21" s="40" t="str">
        <x:v>reuse_action</x:v>
      </x:c>
      <x:c r="B21" s="41" t="str">
        <x:v>Действие повторного использования</x:v>
      </x:c>
      <x:c r="C21" s="41" t="str">
        <x:v>enum</x:v>
      </x:c>
      <x:c r="D21" s="41" t="str">
        <x:v>Owner decision</x:v>
      </x:c>
      <x:c r="E21" s="41" t="str">
        <x:v>—</x:v>
      </x:c>
      <x:c r="F21" s="41" t="str">
        <x:v>—</x:v>
      </x:c>
      <x:c r="G21" s="41" t="str">
        <x:v>см. enum проекта</x:v>
      </x:c>
      <x:c r="H21" s="41" t="str">
        <x:v>Owner</x:v>
      </x:c>
      <x:c r="I21" s="41" t="str">
        <x:v>при изменении</x:v>
      </x:c>
      <x:c r="J21" s="41" t="str">
        <x:v>валидный enum</x:v>
      </x:c>
      <x:c r="K21" s="42" t="str"/>
      <x:c r="L21" s="38"/>
      <x:c r="M21" s="38"/>
      <x:c r="N21" s="38"/>
      <x:c r="O21" s="38"/>
      <x:c r="P21" s="38"/>
      <x:c r="Q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</x:row>
    <x:row r="23">
      <x:c r="A23" s="63" t="str">
        <x:v>dish_code</x:v>
      </x:c>
      <x:c r="B23" s="64" t="str">
        <x:v>Блюдо</x:v>
      </x:c>
      <x:c r="C23" s="64" t="str">
        <x:v>Этап</x:v>
      </x:c>
      <x:c r="D23" s="64" t="str">
        <x:v>Ингредиент</x:v>
      </x:c>
      <x:c r="E23" s="64" t="str">
        <x:v>Брутто, г</x:v>
      </x:c>
      <x:c r="F23" s="64" t="str">
        <x:v>Нетто, г</x:v>
      </x:c>
      <x:c r="G23" s="64" t="str">
        <x:v>Потери, г</x:v>
      </x:c>
      <x:c r="H23" s="64" t="str">
        <x:v>Цена</x:v>
      </x:c>
      <x:c r="I23" s="64" t="str">
        <x:v>Ед. цены</x:v>
      </x:c>
      <x:c r="J23" s="64" t="str">
        <x:v>Плотность, кг/л</x:v>
      </x:c>
      <x:c r="K23" s="64" t="str">
        <x:v>Расчётное количество</x:v>
      </x:c>
      <x:c r="L23" s="64" t="str">
        <x:v>Стоимость закладки, ₽</x:v>
      </x:c>
      <x:c r="M23" s="64" t="str">
        <x:v>Источник цены</x:v>
      </x:c>
      <x:c r="N23" s="64" t="str">
        <x:v>Дата цены</x:v>
      </x:c>
      <x:c r="O23" s="64" t="str">
        <x:v>Статус нормы</x:v>
      </x:c>
      <x:c r="P23" s="64" t="str">
        <x:v>Статус цены</x:v>
      </x:c>
      <x:c r="Q23" s="65" t="str">
        <x:v>reuse_action</x:v>
      </x:c>
    </x:row>
    <x:row r="24">
      <x:c r="A24" s="37" t="str">
        <x:v>VKM-001</x:v>
      </x:c>
      <x:c r="B24" s="38" t="str">
        <x:v>Маргарита</x:v>
      </x:c>
      <x:c r="C24" s="38" t="str">
        <x:v>Тесто</x:v>
      </x:c>
      <x:c r="D24" s="38" t="str">
        <x:v>Мука пшеничная хлебопекарная</x:v>
      </x:c>
      <x:c r="E24" s="74" t="n">
        <x:v>140</x:v>
      </x:c>
      <x:c r="F24" s="74" t="n">
        <x:v>140</x:v>
      </x:c>
      <x:c r="G24" s="74" t="n">
        <x:f>E24-F24</x:f>
        <x:v>0</x:v>
      </x:c>
      <x:c r="H24" s="74" t="n">
        <x:v>72</x:v>
      </x:c>
      <x:c r="I24" s="74" t="str">
        <x:v>₽/кг</x:v>
      </x:c>
      <x:c r="J24" s="74"/>
      <x:c r="K24" s="74" t="n">
        <x:f>E24/1000</x:f>
        <x:v>0.14</x:v>
      </x:c>
      <x:c r="L24" s="74" t="n">
        <x:f>H24*K24</x:f>
        <x:v>10.080000000000002</x:v>
      </x:c>
      <x:c r="M24" s="38" t="str">
        <x:v>https://online.metro-cc.ru/products/2kg-metro-chef-pshenichnaya-hlebopek-v-s</x:v>
      </x:c>
      <x:c r="N24" s="38" t="str">
        <x:v>2026-08-07</x:v>
      </x:c>
      <x:c r="O24" s="38" t="str">
        <x:v>ASSUMPTION</x:v>
      </x:c>
      <x:c r="P24" s="38" t="str">
        <x:v>PRELIMINARY</x:v>
      </x:c>
      <x:c r="Q24" s="39" t="str">
        <x:v>RECALCULATED_DUE_TO_PRICE_CHANGE</x:v>
      </x:c>
    </x:row>
    <x:row r="25">
      <x:c r="A25" s="37" t="str">
        <x:v>VKM-001</x:v>
      </x:c>
      <x:c r="B25" s="38" t="str">
        <x:v>Маргарита</x:v>
      </x:c>
      <x:c r="C25" s="38" t="str">
        <x:v>Тесто</x:v>
      </x:c>
      <x:c r="D25" s="38" t="str">
        <x:v>Вода питьевая</x:v>
      </x:c>
      <x:c r="E25" s="74" t="n">
        <x:v>85</x:v>
      </x:c>
      <x:c r="F25" s="74" t="n">
        <x:v>85</x:v>
      </x:c>
      <x:c r="G25" s="74" t="n">
        <x:f>E25-F25</x:f>
        <x:v>0</x:v>
      </x:c>
      <x:c r="H25" s="74"/>
      <x:c r="I25" s="74" t="str">
        <x:v>NOT_COSTED</x:v>
      </x:c>
      <x:c r="J25" s="74"/>
      <x:c r="K25" s="74"/>
      <x:c r="L25" s="74"/>
      <x:c r="M25" s="38" t="str"/>
      <x:c r="N25" s="38" t="str">
        <x:v>2026-08-07</x:v>
      </x:c>
      <x:c r="O25" s="38" t="str">
        <x:v>ASSUMPTION</x:v>
      </x:c>
      <x:c r="P25" s="38" t="str">
        <x:v>NOT_COSTED_BY_OWNER_DECISION</x:v>
      </x:c>
      <x:c r="Q25" s="39" t="str">
        <x:v>REUSED_AS_IS</x:v>
      </x:c>
    </x:row>
    <x:row r="26">
      <x:c r="A26" s="37" t="str">
        <x:v>VKM-001</x:v>
      </x:c>
      <x:c r="B26" s="38" t="str">
        <x:v>Маргарита</x:v>
      </x:c>
      <x:c r="C26" s="38" t="str">
        <x:v>Тесто</x:v>
      </x:c>
      <x:c r="D26" s="38" t="str">
        <x:v>Дрожжи хлебопекарные</x:v>
      </x:c>
      <x:c r="E26" s="74" t="n">
        <x:v>2</x:v>
      </x:c>
      <x:c r="F26" s="74" t="n">
        <x:v>2</x:v>
      </x:c>
      <x:c r="G26" s="74" t="n">
        <x:f>E26-F26</x:f>
        <x:v>0</x:v>
      </x:c>
      <x:c r="H26" s="74" t="n">
        <x:v>679</x:v>
      </x:c>
      <x:c r="I26" s="74" t="str">
        <x:v>₽/кг</x:v>
      </x:c>
      <x:c r="J26" s="74"/>
      <x:c r="K26" s="74" t="n">
        <x:f>E26/1000</x:f>
        <x:v>0.002</x:v>
      </x:c>
      <x:c r="L26" s="74" t="n">
        <x:f>H26*K26</x:f>
        <x:v>1.358</x:v>
      </x:c>
      <x:c r="M26" s="38" t="str">
        <x:v>https://online.metro-cc.ru/products/drozhzhi-suhie-voronezhskie-bystrodeystvuyuschie-100g</x:v>
      </x:c>
      <x:c r="N26" s="38" t="str">
        <x:v>2026-08-07</x:v>
      </x:c>
      <x:c r="O26" s="38" t="str">
        <x:v>ASSUMPTION</x:v>
      </x:c>
      <x:c r="P26" s="38" t="str">
        <x:v>PRELIMINARY</x:v>
      </x:c>
      <x:c r="Q26" s="39" t="str">
        <x:v>RECALCULATED_DUE_TO_PRICE_CHANGE</x:v>
      </x:c>
    </x:row>
    <x:row r="27">
      <x:c r="A27" s="37" t="str">
        <x:v>VKM-001</x:v>
      </x:c>
      <x:c r="B27" s="38" t="str">
        <x:v>Маргарита</x:v>
      </x:c>
      <x:c r="C27" s="38" t="str">
        <x:v>Тесто</x:v>
      </x:c>
      <x:c r="D27" s="38" t="str">
        <x:v>Соль пищевая</x:v>
      </x:c>
      <x:c r="E27" s="74" t="n">
        <x:v>3</x:v>
      </x:c>
      <x:c r="F27" s="74" t="n">
        <x:v>3</x:v>
      </x:c>
      <x:c r="G27" s="74" t="n">
        <x:f>E27-F27</x:f>
        <x:v>0</x:v>
      </x:c>
      <x:c r="H27" s="74" t="n">
        <x:v>24.9</x:v>
      </x:c>
      <x:c r="I27" s="74" t="str">
        <x:v>₽/кг</x:v>
      </x:c>
      <x:c r="J27" s="74"/>
      <x:c r="K27" s="74" t="n">
        <x:f>E27/1000</x:f>
        <x:v>0.003</x:v>
      </x:c>
      <x:c r="L27" s="74" t="n">
        <x:f>H27*K27</x:f>
        <x:v>0.0747</x:v>
      </x:c>
      <x:c r="M27" s="38" t="str">
        <x:v>https://online.metro-cc.ru/products/pischevaya-aro-jodirovannaya-pischevaya-1-kg</x:v>
      </x:c>
      <x:c r="N27" s="38" t="str">
        <x:v>2026-08-07</x:v>
      </x:c>
      <x:c r="O27" s="38" t="str">
        <x:v>ASSUMPTION</x:v>
      </x:c>
      <x:c r="P27" s="38" t="str">
        <x:v>PRELIMINARY</x:v>
      </x:c>
      <x:c r="Q27" s="39" t="str">
        <x:v>RECALCULATED_DUE_TO_PRICE_CHANGE</x:v>
      </x:c>
    </x:row>
    <x:row r="28">
      <x:c r="A28" s="37" t="str">
        <x:v>VKM-001</x:v>
      </x:c>
      <x:c r="B28" s="38" t="str">
        <x:v>Маргарита</x:v>
      </x:c>
      <x:c r="C28" s="38" t="str">
        <x:v>Тесто</x:v>
      </x:c>
      <x:c r="D28" s="38" t="str">
        <x:v>Масло оливковое Extra Virgin</x:v>
      </x:c>
      <x:c r="E28" s="74" t="n">
        <x:v>8</x:v>
      </x:c>
      <x:c r="F28" s="74" t="n">
        <x:v>8</x:v>
      </x:c>
      <x:c r="G28" s="74" t="n">
        <x:f>E28-F28</x:f>
        <x:v>0</x:v>
      </x:c>
      <x:c r="H28" s="74" t="n">
        <x:v>1279</x:v>
      </x:c>
      <x:c r="I28" s="74" t="str">
        <x:v>₽/л</x:v>
      </x:c>
      <x:c r="J28" s="74" t="n">
        <x:v>0.91</x:v>
      </x:c>
      <x:c r="K28" s="74" t="n">
        <x:f>E28/(1000*J28)</x:f>
        <x:v>0.008791208791208791</x:v>
      </x:c>
      <x:c r="L28" s="74" t="n">
        <x:f>H28*K28</x:f>
        <x:v>11.243956043956043</x:v>
      </x:c>
      <x:c r="M28" s="38" t="str">
        <x:v>https://online.metro-cc.ru/products/1l-olivkovoe-maslo-metro-chef-extra-virgin</x:v>
      </x:c>
      <x:c r="N28" s="38" t="str">
        <x:v>2026-08-07</x:v>
      </x:c>
      <x:c r="O28" s="38" t="str">
        <x:v>ASSUMPTION</x:v>
      </x:c>
      <x:c r="P28" s="38" t="str">
        <x:v>PRELIMINARY</x:v>
      </x:c>
      <x:c r="Q28" s="39" t="str">
        <x:v>RECALCULATED_DUE_TO_PRICE_CHANGE</x:v>
      </x:c>
    </x:row>
    <x:row r="29">
      <x:c r="A29" s="37" t="str">
        <x:v>VKM-001</x:v>
      </x:c>
      <x:c r="B29" s="38" t="str">
        <x:v>Маргарита</x:v>
      </x:c>
      <x:c r="C29" s="38" t="str">
        <x:v>Соус</x:v>
      </x:c>
      <x:c r="D29" s="38" t="str">
        <x:v>Томаты протёртые</x:v>
      </x:c>
      <x:c r="E29" s="74" t="n">
        <x:v>70</x:v>
      </x:c>
      <x:c r="F29" s="74" t="n">
        <x:v>70</x:v>
      </x:c>
      <x:c r="G29" s="74" t="n">
        <x:f>E29-F29</x:f>
        <x:v>0</x:v>
      </x:c>
      <x:c r="H29" s="74" t="n">
        <x:v>519</x:v>
      </x:c>
      <x:c r="I29" s="74" t="str">
        <x:v>₽/кг</x:v>
      </x:c>
      <x:c r="J29" s="74"/>
      <x:c r="K29" s="74" t="n">
        <x:f>E29/1000</x:f>
        <x:v>0.07</x:v>
      </x:c>
      <x:c r="L29" s="74" t="n">
        <x:f>H29*K29</x:f>
        <x:v>36.330000000000005</x:v>
      </x:c>
      <x:c r="M29" s="38" t="str">
        <x:v>https://online.metro-cc.ru/products/pomidory-pomi-potertye-1-l</x:v>
      </x:c>
      <x:c r="N29" s="38" t="str">
        <x:v>2026-08-07</x:v>
      </x:c>
      <x:c r="O29" s="38" t="str">
        <x:v>ASSUMPTION</x:v>
      </x:c>
      <x:c r="P29" s="38" t="str">
        <x:v>PRELIMINARY</x:v>
      </x:c>
      <x:c r="Q29" s="39" t="str">
        <x:v>RECALCULATED_DUE_TO_PRICE_CHANGE</x:v>
      </x:c>
    </x:row>
    <x:row r="30">
      <x:c r="A30" s="37" t="str">
        <x:v>VKM-001</x:v>
      </x:c>
      <x:c r="B30" s="38" t="str">
        <x:v>Маргарита</x:v>
      </x:c>
      <x:c r="C30" s="38" t="str">
        <x:v>Соус</x:v>
      </x:c>
      <x:c r="D30" s="38" t="str">
        <x:v>Чеснок</x:v>
      </x:c>
      <x:c r="E30" s="74" t="n">
        <x:v>2.2</x:v>
      </x:c>
      <x:c r="F30" s="74" t="n">
        <x:v>2</x:v>
      </x:c>
      <x:c r="G30" s="74" t="n">
        <x:f>E30-F30</x:f>
        <x:v>0.20000000000000018</x:v>
      </x:c>
      <x:c r="H30" s="74" t="n">
        <x:v>305</x:v>
      </x:c>
      <x:c r="I30" s="74" t="str">
        <x:v>₽/кг</x:v>
      </x:c>
      <x:c r="J30" s="74"/>
      <x:c r="K30" s="74" t="n">
        <x:f>E30/1000</x:f>
        <x:v>0.0022</x:v>
      </x:c>
      <x:c r="L30" s="74" t="n">
        <x:f>H30*K30</x:f>
        <x:v>0.671</x:v>
      </x:c>
      <x:c r="M30" s="38" t="str">
        <x:v>https://lenta.com/product/chesnok-ves-11187/</x:v>
      </x:c>
      <x:c r="N30" s="38" t="str">
        <x:v>2026-08-07</x:v>
      </x:c>
      <x:c r="O30" s="38" t="str">
        <x:v>ASSUMPTION</x:v>
      </x:c>
      <x:c r="P30" s="38" t="str">
        <x:v>PRELIMINARY</x:v>
      </x:c>
      <x:c r="Q30" s="39" t="str">
        <x:v>RECALCULATED_DUE_TO_PRICE_CHANGE</x:v>
      </x:c>
    </x:row>
    <x:row r="31">
      <x:c r="A31" s="37" t="str">
        <x:v>VKM-001</x:v>
      </x:c>
      <x:c r="B31" s="38" t="str">
        <x:v>Маргарита</x:v>
      </x:c>
      <x:c r="C31" s="38" t="str">
        <x:v>Соус</x:v>
      </x:c>
      <x:c r="D31" s="38" t="str">
        <x:v>Орегано</x:v>
      </x:c>
      <x:c r="E31" s="74" t="n">
        <x:v>1</x:v>
      </x:c>
      <x:c r="F31" s="74" t="n">
        <x:v>1</x:v>
      </x:c>
      <x:c r="G31" s="74" t="n">
        <x:f>E31-F31</x:f>
        <x:v>0</x:v>
      </x:c>
      <x:c r="H31" s="74" t="n">
        <x:v>3950</x:v>
      </x:c>
      <x:c r="I31" s="74" t="str">
        <x:v>₽/кг</x:v>
      </x:c>
      <x:c r="J31" s="74"/>
      <x:c r="K31" s="74" t="n">
        <x:f>E31/1000</x:f>
        <x:v>0.001</x:v>
      </x:c>
      <x:c r="L31" s="74" t="n">
        <x:f>H31*K31</x:f>
        <x:v>3.95</x:v>
      </x:c>
      <x:c r="M31" s="38" t="str">
        <x:v>https://online.metro-cc.ru/products/oregano-metro-chef-izmelchennyj-101-g</x:v>
      </x:c>
      <x:c r="N31" s="38" t="str">
        <x:v>2026-08-07</x:v>
      </x:c>
      <x:c r="O31" s="38" t="str">
        <x:v>ASSUMPTION</x:v>
      </x:c>
      <x:c r="P31" s="38" t="str">
        <x:v>PRELIMINARY</x:v>
      </x:c>
      <x:c r="Q31" s="39" t="str">
        <x:v>RECALCULATED_DUE_TO_PRICE_CHANGE</x:v>
      </x:c>
    </x:row>
    <x:row r="32">
      <x:c r="A32" s="37" t="str">
        <x:v>VKM-001</x:v>
      </x:c>
      <x:c r="B32" s="38" t="str">
        <x:v>Маргарита</x:v>
      </x:c>
      <x:c r="C32" s="38" t="str">
        <x:v>Соус</x:v>
      </x:c>
      <x:c r="D32" s="38" t="str">
        <x:v>Масло оливковое Extra Virgin</x:v>
      </x:c>
      <x:c r="E32" s="74" t="n">
        <x:v>10</x:v>
      </x:c>
      <x:c r="F32" s="74" t="n">
        <x:v>10</x:v>
      </x:c>
      <x:c r="G32" s="74" t="n">
        <x:f>E32-F32</x:f>
        <x:v>0</x:v>
      </x:c>
      <x:c r="H32" s="74" t="n">
        <x:v>1279</x:v>
      </x:c>
      <x:c r="I32" s="74" t="str">
        <x:v>₽/л</x:v>
      </x:c>
      <x:c r="J32" s="74" t="n">
        <x:v>0.91</x:v>
      </x:c>
      <x:c r="K32" s="74" t="n">
        <x:f>E32/(1000*J32)</x:f>
        <x:v>0.01098901098901099</x:v>
      </x:c>
      <x:c r="L32" s="74" t="n">
        <x:f>H32*K32</x:f>
        <x:v>14.054945054945057</x:v>
      </x:c>
      <x:c r="M32" s="38" t="str">
        <x:v>https://online.metro-cc.ru/products/1l-olivkovoe-maslo-metro-chef-extra-virgin</x:v>
      </x:c>
      <x:c r="N32" s="38" t="str">
        <x:v>2026-08-07</x:v>
      </x:c>
      <x:c r="O32" s="38" t="str">
        <x:v>ASSUMPTION</x:v>
      </x:c>
      <x:c r="P32" s="38" t="str">
        <x:v>PRELIMINARY</x:v>
      </x:c>
      <x:c r="Q32" s="39" t="str">
        <x:v>RECALCULATED_DUE_TO_PRICE_CHANGE</x:v>
      </x:c>
    </x:row>
    <x:row r="33">
      <x:c r="A33" s="37" t="str">
        <x:v>VKM-001</x:v>
      </x:c>
      <x:c r="B33" s="38" t="str">
        <x:v>Маргарита</x:v>
      </x:c>
      <x:c r="C33" s="38" t="str">
        <x:v>Сборка</x:v>
      </x:c>
      <x:c r="D33" s="38" t="str">
        <x:v>Моцарелла</x:v>
      </x:c>
      <x:c r="E33" s="74" t="n">
        <x:v>130</x:v>
      </x:c>
      <x:c r="F33" s="74" t="n">
        <x:v>130</x:v>
      </x:c>
      <x:c r="G33" s="74" t="n">
        <x:f>E33-F33</x:f>
        <x:v>0</x:v>
      </x:c>
      <x:c r="H33" s="74" t="n">
        <x:v>849</x:v>
      </x:c>
      <x:c r="I33" s="74" t="str">
        <x:v>₽/кг</x:v>
      </x:c>
      <x:c r="J33" s="74"/>
      <x:c r="K33" s="74" t="n">
        <x:f>E33/1000</x:f>
        <x:v>0.13</x:v>
      </x:c>
      <x:c r="L33" s="74" t="n">
        <x:f>H33*K33</x:f>
        <x:v>110.37</x:v>
      </x:c>
      <x:c r="M33" s="38" t="str">
        <x:v>https://online.metro-cc.ru/products/metro-chef-syr-motsarella-dlya-pitstsy-kusok-45-1kg</x:v>
      </x:c>
      <x:c r="N33" s="38" t="str">
        <x:v>2026-08-07</x:v>
      </x:c>
      <x:c r="O33" s="38" t="str">
        <x:v>ASSUMPTION</x:v>
      </x:c>
      <x:c r="P33" s="38" t="str">
        <x:v>PRELIMINARY</x:v>
      </x:c>
      <x:c r="Q33" s="39" t="str">
        <x:v>RECALCULATED_DUE_TO_PRICE_CHANGE</x:v>
      </x:c>
    </x:row>
    <x:row r="34">
      <x:c r="A34" s="37" t="str">
        <x:v>VKM-001</x:v>
      </x:c>
      <x:c r="B34" s="38" t="str">
        <x:v>Маргарита</x:v>
      </x:c>
      <x:c r="C34" s="38" t="str">
        <x:v>Сборка</x:v>
      </x:c>
      <x:c r="D34" s="38" t="str">
        <x:v>Пармезан</x:v>
      </x:c>
      <x:c r="E34" s="74" t="n">
        <x:v>10</x:v>
      </x:c>
      <x:c r="F34" s="74" t="n">
        <x:v>10</x:v>
      </x:c>
      <x:c r="G34" s="74" t="n">
        <x:f>E34-F34</x:f>
        <x:v>0</x:v>
      </x:c>
      <x:c r="H34" s="74" t="n">
        <x:v>1859</x:v>
      </x:c>
      <x:c r="I34" s="74" t="str">
        <x:v>₽/кг</x:v>
      </x:c>
      <x:c r="J34" s="74"/>
      <x:c r="K34" s="74" t="n">
        <x:f>E34/1000</x:f>
        <x:v>0.01</x:v>
      </x:c>
      <x:c r="L34" s="74" t="n">
        <x:f>H34*K34</x:f>
        <x:v>18.59</x:v>
      </x:c>
      <x:c r="M34" s="38" t="str">
        <x:v>https://online.metro-cc.ru/products/parmezan-32-metro-chef</x:v>
      </x:c>
      <x:c r="N34" s="38" t="str">
        <x:v>2026-08-07</x:v>
      </x:c>
      <x:c r="O34" s="38" t="str">
        <x:v>ASSUMPTION</x:v>
      </x:c>
      <x:c r="P34" s="38" t="str">
        <x:v>PRELIMINARY</x:v>
      </x:c>
      <x:c r="Q34" s="39" t="str">
        <x:v>RECALCULATED_DUE_TO_PRICE_CHANGE</x:v>
      </x:c>
    </x:row>
    <x:row r="35">
      <x:c r="A35" s="37" t="str">
        <x:v>VKM-001</x:v>
      </x:c>
      <x:c r="B35" s="38" t="str">
        <x:v>Маргарита</x:v>
      </x:c>
      <x:c r="C35" s="38" t="str">
        <x:v>Сборка</x:v>
      </x:c>
      <x:c r="D35" s="38" t="str">
        <x:v>Базилик свежий</x:v>
      </x:c>
      <x:c r="E35" s="74" t="n">
        <x:v>6</x:v>
      </x:c>
      <x:c r="F35" s="74" t="n">
        <x:v>5</x:v>
      </x:c>
      <x:c r="G35" s="74" t="n">
        <x:f>E35-F35</x:f>
        <x:v>1</x:v>
      </x:c>
      <x:c r="H35" s="74" t="n">
        <x:v>3580</x:v>
      </x:c>
      <x:c r="I35" s="74" t="str">
        <x:v>₽/кг</x:v>
      </x:c>
      <x:c r="J35" s="74"/>
      <x:c r="K35" s="74" t="n">
        <x:f>E35/1000</x:f>
        <x:v>0.006</x:v>
      </x:c>
      <x:c r="L35" s="74" t="n">
        <x:f>H35*K35</x:f>
        <x:v>21.48</x:v>
      </x:c>
      <x:c r="M35" s="38" t="str">
        <x:v>https://online.metro-cc.ru/products/50g-bazilik-zelenyy-lotok</x:v>
      </x:c>
      <x:c r="N35" s="38" t="str">
        <x:v>2026-08-07</x:v>
      </x:c>
      <x:c r="O35" s="38" t="str">
        <x:v>ASSUMPTION</x:v>
      </x:c>
      <x:c r="P35" s="38" t="str">
        <x:v>PRELIMINARY</x:v>
      </x:c>
      <x:c r="Q35" s="39" t="str">
        <x:v>RECALCULATED_DUE_TO_PRICE_CHANGE</x:v>
      </x:c>
    </x:row>
    <x:row r="36">
      <x:c r="A36" s="37" t="str">
        <x:v>VKM-001</x:v>
      </x:c>
      <x:c r="B36" s="38" t="str">
        <x:v>Маргарита</x:v>
      </x:c>
      <x:c r="C36" s="38" t="str">
        <x:v>Финиш</x:v>
      </x:c>
      <x:c r="D36" s="38" t="str">
        <x:v>Масло оливковое Extra Virgin</x:v>
      </x:c>
      <x:c r="E36" s="74" t="n">
        <x:v>12</x:v>
      </x:c>
      <x:c r="F36" s="74" t="n">
        <x:v>12</x:v>
      </x:c>
      <x:c r="G36" s="74" t="n">
        <x:f>E36-F36</x:f>
        <x:v>0</x:v>
      </x:c>
      <x:c r="H36" s="74" t="n">
        <x:v>1279</x:v>
      </x:c>
      <x:c r="I36" s="74" t="str">
        <x:v>₽/л</x:v>
      </x:c>
      <x:c r="J36" s="74" t="n">
        <x:v>0.91</x:v>
      </x:c>
      <x:c r="K36" s="74" t="n">
        <x:f>E36/(1000*J36)</x:f>
        <x:v>0.013186813186813187</x:v>
      </x:c>
      <x:c r="L36" s="74" t="n">
        <x:f>H36*K36</x:f>
        <x:v>16.865934065934066</x:v>
      </x:c>
      <x:c r="M36" s="38" t="str">
        <x:v>https://online.metro-cc.ru/products/1l-olivkovoe-maslo-metro-chef-extra-virgin</x:v>
      </x:c>
      <x:c r="N36" s="38" t="str">
        <x:v>2026-08-07</x:v>
      </x:c>
      <x:c r="O36" s="38" t="str">
        <x:v>ASSUMPTION</x:v>
      </x:c>
      <x:c r="P36" s="38" t="str">
        <x:v>PRELIMINARY</x:v>
      </x:c>
      <x:c r="Q36" s="39" t="str">
        <x:v>RECALCULATED_DUE_TO_PRICE_CHANGE</x:v>
      </x:c>
    </x:row>
    <x:row r="37">
      <x:c r="A37" s="37" t="str">
        <x:v>VKM-002</x:v>
      </x:c>
      <x:c r="B37" s="38" t="str">
        <x:v>Четыре сыра</x:v>
      </x:c>
      <x:c r="C37" s="38" t="str">
        <x:v>Тесто</x:v>
      </x:c>
      <x:c r="D37" s="38" t="str">
        <x:v>Мука пшеничная хлебопекарная</x:v>
      </x:c>
      <x:c r="E37" s="74" t="n">
        <x:v>140</x:v>
      </x:c>
      <x:c r="F37" s="74" t="n">
        <x:v>140</x:v>
      </x:c>
      <x:c r="G37" s="74" t="n">
        <x:f>E37-F37</x:f>
        <x:v>0</x:v>
      </x:c>
      <x:c r="H37" s="74" t="n">
        <x:v>72</x:v>
      </x:c>
      <x:c r="I37" s="74" t="str">
        <x:v>₽/кг</x:v>
      </x:c>
      <x:c r="J37" s="74"/>
      <x:c r="K37" s="74" t="n">
        <x:f>E37/1000</x:f>
        <x:v>0.14</x:v>
      </x:c>
      <x:c r="L37" s="74" t="n">
        <x:f>H37*K37</x:f>
        <x:v>10.080000000000002</x:v>
      </x:c>
      <x:c r="M37" s="38" t="str">
        <x:v>https://online.metro-cc.ru/products/2kg-metro-chef-pshenichnaya-hlebopek-v-s</x:v>
      </x:c>
      <x:c r="N37" s="38" t="str">
        <x:v>2026-08-07</x:v>
      </x:c>
      <x:c r="O37" s="38" t="str">
        <x:v>ASSUMPTION</x:v>
      </x:c>
      <x:c r="P37" s="38" t="str">
        <x:v>PRELIMINARY</x:v>
      </x:c>
      <x:c r="Q37" s="39" t="str">
        <x:v>RECALCULATED_DUE_TO_PRICE_CHANGE</x:v>
      </x:c>
    </x:row>
    <x:row r="38">
      <x:c r="A38" s="37" t="str">
        <x:v>VKM-002</x:v>
      </x:c>
      <x:c r="B38" s="38" t="str">
        <x:v>Четыре сыра</x:v>
      </x:c>
      <x:c r="C38" s="38" t="str">
        <x:v>Тесто</x:v>
      </x:c>
      <x:c r="D38" s="38" t="str">
        <x:v>Вода питьевая</x:v>
      </x:c>
      <x:c r="E38" s="74" t="n">
        <x:v>85</x:v>
      </x:c>
      <x:c r="F38" s="74" t="n">
        <x:v>85</x:v>
      </x:c>
      <x:c r="G38" s="74" t="n">
        <x:f>E38-F38</x:f>
        <x:v>0</x:v>
      </x:c>
      <x:c r="H38" s="74"/>
      <x:c r="I38" s="74" t="str">
        <x:v>NOT_COSTED</x:v>
      </x:c>
      <x:c r="J38" s="74"/>
      <x:c r="K38" s="74"/>
      <x:c r="L38" s="74"/>
      <x:c r="M38" s="38" t="str"/>
      <x:c r="N38" s="38" t="str">
        <x:v>2026-08-07</x:v>
      </x:c>
      <x:c r="O38" s="38" t="str">
        <x:v>ASSUMPTION</x:v>
      </x:c>
      <x:c r="P38" s="38" t="str">
        <x:v>NOT_COSTED_BY_OWNER_DECISION</x:v>
      </x:c>
      <x:c r="Q38" s="39" t="str">
        <x:v>REUSED_AS_IS</x:v>
      </x:c>
    </x:row>
    <x:row r="39">
      <x:c r="A39" s="37" t="str">
        <x:v>VKM-002</x:v>
      </x:c>
      <x:c r="B39" s="38" t="str">
        <x:v>Четыре сыра</x:v>
      </x:c>
      <x:c r="C39" s="38" t="str">
        <x:v>Тесто</x:v>
      </x:c>
      <x:c r="D39" s="38" t="str">
        <x:v>Дрожжи хлебопекарные</x:v>
      </x:c>
      <x:c r="E39" s="74" t="n">
        <x:v>2</x:v>
      </x:c>
      <x:c r="F39" s="74" t="n">
        <x:v>2</x:v>
      </x:c>
      <x:c r="G39" s="74" t="n">
        <x:f>E39-F39</x:f>
        <x:v>0</x:v>
      </x:c>
      <x:c r="H39" s="74" t="n">
        <x:v>679</x:v>
      </x:c>
      <x:c r="I39" s="74" t="str">
        <x:v>₽/кг</x:v>
      </x:c>
      <x:c r="J39" s="74"/>
      <x:c r="K39" s="74" t="n">
        <x:f>E39/1000</x:f>
        <x:v>0.002</x:v>
      </x:c>
      <x:c r="L39" s="74" t="n">
        <x:f>H39*K39</x:f>
        <x:v>1.358</x:v>
      </x:c>
      <x:c r="M39" s="38" t="str">
        <x:v>https://online.metro-cc.ru/products/drozhzhi-suhie-voronezhskie-bystrodeystvuyuschie-100g</x:v>
      </x:c>
      <x:c r="N39" s="38" t="str">
        <x:v>2026-08-07</x:v>
      </x:c>
      <x:c r="O39" s="38" t="str">
        <x:v>ASSUMPTION</x:v>
      </x:c>
      <x:c r="P39" s="38" t="str">
        <x:v>PRELIMINARY</x:v>
      </x:c>
      <x:c r="Q39" s="39" t="str">
        <x:v>RECALCULATED_DUE_TO_PRICE_CHANGE</x:v>
      </x:c>
    </x:row>
    <x:row r="40">
      <x:c r="A40" s="37" t="str">
        <x:v>VKM-002</x:v>
      </x:c>
      <x:c r="B40" s="38" t="str">
        <x:v>Четыре сыра</x:v>
      </x:c>
      <x:c r="C40" s="38" t="str">
        <x:v>Тесто</x:v>
      </x:c>
      <x:c r="D40" s="38" t="str">
        <x:v>Соль пищевая</x:v>
      </x:c>
      <x:c r="E40" s="74" t="n">
        <x:v>3</x:v>
      </x:c>
      <x:c r="F40" s="74" t="n">
        <x:v>3</x:v>
      </x:c>
      <x:c r="G40" s="74" t="n">
        <x:f>E40-F40</x:f>
        <x:v>0</x:v>
      </x:c>
      <x:c r="H40" s="74" t="n">
        <x:v>24.9</x:v>
      </x:c>
      <x:c r="I40" s="74" t="str">
        <x:v>₽/кг</x:v>
      </x:c>
      <x:c r="J40" s="74"/>
      <x:c r="K40" s="74" t="n">
        <x:f>E40/1000</x:f>
        <x:v>0.003</x:v>
      </x:c>
      <x:c r="L40" s="74" t="n">
        <x:f>H40*K40</x:f>
        <x:v>0.0747</x:v>
      </x:c>
      <x:c r="M40" s="38" t="str">
        <x:v>https://online.metro-cc.ru/products/pischevaya-aro-jodirovannaya-pischevaya-1-kg</x:v>
      </x:c>
      <x:c r="N40" s="38" t="str">
        <x:v>2026-08-07</x:v>
      </x:c>
      <x:c r="O40" s="38" t="str">
        <x:v>ASSUMPTION</x:v>
      </x:c>
      <x:c r="P40" s="38" t="str">
        <x:v>PRELIMINARY</x:v>
      </x:c>
      <x:c r="Q40" s="39" t="str">
        <x:v>RECALCULATED_DUE_TO_PRICE_CHANGE</x:v>
      </x:c>
    </x:row>
    <x:row r="41">
      <x:c r="A41" s="37" t="str">
        <x:v>VKM-002</x:v>
      </x:c>
      <x:c r="B41" s="38" t="str">
        <x:v>Четыре сыра</x:v>
      </x:c>
      <x:c r="C41" s="38" t="str">
        <x:v>Тесто</x:v>
      </x:c>
      <x:c r="D41" s="38" t="str">
        <x:v>Масло оливковое Extra Virgin</x:v>
      </x:c>
      <x:c r="E41" s="74" t="n">
        <x:v>15</x:v>
      </x:c>
      <x:c r="F41" s="74" t="n">
        <x:v>15</x:v>
      </x:c>
      <x:c r="G41" s="74" t="n">
        <x:f>E41-F41</x:f>
        <x:v>0</x:v>
      </x:c>
      <x:c r="H41" s="74" t="n">
        <x:v>1279</x:v>
      </x:c>
      <x:c r="I41" s="74" t="str">
        <x:v>₽/л</x:v>
      </x:c>
      <x:c r="J41" s="74" t="n">
        <x:v>0.91</x:v>
      </x:c>
      <x:c r="K41" s="74" t="n">
        <x:f>E41/(1000*J41)</x:f>
        <x:v>0.016483516483516484</x:v>
      </x:c>
      <x:c r="L41" s="74" t="n">
        <x:f>H41*K41</x:f>
        <x:v>21.082417582417584</x:v>
      </x:c>
      <x:c r="M41" s="38" t="str">
        <x:v>https://online.metro-cc.ru/products/1l-olivkovoe-maslo-metro-chef-extra-virgin</x:v>
      </x:c>
      <x:c r="N41" s="38" t="str">
        <x:v>2026-08-07</x:v>
      </x:c>
      <x:c r="O41" s="38" t="str">
        <x:v>ASSUMPTION</x:v>
      </x:c>
      <x:c r="P41" s="38" t="str">
        <x:v>PRELIMINARY</x:v>
      </x:c>
      <x:c r="Q41" s="39" t="str">
        <x:v>RECALCULATED_DUE_TO_PRICE_CHANGE</x:v>
      </x:c>
    </x:row>
    <x:row r="42">
      <x:c r="A42" s="37" t="str">
        <x:v>VKM-002</x:v>
      </x:c>
      <x:c r="B42" s="38" t="str">
        <x:v>Четыре сыра</x:v>
      </x:c>
      <x:c r="C42" s="38" t="str">
        <x:v>Соус</x:v>
      </x:c>
      <x:c r="D42" s="38" t="str">
        <x:v>Томаты протёртые</x:v>
      </x:c>
      <x:c r="E42" s="74" t="n">
        <x:v>45</x:v>
      </x:c>
      <x:c r="F42" s="74" t="n">
        <x:v>45</x:v>
      </x:c>
      <x:c r="G42" s="74" t="n">
        <x:f>E42-F42</x:f>
        <x:v>0</x:v>
      </x:c>
      <x:c r="H42" s="74" t="n">
        <x:v>519</x:v>
      </x:c>
      <x:c r="I42" s="74" t="str">
        <x:v>₽/кг</x:v>
      </x:c>
      <x:c r="J42" s="74"/>
      <x:c r="K42" s="74" t="n">
        <x:f>E42/1000</x:f>
        <x:v>0.045</x:v>
      </x:c>
      <x:c r="L42" s="74" t="n">
        <x:f>H42*K42</x:f>
        <x:v>23.355</x:v>
      </x:c>
      <x:c r="M42" s="38" t="str">
        <x:v>https://online.metro-cc.ru/products/pomidory-pomi-potertye-1-l</x:v>
      </x:c>
      <x:c r="N42" s="38" t="str">
        <x:v>2026-08-07</x:v>
      </x:c>
      <x:c r="O42" s="38" t="str">
        <x:v>ASSUMPTION</x:v>
      </x:c>
      <x:c r="P42" s="38" t="str">
        <x:v>PRELIMINARY</x:v>
      </x:c>
      <x:c r="Q42" s="39" t="str">
        <x:v>RECALCULATED_DUE_TO_PRICE_CHANGE</x:v>
      </x:c>
    </x:row>
    <x:row r="43">
      <x:c r="A43" s="37" t="str">
        <x:v>VKM-002</x:v>
      </x:c>
      <x:c r="B43" s="38" t="str">
        <x:v>Четыре сыра</x:v>
      </x:c>
      <x:c r="C43" s="38" t="str">
        <x:v>Соус</x:v>
      </x:c>
      <x:c r="D43" s="38" t="str">
        <x:v>Чеснок</x:v>
      </x:c>
      <x:c r="E43" s="74" t="n">
        <x:v>2.2</x:v>
      </x:c>
      <x:c r="F43" s="74" t="n">
        <x:v>2</x:v>
      </x:c>
      <x:c r="G43" s="74" t="n">
        <x:f>E43-F43</x:f>
        <x:v>0.20000000000000018</x:v>
      </x:c>
      <x:c r="H43" s="74" t="n">
        <x:v>305</x:v>
      </x:c>
      <x:c r="I43" s="74" t="str">
        <x:v>₽/кг</x:v>
      </x:c>
      <x:c r="J43" s="74"/>
      <x:c r="K43" s="74" t="n">
        <x:f>E43/1000</x:f>
        <x:v>0.0022</x:v>
      </x:c>
      <x:c r="L43" s="74" t="n">
        <x:f>H43*K43</x:f>
        <x:v>0.671</x:v>
      </x:c>
      <x:c r="M43" s="38" t="str">
        <x:v>https://lenta.com/product/chesnok-ves-11187/</x:v>
      </x:c>
      <x:c r="N43" s="38" t="str">
        <x:v>2026-08-07</x:v>
      </x:c>
      <x:c r="O43" s="38" t="str">
        <x:v>ASSUMPTION</x:v>
      </x:c>
      <x:c r="P43" s="38" t="str">
        <x:v>PRELIMINARY</x:v>
      </x:c>
      <x:c r="Q43" s="39" t="str">
        <x:v>RECALCULATED_DUE_TO_PRICE_CHANGE</x:v>
      </x:c>
    </x:row>
    <x:row r="44">
      <x:c r="A44" s="37" t="str">
        <x:v>VKM-002</x:v>
      </x:c>
      <x:c r="B44" s="38" t="str">
        <x:v>Четыре сыра</x:v>
      </x:c>
      <x:c r="C44" s="38" t="str">
        <x:v>Соус</x:v>
      </x:c>
      <x:c r="D44" s="38" t="str">
        <x:v>Орегано</x:v>
      </x:c>
      <x:c r="E44" s="74" t="n">
        <x:v>1</x:v>
      </x:c>
      <x:c r="F44" s="74" t="n">
        <x:v>1</x:v>
      </x:c>
      <x:c r="G44" s="74" t="n">
        <x:f>E44-F44</x:f>
        <x:v>0</x:v>
      </x:c>
      <x:c r="H44" s="74" t="n">
        <x:v>3950</x:v>
      </x:c>
      <x:c r="I44" s="74" t="str">
        <x:v>₽/кг</x:v>
      </x:c>
      <x:c r="J44" s="74"/>
      <x:c r="K44" s="74" t="n">
        <x:f>E44/1000</x:f>
        <x:v>0.001</x:v>
      </x:c>
      <x:c r="L44" s="74" t="n">
        <x:f>H44*K44</x:f>
        <x:v>3.95</x:v>
      </x:c>
      <x:c r="M44" s="38" t="str">
        <x:v>https://online.metro-cc.ru/products/oregano-metro-chef-izmelchennyj-101-g</x:v>
      </x:c>
      <x:c r="N44" s="38" t="str">
        <x:v>2026-08-07</x:v>
      </x:c>
      <x:c r="O44" s="38" t="str">
        <x:v>ASSUMPTION</x:v>
      </x:c>
      <x:c r="P44" s="38" t="str">
        <x:v>PRELIMINARY</x:v>
      </x:c>
      <x:c r="Q44" s="39" t="str">
        <x:v>RECALCULATED_DUE_TO_PRICE_CHANGE</x:v>
      </x:c>
    </x:row>
    <x:row r="45">
      <x:c r="A45" s="37" t="str">
        <x:v>VKM-002</x:v>
      </x:c>
      <x:c r="B45" s="38" t="str">
        <x:v>Четыре сыра</x:v>
      </x:c>
      <x:c r="C45" s="38" t="str">
        <x:v>Соус</x:v>
      </x:c>
      <x:c r="D45" s="38" t="str">
        <x:v>Масло оливковое Extra Virgin</x:v>
      </x:c>
      <x:c r="E45" s="74" t="n">
        <x:v>5</x:v>
      </x:c>
      <x:c r="F45" s="74" t="n">
        <x:v>5</x:v>
      </x:c>
      <x:c r="G45" s="74" t="n">
        <x:f>E45-F45</x:f>
        <x:v>0</x:v>
      </x:c>
      <x:c r="H45" s="74" t="n">
        <x:v>1279</x:v>
      </x:c>
      <x:c r="I45" s="74" t="str">
        <x:v>₽/л</x:v>
      </x:c>
      <x:c r="J45" s="74" t="n">
        <x:v>0.91</x:v>
      </x:c>
      <x:c r="K45" s="74" t="n">
        <x:f>E45/(1000*J45)</x:f>
        <x:v>0.005494505494505495</x:v>
      </x:c>
      <x:c r="L45" s="74" t="n">
        <x:f>H45*K45</x:f>
        <x:v>7.027472527472528</x:v>
      </x:c>
      <x:c r="M45" s="38" t="str">
        <x:v>https://online.metro-cc.ru/products/1l-olivkovoe-maslo-metro-chef-extra-virgin</x:v>
      </x:c>
      <x:c r="N45" s="38" t="str">
        <x:v>2026-08-07</x:v>
      </x:c>
      <x:c r="O45" s="38" t="str">
        <x:v>ASSUMPTION</x:v>
      </x:c>
      <x:c r="P45" s="38" t="str">
        <x:v>PRELIMINARY</x:v>
      </x:c>
      <x:c r="Q45" s="39" t="str">
        <x:v>RECALCULATED_DUE_TO_PRICE_CHANGE</x:v>
      </x:c>
    </x:row>
    <x:row r="46">
      <x:c r="A46" s="37" t="str">
        <x:v>VKM-002</x:v>
      </x:c>
      <x:c r="B46" s="38" t="str">
        <x:v>Четыре сыра</x:v>
      </x:c>
      <x:c r="C46" s="38" t="str">
        <x:v>Сборка</x:v>
      </x:c>
      <x:c r="D46" s="38" t="str">
        <x:v>Моцарелла</x:v>
      </x:c>
      <x:c r="E46" s="74" t="n">
        <x:v>90</x:v>
      </x:c>
      <x:c r="F46" s="74" t="n">
        <x:v>90</x:v>
      </x:c>
      <x:c r="G46" s="74" t="n">
        <x:f>E46-F46</x:f>
        <x:v>0</x:v>
      </x:c>
      <x:c r="H46" s="74" t="n">
        <x:v>849</x:v>
      </x:c>
      <x:c r="I46" s="74" t="str">
        <x:v>₽/кг</x:v>
      </x:c>
      <x:c r="J46" s="74"/>
      <x:c r="K46" s="74" t="n">
        <x:f>E46/1000</x:f>
        <x:v>0.09</x:v>
      </x:c>
      <x:c r="L46" s="74" t="n">
        <x:f>H46*K46</x:f>
        <x:v>76.41</x:v>
      </x:c>
      <x:c r="M46" s="38" t="str">
        <x:v>https://online.metro-cc.ru/products/metro-chef-syr-motsarella-dlya-pitstsy-kusok-45-1kg</x:v>
      </x:c>
      <x:c r="N46" s="38" t="str">
        <x:v>2026-08-07</x:v>
      </x:c>
      <x:c r="O46" s="38" t="str">
        <x:v>ASSUMPTION</x:v>
      </x:c>
      <x:c r="P46" s="38" t="str">
        <x:v>PRELIMINARY</x:v>
      </x:c>
      <x:c r="Q46" s="39" t="str">
        <x:v>RECALCULATED_DUE_TO_PRICE_CHANGE</x:v>
      </x:c>
    </x:row>
    <x:row r="47">
      <x:c r="A47" s="37" t="str">
        <x:v>VKM-002</x:v>
      </x:c>
      <x:c r="B47" s="38" t="str">
        <x:v>Четыре сыра</x:v>
      </x:c>
      <x:c r="C47" s="38" t="str">
        <x:v>Сборка</x:v>
      </x:c>
      <x:c r="D47" s="38" t="str">
        <x:v>Горгонзола</x:v>
      </x:c>
      <x:c r="E47" s="74" t="n">
        <x:v>45</x:v>
      </x:c>
      <x:c r="F47" s="74" t="n">
        <x:v>45</x:v>
      </x:c>
      <x:c r="G47" s="74" t="n">
        <x:f>E47-F47</x:f>
        <x:v>0</x:v>
      </x:c>
      <x:c r="H47" s="74" t="n">
        <x:v>3690</x:v>
      </x:c>
      <x:c r="I47" s="74" t="str">
        <x:v>₽/кг</x:v>
      </x:c>
      <x:c r="J47" s="74"/>
      <x:c r="K47" s="74" t="n">
        <x:f>E47/1000</x:f>
        <x:v>0.045</x:v>
      </x:c>
      <x:c r="L47" s="74" t="n">
        <x:f>H47*K47</x:f>
        <x:v>166.04999999999998</x:v>
      </x:c>
      <x:c r="M47" s="38" t="str">
        <x:v>https://online.metro-cc.ru/products/cheezzi-terra-del-gusto-gorgonzola-s-goluboj-60-100g-bzmzh</x:v>
      </x:c>
      <x:c r="N47" s="38" t="str">
        <x:v>2026-08-07</x:v>
      </x:c>
      <x:c r="O47" s="38" t="str">
        <x:v>ASSUMPTION</x:v>
      </x:c>
      <x:c r="P47" s="38" t="str">
        <x:v>PRELIMINARY</x:v>
      </x:c>
      <x:c r="Q47" s="39" t="str">
        <x:v>RECALCULATED_DUE_TO_PRICE_CHANGE</x:v>
      </x:c>
    </x:row>
    <x:row r="48">
      <x:c r="A48" s="37" t="str">
        <x:v>VKM-002</x:v>
      </x:c>
      <x:c r="B48" s="38" t="str">
        <x:v>Четыре сыра</x:v>
      </x:c>
      <x:c r="C48" s="38" t="str">
        <x:v>Сборка</x:v>
      </x:c>
      <x:c r="D48" s="38" t="str">
        <x:v>Пармезан</x:v>
      </x:c>
      <x:c r="E48" s="74" t="n">
        <x:v>35</x:v>
      </x:c>
      <x:c r="F48" s="74" t="n">
        <x:v>35</x:v>
      </x:c>
      <x:c r="G48" s="74" t="n">
        <x:f>E48-F48</x:f>
        <x:v>0</x:v>
      </x:c>
      <x:c r="H48" s="74" t="n">
        <x:v>1859</x:v>
      </x:c>
      <x:c r="I48" s="74" t="str">
        <x:v>₽/кг</x:v>
      </x:c>
      <x:c r="J48" s="74"/>
      <x:c r="K48" s="74" t="n">
        <x:f>E48/1000</x:f>
        <x:v>0.035</x:v>
      </x:c>
      <x:c r="L48" s="74" t="n">
        <x:f>H48*K48</x:f>
        <x:v>65.06500000000001</x:v>
      </x:c>
      <x:c r="M48" s="38" t="str">
        <x:v>https://online.metro-cc.ru/products/parmezan-32-metro-chef</x:v>
      </x:c>
      <x:c r="N48" s="38" t="str">
        <x:v>2026-08-07</x:v>
      </x:c>
      <x:c r="O48" s="38" t="str">
        <x:v>ASSUMPTION</x:v>
      </x:c>
      <x:c r="P48" s="38" t="str">
        <x:v>PRELIMINARY</x:v>
      </x:c>
      <x:c r="Q48" s="39" t="str">
        <x:v>RECALCULATED_DUE_TO_PRICE_CHANGE</x:v>
      </x:c>
    </x:row>
    <x:row r="49">
      <x:c r="A49" s="37" t="str">
        <x:v>VKM-002</x:v>
      </x:c>
      <x:c r="B49" s="38" t="str">
        <x:v>Четыре сыра</x:v>
      </x:c>
      <x:c r="C49" s="38" t="str">
        <x:v>Сборка</x:v>
      </x:c>
      <x:c r="D49" s="38" t="str">
        <x:v>Эмменталер METRO Chef</x:v>
      </x:c>
      <x:c r="E49" s="74" t="n">
        <x:v>30</x:v>
      </x:c>
      <x:c r="F49" s="74" t="n">
        <x:v>30</x:v>
      </x:c>
      <x:c r="G49" s="74" t="n">
        <x:f>E49-F49</x:f>
        <x:v>0</x:v>
      </x:c>
      <x:c r="H49" s="74" t="n">
        <x:v>1489</x:v>
      </x:c>
      <x:c r="I49" s="74" t="str">
        <x:v>₽/кг</x:v>
      </x:c>
      <x:c r="J49" s="74"/>
      <x:c r="K49" s="74" t="n">
        <x:f>E49/1000</x:f>
        <x:v>0.03</x:v>
      </x:c>
      <x:c r="L49" s="74" t="n">
        <x:f>H49*K49</x:f>
        <x:v>44.67</x:v>
      </x:c>
      <x:c r="M49" s="38" t="str">
        <x:v>https://online.metro-cc.ru/products/emmentaler-metro-chef-45-brusok-1-kg</x:v>
      </x:c>
      <x:c r="N49" s="38" t="str">
        <x:v>2026-08-07</x:v>
      </x:c>
      <x:c r="O49" s="38" t="str">
        <x:v>ASSUMPTION</x:v>
      </x:c>
      <x:c r="P49" s="38" t="str">
        <x:v>PRELIMINARY</x:v>
      </x:c>
      <x:c r="Q49" s="39" t="str">
        <x:v>RECALCULATED_DUE_TO_PRICE_CHANGE</x:v>
      </x:c>
    </x:row>
    <x:row r="50">
      <x:c r="A50" s="37" t="str">
        <x:v>VKM-002</x:v>
      </x:c>
      <x:c r="B50" s="38" t="str">
        <x:v>Четыре сыра</x:v>
      </x:c>
      <x:c r="C50" s="38" t="str">
        <x:v>Финиш</x:v>
      </x:c>
      <x:c r="D50" s="38" t="str">
        <x:v>Масло оливковое Extra Virgin</x:v>
      </x:c>
      <x:c r="E50" s="74" t="n">
        <x:v>10</x:v>
      </x:c>
      <x:c r="F50" s="74" t="n">
        <x:v>10</x:v>
      </x:c>
      <x:c r="G50" s="74" t="n">
        <x:f>E50-F50</x:f>
        <x:v>0</x:v>
      </x:c>
      <x:c r="H50" s="74" t="n">
        <x:v>1279</x:v>
      </x:c>
      <x:c r="I50" s="74" t="str">
        <x:v>₽/л</x:v>
      </x:c>
      <x:c r="J50" s="74" t="n">
        <x:v>0.91</x:v>
      </x:c>
      <x:c r="K50" s="74" t="n">
        <x:f>E50/(1000*J50)</x:f>
        <x:v>0.01098901098901099</x:v>
      </x:c>
      <x:c r="L50" s="74" t="n">
        <x:f>H50*K50</x:f>
        <x:v>14.054945054945057</x:v>
      </x:c>
      <x:c r="M50" s="38" t="str">
        <x:v>https://online.metro-cc.ru/products/1l-olivkovoe-maslo-metro-chef-extra-virgin</x:v>
      </x:c>
      <x:c r="N50" s="38" t="str">
        <x:v>2026-08-07</x:v>
      </x:c>
      <x:c r="O50" s="38" t="str">
        <x:v>ASSUMPTION</x:v>
      </x:c>
      <x:c r="P50" s="38" t="str">
        <x:v>PRELIMINARY</x:v>
      </x:c>
      <x:c r="Q50" s="39" t="str">
        <x:v>RECALCULATED_DUE_TO_PRICE_CHANGE</x:v>
      </x:c>
    </x:row>
    <x:row r="51">
      <x:c r="A51" s="37" t="str">
        <x:v>VKM-003</x:v>
      </x:c>
      <x:c r="B51" s="38" t="str">
        <x:v>Грибная с ветчиной</x:v>
      </x:c>
      <x:c r="C51" s="38" t="str">
        <x:v>Тесто</x:v>
      </x:c>
      <x:c r="D51" s="38" t="str">
        <x:v>Мука пшеничная хлебопекарная</x:v>
      </x:c>
      <x:c r="E51" s="74" t="n">
        <x:v>140</x:v>
      </x:c>
      <x:c r="F51" s="74" t="n">
        <x:v>140</x:v>
      </x:c>
      <x:c r="G51" s="74" t="n">
        <x:f>E51-F51</x:f>
        <x:v>0</x:v>
      </x:c>
      <x:c r="H51" s="74" t="n">
        <x:v>72</x:v>
      </x:c>
      <x:c r="I51" s="74" t="str">
        <x:v>₽/кг</x:v>
      </x:c>
      <x:c r="J51" s="74"/>
      <x:c r="K51" s="74" t="n">
        <x:f>E51/1000</x:f>
        <x:v>0.14</x:v>
      </x:c>
      <x:c r="L51" s="74" t="n">
        <x:f>H51*K51</x:f>
        <x:v>10.080000000000002</x:v>
      </x:c>
      <x:c r="M51" s="38" t="str">
        <x:v>https://online.metro-cc.ru/products/2kg-metro-chef-pshenichnaya-hlebopek-v-s</x:v>
      </x:c>
      <x:c r="N51" s="38" t="str">
        <x:v>2026-08-07</x:v>
      </x:c>
      <x:c r="O51" s="38" t="str">
        <x:v>ASSUMPTION</x:v>
      </x:c>
      <x:c r="P51" s="38" t="str">
        <x:v>PRELIMINARY</x:v>
      </x:c>
      <x:c r="Q51" s="39" t="str">
        <x:v>RECALCULATED_DUE_TO_PRICE_CHANGE</x:v>
      </x:c>
    </x:row>
    <x:row r="52">
      <x:c r="A52" s="37" t="str">
        <x:v>VKM-003</x:v>
      </x:c>
      <x:c r="B52" s="38" t="str">
        <x:v>Грибная с ветчиной</x:v>
      </x:c>
      <x:c r="C52" s="38" t="str">
        <x:v>Тесто</x:v>
      </x:c>
      <x:c r="D52" s="38" t="str">
        <x:v>Вода питьевая</x:v>
      </x:c>
      <x:c r="E52" s="74" t="n">
        <x:v>85</x:v>
      </x:c>
      <x:c r="F52" s="74" t="n">
        <x:v>85</x:v>
      </x:c>
      <x:c r="G52" s="74" t="n">
        <x:f>E52-F52</x:f>
        <x:v>0</x:v>
      </x:c>
      <x:c r="H52" s="74"/>
      <x:c r="I52" s="74" t="str">
        <x:v>NOT_COSTED</x:v>
      </x:c>
      <x:c r="J52" s="74"/>
      <x:c r="K52" s="74"/>
      <x:c r="L52" s="74"/>
      <x:c r="M52" s="38" t="str"/>
      <x:c r="N52" s="38" t="str">
        <x:v>2026-08-07</x:v>
      </x:c>
      <x:c r="O52" s="38" t="str">
        <x:v>ASSUMPTION</x:v>
      </x:c>
      <x:c r="P52" s="38" t="str">
        <x:v>NOT_COSTED_BY_OWNER_DECISION</x:v>
      </x:c>
      <x:c r="Q52" s="39" t="str">
        <x:v>REUSED_AS_IS</x:v>
      </x:c>
    </x:row>
    <x:row r="53">
      <x:c r="A53" s="37" t="str">
        <x:v>VKM-003</x:v>
      </x:c>
      <x:c r="B53" s="38" t="str">
        <x:v>Грибная с ветчиной</x:v>
      </x:c>
      <x:c r="C53" s="38" t="str">
        <x:v>Тесто</x:v>
      </x:c>
      <x:c r="D53" s="38" t="str">
        <x:v>Дрожжи хлебопекарные</x:v>
      </x:c>
      <x:c r="E53" s="74" t="n">
        <x:v>2</x:v>
      </x:c>
      <x:c r="F53" s="74" t="n">
        <x:v>2</x:v>
      </x:c>
      <x:c r="G53" s="74" t="n">
        <x:f>E53-F53</x:f>
        <x:v>0</x:v>
      </x:c>
      <x:c r="H53" s="74" t="n">
        <x:v>679</x:v>
      </x:c>
      <x:c r="I53" s="74" t="str">
        <x:v>₽/кг</x:v>
      </x:c>
      <x:c r="J53" s="74"/>
      <x:c r="K53" s="74" t="n">
        <x:f>E53/1000</x:f>
        <x:v>0.002</x:v>
      </x:c>
      <x:c r="L53" s="74" t="n">
        <x:f>H53*K53</x:f>
        <x:v>1.358</x:v>
      </x:c>
      <x:c r="M53" s="38" t="str">
        <x:v>https://online.metro-cc.ru/products/drozhzhi-suhie-voronezhskie-bystrodeystvuyuschie-100g</x:v>
      </x:c>
      <x:c r="N53" s="38" t="str">
        <x:v>2026-08-07</x:v>
      </x:c>
      <x:c r="O53" s="38" t="str">
        <x:v>ASSUMPTION</x:v>
      </x:c>
      <x:c r="P53" s="38" t="str">
        <x:v>PRELIMINARY</x:v>
      </x:c>
      <x:c r="Q53" s="39" t="str">
        <x:v>RECALCULATED_DUE_TO_PRICE_CHANGE</x:v>
      </x:c>
    </x:row>
    <x:row r="54">
      <x:c r="A54" s="37" t="str">
        <x:v>VKM-003</x:v>
      </x:c>
      <x:c r="B54" s="38" t="str">
        <x:v>Грибная с ветчиной</x:v>
      </x:c>
      <x:c r="C54" s="38" t="str">
        <x:v>Тесто</x:v>
      </x:c>
      <x:c r="D54" s="38" t="str">
        <x:v>Соль пищевая</x:v>
      </x:c>
      <x:c r="E54" s="74" t="n">
        <x:v>3</x:v>
      </x:c>
      <x:c r="F54" s="74" t="n">
        <x:v>3</x:v>
      </x:c>
      <x:c r="G54" s="74" t="n">
        <x:f>E54-F54</x:f>
        <x:v>0</x:v>
      </x:c>
      <x:c r="H54" s="74" t="n">
        <x:v>24.9</x:v>
      </x:c>
      <x:c r="I54" s="74" t="str">
        <x:v>₽/кг</x:v>
      </x:c>
      <x:c r="J54" s="74"/>
      <x:c r="K54" s="74" t="n">
        <x:f>E54/1000</x:f>
        <x:v>0.003</x:v>
      </x:c>
      <x:c r="L54" s="74" t="n">
        <x:f>H54*K54</x:f>
        <x:v>0.0747</x:v>
      </x:c>
      <x:c r="M54" s="38" t="str">
        <x:v>https://online.metro-cc.ru/products/pischevaya-aro-jodirovannaya-pischevaya-1-kg</x:v>
      </x:c>
      <x:c r="N54" s="38" t="str">
        <x:v>2026-08-07</x:v>
      </x:c>
      <x:c r="O54" s="38" t="str">
        <x:v>ASSUMPTION</x:v>
      </x:c>
      <x:c r="P54" s="38" t="str">
        <x:v>PRELIMINARY</x:v>
      </x:c>
      <x:c r="Q54" s="39" t="str">
        <x:v>RECALCULATED_DUE_TO_PRICE_CHANGE</x:v>
      </x:c>
    </x:row>
    <x:row r="55">
      <x:c r="A55" s="37" t="str">
        <x:v>VKM-003</x:v>
      </x:c>
      <x:c r="B55" s="38" t="str">
        <x:v>Грибная с ветчиной</x:v>
      </x:c>
      <x:c r="C55" s="38" t="str">
        <x:v>Тесто</x:v>
      </x:c>
      <x:c r="D55" s="38" t="str">
        <x:v>Масло оливковое Extra Virgin</x:v>
      </x:c>
      <x:c r="E55" s="74" t="n">
        <x:v>15</x:v>
      </x:c>
      <x:c r="F55" s="74" t="n">
        <x:v>15</x:v>
      </x:c>
      <x:c r="G55" s="74" t="n">
        <x:f>E55-F55</x:f>
        <x:v>0</x:v>
      </x:c>
      <x:c r="H55" s="74" t="n">
        <x:v>1279</x:v>
      </x:c>
      <x:c r="I55" s="74" t="str">
        <x:v>₽/л</x:v>
      </x:c>
      <x:c r="J55" s="74" t="n">
        <x:v>0.91</x:v>
      </x:c>
      <x:c r="K55" s="74" t="n">
        <x:f>E55/(1000*J55)</x:f>
        <x:v>0.016483516483516484</x:v>
      </x:c>
      <x:c r="L55" s="74" t="n">
        <x:f>H55*K55</x:f>
        <x:v>21.082417582417584</x:v>
      </x:c>
      <x:c r="M55" s="38" t="str">
        <x:v>https://online.metro-cc.ru/products/1l-olivkovoe-maslo-metro-chef-extra-virgin</x:v>
      </x:c>
      <x:c r="N55" s="38" t="str">
        <x:v>2026-08-07</x:v>
      </x:c>
      <x:c r="O55" s="38" t="str">
        <x:v>ASSUMPTION</x:v>
      </x:c>
      <x:c r="P55" s="38" t="str">
        <x:v>PRELIMINARY</x:v>
      </x:c>
      <x:c r="Q55" s="39" t="str">
        <x:v>RECALCULATED_DUE_TO_PRICE_CHANGE</x:v>
      </x:c>
    </x:row>
    <x:row r="56">
      <x:c r="A56" s="37" t="str">
        <x:v>VKM-003</x:v>
      </x:c>
      <x:c r="B56" s="38" t="str">
        <x:v>Грибная с ветчиной</x:v>
      </x:c>
      <x:c r="C56" s="38" t="str">
        <x:v>Соус</x:v>
      </x:c>
      <x:c r="D56" s="38" t="str">
        <x:v>Томаты протёртые</x:v>
      </x:c>
      <x:c r="E56" s="74" t="n">
        <x:v>63</x:v>
      </x:c>
      <x:c r="F56" s="74" t="n">
        <x:v>63</x:v>
      </x:c>
      <x:c r="G56" s="74" t="n">
        <x:f>E56-F56</x:f>
        <x:v>0</x:v>
      </x:c>
      <x:c r="H56" s="74" t="n">
        <x:v>519</x:v>
      </x:c>
      <x:c r="I56" s="74" t="str">
        <x:v>₽/кг</x:v>
      </x:c>
      <x:c r="J56" s="74"/>
      <x:c r="K56" s="74" t="n">
        <x:f>E56/1000</x:f>
        <x:v>0.063</x:v>
      </x:c>
      <x:c r="L56" s="74" t="n">
        <x:f>H56*K56</x:f>
        <x:v>32.697</x:v>
      </x:c>
      <x:c r="M56" s="38" t="str">
        <x:v>https://online.metro-cc.ru/products/pomidory-pomi-potertye-1-l</x:v>
      </x:c>
      <x:c r="N56" s="38" t="str">
        <x:v>2026-08-07</x:v>
      </x:c>
      <x:c r="O56" s="38" t="str">
        <x:v>ASSUMPTION</x:v>
      </x:c>
      <x:c r="P56" s="38" t="str">
        <x:v>PRELIMINARY</x:v>
      </x:c>
      <x:c r="Q56" s="39" t="str">
        <x:v>RECALCULATED_DUE_TO_PRICE_CHANGE</x:v>
      </x:c>
    </x:row>
    <x:row r="57">
      <x:c r="A57" s="37" t="str">
        <x:v>VKM-003</x:v>
      </x:c>
      <x:c r="B57" s="38" t="str">
        <x:v>Грибная с ветчиной</x:v>
      </x:c>
      <x:c r="C57" s="38" t="str">
        <x:v>Соус</x:v>
      </x:c>
      <x:c r="D57" s="38" t="str">
        <x:v>Чеснок</x:v>
      </x:c>
      <x:c r="E57" s="74" t="n">
        <x:v>2.2</x:v>
      </x:c>
      <x:c r="F57" s="74" t="n">
        <x:v>2</x:v>
      </x:c>
      <x:c r="G57" s="74" t="n">
        <x:f>E57-F57</x:f>
        <x:v>0.20000000000000018</x:v>
      </x:c>
      <x:c r="H57" s="74" t="n">
        <x:v>305</x:v>
      </x:c>
      <x:c r="I57" s="74" t="str">
        <x:v>₽/кг</x:v>
      </x:c>
      <x:c r="J57" s="74"/>
      <x:c r="K57" s="74" t="n">
        <x:f>E57/1000</x:f>
        <x:v>0.0022</x:v>
      </x:c>
      <x:c r="L57" s="74" t="n">
        <x:f>H57*K57</x:f>
        <x:v>0.671</x:v>
      </x:c>
      <x:c r="M57" s="38" t="str">
        <x:v>https://lenta.com/product/chesnok-ves-11187/</x:v>
      </x:c>
      <x:c r="N57" s="38" t="str">
        <x:v>2026-08-07</x:v>
      </x:c>
      <x:c r="O57" s="38" t="str">
        <x:v>ASSUMPTION</x:v>
      </x:c>
      <x:c r="P57" s="38" t="str">
        <x:v>PRELIMINARY</x:v>
      </x:c>
      <x:c r="Q57" s="39" t="str">
        <x:v>RECALCULATED_DUE_TO_PRICE_CHANGE</x:v>
      </x:c>
    </x:row>
    <x:row r="58">
      <x:c r="A58" s="37" t="str">
        <x:v>VKM-003</x:v>
      </x:c>
      <x:c r="B58" s="38" t="str">
        <x:v>Грибная с ветчиной</x:v>
      </x:c>
      <x:c r="C58" s="38" t="str">
        <x:v>Соус</x:v>
      </x:c>
      <x:c r="D58" s="38" t="str">
        <x:v>Орегано</x:v>
      </x:c>
      <x:c r="E58" s="74" t="n">
        <x:v>1</x:v>
      </x:c>
      <x:c r="F58" s="74" t="n">
        <x:v>1</x:v>
      </x:c>
      <x:c r="G58" s="74" t="n">
        <x:f>E58-F58</x:f>
        <x:v>0</x:v>
      </x:c>
      <x:c r="H58" s="74" t="n">
        <x:v>3950</x:v>
      </x:c>
      <x:c r="I58" s="74" t="str">
        <x:v>₽/кг</x:v>
      </x:c>
      <x:c r="J58" s="74"/>
      <x:c r="K58" s="74" t="n">
        <x:f>E58/1000</x:f>
        <x:v>0.001</x:v>
      </x:c>
      <x:c r="L58" s="74" t="n">
        <x:f>H58*K58</x:f>
        <x:v>3.95</x:v>
      </x:c>
      <x:c r="M58" s="38" t="str">
        <x:v>https://online.metro-cc.ru/products/oregano-metro-chef-izmelchennyj-101-g</x:v>
      </x:c>
      <x:c r="N58" s="38" t="str">
        <x:v>2026-08-07</x:v>
      </x:c>
      <x:c r="O58" s="38" t="str">
        <x:v>ASSUMPTION</x:v>
      </x:c>
      <x:c r="P58" s="38" t="str">
        <x:v>PRELIMINARY</x:v>
      </x:c>
      <x:c r="Q58" s="39" t="str">
        <x:v>RECALCULATED_DUE_TO_PRICE_CHANGE</x:v>
      </x:c>
    </x:row>
    <x:row r="59">
      <x:c r="A59" s="37" t="str">
        <x:v>VKM-003</x:v>
      </x:c>
      <x:c r="B59" s="38" t="str">
        <x:v>Грибная с ветчиной</x:v>
      </x:c>
      <x:c r="C59" s="38" t="str">
        <x:v>Соус</x:v>
      </x:c>
      <x:c r="D59" s="38" t="str">
        <x:v>Масло оливковое Extra Virgin</x:v>
      </x:c>
      <x:c r="E59" s="74" t="n">
        <x:v>7</x:v>
      </x:c>
      <x:c r="F59" s="74" t="n">
        <x:v>7</x:v>
      </x:c>
      <x:c r="G59" s="74" t="n">
        <x:f>E59-F59</x:f>
        <x:v>0</x:v>
      </x:c>
      <x:c r="H59" s="74" t="n">
        <x:v>1279</x:v>
      </x:c>
      <x:c r="I59" s="74" t="str">
        <x:v>₽/л</x:v>
      </x:c>
      <x:c r="J59" s="74" t="n">
        <x:v>0.91</x:v>
      </x:c>
      <x:c r="K59" s="74" t="n">
        <x:f>E59/(1000*J59)</x:f>
        <x:v>0.007692307692307693</x:v>
      </x:c>
      <x:c r="L59" s="74" t="n">
        <x:f>H59*K59</x:f>
        <x:v>9.838461538461539</x:v>
      </x:c>
      <x:c r="M59" s="38" t="str">
        <x:v>https://online.metro-cc.ru/products/1l-olivkovoe-maslo-metro-chef-extra-virgin</x:v>
      </x:c>
      <x:c r="N59" s="38" t="str">
        <x:v>2026-08-07</x:v>
      </x:c>
      <x:c r="O59" s="38" t="str">
        <x:v>ASSUMPTION</x:v>
      </x:c>
      <x:c r="P59" s="38" t="str">
        <x:v>PRELIMINARY</x:v>
      </x:c>
      <x:c r="Q59" s="39" t="str">
        <x:v>RECALCULATED_DUE_TO_PRICE_CHANGE</x:v>
      </x:c>
    </x:row>
    <x:row r="60">
      <x:c r="A60" s="37" t="str">
        <x:v>VKM-003</x:v>
      </x:c>
      <x:c r="B60" s="38" t="str">
        <x:v>Грибная с ветчиной</x:v>
      </x:c>
      <x:c r="C60" s="38" t="str">
        <x:v>Сборка</x:v>
      </x:c>
      <x:c r="D60" s="38" t="str">
        <x:v>Моцарелла</x:v>
      </x:c>
      <x:c r="E60" s="74" t="n">
        <x:v>90</x:v>
      </x:c>
      <x:c r="F60" s="74" t="n">
        <x:v>90</x:v>
      </x:c>
      <x:c r="G60" s="74" t="n">
        <x:f>E60-F60</x:f>
        <x:v>0</x:v>
      </x:c>
      <x:c r="H60" s="74" t="n">
        <x:v>849</x:v>
      </x:c>
      <x:c r="I60" s="74" t="str">
        <x:v>₽/кг</x:v>
      </x:c>
      <x:c r="J60" s="74"/>
      <x:c r="K60" s="74" t="n">
        <x:f>E60/1000</x:f>
        <x:v>0.09</x:v>
      </x:c>
      <x:c r="L60" s="74" t="n">
        <x:f>H60*K60</x:f>
        <x:v>76.41</x:v>
      </x:c>
      <x:c r="M60" s="38" t="str">
        <x:v>https://online.metro-cc.ru/products/metro-chef-syr-motsarella-dlya-pitstsy-kusok-45-1kg</x:v>
      </x:c>
      <x:c r="N60" s="38" t="str">
        <x:v>2026-08-07</x:v>
      </x:c>
      <x:c r="O60" s="38" t="str">
        <x:v>ASSUMPTION</x:v>
      </x:c>
      <x:c r="P60" s="38" t="str">
        <x:v>PRELIMINARY</x:v>
      </x:c>
      <x:c r="Q60" s="39" t="str">
        <x:v>RECALCULATED_DUE_TO_PRICE_CHANGE</x:v>
      </x:c>
    </x:row>
    <x:row r="61">
      <x:c r="A61" s="37" t="str">
        <x:v>VKM-003</x:v>
      </x:c>
      <x:c r="B61" s="38" t="str">
        <x:v>Грибная с ветчиной</x:v>
      </x:c>
      <x:c r="C61" s="38" t="str">
        <x:v>Сборка</x:v>
      </x:c>
      <x:c r="D61" s="38" t="str">
        <x:v>Ветчина</x:v>
      </x:c>
      <x:c r="E61" s="74" t="n">
        <x:v>60</x:v>
      </x:c>
      <x:c r="F61" s="74" t="n">
        <x:v>60</x:v>
      </x:c>
      <x:c r="G61" s="74" t="n">
        <x:f>E61-F61</x:f>
        <x:v>0</x:v>
      </x:c>
      <x:c r="H61" s="74" t="n">
        <x:v>479</x:v>
      </x:c>
      <x:c r="I61" s="74" t="str">
        <x:v>₽/кг</x:v>
      </x:c>
      <x:c r="J61" s="74"/>
      <x:c r="K61" s="74" t="n">
        <x:f>E61/1000</x:f>
        <x:v>0.06</x:v>
      </x:c>
      <x:c r="L61" s="74" t="n">
        <x:f>H61*K61</x:f>
        <x:v>28.74</x:v>
      </x:c>
      <x:c r="M61" s="38" t="str">
        <x:v>https://online.metro-cc.ru/products/metro-chef-s-govyazhyego-1-kg</x:v>
      </x:c>
      <x:c r="N61" s="38" t="str">
        <x:v>2026-08-07</x:v>
      </x:c>
      <x:c r="O61" s="38" t="str">
        <x:v>ASSUMPTION</x:v>
      </x:c>
      <x:c r="P61" s="38" t="str">
        <x:v>PRELIMINARY</x:v>
      </x:c>
      <x:c r="Q61" s="39" t="str">
        <x:v>RECALCULATED_DUE_TO_PRICE_CHANGE</x:v>
      </x:c>
    </x:row>
    <x:row r="62">
      <x:c r="A62" s="37" t="str">
        <x:v>VKM-003</x:v>
      </x:c>
      <x:c r="B62" s="38" t="str">
        <x:v>Грибная с ветчиной</x:v>
      </x:c>
      <x:c r="C62" s="38" t="str">
        <x:v>Сборка</x:v>
      </x:c>
      <x:c r="D62" s="38" t="str">
        <x:v>Шампиньоны</x:v>
      </x:c>
      <x:c r="E62" s="74" t="n">
        <x:v>50</x:v>
      </x:c>
      <x:c r="F62" s="74" t="n">
        <x:v>48</x:v>
      </x:c>
      <x:c r="G62" s="74" t="n">
        <x:f>E62-F62</x:f>
        <x:v>2</x:v>
      </x:c>
      <x:c r="H62" s="74" t="n">
        <x:v>389</x:v>
      </x:c>
      <x:c r="I62" s="74" t="str">
        <x:v>₽/кг</x:v>
      </x:c>
      <x:c r="J62" s="74"/>
      <x:c r="K62" s="74" t="n">
        <x:f>E62/1000</x:f>
        <x:v>0.05</x:v>
      </x:c>
      <x:c r="L62" s="74" t="n">
        <x:f>H62*K62</x:f>
        <x:v>19.450000000000003</x:v>
      </x:c>
      <x:c r="M62" s="38" t="str">
        <x:v>https://online.metro-cc.ru/products/shampinony-1-kg</x:v>
      </x:c>
      <x:c r="N62" s="38" t="str">
        <x:v>2026-08-07</x:v>
      </x:c>
      <x:c r="O62" s="38" t="str">
        <x:v>ASSUMPTION</x:v>
      </x:c>
      <x:c r="P62" s="38" t="str">
        <x:v>PRELIMINARY</x:v>
      </x:c>
      <x:c r="Q62" s="39" t="str">
        <x:v>RECALCULATED_DUE_TO_PRICE_CHANGE</x:v>
      </x:c>
    </x:row>
    <x:row r="63">
      <x:c r="A63" s="37" t="str">
        <x:v>VKM-003</x:v>
      </x:c>
      <x:c r="B63" s="38" t="str">
        <x:v>Грибная с ветчиной</x:v>
      </x:c>
      <x:c r="C63" s="38" t="str">
        <x:v>Сборка</x:v>
      </x:c>
      <x:c r="D63" s="38" t="str">
        <x:v>Лук репчатый</x:v>
      </x:c>
      <x:c r="E63" s="74" t="n">
        <x:v>12</x:v>
      </x:c>
      <x:c r="F63" s="74" t="n">
        <x:v>10</x:v>
      </x:c>
      <x:c r="G63" s="74" t="n">
        <x:f>E63-F63</x:f>
        <x:v>2</x:v>
      </x:c>
      <x:c r="H63" s="74" t="n">
        <x:v>47.9</x:v>
      </x:c>
      <x:c r="I63" s="74" t="str">
        <x:v>₽/кг</x:v>
      </x:c>
      <x:c r="J63" s="74"/>
      <x:c r="K63" s="74" t="n">
        <x:f>E63/1000</x:f>
        <x:v>0.012</x:v>
      </x:c>
      <x:c r="L63" s="74" t="n">
        <x:f>H63*K63</x:f>
        <x:v>0.5748</x:v>
      </x:c>
      <x:c r="M63" s="38" t="str">
        <x:v>https://online.metro-cc.ru/products/luk-repchatyj-470350</x:v>
      </x:c>
      <x:c r="N63" s="38" t="str">
        <x:v>2026-08-07</x:v>
      </x:c>
      <x:c r="O63" s="38" t="str">
        <x:v>ASSUMPTION</x:v>
      </x:c>
      <x:c r="P63" s="38" t="str">
        <x:v>PRELIMINARY</x:v>
      </x:c>
      <x:c r="Q63" s="39" t="str">
        <x:v>RECALCULATED_DUE_TO_PRICE_CHANGE</x:v>
      </x:c>
    </x:row>
    <x:row r="64">
      <x:c r="A64" s="37" t="str">
        <x:v>VKM-003</x:v>
      </x:c>
      <x:c r="B64" s="38" t="str">
        <x:v>Грибная с ветчиной</x:v>
      </x:c>
      <x:c r="C64" s="38" t="str">
        <x:v>Финиш</x:v>
      </x:c>
      <x:c r="D64" s="38" t="str">
        <x:v>Масло оливковое Extra Virgin</x:v>
      </x:c>
      <x:c r="E64" s="74" t="n">
        <x:v>5</x:v>
      </x:c>
      <x:c r="F64" s="74" t="n">
        <x:v>5</x:v>
      </x:c>
      <x:c r="G64" s="74" t="n">
        <x:f>E64-F64</x:f>
        <x:v>0</x:v>
      </x:c>
      <x:c r="H64" s="74" t="n">
        <x:v>1279</x:v>
      </x:c>
      <x:c r="I64" s="74" t="str">
        <x:v>₽/л</x:v>
      </x:c>
      <x:c r="J64" s="74" t="n">
        <x:v>0.91</x:v>
      </x:c>
      <x:c r="K64" s="74" t="n">
        <x:f>E64/(1000*J64)</x:f>
        <x:v>0.005494505494505495</x:v>
      </x:c>
      <x:c r="L64" s="74" t="n">
        <x:f>H64*K64</x:f>
        <x:v>7.027472527472528</x:v>
      </x:c>
      <x:c r="M64" s="38" t="str">
        <x:v>https://online.metro-cc.ru/products/1l-olivkovoe-maslo-metro-chef-extra-virgin</x:v>
      </x:c>
      <x:c r="N64" s="38" t="str">
        <x:v>2026-08-07</x:v>
      </x:c>
      <x:c r="O64" s="38" t="str">
        <x:v>ASSUMPTION</x:v>
      </x:c>
      <x:c r="P64" s="38" t="str">
        <x:v>PRELIMINARY</x:v>
      </x:c>
      <x:c r="Q64" s="39" t="str">
        <x:v>RECALCULATED_DUE_TO_PRICE_CHANGE</x:v>
      </x:c>
    </x:row>
    <x:row r="65">
      <x:c r="A65" s="37" t="str">
        <x:v>VKM-004</x:v>
      </x:c>
      <x:c r="B65" s="38" t="str">
        <x:v>Пепперони</x:v>
      </x:c>
      <x:c r="C65" s="38" t="str">
        <x:v>Тесто</x:v>
      </x:c>
      <x:c r="D65" s="38" t="str">
        <x:v>Мука пшеничная хлебопекарная</x:v>
      </x:c>
      <x:c r="E65" s="74" t="n">
        <x:v>140</x:v>
      </x:c>
      <x:c r="F65" s="74" t="n">
        <x:v>140</x:v>
      </x:c>
      <x:c r="G65" s="74" t="n">
        <x:f>E65-F65</x:f>
        <x:v>0</x:v>
      </x:c>
      <x:c r="H65" s="74" t="n">
        <x:v>72</x:v>
      </x:c>
      <x:c r="I65" s="74" t="str">
        <x:v>₽/кг</x:v>
      </x:c>
      <x:c r="J65" s="74"/>
      <x:c r="K65" s="74" t="n">
        <x:f>E65/1000</x:f>
        <x:v>0.14</x:v>
      </x:c>
      <x:c r="L65" s="74" t="n">
        <x:f>H65*K65</x:f>
        <x:v>10.080000000000002</x:v>
      </x:c>
      <x:c r="M65" s="38" t="str">
        <x:v>https://online.metro-cc.ru/products/2kg-metro-chef-pshenichnaya-hlebopek-v-s</x:v>
      </x:c>
      <x:c r="N65" s="38" t="str">
        <x:v>2026-08-07</x:v>
      </x:c>
      <x:c r="O65" s="38" t="str">
        <x:v>ASSUMPTION</x:v>
      </x:c>
      <x:c r="P65" s="38" t="str">
        <x:v>PRELIMINARY</x:v>
      </x:c>
      <x:c r="Q65" s="39" t="str">
        <x:v>RECALCULATED_DUE_TO_PRICE_CHANGE</x:v>
      </x:c>
    </x:row>
    <x:row r="66">
      <x:c r="A66" s="37" t="str">
        <x:v>VKM-004</x:v>
      </x:c>
      <x:c r="B66" s="38" t="str">
        <x:v>Пепперони</x:v>
      </x:c>
      <x:c r="C66" s="38" t="str">
        <x:v>Тесто</x:v>
      </x:c>
      <x:c r="D66" s="38" t="str">
        <x:v>Вода питьевая</x:v>
      </x:c>
      <x:c r="E66" s="74" t="n">
        <x:v>85</x:v>
      </x:c>
      <x:c r="F66" s="74" t="n">
        <x:v>85</x:v>
      </x:c>
      <x:c r="G66" s="74" t="n">
        <x:f>E66-F66</x:f>
        <x:v>0</x:v>
      </x:c>
      <x:c r="H66" s="74"/>
      <x:c r="I66" s="74" t="str">
        <x:v>NOT_COSTED</x:v>
      </x:c>
      <x:c r="J66" s="74"/>
      <x:c r="K66" s="74"/>
      <x:c r="L66" s="74"/>
      <x:c r="M66" s="38" t="str"/>
      <x:c r="N66" s="38" t="str">
        <x:v>2026-08-07</x:v>
      </x:c>
      <x:c r="O66" s="38" t="str">
        <x:v>ASSUMPTION</x:v>
      </x:c>
      <x:c r="P66" s="38" t="str">
        <x:v>NOT_COSTED_BY_OWNER_DECISION</x:v>
      </x:c>
      <x:c r="Q66" s="39" t="str">
        <x:v>REUSED_AS_IS</x:v>
      </x:c>
    </x:row>
    <x:row r="67">
      <x:c r="A67" s="37" t="str">
        <x:v>VKM-004</x:v>
      </x:c>
      <x:c r="B67" s="38" t="str">
        <x:v>Пепперони</x:v>
      </x:c>
      <x:c r="C67" s="38" t="str">
        <x:v>Тесто</x:v>
      </x:c>
      <x:c r="D67" s="38" t="str">
        <x:v>Дрожжи хлебопекарные</x:v>
      </x:c>
      <x:c r="E67" s="74" t="n">
        <x:v>2</x:v>
      </x:c>
      <x:c r="F67" s="74" t="n">
        <x:v>2</x:v>
      </x:c>
      <x:c r="G67" s="74" t="n">
        <x:f>E67-F67</x:f>
        <x:v>0</x:v>
      </x:c>
      <x:c r="H67" s="74" t="n">
        <x:v>679</x:v>
      </x:c>
      <x:c r="I67" s="74" t="str">
        <x:v>₽/кг</x:v>
      </x:c>
      <x:c r="J67" s="74"/>
      <x:c r="K67" s="74" t="n">
        <x:f>E67/1000</x:f>
        <x:v>0.002</x:v>
      </x:c>
      <x:c r="L67" s="74" t="n">
        <x:f>H67*K67</x:f>
        <x:v>1.358</x:v>
      </x:c>
      <x:c r="M67" s="38" t="str">
        <x:v>https://online.metro-cc.ru/products/drozhzhi-suhie-voronezhskie-bystrodeystvuyuschie-100g</x:v>
      </x:c>
      <x:c r="N67" s="38" t="str">
        <x:v>2026-08-07</x:v>
      </x:c>
      <x:c r="O67" s="38" t="str">
        <x:v>ASSUMPTION</x:v>
      </x:c>
      <x:c r="P67" s="38" t="str">
        <x:v>PRELIMINARY</x:v>
      </x:c>
      <x:c r="Q67" s="39" t="str">
        <x:v>RECALCULATED_DUE_TO_PRICE_CHANGE</x:v>
      </x:c>
    </x:row>
    <x:row r="68">
      <x:c r="A68" s="37" t="str">
        <x:v>VKM-004</x:v>
      </x:c>
      <x:c r="B68" s="38" t="str">
        <x:v>Пепперони</x:v>
      </x:c>
      <x:c r="C68" s="38" t="str">
        <x:v>Тесто</x:v>
      </x:c>
      <x:c r="D68" s="38" t="str">
        <x:v>Соль пищевая</x:v>
      </x:c>
      <x:c r="E68" s="74" t="n">
        <x:v>3</x:v>
      </x:c>
      <x:c r="F68" s="74" t="n">
        <x:v>3</x:v>
      </x:c>
      <x:c r="G68" s="74" t="n">
        <x:f>E68-F68</x:f>
        <x:v>0</x:v>
      </x:c>
      <x:c r="H68" s="74" t="n">
        <x:v>24.9</x:v>
      </x:c>
      <x:c r="I68" s="74" t="str">
        <x:v>₽/кг</x:v>
      </x:c>
      <x:c r="J68" s="74"/>
      <x:c r="K68" s="74" t="n">
        <x:f>E68/1000</x:f>
        <x:v>0.003</x:v>
      </x:c>
      <x:c r="L68" s="74" t="n">
        <x:f>H68*K68</x:f>
        <x:v>0.0747</x:v>
      </x:c>
      <x:c r="M68" s="38" t="str">
        <x:v>https://online.metro-cc.ru/products/pischevaya-aro-jodirovannaya-pischevaya-1-kg</x:v>
      </x:c>
      <x:c r="N68" s="38" t="str">
        <x:v>2026-08-07</x:v>
      </x:c>
      <x:c r="O68" s="38" t="str">
        <x:v>ASSUMPTION</x:v>
      </x:c>
      <x:c r="P68" s="38" t="str">
        <x:v>PRELIMINARY</x:v>
      </x:c>
      <x:c r="Q68" s="39" t="str">
        <x:v>RECALCULATED_DUE_TO_PRICE_CHANGE</x:v>
      </x:c>
    </x:row>
    <x:row r="69">
      <x:c r="A69" s="37" t="str">
        <x:v>VKM-004</x:v>
      </x:c>
      <x:c r="B69" s="38" t="str">
        <x:v>Пепперони</x:v>
      </x:c>
      <x:c r="C69" s="38" t="str">
        <x:v>Тесто</x:v>
      </x:c>
      <x:c r="D69" s="38" t="str">
        <x:v>Масло оливковое Extra Virgin</x:v>
      </x:c>
      <x:c r="E69" s="74" t="n">
        <x:v>15</x:v>
      </x:c>
      <x:c r="F69" s="74" t="n">
        <x:v>15</x:v>
      </x:c>
      <x:c r="G69" s="74" t="n">
        <x:f>E69-F69</x:f>
        <x:v>0</x:v>
      </x:c>
      <x:c r="H69" s="74" t="n">
        <x:v>1279</x:v>
      </x:c>
      <x:c r="I69" s="74" t="str">
        <x:v>₽/л</x:v>
      </x:c>
      <x:c r="J69" s="74" t="n">
        <x:v>0.91</x:v>
      </x:c>
      <x:c r="K69" s="74" t="n">
        <x:f>E69/(1000*J69)</x:f>
        <x:v>0.016483516483516484</x:v>
      </x:c>
      <x:c r="L69" s="74" t="n">
        <x:f>H69*K69</x:f>
        <x:v>21.082417582417584</x:v>
      </x:c>
      <x:c r="M69" s="38" t="str">
        <x:v>https://online.metro-cc.ru/products/1l-olivkovoe-maslo-metro-chef-extra-virgin</x:v>
      </x:c>
      <x:c r="N69" s="38" t="str">
        <x:v>2026-08-07</x:v>
      </x:c>
      <x:c r="O69" s="38" t="str">
        <x:v>ASSUMPTION</x:v>
      </x:c>
      <x:c r="P69" s="38" t="str">
        <x:v>PRELIMINARY</x:v>
      </x:c>
      <x:c r="Q69" s="39" t="str">
        <x:v>RECALCULATED_DUE_TO_PRICE_CHANGE</x:v>
      </x:c>
    </x:row>
    <x:row r="70">
      <x:c r="A70" s="37" t="str">
        <x:v>VKM-004</x:v>
      </x:c>
      <x:c r="B70" s="38" t="str">
        <x:v>Пепперони</x:v>
      </x:c>
      <x:c r="C70" s="38" t="str">
        <x:v>Соус</x:v>
      </x:c>
      <x:c r="D70" s="38" t="str">
        <x:v>Томаты протёртые</x:v>
      </x:c>
      <x:c r="E70" s="74" t="n">
        <x:v>63</x:v>
      </x:c>
      <x:c r="F70" s="74" t="n">
        <x:v>63</x:v>
      </x:c>
      <x:c r="G70" s="74" t="n">
        <x:f>E70-F70</x:f>
        <x:v>0</x:v>
      </x:c>
      <x:c r="H70" s="74" t="n">
        <x:v>519</x:v>
      </x:c>
      <x:c r="I70" s="74" t="str">
        <x:v>₽/кг</x:v>
      </x:c>
      <x:c r="J70" s="74"/>
      <x:c r="K70" s="74" t="n">
        <x:f>E70/1000</x:f>
        <x:v>0.063</x:v>
      </x:c>
      <x:c r="L70" s="74" t="n">
        <x:f>H70*K70</x:f>
        <x:v>32.697</x:v>
      </x:c>
      <x:c r="M70" s="38" t="str">
        <x:v>https://online.metro-cc.ru/products/pomidory-pomi-potertye-1-l</x:v>
      </x:c>
      <x:c r="N70" s="38" t="str">
        <x:v>2026-08-07</x:v>
      </x:c>
      <x:c r="O70" s="38" t="str">
        <x:v>ASSUMPTION</x:v>
      </x:c>
      <x:c r="P70" s="38" t="str">
        <x:v>PRELIMINARY</x:v>
      </x:c>
      <x:c r="Q70" s="39" t="str">
        <x:v>RECALCULATED_DUE_TO_PRICE_CHANGE</x:v>
      </x:c>
    </x:row>
    <x:row r="71">
      <x:c r="A71" s="37" t="str">
        <x:v>VKM-004</x:v>
      </x:c>
      <x:c r="B71" s="38" t="str">
        <x:v>Пепперони</x:v>
      </x:c>
      <x:c r="C71" s="38" t="str">
        <x:v>Соус</x:v>
      </x:c>
      <x:c r="D71" s="38" t="str">
        <x:v>Чеснок</x:v>
      </x:c>
      <x:c r="E71" s="74" t="n">
        <x:v>2.2</x:v>
      </x:c>
      <x:c r="F71" s="74" t="n">
        <x:v>2</x:v>
      </x:c>
      <x:c r="G71" s="74" t="n">
        <x:f>E71-F71</x:f>
        <x:v>0.20000000000000018</x:v>
      </x:c>
      <x:c r="H71" s="74" t="n">
        <x:v>305</x:v>
      </x:c>
      <x:c r="I71" s="74" t="str">
        <x:v>₽/кг</x:v>
      </x:c>
      <x:c r="J71" s="74"/>
      <x:c r="K71" s="74" t="n">
        <x:f>E71/1000</x:f>
        <x:v>0.0022</x:v>
      </x:c>
      <x:c r="L71" s="74" t="n">
        <x:f>H71*K71</x:f>
        <x:v>0.671</x:v>
      </x:c>
      <x:c r="M71" s="38" t="str">
        <x:v>https://lenta.com/product/chesnok-ves-11187/</x:v>
      </x:c>
      <x:c r="N71" s="38" t="str">
        <x:v>2026-08-07</x:v>
      </x:c>
      <x:c r="O71" s="38" t="str">
        <x:v>ASSUMPTION</x:v>
      </x:c>
      <x:c r="P71" s="38" t="str">
        <x:v>PRELIMINARY</x:v>
      </x:c>
      <x:c r="Q71" s="39" t="str">
        <x:v>RECALCULATED_DUE_TO_PRICE_CHANGE</x:v>
      </x:c>
    </x:row>
    <x:row r="72">
      <x:c r="A72" s="37" t="str">
        <x:v>VKM-004</x:v>
      </x:c>
      <x:c r="B72" s="38" t="str">
        <x:v>Пепперони</x:v>
      </x:c>
      <x:c r="C72" s="38" t="str">
        <x:v>Соус</x:v>
      </x:c>
      <x:c r="D72" s="38" t="str">
        <x:v>Орегано</x:v>
      </x:c>
      <x:c r="E72" s="74" t="n">
        <x:v>1</x:v>
      </x:c>
      <x:c r="F72" s="74" t="n">
        <x:v>1</x:v>
      </x:c>
      <x:c r="G72" s="74" t="n">
        <x:f>E72-F72</x:f>
        <x:v>0</x:v>
      </x:c>
      <x:c r="H72" s="74" t="n">
        <x:v>3950</x:v>
      </x:c>
      <x:c r="I72" s="74" t="str">
        <x:v>₽/кг</x:v>
      </x:c>
      <x:c r="J72" s="74"/>
      <x:c r="K72" s="74" t="n">
        <x:f>E72/1000</x:f>
        <x:v>0.001</x:v>
      </x:c>
      <x:c r="L72" s="74" t="n">
        <x:f>H72*K72</x:f>
        <x:v>3.95</x:v>
      </x:c>
      <x:c r="M72" s="38" t="str">
        <x:v>https://online.metro-cc.ru/products/oregano-metro-chef-izmelchennyj-101-g</x:v>
      </x:c>
      <x:c r="N72" s="38" t="str">
        <x:v>2026-08-07</x:v>
      </x:c>
      <x:c r="O72" s="38" t="str">
        <x:v>ASSUMPTION</x:v>
      </x:c>
      <x:c r="P72" s="38" t="str">
        <x:v>PRELIMINARY</x:v>
      </x:c>
      <x:c r="Q72" s="39" t="str">
        <x:v>RECALCULATED_DUE_TO_PRICE_CHANGE</x:v>
      </x:c>
    </x:row>
    <x:row r="73">
      <x:c r="A73" s="37" t="str">
        <x:v>VKM-004</x:v>
      </x:c>
      <x:c r="B73" s="38" t="str">
        <x:v>Пепперони</x:v>
      </x:c>
      <x:c r="C73" s="38" t="str">
        <x:v>Соус</x:v>
      </x:c>
      <x:c r="D73" s="38" t="str">
        <x:v>Масло оливковое Extra Virgin</x:v>
      </x:c>
      <x:c r="E73" s="74" t="n">
        <x:v>7</x:v>
      </x:c>
      <x:c r="F73" s="74" t="n">
        <x:v>7</x:v>
      </x:c>
      <x:c r="G73" s="74" t="n">
        <x:f>E73-F73</x:f>
        <x:v>0</x:v>
      </x:c>
      <x:c r="H73" s="74" t="n">
        <x:v>1279</x:v>
      </x:c>
      <x:c r="I73" s="74" t="str">
        <x:v>₽/л</x:v>
      </x:c>
      <x:c r="J73" s="74" t="n">
        <x:v>0.91</x:v>
      </x:c>
      <x:c r="K73" s="74" t="n">
        <x:f>E73/(1000*J73)</x:f>
        <x:v>0.007692307692307693</x:v>
      </x:c>
      <x:c r="L73" s="74" t="n">
        <x:f>H73*K73</x:f>
        <x:v>9.838461538461539</x:v>
      </x:c>
      <x:c r="M73" s="38" t="str">
        <x:v>https://online.metro-cc.ru/products/1l-olivkovoe-maslo-metro-chef-extra-virgin</x:v>
      </x:c>
      <x:c r="N73" s="38" t="str">
        <x:v>2026-08-07</x:v>
      </x:c>
      <x:c r="O73" s="38" t="str">
        <x:v>ASSUMPTION</x:v>
      </x:c>
      <x:c r="P73" s="38" t="str">
        <x:v>PRELIMINARY</x:v>
      </x:c>
      <x:c r="Q73" s="39" t="str">
        <x:v>RECALCULATED_DUE_TO_PRICE_CHANGE</x:v>
      </x:c>
    </x:row>
    <x:row r="74">
      <x:c r="A74" s="37" t="str">
        <x:v>VKM-004</x:v>
      </x:c>
      <x:c r="B74" s="38" t="str">
        <x:v>Пепперони</x:v>
      </x:c>
      <x:c r="C74" s="38" t="str">
        <x:v>Сборка</x:v>
      </x:c>
      <x:c r="D74" s="38" t="str">
        <x:v>Моцарелла</x:v>
      </x:c>
      <x:c r="E74" s="74" t="n">
        <x:v>110</x:v>
      </x:c>
      <x:c r="F74" s="74" t="n">
        <x:v>110</x:v>
      </x:c>
      <x:c r="G74" s="74" t="n">
        <x:f>E74-F74</x:f>
        <x:v>0</x:v>
      </x:c>
      <x:c r="H74" s="74" t="n">
        <x:v>849</x:v>
      </x:c>
      <x:c r="I74" s="74" t="str">
        <x:v>₽/кг</x:v>
      </x:c>
      <x:c r="J74" s="74"/>
      <x:c r="K74" s="74" t="n">
        <x:f>E74/1000</x:f>
        <x:v>0.11</x:v>
      </x:c>
      <x:c r="L74" s="74" t="n">
        <x:f>H74*K74</x:f>
        <x:v>93.39</x:v>
      </x:c>
      <x:c r="M74" s="38" t="str">
        <x:v>https://online.metro-cc.ru/products/metro-chef-syr-motsarella-dlya-pitstsy-kusok-45-1kg</x:v>
      </x:c>
      <x:c r="N74" s="38" t="str">
        <x:v>2026-08-07</x:v>
      </x:c>
      <x:c r="O74" s="38" t="str">
        <x:v>ASSUMPTION</x:v>
      </x:c>
      <x:c r="P74" s="38" t="str">
        <x:v>PRELIMINARY</x:v>
      </x:c>
      <x:c r="Q74" s="39" t="str">
        <x:v>RECALCULATED_DUE_TO_PRICE_CHANGE</x:v>
      </x:c>
    </x:row>
    <x:row r="75">
      <x:c r="A75" s="37" t="str">
        <x:v>VKM-004</x:v>
      </x:c>
      <x:c r="B75" s="38" t="str">
        <x:v>Пепперони</x:v>
      </x:c>
      <x:c r="C75" s="38" t="str">
        <x:v>Сборка</x:v>
      </x:c>
      <x:c r="D75" s="38" t="str">
        <x:v>Пепперони</x:v>
      </x:c>
      <x:c r="E75" s="74" t="n">
        <x:v>90</x:v>
      </x:c>
      <x:c r="F75" s="74" t="n">
        <x:v>90</x:v>
      </x:c>
      <x:c r="G75" s="74" t="n">
        <x:f>E75-F75</x:f>
        <x:v>0</x:v>
      </x:c>
      <x:c r="H75" s="74" t="n">
        <x:v>939</x:v>
      </x:c>
      <x:c r="I75" s="74" t="str">
        <x:v>₽/кг</x:v>
      </x:c>
      <x:c r="J75" s="74"/>
      <x:c r="K75" s="74" t="n">
        <x:f>E75/1000</x:f>
        <x:v>0.09</x:v>
      </x:c>
      <x:c r="L75" s="74" t="n">
        <x:f>H75*K75</x:f>
        <x:v>84.50999999999999</x:v>
      </x:c>
      <x:c r="M75" s="38" t="str">
        <x:v>https://online.metro-cc.ru/products/dymov-pepperoni-syrokopchenaya-narezka-1kg</x:v>
      </x:c>
      <x:c r="N75" s="38" t="str">
        <x:v>2026-08-07</x:v>
      </x:c>
      <x:c r="O75" s="38" t="str">
        <x:v>ASSUMPTION</x:v>
      </x:c>
      <x:c r="P75" s="38" t="str">
        <x:v>PRELIMINARY</x:v>
      </x:c>
      <x:c r="Q75" s="39" t="str">
        <x:v>RECALCULATED_DUE_TO_PRICE_CHANGE</x:v>
      </x:c>
    </x:row>
    <x:row r="76">
      <x:c r="A76" s="40" t="str">
        <x:v>VKM-004</x:v>
      </x:c>
      <x:c r="B76" s="41" t="str">
        <x:v>Пепперони</x:v>
      </x:c>
      <x:c r="C76" s="41" t="str">
        <x:v>Финиш</x:v>
      </x:c>
      <x:c r="D76" s="41" t="str">
        <x:v>Масло оливковое Extra Virgin</x:v>
      </x:c>
      <x:c r="E76" s="76" t="n">
        <x:v>10</x:v>
      </x:c>
      <x:c r="F76" s="76" t="n">
        <x:v>10</x:v>
      </x:c>
      <x:c r="G76" s="76" t="n">
        <x:f>E76-F76</x:f>
        <x:v>0</x:v>
      </x:c>
      <x:c r="H76" s="76" t="n">
        <x:v>1279</x:v>
      </x:c>
      <x:c r="I76" s="76" t="str">
        <x:v>₽/л</x:v>
      </x:c>
      <x:c r="J76" s="76" t="n">
        <x:v>0.91</x:v>
      </x:c>
      <x:c r="K76" s="76" t="n">
        <x:f>E76/(1000*J76)</x:f>
        <x:v>0.01098901098901099</x:v>
      </x:c>
      <x:c r="L76" s="76" t="n">
        <x:f>H76*K76</x:f>
        <x:v>14.054945054945057</x:v>
      </x:c>
      <x:c r="M76" s="41" t="str">
        <x:v>https://online.metro-cc.ru/products/1l-olivkovoe-maslo-metro-chef-extra-virgin</x:v>
      </x:c>
      <x:c r="N76" s="41" t="str">
        <x:v>2026-08-07</x:v>
      </x:c>
      <x:c r="O76" s="41" t="str">
        <x:v>ASSUMPTION</x:v>
      </x:c>
      <x:c r="P76" s="41" t="str">
        <x:v>PRELIMINARY</x:v>
      </x:c>
      <x:c r="Q76" s="42" t="str">
        <x:v>RECALCULATED_DUE_TO_PRICE_CHANGE</x:v>
      </x:c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</x:row>
    <x:row r="79">
      <x:c r="A79" s="63" t="str">
        <x:v>dish_code</x:v>
      </x:c>
      <x:c r="B79" s="64" t="str">
        <x:v>Блюдо</x:v>
      </x:c>
      <x:c r="C79" s="64" t="str">
        <x:v>Новый Recipe COGS, ₽</x:v>
      </x:c>
      <x:c r="D79" s="64" t="str">
        <x:v>Контрольный COGS, ₽</x:v>
      </x:c>
      <x:c r="E79" s="64" t="str">
        <x:v>Отклонение, ₽</x:v>
      </x:c>
      <x:c r="F79" s="64" t="str">
        <x:v>Отклонение, %</x:v>
      </x:c>
      <x:c r="G79" s="64" t="str">
        <x:v>Цена продажи, ₽</x:v>
      </x:c>
      <x:c r="H79" s="65" t="str">
        <x:v>Food cost, %</x:v>
      </x:c>
      <x:c r="I79" s="38"/>
      <x:c r="J79" s="38"/>
      <x:c r="K79" s="38"/>
      <x:c r="L79" s="38"/>
      <x:c r="M79" s="38"/>
      <x:c r="N79" s="38"/>
      <x:c r="O79" s="38"/>
      <x:c r="P79" s="38"/>
      <x:c r="Q79" s="38"/>
    </x:row>
    <x:row r="80">
      <x:c r="A80" s="37" t="str">
        <x:v>VKM-001</x:v>
      </x:c>
      <x:c r="B80" s="38" t="str">
        <x:v>Маргарита</x:v>
      </x:c>
      <x:c r="C80" s="74" t="n">
        <x:f>SUMIF($A:$A,A80,$L:$L)</x:f>
        <x:v>245.06853516483517</x:v>
      </x:c>
      <x:c r="D80" s="74" t="n">
        <x:v>159.92</x:v>
      </x:c>
      <x:c r="E80" s="74" t="n">
        <x:f>C80-D80</x:f>
        <x:v>85.14853516483518</x:v>
      </x:c>
      <x:c r="F80" s="75" t="n">
        <x:f>IFERROR(E80/D80,"")</x:f>
        <x:v>0.5324445670637518</x:v>
      </x:c>
      <x:c r="G80" s="74" t="n">
        <x:v>740</x:v>
      </x:c>
      <x:c r="H80" s="87" t="n">
        <x:f>IFERROR(C80/G80,"")</x:f>
        <x:v>0.3311736961686962</x:v>
      </x:c>
      <x:c r="I80" s="38"/>
      <x:c r="J80" s="38"/>
      <x:c r="K80" s="38"/>
      <x:c r="L80" s="38"/>
      <x:c r="M80" s="38"/>
      <x:c r="N80" s="38"/>
      <x:c r="O80" s="38"/>
      <x:c r="P80" s="38"/>
      <x:c r="Q80" s="38"/>
    </x:row>
    <x:row r="81">
      <x:c r="A81" s="37" t="str">
        <x:v>VKM-002</x:v>
      </x:c>
      <x:c r="B81" s="38" t="str">
        <x:v>Четыре сыра</x:v>
      </x:c>
      <x:c r="C81" s="74" t="n">
        <x:f>SUMIF($A:$A,A81,$L:$L)</x:f>
        <x:v>433.8485351648352</x:v>
      </x:c>
      <x:c r="D81" s="74" t="n">
        <x:v>248.93</x:v>
      </x:c>
      <x:c r="E81" s="74" t="n">
        <x:f>C81-D81</x:f>
        <x:v>184.9185351648352</x:v>
      </x:c>
      <x:c r="F81" s="75" t="n">
        <x:f>IFERROR(E81/D81,"")</x:f>
        <x:v>0.7428535538699039</x:v>
      </x:c>
      <x:c r="G81" s="74" t="n">
        <x:v>990</x:v>
      </x:c>
      <x:c r="H81" s="87" t="n">
        <x:f>IFERROR(C81/G81,"")</x:f>
        <x:v>0.43823084360084363</x:v>
      </x:c>
      <x:c r="I81" s="38"/>
      <x:c r="J81" s="38"/>
      <x:c r="K81" s="38"/>
      <x:c r="L81" s="38"/>
      <x:c r="M81" s="38"/>
      <x:c r="N81" s="38"/>
      <x:c r="O81" s="38"/>
      <x:c r="P81" s="38"/>
      <x:c r="Q81" s="38"/>
    </x:row>
    <x:row r="82">
      <x:c r="A82" s="37" t="str">
        <x:v>VKM-003</x:v>
      </x:c>
      <x:c r="B82" s="38" t="str">
        <x:v>Грибная с ветчиной</x:v>
      </x:c>
      <x:c r="C82" s="74" t="n">
        <x:f>SUMIF($A:$A,A82,$L:$L)</x:f>
        <x:v>211.95385164835167</x:v>
      </x:c>
      <x:c r="D82" s="74" t="n">
        <x:v>228.58</x:v>
      </x:c>
      <x:c r="E82" s="74" t="n">
        <x:f>C82-D82</x:f>
        <x:v>-16.62614835164834</x:v>
      </x:c>
      <x:c r="F82" s="75" t="n">
        <x:f>IFERROR(E82/D82,"")</x:f>
        <x:v>-0.07273667141328348</x:v>
      </x:c>
      <x:c r="G82" s="74" t="n">
        <x:v>890</x:v>
      </x:c>
      <x:c r="H82" s="87" t="n">
        <x:f>IFERROR(C82/G82,"")</x:f>
        <x:v>0.2381503951105075</x:v>
      </x:c>
      <x:c r="I82" s="38"/>
      <x:c r="J82" s="38"/>
      <x:c r="K82" s="38"/>
      <x:c r="L82" s="38"/>
      <x:c r="M82" s="38"/>
      <x:c r="N82" s="38"/>
      <x:c r="O82" s="38"/>
      <x:c r="P82" s="38"/>
      <x:c r="Q82" s="38"/>
    </x:row>
    <x:row r="83">
      <x:c r="A83" s="40" t="str">
        <x:v>VKM-004</x:v>
      </x:c>
      <x:c r="B83" s="41" t="str">
        <x:v>Пепперони</x:v>
      </x:c>
      <x:c r="C83" s="76" t="n">
        <x:f>SUMIF($A:$A,A83,$L:$L)</x:f>
        <x:v>271.7065241758242</x:v>
      </x:c>
      <x:c r="D83" s="76" t="n">
        <x:v>258.6</x:v>
      </x:c>
      <x:c r="E83" s="76" t="n">
        <x:f>C83-D83</x:f>
        <x:v>13.106524175824177</x:v>
      </x:c>
      <x:c r="F83" s="77" t="n">
        <x:f>IFERROR(E83/D83,"")</x:f>
        <x:v>0.0506826147557006</x:v>
      </x:c>
      <x:c r="G83" s="76" t="n">
        <x:v>890</x:v>
      </x:c>
      <x:c r="H83" s="88" t="n">
        <x:f>IFERROR(C83/G83,"")</x:f>
        <x:v>0.30528822941103845</x:v>
      </x:c>
      <x:c r="I83" s="38"/>
      <x:c r="J83" s="38"/>
      <x:c r="K83" s="38"/>
      <x:c r="L83" s="38"/>
      <x:c r="M83" s="38"/>
      <x:c r="N83" s="38"/>
      <x:c r="O83" s="38"/>
      <x:c r="P83" s="38"/>
      <x:c r="Q83" s="38"/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  <x:col min="7" max="7" width="20" hidden="0" customWidth="1"/>
    <x:col min="8" max="8" width="36" hidden="0" customWidth="1"/>
    <x:col min="9" max="9" width="34" hidden="0" customWidth="1"/>
    <x:col min="10" max="10" width="44" hidden="0" customWidth="1"/>
  </x:cols>
  <x:sheetData>
    <x:row r="1">
      <x:c r="A1" s="73" t="str">
        <x:v>VAR-URG-002 / Группа «Пицца» — время изготовления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>
      <x:c r="A2" s="38" t="str">
        <x:v>Все временные показатели перенесены как ESTIMATE до фактического производственного хронометража.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>
      <x:c r="A4" s="20" t="str">
        <x:v>Поле</x:v>
      </x:c>
      <x:c r="B4" s="21" t="str">
        <x:v>Смысл</x:v>
      </x:c>
      <x:c r="C4" s="21" t="str">
        <x:v>Ед. изм.</x:v>
      </x:c>
      <x:c r="D4" s="21" t="str">
        <x:v>Источник</x:v>
      </x:c>
      <x:c r="E4" s="21" t="str">
        <x:v>Статус</x:v>
      </x:c>
      <x:c r="F4" s="21" t="str">
        <x:v>reuse_action</x:v>
      </x:c>
      <x:c r="G4" s="21" t="str">
        <x:v>Формула/правило</x:v>
      </x:c>
      <x:c r="H4" s="21" t="str">
        <x:v>Ответственный</x:v>
      </x:c>
      <x:c r="I4" s="21" t="str">
        <x:v>Когда обновлять</x:v>
      </x:c>
      <x:c r="J4" s="21" t="str">
        <x:v>Контроль</x:v>
      </x:c>
      <x:c r="K4" s="22" t="str">
        <x:v>Примечание</x:v>
      </x:c>
    </x:row>
    <x:row r="5">
      <x:c r="A5" s="37" t="str">
        <x:v>dish_code</x:v>
      </x:c>
      <x:c r="B5" s="38" t="str">
        <x:v>Код блюда</x:v>
      </x:c>
      <x:c r="C5" s="38" t="str">
        <x:v>код</x:v>
      </x:c>
      <x:c r="D5" s="38" t="str">
        <x:v>KITCHEN_MENU 3.0</x:v>
      </x:c>
      <x:c r="E5" s="38" t="str">
        <x:v>REUSED</x:v>
      </x:c>
      <x:c r="F5" s="38" t="str">
        <x:v>REUSED_AS_IS</x:v>
      </x:c>
      <x:c r="G5" s="38" t="str">
        <x:v>без изменения</x:v>
      </x:c>
      <x:c r="H5" s="38" t="str">
        <x:v>Owner</x:v>
      </x:c>
      <x:c r="I5" s="38" t="str">
        <x:v>при изменении меню</x:v>
      </x:c>
      <x:c r="J5" s="38" t="str">
        <x:v>уникальность</x:v>
      </x:c>
      <x:c r="K5" s="39" t="str"/>
    </x:row>
    <x:row r="6">
      <x:c r="A6" s="37" t="str">
        <x:v>Блюдо</x:v>
      </x:c>
      <x:c r="B6" s="38" t="str">
        <x:v>Название</x:v>
      </x:c>
      <x:c r="C6" s="38" t="str">
        <x:v>текст</x:v>
      </x:c>
      <x:c r="D6" s="38" t="str">
        <x:v>KITCHEN_MENU 3.0</x:v>
      </x:c>
      <x:c r="E6" s="38" t="str">
        <x:v>REUSED</x:v>
      </x:c>
      <x:c r="F6" s="38" t="str">
        <x:v>REUSED_AS_IS</x:v>
      </x:c>
      <x:c r="G6" s="38" t="str">
        <x:v>без изменения</x:v>
      </x:c>
      <x:c r="H6" s="38" t="str">
        <x:v>Owner</x:v>
      </x:c>
      <x:c r="I6" s="38" t="str">
        <x:v>при изменении меню</x:v>
      </x:c>
      <x:c r="J6" s="38" t="str">
        <x:v>сверка</x:v>
      </x:c>
      <x:c r="K6" s="39" t="str"/>
    </x:row>
    <x:row r="7">
      <x:c r="A7" s="37" t="str">
        <x:v>Активное время</x:v>
      </x:c>
      <x:c r="B7" s="38" t="str">
        <x:v>Активная работа персонала</x:v>
      </x:c>
      <x:c r="C7" s="38" t="str">
        <x:v>мин</x:v>
      </x:c>
      <x:c r="D7" s="38" t="str">
        <x:v>existing resource/time model</x:v>
      </x:c>
      <x:c r="E7" s="38" t="str">
        <x:v>ESTIMATE</x:v>
      </x:c>
      <x:c r="F7" s="38" t="str">
        <x:v>REUSED_AS_IS</x:v>
      </x:c>
      <x:c r="G7" s="38" t="str">
        <x:v>без изменения</x:v>
      </x:c>
      <x:c r="H7" s="38" t="str">
        <x:v>Chef</x:v>
      </x:c>
      <x:c r="I7" s="38" t="str">
        <x:v>после хронометража</x:v>
      </x:c>
      <x:c r="J7" s="38" t="str">
        <x:v>&gt;0</x:v>
      </x:c>
      <x:c r="K7" s="39" t="str"/>
    </x:row>
    <x:row r="8">
      <x:c r="A8" s="37" t="str">
        <x:v>Полное время</x:v>
      </x:c>
      <x:c r="B8" s="38" t="str">
        <x:v>Полный расчётный цикл</x:v>
      </x:c>
      <x:c r="C8" s="38" t="str">
        <x:v>мин</x:v>
      </x:c>
      <x:c r="D8" s="38" t="str">
        <x:v>existing resource/time model</x:v>
      </x:c>
      <x:c r="E8" s="38" t="str">
        <x:v>ESTIMATE</x:v>
      </x:c>
      <x:c r="F8" s="38" t="str">
        <x:v>REUSED_AS_IS</x:v>
      </x:c>
      <x:c r="G8" s="38" t="str">
        <x:v>без изменения</x:v>
      </x:c>
      <x:c r="H8" s="38" t="str">
        <x:v>Chef</x:v>
      </x:c>
      <x:c r="I8" s="38" t="str">
        <x:v>после хронометража</x:v>
      </x:c>
      <x:c r="J8" s="38" t="str">
        <x:v>&gt;= active</x:v>
      </x:c>
      <x:c r="K8" s="39" t="str"/>
    </x:row>
    <x:row r="9">
      <x:c r="A9" s="37" t="str">
        <x:v>Пассивное время</x:v>
      </x:c>
      <x:c r="B9" s="38" t="str">
        <x:v>Полное - активное</x:v>
      </x:c>
      <x:c r="C9" s="38" t="str">
        <x:v>мин</x:v>
      </x:c>
      <x:c r="D9" s="38" t="str">
        <x:v>расчёт</x:v>
      </x:c>
      <x:c r="E9" s="38" t="str">
        <x:v>CALCULATED</x:v>
      </x:c>
      <x:c r="F9" s="38" t="str">
        <x:v>REUSED_WITH_MAPPING</x:v>
      </x:c>
      <x:c r="G9" s="38" t="str">
        <x:v>Полное-Активное</x:v>
      </x:c>
      <x:c r="H9" s="38" t="str">
        <x:v>Costing</x:v>
      </x:c>
      <x:c r="I9" s="38" t="str">
        <x:v>автоматически</x:v>
      </x:c>
      <x:c r="J9" s="38" t="str">
        <x:v>&gt;=0</x:v>
      </x:c>
      <x:c r="K9" s="39" t="str"/>
    </x:row>
    <x:row r="10">
      <x:c r="A10" s="37" t="str">
        <x:v>Статус</x:v>
      </x:c>
      <x:c r="B10" s="38" t="str">
        <x:v>Статус временного норматива</x:v>
      </x:c>
      <x:c r="C10" s="38" t="str">
        <x:v>статус</x:v>
      </x:c>
      <x:c r="D10" s="38" t="str">
        <x:v>Owner decision</x:v>
      </x:c>
      <x:c r="E10" s="38" t="str">
        <x:v>ESTIMATE</x:v>
      </x:c>
      <x:c r="F10" s="38" t="str">
        <x:v>REUSED_AS_IS</x:v>
      </x:c>
      <x:c r="G10" s="38" t="str">
        <x:v>до хронометража</x:v>
      </x:c>
      <x:c r="H10" s="38" t="str">
        <x:v>Chef</x:v>
      </x:c>
      <x:c r="I10" s="38" t="str">
        <x:v>после теста</x:v>
      </x:c>
      <x:c r="J10" s="38" t="str">
        <x:v>ESTIMATE</x:v>
      </x:c>
      <x:c r="K10" s="39" t="str"/>
    </x:row>
    <x:row r="11">
      <x:c r="A11" s="37" t="str">
        <x:v>reuse_action</x:v>
      </x:c>
      <x:c r="B11" s="38" t="str">
        <x:v>Повторное использование</x:v>
      </x:c>
      <x:c r="C11" s="38" t="str">
        <x:v>enum</x:v>
      </x:c>
      <x:c r="D11" s="38" t="str">
        <x:v>Owner decision</x:v>
      </x:c>
      <x:c r="E11" s="38" t="str">
        <x:v>—</x:v>
      </x:c>
      <x:c r="F11" s="38" t="str">
        <x:v>REUSED_AS_IS</x:v>
      </x:c>
      <x:c r="G11" s="38" t="str">
        <x:v>без изменения</x:v>
      </x:c>
      <x:c r="H11" s="38" t="str">
        <x:v>Owner</x:v>
      </x:c>
      <x:c r="I11" s="38" t="str">
        <x:v>при изменении</x:v>
      </x:c>
      <x:c r="J11" s="38" t="str">
        <x:v>валидный enum</x:v>
      </x:c>
      <x:c r="K11" s="39" t="str"/>
    </x:row>
    <x:row r="12">
      <x:c r="A12" s="37" t="str">
        <x:v>Требуется проверка</x:v>
      </x:c>
      <x:c r="B12" s="38" t="str">
        <x:v>Как закрыть оценку</x:v>
      </x:c>
      <x:c r="C12" s="38" t="str">
        <x:v>текст</x:v>
      </x:c>
      <x:c r="D12" s="38" t="str">
        <x:v>Owner decision</x:v>
      </x:c>
      <x:c r="E12" s="38" t="str">
        <x:v>OPEN</x:v>
      </x:c>
      <x:c r="F12" s="38" t="str">
        <x:v>REQUIRES_CHEF_INPUT</x:v>
      </x:c>
      <x:c r="G12" s="38" t="str">
        <x:v>фактический хронометраж</x:v>
      </x:c>
      <x:c r="H12" s="38" t="str">
        <x:v>Chef</x:v>
      </x:c>
      <x:c r="I12" s="38" t="str">
        <x:v>при тесте</x:v>
      </x:c>
      <x:c r="J12" s="38" t="str">
        <x:v>не пусто</x:v>
      </x:c>
      <x:c r="K12" s="39" t="str"/>
    </x:row>
    <x:row r="13">
      <x:c r="A13" s="37" t="str">
        <x:v>Источник</x:v>
      </x:c>
      <x:c r="B13" s="38" t="str">
        <x:v>Источник времени</x:v>
      </x:c>
      <x:c r="C13" s="38" t="str">
        <x:v>текст</x:v>
      </x:c>
      <x:c r="D13" s="38" t="str">
        <x:v>existing project model</x:v>
      </x:c>
      <x:c r="E13" s="38" t="str">
        <x:v>REUSED</x:v>
      </x:c>
      <x:c r="F13" s="38" t="str">
        <x:v>REUSED_AS_IS</x:v>
      </x:c>
      <x:c r="G13" s="38" t="str">
        <x:v>ссылка/описание</x:v>
      </x:c>
      <x:c r="H13" s="38" t="str">
        <x:v>Owner</x:v>
      </x:c>
      <x:c r="I13" s="38" t="str">
        <x:v>при обновлении</x:v>
      </x:c>
      <x:c r="J13" s="38" t="str">
        <x:v>не пусто</x:v>
      </x:c>
      <x:c r="K13" s="39" t="str"/>
    </x:row>
    <x:row r="14">
      <x:c r="A14" s="40" t="str">
        <x:v>Примечание</x:v>
      </x:c>
      <x:c r="B14" s="41" t="str">
        <x:v>Ограничение</x:v>
      </x:c>
      <x:c r="C14" s="41" t="str">
        <x:v>текст</x:v>
      </x:c>
      <x:c r="D14" s="41" t="str">
        <x:v>Owner decision</x:v>
      </x:c>
      <x:c r="E14" s="41" t="str">
        <x:v>—</x:v>
      </x:c>
      <x:c r="F14" s="41" t="str">
        <x:v>—</x:v>
      </x:c>
      <x:c r="G14" s="41" t="str">
        <x:v>не повышать статус автоматически</x:v>
      </x:c>
      <x:c r="H14" s="41" t="str">
        <x:v>Owner</x:v>
      </x:c>
      <x:c r="I14" s="41" t="str">
        <x:v>Owner Gate</x:v>
      </x:c>
      <x:c r="J14" s="41" t="str">
        <x:v>не пусто</x:v>
      </x:c>
      <x:c r="K14" s="42" t="str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</x:row>
    <x:row r="16">
      <x:c r="A16" s="63" t="str">
        <x:v>dish_code</x:v>
      </x:c>
      <x:c r="B16" s="64" t="str">
        <x:v>Блюдо</x:v>
      </x:c>
      <x:c r="C16" s="64" t="str">
        <x:v>Активное время, мин</x:v>
      </x:c>
      <x:c r="D16" s="64" t="str">
        <x:v>Полное время, мин</x:v>
      </x:c>
      <x:c r="E16" s="64" t="str">
        <x:v>Пассивное время, мин</x:v>
      </x:c>
      <x:c r="F16" s="64" t="str">
        <x:v>Статус</x:v>
      </x:c>
      <x:c r="G16" s="64" t="str">
        <x:v>reuse_action</x:v>
      </x:c>
      <x:c r="H16" s="64" t="str">
        <x:v>Требуется проверка</x:v>
      </x:c>
      <x:c r="I16" s="64" t="str">
        <x:v>Источник</x:v>
      </x:c>
      <x:c r="J16" s="65" t="str">
        <x:v>Примечание</x:v>
      </x:c>
    </x:row>
    <x:row r="17">
      <x:c r="A17" s="37" t="str">
        <x:v>VKM-001</x:v>
      </x:c>
      <x:c r="B17" s="38" t="str">
        <x:v>Маргарита</x:v>
      </x:c>
      <x:c r="C17" s="38" t="n">
        <x:v>19</x:v>
      </x:c>
      <x:c r="D17" s="38" t="n">
        <x:v>90</x:v>
      </x:c>
      <x:c r="E17" s="38" t="n">
        <x:f>D17-C17</x:f>
        <x:v>71</x:v>
      </x:c>
      <x:c r="F17" s="38" t="str">
        <x:v>ESTIMATE</x:v>
      </x:c>
      <x:c r="G17" s="38" t="str">
        <x:v>REUSED_AS_IS</x:v>
      </x:c>
      <x:c r="H17" s="38" t="str">
        <x:v>Фактический производственный хронометраж</x:v>
      </x:c>
      <x:c r="I17" s="38" t="str">
        <x:v>Existing Issue #82 resource/time model</x:v>
      </x:c>
      <x:c r="J17" s="39" t="str">
        <x:v>Не является утверждённым производственным нормативом</x:v>
      </x:c>
    </x:row>
    <x:row r="18">
      <x:c r="A18" s="37" t="str">
        <x:v>VKM-002</x:v>
      </x:c>
      <x:c r="B18" s="38" t="str">
        <x:v>Четыре сыра</x:v>
      </x:c>
      <x:c r="C18" s="38" t="n">
        <x:v>20</x:v>
      </x:c>
      <x:c r="D18" s="38" t="n">
        <x:v>92</x:v>
      </x:c>
      <x:c r="E18" s="38" t="n">
        <x:f>D18-C18</x:f>
        <x:v>72</x:v>
      </x:c>
      <x:c r="F18" s="38" t="str">
        <x:v>ESTIMATE</x:v>
      </x:c>
      <x:c r="G18" s="38" t="str">
        <x:v>REUSED_AS_IS</x:v>
      </x:c>
      <x:c r="H18" s="38" t="str">
        <x:v>Фактический производственный хронометраж</x:v>
      </x:c>
      <x:c r="I18" s="38" t="str">
        <x:v>Existing Issue #82 resource/time model</x:v>
      </x:c>
      <x:c r="J18" s="39" t="str">
        <x:v>Не является утверждённым производственным нормативом</x:v>
      </x:c>
    </x:row>
    <x:row r="19">
      <x:c r="A19" s="37" t="str">
        <x:v>VKM-003</x:v>
      </x:c>
      <x:c r="B19" s="38" t="str">
        <x:v>Грибная с ветчиной</x:v>
      </x:c>
      <x:c r="C19" s="38" t="n">
        <x:v>22</x:v>
      </x:c>
      <x:c r="D19" s="38" t="n">
        <x:v>95</x:v>
      </x:c>
      <x:c r="E19" s="38" t="n">
        <x:f>D19-C19</x:f>
        <x:v>73</x:v>
      </x:c>
      <x:c r="F19" s="38" t="str">
        <x:v>ESTIMATE</x:v>
      </x:c>
      <x:c r="G19" s="38" t="str">
        <x:v>REUSED_AS_IS</x:v>
      </x:c>
      <x:c r="H19" s="38" t="str">
        <x:v>Фактический производственный хронометраж</x:v>
      </x:c>
      <x:c r="I19" s="38" t="str">
        <x:v>Existing Issue #82 resource/time model</x:v>
      </x:c>
      <x:c r="J19" s="39" t="str">
        <x:v>Не является утверждённым производственным нормативом</x:v>
      </x:c>
    </x:row>
    <x:row r="20">
      <x:c r="A20" s="40" t="str">
        <x:v>VKM-004</x:v>
      </x:c>
      <x:c r="B20" s="41" t="str">
        <x:v>Пепперони</x:v>
      </x:c>
      <x:c r="C20" s="41" t="n">
        <x:v>20</x:v>
      </x:c>
      <x:c r="D20" s="41" t="n">
        <x:v>92</x:v>
      </x:c>
      <x:c r="E20" s="41" t="n">
        <x:f>D20-C20</x:f>
        <x:v>72</x:v>
      </x:c>
      <x:c r="F20" s="41" t="str">
        <x:v>ESTIMATE</x:v>
      </x:c>
      <x:c r="G20" s="41" t="str">
        <x:v>REUSED_AS_IS</x:v>
      </x:c>
      <x:c r="H20" s="41" t="str">
        <x:v>Фактический производственный хронометраж</x:v>
      </x:c>
      <x:c r="I20" s="41" t="str">
        <x:v>Existing Issue #82 resource/time model</x:v>
      </x:c>
      <x:c r="J20" s="42" t="str">
        <x:v>Не является утверждённым производственным нормативом</x:v>
      </x:c>
    </x:row>
  </x:sheetData>
  <x:mergeCells>
    <x:mergeCell ref="A1:J1"/>
    <x:mergeCell ref="A2:J2"/>
  </x:mergeCells>
  <x:pageMargins left="0.7" right="0.7" top="0.75" bottom="0.75" header="0.3" footer="0.3"/>
</x:worksheet>
</file>