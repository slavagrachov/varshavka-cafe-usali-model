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  <Override PartName="/xl/worksheets/sheet16.xml" ContentType="application/vnd.openxmlformats-officedocument.spreadsheetml.worksheet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bdacb2fbe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ПАСПОРТ" sheetId="1" r:id="R7fe033548c284b25"/>
    <x:sheet xmlns:r="http://schemas.openxmlformats.org/officeDocument/2006/relationships" name="01_МЕНЮ" sheetId="2" r:id="Rfa4dd1f05d8041b6"/>
    <x:sheet xmlns:r="http://schemas.openxmlformats.org/officeDocument/2006/relationships" name="02_РЕЦЕПТУРЫ" sheetId="3" r:id="Rdb86cd5a7c4047b7"/>
    <x:sheet xmlns:r="http://schemas.openxmlformats.org/officeDocument/2006/relationships" name="03_ПОЛУФАБРИКАТЫ" sheetId="4" r:id="R0a68f3db8dcb4d40"/>
    <x:sheet xmlns:r="http://schemas.openxmlformats.org/officeDocument/2006/relationships" name="04_КАЛЬКУЛЯЦИИ" sheetId="5" r:id="R9d64714d56bb45b7"/>
    <x:sheet xmlns:r="http://schemas.openxmlformats.org/officeDocument/2006/relationships" name="05_ТЕХКАРТЫ" sheetId="6" r:id="Rdaa0597e93be40ae"/>
    <x:sheet xmlns:r="http://schemas.openxmlformats.org/officeDocument/2006/relationships" name="06_СЫРЬЁ_И_ЦЕНЫ" sheetId="7" r:id="R7a6c05898257411d"/>
    <x:sheet xmlns:r="http://schemas.openxmlformats.org/officeDocument/2006/relationships" name="07_ЦЕНООБРАЗОВАНИЕ" sheetId="8" r:id="R6ac4b937285a4afb"/>
    <x:sheet xmlns:r="http://schemas.openxmlformats.org/officeDocument/2006/relationships" name="08_ОБОРУДОВАНИЕ" sheetId="9" r:id="R18bbe193b96a49e1"/>
    <x:sheet xmlns:r="http://schemas.openxmlformats.org/officeDocument/2006/relationships" name="09_ИНВЕНТАРЬ_И_ПОСУДА" sheetId="10" r:id="Rc23c235914094f28"/>
    <x:sheet xmlns:r="http://schemas.openxmlformats.org/officeDocument/2006/relationships" name="10_АЛЛЕРГЕНЫ_БЕЗОПАСНОСТЬ" sheetId="11" r:id="R88760e1329cc447b"/>
    <x:sheet xmlns:r="http://schemas.openxmlformats.org/officeDocument/2006/relationships" name="11_ПИЩЕВАЯ_ЦЕННОСТЬ" sheetId="12" r:id="Rcadd32c1ba744f92"/>
    <x:sheet xmlns:r="http://schemas.openxmlformats.org/officeDocument/2006/relationships" name="12_ВОПРОСЫ_ШЕФУ" sheetId="13" r:id="R1be484cc9c3144b1"/>
    <x:sheet xmlns:r="http://schemas.openxmlformats.org/officeDocument/2006/relationships" name="13_СОГЛАСОВАНИЕ" sheetId="14" r:id="R3344dc23de7d4b2d"/>
    <x:sheet xmlns:r="http://schemas.openxmlformats.org/officeDocument/2006/relationships" name="14_КОНТРОЛЬНЫЕ_ПРОРАБОТКИ" sheetId="15" r:id="R4280b7d75a164c86"/>
    <x:sheet xmlns:r="http://schemas.openxmlformats.org/officeDocument/2006/relationships" name="15_ПРОВЕРКИ" sheetId="16" r:id="R057cdb001a3d4656"/>
    <x:sheet xmlns:r="http://schemas.openxmlformats.org/officeDocument/2006/relationships" name="16_ИСТОЧНИКИ" sheetId="17" r:id="Re12f6276cfde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-"/>
    <x:numFmt numFmtId="201" formatCode="0.0%"/>
    <x:numFmt numFmtId="202" formatCode="#,##0.0000;[Red](#,##0.0000);-"/>
  </x:numFmts>
  <x:fonts count="10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15"/>
      <x:color rgb="FFFFFFFF"/>
      <x:name val="Aptos"/>
    </x:font>
    <x:font>
      <x:sz val="11"/>
      <x:name val="Aptos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9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2F7"/>
      </x:patternFill>
    </x:fill>
    <x:fill>
      <x:patternFill patternType="solid">
        <x:fgColor rgb="FF2C6E8F"/>
      </x:patternFill>
    </x:fill>
    <x:fill>
      <x:patternFill patternType="solid">
        <x:fgColor rgb="FFE8F5E9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2" fontId="4" fillId="6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200" fontId="9" fillId="5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201" fontId="6" fillId="6" borderId="0" xfId="0" applyNumberFormat="1" applyFont="1" applyFill="1" applyBorder="1"/>
    <x:xf numFmtId="200" fontId="9" fillId="6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202" fontId="9" fillId="6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8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2F2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3bf4507904268" /><Relationship Type="http://schemas.openxmlformats.org/officeDocument/2006/relationships/theme" Target="/xl/theme/theme1.xml" Id="R51259bff36e3404c" /><Relationship Type="http://schemas.openxmlformats.org/officeDocument/2006/relationships/sharedStrings" Target="/xl/sharedStrings.xml" Id="R620f7a29f3994ba7" /><Relationship Type="http://schemas.openxmlformats.org/officeDocument/2006/relationships/worksheet" Target="/xl/worksheets/sheet1.xml" Id="R7fe033548c284b25" /><Relationship Type="http://schemas.openxmlformats.org/officeDocument/2006/relationships/worksheet" Target="/xl/worksheets/sheet2.xml" Id="Rfa4dd1f05d8041b6" /><Relationship Type="http://schemas.openxmlformats.org/officeDocument/2006/relationships/worksheet" Target="/xl/worksheets/sheet3.xml" Id="Rdb86cd5a7c4047b7" /><Relationship Type="http://schemas.openxmlformats.org/officeDocument/2006/relationships/worksheet" Target="/xl/worksheets/sheet4.xml" Id="R0a68f3db8dcb4d40" /><Relationship Type="http://schemas.openxmlformats.org/officeDocument/2006/relationships/worksheet" Target="/xl/worksheets/sheet5.xml" Id="R9d64714d56bb45b7" /><Relationship Type="http://schemas.openxmlformats.org/officeDocument/2006/relationships/worksheet" Target="/xl/worksheets/sheet6.xml" Id="Rdaa0597e93be40ae" /><Relationship Type="http://schemas.openxmlformats.org/officeDocument/2006/relationships/worksheet" Target="/xl/worksheets/sheet7.xml" Id="R7a6c05898257411d" /><Relationship Type="http://schemas.openxmlformats.org/officeDocument/2006/relationships/worksheet" Target="/xl/worksheets/sheet8.xml" Id="R6ac4b937285a4afb" /><Relationship Type="http://schemas.openxmlformats.org/officeDocument/2006/relationships/worksheet" Target="/xl/worksheets/sheet9.xml" Id="R18bbe193b96a49e1" /><Relationship Type="http://schemas.openxmlformats.org/officeDocument/2006/relationships/worksheet" Target="/xl/worksheets/sheet10.xml" Id="Rc23c235914094f28" /><Relationship Type="http://schemas.openxmlformats.org/officeDocument/2006/relationships/worksheet" Target="/xl/worksheets/sheet11.xml" Id="R88760e1329cc447b" /><Relationship Type="http://schemas.openxmlformats.org/officeDocument/2006/relationships/worksheet" Target="/xl/worksheets/sheet12.xml" Id="Rcadd32c1ba744f92" /><Relationship Type="http://schemas.openxmlformats.org/officeDocument/2006/relationships/worksheet" Target="/xl/worksheets/sheet13.xml" Id="R1be484cc9c3144b1" /><Relationship Type="http://schemas.openxmlformats.org/officeDocument/2006/relationships/worksheet" Target="/xl/worksheets/sheet14.xml" Id="R3344dc23de7d4b2d" /><Relationship Type="http://schemas.openxmlformats.org/officeDocument/2006/relationships/worksheet" Target="/xl/worksheets/sheet15.xml" Id="R4280b7d75a164c86" /><Relationship Type="http://schemas.openxmlformats.org/officeDocument/2006/relationships/worksheet" Target="/xl/worksheets/sheet16.xml" Id="R057cdb001a3d4656" /><Relationship Type="http://schemas.openxmlformats.org/officeDocument/2006/relationships/worksheet" Target="/xl/worksheets/sheet17.xml" Id="Re12f6276cfde4331" /></Relationships>
</file>

<file path=xl/tables/table1.xml><?xml version="1.0" encoding="utf-8"?>
<x:table xmlns:x="http://schemas.openxmlformats.org/spreadsheetml/2006/main" id="1" name="PassportStatus" displayName="PassportStatus" ref="A12:J40" headerRowCount="1" totalsRowCount="0" totalsRowShown="0">
  <x:autoFilter ref="A12:J40"/>
  <x:tableColumns count="10">
    <x:tableColumn id="1" name="Dish ID"/>
    <x:tableColumn id="2" name="Блюдо"/>
    <x:tableColumn id="3" name="Раздел"/>
    <x:tableColumn id="4" name="Recipe version"/>
    <x:tableColumn id="5" name="Dish status"/>
    <x:tableColumn id="6" name="Safety veto"/>
    <x:tableColumn id="7" name="Cost status"/>
    <x:tableColumn id="8" name="Nutrition status"/>
    <x:tableColumn id="9" name="Gate C"/>
    <x:tableColumn id="10" name="Block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nuReadiness" displayName="MenuReadiness" ref="A5:N33" headerRowCount="1" totalsRowCount="0" totalsRowShown="0">
  <x:autoFilter ref="A5:N33"/>
  <x:tableColumns count="14">
    <x:tableColumn id="1" name="Dish ID"/>
    <x:tableColumn id="2" name="Блюдо"/>
    <x:tableColumn id="3" name="Раздел"/>
    <x:tableColumn id="4" name="Ед. продажи"/>
    <x:tableColumn id="5" name="Выход"/>
    <x:tableColumn id="6" name="Ед."/>
    <x:tableColumn id="7" name="Recipe version"/>
    <x:tableColumn id="8" name="Статус"/>
    <x:tableColumn id="9" name="Safety veto"/>
    <x:tableColumn id="10" name="Complete COGS"/>
    <x:tableColumn id="11" name="Цена"/>
    <x:tableColumn id="12" name="Food cost"/>
    <x:tableColumn id="13" name="Маржа"/>
    <x:tableColumn id="14" name="Blocke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ipeLines" displayName="RecipeLines" ref="A5:P258" headerRowCount="1" totalsRowCount="0" totalsRowShown="0">
  <x:autoFilter ref="A5:P258"/>
  <x:tableColumns count="16">
    <x:tableColumn id="1" name="Line ID"/>
    <x:tableColumn id="2" name="Dish ID"/>
    <x:tableColumn id="3" name="Cost card"/>
    <x:tableColumn id="4" name="Tech card"/>
    <x:tableColumn id="5" name="Версия"/>
    <x:tableColumn id="6" name="Ingredient ID"/>
    <x:tableColumn id="7" name="Ингредиент"/>
    <x:tableColumn id="8" name="Стадия"/>
    <x:tableColumn id="9" name="VSF"/>
    <x:tableColumn id="10" name="Брутто"/>
    <x:tableColumn id="11" name="Ед."/>
    <x:tableColumn id="12" name="Нетто"/>
    <x:tableColumn id="13" name="Вклад в выход"/>
    <x:tableColumn id="14" name="Статус"/>
    <x:tableColumn id="15" name="Evidence"/>
    <x:tableColumn id="16" name="Blocke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miFinished" displayName="SemiFinished" ref="A5:O39" headerRowCount="1" totalsRowCount="0" totalsRowShown="0">
  <x:autoFilter ref="A5:O39"/>
  <x:tableColumns count="15">
    <x:tableColumn id="1" name="VSF"/>
    <x:tableColumn id="2" name="Наименование"/>
    <x:tableColumn id="3" name="Версия"/>
    <x:tableColumn id="4" name="Variant"/>
    <x:tableColumn id="5" name="Variants"/>
    <x:tableColumn id="6" name="Брутто"/>
    <x:tableColumn id="7" name="Нетто"/>
    <x:tableColumn id="8" name="Выход"/>
    <x:tableColumn id="9" name="Ед."/>
    <x:tableColumn id="10" name="Блюда"/>
    <x:tableColumn id="11" name="Child VSF"/>
    <x:tableColumn id="12" name="Статус"/>
    <x:tableColumn id="13" name="Evidence"/>
    <x:tableColumn id="14" name="Blockers"/>
    <x:tableColumn id="15" name="Анти-double-count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miDAG" displayName="SemiDAG" ref="A43:J85" headerRowCount="1" totalsRowCount="0" totalsRowShown="0">
  <x:autoFilter ref="A43:J85"/>
  <x:tableColumns count="10">
    <x:tableColumn id="1" name="Edge"/>
    <x:tableColumn id="2" name="Parent type"/>
    <x:tableColumn id="3" name="Parent"/>
    <x:tableColumn id="4" name="Child"/>
    <x:tableColumn id="5" name="Variant"/>
    <x:tableColumn id="6" name="Qty"/>
    <x:tableColumn id="7" name="Unit"/>
    <x:tableColumn id="8" name="Mapping"/>
    <x:tableColumn id="9" name="Status"/>
    <x:tableColumn id="10" name="Cycle contro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stCards" displayName="CostCards" ref="A5:Q33" headerRowCount="1" totalsRowCount="0" totalsRowShown="0">
  <x:autoFilter ref="A5:Q33"/>
  <x:tableColumns count="17">
    <x:tableColumn id="1" name="Cost card"/>
    <x:tableColumn id="2" name="Dish ID"/>
    <x:tableColumn id="3" name="Блюдо"/>
    <x:tableColumn id="4" name="Выход"/>
    <x:tableColumn id="5" name="Ед."/>
    <x:tableColumn id="6" name="Partial input"/>
    <x:tableColumn id="7" name="Partial formula"/>
    <x:tableColumn id="8" name="Complete food input"/>
    <x:tableColumn id="9" name="Complete food formula"/>
    <x:tableColumn id="10" name="Spoilage"/>
    <x:tableColumn id="11" name="Kitchen COGS"/>
    <x:tableColumn id="12" name="Packaging"/>
    <x:tableColumn id="13" name="Other variable"/>
    <x:tableColumn id="14" name="Complete portion COGS"/>
    <x:tableColumn id="15" name="Missing IDs"/>
    <x:tableColumn id="16" name="Status"/>
    <x:tableColumn id="17" name="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chCards" displayName="TechCards" ref="A5:Q33" headerRowCount="1" totalsRowCount="0" totalsRowShown="0">
  <x:autoFilter ref="A5:Q33"/>
  <x:tableColumns count="17">
    <x:tableColumn id="1" name="Tech card"/>
    <x:tableColumn id="2" name="Dish ID"/>
    <x:tableColumn id="3" name="Блюдо"/>
    <x:tableColumn id="4" name="Версия"/>
    <x:tableColumn id="5" name="Операции"/>
    <x:tableColumn id="6" name="Активное время"/>
    <x:tableColumn id="7" name="Полное время"/>
    <x:tableColumn id="8" name="Подача"/>
    <x:tableColumn id="9" name="Выход"/>
    <x:tableColumn id="10" name="Ед."/>
    <x:tableColumn id="11" name="Safety limits"/>
    <x:tableColumn id="12" name="Safety status"/>
    <x:tableColumn id="13" name="Статус"/>
    <x:tableColumn id="14" name="Evidence"/>
    <x:tableColumn id="15" name="Safety evidence"/>
    <x:tableColumn id="16" name="Blockers"/>
    <x:tableColumn id="17" name="Valid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awPrices" displayName="RawPrices" ref="A5:M118" headerRowCount="1" totalsRowCount="0" totalsRowShown="0">
  <x:autoFilter ref="A5:M118"/>
  <x:tableColumns count="13">
    <x:tableColumn id="1" name="Ingredient ID"/>
    <x:tableColumn id="2" name="Ингредиент"/>
    <x:tableColumn id="3" name="Usage g"/>
    <x:tableColumn id="4" name="SKU critical"/>
    <x:tableColumn id="5" name="Selected RUB/kg"/>
    <x:tableColumn id="6" name="Basis"/>
    <x:tableColumn id="7" name="Obs."/>
    <x:tableColumn id="8" name="Source IDs"/>
    <x:tableColumn id="9" name="As of"/>
    <x:tableColumn id="10" name="Status"/>
    <x:tableColumn id="11" name="Confidence"/>
    <x:tableColumn id="12" name="Owner"/>
    <x:tableColumn id="13" name="Next a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cceptedPriceSources" displayName="AcceptedPriceSources" ref="A122:M168" headerRowCount="1" totalsRowCount="0" totalsRowShown="0">
  <x:autoFilter ref="A122:M168"/>
  <x:tableColumns count="13">
    <x:tableColumn id="1" name="Source ID"/>
    <x:tableColumn id="2" name="Ingredient ID"/>
    <x:tableColumn id="3" name="Ингредиент"/>
    <x:tableColumn id="4" name="Продукт"/>
    <x:tableColumn id="5" name="Поставщик"/>
    <x:tableColumn id="6" name="Pack qty"/>
    <x:tableColumn id="7" name="Unit"/>
    <x:tableColumn id="8" name="Pack RUB"/>
    <x:tableColumn id="9" name="RUB/kg"/>
    <x:tableColumn id="10" name="Date"/>
    <x:tableColumn id="11" name="URL"/>
    <x:tableColumn id="12" name="Selected"/>
    <x:tableColumn id="13" name="Review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annelPricing" displayName="ChannelPricing" ref="A5:P106" headerRowCount="1" totalsRowCount="0" totalsRowShown="0">
  <x:autoFilter ref="A5:P106"/>
  <x:tableColumns count="16">
    <x:tableColumn id="1" name="Dish ID"/>
    <x:tableColumn id="2" name="Блюдо"/>
    <x:tableColumn id="3" name="Канал"/>
    <x:tableColumn id="4" name="Target COGS"/>
    <x:tableColumn id="5" name="Kitchen COGS"/>
    <x:tableColumn id="6" name="Packaging"/>
    <x:tableColumn id="7" name="Commission"/>
    <x:tableColumn id="8" name="Tax"/>
    <x:tableColumn id="9" name="Project price"/>
    <x:tableColumn id="10" name="Food cost"/>
    <x:tableColumn id="11" name="Gross margin"/>
    <x:tableColumn id="12" name="Contribution"/>
    <x:tableColumn id="13" name="Status"/>
    <x:tableColumn id="14" name="Method"/>
    <x:tableColumn id="15" name="Source"/>
    <x:tableColumn id="16" name="Blocker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ourceCards" displayName="ResourceCards" ref="A5:N33" headerRowCount="1" totalsRowCount="0" totalsRowShown="0">
  <x:autoFilter ref="A5:N33"/>
  <x:tableColumns count="14">
    <x:tableColumn id="1" name="Resource ID"/>
    <x:tableColumn id="2" name="Dish ID"/>
    <x:tableColumn id="3" name="Блюдо"/>
    <x:tableColumn id="4" name="Зона"/>
    <x:tableColumn id="5" name="Ops"/>
    <x:tableColumn id="6" name="Mapped"/>
    <x:tableColumn id="7" name="Functions"/>
    <x:tableColumn id="8" name="Conditional"/>
    <x:tableColumn id="9" name="Active min"/>
    <x:tableColumn id="10" name="Total min"/>
    <x:tableColumn id="11" name="Capacity"/>
    <x:tableColumn id="12" name="Availability"/>
    <x:tableColumn id="13" name="Connections"/>
    <x:tableColumn id="14" name="Blocker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quipmentMappings" displayName="EquipmentMappings" ref="A37:N192" headerRowCount="1" totalsRowCount="0" totalsRowShown="0">
  <x:autoFilter ref="A37:N192"/>
  <x:tableColumns count="14">
    <x:tableColumn id="1" name="Mapping"/>
    <x:tableColumn id="2" name="Dish ID"/>
    <x:tableColumn id="3" name="Блюдо"/>
    <x:tableColumn id="4" name="Op"/>
    <x:tableColumn id="5" name="Операция"/>
    <x:tableColumn id="6" name="Functions"/>
    <x:tableColumn id="7" name="Equipment/function"/>
    <x:tableColumn id="8" name="CAPEX"/>
    <x:tableColumn id="9" name="Role"/>
    <x:tableColumn id="10" name="Min"/>
    <x:tableColumn id="11" name="Passport cap."/>
    <x:tableColumn id="12" name="Capacity"/>
    <x:tableColumn id="13" name="Status"/>
    <x:tableColumn id="14" name="Blocker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nventoryTableware" displayName="InventoryTableware" ref="A5:P33" headerRowCount="1" totalsRowCount="0" totalsRowShown="0">
  <x:autoFilter ref="A5:P33"/>
  <x:tableColumns count="16">
    <x:tableColumn id="1" name="Dish ID"/>
    <x:tableColumn id="2" name="Блюдо"/>
    <x:tableColumn id="3" name="Inventory set"/>
    <x:tableColumn id="4" name="Инвентарь"/>
    <x:tableColumn id="5" name="Functions"/>
    <x:tableColumn id="6" name="Required qty"/>
    <x:tableColumn id="7" name="Qty status"/>
    <x:tableColumn id="8" name="Inv status"/>
    <x:tableColumn id="9" name="Evidence"/>
    <x:tableColumn id="10" name="Inv blockers"/>
    <x:tableColumn id="11" name="Tableware set"/>
    <x:tableColumn id="12" name="Посуда / упаковка"/>
    <x:tableColumn id="13" name="Historical SKU"/>
    <x:tableColumn id="14" name="Pieces/service"/>
    <x:tableColumn id="15" name="Start qty"/>
    <x:tableColumn id="16" name="TW 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afetyCards" displayName="SafetyCards" ref="A5:O33" headerRowCount="1" totalsRowCount="0" totalsRowShown="0">
  <x:autoFilter ref="A5:O33"/>
  <x:tableColumns count="15">
    <x:tableColumn id="1" name="Safety card"/>
    <x:tableColumn id="2" name="Dish ID"/>
    <x:tableColumn id="3" name="Блюдо"/>
    <x:tableColumn id="4" name="Source recipe version"/>
    <x:tableColumn id="5" name="Temp limit"/>
    <x:tableColumn id="6" name="Cooling limit"/>
    <x:tableColumn id="7" name="Reheat limit"/>
    <x:tableColumn id="8" name="Shelf life"/>
    <x:tableColumn id="9" name="Status"/>
    <x:tableColumn id="10" name="Veto"/>
    <x:tableColumn id="11" name="Allergens draft"/>
    <x:tableColumn id="12" name="Cross contact"/>
    <x:tableColumn id="13" name="Evidence"/>
    <x:tableColumn id="14" name="Veto reason"/>
    <x:tableColumn id="15" name="Next act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Nutrition" displayName="Nutrition" ref="A5:Q33" headerRowCount="1" totalsRowCount="0" totalsRowShown="0">
  <x:autoFilter ref="A5:Q33"/>
  <x:tableColumns count="17">
    <x:tableColumn id="1" name="Nutrition ID"/>
    <x:tableColumn id="2" name="Dish ID"/>
    <x:tableColumn id="3" name="Блюдо"/>
    <x:tableColumn id="4" name="Portion g"/>
    <x:tableColumn id="5" name="Protein/output"/>
    <x:tableColumn id="6" name="Fat/output"/>
    <x:tableColumn id="7" name="Carbs/output"/>
    <x:tableColumn id="8" name="Kcal/output"/>
    <x:tableColumn id="9" name="Protein/100g"/>
    <x:tableColumn id="10" name="Fat/100g"/>
    <x:tableColumn id="11" name="Carbs/100g"/>
    <x:tableColumn id="12" name="Kcal/100g"/>
    <x:tableColumn id="13" name="Lab"/>
    <x:tableColumn id="14" name="Status"/>
    <x:tableColumn id="15" name="Evidence"/>
    <x:tableColumn id="16" name="Blockers"/>
    <x:tableColumn id="17" name="Next actio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hefQuestions" displayName="ChefQuestions" ref="A5:N149" headerRowCount="1" totalsRowCount="0" totalsRowShown="0">
  <x:autoFilter ref="A5:N149"/>
  <x:tableColumns count="14">
    <x:tableColumn id="1" name="Question ID"/>
    <x:tableColumn id="2" name="Dish ID"/>
    <x:tableColumn id="3" name="Блюдо"/>
    <x:tableColumn id="4" name="Тип"/>
    <x:tableColumn id="5" name="Вопрос"/>
    <x:tableColumn id="6" name="Статус"/>
    <x:tableColumn id="7" name="Owner"/>
    <x:tableColumn id="8" name="Impact"/>
    <x:tableColumn id="9" name="Evidence"/>
    <x:tableColumn id="10" name="Blockers"/>
    <x:tableColumn id="11" name="Checkpoint"/>
    <x:tableColumn id="12" name="Ответ"/>
    <x:tableColumn id="13" name="Дата ответа"/>
    <x:tableColumn id="14" name="Raised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Approvals" displayName="Approvals" ref="A5:L33" headerRowCount="1" totalsRowCount="0" totalsRowShown="0">
  <x:autoFilter ref="A5:L33"/>
  <x:tableColumns count="12">
    <x:tableColumn id="1" name="Dish ID"/>
    <x:tableColumn id="2" name="Блюдо"/>
    <x:tableColumn id="3" name="Recipe version"/>
    <x:tableColumn id="4" name="Current status"/>
    <x:tableColumn id="5" name="Safety veto"/>
    <x:tableColumn id="6" name="Chef decision"/>
    <x:tableColumn id="7" name="Chef date"/>
    <x:tableColumn id="8" name="Owner decision"/>
    <x:tableColumn id="9" name="Owner date"/>
    <x:tableColumn id="10" name="Approval status"/>
    <x:tableColumn id="11" name="Open conflicts"/>
    <x:tableColumn id="12" name="Change contro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ontrolCook" displayName="ControlCook" ref="A5:P33" headerRowCount="1" totalsRowCount="0" totalsRowShown="0">
  <x:autoFilter ref="A5:P33"/>
  <x:tableColumns count="16">
    <x:tableColumn id="1" name="Plan ID"/>
    <x:tableColumn id="2" name="Dish ID"/>
    <x:tableColumn id="3" name="Блюдо"/>
    <x:tableColumn id="4" name="Recipe version"/>
    <x:tableColumn id="5" name="Draft batch"/>
    <x:tableColumn id="6" name="Unit"/>
    <x:tableColumn id="7" name="Draft output"/>
    <x:tableColumn id="8" name="Out unit"/>
    <x:tableColumn id="9" name="Execution"/>
    <x:tableColumn id="10" name="Actual gross"/>
    <x:tableColumn id="11" name="Actual net"/>
    <x:tableColumn id="12" name="Actual output"/>
    <x:tableColumn id="13" name="Actual active min"/>
    <x:tableColumn id="14" name="Decision"/>
    <x:tableColumn id="15" name="Blockers"/>
    <x:tableColumn id="16" name="Next action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GateDChecks" displayName="GateDChecks" ref="A5:G20" headerRowCount="1" totalsRowCount="0" totalsRowShown="0">
  <x:tableColumns count="7">
    <x:tableColumn id="1" name="Check ID"/>
    <x:tableColumn id="2" name="Assertion"/>
    <x:tableColumn id="3" name="Expected"/>
    <x:tableColumn id="4" name="Actual"/>
    <x:tableColumn id="5" name="Delta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UnifiedSources" displayName="UnifiedSources" ref="A5:M118" headerRowCount="1" totalsRowCount="0" totalsRowShown="0">
  <x:autoFilter ref="A5:M118"/>
  <x:tableColumns count="13">
    <x:tableColumn id="1" name="Source/Evidence ID"/>
    <x:tableColumn id="2" name="Type"/>
    <x:tableColumn id="3" name="Title / parameter"/>
    <x:tableColumn id="4" name="Locator / URL"/>
    <x:tableColumn id="5" name="Issuer / class"/>
    <x:tableColumn id="6" name="Version / date"/>
    <x:tableColumn id="7" name="Status"/>
    <x:tableColumn id="8" name="Allowed use"/>
    <x:tableColumn id="9" name="Limitations / prohibited"/>
    <x:tableColumn id="10" name="Owner"/>
    <x:tableColumn id="11" name="Linked source/entity"/>
    <x:tableColumn id="12" name="Scope/name"/>
    <x:tableColumn id="13" name="Gap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4198e5c27c4e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09bbdeb9ef40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2d97270dbc42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af9ea30a3e54111" /><Relationship Type="http://schemas.openxmlformats.org/officeDocument/2006/relationships/table" Target="/xl/tables/table5.xml" Id="R3eb93dc5b8a740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78421228946e4a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2cd3aeae63fd46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9565352a3dfb4c9a" /><Relationship Type="http://schemas.openxmlformats.org/officeDocument/2006/relationships/table" Target="/xl/tables/table9.xml" Id="Rf3c126b7a64747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2c818d4df4c24c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2ac5d831ddbb43d2" /><Relationship Type="http://schemas.openxmlformats.org/officeDocument/2006/relationships/table" Target="/xl/tables/table12.xml" Id="R4f2788c03c934fc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3.xml" Id="R4c321da9783745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4.xml" Id="R0b71fd65eb424ff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9d9f3d6826174aa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10a4025a6c97454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36c7198ba85f41f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8.xml" Id="R70e170f045e6421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9.xml" Id="Rd15fe654152542d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0.xml" Id="Ra8b40d895dec45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6" hidden="0" customWidth="1"/>
    <x:col min="3" max="3" width="18" hidden="0" customWidth="1"/>
    <x:col min="4" max="4" width="18" hidden="0" customWidth="1"/>
    <x:col min="5" max="5" width="24" hidden="0" customWidth="1"/>
    <x:col min="6" max="6" width="14" hidden="0" customWidth="1"/>
    <x:col min="7" max="7" width="25" hidden="0" customWidth="1"/>
    <x:col min="8" max="8" width="25" hidden="0" customWidth="1"/>
    <x:col min="9" max="9" width="22" hidden="0" customWidth="1"/>
    <x:col min="10" max="10" width="42" hidden="0" customWidth="1"/>
  </x:cols>
  <x:sheetData>
    <x:row r="1" ht="30" customHeight="1">
      <x:c r="A1" s="26" t="str">
        <x:v>ВАРШАВКА — меню, калькуляции и технологические карты</x:v>
      </x:c>
      <x:c r="B1" s="26"/>
      <x:c r="C1" s="26"/>
      <x:c r="D1" s="26"/>
      <x:c r="E1" s="26"/>
      <x:c r="F1" s="26"/>
      <x:c r="G1" s="26"/>
      <x:c r="H1" s="26"/>
      <x:c r="I1" s="26"/>
      <x:c r="J1" s="27"/>
    </x:row>
    <x:row r="2" ht="27" customHeight="1">
      <x:c r="A2" s="28" t="str">
        <x:v>Контролируемый draft v2.0.0 · Gate C PASS_WITH_CONDITIONS · не является утверждённым производственным документом</x:v>
      </x:c>
      <x:c r="B2" s="28"/>
      <x:c r="C2" s="28"/>
      <x:c r="D2" s="28"/>
      <x:c r="E2" s="28"/>
      <x:c r="F2" s="28"/>
      <x:c r="G2" s="28"/>
      <x:c r="H2" s="28"/>
      <x:c r="I2" s="28"/>
      <x:c r="J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>
      <x:c r="A4" s="29" t="str">
        <x:v>Параметр</x:v>
      </x:c>
      <x:c r="B4" s="29" t="str">
        <x:v>Значение</x:v>
      </x:c>
      <x:c r="C4" s="27"/>
      <x:c r="D4" s="27"/>
      <x:c r="E4" s="27"/>
      <x:c r="F4" s="27"/>
      <x:c r="G4" s="27"/>
      <x:c r="H4" s="27"/>
      <x:c r="I4" s="27"/>
      <x:c r="J4" s="27"/>
    </x:row>
    <x:row r="5">
      <x:c r="A5" s="30" t="str">
        <x:v>Версия</x:v>
      </x:c>
      <x:c r="B5" s="30" t="str">
        <x:v>2.0.0-DRAFT</x:v>
      </x:c>
      <x:c r="C5" s="27"/>
      <x:c r="D5" s="27"/>
      <x:c r="E5" s="27"/>
      <x:c r="F5" s="27"/>
      <x:c r="G5" s="27"/>
      <x:c r="H5" s="27"/>
      <x:c r="I5" s="27"/>
      <x:c r="J5" s="27"/>
    </x:row>
    <x:row r="6">
      <x:c r="A6" s="30" t="str">
        <x:v>Дата среза</x:v>
      </x:c>
      <x:c r="B6" s="30" t="str">
        <x:v>2026-08-03</x:v>
      </x:c>
      <x:c r="C6" s="27"/>
      <x:c r="D6" s="27"/>
      <x:c r="E6" s="27"/>
      <x:c r="F6" s="27"/>
      <x:c r="G6" s="27"/>
      <x:c r="H6" s="27"/>
      <x:c r="I6" s="27"/>
      <x:c r="J6" s="27"/>
    </x:row>
    <x:row r="7">
      <x:c r="A7" s="30" t="str">
        <x:v>Scope</x:v>
      </x:c>
      <x:c r="B7" s="30" t="str">
        <x:v>VKM-001…025, VKM-029…031 (28)</x:v>
      </x:c>
      <x:c r="C7" s="27"/>
      <x:c r="D7" s="27"/>
      <x:c r="E7" s="27"/>
      <x:c r="F7" s="27"/>
      <x:c r="G7" s="27"/>
      <x:c r="H7" s="27"/>
      <x:c r="I7" s="27"/>
      <x:c r="J7" s="27"/>
    </x:row>
    <x:row r="8">
      <x:c r="A8" s="30" t="str">
        <x:v>Исключено</x:v>
      </x:c>
      <x:c r="B8" s="30" t="str">
        <x:v>VKM-026…028</x:v>
      </x:c>
      <x:c r="C8" s="27"/>
      <x:c r="D8" s="27"/>
      <x:c r="E8" s="27"/>
      <x:c r="F8" s="27"/>
      <x:c r="G8" s="27"/>
      <x:c r="H8" s="27"/>
      <x:c r="I8" s="27"/>
      <x:c r="J8" s="27"/>
    </x:row>
    <x:row r="9">
      <x:c r="A9" s="30" t="str">
        <x:v>Экономика</x:v>
      </x:c>
      <x:c r="B9" s="30" t="str">
        <x:v>HOF-0005 v0.2.1: 46 accepted / 22 rejected</x:v>
      </x:c>
      <x:c r="C9" s="27"/>
      <x:c r="D9" s="27"/>
      <x:c r="E9" s="27"/>
      <x:c r="F9" s="27"/>
      <x:c r="G9" s="27"/>
      <x:c r="H9" s="27"/>
      <x:c r="I9" s="27"/>
      <x:c r="J9" s="27"/>
    </x:row>
    <x:row r="10">
      <x:c r="A10" s="30" t="str">
        <x:v>Статус</x:v>
      </x:c>
      <x:c r="B10" s="30" t="str">
        <x:v>DRAFT / PASS_WITH_CONDITIONS</x:v>
      </x:c>
      <x:c r="C10" s="27"/>
      <x:c r="D10" s="27"/>
      <x:c r="E10" s="27"/>
      <x:c r="F10" s="27"/>
      <x:c r="G10" s="27"/>
      <x:c r="H10" s="27"/>
      <x:c r="I10" s="27"/>
      <x:c r="J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</x:row>
    <x:row r="12" ht="34" customHeight="1">
      <x:c r="A12" s="31" t="str">
        <x:v>Dish ID</x:v>
      </x:c>
      <x:c r="B12" s="31" t="str">
        <x:v>Блюдо</x:v>
      </x:c>
      <x:c r="C12" s="31" t="str">
        <x:v>Раздел</x:v>
      </x:c>
      <x:c r="D12" s="31" t="str">
        <x:v>Recipe version</x:v>
      </x:c>
      <x:c r="E12" s="31" t="str">
        <x:v>Dish status</x:v>
      </x:c>
      <x:c r="F12" s="31" t="str">
        <x:v>Safety veto</x:v>
      </x:c>
      <x:c r="G12" s="31" t="str">
        <x:v>Cost status</x:v>
      </x:c>
      <x:c r="H12" s="31" t="str">
        <x:v>Nutrition status</x:v>
      </x:c>
      <x:c r="I12" s="31" t="str">
        <x:v>Gate C</x:v>
      </x:c>
      <x:c r="J12" s="31" t="str">
        <x:v>Blockers</x:v>
      </x:c>
    </x:row>
    <x:row r="13">
      <x:c r="A13" s="32" t="str">
        <x:v>VKM-001</x:v>
      </x:c>
      <x:c r="B13" s="32" t="str">
        <x:v>Маргарита</x:v>
      </x:c>
      <x:c r="C13" s="32" t="str">
        <x:v>Пицца</x:v>
      </x:c>
      <x:c r="D13" s="32" t="str">
        <x:v>0.1.0-DRAFT</x:v>
      </x:c>
      <x:c r="E13" s="32" t="str">
        <x:v>DRAFT_WITH_ASSUMPTIONS</x:v>
      </x:c>
      <x:c r="F13" s="32" t="str">
        <x:v>BLOCK</x:v>
      </x:c>
      <x:c r="G13" s="32" t="str">
        <x:v>BLOCKED_PENDING_VALIDATION</x:v>
      </x:c>
      <x:c r="H13" s="32" t="str">
        <x:v>BLOCKED_PENDING_VALIDATION</x:v>
      </x:c>
      <x:c r="I13" s="32" t="str">
        <x:v>PASS_WITH_CONDITIONS</x:v>
      </x:c>
      <x:c r="J13" s="32" t="str">
        <x:v>INT-C-002;INT-C-004;INT-C-005;INT-C-006;INT-C-007;INT-C-008</x:v>
      </x:c>
    </x:row>
    <x:row r="14">
      <x:c r="A14" s="32" t="str">
        <x:v>VKM-002</x:v>
      </x:c>
      <x:c r="B14" s="32" t="str">
        <x:v>Четыре сыра</x:v>
      </x:c>
      <x:c r="C14" s="32" t="str">
        <x:v>Пицца</x:v>
      </x:c>
      <x:c r="D14" s="32" t="str">
        <x:v>0.1.0-DRAFT</x:v>
      </x:c>
      <x:c r="E14" s="32" t="str">
        <x:v>DRAFT_WITH_ASSUMPTIONS</x:v>
      </x:c>
      <x:c r="F14" s="32" t="str">
        <x:v>BLOCK</x:v>
      </x:c>
      <x:c r="G14" s="32" t="str">
        <x:v>BLOCKED_PENDING_VALIDATION</x:v>
      </x:c>
      <x:c r="H14" s="32" t="str">
        <x:v>BLOCKED_PENDING_VALIDATION</x:v>
      </x:c>
      <x:c r="I14" s="32" t="str">
        <x:v>PASS_WITH_CONDITIONS</x:v>
      </x:c>
      <x:c r="J14" s="32" t="str">
        <x:v>INT-C-002;INT-C-004;INT-C-005;INT-C-006;INT-C-007;INT-C-008</x:v>
      </x:c>
    </x:row>
    <x:row r="15">
      <x:c r="A15" s="32" t="str">
        <x:v>VKM-003</x:v>
      </x:c>
      <x:c r="B15" s="32" t="str">
        <x:v>Грибная с ветчиной</x:v>
      </x:c>
      <x:c r="C15" s="32" t="str">
        <x:v>Пицца</x:v>
      </x:c>
      <x:c r="D15" s="32" t="str">
        <x:v>0.1.0-DRAFT</x:v>
      </x:c>
      <x:c r="E15" s="32" t="str">
        <x:v>DRAFT_WITH_ASSUMPTIONS</x:v>
      </x:c>
      <x:c r="F15" s="32" t="str">
        <x:v>BLOCK</x:v>
      </x:c>
      <x:c r="G15" s="32" t="str">
        <x:v>BLOCKED_PENDING_VALIDATION</x:v>
      </x:c>
      <x:c r="H15" s="32" t="str">
        <x:v>BLOCKED_PENDING_VALIDATION</x:v>
      </x:c>
      <x:c r="I15" s="32" t="str">
        <x:v>PASS_WITH_CONDITIONS</x:v>
      </x:c>
      <x:c r="J15" s="32" t="str">
        <x:v>INT-C-002;INT-C-004;INT-C-005;INT-C-006;INT-C-007;INT-C-008</x:v>
      </x:c>
    </x:row>
    <x:row r="16">
      <x:c r="A16" s="32" t="str">
        <x:v>VKM-004</x:v>
      </x:c>
      <x:c r="B16" s="32" t="str">
        <x:v>Пепперони</x:v>
      </x:c>
      <x:c r="C16" s="32" t="str">
        <x:v>Пицца</x:v>
      </x:c>
      <x:c r="D16" s="32" t="str">
        <x:v>0.1.0-DRAFT</x:v>
      </x:c>
      <x:c r="E16" s="32" t="str">
        <x:v>DRAFT_WITH_ASSUMPTIONS</x:v>
      </x:c>
      <x:c r="F16" s="32" t="str">
        <x:v>BLOCK</x:v>
      </x:c>
      <x:c r="G16" s="32" t="str">
        <x:v>BLOCKED_PENDING_VALIDATION</x:v>
      </x:c>
      <x:c r="H16" s="32" t="str">
        <x:v>BLOCKED_PENDING_VALIDATION</x:v>
      </x:c>
      <x:c r="I16" s="32" t="str">
        <x:v>PASS_WITH_CONDITIONS</x:v>
      </x:c>
      <x:c r="J16" s="32" t="str">
        <x:v>INT-C-002;INT-C-004;INT-C-005;INT-C-006;INT-C-007;INT-C-008</x:v>
      </x:c>
    </x:row>
    <x:row r="17">
      <x:c r="A17" s="32" t="str">
        <x:v>VKM-005</x:v>
      </x:c>
      <x:c r="B17" s="32" t="str">
        <x:v>Белая чиабатта</x:v>
      </x:c>
      <x:c r="C17" s="32" t="str">
        <x:v>Хлеб</x:v>
      </x:c>
      <x:c r="D17" s="32" t="str">
        <x:v>0.1.0-DRAFT</x:v>
      </x:c>
      <x:c r="E17" s="32" t="str">
        <x:v>DRAFT_WITH_ASSUMPTIONS</x:v>
      </x:c>
      <x:c r="F17" s="32" t="str">
        <x:v>BLOCK</x:v>
      </x:c>
      <x:c r="G17" s="32" t="str">
        <x:v>BLOCKED_PENDING_VALIDATION</x:v>
      </x:c>
      <x:c r="H17" s="32" t="str">
        <x:v>BLOCKED_PENDING_VALIDATION</x:v>
      </x:c>
      <x:c r="I17" s="32" t="str">
        <x:v>PASS_WITH_CONDITIONS</x:v>
      </x:c>
      <x:c r="J17" s="32" t="str">
        <x:v>INT-C-002;INT-C-004;INT-C-005;INT-C-006;INT-C-007;INT-C-003</x:v>
      </x:c>
    </x:row>
    <x:row r="18">
      <x:c r="A18" s="32" t="str">
        <x:v>VKM-006</x:v>
      </x:c>
      <x:c r="B18" s="32" t="str">
        <x:v>Томатная чиабатта</x:v>
      </x:c>
      <x:c r="C18" s="32" t="str">
        <x:v>Хлеб</x:v>
      </x:c>
      <x:c r="D18" s="32" t="str">
        <x:v>0.1.0-DRAFT</x:v>
      </x:c>
      <x:c r="E18" s="32" t="str">
        <x:v>DRAFT_WITH_ASSUMPTIONS</x:v>
      </x:c>
      <x:c r="F18" s="32" t="str">
        <x:v>BLOCK</x:v>
      </x:c>
      <x:c r="G18" s="32" t="str">
        <x:v>BLOCKED_PENDING_VALIDATION</x:v>
      </x:c>
      <x:c r="H18" s="32" t="str">
        <x:v>BLOCKED_PENDING_VALIDATION</x:v>
      </x:c>
      <x:c r="I18" s="32" t="str">
        <x:v>PASS_WITH_CONDITIONS</x:v>
      </x:c>
      <x:c r="J18" s="32" t="str">
        <x:v>INT-C-002;INT-C-004;INT-C-005;INT-C-006;INT-C-007;INT-C-003</x:v>
      </x:c>
    </x:row>
    <x:row r="19">
      <x:c r="A19" s="32" t="str">
        <x:v>VKM-007</x:v>
      </x:c>
      <x:c r="B19" s="32" t="str">
        <x:v>Бородинский хлеб</x:v>
      </x:c>
      <x:c r="C19" s="32" t="str">
        <x:v>Хлеб</x:v>
      </x:c>
      <x:c r="D19" s="32" t="str">
        <x:v>0.1.0-DRAFT</x:v>
      </x:c>
      <x:c r="E19" s="32" t="str">
        <x:v>DRAFT_WITH_ASSUMPTIONS</x:v>
      </x:c>
      <x:c r="F19" s="32" t="str">
        <x:v>BLOCK</x:v>
      </x:c>
      <x:c r="G19" s="32" t="str">
        <x:v>BLOCKED_PENDING_VALIDATION</x:v>
      </x:c>
      <x:c r="H19" s="32" t="str">
        <x:v>BLOCKED_PENDING_VALIDATION</x:v>
      </x:c>
      <x:c r="I19" s="32" t="str">
        <x:v>PASS_WITH_CONDITIONS</x:v>
      </x:c>
      <x:c r="J19" s="32" t="str">
        <x:v>INT-C-002;INT-C-004;INT-C-005;INT-C-006;INT-C-007;INT-C-003</x:v>
      </x:c>
    </x:row>
    <x:row r="20">
      <x:c r="A20" s="32" t="str">
        <x:v>VKM-008</x:v>
      </x:c>
      <x:c r="B20" s="32" t="str">
        <x:v>Бриошь</x:v>
      </x:c>
      <x:c r="C20" s="32" t="str">
        <x:v>Хлеб</x:v>
      </x:c>
      <x:c r="D20" s="32" t="str">
        <x:v>0.1.0-DRAFT</x:v>
      </x:c>
      <x:c r="E20" s="32" t="str">
        <x:v>DRAFT_WITH_ASSUMPTIONS</x:v>
      </x:c>
      <x:c r="F20" s="32" t="str">
        <x:v>BLOCK</x:v>
      </x:c>
      <x:c r="G20" s="32" t="str">
        <x:v>BLOCKED_PENDING_VALIDATION</x:v>
      </x:c>
      <x:c r="H20" s="32" t="str">
        <x:v>BLOCKED_PENDING_VALIDATION</x:v>
      </x:c>
      <x:c r="I20" s="32" t="str">
        <x:v>PASS_WITH_CONDITIONS</x:v>
      </x:c>
      <x:c r="J20" s="32" t="str">
        <x:v>INT-C-002;INT-C-004;INT-C-005;INT-C-006;INT-C-007;INT-C-003</x:v>
      </x:c>
    </x:row>
    <x:row r="21">
      <x:c r="A21" s="32" t="str">
        <x:v>VKM-009</x:v>
      </x:c>
      <x:c r="B21" s="32" t="str">
        <x:v>Буррата с томатами</x:v>
      </x:c>
      <x:c r="C21" s="32" t="str">
        <x:v>Салаты</x:v>
      </x:c>
      <x:c r="D21" s="32" t="str">
        <x:v>0.1.0-DRAFT</x:v>
      </x:c>
      <x:c r="E21" s="32" t="str">
        <x:v>DRAFT_WITH_ASSUMPTIONS</x:v>
      </x:c>
      <x:c r="F21" s="32" t="str">
        <x:v>BLOCK</x:v>
      </x:c>
      <x:c r="G21" s="32" t="str">
        <x:v>BLOCKED_PENDING_VALIDATION</x:v>
      </x:c>
      <x:c r="H21" s="32" t="str">
        <x:v>BLOCKED_PENDING_VALIDATION</x:v>
      </x:c>
      <x:c r="I21" s="32" t="str">
        <x:v>PASS_WITH_CONDITIONS</x:v>
      </x:c>
      <x:c r="J21" s="32" t="str">
        <x:v>INT-C-002;INT-C-004;INT-C-005;INT-C-006;INT-C-007</x:v>
      </x:c>
    </x:row>
    <x:row r="22">
      <x:c r="A22" s="32" t="str">
        <x:v>VKM-010</x:v>
      </x:c>
      <x:c r="B22" s="32" t="str">
        <x:v>Микс-салат с креветками и яблоком</x:v>
      </x:c>
      <x:c r="C22" s="32" t="str">
        <x:v>Салаты</x:v>
      </x:c>
      <x:c r="D22" s="32" t="str">
        <x:v>0.1.0-DRAFT</x:v>
      </x:c>
      <x:c r="E22" s="32" t="str">
        <x:v>DRAFT_WITH_ASSUMPTIONS</x:v>
      </x:c>
      <x:c r="F22" s="32" t="str">
        <x:v>BLOCK</x:v>
      </x:c>
      <x:c r="G22" s="32" t="str">
        <x:v>BLOCKED_PENDING_VALIDATION</x:v>
      </x:c>
      <x:c r="H22" s="32" t="str">
        <x:v>BLOCKED_PENDING_VALIDATION</x:v>
      </x:c>
      <x:c r="I22" s="32" t="str">
        <x:v>PASS_WITH_CONDITIONS</x:v>
      </x:c>
      <x:c r="J22" s="32" t="str">
        <x:v>INT-C-002;INT-C-004;INT-C-005;INT-C-006;INT-C-007</x:v>
      </x:c>
    </x:row>
    <x:row r="23">
      <x:c r="A23" s="32" t="str">
        <x:v>VKM-011</x:v>
      </x:c>
      <x:c r="B23" s="32" t="str">
        <x:v>Греческий</x:v>
      </x:c>
      <x:c r="C23" s="32" t="str">
        <x:v>Салаты</x:v>
      </x:c>
      <x:c r="D23" s="32" t="str">
        <x:v>0.1.0-DRAFT</x:v>
      </x:c>
      <x:c r="E23" s="32" t="str">
        <x:v>DRAFT_WITH_ASSUMPTIONS</x:v>
      </x:c>
      <x:c r="F23" s="32" t="str">
        <x:v>BLOCK</x:v>
      </x:c>
      <x:c r="G23" s="32" t="str">
        <x:v>BLOCKED_PENDING_VALIDATION</x:v>
      </x:c>
      <x:c r="H23" s="32" t="str">
        <x:v>BLOCKED_PENDING_VALIDATION</x:v>
      </x:c>
      <x:c r="I23" s="32" t="str">
        <x:v>PASS_WITH_CONDITIONS</x:v>
      </x:c>
      <x:c r="J23" s="32" t="str">
        <x:v>INT-C-002;INT-C-004;INT-C-005;INT-C-006;INT-C-007</x:v>
      </x:c>
    </x:row>
    <x:row r="24">
      <x:c r="A24" s="32" t="str">
        <x:v>VKM-012</x:v>
      </x:c>
      <x:c r="B24" s="32" t="str">
        <x:v>Винегрет</x:v>
      </x:c>
      <x:c r="C24" s="32" t="str">
        <x:v>Салаты</x:v>
      </x:c>
      <x:c r="D24" s="32" t="str">
        <x:v>0.1.0-DRAFT</x:v>
      </x:c>
      <x:c r="E24" s="32" t="str">
        <x:v>DRAFT_WITH_ASSUMPTIONS</x:v>
      </x:c>
      <x:c r="F24" s="32" t="str">
        <x:v>BLOCK</x:v>
      </x:c>
      <x:c r="G24" s="32" t="str">
        <x:v>BLOCKED_PENDING_VALIDATION</x:v>
      </x:c>
      <x:c r="H24" s="32" t="str">
        <x:v>BLOCKED_PENDING_VALIDATION</x:v>
      </x:c>
      <x:c r="I24" s="32" t="str">
        <x:v>PASS_WITH_CONDITIONS</x:v>
      </x:c>
      <x:c r="J24" s="32" t="str">
        <x:v>INT-C-002;INT-C-004;INT-C-005;INT-C-006;INT-C-007</x:v>
      </x:c>
    </x:row>
    <x:row r="25">
      <x:c r="A25" s="32" t="str">
        <x:v>VKM-013</x:v>
      </x:c>
      <x:c r="B25" s="32" t="str">
        <x:v>Слабосолёный лосось</x:v>
      </x:c>
      <x:c r="C25" s="32" t="str">
        <x:v>Холодные закуски</x:v>
      </x:c>
      <x:c r="D25" s="32" t="str">
        <x:v>0.1.0-DRAFT</x:v>
      </x:c>
      <x:c r="E25" s="32" t="str">
        <x:v>DRAFT_WITH_ASSUMPTIONS</x:v>
      </x:c>
      <x:c r="F25" s="32" t="str">
        <x:v>BLOCK</x:v>
      </x:c>
      <x:c r="G25" s="32" t="str">
        <x:v>BLOCKED_PENDING_VALIDATION</x:v>
      </x:c>
      <x:c r="H25" s="32" t="str">
        <x:v>BLOCKED_PENDING_VALIDATION</x:v>
      </x:c>
      <x:c r="I25" s="32" t="str">
        <x:v>PASS_WITH_CONDITIONS</x:v>
      </x:c>
      <x:c r="J25" s="32" t="str">
        <x:v>INT-C-002;INT-C-004;INT-C-005;INT-C-006;INT-C-007;INT-C-008</x:v>
      </x:c>
    </x:row>
    <x:row r="26">
      <x:c r="A26" s="32" t="str">
        <x:v>VKM-014</x:v>
      </x:c>
      <x:c r="B26" s="32" t="str">
        <x:v>Сельдь с запечённым картофелем</x:v>
      </x:c>
      <x:c r="C26" s="32" t="str">
        <x:v>Холодные закуски</x:v>
      </x:c>
      <x:c r="D26" s="32" t="str">
        <x:v>0.1.0-DRAFT</x:v>
      </x:c>
      <x:c r="E26" s="32" t="str">
        <x:v>DRAFT_WITH_ASSUMPTIONS</x:v>
      </x:c>
      <x:c r="F26" s="32" t="str">
        <x:v>BLOCK</x:v>
      </x:c>
      <x:c r="G26" s="32" t="str">
        <x:v>BLOCKED_PENDING_VALIDATION</x:v>
      </x:c>
      <x:c r="H26" s="32" t="str">
        <x:v>BLOCKED_PENDING_VALIDATION</x:v>
      </x:c>
      <x:c r="I26" s="32" t="str">
        <x:v>PASS_WITH_CONDITIONS</x:v>
      </x:c>
      <x:c r="J26" s="32" t="str">
        <x:v>INT-C-002;INT-C-004;INT-C-005;INT-C-006;INT-C-007</x:v>
      </x:c>
    </x:row>
    <x:row r="27">
      <x:c r="A27" s="32" t="str">
        <x:v>VKM-015</x:v>
      </x:c>
      <x:c r="B27" s="32" t="str">
        <x:v>Оливки и маслины</x:v>
      </x:c>
      <x:c r="C27" s="32" t="str">
        <x:v>Холодные закуски</x:v>
      </x:c>
      <x:c r="D27" s="32" t="str">
        <x:v>0.1.0-DRAFT</x:v>
      </x:c>
      <x:c r="E27" s="32" t="str">
        <x:v>DRAFT_WITH_ASSUMPTIONS</x:v>
      </x:c>
      <x:c r="F27" s="32" t="str">
        <x:v>BLOCK</x:v>
      </x:c>
      <x:c r="G27" s="32" t="str">
        <x:v>BLOCKED_PENDING_VALIDATION</x:v>
      </x:c>
      <x:c r="H27" s="32" t="str">
        <x:v>BLOCKED_PENDING_VALIDATION</x:v>
      </x:c>
      <x:c r="I27" s="32" t="str">
        <x:v>PASS_WITH_CONDITIONS</x:v>
      </x:c>
      <x:c r="J27" s="32" t="str">
        <x:v>INT-C-002;INT-C-004;INT-C-005;INT-C-006;INT-C-007</x:v>
      </x:c>
    </x:row>
    <x:row r="28">
      <x:c r="A28" s="32" t="str">
        <x:v>VKM-016</x:v>
      </x:c>
      <x:c r="B28" s="32" t="str">
        <x:v>Ассорти фирменных солений</x:v>
      </x:c>
      <x:c r="C28" s="32" t="str">
        <x:v>Холодные закуски</x:v>
      </x:c>
      <x:c r="D28" s="32" t="str">
        <x:v>0.1.0-DRAFT</x:v>
      </x:c>
      <x:c r="E28" s="32" t="str">
        <x:v>DRAFT_WITH_ASSUMPTIONS</x:v>
      </x:c>
      <x:c r="F28" s="32" t="str">
        <x:v>BLOCK</x:v>
      </x:c>
      <x:c r="G28" s="32" t="str">
        <x:v>BLOCKED_PENDING_VALIDATION</x:v>
      </x:c>
      <x:c r="H28" s="32" t="str">
        <x:v>BLOCKED_PENDING_VALIDATION</x:v>
      </x:c>
      <x:c r="I28" s="32" t="str">
        <x:v>PASS_WITH_CONDITIONS</x:v>
      </x:c>
      <x:c r="J28" s="32" t="str">
        <x:v>INT-C-002;INT-C-004;INT-C-005;INT-C-006;INT-C-007;INT-C-008</x:v>
      </x:c>
    </x:row>
    <x:row r="29">
      <x:c r="A29" s="32" t="str">
        <x:v>VKM-017</x:v>
      </x:c>
      <x:c r="B29" s="32" t="str">
        <x:v>Ростбиф с луком и гренкой</x:v>
      </x:c>
      <x:c r="C29" s="32" t="str">
        <x:v>Холодные закуски</x:v>
      </x:c>
      <x:c r="D29" s="32" t="str">
        <x:v>0.1.0-DRAFT</x:v>
      </x:c>
      <x:c r="E29" s="32" t="str">
        <x:v>DRAFT_WITH_ASSUMPTIONS</x:v>
      </x:c>
      <x:c r="F29" s="32" t="str">
        <x:v>BLOCK</x:v>
      </x:c>
      <x:c r="G29" s="32" t="str">
        <x:v>BLOCKED_PENDING_VALIDATION</x:v>
      </x:c>
      <x:c r="H29" s="32" t="str">
        <x:v>BLOCKED_PENDING_VALIDATION</x:v>
      </x:c>
      <x:c r="I29" s="32" t="str">
        <x:v>PASS_WITH_CONDITIONS</x:v>
      </x:c>
      <x:c r="J29" s="32" t="str">
        <x:v>INT-C-002;INT-C-004;INT-C-005;INT-C-006;INT-C-007</x:v>
      </x:c>
    </x:row>
    <x:row r="30">
      <x:c r="A30" s="32" t="str">
        <x:v>VKM-018</x:v>
      </x:c>
      <x:c r="B30" s="32" t="str">
        <x:v>Традиционный красный борщ</x:v>
      </x:c>
      <x:c r="C30" s="32" t="str">
        <x:v>Супы</x:v>
      </x:c>
      <x:c r="D30" s="32" t="str">
        <x:v>0.1.0-DRAFT</x:v>
      </x:c>
      <x:c r="E30" s="32" t="str">
        <x:v>DRAFT_WITH_ASSUMPTIONS</x:v>
      </x:c>
      <x:c r="F30" s="32" t="str">
        <x:v>BLOCK</x:v>
      </x:c>
      <x:c r="G30" s="32" t="str">
        <x:v>BLOCKED_PENDING_VALIDATION</x:v>
      </x:c>
      <x:c r="H30" s="32" t="str">
        <x:v>BLOCKED_PENDING_VALIDATION</x:v>
      </x:c>
      <x:c r="I30" s="32" t="str">
        <x:v>PASS_WITH_CONDITIONS</x:v>
      </x:c>
      <x:c r="J30" s="32" t="str">
        <x:v>INT-C-002;INT-C-004;INT-C-005;INT-C-006;INT-C-007;INT-C-008</x:v>
      </x:c>
    </x:row>
    <x:row r="31">
      <x:c r="A31" s="32" t="str">
        <x:v>VKM-019</x:v>
      </x:c>
      <x:c r="B31" s="32" t="str">
        <x:v>Мурманская треска со сливочно-горчичным соусом</x:v>
      </x:c>
      <x:c r="C31" s="32" t="str">
        <x:v>Горячие блюда</x:v>
      </x:c>
      <x:c r="D31" s="32" t="str">
        <x:v>0.1.0-DRAFT</x:v>
      </x:c>
      <x:c r="E31" s="32" t="str">
        <x:v>DRAFT_WITH_ASSUMPTIONS</x:v>
      </x:c>
      <x:c r="F31" s="32" t="str">
        <x:v>BLOCK</x:v>
      </x:c>
      <x:c r="G31" s="32" t="str">
        <x:v>BLOCKED_PENDING_VALIDATION</x:v>
      </x:c>
      <x:c r="H31" s="32" t="str">
        <x:v>BLOCKED_PENDING_VALIDATION</x:v>
      </x:c>
      <x:c r="I31" s="32" t="str">
        <x:v>PASS_WITH_CONDITIONS</x:v>
      </x:c>
      <x:c r="J31" s="32" t="str">
        <x:v>INT-C-002;INT-C-004;INT-C-005;INT-C-006;INT-C-007</x:v>
      </x:c>
    </x:row>
    <x:row r="32">
      <x:c r="A32" s="32" t="str">
        <x:v>VKM-020</x:v>
      </x:c>
      <x:c r="B32" s="32" t="str">
        <x:v>Креветки по-тайски</x:v>
      </x:c>
      <x:c r="C32" s="32" t="str">
        <x:v>Горячие блюда</x:v>
      </x:c>
      <x:c r="D32" s="32" t="str">
        <x:v>0.1.0-DRAFT</x:v>
      </x:c>
      <x:c r="E32" s="32" t="str">
        <x:v>DRAFT_WITH_ASSUMPTIONS</x:v>
      </x:c>
      <x:c r="F32" s="32" t="str">
        <x:v>BLOCK</x:v>
      </x:c>
      <x:c r="G32" s="32" t="str">
        <x:v>BLOCKED_PENDING_VALIDATION</x:v>
      </x:c>
      <x:c r="H32" s="32" t="str">
        <x:v>BLOCKED_PENDING_VALIDATION</x:v>
      </x:c>
      <x:c r="I32" s="32" t="str">
        <x:v>PASS_WITH_CONDITIONS</x:v>
      </x:c>
      <x:c r="J32" s="32" t="str">
        <x:v>INT-C-002;INT-C-004;INT-C-005;INT-C-006;INT-C-007;INT-C-008</x:v>
      </x:c>
    </x:row>
    <x:row r="33">
      <x:c r="A33" s="32" t="str">
        <x:v>VKM-021</x:v>
      </x:c>
      <x:c r="B33" s="32" t="str">
        <x:v>Бургер VARSHAVKA</x:v>
      </x:c>
      <x:c r="C33" s="32" t="str">
        <x:v>Горячие блюда</x:v>
      </x:c>
      <x:c r="D33" s="32" t="str">
        <x:v>0.1.0-DRAFT</x:v>
      </x:c>
      <x:c r="E33" s="32" t="str">
        <x:v>DRAFT_WITH_ASSUMPTIONS</x:v>
      </x:c>
      <x:c r="F33" s="32" t="str">
        <x:v>BLOCK</x:v>
      </x:c>
      <x:c r="G33" s="32" t="str">
        <x:v>BLOCKED_PENDING_VALIDATION</x:v>
      </x:c>
      <x:c r="H33" s="32" t="str">
        <x:v>BLOCKED_PENDING_VALIDATION</x:v>
      </x:c>
      <x:c r="I33" s="32" t="str">
        <x:v>PASS_WITH_CONDITIONS</x:v>
      </x:c>
      <x:c r="J33" s="32" t="str">
        <x:v>INT-C-002;INT-C-004;INT-C-005;INT-C-006;INT-C-007</x:v>
      </x:c>
    </x:row>
    <x:row r="34">
      <x:c r="A34" s="32" t="str">
        <x:v>VKM-022</x:v>
      </x:c>
      <x:c r="B34" s="32" t="str">
        <x:v>Миньоны из говяжьей вырезки</x:v>
      </x:c>
      <x:c r="C34" s="32" t="str">
        <x:v>Горячие блюда</x:v>
      </x:c>
      <x:c r="D34" s="32" t="str">
        <x:v>0.1.0-DRAFT</x:v>
      </x:c>
      <x:c r="E34" s="32" t="str">
        <x:v>DRAFT_WITH_ASSUMPTIONS</x:v>
      </x:c>
      <x:c r="F34" s="32" t="str">
        <x:v>BLOCK</x:v>
      </x:c>
      <x:c r="G34" s="32" t="str">
        <x:v>BLOCKED_PENDING_VALIDATION</x:v>
      </x:c>
      <x:c r="H34" s="32" t="str">
        <x:v>BLOCKED_PENDING_VALIDATION</x:v>
      </x:c>
      <x:c r="I34" s="32" t="str">
        <x:v>PASS_WITH_CONDITIONS</x:v>
      </x:c>
      <x:c r="J34" s="32" t="str">
        <x:v>INT-C-002;INT-C-004;INT-C-005;INT-C-006;INT-C-007;INT-C-008</x:v>
      </x:c>
    </x:row>
    <x:row r="35">
      <x:c r="A35" s="32" t="str">
        <x:v>VKM-023</x:v>
      </x:c>
      <x:c r="B35" s="32" t="str">
        <x:v>Запечённый картофель</x:v>
      </x:c>
      <x:c r="C35" s="32" t="str">
        <x:v>Гарниры</x:v>
      </x:c>
      <x:c r="D35" s="32" t="str">
        <x:v>0.1.0-DRAFT</x:v>
      </x:c>
      <x:c r="E35" s="32" t="str">
        <x:v>DRAFT_WITH_ASSUMPTIONS</x:v>
      </x:c>
      <x:c r="F35" s="32" t="str">
        <x:v>BLOCK</x:v>
      </x:c>
      <x:c r="G35" s="32" t="str">
        <x:v>BLOCKED_PENDING_VALIDATION</x:v>
      </x:c>
      <x:c r="H35" s="32" t="str">
        <x:v>BLOCKED_PENDING_VALIDATION</x:v>
      </x:c>
      <x:c r="I35" s="32" t="str">
        <x:v>PASS_WITH_CONDITIONS</x:v>
      </x:c>
      <x:c r="J35" s="32" t="str">
        <x:v>INT-C-002;INT-C-004;INT-C-005;INT-C-006;INT-C-007</x:v>
      </x:c>
    </x:row>
    <x:row r="36">
      <x:c r="A36" s="32" t="str">
        <x:v>VKM-024</x:v>
      </x:c>
      <x:c r="B36" s="32" t="str">
        <x:v>Рис жасмин</x:v>
      </x:c>
      <x:c r="C36" s="32" t="str">
        <x:v>Гарниры</x:v>
      </x:c>
      <x:c r="D36" s="32" t="str">
        <x:v>0.1.0-DRAFT</x:v>
      </x:c>
      <x:c r="E36" s="32" t="str">
        <x:v>DRAFT_WITH_ASSUMPTIONS</x:v>
      </x:c>
      <x:c r="F36" s="32" t="str">
        <x:v>BLOCK</x:v>
      </x:c>
      <x:c r="G36" s="32" t="str">
        <x:v>BLOCKED_PENDING_VALIDATION</x:v>
      </x:c>
      <x:c r="H36" s="32" t="str">
        <x:v>BLOCKED_PENDING_VALIDATION</x:v>
      </x:c>
      <x:c r="I36" s="32" t="str">
        <x:v>PASS_WITH_CONDITIONS</x:v>
      </x:c>
      <x:c r="J36" s="32" t="str">
        <x:v>INT-C-002;INT-C-004;INT-C-005;INT-C-006;INT-C-007</x:v>
      </x:c>
    </x:row>
    <x:row r="37">
      <x:c r="A37" s="32" t="str">
        <x:v>VKM-025</x:v>
      </x:c>
      <x:c r="B37" s="32" t="str">
        <x:v>Горячие овощи</x:v>
      </x:c>
      <x:c r="C37" s="32" t="str">
        <x:v>Гарниры</x:v>
      </x:c>
      <x:c r="D37" s="32" t="str">
        <x:v>0.1.0-DRAFT</x:v>
      </x:c>
      <x:c r="E37" s="32" t="str">
        <x:v>DRAFT_WITH_ASSUMPTIONS</x:v>
      </x:c>
      <x:c r="F37" s="32" t="str">
        <x:v>BLOCK</x:v>
      </x:c>
      <x:c r="G37" s="32" t="str">
        <x:v>BLOCKED_PENDING_VALIDATION</x:v>
      </x:c>
      <x:c r="H37" s="32" t="str">
        <x:v>BLOCKED_PENDING_VALIDATION</x:v>
      </x:c>
      <x:c r="I37" s="32" t="str">
        <x:v>PASS_WITH_CONDITIONS</x:v>
      </x:c>
      <x:c r="J37" s="32" t="str">
        <x:v>INT-C-002;INT-C-004;INT-C-005;INT-C-006;INT-C-007</x:v>
      </x:c>
    </x:row>
    <x:row r="38">
      <x:c r="A38" s="32" t="str">
        <x:v>VKM-029</x:v>
      </x:c>
      <x:c r="B38" s="32" t="str">
        <x:v>Черничный торт VARSHAVKA</x:v>
      </x:c>
      <x:c r="C38" s="32" t="str">
        <x:v>Десерты</x:v>
      </x:c>
      <x:c r="D38" s="32" t="str">
        <x:v>0.1.0-DRAFT</x:v>
      </x:c>
      <x:c r="E38" s="32" t="str">
        <x:v>DRAFT_WITH_ASSUMPTIONS</x:v>
      </x:c>
      <x:c r="F38" s="32" t="str">
        <x:v>BLOCK</x:v>
      </x:c>
      <x:c r="G38" s="32" t="str">
        <x:v>BLOCKED_PENDING_VALIDATION</x:v>
      </x:c>
      <x:c r="H38" s="32" t="str">
        <x:v>BLOCKED_PENDING_VALIDATION</x:v>
      </x:c>
      <x:c r="I38" s="32" t="str">
        <x:v>PASS_WITH_CONDITIONS</x:v>
      </x:c>
      <x:c r="J38" s="32" t="str">
        <x:v>INT-C-002;INT-C-004;INT-C-005;INT-C-006;INT-C-007;INT-C-008</x:v>
      </x:c>
    </x:row>
    <x:row r="39">
      <x:c r="A39" s="32" t="str">
        <x:v>VKM-030</x:v>
      </x:c>
      <x:c r="B39" s="32" t="str">
        <x:v>Кростата с солёной карамелью</x:v>
      </x:c>
      <x:c r="C39" s="32" t="str">
        <x:v>Десерты</x:v>
      </x:c>
      <x:c r="D39" s="32" t="str">
        <x:v>0.1.0-DRAFT</x:v>
      </x:c>
      <x:c r="E39" s="32" t="str">
        <x:v>DRAFT_WITH_ASSUMPTIONS</x:v>
      </x:c>
      <x:c r="F39" s="32" t="str">
        <x:v>BLOCK</x:v>
      </x:c>
      <x:c r="G39" s="32" t="str">
        <x:v>BLOCKED_PENDING_VALIDATION</x:v>
      </x:c>
      <x:c r="H39" s="32" t="str">
        <x:v>BLOCKED_PENDING_VALIDATION</x:v>
      </x:c>
      <x:c r="I39" s="32" t="str">
        <x:v>PASS_WITH_CONDITIONS</x:v>
      </x:c>
      <x:c r="J39" s="32" t="str">
        <x:v>INT-C-002;INT-C-004;INT-C-005;INT-C-006;INT-C-007</x:v>
      </x:c>
    </x:row>
    <x:row r="40">
      <x:c r="A40" s="32" t="str">
        <x:v>VKM-031</x:v>
      </x:c>
      <x:c r="B40" s="32" t="str">
        <x:v>Мадлен</x:v>
      </x:c>
      <x:c r="C40" s="32" t="str">
        <x:v>Десерты</x:v>
      </x:c>
      <x:c r="D40" s="32" t="str">
        <x:v>0.1.0-DRAFT</x:v>
      </x:c>
      <x:c r="E40" s="32" t="str">
        <x:v>DRAFT_WITH_ASSUMPTIONS</x:v>
      </x:c>
      <x:c r="F40" s="32" t="str">
        <x:v>BLOCK</x:v>
      </x:c>
      <x:c r="G40" s="32" t="str">
        <x:v>BLOCKED_PENDING_VALIDATION</x:v>
      </x:c>
      <x:c r="H40" s="32" t="str">
        <x:v>BLOCKED_PENDING_VALIDATION</x:v>
      </x:c>
      <x:c r="I40" s="32" t="str">
        <x:v>PASS_WITH_CONDITIONS</x:v>
      </x:c>
      <x:c r="J40" s="32" t="str">
        <x:v>INT-C-002;INT-C-004;INT-C-005;INT-C-006;INT-C-007</x:v>
      </x:c>
    </x:row>
  </x:sheetData>
  <x:mergeCells>
    <x:mergeCell ref="A1:I1"/>
    <x:mergeCell ref="A2:I2"/>
  </x:mergeCells>
  <x:conditionalFormatting sqref="E13:I40">
    <x:cfRule type="containsText" dxfId="0" priority="1" operator="containsText" text="BLOCK"/>
    <x:cfRule type="containsText" dxfId="1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814198e5c27c4e9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19" hidden="0" customWidth="1"/>
    <x:col min="5" max="5" width="12" hidden="0" customWidth="1"/>
    <x:col min="6" max="6" width="8" hidden="0" customWidth="1"/>
    <x:col min="7" max="7" width="18" hidden="0" customWidth="1"/>
    <x:col min="8" max="8" width="25" hidden="0" customWidth="1"/>
    <x:col min="9" max="9" width="14" hidden="0" customWidth="1"/>
    <x:col min="10" max="10" width="15" hidden="0" customWidth="1"/>
    <x:col min="11" max="11" width="14" hidden="0" customWidth="1"/>
    <x:col min="12" max="12" width="13" hidden="0" customWidth="1"/>
    <x:col min="13" max="13" width="14" hidden="0" customWidth="1"/>
    <x:col min="14" max="14" width="32" hidden="0" customWidth="1"/>
  </x:cols>
  <x:sheetData>
    <x:row r="1" ht="30" customHeight="1">
      <x:c r="A1" s="26" t="str">
        <x:v>01 — Меню и readiness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7"/>
    </x:row>
    <x:row r="2" ht="27" customHeight="1">
      <x:c r="A2" s="28" t="str">
        <x:v>Жёлтые поля — ввод/подтверждение; зелёные — формулы. Complete COGS, price, food cost, margin intentionally blank.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34" customHeight="1">
      <x:c r="A5" s="31" t="str">
        <x:v>Dish ID</x:v>
      </x:c>
      <x:c r="B5" s="31" t="str">
        <x:v>Блюдо</x:v>
      </x:c>
      <x:c r="C5" s="31" t="str">
        <x:v>Раздел</x:v>
      </x:c>
      <x:c r="D5" s="31" t="str">
        <x:v>Ед. продажи</x:v>
      </x:c>
      <x:c r="E5" s="31" t="str">
        <x:v>Выход</x:v>
      </x:c>
      <x:c r="F5" s="31" t="str">
        <x:v>Ед.</x:v>
      </x:c>
      <x:c r="G5" s="31" t="str">
        <x:v>Recipe version</x:v>
      </x:c>
      <x:c r="H5" s="31" t="str">
        <x:v>Статус</x:v>
      </x:c>
      <x:c r="I5" s="31" t="str">
        <x:v>Safety veto</x:v>
      </x:c>
      <x:c r="J5" s="31" t="str">
        <x:v>Complete COGS</x:v>
      </x:c>
      <x:c r="K5" s="31" t="str">
        <x:v>Цена</x:v>
      </x:c>
      <x:c r="L5" s="31" t="str">
        <x:v>Food cost</x:v>
      </x:c>
      <x:c r="M5" s="31" t="str">
        <x:v>Маржа</x:v>
      </x:c>
      <x:c r="N5" s="31" t="str">
        <x:v>Blockers</x:v>
      </x:c>
    </x:row>
    <x:row r="6">
      <x:c r="A6" s="32" t="str">
        <x:v>VKM-001</x:v>
      </x:c>
      <x:c r="B6" s="32" t="str">
        <x:v>Маргарита</x:v>
      </x:c>
      <x:c r="C6" s="32" t="str">
        <x:v>Пицца</x:v>
      </x:c>
      <x:c r="D6" s="32" t="str">
        <x:v>1 пицца</x:v>
      </x:c>
      <x:c r="E6" s="32" t="n">
        <x:v>450</x:v>
      </x:c>
      <x:c r="F6" s="32" t="str">
        <x:v>г</x:v>
      </x:c>
      <x:c r="G6" s="32" t="str">
        <x:v>0.1.0-DRAFT</x:v>
      </x:c>
      <x:c r="H6" s="32" t="str">
        <x:v>DRAFT_WITH_ASSUMPTIONS</x:v>
      </x:c>
      <x:c r="I6" s="32" t="str">
        <x:v>BLOCK</x:v>
      </x:c>
      <x:c r="J6" s="33" t="str">
        <x:f>IF('04_КАЛЬКУЛЯЦИИ'!N6="","",'04_КАЛЬКУЛЯЦИИ'!N6)</x:f>
      </x:c>
      <x:c r="K6" s="33" t="str">
        <x:f>IFERROR(INDEX('07_ЦЕНООБРАЗОВАНИЕ'!$I$6:$I$106,MATCH(1,('07_ЦЕНООБРАЗОВАНИЕ'!$A$6:$A$106=A6)*('07_ЦЕНООБРАЗОВАНИЕ'!$C$6:$C$106="À la carte"),0)),"")</x:f>
      </x:c>
      <x:c r="L6" s="33" t="str">
        <x:f>IF(OR(J6="",K6=""),"",J6/K6)</x:f>
      </x:c>
      <x:c r="M6" s="33" t="str">
        <x:f>IF(OR(J6="",K6=""),"",K6-J6)</x:f>
      </x:c>
      <x:c r="N6" s="32" t="str">
        <x:v>GAP-001;GAP-002;GAP-004;GAP-005</x:v>
      </x:c>
    </x:row>
    <x:row r="7">
      <x:c r="A7" s="32" t="str">
        <x:v>VKM-002</x:v>
      </x:c>
      <x:c r="B7" s="32" t="str">
        <x:v>Четыре сыра</x:v>
      </x:c>
      <x:c r="C7" s="32" t="str">
        <x:v>Пицца</x:v>
      </x:c>
      <x:c r="D7" s="32" t="str">
        <x:v>1 пицца</x:v>
      </x:c>
      <x:c r="E7" s="32" t="n">
        <x:v>480</x:v>
      </x:c>
      <x:c r="F7" s="32" t="str">
        <x:v>г</x:v>
      </x:c>
      <x:c r="G7" s="32" t="str">
        <x:v>0.1.0-DRAFT</x:v>
      </x:c>
      <x:c r="H7" s="32" t="str">
        <x:v>DRAFT_WITH_ASSUMPTIONS</x:v>
      </x:c>
      <x:c r="I7" s="32" t="str">
        <x:v>BLOCK</x:v>
      </x:c>
      <x:c r="J7" s="33" t="str">
        <x:f>IF('04_КАЛЬКУЛЯЦИИ'!N7="","",'04_КАЛЬКУЛЯЦИИ'!N7)</x:f>
      </x:c>
      <x:c r="K7" s="33" t="str">
        <x:f>IFERROR(INDEX('07_ЦЕНООБРАЗОВАНИЕ'!$I$6:$I$106,MATCH(1,('07_ЦЕНООБРАЗОВАНИЕ'!$A$6:$A$106=A7)*('07_ЦЕНООБРАЗОВАНИЕ'!$C$6:$C$106="À la carte"),0)),"")</x:f>
      </x:c>
      <x:c r="L7" s="33" t="str">
        <x:f>IF(OR(J7="",K7=""),"",J7/K7)</x:f>
      </x:c>
      <x:c r="M7" s="33" t="str">
        <x:f>IF(OR(J7="",K7=""),"",K7-J7)</x:f>
      </x:c>
      <x:c r="N7" s="32" t="str">
        <x:v>GAP-001;GAP-002;GAP-004;GAP-005</x:v>
      </x:c>
    </x:row>
    <x:row r="8">
      <x:c r="A8" s="32" t="str">
        <x:v>VKM-003</x:v>
      </x:c>
      <x:c r="B8" s="32" t="str">
        <x:v>Грибная с ветчиной</x:v>
      </x:c>
      <x:c r="C8" s="32" t="str">
        <x:v>Пицца</x:v>
      </x:c>
      <x:c r="D8" s="32" t="str">
        <x:v>1 пицца</x:v>
      </x:c>
      <x:c r="E8" s="32" t="n">
        <x:v>500</x:v>
      </x:c>
      <x:c r="F8" s="32" t="str">
        <x:v>г</x:v>
      </x:c>
      <x:c r="G8" s="32" t="str">
        <x:v>0.1.0-DRAFT</x:v>
      </x:c>
      <x:c r="H8" s="32" t="str">
        <x:v>DRAFT_WITH_ASSUMPTIONS</x:v>
      </x:c>
      <x:c r="I8" s="32" t="str">
        <x:v>BLOCK</x:v>
      </x:c>
      <x:c r="J8" s="33" t="str">
        <x:f>IF('04_КАЛЬКУЛЯЦИИ'!N8="","",'04_КАЛЬКУЛЯЦИИ'!N8)</x:f>
      </x:c>
      <x:c r="K8" s="33" t="str">
        <x:f>IFERROR(INDEX('07_ЦЕНООБРАЗОВАНИЕ'!$I$6:$I$106,MATCH(1,('07_ЦЕНООБРАЗОВАНИЕ'!$A$6:$A$106=A8)*('07_ЦЕНООБРАЗОВАНИЕ'!$C$6:$C$106="À la carte"),0)),"")</x:f>
      </x:c>
      <x:c r="L8" s="33" t="str">
        <x:f>IF(OR(J8="",K8=""),"",J8/K8)</x:f>
      </x:c>
      <x:c r="M8" s="33" t="str">
        <x:f>IF(OR(J8="",K8=""),"",K8-J8)</x:f>
      </x:c>
      <x:c r="N8" s="32" t="str">
        <x:v>GAP-001;GAP-002;GAP-004;GAP-005</x:v>
      </x:c>
    </x:row>
    <x:row r="9">
      <x:c r="A9" s="32" t="str">
        <x:v>VKM-004</x:v>
      </x:c>
      <x:c r="B9" s="32" t="str">
        <x:v>Пепперони</x:v>
      </x:c>
      <x:c r="C9" s="32" t="str">
        <x:v>Пицца</x:v>
      </x:c>
      <x:c r="D9" s="32" t="str">
        <x:v>1 пицца</x:v>
      </x:c>
      <x:c r="E9" s="32" t="n">
        <x:v>500</x:v>
      </x:c>
      <x:c r="F9" s="32" t="str">
        <x:v>г</x:v>
      </x:c>
      <x:c r="G9" s="32" t="str">
        <x:v>0.1.0-DRAFT</x:v>
      </x:c>
      <x:c r="H9" s="32" t="str">
        <x:v>DRAFT_WITH_ASSUMPTIONS</x:v>
      </x:c>
      <x:c r="I9" s="32" t="str">
        <x:v>BLOCK</x:v>
      </x:c>
      <x:c r="J9" s="33" t="str">
        <x:f>IF('04_КАЛЬКУЛЯЦИИ'!N9="","",'04_КАЛЬКУЛЯЦИИ'!N9)</x:f>
      </x:c>
      <x:c r="K9" s="33" t="str">
        <x:f>IFERROR(INDEX('07_ЦЕНООБРАЗОВАНИЕ'!$I$6:$I$106,MATCH(1,('07_ЦЕНООБРАЗОВАНИЕ'!$A$6:$A$106=A9)*('07_ЦЕНООБРАЗОВАНИЕ'!$C$6:$C$106="À la carte"),0)),"")</x:f>
      </x:c>
      <x:c r="L9" s="33" t="str">
        <x:f>IF(OR(J9="",K9=""),"",J9/K9)</x:f>
      </x:c>
      <x:c r="M9" s="33" t="str">
        <x:f>IF(OR(J9="",K9=""),"",K9-J9)</x:f>
      </x:c>
      <x:c r="N9" s="32" t="str">
        <x:v>GAP-001;GAP-002;GAP-004;GAP-005</x:v>
      </x:c>
    </x:row>
    <x:row r="10">
      <x:c r="A10" s="32" t="str">
        <x:v>VKM-005</x:v>
      </x:c>
      <x:c r="B10" s="32" t="str">
        <x:v>Белая чиабатта</x:v>
      </x:c>
      <x:c r="C10" s="32" t="str">
        <x:v>Хлеб</x:v>
      </x:c>
      <x:c r="D10" s="32" t="str">
        <x:v>1 изделие</x:v>
      </x:c>
      <x:c r="E10" s="32" t="n">
        <x:v>100</x:v>
      </x:c>
      <x:c r="F10" s="32" t="str">
        <x:v>г</x:v>
      </x:c>
      <x:c r="G10" s="32" t="str">
        <x:v>0.1.0-DRAFT</x:v>
      </x:c>
      <x:c r="H10" s="32" t="str">
        <x:v>DRAFT_WITH_ASSUMPTIONS</x:v>
      </x:c>
      <x:c r="I10" s="32" t="str">
        <x:v>BLOCK</x:v>
      </x:c>
      <x:c r="J10" s="33" t="str">
        <x:f>IF('04_КАЛЬКУЛЯЦИИ'!N10="","",'04_КАЛЬКУЛЯЦИИ'!N10)</x:f>
      </x:c>
      <x:c r="K10" s="33" t="str">
        <x:f>IFERROR(INDEX('07_ЦЕНООБРАЗОВАНИЕ'!$I$6:$I$106,MATCH(1,('07_ЦЕНООБРАЗОВАНИЕ'!$A$6:$A$106=A10)*('07_ЦЕНООБРАЗОВАНИЕ'!$C$6:$C$106="À la carte"),0)),"")</x:f>
      </x:c>
      <x:c r="L10" s="33" t="str">
        <x:f>IF(OR(J10="",K10=""),"",J10/K10)</x:f>
      </x:c>
      <x:c r="M10" s="33" t="str">
        <x:f>IF(OR(J10="",K10=""),"",K10-J10)</x:f>
      </x:c>
      <x:c r="N10" s="32" t="str">
        <x:v>GAP-001;GAP-002;GAP-004;GAP-005</x:v>
      </x:c>
    </x:row>
    <x:row r="11">
      <x:c r="A11" s="32" t="str">
        <x:v>VKM-006</x:v>
      </x:c>
      <x:c r="B11" s="32" t="str">
        <x:v>Томатная чиабатта</x:v>
      </x:c>
      <x:c r="C11" s="32" t="str">
        <x:v>Хлеб</x:v>
      </x:c>
      <x:c r="D11" s="32" t="str">
        <x:v>1 изделие</x:v>
      </x:c>
      <x:c r="E11" s="32" t="n">
        <x:v>100</x:v>
      </x:c>
      <x:c r="F11" s="32" t="str">
        <x:v>г</x:v>
      </x:c>
      <x:c r="G11" s="32" t="str">
        <x:v>0.1.0-DRAFT</x:v>
      </x:c>
      <x:c r="H11" s="32" t="str">
        <x:v>DRAFT_WITH_ASSUMPTIONS</x:v>
      </x:c>
      <x:c r="I11" s="32" t="str">
        <x:v>BLOCK</x:v>
      </x:c>
      <x:c r="J11" s="33" t="str">
        <x:f>IF('04_КАЛЬКУЛЯЦИИ'!N11="","",'04_КАЛЬКУЛЯЦИИ'!N11)</x:f>
      </x:c>
      <x:c r="K11" s="33" t="str">
        <x:f>IFERROR(INDEX('07_ЦЕНООБРАЗОВАНИЕ'!$I$6:$I$106,MATCH(1,('07_ЦЕНООБРАЗОВАНИЕ'!$A$6:$A$106=A11)*('07_ЦЕНООБРАЗОВАНИЕ'!$C$6:$C$106="À la carte"),0)),"")</x:f>
      </x:c>
      <x:c r="L11" s="33" t="str">
        <x:f>IF(OR(J11="",K11=""),"",J11/K11)</x:f>
      </x:c>
      <x:c r="M11" s="33" t="str">
        <x:f>IF(OR(J11="",K11=""),"",K11-J11)</x:f>
      </x:c>
      <x:c r="N11" s="32" t="str">
        <x:v>GAP-001;GAP-002;GAP-004;GAP-005</x:v>
      </x:c>
    </x:row>
    <x:row r="12">
      <x:c r="A12" s="32" t="str">
        <x:v>VKM-007</x:v>
      </x:c>
      <x:c r="B12" s="32" t="str">
        <x:v>Бородинский хлеб</x:v>
      </x:c>
      <x:c r="C12" s="32" t="str">
        <x:v>Хлеб</x:v>
      </x:c>
      <x:c r="D12" s="32" t="str">
        <x:v>1 буханка</x:v>
      </x:c>
      <x:c r="E12" s="32" t="n">
        <x:v>350</x:v>
      </x:c>
      <x:c r="F12" s="32" t="str">
        <x:v>г</x:v>
      </x:c>
      <x:c r="G12" s="32" t="str">
        <x:v>0.1.0-DRAFT</x:v>
      </x:c>
      <x:c r="H12" s="32" t="str">
        <x:v>DRAFT_WITH_ASSUMPTIONS</x:v>
      </x:c>
      <x:c r="I12" s="32" t="str">
        <x:v>BLOCK</x:v>
      </x:c>
      <x:c r="J12" s="33" t="str">
        <x:f>IF('04_КАЛЬКУЛЯЦИИ'!N12="","",'04_КАЛЬКУЛЯЦИИ'!N12)</x:f>
      </x:c>
      <x:c r="K12" s="33" t="str">
        <x:f>IFERROR(INDEX('07_ЦЕНООБРАЗОВАНИЕ'!$I$6:$I$106,MATCH(1,('07_ЦЕНООБРАЗОВАНИЕ'!$A$6:$A$106=A12)*('07_ЦЕНООБРАЗОВАНИЕ'!$C$6:$C$106="À la carte"),0)),"")</x:f>
      </x:c>
      <x:c r="L12" s="33" t="str">
        <x:f>IF(OR(J12="",K12=""),"",J12/K12)</x:f>
      </x:c>
      <x:c r="M12" s="33" t="str">
        <x:f>IF(OR(J12="",K12=""),"",K12-J12)</x:f>
      </x:c>
      <x:c r="N12" s="32" t="str">
        <x:v>GAP-001;GAP-002;GAP-004;GAP-005</x:v>
      </x:c>
    </x:row>
    <x:row r="13">
      <x:c r="A13" s="32" t="str">
        <x:v>VKM-008</x:v>
      </x:c>
      <x:c r="B13" s="32" t="str">
        <x:v>Бриошь</x:v>
      </x:c>
      <x:c r="C13" s="32" t="str">
        <x:v>Хлеб</x:v>
      </x:c>
      <x:c r="D13" s="32" t="str">
        <x:v>1 изделие</x:v>
      </x:c>
      <x:c r="E13" s="32" t="n">
        <x:v>85</x:v>
      </x:c>
      <x:c r="F13" s="32" t="str">
        <x:v>г</x:v>
      </x:c>
      <x:c r="G13" s="32" t="str">
        <x:v>0.1.0-DRAFT</x:v>
      </x:c>
      <x:c r="H13" s="32" t="str">
        <x:v>DRAFT_WITH_ASSUMPTIONS</x:v>
      </x:c>
      <x:c r="I13" s="32" t="str">
        <x:v>BLOCK</x:v>
      </x:c>
      <x:c r="J13" s="33" t="str">
        <x:f>IF('04_КАЛЬКУЛЯЦИИ'!N13="","",'04_КАЛЬКУЛЯЦИИ'!N13)</x:f>
      </x:c>
      <x:c r="K13" s="33" t="str">
        <x:f>IFERROR(INDEX('07_ЦЕНООБРАЗОВАНИЕ'!$I$6:$I$106,MATCH(1,('07_ЦЕНООБРАЗОВАНИЕ'!$A$6:$A$106=A13)*('07_ЦЕНООБРАЗОВАНИЕ'!$C$6:$C$106="À la carte"),0)),"")</x:f>
      </x:c>
      <x:c r="L13" s="33" t="str">
        <x:f>IF(OR(J13="",K13=""),"",J13/K13)</x:f>
      </x:c>
      <x:c r="M13" s="33" t="str">
        <x:f>IF(OR(J13="",K13=""),"",K13-J13)</x:f>
      </x:c>
      <x:c r="N13" s="32" t="str">
        <x:v>GAP-001;GAP-002;GAP-004;GAP-005</x:v>
      </x:c>
    </x:row>
    <x:row r="14">
      <x:c r="A14" s="32" t="str">
        <x:v>VKM-009</x:v>
      </x:c>
      <x:c r="B14" s="32" t="str">
        <x:v>Буррата с томатами</x:v>
      </x:c>
      <x:c r="C14" s="32" t="str">
        <x:v>Салаты</x:v>
      </x:c>
      <x:c r="D14" s="32" t="str">
        <x:v>1 порция</x:v>
      </x:c>
      <x:c r="E14" s="32" t="n">
        <x:v>300</x:v>
      </x:c>
      <x:c r="F14" s="32" t="str">
        <x:v>г</x:v>
      </x:c>
      <x:c r="G14" s="32" t="str">
        <x:v>0.1.0-DRAFT</x:v>
      </x:c>
      <x:c r="H14" s="32" t="str">
        <x:v>DRAFT_WITH_ASSUMPTIONS</x:v>
      </x:c>
      <x:c r="I14" s="32" t="str">
        <x:v>BLOCK</x:v>
      </x:c>
      <x:c r="J14" s="33" t="str">
        <x:f>IF('04_КАЛЬКУЛЯЦИИ'!N14="","",'04_КАЛЬКУЛЯЦИИ'!N14)</x:f>
      </x:c>
      <x:c r="K14" s="33" t="str">
        <x:f>IFERROR(INDEX('07_ЦЕНООБРАЗОВАНИЕ'!$I$6:$I$106,MATCH(1,('07_ЦЕНООБРАЗОВАНИЕ'!$A$6:$A$106=A14)*('07_ЦЕНООБРАЗОВАНИЕ'!$C$6:$C$106="À la carte"),0)),"")</x:f>
      </x:c>
      <x:c r="L14" s="33" t="str">
        <x:f>IF(OR(J14="",K14=""),"",J14/K14)</x:f>
      </x:c>
      <x:c r="M14" s="33" t="str">
        <x:f>IF(OR(J14="",K14=""),"",K14-J14)</x:f>
      </x:c>
      <x:c r="N14" s="32" t="str">
        <x:v>GAP-001;GAP-002;GAP-004;GAP-005</x:v>
      </x:c>
    </x:row>
    <x:row r="15">
      <x:c r="A15" s="32" t="str">
        <x:v>VKM-010</x:v>
      </x:c>
      <x:c r="B15" s="32" t="str">
        <x:v>Микс-салат с креветками и яблоком</x:v>
      </x:c>
      <x:c r="C15" s="32" t="str">
        <x:v>Салаты</x:v>
      </x:c>
      <x:c r="D15" s="32" t="str">
        <x:v>1 порция</x:v>
      </x:c>
      <x:c r="E15" s="32" t="n">
        <x:v>280</x:v>
      </x:c>
      <x:c r="F15" s="32" t="str">
        <x:v>г</x:v>
      </x:c>
      <x:c r="G15" s="32" t="str">
        <x:v>0.1.0-DRAFT</x:v>
      </x:c>
      <x:c r="H15" s="32" t="str">
        <x:v>DRAFT_WITH_ASSUMPTIONS</x:v>
      </x:c>
      <x:c r="I15" s="32" t="str">
        <x:v>BLOCK</x:v>
      </x:c>
      <x:c r="J15" s="33" t="str">
        <x:f>IF('04_КАЛЬКУЛЯЦИИ'!N15="","",'04_КАЛЬКУЛЯЦИИ'!N15)</x:f>
      </x:c>
      <x:c r="K15" s="33" t="str">
        <x:f>IFERROR(INDEX('07_ЦЕНООБРАЗОВАНИЕ'!$I$6:$I$106,MATCH(1,('07_ЦЕНООБРАЗОВАНИЕ'!$A$6:$A$106=A15)*('07_ЦЕНООБРАЗОВАНИЕ'!$C$6:$C$106="À la carte"),0)),"")</x:f>
      </x:c>
      <x:c r="L15" s="33" t="str">
        <x:f>IF(OR(J15="",K15=""),"",J15/K15)</x:f>
      </x:c>
      <x:c r="M15" s="33" t="str">
        <x:f>IF(OR(J15="",K15=""),"",K15-J15)</x:f>
      </x:c>
      <x:c r="N15" s="32" t="str">
        <x:v>GAP-001;GAP-002;GAP-004;GAP-005</x:v>
      </x:c>
    </x:row>
    <x:row r="16">
      <x:c r="A16" s="32" t="str">
        <x:v>VKM-011</x:v>
      </x:c>
      <x:c r="B16" s="32" t="str">
        <x:v>Греческий</x:v>
      </x:c>
      <x:c r="C16" s="32" t="str">
        <x:v>Салаты</x:v>
      </x:c>
      <x:c r="D16" s="32" t="str">
        <x:v>1 порция</x:v>
      </x:c>
      <x:c r="E16" s="32" t="n">
        <x:v>270</x:v>
      </x:c>
      <x:c r="F16" s="32" t="str">
        <x:v>г</x:v>
      </x:c>
      <x:c r="G16" s="32" t="str">
        <x:v>0.1.0-DRAFT</x:v>
      </x:c>
      <x:c r="H16" s="32" t="str">
        <x:v>DRAFT_WITH_ASSUMPTIONS</x:v>
      </x:c>
      <x:c r="I16" s="32" t="str">
        <x:v>BLOCK</x:v>
      </x:c>
      <x:c r="J16" s="33" t="str">
        <x:f>IF('04_КАЛЬКУЛЯЦИИ'!N16="","",'04_КАЛЬКУЛЯЦИИ'!N16)</x:f>
      </x:c>
      <x:c r="K16" s="33" t="str">
        <x:f>IFERROR(INDEX('07_ЦЕНООБРАЗОВАНИЕ'!$I$6:$I$106,MATCH(1,('07_ЦЕНООБРАЗОВАНИЕ'!$A$6:$A$106=A16)*('07_ЦЕНООБРАЗОВАНИЕ'!$C$6:$C$106="À la carte"),0)),"")</x:f>
      </x:c>
      <x:c r="L16" s="33" t="str">
        <x:f>IF(OR(J16="",K16=""),"",J16/K16)</x:f>
      </x:c>
      <x:c r="M16" s="33" t="str">
        <x:f>IF(OR(J16="",K16=""),"",K16-J16)</x:f>
      </x:c>
      <x:c r="N16" s="32" t="str">
        <x:v>GAP-001;GAP-002;GAP-004;GAP-005</x:v>
      </x:c>
    </x:row>
    <x:row r="17">
      <x:c r="A17" s="32" t="str">
        <x:v>VKM-012</x:v>
      </x:c>
      <x:c r="B17" s="32" t="str">
        <x:v>Винегрет</x:v>
      </x:c>
      <x:c r="C17" s="32" t="str">
        <x:v>Салаты</x:v>
      </x:c>
      <x:c r="D17" s="32" t="str">
        <x:v>1 порция</x:v>
      </x:c>
      <x:c r="E17" s="32" t="n">
        <x:v>240</x:v>
      </x:c>
      <x:c r="F17" s="32" t="str">
        <x:v>г</x:v>
      </x:c>
      <x:c r="G17" s="32" t="str">
        <x:v>0.1.0-DRAFT</x:v>
      </x:c>
      <x:c r="H17" s="32" t="str">
        <x:v>DRAFT_WITH_ASSUMPTIONS</x:v>
      </x:c>
      <x:c r="I17" s="32" t="str">
        <x:v>BLOCK</x:v>
      </x:c>
      <x:c r="J17" s="33" t="str">
        <x:f>IF('04_КАЛЬКУЛЯЦИИ'!N17="","",'04_КАЛЬКУЛЯЦИИ'!N17)</x:f>
      </x:c>
      <x:c r="K17" s="33" t="str">
        <x:f>IFERROR(INDEX('07_ЦЕНООБРАЗОВАНИЕ'!$I$6:$I$106,MATCH(1,('07_ЦЕНООБРАЗОВАНИЕ'!$A$6:$A$106=A17)*('07_ЦЕНООБРАЗОВАНИЕ'!$C$6:$C$106="À la carte"),0)),"")</x:f>
      </x:c>
      <x:c r="L17" s="33" t="str">
        <x:f>IF(OR(J17="",K17=""),"",J17/K17)</x:f>
      </x:c>
      <x:c r="M17" s="33" t="str">
        <x:f>IF(OR(J17="",K17=""),"",K17-J17)</x:f>
      </x:c>
      <x:c r="N17" s="32" t="str">
        <x:v>GAP-001;GAP-002;GAP-004;GAP-005</x:v>
      </x:c>
    </x:row>
    <x:row r="18">
      <x:c r="A18" s="32" t="str">
        <x:v>VKM-013</x:v>
      </x:c>
      <x:c r="B18" s="32" t="str">
        <x:v>Слабосолёный лосось</x:v>
      </x:c>
      <x:c r="C18" s="32" t="str">
        <x:v>Холодные закуски</x:v>
      </x:c>
      <x:c r="D18" s="32" t="str">
        <x:v>1 порция</x:v>
      </x:c>
      <x:c r="E18" s="32" t="n">
        <x:v>130</x:v>
      </x:c>
      <x:c r="F18" s="32" t="str">
        <x:v>г</x:v>
      </x:c>
      <x:c r="G18" s="32" t="str">
        <x:v>0.1.0-DRAFT</x:v>
      </x:c>
      <x:c r="H18" s="32" t="str">
        <x:v>DRAFT_WITH_ASSUMPTIONS</x:v>
      </x:c>
      <x:c r="I18" s="32" t="str">
        <x:v>BLOCK</x:v>
      </x:c>
      <x:c r="J18" s="33" t="str">
        <x:f>IF('04_КАЛЬКУЛЯЦИИ'!N18="","",'04_КАЛЬКУЛЯЦИИ'!N18)</x:f>
      </x:c>
      <x:c r="K18" s="33" t="str">
        <x:f>IFERROR(INDEX('07_ЦЕНООБРАЗОВАНИЕ'!$I$6:$I$106,MATCH(1,('07_ЦЕНООБРАЗОВАНИЕ'!$A$6:$A$106=A18)*('07_ЦЕНООБРАЗОВАНИЕ'!$C$6:$C$106="À la carte"),0)),"")</x:f>
      </x:c>
      <x:c r="L18" s="33" t="str">
        <x:f>IF(OR(J18="",K18=""),"",J18/K18)</x:f>
      </x:c>
      <x:c r="M18" s="33" t="str">
        <x:f>IF(OR(J18="",K18=""),"",K18-J18)</x:f>
      </x:c>
      <x:c r="N18" s="32" t="str">
        <x:v>GAP-001;GAP-002;GAP-004;GAP-005</x:v>
      </x:c>
    </x:row>
    <x:row r="19">
      <x:c r="A19" s="32" t="str">
        <x:v>VKM-014</x:v>
      </x:c>
      <x:c r="B19" s="32" t="str">
        <x:v>Сельдь с запечённым картофелем</x:v>
      </x:c>
      <x:c r="C19" s="32" t="str">
        <x:v>Холодные закуски</x:v>
      </x:c>
      <x:c r="D19" s="32" t="str">
        <x:v>1 порция</x:v>
      </x:c>
      <x:c r="E19" s="32" t="n">
        <x:v>250</x:v>
      </x:c>
      <x:c r="F19" s="32" t="str">
        <x:v>г</x:v>
      </x:c>
      <x:c r="G19" s="32" t="str">
        <x:v>0.1.0-DRAFT</x:v>
      </x:c>
      <x:c r="H19" s="32" t="str">
        <x:v>DRAFT_WITH_ASSUMPTIONS</x:v>
      </x:c>
      <x:c r="I19" s="32" t="str">
        <x:v>BLOCK</x:v>
      </x:c>
      <x:c r="J19" s="33" t="str">
        <x:f>IF('04_КАЛЬКУЛЯЦИИ'!N19="","",'04_КАЛЬКУЛЯЦИИ'!N19)</x:f>
      </x:c>
      <x:c r="K19" s="33" t="str">
        <x:f>IFERROR(INDEX('07_ЦЕНООБРАЗОВАНИЕ'!$I$6:$I$106,MATCH(1,('07_ЦЕНООБРАЗОВАНИЕ'!$A$6:$A$106=A19)*('07_ЦЕНООБРАЗОВАНИЕ'!$C$6:$C$106="À la carte"),0)),"")</x:f>
      </x:c>
      <x:c r="L19" s="33" t="str">
        <x:f>IF(OR(J19="",K19=""),"",J19/K19)</x:f>
      </x:c>
      <x:c r="M19" s="33" t="str">
        <x:f>IF(OR(J19="",K19=""),"",K19-J19)</x:f>
      </x:c>
      <x:c r="N19" s="32" t="str">
        <x:v>GAP-001;GAP-002;GAP-004;GAP-005</x:v>
      </x:c>
    </x:row>
    <x:row r="20">
      <x:c r="A20" s="32" t="str">
        <x:v>VKM-015</x:v>
      </x:c>
      <x:c r="B20" s="32" t="str">
        <x:v>Оливки и маслины</x:v>
      </x:c>
      <x:c r="C20" s="32" t="str">
        <x:v>Холодные закуски</x:v>
      </x:c>
      <x:c r="D20" s="32" t="str">
        <x:v>1 порция</x:v>
      </x:c>
      <x:c r="E20" s="32" t="n">
        <x:v>120</x:v>
      </x:c>
      <x:c r="F20" s="32" t="str">
        <x:v>г</x:v>
      </x:c>
      <x:c r="G20" s="32" t="str">
        <x:v>0.1.0-DRAFT</x:v>
      </x:c>
      <x:c r="H20" s="32" t="str">
        <x:v>DRAFT_WITH_ASSUMPTIONS</x:v>
      </x:c>
      <x:c r="I20" s="32" t="str">
        <x:v>BLOCK</x:v>
      </x:c>
      <x:c r="J20" s="33" t="str">
        <x:f>IF('04_КАЛЬКУЛЯЦИИ'!N20="","",'04_КАЛЬКУЛЯЦИИ'!N20)</x:f>
      </x:c>
      <x:c r="K20" s="33" t="str">
        <x:f>IFERROR(INDEX('07_ЦЕНООБРАЗОВАНИЕ'!$I$6:$I$106,MATCH(1,('07_ЦЕНООБРАЗОВАНИЕ'!$A$6:$A$106=A20)*('07_ЦЕНООБРАЗОВАНИЕ'!$C$6:$C$106="À la carte"),0)),"")</x:f>
      </x:c>
      <x:c r="L20" s="33" t="str">
        <x:f>IF(OR(J20="",K20=""),"",J20/K20)</x:f>
      </x:c>
      <x:c r="M20" s="33" t="str">
        <x:f>IF(OR(J20="",K20=""),"",K20-J20)</x:f>
      </x:c>
      <x:c r="N20" s="32" t="str">
        <x:v>GAP-001;GAP-002;GAP-004;GAP-005</x:v>
      </x:c>
    </x:row>
    <x:row r="21">
      <x:c r="A21" s="32" t="str">
        <x:v>VKM-016</x:v>
      </x:c>
      <x:c r="B21" s="32" t="str">
        <x:v>Ассорти фирменных солений</x:v>
      </x:c>
      <x:c r="C21" s="32" t="str">
        <x:v>Холодные закуски</x:v>
      </x:c>
      <x:c r="D21" s="32" t="str">
        <x:v>1 порция</x:v>
      </x:c>
      <x:c r="E21" s="32" t="n">
        <x:v>180</x:v>
      </x:c>
      <x:c r="F21" s="32" t="str">
        <x:v>г</x:v>
      </x:c>
      <x:c r="G21" s="32" t="str">
        <x:v>0.1.0-DRAFT</x:v>
      </x:c>
      <x:c r="H21" s="32" t="str">
        <x:v>DRAFT_WITH_ASSUMPTIONS</x:v>
      </x:c>
      <x:c r="I21" s="32" t="str">
        <x:v>BLOCK</x:v>
      </x:c>
      <x:c r="J21" s="33" t="str">
        <x:f>IF('04_КАЛЬКУЛЯЦИИ'!N21="","",'04_КАЛЬКУЛЯЦИИ'!N21)</x:f>
      </x:c>
      <x:c r="K21" s="33" t="str">
        <x:f>IFERROR(INDEX('07_ЦЕНООБРАЗОВАНИЕ'!$I$6:$I$106,MATCH(1,('07_ЦЕНООБРАЗОВАНИЕ'!$A$6:$A$106=A21)*('07_ЦЕНООБРАЗОВАНИЕ'!$C$6:$C$106="À la carte"),0)),"")</x:f>
      </x:c>
      <x:c r="L21" s="33" t="str">
        <x:f>IF(OR(J21="",K21=""),"",J21/K21)</x:f>
      </x:c>
      <x:c r="M21" s="33" t="str">
        <x:f>IF(OR(J21="",K21=""),"",K21-J21)</x:f>
      </x:c>
      <x:c r="N21" s="32" t="str">
        <x:v>GAP-001;GAP-002;GAP-004;GAP-005</x:v>
      </x:c>
    </x:row>
    <x:row r="22">
      <x:c r="A22" s="32" t="str">
        <x:v>VKM-017</x:v>
      </x:c>
      <x:c r="B22" s="32" t="str">
        <x:v>Ростбиф с луком и гренкой</x:v>
      </x:c>
      <x:c r="C22" s="32" t="str">
        <x:v>Холодные закуски</x:v>
      </x:c>
      <x:c r="D22" s="32" t="str">
        <x:v>1 порция</x:v>
      </x:c>
      <x:c r="E22" s="32" t="n">
        <x:v>180</x:v>
      </x:c>
      <x:c r="F22" s="32" t="str">
        <x:v>г</x:v>
      </x:c>
      <x:c r="G22" s="32" t="str">
        <x:v>0.1.0-DRAFT</x:v>
      </x:c>
      <x:c r="H22" s="32" t="str">
        <x:v>DRAFT_WITH_ASSUMPTIONS</x:v>
      </x:c>
      <x:c r="I22" s="32" t="str">
        <x:v>BLOCK</x:v>
      </x:c>
      <x:c r="J22" s="33" t="str">
        <x:f>IF('04_КАЛЬКУЛЯЦИИ'!N22="","",'04_КАЛЬКУЛЯЦИИ'!N22)</x:f>
      </x:c>
      <x:c r="K22" s="33" t="str">
        <x:f>IFERROR(INDEX('07_ЦЕНООБРАЗОВАНИЕ'!$I$6:$I$106,MATCH(1,('07_ЦЕНООБРАЗОВАНИЕ'!$A$6:$A$106=A22)*('07_ЦЕНООБРАЗОВАНИЕ'!$C$6:$C$106="À la carte"),0)),"")</x:f>
      </x:c>
      <x:c r="L22" s="33" t="str">
        <x:f>IF(OR(J22="",K22=""),"",J22/K22)</x:f>
      </x:c>
      <x:c r="M22" s="33" t="str">
        <x:f>IF(OR(J22="",K22=""),"",K22-J22)</x:f>
      </x:c>
      <x:c r="N22" s="32" t="str">
        <x:v>GAP-001;GAP-002;GAP-004;GAP-005</x:v>
      </x:c>
    </x:row>
    <x:row r="23">
      <x:c r="A23" s="32" t="str">
        <x:v>VKM-018</x:v>
      </x:c>
      <x:c r="B23" s="32" t="str">
        <x:v>Традиционный красный борщ</x:v>
      </x:c>
      <x:c r="C23" s="32" t="str">
        <x:v>Супы</x:v>
      </x:c>
      <x:c r="D23" s="32" t="str">
        <x:v>1 гостевая подача</x:v>
      </x:c>
      <x:c r="E23" s="32" t="n">
        <x:v>400</x:v>
      </x:c>
      <x:c r="F23" s="32" t="str">
        <x:v>г</x:v>
      </x:c>
      <x:c r="G23" s="32" t="str">
        <x:v>0.1.0-DRAFT</x:v>
      </x:c>
      <x:c r="H23" s="32" t="str">
        <x:v>DRAFT_WITH_ASSUMPTIONS</x:v>
      </x:c>
      <x:c r="I23" s="32" t="str">
        <x:v>BLOCK</x:v>
      </x:c>
      <x:c r="J23" s="33" t="str">
        <x:f>IF('04_КАЛЬКУЛЯЦИИ'!N23="","",'04_КАЛЬКУЛЯЦИИ'!N23)</x:f>
      </x:c>
      <x:c r="K23" s="33" t="str">
        <x:f>IFERROR(INDEX('07_ЦЕНООБРАЗОВАНИЕ'!$I$6:$I$106,MATCH(1,('07_ЦЕНООБРАЗОВАНИЕ'!$A$6:$A$106=A23)*('07_ЦЕНООБРАЗОВАНИЕ'!$C$6:$C$106="À la carte"),0)),"")</x:f>
      </x:c>
      <x:c r="L23" s="33" t="str">
        <x:f>IF(OR(J23="",K23=""),"",J23/K23)</x:f>
      </x:c>
      <x:c r="M23" s="33" t="str">
        <x:f>IF(OR(J23="",K23=""),"",K23-J23)</x:f>
      </x:c>
      <x:c r="N23" s="32" t="str">
        <x:v>GAP-001;GAP-002;GAP-004;GAP-005</x:v>
      </x:c>
    </x:row>
    <x:row r="24">
      <x:c r="A24" s="32" t="str">
        <x:v>VKM-019</x:v>
      </x:c>
      <x:c r="B24" s="32" t="str">
        <x:v>Мурманская треска со сливочно-горчичным соусом</x:v>
      </x:c>
      <x:c r="C24" s="32" t="str">
        <x:v>Горячие блюда</x:v>
      </x:c>
      <x:c r="D24" s="32" t="str">
        <x:v>1 порция</x:v>
      </x:c>
      <x:c r="E24" s="32" t="n">
        <x:v>300</x:v>
      </x:c>
      <x:c r="F24" s="32" t="str">
        <x:v>г</x:v>
      </x:c>
      <x:c r="G24" s="32" t="str">
        <x:v>0.1.0-DRAFT</x:v>
      </x:c>
      <x:c r="H24" s="32" t="str">
        <x:v>DRAFT_WITH_ASSUMPTIONS</x:v>
      </x:c>
      <x:c r="I24" s="32" t="str">
        <x:v>BLOCK</x:v>
      </x:c>
      <x:c r="J24" s="33" t="str">
        <x:f>IF('04_КАЛЬКУЛЯЦИИ'!N24="","",'04_КАЛЬКУЛЯЦИИ'!N24)</x:f>
      </x:c>
      <x:c r="K24" s="33" t="str">
        <x:f>IFERROR(INDEX('07_ЦЕНООБРАЗОВАНИЕ'!$I$6:$I$106,MATCH(1,('07_ЦЕНООБРАЗОВАНИЕ'!$A$6:$A$106=A24)*('07_ЦЕНООБРАЗОВАНИЕ'!$C$6:$C$106="À la carte"),0)),"")</x:f>
      </x:c>
      <x:c r="L24" s="33" t="str">
        <x:f>IF(OR(J24="",K24=""),"",J24/K24)</x:f>
      </x:c>
      <x:c r="M24" s="33" t="str">
        <x:f>IF(OR(J24="",K24=""),"",K24-J24)</x:f>
      </x:c>
      <x:c r="N24" s="32" t="str">
        <x:v>GAP-001;GAP-002;GAP-004;GAP-005</x:v>
      </x:c>
    </x:row>
    <x:row r="25">
      <x:c r="A25" s="32" t="str">
        <x:v>VKM-020</x:v>
      </x:c>
      <x:c r="B25" s="32" t="str">
        <x:v>Креветки по-тайски</x:v>
      </x:c>
      <x:c r="C25" s="32" t="str">
        <x:v>Горячие блюда</x:v>
      </x:c>
      <x:c r="D25" s="32" t="str">
        <x:v>1 порция</x:v>
      </x:c>
      <x:c r="E25" s="32" t="n">
        <x:v>360</x:v>
      </x:c>
      <x:c r="F25" s="32" t="str">
        <x:v>г</x:v>
      </x:c>
      <x:c r="G25" s="32" t="str">
        <x:v>0.1.0-DRAFT</x:v>
      </x:c>
      <x:c r="H25" s="32" t="str">
        <x:v>DRAFT_WITH_ASSUMPTIONS</x:v>
      </x:c>
      <x:c r="I25" s="32" t="str">
        <x:v>BLOCK</x:v>
      </x:c>
      <x:c r="J25" s="33" t="str">
        <x:f>IF('04_КАЛЬКУЛЯЦИИ'!N25="","",'04_КАЛЬКУЛЯЦИИ'!N25)</x:f>
      </x:c>
      <x:c r="K25" s="33" t="str">
        <x:f>IFERROR(INDEX('07_ЦЕНООБРАЗОВАНИЕ'!$I$6:$I$106,MATCH(1,('07_ЦЕНООБРАЗОВАНИЕ'!$A$6:$A$106=A25)*('07_ЦЕНООБРАЗОВАНИЕ'!$C$6:$C$106="À la carte"),0)),"")</x:f>
      </x:c>
      <x:c r="L25" s="33" t="str">
        <x:f>IF(OR(J25="",K25=""),"",J25/K25)</x:f>
      </x:c>
      <x:c r="M25" s="33" t="str">
        <x:f>IF(OR(J25="",K25=""),"",K25-J25)</x:f>
      </x:c>
      <x:c r="N25" s="32" t="str">
        <x:v>GAP-001;GAP-002;GAP-004;GAP-005</x:v>
      </x:c>
    </x:row>
    <x:row r="26">
      <x:c r="A26" s="32" t="str">
        <x:v>VKM-021</x:v>
      </x:c>
      <x:c r="B26" s="32" t="str">
        <x:v>Бургер VARSHAVKA</x:v>
      </x:c>
      <x:c r="C26" s="32" t="str">
        <x:v>Горячие блюда</x:v>
      </x:c>
      <x:c r="D26" s="32" t="str">
        <x:v>1 бургер</x:v>
      </x:c>
      <x:c r="E26" s="32" t="n">
        <x:v>350</x:v>
      </x:c>
      <x:c r="F26" s="32" t="str">
        <x:v>г</x:v>
      </x:c>
      <x:c r="G26" s="32" t="str">
        <x:v>0.1.0-DRAFT</x:v>
      </x:c>
      <x:c r="H26" s="32" t="str">
        <x:v>DRAFT_WITH_ASSUMPTIONS</x:v>
      </x:c>
      <x:c r="I26" s="32" t="str">
        <x:v>BLOCK</x:v>
      </x:c>
      <x:c r="J26" s="33" t="str">
        <x:f>IF('04_КАЛЬКУЛЯЦИИ'!N26="","",'04_КАЛЬКУЛЯЦИИ'!N26)</x:f>
      </x:c>
      <x:c r="K26" s="33" t="str">
        <x:f>IFERROR(INDEX('07_ЦЕНООБРАЗОВАНИЕ'!$I$6:$I$106,MATCH(1,('07_ЦЕНООБРАЗОВАНИЕ'!$A$6:$A$106=A26)*('07_ЦЕНООБРАЗОВАНИЕ'!$C$6:$C$106="À la carte"),0)),"")</x:f>
      </x:c>
      <x:c r="L26" s="33" t="str">
        <x:f>IF(OR(J26="",K26=""),"",J26/K26)</x:f>
      </x:c>
      <x:c r="M26" s="33" t="str">
        <x:f>IF(OR(J26="",K26=""),"",K26-J26)</x:f>
      </x:c>
      <x:c r="N26" s="32" t="str">
        <x:v>GAP-001;GAP-002;GAP-004;GAP-005</x:v>
      </x:c>
    </x:row>
    <x:row r="27">
      <x:c r="A27" s="32" t="str">
        <x:v>VKM-022</x:v>
      </x:c>
      <x:c r="B27" s="32" t="str">
        <x:v>Миньоны из говяжьей вырезки</x:v>
      </x:c>
      <x:c r="C27" s="32" t="str">
        <x:v>Горячие блюда</x:v>
      </x:c>
      <x:c r="D27" s="32" t="str">
        <x:v>1 порция, 2 миньона</x:v>
      </x:c>
      <x:c r="E27" s="32" t="n">
        <x:v>300</x:v>
      </x:c>
      <x:c r="F27" s="32" t="str">
        <x:v>г</x:v>
      </x:c>
      <x:c r="G27" s="32" t="str">
        <x:v>0.1.0-DRAFT</x:v>
      </x:c>
      <x:c r="H27" s="32" t="str">
        <x:v>DRAFT_WITH_ASSUMPTIONS</x:v>
      </x:c>
      <x:c r="I27" s="32" t="str">
        <x:v>BLOCK</x:v>
      </x:c>
      <x:c r="J27" s="33" t="str">
        <x:f>IF('04_КАЛЬКУЛЯЦИИ'!N27="","",'04_КАЛЬКУЛЯЦИИ'!N27)</x:f>
      </x:c>
      <x:c r="K27" s="33" t="str">
        <x:f>IFERROR(INDEX('07_ЦЕНООБРАЗОВАНИЕ'!$I$6:$I$106,MATCH(1,('07_ЦЕНООБРАЗОВАНИЕ'!$A$6:$A$106=A27)*('07_ЦЕНООБРАЗОВАНИЕ'!$C$6:$C$106="À la carte"),0)),"")</x:f>
      </x:c>
      <x:c r="L27" s="33" t="str">
        <x:f>IF(OR(J27="",K27=""),"",J27/K27)</x:f>
      </x:c>
      <x:c r="M27" s="33" t="str">
        <x:f>IF(OR(J27="",K27=""),"",K27-J27)</x:f>
      </x:c>
      <x:c r="N27" s="32" t="str">
        <x:v>GAP-001;GAP-002;GAP-004;GAP-005</x:v>
      </x:c>
    </x:row>
    <x:row r="28">
      <x:c r="A28" s="32" t="str">
        <x:v>VKM-023</x:v>
      </x:c>
      <x:c r="B28" s="32" t="str">
        <x:v>Запечённый картофель</x:v>
      </x:c>
      <x:c r="C28" s="32" t="str">
        <x:v>Гарниры</x:v>
      </x:c>
      <x:c r="D28" s="32" t="str">
        <x:v>1 порция</x:v>
      </x:c>
      <x:c r="E28" s="32" t="n">
        <x:v>150</x:v>
      </x:c>
      <x:c r="F28" s="32" t="str">
        <x:v>г</x:v>
      </x:c>
      <x:c r="G28" s="32" t="str">
        <x:v>0.1.0-DRAFT</x:v>
      </x:c>
      <x:c r="H28" s="32" t="str">
        <x:v>DRAFT_WITH_ASSUMPTIONS</x:v>
      </x:c>
      <x:c r="I28" s="32" t="str">
        <x:v>BLOCK</x:v>
      </x:c>
      <x:c r="J28" s="33" t="str">
        <x:f>IF('04_КАЛЬКУЛЯЦИИ'!N28="","",'04_КАЛЬКУЛЯЦИИ'!N28)</x:f>
      </x:c>
      <x:c r="K28" s="33" t="str">
        <x:f>IFERROR(INDEX('07_ЦЕНООБРАЗОВАНИЕ'!$I$6:$I$106,MATCH(1,('07_ЦЕНООБРАЗОВАНИЕ'!$A$6:$A$106=A28)*('07_ЦЕНООБРАЗОВАНИЕ'!$C$6:$C$106="À la carte"),0)),"")</x:f>
      </x:c>
      <x:c r="L28" s="33" t="str">
        <x:f>IF(OR(J28="",K28=""),"",J28/K28)</x:f>
      </x:c>
      <x:c r="M28" s="33" t="str">
        <x:f>IF(OR(J28="",K28=""),"",K28-J28)</x:f>
      </x:c>
      <x:c r="N28" s="32" t="str">
        <x:v>GAP-001;GAP-002;GAP-004;GAP-005</x:v>
      </x:c>
    </x:row>
    <x:row r="29">
      <x:c r="A29" s="32" t="str">
        <x:v>VKM-024</x:v>
      </x:c>
      <x:c r="B29" s="32" t="str">
        <x:v>Рис жасмин</x:v>
      </x:c>
      <x:c r="C29" s="32" t="str">
        <x:v>Гарниры</x:v>
      </x:c>
      <x:c r="D29" s="32" t="str">
        <x:v>1 порция</x:v>
      </x:c>
      <x:c r="E29" s="32" t="n">
        <x:v>150</x:v>
      </x:c>
      <x:c r="F29" s="32" t="str">
        <x:v>г</x:v>
      </x:c>
      <x:c r="G29" s="32" t="str">
        <x:v>0.1.0-DRAFT</x:v>
      </x:c>
      <x:c r="H29" s="32" t="str">
        <x:v>DRAFT_WITH_ASSUMPTIONS</x:v>
      </x:c>
      <x:c r="I29" s="32" t="str">
        <x:v>BLOCK</x:v>
      </x:c>
      <x:c r="J29" s="33" t="str">
        <x:f>IF('04_КАЛЬКУЛЯЦИИ'!N29="","",'04_КАЛЬКУЛЯЦИИ'!N29)</x:f>
      </x:c>
      <x:c r="K29" s="33" t="str">
        <x:f>IFERROR(INDEX('07_ЦЕНООБРАЗОВАНИЕ'!$I$6:$I$106,MATCH(1,('07_ЦЕНООБРАЗОВАНИЕ'!$A$6:$A$106=A29)*('07_ЦЕНООБРАЗОВАНИЕ'!$C$6:$C$106="À la carte"),0)),"")</x:f>
      </x:c>
      <x:c r="L29" s="33" t="str">
        <x:f>IF(OR(J29="",K29=""),"",J29/K29)</x:f>
      </x:c>
      <x:c r="M29" s="33" t="str">
        <x:f>IF(OR(J29="",K29=""),"",K29-J29)</x:f>
      </x:c>
      <x:c r="N29" s="32" t="str">
        <x:v>GAP-001;GAP-002;GAP-004;GAP-005</x:v>
      </x:c>
    </x:row>
    <x:row r="30">
      <x:c r="A30" s="32" t="str">
        <x:v>VKM-025</x:v>
      </x:c>
      <x:c r="B30" s="32" t="str">
        <x:v>Горячие овощи</x:v>
      </x:c>
      <x:c r="C30" s="32" t="str">
        <x:v>Гарниры</x:v>
      </x:c>
      <x:c r="D30" s="32" t="str">
        <x:v>1 порция</x:v>
      </x:c>
      <x:c r="E30" s="32" t="n">
        <x:v>150</x:v>
      </x:c>
      <x:c r="F30" s="32" t="str">
        <x:v>г</x:v>
      </x:c>
      <x:c r="G30" s="32" t="str">
        <x:v>0.1.0-DRAFT</x:v>
      </x:c>
      <x:c r="H30" s="32" t="str">
        <x:v>DRAFT_WITH_ASSUMPTIONS</x:v>
      </x:c>
      <x:c r="I30" s="32" t="str">
        <x:v>BLOCK</x:v>
      </x:c>
      <x:c r="J30" s="33" t="str">
        <x:f>IF('04_КАЛЬКУЛЯЦИИ'!N30="","",'04_КАЛЬКУЛЯЦИИ'!N30)</x:f>
      </x:c>
      <x:c r="K30" s="33" t="str">
        <x:f>IFERROR(INDEX('07_ЦЕНООБРАЗОВАНИЕ'!$I$6:$I$106,MATCH(1,('07_ЦЕНООБРАЗОВАНИЕ'!$A$6:$A$106=A30)*('07_ЦЕНООБРАЗОВАНИЕ'!$C$6:$C$106="À la carte"),0)),"")</x:f>
      </x:c>
      <x:c r="L30" s="33" t="str">
        <x:f>IF(OR(J30="",K30=""),"",J30/K30)</x:f>
      </x:c>
      <x:c r="M30" s="33" t="str">
        <x:f>IF(OR(J30="",K30=""),"",K30-J30)</x:f>
      </x:c>
      <x:c r="N30" s="32" t="str">
        <x:v>GAP-001;GAP-002;GAP-004;GAP-005</x:v>
      </x:c>
    </x:row>
    <x:row r="31">
      <x:c r="A31" s="32" t="str">
        <x:v>VKM-029</x:v>
      </x:c>
      <x:c r="B31" s="32" t="str">
        <x:v>Черничный торт VARSHAVKA</x:v>
      </x:c>
      <x:c r="C31" s="32" t="str">
        <x:v>Десерты</x:v>
      </x:c>
      <x:c r="D31" s="32" t="str">
        <x:v>1 торт / 12 порций</x:v>
      </x:c>
      <x:c r="E31" s="32" t="n">
        <x:v>1800</x:v>
      </x:c>
      <x:c r="F31" s="32" t="str">
        <x:v>г</x:v>
      </x:c>
      <x:c r="G31" s="32" t="str">
        <x:v>0.1.0-DRAFT</x:v>
      </x:c>
      <x:c r="H31" s="32" t="str">
        <x:v>DRAFT_WITH_ASSUMPTIONS</x:v>
      </x:c>
      <x:c r="I31" s="32" t="str">
        <x:v>BLOCK</x:v>
      </x:c>
      <x:c r="J31" s="33" t="str">
        <x:f>IF('04_КАЛЬКУЛЯЦИИ'!N31="","",'04_КАЛЬКУЛЯЦИИ'!N31)</x:f>
      </x:c>
      <x:c r="K31" s="33" t="str">
        <x:f>IFERROR(INDEX('07_ЦЕНООБРАЗОВАНИЕ'!$I$6:$I$106,MATCH(1,('07_ЦЕНООБРАЗОВАНИЕ'!$A$6:$A$106=A31)*('07_ЦЕНООБРАЗОВАНИЕ'!$C$6:$C$106="À la carte"),0)),"")</x:f>
      </x:c>
      <x:c r="L31" s="33" t="str">
        <x:f>IF(OR(J31="",K31=""),"",J31/K31)</x:f>
      </x:c>
      <x:c r="M31" s="33" t="str">
        <x:f>IF(OR(J31="",K31=""),"",K31-J31)</x:f>
      </x:c>
      <x:c r="N31" s="32" t="str">
        <x:v>GAP-001;GAP-002;GAP-004;GAP-005</x:v>
      </x:c>
    </x:row>
    <x:row r="32">
      <x:c r="A32" s="32" t="str">
        <x:v>VKM-030</x:v>
      </x:c>
      <x:c r="B32" s="32" t="str">
        <x:v>Кростата с солёной карамелью</x:v>
      </x:c>
      <x:c r="C32" s="32" t="str">
        <x:v>Десерты</x:v>
      </x:c>
      <x:c r="D32" s="32" t="str">
        <x:v>1 кростата / 10 порций</x:v>
      </x:c>
      <x:c r="E32" s="32" t="n">
        <x:v>1200</x:v>
      </x:c>
      <x:c r="F32" s="32" t="str">
        <x:v>г</x:v>
      </x:c>
      <x:c r="G32" s="32" t="str">
        <x:v>0.1.0-DRAFT</x:v>
      </x:c>
      <x:c r="H32" s="32" t="str">
        <x:v>DRAFT_WITH_ASSUMPTIONS</x:v>
      </x:c>
      <x:c r="I32" s="32" t="str">
        <x:v>BLOCK</x:v>
      </x:c>
      <x:c r="J32" s="33" t="str">
        <x:f>IF('04_КАЛЬКУЛЯЦИИ'!N32="","",'04_КАЛЬКУЛЯЦИИ'!N32)</x:f>
      </x:c>
      <x:c r="K32" s="33" t="str">
        <x:f>IFERROR(INDEX('07_ЦЕНООБРАЗОВАНИЕ'!$I$6:$I$106,MATCH(1,('07_ЦЕНООБРАЗОВАНИЕ'!$A$6:$A$106=A32)*('07_ЦЕНООБРАЗОВАНИЕ'!$C$6:$C$106="À la carte"),0)),"")</x:f>
      </x:c>
      <x:c r="L32" s="33" t="str">
        <x:f>IF(OR(J32="",K32=""),"",J32/K32)</x:f>
      </x:c>
      <x:c r="M32" s="33" t="str">
        <x:f>IF(OR(J32="",K32=""),"",K32-J32)</x:f>
      </x:c>
      <x:c r="N32" s="32" t="str">
        <x:v>GAP-001;GAP-002;GAP-004;GAP-005</x:v>
      </x:c>
    </x:row>
    <x:row r="33">
      <x:c r="A33" s="32" t="str">
        <x:v>VKM-031</x:v>
      </x:c>
      <x:c r="B33" s="32" t="str">
        <x:v>Мадлен</x:v>
      </x:c>
      <x:c r="C33" s="32" t="str">
        <x:v>Десерты</x:v>
      </x:c>
      <x:c r="D33" s="32" t="str">
        <x:v>партия 20 шт. / продажа 2 шт.</x:v>
      </x:c>
      <x:c r="E33" s="32" t="n">
        <x:v>600</x:v>
      </x:c>
      <x:c r="F33" s="32" t="str">
        <x:v>г</x:v>
      </x:c>
      <x:c r="G33" s="32" t="str">
        <x:v>0.1.0-DRAFT</x:v>
      </x:c>
      <x:c r="H33" s="32" t="str">
        <x:v>DRAFT_WITH_ASSUMPTIONS</x:v>
      </x:c>
      <x:c r="I33" s="32" t="str">
        <x:v>BLOCK</x:v>
      </x:c>
      <x:c r="J33" s="33" t="str">
        <x:f>IF('04_КАЛЬКУЛЯЦИИ'!N33="","",'04_КАЛЬКУЛЯЦИИ'!N33)</x:f>
      </x:c>
      <x:c r="K33" s="33" t="str">
        <x:f>IFERROR(INDEX('07_ЦЕНООБРАЗОВАНИЕ'!$I$6:$I$106,MATCH(1,('07_ЦЕНООБРАЗОВАНИЕ'!$A$6:$A$106=A33)*('07_ЦЕНООБРАЗОВАНИЕ'!$C$6:$C$106="À la carte"),0)),"")</x:f>
      </x:c>
      <x:c r="L33" s="33" t="str">
        <x:f>IF(OR(J33="",K33=""),"",J33/K33)</x:f>
      </x:c>
      <x:c r="M33" s="33" t="str">
        <x:f>IF(OR(J33="",K33=""),"",K33-J33)</x:f>
      </x:c>
      <x:c r="N33" s="32" t="str">
        <x:v>GAP-001;GAP-002;GAP-004;GAP-005</x:v>
      </x:c>
    </x:row>
  </x:sheetData>
  <x:mergeCells>
    <x:mergeCell ref="A1:M1"/>
    <x:mergeCell ref="A2:M2"/>
  </x:mergeCells>
  <x:conditionalFormatting sqref="H6:I33">
    <x:cfRule type="containsText" dxfId="2" priority="1" operator="containsText" text="BLOCK"/>
    <x:cfRule type="containsText" dxfId="3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c609bbdeb9ef40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3" hidden="0" customWidth="1"/>
    <x:col min="7" max="7" width="30" hidden="0" customWidth="1"/>
    <x:col min="8" max="8" width="18" hidden="0" customWidth="1"/>
    <x:col min="9" max="9" width="12" hidden="0" customWidth="1"/>
    <x:col min="10" max="10" width="11" hidden="0" customWidth="1"/>
    <x:col min="11" max="11" width="8" hidden="0" customWidth="1"/>
    <x:col min="12" max="12" width="11" hidden="0" customWidth="1"/>
    <x:col min="13" max="13" width="13" hidden="0" customWidth="1"/>
    <x:col min="14" max="14" width="17" hidden="0" customWidth="1"/>
    <x:col min="15" max="15" width="25" hidden="0" customWidth="1"/>
    <x:col min="16" max="16" width="25" hidden="0" customWidth="1"/>
  </x:cols>
  <x:sheetData>
    <x:row r="1" ht="30" customHeight="1">
      <x:c r="A1" s="26" t="str">
        <x:v>02 — Рецептуры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</x:row>
    <x:row r="2" ht="27" customHeight="1">
      <x:c r="A2" s="28" t="str">
        <x:v>253 строк HOF-0002; нормы DRAFT/ASSUMPTION, фактические потери и выход требуют контрольной проработки.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 ht="34" customHeight="1">
      <x:c r="A5" s="31" t="str">
        <x:v>Line ID</x:v>
      </x:c>
      <x:c r="B5" s="31" t="str">
        <x:v>Dish ID</x:v>
      </x:c>
      <x:c r="C5" s="31" t="str">
        <x:v>Cost card</x:v>
      </x:c>
      <x:c r="D5" s="31" t="str">
        <x:v>Tech card</x:v>
      </x:c>
      <x:c r="E5" s="31" t="str">
        <x:v>Версия</x:v>
      </x:c>
      <x:c r="F5" s="31" t="str">
        <x:v>Ingredient ID</x:v>
      </x:c>
      <x:c r="G5" s="31" t="str">
        <x:v>Ингредиент</x:v>
      </x:c>
      <x:c r="H5" s="31" t="str">
        <x:v>Стадия</x:v>
      </x:c>
      <x:c r="I5" s="31" t="str">
        <x:v>VSF</x:v>
      </x:c>
      <x:c r="J5" s="31" t="str">
        <x:v>Брутто</x:v>
      </x:c>
      <x:c r="K5" s="31" t="str">
        <x:v>Ед.</x:v>
      </x:c>
      <x:c r="L5" s="31" t="str">
        <x:v>Нетто</x:v>
      </x:c>
      <x:c r="M5" s="31" t="str">
        <x:v>Вклад в выход</x:v>
      </x:c>
      <x:c r="N5" s="31" t="str">
        <x:v>Статус</x:v>
      </x:c>
      <x:c r="O5" s="31" t="str">
        <x:v>Evidence</x:v>
      </x:c>
      <x:c r="P5" s="31" t="str">
        <x:v>Blockers</x:v>
      </x:c>
    </x:row>
    <x:row r="6">
      <x:c r="A6" s="32" t="str">
        <x:v>RCP-0001</x:v>
      </x:c>
      <x:c r="B6" s="32" t="str">
        <x:v>VKM-001</x:v>
      </x:c>
      <x:c r="C6" s="32" t="str">
        <x:v>VKC-001</x:v>
      </x:c>
      <x:c r="D6" s="32" t="str">
        <x:v>VKT-001</x:v>
      </x:c>
      <x:c r="E6" s="32" t="str">
        <x:v>0.1.0-DRAFT</x:v>
      </x:c>
      <x:c r="F6" s="32" t="str">
        <x:v>ING-001</x:v>
      </x:c>
      <x:c r="G6" s="32" t="str">
        <x:v>Мука пшеничная хлебопекарная</x:v>
      </x:c>
      <x:c r="H6" s="32" t="str">
        <x:v>Тесто</x:v>
      </x:c>
      <x:c r="I6" s="32" t="str">
        <x:v>VSF-001</x:v>
      </x:c>
      <x:c r="J6" s="32" t="n">
        <x:v>140</x:v>
      </x:c>
      <x:c r="K6" s="32" t="str">
        <x:v>г</x:v>
      </x:c>
      <x:c r="L6" s="32" t="n">
        <x:v>140</x:v>
      </x:c>
      <x:c r="M6" s="32" t="n">
        <x:v>130</x:v>
      </x:c>
      <x:c r="N6" s="32" t="str">
        <x:v>ASSUMPTION</x:v>
      </x:c>
      <x:c r="O6" s="32" t="str">
        <x:v>EVD-0007;EVD-0008</x:v>
      </x:c>
      <x:c r="P6" s="32" t="str">
        <x:v>GAP-004;GAP-005</x:v>
      </x:c>
    </x:row>
    <x:row r="7">
      <x:c r="A7" s="32" t="str">
        <x:v>RCP-0002</x:v>
      </x:c>
      <x:c r="B7" s="32" t="str">
        <x:v>VKM-001</x:v>
      </x:c>
      <x:c r="C7" s="32" t="str">
        <x:v>VKC-001</x:v>
      </x:c>
      <x:c r="D7" s="32" t="str">
        <x:v>VKT-001</x:v>
      </x:c>
      <x:c r="E7" s="32" t="str">
        <x:v>0.1.0-DRAFT</x:v>
      </x:c>
      <x:c r="F7" s="32" t="str">
        <x:v>ING-002</x:v>
      </x:c>
      <x:c r="G7" s="32" t="str">
        <x:v>Вода питьевая</x:v>
      </x:c>
      <x:c r="H7" s="32" t="str">
        <x:v>Тесто</x:v>
      </x:c>
      <x:c r="I7" s="32" t="str">
        <x:v>VSF-001</x:v>
      </x:c>
      <x:c r="J7" s="32" t="n">
        <x:v>85</x:v>
      </x:c>
      <x:c r="K7" s="32" t="str">
        <x:v>г</x:v>
      </x:c>
      <x:c r="L7" s="32" t="n">
        <x:v>85</x:v>
      </x:c>
      <x:c r="M7" s="32" t="n">
        <x:v>70</x:v>
      </x:c>
      <x:c r="N7" s="32" t="str">
        <x:v>ASSUMPTION</x:v>
      </x:c>
      <x:c r="O7" s="32" t="str">
        <x:v>EVD-0007;EVD-0008</x:v>
      </x:c>
      <x:c r="P7" s="32" t="str">
        <x:v>GAP-004;GAP-005</x:v>
      </x:c>
    </x:row>
    <x:row r="8">
      <x:c r="A8" s="32" t="str">
        <x:v>RCP-0003</x:v>
      </x:c>
      <x:c r="B8" s="32" t="str">
        <x:v>VKM-001</x:v>
      </x:c>
      <x:c r="C8" s="32" t="str">
        <x:v>VKC-001</x:v>
      </x:c>
      <x:c r="D8" s="32" t="str">
        <x:v>VKT-001</x:v>
      </x:c>
      <x:c r="E8" s="32" t="str">
        <x:v>0.1.0-DRAFT</x:v>
      </x:c>
      <x:c r="F8" s="32" t="str">
        <x:v>ING-003</x:v>
      </x:c>
      <x:c r="G8" s="32" t="str">
        <x:v>Дрожжи хлебопекарные</x:v>
      </x:c>
      <x:c r="H8" s="32" t="str">
        <x:v>Тесто</x:v>
      </x:c>
      <x:c r="I8" s="32" t="str">
        <x:v>VSF-001</x:v>
      </x:c>
      <x:c r="J8" s="32" t="n">
        <x:v>2</x:v>
      </x:c>
      <x:c r="K8" s="32" t="str">
        <x:v>г</x:v>
      </x:c>
      <x:c r="L8" s="32" t="n">
        <x:v>2</x:v>
      </x:c>
      <x:c r="M8" s="32" t="n">
        <x:v>2</x:v>
      </x:c>
      <x:c r="N8" s="32" t="str">
        <x:v>ASSUMPTION</x:v>
      </x:c>
      <x:c r="O8" s="32" t="str">
        <x:v>EVD-0007;EVD-0008</x:v>
      </x:c>
      <x:c r="P8" s="32" t="str">
        <x:v>GAP-004;GAP-005</x:v>
      </x:c>
    </x:row>
    <x:row r="9">
      <x:c r="A9" s="32" t="str">
        <x:v>RCP-0004</x:v>
      </x:c>
      <x:c r="B9" s="32" t="str">
        <x:v>VKM-001</x:v>
      </x:c>
      <x:c r="C9" s="32" t="str">
        <x:v>VKC-001</x:v>
      </x:c>
      <x:c r="D9" s="32" t="str">
        <x:v>VKT-001</x:v>
      </x:c>
      <x:c r="E9" s="32" t="str">
        <x:v>0.1.0-DRAFT</x:v>
      </x:c>
      <x:c r="F9" s="32" t="str">
        <x:v>ING-004</x:v>
      </x:c>
      <x:c r="G9" s="32" t="str">
        <x:v>Соль пищевая</x:v>
      </x:c>
      <x:c r="H9" s="32" t="str">
        <x:v>Тесто</x:v>
      </x:c>
      <x:c r="I9" s="32" t="str">
        <x:v>VSF-001</x:v>
      </x:c>
      <x:c r="J9" s="32" t="n">
        <x:v>3</x:v>
      </x:c>
      <x:c r="K9" s="32" t="str">
        <x:v>г</x:v>
      </x:c>
      <x:c r="L9" s="32" t="n">
        <x:v>3</x:v>
      </x:c>
      <x:c r="M9" s="32" t="n">
        <x:v>3</x:v>
      </x:c>
      <x:c r="N9" s="32" t="str">
        <x:v>ASSUMPTION</x:v>
      </x:c>
      <x:c r="O9" s="32" t="str">
        <x:v>EVD-0007;EVD-0008</x:v>
      </x:c>
      <x:c r="P9" s="32" t="str">
        <x:v>GAP-004;GAP-005</x:v>
      </x:c>
    </x:row>
    <x:row r="10">
      <x:c r="A10" s="32" t="str">
        <x:v>RCP-0005</x:v>
      </x:c>
      <x:c r="B10" s="32" t="str">
        <x:v>VKM-001</x:v>
      </x:c>
      <x:c r="C10" s="32" t="str">
        <x:v>VKC-001</x:v>
      </x:c>
      <x:c r="D10" s="32" t="str">
        <x:v>VKT-001</x:v>
      </x:c>
      <x:c r="E10" s="32" t="str">
        <x:v>0.1.0-DRAFT</x:v>
      </x:c>
      <x:c r="F10" s="32" t="str">
        <x:v>ING-005</x:v>
      </x:c>
      <x:c r="G10" s="32" t="str">
        <x:v>Масло оливковое</x:v>
      </x:c>
      <x:c r="H10" s="32" t="str">
        <x:v>Тесто</x:v>
      </x:c>
      <x:c r="I10" s="32" t="str">
        <x:v>VSF-001</x:v>
      </x:c>
      <x:c r="J10" s="32" t="n">
        <x:v>8</x:v>
      </x:c>
      <x:c r="K10" s="32" t="str">
        <x:v>г</x:v>
      </x:c>
      <x:c r="L10" s="32" t="n">
        <x:v>8</x:v>
      </x:c>
      <x:c r="M10" s="32" t="n">
        <x:v>8</x:v>
      </x:c>
      <x:c r="N10" s="32" t="str">
        <x:v>ASSUMPTION</x:v>
      </x:c>
      <x:c r="O10" s="32" t="str">
        <x:v>EVD-0007;EVD-0008</x:v>
      </x:c>
      <x:c r="P10" s="32" t="str">
        <x:v>GAP-004;GAP-005</x:v>
      </x:c>
    </x:row>
    <x:row r="11">
      <x:c r="A11" s="32" t="str">
        <x:v>RCP-0006</x:v>
      </x:c>
      <x:c r="B11" s="32" t="str">
        <x:v>VKM-001</x:v>
      </x:c>
      <x:c r="C11" s="32" t="str">
        <x:v>VKC-001</x:v>
      </x:c>
      <x:c r="D11" s="32" t="str">
        <x:v>VKT-001</x:v>
      </x:c>
      <x:c r="E11" s="32" t="str">
        <x:v>0.1.0-DRAFT</x:v>
      </x:c>
      <x:c r="F11" s="32" t="str">
        <x:v>ING-006</x:v>
      </x:c>
      <x:c r="G11" s="32" t="str">
        <x:v>Томаты протёртые</x:v>
      </x:c>
      <x:c r="H11" s="32" t="str">
        <x:v>Соус</x:v>
      </x:c>
      <x:c r="I11" s="32" t="str">
        <x:v>VSF-002</x:v>
      </x:c>
      <x:c r="J11" s="32" t="n">
        <x:v>70</x:v>
      </x:c>
      <x:c r="K11" s="32" t="str">
        <x:v>г</x:v>
      </x:c>
      <x:c r="L11" s="32" t="n">
        <x:v>70</x:v>
      </x:c>
      <x:c r="M11" s="32" t="n">
        <x:v>67</x:v>
      </x:c>
      <x:c r="N11" s="32" t="str">
        <x:v>ASSUMPTION</x:v>
      </x:c>
      <x:c r="O11" s="32" t="str">
        <x:v>EVD-0007;EVD-0008</x:v>
      </x:c>
      <x:c r="P11" s="32" t="str">
        <x:v>GAP-004;GAP-005</x:v>
      </x:c>
    </x:row>
    <x:row r="12">
      <x:c r="A12" s="32" t="str">
        <x:v>RCP-0007</x:v>
      </x:c>
      <x:c r="B12" s="32" t="str">
        <x:v>VKM-001</x:v>
      </x:c>
      <x:c r="C12" s="32" t="str">
        <x:v>VKC-001</x:v>
      </x:c>
      <x:c r="D12" s="32" t="str">
        <x:v>VKT-001</x:v>
      </x:c>
      <x:c r="E12" s="32" t="str">
        <x:v>0.1.0-DRAFT</x:v>
      </x:c>
      <x:c r="F12" s="32" t="str">
        <x:v>ING-007</x:v>
      </x:c>
      <x:c r="G12" s="32" t="str">
        <x:v>Чеснок</x:v>
      </x:c>
      <x:c r="H12" s="32" t="str">
        <x:v>Соус</x:v>
      </x:c>
      <x:c r="I12" s="32" t="str">
        <x:v>VSF-002</x:v>
      </x:c>
      <x:c r="J12" s="32" t="n">
        <x:v>2.2</x:v>
      </x:c>
      <x:c r="K12" s="32" t="str">
        <x:v>г</x:v>
      </x:c>
      <x:c r="L12" s="32" t="n">
        <x:v>2</x:v>
      </x:c>
      <x:c r="M12" s="32" t="n">
        <x:v>2</x:v>
      </x:c>
      <x:c r="N12" s="32" t="str">
        <x:v>ASSUMPTION</x:v>
      </x:c>
      <x:c r="O12" s="32" t="str">
        <x:v>EVD-0007;EVD-0008</x:v>
      </x:c>
      <x:c r="P12" s="32" t="str">
        <x:v>GAP-004;GAP-005</x:v>
      </x:c>
    </x:row>
    <x:row r="13">
      <x:c r="A13" s="32" t="str">
        <x:v>RCP-0008</x:v>
      </x:c>
      <x:c r="B13" s="32" t="str">
        <x:v>VKM-001</x:v>
      </x:c>
      <x:c r="C13" s="32" t="str">
        <x:v>VKC-001</x:v>
      </x:c>
      <x:c r="D13" s="32" t="str">
        <x:v>VKT-001</x:v>
      </x:c>
      <x:c r="E13" s="32" t="str">
        <x:v>0.1.0-DRAFT</x:v>
      </x:c>
      <x:c r="F13" s="32" t="str">
        <x:v>ING-008</x:v>
      </x:c>
      <x:c r="G13" s="32" t="str">
        <x:v>Орегано</x:v>
      </x:c>
      <x:c r="H13" s="32" t="str">
        <x:v>Соус</x:v>
      </x:c>
      <x:c r="I13" s="32" t="str">
        <x:v>VSF-002</x:v>
      </x:c>
      <x:c r="J13" s="32" t="n">
        <x:v>1</x:v>
      </x:c>
      <x:c r="K13" s="32" t="str">
        <x:v>г</x:v>
      </x:c>
      <x:c r="L13" s="32" t="n">
        <x:v>1</x:v>
      </x:c>
      <x:c r="M13" s="32" t="n">
        <x:v>1</x:v>
      </x:c>
      <x:c r="N13" s="32" t="str">
        <x:v>ASSUMPTION</x:v>
      </x:c>
      <x:c r="O13" s="32" t="str">
        <x:v>EVD-0007;EVD-0008</x:v>
      </x:c>
      <x:c r="P13" s="32" t="str">
        <x:v>GAP-004;GAP-005</x:v>
      </x:c>
    </x:row>
    <x:row r="14">
      <x:c r="A14" s="32" t="str">
        <x:v>RCP-0009</x:v>
      </x:c>
      <x:c r="B14" s="32" t="str">
        <x:v>VKM-001</x:v>
      </x:c>
      <x:c r="C14" s="32" t="str">
        <x:v>VKC-001</x:v>
      </x:c>
      <x:c r="D14" s="32" t="str">
        <x:v>VKT-001</x:v>
      </x:c>
      <x:c r="E14" s="32" t="str">
        <x:v>0.1.0-DRAFT</x:v>
      </x:c>
      <x:c r="F14" s="32" t="str">
        <x:v>ING-005</x:v>
      </x:c>
      <x:c r="G14" s="32" t="str">
        <x:v>Масло оливковое</x:v>
      </x:c>
      <x:c r="H14" s="32" t="str">
        <x:v>Соус</x:v>
      </x:c>
      <x:c r="I14" s="32" t="str">
        <x:v>VSF-002</x:v>
      </x:c>
      <x:c r="J14" s="32" t="n">
        <x:v>10</x:v>
      </x:c>
      <x:c r="K14" s="32" t="str">
        <x:v>г</x:v>
      </x:c>
      <x:c r="L14" s="32" t="n">
        <x:v>10</x:v>
      </x:c>
      <x:c r="M14" s="32" t="n">
        <x:v>10</x:v>
      </x:c>
      <x:c r="N14" s="32" t="str">
        <x:v>ASSUMPTION</x:v>
      </x:c>
      <x:c r="O14" s="32" t="str">
        <x:v>EVD-0007;EVD-0008</x:v>
      </x:c>
      <x:c r="P14" s="32" t="str">
        <x:v>GAP-004;GAP-005</x:v>
      </x:c>
    </x:row>
    <x:row r="15">
      <x:c r="A15" s="32" t="str">
        <x:v>RCP-0010</x:v>
      </x:c>
      <x:c r="B15" s="32" t="str">
        <x:v>VKM-001</x:v>
      </x:c>
      <x:c r="C15" s="32" t="str">
        <x:v>VKC-001</x:v>
      </x:c>
      <x:c r="D15" s="32" t="str">
        <x:v>VKT-001</x:v>
      </x:c>
      <x:c r="E15" s="32" t="str">
        <x:v>0.1.0-DRAFT</x:v>
      </x:c>
      <x:c r="F15" s="32" t="str">
        <x:v>ING-009</x:v>
      </x:c>
      <x:c r="G15" s="32" t="str">
        <x:v>Моцарелла</x:v>
      </x:c>
      <x:c r="H15" s="32" t="str">
        <x:v>Сборка</x:v>
      </x:c>
      <x:c r="I15" s="32"/>
      <x:c r="J15" s="32" t="n">
        <x:v>130</x:v>
      </x:c>
      <x:c r="K15" s="32" t="str">
        <x:v>г</x:v>
      </x:c>
      <x:c r="L15" s="32" t="n">
        <x:v>130</x:v>
      </x:c>
      <x:c r="M15" s="32" t="n">
        <x:v>130</x:v>
      </x:c>
      <x:c r="N15" s="32" t="str">
        <x:v>ASSUMPTION</x:v>
      </x:c>
      <x:c r="O15" s="32" t="str">
        <x:v>EVD-0007;EVD-0008</x:v>
      </x:c>
      <x:c r="P15" s="32" t="str">
        <x:v>GAP-004;GAP-005</x:v>
      </x:c>
    </x:row>
    <x:row r="16">
      <x:c r="A16" s="32" t="str">
        <x:v>RCP-0011</x:v>
      </x:c>
      <x:c r="B16" s="32" t="str">
        <x:v>VKM-001</x:v>
      </x:c>
      <x:c r="C16" s="32" t="str">
        <x:v>VKC-001</x:v>
      </x:c>
      <x:c r="D16" s="32" t="str">
        <x:v>VKT-001</x:v>
      </x:c>
      <x:c r="E16" s="32" t="str">
        <x:v>0.1.0-DRAFT</x:v>
      </x:c>
      <x:c r="F16" s="32" t="str">
        <x:v>ING-010</x:v>
      </x:c>
      <x:c r="G16" s="32" t="str">
        <x:v>Пармезан</x:v>
      </x:c>
      <x:c r="H16" s="32" t="str">
        <x:v>Сборка</x:v>
      </x:c>
      <x:c r="I16" s="32"/>
      <x:c r="J16" s="32" t="n">
        <x:v>10</x:v>
      </x:c>
      <x:c r="K16" s="32" t="str">
        <x:v>г</x:v>
      </x:c>
      <x:c r="L16" s="32" t="n">
        <x:v>10</x:v>
      </x:c>
      <x:c r="M16" s="32" t="n">
        <x:v>10</x:v>
      </x:c>
      <x:c r="N16" s="32" t="str">
        <x:v>ASSUMPTION</x:v>
      </x:c>
      <x:c r="O16" s="32" t="str">
        <x:v>EVD-0007;EVD-0008</x:v>
      </x:c>
      <x:c r="P16" s="32" t="str">
        <x:v>GAP-004;GAP-005</x:v>
      </x:c>
    </x:row>
    <x:row r="17">
      <x:c r="A17" s="32" t="str">
        <x:v>RCP-0012</x:v>
      </x:c>
      <x:c r="B17" s="32" t="str">
        <x:v>VKM-001</x:v>
      </x:c>
      <x:c r="C17" s="32" t="str">
        <x:v>VKC-001</x:v>
      </x:c>
      <x:c r="D17" s="32" t="str">
        <x:v>VKT-001</x:v>
      </x:c>
      <x:c r="E17" s="32" t="str">
        <x:v>0.1.0-DRAFT</x:v>
      </x:c>
      <x:c r="F17" s="32" t="str">
        <x:v>ING-011</x:v>
      </x:c>
      <x:c r="G17" s="32" t="str">
        <x:v>Базилик свежий</x:v>
      </x:c>
      <x:c r="H17" s="32" t="str">
        <x:v>Сборка</x:v>
      </x:c>
      <x:c r="I17" s="32"/>
      <x:c r="J17" s="32" t="n">
        <x:v>6</x:v>
      </x:c>
      <x:c r="K17" s="32" t="str">
        <x:v>г</x:v>
      </x:c>
      <x:c r="L17" s="32" t="n">
        <x:v>5</x:v>
      </x:c>
      <x:c r="M17" s="32" t="n">
        <x:v>5</x:v>
      </x:c>
      <x:c r="N17" s="32" t="str">
        <x:v>ASSUMPTION</x:v>
      </x:c>
      <x:c r="O17" s="32" t="str">
        <x:v>EVD-0007;EVD-0008</x:v>
      </x:c>
      <x:c r="P17" s="32" t="str">
        <x:v>GAP-004;GAP-005</x:v>
      </x:c>
    </x:row>
    <x:row r="18">
      <x:c r="A18" s="32" t="str">
        <x:v>RCP-0013</x:v>
      </x:c>
      <x:c r="B18" s="32" t="str">
        <x:v>VKM-001</x:v>
      </x:c>
      <x:c r="C18" s="32" t="str">
        <x:v>VKC-001</x:v>
      </x:c>
      <x:c r="D18" s="32" t="str">
        <x:v>VKT-001</x:v>
      </x:c>
      <x:c r="E18" s="32" t="str">
        <x:v>0.1.0-DRAFT</x:v>
      </x:c>
      <x:c r="F18" s="32" t="str">
        <x:v>ING-005</x:v>
      </x:c>
      <x:c r="G18" s="32" t="str">
        <x:v>Масло оливковое</x:v>
      </x:c>
      <x:c r="H18" s="32" t="str">
        <x:v>Финиш</x:v>
      </x:c>
      <x:c r="I18" s="32"/>
      <x:c r="J18" s="32" t="n">
        <x:v>12</x:v>
      </x:c>
      <x:c r="K18" s="32" t="str">
        <x:v>г</x:v>
      </x:c>
      <x:c r="L18" s="32" t="n">
        <x:v>12</x:v>
      </x:c>
      <x:c r="M18" s="32" t="n">
        <x:v>12</x:v>
      </x:c>
      <x:c r="N18" s="32" t="str">
        <x:v>ASSUMPTION</x:v>
      </x:c>
      <x:c r="O18" s="32" t="str">
        <x:v>EVD-0007;EVD-0008</x:v>
      </x:c>
      <x:c r="P18" s="32" t="str">
        <x:v>GAP-004;GAP-005</x:v>
      </x:c>
    </x:row>
    <x:row r="19">
      <x:c r="A19" s="32" t="str">
        <x:v>RCP-0014</x:v>
      </x:c>
      <x:c r="B19" s="32" t="str">
        <x:v>VKM-002</x:v>
      </x:c>
      <x:c r="C19" s="32" t="str">
        <x:v>VKC-002</x:v>
      </x:c>
      <x:c r="D19" s="32" t="str">
        <x:v>VKT-002</x:v>
      </x:c>
      <x:c r="E19" s="32" t="str">
        <x:v>0.1.0-DRAFT</x:v>
      </x:c>
      <x:c r="F19" s="32" t="str">
        <x:v>ING-001</x:v>
      </x:c>
      <x:c r="G19" s="32" t="str">
        <x:v>Мука пшеничная хлебопекарная</x:v>
      </x:c>
      <x:c r="H19" s="32" t="str">
        <x:v>Тесто</x:v>
      </x:c>
      <x:c r="I19" s="32" t="str">
        <x:v>VSF-001</x:v>
      </x:c>
      <x:c r="J19" s="32" t="n">
        <x:v>140</x:v>
      </x:c>
      <x:c r="K19" s="32" t="str">
        <x:v>г</x:v>
      </x:c>
      <x:c r="L19" s="32" t="n">
        <x:v>140</x:v>
      </x:c>
      <x:c r="M19" s="32" t="n">
        <x:v>130</x:v>
      </x:c>
      <x:c r="N19" s="32" t="str">
        <x:v>ASSUMPTION</x:v>
      </x:c>
      <x:c r="O19" s="32" t="str">
        <x:v>EVD-0007;EVD-0008</x:v>
      </x:c>
      <x:c r="P19" s="32" t="str">
        <x:v>GAP-004;GAP-005</x:v>
      </x:c>
    </x:row>
    <x:row r="20">
      <x:c r="A20" s="32" t="str">
        <x:v>RCP-0015</x:v>
      </x:c>
      <x:c r="B20" s="32" t="str">
        <x:v>VKM-002</x:v>
      </x:c>
      <x:c r="C20" s="32" t="str">
        <x:v>VKC-002</x:v>
      </x:c>
      <x:c r="D20" s="32" t="str">
        <x:v>VKT-002</x:v>
      </x:c>
      <x:c r="E20" s="32" t="str">
        <x:v>0.1.0-DRAFT</x:v>
      </x:c>
      <x:c r="F20" s="32" t="str">
        <x:v>ING-002</x:v>
      </x:c>
      <x:c r="G20" s="32" t="str">
        <x:v>Вода питьевая</x:v>
      </x:c>
      <x:c r="H20" s="32" t="str">
        <x:v>Тесто</x:v>
      </x:c>
      <x:c r="I20" s="32" t="str">
        <x:v>VSF-001</x:v>
      </x:c>
      <x:c r="J20" s="32" t="n">
        <x:v>85</x:v>
      </x:c>
      <x:c r="K20" s="32" t="str">
        <x:v>г</x:v>
      </x:c>
      <x:c r="L20" s="32" t="n">
        <x:v>85</x:v>
      </x:c>
      <x:c r="M20" s="32" t="n">
        <x:v>70</x:v>
      </x:c>
      <x:c r="N20" s="32" t="str">
        <x:v>ASSUMPTION</x:v>
      </x:c>
      <x:c r="O20" s="32" t="str">
        <x:v>EVD-0007;EVD-0008</x:v>
      </x:c>
      <x:c r="P20" s="32" t="str">
        <x:v>GAP-004;GAP-005</x:v>
      </x:c>
    </x:row>
    <x:row r="21">
      <x:c r="A21" s="32" t="str">
        <x:v>RCP-0016</x:v>
      </x:c>
      <x:c r="B21" s="32" t="str">
        <x:v>VKM-002</x:v>
      </x:c>
      <x:c r="C21" s="32" t="str">
        <x:v>VKC-002</x:v>
      </x:c>
      <x:c r="D21" s="32" t="str">
        <x:v>VKT-002</x:v>
      </x:c>
      <x:c r="E21" s="32" t="str">
        <x:v>0.1.0-DRAFT</x:v>
      </x:c>
      <x:c r="F21" s="32" t="str">
        <x:v>ING-003</x:v>
      </x:c>
      <x:c r="G21" s="32" t="str">
        <x:v>Дрожжи хлебопекарные</x:v>
      </x:c>
      <x:c r="H21" s="32" t="str">
        <x:v>Тесто</x:v>
      </x:c>
      <x:c r="I21" s="32" t="str">
        <x:v>VSF-001</x:v>
      </x:c>
      <x:c r="J21" s="32" t="n">
        <x:v>2</x:v>
      </x:c>
      <x:c r="K21" s="32" t="str">
        <x:v>г</x:v>
      </x:c>
      <x:c r="L21" s="32" t="n">
        <x:v>2</x:v>
      </x:c>
      <x:c r="M21" s="32" t="n">
        <x:v>2</x:v>
      </x:c>
      <x:c r="N21" s="32" t="str">
        <x:v>ASSUMPTION</x:v>
      </x:c>
      <x:c r="O21" s="32" t="str">
        <x:v>EVD-0007;EVD-0008</x:v>
      </x:c>
      <x:c r="P21" s="32" t="str">
        <x:v>GAP-004;GAP-005</x:v>
      </x:c>
    </x:row>
    <x:row r="22">
      <x:c r="A22" s="32" t="str">
        <x:v>RCP-0017</x:v>
      </x:c>
      <x:c r="B22" s="32" t="str">
        <x:v>VKM-002</x:v>
      </x:c>
      <x:c r="C22" s="32" t="str">
        <x:v>VKC-002</x:v>
      </x:c>
      <x:c r="D22" s="32" t="str">
        <x:v>VKT-002</x:v>
      </x:c>
      <x:c r="E22" s="32" t="str">
        <x:v>0.1.0-DRAFT</x:v>
      </x:c>
      <x:c r="F22" s="32" t="str">
        <x:v>ING-004</x:v>
      </x:c>
      <x:c r="G22" s="32" t="str">
        <x:v>Соль пищевая</x:v>
      </x:c>
      <x:c r="H22" s="32" t="str">
        <x:v>Тесто</x:v>
      </x:c>
      <x:c r="I22" s="32" t="str">
        <x:v>VSF-001</x:v>
      </x:c>
      <x:c r="J22" s="32" t="n">
        <x:v>3</x:v>
      </x:c>
      <x:c r="K22" s="32" t="str">
        <x:v>г</x:v>
      </x:c>
      <x:c r="L22" s="32" t="n">
        <x:v>3</x:v>
      </x:c>
      <x:c r="M22" s="32" t="n">
        <x:v>3</x:v>
      </x:c>
      <x:c r="N22" s="32" t="str">
        <x:v>ASSUMPTION</x:v>
      </x:c>
      <x:c r="O22" s="32" t="str">
        <x:v>EVD-0007;EVD-0008</x:v>
      </x:c>
      <x:c r="P22" s="32" t="str">
        <x:v>GAP-004;GAP-005</x:v>
      </x:c>
    </x:row>
    <x:row r="23">
      <x:c r="A23" s="32" t="str">
        <x:v>RCP-0018</x:v>
      </x:c>
      <x:c r="B23" s="32" t="str">
        <x:v>VKM-002</x:v>
      </x:c>
      <x:c r="C23" s="32" t="str">
        <x:v>VKC-002</x:v>
      </x:c>
      <x:c r="D23" s="32" t="str">
        <x:v>VKT-002</x:v>
      </x:c>
      <x:c r="E23" s="32" t="str">
        <x:v>0.1.0-DRAFT</x:v>
      </x:c>
      <x:c r="F23" s="32" t="str">
        <x:v>ING-005</x:v>
      </x:c>
      <x:c r="G23" s="32" t="str">
        <x:v>Масло оливковое</x:v>
      </x:c>
      <x:c r="H23" s="32" t="str">
        <x:v>Тесто</x:v>
      </x:c>
      <x:c r="I23" s="32" t="str">
        <x:v>VSF-001</x:v>
      </x:c>
      <x:c r="J23" s="32" t="n">
        <x:v>15</x:v>
      </x:c>
      <x:c r="K23" s="32" t="str">
        <x:v>г</x:v>
      </x:c>
      <x:c r="L23" s="32" t="n">
        <x:v>15</x:v>
      </x:c>
      <x:c r="M23" s="32" t="n">
        <x:v>15</x:v>
      </x:c>
      <x:c r="N23" s="32" t="str">
        <x:v>ASSUMPTION</x:v>
      </x:c>
      <x:c r="O23" s="32" t="str">
        <x:v>EVD-0007;EVD-0008</x:v>
      </x:c>
      <x:c r="P23" s="32" t="str">
        <x:v>GAP-004;GAP-005</x:v>
      </x:c>
    </x:row>
    <x:row r="24">
      <x:c r="A24" s="32" t="str">
        <x:v>RCP-0019</x:v>
      </x:c>
      <x:c r="B24" s="32" t="str">
        <x:v>VKM-002</x:v>
      </x:c>
      <x:c r="C24" s="32" t="str">
        <x:v>VKC-002</x:v>
      </x:c>
      <x:c r="D24" s="32" t="str">
        <x:v>VKT-002</x:v>
      </x:c>
      <x:c r="E24" s="32" t="str">
        <x:v>0.1.0-DRAFT</x:v>
      </x:c>
      <x:c r="F24" s="32" t="str">
        <x:v>ING-006</x:v>
      </x:c>
      <x:c r="G24" s="32" t="str">
        <x:v>Томаты протёртые</x:v>
      </x:c>
      <x:c r="H24" s="32" t="str">
        <x:v>Соус</x:v>
      </x:c>
      <x:c r="I24" s="32" t="str">
        <x:v>VSF-002</x:v>
      </x:c>
      <x:c r="J24" s="32" t="n">
        <x:v>45</x:v>
      </x:c>
      <x:c r="K24" s="32" t="str">
        <x:v>г</x:v>
      </x:c>
      <x:c r="L24" s="32" t="n">
        <x:v>45</x:v>
      </x:c>
      <x:c r="M24" s="32" t="n">
        <x:v>42</x:v>
      </x:c>
      <x:c r="N24" s="32" t="str">
        <x:v>ASSUMPTION</x:v>
      </x:c>
      <x:c r="O24" s="32" t="str">
        <x:v>EVD-0007;EVD-0008</x:v>
      </x:c>
      <x:c r="P24" s="32" t="str">
        <x:v>GAP-004;GAP-005</x:v>
      </x:c>
    </x:row>
    <x:row r="25">
      <x:c r="A25" s="32" t="str">
        <x:v>RCP-0020</x:v>
      </x:c>
      <x:c r="B25" s="32" t="str">
        <x:v>VKM-002</x:v>
      </x:c>
      <x:c r="C25" s="32" t="str">
        <x:v>VKC-002</x:v>
      </x:c>
      <x:c r="D25" s="32" t="str">
        <x:v>VKT-002</x:v>
      </x:c>
      <x:c r="E25" s="32" t="str">
        <x:v>0.1.0-DRAFT</x:v>
      </x:c>
      <x:c r="F25" s="32" t="str">
        <x:v>ING-007</x:v>
      </x:c>
      <x:c r="G25" s="32" t="str">
        <x:v>Чеснок</x:v>
      </x:c>
      <x:c r="H25" s="32" t="str">
        <x:v>Соус</x:v>
      </x:c>
      <x:c r="I25" s="32" t="str">
        <x:v>VSF-002</x:v>
      </x:c>
      <x:c r="J25" s="32" t="n">
        <x:v>2.2</x:v>
      </x:c>
      <x:c r="K25" s="32" t="str">
        <x:v>г</x:v>
      </x:c>
      <x:c r="L25" s="32" t="n">
        <x:v>2</x:v>
      </x:c>
      <x:c r="M25" s="32" t="n">
        <x:v>2</x:v>
      </x:c>
      <x:c r="N25" s="32" t="str">
        <x:v>ASSUMPTION</x:v>
      </x:c>
      <x:c r="O25" s="32" t="str">
        <x:v>EVD-0007;EVD-0008</x:v>
      </x:c>
      <x:c r="P25" s="32" t="str">
        <x:v>GAP-004;GAP-005</x:v>
      </x:c>
    </x:row>
    <x:row r="26">
      <x:c r="A26" s="32" t="str">
        <x:v>RCP-0021</x:v>
      </x:c>
      <x:c r="B26" s="32" t="str">
        <x:v>VKM-002</x:v>
      </x:c>
      <x:c r="C26" s="32" t="str">
        <x:v>VKC-002</x:v>
      </x:c>
      <x:c r="D26" s="32" t="str">
        <x:v>VKT-002</x:v>
      </x:c>
      <x:c r="E26" s="32" t="str">
        <x:v>0.1.0-DRAFT</x:v>
      </x:c>
      <x:c r="F26" s="32" t="str">
        <x:v>ING-008</x:v>
      </x:c>
      <x:c r="G26" s="32" t="str">
        <x:v>Орегано</x:v>
      </x:c>
      <x:c r="H26" s="32" t="str">
        <x:v>Соус</x:v>
      </x:c>
      <x:c r="I26" s="32" t="str">
        <x:v>VSF-002</x:v>
      </x:c>
      <x:c r="J26" s="32" t="n">
        <x:v>1</x:v>
      </x:c>
      <x:c r="K26" s="32" t="str">
        <x:v>г</x:v>
      </x:c>
      <x:c r="L26" s="32" t="n">
        <x:v>1</x:v>
      </x:c>
      <x:c r="M26" s="32" t="n">
        <x:v>1</x:v>
      </x:c>
      <x:c r="N26" s="32" t="str">
        <x:v>ASSUMPTION</x:v>
      </x:c>
      <x:c r="O26" s="32" t="str">
        <x:v>EVD-0007;EVD-0008</x:v>
      </x:c>
      <x:c r="P26" s="32" t="str">
        <x:v>GAP-004;GAP-005</x:v>
      </x:c>
    </x:row>
    <x:row r="27">
      <x:c r="A27" s="32" t="str">
        <x:v>RCP-0022</x:v>
      </x:c>
      <x:c r="B27" s="32" t="str">
        <x:v>VKM-002</x:v>
      </x:c>
      <x:c r="C27" s="32" t="str">
        <x:v>VKC-002</x:v>
      </x:c>
      <x:c r="D27" s="32" t="str">
        <x:v>VKT-002</x:v>
      </x:c>
      <x:c r="E27" s="32" t="str">
        <x:v>0.1.0-DRAFT</x:v>
      </x:c>
      <x:c r="F27" s="32" t="str">
        <x:v>ING-005</x:v>
      </x:c>
      <x:c r="G27" s="32" t="str">
        <x:v>Масло оливковое</x:v>
      </x:c>
      <x:c r="H27" s="32" t="str">
        <x:v>Соус</x:v>
      </x:c>
      <x:c r="I27" s="32" t="str">
        <x:v>VSF-002</x:v>
      </x:c>
      <x:c r="J27" s="32" t="n">
        <x:v>5</x:v>
      </x:c>
      <x:c r="K27" s="32" t="str">
        <x:v>г</x:v>
      </x:c>
      <x:c r="L27" s="32" t="n">
        <x:v>5</x:v>
      </x:c>
      <x:c r="M27" s="32" t="n">
        <x:v>5</x:v>
      </x:c>
      <x:c r="N27" s="32" t="str">
        <x:v>ASSUMPTION</x:v>
      </x:c>
      <x:c r="O27" s="32" t="str">
        <x:v>EVD-0007;EVD-0008</x:v>
      </x:c>
      <x:c r="P27" s="32" t="str">
        <x:v>GAP-004;GAP-005</x:v>
      </x:c>
    </x:row>
    <x:row r="28">
      <x:c r="A28" s="32" t="str">
        <x:v>RCP-0023</x:v>
      </x:c>
      <x:c r="B28" s="32" t="str">
        <x:v>VKM-002</x:v>
      </x:c>
      <x:c r="C28" s="32" t="str">
        <x:v>VKC-002</x:v>
      </x:c>
      <x:c r="D28" s="32" t="str">
        <x:v>VKT-002</x:v>
      </x:c>
      <x:c r="E28" s="32" t="str">
        <x:v>0.1.0-DRAFT</x:v>
      </x:c>
      <x:c r="F28" s="32" t="str">
        <x:v>ING-009</x:v>
      </x:c>
      <x:c r="G28" s="32" t="str">
        <x:v>Моцарелла</x:v>
      </x:c>
      <x:c r="H28" s="32" t="str">
        <x:v>Сборка</x:v>
      </x:c>
      <x:c r="I28" s="32"/>
      <x:c r="J28" s="32" t="n">
        <x:v>90</x:v>
      </x:c>
      <x:c r="K28" s="32" t="str">
        <x:v>г</x:v>
      </x:c>
      <x:c r="L28" s="32" t="n">
        <x:v>90</x:v>
      </x:c>
      <x:c r="M28" s="32" t="n">
        <x:v>90</x:v>
      </x:c>
      <x:c r="N28" s="32" t="str">
        <x:v>ASSUMPTION</x:v>
      </x:c>
      <x:c r="O28" s="32" t="str">
        <x:v>EVD-0007;EVD-0008</x:v>
      </x:c>
      <x:c r="P28" s="32" t="str">
        <x:v>GAP-004;GAP-005</x:v>
      </x:c>
    </x:row>
    <x:row r="29">
      <x:c r="A29" s="32" t="str">
        <x:v>RCP-0024</x:v>
      </x:c>
      <x:c r="B29" s="32" t="str">
        <x:v>VKM-002</x:v>
      </x:c>
      <x:c r="C29" s="32" t="str">
        <x:v>VKC-002</x:v>
      </x:c>
      <x:c r="D29" s="32" t="str">
        <x:v>VKT-002</x:v>
      </x:c>
      <x:c r="E29" s="32" t="str">
        <x:v>0.1.0-DRAFT</x:v>
      </x:c>
      <x:c r="F29" s="32" t="str">
        <x:v>ING-012</x:v>
      </x:c>
      <x:c r="G29" s="32" t="str">
        <x:v>Горгонзола</x:v>
      </x:c>
      <x:c r="H29" s="32" t="str">
        <x:v>Сборка</x:v>
      </x:c>
      <x:c r="I29" s="32"/>
      <x:c r="J29" s="32" t="n">
        <x:v>45</x:v>
      </x:c>
      <x:c r="K29" s="32" t="str">
        <x:v>г</x:v>
      </x:c>
      <x:c r="L29" s="32" t="n">
        <x:v>45</x:v>
      </x:c>
      <x:c r="M29" s="32" t="n">
        <x:v>45</x:v>
      </x:c>
      <x:c r="N29" s="32" t="str">
        <x:v>ASSUMPTION</x:v>
      </x:c>
      <x:c r="O29" s="32" t="str">
        <x:v>EVD-0007;EVD-0008</x:v>
      </x:c>
      <x:c r="P29" s="32" t="str">
        <x:v>GAP-004;GAP-005</x:v>
      </x:c>
    </x:row>
    <x:row r="30">
      <x:c r="A30" s="32" t="str">
        <x:v>RCP-0025</x:v>
      </x:c>
      <x:c r="B30" s="32" t="str">
        <x:v>VKM-002</x:v>
      </x:c>
      <x:c r="C30" s="32" t="str">
        <x:v>VKC-002</x:v>
      </x:c>
      <x:c r="D30" s="32" t="str">
        <x:v>VKT-002</x:v>
      </x:c>
      <x:c r="E30" s="32" t="str">
        <x:v>0.1.0-DRAFT</x:v>
      </x:c>
      <x:c r="F30" s="32" t="str">
        <x:v>ING-010</x:v>
      </x:c>
      <x:c r="G30" s="32" t="str">
        <x:v>Пармезан</x:v>
      </x:c>
      <x:c r="H30" s="32" t="str">
        <x:v>Сборка</x:v>
      </x:c>
      <x:c r="I30" s="32"/>
      <x:c r="J30" s="32" t="n">
        <x:v>35</x:v>
      </x:c>
      <x:c r="K30" s="32" t="str">
        <x:v>г</x:v>
      </x:c>
      <x:c r="L30" s="32" t="n">
        <x:v>35</x:v>
      </x:c>
      <x:c r="M30" s="32" t="n">
        <x:v>35</x:v>
      </x:c>
      <x:c r="N30" s="32" t="str">
        <x:v>ASSUMPTION</x:v>
      </x:c>
      <x:c r="O30" s="32" t="str">
        <x:v>EVD-0007;EVD-0008</x:v>
      </x:c>
      <x:c r="P30" s="32" t="str">
        <x:v>GAP-004;GAP-005</x:v>
      </x:c>
    </x:row>
    <x:row r="31">
      <x:c r="A31" s="32" t="str">
        <x:v>RCP-0026</x:v>
      </x:c>
      <x:c r="B31" s="32" t="str">
        <x:v>VKM-002</x:v>
      </x:c>
      <x:c r="C31" s="32" t="str">
        <x:v>VKC-002</x:v>
      </x:c>
      <x:c r="D31" s="32" t="str">
        <x:v>VKT-002</x:v>
      </x:c>
      <x:c r="E31" s="32" t="str">
        <x:v>0.1.0-DRAFT</x:v>
      </x:c>
      <x:c r="F31" s="32" t="str">
        <x:v>ING-013</x:v>
      </x:c>
      <x:c r="G31" s="32" t="str">
        <x:v>Фонтина или иной четвёртый сыр</x:v>
      </x:c>
      <x:c r="H31" s="32" t="str">
        <x:v>Сборка</x:v>
      </x:c>
      <x:c r="I31" s="32"/>
      <x:c r="J31" s="32" t="n">
        <x:v>30</x:v>
      </x:c>
      <x:c r="K31" s="32" t="str">
        <x:v>г</x:v>
      </x:c>
      <x:c r="L31" s="32" t="n">
        <x:v>30</x:v>
      </x:c>
      <x:c r="M31" s="32" t="n">
        <x:v>30</x:v>
      </x:c>
      <x:c r="N31" s="32" t="str">
        <x:v>ASSUMPTION</x:v>
      </x:c>
      <x:c r="O31" s="32" t="str">
        <x:v>EVD-0007;EVD-0008</x:v>
      </x:c>
      <x:c r="P31" s="32" t="str">
        <x:v>GAP-004;GAP-005</x:v>
      </x:c>
    </x:row>
    <x:row r="32">
      <x:c r="A32" s="32" t="str">
        <x:v>RCP-0027</x:v>
      </x:c>
      <x:c r="B32" s="32" t="str">
        <x:v>VKM-002</x:v>
      </x:c>
      <x:c r="C32" s="32" t="str">
        <x:v>VKC-002</x:v>
      </x:c>
      <x:c r="D32" s="32" t="str">
        <x:v>VKT-002</x:v>
      </x:c>
      <x:c r="E32" s="32" t="str">
        <x:v>0.1.0-DRAFT</x:v>
      </x:c>
      <x:c r="F32" s="32" t="str">
        <x:v>ING-005</x:v>
      </x:c>
      <x:c r="G32" s="32" t="str">
        <x:v>Масло оливковое</x:v>
      </x:c>
      <x:c r="H32" s="32" t="str">
        <x:v>Финиш</x:v>
      </x:c>
      <x:c r="I32" s="32"/>
      <x:c r="J32" s="32" t="n">
        <x:v>10</x:v>
      </x:c>
      <x:c r="K32" s="32" t="str">
        <x:v>г</x:v>
      </x:c>
      <x:c r="L32" s="32" t="n">
        <x:v>10</x:v>
      </x:c>
      <x:c r="M32" s="32" t="n">
        <x:v>10</x:v>
      </x:c>
      <x:c r="N32" s="32" t="str">
        <x:v>ASSUMPTION</x:v>
      </x:c>
      <x:c r="O32" s="32" t="str">
        <x:v>EVD-0007;EVD-0008</x:v>
      </x:c>
      <x:c r="P32" s="32" t="str">
        <x:v>GAP-004;GAP-005</x:v>
      </x:c>
    </x:row>
    <x:row r="33">
      <x:c r="A33" s="32" t="str">
        <x:v>RCP-0028</x:v>
      </x:c>
      <x:c r="B33" s="32" t="str">
        <x:v>VKM-003</x:v>
      </x:c>
      <x:c r="C33" s="32" t="str">
        <x:v>VKC-003</x:v>
      </x:c>
      <x:c r="D33" s="32" t="str">
        <x:v>VKT-003</x:v>
      </x:c>
      <x:c r="E33" s="32" t="str">
        <x:v>0.1.0-DRAFT</x:v>
      </x:c>
      <x:c r="F33" s="32" t="str">
        <x:v>ING-001</x:v>
      </x:c>
      <x:c r="G33" s="32" t="str">
        <x:v>Мука пшеничная хлебопекарная</x:v>
      </x:c>
      <x:c r="H33" s="32" t="str">
        <x:v>Тесто</x:v>
      </x:c>
      <x:c r="I33" s="32" t="str">
        <x:v>VSF-001</x:v>
      </x:c>
      <x:c r="J33" s="32" t="n">
        <x:v>140</x:v>
      </x:c>
      <x:c r="K33" s="32" t="str">
        <x:v>г</x:v>
      </x:c>
      <x:c r="L33" s="32" t="n">
        <x:v>140</x:v>
      </x:c>
      <x:c r="M33" s="32" t="n">
        <x:v>130</x:v>
      </x:c>
      <x:c r="N33" s="32" t="str">
        <x:v>ASSUMPTION</x:v>
      </x:c>
      <x:c r="O33" s="32" t="str">
        <x:v>EVD-0007;EVD-0008</x:v>
      </x:c>
      <x:c r="P33" s="32" t="str">
        <x:v>GAP-004;GAP-005</x:v>
      </x:c>
    </x:row>
    <x:row r="34">
      <x:c r="A34" s="32" t="str">
        <x:v>RCP-0029</x:v>
      </x:c>
      <x:c r="B34" s="32" t="str">
        <x:v>VKM-003</x:v>
      </x:c>
      <x:c r="C34" s="32" t="str">
        <x:v>VKC-003</x:v>
      </x:c>
      <x:c r="D34" s="32" t="str">
        <x:v>VKT-003</x:v>
      </x:c>
      <x:c r="E34" s="32" t="str">
        <x:v>0.1.0-DRAFT</x:v>
      </x:c>
      <x:c r="F34" s="32" t="str">
        <x:v>ING-002</x:v>
      </x:c>
      <x:c r="G34" s="32" t="str">
        <x:v>Вода питьевая</x:v>
      </x:c>
      <x:c r="H34" s="32" t="str">
        <x:v>Тесто</x:v>
      </x:c>
      <x:c r="I34" s="32" t="str">
        <x:v>VSF-001</x:v>
      </x:c>
      <x:c r="J34" s="32" t="n">
        <x:v>85</x:v>
      </x:c>
      <x:c r="K34" s="32" t="str">
        <x:v>г</x:v>
      </x:c>
      <x:c r="L34" s="32" t="n">
        <x:v>85</x:v>
      </x:c>
      <x:c r="M34" s="32" t="n">
        <x:v>70</x:v>
      </x:c>
      <x:c r="N34" s="32" t="str">
        <x:v>ASSUMPTION</x:v>
      </x:c>
      <x:c r="O34" s="32" t="str">
        <x:v>EVD-0007;EVD-0008</x:v>
      </x:c>
      <x:c r="P34" s="32" t="str">
        <x:v>GAP-004;GAP-005</x:v>
      </x:c>
    </x:row>
    <x:row r="35">
      <x:c r="A35" s="32" t="str">
        <x:v>RCP-0030</x:v>
      </x:c>
      <x:c r="B35" s="32" t="str">
        <x:v>VKM-003</x:v>
      </x:c>
      <x:c r="C35" s="32" t="str">
        <x:v>VKC-003</x:v>
      </x:c>
      <x:c r="D35" s="32" t="str">
        <x:v>VKT-003</x:v>
      </x:c>
      <x:c r="E35" s="32" t="str">
        <x:v>0.1.0-DRAFT</x:v>
      </x:c>
      <x:c r="F35" s="32" t="str">
        <x:v>ING-003</x:v>
      </x:c>
      <x:c r="G35" s="32" t="str">
        <x:v>Дрожжи хлебопекарные</x:v>
      </x:c>
      <x:c r="H35" s="32" t="str">
        <x:v>Тесто</x:v>
      </x:c>
      <x:c r="I35" s="32" t="str">
        <x:v>VSF-001</x:v>
      </x:c>
      <x:c r="J35" s="32" t="n">
        <x:v>2</x:v>
      </x:c>
      <x:c r="K35" s="32" t="str">
        <x:v>г</x:v>
      </x:c>
      <x:c r="L35" s="32" t="n">
        <x:v>2</x:v>
      </x:c>
      <x:c r="M35" s="32" t="n">
        <x:v>2</x:v>
      </x:c>
      <x:c r="N35" s="32" t="str">
        <x:v>ASSUMPTION</x:v>
      </x:c>
      <x:c r="O35" s="32" t="str">
        <x:v>EVD-0007;EVD-0008</x:v>
      </x:c>
      <x:c r="P35" s="32" t="str">
        <x:v>GAP-004;GAP-005</x:v>
      </x:c>
    </x:row>
    <x:row r="36">
      <x:c r="A36" s="32" t="str">
        <x:v>RCP-0031</x:v>
      </x:c>
      <x:c r="B36" s="32" t="str">
        <x:v>VKM-003</x:v>
      </x:c>
      <x:c r="C36" s="32" t="str">
        <x:v>VKC-003</x:v>
      </x:c>
      <x:c r="D36" s="32" t="str">
        <x:v>VKT-003</x:v>
      </x:c>
      <x:c r="E36" s="32" t="str">
        <x:v>0.1.0-DRAFT</x:v>
      </x:c>
      <x:c r="F36" s="32" t="str">
        <x:v>ING-004</x:v>
      </x:c>
      <x:c r="G36" s="32" t="str">
        <x:v>Соль пищевая</x:v>
      </x:c>
      <x:c r="H36" s="32" t="str">
        <x:v>Тесто</x:v>
      </x:c>
      <x:c r="I36" s="32" t="str">
        <x:v>VSF-001</x:v>
      </x:c>
      <x:c r="J36" s="32" t="n">
        <x:v>3</x:v>
      </x:c>
      <x:c r="K36" s="32" t="str">
        <x:v>г</x:v>
      </x:c>
      <x:c r="L36" s="32" t="n">
        <x:v>3</x:v>
      </x:c>
      <x:c r="M36" s="32" t="n">
        <x:v>3</x:v>
      </x:c>
      <x:c r="N36" s="32" t="str">
        <x:v>ASSUMPTION</x:v>
      </x:c>
      <x:c r="O36" s="32" t="str">
        <x:v>EVD-0007;EVD-0008</x:v>
      </x:c>
      <x:c r="P36" s="32" t="str">
        <x:v>GAP-004;GAP-005</x:v>
      </x:c>
    </x:row>
    <x:row r="37">
      <x:c r="A37" s="32" t="str">
        <x:v>RCP-0032</x:v>
      </x:c>
      <x:c r="B37" s="32" t="str">
        <x:v>VKM-003</x:v>
      </x:c>
      <x:c r="C37" s="32" t="str">
        <x:v>VKC-003</x:v>
      </x:c>
      <x:c r="D37" s="32" t="str">
        <x:v>VKT-003</x:v>
      </x:c>
      <x:c r="E37" s="32" t="str">
        <x:v>0.1.0-DRAFT</x:v>
      </x:c>
      <x:c r="F37" s="32" t="str">
        <x:v>ING-005</x:v>
      </x:c>
      <x:c r="G37" s="32" t="str">
        <x:v>Масло оливковое</x:v>
      </x:c>
      <x:c r="H37" s="32" t="str">
        <x:v>Тесто</x:v>
      </x:c>
      <x:c r="I37" s="32" t="str">
        <x:v>VSF-001</x:v>
      </x:c>
      <x:c r="J37" s="32" t="n">
        <x:v>15</x:v>
      </x:c>
      <x:c r="K37" s="32" t="str">
        <x:v>г</x:v>
      </x:c>
      <x:c r="L37" s="32" t="n">
        <x:v>15</x:v>
      </x:c>
      <x:c r="M37" s="32" t="n">
        <x:v>15</x:v>
      </x:c>
      <x:c r="N37" s="32" t="str">
        <x:v>ASSUMPTION</x:v>
      </x:c>
      <x:c r="O37" s="32" t="str">
        <x:v>EVD-0007;EVD-0008</x:v>
      </x:c>
      <x:c r="P37" s="32" t="str">
        <x:v>GAP-004;GAP-005</x:v>
      </x:c>
    </x:row>
    <x:row r="38">
      <x:c r="A38" s="32" t="str">
        <x:v>RCP-0033</x:v>
      </x:c>
      <x:c r="B38" s="32" t="str">
        <x:v>VKM-003</x:v>
      </x:c>
      <x:c r="C38" s="32" t="str">
        <x:v>VKC-003</x:v>
      </x:c>
      <x:c r="D38" s="32" t="str">
        <x:v>VKT-003</x:v>
      </x:c>
      <x:c r="E38" s="32" t="str">
        <x:v>0.1.0-DRAFT</x:v>
      </x:c>
      <x:c r="F38" s="32" t="str">
        <x:v>ING-006</x:v>
      </x:c>
      <x:c r="G38" s="32" t="str">
        <x:v>Томаты протёртые</x:v>
      </x:c>
      <x:c r="H38" s="32" t="str">
        <x:v>Соус</x:v>
      </x:c>
      <x:c r="I38" s="32" t="str">
        <x:v>VSF-002</x:v>
      </x:c>
      <x:c r="J38" s="32" t="n">
        <x:v>63</x:v>
      </x:c>
      <x:c r="K38" s="32" t="str">
        <x:v>г</x:v>
      </x:c>
      <x:c r="L38" s="32" t="n">
        <x:v>63</x:v>
      </x:c>
      <x:c r="M38" s="32" t="n">
        <x:v>60</x:v>
      </x:c>
      <x:c r="N38" s="32" t="str">
        <x:v>ASSUMPTION</x:v>
      </x:c>
      <x:c r="O38" s="32" t="str">
        <x:v>EVD-0007;EVD-0008</x:v>
      </x:c>
      <x:c r="P38" s="32" t="str">
        <x:v>GAP-004;GAP-005</x:v>
      </x:c>
    </x:row>
    <x:row r="39">
      <x:c r="A39" s="32" t="str">
        <x:v>RCP-0034</x:v>
      </x:c>
      <x:c r="B39" s="32" t="str">
        <x:v>VKM-003</x:v>
      </x:c>
      <x:c r="C39" s="32" t="str">
        <x:v>VKC-003</x:v>
      </x:c>
      <x:c r="D39" s="32" t="str">
        <x:v>VKT-003</x:v>
      </x:c>
      <x:c r="E39" s="32" t="str">
        <x:v>0.1.0-DRAFT</x:v>
      </x:c>
      <x:c r="F39" s="32" t="str">
        <x:v>ING-007</x:v>
      </x:c>
      <x:c r="G39" s="32" t="str">
        <x:v>Чеснок</x:v>
      </x:c>
      <x:c r="H39" s="32" t="str">
        <x:v>Соус</x:v>
      </x:c>
      <x:c r="I39" s="32" t="str">
        <x:v>VSF-002</x:v>
      </x:c>
      <x:c r="J39" s="32" t="n">
        <x:v>2.2</x:v>
      </x:c>
      <x:c r="K39" s="32" t="str">
        <x:v>г</x:v>
      </x:c>
      <x:c r="L39" s="32" t="n">
        <x:v>2</x:v>
      </x:c>
      <x:c r="M39" s="32" t="n">
        <x:v>2</x:v>
      </x:c>
      <x:c r="N39" s="32" t="str">
        <x:v>ASSUMPTION</x:v>
      </x:c>
      <x:c r="O39" s="32" t="str">
        <x:v>EVD-0007;EVD-0008</x:v>
      </x:c>
      <x:c r="P39" s="32" t="str">
        <x:v>GAP-004;GAP-005</x:v>
      </x:c>
    </x:row>
    <x:row r="40">
      <x:c r="A40" s="32" t="str">
        <x:v>RCP-0035</x:v>
      </x:c>
      <x:c r="B40" s="32" t="str">
        <x:v>VKM-003</x:v>
      </x:c>
      <x:c r="C40" s="32" t="str">
        <x:v>VKC-003</x:v>
      </x:c>
      <x:c r="D40" s="32" t="str">
        <x:v>VKT-003</x:v>
      </x:c>
      <x:c r="E40" s="32" t="str">
        <x:v>0.1.0-DRAFT</x:v>
      </x:c>
      <x:c r="F40" s="32" t="str">
        <x:v>ING-008</x:v>
      </x:c>
      <x:c r="G40" s="32" t="str">
        <x:v>Орегано</x:v>
      </x:c>
      <x:c r="H40" s="32" t="str">
        <x:v>Соус</x:v>
      </x:c>
      <x:c r="I40" s="32" t="str">
        <x:v>VSF-002</x:v>
      </x:c>
      <x:c r="J40" s="32" t="n">
        <x:v>1</x:v>
      </x:c>
      <x:c r="K40" s="32" t="str">
        <x:v>г</x:v>
      </x:c>
      <x:c r="L40" s="32" t="n">
        <x:v>1</x:v>
      </x:c>
      <x:c r="M40" s="32" t="n">
        <x:v>1</x:v>
      </x:c>
      <x:c r="N40" s="32" t="str">
        <x:v>ASSUMPTION</x:v>
      </x:c>
      <x:c r="O40" s="32" t="str">
        <x:v>EVD-0007;EVD-0008</x:v>
      </x:c>
      <x:c r="P40" s="32" t="str">
        <x:v>GAP-004;GAP-005</x:v>
      </x:c>
    </x:row>
    <x:row r="41">
      <x:c r="A41" s="32" t="str">
        <x:v>RCP-0036</x:v>
      </x:c>
      <x:c r="B41" s="32" t="str">
        <x:v>VKM-003</x:v>
      </x:c>
      <x:c r="C41" s="32" t="str">
        <x:v>VKC-003</x:v>
      </x:c>
      <x:c r="D41" s="32" t="str">
        <x:v>VKT-003</x:v>
      </x:c>
      <x:c r="E41" s="32" t="str">
        <x:v>0.1.0-DRAFT</x:v>
      </x:c>
      <x:c r="F41" s="32" t="str">
        <x:v>ING-005</x:v>
      </x:c>
      <x:c r="G41" s="32" t="str">
        <x:v>Масло оливковое</x:v>
      </x:c>
      <x:c r="H41" s="32" t="str">
        <x:v>Соус</x:v>
      </x:c>
      <x:c r="I41" s="32" t="str">
        <x:v>VSF-002</x:v>
      </x:c>
      <x:c r="J41" s="32" t="n">
        <x:v>7</x:v>
      </x:c>
      <x:c r="K41" s="32" t="str">
        <x:v>г</x:v>
      </x:c>
      <x:c r="L41" s="32" t="n">
        <x:v>7</x:v>
      </x:c>
      <x:c r="M41" s="32" t="n">
        <x:v>7</x:v>
      </x:c>
      <x:c r="N41" s="32" t="str">
        <x:v>ASSUMPTION</x:v>
      </x:c>
      <x:c r="O41" s="32" t="str">
        <x:v>EVD-0007;EVD-0008</x:v>
      </x:c>
      <x:c r="P41" s="32" t="str">
        <x:v>GAP-004;GAP-005</x:v>
      </x:c>
    </x:row>
    <x:row r="42">
      <x:c r="A42" s="32" t="str">
        <x:v>RCP-0037</x:v>
      </x:c>
      <x:c r="B42" s="32" t="str">
        <x:v>VKM-003</x:v>
      </x:c>
      <x:c r="C42" s="32" t="str">
        <x:v>VKC-003</x:v>
      </x:c>
      <x:c r="D42" s="32" t="str">
        <x:v>VKT-003</x:v>
      </x:c>
      <x:c r="E42" s="32" t="str">
        <x:v>0.1.0-DRAFT</x:v>
      </x:c>
      <x:c r="F42" s="32" t="str">
        <x:v>ING-009</x:v>
      </x:c>
      <x:c r="G42" s="32" t="str">
        <x:v>Моцарелла</x:v>
      </x:c>
      <x:c r="H42" s="32" t="str">
        <x:v>Сборка</x:v>
      </x:c>
      <x:c r="I42" s="32"/>
      <x:c r="J42" s="32" t="n">
        <x:v>90</x:v>
      </x:c>
      <x:c r="K42" s="32" t="str">
        <x:v>г</x:v>
      </x:c>
      <x:c r="L42" s="32" t="n">
        <x:v>90</x:v>
      </x:c>
      <x:c r="M42" s="32" t="n">
        <x:v>90</x:v>
      </x:c>
      <x:c r="N42" s="32" t="str">
        <x:v>ASSUMPTION</x:v>
      </x:c>
      <x:c r="O42" s="32" t="str">
        <x:v>EVD-0007;EVD-0008</x:v>
      </x:c>
      <x:c r="P42" s="32" t="str">
        <x:v>GAP-004;GAP-005</x:v>
      </x:c>
    </x:row>
    <x:row r="43">
      <x:c r="A43" s="32" t="str">
        <x:v>RCP-0038</x:v>
      </x:c>
      <x:c r="B43" s="32" t="str">
        <x:v>VKM-003</x:v>
      </x:c>
      <x:c r="C43" s="32" t="str">
        <x:v>VKC-003</x:v>
      </x:c>
      <x:c r="D43" s="32" t="str">
        <x:v>VKT-003</x:v>
      </x:c>
      <x:c r="E43" s="32" t="str">
        <x:v>0.1.0-DRAFT</x:v>
      </x:c>
      <x:c r="F43" s="32" t="str">
        <x:v>ING-014</x:v>
      </x:c>
      <x:c r="G43" s="32" t="str">
        <x:v>Ветчина</x:v>
      </x:c>
      <x:c r="H43" s="32" t="str">
        <x:v>Сборка</x:v>
      </x:c>
      <x:c r="I43" s="32"/>
      <x:c r="J43" s="32" t="n">
        <x:v>60</x:v>
      </x:c>
      <x:c r="K43" s="32" t="str">
        <x:v>г</x:v>
      </x:c>
      <x:c r="L43" s="32" t="n">
        <x:v>60</x:v>
      </x:c>
      <x:c r="M43" s="32" t="n">
        <x:v>60</x:v>
      </x:c>
      <x:c r="N43" s="32" t="str">
        <x:v>ASSUMPTION</x:v>
      </x:c>
      <x:c r="O43" s="32" t="str">
        <x:v>EVD-0007;EVD-0008</x:v>
      </x:c>
      <x:c r="P43" s="32" t="str">
        <x:v>GAP-004;GAP-005</x:v>
      </x:c>
    </x:row>
    <x:row r="44">
      <x:c r="A44" s="32" t="str">
        <x:v>RCP-0039</x:v>
      </x:c>
      <x:c r="B44" s="32" t="str">
        <x:v>VKM-003</x:v>
      </x:c>
      <x:c r="C44" s="32" t="str">
        <x:v>VKC-003</x:v>
      </x:c>
      <x:c r="D44" s="32" t="str">
        <x:v>VKT-003</x:v>
      </x:c>
      <x:c r="E44" s="32" t="str">
        <x:v>0.1.0-DRAFT</x:v>
      </x:c>
      <x:c r="F44" s="32" t="str">
        <x:v>ING-015</x:v>
      </x:c>
      <x:c r="G44" s="32" t="str">
        <x:v>Шампиньоны</x:v>
      </x:c>
      <x:c r="H44" s="32" t="str">
        <x:v>Сборка</x:v>
      </x:c>
      <x:c r="I44" s="32"/>
      <x:c r="J44" s="32" t="n">
        <x:v>50</x:v>
      </x:c>
      <x:c r="K44" s="32" t="str">
        <x:v>г</x:v>
      </x:c>
      <x:c r="L44" s="32" t="n">
        <x:v>48</x:v>
      </x:c>
      <x:c r="M44" s="32" t="n">
        <x:v>45</x:v>
      </x:c>
      <x:c r="N44" s="32" t="str">
        <x:v>ASSUMPTION</x:v>
      </x:c>
      <x:c r="O44" s="32" t="str">
        <x:v>EVD-0007;EVD-0008</x:v>
      </x:c>
      <x:c r="P44" s="32" t="str">
        <x:v>GAP-004;GAP-005</x:v>
      </x:c>
    </x:row>
    <x:row r="45">
      <x:c r="A45" s="32" t="str">
        <x:v>RCP-0040</x:v>
      </x:c>
      <x:c r="B45" s="32" t="str">
        <x:v>VKM-003</x:v>
      </x:c>
      <x:c r="C45" s="32" t="str">
        <x:v>VKC-003</x:v>
      </x:c>
      <x:c r="D45" s="32" t="str">
        <x:v>VKT-003</x:v>
      </x:c>
      <x:c r="E45" s="32" t="str">
        <x:v>0.1.0-DRAFT</x:v>
      </x:c>
      <x:c r="F45" s="32" t="str">
        <x:v>ING-016</x:v>
      </x:c>
      <x:c r="G45" s="32" t="str">
        <x:v>Лук репчатый</x:v>
      </x:c>
      <x:c r="H45" s="32" t="str">
        <x:v>Сборка</x:v>
      </x:c>
      <x:c r="I45" s="32"/>
      <x:c r="J45" s="32" t="n">
        <x:v>12</x:v>
      </x:c>
      <x:c r="K45" s="32" t="str">
        <x:v>г</x:v>
      </x:c>
      <x:c r="L45" s="32" t="n">
        <x:v>10</x:v>
      </x:c>
      <x:c r="M45" s="32" t="n">
        <x:v>10</x:v>
      </x:c>
      <x:c r="N45" s="32" t="str">
        <x:v>ASSUMPTION</x:v>
      </x:c>
      <x:c r="O45" s="32" t="str">
        <x:v>EVD-0007;EVD-0008</x:v>
      </x:c>
      <x:c r="P45" s="32" t="str">
        <x:v>GAP-004;GAP-005</x:v>
      </x:c>
    </x:row>
    <x:row r="46">
      <x:c r="A46" s="32" t="str">
        <x:v>RCP-0041</x:v>
      </x:c>
      <x:c r="B46" s="32" t="str">
        <x:v>VKM-003</x:v>
      </x:c>
      <x:c r="C46" s="32" t="str">
        <x:v>VKC-003</x:v>
      </x:c>
      <x:c r="D46" s="32" t="str">
        <x:v>VKT-003</x:v>
      </x:c>
      <x:c r="E46" s="32" t="str">
        <x:v>0.1.0-DRAFT</x:v>
      </x:c>
      <x:c r="F46" s="32" t="str">
        <x:v>ING-005</x:v>
      </x:c>
      <x:c r="G46" s="32" t="str">
        <x:v>Масло оливковое</x:v>
      </x:c>
      <x:c r="H46" s="32" t="str">
        <x:v>Финиш</x:v>
      </x:c>
      <x:c r="I46" s="32"/>
      <x:c r="J46" s="32" t="n">
        <x:v>5</x:v>
      </x:c>
      <x:c r="K46" s="32" t="str">
        <x:v>г</x:v>
      </x:c>
      <x:c r="L46" s="32" t="n">
        <x:v>5</x:v>
      </x:c>
      <x:c r="M46" s="32" t="n">
        <x:v>5</x:v>
      </x:c>
      <x:c r="N46" s="32" t="str">
        <x:v>ASSUMPTION</x:v>
      </x:c>
      <x:c r="O46" s="32" t="str">
        <x:v>EVD-0007;EVD-0008</x:v>
      </x:c>
      <x:c r="P46" s="32" t="str">
        <x:v>GAP-004;GAP-005</x:v>
      </x:c>
    </x:row>
    <x:row r="47">
      <x:c r="A47" s="32" t="str">
        <x:v>RCP-0042</x:v>
      </x:c>
      <x:c r="B47" s="32" t="str">
        <x:v>VKM-004</x:v>
      </x:c>
      <x:c r="C47" s="32" t="str">
        <x:v>VKC-004</x:v>
      </x:c>
      <x:c r="D47" s="32" t="str">
        <x:v>VKT-004</x:v>
      </x:c>
      <x:c r="E47" s="32" t="str">
        <x:v>0.1.0-DRAFT</x:v>
      </x:c>
      <x:c r="F47" s="32" t="str">
        <x:v>ING-001</x:v>
      </x:c>
      <x:c r="G47" s="32" t="str">
        <x:v>Мука пшеничная хлебопекарная</x:v>
      </x:c>
      <x:c r="H47" s="32" t="str">
        <x:v>Тесто</x:v>
      </x:c>
      <x:c r="I47" s="32" t="str">
        <x:v>VSF-001</x:v>
      </x:c>
      <x:c r="J47" s="32" t="n">
        <x:v>140</x:v>
      </x:c>
      <x:c r="K47" s="32" t="str">
        <x:v>г</x:v>
      </x:c>
      <x:c r="L47" s="32" t="n">
        <x:v>140</x:v>
      </x:c>
      <x:c r="M47" s="32" t="n">
        <x:v>130</x:v>
      </x:c>
      <x:c r="N47" s="32" t="str">
        <x:v>ASSUMPTION</x:v>
      </x:c>
      <x:c r="O47" s="32" t="str">
        <x:v>EVD-0007;EVD-0008</x:v>
      </x:c>
      <x:c r="P47" s="32" t="str">
        <x:v>GAP-004;GAP-005</x:v>
      </x:c>
    </x:row>
    <x:row r="48">
      <x:c r="A48" s="32" t="str">
        <x:v>RCP-0043</x:v>
      </x:c>
      <x:c r="B48" s="32" t="str">
        <x:v>VKM-004</x:v>
      </x:c>
      <x:c r="C48" s="32" t="str">
        <x:v>VKC-004</x:v>
      </x:c>
      <x:c r="D48" s="32" t="str">
        <x:v>VKT-004</x:v>
      </x:c>
      <x:c r="E48" s="32" t="str">
        <x:v>0.1.0-DRAFT</x:v>
      </x:c>
      <x:c r="F48" s="32" t="str">
        <x:v>ING-002</x:v>
      </x:c>
      <x:c r="G48" s="32" t="str">
        <x:v>Вода питьевая</x:v>
      </x:c>
      <x:c r="H48" s="32" t="str">
        <x:v>Тесто</x:v>
      </x:c>
      <x:c r="I48" s="32" t="str">
        <x:v>VSF-001</x:v>
      </x:c>
      <x:c r="J48" s="32" t="n">
        <x:v>85</x:v>
      </x:c>
      <x:c r="K48" s="32" t="str">
        <x:v>г</x:v>
      </x:c>
      <x:c r="L48" s="32" t="n">
        <x:v>85</x:v>
      </x:c>
      <x:c r="M48" s="32" t="n">
        <x:v>70</x:v>
      </x:c>
      <x:c r="N48" s="32" t="str">
        <x:v>ASSUMPTION</x:v>
      </x:c>
      <x:c r="O48" s="32" t="str">
        <x:v>EVD-0007;EVD-0008</x:v>
      </x:c>
      <x:c r="P48" s="32" t="str">
        <x:v>GAP-004;GAP-005</x:v>
      </x:c>
    </x:row>
    <x:row r="49">
      <x:c r="A49" s="32" t="str">
        <x:v>RCP-0044</x:v>
      </x:c>
      <x:c r="B49" s="32" t="str">
        <x:v>VKM-004</x:v>
      </x:c>
      <x:c r="C49" s="32" t="str">
        <x:v>VKC-004</x:v>
      </x:c>
      <x:c r="D49" s="32" t="str">
        <x:v>VKT-004</x:v>
      </x:c>
      <x:c r="E49" s="32" t="str">
        <x:v>0.1.0-DRAFT</x:v>
      </x:c>
      <x:c r="F49" s="32" t="str">
        <x:v>ING-003</x:v>
      </x:c>
      <x:c r="G49" s="32" t="str">
        <x:v>Дрожжи хлебопекарные</x:v>
      </x:c>
      <x:c r="H49" s="32" t="str">
        <x:v>Тесто</x:v>
      </x:c>
      <x:c r="I49" s="32" t="str">
        <x:v>VSF-001</x:v>
      </x:c>
      <x:c r="J49" s="32" t="n">
        <x:v>2</x:v>
      </x:c>
      <x:c r="K49" s="32" t="str">
        <x:v>г</x:v>
      </x:c>
      <x:c r="L49" s="32" t="n">
        <x:v>2</x:v>
      </x:c>
      <x:c r="M49" s="32" t="n">
        <x:v>2</x:v>
      </x:c>
      <x:c r="N49" s="32" t="str">
        <x:v>ASSUMPTION</x:v>
      </x:c>
      <x:c r="O49" s="32" t="str">
        <x:v>EVD-0007;EVD-0008</x:v>
      </x:c>
      <x:c r="P49" s="32" t="str">
        <x:v>GAP-004;GAP-005</x:v>
      </x:c>
    </x:row>
    <x:row r="50">
      <x:c r="A50" s="32" t="str">
        <x:v>RCP-0045</x:v>
      </x:c>
      <x:c r="B50" s="32" t="str">
        <x:v>VKM-004</x:v>
      </x:c>
      <x:c r="C50" s="32" t="str">
        <x:v>VKC-004</x:v>
      </x:c>
      <x:c r="D50" s="32" t="str">
        <x:v>VKT-004</x:v>
      </x:c>
      <x:c r="E50" s="32" t="str">
        <x:v>0.1.0-DRAFT</x:v>
      </x:c>
      <x:c r="F50" s="32" t="str">
        <x:v>ING-004</x:v>
      </x:c>
      <x:c r="G50" s="32" t="str">
        <x:v>Соль пищевая</x:v>
      </x:c>
      <x:c r="H50" s="32" t="str">
        <x:v>Тесто</x:v>
      </x:c>
      <x:c r="I50" s="32" t="str">
        <x:v>VSF-001</x:v>
      </x:c>
      <x:c r="J50" s="32" t="n">
        <x:v>3</x:v>
      </x:c>
      <x:c r="K50" s="32" t="str">
        <x:v>г</x:v>
      </x:c>
      <x:c r="L50" s="32" t="n">
        <x:v>3</x:v>
      </x:c>
      <x:c r="M50" s="32" t="n">
        <x:v>3</x:v>
      </x:c>
      <x:c r="N50" s="32" t="str">
        <x:v>ASSUMPTION</x:v>
      </x:c>
      <x:c r="O50" s="32" t="str">
        <x:v>EVD-0007;EVD-0008</x:v>
      </x:c>
      <x:c r="P50" s="32" t="str">
        <x:v>GAP-004;GAP-005</x:v>
      </x:c>
    </x:row>
    <x:row r="51">
      <x:c r="A51" s="32" t="str">
        <x:v>RCP-0046</x:v>
      </x:c>
      <x:c r="B51" s="32" t="str">
        <x:v>VKM-004</x:v>
      </x:c>
      <x:c r="C51" s="32" t="str">
        <x:v>VKC-004</x:v>
      </x:c>
      <x:c r="D51" s="32" t="str">
        <x:v>VKT-004</x:v>
      </x:c>
      <x:c r="E51" s="32" t="str">
        <x:v>0.1.0-DRAFT</x:v>
      </x:c>
      <x:c r="F51" s="32" t="str">
        <x:v>ING-005</x:v>
      </x:c>
      <x:c r="G51" s="32" t="str">
        <x:v>Масло оливковое</x:v>
      </x:c>
      <x:c r="H51" s="32" t="str">
        <x:v>Тесто</x:v>
      </x:c>
      <x:c r="I51" s="32" t="str">
        <x:v>VSF-001</x:v>
      </x:c>
      <x:c r="J51" s="32" t="n">
        <x:v>15</x:v>
      </x:c>
      <x:c r="K51" s="32" t="str">
        <x:v>г</x:v>
      </x:c>
      <x:c r="L51" s="32" t="n">
        <x:v>15</x:v>
      </x:c>
      <x:c r="M51" s="32" t="n">
        <x:v>15</x:v>
      </x:c>
      <x:c r="N51" s="32" t="str">
        <x:v>ASSUMPTION</x:v>
      </x:c>
      <x:c r="O51" s="32" t="str">
        <x:v>EVD-0007;EVD-0008</x:v>
      </x:c>
      <x:c r="P51" s="32" t="str">
        <x:v>GAP-004;GAP-005</x:v>
      </x:c>
    </x:row>
    <x:row r="52">
      <x:c r="A52" s="32" t="str">
        <x:v>RCP-0047</x:v>
      </x:c>
      <x:c r="B52" s="32" t="str">
        <x:v>VKM-004</x:v>
      </x:c>
      <x:c r="C52" s="32" t="str">
        <x:v>VKC-004</x:v>
      </x:c>
      <x:c r="D52" s="32" t="str">
        <x:v>VKT-004</x:v>
      </x:c>
      <x:c r="E52" s="32" t="str">
        <x:v>0.1.0-DRAFT</x:v>
      </x:c>
      <x:c r="F52" s="32" t="str">
        <x:v>ING-006</x:v>
      </x:c>
      <x:c r="G52" s="32" t="str">
        <x:v>Томаты протёртые</x:v>
      </x:c>
      <x:c r="H52" s="32" t="str">
        <x:v>Соус</x:v>
      </x:c>
      <x:c r="I52" s="32" t="str">
        <x:v>VSF-002</x:v>
      </x:c>
      <x:c r="J52" s="32" t="n">
        <x:v>63</x:v>
      </x:c>
      <x:c r="K52" s="32" t="str">
        <x:v>г</x:v>
      </x:c>
      <x:c r="L52" s="32" t="n">
        <x:v>63</x:v>
      </x:c>
      <x:c r="M52" s="32" t="n">
        <x:v>60</x:v>
      </x:c>
      <x:c r="N52" s="32" t="str">
        <x:v>ASSUMPTION</x:v>
      </x:c>
      <x:c r="O52" s="32" t="str">
        <x:v>EVD-0007;EVD-0008</x:v>
      </x:c>
      <x:c r="P52" s="32" t="str">
        <x:v>GAP-004;GAP-005</x:v>
      </x:c>
    </x:row>
    <x:row r="53">
      <x:c r="A53" s="32" t="str">
        <x:v>RCP-0048</x:v>
      </x:c>
      <x:c r="B53" s="32" t="str">
        <x:v>VKM-004</x:v>
      </x:c>
      <x:c r="C53" s="32" t="str">
        <x:v>VKC-004</x:v>
      </x:c>
      <x:c r="D53" s="32" t="str">
        <x:v>VKT-004</x:v>
      </x:c>
      <x:c r="E53" s="32" t="str">
        <x:v>0.1.0-DRAFT</x:v>
      </x:c>
      <x:c r="F53" s="32" t="str">
        <x:v>ING-007</x:v>
      </x:c>
      <x:c r="G53" s="32" t="str">
        <x:v>Чеснок</x:v>
      </x:c>
      <x:c r="H53" s="32" t="str">
        <x:v>Соус</x:v>
      </x:c>
      <x:c r="I53" s="32" t="str">
        <x:v>VSF-002</x:v>
      </x:c>
      <x:c r="J53" s="32" t="n">
        <x:v>2.2</x:v>
      </x:c>
      <x:c r="K53" s="32" t="str">
        <x:v>г</x:v>
      </x:c>
      <x:c r="L53" s="32" t="n">
        <x:v>2</x:v>
      </x:c>
      <x:c r="M53" s="32" t="n">
        <x:v>2</x:v>
      </x:c>
      <x:c r="N53" s="32" t="str">
        <x:v>ASSUMPTION</x:v>
      </x:c>
      <x:c r="O53" s="32" t="str">
        <x:v>EVD-0007;EVD-0008</x:v>
      </x:c>
      <x:c r="P53" s="32" t="str">
        <x:v>GAP-004;GAP-005</x:v>
      </x:c>
    </x:row>
    <x:row r="54">
      <x:c r="A54" s="32" t="str">
        <x:v>RCP-0049</x:v>
      </x:c>
      <x:c r="B54" s="32" t="str">
        <x:v>VKM-004</x:v>
      </x:c>
      <x:c r="C54" s="32" t="str">
        <x:v>VKC-004</x:v>
      </x:c>
      <x:c r="D54" s="32" t="str">
        <x:v>VKT-004</x:v>
      </x:c>
      <x:c r="E54" s="32" t="str">
        <x:v>0.1.0-DRAFT</x:v>
      </x:c>
      <x:c r="F54" s="32" t="str">
        <x:v>ING-008</x:v>
      </x:c>
      <x:c r="G54" s="32" t="str">
        <x:v>Орегано</x:v>
      </x:c>
      <x:c r="H54" s="32" t="str">
        <x:v>Соус</x:v>
      </x:c>
      <x:c r="I54" s="32" t="str">
        <x:v>VSF-002</x:v>
      </x:c>
      <x:c r="J54" s="32" t="n">
        <x:v>1</x:v>
      </x:c>
      <x:c r="K54" s="32" t="str">
        <x:v>г</x:v>
      </x:c>
      <x:c r="L54" s="32" t="n">
        <x:v>1</x:v>
      </x:c>
      <x:c r="M54" s="32" t="n">
        <x:v>1</x:v>
      </x:c>
      <x:c r="N54" s="32" t="str">
        <x:v>ASSUMPTION</x:v>
      </x:c>
      <x:c r="O54" s="32" t="str">
        <x:v>EVD-0007;EVD-0008</x:v>
      </x:c>
      <x:c r="P54" s="32" t="str">
        <x:v>GAP-004;GAP-005</x:v>
      </x:c>
    </x:row>
    <x:row r="55">
      <x:c r="A55" s="32" t="str">
        <x:v>RCP-0050</x:v>
      </x:c>
      <x:c r="B55" s="32" t="str">
        <x:v>VKM-004</x:v>
      </x:c>
      <x:c r="C55" s="32" t="str">
        <x:v>VKC-004</x:v>
      </x:c>
      <x:c r="D55" s="32" t="str">
        <x:v>VKT-004</x:v>
      </x:c>
      <x:c r="E55" s="32" t="str">
        <x:v>0.1.0-DRAFT</x:v>
      </x:c>
      <x:c r="F55" s="32" t="str">
        <x:v>ING-005</x:v>
      </x:c>
      <x:c r="G55" s="32" t="str">
        <x:v>Масло оливковое</x:v>
      </x:c>
      <x:c r="H55" s="32" t="str">
        <x:v>Соус</x:v>
      </x:c>
      <x:c r="I55" s="32" t="str">
        <x:v>VSF-002</x:v>
      </x:c>
      <x:c r="J55" s="32" t="n">
        <x:v>7</x:v>
      </x:c>
      <x:c r="K55" s="32" t="str">
        <x:v>г</x:v>
      </x:c>
      <x:c r="L55" s="32" t="n">
        <x:v>7</x:v>
      </x:c>
      <x:c r="M55" s="32" t="n">
        <x:v>7</x:v>
      </x:c>
      <x:c r="N55" s="32" t="str">
        <x:v>ASSUMPTION</x:v>
      </x:c>
      <x:c r="O55" s="32" t="str">
        <x:v>EVD-0007;EVD-0008</x:v>
      </x:c>
      <x:c r="P55" s="32" t="str">
        <x:v>GAP-004;GAP-005</x:v>
      </x:c>
    </x:row>
    <x:row r="56">
      <x:c r="A56" s="32" t="str">
        <x:v>RCP-0051</x:v>
      </x:c>
      <x:c r="B56" s="32" t="str">
        <x:v>VKM-004</x:v>
      </x:c>
      <x:c r="C56" s="32" t="str">
        <x:v>VKC-004</x:v>
      </x:c>
      <x:c r="D56" s="32" t="str">
        <x:v>VKT-004</x:v>
      </x:c>
      <x:c r="E56" s="32" t="str">
        <x:v>0.1.0-DRAFT</x:v>
      </x:c>
      <x:c r="F56" s="32" t="str">
        <x:v>ING-009</x:v>
      </x:c>
      <x:c r="G56" s="32" t="str">
        <x:v>Моцарелла</x:v>
      </x:c>
      <x:c r="H56" s="32" t="str">
        <x:v>Сборка</x:v>
      </x:c>
      <x:c r="I56" s="32"/>
      <x:c r="J56" s="32" t="n">
        <x:v>110</x:v>
      </x:c>
      <x:c r="K56" s="32" t="str">
        <x:v>г</x:v>
      </x:c>
      <x:c r="L56" s="32" t="n">
        <x:v>110</x:v>
      </x:c>
      <x:c r="M56" s="32" t="n">
        <x:v>110</x:v>
      </x:c>
      <x:c r="N56" s="32" t="str">
        <x:v>ASSUMPTION</x:v>
      </x:c>
      <x:c r="O56" s="32" t="str">
        <x:v>EVD-0007;EVD-0008</x:v>
      </x:c>
      <x:c r="P56" s="32" t="str">
        <x:v>GAP-004;GAP-005</x:v>
      </x:c>
    </x:row>
    <x:row r="57">
      <x:c r="A57" s="32" t="str">
        <x:v>RCP-0052</x:v>
      </x:c>
      <x:c r="B57" s="32" t="str">
        <x:v>VKM-004</x:v>
      </x:c>
      <x:c r="C57" s="32" t="str">
        <x:v>VKC-004</x:v>
      </x:c>
      <x:c r="D57" s="32" t="str">
        <x:v>VKT-004</x:v>
      </x:c>
      <x:c r="E57" s="32" t="str">
        <x:v>0.1.0-DRAFT</x:v>
      </x:c>
      <x:c r="F57" s="32" t="str">
        <x:v>ING-017</x:v>
      </x:c>
      <x:c r="G57" s="32" t="str">
        <x:v>Пепперони</x:v>
      </x:c>
      <x:c r="H57" s="32" t="str">
        <x:v>Сборка</x:v>
      </x:c>
      <x:c r="I57" s="32"/>
      <x:c r="J57" s="32" t="n">
        <x:v>90</x:v>
      </x:c>
      <x:c r="K57" s="32" t="str">
        <x:v>г</x:v>
      </x:c>
      <x:c r="L57" s="32" t="n">
        <x:v>90</x:v>
      </x:c>
      <x:c r="M57" s="32" t="n">
        <x:v>90</x:v>
      </x:c>
      <x:c r="N57" s="32" t="str">
        <x:v>ASSUMPTION</x:v>
      </x:c>
      <x:c r="O57" s="32" t="str">
        <x:v>EVD-0007;EVD-0008</x:v>
      </x:c>
      <x:c r="P57" s="32" t="str">
        <x:v>GAP-004;GAP-005</x:v>
      </x:c>
    </x:row>
    <x:row r="58">
      <x:c r="A58" s="32" t="str">
        <x:v>RCP-0053</x:v>
      </x:c>
      <x:c r="B58" s="32" t="str">
        <x:v>VKM-004</x:v>
      </x:c>
      <x:c r="C58" s="32" t="str">
        <x:v>VKC-004</x:v>
      </x:c>
      <x:c r="D58" s="32" t="str">
        <x:v>VKT-004</x:v>
      </x:c>
      <x:c r="E58" s="32" t="str">
        <x:v>0.1.0-DRAFT</x:v>
      </x:c>
      <x:c r="F58" s="32" t="str">
        <x:v>ING-005</x:v>
      </x:c>
      <x:c r="G58" s="32" t="str">
        <x:v>Масло оливковое</x:v>
      </x:c>
      <x:c r="H58" s="32" t="str">
        <x:v>Финиш</x:v>
      </x:c>
      <x:c r="I58" s="32"/>
      <x:c r="J58" s="32" t="n">
        <x:v>10</x:v>
      </x:c>
      <x:c r="K58" s="32" t="str">
        <x:v>г</x:v>
      </x:c>
      <x:c r="L58" s="32" t="n">
        <x:v>10</x:v>
      </x:c>
      <x:c r="M58" s="32" t="n">
        <x:v>10</x:v>
      </x:c>
      <x:c r="N58" s="32" t="str">
        <x:v>ASSUMPTION</x:v>
      </x:c>
      <x:c r="O58" s="32" t="str">
        <x:v>EVD-0007;EVD-0008</x:v>
      </x:c>
      <x:c r="P58" s="32" t="str">
        <x:v>GAP-004;GAP-005</x:v>
      </x:c>
    </x:row>
    <x:row r="59">
      <x:c r="A59" s="32" t="str">
        <x:v>RCP-0054</x:v>
      </x:c>
      <x:c r="B59" s="32" t="str">
        <x:v>VKM-005</x:v>
      </x:c>
      <x:c r="C59" s="32" t="str">
        <x:v>VKC-005</x:v>
      </x:c>
      <x:c r="D59" s="32" t="str">
        <x:v>VKT-005</x:v>
      </x:c>
      <x:c r="E59" s="32" t="str">
        <x:v>0.1.0-DRAFT</x:v>
      </x:c>
      <x:c r="F59" s="32" t="str">
        <x:v>ING-001</x:v>
      </x:c>
      <x:c r="G59" s="32" t="str">
        <x:v>Мука пшеничная хлебопекарная</x:v>
      </x:c>
      <x:c r="H59" s="32" t="str">
        <x:v>Тесто</x:v>
      </x:c>
      <x:c r="I59" s="32" t="str">
        <x:v>VSF-003</x:v>
      </x:c>
      <x:c r="J59" s="32" t="n">
        <x:v>60</x:v>
      </x:c>
      <x:c r="K59" s="32" t="str">
        <x:v>г</x:v>
      </x:c>
      <x:c r="L59" s="32" t="n">
        <x:v>60</x:v>
      </x:c>
      <x:c r="M59" s="32" t="n">
        <x:v>55</x:v>
      </x:c>
      <x:c r="N59" s="32" t="str">
        <x:v>ASSUMPTION</x:v>
      </x:c>
      <x:c r="O59" s="32" t="str">
        <x:v>EVD-0007;EVD-0008</x:v>
      </x:c>
      <x:c r="P59" s="32" t="str">
        <x:v>GAP-004;GAP-005</x:v>
      </x:c>
    </x:row>
    <x:row r="60">
      <x:c r="A60" s="32" t="str">
        <x:v>RCP-0055</x:v>
      </x:c>
      <x:c r="B60" s="32" t="str">
        <x:v>VKM-005</x:v>
      </x:c>
      <x:c r="C60" s="32" t="str">
        <x:v>VKC-005</x:v>
      </x:c>
      <x:c r="D60" s="32" t="str">
        <x:v>VKT-005</x:v>
      </x:c>
      <x:c r="E60" s="32" t="str">
        <x:v>0.1.0-DRAFT</x:v>
      </x:c>
      <x:c r="F60" s="32" t="str">
        <x:v>ING-002</x:v>
      </x:c>
      <x:c r="G60" s="32" t="str">
        <x:v>Вода питьевая</x:v>
      </x:c>
      <x:c r="H60" s="32" t="str">
        <x:v>Тесто</x:v>
      </x:c>
      <x:c r="I60" s="32" t="str">
        <x:v>VSF-003</x:v>
      </x:c>
      <x:c r="J60" s="32" t="n">
        <x:v>40</x:v>
      </x:c>
      <x:c r="K60" s="32" t="str">
        <x:v>г</x:v>
      </x:c>
      <x:c r="L60" s="32" t="n">
        <x:v>40</x:v>
      </x:c>
      <x:c r="M60" s="32" t="n">
        <x:v>34</x:v>
      </x:c>
      <x:c r="N60" s="32" t="str">
        <x:v>ASSUMPTION</x:v>
      </x:c>
      <x:c r="O60" s="32" t="str">
        <x:v>EVD-0007;EVD-0008</x:v>
      </x:c>
      <x:c r="P60" s="32" t="str">
        <x:v>GAP-004;GAP-005</x:v>
      </x:c>
    </x:row>
    <x:row r="61">
      <x:c r="A61" s="32" t="str">
        <x:v>RCP-0056</x:v>
      </x:c>
      <x:c r="B61" s="32" t="str">
        <x:v>VKM-005</x:v>
      </x:c>
      <x:c r="C61" s="32" t="str">
        <x:v>VKC-005</x:v>
      </x:c>
      <x:c r="D61" s="32" t="str">
        <x:v>VKT-005</x:v>
      </x:c>
      <x:c r="E61" s="32" t="str">
        <x:v>0.1.0-DRAFT</x:v>
      </x:c>
      <x:c r="F61" s="32" t="str">
        <x:v>ING-003</x:v>
      </x:c>
      <x:c r="G61" s="32" t="str">
        <x:v>Дрожжи хлебопекарные</x:v>
      </x:c>
      <x:c r="H61" s="32" t="str">
        <x:v>Тесто</x:v>
      </x:c>
      <x:c r="I61" s="32" t="str">
        <x:v>VSF-003</x:v>
      </x:c>
      <x:c r="J61" s="32" t="n">
        <x:v>1</x:v>
      </x:c>
      <x:c r="K61" s="32" t="str">
        <x:v>г</x:v>
      </x:c>
      <x:c r="L61" s="32" t="n">
        <x:v>1</x:v>
      </x:c>
      <x:c r="M61" s="32" t="n">
        <x:v>1</x:v>
      </x:c>
      <x:c r="N61" s="32" t="str">
        <x:v>ASSUMPTION</x:v>
      </x:c>
      <x:c r="O61" s="32" t="str">
        <x:v>EVD-0007;EVD-0008</x:v>
      </x:c>
      <x:c r="P61" s="32" t="str">
        <x:v>GAP-004;GAP-005</x:v>
      </x:c>
    </x:row>
    <x:row r="62">
      <x:c r="A62" s="32" t="str">
        <x:v>RCP-0057</x:v>
      </x:c>
      <x:c r="B62" s="32" t="str">
        <x:v>VKM-005</x:v>
      </x:c>
      <x:c r="C62" s="32" t="str">
        <x:v>VKC-005</x:v>
      </x:c>
      <x:c r="D62" s="32" t="str">
        <x:v>VKT-005</x:v>
      </x:c>
      <x:c r="E62" s="32" t="str">
        <x:v>0.1.0-DRAFT</x:v>
      </x:c>
      <x:c r="F62" s="32" t="str">
        <x:v>ING-004</x:v>
      </x:c>
      <x:c r="G62" s="32" t="str">
        <x:v>Соль пищевая</x:v>
      </x:c>
      <x:c r="H62" s="32" t="str">
        <x:v>Тесто</x:v>
      </x:c>
      <x:c r="I62" s="32" t="str">
        <x:v>VSF-003</x:v>
      </x:c>
      <x:c r="J62" s="32" t="n">
        <x:v>2</x:v>
      </x:c>
      <x:c r="K62" s="32" t="str">
        <x:v>г</x:v>
      </x:c>
      <x:c r="L62" s="32" t="n">
        <x:v>2</x:v>
      </x:c>
      <x:c r="M62" s="32" t="n">
        <x:v>2</x:v>
      </x:c>
      <x:c r="N62" s="32" t="str">
        <x:v>ASSUMPTION</x:v>
      </x:c>
      <x:c r="O62" s="32" t="str">
        <x:v>EVD-0007;EVD-0008</x:v>
      </x:c>
      <x:c r="P62" s="32" t="str">
        <x:v>GAP-004;GAP-005</x:v>
      </x:c>
    </x:row>
    <x:row r="63">
      <x:c r="A63" s="32" t="str">
        <x:v>RCP-0058</x:v>
      </x:c>
      <x:c r="B63" s="32" t="str">
        <x:v>VKM-005</x:v>
      </x:c>
      <x:c r="C63" s="32" t="str">
        <x:v>VKC-005</x:v>
      </x:c>
      <x:c r="D63" s="32" t="str">
        <x:v>VKT-005</x:v>
      </x:c>
      <x:c r="E63" s="32" t="str">
        <x:v>0.1.0-DRAFT</x:v>
      </x:c>
      <x:c r="F63" s="32" t="str">
        <x:v>ING-005</x:v>
      </x:c>
      <x:c r="G63" s="32" t="str">
        <x:v>Масло оливковое</x:v>
      </x:c>
      <x:c r="H63" s="32" t="str">
        <x:v>Тесто</x:v>
      </x:c>
      <x:c r="I63" s="32" t="str">
        <x:v>VSF-003</x:v>
      </x:c>
      <x:c r="J63" s="32" t="n">
        <x:v>8</x:v>
      </x:c>
      <x:c r="K63" s="32" t="str">
        <x:v>г</x:v>
      </x:c>
      <x:c r="L63" s="32" t="n">
        <x:v>8</x:v>
      </x:c>
      <x:c r="M63" s="32" t="n">
        <x:v>8</x:v>
      </x:c>
      <x:c r="N63" s="32" t="str">
        <x:v>ASSUMPTION</x:v>
      </x:c>
      <x:c r="O63" s="32" t="str">
        <x:v>EVD-0007;EVD-0008</x:v>
      </x:c>
      <x:c r="P63" s="32" t="str">
        <x:v>GAP-004;GAP-005</x:v>
      </x:c>
    </x:row>
    <x:row r="64">
      <x:c r="A64" s="32" t="str">
        <x:v>RCP-0059</x:v>
      </x:c>
      <x:c r="B64" s="32" t="str">
        <x:v>VKM-006</x:v>
      </x:c>
      <x:c r="C64" s="32" t="str">
        <x:v>VKC-006</x:v>
      </x:c>
      <x:c r="D64" s="32" t="str">
        <x:v>VKT-006</x:v>
      </x:c>
      <x:c r="E64" s="32" t="str">
        <x:v>0.1.0-DRAFT</x:v>
      </x:c>
      <x:c r="F64" s="32" t="str">
        <x:v>ING-001</x:v>
      </x:c>
      <x:c r="G64" s="32" t="str">
        <x:v>Мука пшеничная хлебопекарная</x:v>
      </x:c>
      <x:c r="H64" s="32" t="str">
        <x:v>Тесто</x:v>
      </x:c>
      <x:c r="I64" s="32" t="str">
        <x:v>VSF-004</x:v>
      </x:c>
      <x:c r="J64" s="32" t="n">
        <x:v>55</x:v>
      </x:c>
      <x:c r="K64" s="32" t="str">
        <x:v>г</x:v>
      </x:c>
      <x:c r="L64" s="32" t="n">
        <x:v>55</x:v>
      </x:c>
      <x:c r="M64" s="32" t="n">
        <x:v>50</x:v>
      </x:c>
      <x:c r="N64" s="32" t="str">
        <x:v>ASSUMPTION</x:v>
      </x:c>
      <x:c r="O64" s="32" t="str">
        <x:v>EVD-0007;EVD-0008</x:v>
      </x:c>
      <x:c r="P64" s="32" t="str">
        <x:v>GAP-004;GAP-005</x:v>
      </x:c>
    </x:row>
    <x:row r="65">
      <x:c r="A65" s="32" t="str">
        <x:v>RCP-0060</x:v>
      </x:c>
      <x:c r="B65" s="32" t="str">
        <x:v>VKM-006</x:v>
      </x:c>
      <x:c r="C65" s="32" t="str">
        <x:v>VKC-006</x:v>
      </x:c>
      <x:c r="D65" s="32" t="str">
        <x:v>VKT-006</x:v>
      </x:c>
      <x:c r="E65" s="32" t="str">
        <x:v>0.1.0-DRAFT</x:v>
      </x:c>
      <x:c r="F65" s="32" t="str">
        <x:v>ING-002</x:v>
      </x:c>
      <x:c r="G65" s="32" t="str">
        <x:v>Вода питьевая</x:v>
      </x:c>
      <x:c r="H65" s="32" t="str">
        <x:v>Тесто</x:v>
      </x:c>
      <x:c r="I65" s="32" t="str">
        <x:v>VSF-004</x:v>
      </x:c>
      <x:c r="J65" s="32" t="n">
        <x:v>31</x:v>
      </x:c>
      <x:c r="K65" s="32" t="str">
        <x:v>г</x:v>
      </x:c>
      <x:c r="L65" s="32" t="n">
        <x:v>31</x:v>
      </x:c>
      <x:c r="M65" s="32" t="n">
        <x:v>25</x:v>
      </x:c>
      <x:c r="N65" s="32" t="str">
        <x:v>ASSUMPTION</x:v>
      </x:c>
      <x:c r="O65" s="32" t="str">
        <x:v>EVD-0007;EVD-0008</x:v>
      </x:c>
      <x:c r="P65" s="32" t="str">
        <x:v>GAP-004;GAP-005</x:v>
      </x:c>
    </x:row>
    <x:row r="66">
      <x:c r="A66" s="32" t="str">
        <x:v>RCP-0061</x:v>
      </x:c>
      <x:c r="B66" s="32" t="str">
        <x:v>VKM-006</x:v>
      </x:c>
      <x:c r="C66" s="32" t="str">
        <x:v>VKC-006</x:v>
      </x:c>
      <x:c r="D66" s="32" t="str">
        <x:v>VKT-006</x:v>
      </x:c>
      <x:c r="E66" s="32" t="str">
        <x:v>0.1.0-DRAFT</x:v>
      </x:c>
      <x:c r="F66" s="32" t="str">
        <x:v>ING-018</x:v>
      </x:c>
      <x:c r="G66" s="32" t="str">
        <x:v>Пюре томатное</x:v>
      </x:c>
      <x:c r="H66" s="32" t="str">
        <x:v>Тесто</x:v>
      </x:c>
      <x:c r="I66" s="32" t="str">
        <x:v>VSF-004</x:v>
      </x:c>
      <x:c r="J66" s="32" t="n">
        <x:v>13</x:v>
      </x:c>
      <x:c r="K66" s="32" t="str">
        <x:v>г</x:v>
      </x:c>
      <x:c r="L66" s="32" t="n">
        <x:v>13</x:v>
      </x:c>
      <x:c r="M66" s="32" t="n">
        <x:v>12</x:v>
      </x:c>
      <x:c r="N66" s="32" t="str">
        <x:v>ASSUMPTION</x:v>
      </x:c>
      <x:c r="O66" s="32" t="str">
        <x:v>EVD-0007;EVD-0008</x:v>
      </x:c>
      <x:c r="P66" s="32" t="str">
        <x:v>GAP-004;GAP-005</x:v>
      </x:c>
    </x:row>
    <x:row r="67">
      <x:c r="A67" s="32" t="str">
        <x:v>RCP-0062</x:v>
      </x:c>
      <x:c r="B67" s="32" t="str">
        <x:v>VKM-006</x:v>
      </x:c>
      <x:c r="C67" s="32" t="str">
        <x:v>VKC-006</x:v>
      </x:c>
      <x:c r="D67" s="32" t="str">
        <x:v>VKT-006</x:v>
      </x:c>
      <x:c r="E67" s="32" t="str">
        <x:v>0.1.0-DRAFT</x:v>
      </x:c>
      <x:c r="F67" s="32" t="str">
        <x:v>ING-019</x:v>
      </x:c>
      <x:c r="G67" s="32" t="str">
        <x:v>Томаты вяленые</x:v>
      </x:c>
      <x:c r="H67" s="32" t="str">
        <x:v>Тесто</x:v>
      </x:c>
      <x:c r="I67" s="32" t="str">
        <x:v>VSF-004</x:v>
      </x:c>
      <x:c r="J67" s="32" t="n">
        <x:v>8</x:v>
      </x:c>
      <x:c r="K67" s="32" t="str">
        <x:v>г</x:v>
      </x:c>
      <x:c r="L67" s="32" t="n">
        <x:v>8</x:v>
      </x:c>
      <x:c r="M67" s="32" t="n">
        <x:v>8</x:v>
      </x:c>
      <x:c r="N67" s="32" t="str">
        <x:v>ASSUMPTION</x:v>
      </x:c>
      <x:c r="O67" s="32" t="str">
        <x:v>EVD-0007;EVD-0008</x:v>
      </x:c>
      <x:c r="P67" s="32" t="str">
        <x:v>GAP-004;GAP-005</x:v>
      </x:c>
    </x:row>
    <x:row r="68">
      <x:c r="A68" s="32" t="str">
        <x:v>RCP-0063</x:v>
      </x:c>
      <x:c r="B68" s="32" t="str">
        <x:v>VKM-006</x:v>
      </x:c>
      <x:c r="C68" s="32" t="str">
        <x:v>VKC-006</x:v>
      </x:c>
      <x:c r="D68" s="32" t="str">
        <x:v>VKT-006</x:v>
      </x:c>
      <x:c r="E68" s="32" t="str">
        <x:v>0.1.0-DRAFT</x:v>
      </x:c>
      <x:c r="F68" s="32" t="str">
        <x:v>ING-005</x:v>
      </x:c>
      <x:c r="G68" s="32" t="str">
        <x:v>Масло оливковое</x:v>
      </x:c>
      <x:c r="H68" s="32" t="str">
        <x:v>Тесто</x:v>
      </x:c>
      <x:c r="I68" s="32" t="str">
        <x:v>VSF-004</x:v>
      </x:c>
      <x:c r="J68" s="32" t="n">
        <x:v>3</x:v>
      </x:c>
      <x:c r="K68" s="32" t="str">
        <x:v>г</x:v>
      </x:c>
      <x:c r="L68" s="32" t="n">
        <x:v>3</x:v>
      </x:c>
      <x:c r="M68" s="32" t="n">
        <x:v>3</x:v>
      </x:c>
      <x:c r="N68" s="32" t="str">
        <x:v>ASSUMPTION</x:v>
      </x:c>
      <x:c r="O68" s="32" t="str">
        <x:v>EVD-0007;EVD-0008</x:v>
      </x:c>
      <x:c r="P68" s="32" t="str">
        <x:v>GAP-004;GAP-005</x:v>
      </x:c>
    </x:row>
    <x:row r="69">
      <x:c r="A69" s="32" t="str">
        <x:v>RCP-0064</x:v>
      </x:c>
      <x:c r="B69" s="32" t="str">
        <x:v>VKM-006</x:v>
      </x:c>
      <x:c r="C69" s="32" t="str">
        <x:v>VKC-006</x:v>
      </x:c>
      <x:c r="D69" s="32" t="str">
        <x:v>VKT-006</x:v>
      </x:c>
      <x:c r="E69" s="32" t="str">
        <x:v>0.1.0-DRAFT</x:v>
      </x:c>
      <x:c r="F69" s="32" t="str">
        <x:v>ING-003</x:v>
      </x:c>
      <x:c r="G69" s="32" t="str">
        <x:v>Дрожжи хлебопекарные</x:v>
      </x:c>
      <x:c r="H69" s="32" t="str">
        <x:v>Тесто</x:v>
      </x:c>
      <x:c r="I69" s="32" t="str">
        <x:v>VSF-004</x:v>
      </x:c>
      <x:c r="J69" s="32" t="n">
        <x:v>1</x:v>
      </x:c>
      <x:c r="K69" s="32" t="str">
        <x:v>г</x:v>
      </x:c>
      <x:c r="L69" s="32" t="n">
        <x:v>1</x:v>
      </x:c>
      <x:c r="M69" s="32" t="n">
        <x:v>1</x:v>
      </x:c>
      <x:c r="N69" s="32" t="str">
        <x:v>ASSUMPTION</x:v>
      </x:c>
      <x:c r="O69" s="32" t="str">
        <x:v>EVD-0007;EVD-0008</x:v>
      </x:c>
      <x:c r="P69" s="32" t="str">
        <x:v>GAP-004;GAP-005</x:v>
      </x:c>
    </x:row>
    <x:row r="70">
      <x:c r="A70" s="32" t="str">
        <x:v>RCP-0065</x:v>
      </x:c>
      <x:c r="B70" s="32" t="str">
        <x:v>VKM-006</x:v>
      </x:c>
      <x:c r="C70" s="32" t="str">
        <x:v>VKC-006</x:v>
      </x:c>
      <x:c r="D70" s="32" t="str">
        <x:v>VKT-006</x:v>
      </x:c>
      <x:c r="E70" s="32" t="str">
        <x:v>0.1.0-DRAFT</x:v>
      </x:c>
      <x:c r="F70" s="32" t="str">
        <x:v>ING-004</x:v>
      </x:c>
      <x:c r="G70" s="32" t="str">
        <x:v>Соль пищевая</x:v>
      </x:c>
      <x:c r="H70" s="32" t="str">
        <x:v>Тесто</x:v>
      </x:c>
      <x:c r="I70" s="32" t="str">
        <x:v>VSF-004</x:v>
      </x:c>
      <x:c r="J70" s="32" t="n">
        <x:v>1</x:v>
      </x:c>
      <x:c r="K70" s="32" t="str">
        <x:v>г</x:v>
      </x:c>
      <x:c r="L70" s="32" t="n">
        <x:v>1</x:v>
      </x:c>
      <x:c r="M70" s="32" t="n">
        <x:v>1</x:v>
      </x:c>
      <x:c r="N70" s="32" t="str">
        <x:v>ASSUMPTION</x:v>
      </x:c>
      <x:c r="O70" s="32" t="str">
        <x:v>EVD-0007;EVD-0008</x:v>
      </x:c>
      <x:c r="P70" s="32" t="str">
        <x:v>GAP-004;GAP-005</x:v>
      </x:c>
    </x:row>
    <x:row r="71">
      <x:c r="A71" s="32" t="str">
        <x:v>RCP-0066</x:v>
      </x:c>
      <x:c r="B71" s="32" t="str">
        <x:v>VKM-007</x:v>
      </x:c>
      <x:c r="C71" s="32" t="str">
        <x:v>VKC-007</x:v>
      </x:c>
      <x:c r="D71" s="32" t="str">
        <x:v>VKT-007</x:v>
      </x:c>
      <x:c r="E71" s="32" t="str">
        <x:v>0.1.0-DRAFT</x:v>
      </x:c>
      <x:c r="F71" s="32" t="str">
        <x:v>ING-020</x:v>
      </x:c>
      <x:c r="G71" s="32" t="str">
        <x:v>Мука ржаная</x:v>
      </x:c>
      <x:c r="H71" s="32" t="str">
        <x:v>Тесто</x:v>
      </x:c>
      <x:c r="I71" s="32" t="str">
        <x:v>VSF-005</x:v>
      </x:c>
      <x:c r="J71" s="32" t="n">
        <x:v>150</x:v>
      </x:c>
      <x:c r="K71" s="32" t="str">
        <x:v>г</x:v>
      </x:c>
      <x:c r="L71" s="32" t="n">
        <x:v>150</x:v>
      </x:c>
      <x:c r="M71" s="32" t="n">
        <x:v>140</x:v>
      </x:c>
      <x:c r="N71" s="32" t="str">
        <x:v>ASSUMPTION</x:v>
      </x:c>
      <x:c r="O71" s="32" t="str">
        <x:v>EVD-0007;EVD-0008</x:v>
      </x:c>
      <x:c r="P71" s="32" t="str">
        <x:v>GAP-004;GAP-005</x:v>
      </x:c>
    </x:row>
    <x:row r="72">
      <x:c r="A72" s="32" t="str">
        <x:v>RCP-0067</x:v>
      </x:c>
      <x:c r="B72" s="32" t="str">
        <x:v>VKM-007</x:v>
      </x:c>
      <x:c r="C72" s="32" t="str">
        <x:v>VKC-007</x:v>
      </x:c>
      <x:c r="D72" s="32" t="str">
        <x:v>VKT-007</x:v>
      </x:c>
      <x:c r="E72" s="32" t="str">
        <x:v>0.1.0-DRAFT</x:v>
      </x:c>
      <x:c r="F72" s="32" t="str">
        <x:v>ING-001</x:v>
      </x:c>
      <x:c r="G72" s="32" t="str">
        <x:v>Мука пшеничная хлебопекарная</x:v>
      </x:c>
      <x:c r="H72" s="32" t="str">
        <x:v>Тесто</x:v>
      </x:c>
      <x:c r="I72" s="32" t="str">
        <x:v>VSF-005</x:v>
      </x:c>
      <x:c r="J72" s="32" t="n">
        <x:v>75</x:v>
      </x:c>
      <x:c r="K72" s="32" t="str">
        <x:v>г</x:v>
      </x:c>
      <x:c r="L72" s="32" t="n">
        <x:v>75</x:v>
      </x:c>
      <x:c r="M72" s="32" t="n">
        <x:v>70</x:v>
      </x:c>
      <x:c r="N72" s="32" t="str">
        <x:v>ASSUMPTION</x:v>
      </x:c>
      <x:c r="O72" s="32" t="str">
        <x:v>EVD-0007;EVD-0008</x:v>
      </x:c>
      <x:c r="P72" s="32" t="str">
        <x:v>GAP-004;GAP-005</x:v>
      </x:c>
    </x:row>
    <x:row r="73">
      <x:c r="A73" s="32" t="str">
        <x:v>RCP-0068</x:v>
      </x:c>
      <x:c r="B73" s="32" t="str">
        <x:v>VKM-007</x:v>
      </x:c>
      <x:c r="C73" s="32" t="str">
        <x:v>VKC-007</x:v>
      </x:c>
      <x:c r="D73" s="32" t="str">
        <x:v>VKT-007</x:v>
      </x:c>
      <x:c r="E73" s="32" t="str">
        <x:v>0.1.0-DRAFT</x:v>
      </x:c>
      <x:c r="F73" s="32" t="str">
        <x:v>ING-002</x:v>
      </x:c>
      <x:c r="G73" s="32" t="str">
        <x:v>Вода питьевая</x:v>
      </x:c>
      <x:c r="H73" s="32" t="str">
        <x:v>Тесто</x:v>
      </x:c>
      <x:c r="I73" s="32" t="str">
        <x:v>VSF-005</x:v>
      </x:c>
      <x:c r="J73" s="32" t="n">
        <x:v>125</x:v>
      </x:c>
      <x:c r="K73" s="32" t="str">
        <x:v>г</x:v>
      </x:c>
      <x:c r="L73" s="32" t="n">
        <x:v>125</x:v>
      </x:c>
      <x:c r="M73" s="32" t="n">
        <x:v>95</x:v>
      </x:c>
      <x:c r="N73" s="32" t="str">
        <x:v>ASSUMPTION</x:v>
      </x:c>
      <x:c r="O73" s="32" t="str">
        <x:v>EVD-0007;EVD-0008</x:v>
      </x:c>
      <x:c r="P73" s="32" t="str">
        <x:v>GAP-004;GAP-005</x:v>
      </x:c>
    </x:row>
    <x:row r="74">
      <x:c r="A74" s="32" t="str">
        <x:v>RCP-0069</x:v>
      </x:c>
      <x:c r="B74" s="32" t="str">
        <x:v>VKM-007</x:v>
      </x:c>
      <x:c r="C74" s="32" t="str">
        <x:v>VKC-007</x:v>
      </x:c>
      <x:c r="D74" s="32" t="str">
        <x:v>VKT-007</x:v>
      </x:c>
      <x:c r="E74" s="32" t="str">
        <x:v>0.1.0-DRAFT</x:v>
      </x:c>
      <x:c r="F74" s="32" t="str">
        <x:v>ING-021</x:v>
      </x:c>
      <x:c r="G74" s="32" t="str">
        <x:v>Солод ржаной</x:v>
      </x:c>
      <x:c r="H74" s="32" t="str">
        <x:v>Заварка</x:v>
      </x:c>
      <x:c r="I74" s="32" t="str">
        <x:v>VSF-005</x:v>
      </x:c>
      <x:c r="J74" s="32" t="n">
        <x:v>20</x:v>
      </x:c>
      <x:c r="K74" s="32" t="str">
        <x:v>г</x:v>
      </x:c>
      <x:c r="L74" s="32" t="n">
        <x:v>20</x:v>
      </x:c>
      <x:c r="M74" s="32" t="n">
        <x:v>20</x:v>
      </x:c>
      <x:c r="N74" s="32" t="str">
        <x:v>ASSUMPTION</x:v>
      </x:c>
      <x:c r="O74" s="32" t="str">
        <x:v>EVD-0007;EVD-0008</x:v>
      </x:c>
      <x:c r="P74" s="32" t="str">
        <x:v>GAP-004;GAP-005</x:v>
      </x:c>
    </x:row>
    <x:row r="75">
      <x:c r="A75" s="32" t="str">
        <x:v>RCP-0070</x:v>
      </x:c>
      <x:c r="B75" s="32" t="str">
        <x:v>VKM-007</x:v>
      </x:c>
      <x:c r="C75" s="32" t="str">
        <x:v>VKC-007</x:v>
      </x:c>
      <x:c r="D75" s="32" t="str">
        <x:v>VKT-007</x:v>
      </x:c>
      <x:c r="E75" s="32" t="str">
        <x:v>0.1.0-DRAFT</x:v>
      </x:c>
      <x:c r="F75" s="32" t="str">
        <x:v>ING-022</x:v>
      </x:c>
      <x:c r="G75" s="32" t="str">
        <x:v>Патока</x:v>
      </x:c>
      <x:c r="H75" s="32" t="str">
        <x:v>Тесто</x:v>
      </x:c>
      <x:c r="I75" s="32" t="str">
        <x:v>VSF-005</x:v>
      </x:c>
      <x:c r="J75" s="32" t="n">
        <x:v>10</x:v>
      </x:c>
      <x:c r="K75" s="32" t="str">
        <x:v>г</x:v>
      </x:c>
      <x:c r="L75" s="32" t="n">
        <x:v>10</x:v>
      </x:c>
      <x:c r="M75" s="32" t="n">
        <x:v>10</x:v>
      </x:c>
      <x:c r="N75" s="32" t="str">
        <x:v>ASSUMPTION</x:v>
      </x:c>
      <x:c r="O75" s="32" t="str">
        <x:v>EVD-0007;EVD-0008</x:v>
      </x:c>
      <x:c r="P75" s="32" t="str">
        <x:v>GAP-004;GAP-005</x:v>
      </x:c>
    </x:row>
    <x:row r="76">
      <x:c r="A76" s="32" t="str">
        <x:v>RCP-0071</x:v>
      </x:c>
      <x:c r="B76" s="32" t="str">
        <x:v>VKM-007</x:v>
      </x:c>
      <x:c r="C76" s="32" t="str">
        <x:v>VKC-007</x:v>
      </x:c>
      <x:c r="D76" s="32" t="str">
        <x:v>VKT-007</x:v>
      </x:c>
      <x:c r="E76" s="32" t="str">
        <x:v>0.1.0-DRAFT</x:v>
      </x:c>
      <x:c r="F76" s="32" t="str">
        <x:v>ING-023</x:v>
      </x:c>
      <x:c r="G76" s="32" t="str">
        <x:v>Кориандр</x:v>
      </x:c>
      <x:c r="H76" s="32" t="str">
        <x:v>Тесто/посыпка</x:v>
      </x:c>
      <x:c r="I76" s="32" t="str">
        <x:v>VSF-005</x:v>
      </x:c>
      <x:c r="J76" s="32" t="n">
        <x:v>4</x:v>
      </x:c>
      <x:c r="K76" s="32" t="str">
        <x:v>г</x:v>
      </x:c>
      <x:c r="L76" s="32" t="n">
        <x:v>4</x:v>
      </x:c>
      <x:c r="M76" s="32" t="n">
        <x:v>4</x:v>
      </x:c>
      <x:c r="N76" s="32" t="str">
        <x:v>ASSUMPTION</x:v>
      </x:c>
      <x:c r="O76" s="32" t="str">
        <x:v>EVD-0007;EVD-0008</x:v>
      </x:c>
      <x:c r="P76" s="32" t="str">
        <x:v>GAP-004;GAP-005</x:v>
      </x:c>
    </x:row>
    <x:row r="77">
      <x:c r="A77" s="32" t="str">
        <x:v>RCP-0072</x:v>
      </x:c>
      <x:c r="B77" s="32" t="str">
        <x:v>VKM-007</x:v>
      </x:c>
      <x:c r="C77" s="32" t="str">
        <x:v>VKC-007</x:v>
      </x:c>
      <x:c r="D77" s="32" t="str">
        <x:v>VKT-007</x:v>
      </x:c>
      <x:c r="E77" s="32" t="str">
        <x:v>0.1.0-DRAFT</x:v>
      </x:c>
      <x:c r="F77" s="32" t="str">
        <x:v>ING-003</x:v>
      </x:c>
      <x:c r="G77" s="32" t="str">
        <x:v>Дрожжи хлебопекарные</x:v>
      </x:c>
      <x:c r="H77" s="32" t="str">
        <x:v>Тесто</x:v>
      </x:c>
      <x:c r="I77" s="32" t="str">
        <x:v>VSF-005</x:v>
      </x:c>
      <x:c r="J77" s="32" t="n">
        <x:v>3</x:v>
      </x:c>
      <x:c r="K77" s="32" t="str">
        <x:v>г</x:v>
      </x:c>
      <x:c r="L77" s="32" t="n">
        <x:v>3</x:v>
      </x:c>
      <x:c r="M77" s="32" t="n">
        <x:v>3</x:v>
      </x:c>
      <x:c r="N77" s="32" t="str">
        <x:v>ASSUMPTION</x:v>
      </x:c>
      <x:c r="O77" s="32" t="str">
        <x:v>EVD-0007;EVD-0008</x:v>
      </x:c>
      <x:c r="P77" s="32" t="str">
        <x:v>GAP-004;GAP-005</x:v>
      </x:c>
    </x:row>
    <x:row r="78">
      <x:c r="A78" s="32" t="str">
        <x:v>RCP-0073</x:v>
      </x:c>
      <x:c r="B78" s="32" t="str">
        <x:v>VKM-007</x:v>
      </x:c>
      <x:c r="C78" s="32" t="str">
        <x:v>VKC-007</x:v>
      </x:c>
      <x:c r="D78" s="32" t="str">
        <x:v>VKT-007</x:v>
      </x:c>
      <x:c r="E78" s="32" t="str">
        <x:v>0.1.0-DRAFT</x:v>
      </x:c>
      <x:c r="F78" s="32" t="str">
        <x:v>ING-004</x:v>
      </x:c>
      <x:c r="G78" s="32" t="str">
        <x:v>Соль пищевая</x:v>
      </x:c>
      <x:c r="H78" s="32" t="str">
        <x:v>Тесто</x:v>
      </x:c>
      <x:c r="I78" s="32" t="str">
        <x:v>VSF-005</x:v>
      </x:c>
      <x:c r="J78" s="32" t="n">
        <x:v>5</x:v>
      </x:c>
      <x:c r="K78" s="32" t="str">
        <x:v>г</x:v>
      </x:c>
      <x:c r="L78" s="32" t="n">
        <x:v>5</x:v>
      </x:c>
      <x:c r="M78" s="32" t="n">
        <x:v>5</x:v>
      </x:c>
      <x:c r="N78" s="32" t="str">
        <x:v>ASSUMPTION</x:v>
      </x:c>
      <x:c r="O78" s="32" t="str">
        <x:v>EVD-0007;EVD-0008</x:v>
      </x:c>
      <x:c r="P78" s="32" t="str">
        <x:v>GAP-004;GAP-005</x:v>
      </x:c>
    </x:row>
    <x:row r="79">
      <x:c r="A79" s="32" t="str">
        <x:v>RCP-0074</x:v>
      </x:c>
      <x:c r="B79" s="32" t="str">
        <x:v>VKM-007</x:v>
      </x:c>
      <x:c r="C79" s="32" t="str">
        <x:v>VKC-007</x:v>
      </x:c>
      <x:c r="D79" s="32" t="str">
        <x:v>VKT-007</x:v>
      </x:c>
      <x:c r="E79" s="32" t="str">
        <x:v>0.1.0-DRAFT</x:v>
      </x:c>
      <x:c r="F79" s="32" t="str">
        <x:v>ING-024</x:v>
      </x:c>
      <x:c r="G79" s="32" t="str">
        <x:v>Масло растительное</x:v>
      </x:c>
      <x:c r="H79" s="32" t="str">
        <x:v>Форма</x:v>
      </x:c>
      <x:c r="I79" s="32" t="str">
        <x:v>VSF-005</x:v>
      </x:c>
      <x:c r="J79" s="32" t="n">
        <x:v>3</x:v>
      </x:c>
      <x:c r="K79" s="32" t="str">
        <x:v>г</x:v>
      </x:c>
      <x:c r="L79" s="32" t="n">
        <x:v>3</x:v>
      </x:c>
      <x:c r="M79" s="32" t="n">
        <x:v>3</x:v>
      </x:c>
      <x:c r="N79" s="32" t="str">
        <x:v>ASSUMPTION</x:v>
      </x:c>
      <x:c r="O79" s="32" t="str">
        <x:v>EVD-0007;EVD-0008</x:v>
      </x:c>
      <x:c r="P79" s="32" t="str">
        <x:v>GAP-004;GAP-005</x:v>
      </x:c>
    </x:row>
    <x:row r="80">
      <x:c r="A80" s="32" t="str">
        <x:v>RCP-0075</x:v>
      </x:c>
      <x:c r="B80" s="32" t="str">
        <x:v>VKM-008</x:v>
      </x:c>
      <x:c r="C80" s="32" t="str">
        <x:v>VKC-008</x:v>
      </x:c>
      <x:c r="D80" s="32" t="str">
        <x:v>VKT-008</x:v>
      </x:c>
      <x:c r="E80" s="32" t="str">
        <x:v>0.1.0-DRAFT</x:v>
      </x:c>
      <x:c r="F80" s="32" t="str">
        <x:v>ING-001</x:v>
      </x:c>
      <x:c r="G80" s="32" t="str">
        <x:v>Мука пшеничная хлебопекарная</x:v>
      </x:c>
      <x:c r="H80" s="32" t="str">
        <x:v>Тесто</x:v>
      </x:c>
      <x:c r="I80" s="32" t="str">
        <x:v>VSF-006</x:v>
      </x:c>
      <x:c r="J80" s="32" t="n">
        <x:v>38</x:v>
      </x:c>
      <x:c r="K80" s="32" t="str">
        <x:v>г</x:v>
      </x:c>
      <x:c r="L80" s="32" t="n">
        <x:v>38</x:v>
      </x:c>
      <x:c r="M80" s="32" t="n">
        <x:v>35</x:v>
      </x:c>
      <x:c r="N80" s="32" t="str">
        <x:v>ASSUMPTION</x:v>
      </x:c>
      <x:c r="O80" s="32" t="str">
        <x:v>EVD-0007;EVD-0008</x:v>
      </x:c>
      <x:c r="P80" s="32" t="str">
        <x:v>GAP-004;GAP-005</x:v>
      </x:c>
    </x:row>
    <x:row r="81">
      <x:c r="A81" s="32" t="str">
        <x:v>RCP-0076</x:v>
      </x:c>
      <x:c r="B81" s="32" t="str">
        <x:v>VKM-008</x:v>
      </x:c>
      <x:c r="C81" s="32" t="str">
        <x:v>VKC-008</x:v>
      </x:c>
      <x:c r="D81" s="32" t="str">
        <x:v>VKT-008</x:v>
      </x:c>
      <x:c r="E81" s="32" t="str">
        <x:v>0.1.0-DRAFT</x:v>
      </x:c>
      <x:c r="F81" s="32" t="str">
        <x:v>ING-025</x:v>
      </x:c>
      <x:c r="G81" s="32" t="str">
        <x:v>Молоко</x:v>
      </x:c>
      <x:c r="H81" s="32" t="str">
        <x:v>Тесто</x:v>
      </x:c>
      <x:c r="I81" s="32" t="str">
        <x:v>VSF-006</x:v>
      </x:c>
      <x:c r="J81" s="32" t="n">
        <x:v>13</x:v>
      </x:c>
      <x:c r="K81" s="32" t="str">
        <x:v>г</x:v>
      </x:c>
      <x:c r="L81" s="32" t="n">
        <x:v>13</x:v>
      </x:c>
      <x:c r="M81" s="32" t="n">
        <x:v>12</x:v>
      </x:c>
      <x:c r="N81" s="32" t="str">
        <x:v>ASSUMPTION</x:v>
      </x:c>
      <x:c r="O81" s="32" t="str">
        <x:v>EVD-0007;EVD-0008</x:v>
      </x:c>
      <x:c r="P81" s="32" t="str">
        <x:v>GAP-004;GAP-005</x:v>
      </x:c>
    </x:row>
    <x:row r="82">
      <x:c r="A82" s="32" t="str">
        <x:v>RCP-0077</x:v>
      </x:c>
      <x:c r="B82" s="32" t="str">
        <x:v>VKM-008</x:v>
      </x:c>
      <x:c r="C82" s="32" t="str">
        <x:v>VKC-008</x:v>
      </x:c>
      <x:c r="D82" s="32" t="str">
        <x:v>VKT-008</x:v>
      </x:c>
      <x:c r="E82" s="32" t="str">
        <x:v>0.1.0-DRAFT</x:v>
      </x:c>
      <x:c r="F82" s="32" t="str">
        <x:v>ING-026</x:v>
      </x:c>
      <x:c r="G82" s="32" t="str">
        <x:v>Яйцо или меланж</x:v>
      </x:c>
      <x:c r="H82" s="32" t="str">
        <x:v>Тесто</x:v>
      </x:c>
      <x:c r="I82" s="32" t="str">
        <x:v>VSF-006</x:v>
      </x:c>
      <x:c r="J82" s="32" t="n">
        <x:v>16</x:v>
      </x:c>
      <x:c r="K82" s="32" t="str">
        <x:v>г</x:v>
      </x:c>
      <x:c r="L82" s="32" t="n">
        <x:v>16</x:v>
      </x:c>
      <x:c r="M82" s="32" t="n">
        <x:v>15</x:v>
      </x:c>
      <x:c r="N82" s="32" t="str">
        <x:v>ASSUMPTION</x:v>
      </x:c>
      <x:c r="O82" s="32" t="str">
        <x:v>EVD-0007;EVD-0008</x:v>
      </x:c>
      <x:c r="P82" s="32" t="str">
        <x:v>GAP-004;GAP-005</x:v>
      </x:c>
    </x:row>
    <x:row r="83">
      <x:c r="A83" s="32" t="str">
        <x:v>RCP-0078</x:v>
      </x:c>
      <x:c r="B83" s="32" t="str">
        <x:v>VKM-008</x:v>
      </x:c>
      <x:c r="C83" s="32" t="str">
        <x:v>VKC-008</x:v>
      </x:c>
      <x:c r="D83" s="32" t="str">
        <x:v>VKT-008</x:v>
      </x:c>
      <x:c r="E83" s="32" t="str">
        <x:v>0.1.0-DRAFT</x:v>
      </x:c>
      <x:c r="F83" s="32" t="str">
        <x:v>ING-027</x:v>
      </x:c>
      <x:c r="G83" s="32" t="str">
        <x:v>Масло сливочное</x:v>
      </x:c>
      <x:c r="H83" s="32" t="str">
        <x:v>Тесто</x:v>
      </x:c>
      <x:c r="I83" s="32" t="str">
        <x:v>VSF-006</x:v>
      </x:c>
      <x:c r="J83" s="32" t="n">
        <x:v>15</x:v>
      </x:c>
      <x:c r="K83" s="32" t="str">
        <x:v>г</x:v>
      </x:c>
      <x:c r="L83" s="32" t="n">
        <x:v>15</x:v>
      </x:c>
      <x:c r="M83" s="32" t="n">
        <x:v>15</x:v>
      </x:c>
      <x:c r="N83" s="32" t="str">
        <x:v>ASSUMPTION</x:v>
      </x:c>
      <x:c r="O83" s="32" t="str">
        <x:v>EVD-0007;EVD-0008</x:v>
      </x:c>
      <x:c r="P83" s="32" t="str">
        <x:v>GAP-004;GAP-005</x:v>
      </x:c>
    </x:row>
    <x:row r="84">
      <x:c r="A84" s="32" t="str">
        <x:v>RCP-0079</x:v>
      </x:c>
      <x:c r="B84" s="32" t="str">
        <x:v>VKM-008</x:v>
      </x:c>
      <x:c r="C84" s="32" t="str">
        <x:v>VKC-008</x:v>
      </x:c>
      <x:c r="D84" s="32" t="str">
        <x:v>VKT-008</x:v>
      </x:c>
      <x:c r="E84" s="32" t="str">
        <x:v>0.1.0-DRAFT</x:v>
      </x:c>
      <x:c r="F84" s="32" t="str">
        <x:v>ING-028</x:v>
      </x:c>
      <x:c r="G84" s="32" t="str">
        <x:v>Сахар</x:v>
      </x:c>
      <x:c r="H84" s="32" t="str">
        <x:v>Тесто</x:v>
      </x:c>
      <x:c r="I84" s="32" t="str">
        <x:v>VSF-006</x:v>
      </x:c>
      <x:c r="J84" s="32" t="n">
        <x:v>5</x:v>
      </x:c>
      <x:c r="K84" s="32" t="str">
        <x:v>г</x:v>
      </x:c>
      <x:c r="L84" s="32" t="n">
        <x:v>5</x:v>
      </x:c>
      <x:c r="M84" s="32" t="n">
        <x:v>5</x:v>
      </x:c>
      <x:c r="N84" s="32" t="str">
        <x:v>ASSUMPTION</x:v>
      </x:c>
      <x:c r="O84" s="32" t="str">
        <x:v>EVD-0007;EVD-0008</x:v>
      </x:c>
      <x:c r="P84" s="32" t="str">
        <x:v>GAP-004;GAP-005</x:v>
      </x:c>
    </x:row>
    <x:row r="85">
      <x:c r="A85" s="32" t="str">
        <x:v>RCP-0080</x:v>
      </x:c>
      <x:c r="B85" s="32" t="str">
        <x:v>VKM-008</x:v>
      </x:c>
      <x:c r="C85" s="32" t="str">
        <x:v>VKC-008</x:v>
      </x:c>
      <x:c r="D85" s="32" t="str">
        <x:v>VKT-008</x:v>
      </x:c>
      <x:c r="E85" s="32" t="str">
        <x:v>0.1.0-DRAFT</x:v>
      </x:c>
      <x:c r="F85" s="32" t="str">
        <x:v>ING-003</x:v>
      </x:c>
      <x:c r="G85" s="32" t="str">
        <x:v>Дрожжи хлебопекарные</x:v>
      </x:c>
      <x:c r="H85" s="32" t="str">
        <x:v>Тесто</x:v>
      </x:c>
      <x:c r="I85" s="32" t="str">
        <x:v>VSF-006</x:v>
      </x:c>
      <x:c r="J85" s="32" t="n">
        <x:v>1</x:v>
      </x:c>
      <x:c r="K85" s="32" t="str">
        <x:v>г</x:v>
      </x:c>
      <x:c r="L85" s="32" t="n">
        <x:v>1</x:v>
      </x:c>
      <x:c r="M85" s="32" t="n">
        <x:v>1</x:v>
      </x:c>
      <x:c r="N85" s="32" t="str">
        <x:v>ASSUMPTION</x:v>
      </x:c>
      <x:c r="O85" s="32" t="str">
        <x:v>EVD-0007;EVD-0008</x:v>
      </x:c>
      <x:c r="P85" s="32" t="str">
        <x:v>GAP-004;GAP-005</x:v>
      </x:c>
    </x:row>
    <x:row r="86">
      <x:c r="A86" s="32" t="str">
        <x:v>RCP-0081</x:v>
      </x:c>
      <x:c r="B86" s="32" t="str">
        <x:v>VKM-008</x:v>
      </x:c>
      <x:c r="C86" s="32" t="str">
        <x:v>VKC-008</x:v>
      </x:c>
      <x:c r="D86" s="32" t="str">
        <x:v>VKT-008</x:v>
      </x:c>
      <x:c r="E86" s="32" t="str">
        <x:v>0.1.0-DRAFT</x:v>
      </x:c>
      <x:c r="F86" s="32" t="str">
        <x:v>ING-004</x:v>
      </x:c>
      <x:c r="G86" s="32" t="str">
        <x:v>Соль пищевая</x:v>
      </x:c>
      <x:c r="H86" s="32" t="str">
        <x:v>Тесто</x:v>
      </x:c>
      <x:c r="I86" s="32" t="str">
        <x:v>VSF-006</x:v>
      </x:c>
      <x:c r="J86" s="32" t="n">
        <x:v>1</x:v>
      </x:c>
      <x:c r="K86" s="32" t="str">
        <x:v>г</x:v>
      </x:c>
      <x:c r="L86" s="32" t="n">
        <x:v>1</x:v>
      </x:c>
      <x:c r="M86" s="32" t="n">
        <x:v>1</x:v>
      </x:c>
      <x:c r="N86" s="32" t="str">
        <x:v>ASSUMPTION</x:v>
      </x:c>
      <x:c r="O86" s="32" t="str">
        <x:v>EVD-0007;EVD-0008</x:v>
      </x:c>
      <x:c r="P86" s="32" t="str">
        <x:v>GAP-004;GAP-005</x:v>
      </x:c>
    </x:row>
    <x:row r="87">
      <x:c r="A87" s="32" t="str">
        <x:v>RCP-0082</x:v>
      </x:c>
      <x:c r="B87" s="32" t="str">
        <x:v>VKM-008</x:v>
      </x:c>
      <x:c r="C87" s="32" t="str">
        <x:v>VKC-008</x:v>
      </x:c>
      <x:c r="D87" s="32" t="str">
        <x:v>VKT-008</x:v>
      </x:c>
      <x:c r="E87" s="32" t="str">
        <x:v>0.1.0-DRAFT</x:v>
      </x:c>
      <x:c r="F87" s="32" t="str">
        <x:v>ING-029</x:v>
      </x:c>
      <x:c r="G87" s="32" t="str">
        <x:v>Меланж для смазки</x:v>
      </x:c>
      <x:c r="H87" s="32" t="str">
        <x:v>Финиш</x:v>
      </x:c>
      <x:c r="I87" s="32" t="str">
        <x:v>VSF-006</x:v>
      </x:c>
      <x:c r="J87" s="32" t="n">
        <x:v>1</x:v>
      </x:c>
      <x:c r="K87" s="32" t="str">
        <x:v>г</x:v>
      </x:c>
      <x:c r="L87" s="32" t="n">
        <x:v>1</x:v>
      </x:c>
      <x:c r="M87" s="32" t="n">
        <x:v>1</x:v>
      </x:c>
      <x:c r="N87" s="32" t="str">
        <x:v>ASSUMPTION</x:v>
      </x:c>
      <x:c r="O87" s="32" t="str">
        <x:v>EVD-0007;EVD-0008</x:v>
      </x:c>
      <x:c r="P87" s="32" t="str">
        <x:v>GAP-004;GAP-005</x:v>
      </x:c>
    </x:row>
    <x:row r="88">
      <x:c r="A88" s="32" t="str">
        <x:v>RCP-0083</x:v>
      </x:c>
      <x:c r="B88" s="32" t="str">
        <x:v>VKM-009</x:v>
      </x:c>
      <x:c r="C88" s="32" t="str">
        <x:v>VKC-009</x:v>
      </x:c>
      <x:c r="D88" s="32" t="str">
        <x:v>VKT-009</x:v>
      </x:c>
      <x:c r="E88" s="32" t="str">
        <x:v>0.1.0-DRAFT</x:v>
      </x:c>
      <x:c r="F88" s="32" t="str">
        <x:v>ING-030</x:v>
      </x:c>
      <x:c r="G88" s="32" t="str">
        <x:v>Буррата</x:v>
      </x:c>
      <x:c r="H88" s="32" t="str">
        <x:v>Сборка</x:v>
      </x:c>
      <x:c r="I88" s="32"/>
      <x:c r="J88" s="32" t="n">
        <x:v>125</x:v>
      </x:c>
      <x:c r="K88" s="32" t="str">
        <x:v>г</x:v>
      </x:c>
      <x:c r="L88" s="32" t="n">
        <x:v>125</x:v>
      </x:c>
      <x:c r="M88" s="32" t="n">
        <x:v>125</x:v>
      </x:c>
      <x:c r="N88" s="32" t="str">
        <x:v>ASSUMPTION</x:v>
      </x:c>
      <x:c r="O88" s="32" t="str">
        <x:v>EVD-0007;EVD-0008</x:v>
      </x:c>
      <x:c r="P88" s="32" t="str">
        <x:v>GAP-004;GAP-005</x:v>
      </x:c>
    </x:row>
    <x:row r="89">
      <x:c r="A89" s="32" t="str">
        <x:v>RCP-0084</x:v>
      </x:c>
      <x:c r="B89" s="32" t="str">
        <x:v>VKM-009</x:v>
      </x:c>
      <x:c r="C89" s="32" t="str">
        <x:v>VKC-009</x:v>
      </x:c>
      <x:c r="D89" s="32" t="str">
        <x:v>VKT-009</x:v>
      </x:c>
      <x:c r="E89" s="32" t="str">
        <x:v>0.1.0-DRAFT</x:v>
      </x:c>
      <x:c r="F89" s="32" t="str">
        <x:v>ING-031</x:v>
      </x:c>
      <x:c r="G89" s="32" t="str">
        <x:v>Томаты свежие</x:v>
      </x:c>
      <x:c r="H89" s="32" t="str">
        <x:v>Сборка</x:v>
      </x:c>
      <x:c r="I89" s="32"/>
      <x:c r="J89" s="32" t="n">
        <x:v>132</x:v>
      </x:c>
      <x:c r="K89" s="32" t="str">
        <x:v>г</x:v>
      </x:c>
      <x:c r="L89" s="32" t="n">
        <x:v>120</x:v>
      </x:c>
      <x:c r="M89" s="32" t="n">
        <x:v>120</x:v>
      </x:c>
      <x:c r="N89" s="32" t="str">
        <x:v>ASSUMPTION</x:v>
      </x:c>
      <x:c r="O89" s="32" t="str">
        <x:v>EVD-0007;EVD-0008</x:v>
      </x:c>
      <x:c r="P89" s="32" t="str">
        <x:v>GAP-004;GAP-005</x:v>
      </x:c>
    </x:row>
    <x:row r="90">
      <x:c r="A90" s="32" t="str">
        <x:v>RCP-0085</x:v>
      </x:c>
      <x:c r="B90" s="32" t="str">
        <x:v>VKM-009</x:v>
      </x:c>
      <x:c r="C90" s="32" t="str">
        <x:v>VKC-009</x:v>
      </x:c>
      <x:c r="D90" s="32" t="str">
        <x:v>VKT-009</x:v>
      </x:c>
      <x:c r="E90" s="32" t="str">
        <x:v>0.1.0-DRAFT</x:v>
      </x:c>
      <x:c r="F90" s="32" t="str">
        <x:v>ING-006</x:v>
      </x:c>
      <x:c r="G90" s="32" t="str">
        <x:v>Томаты протёртые</x:v>
      </x:c>
      <x:c r="H90" s="32" t="str">
        <x:v>Заправка</x:v>
      </x:c>
      <x:c r="I90" s="32" t="str">
        <x:v>VSF-007</x:v>
      </x:c>
      <x:c r="J90" s="32" t="n">
        <x:v>15</x:v>
      </x:c>
      <x:c r="K90" s="32" t="str">
        <x:v>г</x:v>
      </x:c>
      <x:c r="L90" s="32" t="n">
        <x:v>15</x:v>
      </x:c>
      <x:c r="M90" s="32" t="n">
        <x:v>15</x:v>
      </x:c>
      <x:c r="N90" s="32" t="str">
        <x:v>ASSUMPTION</x:v>
      </x:c>
      <x:c r="O90" s="32" t="str">
        <x:v>EVD-0007;EVD-0008</x:v>
      </x:c>
      <x:c r="P90" s="32" t="str">
        <x:v>GAP-004;GAP-005</x:v>
      </x:c>
    </x:row>
    <x:row r="91">
      <x:c r="A91" s="32" t="str">
        <x:v>RCP-0086</x:v>
      </x:c>
      <x:c r="B91" s="32" t="str">
        <x:v>VKM-009</x:v>
      </x:c>
      <x:c r="C91" s="32" t="str">
        <x:v>VKC-009</x:v>
      </x:c>
      <x:c r="D91" s="32" t="str">
        <x:v>VKT-009</x:v>
      </x:c>
      <x:c r="E91" s="32" t="str">
        <x:v>0.1.0-DRAFT</x:v>
      </x:c>
      <x:c r="F91" s="32" t="str">
        <x:v>ING-005</x:v>
      </x:c>
      <x:c r="G91" s="32" t="str">
        <x:v>Масло оливковое</x:v>
      </x:c>
      <x:c r="H91" s="32" t="str">
        <x:v>Заправка</x:v>
      </x:c>
      <x:c r="I91" s="32" t="str">
        <x:v>VSF-007</x:v>
      </x:c>
      <x:c r="J91" s="32" t="n">
        <x:v>10</x:v>
      </x:c>
      <x:c r="K91" s="32" t="str">
        <x:v>г</x:v>
      </x:c>
      <x:c r="L91" s="32" t="n">
        <x:v>10</x:v>
      </x:c>
      <x:c r="M91" s="32" t="n">
        <x:v>10</x:v>
      </x:c>
      <x:c r="N91" s="32" t="str">
        <x:v>ASSUMPTION</x:v>
      </x:c>
      <x:c r="O91" s="32" t="str">
        <x:v>EVD-0007;EVD-0008</x:v>
      </x:c>
      <x:c r="P91" s="32" t="str">
        <x:v>GAP-004;GAP-005</x:v>
      </x:c>
    </x:row>
    <x:row r="92">
      <x:c r="A92" s="32" t="str">
        <x:v>RCP-0087</x:v>
      </x:c>
      <x:c r="B92" s="32" t="str">
        <x:v>VKM-009</x:v>
      </x:c>
      <x:c r="C92" s="32" t="str">
        <x:v>VKC-009</x:v>
      </x:c>
      <x:c r="D92" s="32" t="str">
        <x:v>VKT-009</x:v>
      </x:c>
      <x:c r="E92" s="32" t="str">
        <x:v>0.1.0-DRAFT</x:v>
      </x:c>
      <x:c r="F92" s="32" t="str">
        <x:v>ING-032</x:v>
      </x:c>
      <x:c r="G92" s="32" t="str">
        <x:v>Уксус бальзамический</x:v>
      </x:c>
      <x:c r="H92" s="32" t="str">
        <x:v>Заправка</x:v>
      </x:c>
      <x:c r="I92" s="32" t="str">
        <x:v>VSF-007</x:v>
      </x:c>
      <x:c r="J92" s="32" t="n">
        <x:v>3</x:v>
      </x:c>
      <x:c r="K92" s="32" t="str">
        <x:v>г</x:v>
      </x:c>
      <x:c r="L92" s="32" t="n">
        <x:v>3</x:v>
      </x:c>
      <x:c r="M92" s="32" t="n">
        <x:v>3</x:v>
      </x:c>
      <x:c r="N92" s="32" t="str">
        <x:v>ASSUMPTION</x:v>
      </x:c>
      <x:c r="O92" s="32" t="str">
        <x:v>EVD-0007;EVD-0008</x:v>
      </x:c>
      <x:c r="P92" s="32" t="str">
        <x:v>GAP-004;GAP-005</x:v>
      </x:c>
    </x:row>
    <x:row r="93">
      <x:c r="A93" s="32" t="str">
        <x:v>RCP-0088</x:v>
      </x:c>
      <x:c r="B93" s="32" t="str">
        <x:v>VKM-009</x:v>
      </x:c>
      <x:c r="C93" s="32" t="str">
        <x:v>VKC-009</x:v>
      </x:c>
      <x:c r="D93" s="32" t="str">
        <x:v>VKT-009</x:v>
      </x:c>
      <x:c r="E93" s="32" t="str">
        <x:v>0.1.0-DRAFT</x:v>
      </x:c>
      <x:c r="F93" s="32" t="str">
        <x:v>ING-033</x:v>
      </x:c>
      <x:c r="G93" s="32" t="str">
        <x:v>Соль и специи</x:v>
      </x:c>
      <x:c r="H93" s="32" t="str">
        <x:v>Заправка</x:v>
      </x:c>
      <x:c r="I93" s="32" t="str">
        <x:v>VSF-007</x:v>
      </x:c>
      <x:c r="J93" s="32" t="n">
        <x:v>2</x:v>
      </x:c>
      <x:c r="K93" s="32" t="str">
        <x:v>г</x:v>
      </x:c>
      <x:c r="L93" s="32" t="n">
        <x:v>2</x:v>
      </x:c>
      <x:c r="M93" s="32" t="n">
        <x:v>2</x:v>
      </x:c>
      <x:c r="N93" s="32" t="str">
        <x:v>ASSUMPTION</x:v>
      </x:c>
      <x:c r="O93" s="32" t="str">
        <x:v>EVD-0007;EVD-0008</x:v>
      </x:c>
      <x:c r="P93" s="32" t="str">
        <x:v>GAP-004;GAP-005</x:v>
      </x:c>
    </x:row>
    <x:row r="94">
      <x:c r="A94" s="32" t="str">
        <x:v>RCP-0089</x:v>
      </x:c>
      <x:c r="B94" s="32" t="str">
        <x:v>VKM-009</x:v>
      </x:c>
      <x:c r="C94" s="32" t="str">
        <x:v>VKC-009</x:v>
      </x:c>
      <x:c r="D94" s="32" t="str">
        <x:v>VKT-009</x:v>
      </x:c>
      <x:c r="E94" s="32" t="str">
        <x:v>0.1.0-DRAFT</x:v>
      </x:c>
      <x:c r="F94" s="32" t="str">
        <x:v>ING-034</x:v>
      </x:c>
      <x:c r="G94" s="32" t="str">
        <x:v>Салатная зелень</x:v>
      </x:c>
      <x:c r="H94" s="32" t="str">
        <x:v>Сборка</x:v>
      </x:c>
      <x:c r="I94" s="32"/>
      <x:c r="J94" s="32" t="n">
        <x:v>17</x:v>
      </x:c>
      <x:c r="K94" s="32" t="str">
        <x:v>г</x:v>
      </x:c>
      <x:c r="L94" s="32" t="n">
        <x:v>15</x:v>
      </x:c>
      <x:c r="M94" s="32" t="n">
        <x:v>15</x:v>
      </x:c>
      <x:c r="N94" s="32" t="str">
        <x:v>ASSUMPTION</x:v>
      </x:c>
      <x:c r="O94" s="32" t="str">
        <x:v>EVD-0007;EVD-0008</x:v>
      </x:c>
      <x:c r="P94" s="32" t="str">
        <x:v>GAP-004;GAP-005</x:v>
      </x:c>
    </x:row>
    <x:row r="95">
      <x:c r="A95" s="32" t="str">
        <x:v>RCP-0090</x:v>
      </x:c>
      <x:c r="B95" s="32" t="str">
        <x:v>VKM-009</x:v>
      </x:c>
      <x:c r="C95" s="32" t="str">
        <x:v>VKC-009</x:v>
      </x:c>
      <x:c r="D95" s="32" t="str">
        <x:v>VKT-009</x:v>
      </x:c>
      <x:c r="E95" s="32" t="str">
        <x:v>0.1.0-DRAFT</x:v>
      </x:c>
      <x:c r="F95" s="32" t="str">
        <x:v>ING-005</x:v>
      </x:c>
      <x:c r="G95" s="32" t="str">
        <x:v>Масло оливковое</x:v>
      </x:c>
      <x:c r="H95" s="32" t="str">
        <x:v>Финиш</x:v>
      </x:c>
      <x:c r="I95" s="32"/>
      <x:c r="J95" s="32" t="n">
        <x:v>10</x:v>
      </x:c>
      <x:c r="K95" s="32" t="str">
        <x:v>г</x:v>
      </x:c>
      <x:c r="L95" s="32" t="n">
        <x:v>10</x:v>
      </x:c>
      <x:c r="M95" s="32" t="n">
        <x:v>10</x:v>
      </x:c>
      <x:c r="N95" s="32" t="str">
        <x:v>ASSUMPTION</x:v>
      </x:c>
      <x:c r="O95" s="32" t="str">
        <x:v>EVD-0007;EVD-0008</x:v>
      </x:c>
      <x:c r="P95" s="32" t="str">
        <x:v>GAP-004;GAP-005</x:v>
      </x:c>
    </x:row>
    <x:row r="96">
      <x:c r="A96" s="32" t="str">
        <x:v>RCP-0091</x:v>
      </x:c>
      <x:c r="B96" s="32" t="str">
        <x:v>VKM-010</x:v>
      </x:c>
      <x:c r="C96" s="32" t="str">
        <x:v>VKC-010</x:v>
      </x:c>
      <x:c r="D96" s="32" t="str">
        <x:v>VKT-010</x:v>
      </x:c>
      <x:c r="E96" s="32" t="str">
        <x:v>0.1.0-DRAFT</x:v>
      </x:c>
      <x:c r="F96" s="32" t="str">
        <x:v>ING-035</x:v>
      </x:c>
      <x:c r="G96" s="32" t="str">
        <x:v>Салатный микс</x:v>
      </x:c>
      <x:c r="H96" s="32" t="str">
        <x:v>Сборка</x:v>
      </x:c>
      <x:c r="I96" s="32"/>
      <x:c r="J96" s="32" t="n">
        <x:v>90</x:v>
      </x:c>
      <x:c r="K96" s="32" t="str">
        <x:v>г</x:v>
      </x:c>
      <x:c r="L96" s="32" t="n">
        <x:v>80</x:v>
      </x:c>
      <x:c r="M96" s="32" t="n">
        <x:v>80</x:v>
      </x:c>
      <x:c r="N96" s="32" t="str">
        <x:v>ASSUMPTION</x:v>
      </x:c>
      <x:c r="O96" s="32" t="str">
        <x:v>EVD-0007;EVD-0008</x:v>
      </x:c>
      <x:c r="P96" s="32" t="str">
        <x:v>GAP-004;GAP-005</x:v>
      </x:c>
    </x:row>
    <x:row r="97">
      <x:c r="A97" s="32" t="str">
        <x:v>RCP-0092</x:v>
      </x:c>
      <x:c r="B97" s="32" t="str">
        <x:v>VKM-010</x:v>
      </x:c>
      <x:c r="C97" s="32" t="str">
        <x:v>VKC-010</x:v>
      </x:c>
      <x:c r="D97" s="32" t="str">
        <x:v>VKT-010</x:v>
      </x:c>
      <x:c r="E97" s="32" t="str">
        <x:v>0.1.0-DRAFT</x:v>
      </x:c>
      <x:c r="F97" s="32" t="str">
        <x:v>ING-036</x:v>
      </x:c>
      <x:c r="G97" s="32" t="str">
        <x:v>Креветки очищенные</x:v>
      </x:c>
      <x:c r="H97" s="32" t="str">
        <x:v>Сборка</x:v>
      </x:c>
      <x:c r="I97" s="32"/>
      <x:c r="J97" s="32" t="n">
        <x:v>105</x:v>
      </x:c>
      <x:c r="K97" s="32" t="str">
        <x:v>г</x:v>
      </x:c>
      <x:c r="L97" s="32" t="n">
        <x:v>100</x:v>
      </x:c>
      <x:c r="M97" s="32" t="n">
        <x:v>90</x:v>
      </x:c>
      <x:c r="N97" s="32" t="str">
        <x:v>ASSUMPTION</x:v>
      </x:c>
      <x:c r="O97" s="32" t="str">
        <x:v>EVD-0007;EVD-0008</x:v>
      </x:c>
      <x:c r="P97" s="32" t="str">
        <x:v>GAP-004;GAP-005</x:v>
      </x:c>
    </x:row>
    <x:row r="98">
      <x:c r="A98" s="32" t="str">
        <x:v>RCP-0093</x:v>
      </x:c>
      <x:c r="B98" s="32" t="str">
        <x:v>VKM-010</x:v>
      </x:c>
      <x:c r="C98" s="32" t="str">
        <x:v>VKC-010</x:v>
      </x:c>
      <x:c r="D98" s="32" t="str">
        <x:v>VKT-010</x:v>
      </x:c>
      <x:c r="E98" s="32" t="str">
        <x:v>0.1.0-DRAFT</x:v>
      </x:c>
      <x:c r="F98" s="32" t="str">
        <x:v>ING-037</x:v>
      </x:c>
      <x:c r="G98" s="32" t="str">
        <x:v>Яблоко</x:v>
      </x:c>
      <x:c r="H98" s="32" t="str">
        <x:v>Сборка</x:v>
      </x:c>
      <x:c r="I98" s="32"/>
      <x:c r="J98" s="32" t="n">
        <x:v>65</x:v>
      </x:c>
      <x:c r="K98" s="32" t="str">
        <x:v>г</x:v>
      </x:c>
      <x:c r="L98" s="32" t="n">
        <x:v>58</x:v>
      </x:c>
      <x:c r="M98" s="32" t="n">
        <x:v>55</x:v>
      </x:c>
      <x:c r="N98" s="32" t="str">
        <x:v>ASSUMPTION</x:v>
      </x:c>
      <x:c r="O98" s="32" t="str">
        <x:v>EVD-0007;EVD-0008</x:v>
      </x:c>
      <x:c r="P98" s="32" t="str">
        <x:v>GAP-004;GAP-005</x:v>
      </x:c>
    </x:row>
    <x:row r="99">
      <x:c r="A99" s="32" t="str">
        <x:v>RCP-0094</x:v>
      </x:c>
      <x:c r="B99" s="32" t="str">
        <x:v>VKM-010</x:v>
      </x:c>
      <x:c r="C99" s="32" t="str">
        <x:v>VKC-010</x:v>
      </x:c>
      <x:c r="D99" s="32" t="str">
        <x:v>VKT-010</x:v>
      </x:c>
      <x:c r="E99" s="32" t="str">
        <x:v>0.1.0-DRAFT</x:v>
      </x:c>
      <x:c r="F99" s="32" t="str">
        <x:v>ING-038</x:v>
      </x:c>
      <x:c r="G99" s="32" t="str">
        <x:v>Огурец свежий</x:v>
      </x:c>
      <x:c r="H99" s="32" t="str">
        <x:v>Сборка</x:v>
      </x:c>
      <x:c r="I99" s="32"/>
      <x:c r="J99" s="32" t="n">
        <x:v>34</x:v>
      </x:c>
      <x:c r="K99" s="32" t="str">
        <x:v>г</x:v>
      </x:c>
      <x:c r="L99" s="32" t="n">
        <x:v>30</x:v>
      </x:c>
      <x:c r="M99" s="32" t="n">
        <x:v>30</x:v>
      </x:c>
      <x:c r="N99" s="32" t="str">
        <x:v>ASSUMPTION</x:v>
      </x:c>
      <x:c r="O99" s="32" t="str">
        <x:v>EVD-0007;EVD-0008</x:v>
      </x:c>
      <x:c r="P99" s="32" t="str">
        <x:v>GAP-004;GAP-005</x:v>
      </x:c>
    </x:row>
    <x:row r="100">
      <x:c r="A100" s="32" t="str">
        <x:v>RCP-0095</x:v>
      </x:c>
      <x:c r="B100" s="32" t="str">
        <x:v>VKM-010</x:v>
      </x:c>
      <x:c r="C100" s="32" t="str">
        <x:v>VKC-010</x:v>
      </x:c>
      <x:c r="D100" s="32" t="str">
        <x:v>VKT-010</x:v>
      </x:c>
      <x:c r="E100" s="32" t="str">
        <x:v>0.1.0-DRAFT</x:v>
      </x:c>
      <x:c r="F100" s="32" t="str">
        <x:v>ING-024</x:v>
      </x:c>
      <x:c r="G100" s="32" t="str">
        <x:v>Масло растительное</x:v>
      </x:c>
      <x:c r="H100" s="32" t="str">
        <x:v>Заправка</x:v>
      </x:c>
      <x:c r="I100" s="32" t="str">
        <x:v>VSF-008</x:v>
      </x:c>
      <x:c r="J100" s="32" t="n">
        <x:v>10</x:v>
      </x:c>
      <x:c r="K100" s="32" t="str">
        <x:v>г</x:v>
      </x:c>
      <x:c r="L100" s="32" t="n">
        <x:v>10</x:v>
      </x:c>
      <x:c r="M100" s="32" t="n">
        <x:v>10</x:v>
      </x:c>
      <x:c r="N100" s="32" t="str">
        <x:v>ASSUMPTION</x:v>
      </x:c>
      <x:c r="O100" s="32" t="str">
        <x:v>EVD-0007;EVD-0008</x:v>
      </x:c>
      <x:c r="P100" s="32" t="str">
        <x:v>GAP-004;GAP-005</x:v>
      </x:c>
    </x:row>
    <x:row r="101">
      <x:c r="A101" s="32" t="str">
        <x:v>RCP-0096</x:v>
      </x:c>
      <x:c r="B101" s="32" t="str">
        <x:v>VKM-010</x:v>
      </x:c>
      <x:c r="C101" s="32" t="str">
        <x:v>VKC-010</x:v>
      </x:c>
      <x:c r="D101" s="32" t="str">
        <x:v>VKT-010</x:v>
      </x:c>
      <x:c r="E101" s="32" t="str">
        <x:v>0.1.0-DRAFT</x:v>
      </x:c>
      <x:c r="F101" s="32" t="str">
        <x:v>ING-039</x:v>
      </x:c>
      <x:c r="G101" s="32" t="str">
        <x:v>Сок лимона</x:v>
      </x:c>
      <x:c r="H101" s="32" t="str">
        <x:v>Заправка</x:v>
      </x:c>
      <x:c r="I101" s="32" t="str">
        <x:v>VSF-008</x:v>
      </x:c>
      <x:c r="J101" s="32" t="n">
        <x:v>7</x:v>
      </x:c>
      <x:c r="K101" s="32" t="str">
        <x:v>г</x:v>
      </x:c>
      <x:c r="L101" s="32" t="n">
        <x:v>5</x:v>
      </x:c>
      <x:c r="M101" s="32" t="n">
        <x:v>5</x:v>
      </x:c>
      <x:c r="N101" s="32" t="str">
        <x:v>ASSUMPTION</x:v>
      </x:c>
      <x:c r="O101" s="32" t="str">
        <x:v>EVD-0007;EVD-0008</x:v>
      </x:c>
      <x:c r="P101" s="32" t="str">
        <x:v>GAP-004;GAP-005</x:v>
      </x:c>
    </x:row>
    <x:row r="102">
      <x:c r="A102" s="32" t="str">
        <x:v>RCP-0097</x:v>
      </x:c>
      <x:c r="B102" s="32" t="str">
        <x:v>VKM-010</x:v>
      </x:c>
      <x:c r="C102" s="32" t="str">
        <x:v>VKC-010</x:v>
      </x:c>
      <x:c r="D102" s="32" t="str">
        <x:v>VKT-010</x:v>
      </x:c>
      <x:c r="E102" s="32" t="str">
        <x:v>0.1.0-DRAFT</x:v>
      </x:c>
      <x:c r="F102" s="32" t="str">
        <x:v>ING-040</x:v>
      </x:c>
      <x:c r="G102" s="32" t="str">
        <x:v>Мёд</x:v>
      </x:c>
      <x:c r="H102" s="32" t="str">
        <x:v>Заправка</x:v>
      </x:c>
      <x:c r="I102" s="32" t="str">
        <x:v>VSF-008</x:v>
      </x:c>
      <x:c r="J102" s="32" t="n">
        <x:v>3</x:v>
      </x:c>
      <x:c r="K102" s="32" t="str">
        <x:v>г</x:v>
      </x:c>
      <x:c r="L102" s="32" t="n">
        <x:v>3</x:v>
      </x:c>
      <x:c r="M102" s="32" t="n">
        <x:v>3</x:v>
      </x:c>
      <x:c r="N102" s="32" t="str">
        <x:v>ASSUMPTION</x:v>
      </x:c>
      <x:c r="O102" s="32" t="str">
        <x:v>EVD-0007;EVD-0008</x:v>
      </x:c>
      <x:c r="P102" s="32" t="str">
        <x:v>GAP-004;GAP-005</x:v>
      </x:c>
    </x:row>
    <x:row r="103">
      <x:c r="A103" s="32" t="str">
        <x:v>RCP-0098</x:v>
      </x:c>
      <x:c r="B103" s="32" t="str">
        <x:v>VKM-010</x:v>
      </x:c>
      <x:c r="C103" s="32" t="str">
        <x:v>VKC-010</x:v>
      </x:c>
      <x:c r="D103" s="32" t="str">
        <x:v>VKT-010</x:v>
      </x:c>
      <x:c r="E103" s="32" t="str">
        <x:v>0.1.0-DRAFT</x:v>
      </x:c>
      <x:c r="F103" s="32" t="str">
        <x:v>ING-041</x:v>
      </x:c>
      <x:c r="G103" s="32" t="str">
        <x:v>Горчица</x:v>
      </x:c>
      <x:c r="H103" s="32" t="str">
        <x:v>Заправка</x:v>
      </x:c>
      <x:c r="I103" s="32" t="str">
        <x:v>VSF-008</x:v>
      </x:c>
      <x:c r="J103" s="32" t="n">
        <x:v>2</x:v>
      </x:c>
      <x:c r="K103" s="32" t="str">
        <x:v>г</x:v>
      </x:c>
      <x:c r="L103" s="32" t="n">
        <x:v>2</x:v>
      </x:c>
      <x:c r="M103" s="32" t="n">
        <x:v>2</x:v>
      </x:c>
      <x:c r="N103" s="32" t="str">
        <x:v>ASSUMPTION</x:v>
      </x:c>
      <x:c r="O103" s="32" t="str">
        <x:v>EVD-0007;EVD-0008</x:v>
      </x:c>
      <x:c r="P103" s="32" t="str">
        <x:v>GAP-004;GAP-005</x:v>
      </x:c>
    </x:row>
    <x:row r="104">
      <x:c r="A104" s="32" t="str">
        <x:v>RCP-0099</x:v>
      </x:c>
      <x:c r="B104" s="32" t="str">
        <x:v>VKM-010</x:v>
      </x:c>
      <x:c r="C104" s="32" t="str">
        <x:v>VKC-010</x:v>
      </x:c>
      <x:c r="D104" s="32" t="str">
        <x:v>VKT-010</x:v>
      </x:c>
      <x:c r="E104" s="32" t="str">
        <x:v>0.1.0-DRAFT</x:v>
      </x:c>
      <x:c r="F104" s="32" t="str">
        <x:v>ING-042</x:v>
      </x:c>
      <x:c r="G104" s="32" t="str">
        <x:v>Семена или ореховая крошка</x:v>
      </x:c>
      <x:c r="H104" s="32" t="str">
        <x:v>Финиш</x:v>
      </x:c>
      <x:c r="I104" s="32"/>
      <x:c r="J104" s="32" t="n">
        <x:v>5</x:v>
      </x:c>
      <x:c r="K104" s="32" t="str">
        <x:v>г</x:v>
      </x:c>
      <x:c r="L104" s="32" t="n">
        <x:v>5</x:v>
      </x:c>
      <x:c r="M104" s="32" t="n">
        <x:v>5</x:v>
      </x:c>
      <x:c r="N104" s="32" t="str">
        <x:v>ASSUMPTION</x:v>
      </x:c>
      <x:c r="O104" s="32" t="str">
        <x:v>EVD-0007;EVD-0008</x:v>
      </x:c>
      <x:c r="P104" s="32" t="str">
        <x:v>GAP-004;GAP-005</x:v>
      </x:c>
    </x:row>
    <x:row r="105">
      <x:c r="A105" s="32" t="str">
        <x:v>RCP-0100</x:v>
      </x:c>
      <x:c r="B105" s="32" t="str">
        <x:v>VKM-011</x:v>
      </x:c>
      <x:c r="C105" s="32" t="str">
        <x:v>VKC-011</x:v>
      </x:c>
      <x:c r="D105" s="32" t="str">
        <x:v>VKT-011</x:v>
      </x:c>
      <x:c r="E105" s="32" t="str">
        <x:v>0.1.0-DRAFT</x:v>
      </x:c>
      <x:c r="F105" s="32" t="str">
        <x:v>ING-031</x:v>
      </x:c>
      <x:c r="G105" s="32" t="str">
        <x:v>Томаты свежие</x:v>
      </x:c>
      <x:c r="H105" s="32" t="str">
        <x:v>Основная рецептура</x:v>
      </x:c>
      <x:c r="I105" s="32"/>
      <x:c r="J105" s="32" t="n">
        <x:v>88</x:v>
      </x:c>
      <x:c r="K105" s="32" t="str">
        <x:v>г</x:v>
      </x:c>
      <x:c r="L105" s="32" t="n">
        <x:v>80</x:v>
      </x:c>
      <x:c r="M105" s="32" t="n">
        <x:v>80</x:v>
      </x:c>
      <x:c r="N105" s="32" t="str">
        <x:v>ASSUMPTION</x:v>
      </x:c>
      <x:c r="O105" s="32" t="str">
        <x:v>EVD-0007;EVD-0008</x:v>
      </x:c>
      <x:c r="P105" s="32" t="str">
        <x:v>GAP-004;GAP-005</x:v>
      </x:c>
    </x:row>
    <x:row r="106">
      <x:c r="A106" s="32" t="str">
        <x:v>RCP-0101</x:v>
      </x:c>
      <x:c r="B106" s="32" t="str">
        <x:v>VKM-011</x:v>
      </x:c>
      <x:c r="C106" s="32" t="str">
        <x:v>VKC-011</x:v>
      </x:c>
      <x:c r="D106" s="32" t="str">
        <x:v>VKT-011</x:v>
      </x:c>
      <x:c r="E106" s="32" t="str">
        <x:v>0.1.0-DRAFT</x:v>
      </x:c>
      <x:c r="F106" s="32" t="str">
        <x:v>ING-038</x:v>
      </x:c>
      <x:c r="G106" s="32" t="str">
        <x:v>Огурец свежий</x:v>
      </x:c>
      <x:c r="H106" s="32" t="str">
        <x:v>Основная рецептура</x:v>
      </x:c>
      <x:c r="I106" s="32"/>
      <x:c r="J106" s="32" t="n">
        <x:v>68</x:v>
      </x:c>
      <x:c r="K106" s="32" t="str">
        <x:v>г</x:v>
      </x:c>
      <x:c r="L106" s="32" t="n">
        <x:v>60</x:v>
      </x:c>
      <x:c r="M106" s="32" t="n">
        <x:v>60</x:v>
      </x:c>
      <x:c r="N106" s="32" t="str">
        <x:v>ASSUMPTION</x:v>
      </x:c>
      <x:c r="O106" s="32" t="str">
        <x:v>EVD-0007;EVD-0008</x:v>
      </x:c>
      <x:c r="P106" s="32" t="str">
        <x:v>GAP-004;GAP-005</x:v>
      </x:c>
    </x:row>
    <x:row r="107">
      <x:c r="A107" s="32" t="str">
        <x:v>RCP-0102</x:v>
      </x:c>
      <x:c r="B107" s="32" t="str">
        <x:v>VKM-011</x:v>
      </x:c>
      <x:c r="C107" s="32" t="str">
        <x:v>VKC-011</x:v>
      </x:c>
      <x:c r="D107" s="32" t="str">
        <x:v>VKT-011</x:v>
      </x:c>
      <x:c r="E107" s="32" t="str">
        <x:v>0.1.0-DRAFT</x:v>
      </x:c>
      <x:c r="F107" s="32" t="str">
        <x:v>ING-043</x:v>
      </x:c>
      <x:c r="G107" s="32" t="str">
        <x:v>Перец сладкий</x:v>
      </x:c>
      <x:c r="H107" s="32" t="str">
        <x:v>Основная рецептура</x:v>
      </x:c>
      <x:c r="I107" s="32"/>
      <x:c r="J107" s="32" t="n">
        <x:v>48</x:v>
      </x:c>
      <x:c r="K107" s="32" t="str">
        <x:v>г</x:v>
      </x:c>
      <x:c r="L107" s="32" t="n">
        <x:v>40</x:v>
      </x:c>
      <x:c r="M107" s="32" t="n">
        <x:v>40</x:v>
      </x:c>
      <x:c r="N107" s="32" t="str">
        <x:v>ASSUMPTION</x:v>
      </x:c>
      <x:c r="O107" s="32" t="str">
        <x:v>EVD-0007;EVD-0008</x:v>
      </x:c>
      <x:c r="P107" s="32" t="str">
        <x:v>GAP-004;GAP-005</x:v>
      </x:c>
    </x:row>
    <x:row r="108">
      <x:c r="A108" s="32" t="str">
        <x:v>RCP-0103</x:v>
      </x:c>
      <x:c r="B108" s="32" t="str">
        <x:v>VKM-011</x:v>
      </x:c>
      <x:c r="C108" s="32" t="str">
        <x:v>VKC-011</x:v>
      </x:c>
      <x:c r="D108" s="32" t="str">
        <x:v>VKT-011</x:v>
      </x:c>
      <x:c r="E108" s="32" t="str">
        <x:v>0.1.0-DRAFT</x:v>
      </x:c>
      <x:c r="F108" s="32" t="str">
        <x:v>ING-044</x:v>
      </x:c>
      <x:c r="G108" s="32" t="str">
        <x:v>Сыр фета</x:v>
      </x:c>
      <x:c r="H108" s="32" t="str">
        <x:v>Основная рецептура</x:v>
      </x:c>
      <x:c r="I108" s="32"/>
      <x:c r="J108" s="32" t="n">
        <x:v>50</x:v>
      </x:c>
      <x:c r="K108" s="32" t="str">
        <x:v>г</x:v>
      </x:c>
      <x:c r="L108" s="32" t="n">
        <x:v>50</x:v>
      </x:c>
      <x:c r="M108" s="32" t="n">
        <x:v>50</x:v>
      </x:c>
      <x:c r="N108" s="32" t="str">
        <x:v>ASSUMPTION</x:v>
      </x:c>
      <x:c r="O108" s="32" t="str">
        <x:v>EVD-0007;EVD-0008</x:v>
      </x:c>
      <x:c r="P108" s="32" t="str">
        <x:v>GAP-004;GAP-005</x:v>
      </x:c>
    </x:row>
    <x:row r="109">
      <x:c r="A109" s="32" t="str">
        <x:v>RCP-0104</x:v>
      </x:c>
      <x:c r="B109" s="32" t="str">
        <x:v>VKM-011</x:v>
      </x:c>
      <x:c r="C109" s="32" t="str">
        <x:v>VKC-011</x:v>
      </x:c>
      <x:c r="D109" s="32" t="str">
        <x:v>VKT-011</x:v>
      </x:c>
      <x:c r="E109" s="32" t="str">
        <x:v>0.1.0-DRAFT</x:v>
      </x:c>
      <x:c r="F109" s="32" t="str">
        <x:v>ING-045</x:v>
      </x:c>
      <x:c r="G109" s="32" t="str">
        <x:v>Оливки</x:v>
      </x:c>
      <x:c r="H109" s="32" t="str">
        <x:v>Основная рецептура</x:v>
      </x:c>
      <x:c r="I109" s="32"/>
      <x:c r="J109" s="32" t="n">
        <x:v>21</x:v>
      </x:c>
      <x:c r="K109" s="32" t="str">
        <x:v>г</x:v>
      </x:c>
      <x:c r="L109" s="32" t="n">
        <x:v>20</x:v>
      </x:c>
      <x:c r="M109" s="32" t="n">
        <x:v>20</x:v>
      </x:c>
      <x:c r="N109" s="32" t="str">
        <x:v>ASSUMPTION</x:v>
      </x:c>
      <x:c r="O109" s="32" t="str">
        <x:v>EVD-0007;EVD-0008</x:v>
      </x:c>
      <x:c r="P109" s="32" t="str">
        <x:v>GAP-004;GAP-005</x:v>
      </x:c>
    </x:row>
    <x:row r="110">
      <x:c r="A110" s="32" t="str">
        <x:v>RCP-0105</x:v>
      </x:c>
      <x:c r="B110" s="32" t="str">
        <x:v>VKM-011</x:v>
      </x:c>
      <x:c r="C110" s="32" t="str">
        <x:v>VKC-011</x:v>
      </x:c>
      <x:c r="D110" s="32" t="str">
        <x:v>VKT-011</x:v>
      </x:c>
      <x:c r="E110" s="32" t="str">
        <x:v>0.1.0-DRAFT</x:v>
      </x:c>
      <x:c r="F110" s="32" t="str">
        <x:v>ING-046</x:v>
      </x:c>
      <x:c r="G110" s="32" t="str">
        <x:v>Лук красный</x:v>
      </x:c>
      <x:c r="H110" s="32" t="str">
        <x:v>Основная рецептура</x:v>
      </x:c>
      <x:c r="I110" s="32"/>
      <x:c r="J110" s="32" t="n">
        <x:v>12</x:v>
      </x:c>
      <x:c r="K110" s="32" t="str">
        <x:v>г</x:v>
      </x:c>
      <x:c r="L110" s="32" t="n">
        <x:v>10</x:v>
      </x:c>
      <x:c r="M110" s="32" t="n">
        <x:v>10</x:v>
      </x:c>
      <x:c r="N110" s="32" t="str">
        <x:v>ASSUMPTION</x:v>
      </x:c>
      <x:c r="O110" s="32" t="str">
        <x:v>EVD-0007;EVD-0008</x:v>
      </x:c>
      <x:c r="P110" s="32" t="str">
        <x:v>GAP-004;GAP-005</x:v>
      </x:c>
    </x:row>
    <x:row r="111">
      <x:c r="A111" s="32" t="str">
        <x:v>RCP-0106</x:v>
      </x:c>
      <x:c r="B111" s="32" t="str">
        <x:v>VKM-011</x:v>
      </x:c>
      <x:c r="C111" s="32" t="str">
        <x:v>VKC-011</x:v>
      </x:c>
      <x:c r="D111" s="32" t="str">
        <x:v>VKT-011</x:v>
      </x:c>
      <x:c r="E111" s="32" t="str">
        <x:v>0.1.0-DRAFT</x:v>
      </x:c>
      <x:c r="F111" s="32" t="str">
        <x:v>ING-005</x:v>
      </x:c>
      <x:c r="G111" s="32" t="str">
        <x:v>Масло оливковое</x:v>
      </x:c>
      <x:c r="H111" s="32" t="str">
        <x:v>Заправка</x:v>
      </x:c>
      <x:c r="I111" s="32" t="str">
        <x:v>VSF-009</x:v>
      </x:c>
      <x:c r="J111" s="32" t="n">
        <x:v>7</x:v>
      </x:c>
      <x:c r="K111" s="32" t="str">
        <x:v>г</x:v>
      </x:c>
      <x:c r="L111" s="32" t="n">
        <x:v>7</x:v>
      </x:c>
      <x:c r="M111" s="32" t="n">
        <x:v>7</x:v>
      </x:c>
      <x:c r="N111" s="32" t="str">
        <x:v>ASSUMPTION</x:v>
      </x:c>
      <x:c r="O111" s="32" t="str">
        <x:v>EVD-0007;EVD-0008</x:v>
      </x:c>
      <x:c r="P111" s="32" t="str">
        <x:v>GAP-004;GAP-005</x:v>
      </x:c>
    </x:row>
    <x:row r="112">
      <x:c r="A112" s="32" t="str">
        <x:v>RCP-0107</x:v>
      </x:c>
      <x:c r="B112" s="32" t="str">
        <x:v>VKM-011</x:v>
      </x:c>
      <x:c r="C112" s="32" t="str">
        <x:v>VKC-011</x:v>
      </x:c>
      <x:c r="D112" s="32" t="str">
        <x:v>VKT-011</x:v>
      </x:c>
      <x:c r="E112" s="32" t="str">
        <x:v>0.1.0-DRAFT</x:v>
      </x:c>
      <x:c r="F112" s="32" t="str">
        <x:v>ING-039</x:v>
      </x:c>
      <x:c r="G112" s="32" t="str">
        <x:v>Сок лимона</x:v>
      </x:c>
      <x:c r="H112" s="32" t="str">
        <x:v>Заправка</x:v>
      </x:c>
      <x:c r="I112" s="32" t="str">
        <x:v>VSF-009</x:v>
      </x:c>
      <x:c r="J112" s="32" t="n">
        <x:v>3</x:v>
      </x:c>
      <x:c r="K112" s="32" t="str">
        <x:v>г</x:v>
      </x:c>
      <x:c r="L112" s="32" t="n">
        <x:v>2</x:v>
      </x:c>
      <x:c r="M112" s="32" t="n">
        <x:v>2</x:v>
      </x:c>
      <x:c r="N112" s="32" t="str">
        <x:v>ASSUMPTION</x:v>
      </x:c>
      <x:c r="O112" s="32" t="str">
        <x:v>EVD-0007;EVD-0008</x:v>
      </x:c>
      <x:c r="P112" s="32" t="str">
        <x:v>GAP-004;GAP-005</x:v>
      </x:c>
    </x:row>
    <x:row r="113">
      <x:c r="A113" s="32" t="str">
        <x:v>RCP-0108</x:v>
      </x:c>
      <x:c r="B113" s="32" t="str">
        <x:v>VKM-011</x:v>
      </x:c>
      <x:c r="C113" s="32" t="str">
        <x:v>VKC-011</x:v>
      </x:c>
      <x:c r="D113" s="32" t="str">
        <x:v>VKT-011</x:v>
      </x:c>
      <x:c r="E113" s="32" t="str">
        <x:v>0.1.0-DRAFT</x:v>
      </x:c>
      <x:c r="F113" s="32" t="str">
        <x:v>ING-047</x:v>
      </x:c>
      <x:c r="G113" s="32" t="str">
        <x:v>Орегано и соль</x:v>
      </x:c>
      <x:c r="H113" s="32" t="str">
        <x:v>Заправка</x:v>
      </x:c>
      <x:c r="I113" s="32" t="str">
        <x:v>VSF-009</x:v>
      </x:c>
      <x:c r="J113" s="32" t="n">
        <x:v>1</x:v>
      </x:c>
      <x:c r="K113" s="32" t="str">
        <x:v>г</x:v>
      </x:c>
      <x:c r="L113" s="32" t="n">
        <x:v>1</x:v>
      </x:c>
      <x:c r="M113" s="32" t="n">
        <x:v>1</x:v>
      </x:c>
      <x:c r="N113" s="32" t="str">
        <x:v>ASSUMPTION</x:v>
      </x:c>
      <x:c r="O113" s="32" t="str">
        <x:v>EVD-0007;EVD-0008</x:v>
      </x:c>
      <x:c r="P113" s="32" t="str">
        <x:v>GAP-004;GAP-005</x:v>
      </x:c>
    </x:row>
    <x:row r="114">
      <x:c r="A114" s="32" t="str">
        <x:v>RCP-0109</x:v>
      </x:c>
      <x:c r="B114" s="32" t="str">
        <x:v>VKM-012</x:v>
      </x:c>
      <x:c r="C114" s="32" t="str">
        <x:v>VKC-012</x:v>
      </x:c>
      <x:c r="D114" s="32" t="str">
        <x:v>VKT-012</x:v>
      </x:c>
      <x:c r="E114" s="32" t="str">
        <x:v>0.1.0-DRAFT</x:v>
      </x:c>
      <x:c r="F114" s="32" t="str">
        <x:v>ING-048</x:v>
      </x:c>
      <x:c r="G114" s="32" t="str">
        <x:v>Свёкла отварная</x:v>
      </x:c>
      <x:c r="H114" s="32" t="str">
        <x:v>Овощной полуфабрикат</x:v>
      </x:c>
      <x:c r="I114" s="32" t="str">
        <x:v>VSF-010</x:v>
      </x:c>
      <x:c r="J114" s="32" t="n">
        <x:v>95</x:v>
      </x:c>
      <x:c r="K114" s="32" t="str">
        <x:v>г</x:v>
      </x:c>
      <x:c r="L114" s="32" t="n">
        <x:v>88</x:v>
      </x:c>
      <x:c r="M114" s="32" t="n">
        <x:v>80</x:v>
      </x:c>
      <x:c r="N114" s="32" t="str">
        <x:v>ASSUMPTION</x:v>
      </x:c>
      <x:c r="O114" s="32" t="str">
        <x:v>EVD-0007;EVD-0008</x:v>
      </x:c>
      <x:c r="P114" s="32" t="str">
        <x:v>GAP-004;GAP-005</x:v>
      </x:c>
    </x:row>
    <x:row r="115">
      <x:c r="A115" s="32" t="str">
        <x:v>RCP-0110</x:v>
      </x:c>
      <x:c r="B115" s="32" t="str">
        <x:v>VKM-012</x:v>
      </x:c>
      <x:c r="C115" s="32" t="str">
        <x:v>VKC-012</x:v>
      </x:c>
      <x:c r="D115" s="32" t="str">
        <x:v>VKT-012</x:v>
      </x:c>
      <x:c r="E115" s="32" t="str">
        <x:v>0.1.0-DRAFT</x:v>
      </x:c>
      <x:c r="F115" s="32" t="str">
        <x:v>ING-049</x:v>
      </x:c>
      <x:c r="G115" s="32" t="str">
        <x:v>Картофель отварной</x:v>
      </x:c>
      <x:c r="H115" s="32" t="str">
        <x:v>Овощной полуфабрикат</x:v>
      </x:c>
      <x:c r="I115" s="32" t="str">
        <x:v>VSF-010</x:v>
      </x:c>
      <x:c r="J115" s="32" t="n">
        <x:v>65</x:v>
      </x:c>
      <x:c r="K115" s="32" t="str">
        <x:v>г</x:v>
      </x:c>
      <x:c r="L115" s="32" t="n">
        <x:v>58</x:v>
      </x:c>
      <x:c r="M115" s="32" t="n">
        <x:v>50</x:v>
      </x:c>
      <x:c r="N115" s="32" t="str">
        <x:v>ASSUMPTION</x:v>
      </x:c>
      <x:c r="O115" s="32" t="str">
        <x:v>EVD-0007;EVD-0008</x:v>
      </x:c>
      <x:c r="P115" s="32" t="str">
        <x:v>GAP-004;GAP-005</x:v>
      </x:c>
    </x:row>
    <x:row r="116">
      <x:c r="A116" s="32" t="str">
        <x:v>RCP-0111</x:v>
      </x:c>
      <x:c r="B116" s="32" t="str">
        <x:v>VKM-012</x:v>
      </x:c>
      <x:c r="C116" s="32" t="str">
        <x:v>VKC-012</x:v>
      </x:c>
      <x:c r="D116" s="32" t="str">
        <x:v>VKT-012</x:v>
      </x:c>
      <x:c r="E116" s="32" t="str">
        <x:v>0.1.0-DRAFT</x:v>
      </x:c>
      <x:c r="F116" s="32" t="str">
        <x:v>ING-050</x:v>
      </x:c>
      <x:c r="G116" s="32" t="str">
        <x:v>Морковь отварная</x:v>
      </x:c>
      <x:c r="H116" s="32" t="str">
        <x:v>Овощной полуфабрикат</x:v>
      </x:c>
      <x:c r="I116" s="32" t="str">
        <x:v>VSF-010</x:v>
      </x:c>
      <x:c r="J116" s="32" t="n">
        <x:v>38</x:v>
      </x:c>
      <x:c r="K116" s="32" t="str">
        <x:v>г</x:v>
      </x:c>
      <x:c r="L116" s="32" t="n">
        <x:v>34</x:v>
      </x:c>
      <x:c r="M116" s="32" t="n">
        <x:v>30</x:v>
      </x:c>
      <x:c r="N116" s="32" t="str">
        <x:v>ASSUMPTION</x:v>
      </x:c>
      <x:c r="O116" s="32" t="str">
        <x:v>EVD-0007;EVD-0008</x:v>
      </x:c>
      <x:c r="P116" s="32" t="str">
        <x:v>GAP-004;GAP-005</x:v>
      </x:c>
    </x:row>
    <x:row r="117">
      <x:c r="A117" s="32" t="str">
        <x:v>RCP-0112</x:v>
      </x:c>
      <x:c r="B117" s="32" t="str">
        <x:v>VKM-012</x:v>
      </x:c>
      <x:c r="C117" s="32" t="str">
        <x:v>VKC-012</x:v>
      </x:c>
      <x:c r="D117" s="32" t="str">
        <x:v>VKT-012</x:v>
      </x:c>
      <x:c r="E117" s="32" t="str">
        <x:v>0.1.0-DRAFT</x:v>
      </x:c>
      <x:c r="F117" s="32" t="str">
        <x:v>ING-051</x:v>
      </x:c>
      <x:c r="G117" s="32" t="str">
        <x:v>Огурец солёный</x:v>
      </x:c>
      <x:c r="H117" s="32" t="str">
        <x:v>Сборка</x:v>
      </x:c>
      <x:c r="I117" s="32"/>
      <x:c r="J117" s="32" t="n">
        <x:v>40</x:v>
      </x:c>
      <x:c r="K117" s="32" t="str">
        <x:v>г</x:v>
      </x:c>
      <x:c r="L117" s="32" t="n">
        <x:v>35</x:v>
      </x:c>
      <x:c r="M117" s="32" t="n">
        <x:v>35</x:v>
      </x:c>
      <x:c r="N117" s="32" t="str">
        <x:v>ASSUMPTION</x:v>
      </x:c>
      <x:c r="O117" s="32" t="str">
        <x:v>EVD-0007;EVD-0008</x:v>
      </x:c>
      <x:c r="P117" s="32" t="str">
        <x:v>GAP-004;GAP-005</x:v>
      </x:c>
    </x:row>
    <x:row r="118">
      <x:c r="A118" s="32" t="str">
        <x:v>RCP-0113</x:v>
      </x:c>
      <x:c r="B118" s="32" t="str">
        <x:v>VKM-012</x:v>
      </x:c>
      <x:c r="C118" s="32" t="str">
        <x:v>VKC-012</x:v>
      </x:c>
      <x:c r="D118" s="32" t="str">
        <x:v>VKT-012</x:v>
      </x:c>
      <x:c r="E118" s="32" t="str">
        <x:v>0.1.0-DRAFT</x:v>
      </x:c>
      <x:c r="F118" s="32" t="str">
        <x:v>ING-052</x:v>
      </x:c>
      <x:c r="G118" s="32" t="str">
        <x:v>Капуста квашеная</x:v>
      </x:c>
      <x:c r="H118" s="32" t="str">
        <x:v>Сборка</x:v>
      </x:c>
      <x:c r="I118" s="32"/>
      <x:c r="J118" s="32" t="n">
        <x:v>28</x:v>
      </x:c>
      <x:c r="K118" s="32" t="str">
        <x:v>г</x:v>
      </x:c>
      <x:c r="L118" s="32" t="n">
        <x:v>25</x:v>
      </x:c>
      <x:c r="M118" s="32" t="n">
        <x:v>25</x:v>
      </x:c>
      <x:c r="N118" s="32" t="str">
        <x:v>ASSUMPTION</x:v>
      </x:c>
      <x:c r="O118" s="32" t="str">
        <x:v>EVD-0007;EVD-0008</x:v>
      </x:c>
      <x:c r="P118" s="32" t="str">
        <x:v>GAP-004;GAP-005</x:v>
      </x:c>
    </x:row>
    <x:row r="119">
      <x:c r="A119" s="32" t="str">
        <x:v>RCP-0114</x:v>
      </x:c>
      <x:c r="B119" s="32" t="str">
        <x:v>VKM-012</x:v>
      </x:c>
      <x:c r="C119" s="32" t="str">
        <x:v>VKC-012</x:v>
      </x:c>
      <x:c r="D119" s="32" t="str">
        <x:v>VKT-012</x:v>
      </x:c>
      <x:c r="E119" s="32" t="str">
        <x:v>0.1.0-DRAFT</x:v>
      </x:c>
      <x:c r="F119" s="32" t="str">
        <x:v>ING-053</x:v>
      </x:c>
      <x:c r="G119" s="32" t="str">
        <x:v>Горошек консервированный без заливки</x:v>
      </x:c>
      <x:c r="H119" s="32" t="str">
        <x:v>Сборка</x:v>
      </x:c>
      <x:c r="I119" s="32"/>
      <x:c r="J119" s="32" t="n">
        <x:v>16</x:v>
      </x:c>
      <x:c r="K119" s="32" t="str">
        <x:v>г</x:v>
      </x:c>
      <x:c r="L119" s="32" t="n">
        <x:v>10</x:v>
      </x:c>
      <x:c r="M119" s="32" t="n">
        <x:v>10</x:v>
      </x:c>
      <x:c r="N119" s="32" t="str">
        <x:v>ASSUMPTION</x:v>
      </x:c>
      <x:c r="O119" s="32" t="str">
        <x:v>EVD-0007;EVD-0008</x:v>
      </x:c>
      <x:c r="P119" s="32" t="str">
        <x:v>GAP-004;GAP-005</x:v>
      </x:c>
    </x:row>
    <x:row r="120">
      <x:c r="A120" s="32" t="str">
        <x:v>RCP-0115</x:v>
      </x:c>
      <x:c r="B120" s="32" t="str">
        <x:v>VKM-012</x:v>
      </x:c>
      <x:c r="C120" s="32" t="str">
        <x:v>VKC-012</x:v>
      </x:c>
      <x:c r="D120" s="32" t="str">
        <x:v>VKT-012</x:v>
      </x:c>
      <x:c r="E120" s="32" t="str">
        <x:v>0.1.0-DRAFT</x:v>
      </x:c>
      <x:c r="F120" s="32" t="str">
        <x:v>ING-016</x:v>
      </x:c>
      <x:c r="G120" s="32" t="str">
        <x:v>Лук репчатый</x:v>
      </x:c>
      <x:c r="H120" s="32" t="str">
        <x:v>Сборка</x:v>
      </x:c>
      <x:c r="I120" s="32"/>
      <x:c r="J120" s="32" t="n">
        <x:v>6</x:v>
      </x:c>
      <x:c r="K120" s="32" t="str">
        <x:v>г</x:v>
      </x:c>
      <x:c r="L120" s="32" t="n">
        <x:v>5</x:v>
      </x:c>
      <x:c r="M120" s="32" t="n">
        <x:v>5</x:v>
      </x:c>
      <x:c r="N120" s="32" t="str">
        <x:v>ASSUMPTION</x:v>
      </x:c>
      <x:c r="O120" s="32" t="str">
        <x:v>EVD-0007;EVD-0008</x:v>
      </x:c>
      <x:c r="P120" s="32" t="str">
        <x:v>GAP-004;GAP-005</x:v>
      </x:c>
    </x:row>
    <x:row r="121">
      <x:c r="A121" s="32" t="str">
        <x:v>RCP-0116</x:v>
      </x:c>
      <x:c r="B121" s="32" t="str">
        <x:v>VKM-012</x:v>
      </x:c>
      <x:c r="C121" s="32" t="str">
        <x:v>VKC-012</x:v>
      </x:c>
      <x:c r="D121" s="32" t="str">
        <x:v>VKT-012</x:v>
      </x:c>
      <x:c r="E121" s="32" t="str">
        <x:v>0.1.0-DRAFT</x:v>
      </x:c>
      <x:c r="F121" s="32" t="str">
        <x:v>ING-024</x:v>
      </x:c>
      <x:c r="G121" s="32" t="str">
        <x:v>Масло растительное</x:v>
      </x:c>
      <x:c r="H121" s="32" t="str">
        <x:v>Заправка</x:v>
      </x:c>
      <x:c r="I121" s="32"/>
      <x:c r="J121" s="32" t="n">
        <x:v>5</x:v>
      </x:c>
      <x:c r="K121" s="32" t="str">
        <x:v>г</x:v>
      </x:c>
      <x:c r="L121" s="32" t="n">
        <x:v>5</x:v>
      </x:c>
      <x:c r="M121" s="32" t="n">
        <x:v>5</x:v>
      </x:c>
      <x:c r="N121" s="32" t="str">
        <x:v>ASSUMPTION</x:v>
      </x:c>
      <x:c r="O121" s="32" t="str">
        <x:v>EVD-0007;EVD-0008</x:v>
      </x:c>
      <x:c r="P121" s="32" t="str">
        <x:v>GAP-004;GAP-005</x:v>
      </x:c>
    </x:row>
    <x:row r="122">
      <x:c r="A122" s="32" t="str">
        <x:v>RCP-0117</x:v>
      </x:c>
      <x:c r="B122" s="32" t="str">
        <x:v>VKM-013</x:v>
      </x:c>
      <x:c r="C122" s="32" t="str">
        <x:v>VKC-013</x:v>
      </x:c>
      <x:c r="D122" s="32" t="str">
        <x:v>VKT-013</x:v>
      </x:c>
      <x:c r="E122" s="32" t="str">
        <x:v>0.1.0-DRAFT</x:v>
      </x:c>
      <x:c r="F122" s="32" t="str">
        <x:v>ING-054</x:v>
      </x:c>
      <x:c r="G122" s="32" t="str">
        <x:v>Лосось слабосолёный, готовое филе</x:v>
      </x:c>
      <x:c r="H122" s="32" t="str">
        <x:v>Основная рецептура</x:v>
      </x:c>
      <x:c r="I122" s="32"/>
      <x:c r="J122" s="32" t="n">
        <x:v>110</x:v>
      </x:c>
      <x:c r="K122" s="32" t="str">
        <x:v>г</x:v>
      </x:c>
      <x:c r="L122" s="32" t="n">
        <x:v>100</x:v>
      </x:c>
      <x:c r="M122" s="32" t="n">
        <x:v>100</x:v>
      </x:c>
      <x:c r="N122" s="32" t="str">
        <x:v>ASSUMPTION</x:v>
      </x:c>
      <x:c r="O122" s="32" t="str">
        <x:v>EVD-0007;EVD-0008</x:v>
      </x:c>
      <x:c r="P122" s="32" t="str">
        <x:v>GAP-004;GAP-005</x:v>
      </x:c>
    </x:row>
    <x:row r="123">
      <x:c r="A123" s="32" t="str">
        <x:v>RCP-0118</x:v>
      </x:c>
      <x:c r="B123" s="32" t="str">
        <x:v>VKM-013</x:v>
      </x:c>
      <x:c r="C123" s="32" t="str">
        <x:v>VKC-013</x:v>
      </x:c>
      <x:c r="D123" s="32" t="str">
        <x:v>VKT-013</x:v>
      </x:c>
      <x:c r="E123" s="32" t="str">
        <x:v>0.1.0-DRAFT</x:v>
      </x:c>
      <x:c r="F123" s="32" t="str">
        <x:v>ING-055</x:v>
      </x:c>
      <x:c r="G123" s="32" t="str">
        <x:v>Лимон</x:v>
      </x:c>
      <x:c r="H123" s="32" t="str">
        <x:v>Основная рецептура</x:v>
      </x:c>
      <x:c r="I123" s="32"/>
      <x:c r="J123" s="32" t="n">
        <x:v>13</x:v>
      </x:c>
      <x:c r="K123" s="32" t="str">
        <x:v>г</x:v>
      </x:c>
      <x:c r="L123" s="32" t="n">
        <x:v>10</x:v>
      </x:c>
      <x:c r="M123" s="32" t="n">
        <x:v>10</x:v>
      </x:c>
      <x:c r="N123" s="32" t="str">
        <x:v>ASSUMPTION</x:v>
      </x:c>
      <x:c r="O123" s="32" t="str">
        <x:v>EVD-0007;EVD-0008</x:v>
      </x:c>
      <x:c r="P123" s="32" t="str">
        <x:v>GAP-004;GAP-005</x:v>
      </x:c>
    </x:row>
    <x:row r="124">
      <x:c r="A124" s="32" t="str">
        <x:v>RCP-0119</x:v>
      </x:c>
      <x:c r="B124" s="32" t="str">
        <x:v>VKM-013</x:v>
      </x:c>
      <x:c r="C124" s="32" t="str">
        <x:v>VKC-013</x:v>
      </x:c>
      <x:c r="D124" s="32" t="str">
        <x:v>VKT-013</x:v>
      </x:c>
      <x:c r="E124" s="32" t="str">
        <x:v>0.1.0-DRAFT</x:v>
      </x:c>
      <x:c r="F124" s="32" t="str">
        <x:v>ING-034</x:v>
      </x:c>
      <x:c r="G124" s="32" t="str">
        <x:v>Салатная зелень</x:v>
      </x:c>
      <x:c r="H124" s="32" t="str">
        <x:v>Основная рецептура</x:v>
      </x:c>
      <x:c r="I124" s="32"/>
      <x:c r="J124" s="32" t="n">
        <x:v>12</x:v>
      </x:c>
      <x:c r="K124" s="32" t="str">
        <x:v>г</x:v>
      </x:c>
      <x:c r="L124" s="32" t="n">
        <x:v>10</x:v>
      </x:c>
      <x:c r="M124" s="32" t="n">
        <x:v>10</x:v>
      </x:c>
      <x:c r="N124" s="32" t="str">
        <x:v>ASSUMPTION</x:v>
      </x:c>
      <x:c r="O124" s="32" t="str">
        <x:v>EVD-0007;EVD-0008</x:v>
      </x:c>
      <x:c r="P124" s="32" t="str">
        <x:v>GAP-004;GAP-005</x:v>
      </x:c>
    </x:row>
    <x:row r="125">
      <x:c r="A125" s="32" t="str">
        <x:v>RCP-0120</x:v>
      </x:c>
      <x:c r="B125" s="32" t="str">
        <x:v>VKM-013</x:v>
      </x:c>
      <x:c r="C125" s="32" t="str">
        <x:v>VKC-013</x:v>
      </x:c>
      <x:c r="D125" s="32" t="str">
        <x:v>VKT-013</x:v>
      </x:c>
      <x:c r="E125" s="32" t="str">
        <x:v>0.1.0-DRAFT</x:v>
      </x:c>
      <x:c r="F125" s="32" t="str">
        <x:v>ING-056</x:v>
      </x:c>
      <x:c r="G125" s="32" t="str">
        <x:v>Каперсы</x:v>
      </x:c>
      <x:c r="H125" s="32" t="str">
        <x:v>Основная рецептура</x:v>
      </x:c>
      <x:c r="I125" s="32"/>
      <x:c r="J125" s="32" t="n">
        <x:v>6</x:v>
      </x:c>
      <x:c r="K125" s="32" t="str">
        <x:v>г</x:v>
      </x:c>
      <x:c r="L125" s="32" t="n">
        <x:v>5</x:v>
      </x:c>
      <x:c r="M125" s="32" t="n">
        <x:v>5</x:v>
      </x:c>
      <x:c r="N125" s="32" t="str">
        <x:v>ASSUMPTION</x:v>
      </x:c>
      <x:c r="O125" s="32" t="str">
        <x:v>EVD-0007;EVD-0008</x:v>
      </x:c>
      <x:c r="P125" s="32" t="str">
        <x:v>GAP-004;GAP-005</x:v>
      </x:c>
    </x:row>
    <x:row r="126">
      <x:c r="A126" s="32" t="str">
        <x:v>RCP-0121</x:v>
      </x:c>
      <x:c r="B126" s="32" t="str">
        <x:v>VKM-013</x:v>
      </x:c>
      <x:c r="C126" s="32" t="str">
        <x:v>VKC-013</x:v>
      </x:c>
      <x:c r="D126" s="32" t="str">
        <x:v>VKT-013</x:v>
      </x:c>
      <x:c r="E126" s="32" t="str">
        <x:v>0.1.0-DRAFT</x:v>
      </x:c>
      <x:c r="F126" s="32" t="str">
        <x:v>ING-024</x:v>
      </x:c>
      <x:c r="G126" s="32" t="str">
        <x:v>Масло растительное</x:v>
      </x:c>
      <x:c r="H126" s="32" t="str">
        <x:v>Основная рецептура</x:v>
      </x:c>
      <x:c r="I126" s="32"/>
      <x:c r="J126" s="32" t="n">
        <x:v>5</x:v>
      </x:c>
      <x:c r="K126" s="32" t="str">
        <x:v>г</x:v>
      </x:c>
      <x:c r="L126" s="32" t="n">
        <x:v>5</x:v>
      </x:c>
      <x:c r="M126" s="32" t="n">
        <x:v>5</x:v>
      </x:c>
      <x:c r="N126" s="32" t="str">
        <x:v>ASSUMPTION</x:v>
      </x:c>
      <x:c r="O126" s="32" t="str">
        <x:v>EVD-0007;EVD-0008</x:v>
      </x:c>
      <x:c r="P126" s="32" t="str">
        <x:v>GAP-004;GAP-005</x:v>
      </x:c>
    </x:row>
    <x:row r="127">
      <x:c r="A127" s="32" t="str">
        <x:v>RCP-0122</x:v>
      </x:c>
      <x:c r="B127" s="32" t="str">
        <x:v>VKM-014</x:v>
      </x:c>
      <x:c r="C127" s="32" t="str">
        <x:v>VKC-014</x:v>
      </x:c>
      <x:c r="D127" s="32" t="str">
        <x:v>VKT-014</x:v>
      </x:c>
      <x:c r="E127" s="32" t="str">
        <x:v>0.1.0-DRAFT</x:v>
      </x:c>
      <x:c r="F127" s="32" t="str">
        <x:v>ING-057</x:v>
      </x:c>
      <x:c r="G127" s="32" t="str">
        <x:v>Сельдь, филе</x:v>
      </x:c>
      <x:c r="H127" s="32" t="str">
        <x:v>Сборка</x:v>
      </x:c>
      <x:c r="I127" s="32"/>
      <x:c r="J127" s="32" t="n">
        <x:v>110</x:v>
      </x:c>
      <x:c r="K127" s="32" t="str">
        <x:v>г</x:v>
      </x:c>
      <x:c r="L127" s="32" t="n">
        <x:v>95</x:v>
      </x:c>
      <x:c r="M127" s="32" t="n">
        <x:v>90</x:v>
      </x:c>
      <x:c r="N127" s="32" t="str">
        <x:v>ASSUMPTION</x:v>
      </x:c>
      <x:c r="O127" s="32" t="str">
        <x:v>EVD-0007;EVD-0008</x:v>
      </x:c>
      <x:c r="P127" s="32" t="str">
        <x:v>GAP-004;GAP-005</x:v>
      </x:c>
    </x:row>
    <x:row r="128">
      <x:c r="A128" s="32" t="str">
        <x:v>RCP-0123</x:v>
      </x:c>
      <x:c r="B128" s="32" t="str">
        <x:v>VKM-014</x:v>
      </x:c>
      <x:c r="C128" s="32" t="str">
        <x:v>VKC-014</x:v>
      </x:c>
      <x:c r="D128" s="32" t="str">
        <x:v>VKT-014</x:v>
      </x:c>
      <x:c r="E128" s="32" t="str">
        <x:v>0.1.0-DRAFT</x:v>
      </x:c>
      <x:c r="F128" s="32" t="str">
        <x:v>ING-058</x:v>
      </x:c>
      <x:c r="G128" s="32" t="str">
        <x:v>Картофель запечённый</x:v>
      </x:c>
      <x:c r="H128" s="32" t="str">
        <x:v>Картофельный полуфабрикат</x:v>
      </x:c>
      <x:c r="I128" s="32" t="str">
        <x:v>VSF-011</x:v>
      </x:c>
      <x:c r="J128" s="32" t="n">
        <x:v>135</x:v>
      </x:c>
      <x:c r="K128" s="32" t="str">
        <x:v>г</x:v>
      </x:c>
      <x:c r="L128" s="32" t="n">
        <x:v>125</x:v>
      </x:c>
      <x:c r="M128" s="32" t="n">
        <x:v>110</x:v>
      </x:c>
      <x:c r="N128" s="32" t="str">
        <x:v>ASSUMPTION</x:v>
      </x:c>
      <x:c r="O128" s="32" t="str">
        <x:v>EVD-0007;EVD-0008</x:v>
      </x:c>
      <x:c r="P128" s="32" t="str">
        <x:v>GAP-004;GAP-005</x:v>
      </x:c>
    </x:row>
    <x:row r="129">
      <x:c r="A129" s="32" t="str">
        <x:v>RCP-0124</x:v>
      </x:c>
      <x:c r="B129" s="32" t="str">
        <x:v>VKM-014</x:v>
      </x:c>
      <x:c r="C129" s="32" t="str">
        <x:v>VKC-014</x:v>
      </x:c>
      <x:c r="D129" s="32" t="str">
        <x:v>VKT-014</x:v>
      </x:c>
      <x:c r="E129" s="32" t="str">
        <x:v>0.1.0-DRAFT</x:v>
      </x:c>
      <x:c r="F129" s="32" t="str">
        <x:v>ING-046</x:v>
      </x:c>
      <x:c r="G129" s="32" t="str">
        <x:v>Лук красный</x:v>
      </x:c>
      <x:c r="H129" s="32" t="str">
        <x:v>Сборка</x:v>
      </x:c>
      <x:c r="I129" s="32"/>
      <x:c r="J129" s="32" t="n">
        <x:v>24</x:v>
      </x:c>
      <x:c r="K129" s="32" t="str">
        <x:v>г</x:v>
      </x:c>
      <x:c r="L129" s="32" t="n">
        <x:v>20</x:v>
      </x:c>
      <x:c r="M129" s="32" t="n">
        <x:v>20</x:v>
      </x:c>
      <x:c r="N129" s="32" t="str">
        <x:v>ASSUMPTION</x:v>
      </x:c>
      <x:c r="O129" s="32" t="str">
        <x:v>EVD-0007;EVD-0008</x:v>
      </x:c>
      <x:c r="P129" s="32" t="str">
        <x:v>GAP-004;GAP-005</x:v>
      </x:c>
    </x:row>
    <x:row r="130">
      <x:c r="A130" s="32" t="str">
        <x:v>RCP-0125</x:v>
      </x:c>
      <x:c r="B130" s="32" t="str">
        <x:v>VKM-014</x:v>
      </x:c>
      <x:c r="C130" s="32" t="str">
        <x:v>VKC-014</x:v>
      </x:c>
      <x:c r="D130" s="32" t="str">
        <x:v>VKT-014</x:v>
      </x:c>
      <x:c r="E130" s="32" t="str">
        <x:v>0.1.0-DRAFT</x:v>
      </x:c>
      <x:c r="F130" s="32" t="str">
        <x:v>ING-051</x:v>
      </x:c>
      <x:c r="G130" s="32" t="str">
        <x:v>Огурец солёный</x:v>
      </x:c>
      <x:c r="H130" s="32" t="str">
        <x:v>Сборка</x:v>
      </x:c>
      <x:c r="I130" s="32"/>
      <x:c r="J130" s="32" t="n">
        <x:v>17</x:v>
      </x:c>
      <x:c r="K130" s="32" t="str">
        <x:v>г</x:v>
      </x:c>
      <x:c r="L130" s="32" t="n">
        <x:v>15</x:v>
      </x:c>
      <x:c r="M130" s="32" t="n">
        <x:v>15</x:v>
      </x:c>
      <x:c r="N130" s="32" t="str">
        <x:v>ASSUMPTION</x:v>
      </x:c>
      <x:c r="O130" s="32" t="str">
        <x:v>EVD-0007;EVD-0008</x:v>
      </x:c>
      <x:c r="P130" s="32" t="str">
        <x:v>GAP-004;GAP-005</x:v>
      </x:c>
    </x:row>
    <x:row r="131">
      <x:c r="A131" s="32" t="str">
        <x:v>RCP-0126</x:v>
      </x:c>
      <x:c r="B131" s="32" t="str">
        <x:v>VKM-014</x:v>
      </x:c>
      <x:c r="C131" s="32" t="str">
        <x:v>VKC-014</x:v>
      </x:c>
      <x:c r="D131" s="32" t="str">
        <x:v>VKT-014</x:v>
      </x:c>
      <x:c r="E131" s="32" t="str">
        <x:v>0.1.0-DRAFT</x:v>
      </x:c>
      <x:c r="F131" s="32" t="str">
        <x:v>ING-024</x:v>
      </x:c>
      <x:c r="G131" s="32" t="str">
        <x:v>Масло растительное</x:v>
      </x:c>
      <x:c r="H131" s="32" t="str">
        <x:v>Заправка</x:v>
      </x:c>
      <x:c r="I131" s="32"/>
      <x:c r="J131" s="32" t="n">
        <x:v>10</x:v>
      </x:c>
      <x:c r="K131" s="32" t="str">
        <x:v>г</x:v>
      </x:c>
      <x:c r="L131" s="32" t="n">
        <x:v>10</x:v>
      </x:c>
      <x:c r="M131" s="32" t="n">
        <x:v>10</x:v>
      </x:c>
      <x:c r="N131" s="32" t="str">
        <x:v>ASSUMPTION</x:v>
      </x:c>
      <x:c r="O131" s="32" t="str">
        <x:v>EVD-0007;EVD-0008</x:v>
      </x:c>
      <x:c r="P131" s="32" t="str">
        <x:v>GAP-004;GAP-005</x:v>
      </x:c>
    </x:row>
    <x:row r="132">
      <x:c r="A132" s="32" t="str">
        <x:v>RCP-0127</x:v>
      </x:c>
      <x:c r="B132" s="32" t="str">
        <x:v>VKM-014</x:v>
      </x:c>
      <x:c r="C132" s="32" t="str">
        <x:v>VKC-014</x:v>
      </x:c>
      <x:c r="D132" s="32" t="str">
        <x:v>VKT-014</x:v>
      </x:c>
      <x:c r="E132" s="32" t="str">
        <x:v>0.1.0-DRAFT</x:v>
      </x:c>
      <x:c r="F132" s="32" t="str">
        <x:v>ING-059</x:v>
      </x:c>
      <x:c r="G132" s="32" t="str">
        <x:v>Зелень</x:v>
      </x:c>
      <x:c r="H132" s="32" t="str">
        <x:v>Финиш</x:v>
      </x:c>
      <x:c r="I132" s="32"/>
      <x:c r="J132" s="32" t="n">
        <x:v>6</x:v>
      </x:c>
      <x:c r="K132" s="32" t="str">
        <x:v>г</x:v>
      </x:c>
      <x:c r="L132" s="32" t="n">
        <x:v>5</x:v>
      </x:c>
      <x:c r="M132" s="32" t="n">
        <x:v>5</x:v>
      </x:c>
      <x:c r="N132" s="32" t="str">
        <x:v>ASSUMPTION</x:v>
      </x:c>
      <x:c r="O132" s="32" t="str">
        <x:v>EVD-0007;EVD-0008</x:v>
      </x:c>
      <x:c r="P132" s="32" t="str">
        <x:v>GAP-004;GAP-005</x:v>
      </x:c>
    </x:row>
    <x:row r="133">
      <x:c r="A133" s="32" t="str">
        <x:v>RCP-0128</x:v>
      </x:c>
      <x:c r="B133" s="32" t="str">
        <x:v>VKM-015</x:v>
      </x:c>
      <x:c r="C133" s="32" t="str">
        <x:v>VKC-015</x:v>
      </x:c>
      <x:c r="D133" s="32" t="str">
        <x:v>VKT-015</x:v>
      </x:c>
      <x:c r="E133" s="32" t="str">
        <x:v>0.1.0-DRAFT</x:v>
      </x:c>
      <x:c r="F133" s="32" t="str">
        <x:v>ING-060</x:v>
      </x:c>
      <x:c r="G133" s="32" t="str">
        <x:v>Оливки зелёные без заливки</x:v>
      </x:c>
      <x:c r="H133" s="32" t="str">
        <x:v>Основная рецептура</x:v>
      </x:c>
      <x:c r="I133" s="32"/>
      <x:c r="J133" s="32" t="n">
        <x:v>65</x:v>
      </x:c>
      <x:c r="K133" s="32" t="str">
        <x:v>г</x:v>
      </x:c>
      <x:c r="L133" s="32" t="n">
        <x:v>50</x:v>
      </x:c>
      <x:c r="M133" s="32" t="n">
        <x:v>50</x:v>
      </x:c>
      <x:c r="N133" s="32" t="str">
        <x:v>ASSUMPTION</x:v>
      </x:c>
      <x:c r="O133" s="32" t="str">
        <x:v>EVD-0007;EVD-0008</x:v>
      </x:c>
      <x:c r="P133" s="32" t="str">
        <x:v>GAP-004;GAP-005</x:v>
      </x:c>
    </x:row>
    <x:row r="134">
      <x:c r="A134" s="32" t="str">
        <x:v>RCP-0129</x:v>
      </x:c>
      <x:c r="B134" s="32" t="str">
        <x:v>VKM-015</x:v>
      </x:c>
      <x:c r="C134" s="32" t="str">
        <x:v>VKC-015</x:v>
      </x:c>
      <x:c r="D134" s="32" t="str">
        <x:v>VKT-015</x:v>
      </x:c>
      <x:c r="E134" s="32" t="str">
        <x:v>0.1.0-DRAFT</x:v>
      </x:c>
      <x:c r="F134" s="32" t="str">
        <x:v>ING-061</x:v>
      </x:c>
      <x:c r="G134" s="32" t="str">
        <x:v>Маслины без заливки</x:v>
      </x:c>
      <x:c r="H134" s="32" t="str">
        <x:v>Основная рецептура</x:v>
      </x:c>
      <x:c r="I134" s="32"/>
      <x:c r="J134" s="32" t="n">
        <x:v>65</x:v>
      </x:c>
      <x:c r="K134" s="32" t="str">
        <x:v>г</x:v>
      </x:c>
      <x:c r="L134" s="32" t="n">
        <x:v>50</x:v>
      </x:c>
      <x:c r="M134" s="32" t="n">
        <x:v>50</x:v>
      </x:c>
      <x:c r="N134" s="32" t="str">
        <x:v>ASSUMPTION</x:v>
      </x:c>
      <x:c r="O134" s="32" t="str">
        <x:v>EVD-0007;EVD-0008</x:v>
      </x:c>
      <x:c r="P134" s="32" t="str">
        <x:v>GAP-004;GAP-005</x:v>
      </x:c>
    </x:row>
    <x:row r="135">
      <x:c r="A135" s="32" t="str">
        <x:v>RCP-0130</x:v>
      </x:c>
      <x:c r="B135" s="32" t="str">
        <x:v>VKM-015</x:v>
      </x:c>
      <x:c r="C135" s="32" t="str">
        <x:v>VKC-015</x:v>
      </x:c>
      <x:c r="D135" s="32" t="str">
        <x:v>VKT-015</x:v>
      </x:c>
      <x:c r="E135" s="32" t="str">
        <x:v>0.1.0-DRAFT</x:v>
      </x:c>
      <x:c r="F135" s="32" t="str">
        <x:v>ING-005</x:v>
      </x:c>
      <x:c r="G135" s="32" t="str">
        <x:v>Масло оливковое</x:v>
      </x:c>
      <x:c r="H135" s="32" t="str">
        <x:v>Маринад</x:v>
      </x:c>
      <x:c r="I135" s="32" t="str">
        <x:v>VSF-012</x:v>
      </x:c>
      <x:c r="J135" s="32" t="n">
        <x:v>10</x:v>
      </x:c>
      <x:c r="K135" s="32" t="str">
        <x:v>г</x:v>
      </x:c>
      <x:c r="L135" s="32" t="n">
        <x:v>10</x:v>
      </x:c>
      <x:c r="M135" s="32" t="n">
        <x:v>10</x:v>
      </x:c>
      <x:c r="N135" s="32" t="str">
        <x:v>ASSUMPTION</x:v>
      </x:c>
      <x:c r="O135" s="32" t="str">
        <x:v>EVD-0007;EVD-0008</x:v>
      </x:c>
      <x:c r="P135" s="32" t="str">
        <x:v>GAP-004;GAP-005</x:v>
      </x:c>
    </x:row>
    <x:row r="136">
      <x:c r="A136" s="32" t="str">
        <x:v>RCP-0131</x:v>
      </x:c>
      <x:c r="B136" s="32" t="str">
        <x:v>VKM-015</x:v>
      </x:c>
      <x:c r="C136" s="32" t="str">
        <x:v>VKC-015</x:v>
      </x:c>
      <x:c r="D136" s="32" t="str">
        <x:v>VKT-015</x:v>
      </x:c>
      <x:c r="E136" s="32" t="str">
        <x:v>0.1.0-DRAFT</x:v>
      </x:c>
      <x:c r="F136" s="32" t="str">
        <x:v>ING-062</x:v>
      </x:c>
      <x:c r="G136" s="32" t="str">
        <x:v>Цедра цитрусовая</x:v>
      </x:c>
      <x:c r="H136" s="32" t="str">
        <x:v>Маринад</x:v>
      </x:c>
      <x:c r="I136" s="32" t="str">
        <x:v>VSF-012</x:v>
      </x:c>
      <x:c r="J136" s="32" t="n">
        <x:v>5</x:v>
      </x:c>
      <x:c r="K136" s="32" t="str">
        <x:v>г</x:v>
      </x:c>
      <x:c r="L136" s="32" t="n">
        <x:v>3</x:v>
      </x:c>
      <x:c r="M136" s="32" t="n">
        <x:v>3</x:v>
      </x:c>
      <x:c r="N136" s="32" t="str">
        <x:v>ASSUMPTION</x:v>
      </x:c>
      <x:c r="O136" s="32" t="str">
        <x:v>EVD-0007;EVD-0008</x:v>
      </x:c>
      <x:c r="P136" s="32" t="str">
        <x:v>GAP-004;GAP-005</x:v>
      </x:c>
    </x:row>
    <x:row r="137">
      <x:c r="A137" s="32" t="str">
        <x:v>RCP-0132</x:v>
      </x:c>
      <x:c r="B137" s="32" t="str">
        <x:v>VKM-015</x:v>
      </x:c>
      <x:c r="C137" s="32" t="str">
        <x:v>VKC-015</x:v>
      </x:c>
      <x:c r="D137" s="32" t="str">
        <x:v>VKT-015</x:v>
      </x:c>
      <x:c r="E137" s="32" t="str">
        <x:v>0.1.0-DRAFT</x:v>
      </x:c>
      <x:c r="F137" s="32" t="str">
        <x:v>ING-007</x:v>
      </x:c>
      <x:c r="G137" s="32" t="str">
        <x:v>Чеснок</x:v>
      </x:c>
      <x:c r="H137" s="32" t="str">
        <x:v>Маринад</x:v>
      </x:c>
      <x:c r="I137" s="32" t="str">
        <x:v>VSF-012</x:v>
      </x:c>
      <x:c r="J137" s="32" t="n">
        <x:v>2.3</x:v>
      </x:c>
      <x:c r="K137" s="32" t="str">
        <x:v>г</x:v>
      </x:c>
      <x:c r="L137" s="32" t="n">
        <x:v>2</x:v>
      </x:c>
      <x:c r="M137" s="32" t="n">
        <x:v>2</x:v>
      </x:c>
      <x:c r="N137" s="32" t="str">
        <x:v>ASSUMPTION</x:v>
      </x:c>
      <x:c r="O137" s="32" t="str">
        <x:v>EVD-0007;EVD-0008</x:v>
      </x:c>
      <x:c r="P137" s="32" t="str">
        <x:v>GAP-004;GAP-005</x:v>
      </x:c>
    </x:row>
    <x:row r="138">
      <x:c r="A138" s="32" t="str">
        <x:v>RCP-0133</x:v>
      </x:c>
      <x:c r="B138" s="32" t="str">
        <x:v>VKM-015</x:v>
      </x:c>
      <x:c r="C138" s="32" t="str">
        <x:v>VKC-015</x:v>
      </x:c>
      <x:c r="D138" s="32" t="str">
        <x:v>VKT-015</x:v>
      </x:c>
      <x:c r="E138" s="32" t="str">
        <x:v>0.1.0-DRAFT</x:v>
      </x:c>
      <x:c r="F138" s="32" t="str">
        <x:v>ING-063</x:v>
      </x:c>
      <x:c r="G138" s="32" t="str">
        <x:v>Пряные травы</x:v>
      </x:c>
      <x:c r="H138" s="32" t="str">
        <x:v>Маринад</x:v>
      </x:c>
      <x:c r="I138" s="32" t="str">
        <x:v>VSF-012</x:v>
      </x:c>
      <x:c r="J138" s="32" t="n">
        <x:v>5</x:v>
      </x:c>
      <x:c r="K138" s="32" t="str">
        <x:v>г</x:v>
      </x:c>
      <x:c r="L138" s="32" t="n">
        <x:v>5</x:v>
      </x:c>
      <x:c r="M138" s="32" t="n">
        <x:v>5</x:v>
      </x:c>
      <x:c r="N138" s="32" t="str">
        <x:v>ASSUMPTION</x:v>
      </x:c>
      <x:c r="O138" s="32" t="str">
        <x:v>EVD-0007;EVD-0008</x:v>
      </x:c>
      <x:c r="P138" s="32" t="str">
        <x:v>GAP-004;GAP-005</x:v>
      </x:c>
    </x:row>
    <x:row r="139">
      <x:c r="A139" s="32" t="str">
        <x:v>RCP-0134</x:v>
      </x:c>
      <x:c r="B139" s="32" t="str">
        <x:v>VKM-016</x:v>
      </x:c>
      <x:c r="C139" s="32" t="str">
        <x:v>VKC-016</x:v>
      </x:c>
      <x:c r="D139" s="32" t="str">
        <x:v>VKT-016</x:v>
      </x:c>
      <x:c r="E139" s="32" t="str">
        <x:v>0.1.0-DRAFT</x:v>
      </x:c>
      <x:c r="F139" s="32" t="str">
        <x:v>ING-038</x:v>
      </x:c>
      <x:c r="G139" s="32" t="str">
        <x:v>Огурец свежий</x:v>
      </x:c>
      <x:c r="H139" s="32" t="str">
        <x:v>Ассорти</x:v>
      </x:c>
      <x:c r="I139" s="32" t="str">
        <x:v>VSF-014</x:v>
      </x:c>
      <x:c r="J139" s="32" t="n">
        <x:v>58</x:v>
      </x:c>
      <x:c r="K139" s="32" t="str">
        <x:v>г</x:v>
      </x:c>
      <x:c r="L139" s="32" t="n">
        <x:v>52</x:v>
      </x:c>
      <x:c r="M139" s="32" t="n">
        <x:v>50</x:v>
      </x:c>
      <x:c r="N139" s="32" t="str">
        <x:v>ASSUMPTION</x:v>
      </x:c>
      <x:c r="O139" s="32" t="str">
        <x:v>EVD-0007;EVD-0008</x:v>
      </x:c>
      <x:c r="P139" s="32" t="str">
        <x:v>GAP-004;GAP-005</x:v>
      </x:c>
    </x:row>
    <x:row r="140">
      <x:c r="A140" s="32" t="str">
        <x:v>RCP-0135</x:v>
      </x:c>
      <x:c r="B140" s="32" t="str">
        <x:v>VKM-016</x:v>
      </x:c>
      <x:c r="C140" s="32" t="str">
        <x:v>VKC-016</x:v>
      </x:c>
      <x:c r="D140" s="32" t="str">
        <x:v>VKT-016</x:v>
      </x:c>
      <x:c r="E140" s="32" t="str">
        <x:v>0.1.0-DRAFT</x:v>
      </x:c>
      <x:c r="F140" s="32" t="str">
        <x:v>ING-064</x:v>
      </x:c>
      <x:c r="G140" s="32" t="str">
        <x:v>Капуста белокочанная</x:v>
      </x:c>
      <x:c r="H140" s="32" t="str">
        <x:v>Ассорти</x:v>
      </x:c>
      <x:c r="I140" s="32" t="str">
        <x:v>VSF-014</x:v>
      </x:c>
      <x:c r="J140" s="32" t="n">
        <x:v>48</x:v>
      </x:c>
      <x:c r="K140" s="32" t="str">
        <x:v>г</x:v>
      </x:c>
      <x:c r="L140" s="32" t="n">
        <x:v>42</x:v>
      </x:c>
      <x:c r="M140" s="32" t="n">
        <x:v>40</x:v>
      </x:c>
      <x:c r="N140" s="32" t="str">
        <x:v>ASSUMPTION</x:v>
      </x:c>
      <x:c r="O140" s="32" t="str">
        <x:v>EVD-0007;EVD-0008</x:v>
      </x:c>
      <x:c r="P140" s="32" t="str">
        <x:v>GAP-004;GAP-005</x:v>
      </x:c>
    </x:row>
    <x:row r="141">
      <x:c r="A141" s="32" t="str">
        <x:v>RCP-0136</x:v>
      </x:c>
      <x:c r="B141" s="32" t="str">
        <x:v>VKM-016</x:v>
      </x:c>
      <x:c r="C141" s="32" t="str">
        <x:v>VKC-016</x:v>
      </x:c>
      <x:c r="D141" s="32" t="str">
        <x:v>VKT-016</x:v>
      </x:c>
      <x:c r="E141" s="32" t="str">
        <x:v>0.1.0-DRAFT</x:v>
      </x:c>
      <x:c r="F141" s="32" t="str">
        <x:v>ING-031</x:v>
      </x:c>
      <x:c r="G141" s="32" t="str">
        <x:v>Томаты свежие</x:v>
      </x:c>
      <x:c r="H141" s="32" t="str">
        <x:v>Ассорти</x:v>
      </x:c>
      <x:c r="I141" s="32" t="str">
        <x:v>VSF-014</x:v>
      </x:c>
      <x:c r="J141" s="32" t="n">
        <x:v>44</x:v>
      </x:c>
      <x:c r="K141" s="32" t="str">
        <x:v>г</x:v>
      </x:c>
      <x:c r="L141" s="32" t="n">
        <x:v>40</x:v>
      </x:c>
      <x:c r="M141" s="32" t="n">
        <x:v>40</x:v>
      </x:c>
      <x:c r="N141" s="32" t="str">
        <x:v>ASSUMPTION</x:v>
      </x:c>
      <x:c r="O141" s="32" t="str">
        <x:v>EVD-0007;EVD-0008</x:v>
      </x:c>
      <x:c r="P141" s="32" t="str">
        <x:v>GAP-004;GAP-005</x:v>
      </x:c>
    </x:row>
    <x:row r="142">
      <x:c r="A142" s="32" t="str">
        <x:v>RCP-0137</x:v>
      </x:c>
      <x:c r="B142" s="32" t="str">
        <x:v>VKM-016</x:v>
      </x:c>
      <x:c r="C142" s="32" t="str">
        <x:v>VKC-016</x:v>
      </x:c>
      <x:c r="D142" s="32" t="str">
        <x:v>VKT-016</x:v>
      </x:c>
      <x:c r="E142" s="32" t="str">
        <x:v>0.1.0-DRAFT</x:v>
      </x:c>
      <x:c r="F142" s="32" t="str">
        <x:v>ING-043</x:v>
      </x:c>
      <x:c r="G142" s="32" t="str">
        <x:v>Перец сладкий</x:v>
      </x:c>
      <x:c r="H142" s="32" t="str">
        <x:v>Ассорти</x:v>
      </x:c>
      <x:c r="I142" s="32" t="str">
        <x:v>VSF-014</x:v>
      </x:c>
      <x:c r="J142" s="32" t="n">
        <x:v>36</x:v>
      </x:c>
      <x:c r="K142" s="32" t="str">
        <x:v>г</x:v>
      </x:c>
      <x:c r="L142" s="32" t="n">
        <x:v>31</x:v>
      </x:c>
      <x:c r="M142" s="32" t="n">
        <x:v>30</x:v>
      </x:c>
      <x:c r="N142" s="32" t="str">
        <x:v>ASSUMPTION</x:v>
      </x:c>
      <x:c r="O142" s="32" t="str">
        <x:v>EVD-0007;EVD-0008</x:v>
      </x:c>
      <x:c r="P142" s="32" t="str">
        <x:v>GAP-004;GAP-005</x:v>
      </x:c>
    </x:row>
    <x:row r="143">
      <x:c r="A143" s="32" t="str">
        <x:v>RCP-0138</x:v>
      </x:c>
      <x:c r="B143" s="32" t="str">
        <x:v>VKM-016</x:v>
      </x:c>
      <x:c r="C143" s="32" t="str">
        <x:v>VKC-016</x:v>
      </x:c>
      <x:c r="D143" s="32" t="str">
        <x:v>VKT-016</x:v>
      </x:c>
      <x:c r="E143" s="32" t="str">
        <x:v>0.1.0-DRAFT</x:v>
      </x:c>
      <x:c r="F143" s="32" t="str">
        <x:v>ING-065</x:v>
      </x:c>
      <x:c r="G143" s="32" t="str">
        <x:v>Уксус пищевой</x:v>
      </x:c>
      <x:c r="H143" s="32" t="str">
        <x:v>Маринад</x:v>
      </x:c>
      <x:c r="I143" s="32" t="str">
        <x:v>VSF-013</x:v>
      </x:c>
      <x:c r="J143" s="32" t="n">
        <x:v>5</x:v>
      </x:c>
      <x:c r="K143" s="32" t="str">
        <x:v>г</x:v>
      </x:c>
      <x:c r="L143" s="32" t="n">
        <x:v>5</x:v>
      </x:c>
      <x:c r="M143" s="32" t="n">
        <x:v>5</x:v>
      </x:c>
      <x:c r="N143" s="32" t="str">
        <x:v>ASSUMPTION</x:v>
      </x:c>
      <x:c r="O143" s="32" t="str">
        <x:v>EVD-0007;EVD-0008</x:v>
      </x:c>
      <x:c r="P143" s="32" t="str">
        <x:v>GAP-004;GAP-005</x:v>
      </x:c>
    </x:row>
    <x:row r="144">
      <x:c r="A144" s="32" t="str">
        <x:v>RCP-0139</x:v>
      </x:c>
      <x:c r="B144" s="32" t="str">
        <x:v>VKM-016</x:v>
      </x:c>
      <x:c r="C144" s="32" t="str">
        <x:v>VKC-016</x:v>
      </x:c>
      <x:c r="D144" s="32" t="str">
        <x:v>VKT-016</x:v>
      </x:c>
      <x:c r="E144" s="32" t="str">
        <x:v>0.1.0-DRAFT</x:v>
      </x:c>
      <x:c r="F144" s="32" t="str">
        <x:v>ING-028</x:v>
      </x:c>
      <x:c r="G144" s="32" t="str">
        <x:v>Сахар</x:v>
      </x:c>
      <x:c r="H144" s="32" t="str">
        <x:v>Маринад</x:v>
      </x:c>
      <x:c r="I144" s="32" t="str">
        <x:v>VSF-013</x:v>
      </x:c>
      <x:c r="J144" s="32" t="n">
        <x:v>4</x:v>
      </x:c>
      <x:c r="K144" s="32" t="str">
        <x:v>г</x:v>
      </x:c>
      <x:c r="L144" s="32" t="n">
        <x:v>4</x:v>
      </x:c>
      <x:c r="M144" s="32" t="n">
        <x:v>4</x:v>
      </x:c>
      <x:c r="N144" s="32" t="str">
        <x:v>ASSUMPTION</x:v>
      </x:c>
      <x:c r="O144" s="32" t="str">
        <x:v>EVD-0007;EVD-0008</x:v>
      </x:c>
      <x:c r="P144" s="32" t="str">
        <x:v>GAP-004;GAP-005</x:v>
      </x:c>
    </x:row>
    <x:row r="145">
      <x:c r="A145" s="32" t="str">
        <x:v>RCP-0140</x:v>
      </x:c>
      <x:c r="B145" s="32" t="str">
        <x:v>VKM-016</x:v>
      </x:c>
      <x:c r="C145" s="32" t="str">
        <x:v>VKC-016</x:v>
      </x:c>
      <x:c r="D145" s="32" t="str">
        <x:v>VKT-016</x:v>
      </x:c>
      <x:c r="E145" s="32" t="str">
        <x:v>0.1.0-DRAFT</x:v>
      </x:c>
      <x:c r="F145" s="32" t="str">
        <x:v>ING-004</x:v>
      </x:c>
      <x:c r="G145" s="32" t="str">
        <x:v>Соль пищевая</x:v>
      </x:c>
      <x:c r="H145" s="32" t="str">
        <x:v>Маринад</x:v>
      </x:c>
      <x:c r="I145" s="32" t="str">
        <x:v>VSF-013</x:v>
      </x:c>
      <x:c r="J145" s="32" t="n">
        <x:v>2</x:v>
      </x:c>
      <x:c r="K145" s="32" t="str">
        <x:v>г</x:v>
      </x:c>
      <x:c r="L145" s="32" t="n">
        <x:v>2</x:v>
      </x:c>
      <x:c r="M145" s="32" t="n">
        <x:v>2</x:v>
      </x:c>
      <x:c r="N145" s="32" t="str">
        <x:v>ASSUMPTION</x:v>
      </x:c>
      <x:c r="O145" s="32" t="str">
        <x:v>EVD-0007;EVD-0008</x:v>
      </x:c>
      <x:c r="P145" s="32" t="str">
        <x:v>GAP-004;GAP-005</x:v>
      </x:c>
    </x:row>
    <x:row r="146">
      <x:c r="A146" s="32" t="str">
        <x:v>RCP-0141</x:v>
      </x:c>
      <x:c r="B146" s="32" t="str">
        <x:v>VKM-016</x:v>
      </x:c>
      <x:c r="C146" s="32" t="str">
        <x:v>VKC-016</x:v>
      </x:c>
      <x:c r="D146" s="32" t="str">
        <x:v>VKT-016</x:v>
      </x:c>
      <x:c r="E146" s="32" t="str">
        <x:v>0.1.0-DRAFT</x:v>
      </x:c>
      <x:c r="F146" s="32" t="str">
        <x:v>ING-002</x:v>
      </x:c>
      <x:c r="G146" s="32" t="str">
        <x:v>Вода питьевая</x:v>
      </x:c>
      <x:c r="H146" s="32" t="str">
        <x:v>Маринад</x:v>
      </x:c>
      <x:c r="I146" s="32" t="str">
        <x:v>VSF-013</x:v>
      </x:c>
      <x:c r="J146" s="32" t="n">
        <x:v>4</x:v>
      </x:c>
      <x:c r="K146" s="32" t="str">
        <x:v>г</x:v>
      </x:c>
      <x:c r="L146" s="32" t="n">
        <x:v>4</x:v>
      </x:c>
      <x:c r="M146" s="32" t="n">
        <x:v>4</x:v>
      </x:c>
      <x:c r="N146" s="32" t="str">
        <x:v>ASSUMPTION</x:v>
      </x:c>
      <x:c r="O146" s="32" t="str">
        <x:v>EVD-0007;EVD-0008</x:v>
      </x:c>
      <x:c r="P146" s="32" t="str">
        <x:v>GAP-004;GAP-005</x:v>
      </x:c>
    </x:row>
    <x:row r="147">
      <x:c r="A147" s="32" t="str">
        <x:v>RCP-0142</x:v>
      </x:c>
      <x:c r="B147" s="32" t="str">
        <x:v>VKM-016</x:v>
      </x:c>
      <x:c r="C147" s="32" t="str">
        <x:v>VKC-016</x:v>
      </x:c>
      <x:c r="D147" s="32" t="str">
        <x:v>VKT-016</x:v>
      </x:c>
      <x:c r="E147" s="32" t="str">
        <x:v>0.1.0-DRAFT</x:v>
      </x:c>
      <x:c r="F147" s="32" t="str">
        <x:v>ING-024</x:v>
      </x:c>
      <x:c r="G147" s="32" t="str">
        <x:v>Масло растительное</x:v>
      </x:c>
      <x:c r="H147" s="32" t="str">
        <x:v>Маринад</x:v>
      </x:c>
      <x:c r="I147" s="32" t="str">
        <x:v>VSF-013</x:v>
      </x:c>
      <x:c r="J147" s="32" t="n">
        <x:v>5</x:v>
      </x:c>
      <x:c r="K147" s="32" t="str">
        <x:v>г</x:v>
      </x:c>
      <x:c r="L147" s="32" t="n">
        <x:v>5</x:v>
      </x:c>
      <x:c r="M147" s="32" t="n">
        <x:v>5</x:v>
      </x:c>
      <x:c r="N147" s="32" t="str">
        <x:v>ASSUMPTION</x:v>
      </x:c>
      <x:c r="O147" s="32" t="str">
        <x:v>EVD-0007;EVD-0008</x:v>
      </x:c>
      <x:c r="P147" s="32" t="str">
        <x:v>GAP-004;GAP-005</x:v>
      </x:c>
    </x:row>
    <x:row r="148">
      <x:c r="A148" s="32" t="str">
        <x:v>RCP-0143</x:v>
      </x:c>
      <x:c r="B148" s="32" t="str">
        <x:v>VKM-017</x:v>
      </x:c>
      <x:c r="C148" s="32" t="str">
        <x:v>VKC-017</x:v>
      </x:c>
      <x:c r="D148" s="32" t="str">
        <x:v>VKT-017</x:v>
      </x:c>
      <x:c r="E148" s="32" t="str">
        <x:v>0.1.0-DRAFT</x:v>
      </x:c>
      <x:c r="F148" s="32" t="str">
        <x:v>ING-066</x:v>
      </x:c>
      <x:c r="G148" s="32" t="str">
        <x:v>Ростбиф охлаждённый готовый</x:v>
      </x:c>
      <x:c r="H148" s="32" t="str">
        <x:v>Сборка</x:v>
      </x:c>
      <x:c r="I148" s="32"/>
      <x:c r="J148" s="32" t="n">
        <x:v>115</x:v>
      </x:c>
      <x:c r="K148" s="32" t="str">
        <x:v>г</x:v>
      </x:c>
      <x:c r="L148" s="32" t="n">
        <x:v>110</x:v>
      </x:c>
      <x:c r="M148" s="32" t="n">
        <x:v>110</x:v>
      </x:c>
      <x:c r="N148" s="32" t="str">
        <x:v>ASSUMPTION</x:v>
      </x:c>
      <x:c r="O148" s="32" t="str">
        <x:v>EVD-0007;EVD-0008</x:v>
      </x:c>
      <x:c r="P148" s="32" t="str">
        <x:v>GAP-004;GAP-005</x:v>
      </x:c>
    </x:row>
    <x:row r="149">
      <x:c r="A149" s="32" t="str">
        <x:v>RCP-0144</x:v>
      </x:c>
      <x:c r="B149" s="32" t="str">
        <x:v>VKM-017</x:v>
      </x:c>
      <x:c r="C149" s="32" t="str">
        <x:v>VKC-017</x:v>
      </x:c>
      <x:c r="D149" s="32" t="str">
        <x:v>VKT-017</x:v>
      </x:c>
      <x:c r="E149" s="32" t="str">
        <x:v>0.1.0-DRAFT</x:v>
      </x:c>
      <x:c r="F149" s="32" t="str">
        <x:v>ING-046</x:v>
      </x:c>
      <x:c r="G149" s="32" t="str">
        <x:v>Лук красный</x:v>
      </x:c>
      <x:c r="H149" s="32" t="str">
        <x:v>Сборка</x:v>
      </x:c>
      <x:c r="I149" s="32"/>
      <x:c r="J149" s="32" t="n">
        <x:v>24</x:v>
      </x:c>
      <x:c r="K149" s="32" t="str">
        <x:v>г</x:v>
      </x:c>
      <x:c r="L149" s="32" t="n">
        <x:v>20</x:v>
      </x:c>
      <x:c r="M149" s="32" t="n">
        <x:v>20</x:v>
      </x:c>
      <x:c r="N149" s="32" t="str">
        <x:v>ASSUMPTION</x:v>
      </x:c>
      <x:c r="O149" s="32" t="str">
        <x:v>EVD-0007;EVD-0008</x:v>
      </x:c>
      <x:c r="P149" s="32" t="str">
        <x:v>GAP-004;GAP-005</x:v>
      </x:c>
    </x:row>
    <x:row r="150">
      <x:c r="A150" s="32" t="str">
        <x:v>RCP-0145</x:v>
      </x:c>
      <x:c r="B150" s="32" t="str">
        <x:v>VKM-017</x:v>
      </x:c>
      <x:c r="C150" s="32" t="str">
        <x:v>VKC-017</x:v>
      </x:c>
      <x:c r="D150" s="32" t="str">
        <x:v>VKT-017</x:v>
      </x:c>
      <x:c r="E150" s="32" t="str">
        <x:v>0.1.0-DRAFT</x:v>
      </x:c>
      <x:c r="F150" s="32" t="str">
        <x:v>ING-067</x:v>
      </x:c>
      <x:c r="G150" s="32" t="str">
        <x:v>Хлеб для гренки</x:v>
      </x:c>
      <x:c r="H150" s="32" t="str">
        <x:v>Гренка</x:v>
      </x:c>
      <x:c r="I150" s="32" t="str">
        <x:v>VSF-015</x:v>
      </x:c>
      <x:c r="J150" s="32" t="n">
        <x:v>34</x:v>
      </x:c>
      <x:c r="K150" s="32" t="str">
        <x:v>г</x:v>
      </x:c>
      <x:c r="L150" s="32" t="n">
        <x:v>32</x:v>
      </x:c>
      <x:c r="M150" s="32" t="n">
        <x:v>30</x:v>
      </x:c>
      <x:c r="N150" s="32" t="str">
        <x:v>ASSUMPTION</x:v>
      </x:c>
      <x:c r="O150" s="32" t="str">
        <x:v>EVD-0007;EVD-0008</x:v>
      </x:c>
      <x:c r="P150" s="32" t="str">
        <x:v>GAP-004;GAP-005</x:v>
      </x:c>
    </x:row>
    <x:row r="151">
      <x:c r="A151" s="32" t="str">
        <x:v>RCP-0146</x:v>
      </x:c>
      <x:c r="B151" s="32" t="str">
        <x:v>VKM-017</x:v>
      </x:c>
      <x:c r="C151" s="32" t="str">
        <x:v>VKC-017</x:v>
      </x:c>
      <x:c r="D151" s="32" t="str">
        <x:v>VKT-017</x:v>
      </x:c>
      <x:c r="E151" s="32" t="str">
        <x:v>0.1.0-DRAFT</x:v>
      </x:c>
      <x:c r="F151" s="32" t="str">
        <x:v>ING-024</x:v>
      </x:c>
      <x:c r="G151" s="32" t="str">
        <x:v>Масло растительное</x:v>
      </x:c>
      <x:c r="H151" s="32" t="str">
        <x:v>Гренка</x:v>
      </x:c>
      <x:c r="I151" s="32" t="str">
        <x:v>VSF-015</x:v>
      </x:c>
      <x:c r="J151" s="32" t="n">
        <x:v>3</x:v>
      </x:c>
      <x:c r="K151" s="32" t="str">
        <x:v>г</x:v>
      </x:c>
      <x:c r="L151" s="32" t="n">
        <x:v>3</x:v>
      </x:c>
      <x:c r="M151" s="32" t="n">
        <x:v>3</x:v>
      </x:c>
      <x:c r="N151" s="32" t="str">
        <x:v>ASSUMPTION</x:v>
      </x:c>
      <x:c r="O151" s="32" t="str">
        <x:v>EVD-0007;EVD-0008</x:v>
      </x:c>
      <x:c r="P151" s="32" t="str">
        <x:v>GAP-004;GAP-005</x:v>
      </x:c>
    </x:row>
    <x:row r="152">
      <x:c r="A152" s="32" t="str">
        <x:v>RCP-0147</x:v>
      </x:c>
      <x:c r="B152" s="32" t="str">
        <x:v>VKM-017</x:v>
      </x:c>
      <x:c r="C152" s="32" t="str">
        <x:v>VKC-017</x:v>
      </x:c>
      <x:c r="D152" s="32" t="str">
        <x:v>VKT-017</x:v>
      </x:c>
      <x:c r="E152" s="32" t="str">
        <x:v>0.1.0-DRAFT</x:v>
      </x:c>
      <x:c r="F152" s="32" t="str">
        <x:v>ING-041</x:v>
      </x:c>
      <x:c r="G152" s="32" t="str">
        <x:v>Горчица</x:v>
      </x:c>
      <x:c r="H152" s="32" t="str">
        <x:v>Соус</x:v>
      </x:c>
      <x:c r="I152" s="32" t="str">
        <x:v>VSF-016</x:v>
      </x:c>
      <x:c r="J152" s="32" t="n">
        <x:v>5</x:v>
      </x:c>
      <x:c r="K152" s="32" t="str">
        <x:v>г</x:v>
      </x:c>
      <x:c r="L152" s="32" t="n">
        <x:v>5</x:v>
      </x:c>
      <x:c r="M152" s="32" t="n">
        <x:v>5</x:v>
      </x:c>
      <x:c r="N152" s="32" t="str">
        <x:v>ASSUMPTION</x:v>
      </x:c>
      <x:c r="O152" s="32" t="str">
        <x:v>EVD-0007;EVD-0008</x:v>
      </x:c>
      <x:c r="P152" s="32" t="str">
        <x:v>GAP-004;GAP-005</x:v>
      </x:c>
    </x:row>
    <x:row r="153">
      <x:c r="A153" s="32" t="str">
        <x:v>RCP-0148</x:v>
      </x:c>
      <x:c r="B153" s="32" t="str">
        <x:v>VKM-017</x:v>
      </x:c>
      <x:c r="C153" s="32" t="str">
        <x:v>VKC-017</x:v>
      </x:c>
      <x:c r="D153" s="32" t="str">
        <x:v>VKT-017</x:v>
      </x:c>
      <x:c r="E153" s="32" t="str">
        <x:v>0.1.0-DRAFT</x:v>
      </x:c>
      <x:c r="F153" s="32" t="str">
        <x:v>ING-068</x:v>
      </x:c>
      <x:c r="G153" s="32" t="str">
        <x:v>Майонез или эмульсионный соус</x:v>
      </x:c>
      <x:c r="H153" s="32" t="str">
        <x:v>Соус</x:v>
      </x:c>
      <x:c r="I153" s="32" t="str">
        <x:v>VSF-016</x:v>
      </x:c>
      <x:c r="J153" s="32" t="n">
        <x:v>7</x:v>
      </x:c>
      <x:c r="K153" s="32" t="str">
        <x:v>г</x:v>
      </x:c>
      <x:c r="L153" s="32" t="n">
        <x:v>7</x:v>
      </x:c>
      <x:c r="M153" s="32" t="n">
        <x:v>7</x:v>
      </x:c>
      <x:c r="N153" s="32" t="str">
        <x:v>ASSUMPTION</x:v>
      </x:c>
      <x:c r="O153" s="32" t="str">
        <x:v>EVD-0007;EVD-0008</x:v>
      </x:c>
      <x:c r="P153" s="32" t="str">
        <x:v>GAP-004;GAP-005</x:v>
      </x:c>
    </x:row>
    <x:row r="154">
      <x:c r="A154" s="32" t="str">
        <x:v>RCP-0149</x:v>
      </x:c>
      <x:c r="B154" s="32" t="str">
        <x:v>VKM-017</x:v>
      </x:c>
      <x:c r="C154" s="32" t="str">
        <x:v>VKC-017</x:v>
      </x:c>
      <x:c r="D154" s="32" t="str">
        <x:v>VKT-017</x:v>
      </x:c>
      <x:c r="E154" s="32" t="str">
        <x:v>0.1.0-DRAFT</x:v>
      </x:c>
      <x:c r="F154" s="32" t="str">
        <x:v>ING-069</x:v>
      </x:c>
      <x:c r="G154" s="32" t="str">
        <x:v>Сок мясной или бульон</x:v>
      </x:c>
      <x:c r="H154" s="32" t="str">
        <x:v>Соус</x:v>
      </x:c>
      <x:c r="I154" s="32" t="str">
        <x:v>VSF-016</x:v>
      </x:c>
      <x:c r="J154" s="32" t="n">
        <x:v>3</x:v>
      </x:c>
      <x:c r="K154" s="32" t="str">
        <x:v>г</x:v>
      </x:c>
      <x:c r="L154" s="32" t="n">
        <x:v>3</x:v>
      </x:c>
      <x:c r="M154" s="32" t="n">
        <x:v>3</x:v>
      </x:c>
      <x:c r="N154" s="32" t="str">
        <x:v>ASSUMPTION</x:v>
      </x:c>
      <x:c r="O154" s="32" t="str">
        <x:v>EVD-0007;EVD-0008</x:v>
      </x:c>
      <x:c r="P154" s="32" t="str">
        <x:v>GAP-004;GAP-005</x:v>
      </x:c>
    </x:row>
    <x:row r="155">
      <x:c r="A155" s="32" t="str">
        <x:v>RCP-0150</x:v>
      </x:c>
      <x:c r="B155" s="32" t="str">
        <x:v>VKM-017</x:v>
      </x:c>
      <x:c r="C155" s="32" t="str">
        <x:v>VKC-017</x:v>
      </x:c>
      <x:c r="D155" s="32" t="str">
        <x:v>VKT-017</x:v>
      </x:c>
      <x:c r="E155" s="32" t="str">
        <x:v>0.1.0-DRAFT</x:v>
      </x:c>
      <x:c r="F155" s="32" t="str">
        <x:v>ING-059</x:v>
      </x:c>
      <x:c r="G155" s="32" t="str">
        <x:v>Зелень</x:v>
      </x:c>
      <x:c r="H155" s="32" t="str">
        <x:v>Финиш</x:v>
      </x:c>
      <x:c r="I155" s="32"/>
      <x:c r="J155" s="32" t="n">
        <x:v>2.5</x:v>
      </x:c>
      <x:c r="K155" s="32" t="str">
        <x:v>г</x:v>
      </x:c>
      <x:c r="L155" s="32" t="n">
        <x:v>2</x:v>
      </x:c>
      <x:c r="M155" s="32" t="n">
        <x:v>2</x:v>
      </x:c>
      <x:c r="N155" s="32" t="str">
        <x:v>ASSUMPTION</x:v>
      </x:c>
      <x:c r="O155" s="32" t="str">
        <x:v>EVD-0007;EVD-0008</x:v>
      </x:c>
      <x:c r="P155" s="32" t="str">
        <x:v>GAP-004;GAP-005</x:v>
      </x:c>
    </x:row>
    <x:row r="156">
      <x:c r="A156" s="32" t="str">
        <x:v>RCP-0151</x:v>
      </x:c>
      <x:c r="B156" s="32" t="str">
        <x:v>VKM-018</x:v>
      </x:c>
      <x:c r="C156" s="32" t="str">
        <x:v>VKC-018</x:v>
      </x:c>
      <x:c r="D156" s="32" t="str">
        <x:v>VKT-018</x:v>
      </x:c>
      <x:c r="E156" s="32" t="str">
        <x:v>0.1.0-DRAFT</x:v>
      </x:c>
      <x:c r="F156" s="32" t="str">
        <x:v>ING-070</x:v>
      </x:c>
      <x:c r="G156" s="32" t="str">
        <x:v>Бульон мясной</x:v>
      </x:c>
      <x:c r="H156" s="32" t="str">
        <x:v>Основа</x:v>
      </x:c>
      <x:c r="I156" s="32" t="str">
        <x:v>VSF-017</x:v>
      </x:c>
      <x:c r="J156" s="32" t="n">
        <x:v>160</x:v>
      </x:c>
      <x:c r="K156" s="32" t="str">
        <x:v>г</x:v>
      </x:c>
      <x:c r="L156" s="32" t="n">
        <x:v>160</x:v>
      </x:c>
      <x:c r="M156" s="32" t="n">
        <x:v>145</x:v>
      </x:c>
      <x:c r="N156" s="32" t="str">
        <x:v>ASSUMPTION</x:v>
      </x:c>
      <x:c r="O156" s="32" t="str">
        <x:v>EVD-0007;EVD-0008</x:v>
      </x:c>
      <x:c r="P156" s="32" t="str">
        <x:v>GAP-004;GAP-005</x:v>
      </x:c>
    </x:row>
    <x:row r="157">
      <x:c r="A157" s="32" t="str">
        <x:v>RCP-0152</x:v>
      </x:c>
      <x:c r="B157" s="32" t="str">
        <x:v>VKM-018</x:v>
      </x:c>
      <x:c r="C157" s="32" t="str">
        <x:v>VKC-018</x:v>
      </x:c>
      <x:c r="D157" s="32" t="str">
        <x:v>VKT-018</x:v>
      </x:c>
      <x:c r="E157" s="32" t="str">
        <x:v>0.1.0-DRAFT</x:v>
      </x:c>
      <x:c r="F157" s="32" t="str">
        <x:v>ING-071</x:v>
      </x:c>
      <x:c r="G157" s="32" t="str">
        <x:v>Свёкла</x:v>
      </x:c>
      <x:c r="H157" s="32" t="str">
        <x:v>Пассеровка</x:v>
      </x:c>
      <x:c r="I157" s="32" t="str">
        <x:v>VSF-018</x:v>
      </x:c>
      <x:c r="J157" s="32" t="n">
        <x:v>78</x:v>
      </x:c>
      <x:c r="K157" s="32" t="str">
        <x:v>г</x:v>
      </x:c>
      <x:c r="L157" s="32" t="n">
        <x:v>70</x:v>
      </x:c>
      <x:c r="M157" s="32" t="n">
        <x:v>60</x:v>
      </x:c>
      <x:c r="N157" s="32" t="str">
        <x:v>ASSUMPTION</x:v>
      </x:c>
      <x:c r="O157" s="32" t="str">
        <x:v>EVD-0007;EVD-0008</x:v>
      </x:c>
      <x:c r="P157" s="32" t="str">
        <x:v>GAP-004;GAP-005</x:v>
      </x:c>
    </x:row>
    <x:row r="158">
      <x:c r="A158" s="32" t="str">
        <x:v>RCP-0153</x:v>
      </x:c>
      <x:c r="B158" s="32" t="str">
        <x:v>VKM-018</x:v>
      </x:c>
      <x:c r="C158" s="32" t="str">
        <x:v>VKC-018</x:v>
      </x:c>
      <x:c r="D158" s="32" t="str">
        <x:v>VKT-018</x:v>
      </x:c>
      <x:c r="E158" s="32" t="str">
        <x:v>0.1.0-DRAFT</x:v>
      </x:c>
      <x:c r="F158" s="32" t="str">
        <x:v>ING-064</x:v>
      </x:c>
      <x:c r="G158" s="32" t="str">
        <x:v>Капуста белокочанная</x:v>
      </x:c>
      <x:c r="H158" s="32" t="str">
        <x:v>Суп</x:v>
      </x:c>
      <x:c r="I158" s="32"/>
      <x:c r="J158" s="32" t="n">
        <x:v>54</x:v>
      </x:c>
      <x:c r="K158" s="32" t="str">
        <x:v>г</x:v>
      </x:c>
      <x:c r="L158" s="32" t="n">
        <x:v>48</x:v>
      </x:c>
      <x:c r="M158" s="32" t="n">
        <x:v>45</x:v>
      </x:c>
      <x:c r="N158" s="32" t="str">
        <x:v>ASSUMPTION</x:v>
      </x:c>
      <x:c r="O158" s="32" t="str">
        <x:v>EVD-0007;EVD-0008</x:v>
      </x:c>
      <x:c r="P158" s="32" t="str">
        <x:v>GAP-004;GAP-005</x:v>
      </x:c>
    </x:row>
    <x:row r="159">
      <x:c r="A159" s="32" t="str">
        <x:v>RCP-0154</x:v>
      </x:c>
      <x:c r="B159" s="32" t="str">
        <x:v>VKM-018</x:v>
      </x:c>
      <x:c r="C159" s="32" t="str">
        <x:v>VKC-018</x:v>
      </x:c>
      <x:c r="D159" s="32" t="str">
        <x:v>VKT-018</x:v>
      </x:c>
      <x:c r="E159" s="32" t="str">
        <x:v>0.1.0-DRAFT</x:v>
      </x:c>
      <x:c r="F159" s="32" t="str">
        <x:v>ING-072</x:v>
      </x:c>
      <x:c r="G159" s="32" t="str">
        <x:v>Картофель</x:v>
      </x:c>
      <x:c r="H159" s="32" t="str">
        <x:v>Суп</x:v>
      </x:c>
      <x:c r="I159" s="32"/>
      <x:c r="J159" s="32" t="n">
        <x:v>52</x:v>
      </x:c>
      <x:c r="K159" s="32" t="str">
        <x:v>г</x:v>
      </x:c>
      <x:c r="L159" s="32" t="n">
        <x:v>46</x:v>
      </x:c>
      <x:c r="M159" s="32" t="n">
        <x:v>40</x:v>
      </x:c>
      <x:c r="N159" s="32" t="str">
        <x:v>ASSUMPTION</x:v>
      </x:c>
      <x:c r="O159" s="32" t="str">
        <x:v>EVD-0007;EVD-0008</x:v>
      </x:c>
      <x:c r="P159" s="32" t="str">
        <x:v>GAP-004;GAP-005</x:v>
      </x:c>
    </x:row>
    <x:row r="160">
      <x:c r="A160" s="32" t="str">
        <x:v>RCP-0155</x:v>
      </x:c>
      <x:c r="B160" s="32" t="str">
        <x:v>VKM-018</x:v>
      </x:c>
      <x:c r="C160" s="32" t="str">
        <x:v>VKC-018</x:v>
      </x:c>
      <x:c r="D160" s="32" t="str">
        <x:v>VKT-018</x:v>
      </x:c>
      <x:c r="E160" s="32" t="str">
        <x:v>0.1.0-DRAFT</x:v>
      </x:c>
      <x:c r="F160" s="32" t="str">
        <x:v>ING-073</x:v>
      </x:c>
      <x:c r="G160" s="32" t="str">
        <x:v>Говядина отварная</x:v>
      </x:c>
      <x:c r="H160" s="32" t="str">
        <x:v>Подача</x:v>
      </x:c>
      <x:c r="I160" s="32"/>
      <x:c r="J160" s="32" t="n">
        <x:v>65</x:v>
      </x:c>
      <x:c r="K160" s="32" t="str">
        <x:v>г</x:v>
      </x:c>
      <x:c r="L160" s="32" t="n">
        <x:v>55</x:v>
      </x:c>
      <x:c r="M160" s="32" t="n">
        <x:v>45</x:v>
      </x:c>
      <x:c r="N160" s="32" t="str">
        <x:v>ASSUMPTION</x:v>
      </x:c>
      <x:c r="O160" s="32" t="str">
        <x:v>EVD-0007;EVD-0008</x:v>
      </x:c>
      <x:c r="P160" s="32" t="str">
        <x:v>GAP-004;GAP-005</x:v>
      </x:c>
    </x:row>
    <x:row r="161">
      <x:c r="A161" s="32" t="str">
        <x:v>RCP-0156</x:v>
      </x:c>
      <x:c r="B161" s="32" t="str">
        <x:v>VKM-018</x:v>
      </x:c>
      <x:c r="C161" s="32" t="str">
        <x:v>VKC-018</x:v>
      </x:c>
      <x:c r="D161" s="32" t="str">
        <x:v>VKT-018</x:v>
      </x:c>
      <x:c r="E161" s="32" t="str">
        <x:v>0.1.0-DRAFT</x:v>
      </x:c>
      <x:c r="F161" s="32" t="str">
        <x:v>ING-074</x:v>
      </x:c>
      <x:c r="G161" s="32" t="str">
        <x:v>Морковь</x:v>
      </x:c>
      <x:c r="H161" s="32" t="str">
        <x:v>Пассеровка</x:v>
      </x:c>
      <x:c r="I161" s="32" t="str">
        <x:v>VSF-018</x:v>
      </x:c>
      <x:c r="J161" s="32" t="n">
        <x:v>19</x:v>
      </x:c>
      <x:c r="K161" s="32" t="str">
        <x:v>г</x:v>
      </x:c>
      <x:c r="L161" s="32" t="n">
        <x:v>17</x:v>
      </x:c>
      <x:c r="M161" s="32" t="n">
        <x:v>15</x:v>
      </x:c>
      <x:c r="N161" s="32" t="str">
        <x:v>ASSUMPTION</x:v>
      </x:c>
      <x:c r="O161" s="32" t="str">
        <x:v>EVD-0007;EVD-0008</x:v>
      </x:c>
      <x:c r="P161" s="32" t="str">
        <x:v>GAP-004;GAP-005</x:v>
      </x:c>
    </x:row>
    <x:row r="162">
      <x:c r="A162" s="32" t="str">
        <x:v>RCP-0157</x:v>
      </x:c>
      <x:c r="B162" s="32" t="str">
        <x:v>VKM-018</x:v>
      </x:c>
      <x:c r="C162" s="32" t="str">
        <x:v>VKC-018</x:v>
      </x:c>
      <x:c r="D162" s="32" t="str">
        <x:v>VKT-018</x:v>
      </x:c>
      <x:c r="E162" s="32" t="str">
        <x:v>0.1.0-DRAFT</x:v>
      </x:c>
      <x:c r="F162" s="32" t="str">
        <x:v>ING-016</x:v>
      </x:c>
      <x:c r="G162" s="32" t="str">
        <x:v>Лук репчатый</x:v>
      </x:c>
      <x:c r="H162" s="32" t="str">
        <x:v>Пассеровка</x:v>
      </x:c>
      <x:c r="I162" s="32" t="str">
        <x:v>VSF-018</x:v>
      </x:c>
      <x:c r="J162" s="32" t="n">
        <x:v>13</x:v>
      </x:c>
      <x:c r="K162" s="32" t="str">
        <x:v>г</x:v>
      </x:c>
      <x:c r="L162" s="32" t="n">
        <x:v>11</x:v>
      </x:c>
      <x:c r="M162" s="32" t="n">
        <x:v>10</x:v>
      </x:c>
      <x:c r="N162" s="32" t="str">
        <x:v>ASSUMPTION</x:v>
      </x:c>
      <x:c r="O162" s="32" t="str">
        <x:v>EVD-0007;EVD-0008</x:v>
      </x:c>
      <x:c r="P162" s="32" t="str">
        <x:v>GAP-004;GAP-005</x:v>
      </x:c>
    </x:row>
    <x:row r="163">
      <x:c r="A163" s="32" t="str">
        <x:v>RCP-0158</x:v>
      </x:c>
      <x:c r="B163" s="32" t="str">
        <x:v>VKM-018</x:v>
      </x:c>
      <x:c r="C163" s="32" t="str">
        <x:v>VKC-018</x:v>
      </x:c>
      <x:c r="D163" s="32" t="str">
        <x:v>VKT-018</x:v>
      </x:c>
      <x:c r="E163" s="32" t="str">
        <x:v>0.1.0-DRAFT</x:v>
      </x:c>
      <x:c r="F163" s="32" t="str">
        <x:v>ING-006</x:v>
      </x:c>
      <x:c r="G163" s="32" t="str">
        <x:v>Томаты протёртые</x:v>
      </x:c>
      <x:c r="H163" s="32" t="str">
        <x:v>Пассеровка</x:v>
      </x:c>
      <x:c r="I163" s="32" t="str">
        <x:v>VSF-018</x:v>
      </x:c>
      <x:c r="J163" s="32" t="n">
        <x:v>16</x:v>
      </x:c>
      <x:c r="K163" s="32" t="str">
        <x:v>г</x:v>
      </x:c>
      <x:c r="L163" s="32" t="n">
        <x:v>16</x:v>
      </x:c>
      <x:c r="M163" s="32" t="n">
        <x:v>15</x:v>
      </x:c>
      <x:c r="N163" s="32" t="str">
        <x:v>ASSUMPTION</x:v>
      </x:c>
      <x:c r="O163" s="32" t="str">
        <x:v>EVD-0007;EVD-0008</x:v>
      </x:c>
      <x:c r="P163" s="32" t="str">
        <x:v>GAP-004;GAP-005</x:v>
      </x:c>
    </x:row>
    <x:row r="164">
      <x:c r="A164" s="32" t="str">
        <x:v>RCP-0159</x:v>
      </x:c>
      <x:c r="B164" s="32" t="str">
        <x:v>VKM-018</x:v>
      </x:c>
      <x:c r="C164" s="32" t="str">
        <x:v>VKC-018</x:v>
      </x:c>
      <x:c r="D164" s="32" t="str">
        <x:v>VKT-018</x:v>
      </x:c>
      <x:c r="E164" s="32" t="str">
        <x:v>0.1.0-DRAFT</x:v>
      </x:c>
      <x:c r="F164" s="32" t="str">
        <x:v>ING-024</x:v>
      </x:c>
      <x:c r="G164" s="32" t="str">
        <x:v>Масло растительное</x:v>
      </x:c>
      <x:c r="H164" s="32" t="str">
        <x:v>Пассеровка</x:v>
      </x:c>
      <x:c r="I164" s="32" t="str">
        <x:v>VSF-018</x:v>
      </x:c>
      <x:c r="J164" s="32" t="n">
        <x:v>5</x:v>
      </x:c>
      <x:c r="K164" s="32" t="str">
        <x:v>г</x:v>
      </x:c>
      <x:c r="L164" s="32" t="n">
        <x:v>5</x:v>
      </x:c>
      <x:c r="M164" s="32" t="n">
        <x:v>5</x:v>
      </x:c>
      <x:c r="N164" s="32" t="str">
        <x:v>ASSUMPTION</x:v>
      </x:c>
      <x:c r="O164" s="32" t="str">
        <x:v>EVD-0007;EVD-0008</x:v>
      </x:c>
      <x:c r="P164" s="32" t="str">
        <x:v>GAP-004;GAP-005</x:v>
      </x:c>
    </x:row>
    <x:row r="165">
      <x:c r="A165" s="32" t="str">
        <x:v>RCP-0160</x:v>
      </x:c>
      <x:c r="B165" s="32" t="str">
        <x:v>VKM-018</x:v>
      </x:c>
      <x:c r="C165" s="32" t="str">
        <x:v>VKC-018</x:v>
      </x:c>
      <x:c r="D165" s="32" t="str">
        <x:v>VKT-018</x:v>
      </x:c>
      <x:c r="E165" s="32" t="str">
        <x:v>0.1.0-DRAFT</x:v>
      </x:c>
      <x:c r="F165" s="32" t="str">
        <x:v>ING-075</x:v>
      </x:c>
      <x:c r="G165" s="32" t="str">
        <x:v>Сметана</x:v>
      </x:c>
      <x:c r="H165" s="32" t="str">
        <x:v>Подача</x:v>
      </x:c>
      <x:c r="I165" s="32"/>
      <x:c r="J165" s="32" t="n">
        <x:v>15</x:v>
      </x:c>
      <x:c r="K165" s="32" t="str">
        <x:v>г</x:v>
      </x:c>
      <x:c r="L165" s="32" t="n">
        <x:v>15</x:v>
      </x:c>
      <x:c r="M165" s="32" t="n">
        <x:v>15</x:v>
      </x:c>
      <x:c r="N165" s="32" t="str">
        <x:v>ASSUMPTION</x:v>
      </x:c>
      <x:c r="O165" s="32" t="str">
        <x:v>EVD-0007;EVD-0008</x:v>
      </x:c>
      <x:c r="P165" s="32" t="str">
        <x:v>GAP-004;GAP-005</x:v>
      </x:c>
    </x:row>
    <x:row r="166">
      <x:c r="A166" s="32" t="str">
        <x:v>RCP-0161</x:v>
      </x:c>
      <x:c r="B166" s="32" t="str">
        <x:v>VKM-018</x:v>
      </x:c>
      <x:c r="C166" s="32" t="str">
        <x:v>VKC-018</x:v>
      </x:c>
      <x:c r="D166" s="32" t="str">
        <x:v>VKT-018</x:v>
      </x:c>
      <x:c r="E166" s="32" t="str">
        <x:v>0.1.0-DRAFT</x:v>
      </x:c>
      <x:c r="F166" s="32" t="str">
        <x:v>ING-059</x:v>
      </x:c>
      <x:c r="G166" s="32" t="str">
        <x:v>Зелень</x:v>
      </x:c>
      <x:c r="H166" s="32" t="str">
        <x:v>Подача</x:v>
      </x:c>
      <x:c r="I166" s="32"/>
      <x:c r="J166" s="32" t="n">
        <x:v>6</x:v>
      </x:c>
      <x:c r="K166" s="32" t="str">
        <x:v>г</x:v>
      </x:c>
      <x:c r="L166" s="32" t="n">
        <x:v>5</x:v>
      </x:c>
      <x:c r="M166" s="32" t="n">
        <x:v>5</x:v>
      </x:c>
      <x:c r="N166" s="32" t="str">
        <x:v>ASSUMPTION</x:v>
      </x:c>
      <x:c r="O166" s="32" t="str">
        <x:v>EVD-0007;EVD-0008</x:v>
      </x:c>
      <x:c r="P166" s="32" t="str">
        <x:v>GAP-004;GAP-005</x:v>
      </x:c>
    </x:row>
    <x:row r="167">
      <x:c r="A167" s="32" t="str">
        <x:v>RCP-0162</x:v>
      </x:c>
      <x:c r="B167" s="32" t="str">
        <x:v>VKM-019</x:v>
      </x:c>
      <x:c r="C167" s="32" t="str">
        <x:v>VKC-019</x:v>
      </x:c>
      <x:c r="D167" s="32" t="str">
        <x:v>VKT-019</x:v>
      </x:c>
      <x:c r="E167" s="32" t="str">
        <x:v>0.1.0-DRAFT</x:v>
      </x:c>
      <x:c r="F167" s="32" t="str">
        <x:v>ING-076</x:v>
      </x:c>
      <x:c r="G167" s="32" t="str">
        <x:v>Треска, филе порционное</x:v>
      </x:c>
      <x:c r="H167" s="32" t="str">
        <x:v>Основной компонент</x:v>
      </x:c>
      <x:c r="I167" s="32"/>
      <x:c r="J167" s="32" t="n">
        <x:v>210</x:v>
      </x:c>
      <x:c r="K167" s="32" t="str">
        <x:v>г</x:v>
      </x:c>
      <x:c r="L167" s="32" t="n">
        <x:v>195</x:v>
      </x:c>
      <x:c r="M167" s="32" t="n">
        <x:v>180</x:v>
      </x:c>
      <x:c r="N167" s="32" t="str">
        <x:v>ASSUMPTION</x:v>
      </x:c>
      <x:c r="O167" s="32" t="str">
        <x:v>EVD-0007;EVD-0008</x:v>
      </x:c>
      <x:c r="P167" s="32" t="str">
        <x:v>GAP-004;GAP-005</x:v>
      </x:c>
    </x:row>
    <x:row r="168">
      <x:c r="A168" s="32" t="str">
        <x:v>RCP-0163</x:v>
      </x:c>
      <x:c r="B168" s="32" t="str">
        <x:v>VKM-019</x:v>
      </x:c>
      <x:c r="C168" s="32" t="str">
        <x:v>VKC-019</x:v>
      </x:c>
      <x:c r="D168" s="32" t="str">
        <x:v>VKT-019</x:v>
      </x:c>
      <x:c r="E168" s="32" t="str">
        <x:v>0.1.0-DRAFT</x:v>
      </x:c>
      <x:c r="F168" s="32" t="str">
        <x:v>ING-077</x:v>
      </x:c>
      <x:c r="G168" s="32" t="str">
        <x:v>Сливки</x:v>
      </x:c>
      <x:c r="H168" s="32" t="str">
        <x:v>Соус</x:v>
      </x:c>
      <x:c r="I168" s="32" t="str">
        <x:v>VSF-019</x:v>
      </x:c>
      <x:c r="J168" s="32" t="n">
        <x:v>58</x:v>
      </x:c>
      <x:c r="K168" s="32" t="str">
        <x:v>г</x:v>
      </x:c>
      <x:c r="L168" s="32" t="n">
        <x:v>58</x:v>
      </x:c>
      <x:c r="M168" s="32" t="n">
        <x:v>55</x:v>
      </x:c>
      <x:c r="N168" s="32" t="str">
        <x:v>ASSUMPTION</x:v>
      </x:c>
      <x:c r="O168" s="32" t="str">
        <x:v>EVD-0007;EVD-0008</x:v>
      </x:c>
      <x:c r="P168" s="32" t="str">
        <x:v>GAP-004;GAP-005</x:v>
      </x:c>
    </x:row>
    <x:row r="169">
      <x:c r="A169" s="32" t="str">
        <x:v>RCP-0164</x:v>
      </x:c>
      <x:c r="B169" s="32" t="str">
        <x:v>VKM-019</x:v>
      </x:c>
      <x:c r="C169" s="32" t="str">
        <x:v>VKC-019</x:v>
      </x:c>
      <x:c r="D169" s="32" t="str">
        <x:v>VKT-019</x:v>
      </x:c>
      <x:c r="E169" s="32" t="str">
        <x:v>0.1.0-DRAFT</x:v>
      </x:c>
      <x:c r="F169" s="32" t="str">
        <x:v>ING-041</x:v>
      </x:c>
      <x:c r="G169" s="32" t="str">
        <x:v>Горчица</x:v>
      </x:c>
      <x:c r="H169" s="32" t="str">
        <x:v>Соус</x:v>
      </x:c>
      <x:c r="I169" s="32" t="str">
        <x:v>VSF-019</x:v>
      </x:c>
      <x:c r="J169" s="32" t="n">
        <x:v>10</x:v>
      </x:c>
      <x:c r="K169" s="32" t="str">
        <x:v>г</x:v>
      </x:c>
      <x:c r="L169" s="32" t="n">
        <x:v>10</x:v>
      </x:c>
      <x:c r="M169" s="32" t="n">
        <x:v>10</x:v>
      </x:c>
      <x:c r="N169" s="32" t="str">
        <x:v>ASSUMPTION</x:v>
      </x:c>
      <x:c r="O169" s="32" t="str">
        <x:v>EVD-0007;EVD-0008</x:v>
      </x:c>
      <x:c r="P169" s="32" t="str">
        <x:v>GAP-004;GAP-005</x:v>
      </x:c>
    </x:row>
    <x:row r="170">
      <x:c r="A170" s="32" t="str">
        <x:v>RCP-0165</x:v>
      </x:c>
      <x:c r="B170" s="32" t="str">
        <x:v>VKM-019</x:v>
      </x:c>
      <x:c r="C170" s="32" t="str">
        <x:v>VKC-019</x:v>
      </x:c>
      <x:c r="D170" s="32" t="str">
        <x:v>VKT-019</x:v>
      </x:c>
      <x:c r="E170" s="32" t="str">
        <x:v>0.1.0-DRAFT</x:v>
      </x:c>
      <x:c r="F170" s="32" t="str">
        <x:v>ING-078</x:v>
      </x:c>
      <x:c r="G170" s="32" t="str">
        <x:v>Бульон рыбный или овощной</x:v>
      </x:c>
      <x:c r="H170" s="32" t="str">
        <x:v>Соус</x:v>
      </x:c>
      <x:c r="I170" s="32" t="str">
        <x:v>VSF-019</x:v>
      </x:c>
      <x:c r="J170" s="32" t="n">
        <x:v>12</x:v>
      </x:c>
      <x:c r="K170" s="32" t="str">
        <x:v>г</x:v>
      </x:c>
      <x:c r="L170" s="32" t="n">
        <x:v>12</x:v>
      </x:c>
      <x:c r="M170" s="32" t="n">
        <x:v>10</x:v>
      </x:c>
      <x:c r="N170" s="32" t="str">
        <x:v>ASSUMPTION</x:v>
      </x:c>
      <x:c r="O170" s="32" t="str">
        <x:v>EVD-0007;EVD-0008</x:v>
      </x:c>
      <x:c r="P170" s="32" t="str">
        <x:v>GAP-004;GAP-005</x:v>
      </x:c>
    </x:row>
    <x:row r="171">
      <x:c r="A171" s="32" t="str">
        <x:v>RCP-0166</x:v>
      </x:c>
      <x:c r="B171" s="32" t="str">
        <x:v>VKM-019</x:v>
      </x:c>
      <x:c r="C171" s="32" t="str">
        <x:v>VKC-019</x:v>
      </x:c>
      <x:c r="D171" s="32" t="str">
        <x:v>VKT-019</x:v>
      </x:c>
      <x:c r="E171" s="32" t="str">
        <x:v>0.1.0-DRAFT</x:v>
      </x:c>
      <x:c r="F171" s="32" t="str">
        <x:v>ING-027</x:v>
      </x:c>
      <x:c r="G171" s="32" t="str">
        <x:v>Масло сливочное</x:v>
      </x:c>
      <x:c r="H171" s="32" t="str">
        <x:v>Соус</x:v>
      </x:c>
      <x:c r="I171" s="32" t="str">
        <x:v>VSF-019</x:v>
      </x:c>
      <x:c r="J171" s="32" t="n">
        <x:v>10</x:v>
      </x:c>
      <x:c r="K171" s="32" t="str">
        <x:v>г</x:v>
      </x:c>
      <x:c r="L171" s="32" t="n">
        <x:v>10</x:v>
      </x:c>
      <x:c r="M171" s="32" t="n">
        <x:v>10</x:v>
      </x:c>
      <x:c r="N171" s="32" t="str">
        <x:v>ASSUMPTION</x:v>
      </x:c>
      <x:c r="O171" s="32" t="str">
        <x:v>EVD-0007;EVD-0008</x:v>
      </x:c>
      <x:c r="P171" s="32" t="str">
        <x:v>GAP-004;GAP-005</x:v>
      </x:c>
    </x:row>
    <x:row r="172">
      <x:c r="A172" s="32" t="str">
        <x:v>RCP-0167</x:v>
      </x:c>
      <x:c r="B172" s="32" t="str">
        <x:v>VKM-019</x:v>
      </x:c>
      <x:c r="C172" s="32" t="str">
        <x:v>VKC-019</x:v>
      </x:c>
      <x:c r="D172" s="32" t="str">
        <x:v>VKT-019</x:v>
      </x:c>
      <x:c r="E172" s="32" t="str">
        <x:v>0.1.0-DRAFT</x:v>
      </x:c>
      <x:c r="F172" s="32" t="str">
        <x:v>ING-079</x:v>
      </x:c>
      <x:c r="G172" s="32" t="str">
        <x:v>Шпинат</x:v>
      </x:c>
      <x:c r="H172" s="32" t="str">
        <x:v>Сборка</x:v>
      </x:c>
      <x:c r="I172" s="32"/>
      <x:c r="J172" s="32" t="n">
        <x:v>30</x:v>
      </x:c>
      <x:c r="K172" s="32" t="str">
        <x:v>г</x:v>
      </x:c>
      <x:c r="L172" s="32" t="n">
        <x:v>27</x:v>
      </x:c>
      <x:c r="M172" s="32" t="n">
        <x:v>25</x:v>
      </x:c>
      <x:c r="N172" s="32" t="str">
        <x:v>ASSUMPTION</x:v>
      </x:c>
      <x:c r="O172" s="32" t="str">
        <x:v>EVD-0007;EVD-0008</x:v>
      </x:c>
      <x:c r="P172" s="32" t="str">
        <x:v>GAP-004;GAP-005</x:v>
      </x:c>
    </x:row>
    <x:row r="173">
      <x:c r="A173" s="32" t="str">
        <x:v>RCP-0168</x:v>
      </x:c>
      <x:c r="B173" s="32" t="str">
        <x:v>VKM-019</x:v>
      </x:c>
      <x:c r="C173" s="32" t="str">
        <x:v>VKC-019</x:v>
      </x:c>
      <x:c r="D173" s="32" t="str">
        <x:v>VKT-019</x:v>
      </x:c>
      <x:c r="E173" s="32" t="str">
        <x:v>0.1.0-DRAFT</x:v>
      </x:c>
      <x:c r="F173" s="32" t="str">
        <x:v>ING-024</x:v>
      </x:c>
      <x:c r="G173" s="32" t="str">
        <x:v>Масло растительное</x:v>
      </x:c>
      <x:c r="H173" s="32" t="str">
        <x:v>Обработка</x:v>
      </x:c>
      <x:c r="I173" s="32"/>
      <x:c r="J173" s="32" t="n">
        <x:v>5</x:v>
      </x:c>
      <x:c r="K173" s="32" t="str">
        <x:v>г</x:v>
      </x:c>
      <x:c r="L173" s="32" t="n">
        <x:v>5</x:v>
      </x:c>
      <x:c r="M173" s="32" t="n">
        <x:v>5</x:v>
      </x:c>
      <x:c r="N173" s="32" t="str">
        <x:v>ASSUMPTION</x:v>
      </x:c>
      <x:c r="O173" s="32" t="str">
        <x:v>EVD-0007;EVD-0008</x:v>
      </x:c>
      <x:c r="P173" s="32" t="str">
        <x:v>GAP-004;GAP-005</x:v>
      </x:c>
    </x:row>
    <x:row r="174">
      <x:c r="A174" s="32" t="str">
        <x:v>RCP-0169</x:v>
      </x:c>
      <x:c r="B174" s="32" t="str">
        <x:v>VKM-019</x:v>
      </x:c>
      <x:c r="C174" s="32" t="str">
        <x:v>VKC-019</x:v>
      </x:c>
      <x:c r="D174" s="32" t="str">
        <x:v>VKT-019</x:v>
      </x:c>
      <x:c r="E174" s="32" t="str">
        <x:v>0.1.0-DRAFT</x:v>
      </x:c>
      <x:c r="F174" s="32" t="str">
        <x:v>ING-059</x:v>
      </x:c>
      <x:c r="G174" s="32" t="str">
        <x:v>Зелень</x:v>
      </x:c>
      <x:c r="H174" s="32" t="str">
        <x:v>Финиш</x:v>
      </x:c>
      <x:c r="I174" s="32"/>
      <x:c r="J174" s="32" t="n">
        <x:v>6</x:v>
      </x:c>
      <x:c r="K174" s="32" t="str">
        <x:v>г</x:v>
      </x:c>
      <x:c r="L174" s="32" t="n">
        <x:v>5</x:v>
      </x:c>
      <x:c r="M174" s="32" t="n">
        <x:v>5</x:v>
      </x:c>
      <x:c r="N174" s="32" t="str">
        <x:v>ASSUMPTION</x:v>
      </x:c>
      <x:c r="O174" s="32" t="str">
        <x:v>EVD-0007;EVD-0008</x:v>
      </x:c>
      <x:c r="P174" s="32" t="str">
        <x:v>GAP-004;GAP-005</x:v>
      </x:c>
    </x:row>
    <x:row r="175">
      <x:c r="A175" s="32" t="str">
        <x:v>RCP-0170</x:v>
      </x:c>
      <x:c r="B175" s="32" t="str">
        <x:v>VKM-020</x:v>
      </x:c>
      <x:c r="C175" s="32" t="str">
        <x:v>VKC-020</x:v>
      </x:c>
      <x:c r="D175" s="32" t="str">
        <x:v>VKT-020</x:v>
      </x:c>
      <x:c r="E175" s="32" t="str">
        <x:v>0.1.0-DRAFT</x:v>
      </x:c>
      <x:c r="F175" s="32" t="str">
        <x:v>ING-036</x:v>
      </x:c>
      <x:c r="G175" s="32" t="str">
        <x:v>Креветки очищенные</x:v>
      </x:c>
      <x:c r="H175" s="32" t="str">
        <x:v>Основной компонент</x:v>
      </x:c>
      <x:c r="I175" s="32"/>
      <x:c r="J175" s="32" t="n">
        <x:v>145</x:v>
      </x:c>
      <x:c r="K175" s="32" t="str">
        <x:v>г</x:v>
      </x:c>
      <x:c r="L175" s="32" t="n">
        <x:v>135</x:v>
      </x:c>
      <x:c r="M175" s="32" t="n">
        <x:v>120</x:v>
      </x:c>
      <x:c r="N175" s="32" t="str">
        <x:v>ASSUMPTION</x:v>
      </x:c>
      <x:c r="O175" s="32" t="str">
        <x:v>EVD-0007;EVD-0008</x:v>
      </x:c>
      <x:c r="P175" s="32" t="str">
        <x:v>GAP-004;GAP-005</x:v>
      </x:c>
    </x:row>
    <x:row r="176">
      <x:c r="A176" s="32" t="str">
        <x:v>RCP-0171</x:v>
      </x:c>
      <x:c r="B176" s="32" t="str">
        <x:v>VKM-020</x:v>
      </x:c>
      <x:c r="C176" s="32" t="str">
        <x:v>VKC-020</x:v>
      </x:c>
      <x:c r="D176" s="32" t="str">
        <x:v>VKT-020</x:v>
      </x:c>
      <x:c r="E176" s="32" t="str">
        <x:v>0.1.0-DRAFT</x:v>
      </x:c>
      <x:c r="F176" s="32" t="str">
        <x:v>ING-080</x:v>
      </x:c>
      <x:c r="G176" s="32" t="str">
        <x:v>Молоко кокосовое</x:v>
      </x:c>
      <x:c r="H176" s="32" t="str">
        <x:v>Соус</x:v>
      </x:c>
      <x:c r="I176" s="32" t="str">
        <x:v>VSF-020</x:v>
      </x:c>
      <x:c r="J176" s="32" t="n">
        <x:v>84</x:v>
      </x:c>
      <x:c r="K176" s="32" t="str">
        <x:v>г</x:v>
      </x:c>
      <x:c r="L176" s="32" t="n">
        <x:v>84</x:v>
      </x:c>
      <x:c r="M176" s="32" t="n">
        <x:v>80</x:v>
      </x:c>
      <x:c r="N176" s="32" t="str">
        <x:v>ASSUMPTION</x:v>
      </x:c>
      <x:c r="O176" s="32" t="str">
        <x:v>EVD-0007;EVD-0008</x:v>
      </x:c>
      <x:c r="P176" s="32" t="str">
        <x:v>GAP-004;GAP-005</x:v>
      </x:c>
    </x:row>
    <x:row r="177">
      <x:c r="A177" s="32" t="str">
        <x:v>RCP-0172</x:v>
      </x:c>
      <x:c r="B177" s="32" t="str">
        <x:v>VKM-020</x:v>
      </x:c>
      <x:c r="C177" s="32" t="str">
        <x:v>VKC-020</x:v>
      </x:c>
      <x:c r="D177" s="32" t="str">
        <x:v>VKT-020</x:v>
      </x:c>
      <x:c r="E177" s="32" t="str">
        <x:v>0.1.0-DRAFT</x:v>
      </x:c>
      <x:c r="F177" s="32" t="str">
        <x:v>ING-081</x:v>
      </x:c>
      <x:c r="G177" s="32" t="str">
        <x:v>Паста карри проектная</x:v>
      </x:c>
      <x:c r="H177" s="32" t="str">
        <x:v>Соус</x:v>
      </x:c>
      <x:c r="I177" s="32" t="str">
        <x:v>VSF-020</x:v>
      </x:c>
      <x:c r="J177" s="32" t="n">
        <x:v>15</x:v>
      </x:c>
      <x:c r="K177" s="32" t="str">
        <x:v>г</x:v>
      </x:c>
      <x:c r="L177" s="32" t="n">
        <x:v>15</x:v>
      </x:c>
      <x:c r="M177" s="32" t="n">
        <x:v>15</x:v>
      </x:c>
      <x:c r="N177" s="32" t="str">
        <x:v>ASSUMPTION</x:v>
      </x:c>
      <x:c r="O177" s="32" t="str">
        <x:v>EVD-0007;EVD-0008</x:v>
      </x:c>
      <x:c r="P177" s="32" t="str">
        <x:v>GAP-004;GAP-005</x:v>
      </x:c>
    </x:row>
    <x:row r="178">
      <x:c r="A178" s="32" t="str">
        <x:v>RCP-0173</x:v>
      </x:c>
      <x:c r="B178" s="32" t="str">
        <x:v>VKM-020</x:v>
      </x:c>
      <x:c r="C178" s="32" t="str">
        <x:v>VKC-020</x:v>
      </x:c>
      <x:c r="D178" s="32" t="str">
        <x:v>VKT-020</x:v>
      </x:c>
      <x:c r="E178" s="32" t="str">
        <x:v>0.1.0-DRAFT</x:v>
      </x:c>
      <x:c r="F178" s="32" t="str">
        <x:v>ING-082</x:v>
      </x:c>
      <x:c r="G178" s="32" t="str">
        <x:v>Бульон или вода</x:v>
      </x:c>
      <x:c r="H178" s="32" t="str">
        <x:v>Соус</x:v>
      </x:c>
      <x:c r="I178" s="32" t="str">
        <x:v>VSF-020</x:v>
      </x:c>
      <x:c r="J178" s="32" t="n">
        <x:v>20</x:v>
      </x:c>
      <x:c r="K178" s="32" t="str">
        <x:v>г</x:v>
      </x:c>
      <x:c r="L178" s="32" t="n">
        <x:v>20</x:v>
      </x:c>
      <x:c r="M178" s="32" t="n">
        <x:v>15</x:v>
      </x:c>
      <x:c r="N178" s="32" t="str">
        <x:v>ASSUMPTION</x:v>
      </x:c>
      <x:c r="O178" s="32" t="str">
        <x:v>EVD-0007;EVD-0008</x:v>
      </x:c>
      <x:c r="P178" s="32" t="str">
        <x:v>GAP-004;GAP-005</x:v>
      </x:c>
    </x:row>
    <x:row r="179">
      <x:c r="A179" s="32" t="str">
        <x:v>RCP-0174</x:v>
      </x:c>
      <x:c r="B179" s="32" t="str">
        <x:v>VKM-020</x:v>
      </x:c>
      <x:c r="C179" s="32" t="str">
        <x:v>VKC-020</x:v>
      </x:c>
      <x:c r="D179" s="32" t="str">
        <x:v>VKT-020</x:v>
      </x:c>
      <x:c r="E179" s="32" t="str">
        <x:v>0.1.0-DRAFT</x:v>
      </x:c>
      <x:c r="F179" s="32" t="str">
        <x:v>ING-083</x:v>
      </x:c>
      <x:c r="G179" s="32" t="str">
        <x:v>Соус рыбный или соевый</x:v>
      </x:c>
      <x:c r="H179" s="32" t="str">
        <x:v>Соус</x:v>
      </x:c>
      <x:c r="I179" s="32" t="str">
        <x:v>VSF-020</x:v>
      </x:c>
      <x:c r="J179" s="32" t="n">
        <x:v>10</x:v>
      </x:c>
      <x:c r="K179" s="32" t="str">
        <x:v>г</x:v>
      </x:c>
      <x:c r="L179" s="32" t="n">
        <x:v>10</x:v>
      </x:c>
      <x:c r="M179" s="32" t="n">
        <x:v>10</x:v>
      </x:c>
      <x:c r="N179" s="32" t="str">
        <x:v>ASSUMPTION</x:v>
      </x:c>
      <x:c r="O179" s="32" t="str">
        <x:v>EVD-0007;EVD-0008</x:v>
      </x:c>
      <x:c r="P179" s="32" t="str">
        <x:v>GAP-004;GAP-005</x:v>
      </x:c>
    </x:row>
    <x:row r="180">
      <x:c r="A180" s="32" t="str">
        <x:v>RCP-0175</x:v>
      </x:c>
      <x:c r="B180" s="32" t="str">
        <x:v>VKM-020</x:v>
      </x:c>
      <x:c r="C180" s="32" t="str">
        <x:v>VKC-020</x:v>
      </x:c>
      <x:c r="D180" s="32" t="str">
        <x:v>VKT-020</x:v>
      </x:c>
      <x:c r="E180" s="32" t="str">
        <x:v>0.1.0-DRAFT</x:v>
      </x:c>
      <x:c r="F180" s="32" t="str">
        <x:v>ING-043</x:v>
      </x:c>
      <x:c r="G180" s="32" t="str">
        <x:v>Перец сладкий</x:v>
      </x:c>
      <x:c r="H180" s="32" t="str">
        <x:v>Овощи</x:v>
      </x:c>
      <x:c r="I180" s="32"/>
      <x:c r="J180" s="32" t="n">
        <x:v>36</x:v>
      </x:c>
      <x:c r="K180" s="32" t="str">
        <x:v>г</x:v>
      </x:c>
      <x:c r="L180" s="32" t="n">
        <x:v>32</x:v>
      </x:c>
      <x:c r="M180" s="32" t="n">
        <x:v>30</x:v>
      </x:c>
      <x:c r="N180" s="32" t="str">
        <x:v>ASSUMPTION</x:v>
      </x:c>
      <x:c r="O180" s="32" t="str">
        <x:v>EVD-0007;EVD-0008</x:v>
      </x:c>
      <x:c r="P180" s="32" t="str">
        <x:v>GAP-004;GAP-005</x:v>
      </x:c>
    </x:row>
    <x:row r="181">
      <x:c r="A181" s="32" t="str">
        <x:v>RCP-0176</x:v>
      </x:c>
      <x:c r="B181" s="32" t="str">
        <x:v>VKM-020</x:v>
      </x:c>
      <x:c r="C181" s="32" t="str">
        <x:v>VKC-020</x:v>
      </x:c>
      <x:c r="D181" s="32" t="str">
        <x:v>VKT-020</x:v>
      </x:c>
      <x:c r="E181" s="32" t="str">
        <x:v>0.1.0-DRAFT</x:v>
      </x:c>
      <x:c r="F181" s="32" t="str">
        <x:v>ING-084</x:v>
      </x:c>
      <x:c r="G181" s="32" t="str">
        <x:v>Цукини</x:v>
      </x:c>
      <x:c r="H181" s="32" t="str">
        <x:v>Овощи</x:v>
      </x:c>
      <x:c r="I181" s="32"/>
      <x:c r="J181" s="32" t="n">
        <x:v>30</x:v>
      </x:c>
      <x:c r="K181" s="32" t="str">
        <x:v>г</x:v>
      </x:c>
      <x:c r="L181" s="32" t="n">
        <x:v>27</x:v>
      </x:c>
      <x:c r="M181" s="32" t="n">
        <x:v>25</x:v>
      </x:c>
      <x:c r="N181" s="32" t="str">
        <x:v>ASSUMPTION</x:v>
      </x:c>
      <x:c r="O181" s="32" t="str">
        <x:v>EVD-0007;EVD-0008</x:v>
      </x:c>
      <x:c r="P181" s="32" t="str">
        <x:v>GAP-004;GAP-005</x:v>
      </x:c>
    </x:row>
    <x:row r="182">
      <x:c r="A182" s="32" t="str">
        <x:v>RCP-0177</x:v>
      </x:c>
      <x:c r="B182" s="32" t="str">
        <x:v>VKM-020</x:v>
      </x:c>
      <x:c r="C182" s="32" t="str">
        <x:v>VKC-020</x:v>
      </x:c>
      <x:c r="D182" s="32" t="str">
        <x:v>VKT-020</x:v>
      </x:c>
      <x:c r="E182" s="32" t="str">
        <x:v>0.1.0-DRAFT</x:v>
      </x:c>
      <x:c r="F182" s="32" t="str">
        <x:v>ING-016</x:v>
      </x:c>
      <x:c r="G182" s="32" t="str">
        <x:v>Лук репчатый</x:v>
      </x:c>
      <x:c r="H182" s="32" t="str">
        <x:v>Овощи</x:v>
      </x:c>
      <x:c r="I182" s="32"/>
      <x:c r="J182" s="32" t="n">
        <x:v>19</x:v>
      </x:c>
      <x:c r="K182" s="32" t="str">
        <x:v>г</x:v>
      </x:c>
      <x:c r="L182" s="32" t="n">
        <x:v>17</x:v>
      </x:c>
      <x:c r="M182" s="32" t="n">
        <x:v>15</x:v>
      </x:c>
      <x:c r="N182" s="32" t="str">
        <x:v>ASSUMPTION</x:v>
      </x:c>
      <x:c r="O182" s="32" t="str">
        <x:v>EVD-0007;EVD-0008</x:v>
      </x:c>
      <x:c r="P182" s="32" t="str">
        <x:v>GAP-004;GAP-005</x:v>
      </x:c>
    </x:row>
    <x:row r="183">
      <x:c r="A183" s="32" t="str">
        <x:v>RCP-0178</x:v>
      </x:c>
      <x:c r="B183" s="32" t="str">
        <x:v>VKM-020</x:v>
      </x:c>
      <x:c r="C183" s="32" t="str">
        <x:v>VKC-020</x:v>
      </x:c>
      <x:c r="D183" s="32" t="str">
        <x:v>VKT-020</x:v>
      </x:c>
      <x:c r="E183" s="32" t="str">
        <x:v>0.1.0-DRAFT</x:v>
      </x:c>
      <x:c r="F183" s="32" t="str">
        <x:v>ING-085</x:v>
      </x:c>
      <x:c r="G183" s="32" t="str">
        <x:v>Лапша рисовая подготовленная</x:v>
      </x:c>
      <x:c r="H183" s="32" t="str">
        <x:v>Сборка</x:v>
      </x:c>
      <x:c r="I183" s="32"/>
      <x:c r="J183" s="32" t="n">
        <x:v>45</x:v>
      </x:c>
      <x:c r="K183" s="32" t="str">
        <x:v>г</x:v>
      </x:c>
      <x:c r="L183" s="32" t="n">
        <x:v>45</x:v>
      </x:c>
      <x:c r="M183" s="32" t="n">
        <x:v>40</x:v>
      </x:c>
      <x:c r="N183" s="32" t="str">
        <x:v>ASSUMPTION</x:v>
      </x:c>
      <x:c r="O183" s="32" t="str">
        <x:v>EVD-0007;EVD-0008</x:v>
      </x:c>
      <x:c r="P183" s="32" t="str">
        <x:v>GAP-004;GAP-005</x:v>
      </x:c>
    </x:row>
    <x:row r="184">
      <x:c r="A184" s="32" t="str">
        <x:v>RCP-0179</x:v>
      </x:c>
      <x:c r="B184" s="32" t="str">
        <x:v>VKM-020</x:v>
      </x:c>
      <x:c r="C184" s="32" t="str">
        <x:v>VKC-020</x:v>
      </x:c>
      <x:c r="D184" s="32" t="str">
        <x:v>VKT-020</x:v>
      </x:c>
      <x:c r="E184" s="32" t="str">
        <x:v>0.1.0-DRAFT</x:v>
      </x:c>
      <x:c r="F184" s="32" t="str">
        <x:v>ING-086</x:v>
      </x:c>
      <x:c r="G184" s="32" t="str">
        <x:v>Зелень и лайм</x:v>
      </x:c>
      <x:c r="H184" s="32" t="str">
        <x:v>Финиш</x:v>
      </x:c>
      <x:c r="I184" s="32"/>
      <x:c r="J184" s="32" t="n">
        <x:v>13</x:v>
      </x:c>
      <x:c r="K184" s="32" t="str">
        <x:v>г</x:v>
      </x:c>
      <x:c r="L184" s="32" t="n">
        <x:v>10</x:v>
      </x:c>
      <x:c r="M184" s="32" t="n">
        <x:v>10</x:v>
      </x:c>
      <x:c r="N184" s="32" t="str">
        <x:v>ASSUMPTION</x:v>
      </x:c>
      <x:c r="O184" s="32" t="str">
        <x:v>EVD-0007;EVD-0008</x:v>
      </x:c>
      <x:c r="P184" s="32" t="str">
        <x:v>GAP-004;GAP-005</x:v>
      </x:c>
    </x:row>
    <x:row r="185">
      <x:c r="A185" s="32" t="str">
        <x:v>RCP-0180</x:v>
      </x:c>
      <x:c r="B185" s="32" t="str">
        <x:v>VKM-021</x:v>
      </x:c>
      <x:c r="C185" s="32" t="str">
        <x:v>VKC-021</x:v>
      </x:c>
      <x:c r="D185" s="32" t="str">
        <x:v>VKT-021</x:v>
      </x:c>
      <x:c r="E185" s="32" t="str">
        <x:v>0.1.0-DRAFT</x:v>
      </x:c>
      <x:c r="F185" s="32" t="str">
        <x:v>ING-087</x:v>
      </x:c>
      <x:c r="G185" s="32" t="str">
        <x:v>Бриошь VKM-008</x:v>
      </x:c>
      <x:c r="H185" s="32" t="str">
        <x:v>Сборка</x:v>
      </x:c>
      <x:c r="I185" s="32"/>
      <x:c r="J185" s="32" t="n">
        <x:v>85</x:v>
      </x:c>
      <x:c r="K185" s="32" t="str">
        <x:v>г</x:v>
      </x:c>
      <x:c r="L185" s="32" t="n">
        <x:v>85</x:v>
      </x:c>
      <x:c r="M185" s="32" t="n">
        <x:v>85</x:v>
      </x:c>
      <x:c r="N185" s="32" t="str">
        <x:v>ASSUMPTION</x:v>
      </x:c>
      <x:c r="O185" s="32" t="str">
        <x:v>EVD-0007;EVD-0008</x:v>
      </x:c>
      <x:c r="P185" s="32" t="str">
        <x:v>GAP-004;GAP-005</x:v>
      </x:c>
    </x:row>
    <x:row r="186">
      <x:c r="A186" s="32" t="str">
        <x:v>RCP-0181</x:v>
      </x:c>
      <x:c r="B186" s="32" t="str">
        <x:v>VKM-021</x:v>
      </x:c>
      <x:c r="C186" s="32" t="str">
        <x:v>VKC-021</x:v>
      </x:c>
      <x:c r="D186" s="32" t="str">
        <x:v>VKT-021</x:v>
      </x:c>
      <x:c r="E186" s="32" t="str">
        <x:v>0.1.0-DRAFT</x:v>
      </x:c>
      <x:c r="F186" s="32" t="str">
        <x:v>ING-088</x:v>
      </x:c>
      <x:c r="G186" s="32" t="str">
        <x:v>Говядина для котлеты</x:v>
      </x:c>
      <x:c r="H186" s="32" t="str">
        <x:v>Котлета</x:v>
      </x:c>
      <x:c r="I186" s="32" t="str">
        <x:v>VSF-021</x:v>
      </x:c>
      <x:c r="J186" s="32" t="n">
        <x:v>175</x:v>
      </x:c>
      <x:c r="K186" s="32" t="str">
        <x:v>г</x:v>
      </x:c>
      <x:c r="L186" s="32" t="n">
        <x:v>165</x:v>
      </x:c>
      <x:c r="M186" s="32" t="n">
        <x:v>145</x:v>
      </x:c>
      <x:c r="N186" s="32" t="str">
        <x:v>ASSUMPTION</x:v>
      </x:c>
      <x:c r="O186" s="32" t="str">
        <x:v>EVD-0007;EVD-0008</x:v>
      </x:c>
      <x:c r="P186" s="32" t="str">
        <x:v>GAP-004;GAP-005</x:v>
      </x:c>
    </x:row>
    <x:row r="187">
      <x:c r="A187" s="32" t="str">
        <x:v>RCP-0182</x:v>
      </x:c>
      <x:c r="B187" s="32" t="str">
        <x:v>VKM-021</x:v>
      </x:c>
      <x:c r="C187" s="32" t="str">
        <x:v>VKC-021</x:v>
      </x:c>
      <x:c r="D187" s="32" t="str">
        <x:v>VKT-021</x:v>
      </x:c>
      <x:c r="E187" s="32" t="str">
        <x:v>0.1.0-DRAFT</x:v>
      </x:c>
      <x:c r="F187" s="32" t="str">
        <x:v>ING-089</x:v>
      </x:c>
      <x:c r="G187" s="32" t="str">
        <x:v>Жир говяжий или иной компонент котлеты</x:v>
      </x:c>
      <x:c r="H187" s="32" t="str">
        <x:v>Котлета</x:v>
      </x:c>
      <x:c r="I187" s="32" t="str">
        <x:v>VSF-021</x:v>
      </x:c>
      <x:c r="J187" s="32" t="n">
        <x:v>5</x:v>
      </x:c>
      <x:c r="K187" s="32" t="str">
        <x:v>г</x:v>
      </x:c>
      <x:c r="L187" s="32" t="n">
        <x:v>5</x:v>
      </x:c>
      <x:c r="M187" s="32" t="n">
        <x:v>5</x:v>
      </x:c>
      <x:c r="N187" s="32" t="str">
        <x:v>ASSUMPTION</x:v>
      </x:c>
      <x:c r="O187" s="32" t="str">
        <x:v>EVD-0007;EVD-0008</x:v>
      </x:c>
      <x:c r="P187" s="32" t="str">
        <x:v>GAP-004;GAP-005</x:v>
      </x:c>
    </x:row>
    <x:row r="188">
      <x:c r="A188" s="32" t="str">
        <x:v>RCP-0183</x:v>
      </x:c>
      <x:c r="B188" s="32" t="str">
        <x:v>VKM-021</x:v>
      </x:c>
      <x:c r="C188" s="32" t="str">
        <x:v>VKC-021</x:v>
      </x:c>
      <x:c r="D188" s="32" t="str">
        <x:v>VKT-021</x:v>
      </x:c>
      <x:c r="E188" s="32" t="str">
        <x:v>0.1.0-DRAFT</x:v>
      </x:c>
      <x:c r="F188" s="32" t="str">
        <x:v>ING-090</x:v>
      </x:c>
      <x:c r="G188" s="32" t="str">
        <x:v>Сыр ломтиковый</x:v>
      </x:c>
      <x:c r="H188" s="32" t="str">
        <x:v>Сборка</x:v>
      </x:c>
      <x:c r="I188" s="32"/>
      <x:c r="J188" s="32" t="n">
        <x:v>20</x:v>
      </x:c>
      <x:c r="K188" s="32" t="str">
        <x:v>г</x:v>
      </x:c>
      <x:c r="L188" s="32" t="n">
        <x:v>20</x:v>
      </x:c>
      <x:c r="M188" s="32" t="n">
        <x:v>20</x:v>
      </x:c>
      <x:c r="N188" s="32" t="str">
        <x:v>ASSUMPTION</x:v>
      </x:c>
      <x:c r="O188" s="32" t="str">
        <x:v>EVD-0007;EVD-0008</x:v>
      </x:c>
      <x:c r="P188" s="32" t="str">
        <x:v>GAP-004;GAP-005</x:v>
      </x:c>
    </x:row>
    <x:row r="189">
      <x:c r="A189" s="32" t="str">
        <x:v>RCP-0184</x:v>
      </x:c>
      <x:c r="B189" s="32" t="str">
        <x:v>VKM-021</x:v>
      </x:c>
      <x:c r="C189" s="32" t="str">
        <x:v>VKC-021</x:v>
      </x:c>
      <x:c r="D189" s="32" t="str">
        <x:v>VKT-021</x:v>
      </x:c>
      <x:c r="E189" s="32" t="str">
        <x:v>0.1.0-DRAFT</x:v>
      </x:c>
      <x:c r="F189" s="32" t="str">
        <x:v>ING-091</x:v>
      </x:c>
      <x:c r="G189" s="32" t="str">
        <x:v>Томат</x:v>
      </x:c>
      <x:c r="H189" s="32" t="str">
        <x:v>Сборка</x:v>
      </x:c>
      <x:c r="I189" s="32"/>
      <x:c r="J189" s="32" t="n">
        <x:v>34</x:v>
      </x:c>
      <x:c r="K189" s="32" t="str">
        <x:v>г</x:v>
      </x:c>
      <x:c r="L189" s="32" t="n">
        <x:v>30</x:v>
      </x:c>
      <x:c r="M189" s="32" t="n">
        <x:v>30</x:v>
      </x:c>
      <x:c r="N189" s="32" t="str">
        <x:v>ASSUMPTION</x:v>
      </x:c>
      <x:c r="O189" s="32" t="str">
        <x:v>EVD-0007;EVD-0008</x:v>
      </x:c>
      <x:c r="P189" s="32" t="str">
        <x:v>GAP-004;GAP-005</x:v>
      </x:c>
    </x:row>
    <x:row r="190">
      <x:c r="A190" s="32" t="str">
        <x:v>RCP-0185</x:v>
      </x:c>
      <x:c r="B190" s="32" t="str">
        <x:v>VKM-021</x:v>
      </x:c>
      <x:c r="C190" s="32" t="str">
        <x:v>VKC-021</x:v>
      </x:c>
      <x:c r="D190" s="32" t="str">
        <x:v>VKT-021</x:v>
      </x:c>
      <x:c r="E190" s="32" t="str">
        <x:v>0.1.0-DRAFT</x:v>
      </x:c>
      <x:c r="F190" s="32" t="str">
        <x:v>ING-092</x:v>
      </x:c>
      <x:c r="G190" s="32" t="str">
        <x:v>Огурец маринованный</x:v>
      </x:c>
      <x:c r="H190" s="32" t="str">
        <x:v>Сборка</x:v>
      </x:c>
      <x:c r="I190" s="32"/>
      <x:c r="J190" s="32" t="n">
        <x:v>23</x:v>
      </x:c>
      <x:c r="K190" s="32" t="str">
        <x:v>г</x:v>
      </x:c>
      <x:c r="L190" s="32" t="n">
        <x:v>20</x:v>
      </x:c>
      <x:c r="M190" s="32" t="n">
        <x:v>20</x:v>
      </x:c>
      <x:c r="N190" s="32" t="str">
        <x:v>ASSUMPTION</x:v>
      </x:c>
      <x:c r="O190" s="32" t="str">
        <x:v>EVD-0007;EVD-0008</x:v>
      </x:c>
      <x:c r="P190" s="32" t="str">
        <x:v>GAP-004;GAP-005</x:v>
      </x:c>
    </x:row>
    <x:row r="191">
      <x:c r="A191" s="32" t="str">
        <x:v>RCP-0186</x:v>
      </x:c>
      <x:c r="B191" s="32" t="str">
        <x:v>VKM-021</x:v>
      </x:c>
      <x:c r="C191" s="32" t="str">
        <x:v>VKC-021</x:v>
      </x:c>
      <x:c r="D191" s="32" t="str">
        <x:v>VKT-021</x:v>
      </x:c>
      <x:c r="E191" s="32" t="str">
        <x:v>0.1.0-DRAFT</x:v>
      </x:c>
      <x:c r="F191" s="32" t="str">
        <x:v>ING-093</x:v>
      </x:c>
      <x:c r="G191" s="32" t="str">
        <x:v>Лук</x:v>
      </x:c>
      <x:c r="H191" s="32" t="str">
        <x:v>Сборка</x:v>
      </x:c>
      <x:c r="I191" s="32"/>
      <x:c r="J191" s="32" t="n">
        <x:v>12</x:v>
      </x:c>
      <x:c r="K191" s="32" t="str">
        <x:v>г</x:v>
      </x:c>
      <x:c r="L191" s="32" t="n">
        <x:v>10</x:v>
      </x:c>
      <x:c r="M191" s="32" t="n">
        <x:v>10</x:v>
      </x:c>
      <x:c r="N191" s="32" t="str">
        <x:v>ASSUMPTION</x:v>
      </x:c>
      <x:c r="O191" s="32" t="str">
        <x:v>EVD-0007;EVD-0008</x:v>
      </x:c>
      <x:c r="P191" s="32" t="str">
        <x:v>GAP-004;GAP-005</x:v>
      </x:c>
    </x:row>
    <x:row r="192">
      <x:c r="A192" s="32" t="str">
        <x:v>RCP-0187</x:v>
      </x:c>
      <x:c r="B192" s="32" t="str">
        <x:v>VKM-021</x:v>
      </x:c>
      <x:c r="C192" s="32" t="str">
        <x:v>VKC-021</x:v>
      </x:c>
      <x:c r="D192" s="32" t="str">
        <x:v>VKT-021</x:v>
      </x:c>
      <x:c r="E192" s="32" t="str">
        <x:v>0.1.0-DRAFT</x:v>
      </x:c>
      <x:c r="F192" s="32" t="str">
        <x:v>ING-094</x:v>
      </x:c>
      <x:c r="G192" s="32" t="str">
        <x:v>Соус эмульсионный</x:v>
      </x:c>
      <x:c r="H192" s="32" t="str">
        <x:v>Соус</x:v>
      </x:c>
      <x:c r="I192" s="32" t="str">
        <x:v>VSF-022</x:v>
      </x:c>
      <x:c r="J192" s="32" t="n">
        <x:v>20</x:v>
      </x:c>
      <x:c r="K192" s="32" t="str">
        <x:v>г</x:v>
      </x:c>
      <x:c r="L192" s="32" t="n">
        <x:v>20</x:v>
      </x:c>
      <x:c r="M192" s="32" t="n">
        <x:v>20</x:v>
      </x:c>
      <x:c r="N192" s="32" t="str">
        <x:v>ASSUMPTION</x:v>
      </x:c>
      <x:c r="O192" s="32" t="str">
        <x:v>EVD-0007;EVD-0008</x:v>
      </x:c>
      <x:c r="P192" s="32" t="str">
        <x:v>GAP-004;GAP-005</x:v>
      </x:c>
    </x:row>
    <x:row r="193">
      <x:c r="A193" s="32" t="str">
        <x:v>RCP-0188</x:v>
      </x:c>
      <x:c r="B193" s="32" t="str">
        <x:v>VKM-021</x:v>
      </x:c>
      <x:c r="C193" s="32" t="str">
        <x:v>VKC-021</x:v>
      </x:c>
      <x:c r="D193" s="32" t="str">
        <x:v>VKT-021</x:v>
      </x:c>
      <x:c r="E193" s="32" t="str">
        <x:v>0.1.0-DRAFT</x:v>
      </x:c>
      <x:c r="F193" s="32" t="str">
        <x:v>ING-095</x:v>
      </x:c>
      <x:c r="G193" s="32" t="str">
        <x:v>Соус томатный</x:v>
      </x:c>
      <x:c r="H193" s="32" t="str">
        <x:v>Соус</x:v>
      </x:c>
      <x:c r="I193" s="32" t="str">
        <x:v>VSF-022</x:v>
      </x:c>
      <x:c r="J193" s="32" t="n">
        <x:v>5</x:v>
      </x:c>
      <x:c r="K193" s="32" t="str">
        <x:v>г</x:v>
      </x:c>
      <x:c r="L193" s="32" t="n">
        <x:v>5</x:v>
      </x:c>
      <x:c r="M193" s="32" t="n">
        <x:v>5</x:v>
      </x:c>
      <x:c r="N193" s="32" t="str">
        <x:v>ASSUMPTION</x:v>
      </x:c>
      <x:c r="O193" s="32" t="str">
        <x:v>EVD-0007;EVD-0008</x:v>
      </x:c>
      <x:c r="P193" s="32" t="str">
        <x:v>GAP-004;GAP-005</x:v>
      </x:c>
    </x:row>
    <x:row r="194">
      <x:c r="A194" s="32" t="str">
        <x:v>RCP-0189</x:v>
      </x:c>
      <x:c r="B194" s="32" t="str">
        <x:v>VKM-021</x:v>
      </x:c>
      <x:c r="C194" s="32" t="str">
        <x:v>VKC-021</x:v>
      </x:c>
      <x:c r="D194" s="32" t="str">
        <x:v>VKT-021</x:v>
      </x:c>
      <x:c r="E194" s="32" t="str">
        <x:v>0.1.0-DRAFT</x:v>
      </x:c>
      <x:c r="F194" s="32" t="str">
        <x:v>ING-096</x:v>
      </x:c>
      <x:c r="G194" s="32" t="str">
        <x:v>Салат листовой</x:v>
      </x:c>
      <x:c r="H194" s="32" t="str">
        <x:v>Сборка</x:v>
      </x:c>
      <x:c r="I194" s="32"/>
      <x:c r="J194" s="32" t="n">
        <x:v>12</x:v>
      </x:c>
      <x:c r="K194" s="32" t="str">
        <x:v>г</x:v>
      </x:c>
      <x:c r="L194" s="32" t="n">
        <x:v>10</x:v>
      </x:c>
      <x:c r="M194" s="32" t="n">
        <x:v>10</x:v>
      </x:c>
      <x:c r="N194" s="32" t="str">
        <x:v>ASSUMPTION</x:v>
      </x:c>
      <x:c r="O194" s="32" t="str">
        <x:v>EVD-0007;EVD-0008</x:v>
      </x:c>
      <x:c r="P194" s="32" t="str">
        <x:v>GAP-004;GAP-005</x:v>
      </x:c>
    </x:row>
    <x:row r="195">
      <x:c r="A195" s="32" t="str">
        <x:v>RCP-0190</x:v>
      </x:c>
      <x:c r="B195" s="32" t="str">
        <x:v>VKM-022</x:v>
      </x:c>
      <x:c r="C195" s="32" t="str">
        <x:v>VKC-022</x:v>
      </x:c>
      <x:c r="D195" s="32" t="str">
        <x:v>VKT-022</x:v>
      </x:c>
      <x:c r="E195" s="32" t="str">
        <x:v>0.1.0-DRAFT</x:v>
      </x:c>
      <x:c r="F195" s="32" t="str">
        <x:v>ING-097</x:v>
      </x:c>
      <x:c r="G195" s="32" t="str">
        <x:v>Говяжья вырезка</x:v>
      </x:c>
      <x:c r="H195" s="32" t="str">
        <x:v>Миньоны</x:v>
      </x:c>
      <x:c r="I195" s="32" t="str">
        <x:v>VSF-023</x:v>
      </x:c>
      <x:c r="J195" s="32" t="n">
        <x:v>255</x:v>
      </x:c>
      <x:c r="K195" s="32" t="str">
        <x:v>г</x:v>
      </x:c>
      <x:c r="L195" s="32" t="n">
        <x:v>240</x:v>
      </x:c>
      <x:c r="M195" s="32" t="n">
        <x:v>220</x:v>
      </x:c>
      <x:c r="N195" s="32" t="str">
        <x:v>ASSUMPTION</x:v>
      </x:c>
      <x:c r="O195" s="32" t="str">
        <x:v>EVD-0007;EVD-0008</x:v>
      </x:c>
      <x:c r="P195" s="32" t="str">
        <x:v>GAP-004;GAP-005</x:v>
      </x:c>
    </x:row>
    <x:row r="196">
      <x:c r="A196" s="32" t="str">
        <x:v>RCP-0191</x:v>
      </x:c>
      <x:c r="B196" s="32" t="str">
        <x:v>VKM-022</x:v>
      </x:c>
      <x:c r="C196" s="32" t="str">
        <x:v>VKC-022</x:v>
      </x:c>
      <x:c r="D196" s="32" t="str">
        <x:v>VKT-022</x:v>
      </x:c>
      <x:c r="E196" s="32" t="str">
        <x:v>0.1.0-DRAFT</x:v>
      </x:c>
      <x:c r="F196" s="32" t="str">
        <x:v>ING-098</x:v>
      </x:c>
      <x:c r="G196" s="32" t="str">
        <x:v>Бульон или мясной сок</x:v>
      </x:c>
      <x:c r="H196" s="32" t="str">
        <x:v>Соус</x:v>
      </x:c>
      <x:c r="I196" s="32" t="str">
        <x:v>VSF-024</x:v>
      </x:c>
      <x:c r="J196" s="32" t="n">
        <x:v>35</x:v>
      </x:c>
      <x:c r="K196" s="32" t="str">
        <x:v>г</x:v>
      </x:c>
      <x:c r="L196" s="32" t="n">
        <x:v>35</x:v>
      </x:c>
      <x:c r="M196" s="32" t="n">
        <x:v>30</x:v>
      </x:c>
      <x:c r="N196" s="32" t="str">
        <x:v>ASSUMPTION</x:v>
      </x:c>
      <x:c r="O196" s="32" t="str">
        <x:v>EVD-0007;EVD-0008</x:v>
      </x:c>
      <x:c r="P196" s="32" t="str">
        <x:v>GAP-004;GAP-005</x:v>
      </x:c>
    </x:row>
    <x:row r="197">
      <x:c r="A197" s="32" t="str">
        <x:v>RCP-0192</x:v>
      </x:c>
      <x:c r="B197" s="32" t="str">
        <x:v>VKM-022</x:v>
      </x:c>
      <x:c r="C197" s="32" t="str">
        <x:v>VKC-022</x:v>
      </x:c>
      <x:c r="D197" s="32" t="str">
        <x:v>VKT-022</x:v>
      </x:c>
      <x:c r="E197" s="32" t="str">
        <x:v>0.1.0-DRAFT</x:v>
      </x:c>
      <x:c r="F197" s="32" t="str">
        <x:v>ING-027</x:v>
      </x:c>
      <x:c r="G197" s="32" t="str">
        <x:v>Масло сливочное</x:v>
      </x:c>
      <x:c r="H197" s="32" t="str">
        <x:v>Соус</x:v>
      </x:c>
      <x:c r="I197" s="32" t="str">
        <x:v>VSF-024</x:v>
      </x:c>
      <x:c r="J197" s="32" t="n">
        <x:v>10</x:v>
      </x:c>
      <x:c r="K197" s="32" t="str">
        <x:v>г</x:v>
      </x:c>
      <x:c r="L197" s="32" t="n">
        <x:v>10</x:v>
      </x:c>
      <x:c r="M197" s="32" t="n">
        <x:v>10</x:v>
      </x:c>
      <x:c r="N197" s="32" t="str">
        <x:v>ASSUMPTION</x:v>
      </x:c>
      <x:c r="O197" s="32" t="str">
        <x:v>EVD-0007;EVD-0008</x:v>
      </x:c>
      <x:c r="P197" s="32" t="str">
        <x:v>GAP-004;GAP-005</x:v>
      </x:c>
    </x:row>
    <x:row r="198">
      <x:c r="A198" s="32" t="str">
        <x:v>RCP-0193</x:v>
      </x:c>
      <x:c r="B198" s="32" t="str">
        <x:v>VKM-022</x:v>
      </x:c>
      <x:c r="C198" s="32" t="str">
        <x:v>VKC-022</x:v>
      </x:c>
      <x:c r="D198" s="32" t="str">
        <x:v>VKT-022</x:v>
      </x:c>
      <x:c r="E198" s="32" t="str">
        <x:v>0.1.0-DRAFT</x:v>
      </x:c>
      <x:c r="F198" s="32" t="str">
        <x:v>ING-024</x:v>
      </x:c>
      <x:c r="G198" s="32" t="str">
        <x:v>Масло растительное</x:v>
      </x:c>
      <x:c r="H198" s="32" t="str">
        <x:v>Обработка</x:v>
      </x:c>
      <x:c r="I198" s="32"/>
      <x:c r="J198" s="32" t="n">
        <x:v>5</x:v>
      </x:c>
      <x:c r="K198" s="32" t="str">
        <x:v>г</x:v>
      </x:c>
      <x:c r="L198" s="32" t="n">
        <x:v>5</x:v>
      </x:c>
      <x:c r="M198" s="32" t="n">
        <x:v>5</x:v>
      </x:c>
      <x:c r="N198" s="32" t="str">
        <x:v>ASSUMPTION</x:v>
      </x:c>
      <x:c r="O198" s="32" t="str">
        <x:v>EVD-0007;EVD-0008</x:v>
      </x:c>
      <x:c r="P198" s="32" t="str">
        <x:v>GAP-004;GAP-005</x:v>
      </x:c>
    </x:row>
    <x:row r="199">
      <x:c r="A199" s="32" t="str">
        <x:v>RCP-0194</x:v>
      </x:c>
      <x:c r="B199" s="32" t="str">
        <x:v>VKM-022</x:v>
      </x:c>
      <x:c r="C199" s="32" t="str">
        <x:v>VKC-022</x:v>
      </x:c>
      <x:c r="D199" s="32" t="str">
        <x:v>VKT-022</x:v>
      </x:c>
      <x:c r="E199" s="32" t="str">
        <x:v>0.1.0-DRAFT</x:v>
      </x:c>
      <x:c r="F199" s="32" t="str">
        <x:v>ING-007</x:v>
      </x:c>
      <x:c r="G199" s="32" t="str">
        <x:v>Чеснок</x:v>
      </x:c>
      <x:c r="H199" s="32" t="str">
        <x:v>Ароматика</x:v>
      </x:c>
      <x:c r="I199" s="32"/>
      <x:c r="J199" s="32" t="n">
        <x:v>5.5</x:v>
      </x:c>
      <x:c r="K199" s="32" t="str">
        <x:v>г</x:v>
      </x:c>
      <x:c r="L199" s="32" t="n">
        <x:v>5</x:v>
      </x:c>
      <x:c r="M199" s="32" t="n">
        <x:v>5</x:v>
      </x:c>
      <x:c r="N199" s="32" t="str">
        <x:v>ASSUMPTION</x:v>
      </x:c>
      <x:c r="O199" s="32" t="str">
        <x:v>EVD-0007;EVD-0008</x:v>
      </x:c>
      <x:c r="P199" s="32" t="str">
        <x:v>GAP-004;GAP-005</x:v>
      </x:c>
    </x:row>
    <x:row r="200">
      <x:c r="A200" s="32" t="str">
        <x:v>RCP-0195</x:v>
      </x:c>
      <x:c r="B200" s="32" t="str">
        <x:v>VKM-022</x:v>
      </x:c>
      <x:c r="C200" s="32" t="str">
        <x:v>VKC-022</x:v>
      </x:c>
      <x:c r="D200" s="32" t="str">
        <x:v>VKT-022</x:v>
      </x:c>
      <x:c r="E200" s="32" t="str">
        <x:v>0.1.0-DRAFT</x:v>
      </x:c>
      <x:c r="F200" s="32" t="str">
        <x:v>ING-063</x:v>
      </x:c>
      <x:c r="G200" s="32" t="str">
        <x:v>Пряные травы</x:v>
      </x:c>
      <x:c r="H200" s="32" t="str">
        <x:v>Ароматика</x:v>
      </x:c>
      <x:c r="I200" s="32"/>
      <x:c r="J200" s="32" t="n">
        <x:v>5</x:v>
      </x:c>
      <x:c r="K200" s="32" t="str">
        <x:v>г</x:v>
      </x:c>
      <x:c r="L200" s="32" t="n">
        <x:v>5</x:v>
      </x:c>
      <x:c r="M200" s="32" t="n">
        <x:v>5</x:v>
      </x:c>
      <x:c r="N200" s="32" t="str">
        <x:v>ASSUMPTION</x:v>
      </x:c>
      <x:c r="O200" s="32" t="str">
        <x:v>EVD-0007;EVD-0008</x:v>
      </x:c>
      <x:c r="P200" s="32" t="str">
        <x:v>GAP-004;GAP-005</x:v>
      </x:c>
    </x:row>
    <x:row r="201">
      <x:c r="A201" s="32" t="str">
        <x:v>RCP-0196</x:v>
      </x:c>
      <x:c r="B201" s="32" t="str">
        <x:v>VKM-022</x:v>
      </x:c>
      <x:c r="C201" s="32" t="str">
        <x:v>VKC-022</x:v>
      </x:c>
      <x:c r="D201" s="32" t="str">
        <x:v>VKT-022</x:v>
      </x:c>
      <x:c r="E201" s="32" t="str">
        <x:v>0.1.0-DRAFT</x:v>
      </x:c>
      <x:c r="F201" s="32" t="str">
        <x:v>ING-059</x:v>
      </x:c>
      <x:c r="G201" s="32" t="str">
        <x:v>Зелень</x:v>
      </x:c>
      <x:c r="H201" s="32" t="str">
        <x:v>Финиш</x:v>
      </x:c>
      <x:c r="I201" s="32"/>
      <x:c r="J201" s="32" t="n">
        <x:v>6</x:v>
      </x:c>
      <x:c r="K201" s="32" t="str">
        <x:v>г</x:v>
      </x:c>
      <x:c r="L201" s="32" t="n">
        <x:v>5</x:v>
      </x:c>
      <x:c r="M201" s="32" t="n">
        <x:v>5</x:v>
      </x:c>
      <x:c r="N201" s="32" t="str">
        <x:v>ASSUMPTION</x:v>
      </x:c>
      <x:c r="O201" s="32" t="str">
        <x:v>EVD-0007;EVD-0008</x:v>
      </x:c>
      <x:c r="P201" s="32" t="str">
        <x:v>GAP-004;GAP-005</x:v>
      </x:c>
    </x:row>
    <x:row r="202">
      <x:c r="A202" s="32" t="str">
        <x:v>RCP-0197</x:v>
      </x:c>
      <x:c r="B202" s="32" t="str">
        <x:v>VKM-022</x:v>
      </x:c>
      <x:c r="C202" s="32" t="str">
        <x:v>VKC-022</x:v>
      </x:c>
      <x:c r="D202" s="32" t="str">
        <x:v>VKT-022</x:v>
      </x:c>
      <x:c r="E202" s="32" t="str">
        <x:v>0.1.0-DRAFT</x:v>
      </x:c>
      <x:c r="F202" s="32" t="str">
        <x:v>ING-099</x:v>
      </x:c>
      <x:c r="G202" s="32" t="str">
        <x:v>Маринад нейтральный проектный</x:v>
      </x:c>
      <x:c r="H202" s="32" t="str">
        <x:v>Маринад</x:v>
      </x:c>
      <x:c r="I202" s="32"/>
      <x:c r="J202" s="32" t="n">
        <x:v>18</x:v>
      </x:c>
      <x:c r="K202" s="32" t="str">
        <x:v>г</x:v>
      </x:c>
      <x:c r="L202" s="32" t="n">
        <x:v>18</x:v>
      </x:c>
      <x:c r="M202" s="32" t="n">
        <x:v>18</x:v>
      </x:c>
      <x:c r="N202" s="32" t="str">
        <x:v>ASSUMPTION</x:v>
      </x:c>
      <x:c r="O202" s="32" t="str">
        <x:v>EVD-0007;EVD-0008</x:v>
      </x:c>
      <x:c r="P202" s="32" t="str">
        <x:v>GAP-004;GAP-005</x:v>
      </x:c>
    </x:row>
    <x:row r="203">
      <x:c r="A203" s="32" t="str">
        <x:v>RCP-0198</x:v>
      </x:c>
      <x:c r="B203" s="32" t="str">
        <x:v>VKM-022</x:v>
      </x:c>
      <x:c r="C203" s="32" t="str">
        <x:v>VKC-022</x:v>
      </x:c>
      <x:c r="D203" s="32" t="str">
        <x:v>VKT-022</x:v>
      </x:c>
      <x:c r="E203" s="32" t="str">
        <x:v>0.1.0-DRAFT</x:v>
      </x:c>
      <x:c r="F203" s="32" t="str">
        <x:v>ING-033</x:v>
      </x:c>
      <x:c r="G203" s="32" t="str">
        <x:v>Соль и специи</x:v>
      </x:c>
      <x:c r="H203" s="32" t="str">
        <x:v>Корректировка вкуса</x:v>
      </x:c>
      <x:c r="I203" s="32"/>
      <x:c r="J203" s="32" t="n">
        <x:v>2</x:v>
      </x:c>
      <x:c r="K203" s="32" t="str">
        <x:v>г</x:v>
      </x:c>
      <x:c r="L203" s="32" t="n">
        <x:v>2</x:v>
      </x:c>
      <x:c r="M203" s="32" t="n">
        <x:v>2</x:v>
      </x:c>
      <x:c r="N203" s="32" t="str">
        <x:v>ASSUMPTION</x:v>
      </x:c>
      <x:c r="O203" s="32" t="str">
        <x:v>EVD-0007;EVD-0008</x:v>
      </x:c>
      <x:c r="P203" s="32" t="str">
        <x:v>GAP-004;GAP-005</x:v>
      </x:c>
    </x:row>
    <x:row r="204">
      <x:c r="A204" s="32" t="str">
        <x:v>RCP-0199</x:v>
      </x:c>
      <x:c r="B204" s="32" t="str">
        <x:v>VKM-023</x:v>
      </x:c>
      <x:c r="C204" s="32" t="str">
        <x:v>VKC-023</x:v>
      </x:c>
      <x:c r="D204" s="32" t="str">
        <x:v>VKT-023</x:v>
      </x:c>
      <x:c r="E204" s="32" t="str">
        <x:v>0.1.0-DRAFT</x:v>
      </x:c>
      <x:c r="F204" s="32" t="str">
        <x:v>ING-072</x:v>
      </x:c>
      <x:c r="G204" s="32" t="str">
        <x:v>Картофель</x:v>
      </x:c>
      <x:c r="H204" s="32" t="str">
        <x:v>Основная рецептура</x:v>
      </x:c>
      <x:c r="I204" s="32"/>
      <x:c r="J204" s="32" t="n">
        <x:v>170</x:v>
      </x:c>
      <x:c r="K204" s="32" t="str">
        <x:v>г</x:v>
      </x:c>
      <x:c r="L204" s="32" t="n">
        <x:v>150</x:v>
      </x:c>
      <x:c r="M204" s="32" t="n">
        <x:v>135</x:v>
      </x:c>
      <x:c r="N204" s="32" t="str">
        <x:v>ASSUMPTION</x:v>
      </x:c>
      <x:c r="O204" s="32" t="str">
        <x:v>EVD-0007;EVD-0008</x:v>
      </x:c>
      <x:c r="P204" s="32" t="str">
        <x:v>GAP-004;GAP-005</x:v>
      </x:c>
    </x:row>
    <x:row r="205">
      <x:c r="A205" s="32" t="str">
        <x:v>RCP-0200</x:v>
      </x:c>
      <x:c r="B205" s="32" t="str">
        <x:v>VKM-023</x:v>
      </x:c>
      <x:c r="C205" s="32" t="str">
        <x:v>VKC-023</x:v>
      </x:c>
      <x:c r="D205" s="32" t="str">
        <x:v>VKT-023</x:v>
      </x:c>
      <x:c r="E205" s="32" t="str">
        <x:v>0.1.0-DRAFT</x:v>
      </x:c>
      <x:c r="F205" s="32" t="str">
        <x:v>ING-024</x:v>
      </x:c>
      <x:c r="G205" s="32" t="str">
        <x:v>Масло растительное</x:v>
      </x:c>
      <x:c r="H205" s="32" t="str">
        <x:v>Основная рецептура</x:v>
      </x:c>
      <x:c r="I205" s="32"/>
      <x:c r="J205" s="32" t="n">
        <x:v>10</x:v>
      </x:c>
      <x:c r="K205" s="32" t="str">
        <x:v>г</x:v>
      </x:c>
      <x:c r="L205" s="32" t="n">
        <x:v>10</x:v>
      </x:c>
      <x:c r="M205" s="32" t="n">
        <x:v>10</x:v>
      </x:c>
      <x:c r="N205" s="32" t="str">
        <x:v>ASSUMPTION</x:v>
      </x:c>
      <x:c r="O205" s="32" t="str">
        <x:v>EVD-0007;EVD-0008</x:v>
      </x:c>
      <x:c r="P205" s="32" t="str">
        <x:v>GAP-004;GAP-005</x:v>
      </x:c>
    </x:row>
    <x:row r="206">
      <x:c r="A206" s="32" t="str">
        <x:v>RCP-0201</x:v>
      </x:c>
      <x:c r="B206" s="32" t="str">
        <x:v>VKM-023</x:v>
      </x:c>
      <x:c r="C206" s="32" t="str">
        <x:v>VKC-023</x:v>
      </x:c>
      <x:c r="D206" s="32" t="str">
        <x:v>VKT-023</x:v>
      </x:c>
      <x:c r="E206" s="32" t="str">
        <x:v>0.1.0-DRAFT</x:v>
      </x:c>
      <x:c r="F206" s="32" t="str">
        <x:v>ING-063</x:v>
      </x:c>
      <x:c r="G206" s="32" t="str">
        <x:v>Пряные травы</x:v>
      </x:c>
      <x:c r="H206" s="32" t="str">
        <x:v>Основная рецептура</x:v>
      </x:c>
      <x:c r="I206" s="32"/>
      <x:c r="J206" s="32" t="n">
        <x:v>3</x:v>
      </x:c>
      <x:c r="K206" s="32" t="str">
        <x:v>г</x:v>
      </x:c>
      <x:c r="L206" s="32" t="n">
        <x:v>3</x:v>
      </x:c>
      <x:c r="M206" s="32" t="n">
        <x:v>3</x:v>
      </x:c>
      <x:c r="N206" s="32" t="str">
        <x:v>ASSUMPTION</x:v>
      </x:c>
      <x:c r="O206" s="32" t="str">
        <x:v>EVD-0007;EVD-0008</x:v>
      </x:c>
      <x:c r="P206" s="32" t="str">
        <x:v>GAP-004;GAP-005</x:v>
      </x:c>
    </x:row>
    <x:row r="207">
      <x:c r="A207" s="32" t="str">
        <x:v>RCP-0202</x:v>
      </x:c>
      <x:c r="B207" s="32" t="str">
        <x:v>VKM-023</x:v>
      </x:c>
      <x:c r="C207" s="32" t="str">
        <x:v>VKC-023</x:v>
      </x:c>
      <x:c r="D207" s="32" t="str">
        <x:v>VKT-023</x:v>
      </x:c>
      <x:c r="E207" s="32" t="str">
        <x:v>0.1.0-DRAFT</x:v>
      </x:c>
      <x:c r="F207" s="32" t="str">
        <x:v>ING-033</x:v>
      </x:c>
      <x:c r="G207" s="32" t="str">
        <x:v>Соль и специи</x:v>
      </x:c>
      <x:c r="H207" s="32" t="str">
        <x:v>Основная рецептура</x:v>
      </x:c>
      <x:c r="I207" s="32"/>
      <x:c r="J207" s="32" t="n">
        <x:v>2</x:v>
      </x:c>
      <x:c r="K207" s="32" t="str">
        <x:v>г</x:v>
      </x:c>
      <x:c r="L207" s="32" t="n">
        <x:v>2</x:v>
      </x:c>
      <x:c r="M207" s="32" t="n">
        <x:v>2</x:v>
      </x:c>
      <x:c r="N207" s="32" t="str">
        <x:v>ASSUMPTION</x:v>
      </x:c>
      <x:c r="O207" s="32" t="str">
        <x:v>EVD-0007;EVD-0008</x:v>
      </x:c>
      <x:c r="P207" s="32" t="str">
        <x:v>GAP-004;GAP-005</x:v>
      </x:c>
    </x:row>
    <x:row r="208">
      <x:c r="A208" s="32" t="str">
        <x:v>RCP-0203</x:v>
      </x:c>
      <x:c r="B208" s="32" t="str">
        <x:v>VKM-024</x:v>
      </x:c>
      <x:c r="C208" s="32" t="str">
        <x:v>VKC-024</x:v>
      </x:c>
      <x:c r="D208" s="32" t="str">
        <x:v>VKT-024</x:v>
      </x:c>
      <x:c r="E208" s="32" t="str">
        <x:v>0.1.0-DRAFT</x:v>
      </x:c>
      <x:c r="F208" s="32" t="str">
        <x:v>ING-100</x:v>
      </x:c>
      <x:c r="G208" s="32" t="str">
        <x:v>Рис жасмин сухой</x:v>
      </x:c>
      <x:c r="H208" s="32" t="str">
        <x:v>Варка</x:v>
      </x:c>
      <x:c r="I208" s="32" t="str">
        <x:v>VSF-025</x:v>
      </x:c>
      <x:c r="J208" s="32" t="n">
        <x:v>55</x:v>
      </x:c>
      <x:c r="K208" s="32" t="str">
        <x:v>г</x:v>
      </x:c>
      <x:c r="L208" s="32" t="n">
        <x:v>55</x:v>
      </x:c>
      <x:c r="M208" s="32" t="n">
        <x:v>50</x:v>
      </x:c>
      <x:c r="N208" s="32" t="str">
        <x:v>ASSUMPTION</x:v>
      </x:c>
      <x:c r="O208" s="32" t="str">
        <x:v>EVD-0007;EVD-0008</x:v>
      </x:c>
      <x:c r="P208" s="32" t="str">
        <x:v>GAP-004;GAP-005</x:v>
      </x:c>
    </x:row>
    <x:row r="209">
      <x:c r="A209" s="32" t="str">
        <x:v>RCP-0204</x:v>
      </x:c>
      <x:c r="B209" s="32" t="str">
        <x:v>VKM-024</x:v>
      </x:c>
      <x:c r="C209" s="32" t="str">
        <x:v>VKC-024</x:v>
      </x:c>
      <x:c r="D209" s="32" t="str">
        <x:v>VKT-024</x:v>
      </x:c>
      <x:c r="E209" s="32" t="str">
        <x:v>0.1.0-DRAFT</x:v>
      </x:c>
      <x:c r="F209" s="32" t="str">
        <x:v>ING-101</x:v>
      </x:c>
      <x:c r="G209" s="32" t="str">
        <x:v>Вода питьевая, удержанная в продукте</x:v>
      </x:c>
      <x:c r="H209" s="32" t="str">
        <x:v>Варка</x:v>
      </x:c>
      <x:c r="I209" s="32" t="str">
        <x:v>VSF-025</x:v>
      </x:c>
      <x:c r="J209" s="32" t="n">
        <x:v>120</x:v>
      </x:c>
      <x:c r="K209" s="32" t="str">
        <x:v>г</x:v>
      </x:c>
      <x:c r="L209" s="32" t="n">
        <x:v>120</x:v>
      </x:c>
      <x:c r="M209" s="32" t="n">
        <x:v>88</x:v>
      </x:c>
      <x:c r="N209" s="32" t="str">
        <x:v>ASSUMPTION</x:v>
      </x:c>
      <x:c r="O209" s="32" t="str">
        <x:v>EVD-0007;EVD-0008</x:v>
      </x:c>
      <x:c r="P209" s="32" t="str">
        <x:v>GAP-004;GAP-005</x:v>
      </x:c>
    </x:row>
    <x:row r="210">
      <x:c r="A210" s="32" t="str">
        <x:v>RCP-0205</x:v>
      </x:c>
      <x:c r="B210" s="32" t="str">
        <x:v>VKM-024</x:v>
      </x:c>
      <x:c r="C210" s="32" t="str">
        <x:v>VKC-024</x:v>
      </x:c>
      <x:c r="D210" s="32" t="str">
        <x:v>VKT-024</x:v>
      </x:c>
      <x:c r="E210" s="32" t="str">
        <x:v>0.1.0-DRAFT</x:v>
      </x:c>
      <x:c r="F210" s="32" t="str">
        <x:v>ING-024</x:v>
      </x:c>
      <x:c r="G210" s="32" t="str">
        <x:v>Масло растительное</x:v>
      </x:c>
      <x:c r="H210" s="32" t="str">
        <x:v>Финиш</x:v>
      </x:c>
      <x:c r="I210" s="32"/>
      <x:c r="J210" s="32" t="n">
        <x:v>5</x:v>
      </x:c>
      <x:c r="K210" s="32" t="str">
        <x:v>г</x:v>
      </x:c>
      <x:c r="L210" s="32" t="n">
        <x:v>5</x:v>
      </x:c>
      <x:c r="M210" s="32" t="n">
        <x:v>5</x:v>
      </x:c>
      <x:c r="N210" s="32" t="str">
        <x:v>ASSUMPTION</x:v>
      </x:c>
      <x:c r="O210" s="32" t="str">
        <x:v>EVD-0007;EVD-0008</x:v>
      </x:c>
      <x:c r="P210" s="32" t="str">
        <x:v>GAP-004;GAP-005</x:v>
      </x:c>
    </x:row>
    <x:row r="211">
      <x:c r="A211" s="32" t="str">
        <x:v>RCP-0206</x:v>
      </x:c>
      <x:c r="B211" s="32" t="str">
        <x:v>VKM-024</x:v>
      </x:c>
      <x:c r="C211" s="32" t="str">
        <x:v>VKC-024</x:v>
      </x:c>
      <x:c r="D211" s="32" t="str">
        <x:v>VKT-024</x:v>
      </x:c>
      <x:c r="E211" s="32" t="str">
        <x:v>0.1.0-DRAFT</x:v>
      </x:c>
      <x:c r="F211" s="32" t="str">
        <x:v>ING-027</x:v>
      </x:c>
      <x:c r="G211" s="32" t="str">
        <x:v>Масло сливочное</x:v>
      </x:c>
      <x:c r="H211" s="32" t="str">
        <x:v>Финиш</x:v>
      </x:c>
      <x:c r="I211" s="32"/>
      <x:c r="J211" s="32" t="n">
        <x:v>5</x:v>
      </x:c>
      <x:c r="K211" s="32" t="str">
        <x:v>г</x:v>
      </x:c>
      <x:c r="L211" s="32" t="n">
        <x:v>5</x:v>
      </x:c>
      <x:c r="M211" s="32" t="n">
        <x:v>5</x:v>
      </x:c>
      <x:c r="N211" s="32" t="str">
        <x:v>ASSUMPTION</x:v>
      </x:c>
      <x:c r="O211" s="32" t="str">
        <x:v>EVD-0007;EVD-0008</x:v>
      </x:c>
      <x:c r="P211" s="32" t="str">
        <x:v>GAP-004;GAP-005</x:v>
      </x:c>
    </x:row>
    <x:row r="212">
      <x:c r="A212" s="32" t="str">
        <x:v>RCP-0207</x:v>
      </x:c>
      <x:c r="B212" s="32" t="str">
        <x:v>VKM-024</x:v>
      </x:c>
      <x:c r="C212" s="32" t="str">
        <x:v>VKC-024</x:v>
      </x:c>
      <x:c r="D212" s="32" t="str">
        <x:v>VKT-024</x:v>
      </x:c>
      <x:c r="E212" s="32" t="str">
        <x:v>0.1.0-DRAFT</x:v>
      </x:c>
      <x:c r="F212" s="32" t="str">
        <x:v>ING-004</x:v>
      </x:c>
      <x:c r="G212" s="32" t="str">
        <x:v>Соль пищевая</x:v>
      </x:c>
      <x:c r="H212" s="32" t="str">
        <x:v>Варка</x:v>
      </x:c>
      <x:c r="I212" s="32"/>
      <x:c r="J212" s="32" t="n">
        <x:v>2</x:v>
      </x:c>
      <x:c r="K212" s="32" t="str">
        <x:v>г</x:v>
      </x:c>
      <x:c r="L212" s="32" t="n">
        <x:v>2</x:v>
      </x:c>
      <x:c r="M212" s="32" t="n">
        <x:v>2</x:v>
      </x:c>
      <x:c r="N212" s="32" t="str">
        <x:v>ASSUMPTION</x:v>
      </x:c>
      <x:c r="O212" s="32" t="str">
        <x:v>EVD-0007;EVD-0008</x:v>
      </x:c>
      <x:c r="P212" s="32" t="str">
        <x:v>GAP-004;GAP-005</x:v>
      </x:c>
    </x:row>
    <x:row r="213">
      <x:c r="A213" s="32" t="str">
        <x:v>RCP-0208</x:v>
      </x:c>
      <x:c r="B213" s="32" t="str">
        <x:v>VKM-025</x:v>
      </x:c>
      <x:c r="C213" s="32" t="str">
        <x:v>VKC-025</x:v>
      </x:c>
      <x:c r="D213" s="32" t="str">
        <x:v>VKT-025</x:v>
      </x:c>
      <x:c r="E213" s="32" t="str">
        <x:v>0.1.0-DRAFT</x:v>
      </x:c>
      <x:c r="F213" s="32" t="str">
        <x:v>ING-084</x:v>
      </x:c>
      <x:c r="G213" s="32" t="str">
        <x:v>Цукини</x:v>
      </x:c>
      <x:c r="H213" s="32" t="str">
        <x:v>Овощная подготовка</x:v>
      </x:c>
      <x:c r="I213" s="32" t="str">
        <x:v>VSF-026</x:v>
      </x:c>
      <x:c r="J213" s="32" t="n">
        <x:v>48</x:v>
      </x:c>
      <x:c r="K213" s="32" t="str">
        <x:v>г</x:v>
      </x:c>
      <x:c r="L213" s="32" t="n">
        <x:v>43</x:v>
      </x:c>
      <x:c r="M213" s="32" t="n">
        <x:v>40</x:v>
      </x:c>
      <x:c r="N213" s="32" t="str">
        <x:v>ASSUMPTION</x:v>
      </x:c>
      <x:c r="O213" s="32" t="str">
        <x:v>EVD-0007;EVD-0008</x:v>
      </x:c>
      <x:c r="P213" s="32" t="str">
        <x:v>GAP-004;GAP-005</x:v>
      </x:c>
    </x:row>
    <x:row r="214">
      <x:c r="A214" s="32" t="str">
        <x:v>RCP-0209</x:v>
      </x:c>
      <x:c r="B214" s="32" t="str">
        <x:v>VKM-025</x:v>
      </x:c>
      <x:c r="C214" s="32" t="str">
        <x:v>VKC-025</x:v>
      </x:c>
      <x:c r="D214" s="32" t="str">
        <x:v>VKT-025</x:v>
      </x:c>
      <x:c r="E214" s="32" t="str">
        <x:v>0.1.0-DRAFT</x:v>
      </x:c>
      <x:c r="F214" s="32" t="str">
        <x:v>ING-043</x:v>
      </x:c>
      <x:c r="G214" s="32" t="str">
        <x:v>Перец сладкий</x:v>
      </x:c>
      <x:c r="H214" s="32" t="str">
        <x:v>Овощная подготовка</x:v>
      </x:c>
      <x:c r="I214" s="32" t="str">
        <x:v>VSF-026</x:v>
      </x:c>
      <x:c r="J214" s="32" t="n">
        <x:v>42</x:v>
      </x:c>
      <x:c r="K214" s="32" t="str">
        <x:v>г</x:v>
      </x:c>
      <x:c r="L214" s="32" t="n">
        <x:v>38</x:v>
      </x:c>
      <x:c r="M214" s="32" t="n">
        <x:v>35</x:v>
      </x:c>
      <x:c r="N214" s="32" t="str">
        <x:v>ASSUMPTION</x:v>
      </x:c>
      <x:c r="O214" s="32" t="str">
        <x:v>EVD-0007;EVD-0008</x:v>
      </x:c>
      <x:c r="P214" s="32" t="str">
        <x:v>GAP-004;GAP-005</x:v>
      </x:c>
    </x:row>
    <x:row r="215">
      <x:c r="A215" s="32" t="str">
        <x:v>RCP-0210</x:v>
      </x:c>
      <x:c r="B215" s="32" t="str">
        <x:v>VKM-025</x:v>
      </x:c>
      <x:c r="C215" s="32" t="str">
        <x:v>VKC-025</x:v>
      </x:c>
      <x:c r="D215" s="32" t="str">
        <x:v>VKT-025</x:v>
      </x:c>
      <x:c r="E215" s="32" t="str">
        <x:v>0.1.0-DRAFT</x:v>
      </x:c>
      <x:c r="F215" s="32" t="str">
        <x:v>ING-102</x:v>
      </x:c>
      <x:c r="G215" s="32" t="str">
        <x:v>Баклажан</x:v>
      </x:c>
      <x:c r="H215" s="32" t="str">
        <x:v>Овощная подготовка</x:v>
      </x:c>
      <x:c r="I215" s="32" t="str">
        <x:v>VSF-026</x:v>
      </x:c>
      <x:c r="J215" s="32" t="n">
        <x:v>36</x:v>
      </x:c>
      <x:c r="K215" s="32" t="str">
        <x:v>г</x:v>
      </x:c>
      <x:c r="L215" s="32" t="n">
        <x:v>33</x:v>
      </x:c>
      <x:c r="M215" s="32" t="n">
        <x:v>30</x:v>
      </x:c>
      <x:c r="N215" s="32" t="str">
        <x:v>ASSUMPTION</x:v>
      </x:c>
      <x:c r="O215" s="32" t="str">
        <x:v>EVD-0007;EVD-0008</x:v>
      </x:c>
      <x:c r="P215" s="32" t="str">
        <x:v>GAP-004;GAP-005</x:v>
      </x:c>
    </x:row>
    <x:row r="216">
      <x:c r="A216" s="32" t="str">
        <x:v>RCP-0211</x:v>
      </x:c>
      <x:c r="B216" s="32" t="str">
        <x:v>VKM-025</x:v>
      </x:c>
      <x:c r="C216" s="32" t="str">
        <x:v>VKC-025</x:v>
      </x:c>
      <x:c r="D216" s="32" t="str">
        <x:v>VKT-025</x:v>
      </x:c>
      <x:c r="E216" s="32" t="str">
        <x:v>0.1.0-DRAFT</x:v>
      </x:c>
      <x:c r="F216" s="32" t="str">
        <x:v>ING-103</x:v>
      </x:c>
      <x:c r="G216" s="32" t="str">
        <x:v>Брокколи</x:v>
      </x:c>
      <x:c r="H216" s="32" t="str">
        <x:v>Овощная подготовка</x:v>
      </x:c>
      <x:c r="I216" s="32" t="str">
        <x:v>VSF-026</x:v>
      </x:c>
      <x:c r="J216" s="32" t="n">
        <x:v>31</x:v>
      </x:c>
      <x:c r="K216" s="32" t="str">
        <x:v>г</x:v>
      </x:c>
      <x:c r="L216" s="32" t="n">
        <x:v>28</x:v>
      </x:c>
      <x:c r="M216" s="32" t="n">
        <x:v>25</x:v>
      </x:c>
      <x:c r="N216" s="32" t="str">
        <x:v>ASSUMPTION</x:v>
      </x:c>
      <x:c r="O216" s="32" t="str">
        <x:v>EVD-0007;EVD-0008</x:v>
      </x:c>
      <x:c r="P216" s="32" t="str">
        <x:v>GAP-004;GAP-005</x:v>
      </x:c>
    </x:row>
    <x:row r="217">
      <x:c r="A217" s="32" t="str">
        <x:v>RCP-0212</x:v>
      </x:c>
      <x:c r="B217" s="32" t="str">
        <x:v>VKM-025</x:v>
      </x:c>
      <x:c r="C217" s="32" t="str">
        <x:v>VKC-025</x:v>
      </x:c>
      <x:c r="D217" s="32" t="str">
        <x:v>VKT-025</x:v>
      </x:c>
      <x:c r="E217" s="32" t="str">
        <x:v>0.1.0-DRAFT</x:v>
      </x:c>
      <x:c r="F217" s="32" t="str">
        <x:v>ING-024</x:v>
      </x:c>
      <x:c r="G217" s="32" t="str">
        <x:v>Масло растительное</x:v>
      </x:c>
      <x:c r="H217" s="32" t="str">
        <x:v>Обработка</x:v>
      </x:c>
      <x:c r="I217" s="32"/>
      <x:c r="J217" s="32" t="n">
        <x:v>15</x:v>
      </x:c>
      <x:c r="K217" s="32" t="str">
        <x:v>г</x:v>
      </x:c>
      <x:c r="L217" s="32" t="n">
        <x:v>15</x:v>
      </x:c>
      <x:c r="M217" s="32" t="n">
        <x:v>15</x:v>
      </x:c>
      <x:c r="N217" s="32" t="str">
        <x:v>ASSUMPTION</x:v>
      </x:c>
      <x:c r="O217" s="32" t="str">
        <x:v>EVD-0007;EVD-0008</x:v>
      </x:c>
      <x:c r="P217" s="32" t="str">
        <x:v>GAP-004;GAP-005</x:v>
      </x:c>
    </x:row>
    <x:row r="218">
      <x:c r="A218" s="32" t="str">
        <x:v>RCP-0213</x:v>
      </x:c>
      <x:c r="B218" s="32" t="str">
        <x:v>VKM-025</x:v>
      </x:c>
      <x:c r="C218" s="32" t="str">
        <x:v>VKC-025</x:v>
      </x:c>
      <x:c r="D218" s="32" t="str">
        <x:v>VKT-025</x:v>
      </x:c>
      <x:c r="E218" s="32" t="str">
        <x:v>0.1.0-DRAFT</x:v>
      </x:c>
      <x:c r="F218" s="32" t="str">
        <x:v>ING-063</x:v>
      </x:c>
      <x:c r="G218" s="32" t="str">
        <x:v>Пряные травы</x:v>
      </x:c>
      <x:c r="H218" s="32" t="str">
        <x:v>Финиш</x:v>
      </x:c>
      <x:c r="I218" s="32"/>
      <x:c r="J218" s="32" t="n">
        <x:v>3</x:v>
      </x:c>
      <x:c r="K218" s="32" t="str">
        <x:v>г</x:v>
      </x:c>
      <x:c r="L218" s="32" t="n">
        <x:v>3</x:v>
      </x:c>
      <x:c r="M218" s="32" t="n">
        <x:v>3</x:v>
      </x:c>
      <x:c r="N218" s="32" t="str">
        <x:v>ASSUMPTION</x:v>
      </x:c>
      <x:c r="O218" s="32" t="str">
        <x:v>EVD-0007;EVD-0008</x:v>
      </x:c>
      <x:c r="P218" s="32" t="str">
        <x:v>GAP-004;GAP-005</x:v>
      </x:c>
    </x:row>
    <x:row r="219">
      <x:c r="A219" s="32" t="str">
        <x:v>RCP-0214</x:v>
      </x:c>
      <x:c r="B219" s="32" t="str">
        <x:v>VKM-025</x:v>
      </x:c>
      <x:c r="C219" s="32" t="str">
        <x:v>VKC-025</x:v>
      </x:c>
      <x:c r="D219" s="32" t="str">
        <x:v>VKT-025</x:v>
      </x:c>
      <x:c r="E219" s="32" t="str">
        <x:v>0.1.0-DRAFT</x:v>
      </x:c>
      <x:c r="F219" s="32" t="str">
        <x:v>ING-033</x:v>
      </x:c>
      <x:c r="G219" s="32" t="str">
        <x:v>Соль и специи</x:v>
      </x:c>
      <x:c r="H219" s="32" t="str">
        <x:v>Финиш</x:v>
      </x:c>
      <x:c r="I219" s="32"/>
      <x:c r="J219" s="32" t="n">
        <x:v>2</x:v>
      </x:c>
      <x:c r="K219" s="32" t="str">
        <x:v>г</x:v>
      </x:c>
      <x:c r="L219" s="32" t="n">
        <x:v>2</x:v>
      </x:c>
      <x:c r="M219" s="32" t="n">
        <x:v>2</x:v>
      </x:c>
      <x:c r="N219" s="32" t="str">
        <x:v>ASSUMPTION</x:v>
      </x:c>
      <x:c r="O219" s="32" t="str">
        <x:v>EVD-0007;EVD-0008</x:v>
      </x:c>
      <x:c r="P219" s="32" t="str">
        <x:v>GAP-004;GAP-005</x:v>
      </x:c>
    </x:row>
    <x:row r="220">
      <x:c r="A220" s="32" t="str">
        <x:v>RCP-0215</x:v>
      </x:c>
      <x:c r="B220" s="32" t="str">
        <x:v>VKM-029</x:v>
      </x:c>
      <x:c r="C220" s="32" t="str">
        <x:v>VKC-029</x:v>
      </x:c>
      <x:c r="D220" s="32" t="str">
        <x:v>VKT-029</x:v>
      </x:c>
      <x:c r="E220" s="32" t="str">
        <x:v>0.1.0-DRAFT</x:v>
      </x:c>
      <x:c r="F220" s="32" t="str">
        <x:v>ING-104</x:v>
      </x:c>
      <x:c r="G220" s="32" t="str">
        <x:v>Мука пшеничная кондитерская</x:v>
      </x:c>
      <x:c r="H220" s="32" t="str">
        <x:v>Бисквит</x:v>
      </x:c>
      <x:c r="I220" s="32" t="str">
        <x:v>VSF-027</x:v>
      </x:c>
      <x:c r="J220" s="32" t="n">
        <x:v>190</x:v>
      </x:c>
      <x:c r="K220" s="32" t="str">
        <x:v>г</x:v>
      </x:c>
      <x:c r="L220" s="32" t="n">
        <x:v>190</x:v>
      </x:c>
      <x:c r="M220" s="32" t="n">
        <x:v>180</x:v>
      </x:c>
      <x:c r="N220" s="32" t="str">
        <x:v>ASSUMPTION</x:v>
      </x:c>
      <x:c r="O220" s="32" t="str">
        <x:v>EVD-0007;EVD-0008</x:v>
      </x:c>
      <x:c r="P220" s="32" t="str">
        <x:v>GAP-004;GAP-005</x:v>
      </x:c>
    </x:row>
    <x:row r="221">
      <x:c r="A221" s="32" t="str">
        <x:v>RCP-0216</x:v>
      </x:c>
      <x:c r="B221" s="32" t="str">
        <x:v>VKM-029</x:v>
      </x:c>
      <x:c r="C221" s="32" t="str">
        <x:v>VKC-029</x:v>
      </x:c>
      <x:c r="D221" s="32" t="str">
        <x:v>VKT-029</x:v>
      </x:c>
      <x:c r="E221" s="32" t="str">
        <x:v>0.1.0-DRAFT</x:v>
      </x:c>
      <x:c r="F221" s="32" t="str">
        <x:v>ING-026</x:v>
      </x:c>
      <x:c r="G221" s="32" t="str">
        <x:v>Яйцо или меланж</x:v>
      </x:c>
      <x:c r="H221" s="32" t="str">
        <x:v>Бисквит</x:v>
      </x:c>
      <x:c r="I221" s="32" t="str">
        <x:v>VSF-027</x:v>
      </x:c>
      <x:c r="J221" s="32" t="n">
        <x:v>185</x:v>
      </x:c>
      <x:c r="K221" s="32" t="str">
        <x:v>г</x:v>
      </x:c>
      <x:c r="L221" s="32" t="n">
        <x:v>185</x:v>
      </x:c>
      <x:c r="M221" s="32" t="n">
        <x:v>180</x:v>
      </x:c>
      <x:c r="N221" s="32" t="str">
        <x:v>ASSUMPTION</x:v>
      </x:c>
      <x:c r="O221" s="32" t="str">
        <x:v>EVD-0007;EVD-0008</x:v>
      </x:c>
      <x:c r="P221" s="32" t="str">
        <x:v>GAP-004;GAP-005</x:v>
      </x:c>
    </x:row>
    <x:row r="222">
      <x:c r="A222" s="32" t="str">
        <x:v>RCP-0217</x:v>
      </x:c>
      <x:c r="B222" s="32" t="str">
        <x:v>VKM-029</x:v>
      </x:c>
      <x:c r="C222" s="32" t="str">
        <x:v>VKC-029</x:v>
      </x:c>
      <x:c r="D222" s="32" t="str">
        <x:v>VKT-029</x:v>
      </x:c>
      <x:c r="E222" s="32" t="str">
        <x:v>0.1.0-DRAFT</x:v>
      </x:c>
      <x:c r="F222" s="32" t="str">
        <x:v>ING-028</x:v>
      </x:c>
      <x:c r="G222" s="32" t="str">
        <x:v>Сахар</x:v>
      </x:c>
      <x:c r="H222" s="32" t="str">
        <x:v>Бисквит</x:v>
      </x:c>
      <x:c r="I222" s="32" t="str">
        <x:v>VSF-027</x:v>
      </x:c>
      <x:c r="J222" s="32" t="n">
        <x:v>150</x:v>
      </x:c>
      <x:c r="K222" s="32" t="str">
        <x:v>г</x:v>
      </x:c>
      <x:c r="L222" s="32" t="n">
        <x:v>150</x:v>
      </x:c>
      <x:c r="M222" s="32" t="n">
        <x:v>150</x:v>
      </x:c>
      <x:c r="N222" s="32" t="str">
        <x:v>ASSUMPTION</x:v>
      </x:c>
      <x:c r="O222" s="32" t="str">
        <x:v>EVD-0007;EVD-0008</x:v>
      </x:c>
      <x:c r="P222" s="32" t="str">
        <x:v>GAP-004;GAP-005</x:v>
      </x:c>
    </x:row>
    <x:row r="223">
      <x:c r="A223" s="32" t="str">
        <x:v>RCP-0218</x:v>
      </x:c>
      <x:c r="B223" s="32" t="str">
        <x:v>VKM-029</x:v>
      </x:c>
      <x:c r="C223" s="32" t="str">
        <x:v>VKC-029</x:v>
      </x:c>
      <x:c r="D223" s="32" t="str">
        <x:v>VKT-029</x:v>
      </x:c>
      <x:c r="E223" s="32" t="str">
        <x:v>0.1.0-DRAFT</x:v>
      </x:c>
      <x:c r="F223" s="32" t="str">
        <x:v>ING-027</x:v>
      </x:c>
      <x:c r="G223" s="32" t="str">
        <x:v>Масло сливочное</x:v>
      </x:c>
      <x:c r="H223" s="32" t="str">
        <x:v>Бисквит</x:v>
      </x:c>
      <x:c r="I223" s="32" t="str">
        <x:v>VSF-027</x:v>
      </x:c>
      <x:c r="J223" s="32" t="n">
        <x:v>70</x:v>
      </x:c>
      <x:c r="K223" s="32" t="str">
        <x:v>г</x:v>
      </x:c>
      <x:c r="L223" s="32" t="n">
        <x:v>70</x:v>
      </x:c>
      <x:c r="M223" s="32" t="n">
        <x:v>70</x:v>
      </x:c>
      <x:c r="N223" s="32" t="str">
        <x:v>ASSUMPTION</x:v>
      </x:c>
      <x:c r="O223" s="32" t="str">
        <x:v>EVD-0007;EVD-0008</x:v>
      </x:c>
      <x:c r="P223" s="32" t="str">
        <x:v>GAP-004;GAP-005</x:v>
      </x:c>
    </x:row>
    <x:row r="224">
      <x:c r="A224" s="32" t="str">
        <x:v>RCP-0219</x:v>
      </x:c>
      <x:c r="B224" s="32" t="str">
        <x:v>VKM-029</x:v>
      </x:c>
      <x:c r="C224" s="32" t="str">
        <x:v>VKC-029</x:v>
      </x:c>
      <x:c r="D224" s="32" t="str">
        <x:v>VKT-029</x:v>
      </x:c>
      <x:c r="E224" s="32" t="str">
        <x:v>0.1.0-DRAFT</x:v>
      </x:c>
      <x:c r="F224" s="32" t="str">
        <x:v>ING-025</x:v>
      </x:c>
      <x:c r="G224" s="32" t="str">
        <x:v>Молоко</x:v>
      </x:c>
      <x:c r="H224" s="32" t="str">
        <x:v>Бисквит</x:v>
      </x:c>
      <x:c r="I224" s="32" t="str">
        <x:v>VSF-027</x:v>
      </x:c>
      <x:c r="J224" s="32" t="n">
        <x:v>20</x:v>
      </x:c>
      <x:c r="K224" s="32" t="str">
        <x:v>г</x:v>
      </x:c>
      <x:c r="L224" s="32" t="n">
        <x:v>20</x:v>
      </x:c>
      <x:c r="M224" s="32" t="n">
        <x:v>20</x:v>
      </x:c>
      <x:c r="N224" s="32" t="str">
        <x:v>ASSUMPTION</x:v>
      </x:c>
      <x:c r="O224" s="32" t="str">
        <x:v>EVD-0007;EVD-0008</x:v>
      </x:c>
      <x:c r="P224" s="32" t="str">
        <x:v>GAP-004;GAP-005</x:v>
      </x:c>
    </x:row>
    <x:row r="225">
      <x:c r="A225" s="32" t="str">
        <x:v>RCP-0220</x:v>
      </x:c>
      <x:c r="B225" s="32" t="str">
        <x:v>VKM-029</x:v>
      </x:c>
      <x:c r="C225" s="32" t="str">
        <x:v>VKC-029</x:v>
      </x:c>
      <x:c r="D225" s="32" t="str">
        <x:v>VKT-029</x:v>
      </x:c>
      <x:c r="E225" s="32" t="str">
        <x:v>0.1.0-DRAFT</x:v>
      </x:c>
      <x:c r="F225" s="32" t="str">
        <x:v>ING-105</x:v>
      </x:c>
      <x:c r="G225" s="32" t="str">
        <x:v>Разрыхлитель</x:v>
      </x:c>
      <x:c r="H225" s="32" t="str">
        <x:v>Бисквит</x:v>
      </x:c>
      <x:c r="I225" s="32" t="str">
        <x:v>VSF-027</x:v>
      </x:c>
      <x:c r="J225" s="32" t="n">
        <x:v>5</x:v>
      </x:c>
      <x:c r="K225" s="32" t="str">
        <x:v>г</x:v>
      </x:c>
      <x:c r="L225" s="32" t="n">
        <x:v>5</x:v>
      </x:c>
      <x:c r="M225" s="32" t="n">
        <x:v>5</x:v>
      </x:c>
      <x:c r="N225" s="32" t="str">
        <x:v>ASSUMPTION</x:v>
      </x:c>
      <x:c r="O225" s="32" t="str">
        <x:v>EVD-0007;EVD-0008</x:v>
      </x:c>
      <x:c r="P225" s="32" t="str">
        <x:v>GAP-004;GAP-005</x:v>
      </x:c>
    </x:row>
    <x:row r="226">
      <x:c r="A226" s="32" t="str">
        <x:v>RCP-0221</x:v>
      </x:c>
      <x:c r="B226" s="32" t="str">
        <x:v>VKM-029</x:v>
      </x:c>
      <x:c r="C226" s="32" t="str">
        <x:v>VKC-029</x:v>
      </x:c>
      <x:c r="D226" s="32" t="str">
        <x:v>VKT-029</x:v>
      </x:c>
      <x:c r="E226" s="32" t="str">
        <x:v>0.1.0-DRAFT</x:v>
      </x:c>
      <x:c r="F226" s="32" t="str">
        <x:v>ING-106</x:v>
      </x:c>
      <x:c r="G226" s="32" t="str">
        <x:v>Соль</x:v>
      </x:c>
      <x:c r="H226" s="32" t="str">
        <x:v>Бисквит</x:v>
      </x:c>
      <x:c r="I226" s="32" t="str">
        <x:v>VSF-027</x:v>
      </x:c>
      <x:c r="J226" s="32" t="n">
        <x:v>2</x:v>
      </x:c>
      <x:c r="K226" s="32" t="str">
        <x:v>г</x:v>
      </x:c>
      <x:c r="L226" s="32" t="n">
        <x:v>2</x:v>
      </x:c>
      <x:c r="M226" s="32" t="n">
        <x:v>2</x:v>
      </x:c>
      <x:c r="N226" s="32" t="str">
        <x:v>ASSUMPTION</x:v>
      </x:c>
      <x:c r="O226" s="32" t="str">
        <x:v>EVD-0007;EVD-0008</x:v>
      </x:c>
      <x:c r="P226" s="32" t="str">
        <x:v>GAP-004;GAP-005</x:v>
      </x:c>
    </x:row>
    <x:row r="227">
      <x:c r="A227" s="32" t="str">
        <x:v>RCP-0222</x:v>
      </x:c>
      <x:c r="B227" s="32" t="str">
        <x:v>VKM-029</x:v>
      </x:c>
      <x:c r="C227" s="32" t="str">
        <x:v>VKC-029</x:v>
      </x:c>
      <x:c r="D227" s="32" t="str">
        <x:v>VKT-029</x:v>
      </x:c>
      <x:c r="E227" s="32" t="str">
        <x:v>0.1.0-DRAFT</x:v>
      </x:c>
      <x:c r="F227" s="32" t="str">
        <x:v>ING-107</x:v>
      </x:c>
      <x:c r="G227" s="32" t="str">
        <x:v>Черника</x:v>
      </x:c>
      <x:c r="H227" s="32" t="str">
        <x:v>Крем</x:v>
      </x:c>
      <x:c r="I227" s="32" t="str">
        <x:v>VSF-028</x:v>
      </x:c>
      <x:c r="J227" s="32" t="n">
        <x:v>330</x:v>
      </x:c>
      <x:c r="K227" s="32" t="str">
        <x:v>г</x:v>
      </x:c>
      <x:c r="L227" s="32" t="n">
        <x:v>315</x:v>
      </x:c>
      <x:c r="M227" s="32" t="n">
        <x:v>300</x:v>
      </x:c>
      <x:c r="N227" s="32" t="str">
        <x:v>ASSUMPTION</x:v>
      </x:c>
      <x:c r="O227" s="32" t="str">
        <x:v>EVD-0007;EVD-0008</x:v>
      </x:c>
      <x:c r="P227" s="32" t="str">
        <x:v>GAP-004;GAP-005</x:v>
      </x:c>
    </x:row>
    <x:row r="228">
      <x:c r="A228" s="32" t="str">
        <x:v>RCP-0223</x:v>
      </x:c>
      <x:c r="B228" s="32" t="str">
        <x:v>VKM-029</x:v>
      </x:c>
      <x:c r="C228" s="32" t="str">
        <x:v>VKC-029</x:v>
      </x:c>
      <x:c r="D228" s="32" t="str">
        <x:v>VKT-029</x:v>
      </x:c>
      <x:c r="E228" s="32" t="str">
        <x:v>0.1.0-DRAFT</x:v>
      </x:c>
      <x:c r="F228" s="32" t="str">
        <x:v>ING-108</x:v>
      </x:c>
      <x:c r="G228" s="32" t="str">
        <x:v>Сыр сливочный</x:v>
      </x:c>
      <x:c r="H228" s="32" t="str">
        <x:v>Крем</x:v>
      </x:c>
      <x:c r="I228" s="32" t="str">
        <x:v>VSF-028</x:v>
      </x:c>
      <x:c r="J228" s="32" t="n">
        <x:v>250</x:v>
      </x:c>
      <x:c r="K228" s="32" t="str">
        <x:v>г</x:v>
      </x:c>
      <x:c r="L228" s="32" t="n">
        <x:v>250</x:v>
      </x:c>
      <x:c r="M228" s="32" t="n">
        <x:v>250</x:v>
      </x:c>
      <x:c r="N228" s="32" t="str">
        <x:v>ASSUMPTION</x:v>
      </x:c>
      <x:c r="O228" s="32" t="str">
        <x:v>EVD-0007;EVD-0008</x:v>
      </x:c>
      <x:c r="P228" s="32" t="str">
        <x:v>GAP-004;GAP-005</x:v>
      </x:c>
    </x:row>
    <x:row r="229">
      <x:c r="A229" s="32" t="str">
        <x:v>RCP-0224</x:v>
      </x:c>
      <x:c r="B229" s="32" t="str">
        <x:v>VKM-029</x:v>
      </x:c>
      <x:c r="C229" s="32" t="str">
        <x:v>VKC-029</x:v>
      </x:c>
      <x:c r="D229" s="32" t="str">
        <x:v>VKT-029</x:v>
      </x:c>
      <x:c r="E229" s="32" t="str">
        <x:v>0.1.0-DRAFT</x:v>
      </x:c>
      <x:c r="F229" s="32" t="str">
        <x:v>ING-077</x:v>
      </x:c>
      <x:c r="G229" s="32" t="str">
        <x:v>Сливки</x:v>
      </x:c>
      <x:c r="H229" s="32" t="str">
        <x:v>Крем</x:v>
      </x:c>
      <x:c r="I229" s="32" t="str">
        <x:v>VSF-028</x:v>
      </x:c>
      <x:c r="J229" s="32" t="n">
        <x:v>120</x:v>
      </x:c>
      <x:c r="K229" s="32" t="str">
        <x:v>г</x:v>
      </x:c>
      <x:c r="L229" s="32" t="n">
        <x:v>120</x:v>
      </x:c>
      <x:c r="M229" s="32" t="n">
        <x:v>120</x:v>
      </x:c>
      <x:c r="N229" s="32" t="str">
        <x:v>ASSUMPTION</x:v>
      </x:c>
      <x:c r="O229" s="32" t="str">
        <x:v>EVD-0007;EVD-0008</x:v>
      </x:c>
      <x:c r="P229" s="32" t="str">
        <x:v>GAP-004;GAP-005</x:v>
      </x:c>
    </x:row>
    <x:row r="230">
      <x:c r="A230" s="32" t="str">
        <x:v>RCP-0225</x:v>
      </x:c>
      <x:c r="B230" s="32" t="str">
        <x:v>VKM-029</x:v>
      </x:c>
      <x:c r="C230" s="32" t="str">
        <x:v>VKC-029</x:v>
      </x:c>
      <x:c r="D230" s="32" t="str">
        <x:v>VKT-029</x:v>
      </x:c>
      <x:c r="E230" s="32" t="str">
        <x:v>0.1.0-DRAFT</x:v>
      </x:c>
      <x:c r="F230" s="32" t="str">
        <x:v>ING-109</x:v>
      </x:c>
      <x:c r="G230" s="32" t="str">
        <x:v>Сахарная пудра</x:v>
      </x:c>
      <x:c r="H230" s="32" t="str">
        <x:v>Крем</x:v>
      </x:c>
      <x:c r="I230" s="32" t="str">
        <x:v>VSF-028</x:v>
      </x:c>
      <x:c r="J230" s="32" t="n">
        <x:v>30</x:v>
      </x:c>
      <x:c r="K230" s="32" t="str">
        <x:v>г</x:v>
      </x:c>
      <x:c r="L230" s="32" t="n">
        <x:v>30</x:v>
      </x:c>
      <x:c r="M230" s="32" t="n">
        <x:v>30</x:v>
      </x:c>
      <x:c r="N230" s="32" t="str">
        <x:v>ASSUMPTION</x:v>
      </x:c>
      <x:c r="O230" s="32" t="str">
        <x:v>EVD-0007;EVD-0008</x:v>
      </x:c>
      <x:c r="P230" s="32" t="str">
        <x:v>GAP-004;GAP-005</x:v>
      </x:c>
    </x:row>
    <x:row r="231">
      <x:c r="A231" s="32" t="str">
        <x:v>RCP-0226</x:v>
      </x:c>
      <x:c r="B231" s="32" t="str">
        <x:v>VKM-029</x:v>
      </x:c>
      <x:c r="C231" s="32" t="str">
        <x:v>VKC-029</x:v>
      </x:c>
      <x:c r="D231" s="32" t="str">
        <x:v>VKT-029</x:v>
      </x:c>
      <x:c r="E231" s="32" t="str">
        <x:v>0.1.0-DRAFT</x:v>
      </x:c>
      <x:c r="F231" s="32" t="str">
        <x:v>ING-107</x:v>
      </x:c>
      <x:c r="G231" s="32" t="str">
        <x:v>Черника</x:v>
      </x:c>
      <x:c r="H231" s="32" t="str">
        <x:v>Компоте</x:v>
      </x:c>
      <x:c r="I231" s="32" t="str">
        <x:v>VSF-029</x:v>
      </x:c>
      <x:c r="J231" s="32" t="n">
        <x:v>200</x:v>
      </x:c>
      <x:c r="K231" s="32" t="str">
        <x:v>г</x:v>
      </x:c>
      <x:c r="L231" s="32" t="n">
        <x:v>190</x:v>
      </x:c>
      <x:c r="M231" s="32" t="n">
        <x:v>180</x:v>
      </x:c>
      <x:c r="N231" s="32" t="str">
        <x:v>ASSUMPTION</x:v>
      </x:c>
      <x:c r="O231" s="32" t="str">
        <x:v>EVD-0007;EVD-0008</x:v>
      </x:c>
      <x:c r="P231" s="32" t="str">
        <x:v>GAP-004;GAP-005</x:v>
      </x:c>
    </x:row>
    <x:row r="232">
      <x:c r="A232" s="32" t="str">
        <x:v>RCP-0227</x:v>
      </x:c>
      <x:c r="B232" s="32" t="str">
        <x:v>VKM-029</x:v>
      </x:c>
      <x:c r="C232" s="32" t="str">
        <x:v>VKC-029</x:v>
      </x:c>
      <x:c r="D232" s="32" t="str">
        <x:v>VKT-029</x:v>
      </x:c>
      <x:c r="E232" s="32" t="str">
        <x:v>0.1.0-DRAFT</x:v>
      </x:c>
      <x:c r="F232" s="32" t="str">
        <x:v>ING-028</x:v>
      </x:c>
      <x:c r="G232" s="32" t="str">
        <x:v>Сахар</x:v>
      </x:c>
      <x:c r="H232" s="32" t="str">
        <x:v>Компоте</x:v>
      </x:c>
      <x:c r="I232" s="32" t="str">
        <x:v>VSF-029</x:v>
      </x:c>
      <x:c r="J232" s="32" t="n">
        <x:v>70</x:v>
      </x:c>
      <x:c r="K232" s="32" t="str">
        <x:v>г</x:v>
      </x:c>
      <x:c r="L232" s="32" t="n">
        <x:v>70</x:v>
      </x:c>
      <x:c r="M232" s="32" t="n">
        <x:v>70</x:v>
      </x:c>
      <x:c r="N232" s="32" t="str">
        <x:v>ASSUMPTION</x:v>
      </x:c>
      <x:c r="O232" s="32" t="str">
        <x:v>EVD-0007;EVD-0008</x:v>
      </x:c>
      <x:c r="P232" s="32" t="str">
        <x:v>GAP-004;GAP-005</x:v>
      </x:c>
    </x:row>
    <x:row r="233">
      <x:c r="A233" s="32" t="str">
        <x:v>RCP-0228</x:v>
      </x:c>
      <x:c r="B233" s="32" t="str">
        <x:v>VKM-029</x:v>
      </x:c>
      <x:c r="C233" s="32" t="str">
        <x:v>VKC-029</x:v>
      </x:c>
      <x:c r="D233" s="32" t="str">
        <x:v>VKT-029</x:v>
      </x:c>
      <x:c r="E233" s="32" t="str">
        <x:v>0.1.0-DRAFT</x:v>
      </x:c>
      <x:c r="F233" s="32" t="str">
        <x:v>ING-110</x:v>
      </x:c>
      <x:c r="G233" s="32" t="str">
        <x:v>Пектин или крахмал</x:v>
      </x:c>
      <x:c r="H233" s="32" t="str">
        <x:v>Компоте</x:v>
      </x:c>
      <x:c r="I233" s="32" t="str">
        <x:v>VSF-029</x:v>
      </x:c>
      <x:c r="J233" s="32" t="n">
        <x:v>20</x:v>
      </x:c>
      <x:c r="K233" s="32" t="str">
        <x:v>г</x:v>
      </x:c>
      <x:c r="L233" s="32" t="n">
        <x:v>20</x:v>
      </x:c>
      <x:c r="M233" s="32" t="n">
        <x:v>20</x:v>
      </x:c>
      <x:c r="N233" s="32" t="str">
        <x:v>ASSUMPTION</x:v>
      </x:c>
      <x:c r="O233" s="32" t="str">
        <x:v>EVD-0007;EVD-0008</x:v>
      </x:c>
      <x:c r="P233" s="32" t="str">
        <x:v>GAP-004;GAP-005</x:v>
      </x:c>
    </x:row>
    <x:row r="234">
      <x:c r="A234" s="32" t="str">
        <x:v>RCP-0229</x:v>
      </x:c>
      <x:c r="B234" s="32" t="str">
        <x:v>VKM-029</x:v>
      </x:c>
      <x:c r="C234" s="32" t="str">
        <x:v>VKC-029</x:v>
      </x:c>
      <x:c r="D234" s="32" t="str">
        <x:v>VKT-029</x:v>
      </x:c>
      <x:c r="E234" s="32" t="str">
        <x:v>0.1.0-DRAFT</x:v>
      </x:c>
      <x:c r="F234" s="32" t="str">
        <x:v>ING-002</x:v>
      </x:c>
      <x:c r="G234" s="32" t="str">
        <x:v>Вода питьевая</x:v>
      </x:c>
      <x:c r="H234" s="32" t="str">
        <x:v>Компоте</x:v>
      </x:c>
      <x:c r="I234" s="32" t="str">
        <x:v>VSF-029</x:v>
      </x:c>
      <x:c r="J234" s="32" t="n">
        <x:v>40</x:v>
      </x:c>
      <x:c r="K234" s="32" t="str">
        <x:v>г</x:v>
      </x:c>
      <x:c r="L234" s="32" t="n">
        <x:v>40</x:v>
      </x:c>
      <x:c r="M234" s="32" t="n">
        <x:v>30</x:v>
      </x:c>
      <x:c r="N234" s="32" t="str">
        <x:v>ASSUMPTION</x:v>
      </x:c>
      <x:c r="O234" s="32" t="str">
        <x:v>EVD-0007;EVD-0008</x:v>
      </x:c>
      <x:c r="P234" s="32" t="str">
        <x:v>GAP-004;GAP-005</x:v>
      </x:c>
    </x:row>
    <x:row r="235">
      <x:c r="A235" s="32" t="str">
        <x:v>RCP-0230</x:v>
      </x:c>
      <x:c r="B235" s="32" t="str">
        <x:v>VKM-029</x:v>
      </x:c>
      <x:c r="C235" s="32" t="str">
        <x:v>VKC-029</x:v>
      </x:c>
      <x:c r="D235" s="32" t="str">
        <x:v>VKT-029</x:v>
      </x:c>
      <x:c r="E235" s="32" t="str">
        <x:v>0.1.0-DRAFT</x:v>
      </x:c>
      <x:c r="F235" s="32" t="str">
        <x:v>ING-111</x:v>
      </x:c>
      <x:c r="G235" s="32" t="str">
        <x:v>Глазурь проектная</x:v>
      </x:c>
      <x:c r="H235" s="32" t="str">
        <x:v>Глазурь</x:v>
      </x:c>
      <x:c r="I235" s="32" t="str">
        <x:v>VSF-030</x:v>
      </x:c>
      <x:c r="J235" s="32" t="n">
        <x:v>150</x:v>
      </x:c>
      <x:c r="K235" s="32" t="str">
        <x:v>г</x:v>
      </x:c>
      <x:c r="L235" s="32" t="n">
        <x:v>150</x:v>
      </x:c>
      <x:c r="M235" s="32" t="n">
        <x:v>150</x:v>
      </x:c>
      <x:c r="N235" s="32" t="str">
        <x:v>ASSUMPTION</x:v>
      </x:c>
      <x:c r="O235" s="32" t="str">
        <x:v>EVD-0007;EVD-0008</x:v>
      </x:c>
      <x:c r="P235" s="32" t="str">
        <x:v>GAP-004;GAP-005</x:v>
      </x:c>
    </x:row>
    <x:row r="236">
      <x:c r="A236" s="32" t="str">
        <x:v>RCP-0231</x:v>
      </x:c>
      <x:c r="B236" s="32" t="str">
        <x:v>VKM-029</x:v>
      </x:c>
      <x:c r="C236" s="32" t="str">
        <x:v>VKC-029</x:v>
      </x:c>
      <x:c r="D236" s="32" t="str">
        <x:v>VKT-029</x:v>
      </x:c>
      <x:c r="E236" s="32" t="str">
        <x:v>0.1.0-DRAFT</x:v>
      </x:c>
      <x:c r="F236" s="32" t="str">
        <x:v>ING-112</x:v>
      </x:c>
      <x:c r="G236" s="32" t="str">
        <x:v>Декор съедобный</x:v>
      </x:c>
      <x:c r="H236" s="32" t="str">
        <x:v>Декор</x:v>
      </x:c>
      <x:c r="I236" s="32"/>
      <x:c r="J236" s="32" t="n">
        <x:v>45</x:v>
      </x:c>
      <x:c r="K236" s="32" t="str">
        <x:v>г</x:v>
      </x:c>
      <x:c r="L236" s="32" t="n">
        <x:v>43</x:v>
      </x:c>
      <x:c r="M236" s="32" t="n">
        <x:v>43</x:v>
      </x:c>
      <x:c r="N236" s="32" t="str">
        <x:v>ASSUMPTION</x:v>
      </x:c>
      <x:c r="O236" s="32" t="str">
        <x:v>EVD-0007;EVD-0008</x:v>
      </x:c>
      <x:c r="P236" s="32" t="str">
        <x:v>GAP-004;GAP-005</x:v>
      </x:c>
    </x:row>
    <x:row r="237">
      <x:c r="A237" s="32" t="str">
        <x:v>RCP-0232</x:v>
      </x:c>
      <x:c r="B237" s="32" t="str">
        <x:v>VKM-030</x:v>
      </x:c>
      <x:c r="C237" s="32" t="str">
        <x:v>VKC-030</x:v>
      </x:c>
      <x:c r="D237" s="32" t="str">
        <x:v>VKT-030</x:v>
      </x:c>
      <x:c r="E237" s="32" t="str">
        <x:v>0.1.0-DRAFT</x:v>
      </x:c>
      <x:c r="F237" s="32" t="str">
        <x:v>ING-104</x:v>
      </x:c>
      <x:c r="G237" s="32" t="str">
        <x:v>Мука пшеничная кондитерская</x:v>
      </x:c>
      <x:c r="H237" s="32" t="str">
        <x:v>Песочное тесто</x:v>
      </x:c>
      <x:c r="I237" s="32" t="str">
        <x:v>VSF-031</x:v>
      </x:c>
      <x:c r="J237" s="32" t="n">
        <x:v>310</x:v>
      </x:c>
      <x:c r="K237" s="32" t="str">
        <x:v>г</x:v>
      </x:c>
      <x:c r="L237" s="32" t="n">
        <x:v>310</x:v>
      </x:c>
      <x:c r="M237" s="32" t="n">
        <x:v>300</x:v>
      </x:c>
      <x:c r="N237" s="32" t="str">
        <x:v>ASSUMPTION</x:v>
      </x:c>
      <x:c r="O237" s="32" t="str">
        <x:v>EVD-0007;EVD-0008</x:v>
      </x:c>
      <x:c r="P237" s="32" t="str">
        <x:v>GAP-004;GAP-005</x:v>
      </x:c>
    </x:row>
    <x:row r="238">
      <x:c r="A238" s="32" t="str">
        <x:v>RCP-0233</x:v>
      </x:c>
      <x:c r="B238" s="32" t="str">
        <x:v>VKM-030</x:v>
      </x:c>
      <x:c r="C238" s="32" t="str">
        <x:v>VKC-030</x:v>
      </x:c>
      <x:c r="D238" s="32" t="str">
        <x:v>VKT-030</x:v>
      </x:c>
      <x:c r="E238" s="32" t="str">
        <x:v>0.1.0-DRAFT</x:v>
      </x:c>
      <x:c r="F238" s="32" t="str">
        <x:v>ING-027</x:v>
      </x:c>
      <x:c r="G238" s="32" t="str">
        <x:v>Масло сливочное</x:v>
      </x:c>
      <x:c r="H238" s="32" t="str">
        <x:v>Песочное тесто</x:v>
      </x:c>
      <x:c r="I238" s="32" t="str">
        <x:v>VSF-031</x:v>
      </x:c>
      <x:c r="J238" s="32" t="n">
        <x:v>180</x:v>
      </x:c>
      <x:c r="K238" s="32" t="str">
        <x:v>г</x:v>
      </x:c>
      <x:c r="L238" s="32" t="n">
        <x:v>180</x:v>
      </x:c>
      <x:c r="M238" s="32" t="n">
        <x:v>180</x:v>
      </x:c>
      <x:c r="N238" s="32" t="str">
        <x:v>ASSUMPTION</x:v>
      </x:c>
      <x:c r="O238" s="32" t="str">
        <x:v>EVD-0007;EVD-0008</x:v>
      </x:c>
      <x:c r="P238" s="32" t="str">
        <x:v>GAP-004;GAP-005</x:v>
      </x:c>
    </x:row>
    <x:row r="239">
      <x:c r="A239" s="32" t="str">
        <x:v>RCP-0234</x:v>
      </x:c>
      <x:c r="B239" s="32" t="str">
        <x:v>VKM-030</x:v>
      </x:c>
      <x:c r="C239" s="32" t="str">
        <x:v>VKC-030</x:v>
      </x:c>
      <x:c r="D239" s="32" t="str">
        <x:v>VKT-030</x:v>
      </x:c>
      <x:c r="E239" s="32" t="str">
        <x:v>0.1.0-DRAFT</x:v>
      </x:c>
      <x:c r="F239" s="32" t="str">
        <x:v>ING-109</x:v>
      </x:c>
      <x:c r="G239" s="32" t="str">
        <x:v>Сахарная пудра</x:v>
      </x:c>
      <x:c r="H239" s="32" t="str">
        <x:v>Песочное тесто</x:v>
      </x:c>
      <x:c r="I239" s="32" t="str">
        <x:v>VSF-031</x:v>
      </x:c>
      <x:c r="J239" s="32" t="n">
        <x:v>70</x:v>
      </x:c>
      <x:c r="K239" s="32" t="str">
        <x:v>г</x:v>
      </x:c>
      <x:c r="L239" s="32" t="n">
        <x:v>70</x:v>
      </x:c>
      <x:c r="M239" s="32" t="n">
        <x:v>70</x:v>
      </x:c>
      <x:c r="N239" s="32" t="str">
        <x:v>ASSUMPTION</x:v>
      </x:c>
      <x:c r="O239" s="32" t="str">
        <x:v>EVD-0007;EVD-0008</x:v>
      </x:c>
      <x:c r="P239" s="32" t="str">
        <x:v>GAP-004;GAP-005</x:v>
      </x:c>
    </x:row>
    <x:row r="240">
      <x:c r="A240" s="32" t="str">
        <x:v>RCP-0235</x:v>
      </x:c>
      <x:c r="B240" s="32" t="str">
        <x:v>VKM-030</x:v>
      </x:c>
      <x:c r="C240" s="32" t="str">
        <x:v>VKC-030</x:v>
      </x:c>
      <x:c r="D240" s="32" t="str">
        <x:v>VKT-030</x:v>
      </x:c>
      <x:c r="E240" s="32" t="str">
        <x:v>0.1.0-DRAFT</x:v>
      </x:c>
      <x:c r="F240" s="32" t="str">
        <x:v>ING-026</x:v>
      </x:c>
      <x:c r="G240" s="32" t="str">
        <x:v>Яйцо или меланж</x:v>
      </x:c>
      <x:c r="H240" s="32" t="str">
        <x:v>Песочное тесто</x:v>
      </x:c>
      <x:c r="I240" s="32" t="str">
        <x:v>VSF-031</x:v>
      </x:c>
      <x:c r="J240" s="32" t="n">
        <x:v>45</x:v>
      </x:c>
      <x:c r="K240" s="32" t="str">
        <x:v>г</x:v>
      </x:c>
      <x:c r="L240" s="32" t="n">
        <x:v>45</x:v>
      </x:c>
      <x:c r="M240" s="32" t="n">
        <x:v>45</x:v>
      </x:c>
      <x:c r="N240" s="32" t="str">
        <x:v>ASSUMPTION</x:v>
      </x:c>
      <x:c r="O240" s="32" t="str">
        <x:v>EVD-0007;EVD-0008</x:v>
      </x:c>
      <x:c r="P240" s="32" t="str">
        <x:v>GAP-004;GAP-005</x:v>
      </x:c>
    </x:row>
    <x:row r="241">
      <x:c r="A241" s="32" t="str">
        <x:v>RCP-0236</x:v>
      </x:c>
      <x:c r="B241" s="32" t="str">
        <x:v>VKM-030</x:v>
      </x:c>
      <x:c r="C241" s="32" t="str">
        <x:v>VKC-030</x:v>
      </x:c>
      <x:c r="D241" s="32" t="str">
        <x:v>VKT-030</x:v>
      </x:c>
      <x:c r="E241" s="32" t="str">
        <x:v>0.1.0-DRAFT</x:v>
      </x:c>
      <x:c r="F241" s="32" t="str">
        <x:v>ING-106</x:v>
      </x:c>
      <x:c r="G241" s="32" t="str">
        <x:v>Соль</x:v>
      </x:c>
      <x:c r="H241" s="32" t="str">
        <x:v>Песочное тесто</x:v>
      </x:c>
      <x:c r="I241" s="32" t="str">
        <x:v>VSF-031</x:v>
      </x:c>
      <x:c r="J241" s="32" t="n">
        <x:v>5</x:v>
      </x:c>
      <x:c r="K241" s="32" t="str">
        <x:v>г</x:v>
      </x:c>
      <x:c r="L241" s="32" t="n">
        <x:v>5</x:v>
      </x:c>
      <x:c r="M241" s="32" t="n">
        <x:v>5</x:v>
      </x:c>
      <x:c r="N241" s="32" t="str">
        <x:v>ASSUMPTION</x:v>
      </x:c>
      <x:c r="O241" s="32" t="str">
        <x:v>EVD-0007;EVD-0008</x:v>
      </x:c>
      <x:c r="P241" s="32" t="str">
        <x:v>GAP-004;GAP-005</x:v>
      </x:c>
    </x:row>
    <x:row r="242">
      <x:c r="A242" s="32" t="str">
        <x:v>RCP-0237</x:v>
      </x:c>
      <x:c r="B242" s="32" t="str">
        <x:v>VKM-030</x:v>
      </x:c>
      <x:c r="C242" s="32" t="str">
        <x:v>VKC-030</x:v>
      </x:c>
      <x:c r="D242" s="32" t="str">
        <x:v>VKT-030</x:v>
      </x:c>
      <x:c r="E242" s="32" t="str">
        <x:v>0.1.0-DRAFT</x:v>
      </x:c>
      <x:c r="F242" s="32" t="str">
        <x:v>ING-028</x:v>
      </x:c>
      <x:c r="G242" s="32" t="str">
        <x:v>Сахар</x:v>
      </x:c>
      <x:c r="H242" s="32" t="str">
        <x:v>Солёная карамель</x:v>
      </x:c>
      <x:c r="I242" s="32" t="str">
        <x:v>VSF-032</x:v>
      </x:c>
      <x:c r="J242" s="32" t="n">
        <x:v>180</x:v>
      </x:c>
      <x:c r="K242" s="32" t="str">
        <x:v>г</x:v>
      </x:c>
      <x:c r="L242" s="32" t="n">
        <x:v>180</x:v>
      </x:c>
      <x:c r="M242" s="32" t="n">
        <x:v>180</x:v>
      </x:c>
      <x:c r="N242" s="32" t="str">
        <x:v>ASSUMPTION</x:v>
      </x:c>
      <x:c r="O242" s="32" t="str">
        <x:v>EVD-0007;EVD-0008</x:v>
      </x:c>
      <x:c r="P242" s="32" t="str">
        <x:v>GAP-004;GAP-005</x:v>
      </x:c>
    </x:row>
    <x:row r="243">
      <x:c r="A243" s="32" t="str">
        <x:v>RCP-0238</x:v>
      </x:c>
      <x:c r="B243" s="32" t="str">
        <x:v>VKM-030</x:v>
      </x:c>
      <x:c r="C243" s="32" t="str">
        <x:v>VKC-030</x:v>
      </x:c>
      <x:c r="D243" s="32" t="str">
        <x:v>VKT-030</x:v>
      </x:c>
      <x:c r="E243" s="32" t="str">
        <x:v>0.1.0-DRAFT</x:v>
      </x:c>
      <x:c r="F243" s="32" t="str">
        <x:v>ING-077</x:v>
      </x:c>
      <x:c r="G243" s="32" t="str">
        <x:v>Сливки</x:v>
      </x:c>
      <x:c r="H243" s="32" t="str">
        <x:v>Солёная карамель</x:v>
      </x:c>
      <x:c r="I243" s="32" t="str">
        <x:v>VSF-032</x:v>
      </x:c>
      <x:c r="J243" s="32" t="n">
        <x:v>105</x:v>
      </x:c>
      <x:c r="K243" s="32" t="str">
        <x:v>г</x:v>
      </x:c>
      <x:c r="L243" s="32" t="n">
        <x:v>105</x:v>
      </x:c>
      <x:c r="M243" s="32" t="n">
        <x:v>100</x:v>
      </x:c>
      <x:c r="N243" s="32" t="str">
        <x:v>ASSUMPTION</x:v>
      </x:c>
      <x:c r="O243" s="32" t="str">
        <x:v>EVD-0007;EVD-0008</x:v>
      </x:c>
      <x:c r="P243" s="32" t="str">
        <x:v>GAP-004;GAP-005</x:v>
      </x:c>
    </x:row>
    <x:row r="244">
      <x:c r="A244" s="32" t="str">
        <x:v>RCP-0239</x:v>
      </x:c>
      <x:c r="B244" s="32" t="str">
        <x:v>VKM-030</x:v>
      </x:c>
      <x:c r="C244" s="32" t="str">
        <x:v>VKC-030</x:v>
      </x:c>
      <x:c r="D244" s="32" t="str">
        <x:v>VKT-030</x:v>
      </x:c>
      <x:c r="E244" s="32" t="str">
        <x:v>0.1.0-DRAFT</x:v>
      </x:c>
      <x:c r="F244" s="32" t="str">
        <x:v>ING-027</x:v>
      </x:c>
      <x:c r="G244" s="32" t="str">
        <x:v>Масло сливочное</x:v>
      </x:c>
      <x:c r="H244" s="32" t="str">
        <x:v>Солёная карамель</x:v>
      </x:c>
      <x:c r="I244" s="32" t="str">
        <x:v>VSF-032</x:v>
      </x:c>
      <x:c r="J244" s="32" t="n">
        <x:v>60</x:v>
      </x:c>
      <x:c r="K244" s="32" t="str">
        <x:v>г</x:v>
      </x:c>
      <x:c r="L244" s="32" t="n">
        <x:v>60</x:v>
      </x:c>
      <x:c r="M244" s="32" t="n">
        <x:v>60</x:v>
      </x:c>
      <x:c r="N244" s="32" t="str">
        <x:v>ASSUMPTION</x:v>
      </x:c>
      <x:c r="O244" s="32" t="str">
        <x:v>EVD-0007;EVD-0008</x:v>
      </x:c>
      <x:c r="P244" s="32" t="str">
        <x:v>GAP-004;GAP-005</x:v>
      </x:c>
    </x:row>
    <x:row r="245">
      <x:c r="A245" s="32" t="str">
        <x:v>RCP-0240</x:v>
      </x:c>
      <x:c r="B245" s="32" t="str">
        <x:v>VKM-030</x:v>
      </x:c>
      <x:c r="C245" s="32" t="str">
        <x:v>VKC-030</x:v>
      </x:c>
      <x:c r="D245" s="32" t="str">
        <x:v>VKT-030</x:v>
      </x:c>
      <x:c r="E245" s="32" t="str">
        <x:v>0.1.0-DRAFT</x:v>
      </x:c>
      <x:c r="F245" s="32" t="str">
        <x:v>ING-106</x:v>
      </x:c>
      <x:c r="G245" s="32" t="str">
        <x:v>Соль</x:v>
      </x:c>
      <x:c r="H245" s="32" t="str">
        <x:v>Солёная карамель</x:v>
      </x:c>
      <x:c r="I245" s="32" t="str">
        <x:v>VSF-032</x:v>
      </x:c>
      <x:c r="J245" s="32" t="n">
        <x:v>10</x:v>
      </x:c>
      <x:c r="K245" s="32" t="str">
        <x:v>г</x:v>
      </x:c>
      <x:c r="L245" s="32" t="n">
        <x:v>10</x:v>
      </x:c>
      <x:c r="M245" s="32" t="n">
        <x:v>10</x:v>
      </x:c>
      <x:c r="N245" s="32" t="str">
        <x:v>ASSUMPTION</x:v>
      </x:c>
      <x:c r="O245" s="32" t="str">
        <x:v>EVD-0007;EVD-0008</x:v>
      </x:c>
      <x:c r="P245" s="32" t="str">
        <x:v>GAP-004;GAP-005</x:v>
      </x:c>
    </x:row>
    <x:row r="246">
      <x:c r="A246" s="32" t="str">
        <x:v>RCP-0241</x:v>
      </x:c>
      <x:c r="B246" s="32" t="str">
        <x:v>VKM-030</x:v>
      </x:c>
      <x:c r="C246" s="32" t="str">
        <x:v>VKC-030</x:v>
      </x:c>
      <x:c r="D246" s="32" t="str">
        <x:v>VKT-030</x:v>
      </x:c>
      <x:c r="E246" s="32" t="str">
        <x:v>0.1.0-DRAFT</x:v>
      </x:c>
      <x:c r="F246" s="32" t="str">
        <x:v>ING-108</x:v>
      </x:c>
      <x:c r="G246" s="32" t="str">
        <x:v>Сыр сливочный</x:v>
      </x:c>
      <x:c r="H246" s="32" t="str">
        <x:v>Крем</x:v>
      </x:c>
      <x:c r="I246" s="32" t="str">
        <x:v>VSF-033</x:v>
      </x:c>
      <x:c r="J246" s="32" t="n">
        <x:v>120</x:v>
      </x:c>
      <x:c r="K246" s="32" t="str">
        <x:v>г</x:v>
      </x:c>
      <x:c r="L246" s="32" t="n">
        <x:v>120</x:v>
      </x:c>
      <x:c r="M246" s="32" t="n">
        <x:v>120</x:v>
      </x:c>
      <x:c r="N246" s="32" t="str">
        <x:v>ASSUMPTION</x:v>
      </x:c>
      <x:c r="O246" s="32" t="str">
        <x:v>EVD-0007;EVD-0008</x:v>
      </x:c>
      <x:c r="P246" s="32" t="str">
        <x:v>GAP-004;GAP-005</x:v>
      </x:c>
    </x:row>
    <x:row r="247">
      <x:c r="A247" s="32" t="str">
        <x:v>RCP-0242</x:v>
      </x:c>
      <x:c r="B247" s="32" t="str">
        <x:v>VKM-030</x:v>
      </x:c>
      <x:c r="C247" s="32" t="str">
        <x:v>VKC-030</x:v>
      </x:c>
      <x:c r="D247" s="32" t="str">
        <x:v>VKT-030</x:v>
      </x:c>
      <x:c r="E247" s="32" t="str">
        <x:v>0.1.0-DRAFT</x:v>
      </x:c>
      <x:c r="F247" s="32" t="str">
        <x:v>ING-077</x:v>
      </x:c>
      <x:c r="G247" s="32" t="str">
        <x:v>Сливки</x:v>
      </x:c>
      <x:c r="H247" s="32" t="str">
        <x:v>Крем</x:v>
      </x:c>
      <x:c r="I247" s="32" t="str">
        <x:v>VSF-033</x:v>
      </x:c>
      <x:c r="J247" s="32" t="n">
        <x:v>60</x:v>
      </x:c>
      <x:c r="K247" s="32" t="str">
        <x:v>г</x:v>
      </x:c>
      <x:c r="L247" s="32" t="n">
        <x:v>60</x:v>
      </x:c>
      <x:c r="M247" s="32" t="n">
        <x:v>60</x:v>
      </x:c>
      <x:c r="N247" s="32" t="str">
        <x:v>ASSUMPTION</x:v>
      </x:c>
      <x:c r="O247" s="32" t="str">
        <x:v>EVD-0007;EVD-0008</x:v>
      </x:c>
      <x:c r="P247" s="32" t="str">
        <x:v>GAP-004;GAP-005</x:v>
      </x:c>
    </x:row>
    <x:row r="248">
      <x:c r="A248" s="32" t="str">
        <x:v>RCP-0243</x:v>
      </x:c>
      <x:c r="B248" s="32" t="str">
        <x:v>VKM-030</x:v>
      </x:c>
      <x:c r="C248" s="32" t="str">
        <x:v>VKC-030</x:v>
      </x:c>
      <x:c r="D248" s="32" t="str">
        <x:v>VKT-030</x:v>
      </x:c>
      <x:c r="E248" s="32" t="str">
        <x:v>0.1.0-DRAFT</x:v>
      </x:c>
      <x:c r="F248" s="32" t="str">
        <x:v>ING-109</x:v>
      </x:c>
      <x:c r="G248" s="32" t="str">
        <x:v>Сахарная пудра</x:v>
      </x:c>
      <x:c r="H248" s="32" t="str">
        <x:v>Крем</x:v>
      </x:c>
      <x:c r="I248" s="32" t="str">
        <x:v>VSF-033</x:v>
      </x:c>
      <x:c r="J248" s="32" t="n">
        <x:v>20</x:v>
      </x:c>
      <x:c r="K248" s="32" t="str">
        <x:v>г</x:v>
      </x:c>
      <x:c r="L248" s="32" t="n">
        <x:v>20</x:v>
      </x:c>
      <x:c r="M248" s="32" t="n">
        <x:v>20</x:v>
      </x:c>
      <x:c r="N248" s="32" t="str">
        <x:v>ASSUMPTION</x:v>
      </x:c>
      <x:c r="O248" s="32" t="str">
        <x:v>EVD-0007;EVD-0008</x:v>
      </x:c>
      <x:c r="P248" s="32" t="str">
        <x:v>GAP-004;GAP-005</x:v>
      </x:c>
    </x:row>
    <x:row r="249">
      <x:c r="A249" s="32" t="str">
        <x:v>RCP-0244</x:v>
      </x:c>
      <x:c r="B249" s="32" t="str">
        <x:v>VKM-030</x:v>
      </x:c>
      <x:c r="C249" s="32" t="str">
        <x:v>VKC-030</x:v>
      </x:c>
      <x:c r="D249" s="32" t="str">
        <x:v>VKT-030</x:v>
      </x:c>
      <x:c r="E249" s="32" t="str">
        <x:v>0.1.0-DRAFT</x:v>
      </x:c>
      <x:c r="F249" s="32" t="str">
        <x:v>ING-112</x:v>
      </x:c>
      <x:c r="G249" s="32" t="str">
        <x:v>Декор съедобный</x:v>
      </x:c>
      <x:c r="H249" s="32" t="str">
        <x:v>Декор</x:v>
      </x:c>
      <x:c r="I249" s="32"/>
      <x:c r="J249" s="32" t="n">
        <x:v>52</x:v>
      </x:c>
      <x:c r="K249" s="32" t="str">
        <x:v>г</x:v>
      </x:c>
      <x:c r="L249" s="32" t="n">
        <x:v>50</x:v>
      </x:c>
      <x:c r="M249" s="32" t="n">
        <x:v>50</x:v>
      </x:c>
      <x:c r="N249" s="32" t="str">
        <x:v>ASSUMPTION</x:v>
      </x:c>
      <x:c r="O249" s="32" t="str">
        <x:v>EVD-0007;EVD-0008</x:v>
      </x:c>
      <x:c r="P249" s="32" t="str">
        <x:v>GAP-004;GAP-005</x:v>
      </x:c>
    </x:row>
    <x:row r="250">
      <x:c r="A250" s="32" t="str">
        <x:v>RCP-0245</x:v>
      </x:c>
      <x:c r="B250" s="32" t="str">
        <x:v>VKM-031</x:v>
      </x:c>
      <x:c r="C250" s="32" t="str">
        <x:v>VKC-031</x:v>
      </x:c>
      <x:c r="D250" s="32" t="str">
        <x:v>VKT-031</x:v>
      </x:c>
      <x:c r="E250" s="32" t="str">
        <x:v>0.1.0-DRAFT</x:v>
      </x:c>
      <x:c r="F250" s="32" t="str">
        <x:v>ING-104</x:v>
      </x:c>
      <x:c r="G250" s="32" t="str">
        <x:v>Мука пшеничная кондитерская</x:v>
      </x:c>
      <x:c r="H250" s="32" t="str">
        <x:v>Тесто</x:v>
      </x:c>
      <x:c r="I250" s="32" t="str">
        <x:v>VSF-034</x:v>
      </x:c>
      <x:c r="J250" s="32" t="n">
        <x:v>145</x:v>
      </x:c>
      <x:c r="K250" s="32" t="str">
        <x:v>г</x:v>
      </x:c>
      <x:c r="L250" s="32" t="n">
        <x:v>145</x:v>
      </x:c>
      <x:c r="M250" s="32" t="n">
        <x:v>140</x:v>
      </x:c>
      <x:c r="N250" s="32" t="str">
        <x:v>ASSUMPTION</x:v>
      </x:c>
      <x:c r="O250" s="32" t="str">
        <x:v>EVD-0007;EVD-0008</x:v>
      </x:c>
      <x:c r="P250" s="32" t="str">
        <x:v>GAP-004;GAP-005</x:v>
      </x:c>
    </x:row>
    <x:row r="251">
      <x:c r="A251" s="32" t="str">
        <x:v>RCP-0246</x:v>
      </x:c>
      <x:c r="B251" s="32" t="str">
        <x:v>VKM-031</x:v>
      </x:c>
      <x:c r="C251" s="32" t="str">
        <x:v>VKC-031</x:v>
      </x:c>
      <x:c r="D251" s="32" t="str">
        <x:v>VKT-031</x:v>
      </x:c>
      <x:c r="E251" s="32" t="str">
        <x:v>0.1.0-DRAFT</x:v>
      </x:c>
      <x:c r="F251" s="32" t="str">
        <x:v>ING-026</x:v>
      </x:c>
      <x:c r="G251" s="32" t="str">
        <x:v>Яйцо или меланж</x:v>
      </x:c>
      <x:c r="H251" s="32" t="str">
        <x:v>Тесто</x:v>
      </x:c>
      <x:c r="I251" s="32" t="str">
        <x:v>VSF-034</x:v>
      </x:c>
      <x:c r="J251" s="32" t="n">
        <x:v>145</x:v>
      </x:c>
      <x:c r="K251" s="32" t="str">
        <x:v>г</x:v>
      </x:c>
      <x:c r="L251" s="32" t="n">
        <x:v>145</x:v>
      </x:c>
      <x:c r="M251" s="32" t="n">
        <x:v>140</x:v>
      </x:c>
      <x:c r="N251" s="32" t="str">
        <x:v>ASSUMPTION</x:v>
      </x:c>
      <x:c r="O251" s="32" t="str">
        <x:v>EVD-0007;EVD-0008</x:v>
      </x:c>
      <x:c r="P251" s="32" t="str">
        <x:v>GAP-004;GAP-005</x:v>
      </x:c>
    </x:row>
    <x:row r="252">
      <x:c r="A252" s="32" t="str">
        <x:v>RCP-0247</x:v>
      </x:c>
      <x:c r="B252" s="32" t="str">
        <x:v>VKM-031</x:v>
      </x:c>
      <x:c r="C252" s="32" t="str">
        <x:v>VKC-031</x:v>
      </x:c>
      <x:c r="D252" s="32" t="str">
        <x:v>VKT-031</x:v>
      </x:c>
      <x:c r="E252" s="32" t="str">
        <x:v>0.1.0-DRAFT</x:v>
      </x:c>
      <x:c r="F252" s="32" t="str">
        <x:v>ING-028</x:v>
      </x:c>
      <x:c r="G252" s="32" t="str">
        <x:v>Сахар</x:v>
      </x:c>
      <x:c r="H252" s="32" t="str">
        <x:v>Тесто</x:v>
      </x:c>
      <x:c r="I252" s="32" t="str">
        <x:v>VSF-034</x:v>
      </x:c>
      <x:c r="J252" s="32" t="n">
        <x:v>120</x:v>
      </x:c>
      <x:c r="K252" s="32" t="str">
        <x:v>г</x:v>
      </x:c>
      <x:c r="L252" s="32" t="n">
        <x:v>120</x:v>
      </x:c>
      <x:c r="M252" s="32" t="n">
        <x:v>120</x:v>
      </x:c>
      <x:c r="N252" s="32" t="str">
        <x:v>ASSUMPTION</x:v>
      </x:c>
      <x:c r="O252" s="32" t="str">
        <x:v>EVD-0007;EVD-0008</x:v>
      </x:c>
      <x:c r="P252" s="32" t="str">
        <x:v>GAP-004;GAP-005</x:v>
      </x:c>
    </x:row>
    <x:row r="253">
      <x:c r="A253" s="32" t="str">
        <x:v>RCP-0248</x:v>
      </x:c>
      <x:c r="B253" s="32" t="str">
        <x:v>VKM-031</x:v>
      </x:c>
      <x:c r="C253" s="32" t="str">
        <x:v>VKC-031</x:v>
      </x:c>
      <x:c r="D253" s="32" t="str">
        <x:v>VKT-031</x:v>
      </x:c>
      <x:c r="E253" s="32" t="str">
        <x:v>0.1.0-DRAFT</x:v>
      </x:c>
      <x:c r="F253" s="32" t="str">
        <x:v>ING-027</x:v>
      </x:c>
      <x:c r="G253" s="32" t="str">
        <x:v>Масло сливочное</x:v>
      </x:c>
      <x:c r="H253" s="32" t="str">
        <x:v>Тесто</x:v>
      </x:c>
      <x:c r="I253" s="32" t="str">
        <x:v>VSF-034</x:v>
      </x:c>
      <x:c r="J253" s="32" t="n">
        <x:v>140</x:v>
      </x:c>
      <x:c r="K253" s="32" t="str">
        <x:v>г</x:v>
      </x:c>
      <x:c r="L253" s="32" t="n">
        <x:v>140</x:v>
      </x:c>
      <x:c r="M253" s="32" t="n">
        <x:v>140</x:v>
      </x:c>
      <x:c r="N253" s="32" t="str">
        <x:v>ASSUMPTION</x:v>
      </x:c>
      <x:c r="O253" s="32" t="str">
        <x:v>EVD-0007;EVD-0008</x:v>
      </x:c>
      <x:c r="P253" s="32" t="str">
        <x:v>GAP-004;GAP-005</x:v>
      </x:c>
    </x:row>
    <x:row r="254">
      <x:c r="A254" s="32" t="str">
        <x:v>RCP-0249</x:v>
      </x:c>
      <x:c r="B254" s="32" t="str">
        <x:v>VKM-031</x:v>
      </x:c>
      <x:c r="C254" s="32" t="str">
        <x:v>VKC-031</x:v>
      </x:c>
      <x:c r="D254" s="32" t="str">
        <x:v>VKT-031</x:v>
      </x:c>
      <x:c r="E254" s="32" t="str">
        <x:v>0.1.0-DRAFT</x:v>
      </x:c>
      <x:c r="F254" s="32" t="str">
        <x:v>ING-025</x:v>
      </x:c>
      <x:c r="G254" s="32" t="str">
        <x:v>Молоко</x:v>
      </x:c>
      <x:c r="H254" s="32" t="str">
        <x:v>Тесто</x:v>
      </x:c>
      <x:c r="I254" s="32" t="str">
        <x:v>VSF-034</x:v>
      </x:c>
      <x:c r="J254" s="32" t="n">
        <x:v>30</x:v>
      </x:c>
      <x:c r="K254" s="32" t="str">
        <x:v>г</x:v>
      </x:c>
      <x:c r="L254" s="32" t="n">
        <x:v>30</x:v>
      </x:c>
      <x:c r="M254" s="32" t="n">
        <x:v>30</x:v>
      </x:c>
      <x:c r="N254" s="32" t="str">
        <x:v>ASSUMPTION</x:v>
      </x:c>
      <x:c r="O254" s="32" t="str">
        <x:v>EVD-0007;EVD-0008</x:v>
      </x:c>
      <x:c r="P254" s="32" t="str">
        <x:v>GAP-004;GAP-005</x:v>
      </x:c>
    </x:row>
    <x:row r="255">
      <x:c r="A255" s="32" t="str">
        <x:v>RCP-0250</x:v>
      </x:c>
      <x:c r="B255" s="32" t="str">
        <x:v>VKM-031</x:v>
      </x:c>
      <x:c r="C255" s="32" t="str">
        <x:v>VKC-031</x:v>
      </x:c>
      <x:c r="D255" s="32" t="str">
        <x:v>VKT-031</x:v>
      </x:c>
      <x:c r="E255" s="32" t="str">
        <x:v>0.1.0-DRAFT</x:v>
      </x:c>
      <x:c r="F255" s="32" t="str">
        <x:v>ING-040</x:v>
      </x:c>
      <x:c r="G255" s="32" t="str">
        <x:v>Мёд</x:v>
      </x:c>
      <x:c r="H255" s="32" t="str">
        <x:v>Тесто</x:v>
      </x:c>
      <x:c r="I255" s="32" t="str">
        <x:v>VSF-034</x:v>
      </x:c>
      <x:c r="J255" s="32" t="n">
        <x:v>15</x:v>
      </x:c>
      <x:c r="K255" s="32" t="str">
        <x:v>г</x:v>
      </x:c>
      <x:c r="L255" s="32" t="n">
        <x:v>15</x:v>
      </x:c>
      <x:c r="M255" s="32" t="n">
        <x:v>15</x:v>
      </x:c>
      <x:c r="N255" s="32" t="str">
        <x:v>ASSUMPTION</x:v>
      </x:c>
      <x:c r="O255" s="32" t="str">
        <x:v>EVD-0007;EVD-0008</x:v>
      </x:c>
      <x:c r="P255" s="32" t="str">
        <x:v>GAP-004;GAP-005</x:v>
      </x:c>
    </x:row>
    <x:row r="256">
      <x:c r="A256" s="32" t="str">
        <x:v>RCP-0251</x:v>
      </x:c>
      <x:c r="B256" s="32" t="str">
        <x:v>VKM-031</x:v>
      </x:c>
      <x:c r="C256" s="32" t="str">
        <x:v>VKC-031</x:v>
      </x:c>
      <x:c r="D256" s="32" t="str">
        <x:v>VKT-031</x:v>
      </x:c>
      <x:c r="E256" s="32" t="str">
        <x:v>0.1.0-DRAFT</x:v>
      </x:c>
      <x:c r="F256" s="32" t="str">
        <x:v>ING-105</x:v>
      </x:c>
      <x:c r="G256" s="32" t="str">
        <x:v>Разрыхлитель</x:v>
      </x:c>
      <x:c r="H256" s="32" t="str">
        <x:v>Тесто</x:v>
      </x:c>
      <x:c r="I256" s="32" t="str">
        <x:v>VSF-034</x:v>
      </x:c>
      <x:c r="J256" s="32" t="n">
        <x:v>5</x:v>
      </x:c>
      <x:c r="K256" s="32" t="str">
        <x:v>г</x:v>
      </x:c>
      <x:c r="L256" s="32" t="n">
        <x:v>5</x:v>
      </x:c>
      <x:c r="M256" s="32" t="n">
        <x:v>5</x:v>
      </x:c>
      <x:c r="N256" s="32" t="str">
        <x:v>ASSUMPTION</x:v>
      </x:c>
      <x:c r="O256" s="32" t="str">
        <x:v>EVD-0007;EVD-0008</x:v>
      </x:c>
      <x:c r="P256" s="32" t="str">
        <x:v>GAP-004;GAP-005</x:v>
      </x:c>
    </x:row>
    <x:row r="257">
      <x:c r="A257" s="32" t="str">
        <x:v>RCP-0252</x:v>
      </x:c>
      <x:c r="B257" s="32" t="str">
        <x:v>VKM-031</x:v>
      </x:c>
      <x:c r="C257" s="32" t="str">
        <x:v>VKC-031</x:v>
      </x:c>
      <x:c r="D257" s="32" t="str">
        <x:v>VKT-031</x:v>
      </x:c>
      <x:c r="E257" s="32" t="str">
        <x:v>0.1.0-DRAFT</x:v>
      </x:c>
      <x:c r="F257" s="32" t="str">
        <x:v>ING-113</x:v>
      </x:c>
      <x:c r="G257" s="32" t="str">
        <x:v>Цедра лимона</x:v>
      </x:c>
      <x:c r="H257" s="32" t="str">
        <x:v>Тесто</x:v>
      </x:c>
      <x:c r="I257" s="32" t="str">
        <x:v>VSF-034</x:v>
      </x:c>
      <x:c r="J257" s="32" t="n">
        <x:v>7</x:v>
      </x:c>
      <x:c r="K257" s="32" t="str">
        <x:v>г</x:v>
      </x:c>
      <x:c r="L257" s="32" t="n">
        <x:v>5</x:v>
      </x:c>
      <x:c r="M257" s="32" t="n">
        <x:v>5</x:v>
      </x:c>
      <x:c r="N257" s="32" t="str">
        <x:v>ASSUMPTION</x:v>
      </x:c>
      <x:c r="O257" s="32" t="str">
        <x:v>EVD-0007;EVD-0008</x:v>
      </x:c>
      <x:c r="P257" s="32" t="str">
        <x:v>GAP-004;GAP-005</x:v>
      </x:c>
    </x:row>
    <x:row r="258">
      <x:c r="A258" s="32" t="str">
        <x:v>RCP-0253</x:v>
      </x:c>
      <x:c r="B258" s="32" t="str">
        <x:v>VKM-031</x:v>
      </x:c>
      <x:c r="C258" s="32" t="str">
        <x:v>VKC-031</x:v>
      </x:c>
      <x:c r="D258" s="32" t="str">
        <x:v>VKT-031</x:v>
      </x:c>
      <x:c r="E258" s="32" t="str">
        <x:v>0.1.0-DRAFT</x:v>
      </x:c>
      <x:c r="F258" s="32" t="str">
        <x:v>ING-106</x:v>
      </x:c>
      <x:c r="G258" s="32" t="str">
        <x:v>Соль</x:v>
      </x:c>
      <x:c r="H258" s="32" t="str">
        <x:v>Тесто</x:v>
      </x:c>
      <x:c r="I258" s="32" t="str">
        <x:v>VSF-034</x:v>
      </x:c>
      <x:c r="J258" s="32" t="n">
        <x:v>5</x:v>
      </x:c>
      <x:c r="K258" s="32" t="str">
        <x:v>г</x:v>
      </x:c>
      <x:c r="L258" s="32" t="n">
        <x:v>5</x:v>
      </x:c>
      <x:c r="M258" s="32" t="n">
        <x:v>5</x:v>
      </x:c>
      <x:c r="N258" s="32" t="str">
        <x:v>ASSUMPTION</x:v>
      </x:c>
      <x:c r="O258" s="32" t="str">
        <x:v>EVD-0007;EVD-0008</x:v>
      </x:c>
      <x:c r="P258" s="32" t="str">
        <x:v>GAP-004;GAP-005</x:v>
      </x:c>
    </x:row>
  </x:sheetData>
  <x:mergeCells>
    <x:mergeCell ref="A1:P1"/>
    <x:mergeCell ref="A2:P2"/>
  </x:mergeCells>
  <x:conditionalFormatting sqref="N6:N258">
    <x:cfRule type="containsText" dxfId="4" priority="1" operator="containsText" text="BLOCK"/>
    <x:cfRule type="containsText" dxfId="5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942d97270dbc42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20" hidden="0" customWidth="1"/>
    <x:col min="5" max="5" width="10" hidden="0" customWidth="1"/>
    <x:col min="6" max="6" width="11" hidden="0" customWidth="1"/>
    <x:col min="7" max="7" width="11" hidden="0" customWidth="1"/>
    <x:col min="8" max="8" width="11" hidden="0" customWidth="1"/>
    <x:col min="9" max="9" width="8" hidden="0" customWidth="1"/>
    <x:col min="10" max="10" width="42" hidden="0" customWidth="1"/>
    <x:col min="11" max="11" width="16" hidden="0" customWidth="1"/>
    <x:col min="12" max="12" width="24" hidden="0" customWidth="1"/>
    <x:col min="13" max="13" width="22" hidden="0" customWidth="1"/>
    <x:col min="14" max="14" width="24" hidden="0" customWidth="1"/>
    <x:col min="15" max="15" width="44" hidden="0" customWidth="1"/>
  </x:cols>
  <x:sheetData>
    <x:row r="1" ht="30" customHeight="1">
      <x:c r="A1" s="26" t="str">
        <x:v>03 — Полуфабрикаты и DAG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</x:row>
    <x:row r="2" ht="27" customHeight="1">
      <x:c r="A2" s="28" t="str">
        <x:v>34 VSF; 42 edges; topology accepted, variants/yields/safety remain blocked.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 ht="34" customHeight="1">
      <x:c r="A5" s="31" t="str">
        <x:v>VSF</x:v>
      </x:c>
      <x:c r="B5" s="31" t="str">
        <x:v>Наименование</x:v>
      </x:c>
      <x:c r="C5" s="31" t="str">
        <x:v>Версия</x:v>
      </x:c>
      <x:c r="D5" s="31" t="str">
        <x:v>Variant</x:v>
      </x:c>
      <x:c r="E5" s="31" t="str">
        <x:v>Variants</x:v>
      </x:c>
      <x:c r="F5" s="31" t="str">
        <x:v>Брутто</x:v>
      </x:c>
      <x:c r="G5" s="31" t="str">
        <x:v>Нетто</x:v>
      </x:c>
      <x:c r="H5" s="31" t="str">
        <x:v>Выход</x:v>
      </x:c>
      <x:c r="I5" s="31" t="str">
        <x:v>Ед.</x:v>
      </x:c>
      <x:c r="J5" s="31" t="str">
        <x:v>Блюда</x:v>
      </x:c>
      <x:c r="K5" s="31" t="str">
        <x:v>Child VSF</x:v>
      </x:c>
      <x:c r="L5" s="31" t="str">
        <x:v>Статус</x:v>
      </x:c>
      <x:c r="M5" s="31" t="str">
        <x:v>Evidence</x:v>
      </x:c>
      <x:c r="N5" s="31" t="str">
        <x:v>Blockers</x:v>
      </x:c>
      <x:c r="O5" s="31" t="str">
        <x:v>Анти-double-counting</x:v>
      </x:c>
    </x:row>
    <x:row r="6">
      <x:c r="A6" s="32" t="str">
        <x:v>VSF-001</x:v>
      </x:c>
      <x:c r="B6" s="32" t="str">
        <x:v>Тесто для пиццы базовое</x:v>
      </x:c>
      <x:c r="C6" s="32" t="str">
        <x:v>0.1.0-DRAFT</x:v>
      </x:c>
      <x:c r="D6" s="32" t="str">
        <x:v>VSF-001@VKM-001</x:v>
      </x:c>
      <x:c r="E6" s="32" t="n">
        <x:v>4</x:v>
      </x:c>
      <x:c r="F6" s="32" t="n">
        <x:v>238</x:v>
      </x:c>
      <x:c r="G6" s="32" t="n">
        <x:v>238</x:v>
      </x:c>
      <x:c r="H6" s="32" t="n">
        <x:v>213</x:v>
      </x:c>
      <x:c r="I6" s="32" t="str">
        <x:v>г</x:v>
      </x:c>
      <x:c r="J6" s="32" t="str">
        <x:v>VKM-001;VKM-002;VKM-003;VKM-004</x:v>
      </x:c>
      <x:c r="K6" s="32"/>
      <x:c r="L6" s="32" t="str">
        <x:v>BLOCKED_PENDING_VALIDATION</x:v>
      </x:c>
      <x:c r="M6" s="32" t="str">
        <x:v>EVD-0009;EVD-0007;EVD-0008</x:v>
      </x:c>
      <x:c r="N6" s="32" t="str">
        <x:v>GAP-006;GAP-010;GAP-011;GAP-SF-001</x:v>
      </x:c>
      <x:c r="O6" s="32" t="str">
        <x:v>At each parent include either CHILD_VSF cost or that child's raw lines, never both; top-level dish excludes flattened lines reassigned to a VSF</x:v>
      </x:c>
    </x:row>
    <x:row r="7">
      <x:c r="A7" s="32" t="str">
        <x:v>VSF-002</x:v>
      </x:c>
      <x:c r="B7" s="32" t="str">
        <x:v>Соус томатный для пиццы</x:v>
      </x:c>
      <x:c r="C7" s="32" t="str">
        <x:v>0.1.0-DRAFT</x:v>
      </x:c>
      <x:c r="D7" s="32" t="str">
        <x:v>VSF-002@VKM-001</x:v>
      </x:c>
      <x:c r="E7" s="32" t="n">
        <x:v>4</x:v>
      </x:c>
      <x:c r="F7" s="32" t="n">
        <x:v>83.2</x:v>
      </x:c>
      <x:c r="G7" s="32" t="n">
        <x:v>83</x:v>
      </x:c>
      <x:c r="H7" s="32" t="n">
        <x:v>80</x:v>
      </x:c>
      <x:c r="I7" s="32" t="str">
        <x:v>г</x:v>
      </x:c>
      <x:c r="J7" s="32" t="str">
        <x:v>VKM-001;VKM-002;VKM-003;VKM-004</x:v>
      </x:c>
      <x:c r="K7" s="32"/>
      <x:c r="L7" s="32" t="str">
        <x:v>BLOCKED_PENDING_VALIDATION</x:v>
      </x:c>
      <x:c r="M7" s="32" t="str">
        <x:v>EVD-0009;EVD-0007;EVD-0008</x:v>
      </x:c>
      <x:c r="N7" s="32" t="str">
        <x:v>GAP-006;GAP-010;GAP-011;GAP-SF-001</x:v>
      </x:c>
      <x:c r="O7" s="32" t="str">
        <x:v>At each parent include either CHILD_VSF cost or that child's raw lines, never both; top-level dish excludes flattened lines reassigned to a VSF</x:v>
      </x:c>
    </x:row>
    <x:row r="8">
      <x:c r="A8" s="32" t="str">
        <x:v>VSF-003</x:v>
      </x:c>
      <x:c r="B8" s="32" t="str">
        <x:v>Тесто чиабатты белой</x:v>
      </x:c>
      <x:c r="C8" s="32" t="str">
        <x:v>0.1.0-DRAFT</x:v>
      </x:c>
      <x:c r="D8" s="32" t="str">
        <x:v>VSF-003@BASE</x:v>
      </x:c>
      <x:c r="E8" s="32" t="n">
        <x:v>1</x:v>
      </x:c>
      <x:c r="F8" s="32" t="n">
        <x:v>111</x:v>
      </x:c>
      <x:c r="G8" s="32" t="n">
        <x:v>111</x:v>
      </x:c>
      <x:c r="H8" s="32" t="n">
        <x:v>100</x:v>
      </x:c>
      <x:c r="I8" s="32" t="str">
        <x:v>г</x:v>
      </x:c>
      <x:c r="J8" s="32" t="str">
        <x:v>VKM-005</x:v>
      </x:c>
      <x:c r="K8" s="32"/>
      <x:c r="L8" s="32" t="str">
        <x:v>DRAFT_WITH_ASSUMPTIONS</x:v>
      </x:c>
      <x:c r="M8" s="32" t="str">
        <x:v>EVD-0009;EVD-0007;EVD-0008</x:v>
      </x:c>
      <x:c r="N8" s="32" t="str">
        <x:v>GAP-006;GAP-010;GAP-011</x:v>
      </x:c>
      <x:c r="O8" s="32" t="str">
        <x:v>At each parent include either CHILD_VSF cost or that child's raw lines, never both; top-level dish excludes flattened lines reassigned to a VSF</x:v>
      </x:c>
    </x:row>
    <x:row r="9">
      <x:c r="A9" s="32" t="str">
        <x:v>VSF-004</x:v>
      </x:c>
      <x:c r="B9" s="32" t="str">
        <x:v>Тесто чиабатты томатной</x:v>
      </x:c>
      <x:c r="C9" s="32" t="str">
        <x:v>0.1.0-DRAFT</x:v>
      </x:c>
      <x:c r="D9" s="32" t="str">
        <x:v>VSF-004@BASE</x:v>
      </x:c>
      <x:c r="E9" s="32" t="n">
        <x:v>1</x:v>
      </x:c>
      <x:c r="F9" s="32" t="n">
        <x:v>112</x:v>
      </x:c>
      <x:c r="G9" s="32" t="n">
        <x:v>112</x:v>
      </x:c>
      <x:c r="H9" s="32" t="n">
        <x:v>100</x:v>
      </x:c>
      <x:c r="I9" s="32" t="str">
        <x:v>г</x:v>
      </x:c>
      <x:c r="J9" s="32" t="str">
        <x:v>VKM-006</x:v>
      </x:c>
      <x:c r="K9" s="32"/>
      <x:c r="L9" s="32" t="str">
        <x:v>DRAFT_WITH_ASSUMPTIONS</x:v>
      </x:c>
      <x:c r="M9" s="32" t="str">
        <x:v>EVD-0009;EVD-0007;EVD-0008</x:v>
      </x:c>
      <x:c r="N9" s="32" t="str">
        <x:v>GAP-006;GAP-010;GAP-011</x:v>
      </x:c>
      <x:c r="O9" s="32" t="str">
        <x:v>At each parent include either CHILD_VSF cost or that child's raw lines, never both; top-level dish excludes flattened lines reassigned to a VSF</x:v>
      </x:c>
    </x:row>
    <x:row r="10">
      <x:c r="A10" s="32" t="str">
        <x:v>VSF-005</x:v>
      </x:c>
      <x:c r="B10" s="32" t="str">
        <x:v>Тесто/заварка бородинского хлеба</x:v>
      </x:c>
      <x:c r="C10" s="32" t="str">
        <x:v>0.1.0-DRAFT</x:v>
      </x:c>
      <x:c r="D10" s="32" t="str">
        <x:v>VSF-005@BASE</x:v>
      </x:c>
      <x:c r="E10" s="32" t="n">
        <x:v>1</x:v>
      </x:c>
      <x:c r="F10" s="32" t="n">
        <x:v>395</x:v>
      </x:c>
      <x:c r="G10" s="32" t="n">
        <x:v>395</x:v>
      </x:c>
      <x:c r="H10" s="32" t="n">
        <x:v>350</x:v>
      </x:c>
      <x:c r="I10" s="32" t="str">
        <x:v>г</x:v>
      </x:c>
      <x:c r="J10" s="32" t="str">
        <x:v>VKM-007</x:v>
      </x:c>
      <x:c r="K10" s="32"/>
      <x:c r="L10" s="32" t="str">
        <x:v>DRAFT_WITH_ASSUMPTIONS</x:v>
      </x:c>
      <x:c r="M10" s="32" t="str">
        <x:v>EVD-0009;EVD-0007;EVD-0008</x:v>
      </x:c>
      <x:c r="N10" s="32" t="str">
        <x:v>GAP-006;GAP-010;GAP-011</x:v>
      </x:c>
      <x:c r="O10" s="32" t="str">
        <x:v>At each parent include either CHILD_VSF cost or that child's raw lines, never both; top-level dish excludes flattened lines reassigned to a VSF</x:v>
      </x:c>
    </x:row>
    <x:row r="11">
      <x:c r="A11" s="32" t="str">
        <x:v>VSF-006</x:v>
      </x:c>
      <x:c r="B11" s="32" t="str">
        <x:v>Тесто бриоши</x:v>
      </x:c>
      <x:c r="C11" s="32" t="str">
        <x:v>0.1.0-DRAFT</x:v>
      </x:c>
      <x:c r="D11" s="32" t="str">
        <x:v>VSF-006@BASE</x:v>
      </x:c>
      <x:c r="E11" s="32" t="n">
        <x:v>1</x:v>
      </x:c>
      <x:c r="F11" s="32" t="n">
        <x:v>90</x:v>
      </x:c>
      <x:c r="G11" s="32" t="n">
        <x:v>90</x:v>
      </x:c>
      <x:c r="H11" s="32" t="n">
        <x:v>85</x:v>
      </x:c>
      <x:c r="I11" s="32" t="str">
        <x:v>г</x:v>
      </x:c>
      <x:c r="J11" s="32" t="str">
        <x:v>VKM-008;VKM-021</x:v>
      </x:c>
      <x:c r="K11" s="32"/>
      <x:c r="L11" s="32" t="str">
        <x:v>DRAFT_WITH_ASSUMPTIONS</x:v>
      </x:c>
      <x:c r="M11" s="32" t="str">
        <x:v>EVD-0009;EVD-0007;EVD-0008</x:v>
      </x:c>
      <x:c r="N11" s="32" t="str">
        <x:v>GAP-006;GAP-010;GAP-011</x:v>
      </x:c>
      <x:c r="O11" s="32" t="str">
        <x:v>At each parent include either CHILD_VSF cost or that child's raw lines, never both; top-level dish excludes flattened lines reassigned to a VSF</x:v>
      </x:c>
    </x:row>
    <x:row r="12">
      <x:c r="A12" s="32" t="str">
        <x:v>VSF-007</x:v>
      </x:c>
      <x:c r="B12" s="32" t="str">
        <x:v>Заправка к буррате</x:v>
      </x:c>
      <x:c r="C12" s="32" t="str">
        <x:v>0.1.0-DRAFT</x:v>
      </x:c>
      <x:c r="D12" s="32" t="str">
        <x:v>VSF-007@BASE</x:v>
      </x:c>
      <x:c r="E12" s="32" t="n">
        <x:v>1</x:v>
      </x:c>
      <x:c r="F12" s="32" t="n">
        <x:v>30</x:v>
      </x:c>
      <x:c r="G12" s="32" t="n">
        <x:v>30</x:v>
      </x:c>
      <x:c r="H12" s="32" t="n">
        <x:v>30</x:v>
      </x:c>
      <x:c r="I12" s="32" t="str">
        <x:v>г</x:v>
      </x:c>
      <x:c r="J12" s="32" t="str">
        <x:v>VKM-009</x:v>
      </x:c>
      <x:c r="K12" s="32"/>
      <x:c r="L12" s="32" t="str">
        <x:v>DRAFT_WITH_ASSUMPTIONS</x:v>
      </x:c>
      <x:c r="M12" s="32" t="str">
        <x:v>EVD-0009;EVD-0007;EVD-0008</x:v>
      </x:c>
      <x:c r="N12" s="32" t="str">
        <x:v>GAP-006;GAP-010;GAP-011</x:v>
      </x:c>
      <x:c r="O12" s="32" t="str">
        <x:v>At each parent include either CHILD_VSF cost or that child's raw lines, never both; top-level dish excludes flattened lines reassigned to a VSF</x:v>
      </x:c>
    </x:row>
    <x:row r="13">
      <x:c r="A13" s="32" t="str">
        <x:v>VSF-008</x:v>
      </x:c>
      <x:c r="B13" s="32" t="str">
        <x:v>Заправка к салату с креветками</x:v>
      </x:c>
      <x:c r="C13" s="32" t="str">
        <x:v>0.1.0-DRAFT</x:v>
      </x:c>
      <x:c r="D13" s="32" t="str">
        <x:v>VSF-008@BASE</x:v>
      </x:c>
      <x:c r="E13" s="32" t="n">
        <x:v>1</x:v>
      </x:c>
      <x:c r="F13" s="32" t="n">
        <x:v>22</x:v>
      </x:c>
      <x:c r="G13" s="32" t="n">
        <x:v>20</x:v>
      </x:c>
      <x:c r="H13" s="32" t="n">
        <x:v>20</x:v>
      </x:c>
      <x:c r="I13" s="32" t="str">
        <x:v>г</x:v>
      </x:c>
      <x:c r="J13" s="32" t="str">
        <x:v>VKM-010</x:v>
      </x:c>
      <x:c r="K13" s="32"/>
      <x:c r="L13" s="32" t="str">
        <x:v>DRAFT_WITH_ASSUMPTIONS</x:v>
      </x:c>
      <x:c r="M13" s="32" t="str">
        <x:v>EVD-0009;EVD-0007;EVD-0008</x:v>
      </x:c>
      <x:c r="N13" s="32" t="str">
        <x:v>GAP-006;GAP-010;GAP-011</x:v>
      </x:c>
      <x:c r="O13" s="32" t="str">
        <x:v>At each parent include either CHILD_VSF cost or that child's raw lines, never both; top-level dish excludes flattened lines reassigned to a VSF</x:v>
      </x:c>
    </x:row>
    <x:row r="14">
      <x:c r="A14" s="32" t="str">
        <x:v>VSF-009</x:v>
      </x:c>
      <x:c r="B14" s="32" t="str">
        <x:v>Заправка греческая</x:v>
      </x:c>
      <x:c r="C14" s="32" t="str">
        <x:v>0.1.0-DRAFT</x:v>
      </x:c>
      <x:c r="D14" s="32" t="str">
        <x:v>VSF-009@BASE</x:v>
      </x:c>
      <x:c r="E14" s="32" t="n">
        <x:v>1</x:v>
      </x:c>
      <x:c r="F14" s="32" t="n">
        <x:v>11</x:v>
      </x:c>
      <x:c r="G14" s="32" t="n">
        <x:v>10</x:v>
      </x:c>
      <x:c r="H14" s="32" t="n">
        <x:v>10</x:v>
      </x:c>
      <x:c r="I14" s="32" t="str">
        <x:v>г</x:v>
      </x:c>
      <x:c r="J14" s="32" t="str">
        <x:v>VKM-011</x:v>
      </x:c>
      <x:c r="K14" s="32"/>
      <x:c r="L14" s="32" t="str">
        <x:v>DRAFT_WITH_ASSUMPTIONS</x:v>
      </x:c>
      <x:c r="M14" s="32" t="str">
        <x:v>EVD-0009;EVD-0007;EVD-0008</x:v>
      </x:c>
      <x:c r="N14" s="32" t="str">
        <x:v>GAP-006;GAP-010;GAP-011</x:v>
      </x:c>
      <x:c r="O14" s="32" t="str">
        <x:v>At each parent include either CHILD_VSF cost or that child's raw lines, never both; top-level dish excludes flattened lines reassigned to a VSF</x:v>
      </x:c>
    </x:row>
    <x:row r="15">
      <x:c r="A15" s="32" t="str">
        <x:v>VSF-010</x:v>
      </x:c>
      <x:c r="B15" s="32" t="str">
        <x:v>Отварные овощи для винегрета</x:v>
      </x:c>
      <x:c r="C15" s="32" t="str">
        <x:v>0.1.0-DRAFT</x:v>
      </x:c>
      <x:c r="D15" s="32" t="str">
        <x:v>VSF-010@BASE</x:v>
      </x:c>
      <x:c r="E15" s="32" t="n">
        <x:v>1</x:v>
      </x:c>
      <x:c r="F15" s="32" t="n">
        <x:v>198</x:v>
      </x:c>
      <x:c r="G15" s="32" t="n">
        <x:v>180</x:v>
      </x:c>
      <x:c r="H15" s="32" t="n">
        <x:v>160</x:v>
      </x:c>
      <x:c r="I15" s="32" t="str">
        <x:v>г</x:v>
      </x:c>
      <x:c r="J15" s="32" t="str">
        <x:v>VKM-012</x:v>
      </x:c>
      <x:c r="K15" s="32"/>
      <x:c r="L15" s="32" t="str">
        <x:v>DRAFT_WITH_ASSUMPTIONS</x:v>
      </x:c>
      <x:c r="M15" s="32" t="str">
        <x:v>EVD-0009;EVD-0007;EVD-0008</x:v>
      </x:c>
      <x:c r="N15" s="32" t="str">
        <x:v>GAP-006;GAP-010;GAP-011</x:v>
      </x:c>
      <x:c r="O15" s="32" t="str">
        <x:v>At each parent include either CHILD_VSF cost or that child's raw lines, never both; top-level dish excludes flattened lines reassigned to a VSF</x:v>
      </x:c>
    </x:row>
    <x:row r="16">
      <x:c r="A16" s="32" t="str">
        <x:v>VSF-011</x:v>
      </x:c>
      <x:c r="B16" s="32" t="str">
        <x:v>Картофель запечённый для закуски</x:v>
      </x:c>
      <x:c r="C16" s="32" t="str">
        <x:v>0.1.0-DRAFT</x:v>
      </x:c>
      <x:c r="D16" s="32" t="str">
        <x:v>VSF-011@VKM-023</x:v>
      </x:c>
      <x:c r="E16" s="32" t="n">
        <x:v>1</x:v>
      </x:c>
      <x:c r="F16" s="32" t="n">
        <x:v>185</x:v>
      </x:c>
      <x:c r="G16" s="32" t="n">
        <x:v>165</x:v>
      </x:c>
      <x:c r="H16" s="32" t="n">
        <x:v>150</x:v>
      </x:c>
      <x:c r="I16" s="32" t="str">
        <x:v>г</x:v>
      </x:c>
      <x:c r="J16" s="32" t="str">
        <x:v>VKM-014;VKM-023</x:v>
      </x:c>
      <x:c r="K16" s="32"/>
      <x:c r="L16" s="32" t="str">
        <x:v>DRAFT_WITH_ASSUMPTIONS</x:v>
      </x:c>
      <x:c r="M16" s="32" t="str">
        <x:v>EVD-0009;EVD-0007;EVD-0008</x:v>
      </x:c>
      <x:c r="N16" s="32" t="str">
        <x:v>GAP-006;GAP-010;GAP-011</x:v>
      </x:c>
      <x:c r="O16" s="32" t="str">
        <x:v>At each parent include either CHILD_VSF cost or that child's raw lines, never both; top-level dish excludes flattened lines reassigned to a VSF</x:v>
      </x:c>
    </x:row>
    <x:row r="17">
      <x:c r="A17" s="32" t="str">
        <x:v>VSF-012</x:v>
      </x:c>
      <x:c r="B17" s="32" t="str">
        <x:v>Маринад оливок</x:v>
      </x:c>
      <x:c r="C17" s="32" t="str">
        <x:v>0.1.0-DRAFT</x:v>
      </x:c>
      <x:c r="D17" s="32" t="str">
        <x:v>VSF-012@BASE</x:v>
      </x:c>
      <x:c r="E17" s="32" t="n">
        <x:v>1</x:v>
      </x:c>
      <x:c r="F17" s="32" t="n">
        <x:v>22.3</x:v>
      </x:c>
      <x:c r="G17" s="32" t="n">
        <x:v>20</x:v>
      </x:c>
      <x:c r="H17" s="32" t="n">
        <x:v>20</x:v>
      </x:c>
      <x:c r="I17" s="32" t="str">
        <x:v>г</x:v>
      </x:c>
      <x:c r="J17" s="32" t="str">
        <x:v>VKM-015</x:v>
      </x:c>
      <x:c r="K17" s="32"/>
      <x:c r="L17" s="32" t="str">
        <x:v>DRAFT_WITH_ASSUMPTIONS</x:v>
      </x:c>
      <x:c r="M17" s="32" t="str">
        <x:v>EVD-0009;EVD-0007;EVD-0008</x:v>
      </x:c>
      <x:c r="N17" s="32" t="str">
        <x:v>GAP-006;GAP-010;GAP-011</x:v>
      </x:c>
      <x:c r="O17" s="32" t="str">
        <x:v>At each parent include either CHILD_VSF cost or that child's raw lines, never both; top-level dish excludes flattened lines reassigned to a VSF</x:v>
      </x:c>
    </x:row>
    <x:row r="18">
      <x:c r="A18" s="32" t="str">
        <x:v>VSF-013</x:v>
      </x:c>
      <x:c r="B18" s="32" t="str">
        <x:v>Быстрый маринад для солений</x:v>
      </x:c>
      <x:c r="C18" s="32" t="str">
        <x:v>0.1.0-DRAFT</x:v>
      </x:c>
      <x:c r="D18" s="32" t="str">
        <x:v>VSF-013@BASE</x:v>
      </x:c>
      <x:c r="E18" s="32" t="n">
        <x:v>1</x:v>
      </x:c>
      <x:c r="F18" s="32" t="n">
        <x:v>20</x:v>
      </x:c>
      <x:c r="G18" s="32" t="n">
        <x:v>20</x:v>
      </x:c>
      <x:c r="H18" s="32" t="n">
        <x:v>20</x:v>
      </x:c>
      <x:c r="I18" s="32" t="str">
        <x:v>г</x:v>
      </x:c>
      <x:c r="J18" s="32" t="str">
        <x:v>VKM-016</x:v>
      </x:c>
      <x:c r="K18" s="32"/>
      <x:c r="L18" s="32" t="str">
        <x:v>DRAFT_WITH_ASSUMPTIONS</x:v>
      </x:c>
      <x:c r="M18" s="32" t="str">
        <x:v>EVD-0009;EVD-0007;EVD-0008</x:v>
      </x:c>
      <x:c r="N18" s="32" t="str">
        <x:v>GAP-006;GAP-010;GAP-011</x:v>
      </x:c>
      <x:c r="O18" s="32" t="str">
        <x:v>At each parent include either CHILD_VSF cost or that child's raw lines, never both; top-level dish excludes flattened lines reassigned to a VSF</x:v>
      </x:c>
    </x:row>
    <x:row r="19">
      <x:c r="A19" s="32" t="str">
        <x:v>VSF-014</x:v>
      </x:c>
      <x:c r="B19" s="32" t="str">
        <x:v>Ассорти быстрых солений</x:v>
      </x:c>
      <x:c r="C19" s="32" t="str">
        <x:v>0.1.0-DRAFT</x:v>
      </x:c>
      <x:c r="D19" s="32" t="str">
        <x:v>VSF-014@BASE</x:v>
      </x:c>
      <x:c r="E19" s="32" t="n">
        <x:v>1</x:v>
      </x:c>
      <x:c r="F19" s="32" t="n">
        <x:v>206</x:v>
      </x:c>
      <x:c r="G19" s="32" t="n">
        <x:v>185</x:v>
      </x:c>
      <x:c r="H19" s="32" t="n">
        <x:v>180</x:v>
      </x:c>
      <x:c r="I19" s="32" t="str">
        <x:v>г</x:v>
      </x:c>
      <x:c r="J19" s="32" t="str">
        <x:v>VKM-016</x:v>
      </x:c>
      <x:c r="K19" s="32" t="str">
        <x:v>VSF-013</x:v>
      </x:c>
      <x:c r="L19" s="32" t="str">
        <x:v>DRAFT_WITH_ASSUMPTIONS</x:v>
      </x:c>
      <x:c r="M19" s="32" t="str">
        <x:v>EVD-0009;EVD-0007;EVD-0008</x:v>
      </x:c>
      <x:c r="N19" s="32" t="str">
        <x:v>GAP-006;GAP-010;GAP-011</x:v>
      </x:c>
      <x:c r="O19" s="32" t="str">
        <x:v>At each parent include either CHILD_VSF cost or that child's raw lines, never both; top-level dish excludes flattened lines reassigned to a VSF</x:v>
      </x:c>
    </x:row>
    <x:row r="20">
      <x:c r="A20" s="32" t="str">
        <x:v>VSF-015</x:v>
      </x:c>
      <x:c r="B20" s="32" t="str">
        <x:v>Гренка</x:v>
      </x:c>
      <x:c r="C20" s="32" t="str">
        <x:v>0.1.0-DRAFT</x:v>
      </x:c>
      <x:c r="D20" s="32" t="str">
        <x:v>VSF-015@BASE</x:v>
      </x:c>
      <x:c r="E20" s="32" t="n">
        <x:v>1</x:v>
      </x:c>
      <x:c r="F20" s="32" t="n">
        <x:v>37</x:v>
      </x:c>
      <x:c r="G20" s="32" t="n">
        <x:v>35</x:v>
      </x:c>
      <x:c r="H20" s="32" t="n">
        <x:v>33</x:v>
      </x:c>
      <x:c r="I20" s="32" t="str">
        <x:v>г</x:v>
      </x:c>
      <x:c r="J20" s="32" t="str">
        <x:v>VKM-017</x:v>
      </x:c>
      <x:c r="K20" s="32"/>
      <x:c r="L20" s="32" t="str">
        <x:v>DRAFT_WITH_ASSUMPTIONS</x:v>
      </x:c>
      <x:c r="M20" s="32" t="str">
        <x:v>EVD-0009;EVD-0007;EVD-0008</x:v>
      </x:c>
      <x:c r="N20" s="32" t="str">
        <x:v>GAP-006;GAP-010;GAP-011</x:v>
      </x:c>
      <x:c r="O20" s="32" t="str">
        <x:v>At each parent include either CHILD_VSF cost or that child's raw lines, never both; top-level dish excludes flattened lines reassigned to a VSF</x:v>
      </x:c>
    </x:row>
    <x:row r="21">
      <x:c r="A21" s="32" t="str">
        <x:v>VSF-016</x:v>
      </x:c>
      <x:c r="B21" s="32" t="str">
        <x:v>Соус к ростбифу</x:v>
      </x:c>
      <x:c r="C21" s="32" t="str">
        <x:v>0.1.0-DRAFT</x:v>
      </x:c>
      <x:c r="D21" s="32" t="str">
        <x:v>VSF-016@BASE</x:v>
      </x:c>
      <x:c r="E21" s="32" t="n">
        <x:v>1</x:v>
      </x:c>
      <x:c r="F21" s="32" t="n">
        <x:v>15</x:v>
      </x:c>
      <x:c r="G21" s="32" t="n">
        <x:v>15</x:v>
      </x:c>
      <x:c r="H21" s="32" t="n">
        <x:v>15</x:v>
      </x:c>
      <x:c r="I21" s="32" t="str">
        <x:v>г</x:v>
      </x:c>
      <x:c r="J21" s="32" t="str">
        <x:v>VKM-017</x:v>
      </x:c>
      <x:c r="K21" s="32"/>
      <x:c r="L21" s="32" t="str">
        <x:v>DRAFT_WITH_ASSUMPTIONS</x:v>
      </x:c>
      <x:c r="M21" s="32" t="str">
        <x:v>EVD-0009;EVD-0007;EVD-0008</x:v>
      </x:c>
      <x:c r="N21" s="32" t="str">
        <x:v>GAP-006;GAP-010;GAP-011</x:v>
      </x:c>
      <x:c r="O21" s="32" t="str">
        <x:v>At each parent include either CHILD_VSF cost or that child's raw lines, never both; top-level dish excludes flattened lines reassigned to a VSF</x:v>
      </x:c>
    </x:row>
    <x:row r="22">
      <x:c r="A22" s="32" t="str">
        <x:v>VSF-017</x:v>
      </x:c>
      <x:c r="B22" s="32" t="str">
        <x:v>Бульон мясной</x:v>
      </x:c>
      <x:c r="C22" s="32" t="str">
        <x:v>0.1.0-DRAFT</x:v>
      </x:c>
      <x:c r="D22" s="32" t="str">
        <x:v>VSF-017@BASE</x:v>
      </x:c>
      <x:c r="E22" s="32" t="n">
        <x:v>1</x:v>
      </x:c>
      <x:c r="F22" s="32" t="n">
        <x:v>160</x:v>
      </x:c>
      <x:c r="G22" s="32" t="n">
        <x:v>160</x:v>
      </x:c>
      <x:c r="H22" s="32" t="n">
        <x:v>145</x:v>
      </x:c>
      <x:c r="I22" s="32" t="str">
        <x:v>г</x:v>
      </x:c>
      <x:c r="J22" s="32" t="str">
        <x:v>VKM-018</x:v>
      </x:c>
      <x:c r="K22" s="32"/>
      <x:c r="L22" s="32" t="str">
        <x:v>BLOCKED_PENDING_VALIDATION</x:v>
      </x:c>
      <x:c r="M22" s="32" t="str">
        <x:v>EVD-0009;EVD-0007;EVD-0008</x:v>
      </x:c>
      <x:c r="N22" s="32" t="str">
        <x:v>GAP-006;GAP-010;GAP-011;GAP-SF-002</x:v>
      </x:c>
      <x:c r="O22" s="32" t="str">
        <x:v>At each parent include either CHILD_VSF cost or that child's raw lines, never both; top-level dish excludes flattened lines reassigned to a VSF</x:v>
      </x:c>
    </x:row>
    <x:row r="23">
      <x:c r="A23" s="32" t="str">
        <x:v>VSF-018</x:v>
      </x:c>
      <x:c r="B23" s="32" t="str">
        <x:v>Пассеровка свекольная</x:v>
      </x:c>
      <x:c r="C23" s="32" t="str">
        <x:v>0.1.0-DRAFT</x:v>
      </x:c>
      <x:c r="D23" s="32" t="str">
        <x:v>VSF-018@BASE</x:v>
      </x:c>
      <x:c r="E23" s="32" t="n">
        <x:v>1</x:v>
      </x:c>
      <x:c r="F23" s="32" t="n">
        <x:v>131</x:v>
      </x:c>
      <x:c r="G23" s="32" t="n">
        <x:v>119</x:v>
      </x:c>
      <x:c r="H23" s="32" t="n">
        <x:v>105</x:v>
      </x:c>
      <x:c r="I23" s="32" t="str">
        <x:v>г</x:v>
      </x:c>
      <x:c r="J23" s="32" t="str">
        <x:v>VKM-018</x:v>
      </x:c>
      <x:c r="K23" s="32"/>
      <x:c r="L23" s="32" t="str">
        <x:v>DRAFT_WITH_ASSUMPTIONS</x:v>
      </x:c>
      <x:c r="M23" s="32" t="str">
        <x:v>EVD-0009;EVD-0007;EVD-0008</x:v>
      </x:c>
      <x:c r="N23" s="32" t="str">
        <x:v>GAP-006;GAP-010;GAP-011</x:v>
      </x:c>
      <x:c r="O23" s="32" t="str">
        <x:v>At each parent include either CHILD_VSF cost or that child's raw lines, never both; top-level dish excludes flattened lines reassigned to a VSF</x:v>
      </x:c>
    </x:row>
    <x:row r="24">
      <x:c r="A24" s="32" t="str">
        <x:v>VSF-019</x:v>
      </x:c>
      <x:c r="B24" s="32" t="str">
        <x:v>Соус сливочно-горчичный</x:v>
      </x:c>
      <x:c r="C24" s="32" t="str">
        <x:v>0.1.0-DRAFT</x:v>
      </x:c>
      <x:c r="D24" s="32" t="str">
        <x:v>VSF-019@BASE</x:v>
      </x:c>
      <x:c r="E24" s="32" t="n">
        <x:v>1</x:v>
      </x:c>
      <x:c r="F24" s="32" t="n">
        <x:v>90</x:v>
      </x:c>
      <x:c r="G24" s="32" t="n">
        <x:v>90</x:v>
      </x:c>
      <x:c r="H24" s="32" t="n">
        <x:v>85</x:v>
      </x:c>
      <x:c r="I24" s="32" t="str">
        <x:v>г</x:v>
      </x:c>
      <x:c r="J24" s="32" t="str">
        <x:v>VKM-019</x:v>
      </x:c>
      <x:c r="K24" s="32"/>
      <x:c r="L24" s="32" t="str">
        <x:v>DRAFT_WITH_ASSUMPTIONS</x:v>
      </x:c>
      <x:c r="M24" s="32" t="str">
        <x:v>EVD-0009;EVD-0007;EVD-0008</x:v>
      </x:c>
      <x:c r="N24" s="32" t="str">
        <x:v>GAP-006;GAP-010;GAP-011</x:v>
      </x:c>
      <x:c r="O24" s="32" t="str">
        <x:v>At each parent include either CHILD_VSF cost or that child's raw lines, never both; top-level dish excludes flattened lines reassigned to a VSF</x:v>
      </x:c>
    </x:row>
    <x:row r="25">
      <x:c r="A25" s="32" t="str">
        <x:v>VSF-020</x:v>
      </x:c>
      <x:c r="B25" s="32" t="str">
        <x:v>Соус кокосовый тайский</x:v>
      </x:c>
      <x:c r="C25" s="32" t="str">
        <x:v>0.1.0-DRAFT</x:v>
      </x:c>
      <x:c r="D25" s="32" t="str">
        <x:v>VSF-020@BASE</x:v>
      </x:c>
      <x:c r="E25" s="32" t="n">
        <x:v>1</x:v>
      </x:c>
      <x:c r="F25" s="32" t="n">
        <x:v>129</x:v>
      </x:c>
      <x:c r="G25" s="32" t="n">
        <x:v>129</x:v>
      </x:c>
      <x:c r="H25" s="32" t="n">
        <x:v>120</x:v>
      </x:c>
      <x:c r="I25" s="32" t="str">
        <x:v>г</x:v>
      </x:c>
      <x:c r="J25" s="32" t="str">
        <x:v>VKM-020</x:v>
      </x:c>
      <x:c r="K25" s="32"/>
      <x:c r="L25" s="32" t="str">
        <x:v>DRAFT_WITH_ASSUMPTIONS</x:v>
      </x:c>
      <x:c r="M25" s="32" t="str">
        <x:v>EVD-0009;EVD-0007;EVD-0008</x:v>
      </x:c>
      <x:c r="N25" s="32" t="str">
        <x:v>GAP-006;GAP-010;GAP-011</x:v>
      </x:c>
      <x:c r="O25" s="32" t="str">
        <x:v>At each parent include either CHILD_VSF cost or that child's raw lines, never both; top-level dish excludes flattened lines reassigned to a VSF</x:v>
      </x:c>
    </x:row>
    <x:row r="26">
      <x:c r="A26" s="32" t="str">
        <x:v>VSF-021</x:v>
      </x:c>
      <x:c r="B26" s="32" t="str">
        <x:v>Котлета для бургера</x:v>
      </x:c>
      <x:c r="C26" s="32" t="str">
        <x:v>0.1.0-DRAFT</x:v>
      </x:c>
      <x:c r="D26" s="32" t="str">
        <x:v>VSF-021@BASE</x:v>
      </x:c>
      <x:c r="E26" s="32" t="n">
        <x:v>1</x:v>
      </x:c>
      <x:c r="F26" s="32" t="n">
        <x:v>180</x:v>
      </x:c>
      <x:c r="G26" s="32" t="n">
        <x:v>170</x:v>
      </x:c>
      <x:c r="H26" s="32" t="n">
        <x:v>150</x:v>
      </x:c>
      <x:c r="I26" s="32" t="str">
        <x:v>г</x:v>
      </x:c>
      <x:c r="J26" s="32" t="str">
        <x:v>VKM-021</x:v>
      </x:c>
      <x:c r="K26" s="32"/>
      <x:c r="L26" s="32" t="str">
        <x:v>DRAFT_WITH_ASSUMPTIONS</x:v>
      </x:c>
      <x:c r="M26" s="32" t="str">
        <x:v>EVD-0009;EVD-0007;EVD-0008</x:v>
      </x:c>
      <x:c r="N26" s="32" t="str">
        <x:v>GAP-006;GAP-010;GAP-011</x:v>
      </x:c>
      <x:c r="O26" s="32" t="str">
        <x:v>At each parent include either CHILD_VSF cost or that child's raw lines, never both; top-level dish excludes flattened lines reassigned to a VSF</x:v>
      </x:c>
    </x:row>
    <x:row r="27">
      <x:c r="A27" s="32" t="str">
        <x:v>VSF-022</x:v>
      </x:c>
      <x:c r="B27" s="32" t="str">
        <x:v>Соус для бургера</x:v>
      </x:c>
      <x:c r="C27" s="32" t="str">
        <x:v>0.1.0-DRAFT</x:v>
      </x:c>
      <x:c r="D27" s="32" t="str">
        <x:v>VSF-022@BASE</x:v>
      </x:c>
      <x:c r="E27" s="32" t="n">
        <x:v>1</x:v>
      </x:c>
      <x:c r="F27" s="32" t="n">
        <x:v>25</x:v>
      </x:c>
      <x:c r="G27" s="32" t="n">
        <x:v>25</x:v>
      </x:c>
      <x:c r="H27" s="32" t="n">
        <x:v>25</x:v>
      </x:c>
      <x:c r="I27" s="32" t="str">
        <x:v>г</x:v>
      </x:c>
      <x:c r="J27" s="32" t="str">
        <x:v>VKM-021</x:v>
      </x:c>
      <x:c r="K27" s="32"/>
      <x:c r="L27" s="32" t="str">
        <x:v>DRAFT_WITH_ASSUMPTIONS</x:v>
      </x:c>
      <x:c r="M27" s="32" t="str">
        <x:v>EVD-0009;EVD-0007;EVD-0008</x:v>
      </x:c>
      <x:c r="N27" s="32" t="str">
        <x:v>GAP-006;GAP-010;GAP-011</x:v>
      </x:c>
      <x:c r="O27" s="32" t="str">
        <x:v>At each parent include either CHILD_VSF cost or that child's raw lines, never both; top-level dish excludes flattened lines reassigned to a VSF</x:v>
      </x:c>
    </x:row>
    <x:row r="28">
      <x:c r="A28" s="32" t="str">
        <x:v>VSF-023</x:v>
      </x:c>
      <x:c r="B28" s="32" t="str">
        <x:v>Миньоны порционные</x:v>
      </x:c>
      <x:c r="C28" s="32" t="str">
        <x:v>0.1.0-DRAFT</x:v>
      </x:c>
      <x:c r="D28" s="32" t="str">
        <x:v>VSF-023@BASE</x:v>
      </x:c>
      <x:c r="E28" s="32" t="n">
        <x:v>1</x:v>
      </x:c>
      <x:c r="F28" s="32" t="n">
        <x:v>255</x:v>
      </x:c>
      <x:c r="G28" s="32" t="n">
        <x:v>240</x:v>
      </x:c>
      <x:c r="H28" s="32" t="n">
        <x:v>220</x:v>
      </x:c>
      <x:c r="I28" s="32" t="str">
        <x:v>г</x:v>
      </x:c>
      <x:c r="J28" s="32" t="str">
        <x:v>VKM-022</x:v>
      </x:c>
      <x:c r="K28" s="32"/>
      <x:c r="L28" s="32" t="str">
        <x:v>DRAFT_WITH_ASSUMPTIONS</x:v>
      </x:c>
      <x:c r="M28" s="32" t="str">
        <x:v>EVD-0009;EVD-0007;EVD-0008</x:v>
      </x:c>
      <x:c r="N28" s="32" t="str">
        <x:v>GAP-006;GAP-010;GAP-011</x:v>
      </x:c>
      <x:c r="O28" s="32" t="str">
        <x:v>At each parent include either CHILD_VSF cost or that child's raw lines, never both; top-level dish excludes flattened lines reassigned to a VSF</x:v>
      </x:c>
    </x:row>
    <x:row r="29">
      <x:c r="A29" s="32" t="str">
        <x:v>VSF-024</x:v>
      </x:c>
      <x:c r="B29" s="32" t="str">
        <x:v>Соус к миньонам</x:v>
      </x:c>
      <x:c r="C29" s="32" t="str">
        <x:v>0.1.0-DRAFT</x:v>
      </x:c>
      <x:c r="D29" s="32" t="str">
        <x:v>VSF-024@BASE</x:v>
      </x:c>
      <x:c r="E29" s="32" t="n">
        <x:v>1</x:v>
      </x:c>
      <x:c r="F29" s="32" t="n">
        <x:v>45</x:v>
      </x:c>
      <x:c r="G29" s="32" t="n">
        <x:v>45</x:v>
      </x:c>
      <x:c r="H29" s="32" t="n">
        <x:v>40</x:v>
      </x:c>
      <x:c r="I29" s="32" t="str">
        <x:v>г</x:v>
      </x:c>
      <x:c r="J29" s="32" t="str">
        <x:v>VKM-022</x:v>
      </x:c>
      <x:c r="K29" s="32"/>
      <x:c r="L29" s="32" t="str">
        <x:v>DRAFT_WITH_ASSUMPTIONS</x:v>
      </x:c>
      <x:c r="M29" s="32" t="str">
        <x:v>EVD-0009;EVD-0007;EVD-0008</x:v>
      </x:c>
      <x:c r="N29" s="32" t="str">
        <x:v>GAP-006;GAP-010;GAP-011</x:v>
      </x:c>
      <x:c r="O29" s="32" t="str">
        <x:v>At each parent include either CHILD_VSF cost or that child's raw lines, never both; top-level dish excludes flattened lines reassigned to a VSF</x:v>
      </x:c>
    </x:row>
    <x:row r="30">
      <x:c r="A30" s="32" t="str">
        <x:v>VSF-025</x:v>
      </x:c>
      <x:c r="B30" s="32" t="str">
        <x:v>Рис жасмин варёный</x:v>
      </x:c>
      <x:c r="C30" s="32" t="str">
        <x:v>0.1.0-DRAFT</x:v>
      </x:c>
      <x:c r="D30" s="32" t="str">
        <x:v>VSF-025@BASE</x:v>
      </x:c>
      <x:c r="E30" s="32" t="n">
        <x:v>1</x:v>
      </x:c>
      <x:c r="F30" s="32" t="n">
        <x:v>175</x:v>
      </x:c>
      <x:c r="G30" s="32" t="n">
        <x:v>175</x:v>
      </x:c>
      <x:c r="H30" s="32" t="n">
        <x:v>138</x:v>
      </x:c>
      <x:c r="I30" s="32" t="str">
        <x:v>г</x:v>
      </x:c>
      <x:c r="J30" s="32" t="str">
        <x:v>VKM-024</x:v>
      </x:c>
      <x:c r="K30" s="32"/>
      <x:c r="L30" s="32" t="str">
        <x:v>DRAFT_WITH_ASSUMPTIONS</x:v>
      </x:c>
      <x:c r="M30" s="32" t="str">
        <x:v>EVD-0009;EVD-0007;EVD-0008</x:v>
      </x:c>
      <x:c r="N30" s="32" t="str">
        <x:v>GAP-006;GAP-010;GAP-011</x:v>
      </x:c>
      <x:c r="O30" s="32" t="str">
        <x:v>At each parent include either CHILD_VSF cost or that child's raw lines, never both; top-level dish excludes flattened lines reassigned to a VSF</x:v>
      </x:c>
    </x:row>
    <x:row r="31">
      <x:c r="A31" s="32" t="str">
        <x:v>VSF-026</x:v>
      </x:c>
      <x:c r="B31" s="32" t="str">
        <x:v>Овощная смесь подготовленная</x:v>
      </x:c>
      <x:c r="C31" s="32" t="str">
        <x:v>0.1.0-DRAFT</x:v>
      </x:c>
      <x:c r="D31" s="32" t="str">
        <x:v>VSF-026@BASE</x:v>
      </x:c>
      <x:c r="E31" s="32" t="n">
        <x:v>1</x:v>
      </x:c>
      <x:c r="F31" s="32" t="n">
        <x:v>157</x:v>
      </x:c>
      <x:c r="G31" s="32" t="n">
        <x:v>142</x:v>
      </x:c>
      <x:c r="H31" s="32" t="n">
        <x:v>130</x:v>
      </x:c>
      <x:c r="I31" s="32" t="str">
        <x:v>г</x:v>
      </x:c>
      <x:c r="J31" s="32" t="str">
        <x:v>VKM-025</x:v>
      </x:c>
      <x:c r="K31" s="32"/>
      <x:c r="L31" s="32" t="str">
        <x:v>DRAFT_WITH_ASSUMPTIONS</x:v>
      </x:c>
      <x:c r="M31" s="32" t="str">
        <x:v>EVD-0009;EVD-0007;EVD-0008</x:v>
      </x:c>
      <x:c r="N31" s="32" t="str">
        <x:v>GAP-006;GAP-010;GAP-011</x:v>
      </x:c>
      <x:c r="O31" s="32" t="str">
        <x:v>At each parent include either CHILD_VSF cost or that child's raw lines, never both; top-level dish excludes flattened lines reassigned to a VSF</x:v>
      </x:c>
    </x:row>
    <x:row r="32">
      <x:c r="A32" s="32" t="str">
        <x:v>VSF-027</x:v>
      </x:c>
      <x:c r="B32" s="32" t="str">
        <x:v>Бисквит черничного торта</x:v>
      </x:c>
      <x:c r="C32" s="32" t="str">
        <x:v>0.1.0-DRAFT</x:v>
      </x:c>
      <x:c r="D32" s="32" t="str">
        <x:v>VSF-027@BASE</x:v>
      </x:c>
      <x:c r="E32" s="32" t="n">
        <x:v>1</x:v>
      </x:c>
      <x:c r="F32" s="32" t="n">
        <x:v>622</x:v>
      </x:c>
      <x:c r="G32" s="32" t="n">
        <x:v>622</x:v>
      </x:c>
      <x:c r="H32" s="32" t="n">
        <x:v>607</x:v>
      </x:c>
      <x:c r="I32" s="32" t="str">
        <x:v>г</x:v>
      </x:c>
      <x:c r="J32" s="32" t="str">
        <x:v>VKM-029</x:v>
      </x:c>
      <x:c r="K32" s="32"/>
      <x:c r="L32" s="32" t="str">
        <x:v>DRAFT_WITH_ASSUMPTIONS</x:v>
      </x:c>
      <x:c r="M32" s="32" t="str">
        <x:v>EVD-0009;EVD-0007;EVD-0008</x:v>
      </x:c>
      <x:c r="N32" s="32" t="str">
        <x:v>GAP-006;GAP-010;GAP-011</x:v>
      </x:c>
      <x:c r="O32" s="32" t="str">
        <x:v>At each parent include either CHILD_VSF cost or that child's raw lines, never both; top-level dish excludes flattened lines reassigned to a VSF</x:v>
      </x:c>
    </x:row>
    <x:row r="33">
      <x:c r="A33" s="32" t="str">
        <x:v>VSF-028</x:v>
      </x:c>
      <x:c r="B33" s="32" t="str">
        <x:v>Черничный крем</x:v>
      </x:c>
      <x:c r="C33" s="32" t="str">
        <x:v>0.1.0-DRAFT</x:v>
      </x:c>
      <x:c r="D33" s="32" t="str">
        <x:v>VSF-028@BASE</x:v>
      </x:c>
      <x:c r="E33" s="32" t="n">
        <x:v>1</x:v>
      </x:c>
      <x:c r="F33" s="32" t="n">
        <x:v>730</x:v>
      </x:c>
      <x:c r="G33" s="32" t="n">
        <x:v>715</x:v>
      </x:c>
      <x:c r="H33" s="32" t="n">
        <x:v>700</x:v>
      </x:c>
      <x:c r="I33" s="32" t="str">
        <x:v>г</x:v>
      </x:c>
      <x:c r="J33" s="32" t="str">
        <x:v>VKM-029</x:v>
      </x:c>
      <x:c r="K33" s="32"/>
      <x:c r="L33" s="32" t="str">
        <x:v>DRAFT_WITH_ASSUMPTIONS</x:v>
      </x:c>
      <x:c r="M33" s="32" t="str">
        <x:v>EVD-0009;EVD-0007;EVD-0008</x:v>
      </x:c>
      <x:c r="N33" s="32" t="str">
        <x:v>GAP-006;GAP-010;GAP-011</x:v>
      </x:c>
      <x:c r="O33" s="32" t="str">
        <x:v>At each parent include either CHILD_VSF cost or that child's raw lines, never both; top-level dish excludes flattened lines reassigned to a VSF</x:v>
      </x:c>
    </x:row>
    <x:row r="34">
      <x:c r="A34" s="32" t="str">
        <x:v>VSF-029</x:v>
      </x:c>
      <x:c r="B34" s="32" t="str">
        <x:v>Черничное компоте</x:v>
      </x:c>
      <x:c r="C34" s="32" t="str">
        <x:v>0.1.0-DRAFT</x:v>
      </x:c>
      <x:c r="D34" s="32" t="str">
        <x:v>VSF-029@BASE</x:v>
      </x:c>
      <x:c r="E34" s="32" t="n">
        <x:v>1</x:v>
      </x:c>
      <x:c r="F34" s="32" t="n">
        <x:v>330</x:v>
      </x:c>
      <x:c r="G34" s="32" t="n">
        <x:v>320</x:v>
      </x:c>
      <x:c r="H34" s="32" t="n">
        <x:v>300</x:v>
      </x:c>
      <x:c r="I34" s="32" t="str">
        <x:v>г</x:v>
      </x:c>
      <x:c r="J34" s="32" t="str">
        <x:v>VKM-029</x:v>
      </x:c>
      <x:c r="K34" s="32"/>
      <x:c r="L34" s="32" t="str">
        <x:v>DRAFT_WITH_ASSUMPTIONS</x:v>
      </x:c>
      <x:c r="M34" s="32" t="str">
        <x:v>EVD-0009;EVD-0007;EVD-0008</x:v>
      </x:c>
      <x:c r="N34" s="32" t="str">
        <x:v>GAP-006;GAP-010;GAP-011</x:v>
      </x:c>
      <x:c r="O34" s="32" t="str">
        <x:v>At each parent include either CHILD_VSF cost or that child's raw lines, never both; top-level dish excludes flattened lines reassigned to a VSF</x:v>
      </x:c>
    </x:row>
    <x:row r="35">
      <x:c r="A35" s="32" t="str">
        <x:v>VSF-030</x:v>
      </x:c>
      <x:c r="B35" s="32" t="str">
        <x:v>Глазурь торта</x:v>
      </x:c>
      <x:c r="C35" s="32" t="str">
        <x:v>0.1.0-DRAFT</x:v>
      </x:c>
      <x:c r="D35" s="32" t="str">
        <x:v>VSF-030@BASE</x:v>
      </x:c>
      <x:c r="E35" s="32" t="n">
        <x:v>1</x:v>
      </x:c>
      <x:c r="F35" s="32" t="n">
        <x:v>150</x:v>
      </x:c>
      <x:c r="G35" s="32" t="n">
        <x:v>150</x:v>
      </x:c>
      <x:c r="H35" s="32" t="n">
        <x:v>150</x:v>
      </x:c>
      <x:c r="I35" s="32" t="str">
        <x:v>г</x:v>
      </x:c>
      <x:c r="J35" s="32" t="str">
        <x:v>VKM-029</x:v>
      </x:c>
      <x:c r="K35" s="32"/>
      <x:c r="L35" s="32" t="str">
        <x:v>BLOCKED_PENDING_VALIDATION</x:v>
      </x:c>
      <x:c r="M35" s="32" t="str">
        <x:v>EVD-0009;EVD-0007;EVD-0008</x:v>
      </x:c>
      <x:c r="N35" s="32" t="str">
        <x:v>GAP-006;GAP-010;GAP-011;GAP-SF-002</x:v>
      </x:c>
      <x:c r="O35" s="32" t="str">
        <x:v>At each parent include either CHILD_VSF cost or that child's raw lines, never both; top-level dish excludes flattened lines reassigned to a VSF</x:v>
      </x:c>
    </x:row>
    <x:row r="36">
      <x:c r="A36" s="32" t="str">
        <x:v>VSF-031</x:v>
      </x:c>
      <x:c r="B36" s="32" t="str">
        <x:v>Песочное тесто кростаты</x:v>
      </x:c>
      <x:c r="C36" s="32" t="str">
        <x:v>0.1.0-DRAFT</x:v>
      </x:c>
      <x:c r="D36" s="32" t="str">
        <x:v>VSF-031@BASE</x:v>
      </x:c>
      <x:c r="E36" s="32" t="n">
        <x:v>1</x:v>
      </x:c>
      <x:c r="F36" s="32" t="n">
        <x:v>610</x:v>
      </x:c>
      <x:c r="G36" s="32" t="n">
        <x:v>610</x:v>
      </x:c>
      <x:c r="H36" s="32" t="n">
        <x:v>600</x:v>
      </x:c>
      <x:c r="I36" s="32" t="str">
        <x:v>г</x:v>
      </x:c>
      <x:c r="J36" s="32" t="str">
        <x:v>VKM-030</x:v>
      </x:c>
      <x:c r="K36" s="32"/>
      <x:c r="L36" s="32" t="str">
        <x:v>DRAFT_WITH_ASSUMPTIONS</x:v>
      </x:c>
      <x:c r="M36" s="32" t="str">
        <x:v>EVD-0009;EVD-0007;EVD-0008</x:v>
      </x:c>
      <x:c r="N36" s="32" t="str">
        <x:v>GAP-006;GAP-010;GAP-011</x:v>
      </x:c>
      <x:c r="O36" s="32" t="str">
        <x:v>At each parent include either CHILD_VSF cost or that child's raw lines, never both; top-level dish excludes flattened lines reassigned to a VSF</x:v>
      </x:c>
    </x:row>
    <x:row r="37">
      <x:c r="A37" s="32" t="str">
        <x:v>VSF-032</x:v>
      </x:c>
      <x:c r="B37" s="32" t="str">
        <x:v>Солёная карамель</x:v>
      </x:c>
      <x:c r="C37" s="32" t="str">
        <x:v>0.1.0-DRAFT</x:v>
      </x:c>
      <x:c r="D37" s="32" t="str">
        <x:v>VSF-032@BASE</x:v>
      </x:c>
      <x:c r="E37" s="32" t="n">
        <x:v>1</x:v>
      </x:c>
      <x:c r="F37" s="32" t="n">
        <x:v>355</x:v>
      </x:c>
      <x:c r="G37" s="32" t="n">
        <x:v>355</x:v>
      </x:c>
      <x:c r="H37" s="32" t="n">
        <x:v>350</x:v>
      </x:c>
      <x:c r="I37" s="32" t="str">
        <x:v>г</x:v>
      </x:c>
      <x:c r="J37" s="32" t="str">
        <x:v>VKM-030</x:v>
      </x:c>
      <x:c r="K37" s="32"/>
      <x:c r="L37" s="32" t="str">
        <x:v>DRAFT_WITH_ASSUMPTIONS</x:v>
      </x:c>
      <x:c r="M37" s="32" t="str">
        <x:v>EVD-0009;EVD-0007;EVD-0008</x:v>
      </x:c>
      <x:c r="N37" s="32" t="str">
        <x:v>GAP-006;GAP-010;GAP-011</x:v>
      </x:c>
      <x:c r="O37" s="32" t="str">
        <x:v>At each parent include either CHILD_VSF cost or that child's raw lines, never both; top-level dish excludes flattened lines reassigned to a VSF</x:v>
      </x:c>
    </x:row>
    <x:row r="38">
      <x:c r="A38" s="32" t="str">
        <x:v>VSF-033</x:v>
      </x:c>
      <x:c r="B38" s="32" t="str">
        <x:v>Крем кростаты</x:v>
      </x:c>
      <x:c r="C38" s="32" t="str">
        <x:v>0.1.0-DRAFT</x:v>
      </x:c>
      <x:c r="D38" s="32" t="str">
        <x:v>VSF-033@BASE</x:v>
      </x:c>
      <x:c r="E38" s="32" t="n">
        <x:v>1</x:v>
      </x:c>
      <x:c r="F38" s="32" t="n">
        <x:v>200</x:v>
      </x:c>
      <x:c r="G38" s="32" t="n">
        <x:v>200</x:v>
      </x:c>
      <x:c r="H38" s="32" t="n">
        <x:v>200</x:v>
      </x:c>
      <x:c r="I38" s="32" t="str">
        <x:v>г</x:v>
      </x:c>
      <x:c r="J38" s="32" t="str">
        <x:v>VKM-030</x:v>
      </x:c>
      <x:c r="K38" s="32"/>
      <x:c r="L38" s="32" t="str">
        <x:v>DRAFT_WITH_ASSUMPTIONS</x:v>
      </x:c>
      <x:c r="M38" s="32" t="str">
        <x:v>EVD-0009;EVD-0007;EVD-0008</x:v>
      </x:c>
      <x:c r="N38" s="32" t="str">
        <x:v>GAP-006;GAP-010;GAP-011</x:v>
      </x:c>
      <x:c r="O38" s="32" t="str">
        <x:v>At each parent include either CHILD_VSF cost or that child's raw lines, never both; top-level dish excludes flattened lines reassigned to a VSF</x:v>
      </x:c>
    </x:row>
    <x:row r="39">
      <x:c r="A39" s="32" t="str">
        <x:v>VSF-034</x:v>
      </x:c>
      <x:c r="B39" s="32" t="str">
        <x:v>Тесто мадлен</x:v>
      </x:c>
      <x:c r="C39" s="32" t="str">
        <x:v>0.1.0-DRAFT</x:v>
      </x:c>
      <x:c r="D39" s="32" t="str">
        <x:v>VSF-034@BASE</x:v>
      </x:c>
      <x:c r="E39" s="32" t="n">
        <x:v>1</x:v>
      </x:c>
      <x:c r="F39" s="32" t="n">
        <x:v>612</x:v>
      </x:c>
      <x:c r="G39" s="32" t="n">
        <x:v>610</x:v>
      </x:c>
      <x:c r="H39" s="32" t="n">
        <x:v>600</x:v>
      </x:c>
      <x:c r="I39" s="32" t="str">
        <x:v>г</x:v>
      </x:c>
      <x:c r="J39" s="32" t="str">
        <x:v>VKM-031</x:v>
      </x:c>
      <x:c r="K39" s="32"/>
      <x:c r="L39" s="32" t="str">
        <x:v>DRAFT_WITH_ASSUMPTIONS</x:v>
      </x:c>
      <x:c r="M39" s="32" t="str">
        <x:v>EVD-0009;EVD-0007;EVD-0008</x:v>
      </x:c>
      <x:c r="N39" s="32" t="str">
        <x:v>GAP-006;GAP-010;GAP-011</x:v>
      </x:c>
      <x:c r="O39" s="32" t="str">
        <x:v>At each parent include either CHILD_VSF cost or that child's raw lines, never both; top-level dish excludes flattened lines reassigned to a VSF</x:v>
      </x:c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</x:row>
    <x:row r="42">
      <x:c r="A42" s="34" t="str">
        <x:v>DAG edges (audit)</x:v>
      </x:c>
      <x:c r="B42" s="34"/>
      <x:c r="C42" s="34"/>
      <x:c r="D42" s="34"/>
      <x:c r="E42" s="34"/>
      <x:c r="F42" s="34"/>
      <x:c r="G42" s="34"/>
      <x:c r="H42" s="34"/>
      <x:c r="I42" s="34"/>
      <x:c r="J42" s="34"/>
      <x:c r="K42" s="27"/>
      <x:c r="L42" s="27"/>
      <x:c r="M42" s="27"/>
      <x:c r="N42" s="27"/>
      <x:c r="O42" s="27"/>
    </x:row>
    <x:row r="43" ht="34" customHeight="1">
      <x:c r="A43" s="31" t="str">
        <x:v>Edge</x:v>
      </x:c>
      <x:c r="B43" s="31" t="str">
        <x:v>Parent type</x:v>
      </x:c>
      <x:c r="C43" s="31" t="str">
        <x:v>Parent</x:v>
      </x:c>
      <x:c r="D43" s="31" t="str">
        <x:v>Child</x:v>
      </x:c>
      <x:c r="E43" s="31" t="str">
        <x:v>Variant</x:v>
      </x:c>
      <x:c r="F43" s="31" t="str">
        <x:v>Qty</x:v>
      </x:c>
      <x:c r="G43" s="31" t="str">
        <x:v>Unit</x:v>
      </x:c>
      <x:c r="H43" s="31" t="str">
        <x:v>Mapping</x:v>
      </x:c>
      <x:c r="I43" s="31" t="str">
        <x:v>Status</x:v>
      </x:c>
      <x:c r="J43" s="31" t="str">
        <x:v>Cycle control</x:v>
      </x:c>
      <x:c r="K43" s="27"/>
      <x:c r="L43" s="27"/>
      <x:c r="M43" s="27"/>
      <x:c r="N43" s="27"/>
      <x:c r="O43" s="27"/>
    </x:row>
    <x:row r="44">
      <x:c r="A44" s="32" t="str">
        <x:v>SFD-001</x:v>
      </x:c>
      <x:c r="B44" s="32" t="str">
        <x:v>DISH</x:v>
      </x:c>
      <x:c r="C44" s="32" t="str">
        <x:v>VKM-001</x:v>
      </x:c>
      <x:c r="D44" s="32" t="str">
        <x:v>VSF-001</x:v>
      </x:c>
      <x:c r="E44" s="32" t="str">
        <x:v>VSF-001@VKM-001</x:v>
      </x:c>
      <x:c r="F44" s="32" t="n">
        <x:v>213</x:v>
      </x:c>
      <x:c r="G44" s="32" t="str">
        <x:v>г</x:v>
      </x:c>
      <x:c r="H44" s="32" t="str">
        <x:v>SFM-001</x:v>
      </x:c>
      <x:c r="I44" s="32" t="str">
        <x:v>DRAFT_WITH_ASSUMPTIONS</x:v>
      </x:c>
      <x:c r="J44" s="32" t="str">
        <x:v>Directed parent-to-child edge; validated by topological sort over VSF subgraph</x:v>
      </x:c>
      <x:c r="K44" s="27"/>
      <x:c r="L44" s="27"/>
      <x:c r="M44" s="27"/>
      <x:c r="N44" s="27"/>
      <x:c r="O44" s="27"/>
    </x:row>
    <x:row r="45">
      <x:c r="A45" s="32" t="str">
        <x:v>SFD-002</x:v>
      </x:c>
      <x:c r="B45" s="32" t="str">
        <x:v>DISH</x:v>
      </x:c>
      <x:c r="C45" s="32" t="str">
        <x:v>VKM-002</x:v>
      </x:c>
      <x:c r="D45" s="32" t="str">
        <x:v>VSF-001</x:v>
      </x:c>
      <x:c r="E45" s="32" t="str">
        <x:v>VSF-001@VKM-002</x:v>
      </x:c>
      <x:c r="F45" s="32" t="n">
        <x:v>220</x:v>
      </x:c>
      <x:c r="G45" s="32" t="str">
        <x:v>г</x:v>
      </x:c>
      <x:c r="H45" s="32" t="str">
        <x:v>SFM-002</x:v>
      </x:c>
      <x:c r="I45" s="32" t="str">
        <x:v>DRAFT_WITH_ASSUMPTIONS</x:v>
      </x:c>
      <x:c r="J45" s="32" t="str">
        <x:v>Directed parent-to-child edge; validated by topological sort over VSF subgraph</x:v>
      </x:c>
      <x:c r="K45" s="27"/>
      <x:c r="L45" s="27"/>
      <x:c r="M45" s="27"/>
      <x:c r="N45" s="27"/>
      <x:c r="O45" s="27"/>
    </x:row>
    <x:row r="46">
      <x:c r="A46" s="32" t="str">
        <x:v>SFD-003</x:v>
      </x:c>
      <x:c r="B46" s="32" t="str">
        <x:v>DISH</x:v>
      </x:c>
      <x:c r="C46" s="32" t="str">
        <x:v>VKM-003</x:v>
      </x:c>
      <x:c r="D46" s="32" t="str">
        <x:v>VSF-001</x:v>
      </x:c>
      <x:c r="E46" s="32" t="str">
        <x:v>VSF-001@VKM-003</x:v>
      </x:c>
      <x:c r="F46" s="32" t="n">
        <x:v>220</x:v>
      </x:c>
      <x:c r="G46" s="32" t="str">
        <x:v>г</x:v>
      </x:c>
      <x:c r="H46" s="32" t="str">
        <x:v>SFM-003</x:v>
      </x:c>
      <x:c r="I46" s="32" t="str">
        <x:v>DRAFT_WITH_ASSUMPTIONS</x:v>
      </x:c>
      <x:c r="J46" s="32" t="str">
        <x:v>Directed parent-to-child edge; validated by topological sort over VSF subgraph</x:v>
      </x:c>
      <x:c r="K46" s="27"/>
      <x:c r="L46" s="27"/>
      <x:c r="M46" s="27"/>
      <x:c r="N46" s="27"/>
      <x:c r="O46" s="27"/>
    </x:row>
    <x:row r="47">
      <x:c r="A47" s="32" t="str">
        <x:v>SFD-004</x:v>
      </x:c>
      <x:c r="B47" s="32" t="str">
        <x:v>DISH</x:v>
      </x:c>
      <x:c r="C47" s="32" t="str">
        <x:v>VKM-004</x:v>
      </x:c>
      <x:c r="D47" s="32" t="str">
        <x:v>VSF-001</x:v>
      </x:c>
      <x:c r="E47" s="32" t="str">
        <x:v>VSF-001@VKM-004</x:v>
      </x:c>
      <x:c r="F47" s="32" t="n">
        <x:v>220</x:v>
      </x:c>
      <x:c r="G47" s="32" t="str">
        <x:v>г</x:v>
      </x:c>
      <x:c r="H47" s="32" t="str">
        <x:v>SFM-004</x:v>
      </x:c>
      <x:c r="I47" s="32" t="str">
        <x:v>DRAFT_WITH_ASSUMPTIONS</x:v>
      </x:c>
      <x:c r="J47" s="32" t="str">
        <x:v>Directed parent-to-child edge; validated by topological sort over VSF subgraph</x:v>
      </x:c>
      <x:c r="K47" s="27"/>
      <x:c r="L47" s="27"/>
      <x:c r="M47" s="27"/>
      <x:c r="N47" s="27"/>
      <x:c r="O47" s="27"/>
    </x:row>
    <x:row r="48">
      <x:c r="A48" s="32" t="str">
        <x:v>SFD-005</x:v>
      </x:c>
      <x:c r="B48" s="32" t="str">
        <x:v>DISH</x:v>
      </x:c>
      <x:c r="C48" s="32" t="str">
        <x:v>VKM-001</x:v>
      </x:c>
      <x:c r="D48" s="32" t="str">
        <x:v>VSF-002</x:v>
      </x:c>
      <x:c r="E48" s="32" t="str">
        <x:v>VSF-002@VKM-001</x:v>
      </x:c>
      <x:c r="F48" s="32" t="n">
        <x:v>80</x:v>
      </x:c>
      <x:c r="G48" s="32" t="str">
        <x:v>г</x:v>
      </x:c>
      <x:c r="H48" s="32" t="str">
        <x:v>SFM-005</x:v>
      </x:c>
      <x:c r="I48" s="32" t="str">
        <x:v>DRAFT_WITH_ASSUMPTIONS</x:v>
      </x:c>
      <x:c r="J48" s="32" t="str">
        <x:v>Directed parent-to-child edge; validated by topological sort over VSF subgraph</x:v>
      </x:c>
      <x:c r="K48" s="27"/>
      <x:c r="L48" s="27"/>
      <x:c r="M48" s="27"/>
      <x:c r="N48" s="27"/>
      <x:c r="O48" s="27"/>
    </x:row>
    <x:row r="49">
      <x:c r="A49" s="32" t="str">
        <x:v>SFD-006</x:v>
      </x:c>
      <x:c r="B49" s="32" t="str">
        <x:v>DISH</x:v>
      </x:c>
      <x:c r="C49" s="32" t="str">
        <x:v>VKM-002</x:v>
      </x:c>
      <x:c r="D49" s="32" t="str">
        <x:v>VSF-002</x:v>
      </x:c>
      <x:c r="E49" s="32" t="str">
        <x:v>VSF-002@VKM-002</x:v>
      </x:c>
      <x:c r="F49" s="32" t="n">
        <x:v>50</x:v>
      </x:c>
      <x:c r="G49" s="32" t="str">
        <x:v>г</x:v>
      </x:c>
      <x:c r="H49" s="32" t="str">
        <x:v>SFM-006</x:v>
      </x:c>
      <x:c r="I49" s="32" t="str">
        <x:v>DRAFT_WITH_ASSUMPTIONS</x:v>
      </x:c>
      <x:c r="J49" s="32" t="str">
        <x:v>Directed parent-to-child edge; validated by topological sort over VSF subgraph</x:v>
      </x:c>
      <x:c r="K49" s="27"/>
      <x:c r="L49" s="27"/>
      <x:c r="M49" s="27"/>
      <x:c r="N49" s="27"/>
      <x:c r="O49" s="27"/>
    </x:row>
    <x:row r="50">
      <x:c r="A50" s="32" t="str">
        <x:v>SFD-007</x:v>
      </x:c>
      <x:c r="B50" s="32" t="str">
        <x:v>DISH</x:v>
      </x:c>
      <x:c r="C50" s="32" t="str">
        <x:v>VKM-003</x:v>
      </x:c>
      <x:c r="D50" s="32" t="str">
        <x:v>VSF-002</x:v>
      </x:c>
      <x:c r="E50" s="32" t="str">
        <x:v>VSF-002@VKM-003</x:v>
      </x:c>
      <x:c r="F50" s="32" t="n">
        <x:v>70</x:v>
      </x:c>
      <x:c r="G50" s="32" t="str">
        <x:v>г</x:v>
      </x:c>
      <x:c r="H50" s="32" t="str">
        <x:v>SFM-007</x:v>
      </x:c>
      <x:c r="I50" s="32" t="str">
        <x:v>DRAFT_WITH_ASSUMPTIONS</x:v>
      </x:c>
      <x:c r="J50" s="32" t="str">
        <x:v>Directed parent-to-child edge; validated by topological sort over VSF subgraph</x:v>
      </x:c>
      <x:c r="K50" s="27"/>
      <x:c r="L50" s="27"/>
      <x:c r="M50" s="27"/>
      <x:c r="N50" s="27"/>
      <x:c r="O50" s="27"/>
    </x:row>
    <x:row r="51">
      <x:c r="A51" s="32" t="str">
        <x:v>SFD-008</x:v>
      </x:c>
      <x:c r="B51" s="32" t="str">
        <x:v>DISH</x:v>
      </x:c>
      <x:c r="C51" s="32" t="str">
        <x:v>VKM-004</x:v>
      </x:c>
      <x:c r="D51" s="32" t="str">
        <x:v>VSF-002</x:v>
      </x:c>
      <x:c r="E51" s="32" t="str">
        <x:v>VSF-002@VKM-004</x:v>
      </x:c>
      <x:c r="F51" s="32" t="n">
        <x:v>70</x:v>
      </x:c>
      <x:c r="G51" s="32" t="str">
        <x:v>г</x:v>
      </x:c>
      <x:c r="H51" s="32" t="str">
        <x:v>SFM-008</x:v>
      </x:c>
      <x:c r="I51" s="32" t="str">
        <x:v>DRAFT_WITH_ASSUMPTIONS</x:v>
      </x:c>
      <x:c r="J51" s="32" t="str">
        <x:v>Directed parent-to-child edge; validated by topological sort over VSF subgraph</x:v>
      </x:c>
      <x:c r="K51" s="27"/>
      <x:c r="L51" s="27"/>
      <x:c r="M51" s="27"/>
      <x:c r="N51" s="27"/>
      <x:c r="O51" s="27"/>
    </x:row>
    <x:row r="52">
      <x:c r="A52" s="32" t="str">
        <x:v>SFD-009</x:v>
      </x:c>
      <x:c r="B52" s="32" t="str">
        <x:v>DISH</x:v>
      </x:c>
      <x:c r="C52" s="32" t="str">
        <x:v>VKM-005</x:v>
      </x:c>
      <x:c r="D52" s="32" t="str">
        <x:v>VSF-003</x:v>
      </x:c>
      <x:c r="E52" s="32" t="str">
        <x:v>VSF-003@BASE</x:v>
      </x:c>
      <x:c r="F52" s="32" t="n">
        <x:v>100</x:v>
      </x:c>
      <x:c r="G52" s="32" t="str">
        <x:v>г</x:v>
      </x:c>
      <x:c r="H52" s="32" t="str">
        <x:v>SFM-009</x:v>
      </x:c>
      <x:c r="I52" s="32" t="str">
        <x:v>DRAFT_WITH_ASSUMPTIONS</x:v>
      </x:c>
      <x:c r="J52" s="32" t="str">
        <x:v>Directed parent-to-child edge; validated by topological sort over VSF subgraph</x:v>
      </x:c>
      <x:c r="K52" s="27"/>
      <x:c r="L52" s="27"/>
      <x:c r="M52" s="27"/>
      <x:c r="N52" s="27"/>
      <x:c r="O52" s="27"/>
    </x:row>
    <x:row r="53">
      <x:c r="A53" s="32" t="str">
        <x:v>SFD-010</x:v>
      </x:c>
      <x:c r="B53" s="32" t="str">
        <x:v>DISH</x:v>
      </x:c>
      <x:c r="C53" s="32" t="str">
        <x:v>VKM-006</x:v>
      </x:c>
      <x:c r="D53" s="32" t="str">
        <x:v>VSF-004</x:v>
      </x:c>
      <x:c r="E53" s="32" t="str">
        <x:v>VSF-004@BASE</x:v>
      </x:c>
      <x:c r="F53" s="32" t="n">
        <x:v>100</x:v>
      </x:c>
      <x:c r="G53" s="32" t="str">
        <x:v>г</x:v>
      </x:c>
      <x:c r="H53" s="32" t="str">
        <x:v>SFM-010</x:v>
      </x:c>
      <x:c r="I53" s="32" t="str">
        <x:v>DRAFT_WITH_ASSUMPTIONS</x:v>
      </x:c>
      <x:c r="J53" s="32" t="str">
        <x:v>Directed parent-to-child edge; validated by topological sort over VSF subgraph</x:v>
      </x:c>
      <x:c r="K53" s="27"/>
      <x:c r="L53" s="27"/>
      <x:c r="M53" s="27"/>
      <x:c r="N53" s="27"/>
      <x:c r="O53" s="27"/>
    </x:row>
    <x:row r="54">
      <x:c r="A54" s="32" t="str">
        <x:v>SFD-011</x:v>
      </x:c>
      <x:c r="B54" s="32" t="str">
        <x:v>DISH</x:v>
      </x:c>
      <x:c r="C54" s="32" t="str">
        <x:v>VKM-007</x:v>
      </x:c>
      <x:c r="D54" s="32" t="str">
        <x:v>VSF-005</x:v>
      </x:c>
      <x:c r="E54" s="32" t="str">
        <x:v>VSF-005@BASE</x:v>
      </x:c>
      <x:c r="F54" s="32" t="n">
        <x:v>350</x:v>
      </x:c>
      <x:c r="G54" s="32" t="str">
        <x:v>г</x:v>
      </x:c>
      <x:c r="H54" s="32" t="str">
        <x:v>SFM-011</x:v>
      </x:c>
      <x:c r="I54" s="32" t="str">
        <x:v>DRAFT_WITH_ASSUMPTIONS</x:v>
      </x:c>
      <x:c r="J54" s="32" t="str">
        <x:v>Directed parent-to-child edge; validated by topological sort over VSF subgraph</x:v>
      </x:c>
      <x:c r="K54" s="27"/>
      <x:c r="L54" s="27"/>
      <x:c r="M54" s="27"/>
      <x:c r="N54" s="27"/>
      <x:c r="O54" s="27"/>
    </x:row>
    <x:row r="55">
      <x:c r="A55" s="32" t="str">
        <x:v>SFD-012</x:v>
      </x:c>
      <x:c r="B55" s="32" t="str">
        <x:v>DISH</x:v>
      </x:c>
      <x:c r="C55" s="32" t="str">
        <x:v>VKM-008</x:v>
      </x:c>
      <x:c r="D55" s="32" t="str">
        <x:v>VSF-006</x:v>
      </x:c>
      <x:c r="E55" s="32" t="str">
        <x:v>VSF-006@BASE</x:v>
      </x:c>
      <x:c r="F55" s="32" t="n">
        <x:v>85</x:v>
      </x:c>
      <x:c r="G55" s="32" t="str">
        <x:v>г</x:v>
      </x:c>
      <x:c r="H55" s="32" t="str">
        <x:v>SFM-012</x:v>
      </x:c>
      <x:c r="I55" s="32" t="str">
        <x:v>DRAFT_WITH_ASSUMPTIONS</x:v>
      </x:c>
      <x:c r="J55" s="32" t="str">
        <x:v>Directed parent-to-child edge; validated by topological sort over VSF subgraph</x:v>
      </x:c>
      <x:c r="K55" s="27"/>
      <x:c r="L55" s="27"/>
      <x:c r="M55" s="27"/>
      <x:c r="N55" s="27"/>
      <x:c r="O55" s="27"/>
    </x:row>
    <x:row r="56">
      <x:c r="A56" s="32" t="str">
        <x:v>SFD-013</x:v>
      </x:c>
      <x:c r="B56" s="32" t="str">
        <x:v>DISH</x:v>
      </x:c>
      <x:c r="C56" s="32" t="str">
        <x:v>VKM-021</x:v>
      </x:c>
      <x:c r="D56" s="32" t="str">
        <x:v>VSF-006</x:v>
      </x:c>
      <x:c r="E56" s="32" t="str">
        <x:v>VSF-006@BASE</x:v>
      </x:c>
      <x:c r="F56" s="32" t="n">
        <x:v>85</x:v>
      </x:c>
      <x:c r="G56" s="32" t="str">
        <x:v>г</x:v>
      </x:c>
      <x:c r="H56" s="32" t="str">
        <x:v>SFM-013</x:v>
      </x:c>
      <x:c r="I56" s="32" t="str">
        <x:v>DRAFT_WITH_ASSUMPTIONS</x:v>
      </x:c>
      <x:c r="J56" s="32" t="str">
        <x:v>Directed parent-to-child edge; validated by topological sort over VSF subgraph</x:v>
      </x:c>
      <x:c r="K56" s="27"/>
      <x:c r="L56" s="27"/>
      <x:c r="M56" s="27"/>
      <x:c r="N56" s="27"/>
      <x:c r="O56" s="27"/>
    </x:row>
    <x:row r="57">
      <x:c r="A57" s="32" t="str">
        <x:v>SFD-014</x:v>
      </x:c>
      <x:c r="B57" s="32" t="str">
        <x:v>DISH</x:v>
      </x:c>
      <x:c r="C57" s="32" t="str">
        <x:v>VKM-009</x:v>
      </x:c>
      <x:c r="D57" s="32" t="str">
        <x:v>VSF-007</x:v>
      </x:c>
      <x:c r="E57" s="32" t="str">
        <x:v>VSF-007@BASE</x:v>
      </x:c>
      <x:c r="F57" s="32" t="n">
        <x:v>30</x:v>
      </x:c>
      <x:c r="G57" s="32" t="str">
        <x:v>г</x:v>
      </x:c>
      <x:c r="H57" s="32" t="str">
        <x:v>SFM-014</x:v>
      </x:c>
      <x:c r="I57" s="32" t="str">
        <x:v>DRAFT_WITH_ASSUMPTIONS</x:v>
      </x:c>
      <x:c r="J57" s="32" t="str">
        <x:v>Directed parent-to-child edge; validated by topological sort over VSF subgraph</x:v>
      </x:c>
      <x:c r="K57" s="27"/>
      <x:c r="L57" s="27"/>
      <x:c r="M57" s="27"/>
      <x:c r="N57" s="27"/>
      <x:c r="O57" s="27"/>
    </x:row>
    <x:row r="58">
      <x:c r="A58" s="32" t="str">
        <x:v>SFD-015</x:v>
      </x:c>
      <x:c r="B58" s="32" t="str">
        <x:v>DISH</x:v>
      </x:c>
      <x:c r="C58" s="32" t="str">
        <x:v>VKM-010</x:v>
      </x:c>
      <x:c r="D58" s="32" t="str">
        <x:v>VSF-008</x:v>
      </x:c>
      <x:c r="E58" s="32" t="str">
        <x:v>VSF-008@BASE</x:v>
      </x:c>
      <x:c r="F58" s="32" t="n">
        <x:v>20</x:v>
      </x:c>
      <x:c r="G58" s="32" t="str">
        <x:v>г</x:v>
      </x:c>
      <x:c r="H58" s="32" t="str">
        <x:v>SFM-015</x:v>
      </x:c>
      <x:c r="I58" s="32" t="str">
        <x:v>DRAFT_WITH_ASSUMPTIONS</x:v>
      </x:c>
      <x:c r="J58" s="32" t="str">
        <x:v>Directed parent-to-child edge; validated by topological sort over VSF subgraph</x:v>
      </x:c>
      <x:c r="K58" s="27"/>
      <x:c r="L58" s="27"/>
      <x:c r="M58" s="27"/>
      <x:c r="N58" s="27"/>
      <x:c r="O58" s="27"/>
    </x:row>
    <x:row r="59">
      <x:c r="A59" s="32" t="str">
        <x:v>SFD-016</x:v>
      </x:c>
      <x:c r="B59" s="32" t="str">
        <x:v>DISH</x:v>
      </x:c>
      <x:c r="C59" s="32" t="str">
        <x:v>VKM-011</x:v>
      </x:c>
      <x:c r="D59" s="32" t="str">
        <x:v>VSF-009</x:v>
      </x:c>
      <x:c r="E59" s="32" t="str">
        <x:v>VSF-009@BASE</x:v>
      </x:c>
      <x:c r="F59" s="32" t="n">
        <x:v>10</x:v>
      </x:c>
      <x:c r="G59" s="32" t="str">
        <x:v>г</x:v>
      </x:c>
      <x:c r="H59" s="32" t="str">
        <x:v>SFM-016</x:v>
      </x:c>
      <x:c r="I59" s="32" t="str">
        <x:v>DRAFT_WITH_ASSUMPTIONS</x:v>
      </x:c>
      <x:c r="J59" s="32" t="str">
        <x:v>Directed parent-to-child edge; validated by topological sort over VSF subgraph</x:v>
      </x:c>
      <x:c r="K59" s="27"/>
      <x:c r="L59" s="27"/>
      <x:c r="M59" s="27"/>
      <x:c r="N59" s="27"/>
      <x:c r="O59" s="27"/>
    </x:row>
    <x:row r="60">
      <x:c r="A60" s="32" t="str">
        <x:v>SFD-017</x:v>
      </x:c>
      <x:c r="B60" s="32" t="str">
        <x:v>DISH</x:v>
      </x:c>
      <x:c r="C60" s="32" t="str">
        <x:v>VKM-012</x:v>
      </x:c>
      <x:c r="D60" s="32" t="str">
        <x:v>VSF-010</x:v>
      </x:c>
      <x:c r="E60" s="32" t="str">
        <x:v>VSF-010@BASE</x:v>
      </x:c>
      <x:c r="F60" s="32" t="n">
        <x:v>160</x:v>
      </x:c>
      <x:c r="G60" s="32" t="str">
        <x:v>г</x:v>
      </x:c>
      <x:c r="H60" s="32" t="str">
        <x:v>SFM-017</x:v>
      </x:c>
      <x:c r="I60" s="32" t="str">
        <x:v>DRAFT_WITH_ASSUMPTIONS</x:v>
      </x:c>
      <x:c r="J60" s="32" t="str">
        <x:v>Directed parent-to-child edge; validated by topological sort over VSF subgraph</x:v>
      </x:c>
      <x:c r="K60" s="27"/>
      <x:c r="L60" s="27"/>
      <x:c r="M60" s="27"/>
      <x:c r="N60" s="27"/>
      <x:c r="O60" s="27"/>
    </x:row>
    <x:row r="61">
      <x:c r="A61" s="32" t="str">
        <x:v>SFD-018</x:v>
      </x:c>
      <x:c r="B61" s="32" t="str">
        <x:v>DISH</x:v>
      </x:c>
      <x:c r="C61" s="32" t="str">
        <x:v>VKM-014</x:v>
      </x:c>
      <x:c r="D61" s="32" t="str">
        <x:v>VSF-011</x:v>
      </x:c>
      <x:c r="E61" s="32" t="str">
        <x:v>VSF-011@VKM-023</x:v>
      </x:c>
      <x:c r="F61" s="32" t="n">
        <x:v>110</x:v>
      </x:c>
      <x:c r="G61" s="32" t="str">
        <x:v>г</x:v>
      </x:c>
      <x:c r="H61" s="32" t="str">
        <x:v>SFM-018</x:v>
      </x:c>
      <x:c r="I61" s="32" t="str">
        <x:v>DRAFT_WITH_ASSUMPTIONS</x:v>
      </x:c>
      <x:c r="J61" s="32" t="str">
        <x:v>Directed parent-to-child edge; validated by topological sort over VSF subgraph</x:v>
      </x:c>
      <x:c r="K61" s="27"/>
      <x:c r="L61" s="27"/>
      <x:c r="M61" s="27"/>
      <x:c r="N61" s="27"/>
      <x:c r="O61" s="27"/>
    </x:row>
    <x:row r="62">
      <x:c r="A62" s="32" t="str">
        <x:v>SFD-019</x:v>
      </x:c>
      <x:c r="B62" s="32" t="str">
        <x:v>DISH</x:v>
      </x:c>
      <x:c r="C62" s="32" t="str">
        <x:v>VKM-023</x:v>
      </x:c>
      <x:c r="D62" s="32" t="str">
        <x:v>VSF-011</x:v>
      </x:c>
      <x:c r="E62" s="32" t="str">
        <x:v>VSF-011@VKM-023</x:v>
      </x:c>
      <x:c r="F62" s="32" t="n">
        <x:v>150</x:v>
      </x:c>
      <x:c r="G62" s="32" t="str">
        <x:v>г</x:v>
      </x:c>
      <x:c r="H62" s="32" t="str">
        <x:v>SFM-019</x:v>
      </x:c>
      <x:c r="I62" s="32" t="str">
        <x:v>DRAFT_WITH_ASSUMPTIONS</x:v>
      </x:c>
      <x:c r="J62" s="32" t="str">
        <x:v>Directed parent-to-child edge; validated by topological sort over VSF subgraph</x:v>
      </x:c>
      <x:c r="K62" s="27"/>
      <x:c r="L62" s="27"/>
      <x:c r="M62" s="27"/>
      <x:c r="N62" s="27"/>
      <x:c r="O62" s="27"/>
    </x:row>
    <x:row r="63">
      <x:c r="A63" s="32" t="str">
        <x:v>SFD-020</x:v>
      </x:c>
      <x:c r="B63" s="32" t="str">
        <x:v>DISH</x:v>
      </x:c>
      <x:c r="C63" s="32" t="str">
        <x:v>VKM-015</x:v>
      </x:c>
      <x:c r="D63" s="32" t="str">
        <x:v>VSF-012</x:v>
      </x:c>
      <x:c r="E63" s="32" t="str">
        <x:v>VSF-012@BASE</x:v>
      </x:c>
      <x:c r="F63" s="32" t="n">
        <x:v>20</x:v>
      </x:c>
      <x:c r="G63" s="32" t="str">
        <x:v>г</x:v>
      </x:c>
      <x:c r="H63" s="32" t="str">
        <x:v>SFM-020</x:v>
      </x:c>
      <x:c r="I63" s="32" t="str">
        <x:v>DRAFT_WITH_ASSUMPTIONS</x:v>
      </x:c>
      <x:c r="J63" s="32" t="str">
        <x:v>Directed parent-to-child edge; validated by topological sort over VSF subgraph</x:v>
      </x:c>
      <x:c r="K63" s="27"/>
      <x:c r="L63" s="27"/>
      <x:c r="M63" s="27"/>
      <x:c r="N63" s="27"/>
      <x:c r="O63" s="27"/>
    </x:row>
    <x:row r="64">
      <x:c r="A64" s="32" t="str">
        <x:v>SFD-021</x:v>
      </x:c>
      <x:c r="B64" s="32" t="str">
        <x:v>VSF</x:v>
      </x:c>
      <x:c r="C64" s="32" t="str">
        <x:v>VSF-014</x:v>
      </x:c>
      <x:c r="D64" s="32" t="str">
        <x:v>VSF-013</x:v>
      </x:c>
      <x:c r="E64" s="32" t="str">
        <x:v>VSF-013@BASE</x:v>
      </x:c>
      <x:c r="F64" s="32" t="n">
        <x:v>20</x:v>
      </x:c>
      <x:c r="G64" s="32" t="str">
        <x:v>г</x:v>
      </x:c>
      <x:c r="H64" s="32" t="str">
        <x:v>SFM-021</x:v>
      </x:c>
      <x:c r="I64" s="32" t="str">
        <x:v>DRAFT_WITH_ASSUMPTIONS</x:v>
      </x:c>
      <x:c r="J64" s="32" t="str">
        <x:v>Directed parent-to-child edge; validated by topological sort over VSF subgraph</x:v>
      </x:c>
      <x:c r="K64" s="27"/>
      <x:c r="L64" s="27"/>
      <x:c r="M64" s="27"/>
      <x:c r="N64" s="27"/>
      <x:c r="O64" s="27"/>
    </x:row>
    <x:row r="65">
      <x:c r="A65" s="32" t="str">
        <x:v>SFD-022</x:v>
      </x:c>
      <x:c r="B65" s="32" t="str">
        <x:v>DISH</x:v>
      </x:c>
      <x:c r="C65" s="32" t="str">
        <x:v>VKM-016</x:v>
      </x:c>
      <x:c r="D65" s="32" t="str">
        <x:v>VSF-014</x:v>
      </x:c>
      <x:c r="E65" s="32" t="str">
        <x:v>VSF-014@BASE</x:v>
      </x:c>
      <x:c r="F65" s="32" t="n">
        <x:v>180</x:v>
      </x:c>
      <x:c r="G65" s="32" t="str">
        <x:v>г</x:v>
      </x:c>
      <x:c r="H65" s="32" t="str">
        <x:v>SFM-022</x:v>
      </x:c>
      <x:c r="I65" s="32" t="str">
        <x:v>DRAFT_WITH_ASSUMPTIONS</x:v>
      </x:c>
      <x:c r="J65" s="32" t="str">
        <x:v>Directed parent-to-child edge; validated by topological sort over VSF subgraph</x:v>
      </x:c>
      <x:c r="K65" s="27"/>
      <x:c r="L65" s="27"/>
      <x:c r="M65" s="27"/>
      <x:c r="N65" s="27"/>
      <x:c r="O65" s="27"/>
    </x:row>
    <x:row r="66">
      <x:c r="A66" s="32" t="str">
        <x:v>SFD-023</x:v>
      </x:c>
      <x:c r="B66" s="32" t="str">
        <x:v>DISH</x:v>
      </x:c>
      <x:c r="C66" s="32" t="str">
        <x:v>VKM-017</x:v>
      </x:c>
      <x:c r="D66" s="32" t="str">
        <x:v>VSF-015</x:v>
      </x:c>
      <x:c r="E66" s="32" t="str">
        <x:v>VSF-015@BASE</x:v>
      </x:c>
      <x:c r="F66" s="32" t="n">
        <x:v>33</x:v>
      </x:c>
      <x:c r="G66" s="32" t="str">
        <x:v>г</x:v>
      </x:c>
      <x:c r="H66" s="32" t="str">
        <x:v>SFM-023</x:v>
      </x:c>
      <x:c r="I66" s="32" t="str">
        <x:v>DRAFT_WITH_ASSUMPTIONS</x:v>
      </x:c>
      <x:c r="J66" s="32" t="str">
        <x:v>Directed parent-to-child edge; validated by topological sort over VSF subgraph</x:v>
      </x:c>
      <x:c r="K66" s="27"/>
      <x:c r="L66" s="27"/>
      <x:c r="M66" s="27"/>
      <x:c r="N66" s="27"/>
      <x:c r="O66" s="27"/>
    </x:row>
    <x:row r="67">
      <x:c r="A67" s="32" t="str">
        <x:v>SFD-024</x:v>
      </x:c>
      <x:c r="B67" s="32" t="str">
        <x:v>DISH</x:v>
      </x:c>
      <x:c r="C67" s="32" t="str">
        <x:v>VKM-017</x:v>
      </x:c>
      <x:c r="D67" s="32" t="str">
        <x:v>VSF-016</x:v>
      </x:c>
      <x:c r="E67" s="32" t="str">
        <x:v>VSF-016@BASE</x:v>
      </x:c>
      <x:c r="F67" s="32" t="n">
        <x:v>15</x:v>
      </x:c>
      <x:c r="G67" s="32" t="str">
        <x:v>г</x:v>
      </x:c>
      <x:c r="H67" s="32" t="str">
        <x:v>SFM-024</x:v>
      </x:c>
      <x:c r="I67" s="32" t="str">
        <x:v>DRAFT_WITH_ASSUMPTIONS</x:v>
      </x:c>
      <x:c r="J67" s="32" t="str">
        <x:v>Directed parent-to-child edge; validated by topological sort over VSF subgraph</x:v>
      </x:c>
      <x:c r="K67" s="27"/>
      <x:c r="L67" s="27"/>
      <x:c r="M67" s="27"/>
      <x:c r="N67" s="27"/>
      <x:c r="O67" s="27"/>
    </x:row>
    <x:row r="68">
      <x:c r="A68" s="32" t="str">
        <x:v>SFD-025</x:v>
      </x:c>
      <x:c r="B68" s="32" t="str">
        <x:v>DISH</x:v>
      </x:c>
      <x:c r="C68" s="32" t="str">
        <x:v>VKM-018</x:v>
      </x:c>
      <x:c r="D68" s="32" t="str">
        <x:v>VSF-017</x:v>
      </x:c>
      <x:c r="E68" s="32" t="str">
        <x:v>VSF-017@BASE</x:v>
      </x:c>
      <x:c r="F68" s="32" t="n">
        <x:v>145</x:v>
      </x:c>
      <x:c r="G68" s="32" t="str">
        <x:v>г</x:v>
      </x:c>
      <x:c r="H68" s="32" t="str">
        <x:v>SFM-025</x:v>
      </x:c>
      <x:c r="I68" s="32" t="str">
        <x:v>DRAFT_WITH_ASSUMPTIONS</x:v>
      </x:c>
      <x:c r="J68" s="32" t="str">
        <x:v>Directed parent-to-child edge; validated by topological sort over VSF subgraph</x:v>
      </x:c>
      <x:c r="K68" s="27"/>
      <x:c r="L68" s="27"/>
      <x:c r="M68" s="27"/>
      <x:c r="N68" s="27"/>
      <x:c r="O68" s="27"/>
    </x:row>
    <x:row r="69">
      <x:c r="A69" s="32" t="str">
        <x:v>SFD-026</x:v>
      </x:c>
      <x:c r="B69" s="32" t="str">
        <x:v>DISH</x:v>
      </x:c>
      <x:c r="C69" s="32" t="str">
        <x:v>VKM-018</x:v>
      </x:c>
      <x:c r="D69" s="32" t="str">
        <x:v>VSF-018</x:v>
      </x:c>
      <x:c r="E69" s="32" t="str">
        <x:v>VSF-018@BASE</x:v>
      </x:c>
      <x:c r="F69" s="32" t="n">
        <x:v>105</x:v>
      </x:c>
      <x:c r="G69" s="32" t="str">
        <x:v>г</x:v>
      </x:c>
      <x:c r="H69" s="32" t="str">
        <x:v>SFM-026</x:v>
      </x:c>
      <x:c r="I69" s="32" t="str">
        <x:v>DRAFT_WITH_ASSUMPTIONS</x:v>
      </x:c>
      <x:c r="J69" s="32" t="str">
        <x:v>Directed parent-to-child edge; validated by topological sort over VSF subgraph</x:v>
      </x:c>
      <x:c r="K69" s="27"/>
      <x:c r="L69" s="27"/>
      <x:c r="M69" s="27"/>
      <x:c r="N69" s="27"/>
      <x:c r="O69" s="27"/>
    </x:row>
    <x:row r="70">
      <x:c r="A70" s="32" t="str">
        <x:v>SFD-027</x:v>
      </x:c>
      <x:c r="B70" s="32" t="str">
        <x:v>DISH</x:v>
      </x:c>
      <x:c r="C70" s="32" t="str">
        <x:v>VKM-019</x:v>
      </x:c>
      <x:c r="D70" s="32" t="str">
        <x:v>VSF-019</x:v>
      </x:c>
      <x:c r="E70" s="32" t="str">
        <x:v>VSF-019@BASE</x:v>
      </x:c>
      <x:c r="F70" s="32" t="n">
        <x:v>85</x:v>
      </x:c>
      <x:c r="G70" s="32" t="str">
        <x:v>г</x:v>
      </x:c>
      <x:c r="H70" s="32" t="str">
        <x:v>SFM-027</x:v>
      </x:c>
      <x:c r="I70" s="32" t="str">
        <x:v>DRAFT_WITH_ASSUMPTIONS</x:v>
      </x:c>
      <x:c r="J70" s="32" t="str">
        <x:v>Directed parent-to-child edge; validated by topological sort over VSF subgraph</x:v>
      </x:c>
      <x:c r="K70" s="27"/>
      <x:c r="L70" s="27"/>
      <x:c r="M70" s="27"/>
      <x:c r="N70" s="27"/>
      <x:c r="O70" s="27"/>
    </x:row>
    <x:row r="71">
      <x:c r="A71" s="32" t="str">
        <x:v>SFD-028</x:v>
      </x:c>
      <x:c r="B71" s="32" t="str">
        <x:v>DISH</x:v>
      </x:c>
      <x:c r="C71" s="32" t="str">
        <x:v>VKM-020</x:v>
      </x:c>
      <x:c r="D71" s="32" t="str">
        <x:v>VSF-020</x:v>
      </x:c>
      <x:c r="E71" s="32" t="str">
        <x:v>VSF-020@BASE</x:v>
      </x:c>
      <x:c r="F71" s="32" t="n">
        <x:v>120</x:v>
      </x:c>
      <x:c r="G71" s="32" t="str">
        <x:v>г</x:v>
      </x:c>
      <x:c r="H71" s="32" t="str">
        <x:v>SFM-028</x:v>
      </x:c>
      <x:c r="I71" s="32" t="str">
        <x:v>DRAFT_WITH_ASSUMPTIONS</x:v>
      </x:c>
      <x:c r="J71" s="32" t="str">
        <x:v>Directed parent-to-child edge; validated by topological sort over VSF subgraph</x:v>
      </x:c>
      <x:c r="K71" s="27"/>
      <x:c r="L71" s="27"/>
      <x:c r="M71" s="27"/>
      <x:c r="N71" s="27"/>
      <x:c r="O71" s="27"/>
    </x:row>
    <x:row r="72">
      <x:c r="A72" s="32" t="str">
        <x:v>SFD-029</x:v>
      </x:c>
      <x:c r="B72" s="32" t="str">
        <x:v>DISH</x:v>
      </x:c>
      <x:c r="C72" s="32" t="str">
        <x:v>VKM-021</x:v>
      </x:c>
      <x:c r="D72" s="32" t="str">
        <x:v>VSF-021</x:v>
      </x:c>
      <x:c r="E72" s="32" t="str">
        <x:v>VSF-021@BASE</x:v>
      </x:c>
      <x:c r="F72" s="32" t="n">
        <x:v>150</x:v>
      </x:c>
      <x:c r="G72" s="32" t="str">
        <x:v>г</x:v>
      </x:c>
      <x:c r="H72" s="32" t="str">
        <x:v>SFM-029</x:v>
      </x:c>
      <x:c r="I72" s="32" t="str">
        <x:v>DRAFT_WITH_ASSUMPTIONS</x:v>
      </x:c>
      <x:c r="J72" s="32" t="str">
        <x:v>Directed parent-to-child edge; validated by topological sort over VSF subgraph</x:v>
      </x:c>
      <x:c r="K72" s="27"/>
      <x:c r="L72" s="27"/>
      <x:c r="M72" s="27"/>
      <x:c r="N72" s="27"/>
      <x:c r="O72" s="27"/>
    </x:row>
    <x:row r="73">
      <x:c r="A73" s="32" t="str">
        <x:v>SFD-030</x:v>
      </x:c>
      <x:c r="B73" s="32" t="str">
        <x:v>DISH</x:v>
      </x:c>
      <x:c r="C73" s="32" t="str">
        <x:v>VKM-021</x:v>
      </x:c>
      <x:c r="D73" s="32" t="str">
        <x:v>VSF-022</x:v>
      </x:c>
      <x:c r="E73" s="32" t="str">
        <x:v>VSF-022@BASE</x:v>
      </x:c>
      <x:c r="F73" s="32" t="n">
        <x:v>25</x:v>
      </x:c>
      <x:c r="G73" s="32" t="str">
        <x:v>г</x:v>
      </x:c>
      <x:c r="H73" s="32" t="str">
        <x:v>SFM-030</x:v>
      </x:c>
      <x:c r="I73" s="32" t="str">
        <x:v>DRAFT_WITH_ASSUMPTIONS</x:v>
      </x:c>
      <x:c r="J73" s="32" t="str">
        <x:v>Directed parent-to-child edge; validated by topological sort over VSF subgraph</x:v>
      </x:c>
      <x:c r="K73" s="27"/>
      <x:c r="L73" s="27"/>
      <x:c r="M73" s="27"/>
      <x:c r="N73" s="27"/>
      <x:c r="O73" s="27"/>
    </x:row>
    <x:row r="74">
      <x:c r="A74" s="32" t="str">
        <x:v>SFD-031</x:v>
      </x:c>
      <x:c r="B74" s="32" t="str">
        <x:v>DISH</x:v>
      </x:c>
      <x:c r="C74" s="32" t="str">
        <x:v>VKM-022</x:v>
      </x:c>
      <x:c r="D74" s="32" t="str">
        <x:v>VSF-023</x:v>
      </x:c>
      <x:c r="E74" s="32" t="str">
        <x:v>VSF-023@BASE</x:v>
      </x:c>
      <x:c r="F74" s="32" t="n">
        <x:v>220</x:v>
      </x:c>
      <x:c r="G74" s="32" t="str">
        <x:v>г</x:v>
      </x:c>
      <x:c r="H74" s="32" t="str">
        <x:v>SFM-031</x:v>
      </x:c>
      <x:c r="I74" s="32" t="str">
        <x:v>DRAFT_WITH_ASSUMPTIONS</x:v>
      </x:c>
      <x:c r="J74" s="32" t="str">
        <x:v>Directed parent-to-child edge; validated by topological sort over VSF subgraph</x:v>
      </x:c>
      <x:c r="K74" s="27"/>
      <x:c r="L74" s="27"/>
      <x:c r="M74" s="27"/>
      <x:c r="N74" s="27"/>
      <x:c r="O74" s="27"/>
    </x:row>
    <x:row r="75">
      <x:c r="A75" s="32" t="str">
        <x:v>SFD-032</x:v>
      </x:c>
      <x:c r="B75" s="32" t="str">
        <x:v>DISH</x:v>
      </x:c>
      <x:c r="C75" s="32" t="str">
        <x:v>VKM-022</x:v>
      </x:c>
      <x:c r="D75" s="32" t="str">
        <x:v>VSF-024</x:v>
      </x:c>
      <x:c r="E75" s="32" t="str">
        <x:v>VSF-024@BASE</x:v>
      </x:c>
      <x:c r="F75" s="32" t="n">
        <x:v>40</x:v>
      </x:c>
      <x:c r="G75" s="32" t="str">
        <x:v>г</x:v>
      </x:c>
      <x:c r="H75" s="32" t="str">
        <x:v>SFM-032</x:v>
      </x:c>
      <x:c r="I75" s="32" t="str">
        <x:v>DRAFT_WITH_ASSUMPTIONS</x:v>
      </x:c>
      <x:c r="J75" s="32" t="str">
        <x:v>Directed parent-to-child edge; validated by topological sort over VSF subgraph</x:v>
      </x:c>
      <x:c r="K75" s="27"/>
      <x:c r="L75" s="27"/>
      <x:c r="M75" s="27"/>
      <x:c r="N75" s="27"/>
      <x:c r="O75" s="27"/>
    </x:row>
    <x:row r="76">
      <x:c r="A76" s="32" t="str">
        <x:v>SFD-033</x:v>
      </x:c>
      <x:c r="B76" s="32" t="str">
        <x:v>DISH</x:v>
      </x:c>
      <x:c r="C76" s="32" t="str">
        <x:v>VKM-024</x:v>
      </x:c>
      <x:c r="D76" s="32" t="str">
        <x:v>VSF-025</x:v>
      </x:c>
      <x:c r="E76" s="32" t="str">
        <x:v>VSF-025@BASE</x:v>
      </x:c>
      <x:c r="F76" s="32" t="n">
        <x:v>138</x:v>
      </x:c>
      <x:c r="G76" s="32" t="str">
        <x:v>г</x:v>
      </x:c>
      <x:c r="H76" s="32" t="str">
        <x:v>SFM-033</x:v>
      </x:c>
      <x:c r="I76" s="32" t="str">
        <x:v>DRAFT_WITH_ASSUMPTIONS</x:v>
      </x:c>
      <x:c r="J76" s="32" t="str">
        <x:v>Directed parent-to-child edge; validated by topological sort over VSF subgraph</x:v>
      </x:c>
      <x:c r="K76" s="27"/>
      <x:c r="L76" s="27"/>
      <x:c r="M76" s="27"/>
      <x:c r="N76" s="27"/>
      <x:c r="O76" s="27"/>
    </x:row>
    <x:row r="77">
      <x:c r="A77" s="32" t="str">
        <x:v>SFD-034</x:v>
      </x:c>
      <x:c r="B77" s="32" t="str">
        <x:v>DISH</x:v>
      </x:c>
      <x:c r="C77" s="32" t="str">
        <x:v>VKM-025</x:v>
      </x:c>
      <x:c r="D77" s="32" t="str">
        <x:v>VSF-026</x:v>
      </x:c>
      <x:c r="E77" s="32" t="str">
        <x:v>VSF-026@BASE</x:v>
      </x:c>
      <x:c r="F77" s="32" t="n">
        <x:v>130</x:v>
      </x:c>
      <x:c r="G77" s="32" t="str">
        <x:v>г</x:v>
      </x:c>
      <x:c r="H77" s="32" t="str">
        <x:v>SFM-034</x:v>
      </x:c>
      <x:c r="I77" s="32" t="str">
        <x:v>DRAFT_WITH_ASSUMPTIONS</x:v>
      </x:c>
      <x:c r="J77" s="32" t="str">
        <x:v>Directed parent-to-child edge; validated by topological sort over VSF subgraph</x:v>
      </x:c>
      <x:c r="K77" s="27"/>
      <x:c r="L77" s="27"/>
      <x:c r="M77" s="27"/>
      <x:c r="N77" s="27"/>
      <x:c r="O77" s="27"/>
    </x:row>
    <x:row r="78">
      <x:c r="A78" s="32" t="str">
        <x:v>SFD-035</x:v>
      </x:c>
      <x:c r="B78" s="32" t="str">
        <x:v>DISH</x:v>
      </x:c>
      <x:c r="C78" s="32" t="str">
        <x:v>VKM-029</x:v>
      </x:c>
      <x:c r="D78" s="32" t="str">
        <x:v>VSF-027</x:v>
      </x:c>
      <x:c r="E78" s="32" t="str">
        <x:v>VSF-027@BASE</x:v>
      </x:c>
      <x:c r="F78" s="32" t="n">
        <x:v>607</x:v>
      </x:c>
      <x:c r="G78" s="32" t="str">
        <x:v>г</x:v>
      </x:c>
      <x:c r="H78" s="32" t="str">
        <x:v>SFM-035</x:v>
      </x:c>
      <x:c r="I78" s="32" t="str">
        <x:v>DRAFT_WITH_ASSUMPTIONS</x:v>
      </x:c>
      <x:c r="J78" s="32" t="str">
        <x:v>Directed parent-to-child edge; validated by topological sort over VSF subgraph</x:v>
      </x:c>
      <x:c r="K78" s="27"/>
      <x:c r="L78" s="27"/>
      <x:c r="M78" s="27"/>
      <x:c r="N78" s="27"/>
      <x:c r="O78" s="27"/>
    </x:row>
    <x:row r="79">
      <x:c r="A79" s="32" t="str">
        <x:v>SFD-036</x:v>
      </x:c>
      <x:c r="B79" s="32" t="str">
        <x:v>DISH</x:v>
      </x:c>
      <x:c r="C79" s="32" t="str">
        <x:v>VKM-029</x:v>
      </x:c>
      <x:c r="D79" s="32" t="str">
        <x:v>VSF-028</x:v>
      </x:c>
      <x:c r="E79" s="32" t="str">
        <x:v>VSF-028@BASE</x:v>
      </x:c>
      <x:c r="F79" s="32" t="n">
        <x:v>700</x:v>
      </x:c>
      <x:c r="G79" s="32" t="str">
        <x:v>г</x:v>
      </x:c>
      <x:c r="H79" s="32" t="str">
        <x:v>SFM-036</x:v>
      </x:c>
      <x:c r="I79" s="32" t="str">
        <x:v>DRAFT_WITH_ASSUMPTIONS</x:v>
      </x:c>
      <x:c r="J79" s="32" t="str">
        <x:v>Directed parent-to-child edge; validated by topological sort over VSF subgraph</x:v>
      </x:c>
      <x:c r="K79" s="27"/>
      <x:c r="L79" s="27"/>
      <x:c r="M79" s="27"/>
      <x:c r="N79" s="27"/>
      <x:c r="O79" s="27"/>
    </x:row>
    <x:row r="80">
      <x:c r="A80" s="32" t="str">
        <x:v>SFD-037</x:v>
      </x:c>
      <x:c r="B80" s="32" t="str">
        <x:v>DISH</x:v>
      </x:c>
      <x:c r="C80" s="32" t="str">
        <x:v>VKM-029</x:v>
      </x:c>
      <x:c r="D80" s="32" t="str">
        <x:v>VSF-029</x:v>
      </x:c>
      <x:c r="E80" s="32" t="str">
        <x:v>VSF-029@BASE</x:v>
      </x:c>
      <x:c r="F80" s="32" t="n">
        <x:v>300</x:v>
      </x:c>
      <x:c r="G80" s="32" t="str">
        <x:v>г</x:v>
      </x:c>
      <x:c r="H80" s="32" t="str">
        <x:v>SFM-037</x:v>
      </x:c>
      <x:c r="I80" s="32" t="str">
        <x:v>DRAFT_WITH_ASSUMPTIONS</x:v>
      </x:c>
      <x:c r="J80" s="32" t="str">
        <x:v>Directed parent-to-child edge; validated by topological sort over VSF subgraph</x:v>
      </x:c>
      <x:c r="K80" s="27"/>
      <x:c r="L80" s="27"/>
      <x:c r="M80" s="27"/>
      <x:c r="N80" s="27"/>
      <x:c r="O80" s="27"/>
    </x:row>
    <x:row r="81">
      <x:c r="A81" s="32" t="str">
        <x:v>SFD-038</x:v>
      </x:c>
      <x:c r="B81" s="32" t="str">
        <x:v>DISH</x:v>
      </x:c>
      <x:c r="C81" s="32" t="str">
        <x:v>VKM-029</x:v>
      </x:c>
      <x:c r="D81" s="32" t="str">
        <x:v>VSF-030</x:v>
      </x:c>
      <x:c r="E81" s="32" t="str">
        <x:v>VSF-030@BASE</x:v>
      </x:c>
      <x:c r="F81" s="32" t="n">
        <x:v>150</x:v>
      </x:c>
      <x:c r="G81" s="32" t="str">
        <x:v>г</x:v>
      </x:c>
      <x:c r="H81" s="32" t="str">
        <x:v>SFM-038</x:v>
      </x:c>
      <x:c r="I81" s="32" t="str">
        <x:v>DRAFT_WITH_ASSUMPTIONS</x:v>
      </x:c>
      <x:c r="J81" s="32" t="str">
        <x:v>Directed parent-to-child edge; validated by topological sort over VSF subgraph</x:v>
      </x:c>
      <x:c r="K81" s="27"/>
      <x:c r="L81" s="27"/>
      <x:c r="M81" s="27"/>
      <x:c r="N81" s="27"/>
      <x:c r="O81" s="27"/>
    </x:row>
    <x:row r="82">
      <x:c r="A82" s="32" t="str">
        <x:v>SFD-039</x:v>
      </x:c>
      <x:c r="B82" s="32" t="str">
        <x:v>DISH</x:v>
      </x:c>
      <x:c r="C82" s="32" t="str">
        <x:v>VKM-030</x:v>
      </x:c>
      <x:c r="D82" s="32" t="str">
        <x:v>VSF-031</x:v>
      </x:c>
      <x:c r="E82" s="32" t="str">
        <x:v>VSF-031@BASE</x:v>
      </x:c>
      <x:c r="F82" s="32" t="n">
        <x:v>600</x:v>
      </x:c>
      <x:c r="G82" s="32" t="str">
        <x:v>г</x:v>
      </x:c>
      <x:c r="H82" s="32" t="str">
        <x:v>SFM-039</x:v>
      </x:c>
      <x:c r="I82" s="32" t="str">
        <x:v>DRAFT_WITH_ASSUMPTIONS</x:v>
      </x:c>
      <x:c r="J82" s="32" t="str">
        <x:v>Directed parent-to-child edge; validated by topological sort over VSF subgraph</x:v>
      </x:c>
      <x:c r="K82" s="27"/>
      <x:c r="L82" s="27"/>
      <x:c r="M82" s="27"/>
      <x:c r="N82" s="27"/>
      <x:c r="O82" s="27"/>
    </x:row>
    <x:row r="83">
      <x:c r="A83" s="32" t="str">
        <x:v>SFD-040</x:v>
      </x:c>
      <x:c r="B83" s="32" t="str">
        <x:v>DISH</x:v>
      </x:c>
      <x:c r="C83" s="32" t="str">
        <x:v>VKM-030</x:v>
      </x:c>
      <x:c r="D83" s="32" t="str">
        <x:v>VSF-032</x:v>
      </x:c>
      <x:c r="E83" s="32" t="str">
        <x:v>VSF-032@BASE</x:v>
      </x:c>
      <x:c r="F83" s="32" t="n">
        <x:v>350</x:v>
      </x:c>
      <x:c r="G83" s="32" t="str">
        <x:v>г</x:v>
      </x:c>
      <x:c r="H83" s="32" t="str">
        <x:v>SFM-040</x:v>
      </x:c>
      <x:c r="I83" s="32" t="str">
        <x:v>DRAFT_WITH_ASSUMPTIONS</x:v>
      </x:c>
      <x:c r="J83" s="32" t="str">
        <x:v>Directed parent-to-child edge; validated by topological sort over VSF subgraph</x:v>
      </x:c>
      <x:c r="K83" s="27"/>
      <x:c r="L83" s="27"/>
      <x:c r="M83" s="27"/>
      <x:c r="N83" s="27"/>
      <x:c r="O83" s="27"/>
    </x:row>
    <x:row r="84">
      <x:c r="A84" s="32" t="str">
        <x:v>SFD-041</x:v>
      </x:c>
      <x:c r="B84" s="32" t="str">
        <x:v>DISH</x:v>
      </x:c>
      <x:c r="C84" s="32" t="str">
        <x:v>VKM-030</x:v>
      </x:c>
      <x:c r="D84" s="32" t="str">
        <x:v>VSF-033</x:v>
      </x:c>
      <x:c r="E84" s="32" t="str">
        <x:v>VSF-033@BASE</x:v>
      </x:c>
      <x:c r="F84" s="32" t="n">
        <x:v>200</x:v>
      </x:c>
      <x:c r="G84" s="32" t="str">
        <x:v>г</x:v>
      </x:c>
      <x:c r="H84" s="32" t="str">
        <x:v>SFM-041</x:v>
      </x:c>
      <x:c r="I84" s="32" t="str">
        <x:v>DRAFT_WITH_ASSUMPTIONS</x:v>
      </x:c>
      <x:c r="J84" s="32" t="str">
        <x:v>Directed parent-to-child edge; validated by topological sort over VSF subgraph</x:v>
      </x:c>
      <x:c r="K84" s="27"/>
      <x:c r="L84" s="27"/>
      <x:c r="M84" s="27"/>
      <x:c r="N84" s="27"/>
      <x:c r="O84" s="27"/>
    </x:row>
    <x:row r="85">
      <x:c r="A85" s="32" t="str">
        <x:v>SFD-042</x:v>
      </x:c>
      <x:c r="B85" s="32" t="str">
        <x:v>DISH</x:v>
      </x:c>
      <x:c r="C85" s="32" t="str">
        <x:v>VKM-031</x:v>
      </x:c>
      <x:c r="D85" s="32" t="str">
        <x:v>VSF-034</x:v>
      </x:c>
      <x:c r="E85" s="32" t="str">
        <x:v>VSF-034@BASE</x:v>
      </x:c>
      <x:c r="F85" s="32" t="n">
        <x:v>600</x:v>
      </x:c>
      <x:c r="G85" s="32" t="str">
        <x:v>г</x:v>
      </x:c>
      <x:c r="H85" s="32" t="str">
        <x:v>SFM-042</x:v>
      </x:c>
      <x:c r="I85" s="32" t="str">
        <x:v>DRAFT_WITH_ASSUMPTIONS</x:v>
      </x:c>
      <x:c r="J85" s="32" t="str">
        <x:v>Directed parent-to-child edge; validated by topological sort over VSF subgraph</x:v>
      </x:c>
      <x:c r="K85" s="27"/>
      <x:c r="L85" s="27"/>
      <x:c r="M85" s="27"/>
      <x:c r="N85" s="27"/>
      <x:c r="O85" s="27"/>
    </x:row>
  </x:sheetData>
  <x:mergeCells>
    <x:mergeCell ref="A1:O1"/>
    <x:mergeCell ref="A2:O2"/>
    <x:mergeCell ref="A42:J42"/>
  </x:mergeCells>
  <x:pageMargins left="0.7" right="0.7" top="0.75" bottom="0.75" header="0.3" footer="0.3"/>
  <x:tableParts count="2">
    <x:tablePart xmlns:r="http://schemas.openxmlformats.org/officeDocument/2006/relationships" r:id="R0af9ea30a3e54111"/>
    <x:tablePart xmlns:r="http://schemas.openxmlformats.org/officeDocument/2006/relationships" r:id="R3eb93dc5b8a740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1" hidden="0" customWidth="1"/>
    <x:col min="5" max="5" width="8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8" hidden="0" customWidth="1"/>
    <x:col min="15" max="15" width="34" hidden="0" customWidth="1"/>
    <x:col min="16" max="16" width="25" hidden="0" customWidth="1"/>
    <x:col min="17" max="17" width="30" hidden="0" customWidth="1"/>
  </x:cols>
  <x:sheetData>
    <x:row r="1" ht="30" customHeight="1">
      <x:c r="A1" s="26" t="str">
        <x:v>04 — Калькуляции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 ht="27" customHeight="1">
      <x:c r="A2" s="28" t="str">
        <x:v>Экономика только HOF-0005 v0.2.1. Partial known cost ≠ complete COGS. Unknown inputs are blank, not zero.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9" t="str">
        <x:v>Потери (assumption)</x:v>
      </x:c>
      <x:c r="Q3" s="35" t="n">
        <x:v>0.015</x:v>
      </x:c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</x:row>
    <x:row r="5" ht="34" customHeight="1">
      <x:c r="A5" s="31" t="str">
        <x:v>Cost card</x:v>
      </x:c>
      <x:c r="B5" s="31" t="str">
        <x:v>Dish ID</x:v>
      </x:c>
      <x:c r="C5" s="31" t="str">
        <x:v>Блюдо</x:v>
      </x:c>
      <x:c r="D5" s="31" t="str">
        <x:v>Выход</x:v>
      </x:c>
      <x:c r="E5" s="31" t="str">
        <x:v>Ед.</x:v>
      </x:c>
      <x:c r="F5" s="31" t="str">
        <x:v>Partial input</x:v>
      </x:c>
      <x:c r="G5" s="31" t="str">
        <x:v>Partial formula</x:v>
      </x:c>
      <x:c r="H5" s="31" t="str">
        <x:v>Complete food input</x:v>
      </x:c>
      <x:c r="I5" s="31" t="str">
        <x:v>Complete food formula</x:v>
      </x:c>
      <x:c r="J5" s="31" t="str">
        <x:v>Spoilage</x:v>
      </x:c>
      <x:c r="K5" s="31" t="str">
        <x:v>Kitchen COGS</x:v>
      </x:c>
      <x:c r="L5" s="31" t="str">
        <x:v>Packaging</x:v>
      </x:c>
      <x:c r="M5" s="31" t="str">
        <x:v>Other variable</x:v>
      </x:c>
      <x:c r="N5" s="31" t="str">
        <x:v>Complete portion COGS</x:v>
      </x:c>
      <x:c r="O5" s="31" t="str">
        <x:v>Missing IDs</x:v>
      </x:c>
      <x:c r="P5" s="31" t="str">
        <x:v>Status</x:v>
      </x:c>
      <x:c r="Q5" s="31" t="str">
        <x:v>Evidence</x:v>
      </x:c>
    </x:row>
    <x:row r="6">
      <x:c r="A6" s="32" t="str">
        <x:v>VKC-001</x:v>
      </x:c>
      <x:c r="B6" s="32" t="str">
        <x:v>VKM-001</x:v>
      </x:c>
      <x:c r="C6" s="32" t="str">
        <x:v>Маргарита</x:v>
      </x:c>
      <x:c r="D6" s="32" t="n">
        <x:v>450</x:v>
      </x:c>
      <x:c r="E6" s="32" t="str">
        <x:v>г</x:v>
      </x:c>
      <x:c r="F6" s="36" t="n">
        <x:v>144.93642</x:v>
      </x:c>
      <x:c r="G6" s="37" t="n">
        <x:f>IF(F6="","",F6)</x:f>
        <x:v>144.93642</x:v>
      </x:c>
      <x:c r="H6" s="36"/>
      <x:c r="I6" s="37" t="str">
        <x:f>IF(H6="","",H6)</x:f>
      </x:c>
      <x:c r="J6" s="37" t="str">
        <x:f>IF(I6="","",I6*$Q$3)</x:f>
      </x:c>
      <x:c r="K6" s="37" t="str">
        <x:f>IF(OR(I6="",J6=""),"",I6+J6)</x:f>
      </x:c>
      <x:c r="L6" s="38"/>
      <x:c r="M6" s="38"/>
      <x:c r="N6" s="33" t="str">
        <x:f>IF(OR(K6="",L6="",M6=""),"",K6+L6+M6)</x:f>
      </x:c>
      <x:c r="O6" s="32" t="str">
        <x:v>ING-005;ING-011;VSF-001;VSF-002</x:v>
      </x:c>
      <x:c r="P6" s="32" t="str">
        <x:v>BLOCKED_PENDING_VALIDATION</x:v>
      </x:c>
      <x:c r="Q6" s="32" t="str">
        <x:v>HOF-0002;HOF-0004;PRICE_SOURCE_REGISTER;docs/03-methodology/COGS.md</x:v>
      </x:c>
    </x:row>
    <x:row r="7">
      <x:c r="A7" s="32" t="str">
        <x:v>VKC-002</x:v>
      </x:c>
      <x:c r="B7" s="32" t="str">
        <x:v>VKM-002</x:v>
      </x:c>
      <x:c r="C7" s="32" t="str">
        <x:v>Четыре сыра</x:v>
      </x:c>
      <x:c r="D7" s="32" t="n">
        <x:v>480</x:v>
      </x:c>
      <x:c r="E7" s="32" t="str">
        <x:v>г</x:v>
      </x:c>
      <x:c r="F7" s="36" t="n">
        <x:v>237.81292</x:v>
      </x:c>
      <x:c r="G7" s="37" t="n">
        <x:f>IF(F7="","",F7)</x:f>
        <x:v>237.81292</x:v>
      </x:c>
      <x:c r="H7" s="36"/>
      <x:c r="I7" s="37" t="str">
        <x:f>IF(H7="","",H7)</x:f>
      </x:c>
      <x:c r="J7" s="37" t="str">
        <x:f>IF(I7="","",I7*$Q$3)</x:f>
      </x:c>
      <x:c r="K7" s="37" t="str">
        <x:f>IF(OR(I7="",J7=""),"",I7+J7)</x:f>
      </x:c>
      <x:c r="L7" s="38"/>
      <x:c r="M7" s="38"/>
      <x:c r="N7" s="33" t="str">
        <x:f>IF(OR(K7="",L7="",M7=""),"",K7+L7+M7)</x:f>
      </x:c>
      <x:c r="O7" s="32" t="str">
        <x:v>ING-005;ING-013;VSF-001;VSF-002</x:v>
      </x:c>
      <x:c r="P7" s="32" t="str">
        <x:v>BLOCKED_PENDING_VALIDATION</x:v>
      </x:c>
      <x:c r="Q7" s="32" t="str">
        <x:v>HOF-0002;HOF-0004;PRICE_SOURCE_REGISTER;docs/03-methodology/COGS.md</x:v>
      </x:c>
    </x:row>
    <x:row r="8">
      <x:c r="A8" s="32" t="str">
        <x:v>VKC-003</x:v>
      </x:c>
      <x:c r="B8" s="32" t="str">
        <x:v>VKM-003</x:v>
      </x:c>
      <x:c r="C8" s="32" t="str">
        <x:v>Грибная с ветчиной</x:v>
      </x:c>
      <x:c r="D8" s="32" t="n">
        <x:v>500</x:v>
      </x:c>
      <x:c r="E8" s="32" t="str">
        <x:v>г</x:v>
      </x:c>
      <x:c r="F8" s="36" t="n">
        <x:v>89.22542</x:v>
      </x:c>
      <x:c r="G8" s="37" t="n">
        <x:f>IF(F8="","",F8)</x:f>
        <x:v>89.22542</x:v>
      </x:c>
      <x:c r="H8" s="36"/>
      <x:c r="I8" s="37" t="str">
        <x:f>IF(H8="","",H8)</x:f>
      </x:c>
      <x:c r="J8" s="37" t="str">
        <x:f>IF(I8="","",I8*$Q$3)</x:f>
      </x:c>
      <x:c r="K8" s="37" t="str">
        <x:f>IF(OR(I8="",J8=""),"",I8+J8)</x:f>
      </x:c>
      <x:c r="L8" s="38"/>
      <x:c r="M8" s="38"/>
      <x:c r="N8" s="33" t="str">
        <x:f>IF(OR(K8="",L8="",M8=""),"",K8+L8+M8)</x:f>
      </x:c>
      <x:c r="O8" s="32" t="str">
        <x:v>ING-005;ING-014;ING-015;ING-016;VSF-001;VSF-002</x:v>
      </x:c>
      <x:c r="P8" s="32" t="str">
        <x:v>BLOCKED_PENDING_VALIDATION</x:v>
      </x:c>
      <x:c r="Q8" s="32" t="str">
        <x:v>HOF-0002;HOF-0004;PRICE_SOURCE_REGISTER;docs/03-methodology/COGS.md</x:v>
      </x:c>
    </x:row>
    <x:row r="9">
      <x:c r="A9" s="32" t="str">
        <x:v>VKC-004</x:v>
      </x:c>
      <x:c r="B9" s="32" t="str">
        <x:v>VKM-004</x:v>
      </x:c>
      <x:c r="C9" s="32" t="str">
        <x:v>Пепперони</x:v>
      </x:c>
      <x:c r="D9" s="32" t="n">
        <x:v>500</x:v>
      </x:c>
      <x:c r="E9" s="32" t="str">
        <x:v>г</x:v>
      </x:c>
      <x:c r="F9" s="36" t="n">
        <x:v>107.42492</x:v>
      </x:c>
      <x:c r="G9" s="37" t="n">
        <x:f>IF(F9="","",F9)</x:f>
        <x:v>107.42492</x:v>
      </x:c>
      <x:c r="H9" s="36"/>
      <x:c r="I9" s="37" t="str">
        <x:f>IF(H9="","",H9)</x:f>
      </x:c>
      <x:c r="J9" s="37" t="str">
        <x:f>IF(I9="","",I9*$Q$3)</x:f>
      </x:c>
      <x:c r="K9" s="37" t="str">
        <x:f>IF(OR(I9="",J9=""),"",I9+J9)</x:f>
      </x:c>
      <x:c r="L9" s="38"/>
      <x:c r="M9" s="38"/>
      <x:c r="N9" s="33" t="str">
        <x:f>IF(OR(K9="",L9="",M9=""),"",K9+L9+M9)</x:f>
      </x:c>
      <x:c r="O9" s="32" t="str">
        <x:v>ING-005;ING-017;VSF-001;VSF-002</x:v>
      </x:c>
      <x:c r="P9" s="32" t="str">
        <x:v>BLOCKED_PENDING_VALIDATION</x:v>
      </x:c>
      <x:c r="Q9" s="32" t="str">
        <x:v>HOF-0002;HOF-0004;PRICE_SOURCE_REGISTER;docs/03-methodology/COGS.md</x:v>
      </x:c>
    </x:row>
    <x:row r="10">
      <x:c r="A10" s="32" t="str">
        <x:v>VKC-005</x:v>
      </x:c>
      <x:c r="B10" s="32" t="str">
        <x:v>VKM-005</x:v>
      </x:c>
      <x:c r="C10" s="32" t="str">
        <x:v>Белая чиабатта</x:v>
      </x:c>
      <x:c r="D10" s="32" t="n">
        <x:v>100</x:v>
      </x:c>
      <x:c r="E10" s="32" t="str">
        <x:v>г</x:v>
      </x:c>
      <x:c r="F10" s="36" t="n">
        <x:v>3.260405</x:v>
      </x:c>
      <x:c r="G10" s="37" t="n">
        <x:f>IF(F10="","",F10)</x:f>
        <x:v>3.260405</x:v>
      </x:c>
      <x:c r="H10" s="36"/>
      <x:c r="I10" s="37" t="str">
        <x:f>IF(H10="","",H10)</x:f>
      </x:c>
      <x:c r="J10" s="37" t="str">
        <x:f>IF(I10="","",I10*$Q$3)</x:f>
      </x:c>
      <x:c r="K10" s="37" t="str">
        <x:f>IF(OR(I10="",J10=""),"",I10+J10)</x:f>
      </x:c>
      <x:c r="L10" s="38"/>
      <x:c r="M10" s="38"/>
      <x:c r="N10" s="33" t="str">
        <x:f>IF(OR(K10="",L10="",M10=""),"",K10+L10+M10)</x:f>
      </x:c>
      <x:c r="O10" s="32" t="str">
        <x:v>VSF-003</x:v>
      </x:c>
      <x:c r="P10" s="32" t="str">
        <x:v>BLOCKED_PENDING_VALIDATION</x:v>
      </x:c>
      <x:c r="Q10" s="32" t="str">
        <x:v>HOF-0002;HOF-0004;PRICE_SOURCE_REGISTER;docs/03-methodology/COGS.md</x:v>
      </x:c>
    </x:row>
    <x:row r="11">
      <x:c r="A11" s="32" t="str">
        <x:v>VKC-006</x:v>
      </x:c>
      <x:c r="B11" s="32" t="str">
        <x:v>VKM-006</x:v>
      </x:c>
      <x:c r="C11" s="32" t="str">
        <x:v>Томатная чиабатта</x:v>
      </x:c>
      <x:c r="D11" s="32" t="n">
        <x:v>100</x:v>
      </x:c>
      <x:c r="E11" s="32" t="str">
        <x:v>г</x:v>
      </x:c>
      <x:c r="F11" s="36" t="n">
        <x:v>3.004952</x:v>
      </x:c>
      <x:c r="G11" s="37" t="n">
        <x:f>IF(F11="","",F11)</x:f>
        <x:v>3.004952</x:v>
      </x:c>
      <x:c r="H11" s="36"/>
      <x:c r="I11" s="37" t="str">
        <x:f>IF(H11="","",H11)</x:f>
      </x:c>
      <x:c r="J11" s="37" t="str">
        <x:f>IF(I11="","",I11*$Q$3)</x:f>
      </x:c>
      <x:c r="K11" s="37" t="str">
        <x:f>IF(OR(I11="",J11=""),"",I11+J11)</x:f>
      </x:c>
      <x:c r="L11" s="38"/>
      <x:c r="M11" s="38"/>
      <x:c r="N11" s="33" t="str">
        <x:f>IF(OR(K11="",L11="",M11=""),"",K11+L11+M11)</x:f>
      </x:c>
      <x:c r="O11" s="32" t="str">
        <x:v>VSF-004</x:v>
      </x:c>
      <x:c r="P11" s="32" t="str">
        <x:v>BLOCKED_PENDING_VALIDATION</x:v>
      </x:c>
      <x:c r="Q11" s="32" t="str">
        <x:v>HOF-0002;HOF-0004;PRICE_SOURCE_REGISTER;docs/03-methodology/COGS.md</x:v>
      </x:c>
    </x:row>
    <x:row r="12">
      <x:c r="A12" s="32" t="str">
        <x:v>VKC-007</x:v>
      </x:c>
      <x:c r="B12" s="32" t="str">
        <x:v>VKM-007</x:v>
      </x:c>
      <x:c r="C12" s="32" t="str">
        <x:v>Бородинский хлеб</x:v>
      </x:c>
      <x:c r="D12" s="32" t="n">
        <x:v>350</x:v>
      </x:c>
      <x:c r="E12" s="32" t="str">
        <x:v>г</x:v>
      </x:c>
      <x:c r="F12" s="36" t="n">
        <x:v>5.276512</x:v>
      </x:c>
      <x:c r="G12" s="37" t="n">
        <x:f>IF(F12="","",F12)</x:f>
        <x:v>5.276512</x:v>
      </x:c>
      <x:c r="H12" s="36"/>
      <x:c r="I12" s="37" t="str">
        <x:f>IF(H12="","",H12)</x:f>
      </x:c>
      <x:c r="J12" s="37" t="str">
        <x:f>IF(I12="","",I12*$Q$3)</x:f>
      </x:c>
      <x:c r="K12" s="37" t="str">
        <x:f>IF(OR(I12="",J12=""),"",I12+J12)</x:f>
      </x:c>
      <x:c r="L12" s="38"/>
      <x:c r="M12" s="38"/>
      <x:c r="N12" s="33" t="str">
        <x:f>IF(OR(K12="",L12="",M12=""),"",K12+L12+M12)</x:f>
      </x:c>
      <x:c r="O12" s="32" t="str">
        <x:v>VSF-005</x:v>
      </x:c>
      <x:c r="P12" s="32" t="str">
        <x:v>BLOCKED_PENDING_VALIDATION</x:v>
      </x:c>
      <x:c r="Q12" s="32" t="str">
        <x:v>HOF-0002;HOF-0004;PRICE_SOURCE_REGISTER;docs/03-methodology/COGS.md</x:v>
      </x:c>
    </x:row>
    <x:row r="13">
      <x:c r="A13" s="32" t="str">
        <x:v>VKC-008</x:v>
      </x:c>
      <x:c r="B13" s="32" t="str">
        <x:v>VKM-008</x:v>
      </x:c>
      <x:c r="C13" s="32" t="str">
        <x:v>Бриошь</x:v>
      </x:c>
      <x:c r="D13" s="32" t="n">
        <x:v>85</x:v>
      </x:c>
      <x:c r="E13" s="32" t="str">
        <x:v>г</x:v>
      </x:c>
      <x:c r="F13" s="36" t="n">
        <x:v>25.87503</x:v>
      </x:c>
      <x:c r="G13" s="37" t="n">
        <x:f>IF(F13="","",F13)</x:f>
        <x:v>25.87503</x:v>
      </x:c>
      <x:c r="H13" s="36"/>
      <x:c r="I13" s="37" t="str">
        <x:f>IF(H13="","",H13)</x:f>
      </x:c>
      <x:c r="J13" s="37" t="str">
        <x:f>IF(I13="","",I13*$Q$3)</x:f>
      </x:c>
      <x:c r="K13" s="37" t="str">
        <x:f>IF(OR(I13="",J13=""),"",I13+J13)</x:f>
      </x:c>
      <x:c r="L13" s="38"/>
      <x:c r="M13" s="38"/>
      <x:c r="N13" s="33" t="str">
        <x:f>IF(OR(K13="",L13="",M13=""),"",K13+L13+M13)</x:f>
      </x:c>
      <x:c r="O13" s="32" t="str">
        <x:v>VSF-006</x:v>
      </x:c>
      <x:c r="P13" s="32" t="str">
        <x:v>BLOCKED_PENDING_VALIDATION</x:v>
      </x:c>
      <x:c r="Q13" s="32" t="str">
        <x:v>HOF-0002;HOF-0004;PRICE_SOURCE_REGISTER;docs/03-methodology/COGS.md</x:v>
      </x:c>
    </x:row>
    <x:row r="14">
      <x:c r="A14" s="32" t="str">
        <x:v>VKC-009</x:v>
      </x:c>
      <x:c r="B14" s="32" t="str">
        <x:v>VKM-009</x:v>
      </x:c>
      <x:c r="C14" s="32" t="str">
        <x:v>Буррата с томатами</x:v>
      </x:c>
      <x:c r="D14" s="32" t="n">
        <x:v>300</x:v>
      </x:c>
      <x:c r="E14" s="32" t="str">
        <x:v>г</x:v>
      </x:c>
      <x:c r="F14" s="36" t="n">
        <x:v>192.074167</x:v>
      </x:c>
      <x:c r="G14" s="37" t="n">
        <x:f>IF(F14="","",F14)</x:f>
        <x:v>192.074167</x:v>
      </x:c>
      <x:c r="H14" s="36"/>
      <x:c r="I14" s="37" t="str">
        <x:f>IF(H14="","",H14)</x:f>
      </x:c>
      <x:c r="J14" s="37" t="str">
        <x:f>IF(I14="","",I14*$Q$3)</x:f>
      </x:c>
      <x:c r="K14" s="37" t="str">
        <x:f>IF(OR(I14="",J14=""),"",I14+J14)</x:f>
      </x:c>
      <x:c r="L14" s="38"/>
      <x:c r="M14" s="38"/>
      <x:c r="N14" s="33" t="str">
        <x:f>IF(OR(K14="",L14="",M14=""),"",K14+L14+M14)</x:f>
      </x:c>
      <x:c r="O14" s="32" t="str">
        <x:v>ING-005;ING-031;ING-034;VSF-007</x:v>
      </x:c>
      <x:c r="P14" s="32" t="str">
        <x:v>BLOCKED_PENDING_VALIDATION</x:v>
      </x:c>
      <x:c r="Q14" s="32" t="str">
        <x:v>HOF-0002;HOF-0004;PRICE_SOURCE_REGISTER;docs/03-methodology/COGS.md</x:v>
      </x:c>
    </x:row>
    <x:row r="15">
      <x:c r="A15" s="32" t="str">
        <x:v>VKC-010</x:v>
      </x:c>
      <x:c r="B15" s="32" t="str">
        <x:v>VKM-010</x:v>
      </x:c>
      <x:c r="C15" s="32" t="str">
        <x:v>Микс-салат с креветками и яблоком</x:v>
      </x:c>
      <x:c r="D15" s="32" t="n">
        <x:v>280</x:v>
      </x:c>
      <x:c r="E15" s="32" t="str">
        <x:v>г</x:v>
      </x:c>
      <x:c r="F15" s="36" t="n">
        <x:v>174.2979</x:v>
      </x:c>
      <x:c r="G15" s="37" t="n">
        <x:f>IF(F15="","",F15)</x:f>
        <x:v>174.2979</x:v>
      </x:c>
      <x:c r="H15" s="36"/>
      <x:c r="I15" s="37" t="str">
        <x:f>IF(H15="","",H15)</x:f>
      </x:c>
      <x:c r="J15" s="37" t="str">
        <x:f>IF(I15="","",I15*$Q$3)</x:f>
      </x:c>
      <x:c r="K15" s="37" t="str">
        <x:f>IF(OR(I15="",J15=""),"",I15+J15)</x:f>
      </x:c>
      <x:c r="L15" s="38"/>
      <x:c r="M15" s="38"/>
      <x:c r="N15" s="33" t="str">
        <x:f>IF(OR(K15="",L15="",M15=""),"",K15+L15+M15)</x:f>
      </x:c>
      <x:c r="O15" s="32" t="str">
        <x:v>ING-035;ING-037;ING-038;ING-042;VSF-008</x:v>
      </x:c>
      <x:c r="P15" s="32" t="str">
        <x:v>BLOCKED_PENDING_VALIDATION</x:v>
      </x:c>
      <x:c r="Q15" s="32" t="str">
        <x:v>HOF-0002;HOF-0004;PRICE_SOURCE_REGISTER;docs/03-methodology/COGS.md</x:v>
      </x:c>
    </x:row>
    <x:row r="16">
      <x:c r="A16" s="32" t="str">
        <x:v>VKC-011</x:v>
      </x:c>
      <x:c r="B16" s="32" t="str">
        <x:v>VKM-011</x:v>
      </x:c>
      <x:c r="C16" s="32" t="str">
        <x:v>Греческий</x:v>
      </x:c>
      <x:c r="D16" s="32" t="n">
        <x:v>270</x:v>
      </x:c>
      <x:c r="E16" s="32" t="str">
        <x:v>г</x:v>
      </x:c>
      <x:c r="F16" s="36"/>
      <x:c r="G16" s="37" t="str">
        <x:f>IF(F16="","",F16)</x:f>
      </x:c>
      <x:c r="H16" s="36"/>
      <x:c r="I16" s="37" t="str">
        <x:f>IF(H16="","",H16)</x:f>
      </x:c>
      <x:c r="J16" s="37" t="str">
        <x:f>IF(I16="","",I16*$Q$3)</x:f>
      </x:c>
      <x:c r="K16" s="37" t="str">
        <x:f>IF(OR(I16="",J16=""),"",I16+J16)</x:f>
      </x:c>
      <x:c r="L16" s="38"/>
      <x:c r="M16" s="38"/>
      <x:c r="N16" s="33" t="str">
        <x:f>IF(OR(K16="",L16="",M16=""),"",K16+L16+M16)</x:f>
      </x:c>
      <x:c r="O16" s="32" t="str">
        <x:v>ING-031;ING-038;ING-043;ING-044;ING-045;ING-046;VSF-009</x:v>
      </x:c>
      <x:c r="P16" s="32" t="str">
        <x:v>BLOCKED_PENDING_VALIDATION</x:v>
      </x:c>
      <x:c r="Q16" s="32" t="str">
        <x:v>HOF-0002;HOF-0004;PRICE_SOURCE_REGISTER;docs/03-methodology/COGS.md</x:v>
      </x:c>
    </x:row>
    <x:row r="17">
      <x:c r="A17" s="32" t="str">
        <x:v>VKC-012</x:v>
      </x:c>
      <x:c r="B17" s="32" t="str">
        <x:v>VKM-012</x:v>
      </x:c>
      <x:c r="C17" s="32" t="str">
        <x:v>Винегрет</x:v>
      </x:c>
      <x:c r="D17" s="32" t="n">
        <x:v>240</x:v>
      </x:c>
      <x:c r="E17" s="32" t="str">
        <x:v>г</x:v>
      </x:c>
      <x:c r="F17" s="36"/>
      <x:c r="G17" s="37" t="str">
        <x:f>IF(F17="","",F17)</x:f>
      </x:c>
      <x:c r="H17" s="36"/>
      <x:c r="I17" s="37" t="str">
        <x:f>IF(H17="","",H17)</x:f>
      </x:c>
      <x:c r="J17" s="37" t="str">
        <x:f>IF(I17="","",I17*$Q$3)</x:f>
      </x:c>
      <x:c r="K17" s="37" t="str">
        <x:f>IF(OR(I17="",J17=""),"",I17+J17)</x:f>
      </x:c>
      <x:c r="L17" s="38"/>
      <x:c r="M17" s="38"/>
      <x:c r="N17" s="33" t="str">
        <x:f>IF(OR(K17="",L17="",M17=""),"",K17+L17+M17)</x:f>
      </x:c>
      <x:c r="O17" s="32" t="str">
        <x:v>ING-016;ING-024;ING-051;ING-052;ING-053;VSF-010</x:v>
      </x:c>
      <x:c r="P17" s="32" t="str">
        <x:v>BLOCKED_PENDING_VALIDATION</x:v>
      </x:c>
      <x:c r="Q17" s="32" t="str">
        <x:v>HOF-0002;HOF-0004;PRICE_SOURCE_REGISTER;docs/03-methodology/COGS.md</x:v>
      </x:c>
    </x:row>
    <x:row r="18">
      <x:c r="A18" s="32" t="str">
        <x:v>VKC-013</x:v>
      </x:c>
      <x:c r="B18" s="32" t="str">
        <x:v>VKM-013</x:v>
      </x:c>
      <x:c r="C18" s="32" t="str">
        <x:v>Слабосолёный лосось</x:v>
      </x:c>
      <x:c r="D18" s="32" t="n">
        <x:v>130</x:v>
      </x:c>
      <x:c r="E18" s="32" t="str">
        <x:v>г</x:v>
      </x:c>
      <x:c r="F18" s="36" t="n">
        <x:v>439.996333</x:v>
      </x:c>
      <x:c r="G18" s="37" t="n">
        <x:f>IF(F18="","",F18)</x:f>
        <x:v>439.996333</x:v>
      </x:c>
      <x:c r="H18" s="36"/>
      <x:c r="I18" s="37" t="str">
        <x:f>IF(H18="","",H18)</x:f>
      </x:c>
      <x:c r="J18" s="37" t="str">
        <x:f>IF(I18="","",I18*$Q$3)</x:f>
      </x:c>
      <x:c r="K18" s="37" t="str">
        <x:f>IF(OR(I18="",J18=""),"",I18+J18)</x:f>
      </x:c>
      <x:c r="L18" s="38"/>
      <x:c r="M18" s="38"/>
      <x:c r="N18" s="33" t="str">
        <x:f>IF(OR(K18="",L18="",M18=""),"",K18+L18+M18)</x:f>
      </x:c>
      <x:c r="O18" s="32" t="str">
        <x:v>ING-024;ING-034;ING-055;ING-056</x:v>
      </x:c>
      <x:c r="P18" s="32" t="str">
        <x:v>BLOCKED_PENDING_VALIDATION</x:v>
      </x:c>
      <x:c r="Q18" s="32" t="str">
        <x:v>HOF-0002;HOF-0004;PRICE_SOURCE_REGISTER;docs/03-methodology/COGS.md</x:v>
      </x:c>
    </x:row>
    <x:row r="19">
      <x:c r="A19" s="32" t="str">
        <x:v>VKC-014</x:v>
      </x:c>
      <x:c r="B19" s="32" t="str">
        <x:v>VKM-014</x:v>
      </x:c>
      <x:c r="C19" s="32" t="str">
        <x:v>Сельдь с запечённым картофелем</x:v>
      </x:c>
      <x:c r="D19" s="32" t="n">
        <x:v>250</x:v>
      </x:c>
      <x:c r="E19" s="32" t="str">
        <x:v>г</x:v>
      </x:c>
      <x:c r="F19" s="36"/>
      <x:c r="G19" s="37" t="str">
        <x:f>IF(F19="","",F19)</x:f>
      </x:c>
      <x:c r="H19" s="36"/>
      <x:c r="I19" s="37" t="str">
        <x:f>IF(H19="","",H19)</x:f>
      </x:c>
      <x:c r="J19" s="37" t="str">
        <x:f>IF(I19="","",I19*$Q$3)</x:f>
      </x:c>
      <x:c r="K19" s="37" t="str">
        <x:f>IF(OR(I19="",J19=""),"",I19+J19)</x:f>
      </x:c>
      <x:c r="L19" s="38"/>
      <x:c r="M19" s="38"/>
      <x:c r="N19" s="33" t="str">
        <x:f>IF(OR(K19="",L19="",M19=""),"",K19+L19+M19)</x:f>
      </x:c>
      <x:c r="O19" s="32" t="str">
        <x:v>ING-024;ING-046;ING-051;ING-057;ING-059;VSF-011</x:v>
      </x:c>
      <x:c r="P19" s="32" t="str">
        <x:v>BLOCKED_PENDING_VALIDATION</x:v>
      </x:c>
      <x:c r="Q19" s="32" t="str">
        <x:v>HOF-0002;HOF-0004;PRICE_SOURCE_REGISTER;docs/03-methodology/COGS.md</x:v>
      </x:c>
    </x:row>
    <x:row r="20">
      <x:c r="A20" s="32" t="str">
        <x:v>VKC-015</x:v>
      </x:c>
      <x:c r="B20" s="32" t="str">
        <x:v>VKM-015</x:v>
      </x:c>
      <x:c r="C20" s="32" t="str">
        <x:v>Оливки и маслины</x:v>
      </x:c>
      <x:c r="D20" s="32" t="n">
        <x:v>120</x:v>
      </x:c>
      <x:c r="E20" s="32" t="str">
        <x:v>г</x:v>
      </x:c>
      <x:c r="F20" s="36"/>
      <x:c r="G20" s="37" t="str">
        <x:f>IF(F20="","",F20)</x:f>
      </x:c>
      <x:c r="H20" s="36"/>
      <x:c r="I20" s="37" t="str">
        <x:f>IF(H20="","",H20)</x:f>
      </x:c>
      <x:c r="J20" s="37" t="str">
        <x:f>IF(I20="","",I20*$Q$3)</x:f>
      </x:c>
      <x:c r="K20" s="37" t="str">
        <x:f>IF(OR(I20="",J20=""),"",I20+J20)</x:f>
      </x:c>
      <x:c r="L20" s="38"/>
      <x:c r="M20" s="38"/>
      <x:c r="N20" s="33" t="str">
        <x:f>IF(OR(K20="",L20="",M20=""),"",K20+L20+M20)</x:f>
      </x:c>
      <x:c r="O20" s="32" t="str">
        <x:v>ING-060;ING-061;VSF-012</x:v>
      </x:c>
      <x:c r="P20" s="32" t="str">
        <x:v>BLOCKED_PENDING_VALIDATION</x:v>
      </x:c>
      <x:c r="Q20" s="32" t="str">
        <x:v>HOF-0002;HOF-0004;PRICE_SOURCE_REGISTER;docs/03-methodology/COGS.md</x:v>
      </x:c>
    </x:row>
    <x:row r="21">
      <x:c r="A21" s="32" t="str">
        <x:v>VKC-016</x:v>
      </x:c>
      <x:c r="B21" s="32" t="str">
        <x:v>VKM-016</x:v>
      </x:c>
      <x:c r="C21" s="32" t="str">
        <x:v>Ассорти фирменных солений</x:v>
      </x:c>
      <x:c r="D21" s="32" t="n">
        <x:v>180</x:v>
      </x:c>
      <x:c r="E21" s="32" t="str">
        <x:v>г</x:v>
      </x:c>
      <x:c r="F21" s="36" t="n">
        <x:v>0.48594</x:v>
      </x:c>
      <x:c r="G21" s="37" t="n">
        <x:f>IF(F21="","",F21)</x:f>
        <x:v>0.48594</x:v>
      </x:c>
      <x:c r="H21" s="36"/>
      <x:c r="I21" s="37" t="str">
        <x:f>IF(H21="","",H21)</x:f>
      </x:c>
      <x:c r="J21" s="37" t="str">
        <x:f>IF(I21="","",I21*$Q$3)</x:f>
      </x:c>
      <x:c r="K21" s="37" t="str">
        <x:f>IF(OR(I21="",J21=""),"",I21+J21)</x:f>
      </x:c>
      <x:c r="L21" s="38"/>
      <x:c r="M21" s="38"/>
      <x:c r="N21" s="33" t="str">
        <x:f>IF(OR(K21="",L21="",M21=""),"",K21+L21+M21)</x:f>
      </x:c>
      <x:c r="O21" s="32" t="str">
        <x:v>VSF-014</x:v>
      </x:c>
      <x:c r="P21" s="32" t="str">
        <x:v>BLOCKED_PENDING_VALIDATION</x:v>
      </x:c>
      <x:c r="Q21" s="32" t="str">
        <x:v>HOF-0002;HOF-0004;PRICE_SOURCE_REGISTER;docs/03-methodology/COGS.md</x:v>
      </x:c>
    </x:row>
    <x:row r="22">
      <x:c r="A22" s="32" t="str">
        <x:v>VKC-017</x:v>
      </x:c>
      <x:c r="B22" s="32" t="str">
        <x:v>VKM-017</x:v>
      </x:c>
      <x:c r="C22" s="32" t="str">
        <x:v>Ростбиф с луком и гренкой</x:v>
      </x:c>
      <x:c r="D22" s="32" t="n">
        <x:v>180</x:v>
      </x:c>
      <x:c r="E22" s="32" t="str">
        <x:v>г</x:v>
      </x:c>
      <x:c r="F22" s="36"/>
      <x:c r="G22" s="37" t="str">
        <x:f>IF(F22="","",F22)</x:f>
      </x:c>
      <x:c r="H22" s="36"/>
      <x:c r="I22" s="37" t="str">
        <x:f>IF(H22="","",H22)</x:f>
      </x:c>
      <x:c r="J22" s="37" t="str">
        <x:f>IF(I22="","",I22*$Q$3)</x:f>
      </x:c>
      <x:c r="K22" s="37" t="str">
        <x:f>IF(OR(I22="",J22=""),"",I22+J22)</x:f>
      </x:c>
      <x:c r="L22" s="38"/>
      <x:c r="M22" s="38"/>
      <x:c r="N22" s="33" t="str">
        <x:f>IF(OR(K22="",L22="",M22=""),"",K22+L22+M22)</x:f>
      </x:c>
      <x:c r="O22" s="32" t="str">
        <x:v>ING-046;ING-059;ING-066;VSF-015;VSF-016</x:v>
      </x:c>
      <x:c r="P22" s="32" t="str">
        <x:v>BLOCKED_PENDING_VALIDATION</x:v>
      </x:c>
      <x:c r="Q22" s="32" t="str">
        <x:v>HOF-0002;HOF-0004;PRICE_SOURCE_REGISTER;docs/03-methodology/COGS.md</x:v>
      </x:c>
    </x:row>
    <x:row r="23">
      <x:c r="A23" s="32" t="str">
        <x:v>VKC-018</x:v>
      </x:c>
      <x:c r="B23" s="32" t="str">
        <x:v>VKM-018</x:v>
      </x:c>
      <x:c r="C23" s="32" t="str">
        <x:v>Традиционный красный борщ</x:v>
      </x:c>
      <x:c r="D23" s="32" t="n">
        <x:v>400</x:v>
      </x:c>
      <x:c r="E23" s="32" t="str">
        <x:v>г</x:v>
      </x:c>
      <x:c r="F23" s="36" t="n">
        <x:v>0.94981</x:v>
      </x:c>
      <x:c r="G23" s="37" t="n">
        <x:f>IF(F23="","",F23)</x:f>
        <x:v>0.94981</x:v>
      </x:c>
      <x:c r="H23" s="36"/>
      <x:c r="I23" s="37" t="str">
        <x:f>IF(H23="","",H23)</x:f>
      </x:c>
      <x:c r="J23" s="37" t="str">
        <x:f>IF(I23="","",I23*$Q$3)</x:f>
      </x:c>
      <x:c r="K23" s="37" t="str">
        <x:f>IF(OR(I23="",J23=""),"",I23+J23)</x:f>
      </x:c>
      <x:c r="L23" s="38"/>
      <x:c r="M23" s="38"/>
      <x:c r="N23" s="33" t="str">
        <x:f>IF(OR(K23="",L23="",M23=""),"",K23+L23+M23)</x:f>
      </x:c>
      <x:c r="O23" s="32" t="str">
        <x:v>ING-059;ING-064;ING-072;ING-073;ING-075;VSF-017;VSF-018</x:v>
      </x:c>
      <x:c r="P23" s="32" t="str">
        <x:v>BLOCKED_PENDING_VALIDATION</x:v>
      </x:c>
      <x:c r="Q23" s="32" t="str">
        <x:v>HOF-0002;HOF-0004;PRICE_SOURCE_REGISTER;docs/03-methodology/COGS.md</x:v>
      </x:c>
    </x:row>
    <x:row r="24">
      <x:c r="A24" s="32" t="str">
        <x:v>VKC-019</x:v>
      </x:c>
      <x:c r="B24" s="32" t="str">
        <x:v>VKM-019</x:v>
      </x:c>
      <x:c r="C24" s="32" t="str">
        <x:v>Мурманская треска со сливочно-горчичным соусом</x:v>
      </x:c>
      <x:c r="D24" s="32" t="n">
        <x:v>300</x:v>
      </x:c>
      <x:c r="E24" s="32" t="str">
        <x:v>г</x:v>
      </x:c>
      <x:c r="F24" s="36" t="n">
        <x:v>303.757296</x:v>
      </x:c>
      <x:c r="G24" s="37" t="n">
        <x:f>IF(F24="","",F24)</x:f>
        <x:v>303.757296</x:v>
      </x:c>
      <x:c r="H24" s="36"/>
      <x:c r="I24" s="37" t="str">
        <x:f>IF(H24="","",H24)</x:f>
      </x:c>
      <x:c r="J24" s="37" t="str">
        <x:f>IF(I24="","",I24*$Q$3)</x:f>
      </x:c>
      <x:c r="K24" s="37" t="str">
        <x:f>IF(OR(I24="",J24=""),"",I24+J24)</x:f>
      </x:c>
      <x:c r="L24" s="38"/>
      <x:c r="M24" s="38"/>
      <x:c r="N24" s="33" t="str">
        <x:f>IF(OR(K24="",L24="",M24=""),"",K24+L24+M24)</x:f>
      </x:c>
      <x:c r="O24" s="32" t="str">
        <x:v>ING-024;ING-059;ING-079;VSF-019</x:v>
      </x:c>
      <x:c r="P24" s="32" t="str">
        <x:v>BLOCKED_PENDING_VALIDATION</x:v>
      </x:c>
      <x:c r="Q24" s="32" t="str">
        <x:v>HOF-0002;HOF-0004;PRICE_SOURCE_REGISTER;docs/03-methodology/COGS.md</x:v>
      </x:c>
    </x:row>
    <x:row r="25">
      <x:c r="A25" s="32" t="str">
        <x:v>VKC-020</x:v>
      </x:c>
      <x:c r="B25" s="32" t="str">
        <x:v>VKM-020</x:v>
      </x:c>
      <x:c r="C25" s="32" t="str">
        <x:v>Креветки по-тайски</x:v>
      </x:c>
      <x:c r="D25" s="32" t="n">
        <x:v>360</x:v>
      </x:c>
      <x:c r="E25" s="32" t="str">
        <x:v>г</x:v>
      </x:c>
      <x:c r="F25" s="36" t="n">
        <x:v>240.6971</x:v>
      </x:c>
      <x:c r="G25" s="37" t="n">
        <x:f>IF(F25="","",F25)</x:f>
        <x:v>240.6971</x:v>
      </x:c>
      <x:c r="H25" s="36"/>
      <x:c r="I25" s="37" t="str">
        <x:f>IF(H25="","",H25)</x:f>
      </x:c>
      <x:c r="J25" s="37" t="str">
        <x:f>IF(I25="","",I25*$Q$3)</x:f>
      </x:c>
      <x:c r="K25" s="37" t="str">
        <x:f>IF(OR(I25="",J25=""),"",I25+J25)</x:f>
      </x:c>
      <x:c r="L25" s="38"/>
      <x:c r="M25" s="38"/>
      <x:c r="N25" s="33" t="str">
        <x:f>IF(OR(K25="",L25="",M25=""),"",K25+L25+M25)</x:f>
      </x:c>
      <x:c r="O25" s="32" t="str">
        <x:v>ING-016;ING-043;ING-084;ING-085;ING-086;VSF-020</x:v>
      </x:c>
      <x:c r="P25" s="32" t="str">
        <x:v>BLOCKED_PENDING_VALIDATION</x:v>
      </x:c>
      <x:c r="Q25" s="32" t="str">
        <x:v>HOF-0002;HOF-0004;PRICE_SOURCE_REGISTER;docs/03-methodology/COGS.md</x:v>
      </x:c>
    </x:row>
    <x:row r="26">
      <x:c r="A26" s="32" t="str">
        <x:v>VKC-021</x:v>
      </x:c>
      <x:c r="B26" s="32" t="str">
        <x:v>VKM-021</x:v>
      </x:c>
      <x:c r="C26" s="32" t="str">
        <x:v>Бургер VARSHAVKA</x:v>
      </x:c>
      <x:c r="D26" s="32" t="n">
        <x:v>350</x:v>
      </x:c>
      <x:c r="E26" s="32" t="str">
        <x:v>г</x:v>
      </x:c>
      <x:c r="F26" s="36" t="n">
        <x:v>164.12328</x:v>
      </x:c>
      <x:c r="G26" s="37" t="n">
        <x:f>IF(F26="","",F26)</x:f>
        <x:v>164.12328</x:v>
      </x:c>
      <x:c r="H26" s="36"/>
      <x:c r="I26" s="37" t="str">
        <x:f>IF(H26="","",H26)</x:f>
      </x:c>
      <x:c r="J26" s="37" t="str">
        <x:f>IF(I26="","",I26*$Q$3)</x:f>
      </x:c>
      <x:c r="K26" s="37" t="str">
        <x:f>IF(OR(I26="",J26=""),"",I26+J26)</x:f>
      </x:c>
      <x:c r="L26" s="38"/>
      <x:c r="M26" s="38"/>
      <x:c r="N26" s="33" t="str">
        <x:f>IF(OR(K26="",L26="",M26=""),"",K26+L26+M26)</x:f>
      </x:c>
      <x:c r="O26" s="32" t="str">
        <x:v>ING-090;ING-091;ING-092;ING-093;ING-096;VSF-006;VSF-021;VSF-022</x:v>
      </x:c>
      <x:c r="P26" s="32" t="str">
        <x:v>BLOCKED_PENDING_VALIDATION</x:v>
      </x:c>
      <x:c r="Q26" s="32" t="str">
        <x:v>HOF-0002;HOF-0004;PRICE_SOURCE_REGISTER;docs/03-methodology/COGS.md</x:v>
      </x:c>
    </x:row>
    <x:row r="27">
      <x:c r="A27" s="32" t="str">
        <x:v>VKC-022</x:v>
      </x:c>
      <x:c r="B27" s="32" t="str">
        <x:v>VKM-022</x:v>
      </x:c>
      <x:c r="C27" s="32" t="str">
        <x:v>Миньоны из говяжьей вырезки</x:v>
      </x:c>
      <x:c r="D27" s="32" t="n">
        <x:v>300</x:v>
      </x:c>
      <x:c r="E27" s="32" t="str">
        <x:v>г</x:v>
      </x:c>
      <x:c r="F27" s="36" t="n">
        <x:v>301.043006</x:v>
      </x:c>
      <x:c r="G27" s="37" t="n">
        <x:f>IF(F27="","",F27)</x:f>
        <x:v>301.043006</x:v>
      </x:c>
      <x:c r="H27" s="36"/>
      <x:c r="I27" s="37" t="str">
        <x:f>IF(H27="","",H27)</x:f>
      </x:c>
      <x:c r="J27" s="37" t="str">
        <x:f>IF(I27="","",I27*$Q$3)</x:f>
      </x:c>
      <x:c r="K27" s="37" t="str">
        <x:f>IF(OR(I27="",J27=""),"",I27+J27)</x:f>
      </x:c>
      <x:c r="L27" s="38"/>
      <x:c r="M27" s="38"/>
      <x:c r="N27" s="33" t="str">
        <x:f>IF(OR(K27="",L27="",M27=""),"",K27+L27+M27)</x:f>
      </x:c>
      <x:c r="O27" s="32" t="str">
        <x:v>ING-007;ING-024;ING-033;ING-059;ING-063;ING-099;VSF-024</x:v>
      </x:c>
      <x:c r="P27" s="32" t="str">
        <x:v>BLOCKED_PENDING_VALIDATION</x:v>
      </x:c>
      <x:c r="Q27" s="32" t="str">
        <x:v>HOF-0002;HOF-0004;PRICE_SOURCE_REGISTER;docs/03-methodology/COGS.md</x:v>
      </x:c>
    </x:row>
    <x:row r="28">
      <x:c r="A28" s="32" t="str">
        <x:v>VKC-023</x:v>
      </x:c>
      <x:c r="B28" s="32" t="str">
        <x:v>VKM-023</x:v>
      </x:c>
      <x:c r="C28" s="32" t="str">
        <x:v>Запечённый картофель</x:v>
      </x:c>
      <x:c r="D28" s="32" t="n">
        <x:v>150</x:v>
      </x:c>
      <x:c r="E28" s="32" t="str">
        <x:v>г</x:v>
      </x:c>
      <x:c r="F28" s="36"/>
      <x:c r="G28" s="37" t="str">
        <x:f>IF(F28="","",F28)</x:f>
      </x:c>
      <x:c r="H28" s="36"/>
      <x:c r="I28" s="37" t="str">
        <x:f>IF(H28="","",H28)</x:f>
      </x:c>
      <x:c r="J28" s="37" t="str">
        <x:f>IF(I28="","",I28*$Q$3)</x:f>
      </x:c>
      <x:c r="K28" s="37" t="str">
        <x:f>IF(OR(I28="",J28=""),"",I28+J28)</x:f>
      </x:c>
      <x:c r="L28" s="38"/>
      <x:c r="M28" s="38"/>
      <x:c r="N28" s="33" t="str">
        <x:f>IF(OR(K28="",L28="",M28=""),"",K28+L28+M28)</x:f>
      </x:c>
      <x:c r="O28" s="32" t="str">
        <x:v>VSF-011</x:v>
      </x:c>
      <x:c r="P28" s="32" t="str">
        <x:v>BLOCKED_PENDING_VALIDATION</x:v>
      </x:c>
      <x:c r="Q28" s="32" t="str">
        <x:v>HOF-0002;HOF-0004;PRICE_SOURCE_REGISTER;docs/03-methodology/COGS.md</x:v>
      </x:c>
    </x:row>
    <x:row r="29">
      <x:c r="A29" s="32" t="str">
        <x:v>VKC-024</x:v>
      </x:c>
      <x:c r="B29" s="32" t="str">
        <x:v>VKM-024</x:v>
      </x:c>
      <x:c r="C29" s="32" t="str">
        <x:v>Рис жасмин</x:v>
      </x:c>
      <x:c r="D29" s="32" t="n">
        <x:v>150</x:v>
      </x:c>
      <x:c r="E29" s="32" t="str">
        <x:v>г</x:v>
      </x:c>
      <x:c r="F29" s="36" t="n">
        <x:v>5.641258</x:v>
      </x:c>
      <x:c r="G29" s="37" t="n">
        <x:f>IF(F29="","",F29)</x:f>
        <x:v>5.641258</x:v>
      </x:c>
      <x:c r="H29" s="36"/>
      <x:c r="I29" s="37" t="str">
        <x:f>IF(H29="","",H29)</x:f>
      </x:c>
      <x:c r="J29" s="37" t="str">
        <x:f>IF(I29="","",I29*$Q$3)</x:f>
      </x:c>
      <x:c r="K29" s="37" t="str">
        <x:f>IF(OR(I29="",J29=""),"",I29+J29)</x:f>
      </x:c>
      <x:c r="L29" s="38"/>
      <x:c r="M29" s="38"/>
      <x:c r="N29" s="33" t="str">
        <x:f>IF(OR(K29="",L29="",M29=""),"",K29+L29+M29)</x:f>
      </x:c>
      <x:c r="O29" s="32" t="str">
        <x:v>ING-024;VSF-025</x:v>
      </x:c>
      <x:c r="P29" s="32" t="str">
        <x:v>BLOCKED_PENDING_VALIDATION</x:v>
      </x:c>
      <x:c r="Q29" s="32" t="str">
        <x:v>HOF-0002;HOF-0004;PRICE_SOURCE_REGISTER;docs/03-methodology/COGS.md</x:v>
      </x:c>
    </x:row>
    <x:row r="30">
      <x:c r="A30" s="32" t="str">
        <x:v>VKC-025</x:v>
      </x:c>
      <x:c r="B30" s="32" t="str">
        <x:v>VKM-025</x:v>
      </x:c>
      <x:c r="C30" s="32" t="str">
        <x:v>Горячие овощи</x:v>
      </x:c>
      <x:c r="D30" s="32" t="n">
        <x:v>150</x:v>
      </x:c>
      <x:c r="E30" s="32" t="str">
        <x:v>г</x:v>
      </x:c>
      <x:c r="F30" s="36"/>
      <x:c r="G30" s="37" t="str">
        <x:f>IF(F30="","",F30)</x:f>
      </x:c>
      <x:c r="H30" s="36"/>
      <x:c r="I30" s="37" t="str">
        <x:f>IF(H30="","",H30)</x:f>
      </x:c>
      <x:c r="J30" s="37" t="str">
        <x:f>IF(I30="","",I30*$Q$3)</x:f>
      </x:c>
      <x:c r="K30" s="37" t="str">
        <x:f>IF(OR(I30="",J30=""),"",I30+J30)</x:f>
      </x:c>
      <x:c r="L30" s="38"/>
      <x:c r="M30" s="38"/>
      <x:c r="N30" s="33" t="str">
        <x:f>IF(OR(K30="",L30="",M30=""),"",K30+L30+M30)</x:f>
      </x:c>
      <x:c r="O30" s="32" t="str">
        <x:v>ING-024;ING-033;ING-063;VSF-026</x:v>
      </x:c>
      <x:c r="P30" s="32" t="str">
        <x:v>BLOCKED_PENDING_VALIDATION</x:v>
      </x:c>
      <x:c r="Q30" s="32" t="str">
        <x:v>HOF-0002;HOF-0004;PRICE_SOURCE_REGISTER;docs/03-methodology/COGS.md</x:v>
      </x:c>
    </x:row>
    <x:row r="31">
      <x:c r="A31" s="32" t="str">
        <x:v>VKC-029</x:v>
      </x:c>
      <x:c r="B31" s="32" t="str">
        <x:v>VKM-029</x:v>
      </x:c>
      <x:c r="C31" s="32" t="str">
        <x:v>Черничный торт VARSHAVKA</x:v>
      </x:c>
      <x:c r="D31" s="32" t="n">
        <x:v>1800</x:v>
      </x:c>
      <x:c r="E31" s="32" t="str">
        <x:v>г</x:v>
      </x:c>
      <x:c r="F31" s="36" t="n">
        <x:v>834.720372</x:v>
      </x:c>
      <x:c r="G31" s="37" t="n">
        <x:f>IF(F31="","",F31)</x:f>
        <x:v>834.720372</x:v>
      </x:c>
      <x:c r="H31" s="36"/>
      <x:c r="I31" s="37" t="str">
        <x:f>IF(H31="","",H31)</x:f>
      </x:c>
      <x:c r="J31" s="37" t="str">
        <x:f>IF(I31="","",I31*$Q$3)</x:f>
      </x:c>
      <x:c r="K31" s="37" t="str">
        <x:f>IF(OR(I31="",J31=""),"",I31+J31)</x:f>
      </x:c>
      <x:c r="L31" s="38"/>
      <x:c r="M31" s="38"/>
      <x:c r="N31" s="33" t="str">
        <x:f>IF(OR(K31="",L31="",M31=""),"",K31+L31+M31)</x:f>
      </x:c>
      <x:c r="O31" s="32" t="str">
        <x:v>ING-112;VSF-027;VSF-028;VSF-029;VSF-030</x:v>
      </x:c>
      <x:c r="P31" s="32" t="str">
        <x:v>BLOCKED_PENDING_VALIDATION</x:v>
      </x:c>
      <x:c r="Q31" s="32" t="str">
        <x:v>HOF-0002;HOF-0004;PRICE_SOURCE_REGISTER;docs/03-methodology/COGS.md</x:v>
      </x:c>
    </x:row>
    <x:row r="32">
      <x:c r="A32" s="32" t="str">
        <x:v>VKC-030</x:v>
      </x:c>
      <x:c r="B32" s="32" t="str">
        <x:v>VKM-030</x:v>
      </x:c>
      <x:c r="C32" s="32" t="str">
        <x:v>Кростата с солёной карамелью</x:v>
      </x:c>
      <x:c r="D32" s="32" t="n">
        <x:v>1200</x:v>
      </x:c>
      <x:c r="E32" s="32" t="str">
        <x:v>г</x:v>
      </x:c>
      <x:c r="F32" s="36" t="n">
        <x:v>517.220233</x:v>
      </x:c>
      <x:c r="G32" s="37" t="n">
        <x:f>IF(F32="","",F32)</x:f>
        <x:v>517.220233</x:v>
      </x:c>
      <x:c r="H32" s="36"/>
      <x:c r="I32" s="37" t="str">
        <x:f>IF(H32="","",H32)</x:f>
      </x:c>
      <x:c r="J32" s="37" t="str">
        <x:f>IF(I32="","",I32*$Q$3)</x:f>
      </x:c>
      <x:c r="K32" s="37" t="str">
        <x:f>IF(OR(I32="",J32=""),"",I32+J32)</x:f>
      </x:c>
      <x:c r="L32" s="38"/>
      <x:c r="M32" s="38"/>
      <x:c r="N32" s="33" t="str">
        <x:f>IF(OR(K32="",L32="",M32=""),"",K32+L32+M32)</x:f>
      </x:c>
      <x:c r="O32" s="32" t="str">
        <x:v>ING-112;VSF-031;VSF-032;VSF-033</x:v>
      </x:c>
      <x:c r="P32" s="32" t="str">
        <x:v>BLOCKED_PENDING_VALIDATION</x:v>
      </x:c>
      <x:c r="Q32" s="32" t="str">
        <x:v>HOF-0002;HOF-0004;PRICE_SOURCE_REGISTER;docs/03-methodology/COGS.md</x:v>
      </x:c>
    </x:row>
    <x:row r="33">
      <x:c r="A33" s="32" t="str">
        <x:v>VKC-031</x:v>
      </x:c>
      <x:c r="B33" s="32" t="str">
        <x:v>VKM-031</x:v>
      </x:c>
      <x:c r="C33" s="32" t="str">
        <x:v>Мадлен</x:v>
      </x:c>
      <x:c r="D33" s="32" t="n">
        <x:v>600</x:v>
      </x:c>
      <x:c r="E33" s="32" t="str">
        <x:v>г</x:v>
      </x:c>
      <x:c r="F33" s="36" t="n">
        <x:v>225.788244</x:v>
      </x:c>
      <x:c r="G33" s="37" t="n">
        <x:f>IF(F33="","",F33)</x:f>
        <x:v>225.788244</x:v>
      </x:c>
      <x:c r="H33" s="36"/>
      <x:c r="I33" s="37" t="str">
        <x:f>IF(H33="","",H33)</x:f>
      </x:c>
      <x:c r="J33" s="37" t="str">
        <x:f>IF(I33="","",I33*$Q$3)</x:f>
      </x:c>
      <x:c r="K33" s="37" t="str">
        <x:f>IF(OR(I33="",J33=""),"",I33+J33)</x:f>
      </x:c>
      <x:c r="L33" s="38"/>
      <x:c r="M33" s="38"/>
      <x:c r="N33" s="33" t="str">
        <x:f>IF(OR(K33="",L33="",M33=""),"",K33+L33+M33)</x:f>
      </x:c>
      <x:c r="O33" s="32" t="str">
        <x:v>VSF-034</x:v>
      </x:c>
      <x:c r="P33" s="32" t="str">
        <x:v>BLOCKED_PENDING_VALIDATION</x:v>
      </x:c>
      <x:c r="Q33" s="32" t="str">
        <x:v>HOF-0002;HOF-0004;PRICE_SOURCE_REGISTER;docs/03-methodology/COGS.md</x:v>
      </x:c>
    </x:row>
  </x:sheetData>
  <x:mergeCells>
    <x:mergeCell ref="A1:Q1"/>
    <x:mergeCell ref="A2:Q2"/>
  </x:mergeCells>
  <x:conditionalFormatting sqref="P6:P33">
    <x:cfRule type="containsText" dxfId="6" priority="1" operator="containsText" text="BLOCK"/>
    <x:cfRule type="containsText" dxfId="7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78421228946e4a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18" hidden="0" customWidth="1"/>
    <x:col min="5" max="5" width="55" hidden="0" customWidth="1"/>
    <x:col min="6" max="6" width="12" hidden="0" customWidth="1"/>
    <x:col min="7" max="7" width="12" hidden="0" customWidth="1"/>
    <x:col min="8" max="8" width="45" hidden="0" customWidth="1"/>
    <x:col min="9" max="9" width="11" hidden="0" customWidth="1"/>
    <x:col min="10" max="10" width="8" hidden="0" customWidth="1"/>
    <x:col min="11" max="11" width="16" hidden="0" customWidth="1"/>
    <x:col min="12" max="12" width="24" hidden="0" customWidth="1"/>
    <x:col min="13" max="13" width="16" hidden="0" customWidth="1"/>
    <x:col min="14" max="14" width="24" hidden="0" customWidth="1"/>
    <x:col min="15" max="15" width="28" hidden="0" customWidth="1"/>
    <x:col min="16" max="16" width="24" hidden="0" customWidth="1"/>
    <x:col min="17" max="17" width="45" hidden="0" customWidth="1"/>
  </x:cols>
  <x:sheetData>
    <x:row r="1" ht="30" customHeight="1">
      <x:c r="A1" s="26" t="str">
        <x:v>05 — Технологические карты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 ht="27" customHeight="1">
      <x:c r="A2" s="28" t="str">
        <x:v>Процесс и время — draft assumptions; safety-critical values remain null under HOF-0003 veto.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</x:row>
    <x:row r="5" ht="34" customHeight="1">
      <x:c r="A5" s="31" t="str">
        <x:v>Tech card</x:v>
      </x:c>
      <x:c r="B5" s="31" t="str">
        <x:v>Dish ID</x:v>
      </x:c>
      <x:c r="C5" s="31" t="str">
        <x:v>Блюдо</x:v>
      </x:c>
      <x:c r="D5" s="31" t="str">
        <x:v>Версия</x:v>
      </x:c>
      <x:c r="E5" s="31" t="str">
        <x:v>Операции</x:v>
      </x:c>
      <x:c r="F5" s="31" t="str">
        <x:v>Активное время</x:v>
      </x:c>
      <x:c r="G5" s="31" t="str">
        <x:v>Полное время</x:v>
      </x:c>
      <x:c r="H5" s="31" t="str">
        <x:v>Подача</x:v>
      </x:c>
      <x:c r="I5" s="31" t="str">
        <x:v>Выход</x:v>
      </x:c>
      <x:c r="J5" s="31" t="str">
        <x:v>Ед.</x:v>
      </x:c>
      <x:c r="K5" s="31" t="str">
        <x:v>Safety limits</x:v>
      </x:c>
      <x:c r="L5" s="31" t="str">
        <x:v>Safety status</x:v>
      </x:c>
      <x:c r="M5" s="31" t="str">
        <x:v>Статус</x:v>
      </x:c>
      <x:c r="N5" s="31" t="str">
        <x:v>Evidence</x:v>
      </x:c>
      <x:c r="O5" s="31" t="str">
        <x:v>Safety evidence</x:v>
      </x:c>
      <x:c r="P5" s="31" t="str">
        <x:v>Blockers</x:v>
      </x:c>
      <x:c r="Q5" s="31" t="str">
        <x:v>Validation</x:v>
      </x:c>
    </x:row>
    <x:row r="6">
      <x:c r="A6" s="32" t="str">
        <x:v>VKT-001</x:v>
      </x:c>
      <x:c r="B6" s="32" t="str">
        <x:v>VKM-001</x:v>
      </x:c>
      <x:c r="C6" s="32" t="str">
        <x:v>Маргарита</x:v>
      </x:c>
      <x:c r="D6" s="32" t="str">
        <x:v>0.1.0-DRAFT</x:v>
      </x:c>
      <x:c r="E6" s="32" t="str">
        <x:v>Подготовить тесто и соус; выдержать тесто; сформовать основу; нанести соус и сыр; выпечь; добавить базилик и масло</x:v>
      </x:c>
      <x:c r="F6" s="32" t="n">
        <x:v>19</x:v>
      </x:c>
      <x:c r="G6" s="32" t="n">
        <x:v>90</x:v>
      </x:c>
      <x:c r="H6" s="32" t="str">
        <x:v>Целая пицца на подложке/тарелке; равномерный борт; базилик после выпечки</x:v>
      </x:c>
      <x:c r="I6" s="32" t="n">
        <x:v>450</x:v>
      </x:c>
      <x:c r="J6" s="32" t="str">
        <x:v>г</x:v>
      </x:c>
      <x:c r="K6" s="32"/>
      <x:c r="L6" s="32" t="str">
        <x:v>BLOCKED_PENDING_VALIDATION</x:v>
      </x:c>
      <x:c r="M6" s="32" t="str">
        <x:v>ASSUMPTION</x:v>
      </x:c>
      <x:c r="N6" s="32" t="str">
        <x:v>EVD-0010;EVD-0011</x:v>
      </x:c>
      <x:c r="O6" s="32" t="str">
        <x:v>EVD-0013;EVD-0014;EVD-FS-001;EVD-FS-002;EVD-FS-003</x:v>
      </x:c>
      <x:c r="P6" s="32" t="str">
        <x:v>GAP-007;GAP-008</x:v>
      </x:c>
      <x:c r="Q6" s="32" t="str">
        <x:v>Наблюдать операции и время; отдельно подтвердить safety-critical параметры</x:v>
      </x:c>
    </x:row>
    <x:row r="7">
      <x:c r="A7" s="32" t="str">
        <x:v>VKT-002</x:v>
      </x:c>
      <x:c r="B7" s="32" t="str">
        <x:v>VKM-002</x:v>
      </x:c>
      <x:c r="C7" s="32" t="str">
        <x:v>Четыре сыра</x:v>
      </x:c>
      <x:c r="D7" s="32" t="str">
        <x:v>0.1.0-DRAFT</x:v>
      </x:c>
      <x:c r="E7" s="32" t="str">
        <x:v>Подготовить тесто и соус; сформовать; распределить четыре сыра; выпечь; финишировать маслом</x:v>
      </x:c>
      <x:c r="F7" s="32" t="n">
        <x:v>20</x:v>
      </x:c>
      <x:c r="G7" s="32" t="n">
        <x:v>92</x:v>
      </x:c>
      <x:c r="H7" s="32" t="str">
        <x:v>Целая пицца; четыре сыра распределены равномерно, без перегруженного центра</x:v>
      </x:c>
      <x:c r="I7" s="32" t="n">
        <x:v>480</x:v>
      </x:c>
      <x:c r="J7" s="32" t="str">
        <x:v>г</x:v>
      </x:c>
      <x:c r="K7" s="32"/>
      <x:c r="L7" s="32" t="str">
        <x:v>BLOCKED_PENDING_VALIDATION</x:v>
      </x:c>
      <x:c r="M7" s="32" t="str">
        <x:v>ASSUMPTION</x:v>
      </x:c>
      <x:c r="N7" s="32" t="str">
        <x:v>EVD-0010;EVD-0011</x:v>
      </x:c>
      <x:c r="O7" s="32" t="str">
        <x:v>EVD-0013;EVD-0014;EVD-FS-001;EVD-FS-002;EVD-FS-003</x:v>
      </x:c>
      <x:c r="P7" s="32" t="str">
        <x:v>GAP-007;GAP-008</x:v>
      </x:c>
      <x:c r="Q7" s="32" t="str">
        <x:v>Наблюдать операции и время; отдельно подтвердить safety-critical параметры</x:v>
      </x:c>
    </x:row>
    <x:row r="8">
      <x:c r="A8" s="32" t="str">
        <x:v>VKT-003</x:v>
      </x:c>
      <x:c r="B8" s="32" t="str">
        <x:v>VKM-003</x:v>
      </x:c>
      <x:c r="C8" s="32" t="str">
        <x:v>Грибная с ветчиной</x:v>
      </x:c>
      <x:c r="D8" s="32" t="str">
        <x:v>0.1.0-DRAFT</x:v>
      </x:c>
      <x:c r="E8" s="32" t="str">
        <x:v>Подготовить тесто и соус; подготовить грибы и лук; сформовать; собрать с ветчиной; выпечь</x:v>
      </x:c>
      <x:c r="F8" s="32" t="n">
        <x:v>22</x:v>
      </x:c>
      <x:c r="G8" s="32" t="n">
        <x:v>95</x:v>
      </x:c>
      <x:c r="H8" s="32" t="str">
        <x:v>Целая пицца; видимая равномерная раскладка ветчины и грибов</x:v>
      </x:c>
      <x:c r="I8" s="32" t="n">
        <x:v>500</x:v>
      </x:c>
      <x:c r="J8" s="32" t="str">
        <x:v>г</x:v>
      </x:c>
      <x:c r="K8" s="32"/>
      <x:c r="L8" s="32" t="str">
        <x:v>BLOCKED_PENDING_VALIDATION</x:v>
      </x:c>
      <x:c r="M8" s="32" t="str">
        <x:v>ASSUMPTION</x:v>
      </x:c>
      <x:c r="N8" s="32" t="str">
        <x:v>EVD-0010;EVD-0011</x:v>
      </x:c>
      <x:c r="O8" s="32" t="str">
        <x:v>EVD-0013;EVD-0014;EVD-FS-001;EVD-FS-002;EVD-FS-003</x:v>
      </x:c>
      <x:c r="P8" s="32" t="str">
        <x:v>GAP-007;GAP-008</x:v>
      </x:c>
      <x:c r="Q8" s="32" t="str">
        <x:v>Наблюдать операции и время; отдельно подтвердить safety-critical параметры</x:v>
      </x:c>
    </x:row>
    <x:row r="9">
      <x:c r="A9" s="32" t="str">
        <x:v>VKT-004</x:v>
      </x:c>
      <x:c r="B9" s="32" t="str">
        <x:v>VKM-004</x:v>
      </x:c>
      <x:c r="C9" s="32" t="str">
        <x:v>Пепперони</x:v>
      </x:c>
      <x:c r="D9" s="32" t="str">
        <x:v>0.1.0-DRAFT</x:v>
      </x:c>
      <x:c r="E9" s="32" t="str">
        <x:v>Подготовить тесто и соус; сформовать; собрать с моцареллой и пепперони; выпечь; финишировать</x:v>
      </x:c>
      <x:c r="F9" s="32" t="n">
        <x:v>20</x:v>
      </x:c>
      <x:c r="G9" s="32" t="n">
        <x:v>92</x:v>
      </x:c>
      <x:c r="H9" s="32" t="str">
        <x:v>Целая пицца; пепперони равномерно распределена</x:v>
      </x:c>
      <x:c r="I9" s="32" t="n">
        <x:v>500</x:v>
      </x:c>
      <x:c r="J9" s="32" t="str">
        <x:v>г</x:v>
      </x:c>
      <x:c r="K9" s="32"/>
      <x:c r="L9" s="32" t="str">
        <x:v>BLOCKED_PENDING_VALIDATION</x:v>
      </x:c>
      <x:c r="M9" s="32" t="str">
        <x:v>ASSUMPTION</x:v>
      </x:c>
      <x:c r="N9" s="32" t="str">
        <x:v>EVD-0010;EVD-0011</x:v>
      </x:c>
      <x:c r="O9" s="32" t="str">
        <x:v>EVD-0013;EVD-0014;EVD-FS-001;EVD-FS-002;EVD-FS-003</x:v>
      </x:c>
      <x:c r="P9" s="32" t="str">
        <x:v>GAP-007;GAP-008</x:v>
      </x:c>
      <x:c r="Q9" s="32" t="str">
        <x:v>Наблюдать операции и время; отдельно подтвердить safety-critical параметры</x:v>
      </x:c>
    </x:row>
    <x:row r="10">
      <x:c r="A10" s="32" t="str">
        <x:v>VKT-005</x:v>
      </x:c>
      <x:c r="B10" s="32" t="str">
        <x:v>VKM-005</x:v>
      </x:c>
      <x:c r="C10" s="32" t="str">
        <x:v>Белая чиабатта</x:v>
      </x:c>
      <x:c r="D10" s="32" t="str">
        <x:v>0.1.0-DRAFT</x:v>
      </x:c>
      <x:c r="E10" s="32" t="str">
        <x:v>Смешать компоненты; замесить; провести брожение и складывания; сформовать; расстоять; выпечь; охладить</x:v>
      </x:c>
      <x:c r="F10" s="32" t="n">
        <x:v>18</x:v>
      </x:c>
      <x:c r="G10" s="32" t="n">
        <x:v>150</x:v>
      </x:c>
      <x:c r="H10" s="32" t="str">
        <x:v>Изделие 100 г; открытый пористый мякиш проверяется после контрольной выпечки</x:v>
      </x:c>
      <x:c r="I10" s="32" t="n">
        <x:v>100</x:v>
      </x:c>
      <x:c r="J10" s="32" t="str">
        <x:v>г</x:v>
      </x:c>
      <x:c r="K10" s="32"/>
      <x:c r="L10" s="32" t="str">
        <x:v>BLOCKED_PENDING_VALIDATION</x:v>
      </x:c>
      <x:c r="M10" s="32" t="str">
        <x:v>ASSUMPTION</x:v>
      </x:c>
      <x:c r="N10" s="32" t="str">
        <x:v>EVD-0010;EVD-0011</x:v>
      </x:c>
      <x:c r="O10" s="32" t="str">
        <x:v>EVD-0013;EVD-0014;EVD-FS-001;EVD-FS-002;EVD-FS-003</x:v>
      </x:c>
      <x:c r="P10" s="32" t="str">
        <x:v>GAP-007;GAP-008</x:v>
      </x:c>
      <x:c r="Q10" s="32" t="str">
        <x:v>Наблюдать операции и время; отдельно подтвердить safety-critical параметры</x:v>
      </x:c>
    </x:row>
    <x:row r="11">
      <x:c r="A11" s="32" t="str">
        <x:v>VKT-006</x:v>
      </x:c>
      <x:c r="B11" s="32" t="str">
        <x:v>VKM-006</x:v>
      </x:c>
      <x:c r="C11" s="32" t="str">
        <x:v>Томатная чиабатта</x:v>
      </x:c>
      <x:c r="D11" s="32" t="str">
        <x:v>0.1.0-DRAFT</x:v>
      </x:c>
      <x:c r="E11" s="32" t="str">
        <x:v>Смешать тесто с томатными компонентами; замесить; провести брожение; сформовать; расстоять; выпечь; охладить</x:v>
      </x:c>
      <x:c r="F11" s="32" t="n">
        <x:v>18</x:v>
      </x:c>
      <x:c r="G11" s="32" t="n">
        <x:v>150</x:v>
      </x:c>
      <x:c r="H11" s="32" t="str">
        <x:v>Изделие 100 г; равномерное распределение томатных включений</x:v>
      </x:c>
      <x:c r="I11" s="32" t="n">
        <x:v>100</x:v>
      </x:c>
      <x:c r="J11" s="32" t="str">
        <x:v>г</x:v>
      </x:c>
      <x:c r="K11" s="32"/>
      <x:c r="L11" s="32" t="str">
        <x:v>BLOCKED_PENDING_VALIDATION</x:v>
      </x:c>
      <x:c r="M11" s="32" t="str">
        <x:v>ASSUMPTION</x:v>
      </x:c>
      <x:c r="N11" s="32" t="str">
        <x:v>EVD-0010;EVD-0011</x:v>
      </x:c>
      <x:c r="O11" s="32" t="str">
        <x:v>EVD-0013;EVD-0014;EVD-FS-001;EVD-FS-002;EVD-FS-003</x:v>
      </x:c>
      <x:c r="P11" s="32" t="str">
        <x:v>GAP-007;GAP-008</x:v>
      </x:c>
      <x:c r="Q11" s="32" t="str">
        <x:v>Наблюдать операции и время; отдельно подтвердить safety-critical параметры</x:v>
      </x:c>
    </x:row>
    <x:row r="12">
      <x:c r="A12" s="32" t="str">
        <x:v>VKT-007</x:v>
      </x:c>
      <x:c r="B12" s="32" t="str">
        <x:v>VKM-007</x:v>
      </x:c>
      <x:c r="C12" s="32" t="str">
        <x:v>Бородинский хлеб</x:v>
      </x:c>
      <x:c r="D12" s="32" t="str">
        <x:v>0.1.0-DRAFT</x:v>
      </x:c>
      <x:c r="E12" s="32" t="str">
        <x:v>Приготовить заварку; замесить тесто; провести брожение; уложить в форму; расстоять; выпечь; стабилизировать и охладить</x:v>
      </x:c>
      <x:c r="F12" s="32" t="n">
        <x:v>25</x:v>
      </x:c>
      <x:c r="G12" s="32" t="n">
        <x:v>300</x:v>
      </x:c>
      <x:c r="H12" s="32" t="str">
        <x:v>Буханка 350 г; целая корка, равномерный мякиш после полного охлаждения</x:v>
      </x:c>
      <x:c r="I12" s="32" t="n">
        <x:v>350</x:v>
      </x:c>
      <x:c r="J12" s="32" t="str">
        <x:v>г</x:v>
      </x:c>
      <x:c r="K12" s="32"/>
      <x:c r="L12" s="32" t="str">
        <x:v>BLOCKED_PENDING_VALIDATION</x:v>
      </x:c>
      <x:c r="M12" s="32" t="str">
        <x:v>ASSUMPTION</x:v>
      </x:c>
      <x:c r="N12" s="32" t="str">
        <x:v>EVD-0010;EVD-0011</x:v>
      </x:c>
      <x:c r="O12" s="32" t="str">
        <x:v>EVD-0013;EVD-0014;EVD-FS-001;EVD-FS-002;EVD-FS-003</x:v>
      </x:c>
      <x:c r="P12" s="32" t="str">
        <x:v>GAP-007;GAP-008</x:v>
      </x:c>
      <x:c r="Q12" s="32" t="str">
        <x:v>Наблюдать операции и время; отдельно подтвердить safety-critical параметры</x:v>
      </x:c>
    </x:row>
    <x:row r="13">
      <x:c r="A13" s="32" t="str">
        <x:v>VKT-008</x:v>
      </x:c>
      <x:c r="B13" s="32" t="str">
        <x:v>VKM-008</x:v>
      </x:c>
      <x:c r="C13" s="32" t="str">
        <x:v>Бриошь</x:v>
      </x:c>
      <x:c r="D13" s="32" t="str">
        <x:v>0.1.0-DRAFT</x:v>
      </x:c>
      <x:c r="E13" s="32" t="str">
        <x:v>Замесить сдобное тесто; ввести масло; провести брожение; сформовать; расстоять; смазать; выпечь; охладить</x:v>
      </x:c>
      <x:c r="F13" s="32" t="n">
        <x:v>22</x:v>
      </x:c>
      <x:c r="G13" s="32" t="n">
        <x:v>180</x:v>
      </x:c>
      <x:c r="H13" s="32" t="str">
        <x:v>Изделие 85 г; ровная форма и глянцевая поверхность</x:v>
      </x:c>
      <x:c r="I13" s="32" t="n">
        <x:v>85</x:v>
      </x:c>
      <x:c r="J13" s="32" t="str">
        <x:v>г</x:v>
      </x:c>
      <x:c r="K13" s="32"/>
      <x:c r="L13" s="32" t="str">
        <x:v>BLOCKED_PENDING_VALIDATION</x:v>
      </x:c>
      <x:c r="M13" s="32" t="str">
        <x:v>ASSUMPTION</x:v>
      </x:c>
      <x:c r="N13" s="32" t="str">
        <x:v>EVD-0010;EVD-0011</x:v>
      </x:c>
      <x:c r="O13" s="32" t="str">
        <x:v>EVD-0013;EVD-0014;EVD-FS-001;EVD-FS-002;EVD-FS-003</x:v>
      </x:c>
      <x:c r="P13" s="32" t="str">
        <x:v>GAP-007;GAP-008</x:v>
      </x:c>
      <x:c r="Q13" s="32" t="str">
        <x:v>Наблюдать операции и время; отдельно подтвердить safety-critical параметры</x:v>
      </x:c>
    </x:row>
    <x:row r="14">
      <x:c r="A14" s="32" t="str">
        <x:v>VKT-009</x:v>
      </x:c>
      <x:c r="B14" s="32" t="str">
        <x:v>VKM-009</x:v>
      </x:c>
      <x:c r="C14" s="32" t="str">
        <x:v>Буррата с томатами</x:v>
      </x:c>
      <x:c r="D14" s="32" t="str">
        <x:v>0.1.0-DRAFT</x:v>
      </x:c>
      <x:c r="E14" s="32" t="str">
        <x:v>Подготовить томаты и зелень; смешать заправку; разместить буррату; собрать и финишировать</x:v>
      </x:c>
      <x:c r="F14" s="32" t="n">
        <x:v>8</x:v>
      </x:c>
      <x:c r="G14" s="32" t="n">
        <x:v>10</x:v>
      </x:c>
      <x:c r="H14" s="32" t="str">
        <x:v>Буррата в центре; томаты и зелень по периметру; заправка непосредственно перед подачей</x:v>
      </x:c>
      <x:c r="I14" s="32" t="n">
        <x:v>300</x:v>
      </x:c>
      <x:c r="J14" s="32" t="str">
        <x:v>г</x:v>
      </x:c>
      <x:c r="K14" s="32"/>
      <x:c r="L14" s="32" t="str">
        <x:v>BLOCKED_PENDING_VALIDATION</x:v>
      </x:c>
      <x:c r="M14" s="32" t="str">
        <x:v>ASSUMPTION</x:v>
      </x:c>
      <x:c r="N14" s="32" t="str">
        <x:v>EVD-0010;EVD-0011</x:v>
      </x:c>
      <x:c r="O14" s="32" t="str">
        <x:v>EVD-0013;EVD-0014;EVD-FS-001;EVD-FS-002;EVD-FS-003</x:v>
      </x:c>
      <x:c r="P14" s="32" t="str">
        <x:v>GAP-007;GAP-008</x:v>
      </x:c>
      <x:c r="Q14" s="32" t="str">
        <x:v>Наблюдать операции и время; отдельно подтвердить safety-critical параметры</x:v>
      </x:c>
    </x:row>
    <x:row r="15">
      <x:c r="A15" s="32" t="str">
        <x:v>VKT-010</x:v>
      </x:c>
      <x:c r="B15" s="32" t="str">
        <x:v>VKM-010</x:v>
      </x:c>
      <x:c r="C15" s="32" t="str">
        <x:v>Микс-салат с креветками и яблоком</x:v>
      </x:c>
      <x:c r="D15" s="32" t="str">
        <x:v>0.1.0-DRAFT</x:v>
      </x:c>
      <x:c r="E15" s="32" t="str">
        <x:v>Подготовить зелень, яблоко и огурец; подготовить креветки; смешать заправку; аккуратно собрать; добавить финиш</x:v>
      </x:c>
      <x:c r="F15" s="32" t="n">
        <x:v>12</x:v>
      </x:c>
      <x:c r="G15" s="32" t="n">
        <x:v>18</x:v>
      </x:c>
      <x:c r="H15" s="32" t="str">
        <x:v>Воздушная укладка микса; креветки видимы; яблоко без потемнения</x:v>
      </x:c>
      <x:c r="I15" s="32" t="n">
        <x:v>280</x:v>
      </x:c>
      <x:c r="J15" s="32" t="str">
        <x:v>г</x:v>
      </x:c>
      <x:c r="K15" s="32"/>
      <x:c r="L15" s="32" t="str">
        <x:v>BLOCKED_PENDING_VALIDATION</x:v>
      </x:c>
      <x:c r="M15" s="32" t="str">
        <x:v>ASSUMPTION</x:v>
      </x:c>
      <x:c r="N15" s="32" t="str">
        <x:v>EVD-0010;EVD-0011</x:v>
      </x:c>
      <x:c r="O15" s="32" t="str">
        <x:v>EVD-0013;EVD-0014;EVD-FS-001;EVD-FS-002;EVD-FS-003</x:v>
      </x:c>
      <x:c r="P15" s="32" t="str">
        <x:v>GAP-007;GAP-008</x:v>
      </x:c>
      <x:c r="Q15" s="32" t="str">
        <x:v>Наблюдать операции и время; отдельно подтвердить safety-critical параметры</x:v>
      </x:c>
    </x:row>
    <x:row r="16">
      <x:c r="A16" s="32" t="str">
        <x:v>VKT-011</x:v>
      </x:c>
      <x:c r="B16" s="32" t="str">
        <x:v>VKM-011</x:v>
      </x:c>
      <x:c r="C16" s="32" t="str">
        <x:v>Греческий</x:v>
      </x:c>
      <x:c r="D16" s="32" t="str">
        <x:v>0.1.0-DRAFT</x:v>
      </x:c>
      <x:c r="E16" s="32" t="str">
        <x:v>Нарезать овощи; подготовить фету и оливки; смешать заправку; собрать без излишнего перемешивания</x:v>
      </x:c>
      <x:c r="F16" s="32" t="n">
        <x:v>10</x:v>
      </x:c>
      <x:c r="G16" s="32" t="n">
        <x:v>12</x:v>
      </x:c>
      <x:c r="H16" s="32" t="str">
        <x:v>Крупная одинаковая нарезка; фета и оливки визуально распределены</x:v>
      </x:c>
      <x:c r="I16" s="32" t="n">
        <x:v>270</x:v>
      </x:c>
      <x:c r="J16" s="32" t="str">
        <x:v>г</x:v>
      </x:c>
      <x:c r="K16" s="32"/>
      <x:c r="L16" s="32" t="str">
        <x:v>BLOCKED_PENDING_VALIDATION</x:v>
      </x:c>
      <x:c r="M16" s="32" t="str">
        <x:v>ASSUMPTION</x:v>
      </x:c>
      <x:c r="N16" s="32" t="str">
        <x:v>EVD-0010;EVD-0011</x:v>
      </x:c>
      <x:c r="O16" s="32" t="str">
        <x:v>EVD-0013;EVD-0014;EVD-FS-001;EVD-FS-002;EVD-FS-003</x:v>
      </x:c>
      <x:c r="P16" s="32" t="str">
        <x:v>GAP-007;GAP-008</x:v>
      </x:c>
      <x:c r="Q16" s="32" t="str">
        <x:v>Наблюдать операции и время; отдельно подтвердить safety-critical параметры</x:v>
      </x:c>
    </x:row>
    <x:row r="17">
      <x:c r="A17" s="32" t="str">
        <x:v>VKT-012</x:v>
      </x:c>
      <x:c r="B17" s="32" t="str">
        <x:v>VKM-012</x:v>
      </x:c>
      <x:c r="C17" s="32" t="str">
        <x:v>Винегрет</x:v>
      </x:c>
      <x:c r="D17" s="32" t="str">
        <x:v>0.1.0-DRAFT</x:v>
      </x:c>
      <x:c r="E17" s="32" t="str">
        <x:v>Подготовить варёные овощи; охладить; нарезать одинаковым кубиком; подготовить прочие компоненты; смешать и заправить</x:v>
      </x:c>
      <x:c r="F17" s="32" t="n">
        <x:v>18</x:v>
      </x:c>
      <x:c r="G17" s="32" t="n">
        <x:v>90</x:v>
      </x:c>
      <x:c r="H17" s="32" t="str">
        <x:v>Порционная выкладка; одинаковая нарезка, без избыточной жидкости</x:v>
      </x:c>
      <x:c r="I17" s="32" t="n">
        <x:v>240</x:v>
      </x:c>
      <x:c r="J17" s="32" t="str">
        <x:v>г</x:v>
      </x:c>
      <x:c r="K17" s="32"/>
      <x:c r="L17" s="32" t="str">
        <x:v>BLOCKED_PENDING_VALIDATION</x:v>
      </x:c>
      <x:c r="M17" s="32" t="str">
        <x:v>ASSUMPTION</x:v>
      </x:c>
      <x:c r="N17" s="32" t="str">
        <x:v>EVD-0010;EVD-0011</x:v>
      </x:c>
      <x:c r="O17" s="32" t="str">
        <x:v>EVD-0013;EVD-0014;EVD-FS-001;EVD-FS-002;EVD-FS-003</x:v>
      </x:c>
      <x:c r="P17" s="32" t="str">
        <x:v>GAP-007;GAP-008</x:v>
      </x:c>
      <x:c r="Q17" s="32" t="str">
        <x:v>Наблюдать операции и время; отдельно подтвердить safety-critical параметры</x:v>
      </x:c>
    </x:row>
    <x:row r="18">
      <x:c r="A18" s="32" t="str">
        <x:v>VKT-013</x:v>
      </x:c>
      <x:c r="B18" s="32" t="str">
        <x:v>VKM-013</x:v>
      </x:c>
      <x:c r="C18" s="32" t="str">
        <x:v>Слабосолёный лосось</x:v>
      </x:c>
      <x:c r="D18" s="32" t="str">
        <x:v>0.1.0-DRAFT</x:v>
      </x:c>
      <x:c r="E18" s="32" t="str">
        <x:v>Проверить готовое филе; удалить упаковочную жидкость; порционировать; подготовить лимон и гарниры; собрать</x:v>
      </x:c>
      <x:c r="F18" s="32" t="n">
        <x:v>7</x:v>
      </x:c>
      <x:c r="G18" s="32" t="n">
        <x:v>10</x:v>
      </x:c>
      <x:c r="H18" s="32" t="str">
        <x:v>Ломтики лосося уложены веером; лимон и каперсы отделены</x:v>
      </x:c>
      <x:c r="I18" s="32" t="n">
        <x:v>130</x:v>
      </x:c>
      <x:c r="J18" s="32" t="str">
        <x:v>г</x:v>
      </x:c>
      <x:c r="K18" s="32"/>
      <x:c r="L18" s="32" t="str">
        <x:v>BLOCKED_PENDING_VALIDATION</x:v>
      </x:c>
      <x:c r="M18" s="32" t="str">
        <x:v>ASSUMPTION</x:v>
      </x:c>
      <x:c r="N18" s="32" t="str">
        <x:v>EVD-0010;EVD-0011</x:v>
      </x:c>
      <x:c r="O18" s="32" t="str">
        <x:v>EVD-0013;EVD-0014;EVD-FS-001;EVD-FS-002;EVD-FS-003</x:v>
      </x:c>
      <x:c r="P18" s="32" t="str">
        <x:v>GAP-007;GAP-008</x:v>
      </x:c>
      <x:c r="Q18" s="32" t="str">
        <x:v>Наблюдать операции и время; отдельно подтвердить safety-critical параметры</x:v>
      </x:c>
    </x:row>
    <x:row r="19">
      <x:c r="A19" s="32" t="str">
        <x:v>VKT-014</x:v>
      </x:c>
      <x:c r="B19" s="32" t="str">
        <x:v>VKM-014</x:v>
      </x:c>
      <x:c r="C19" s="32" t="str">
        <x:v>Сельдь с запечённым картофелем</x:v>
      </x:c>
      <x:c r="D19" s="32" t="str">
        <x:v>0.1.0-DRAFT</x:v>
      </x:c>
      <x:c r="E19" s="32" t="str">
        <x:v>Подготовить и запечь картофель; подготовить сельдь и лук; охладить компоненты по процессу; собрать и заправить</x:v>
      </x:c>
      <x:c r="F19" s="32" t="n">
        <x:v>14</x:v>
      </x:c>
      <x:c r="G19" s="32" t="n">
        <x:v>55</x:v>
      </x:c>
      <x:c r="H19" s="32" t="str">
        <x:v>Сельдь и картофель разделены визуально; лук и зелень финишем</x:v>
      </x:c>
      <x:c r="I19" s="32" t="n">
        <x:v>250</x:v>
      </x:c>
      <x:c r="J19" s="32" t="str">
        <x:v>г</x:v>
      </x:c>
      <x:c r="K19" s="32"/>
      <x:c r="L19" s="32" t="str">
        <x:v>BLOCKED_PENDING_VALIDATION</x:v>
      </x:c>
      <x:c r="M19" s="32" t="str">
        <x:v>ASSUMPTION</x:v>
      </x:c>
      <x:c r="N19" s="32" t="str">
        <x:v>EVD-0010;EVD-0011</x:v>
      </x:c>
      <x:c r="O19" s="32" t="str">
        <x:v>EVD-0013;EVD-0014;EVD-FS-001;EVD-FS-002;EVD-FS-003</x:v>
      </x:c>
      <x:c r="P19" s="32" t="str">
        <x:v>GAP-007;GAP-008</x:v>
      </x:c>
      <x:c r="Q19" s="32" t="str">
        <x:v>Наблюдать операции и время; отдельно подтвердить safety-critical параметры</x:v>
      </x:c>
    </x:row>
    <x:row r="20">
      <x:c r="A20" s="32" t="str">
        <x:v>VKT-015</x:v>
      </x:c>
      <x:c r="B20" s="32" t="str">
        <x:v>VKM-015</x:v>
      </x:c>
      <x:c r="C20" s="32" t="str">
        <x:v>Оливки и маслины</x:v>
      </x:c>
      <x:c r="D20" s="32" t="str">
        <x:v>0.1.0-DRAFT</x:v>
      </x:c>
      <x:c r="E20" s="32" t="str">
        <x:v>Освободить оливки и маслины от заливки; подготовить ароматический маринад; смешать; выдержать; порционировать</x:v>
      </x:c>
      <x:c r="F20" s="32" t="n">
        <x:v>8</x:v>
      </x:c>
      <x:c r="G20" s="32" t="n">
        <x:v>40</x:v>
      </x:c>
      <x:c r="H20" s="32" t="str">
        <x:v>Смесь двух цветов; минимальное количество свободного маринада</x:v>
      </x:c>
      <x:c r="I20" s="32" t="n">
        <x:v>120</x:v>
      </x:c>
      <x:c r="J20" s="32" t="str">
        <x:v>г</x:v>
      </x:c>
      <x:c r="K20" s="32"/>
      <x:c r="L20" s="32" t="str">
        <x:v>BLOCKED_PENDING_VALIDATION</x:v>
      </x:c>
      <x:c r="M20" s="32" t="str">
        <x:v>ASSUMPTION</x:v>
      </x:c>
      <x:c r="N20" s="32" t="str">
        <x:v>EVD-0010;EVD-0011</x:v>
      </x:c>
      <x:c r="O20" s="32" t="str">
        <x:v>EVD-0013;EVD-0014;EVD-FS-001;EVD-FS-002;EVD-FS-003</x:v>
      </x:c>
      <x:c r="P20" s="32" t="str">
        <x:v>GAP-007;GAP-008</x:v>
      </x:c>
      <x:c r="Q20" s="32" t="str">
        <x:v>Наблюдать операции и время; отдельно подтвердить safety-critical параметры</x:v>
      </x:c>
    </x:row>
    <x:row r="21">
      <x:c r="A21" s="32" t="str">
        <x:v>VKT-016</x:v>
      </x:c>
      <x:c r="B21" s="32" t="str">
        <x:v>VKM-016</x:v>
      </x:c>
      <x:c r="C21" s="32" t="str">
        <x:v>Ассорти фирменных солений</x:v>
      </x:c>
      <x:c r="D21" s="32" t="str">
        <x:v>0.1.0-DRAFT</x:v>
      </x:c>
      <x:c r="E21" s="32" t="str">
        <x:v>Подготовить и нарезать овощи; приготовить маринад; мариновать компоненты раздельно; объединить при подаче</x:v>
      </x:c>
      <x:c r="F21" s="32" t="n">
        <x:v>23</x:v>
      </x:c>
      <x:c r="G21" s="32" t="n">
        <x:v>70</x:v>
      </x:c>
      <x:c r="H21" s="32" t="str">
        <x:v>Контрастная раскладка отдельных овощей; без избыточной жидкости</x:v>
      </x:c>
      <x:c r="I21" s="32" t="n">
        <x:v>180</x:v>
      </x:c>
      <x:c r="J21" s="32" t="str">
        <x:v>г</x:v>
      </x:c>
      <x:c r="K21" s="32"/>
      <x:c r="L21" s="32" t="str">
        <x:v>BLOCKED_PENDING_VALIDATION</x:v>
      </x:c>
      <x:c r="M21" s="32" t="str">
        <x:v>ASSUMPTION</x:v>
      </x:c>
      <x:c r="N21" s="32" t="str">
        <x:v>EVD-0010;EVD-0011</x:v>
      </x:c>
      <x:c r="O21" s="32" t="str">
        <x:v>EVD-0013;EVD-0014;EVD-FS-001;EVD-FS-002;EVD-FS-003</x:v>
      </x:c>
      <x:c r="P21" s="32" t="str">
        <x:v>GAP-007;GAP-008</x:v>
      </x:c>
      <x:c r="Q21" s="32" t="str">
        <x:v>Наблюдать операции и время; отдельно подтвердить safety-critical параметры</x:v>
      </x:c>
    </x:row>
    <x:row r="22">
      <x:c r="A22" s="32" t="str">
        <x:v>VKT-017</x:v>
      </x:c>
      <x:c r="B22" s="32" t="str">
        <x:v>VKM-017</x:v>
      </x:c>
      <x:c r="C22" s="32" t="str">
        <x:v>Ростбиф с луком и гренкой</x:v>
      </x:c>
      <x:c r="D22" s="32" t="str">
        <x:v>0.1.0-DRAFT</x:v>
      </x:c>
      <x:c r="E22" s="32" t="str">
        <x:v>Порционировать ростбиф; подготовить лук; подсушить гренку; смешать соус; собрать непосредственно перед подачей</x:v>
      </x:c>
      <x:c r="F22" s="32" t="n">
        <x:v>12</x:v>
      </x:c>
      <x:c r="G22" s="32" t="n">
        <x:v>18</x:v>
      </x:c>
      <x:c r="H22" s="32" t="str">
        <x:v>Ростбиф уложен свободно; гренка сохраняет хруст; соус дозирован</x:v>
      </x:c>
      <x:c r="I22" s="32" t="n">
        <x:v>180</x:v>
      </x:c>
      <x:c r="J22" s="32" t="str">
        <x:v>г</x:v>
      </x:c>
      <x:c r="K22" s="32"/>
      <x:c r="L22" s="32" t="str">
        <x:v>BLOCKED_PENDING_VALIDATION</x:v>
      </x:c>
      <x:c r="M22" s="32" t="str">
        <x:v>ASSUMPTION</x:v>
      </x:c>
      <x:c r="N22" s="32" t="str">
        <x:v>EVD-0010;EVD-0011</x:v>
      </x:c>
      <x:c r="O22" s="32" t="str">
        <x:v>EVD-0013;EVD-0014;EVD-FS-001;EVD-FS-002;EVD-FS-003</x:v>
      </x:c>
      <x:c r="P22" s="32" t="str">
        <x:v>GAP-007;GAP-008</x:v>
      </x:c>
      <x:c r="Q22" s="32" t="str">
        <x:v>Наблюдать операции и время; отдельно подтвердить safety-critical параметры</x:v>
      </x:c>
    </x:row>
    <x:row r="23">
      <x:c r="A23" s="32" t="str">
        <x:v>VKT-018</x:v>
      </x:c>
      <x:c r="B23" s="32" t="str">
        <x:v>VKM-018</x:v>
      </x:c>
      <x:c r="C23" s="32" t="str">
        <x:v>Традиционный красный борщ</x:v>
      </x:c>
      <x:c r="D23" s="32" t="str">
        <x:v>0.1.0-DRAFT</x:v>
      </x:c>
      <x:c r="E23" s="32" t="str">
        <x:v>Приготовить бульон; подготовить овощи; выполнить пассеровку свёклы; соединить компоненты; довести вкус; порционировать с мясом, сметаной и зеленью</x:v>
      </x:c>
      <x:c r="F23" s="32" t="n">
        <x:v>35</x:v>
      </x:c>
      <x:c r="G23" s="32" t="n">
        <x:v>180</x:v>
      </x:c>
      <x:c r="H23" s="32" t="str">
        <x:v>Глубокая тарелка; мясо в порции; сметана и зелень финишем</x:v>
      </x:c>
      <x:c r="I23" s="32" t="n">
        <x:v>400</x:v>
      </x:c>
      <x:c r="J23" s="32" t="str">
        <x:v>г</x:v>
      </x:c>
      <x:c r="K23" s="32"/>
      <x:c r="L23" s="32" t="str">
        <x:v>BLOCKED_PENDING_VALIDATION</x:v>
      </x:c>
      <x:c r="M23" s="32" t="str">
        <x:v>ASSUMPTION</x:v>
      </x:c>
      <x:c r="N23" s="32" t="str">
        <x:v>EVD-0010;EVD-0011</x:v>
      </x:c>
      <x:c r="O23" s="32" t="str">
        <x:v>EVD-0013;EVD-0014;EVD-FS-001;EVD-FS-002;EVD-FS-003</x:v>
      </x:c>
      <x:c r="P23" s="32" t="str">
        <x:v>GAP-007;GAP-008</x:v>
      </x:c>
      <x:c r="Q23" s="32" t="str">
        <x:v>Наблюдать операции и время; отдельно подтвердить safety-critical параметры</x:v>
      </x:c>
    </x:row>
    <x:row r="24">
      <x:c r="A24" s="32" t="str">
        <x:v>VKT-019</x:v>
      </x:c>
      <x:c r="B24" s="32" t="str">
        <x:v>VKM-019</x:v>
      </x:c>
      <x:c r="C24" s="32" t="str">
        <x:v>Мурманская треска со сливочно-горчичным соусом</x:v>
      </x:c>
      <x:c r="D24" s="32" t="str">
        <x:v>0.1.0-DRAFT</x:v>
      </x:c>
      <x:c r="E24" s="32" t="str">
        <x:v>Порционировать треску; подготовить соус; обработать рыбу и шпинат; довести соус; собрать и финишировать</x:v>
      </x:c>
      <x:c r="F24" s="32" t="n">
        <x:v>18</x:v>
      </x:c>
      <x:c r="G24" s="32" t="n">
        <x:v>28</x:v>
      </x:c>
      <x:c r="H24" s="32" t="str">
        <x:v>Рыба как главный элемент; соус нанесён дозированно; зелень финишем</x:v>
      </x:c>
      <x:c r="I24" s="32" t="n">
        <x:v>300</x:v>
      </x:c>
      <x:c r="J24" s="32" t="str">
        <x:v>г</x:v>
      </x:c>
      <x:c r="K24" s="32"/>
      <x:c r="L24" s="32" t="str">
        <x:v>BLOCKED_PENDING_VALIDATION</x:v>
      </x:c>
      <x:c r="M24" s="32" t="str">
        <x:v>ASSUMPTION</x:v>
      </x:c>
      <x:c r="N24" s="32" t="str">
        <x:v>EVD-0010;EVD-0011</x:v>
      </x:c>
      <x:c r="O24" s="32" t="str">
        <x:v>EVD-0013;EVD-0014;EVD-FS-001;EVD-FS-002;EVD-FS-003</x:v>
      </x:c>
      <x:c r="P24" s="32" t="str">
        <x:v>GAP-007;GAP-008</x:v>
      </x:c>
      <x:c r="Q24" s="32" t="str">
        <x:v>Наблюдать операции и время; отдельно подтвердить safety-critical параметры</x:v>
      </x:c>
    </x:row>
    <x:row r="25">
      <x:c r="A25" s="32" t="str">
        <x:v>VKT-020</x:v>
      </x:c>
      <x:c r="B25" s="32" t="str">
        <x:v>VKM-020</x:v>
      </x:c>
      <x:c r="C25" s="32" t="str">
        <x:v>Креветки по-тайски</x:v>
      </x:c>
      <x:c r="D25" s="32" t="str">
        <x:v>0.1.0-DRAFT</x:v>
      </x:c>
      <x:c r="E25" s="32" t="str">
        <x:v>Подготовить креветки и овощи; приготовить кокосовый соус; последовательно обработать компоненты; добавить лапшу; довести и финишировать</x:v>
      </x:c>
      <x:c r="F25" s="32" t="n">
        <x:v>20</x:v>
      </x:c>
      <x:c r="G25" s="32" t="n">
        <x:v>30</x:v>
      </x:c>
      <x:c r="H25" s="32" t="str">
        <x:v>Глубокая тарелка; креветки сверху; зелень и лайм финишем</x:v>
      </x:c>
      <x:c r="I25" s="32" t="n">
        <x:v>360</x:v>
      </x:c>
      <x:c r="J25" s="32" t="str">
        <x:v>г</x:v>
      </x:c>
      <x:c r="K25" s="32"/>
      <x:c r="L25" s="32" t="str">
        <x:v>BLOCKED_PENDING_VALIDATION</x:v>
      </x:c>
      <x:c r="M25" s="32" t="str">
        <x:v>ASSUMPTION</x:v>
      </x:c>
      <x:c r="N25" s="32" t="str">
        <x:v>EVD-0010;EVD-0011</x:v>
      </x:c>
      <x:c r="O25" s="32" t="str">
        <x:v>EVD-0013;EVD-0014;EVD-FS-001;EVD-FS-002;EVD-FS-003</x:v>
      </x:c>
      <x:c r="P25" s="32" t="str">
        <x:v>GAP-007;GAP-008</x:v>
      </x:c>
      <x:c r="Q25" s="32" t="str">
        <x:v>Наблюдать операции и время; отдельно подтвердить safety-critical параметры</x:v>
      </x:c>
    </x:row>
    <x:row r="26">
      <x:c r="A26" s="32" t="str">
        <x:v>VKT-021</x:v>
      </x:c>
      <x:c r="B26" s="32" t="str">
        <x:v>VKM-021</x:v>
      </x:c>
      <x:c r="C26" s="32" t="str">
        <x:v>Бургер VARSHAVKA</x:v>
      </x:c>
      <x:c r="D26" s="32" t="str">
        <x:v>0.1.0-DRAFT</x:v>
      </x:c>
      <x:c r="E26" s="32" t="str">
        <x:v>Подготовить котлету и соус; разрезать и подготовить бриошь; обработать котлету; расплавить сыр; собрать в заданном порядке</x:v>
      </x:c>
      <x:c r="F26" s="32" t="n">
        <x:v>15</x:v>
      </x:c>
      <x:c r="G26" s="32" t="n">
        <x:v>25</x:v>
      </x:c>
      <x:c r="H26" s="32" t="str">
        <x:v>Целый бургер; устойчивые слои; соус без стекания; подача без отдельного гарнира</x:v>
      </x:c>
      <x:c r="I26" s="32" t="n">
        <x:v>350</x:v>
      </x:c>
      <x:c r="J26" s="32" t="str">
        <x:v>г</x:v>
      </x:c>
      <x:c r="K26" s="32"/>
      <x:c r="L26" s="32" t="str">
        <x:v>BLOCKED_PENDING_VALIDATION</x:v>
      </x:c>
      <x:c r="M26" s="32" t="str">
        <x:v>ASSUMPTION</x:v>
      </x:c>
      <x:c r="N26" s="32" t="str">
        <x:v>EVD-0010;EVD-0011</x:v>
      </x:c>
      <x:c r="O26" s="32" t="str">
        <x:v>EVD-0013;EVD-0014;EVD-FS-001;EVD-FS-002;EVD-FS-003</x:v>
      </x:c>
      <x:c r="P26" s="32" t="str">
        <x:v>GAP-007;GAP-008</x:v>
      </x:c>
      <x:c r="Q26" s="32" t="str">
        <x:v>Наблюдать операции и время; отдельно подтвердить safety-critical параметры</x:v>
      </x:c>
    </x:row>
    <x:row r="27">
      <x:c r="A27" s="32" t="str">
        <x:v>VKT-022</x:v>
      </x:c>
      <x:c r="B27" s="32" t="str">
        <x:v>VKM-022</x:v>
      </x:c>
      <x:c r="C27" s="32" t="str">
        <x:v>Миньоны из говяжьей вырезки</x:v>
      </x:c>
      <x:c r="D27" s="32" t="str">
        <x:v>0.1.0-DRAFT</x:v>
      </x:c>
      <x:c r="E27" s="32" t="str">
        <x:v>Зачистить и порционировать вырезку на два миньона; подготовить ароматику; обработать; приготовить соус; дать продукту стабилизироваться; собрать</x:v>
      </x:c>
      <x:c r="F27" s="32" t="n">
        <x:v>22</x:v>
      </x:c>
      <x:c r="G27" s="32" t="n">
        <x:v>35</x:v>
      </x:c>
      <x:c r="H27" s="32" t="str">
        <x:v>Два миньона одинакового размера; соус отдельно/под мясом по решению шефа</x:v>
      </x:c>
      <x:c r="I27" s="32" t="n">
        <x:v>300</x:v>
      </x:c>
      <x:c r="J27" s="32" t="str">
        <x:v>г</x:v>
      </x:c>
      <x:c r="K27" s="32"/>
      <x:c r="L27" s="32" t="str">
        <x:v>BLOCKED_PENDING_VALIDATION</x:v>
      </x:c>
      <x:c r="M27" s="32" t="str">
        <x:v>ASSUMPTION</x:v>
      </x:c>
      <x:c r="N27" s="32" t="str">
        <x:v>EVD-0010;EVD-0011</x:v>
      </x:c>
      <x:c r="O27" s="32" t="str">
        <x:v>EVD-0013;EVD-0014;EVD-FS-001;EVD-FS-002;EVD-FS-003</x:v>
      </x:c>
      <x:c r="P27" s="32" t="str">
        <x:v>GAP-007;GAP-008</x:v>
      </x:c>
      <x:c r="Q27" s="32" t="str">
        <x:v>Наблюдать операции и время; отдельно подтвердить safety-critical параметры</x:v>
      </x:c>
    </x:row>
    <x:row r="28">
      <x:c r="A28" s="32" t="str">
        <x:v>VKT-023</x:v>
      </x:c>
      <x:c r="B28" s="32" t="str">
        <x:v>VKM-023</x:v>
      </x:c>
      <x:c r="C28" s="32" t="str">
        <x:v>Запечённый картофель</x:v>
      </x:c>
      <x:c r="D28" s="32" t="str">
        <x:v>0.1.0-DRAFT</x:v>
      </x:c>
      <x:c r="E28" s="32" t="str">
        <x:v>Вымыть и подготовить картофель; нарезать; смешать с маслом и травами; запечь; порционировать</x:v>
      </x:c>
      <x:c r="F28" s="32" t="n">
        <x:v>13</x:v>
      </x:c>
      <x:c r="G28" s="32" t="n">
        <x:v>45</x:v>
      </x:c>
      <x:c r="H28" s="32" t="str">
        <x:v>Порция 150 г; одинаковая нарезка; равномерная поверхность</x:v>
      </x:c>
      <x:c r="I28" s="32" t="n">
        <x:v>150</x:v>
      </x:c>
      <x:c r="J28" s="32" t="str">
        <x:v>г</x:v>
      </x:c>
      <x:c r="K28" s="32"/>
      <x:c r="L28" s="32" t="str">
        <x:v>BLOCKED_PENDING_VALIDATION</x:v>
      </x:c>
      <x:c r="M28" s="32" t="str">
        <x:v>ASSUMPTION</x:v>
      </x:c>
      <x:c r="N28" s="32" t="str">
        <x:v>EVD-0010;EVD-0011</x:v>
      </x:c>
      <x:c r="O28" s="32" t="str">
        <x:v>EVD-0013;EVD-0014;EVD-FS-001;EVD-FS-002;EVD-FS-003</x:v>
      </x:c>
      <x:c r="P28" s="32" t="str">
        <x:v>GAP-007;GAP-008</x:v>
      </x:c>
      <x:c r="Q28" s="32" t="str">
        <x:v>Наблюдать операции и время; отдельно подтвердить safety-critical параметры</x:v>
      </x:c>
    </x:row>
    <x:row r="29">
      <x:c r="A29" s="32" t="str">
        <x:v>VKT-024</x:v>
      </x:c>
      <x:c r="B29" s="32" t="str">
        <x:v>VKM-024</x:v>
      </x:c>
      <x:c r="C29" s="32" t="str">
        <x:v>Рис жасмин</x:v>
      </x:c>
      <x:c r="D29" s="32" t="str">
        <x:v>0.1.0-DRAFT</x:v>
      </x:c>
      <x:c r="E29" s="32" t="str">
        <x:v>Промыть рис; соединить с водой; сварить; дать стабилизироваться; внести масла и соль; разрыхлить и порционировать</x:v>
      </x:c>
      <x:c r="F29" s="32" t="n">
        <x:v>8</x:v>
      </x:c>
      <x:c r="G29" s="32" t="n">
        <x:v>35</x:v>
      </x:c>
      <x:c r="H29" s="32" t="str">
        <x:v>Порция 150 г; рассыпчатая структура без свободной жидкости</x:v>
      </x:c>
      <x:c r="I29" s="32" t="n">
        <x:v>150</x:v>
      </x:c>
      <x:c r="J29" s="32" t="str">
        <x:v>г</x:v>
      </x:c>
      <x:c r="K29" s="32"/>
      <x:c r="L29" s="32" t="str">
        <x:v>BLOCKED_PENDING_VALIDATION</x:v>
      </x:c>
      <x:c r="M29" s="32" t="str">
        <x:v>ASSUMPTION</x:v>
      </x:c>
      <x:c r="N29" s="32" t="str">
        <x:v>EVD-0010;EVD-0011</x:v>
      </x:c>
      <x:c r="O29" s="32" t="str">
        <x:v>EVD-0013;EVD-0014;EVD-FS-001;EVD-FS-002;EVD-FS-003</x:v>
      </x:c>
      <x:c r="P29" s="32" t="str">
        <x:v>GAP-007;GAP-008</x:v>
      </x:c>
      <x:c r="Q29" s="32" t="str">
        <x:v>Наблюдать операции и время; отдельно подтвердить safety-critical параметры</x:v>
      </x:c>
    </x:row>
    <x:row r="30">
      <x:c r="A30" s="32" t="str">
        <x:v>VKT-025</x:v>
      </x:c>
      <x:c r="B30" s="32" t="str">
        <x:v>VKM-025</x:v>
      </x:c>
      <x:c r="C30" s="32" t="str">
        <x:v>Горячие овощи</x:v>
      </x:c>
      <x:c r="D30" s="32" t="str">
        <x:v>0.1.0-DRAFT</x:v>
      </x:c>
      <x:c r="E30" s="32" t="str">
        <x:v>Подготовить и одинаково нарезать овощи; обрабатывать партиями; соединить; приправить; порционировать</x:v>
      </x:c>
      <x:c r="F30" s="32" t="n">
        <x:v>15</x:v>
      </x:c>
      <x:c r="G30" s="32" t="n">
        <x:v>22</x:v>
      </x:c>
      <x:c r="H30" s="32" t="str">
        <x:v>Яркие отдельные овощи; сохранённая форма; без свободной жидкости</x:v>
      </x:c>
      <x:c r="I30" s="32" t="n">
        <x:v>150</x:v>
      </x:c>
      <x:c r="J30" s="32" t="str">
        <x:v>г</x:v>
      </x:c>
      <x:c r="K30" s="32"/>
      <x:c r="L30" s="32" t="str">
        <x:v>BLOCKED_PENDING_VALIDATION</x:v>
      </x:c>
      <x:c r="M30" s="32" t="str">
        <x:v>ASSUMPTION</x:v>
      </x:c>
      <x:c r="N30" s="32" t="str">
        <x:v>EVD-0010;EVD-0011</x:v>
      </x:c>
      <x:c r="O30" s="32" t="str">
        <x:v>EVD-0013;EVD-0014;EVD-FS-001;EVD-FS-002;EVD-FS-003</x:v>
      </x:c>
      <x:c r="P30" s="32" t="str">
        <x:v>GAP-007;GAP-008</x:v>
      </x:c>
      <x:c r="Q30" s="32" t="str">
        <x:v>Наблюдать операции и время; отдельно подтвердить safety-critical параметры</x:v>
      </x:c>
    </x:row>
    <x:row r="31">
      <x:c r="A31" s="32" t="str">
        <x:v>VKT-029</x:v>
      </x:c>
      <x:c r="B31" s="32" t="str">
        <x:v>VKM-029</x:v>
      </x:c>
      <x:c r="C31" s="32" t="str">
        <x:v>Черничный торт VARSHAVKA</x:v>
      </x:c>
      <x:c r="D31" s="32" t="str">
        <x:v>0.1.0-DRAFT</x:v>
      </x:c>
      <x:c r="E31" s="32" t="str">
        <x:v>Приготовить и выпечь бисквит; охладить; приготовить крем, компоте и глазурь; собрать слоями; стабилизировать; покрыть и декорировать; разделить на 12 порций</x:v>
      </x:c>
      <x:c r="F31" s="32" t="n">
        <x:v>120</x:v>
      </x:c>
      <x:c r="G31" s="32" t="n">
        <x:v>600</x:v>
      </x:c>
      <x:c r="H31" s="32" t="str">
        <x:v>Целый торт 1800 г и 12 равных порций по 150 г; видимые ровные слои</x:v>
      </x:c>
      <x:c r="I31" s="32" t="n">
        <x:v>1800</x:v>
      </x:c>
      <x:c r="J31" s="32" t="str">
        <x:v>г</x:v>
      </x:c>
      <x:c r="K31" s="32"/>
      <x:c r="L31" s="32" t="str">
        <x:v>BLOCKED_PENDING_VALIDATION</x:v>
      </x:c>
      <x:c r="M31" s="32" t="str">
        <x:v>ASSUMPTION</x:v>
      </x:c>
      <x:c r="N31" s="32" t="str">
        <x:v>EVD-0010;EVD-0011</x:v>
      </x:c>
      <x:c r="O31" s="32" t="str">
        <x:v>EVD-0013;EVD-0014;EVD-FS-001;EVD-FS-002;EVD-FS-003</x:v>
      </x:c>
      <x:c r="P31" s="32" t="str">
        <x:v>GAP-007;GAP-008</x:v>
      </x:c>
      <x:c r="Q31" s="32" t="str">
        <x:v>Наблюдать операции и время; отдельно подтвердить safety-critical параметры</x:v>
      </x:c>
    </x:row>
    <x:row r="32">
      <x:c r="A32" s="32" t="str">
        <x:v>VKT-030</x:v>
      </x:c>
      <x:c r="B32" s="32" t="str">
        <x:v>VKM-030</x:v>
      </x:c>
      <x:c r="C32" s="32" t="str">
        <x:v>Кростата с солёной карамелью</x:v>
      </x:c>
      <x:c r="D32" s="32" t="str">
        <x:v>0.1.0-DRAFT</x:v>
      </x:c>
      <x:c r="E32" s="32" t="str">
        <x:v>Замесить песочное тесто; охладить; сформовать и выпечь основу; приготовить карамель и крем; наполнить; стабилизировать; декорировать; разделить на 10 порций</x:v>
      </x:c>
      <x:c r="F32" s="32" t="n">
        <x:v>90</x:v>
      </x:c>
      <x:c r="G32" s="32" t="n">
        <x:v>420</x:v>
      </x:c>
      <x:c r="H32" s="32" t="str">
        <x:v>Целая кростата 1200 г и 10 равных порций по 120 г; чистый срез</x:v>
      </x:c>
      <x:c r="I32" s="32" t="n">
        <x:v>1200</x:v>
      </x:c>
      <x:c r="J32" s="32" t="str">
        <x:v>г</x:v>
      </x:c>
      <x:c r="K32" s="32"/>
      <x:c r="L32" s="32" t="str">
        <x:v>BLOCKED_PENDING_VALIDATION</x:v>
      </x:c>
      <x:c r="M32" s="32" t="str">
        <x:v>ASSUMPTION</x:v>
      </x:c>
      <x:c r="N32" s="32" t="str">
        <x:v>EVD-0010;EVD-0011</x:v>
      </x:c>
      <x:c r="O32" s="32" t="str">
        <x:v>EVD-0013;EVD-0014;EVD-FS-001;EVD-FS-002;EVD-FS-003</x:v>
      </x:c>
      <x:c r="P32" s="32" t="str">
        <x:v>GAP-007;GAP-008</x:v>
      </x:c>
      <x:c r="Q32" s="32" t="str">
        <x:v>Наблюдать операции и время; отдельно подтвердить safety-critical параметры</x:v>
      </x:c>
    </x:row>
    <x:row r="33">
      <x:c r="A33" s="32" t="str">
        <x:v>VKT-031</x:v>
      </x:c>
      <x:c r="B33" s="32" t="str">
        <x:v>VKM-031</x:v>
      </x:c>
      <x:c r="C33" s="32" t="str">
        <x:v>Мадлен</x:v>
      </x:c>
      <x:c r="D33" s="32" t="str">
        <x:v>0.1.0-DRAFT</x:v>
      </x:c>
      <x:c r="E33" s="32" t="str">
        <x:v>Смешать тесто; дать ему стабилизироваться; дозировать в формы; выпечь; охладить; сформировать 20 одинаковых изделий</x:v>
      </x:c>
      <x:c r="F33" s="32" t="n">
        <x:v>30</x:v>
      </x:c>
      <x:c r="G33" s="32" t="n">
        <x:v>120</x:v>
      </x:c>
      <x:c r="H33" s="32" t="str">
        <x:v>Партия 20 шт. общим выходом 600 г; продажа 2 шт. по 60 г</x:v>
      </x:c>
      <x:c r="I33" s="32" t="n">
        <x:v>600</x:v>
      </x:c>
      <x:c r="J33" s="32" t="str">
        <x:v>г</x:v>
      </x:c>
      <x:c r="K33" s="32"/>
      <x:c r="L33" s="32" t="str">
        <x:v>BLOCKED_PENDING_VALIDATION</x:v>
      </x:c>
      <x:c r="M33" s="32" t="str">
        <x:v>ASSUMPTION</x:v>
      </x:c>
      <x:c r="N33" s="32" t="str">
        <x:v>EVD-0010;EVD-0011</x:v>
      </x:c>
      <x:c r="O33" s="32" t="str">
        <x:v>EVD-0013;EVD-0014;EVD-FS-001;EVD-FS-002;EVD-FS-003</x:v>
      </x:c>
      <x:c r="P33" s="32" t="str">
        <x:v>GAP-007;GAP-008</x:v>
      </x:c>
      <x:c r="Q33" s="32" t="str">
        <x:v>Наблюдать операции и время; отдельно подтвердить safety-critical параметры</x:v>
      </x:c>
    </x:row>
  </x:sheetData>
  <x:mergeCells>
    <x:mergeCell ref="A1:Q1"/>
    <x:mergeCell ref="A2:Q2"/>
  </x:mergeCells>
  <x:conditionalFormatting sqref="L6:M33">
    <x:cfRule type="containsText" dxfId="8" priority="1" operator="containsText" text="BLOCK"/>
    <x:cfRule type="containsText" dxfId="9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2cd3aeae63fd46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12" hidden="0" customWidth="1"/>
    <x:col min="4" max="4" width="35" hidden="0" customWidth="1"/>
    <x:col min="5" max="5" width="18" hidden="0" customWidth="1"/>
    <x:col min="6" max="6" width="22" hidden="0" customWidth="1"/>
    <x:col min="7" max="7" width="8" hidden="0" customWidth="1"/>
    <x:col min="8" max="8" width="22" hidden="0" customWidth="1"/>
    <x:col min="9" max="9" width="12" hidden="0" customWidth="1"/>
    <x:col min="10" max="10" width="15" hidden="0" customWidth="1"/>
    <x:col min="11" max="11" width="60" hidden="0" customWidth="1"/>
    <x:col min="12" max="12" width="22" hidden="0" customWidth="1"/>
    <x:col min="13" max="13" width="24" hidden="0" customWidth="1"/>
  </x:cols>
  <x:sheetData>
    <x:row r="1" ht="30" customHeight="1">
      <x:c r="A1" s="26" t="str">
        <x:v>06 — Сырьё и цены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27" customHeight="1">
      <x:c r="A2" s="28" t="str">
        <x:v>113 ингредиентов; 46 accepted direct-card observations covering 19 ingredients. 22 rejected records are not selected or present in active table.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</x:row>
    <x:row r="5" ht="34" customHeight="1">
      <x:c r="A5" s="31" t="str">
        <x:v>Ingredient ID</x:v>
      </x:c>
      <x:c r="B5" s="31" t="str">
        <x:v>Ингредиент</x:v>
      </x:c>
      <x:c r="C5" s="31" t="str">
        <x:v>Usage g</x:v>
      </x:c>
      <x:c r="D5" s="31" t="str">
        <x:v>SKU critical</x:v>
      </x:c>
      <x:c r="E5" s="31" t="str">
        <x:v>Selected RUB/kg</x:v>
      </x:c>
      <x:c r="F5" s="31" t="str">
        <x:v>Basis</x:v>
      </x:c>
      <x:c r="G5" s="31" t="str">
        <x:v>Obs.</x:v>
      </x:c>
      <x:c r="H5" s="31" t="str">
        <x:v>Source IDs</x:v>
      </x:c>
      <x:c r="I5" s="31" t="str">
        <x:v>As of</x:v>
      </x:c>
      <x:c r="J5" s="31" t="str">
        <x:v>Status</x:v>
      </x:c>
      <x:c r="K5" s="31" t="str">
        <x:v>Confidence</x:v>
      </x:c>
      <x:c r="L5" s="31" t="str">
        <x:v>Owner</x:v>
      </x:c>
      <x:c r="M5" s="31" t="str">
        <x:v>Next action</x:v>
      </x:c>
    </x:row>
    <x:row r="6">
      <x:c r="A6" s="32" t="str">
        <x:v>ING-001</x:v>
      </x:c>
      <x:c r="B6" s="32" t="str">
        <x:v>Мука пшеничная хлебопекарная</x:v>
      </x:c>
      <x:c r="C6" s="32" t="n">
        <x:v>788</x:v>
      </x:c>
      <x:c r="D6" s="32" t="str">
        <x:v>YES</x:v>
      </x:c>
      <x:c r="E6" s="39" t="n">
        <x:v>42.4925</x:v>
      </x:c>
      <x:c r="F6" s="32" t="str">
        <x:v>median_public_observation</x:v>
      </x:c>
      <x:c r="G6" s="32" t="n">
        <x:v>2</x:v>
      </x:c>
      <x:c r="H6" s="32" t="str">
        <x:v>PSR-0001;PSR-0003</x:v>
      </x:c>
      <x:c r="I6" s="32" t="str">
        <x:v>2026-08-03</x:v>
      </x:c>
      <x:c r="J6" s="32" t="str">
        <x:v>ESTIMATE</x:v>
      </x:c>
      <x:c r="K6" s="32" t="str">
        <x:v>LOW_CONFIDENCE</x:v>
      </x:c>
      <x:c r="L6" s="32" t="str">
        <x:v>Owner / Procurement</x:v>
      </x:c>
      <x:c r="M6" s="32" t="str">
        <x:v>Получить минимум 3 КП HoReCa с фасовкой, доставкой, MOQ и НДС</x:v>
      </x:c>
    </x:row>
    <x:row r="7">
      <x:c r="A7" s="32" t="str">
        <x:v>ING-002</x:v>
      </x:c>
      <x:c r="B7" s="32" t="str">
        <x:v>Вода питьевая</x:v>
      </x:c>
      <x:c r="C7" s="32" t="n">
        <x:v>580</x:v>
      </x:c>
      <x:c r="D7" s="32" t="str">
        <x:v>NO</x:v>
      </x:c>
      <x:c r="E7" s="39"/>
      <x:c r="F7" s="32"/>
      <x:c r="G7" s="32" t="n">
        <x:v>0</x:v>
      </x:c>
      <x:c r="H7" s="32"/>
      <x:c r="I7" s="32"/>
      <x:c r="J7" s="32" t="str">
        <x:v>BLOCKED</x:v>
      </x:c>
      <x:c r="K7" s="32" t="str">
        <x:v>BLOCKED</x:v>
      </x:c>
      <x:c r="L7" s="32" t="str">
        <x:v>Owner / Procurement</x:v>
      </x:c>
      <x:c r="M7" s="32" t="str">
        <x:v>Получить минимум 3 КП HoReCa с фасовкой, доставкой, MOQ и НДС</x:v>
      </x:c>
    </x:row>
    <x:row r="8">
      <x:c r="A8" s="32" t="str">
        <x:v>ING-003</x:v>
      </x:c>
      <x:c r="B8" s="32" t="str">
        <x:v>Дрожжи хлебопекарные</x:v>
      </x:c>
      <x:c r="C8" s="32" t="n">
        <x:v>14</x:v>
      </x:c>
      <x:c r="D8" s="32" t="str">
        <x:v>NO</x:v>
      </x:c>
      <x:c r="E8" s="39" t="n">
        <x:v>624.875</x:v>
      </x:c>
      <x:c r="F8" s="32" t="str">
        <x:v>median_public_observation</x:v>
      </x:c>
      <x:c r="G8" s="32" t="n">
        <x:v>3</x:v>
      </x:c>
      <x:c r="H8" s="32" t="str">
        <x:v>PSR-0004;PSR-0005;PSR-0006</x:v>
      </x:c>
      <x:c r="I8" s="32" t="str">
        <x:v>2026-08-03</x:v>
      </x:c>
      <x:c r="J8" s="32" t="str">
        <x:v>ESTIMATE</x:v>
      </x:c>
      <x:c r="K8" s="32" t="str">
        <x:v>MEDIUM</x:v>
      </x:c>
      <x:c r="L8" s="32" t="str">
        <x:v>Owner / Procurement</x:v>
      </x:c>
      <x:c r="M8" s="32" t="str">
        <x:v>Сверить с КП и выбрать поставщика</x:v>
      </x:c>
    </x:row>
    <x:row r="9">
      <x:c r="A9" s="32" t="str">
        <x:v>ING-004</x:v>
      </x:c>
      <x:c r="B9" s="32" t="str">
        <x:v>Соль пищевая</x:v>
      </x:c>
      <x:c r="C9" s="32" t="n">
        <x:v>25</x:v>
      </x:c>
      <x:c r="D9" s="32" t="str">
        <x:v>NO</x:v>
      </x:c>
      <x:c r="E9" s="39" t="n">
        <x:v>42.99</x:v>
      </x:c>
      <x:c r="F9" s="32" t="str">
        <x:v>median_public_observation</x:v>
      </x:c>
      <x:c r="G9" s="32" t="n">
        <x:v>1</x:v>
      </x:c>
      <x:c r="H9" s="32" t="str">
        <x:v>PSR-0007</x:v>
      </x:c>
      <x:c r="I9" s="32" t="str">
        <x:v>2026-08-03</x:v>
      </x:c>
      <x:c r="J9" s="32" t="str">
        <x:v>ESTIMATE</x:v>
      </x:c>
      <x:c r="K9" s="32" t="str">
        <x:v>LOW_CONFIDENCE</x:v>
      </x:c>
      <x:c r="L9" s="32" t="str">
        <x:v>Owner / Procurement</x:v>
      </x:c>
      <x:c r="M9" s="32" t="str">
        <x:v>Получить минимум 3 КП HoReCa с фасовкой, доставкой, MOQ и НДС</x:v>
      </x:c>
    </x:row>
    <x:row r="10">
      <x:c r="A10" s="32" t="str">
        <x:v>ING-005</x:v>
      </x:c>
      <x:c r="B10" s="32" t="str">
        <x:v>Масло оливковое</x:v>
      </x:c>
      <x:c r="C10" s="32" t="n">
        <x:v>167</x:v>
      </x:c>
      <x:c r="D10" s="32" t="str">
        <x:v>NO</x:v>
      </x:c>
      <x:c r="E10" s="39"/>
      <x:c r="F10" s="32"/>
      <x:c r="G10" s="32" t="n">
        <x:v>0</x:v>
      </x:c>
      <x:c r="H10" s="32"/>
      <x:c r="I10" s="32"/>
      <x:c r="J10" s="32" t="str">
        <x:v>BLOCKED</x:v>
      </x:c>
      <x:c r="K10" s="32" t="str">
        <x:v>BLOCKED</x:v>
      </x:c>
      <x:c r="L10" s="32" t="str">
        <x:v>Owner / Procurement</x:v>
      </x:c>
      <x:c r="M10" s="32" t="str">
        <x:v>Получить минимум 3 КП HoReCa с фасовкой, доставкой, MOQ и НДС</x:v>
      </x:c>
    </x:row>
    <x:row r="11">
      <x:c r="A11" s="32" t="str">
        <x:v>ING-006</x:v>
      </x:c>
      <x:c r="B11" s="32" t="str">
        <x:v>Томаты протёртые</x:v>
      </x:c>
      <x:c r="C11" s="32" t="n">
        <x:v>272</x:v>
      </x:c>
      <x:c r="D11" s="32" t="str">
        <x:v>NO</x:v>
      </x:c>
      <x:c r="E11" s="39"/>
      <x:c r="F11" s="32"/>
      <x:c r="G11" s="32" t="n">
        <x:v>0</x:v>
      </x:c>
      <x:c r="H11" s="32"/>
      <x:c r="I11" s="32"/>
      <x:c r="J11" s="32" t="str">
        <x:v>BLOCKED</x:v>
      </x:c>
      <x:c r="K11" s="32" t="str">
        <x:v>BLOCKED</x:v>
      </x:c>
      <x:c r="L11" s="32" t="str">
        <x:v>Owner / Procurement</x:v>
      </x:c>
      <x:c r="M11" s="32" t="str">
        <x:v>Получить минимум 3 КП HoReCa с фасовкой, доставкой, MOQ и НДС</x:v>
      </x:c>
    </x:row>
    <x:row r="12">
      <x:c r="A12" s="32" t="str">
        <x:v>ING-007</x:v>
      </x:c>
      <x:c r="B12" s="32" t="str">
        <x:v>Чеснок</x:v>
      </x:c>
      <x:c r="C12" s="32" t="n">
        <x:v>16.6</x:v>
      </x:c>
      <x:c r="D12" s="32" t="str">
        <x:v>NO</x:v>
      </x:c>
      <x:c r="E12" s="39"/>
      <x:c r="F12" s="32"/>
      <x:c r="G12" s="32" t="n">
        <x:v>0</x:v>
      </x:c>
      <x:c r="H12" s="32"/>
      <x:c r="I12" s="32"/>
      <x:c r="J12" s="32" t="str">
        <x:v>BLOCKED</x:v>
      </x:c>
      <x:c r="K12" s="32" t="str">
        <x:v>BLOCKED</x:v>
      </x:c>
      <x:c r="L12" s="32" t="str">
        <x:v>Owner / Procurement</x:v>
      </x:c>
      <x:c r="M12" s="32" t="str">
        <x:v>Получить минимум 3 КП HoReCa с фасовкой, доставкой, MOQ и НДС</x:v>
      </x:c>
    </x:row>
    <x:row r="13">
      <x:c r="A13" s="32" t="str">
        <x:v>ING-008</x:v>
      </x:c>
      <x:c r="B13" s="32" t="str">
        <x:v>Орегано</x:v>
      </x:c>
      <x:c r="C13" s="32" t="n">
        <x:v>4</x:v>
      </x:c>
      <x:c r="D13" s="32" t="str">
        <x:v>NO</x:v>
      </x:c>
      <x:c r="E13" s="39"/>
      <x:c r="F13" s="32"/>
      <x:c r="G13" s="32" t="n">
        <x:v>0</x:v>
      </x:c>
      <x:c r="H13" s="32"/>
      <x:c r="I13" s="32"/>
      <x:c r="J13" s="32" t="str">
        <x:v>BLOCKED</x:v>
      </x:c>
      <x:c r="K13" s="32" t="str">
        <x:v>BLOCKED</x:v>
      </x:c>
      <x:c r="L13" s="32" t="str">
        <x:v>Owner / Procurement</x:v>
      </x:c>
      <x:c r="M13" s="32" t="str">
        <x:v>Получить минимум 3 КП HoReCa с фасовкой, доставкой, MOQ и НДС</x:v>
      </x:c>
    </x:row>
    <x:row r="14">
      <x:c r="A14" s="32" t="str">
        <x:v>ING-009</x:v>
      </x:c>
      <x:c r="B14" s="32" t="str">
        <x:v>Моцарелла</x:v>
      </x:c>
      <x:c r="C14" s="32" t="n">
        <x:v>420</x:v>
      </x:c>
      <x:c r="D14" s="32" t="str">
        <x:v>YES</x:v>
      </x:c>
      <x:c r="E14" s="39" t="n">
        <x:v>909.975</x:v>
      </x:c>
      <x:c r="F14" s="32" t="str">
        <x:v>median_public_observation</x:v>
      </x:c>
      <x:c r="G14" s="32" t="n">
        <x:v>2</x:v>
      </x:c>
      <x:c r="H14" s="32" t="str">
        <x:v>PSR-0014;PSR-0015</x:v>
      </x:c>
      <x:c r="I14" s="32" t="str">
        <x:v>2026-08-03</x:v>
      </x:c>
      <x:c r="J14" s="32" t="str">
        <x:v>ESTIMATE</x:v>
      </x:c>
      <x:c r="K14" s="32" t="str">
        <x:v>LOW_CONFIDENCE</x:v>
      </x:c>
      <x:c r="L14" s="32" t="str">
        <x:v>Owner / Procurement</x:v>
      </x:c>
      <x:c r="M14" s="32" t="str">
        <x:v>Получить минимум 3 КП HoReCa с фасовкой, доставкой, MOQ и НДС</x:v>
      </x:c>
    </x:row>
    <x:row r="15">
      <x:c r="A15" s="32" t="str">
        <x:v>ING-010</x:v>
      </x:c>
      <x:c r="B15" s="32" t="str">
        <x:v>Пармезан</x:v>
      </x:c>
      <x:c r="C15" s="32" t="n">
        <x:v>45</x:v>
      </x:c>
      <x:c r="D15" s="32" t="str">
        <x:v>YES</x:v>
      </x:c>
      <x:c r="E15" s="39" t="n">
        <x:v>1931.2</x:v>
      </x:c>
      <x:c r="F15" s="32" t="str">
        <x:v>median_public_observation</x:v>
      </x:c>
      <x:c r="G15" s="32" t="n">
        <x:v>4</x:v>
      </x:c>
      <x:c r="H15" s="32" t="str">
        <x:v>PSR-0017;PSR-0018;PSR-0019;PSR-0020</x:v>
      </x:c>
      <x:c r="I15" s="32" t="str">
        <x:v>2026-08-03</x:v>
      </x:c>
      <x:c r="J15" s="32" t="str">
        <x:v>ESTIMATE</x:v>
      </x:c>
      <x:c r="K15" s="32" t="str">
        <x:v>MEDIUM</x:v>
      </x:c>
      <x:c r="L15" s="32" t="str">
        <x:v>Owner / Procurement</x:v>
      </x:c>
      <x:c r="M15" s="32" t="str">
        <x:v>Сверить с КП и выбрать поставщика</x:v>
      </x:c>
    </x:row>
    <x:row r="16">
      <x:c r="A16" s="32" t="str">
        <x:v>ING-011</x:v>
      </x:c>
      <x:c r="B16" s="32" t="str">
        <x:v>Базилик свежий</x:v>
      </x:c>
      <x:c r="C16" s="32" t="n">
        <x:v>6</x:v>
      </x:c>
      <x:c r="D16" s="32" t="str">
        <x:v>NO</x:v>
      </x:c>
      <x:c r="E16" s="39"/>
      <x:c r="F16" s="32"/>
      <x:c r="G16" s="32" t="n">
        <x:v>0</x:v>
      </x:c>
      <x:c r="H16" s="32"/>
      <x:c r="I16" s="32"/>
      <x:c r="J16" s="32" t="str">
        <x:v>BLOCKED</x:v>
      </x:c>
      <x:c r="K16" s="32" t="str">
        <x:v>BLOCKED</x:v>
      </x:c>
      <x:c r="L16" s="32" t="str">
        <x:v>Owner / Procurement</x:v>
      </x:c>
      <x:c r="M16" s="32" t="str">
        <x:v>Получить минимум 3 КП HoReCa с фасовкой, доставкой, MOQ и НДС</x:v>
      </x:c>
    </x:row>
    <x:row r="17">
      <x:c r="A17" s="32" t="str">
        <x:v>ING-012</x:v>
      </x:c>
      <x:c r="B17" s="32" t="str">
        <x:v>Горгонзола</x:v>
      </x:c>
      <x:c r="C17" s="32" t="n">
        <x:v>45</x:v>
      </x:c>
      <x:c r="D17" s="32" t="str">
        <x:v>YES</x:v>
      </x:c>
      <x:c r="E17" s="39" t="n">
        <x:v>1799.9</x:v>
      </x:c>
      <x:c r="F17" s="32" t="str">
        <x:v>median_public_observation</x:v>
      </x:c>
      <x:c r="G17" s="32" t="n">
        <x:v>2</x:v>
      </x:c>
      <x:c r="H17" s="32" t="str">
        <x:v>PSR-0021;PSR-0023</x:v>
      </x:c>
      <x:c r="I17" s="32" t="str">
        <x:v>2026-08-03</x:v>
      </x:c>
      <x:c r="J17" s="32" t="str">
        <x:v>ESTIMATE</x:v>
      </x:c>
      <x:c r="K17" s="32" t="str">
        <x:v>LOW_CONFIDENCE</x:v>
      </x:c>
      <x:c r="L17" s="32" t="str">
        <x:v>Owner / Procurement</x:v>
      </x:c>
      <x:c r="M17" s="32" t="str">
        <x:v>Получить минимум 3 КП HoReCa с фасовкой, доставкой, MOQ и НДС</x:v>
      </x:c>
    </x:row>
    <x:row r="18">
      <x:c r="A18" s="32" t="str">
        <x:v>ING-013</x:v>
      </x:c>
      <x:c r="B18" s="32" t="str">
        <x:v>Фонтина или иной четвёртый сыр</x:v>
      </x:c>
      <x:c r="C18" s="32" t="n">
        <x:v>30</x:v>
      </x:c>
      <x:c r="D18" s="32" t="str">
        <x:v>NO</x:v>
      </x:c>
      <x:c r="E18" s="39"/>
      <x:c r="F18" s="32"/>
      <x:c r="G18" s="32" t="n">
        <x:v>0</x:v>
      </x:c>
      <x:c r="H18" s="32"/>
      <x:c r="I18" s="32"/>
      <x:c r="J18" s="32" t="str">
        <x:v>BLOCKED</x:v>
      </x:c>
      <x:c r="K18" s="32" t="str">
        <x:v>BLOCKED</x:v>
      </x:c>
      <x:c r="L18" s="32" t="str">
        <x:v>Owner / Procurement</x:v>
      </x:c>
      <x:c r="M18" s="32" t="str">
        <x:v>Получить минимум 3 КП HoReCa с фасовкой, доставкой, MOQ и НДС</x:v>
      </x:c>
    </x:row>
    <x:row r="19">
      <x:c r="A19" s="32" t="str">
        <x:v>ING-014</x:v>
      </x:c>
      <x:c r="B19" s="32" t="str">
        <x:v>Ветчина</x:v>
      </x:c>
      <x:c r="C19" s="32" t="n">
        <x:v>60</x:v>
      </x:c>
      <x:c r="D19" s="32" t="str">
        <x:v>NO</x:v>
      </x:c>
      <x:c r="E19" s="39"/>
      <x:c r="F19" s="32"/>
      <x:c r="G19" s="32" t="n">
        <x:v>0</x:v>
      </x:c>
      <x:c r="H19" s="32"/>
      <x:c r="I19" s="32"/>
      <x:c r="J19" s="32" t="str">
        <x:v>BLOCKED</x:v>
      </x:c>
      <x:c r="K19" s="32" t="str">
        <x:v>BLOCKED</x:v>
      </x:c>
      <x:c r="L19" s="32" t="str">
        <x:v>Owner / Procurement</x:v>
      </x:c>
      <x:c r="M19" s="32" t="str">
        <x:v>Получить минимум 3 КП HoReCa с фасовкой, доставкой, MOQ и НДС</x:v>
      </x:c>
    </x:row>
    <x:row r="20">
      <x:c r="A20" s="32" t="str">
        <x:v>ING-015</x:v>
      </x:c>
      <x:c r="B20" s="32" t="str">
        <x:v>Шампиньоны</x:v>
      </x:c>
      <x:c r="C20" s="32" t="n">
        <x:v>50</x:v>
      </x:c>
      <x:c r="D20" s="32" t="str">
        <x:v>NO</x:v>
      </x:c>
      <x:c r="E20" s="39"/>
      <x:c r="F20" s="32"/>
      <x:c r="G20" s="32" t="n">
        <x:v>0</x:v>
      </x:c>
      <x:c r="H20" s="32"/>
      <x:c r="I20" s="32"/>
      <x:c r="J20" s="32" t="str">
        <x:v>BLOCKED</x:v>
      </x:c>
      <x:c r="K20" s="32" t="str">
        <x:v>BLOCKED</x:v>
      </x:c>
      <x:c r="L20" s="32" t="str">
        <x:v>Owner / Procurement</x:v>
      </x:c>
      <x:c r="M20" s="32" t="str">
        <x:v>Получить минимум 3 КП HoReCa с фасовкой, доставкой, MOQ и НДС</x:v>
      </x:c>
    </x:row>
    <x:row r="21">
      <x:c r="A21" s="32" t="str">
        <x:v>ING-016</x:v>
      </x:c>
      <x:c r="B21" s="32" t="str">
        <x:v>Лук репчатый</x:v>
      </x:c>
      <x:c r="C21" s="32" t="n">
        <x:v>50</x:v>
      </x:c>
      <x:c r="D21" s="32" t="str">
        <x:v>NO</x:v>
      </x:c>
      <x:c r="E21" s="39"/>
      <x:c r="F21" s="32"/>
      <x:c r="G21" s="32" t="n">
        <x:v>0</x:v>
      </x:c>
      <x:c r="H21" s="32"/>
      <x:c r="I21" s="32"/>
      <x:c r="J21" s="32" t="str">
        <x:v>BLOCKED</x:v>
      </x:c>
      <x:c r="K21" s="32" t="str">
        <x:v>BLOCKED</x:v>
      </x:c>
      <x:c r="L21" s="32" t="str">
        <x:v>Owner / Procurement</x:v>
      </x:c>
      <x:c r="M21" s="32" t="str">
        <x:v>Получить минимум 3 КП HoReCa с фасовкой, доставкой, MOQ и НДС</x:v>
      </x:c>
    </x:row>
    <x:row r="22">
      <x:c r="A22" s="32" t="str">
        <x:v>ING-017</x:v>
      </x:c>
      <x:c r="B22" s="32" t="str">
        <x:v>Пепперони</x:v>
      </x:c>
      <x:c r="C22" s="32" t="n">
        <x:v>90</x:v>
      </x:c>
      <x:c r="D22" s="32" t="str">
        <x:v>NO</x:v>
      </x:c>
      <x:c r="E22" s="39"/>
      <x:c r="F22" s="32"/>
      <x:c r="G22" s="32" t="n">
        <x:v>0</x:v>
      </x:c>
      <x:c r="H22" s="32"/>
      <x:c r="I22" s="32"/>
      <x:c r="J22" s="32" t="str">
        <x:v>BLOCKED</x:v>
      </x:c>
      <x:c r="K22" s="32" t="str">
        <x:v>BLOCKED</x:v>
      </x:c>
      <x:c r="L22" s="32" t="str">
        <x:v>Owner / Procurement</x:v>
      </x:c>
      <x:c r="M22" s="32" t="str">
        <x:v>Получить минимум 3 КП HoReCa с фасовкой, доставкой, MOQ и НДС</x:v>
      </x:c>
    </x:row>
    <x:row r="23">
      <x:c r="A23" s="32" t="str">
        <x:v>ING-018</x:v>
      </x:c>
      <x:c r="B23" s="32" t="str">
        <x:v>Пюре томатное</x:v>
      </x:c>
      <x:c r="C23" s="32" t="n">
        <x:v>13</x:v>
      </x:c>
      <x:c r="D23" s="32" t="str">
        <x:v>NO</x:v>
      </x:c>
      <x:c r="E23" s="39"/>
      <x:c r="F23" s="32"/>
      <x:c r="G23" s="32" t="n">
        <x:v>0</x:v>
      </x:c>
      <x:c r="H23" s="32"/>
      <x:c r="I23" s="32"/>
      <x:c r="J23" s="32" t="str">
        <x:v>BLOCKED</x:v>
      </x:c>
      <x:c r="K23" s="32" t="str">
        <x:v>BLOCKED</x:v>
      </x:c>
      <x:c r="L23" s="32" t="str">
        <x:v>Owner / Procurement</x:v>
      </x:c>
      <x:c r="M23" s="32" t="str">
        <x:v>Получить минимум 3 КП HoReCa с фасовкой, доставкой, MOQ и НДС</x:v>
      </x:c>
    </x:row>
    <x:row r="24">
      <x:c r="A24" s="32" t="str">
        <x:v>ING-019</x:v>
      </x:c>
      <x:c r="B24" s="32" t="str">
        <x:v>Томаты вяленые</x:v>
      </x:c>
      <x:c r="C24" s="32" t="n">
        <x:v>8</x:v>
      </x:c>
      <x:c r="D24" s="32" t="str">
        <x:v>NO</x:v>
      </x:c>
      <x:c r="E24" s="39"/>
      <x:c r="F24" s="32"/>
      <x:c r="G24" s="32" t="n">
        <x:v>0</x:v>
      </x:c>
      <x:c r="H24" s="32"/>
      <x:c r="I24" s="32"/>
      <x:c r="J24" s="32" t="str">
        <x:v>BLOCKED</x:v>
      </x:c>
      <x:c r="K24" s="32" t="str">
        <x:v>BLOCKED</x:v>
      </x:c>
      <x:c r="L24" s="32" t="str">
        <x:v>Owner / Procurement</x:v>
      </x:c>
      <x:c r="M24" s="32" t="str">
        <x:v>Получить минимум 3 КП HoReCa с фасовкой, доставкой, MOQ и НДС</x:v>
      </x:c>
    </x:row>
    <x:row r="25">
      <x:c r="A25" s="32" t="str">
        <x:v>ING-020</x:v>
      </x:c>
      <x:c r="B25" s="32" t="str">
        <x:v>Мука ржаная</x:v>
      </x:c>
      <x:c r="C25" s="32" t="n">
        <x:v>150</x:v>
      </x:c>
      <x:c r="D25" s="32" t="str">
        <x:v>NO</x:v>
      </x:c>
      <x:c r="E25" s="39"/>
      <x:c r="F25" s="32"/>
      <x:c r="G25" s="32" t="n">
        <x:v>0</x:v>
      </x:c>
      <x:c r="H25" s="32"/>
      <x:c r="I25" s="32"/>
      <x:c r="J25" s="32" t="str">
        <x:v>BLOCKED</x:v>
      </x:c>
      <x:c r="K25" s="32" t="str">
        <x:v>BLOCKED</x:v>
      </x:c>
      <x:c r="L25" s="32" t="str">
        <x:v>Owner / Procurement</x:v>
      </x:c>
      <x:c r="M25" s="32" t="str">
        <x:v>Получить минимум 3 КП HoReCa с фасовкой, доставкой, MOQ и НДС</x:v>
      </x:c>
    </x:row>
    <x:row r="26">
      <x:c r="A26" s="32" t="str">
        <x:v>ING-021</x:v>
      </x:c>
      <x:c r="B26" s="32" t="str">
        <x:v>Солод ржаной</x:v>
      </x:c>
      <x:c r="C26" s="32" t="n">
        <x:v>20</x:v>
      </x:c>
      <x:c r="D26" s="32" t="str">
        <x:v>NO</x:v>
      </x:c>
      <x:c r="E26" s="39"/>
      <x:c r="F26" s="32"/>
      <x:c r="G26" s="32" t="n">
        <x:v>0</x:v>
      </x:c>
      <x:c r="H26" s="32"/>
      <x:c r="I26" s="32"/>
      <x:c r="J26" s="32" t="str">
        <x:v>BLOCKED</x:v>
      </x:c>
      <x:c r="K26" s="32" t="str">
        <x:v>BLOCKED</x:v>
      </x:c>
      <x:c r="L26" s="32" t="str">
        <x:v>Owner / Procurement</x:v>
      </x:c>
      <x:c r="M26" s="32" t="str">
        <x:v>Получить минимум 3 КП HoReCa с фасовкой, доставкой, MOQ и НДС</x:v>
      </x:c>
    </x:row>
    <x:row r="27">
      <x:c r="A27" s="32" t="str">
        <x:v>ING-022</x:v>
      </x:c>
      <x:c r="B27" s="32" t="str">
        <x:v>Патока</x:v>
      </x:c>
      <x:c r="C27" s="32" t="n">
        <x:v>10</x:v>
      </x:c>
      <x:c r="D27" s="32" t="str">
        <x:v>NO</x:v>
      </x:c>
      <x:c r="E27" s="39"/>
      <x:c r="F27" s="32"/>
      <x:c r="G27" s="32" t="n">
        <x:v>0</x:v>
      </x:c>
      <x:c r="H27" s="32"/>
      <x:c r="I27" s="32"/>
      <x:c r="J27" s="32" t="str">
        <x:v>BLOCKED</x:v>
      </x:c>
      <x:c r="K27" s="32" t="str">
        <x:v>BLOCKED</x:v>
      </x:c>
      <x:c r="L27" s="32" t="str">
        <x:v>Owner / Procurement</x:v>
      </x:c>
      <x:c r="M27" s="32" t="str">
        <x:v>Получить минимум 3 КП HoReCa с фасовкой, доставкой, MOQ и НДС</x:v>
      </x:c>
    </x:row>
    <x:row r="28">
      <x:c r="A28" s="32" t="str">
        <x:v>ING-023</x:v>
      </x:c>
      <x:c r="B28" s="32" t="str">
        <x:v>Кориандр</x:v>
      </x:c>
      <x:c r="C28" s="32" t="n">
        <x:v>4</x:v>
      </x:c>
      <x:c r="D28" s="32" t="str">
        <x:v>NO</x:v>
      </x:c>
      <x:c r="E28" s="39"/>
      <x:c r="F28" s="32"/>
      <x:c r="G28" s="32" t="n">
        <x:v>0</x:v>
      </x:c>
      <x:c r="H28" s="32"/>
      <x:c r="I28" s="32"/>
      <x:c r="J28" s="32" t="str">
        <x:v>BLOCKED</x:v>
      </x:c>
      <x:c r="K28" s="32" t="str">
        <x:v>BLOCKED</x:v>
      </x:c>
      <x:c r="L28" s="32" t="str">
        <x:v>Owner / Procurement</x:v>
      </x:c>
      <x:c r="M28" s="32" t="str">
        <x:v>Получить минимум 3 КП HoReCa с фасовкой, доставкой, MOQ и НДС</x:v>
      </x:c>
    </x:row>
    <x:row r="29">
      <x:c r="A29" s="32" t="str">
        <x:v>ING-024</x:v>
      </x:c>
      <x:c r="B29" s="32" t="str">
        <x:v>Масло растительное</x:v>
      </x:c>
      <x:c r="C29" s="32" t="n">
        <x:v>86</x:v>
      </x:c>
      <x:c r="D29" s="32" t="str">
        <x:v>NO</x:v>
      </x:c>
      <x:c r="E29" s="39"/>
      <x:c r="F29" s="32"/>
      <x:c r="G29" s="32" t="n">
        <x:v>0</x:v>
      </x:c>
      <x:c r="H29" s="32"/>
      <x:c r="I29" s="32"/>
      <x:c r="J29" s="32" t="str">
        <x:v>BLOCKED</x:v>
      </x:c>
      <x:c r="K29" s="32" t="str">
        <x:v>BLOCKED</x:v>
      </x:c>
      <x:c r="L29" s="32" t="str">
        <x:v>Owner / Procurement</x:v>
      </x:c>
      <x:c r="M29" s="32" t="str">
        <x:v>Получить минимум 3 КП HoReCa с фасовкой, доставкой, MOQ и НДС</x:v>
      </x:c>
    </x:row>
    <x:row r="30">
      <x:c r="A30" s="32" t="str">
        <x:v>ING-025</x:v>
      </x:c>
      <x:c r="B30" s="32" t="str">
        <x:v>Молоко</x:v>
      </x:c>
      <x:c r="C30" s="32" t="n">
        <x:v>63</x:v>
      </x:c>
      <x:c r="D30" s="32" t="str">
        <x:v>NO</x:v>
      </x:c>
      <x:c r="E30" s="39"/>
      <x:c r="F30" s="32"/>
      <x:c r="G30" s="32" t="n">
        <x:v>0</x:v>
      </x:c>
      <x:c r="H30" s="32"/>
      <x:c r="I30" s="32"/>
      <x:c r="J30" s="32" t="str">
        <x:v>BLOCKED</x:v>
      </x:c>
      <x:c r="K30" s="32" t="str">
        <x:v>BLOCKED</x:v>
      </x:c>
      <x:c r="L30" s="32" t="str">
        <x:v>Owner / Procurement</x:v>
      </x:c>
      <x:c r="M30" s="32" t="str">
        <x:v>Получить минимум 3 КП HoReCa с фасовкой, доставкой, MOQ и НДС</x:v>
      </x:c>
    </x:row>
    <x:row r="31">
      <x:c r="A31" s="32" t="str">
        <x:v>ING-026</x:v>
      </x:c>
      <x:c r="B31" s="32" t="str">
        <x:v>Яйцо или меланж</x:v>
      </x:c>
      <x:c r="C31" s="32" t="n">
        <x:v>391</x:v>
      </x:c>
      <x:c r="D31" s="32" t="str">
        <x:v>NO</x:v>
      </x:c>
      <x:c r="E31" s="39" t="n">
        <x:v>401.666667</x:v>
      </x:c>
      <x:c r="F31" s="32" t="str">
        <x:v>median_public_observation</x:v>
      </x:c>
      <x:c r="G31" s="32" t="n">
        <x:v>1</x:v>
      </x:c>
      <x:c r="H31" s="32" t="str">
        <x:v>PSR-0009</x:v>
      </x:c>
      <x:c r="I31" s="32" t="str">
        <x:v>2026-08-03</x:v>
      </x:c>
      <x:c r="J31" s="32" t="str">
        <x:v>ESTIMATE</x:v>
      </x:c>
      <x:c r="K31" s="32" t="str">
        <x:v>LOW_CONFIDENCE</x:v>
      </x:c>
      <x:c r="L31" s="32" t="str">
        <x:v>Owner / Procurement</x:v>
      </x:c>
      <x:c r="M31" s="32" t="str">
        <x:v>Получить минимум 3 КП HoReCa с фасовкой, доставкой, MOQ и НДС</x:v>
      </x:c>
    </x:row>
    <x:row r="32">
      <x:c r="A32" s="32" t="str">
        <x:v>ING-027</x:v>
      </x:c>
      <x:c r="B32" s="32" t="str">
        <x:v>Масло сливочное</x:v>
      </x:c>
      <x:c r="C32" s="32" t="n">
        <x:v>490</x:v>
      </x:c>
      <x:c r="D32" s="32" t="str">
        <x:v>YES</x:v>
      </x:c>
      <x:c r="E32" s="39" t="n">
        <x:v>1111.055556</x:v>
      </x:c>
      <x:c r="F32" s="32" t="str">
        <x:v>median_public_observation</x:v>
      </x:c>
      <x:c r="G32" s="32" t="n">
        <x:v>1</x:v>
      </x:c>
      <x:c r="H32" s="32" t="str">
        <x:v>PSR-0010</x:v>
      </x:c>
      <x:c r="I32" s="32" t="str">
        <x:v>2026-08-03</x:v>
      </x:c>
      <x:c r="J32" s="32" t="str">
        <x:v>ESTIMATE</x:v>
      </x:c>
      <x:c r="K32" s="32" t="str">
        <x:v>LOW_CONFIDENCE</x:v>
      </x:c>
      <x:c r="L32" s="32" t="str">
        <x:v>Owner / Procurement</x:v>
      </x:c>
      <x:c r="M32" s="32" t="str">
        <x:v>Получить минимум 3 КП HoReCa с фасовкой, доставкой, MOQ и НДС</x:v>
      </x:c>
    </x:row>
    <x:row r="33">
      <x:c r="A33" s="32" t="str">
        <x:v>ING-028</x:v>
      </x:c>
      <x:c r="B33" s="32" t="str">
        <x:v>Сахар</x:v>
      </x:c>
      <x:c r="C33" s="32" t="n">
        <x:v>529</x:v>
      </x:c>
      <x:c r="D33" s="32" t="str">
        <x:v>NO</x:v>
      </x:c>
      <x:c r="E33" s="39" t="n">
        <x:v>99.99</x:v>
      </x:c>
      <x:c r="F33" s="32" t="str">
        <x:v>median_public_observation</x:v>
      </x:c>
      <x:c r="G33" s="32" t="n">
        <x:v>1</x:v>
      </x:c>
      <x:c r="H33" s="32" t="str">
        <x:v>PSR-0013</x:v>
      </x:c>
      <x:c r="I33" s="32" t="str">
        <x:v>2026-08-03</x:v>
      </x:c>
      <x:c r="J33" s="32" t="str">
        <x:v>ESTIMATE</x:v>
      </x:c>
      <x:c r="K33" s="32" t="str">
        <x:v>LOW_CONFIDENCE</x:v>
      </x:c>
      <x:c r="L33" s="32" t="str">
        <x:v>Owner / Procurement</x:v>
      </x:c>
      <x:c r="M33" s="32" t="str">
        <x:v>Получить минимум 3 КП HoReCa с фасовкой, доставкой, MOQ и НДС</x:v>
      </x:c>
    </x:row>
    <x:row r="34">
      <x:c r="A34" s="32" t="str">
        <x:v>ING-029</x:v>
      </x:c>
      <x:c r="B34" s="32" t="str">
        <x:v>Меланж для смазки</x:v>
      </x:c>
      <x:c r="C34" s="32" t="n">
        <x:v>1</x:v>
      </x:c>
      <x:c r="D34" s="32" t="str">
        <x:v>NO</x:v>
      </x:c>
      <x:c r="E34" s="39"/>
      <x:c r="F34" s="32"/>
      <x:c r="G34" s="32" t="n">
        <x:v>0</x:v>
      </x:c>
      <x:c r="H34" s="32"/>
      <x:c r="I34" s="32"/>
      <x:c r="J34" s="32" t="str">
        <x:v>BLOCKED</x:v>
      </x:c>
      <x:c r="K34" s="32" t="str">
        <x:v>BLOCKED</x:v>
      </x:c>
      <x:c r="L34" s="32" t="str">
        <x:v>Owner / Procurement</x:v>
      </x:c>
      <x:c r="M34" s="32" t="str">
        <x:v>Получить минимум 3 КП HoReCa с фасовкой, доставкой, MOQ и НДС</x:v>
      </x:c>
    </x:row>
    <x:row r="35">
      <x:c r="A35" s="32" t="str">
        <x:v>ING-030</x:v>
      </x:c>
      <x:c r="B35" s="32" t="str">
        <x:v>Буррата</x:v>
      </x:c>
      <x:c r="C35" s="32" t="n">
        <x:v>125</x:v>
      </x:c>
      <x:c r="D35" s="32" t="str">
        <x:v>YES</x:v>
      </x:c>
      <x:c r="E35" s="39" t="n">
        <x:v>1536.593333</x:v>
      </x:c>
      <x:c r="F35" s="32" t="str">
        <x:v>median_public_observation</x:v>
      </x:c>
      <x:c r="G35" s="32" t="n">
        <x:v>4</x:v>
      </x:c>
      <x:c r="H35" s="32" t="str">
        <x:v>PSR-0025;PSR-0026;PSR-0027;PSR-0028</x:v>
      </x:c>
      <x:c r="I35" s="32" t="str">
        <x:v>2026-08-03</x:v>
      </x:c>
      <x:c r="J35" s="32" t="str">
        <x:v>ESTIMATE</x:v>
      </x:c>
      <x:c r="K35" s="32" t="str">
        <x:v>MEDIUM</x:v>
      </x:c>
      <x:c r="L35" s="32" t="str">
        <x:v>Owner / Procurement</x:v>
      </x:c>
      <x:c r="M35" s="32" t="str">
        <x:v>Сверить с КП и выбрать поставщика</x:v>
      </x:c>
    </x:row>
    <x:row r="36">
      <x:c r="A36" s="32" t="str">
        <x:v>ING-031</x:v>
      </x:c>
      <x:c r="B36" s="32" t="str">
        <x:v>Томаты свежие</x:v>
      </x:c>
      <x:c r="C36" s="32" t="n">
        <x:v>264</x:v>
      </x:c>
      <x:c r="D36" s="32" t="str">
        <x:v>NO</x:v>
      </x:c>
      <x:c r="E36" s="39"/>
      <x:c r="F36" s="32"/>
      <x:c r="G36" s="32" t="n">
        <x:v>0</x:v>
      </x:c>
      <x:c r="H36" s="32"/>
      <x:c r="I36" s="32"/>
      <x:c r="J36" s="32" t="str">
        <x:v>BLOCKED</x:v>
      </x:c>
      <x:c r="K36" s="32" t="str">
        <x:v>BLOCKED</x:v>
      </x:c>
      <x:c r="L36" s="32" t="str">
        <x:v>Owner / Procurement</x:v>
      </x:c>
      <x:c r="M36" s="32" t="str">
        <x:v>Получить минимум 3 КП HoReCa с фасовкой, доставкой, MOQ и НДС</x:v>
      </x:c>
    </x:row>
    <x:row r="37">
      <x:c r="A37" s="32" t="str">
        <x:v>ING-032</x:v>
      </x:c>
      <x:c r="B37" s="32" t="str">
        <x:v>Уксус бальзамический</x:v>
      </x:c>
      <x:c r="C37" s="32" t="n">
        <x:v>3</x:v>
      </x:c>
      <x:c r="D37" s="32" t="str">
        <x:v>NO</x:v>
      </x:c>
      <x:c r="E37" s="39"/>
      <x:c r="F37" s="32"/>
      <x:c r="G37" s="32" t="n">
        <x:v>0</x:v>
      </x:c>
      <x:c r="H37" s="32"/>
      <x:c r="I37" s="32"/>
      <x:c r="J37" s="32" t="str">
        <x:v>BLOCKED</x:v>
      </x:c>
      <x:c r="K37" s="32" t="str">
        <x:v>BLOCKED</x:v>
      </x:c>
      <x:c r="L37" s="32" t="str">
        <x:v>Owner / Procurement</x:v>
      </x:c>
      <x:c r="M37" s="32" t="str">
        <x:v>Получить минимум 3 КП HoReCa с фасовкой, доставкой, MOQ и НДС</x:v>
      </x:c>
    </x:row>
    <x:row r="38">
      <x:c r="A38" s="32" t="str">
        <x:v>ING-033</x:v>
      </x:c>
      <x:c r="B38" s="32" t="str">
        <x:v>Соль и специи</x:v>
      </x:c>
      <x:c r="C38" s="32" t="n">
        <x:v>8</x:v>
      </x:c>
      <x:c r="D38" s="32" t="str">
        <x:v>NO</x:v>
      </x:c>
      <x:c r="E38" s="39"/>
      <x:c r="F38" s="32"/>
      <x:c r="G38" s="32" t="n">
        <x:v>0</x:v>
      </x:c>
      <x:c r="H38" s="32"/>
      <x:c r="I38" s="32"/>
      <x:c r="J38" s="32" t="str">
        <x:v>BLOCKED</x:v>
      </x:c>
      <x:c r="K38" s="32" t="str">
        <x:v>BLOCKED</x:v>
      </x:c>
      <x:c r="L38" s="32" t="str">
        <x:v>Owner / Procurement</x:v>
      </x:c>
      <x:c r="M38" s="32" t="str">
        <x:v>Получить минимум 3 КП HoReCa с фасовкой, доставкой, MOQ и НДС</x:v>
      </x:c>
    </x:row>
    <x:row r="39">
      <x:c r="A39" s="32" t="str">
        <x:v>ING-034</x:v>
      </x:c>
      <x:c r="B39" s="32" t="str">
        <x:v>Салатная зелень</x:v>
      </x:c>
      <x:c r="C39" s="32" t="n">
        <x:v>29</x:v>
      </x:c>
      <x:c r="D39" s="32" t="str">
        <x:v>NO</x:v>
      </x:c>
      <x:c r="E39" s="39"/>
      <x:c r="F39" s="32"/>
      <x:c r="G39" s="32" t="n">
        <x:v>0</x:v>
      </x:c>
      <x:c r="H39" s="32"/>
      <x:c r="I39" s="32"/>
      <x:c r="J39" s="32" t="str">
        <x:v>BLOCKED</x:v>
      </x:c>
      <x:c r="K39" s="32" t="str">
        <x:v>BLOCKED</x:v>
      </x:c>
      <x:c r="L39" s="32" t="str">
        <x:v>Owner / Procurement</x:v>
      </x:c>
      <x:c r="M39" s="32" t="str">
        <x:v>Получить минимум 3 КП HoReCa с фасовкой, доставкой, MOQ и НДС</x:v>
      </x:c>
    </x:row>
    <x:row r="40">
      <x:c r="A40" s="32" t="str">
        <x:v>ING-035</x:v>
      </x:c>
      <x:c r="B40" s="32" t="str">
        <x:v>Салатный микс</x:v>
      </x:c>
      <x:c r="C40" s="32" t="n">
        <x:v>90</x:v>
      </x:c>
      <x:c r="D40" s="32" t="str">
        <x:v>NO</x:v>
      </x:c>
      <x:c r="E40" s="39"/>
      <x:c r="F40" s="32"/>
      <x:c r="G40" s="32" t="n">
        <x:v>0</x:v>
      </x:c>
      <x:c r="H40" s="32"/>
      <x:c r="I40" s="32"/>
      <x:c r="J40" s="32" t="str">
        <x:v>BLOCKED</x:v>
      </x:c>
      <x:c r="K40" s="32" t="str">
        <x:v>BLOCKED</x:v>
      </x:c>
      <x:c r="L40" s="32" t="str">
        <x:v>Owner / Procurement</x:v>
      </x:c>
      <x:c r="M40" s="32" t="str">
        <x:v>Получить минимум 3 КП HoReCa с фасовкой, доставкой, MOQ и НДС</x:v>
      </x:c>
    </x:row>
    <x:row r="41">
      <x:c r="A41" s="32" t="str">
        <x:v>ING-036</x:v>
      </x:c>
      <x:c r="B41" s="32" t="str">
        <x:v>Креветки очищенные</x:v>
      </x:c>
      <x:c r="C41" s="32" t="n">
        <x:v>250</x:v>
      </x:c>
      <x:c r="D41" s="32" t="str">
        <x:v>YES</x:v>
      </x:c>
      <x:c r="E41" s="39" t="n">
        <x:v>1659.98</x:v>
      </x:c>
      <x:c r="F41" s="32" t="str">
        <x:v>median_public_observation</x:v>
      </x:c>
      <x:c r="G41" s="32" t="n">
        <x:v>5</x:v>
      </x:c>
      <x:c r="H41" s="32" t="str">
        <x:v>PSR-0031;PSR-0032;PSR-0033;PSR-0034;PSR-0035</x:v>
      </x:c>
      <x:c r="I41" s="32" t="str">
        <x:v>2026-08-03</x:v>
      </x:c>
      <x:c r="J41" s="32" t="str">
        <x:v>ESTIMATE</x:v>
      </x:c>
      <x:c r="K41" s="32" t="str">
        <x:v>MEDIUM</x:v>
      </x:c>
      <x:c r="L41" s="32" t="str">
        <x:v>Owner / Procurement</x:v>
      </x:c>
      <x:c r="M41" s="32" t="str">
        <x:v>Сверить с КП и выбрать поставщика</x:v>
      </x:c>
    </x:row>
    <x:row r="42">
      <x:c r="A42" s="32" t="str">
        <x:v>ING-037</x:v>
      </x:c>
      <x:c r="B42" s="32" t="str">
        <x:v>Яблоко</x:v>
      </x:c>
      <x:c r="C42" s="32" t="n">
        <x:v>65</x:v>
      </x:c>
      <x:c r="D42" s="32" t="str">
        <x:v>NO</x:v>
      </x:c>
      <x:c r="E42" s="39"/>
      <x:c r="F42" s="32"/>
      <x:c r="G42" s="32" t="n">
        <x:v>0</x:v>
      </x:c>
      <x:c r="H42" s="32"/>
      <x:c r="I42" s="32"/>
      <x:c r="J42" s="32" t="str">
        <x:v>BLOCKED</x:v>
      </x:c>
      <x:c r="K42" s="32" t="str">
        <x:v>BLOCKED</x:v>
      </x:c>
      <x:c r="L42" s="32" t="str">
        <x:v>Owner / Procurement</x:v>
      </x:c>
      <x:c r="M42" s="32" t="str">
        <x:v>Получить минимум 3 КП HoReCa с фасовкой, доставкой, MOQ и НДС</x:v>
      </x:c>
    </x:row>
    <x:row r="43">
      <x:c r="A43" s="32" t="str">
        <x:v>ING-038</x:v>
      </x:c>
      <x:c r="B43" s="32" t="str">
        <x:v>Огурец свежий</x:v>
      </x:c>
      <x:c r="C43" s="32" t="n">
        <x:v>160</x:v>
      </x:c>
      <x:c r="D43" s="32" t="str">
        <x:v>NO</x:v>
      </x:c>
      <x:c r="E43" s="39"/>
      <x:c r="F43" s="32"/>
      <x:c r="G43" s="32" t="n">
        <x:v>0</x:v>
      </x:c>
      <x:c r="H43" s="32"/>
      <x:c r="I43" s="32"/>
      <x:c r="J43" s="32" t="str">
        <x:v>BLOCKED</x:v>
      </x:c>
      <x:c r="K43" s="32" t="str">
        <x:v>BLOCKED</x:v>
      </x:c>
      <x:c r="L43" s="32" t="str">
        <x:v>Owner / Procurement</x:v>
      </x:c>
      <x:c r="M43" s="32" t="str">
        <x:v>Получить минимум 3 КП HoReCa с фасовкой, доставкой, MOQ и НДС</x:v>
      </x:c>
    </x:row>
    <x:row r="44">
      <x:c r="A44" s="32" t="str">
        <x:v>ING-039</x:v>
      </x:c>
      <x:c r="B44" s="32" t="str">
        <x:v>Сок лимона</x:v>
      </x:c>
      <x:c r="C44" s="32" t="n">
        <x:v>10</x:v>
      </x:c>
      <x:c r="D44" s="32" t="str">
        <x:v>NO</x:v>
      </x:c>
      <x:c r="E44" s="39"/>
      <x:c r="F44" s="32"/>
      <x:c r="G44" s="32" t="n">
        <x:v>0</x:v>
      </x:c>
      <x:c r="H44" s="32"/>
      <x:c r="I44" s="32"/>
      <x:c r="J44" s="32" t="str">
        <x:v>BLOCKED</x:v>
      </x:c>
      <x:c r="K44" s="32" t="str">
        <x:v>BLOCKED</x:v>
      </x:c>
      <x:c r="L44" s="32" t="str">
        <x:v>Owner / Procurement</x:v>
      </x:c>
      <x:c r="M44" s="32" t="str">
        <x:v>Получить минимум 3 КП HoReCa с фасовкой, доставкой, MOQ и НДС</x:v>
      </x:c>
    </x:row>
    <x:row r="45">
      <x:c r="A45" s="32" t="str">
        <x:v>ING-040</x:v>
      </x:c>
      <x:c r="B45" s="32" t="str">
        <x:v>Мёд</x:v>
      </x:c>
      <x:c r="C45" s="32" t="n">
        <x:v>18</x:v>
      </x:c>
      <x:c r="D45" s="32" t="str">
        <x:v>NO</x:v>
      </x:c>
      <x:c r="E45" s="39"/>
      <x:c r="F45" s="32"/>
      <x:c r="G45" s="32" t="n">
        <x:v>0</x:v>
      </x:c>
      <x:c r="H45" s="32"/>
      <x:c r="I45" s="32"/>
      <x:c r="J45" s="32" t="str">
        <x:v>BLOCKED</x:v>
      </x:c>
      <x:c r="K45" s="32" t="str">
        <x:v>BLOCKED</x:v>
      </x:c>
      <x:c r="L45" s="32" t="str">
        <x:v>Owner / Procurement</x:v>
      </x:c>
      <x:c r="M45" s="32" t="str">
        <x:v>Получить минимум 3 КП HoReCa с фасовкой, доставкой, MOQ и НДС</x:v>
      </x:c>
    </x:row>
    <x:row r="46">
      <x:c r="A46" s="32" t="str">
        <x:v>ING-041</x:v>
      </x:c>
      <x:c r="B46" s="32" t="str">
        <x:v>Горчица</x:v>
      </x:c>
      <x:c r="C46" s="32" t="n">
        <x:v>17</x:v>
      </x:c>
      <x:c r="D46" s="32" t="str">
        <x:v>NO</x:v>
      </x:c>
      <x:c r="E46" s="39"/>
      <x:c r="F46" s="32"/>
      <x:c r="G46" s="32" t="n">
        <x:v>0</x:v>
      </x:c>
      <x:c r="H46" s="32"/>
      <x:c r="I46" s="32"/>
      <x:c r="J46" s="32" t="str">
        <x:v>BLOCKED</x:v>
      </x:c>
      <x:c r="K46" s="32" t="str">
        <x:v>BLOCKED</x:v>
      </x:c>
      <x:c r="L46" s="32" t="str">
        <x:v>Owner / Procurement</x:v>
      </x:c>
      <x:c r="M46" s="32" t="str">
        <x:v>Получить минимум 3 КП HoReCa с фасовкой, доставкой, MOQ и НДС</x:v>
      </x:c>
    </x:row>
    <x:row r="47">
      <x:c r="A47" s="32" t="str">
        <x:v>ING-042</x:v>
      </x:c>
      <x:c r="B47" s="32" t="str">
        <x:v>Семена или ореховая крошка</x:v>
      </x:c>
      <x:c r="C47" s="32" t="n">
        <x:v>5</x:v>
      </x:c>
      <x:c r="D47" s="32" t="str">
        <x:v>NO</x:v>
      </x:c>
      <x:c r="E47" s="39"/>
      <x:c r="F47" s="32"/>
      <x:c r="G47" s="32" t="n">
        <x:v>0</x:v>
      </x:c>
      <x:c r="H47" s="32"/>
      <x:c r="I47" s="32"/>
      <x:c r="J47" s="32" t="str">
        <x:v>BLOCKED</x:v>
      </x:c>
      <x:c r="K47" s="32" t="str">
        <x:v>BLOCKED</x:v>
      </x:c>
      <x:c r="L47" s="32" t="str">
        <x:v>Owner / Procurement</x:v>
      </x:c>
      <x:c r="M47" s="32" t="str">
        <x:v>Получить минимум 3 КП HoReCa с фасовкой, доставкой, MOQ и НДС</x:v>
      </x:c>
    </x:row>
    <x:row r="48">
      <x:c r="A48" s="32" t="str">
        <x:v>ING-043</x:v>
      </x:c>
      <x:c r="B48" s="32" t="str">
        <x:v>Перец сладкий</x:v>
      </x:c>
      <x:c r="C48" s="32" t="n">
        <x:v>162</x:v>
      </x:c>
      <x:c r="D48" s="32" t="str">
        <x:v>NO</x:v>
      </x:c>
      <x:c r="E48" s="39"/>
      <x:c r="F48" s="32"/>
      <x:c r="G48" s="32" t="n">
        <x:v>0</x:v>
      </x:c>
      <x:c r="H48" s="32"/>
      <x:c r="I48" s="32"/>
      <x:c r="J48" s="32" t="str">
        <x:v>BLOCKED</x:v>
      </x:c>
      <x:c r="K48" s="32" t="str">
        <x:v>BLOCKED</x:v>
      </x:c>
      <x:c r="L48" s="32" t="str">
        <x:v>Owner / Procurement</x:v>
      </x:c>
      <x:c r="M48" s="32" t="str">
        <x:v>Получить минимум 3 КП HoReCa с фасовкой, доставкой, MOQ и НДС</x:v>
      </x:c>
    </x:row>
    <x:row r="49">
      <x:c r="A49" s="32" t="str">
        <x:v>ING-044</x:v>
      </x:c>
      <x:c r="B49" s="32" t="str">
        <x:v>Сыр фета</x:v>
      </x:c>
      <x:c r="C49" s="32" t="n">
        <x:v>50</x:v>
      </x:c>
      <x:c r="D49" s="32" t="str">
        <x:v>NO</x:v>
      </x:c>
      <x:c r="E49" s="39"/>
      <x:c r="F49" s="32"/>
      <x:c r="G49" s="32" t="n">
        <x:v>0</x:v>
      </x:c>
      <x:c r="H49" s="32"/>
      <x:c r="I49" s="32"/>
      <x:c r="J49" s="32" t="str">
        <x:v>BLOCKED</x:v>
      </x:c>
      <x:c r="K49" s="32" t="str">
        <x:v>BLOCKED</x:v>
      </x:c>
      <x:c r="L49" s="32" t="str">
        <x:v>Owner / Procurement</x:v>
      </x:c>
      <x:c r="M49" s="32" t="str">
        <x:v>Получить минимум 3 КП HoReCa с фасовкой, доставкой, MOQ и НДС</x:v>
      </x:c>
    </x:row>
    <x:row r="50">
      <x:c r="A50" s="32" t="str">
        <x:v>ING-045</x:v>
      </x:c>
      <x:c r="B50" s="32" t="str">
        <x:v>Оливки</x:v>
      </x:c>
      <x:c r="C50" s="32" t="n">
        <x:v>21</x:v>
      </x:c>
      <x:c r="D50" s="32" t="str">
        <x:v>NO</x:v>
      </x:c>
      <x:c r="E50" s="39"/>
      <x:c r="F50" s="32"/>
      <x:c r="G50" s="32" t="n">
        <x:v>0</x:v>
      </x:c>
      <x:c r="H50" s="32"/>
      <x:c r="I50" s="32"/>
      <x:c r="J50" s="32" t="str">
        <x:v>BLOCKED</x:v>
      </x:c>
      <x:c r="K50" s="32" t="str">
        <x:v>BLOCKED</x:v>
      </x:c>
      <x:c r="L50" s="32" t="str">
        <x:v>Owner / Procurement</x:v>
      </x:c>
      <x:c r="M50" s="32" t="str">
        <x:v>Получить минимум 3 КП HoReCa с фасовкой, доставкой, MOQ и НДС</x:v>
      </x:c>
    </x:row>
    <x:row r="51">
      <x:c r="A51" s="32" t="str">
        <x:v>ING-046</x:v>
      </x:c>
      <x:c r="B51" s="32" t="str">
        <x:v>Лук красный</x:v>
      </x:c>
      <x:c r="C51" s="32" t="n">
        <x:v>60</x:v>
      </x:c>
      <x:c r="D51" s="32" t="str">
        <x:v>NO</x:v>
      </x:c>
      <x:c r="E51" s="39"/>
      <x:c r="F51" s="32"/>
      <x:c r="G51" s="32" t="n">
        <x:v>0</x:v>
      </x:c>
      <x:c r="H51" s="32"/>
      <x:c r="I51" s="32"/>
      <x:c r="J51" s="32" t="str">
        <x:v>BLOCKED</x:v>
      </x:c>
      <x:c r="K51" s="32" t="str">
        <x:v>BLOCKED</x:v>
      </x:c>
      <x:c r="L51" s="32" t="str">
        <x:v>Owner / Procurement</x:v>
      </x:c>
      <x:c r="M51" s="32" t="str">
        <x:v>Получить минимум 3 КП HoReCa с фасовкой, доставкой, MOQ и НДС</x:v>
      </x:c>
    </x:row>
    <x:row r="52">
      <x:c r="A52" s="32" t="str">
        <x:v>ING-047</x:v>
      </x:c>
      <x:c r="B52" s="32" t="str">
        <x:v>Орегано и соль</x:v>
      </x:c>
      <x:c r="C52" s="32" t="n">
        <x:v>1</x:v>
      </x:c>
      <x:c r="D52" s="32" t="str">
        <x:v>NO</x:v>
      </x:c>
      <x:c r="E52" s="39"/>
      <x:c r="F52" s="32"/>
      <x:c r="G52" s="32" t="n">
        <x:v>0</x:v>
      </x:c>
      <x:c r="H52" s="32"/>
      <x:c r="I52" s="32"/>
      <x:c r="J52" s="32" t="str">
        <x:v>BLOCKED</x:v>
      </x:c>
      <x:c r="K52" s="32" t="str">
        <x:v>BLOCKED</x:v>
      </x:c>
      <x:c r="L52" s="32" t="str">
        <x:v>Owner / Procurement</x:v>
      </x:c>
      <x:c r="M52" s="32" t="str">
        <x:v>Получить минимум 3 КП HoReCa с фасовкой, доставкой, MOQ и НДС</x:v>
      </x:c>
    </x:row>
    <x:row r="53">
      <x:c r="A53" s="32" t="str">
        <x:v>ING-048</x:v>
      </x:c>
      <x:c r="B53" s="32" t="str">
        <x:v>Свёкла отварная</x:v>
      </x:c>
      <x:c r="C53" s="32" t="n">
        <x:v>95</x:v>
      </x:c>
      <x:c r="D53" s="32" t="str">
        <x:v>NO</x:v>
      </x:c>
      <x:c r="E53" s="39"/>
      <x:c r="F53" s="32"/>
      <x:c r="G53" s="32" t="n">
        <x:v>0</x:v>
      </x:c>
      <x:c r="H53" s="32"/>
      <x:c r="I53" s="32"/>
      <x:c r="J53" s="32" t="str">
        <x:v>BLOCKED</x:v>
      </x:c>
      <x:c r="K53" s="32" t="str">
        <x:v>BLOCKED</x:v>
      </x:c>
      <x:c r="L53" s="32" t="str">
        <x:v>Owner / Procurement</x:v>
      </x:c>
      <x:c r="M53" s="32" t="str">
        <x:v>Получить минимум 3 КП HoReCa с фасовкой, доставкой, MOQ и НДС</x:v>
      </x:c>
    </x:row>
    <x:row r="54">
      <x:c r="A54" s="32" t="str">
        <x:v>ING-049</x:v>
      </x:c>
      <x:c r="B54" s="32" t="str">
        <x:v>Картофель отварной</x:v>
      </x:c>
      <x:c r="C54" s="32" t="n">
        <x:v>65</x:v>
      </x:c>
      <x:c r="D54" s="32" t="str">
        <x:v>NO</x:v>
      </x:c>
      <x:c r="E54" s="39"/>
      <x:c r="F54" s="32"/>
      <x:c r="G54" s="32" t="n">
        <x:v>0</x:v>
      </x:c>
      <x:c r="H54" s="32"/>
      <x:c r="I54" s="32"/>
      <x:c r="J54" s="32" t="str">
        <x:v>BLOCKED</x:v>
      </x:c>
      <x:c r="K54" s="32" t="str">
        <x:v>BLOCKED</x:v>
      </x:c>
      <x:c r="L54" s="32" t="str">
        <x:v>Owner / Procurement</x:v>
      </x:c>
      <x:c r="M54" s="32" t="str">
        <x:v>Получить минимум 3 КП HoReCa с фасовкой, доставкой, MOQ и НДС</x:v>
      </x:c>
    </x:row>
    <x:row r="55">
      <x:c r="A55" s="32" t="str">
        <x:v>ING-050</x:v>
      </x:c>
      <x:c r="B55" s="32" t="str">
        <x:v>Морковь отварная</x:v>
      </x:c>
      <x:c r="C55" s="32" t="n">
        <x:v>38</x:v>
      </x:c>
      <x:c r="D55" s="32" t="str">
        <x:v>NO</x:v>
      </x:c>
      <x:c r="E55" s="39"/>
      <x:c r="F55" s="32"/>
      <x:c r="G55" s="32" t="n">
        <x:v>0</x:v>
      </x:c>
      <x:c r="H55" s="32"/>
      <x:c r="I55" s="32"/>
      <x:c r="J55" s="32" t="str">
        <x:v>BLOCKED</x:v>
      </x:c>
      <x:c r="K55" s="32" t="str">
        <x:v>BLOCKED</x:v>
      </x:c>
      <x:c r="L55" s="32" t="str">
        <x:v>Owner / Procurement</x:v>
      </x:c>
      <x:c r="M55" s="32" t="str">
        <x:v>Получить минимум 3 КП HoReCa с фасовкой, доставкой, MOQ и НДС</x:v>
      </x:c>
    </x:row>
    <x:row r="56">
      <x:c r="A56" s="32" t="str">
        <x:v>ING-051</x:v>
      </x:c>
      <x:c r="B56" s="32" t="str">
        <x:v>Огурец солёный</x:v>
      </x:c>
      <x:c r="C56" s="32" t="n">
        <x:v>57</x:v>
      </x:c>
      <x:c r="D56" s="32" t="str">
        <x:v>NO</x:v>
      </x:c>
      <x:c r="E56" s="39"/>
      <x:c r="F56" s="32"/>
      <x:c r="G56" s="32" t="n">
        <x:v>0</x:v>
      </x:c>
      <x:c r="H56" s="32"/>
      <x:c r="I56" s="32"/>
      <x:c r="J56" s="32" t="str">
        <x:v>BLOCKED</x:v>
      </x:c>
      <x:c r="K56" s="32" t="str">
        <x:v>BLOCKED</x:v>
      </x:c>
      <x:c r="L56" s="32" t="str">
        <x:v>Owner / Procurement</x:v>
      </x:c>
      <x:c r="M56" s="32" t="str">
        <x:v>Получить минимум 3 КП HoReCa с фасовкой, доставкой, MOQ и НДС</x:v>
      </x:c>
    </x:row>
    <x:row r="57">
      <x:c r="A57" s="32" t="str">
        <x:v>ING-052</x:v>
      </x:c>
      <x:c r="B57" s="32" t="str">
        <x:v>Капуста квашеная</x:v>
      </x:c>
      <x:c r="C57" s="32" t="n">
        <x:v>28</x:v>
      </x:c>
      <x:c r="D57" s="32" t="str">
        <x:v>NO</x:v>
      </x:c>
      <x:c r="E57" s="39"/>
      <x:c r="F57" s="32"/>
      <x:c r="G57" s="32" t="n">
        <x:v>0</x:v>
      </x:c>
      <x:c r="H57" s="32"/>
      <x:c r="I57" s="32"/>
      <x:c r="J57" s="32" t="str">
        <x:v>BLOCKED</x:v>
      </x:c>
      <x:c r="K57" s="32" t="str">
        <x:v>BLOCKED</x:v>
      </x:c>
      <x:c r="L57" s="32" t="str">
        <x:v>Owner / Procurement</x:v>
      </x:c>
      <x:c r="M57" s="32" t="str">
        <x:v>Получить минимум 3 КП HoReCa с фасовкой, доставкой, MOQ и НДС</x:v>
      </x:c>
    </x:row>
    <x:row r="58">
      <x:c r="A58" s="32" t="str">
        <x:v>ING-053</x:v>
      </x:c>
      <x:c r="B58" s="32" t="str">
        <x:v>Горошек консервированный без заливки</x:v>
      </x:c>
      <x:c r="C58" s="32" t="n">
        <x:v>16</x:v>
      </x:c>
      <x:c r="D58" s="32" t="str">
        <x:v>NO</x:v>
      </x:c>
      <x:c r="E58" s="39"/>
      <x:c r="F58" s="32"/>
      <x:c r="G58" s="32" t="n">
        <x:v>0</x:v>
      </x:c>
      <x:c r="H58" s="32"/>
      <x:c r="I58" s="32"/>
      <x:c r="J58" s="32" t="str">
        <x:v>BLOCKED</x:v>
      </x:c>
      <x:c r="K58" s="32" t="str">
        <x:v>BLOCKED</x:v>
      </x:c>
      <x:c r="L58" s="32" t="str">
        <x:v>Owner / Procurement</x:v>
      </x:c>
      <x:c r="M58" s="32" t="str">
        <x:v>Получить минимум 3 КП HoReCa с фасовкой, доставкой, MOQ и НДС</x:v>
      </x:c>
    </x:row>
    <x:row r="59">
      <x:c r="A59" s="32" t="str">
        <x:v>ING-054</x:v>
      </x:c>
      <x:c r="B59" s="32" t="str">
        <x:v>Лосось слабосолёный, готовое филе</x:v>
      </x:c>
      <x:c r="C59" s="32" t="n">
        <x:v>110</x:v>
      </x:c>
      <x:c r="D59" s="32" t="str">
        <x:v>YES</x:v>
      </x:c>
      <x:c r="E59" s="39" t="n">
        <x:v>3999.966667</x:v>
      </x:c>
      <x:c r="F59" s="32" t="str">
        <x:v>median_public_observation</x:v>
      </x:c>
      <x:c r="G59" s="32" t="n">
        <x:v>3</x:v>
      </x:c>
      <x:c r="H59" s="32" t="str">
        <x:v>PSR-0038;PSR-0040;PSR-0041</x:v>
      </x:c>
      <x:c r="I59" s="32" t="str">
        <x:v>2026-08-03</x:v>
      </x:c>
      <x:c r="J59" s="32" t="str">
        <x:v>ESTIMATE</x:v>
      </x:c>
      <x:c r="K59" s="32" t="str">
        <x:v>MEDIUM</x:v>
      </x:c>
      <x:c r="L59" s="32" t="str">
        <x:v>Owner / Procurement</x:v>
      </x:c>
      <x:c r="M59" s="32" t="str">
        <x:v>Сверить с КП и выбрать поставщика</x:v>
      </x:c>
    </x:row>
    <x:row r="60">
      <x:c r="A60" s="32" t="str">
        <x:v>ING-055</x:v>
      </x:c>
      <x:c r="B60" s="32" t="str">
        <x:v>Лимон</x:v>
      </x:c>
      <x:c r="C60" s="32" t="n">
        <x:v>13</x:v>
      </x:c>
      <x:c r="D60" s="32" t="str">
        <x:v>NO</x:v>
      </x:c>
      <x:c r="E60" s="39"/>
      <x:c r="F60" s="32"/>
      <x:c r="G60" s="32" t="n">
        <x:v>0</x:v>
      </x:c>
      <x:c r="H60" s="32"/>
      <x:c r="I60" s="32"/>
      <x:c r="J60" s="32" t="str">
        <x:v>BLOCKED</x:v>
      </x:c>
      <x:c r="K60" s="32" t="str">
        <x:v>BLOCKED</x:v>
      </x:c>
      <x:c r="L60" s="32" t="str">
        <x:v>Owner / Procurement</x:v>
      </x:c>
      <x:c r="M60" s="32" t="str">
        <x:v>Получить минимум 3 КП HoReCa с фасовкой, доставкой, MOQ и НДС</x:v>
      </x:c>
    </x:row>
    <x:row r="61">
      <x:c r="A61" s="32" t="str">
        <x:v>ING-056</x:v>
      </x:c>
      <x:c r="B61" s="32" t="str">
        <x:v>Каперсы</x:v>
      </x:c>
      <x:c r="C61" s="32" t="n">
        <x:v>6</x:v>
      </x:c>
      <x:c r="D61" s="32" t="str">
        <x:v>NO</x:v>
      </x:c>
      <x:c r="E61" s="39"/>
      <x:c r="F61" s="32"/>
      <x:c r="G61" s="32" t="n">
        <x:v>0</x:v>
      </x:c>
      <x:c r="H61" s="32"/>
      <x:c r="I61" s="32"/>
      <x:c r="J61" s="32" t="str">
        <x:v>BLOCKED</x:v>
      </x:c>
      <x:c r="K61" s="32" t="str">
        <x:v>BLOCKED</x:v>
      </x:c>
      <x:c r="L61" s="32" t="str">
        <x:v>Owner / Procurement</x:v>
      </x:c>
      <x:c r="M61" s="32" t="str">
        <x:v>Получить минимум 3 КП HoReCa с фасовкой, доставкой, MOQ и НДС</x:v>
      </x:c>
    </x:row>
    <x:row r="62">
      <x:c r="A62" s="32" t="str">
        <x:v>ING-057</x:v>
      </x:c>
      <x:c r="B62" s="32" t="str">
        <x:v>Сельдь, филе</x:v>
      </x:c>
      <x:c r="C62" s="32" t="n">
        <x:v>110</x:v>
      </x:c>
      <x:c r="D62" s="32" t="str">
        <x:v>NO</x:v>
      </x:c>
      <x:c r="E62" s="39"/>
      <x:c r="F62" s="32"/>
      <x:c r="G62" s="32" t="n">
        <x:v>0</x:v>
      </x:c>
      <x:c r="H62" s="32"/>
      <x:c r="I62" s="32"/>
      <x:c r="J62" s="32" t="str">
        <x:v>BLOCKED</x:v>
      </x:c>
      <x:c r="K62" s="32" t="str">
        <x:v>BLOCKED</x:v>
      </x:c>
      <x:c r="L62" s="32" t="str">
        <x:v>Owner / Procurement</x:v>
      </x:c>
      <x:c r="M62" s="32" t="str">
        <x:v>Получить минимум 3 КП HoReCa с фасовкой, доставкой, MOQ и НДС</x:v>
      </x:c>
    </x:row>
    <x:row r="63">
      <x:c r="A63" s="32" t="str">
        <x:v>ING-058</x:v>
      </x:c>
      <x:c r="B63" s="32" t="str">
        <x:v>Картофель запечённый</x:v>
      </x:c>
      <x:c r="C63" s="32" t="n">
        <x:v>135</x:v>
      </x:c>
      <x:c r="D63" s="32" t="str">
        <x:v>NO</x:v>
      </x:c>
      <x:c r="E63" s="39"/>
      <x:c r="F63" s="32"/>
      <x:c r="G63" s="32" t="n">
        <x:v>0</x:v>
      </x:c>
      <x:c r="H63" s="32"/>
      <x:c r="I63" s="32"/>
      <x:c r="J63" s="32" t="str">
        <x:v>BLOCKED</x:v>
      </x:c>
      <x:c r="K63" s="32" t="str">
        <x:v>BLOCKED</x:v>
      </x:c>
      <x:c r="L63" s="32" t="str">
        <x:v>Owner / Procurement</x:v>
      </x:c>
      <x:c r="M63" s="32" t="str">
        <x:v>Получить минимум 3 КП HoReCa с фасовкой, доставкой, MOQ и НДС</x:v>
      </x:c>
    </x:row>
    <x:row r="64">
      <x:c r="A64" s="32" t="str">
        <x:v>ING-059</x:v>
      </x:c>
      <x:c r="B64" s="32" t="str">
        <x:v>Зелень</x:v>
      </x:c>
      <x:c r="C64" s="32" t="n">
        <x:v>26.5</x:v>
      </x:c>
      <x:c r="D64" s="32" t="str">
        <x:v>NO</x:v>
      </x:c>
      <x:c r="E64" s="39"/>
      <x:c r="F64" s="32"/>
      <x:c r="G64" s="32" t="n">
        <x:v>0</x:v>
      </x:c>
      <x:c r="H64" s="32"/>
      <x:c r="I64" s="32"/>
      <x:c r="J64" s="32" t="str">
        <x:v>BLOCKED</x:v>
      </x:c>
      <x:c r="K64" s="32" t="str">
        <x:v>BLOCKED</x:v>
      </x:c>
      <x:c r="L64" s="32" t="str">
        <x:v>Owner / Procurement</x:v>
      </x:c>
      <x:c r="M64" s="32" t="str">
        <x:v>Получить минимум 3 КП HoReCa с фасовкой, доставкой, MOQ и НДС</x:v>
      </x:c>
    </x:row>
    <x:row r="65">
      <x:c r="A65" s="32" t="str">
        <x:v>ING-060</x:v>
      </x:c>
      <x:c r="B65" s="32" t="str">
        <x:v>Оливки зелёные без заливки</x:v>
      </x:c>
      <x:c r="C65" s="32" t="n">
        <x:v>65</x:v>
      </x:c>
      <x:c r="D65" s="32" t="str">
        <x:v>NO</x:v>
      </x:c>
      <x:c r="E65" s="39"/>
      <x:c r="F65" s="32"/>
      <x:c r="G65" s="32" t="n">
        <x:v>0</x:v>
      </x:c>
      <x:c r="H65" s="32"/>
      <x:c r="I65" s="32"/>
      <x:c r="J65" s="32" t="str">
        <x:v>BLOCKED</x:v>
      </x:c>
      <x:c r="K65" s="32" t="str">
        <x:v>BLOCKED</x:v>
      </x:c>
      <x:c r="L65" s="32" t="str">
        <x:v>Owner / Procurement</x:v>
      </x:c>
      <x:c r="M65" s="32" t="str">
        <x:v>Получить минимум 3 КП HoReCa с фасовкой, доставкой, MOQ и НДС</x:v>
      </x:c>
    </x:row>
    <x:row r="66">
      <x:c r="A66" s="32" t="str">
        <x:v>ING-061</x:v>
      </x:c>
      <x:c r="B66" s="32" t="str">
        <x:v>Маслины без заливки</x:v>
      </x:c>
      <x:c r="C66" s="32" t="n">
        <x:v>65</x:v>
      </x:c>
      <x:c r="D66" s="32" t="str">
        <x:v>NO</x:v>
      </x:c>
      <x:c r="E66" s="39"/>
      <x:c r="F66" s="32"/>
      <x:c r="G66" s="32" t="n">
        <x:v>0</x:v>
      </x:c>
      <x:c r="H66" s="32"/>
      <x:c r="I66" s="32"/>
      <x:c r="J66" s="32" t="str">
        <x:v>BLOCKED</x:v>
      </x:c>
      <x:c r="K66" s="32" t="str">
        <x:v>BLOCKED</x:v>
      </x:c>
      <x:c r="L66" s="32" t="str">
        <x:v>Owner / Procurement</x:v>
      </x:c>
      <x:c r="M66" s="32" t="str">
        <x:v>Получить минимум 3 КП HoReCa с фасовкой, доставкой, MOQ и НДС</x:v>
      </x:c>
    </x:row>
    <x:row r="67">
      <x:c r="A67" s="32" t="str">
        <x:v>ING-062</x:v>
      </x:c>
      <x:c r="B67" s="32" t="str">
        <x:v>Цедра цитрусовая</x:v>
      </x:c>
      <x:c r="C67" s="32" t="n">
        <x:v>5</x:v>
      </x:c>
      <x:c r="D67" s="32" t="str">
        <x:v>NO</x:v>
      </x:c>
      <x:c r="E67" s="39"/>
      <x:c r="F67" s="32"/>
      <x:c r="G67" s="32" t="n">
        <x:v>0</x:v>
      </x:c>
      <x:c r="H67" s="32"/>
      <x:c r="I67" s="32"/>
      <x:c r="J67" s="32" t="str">
        <x:v>BLOCKED</x:v>
      </x:c>
      <x:c r="K67" s="32" t="str">
        <x:v>BLOCKED</x:v>
      </x:c>
      <x:c r="L67" s="32" t="str">
        <x:v>Owner / Procurement</x:v>
      </x:c>
      <x:c r="M67" s="32" t="str">
        <x:v>Получить минимум 3 КП HoReCa с фасовкой, доставкой, MOQ и НДС</x:v>
      </x:c>
    </x:row>
    <x:row r="68">
      <x:c r="A68" s="32" t="str">
        <x:v>ING-063</x:v>
      </x:c>
      <x:c r="B68" s="32" t="str">
        <x:v>Пряные травы</x:v>
      </x:c>
      <x:c r="C68" s="32" t="n">
        <x:v>16</x:v>
      </x:c>
      <x:c r="D68" s="32" t="str">
        <x:v>NO</x:v>
      </x:c>
      <x:c r="E68" s="39"/>
      <x:c r="F68" s="32"/>
      <x:c r="G68" s="32" t="n">
        <x:v>0</x:v>
      </x:c>
      <x:c r="H68" s="32"/>
      <x:c r="I68" s="32"/>
      <x:c r="J68" s="32" t="str">
        <x:v>BLOCKED</x:v>
      </x:c>
      <x:c r="K68" s="32" t="str">
        <x:v>BLOCKED</x:v>
      </x:c>
      <x:c r="L68" s="32" t="str">
        <x:v>Owner / Procurement</x:v>
      </x:c>
      <x:c r="M68" s="32" t="str">
        <x:v>Получить минимум 3 КП HoReCa с фасовкой, доставкой, MOQ и НДС</x:v>
      </x:c>
    </x:row>
    <x:row r="69">
      <x:c r="A69" s="32" t="str">
        <x:v>ING-064</x:v>
      </x:c>
      <x:c r="B69" s="32" t="str">
        <x:v>Капуста белокочанная</x:v>
      </x:c>
      <x:c r="C69" s="32" t="n">
        <x:v>102</x:v>
      </x:c>
      <x:c r="D69" s="32" t="str">
        <x:v>NO</x:v>
      </x:c>
      <x:c r="E69" s="39"/>
      <x:c r="F69" s="32"/>
      <x:c r="G69" s="32" t="n">
        <x:v>0</x:v>
      </x:c>
      <x:c r="H69" s="32"/>
      <x:c r="I69" s="32"/>
      <x:c r="J69" s="32" t="str">
        <x:v>BLOCKED</x:v>
      </x:c>
      <x:c r="K69" s="32" t="str">
        <x:v>BLOCKED</x:v>
      </x:c>
      <x:c r="L69" s="32" t="str">
        <x:v>Owner / Procurement</x:v>
      </x:c>
      <x:c r="M69" s="32" t="str">
        <x:v>Получить минимум 3 КП HoReCa с фасовкой, доставкой, MOQ и НДС</x:v>
      </x:c>
    </x:row>
    <x:row r="70">
      <x:c r="A70" s="32" t="str">
        <x:v>ING-065</x:v>
      </x:c>
      <x:c r="B70" s="32" t="str">
        <x:v>Уксус пищевой</x:v>
      </x:c>
      <x:c r="C70" s="32" t="n">
        <x:v>5</x:v>
      </x:c>
      <x:c r="D70" s="32" t="str">
        <x:v>NO</x:v>
      </x:c>
      <x:c r="E70" s="39"/>
      <x:c r="F70" s="32"/>
      <x:c r="G70" s="32" t="n">
        <x:v>0</x:v>
      </x:c>
      <x:c r="H70" s="32"/>
      <x:c r="I70" s="32"/>
      <x:c r="J70" s="32" t="str">
        <x:v>BLOCKED</x:v>
      </x:c>
      <x:c r="K70" s="32" t="str">
        <x:v>BLOCKED</x:v>
      </x:c>
      <x:c r="L70" s="32" t="str">
        <x:v>Owner / Procurement</x:v>
      </x:c>
      <x:c r="M70" s="32" t="str">
        <x:v>Получить минимум 3 КП HoReCa с фасовкой, доставкой, MOQ и НДС</x:v>
      </x:c>
    </x:row>
    <x:row r="71">
      <x:c r="A71" s="32" t="str">
        <x:v>ING-066</x:v>
      </x:c>
      <x:c r="B71" s="32" t="str">
        <x:v>Ростбиф охлаждённый готовый</x:v>
      </x:c>
      <x:c r="C71" s="32" t="n">
        <x:v>115</x:v>
      </x:c>
      <x:c r="D71" s="32" t="str">
        <x:v>NO</x:v>
      </x:c>
      <x:c r="E71" s="39"/>
      <x:c r="F71" s="32"/>
      <x:c r="G71" s="32" t="n">
        <x:v>0</x:v>
      </x:c>
      <x:c r="H71" s="32"/>
      <x:c r="I71" s="32"/>
      <x:c r="J71" s="32" t="str">
        <x:v>BLOCKED</x:v>
      </x:c>
      <x:c r="K71" s="32" t="str">
        <x:v>BLOCKED</x:v>
      </x:c>
      <x:c r="L71" s="32" t="str">
        <x:v>Owner / Procurement</x:v>
      </x:c>
      <x:c r="M71" s="32" t="str">
        <x:v>Получить минимум 3 КП HoReCa с фасовкой, доставкой, MOQ и НДС</x:v>
      </x:c>
    </x:row>
    <x:row r="72">
      <x:c r="A72" s="32" t="str">
        <x:v>ING-067</x:v>
      </x:c>
      <x:c r="B72" s="32" t="str">
        <x:v>Хлеб для гренки</x:v>
      </x:c>
      <x:c r="C72" s="32" t="n">
        <x:v>34</x:v>
      </x:c>
      <x:c r="D72" s="32" t="str">
        <x:v>NO</x:v>
      </x:c>
      <x:c r="E72" s="39"/>
      <x:c r="F72" s="32"/>
      <x:c r="G72" s="32" t="n">
        <x:v>0</x:v>
      </x:c>
      <x:c r="H72" s="32"/>
      <x:c r="I72" s="32"/>
      <x:c r="J72" s="32" t="str">
        <x:v>BLOCKED</x:v>
      </x:c>
      <x:c r="K72" s="32" t="str">
        <x:v>BLOCKED</x:v>
      </x:c>
      <x:c r="L72" s="32" t="str">
        <x:v>Owner / Procurement</x:v>
      </x:c>
      <x:c r="M72" s="32" t="str">
        <x:v>Получить минимум 3 КП HoReCa с фасовкой, доставкой, MOQ и НДС</x:v>
      </x:c>
    </x:row>
    <x:row r="73">
      <x:c r="A73" s="32" t="str">
        <x:v>ING-068</x:v>
      </x:c>
      <x:c r="B73" s="32" t="str">
        <x:v>Майонез или эмульсионный соус</x:v>
      </x:c>
      <x:c r="C73" s="32" t="n">
        <x:v>7</x:v>
      </x:c>
      <x:c r="D73" s="32" t="str">
        <x:v>NO</x:v>
      </x:c>
      <x:c r="E73" s="39"/>
      <x:c r="F73" s="32"/>
      <x:c r="G73" s="32" t="n">
        <x:v>0</x:v>
      </x:c>
      <x:c r="H73" s="32"/>
      <x:c r="I73" s="32"/>
      <x:c r="J73" s="32" t="str">
        <x:v>BLOCKED</x:v>
      </x:c>
      <x:c r="K73" s="32" t="str">
        <x:v>BLOCKED</x:v>
      </x:c>
      <x:c r="L73" s="32" t="str">
        <x:v>Owner / Procurement</x:v>
      </x:c>
      <x:c r="M73" s="32" t="str">
        <x:v>Получить минимум 3 КП HoReCa с фасовкой, доставкой, MOQ и НДС</x:v>
      </x:c>
    </x:row>
    <x:row r="74">
      <x:c r="A74" s="32" t="str">
        <x:v>ING-069</x:v>
      </x:c>
      <x:c r="B74" s="32" t="str">
        <x:v>Сок мясной или бульон</x:v>
      </x:c>
      <x:c r="C74" s="32" t="n">
        <x:v>3</x:v>
      </x:c>
      <x:c r="D74" s="32" t="str">
        <x:v>NO</x:v>
      </x:c>
      <x:c r="E74" s="39"/>
      <x:c r="F74" s="32"/>
      <x:c r="G74" s="32" t="n">
        <x:v>0</x:v>
      </x:c>
      <x:c r="H74" s="32"/>
      <x:c r="I74" s="32"/>
      <x:c r="J74" s="32" t="str">
        <x:v>BLOCKED</x:v>
      </x:c>
      <x:c r="K74" s="32" t="str">
        <x:v>BLOCKED</x:v>
      </x:c>
      <x:c r="L74" s="32" t="str">
        <x:v>Owner / Procurement</x:v>
      </x:c>
      <x:c r="M74" s="32" t="str">
        <x:v>Получить минимум 3 КП HoReCa с фасовкой, доставкой, MOQ и НДС</x:v>
      </x:c>
    </x:row>
    <x:row r="75">
      <x:c r="A75" s="32" t="str">
        <x:v>ING-070</x:v>
      </x:c>
      <x:c r="B75" s="32" t="str">
        <x:v>Бульон мясной</x:v>
      </x:c>
      <x:c r="C75" s="32" t="n">
        <x:v>160</x:v>
      </x:c>
      <x:c r="D75" s="32" t="str">
        <x:v>NO</x:v>
      </x:c>
      <x:c r="E75" s="39"/>
      <x:c r="F75" s="32"/>
      <x:c r="G75" s="32" t="n">
        <x:v>0</x:v>
      </x:c>
      <x:c r="H75" s="32"/>
      <x:c r="I75" s="32"/>
      <x:c r="J75" s="32" t="str">
        <x:v>BLOCKED</x:v>
      </x:c>
      <x:c r="K75" s="32" t="str">
        <x:v>BLOCKED</x:v>
      </x:c>
      <x:c r="L75" s="32" t="str">
        <x:v>Owner / Procurement</x:v>
      </x:c>
      <x:c r="M75" s="32" t="str">
        <x:v>Получить минимум 3 КП HoReCa с фасовкой, доставкой, MOQ и НДС</x:v>
      </x:c>
    </x:row>
    <x:row r="76">
      <x:c r="A76" s="32" t="str">
        <x:v>ING-071</x:v>
      </x:c>
      <x:c r="B76" s="32" t="str">
        <x:v>Свёкла</x:v>
      </x:c>
      <x:c r="C76" s="32" t="n">
        <x:v>78</x:v>
      </x:c>
      <x:c r="D76" s="32" t="str">
        <x:v>NO</x:v>
      </x:c>
      <x:c r="E76" s="39"/>
      <x:c r="F76" s="32"/>
      <x:c r="G76" s="32" t="n">
        <x:v>0</x:v>
      </x:c>
      <x:c r="H76" s="32"/>
      <x:c r="I76" s="32"/>
      <x:c r="J76" s="32" t="str">
        <x:v>BLOCKED</x:v>
      </x:c>
      <x:c r="K76" s="32" t="str">
        <x:v>BLOCKED</x:v>
      </x:c>
      <x:c r="L76" s="32" t="str">
        <x:v>Owner / Procurement</x:v>
      </x:c>
      <x:c r="M76" s="32" t="str">
        <x:v>Получить минимум 3 КП HoReCa с фасовкой, доставкой, MOQ и НДС</x:v>
      </x:c>
    </x:row>
    <x:row r="77">
      <x:c r="A77" s="32" t="str">
        <x:v>ING-072</x:v>
      </x:c>
      <x:c r="B77" s="32" t="str">
        <x:v>Картофель</x:v>
      </x:c>
      <x:c r="C77" s="32" t="n">
        <x:v>222</x:v>
      </x:c>
      <x:c r="D77" s="32" t="str">
        <x:v>NO</x:v>
      </x:c>
      <x:c r="E77" s="39"/>
      <x:c r="F77" s="32"/>
      <x:c r="G77" s="32" t="n">
        <x:v>0</x:v>
      </x:c>
      <x:c r="H77" s="32"/>
      <x:c r="I77" s="32"/>
      <x:c r="J77" s="32" t="str">
        <x:v>BLOCKED</x:v>
      </x:c>
      <x:c r="K77" s="32" t="str">
        <x:v>BLOCKED</x:v>
      </x:c>
      <x:c r="L77" s="32" t="str">
        <x:v>Owner / Procurement</x:v>
      </x:c>
      <x:c r="M77" s="32" t="str">
        <x:v>Получить минимум 3 КП HoReCa с фасовкой, доставкой, MOQ и НДС</x:v>
      </x:c>
    </x:row>
    <x:row r="78">
      <x:c r="A78" s="32" t="str">
        <x:v>ING-073</x:v>
      </x:c>
      <x:c r="B78" s="32" t="str">
        <x:v>Говядина отварная</x:v>
      </x:c>
      <x:c r="C78" s="32" t="n">
        <x:v>65</x:v>
      </x:c>
      <x:c r="D78" s="32" t="str">
        <x:v>NO</x:v>
      </x:c>
      <x:c r="E78" s="39"/>
      <x:c r="F78" s="32"/>
      <x:c r="G78" s="32" t="n">
        <x:v>0</x:v>
      </x:c>
      <x:c r="H78" s="32"/>
      <x:c r="I78" s="32"/>
      <x:c r="J78" s="32" t="str">
        <x:v>BLOCKED</x:v>
      </x:c>
      <x:c r="K78" s="32" t="str">
        <x:v>BLOCKED</x:v>
      </x:c>
      <x:c r="L78" s="32" t="str">
        <x:v>Owner / Procurement</x:v>
      </x:c>
      <x:c r="M78" s="32" t="str">
        <x:v>Получить минимум 3 КП HoReCa с фасовкой, доставкой, MOQ и НДС</x:v>
      </x:c>
    </x:row>
    <x:row r="79">
      <x:c r="A79" s="32" t="str">
        <x:v>ING-074</x:v>
      </x:c>
      <x:c r="B79" s="32" t="str">
        <x:v>Морковь</x:v>
      </x:c>
      <x:c r="C79" s="32" t="n">
        <x:v>19</x:v>
      </x:c>
      <x:c r="D79" s="32" t="str">
        <x:v>NO</x:v>
      </x:c>
      <x:c r="E79" s="39" t="n">
        <x:v>49.99</x:v>
      </x:c>
      <x:c r="F79" s="32" t="str">
        <x:v>median_public_observation</x:v>
      </x:c>
      <x:c r="G79" s="32" t="n">
        <x:v>1</x:v>
      </x:c>
      <x:c r="H79" s="32" t="str">
        <x:v>PSR-0044</x:v>
      </x:c>
      <x:c r="I79" s="32" t="str">
        <x:v>2026-08-03</x:v>
      </x:c>
      <x:c r="J79" s="32" t="str">
        <x:v>ESTIMATE</x:v>
      </x:c>
      <x:c r="K79" s="32" t="str">
        <x:v>LOW_CONFIDENCE</x:v>
      </x:c>
      <x:c r="L79" s="32" t="str">
        <x:v>Owner / Procurement</x:v>
      </x:c>
      <x:c r="M79" s="32" t="str">
        <x:v>Получить минимум 3 КП HoReCa с фасовкой, доставкой, MOQ и НДС</x:v>
      </x:c>
    </x:row>
    <x:row r="80">
      <x:c r="A80" s="32" t="str">
        <x:v>ING-075</x:v>
      </x:c>
      <x:c r="B80" s="32" t="str">
        <x:v>Сметана</x:v>
      </x:c>
      <x:c r="C80" s="32" t="n">
        <x:v>15</x:v>
      </x:c>
      <x:c r="D80" s="32" t="str">
        <x:v>NO</x:v>
      </x:c>
      <x:c r="E80" s="39"/>
      <x:c r="F80" s="32"/>
      <x:c r="G80" s="32" t="n">
        <x:v>0</x:v>
      </x:c>
      <x:c r="H80" s="32"/>
      <x:c r="I80" s="32"/>
      <x:c r="J80" s="32" t="str">
        <x:v>BLOCKED</x:v>
      </x:c>
      <x:c r="K80" s="32" t="str">
        <x:v>BLOCKED</x:v>
      </x:c>
      <x:c r="L80" s="32" t="str">
        <x:v>Owner / Procurement</x:v>
      </x:c>
      <x:c r="M80" s="32" t="str">
        <x:v>Получить минимум 3 КП HoReCa с фасовкой, доставкой, MOQ и НДС</x:v>
      </x:c>
    </x:row>
    <x:row r="81">
      <x:c r="A81" s="32" t="str">
        <x:v>ING-076</x:v>
      </x:c>
      <x:c r="B81" s="32" t="str">
        <x:v>Треска, филе порционное</x:v>
      </x:c>
      <x:c r="C81" s="32" t="n">
        <x:v>210</x:v>
      </x:c>
      <x:c r="D81" s="32" t="str">
        <x:v>YES</x:v>
      </x:c>
      <x:c r="E81" s="39" t="n">
        <x:v>1144.99</x:v>
      </x:c>
      <x:c r="F81" s="32" t="str">
        <x:v>median_public_observation</x:v>
      </x:c>
      <x:c r="G81" s="32" t="n">
        <x:v>4</x:v>
      </x:c>
      <x:c r="H81" s="32" t="str">
        <x:v>PSR-0046;PSR-0047;PSR-0048;PSR-0049</x:v>
      </x:c>
      <x:c r="I81" s="32" t="str">
        <x:v>2026-08-03</x:v>
      </x:c>
      <x:c r="J81" s="32" t="str">
        <x:v>ESTIMATE</x:v>
      </x:c>
      <x:c r="K81" s="32" t="str">
        <x:v>MEDIUM</x:v>
      </x:c>
      <x:c r="L81" s="32" t="str">
        <x:v>Owner / Procurement</x:v>
      </x:c>
      <x:c r="M81" s="32" t="str">
        <x:v>Сверить с КП и выбрать поставщика</x:v>
      </x:c>
    </x:row>
    <x:row r="82">
      <x:c r="A82" s="32" t="str">
        <x:v>ING-077</x:v>
      </x:c>
      <x:c r="B82" s="32" t="str">
        <x:v>Сливки</x:v>
      </x:c>
      <x:c r="C82" s="32" t="n">
        <x:v>343</x:v>
      </x:c>
      <x:c r="D82" s="32" t="str">
        <x:v>YES</x:v>
      </x:c>
      <x:c r="E82" s="39" t="n">
        <x:v>899.98</x:v>
      </x:c>
      <x:c r="F82" s="32" t="str">
        <x:v>median_public_observation</x:v>
      </x:c>
      <x:c r="G82" s="32" t="n">
        <x:v>3</x:v>
      </x:c>
      <x:c r="H82" s="32" t="str">
        <x:v>PSR-0050;PSR-0051;PSR-0052</x:v>
      </x:c>
      <x:c r="I82" s="32" t="str">
        <x:v>2026-08-03</x:v>
      </x:c>
      <x:c r="J82" s="32" t="str">
        <x:v>ESTIMATE</x:v>
      </x:c>
      <x:c r="K82" s="32" t="str">
        <x:v>MEDIUM</x:v>
      </x:c>
      <x:c r="L82" s="32" t="str">
        <x:v>Owner / Procurement</x:v>
      </x:c>
      <x:c r="M82" s="32" t="str">
        <x:v>Сверить с КП и выбрать поставщика</x:v>
      </x:c>
    </x:row>
    <x:row r="83">
      <x:c r="A83" s="32" t="str">
        <x:v>ING-078</x:v>
      </x:c>
      <x:c r="B83" s="32" t="str">
        <x:v>Бульон рыбный или овощной</x:v>
      </x:c>
      <x:c r="C83" s="32" t="n">
        <x:v>12</x:v>
      </x:c>
      <x:c r="D83" s="32" t="str">
        <x:v>NO</x:v>
      </x:c>
      <x:c r="E83" s="39"/>
      <x:c r="F83" s="32"/>
      <x:c r="G83" s="32" t="n">
        <x:v>0</x:v>
      </x:c>
      <x:c r="H83" s="32"/>
      <x:c r="I83" s="32"/>
      <x:c r="J83" s="32" t="str">
        <x:v>BLOCKED</x:v>
      </x:c>
      <x:c r="K83" s="32" t="str">
        <x:v>BLOCKED</x:v>
      </x:c>
      <x:c r="L83" s="32" t="str">
        <x:v>Owner / Procurement</x:v>
      </x:c>
      <x:c r="M83" s="32" t="str">
        <x:v>Получить минимум 3 КП HoReCa с фасовкой, доставкой, MOQ и НДС</x:v>
      </x:c>
    </x:row>
    <x:row r="84">
      <x:c r="A84" s="32" t="str">
        <x:v>ING-079</x:v>
      </x:c>
      <x:c r="B84" s="32" t="str">
        <x:v>Шпинат</x:v>
      </x:c>
      <x:c r="C84" s="32" t="n">
        <x:v>30</x:v>
      </x:c>
      <x:c r="D84" s="32" t="str">
        <x:v>NO</x:v>
      </x:c>
      <x:c r="E84" s="39"/>
      <x:c r="F84" s="32"/>
      <x:c r="G84" s="32" t="n">
        <x:v>0</x:v>
      </x:c>
      <x:c r="H84" s="32"/>
      <x:c r="I84" s="32"/>
      <x:c r="J84" s="32" t="str">
        <x:v>BLOCKED</x:v>
      </x:c>
      <x:c r="K84" s="32" t="str">
        <x:v>BLOCKED</x:v>
      </x:c>
      <x:c r="L84" s="32" t="str">
        <x:v>Owner / Procurement</x:v>
      </x:c>
      <x:c r="M84" s="32" t="str">
        <x:v>Получить минимум 3 КП HoReCa с фасовкой, доставкой, MOQ и НДС</x:v>
      </x:c>
    </x:row>
    <x:row r="85">
      <x:c r="A85" s="32" t="str">
        <x:v>ING-080</x:v>
      </x:c>
      <x:c r="B85" s="32" t="str">
        <x:v>Молоко кокосовое</x:v>
      </x:c>
      <x:c r="C85" s="32" t="n">
        <x:v>84</x:v>
      </x:c>
      <x:c r="D85" s="32" t="str">
        <x:v>NO</x:v>
      </x:c>
      <x:c r="E85" s="39"/>
      <x:c r="F85" s="32"/>
      <x:c r="G85" s="32" t="n">
        <x:v>0</x:v>
      </x:c>
      <x:c r="H85" s="32"/>
      <x:c r="I85" s="32"/>
      <x:c r="J85" s="32" t="str">
        <x:v>BLOCKED</x:v>
      </x:c>
      <x:c r="K85" s="32" t="str">
        <x:v>BLOCKED</x:v>
      </x:c>
      <x:c r="L85" s="32" t="str">
        <x:v>Owner / Procurement</x:v>
      </x:c>
      <x:c r="M85" s="32" t="str">
        <x:v>Получить минимум 3 КП HoReCa с фасовкой, доставкой, MOQ и НДС</x:v>
      </x:c>
    </x:row>
    <x:row r="86">
      <x:c r="A86" s="32" t="str">
        <x:v>ING-081</x:v>
      </x:c>
      <x:c r="B86" s="32" t="str">
        <x:v>Паста карри проектная</x:v>
      </x:c>
      <x:c r="C86" s="32" t="n">
        <x:v>15</x:v>
      </x:c>
      <x:c r="D86" s="32" t="str">
        <x:v>NO</x:v>
      </x:c>
      <x:c r="E86" s="39"/>
      <x:c r="F86" s="32"/>
      <x:c r="G86" s="32" t="n">
        <x:v>0</x:v>
      </x:c>
      <x:c r="H86" s="32"/>
      <x:c r="I86" s="32"/>
      <x:c r="J86" s="32" t="str">
        <x:v>BLOCKED</x:v>
      </x:c>
      <x:c r="K86" s="32" t="str">
        <x:v>BLOCKED</x:v>
      </x:c>
      <x:c r="L86" s="32" t="str">
        <x:v>Owner / Procurement</x:v>
      </x:c>
      <x:c r="M86" s="32" t="str">
        <x:v>Получить минимум 3 КП HoReCa с фасовкой, доставкой, MOQ и НДС</x:v>
      </x:c>
    </x:row>
    <x:row r="87">
      <x:c r="A87" s="32" t="str">
        <x:v>ING-082</x:v>
      </x:c>
      <x:c r="B87" s="32" t="str">
        <x:v>Бульон или вода</x:v>
      </x:c>
      <x:c r="C87" s="32" t="n">
        <x:v>20</x:v>
      </x:c>
      <x:c r="D87" s="32" t="str">
        <x:v>NO</x:v>
      </x:c>
      <x:c r="E87" s="39"/>
      <x:c r="F87" s="32"/>
      <x:c r="G87" s="32" t="n">
        <x:v>0</x:v>
      </x:c>
      <x:c r="H87" s="32"/>
      <x:c r="I87" s="32"/>
      <x:c r="J87" s="32" t="str">
        <x:v>BLOCKED</x:v>
      </x:c>
      <x:c r="K87" s="32" t="str">
        <x:v>BLOCKED</x:v>
      </x:c>
      <x:c r="L87" s="32" t="str">
        <x:v>Owner / Procurement</x:v>
      </x:c>
      <x:c r="M87" s="32" t="str">
        <x:v>Получить минимум 3 КП HoReCa с фасовкой, доставкой, MOQ и НДС</x:v>
      </x:c>
    </x:row>
    <x:row r="88">
      <x:c r="A88" s="32" t="str">
        <x:v>ING-083</x:v>
      </x:c>
      <x:c r="B88" s="32" t="str">
        <x:v>Соус рыбный или соевый</x:v>
      </x:c>
      <x:c r="C88" s="32" t="n">
        <x:v>10</x:v>
      </x:c>
      <x:c r="D88" s="32" t="str">
        <x:v>NO</x:v>
      </x:c>
      <x:c r="E88" s="39"/>
      <x:c r="F88" s="32"/>
      <x:c r="G88" s="32" t="n">
        <x:v>0</x:v>
      </x:c>
      <x:c r="H88" s="32"/>
      <x:c r="I88" s="32"/>
      <x:c r="J88" s="32" t="str">
        <x:v>BLOCKED</x:v>
      </x:c>
      <x:c r="K88" s="32" t="str">
        <x:v>BLOCKED</x:v>
      </x:c>
      <x:c r="L88" s="32" t="str">
        <x:v>Owner / Procurement</x:v>
      </x:c>
      <x:c r="M88" s="32" t="str">
        <x:v>Получить минимум 3 КП HoReCa с фасовкой, доставкой, MOQ и НДС</x:v>
      </x:c>
    </x:row>
    <x:row r="89">
      <x:c r="A89" s="32" t="str">
        <x:v>ING-084</x:v>
      </x:c>
      <x:c r="B89" s="32" t="str">
        <x:v>Цукини</x:v>
      </x:c>
      <x:c r="C89" s="32" t="n">
        <x:v>78</x:v>
      </x:c>
      <x:c r="D89" s="32" t="str">
        <x:v>NO</x:v>
      </x:c>
      <x:c r="E89" s="39"/>
      <x:c r="F89" s="32"/>
      <x:c r="G89" s="32" t="n">
        <x:v>0</x:v>
      </x:c>
      <x:c r="H89" s="32"/>
      <x:c r="I89" s="32"/>
      <x:c r="J89" s="32" t="str">
        <x:v>BLOCKED</x:v>
      </x:c>
      <x:c r="K89" s="32" t="str">
        <x:v>BLOCKED</x:v>
      </x:c>
      <x:c r="L89" s="32" t="str">
        <x:v>Owner / Procurement</x:v>
      </x:c>
      <x:c r="M89" s="32" t="str">
        <x:v>Получить минимум 3 КП HoReCa с фасовкой, доставкой, MOQ и НДС</x:v>
      </x:c>
    </x:row>
    <x:row r="90">
      <x:c r="A90" s="32" t="str">
        <x:v>ING-085</x:v>
      </x:c>
      <x:c r="B90" s="32" t="str">
        <x:v>Лапша рисовая подготовленная</x:v>
      </x:c>
      <x:c r="C90" s="32" t="n">
        <x:v>45</x:v>
      </x:c>
      <x:c r="D90" s="32" t="str">
        <x:v>NO</x:v>
      </x:c>
      <x:c r="E90" s="39"/>
      <x:c r="F90" s="32"/>
      <x:c r="G90" s="32" t="n">
        <x:v>0</x:v>
      </x:c>
      <x:c r="H90" s="32"/>
      <x:c r="I90" s="32"/>
      <x:c r="J90" s="32" t="str">
        <x:v>BLOCKED</x:v>
      </x:c>
      <x:c r="K90" s="32" t="str">
        <x:v>BLOCKED</x:v>
      </x:c>
      <x:c r="L90" s="32" t="str">
        <x:v>Owner / Procurement</x:v>
      </x:c>
      <x:c r="M90" s="32" t="str">
        <x:v>Получить минимум 3 КП HoReCa с фасовкой, доставкой, MOQ и НДС</x:v>
      </x:c>
    </x:row>
    <x:row r="91">
      <x:c r="A91" s="32" t="str">
        <x:v>ING-086</x:v>
      </x:c>
      <x:c r="B91" s="32" t="str">
        <x:v>Зелень и лайм</x:v>
      </x:c>
      <x:c r="C91" s="32" t="n">
        <x:v>13</x:v>
      </x:c>
      <x:c r="D91" s="32" t="str">
        <x:v>NO</x:v>
      </x:c>
      <x:c r="E91" s="39"/>
      <x:c r="F91" s="32"/>
      <x:c r="G91" s="32" t="n">
        <x:v>0</x:v>
      </x:c>
      <x:c r="H91" s="32"/>
      <x:c r="I91" s="32"/>
      <x:c r="J91" s="32" t="str">
        <x:v>BLOCKED</x:v>
      </x:c>
      <x:c r="K91" s="32" t="str">
        <x:v>BLOCKED</x:v>
      </x:c>
      <x:c r="L91" s="32" t="str">
        <x:v>Owner / Procurement</x:v>
      </x:c>
      <x:c r="M91" s="32" t="str">
        <x:v>Получить минимум 3 КП HoReCa с фасовкой, доставкой, MOQ и НДС</x:v>
      </x:c>
    </x:row>
    <x:row r="92">
      <x:c r="A92" s="32" t="str">
        <x:v>ING-087</x:v>
      </x:c>
      <x:c r="B92" s="32" t="str">
        <x:v>Бриошь VKM-008</x:v>
      </x:c>
      <x:c r="C92" s="32" t="n">
        <x:v>85</x:v>
      </x:c>
      <x:c r="D92" s="32" t="str">
        <x:v>NO</x:v>
      </x:c>
      <x:c r="E92" s="39"/>
      <x:c r="F92" s="32"/>
      <x:c r="G92" s="32" t="n">
        <x:v>0</x:v>
      </x:c>
      <x:c r="H92" s="32"/>
      <x:c r="I92" s="32"/>
      <x:c r="J92" s="32" t="str">
        <x:v>BLOCKED</x:v>
      </x:c>
      <x:c r="K92" s="32" t="str">
        <x:v>BLOCKED</x:v>
      </x:c>
      <x:c r="L92" s="32" t="str">
        <x:v>Owner / Procurement</x:v>
      </x:c>
      <x:c r="M92" s="32" t="str">
        <x:v>Получить минимум 3 КП HoReCa с фасовкой, доставкой, MOQ и НДС</x:v>
      </x:c>
    </x:row>
    <x:row r="93">
      <x:c r="A93" s="32" t="str">
        <x:v>ING-088</x:v>
      </x:c>
      <x:c r="B93" s="32" t="str">
        <x:v>Говядина для котлеты</x:v>
      </x:c>
      <x:c r="C93" s="32" t="n">
        <x:v>175</x:v>
      </x:c>
      <x:c r="D93" s="32" t="str">
        <x:v>NO</x:v>
      </x:c>
      <x:c r="E93" s="39" t="n">
        <x:v>789.99</x:v>
      </x:c>
      <x:c r="F93" s="32" t="str">
        <x:v>median_public_observation</x:v>
      </x:c>
      <x:c r="G93" s="32" t="n">
        <x:v>1</x:v>
      </x:c>
      <x:c r="H93" s="32" t="str">
        <x:v>PSR-0054</x:v>
      </x:c>
      <x:c r="I93" s="32" t="str">
        <x:v>2026-08-03</x:v>
      </x:c>
      <x:c r="J93" s="32" t="str">
        <x:v>ESTIMATE</x:v>
      </x:c>
      <x:c r="K93" s="32" t="str">
        <x:v>LOW_CONFIDENCE</x:v>
      </x:c>
      <x:c r="L93" s="32" t="str">
        <x:v>Owner / Procurement</x:v>
      </x:c>
      <x:c r="M93" s="32" t="str">
        <x:v>Получить минимум 3 КП HoReCa с фасовкой, доставкой, MOQ и НДС</x:v>
      </x:c>
    </x:row>
    <x:row r="94">
      <x:c r="A94" s="32" t="str">
        <x:v>ING-089</x:v>
      </x:c>
      <x:c r="B94" s="32" t="str">
        <x:v>Жир говяжий или иной компонент котлеты</x:v>
      </x:c>
      <x:c r="C94" s="32" t="n">
        <x:v>5</x:v>
      </x:c>
      <x:c r="D94" s="32" t="str">
        <x:v>NO</x:v>
      </x:c>
      <x:c r="E94" s="39"/>
      <x:c r="F94" s="32"/>
      <x:c r="G94" s="32" t="n">
        <x:v>0</x:v>
      </x:c>
      <x:c r="H94" s="32"/>
      <x:c r="I94" s="32"/>
      <x:c r="J94" s="32" t="str">
        <x:v>BLOCKED</x:v>
      </x:c>
      <x:c r="K94" s="32" t="str">
        <x:v>BLOCKED</x:v>
      </x:c>
      <x:c r="L94" s="32" t="str">
        <x:v>Owner / Procurement</x:v>
      </x:c>
      <x:c r="M94" s="32" t="str">
        <x:v>Получить минимум 3 КП HoReCa с фасовкой, доставкой, MOQ и НДС</x:v>
      </x:c>
    </x:row>
    <x:row r="95">
      <x:c r="A95" s="32" t="str">
        <x:v>ING-090</x:v>
      </x:c>
      <x:c r="B95" s="32" t="str">
        <x:v>Сыр ломтиковый</x:v>
      </x:c>
      <x:c r="C95" s="32" t="n">
        <x:v>20</x:v>
      </x:c>
      <x:c r="D95" s="32" t="str">
        <x:v>NO</x:v>
      </x:c>
      <x:c r="E95" s="39"/>
      <x:c r="F95" s="32"/>
      <x:c r="G95" s="32" t="n">
        <x:v>0</x:v>
      </x:c>
      <x:c r="H95" s="32"/>
      <x:c r="I95" s="32"/>
      <x:c r="J95" s="32" t="str">
        <x:v>BLOCKED</x:v>
      </x:c>
      <x:c r="K95" s="32" t="str">
        <x:v>BLOCKED</x:v>
      </x:c>
      <x:c r="L95" s="32" t="str">
        <x:v>Owner / Procurement</x:v>
      </x:c>
      <x:c r="M95" s="32" t="str">
        <x:v>Получить минимум 3 КП HoReCa с фасовкой, доставкой, MOQ и НДС</x:v>
      </x:c>
    </x:row>
    <x:row r="96">
      <x:c r="A96" s="32" t="str">
        <x:v>ING-091</x:v>
      </x:c>
      <x:c r="B96" s="32" t="str">
        <x:v>Томат</x:v>
      </x:c>
      <x:c r="C96" s="32" t="n">
        <x:v>34</x:v>
      </x:c>
      <x:c r="D96" s="32" t="str">
        <x:v>NO</x:v>
      </x:c>
      <x:c r="E96" s="39"/>
      <x:c r="F96" s="32"/>
      <x:c r="G96" s="32" t="n">
        <x:v>0</x:v>
      </x:c>
      <x:c r="H96" s="32"/>
      <x:c r="I96" s="32"/>
      <x:c r="J96" s="32" t="str">
        <x:v>BLOCKED</x:v>
      </x:c>
      <x:c r="K96" s="32" t="str">
        <x:v>BLOCKED</x:v>
      </x:c>
      <x:c r="L96" s="32" t="str">
        <x:v>Owner / Procurement</x:v>
      </x:c>
      <x:c r="M96" s="32" t="str">
        <x:v>Получить минимум 3 КП HoReCa с фасовкой, доставкой, MOQ и НДС</x:v>
      </x:c>
    </x:row>
    <x:row r="97">
      <x:c r="A97" s="32" t="str">
        <x:v>ING-092</x:v>
      </x:c>
      <x:c r="B97" s="32" t="str">
        <x:v>Огурец маринованный</x:v>
      </x:c>
      <x:c r="C97" s="32" t="n">
        <x:v>23</x:v>
      </x:c>
      <x:c r="D97" s="32" t="str">
        <x:v>NO</x:v>
      </x:c>
      <x:c r="E97" s="39"/>
      <x:c r="F97" s="32"/>
      <x:c r="G97" s="32" t="n">
        <x:v>0</x:v>
      </x:c>
      <x:c r="H97" s="32"/>
      <x:c r="I97" s="32"/>
      <x:c r="J97" s="32" t="str">
        <x:v>BLOCKED</x:v>
      </x:c>
      <x:c r="K97" s="32" t="str">
        <x:v>BLOCKED</x:v>
      </x:c>
      <x:c r="L97" s="32" t="str">
        <x:v>Owner / Procurement</x:v>
      </x:c>
      <x:c r="M97" s="32" t="str">
        <x:v>Получить минимум 3 КП HoReCa с фасовкой, доставкой, MOQ и НДС</x:v>
      </x:c>
    </x:row>
    <x:row r="98">
      <x:c r="A98" s="32" t="str">
        <x:v>ING-093</x:v>
      </x:c>
      <x:c r="B98" s="32" t="str">
        <x:v>Лук</x:v>
      </x:c>
      <x:c r="C98" s="32" t="n">
        <x:v>12</x:v>
      </x:c>
      <x:c r="D98" s="32" t="str">
        <x:v>NO</x:v>
      </x:c>
      <x:c r="E98" s="39"/>
      <x:c r="F98" s="32"/>
      <x:c r="G98" s="32" t="n">
        <x:v>0</x:v>
      </x:c>
      <x:c r="H98" s="32"/>
      <x:c r="I98" s="32"/>
      <x:c r="J98" s="32" t="str">
        <x:v>BLOCKED</x:v>
      </x:c>
      <x:c r="K98" s="32" t="str">
        <x:v>BLOCKED</x:v>
      </x:c>
      <x:c r="L98" s="32" t="str">
        <x:v>Owner / Procurement</x:v>
      </x:c>
      <x:c r="M98" s="32" t="str">
        <x:v>Получить минимум 3 КП HoReCa с фасовкой, доставкой, MOQ и НДС</x:v>
      </x:c>
    </x:row>
    <x:row r="99">
      <x:c r="A99" s="32" t="str">
        <x:v>ING-094</x:v>
      </x:c>
      <x:c r="B99" s="32" t="str">
        <x:v>Соус эмульсионный</x:v>
      </x:c>
      <x:c r="C99" s="32" t="n">
        <x:v>20</x:v>
      </x:c>
      <x:c r="D99" s="32" t="str">
        <x:v>NO</x:v>
      </x:c>
      <x:c r="E99" s="39"/>
      <x:c r="F99" s="32"/>
      <x:c r="G99" s="32" t="n">
        <x:v>0</x:v>
      </x:c>
      <x:c r="H99" s="32"/>
      <x:c r="I99" s="32"/>
      <x:c r="J99" s="32" t="str">
        <x:v>BLOCKED</x:v>
      </x:c>
      <x:c r="K99" s="32" t="str">
        <x:v>BLOCKED</x:v>
      </x:c>
      <x:c r="L99" s="32" t="str">
        <x:v>Owner / Procurement</x:v>
      </x:c>
      <x:c r="M99" s="32" t="str">
        <x:v>Получить минимум 3 КП HoReCa с фасовкой, доставкой, MOQ и НДС</x:v>
      </x:c>
    </x:row>
    <x:row r="100">
      <x:c r="A100" s="32" t="str">
        <x:v>ING-095</x:v>
      </x:c>
      <x:c r="B100" s="32" t="str">
        <x:v>Соус томатный</x:v>
      </x:c>
      <x:c r="C100" s="32" t="n">
        <x:v>5</x:v>
      </x:c>
      <x:c r="D100" s="32" t="str">
        <x:v>NO</x:v>
      </x:c>
      <x:c r="E100" s="39"/>
      <x:c r="F100" s="32"/>
      <x:c r="G100" s="32" t="n">
        <x:v>0</x:v>
      </x:c>
      <x:c r="H100" s="32"/>
      <x:c r="I100" s="32"/>
      <x:c r="J100" s="32" t="str">
        <x:v>BLOCKED</x:v>
      </x:c>
      <x:c r="K100" s="32" t="str">
        <x:v>BLOCKED</x:v>
      </x:c>
      <x:c r="L100" s="32" t="str">
        <x:v>Owner / Procurement</x:v>
      </x:c>
      <x:c r="M100" s="32" t="str">
        <x:v>Получить минимум 3 КП HoReCa с фасовкой, доставкой, MOQ и НДС</x:v>
      </x:c>
    </x:row>
    <x:row r="101">
      <x:c r="A101" s="32" t="str">
        <x:v>ING-096</x:v>
      </x:c>
      <x:c r="B101" s="32" t="str">
        <x:v>Салат листовой</x:v>
      </x:c>
      <x:c r="C101" s="32" t="n">
        <x:v>12</x:v>
      </x:c>
      <x:c r="D101" s="32" t="str">
        <x:v>NO</x:v>
      </x:c>
      <x:c r="E101" s="39"/>
      <x:c r="F101" s="32"/>
      <x:c r="G101" s="32" t="n">
        <x:v>0</x:v>
      </x:c>
      <x:c r="H101" s="32"/>
      <x:c r="I101" s="32"/>
      <x:c r="J101" s="32" t="str">
        <x:v>BLOCKED</x:v>
      </x:c>
      <x:c r="K101" s="32" t="str">
        <x:v>BLOCKED</x:v>
      </x:c>
      <x:c r="L101" s="32" t="str">
        <x:v>Owner / Procurement</x:v>
      </x:c>
      <x:c r="M101" s="32" t="str">
        <x:v>Получить минимум 3 КП HoReCa с фасовкой, доставкой, MOQ и НДС</x:v>
      </x:c>
    </x:row>
    <x:row r="102">
      <x:c r="A102" s="32" t="str">
        <x:v>ING-097</x:v>
      </x:c>
      <x:c r="B102" s="32" t="str">
        <x:v>Говяжья вырезка</x:v>
      </x:c>
      <x:c r="C102" s="32" t="n">
        <x:v>255</x:v>
      </x:c>
      <x:c r="D102" s="32" t="str">
        <x:v>YES</x:v>
      </x:c>
      <x:c r="E102" s="39" t="n">
        <x:v>1136.99</x:v>
      </x:c>
      <x:c r="F102" s="32" t="str">
        <x:v>median_public_observation</x:v>
      </x:c>
      <x:c r="G102" s="32" t="n">
        <x:v>4</x:v>
      </x:c>
      <x:c r="H102" s="32" t="str">
        <x:v>PSR-0055;PSR-0056;PSR-0057;PSR-0058</x:v>
      </x:c>
      <x:c r="I102" s="32" t="str">
        <x:v>2026-08-03</x:v>
      </x:c>
      <x:c r="J102" s="32" t="str">
        <x:v>ESTIMATE</x:v>
      </x:c>
      <x:c r="K102" s="32" t="str">
        <x:v>MEDIUM</x:v>
      </x:c>
      <x:c r="L102" s="32" t="str">
        <x:v>Owner / Procurement</x:v>
      </x:c>
      <x:c r="M102" s="32" t="str">
        <x:v>Сверить с КП и выбрать поставщика</x:v>
      </x:c>
    </x:row>
    <x:row r="103">
      <x:c r="A103" s="32" t="str">
        <x:v>ING-098</x:v>
      </x:c>
      <x:c r="B103" s="32" t="str">
        <x:v>Бульон или мясной сок</x:v>
      </x:c>
      <x:c r="C103" s="32" t="n">
        <x:v>35</x:v>
      </x:c>
      <x:c r="D103" s="32" t="str">
        <x:v>NO</x:v>
      </x:c>
      <x:c r="E103" s="39"/>
      <x:c r="F103" s="32"/>
      <x:c r="G103" s="32" t="n">
        <x:v>0</x:v>
      </x:c>
      <x:c r="H103" s="32"/>
      <x:c r="I103" s="32"/>
      <x:c r="J103" s="32" t="str">
        <x:v>BLOCKED</x:v>
      </x:c>
      <x:c r="K103" s="32" t="str">
        <x:v>BLOCKED</x:v>
      </x:c>
      <x:c r="L103" s="32" t="str">
        <x:v>Owner / Procurement</x:v>
      </x:c>
      <x:c r="M103" s="32" t="str">
        <x:v>Получить минимум 3 КП HoReCa с фасовкой, доставкой, MOQ и НДС</x:v>
      </x:c>
    </x:row>
    <x:row r="104">
      <x:c r="A104" s="32" t="str">
        <x:v>ING-099</x:v>
      </x:c>
      <x:c r="B104" s="32" t="str">
        <x:v>Маринад нейтральный проектный</x:v>
      </x:c>
      <x:c r="C104" s="32" t="n">
        <x:v>18</x:v>
      </x:c>
      <x:c r="D104" s="32" t="str">
        <x:v>NO</x:v>
      </x:c>
      <x:c r="E104" s="39"/>
      <x:c r="F104" s="32"/>
      <x:c r="G104" s="32" t="n">
        <x:v>0</x:v>
      </x:c>
      <x:c r="H104" s="32"/>
      <x:c r="I104" s="32"/>
      <x:c r="J104" s="32" t="str">
        <x:v>BLOCKED</x:v>
      </x:c>
      <x:c r="K104" s="32" t="str">
        <x:v>BLOCKED</x:v>
      </x:c>
      <x:c r="L104" s="32" t="str">
        <x:v>Owner / Procurement</x:v>
      </x:c>
      <x:c r="M104" s="32" t="str">
        <x:v>Получить минимум 3 КП HoReCa с фасовкой, доставкой, MOQ и НДС</x:v>
      </x:c>
    </x:row>
    <x:row r="105">
      <x:c r="A105" s="32" t="str">
        <x:v>ING-100</x:v>
      </x:c>
      <x:c r="B105" s="32" t="str">
        <x:v>Рис жасмин сухой</x:v>
      </x:c>
      <x:c r="C105" s="32" t="n">
        <x:v>55</x:v>
      </x:c>
      <x:c r="D105" s="32" t="str">
        <x:v>NO</x:v>
      </x:c>
      <x:c r="E105" s="39"/>
      <x:c r="F105" s="32"/>
      <x:c r="G105" s="32" t="n">
        <x:v>0</x:v>
      </x:c>
      <x:c r="H105" s="32"/>
      <x:c r="I105" s="32"/>
      <x:c r="J105" s="32" t="str">
        <x:v>BLOCKED</x:v>
      </x:c>
      <x:c r="K105" s="32" t="str">
        <x:v>BLOCKED</x:v>
      </x:c>
      <x:c r="L105" s="32" t="str">
        <x:v>Owner / Procurement</x:v>
      </x:c>
      <x:c r="M105" s="32" t="str">
        <x:v>Получить минимум 3 КП HoReCa с фасовкой, доставкой, MOQ и НДС</x:v>
      </x:c>
    </x:row>
    <x:row r="106">
      <x:c r="A106" s="32" t="str">
        <x:v>ING-101</x:v>
      </x:c>
      <x:c r="B106" s="32" t="str">
        <x:v>Вода питьевая, удержанная в продукте</x:v>
      </x:c>
      <x:c r="C106" s="32" t="n">
        <x:v>120</x:v>
      </x:c>
      <x:c r="D106" s="32" t="str">
        <x:v>NO</x:v>
      </x:c>
      <x:c r="E106" s="39"/>
      <x:c r="F106" s="32"/>
      <x:c r="G106" s="32" t="n">
        <x:v>0</x:v>
      </x:c>
      <x:c r="H106" s="32"/>
      <x:c r="I106" s="32"/>
      <x:c r="J106" s="32" t="str">
        <x:v>BLOCKED</x:v>
      </x:c>
      <x:c r="K106" s="32" t="str">
        <x:v>BLOCKED</x:v>
      </x:c>
      <x:c r="L106" s="32" t="str">
        <x:v>Owner / Procurement</x:v>
      </x:c>
      <x:c r="M106" s="32" t="str">
        <x:v>Получить минимум 3 КП HoReCa с фасовкой, доставкой, MOQ и НДС</x:v>
      </x:c>
    </x:row>
    <x:row r="107">
      <x:c r="A107" s="32" t="str">
        <x:v>ING-102</x:v>
      </x:c>
      <x:c r="B107" s="32" t="str">
        <x:v>Баклажан</x:v>
      </x:c>
      <x:c r="C107" s="32" t="n">
        <x:v>36</x:v>
      </x:c>
      <x:c r="D107" s="32" t="str">
        <x:v>NO</x:v>
      </x:c>
      <x:c r="E107" s="39"/>
      <x:c r="F107" s="32"/>
      <x:c r="G107" s="32" t="n">
        <x:v>0</x:v>
      </x:c>
      <x:c r="H107" s="32"/>
      <x:c r="I107" s="32"/>
      <x:c r="J107" s="32" t="str">
        <x:v>BLOCKED</x:v>
      </x:c>
      <x:c r="K107" s="32" t="str">
        <x:v>BLOCKED</x:v>
      </x:c>
      <x:c r="L107" s="32" t="str">
        <x:v>Owner / Procurement</x:v>
      </x:c>
      <x:c r="M107" s="32" t="str">
        <x:v>Получить минимум 3 КП HoReCa с фасовкой, доставкой, MOQ и НДС</x:v>
      </x:c>
    </x:row>
    <x:row r="108">
      <x:c r="A108" s="32" t="str">
        <x:v>ING-103</x:v>
      </x:c>
      <x:c r="B108" s="32" t="str">
        <x:v>Брокколи</x:v>
      </x:c>
      <x:c r="C108" s="32" t="n">
        <x:v>31</x:v>
      </x:c>
      <x:c r="D108" s="32" t="str">
        <x:v>NO</x:v>
      </x:c>
      <x:c r="E108" s="39"/>
      <x:c r="F108" s="32"/>
      <x:c r="G108" s="32" t="n">
        <x:v>0</x:v>
      </x:c>
      <x:c r="H108" s="32"/>
      <x:c r="I108" s="32"/>
      <x:c r="J108" s="32" t="str">
        <x:v>BLOCKED</x:v>
      </x:c>
      <x:c r="K108" s="32" t="str">
        <x:v>BLOCKED</x:v>
      </x:c>
      <x:c r="L108" s="32" t="str">
        <x:v>Owner / Procurement</x:v>
      </x:c>
      <x:c r="M108" s="32" t="str">
        <x:v>Получить минимум 3 КП HoReCa с фасовкой, доставкой, MOQ и НДС</x:v>
      </x:c>
    </x:row>
    <x:row r="109">
      <x:c r="A109" s="32" t="str">
        <x:v>ING-104</x:v>
      </x:c>
      <x:c r="B109" s="32" t="str">
        <x:v>Мука пшеничная кондитерская</x:v>
      </x:c>
      <x:c r="C109" s="32" t="n">
        <x:v>645</x:v>
      </x:c>
      <x:c r="D109" s="32" t="str">
        <x:v>NO</x:v>
      </x:c>
      <x:c r="E109" s="39"/>
      <x:c r="F109" s="32"/>
      <x:c r="G109" s="32" t="n">
        <x:v>0</x:v>
      </x:c>
      <x:c r="H109" s="32"/>
      <x:c r="I109" s="32"/>
      <x:c r="J109" s="32" t="str">
        <x:v>BLOCKED</x:v>
      </x:c>
      <x:c r="K109" s="32" t="str">
        <x:v>BLOCKED</x:v>
      </x:c>
      <x:c r="L109" s="32" t="str">
        <x:v>Owner / Procurement</x:v>
      </x:c>
      <x:c r="M109" s="32" t="str">
        <x:v>Получить минимум 3 КП HoReCa с фасовкой, доставкой, MOQ и НДС</x:v>
      </x:c>
    </x:row>
    <x:row r="110">
      <x:c r="A110" s="32" t="str">
        <x:v>ING-105</x:v>
      </x:c>
      <x:c r="B110" s="32" t="str">
        <x:v>Разрыхлитель</x:v>
      </x:c>
      <x:c r="C110" s="32" t="n">
        <x:v>10</x:v>
      </x:c>
      <x:c r="D110" s="32" t="str">
        <x:v>NO</x:v>
      </x:c>
      <x:c r="E110" s="39"/>
      <x:c r="F110" s="32"/>
      <x:c r="G110" s="32" t="n">
        <x:v>0</x:v>
      </x:c>
      <x:c r="H110" s="32"/>
      <x:c r="I110" s="32"/>
      <x:c r="J110" s="32" t="str">
        <x:v>BLOCKED</x:v>
      </x:c>
      <x:c r="K110" s="32" t="str">
        <x:v>BLOCKED</x:v>
      </x:c>
      <x:c r="L110" s="32" t="str">
        <x:v>Owner / Procurement</x:v>
      </x:c>
      <x:c r="M110" s="32" t="str">
        <x:v>Получить минимум 3 КП HoReCa с фасовкой, доставкой, MOQ и НДС</x:v>
      </x:c>
    </x:row>
    <x:row r="111">
      <x:c r="A111" s="32" t="str">
        <x:v>ING-106</x:v>
      </x:c>
      <x:c r="B111" s="32" t="str">
        <x:v>Соль</x:v>
      </x:c>
      <x:c r="C111" s="32" t="n">
        <x:v>22</x:v>
      </x:c>
      <x:c r="D111" s="32" t="str">
        <x:v>NO</x:v>
      </x:c>
      <x:c r="E111" s="39"/>
      <x:c r="F111" s="32"/>
      <x:c r="G111" s="32" t="n">
        <x:v>0</x:v>
      </x:c>
      <x:c r="H111" s="32"/>
      <x:c r="I111" s="32"/>
      <x:c r="J111" s="32" t="str">
        <x:v>BLOCKED</x:v>
      </x:c>
      <x:c r="K111" s="32" t="str">
        <x:v>BLOCKED</x:v>
      </x:c>
      <x:c r="L111" s="32" t="str">
        <x:v>Owner / Procurement</x:v>
      </x:c>
      <x:c r="M111" s="32" t="str">
        <x:v>Получить минимум 3 КП HoReCa с фасовкой, доставкой, MOQ и НДС</x:v>
      </x:c>
    </x:row>
    <x:row r="112">
      <x:c r="A112" s="32" t="str">
        <x:v>ING-107</x:v>
      </x:c>
      <x:c r="B112" s="32" t="str">
        <x:v>Черника</x:v>
      </x:c>
      <x:c r="C112" s="32" t="n">
        <x:v>530</x:v>
      </x:c>
      <x:c r="D112" s="32" t="str">
        <x:v>YES</x:v>
      </x:c>
      <x:c r="E112" s="39" t="n">
        <x:v>783.3</x:v>
      </x:c>
      <x:c r="F112" s="32" t="str">
        <x:v>median_public_observation</x:v>
      </x:c>
      <x:c r="G112" s="32" t="n">
        <x:v>3</x:v>
      </x:c>
      <x:c r="H112" s="32" t="str">
        <x:v>PSR-0061;PSR-0062;PSR-0063</x:v>
      </x:c>
      <x:c r="I112" s="32" t="str">
        <x:v>2026-08-03</x:v>
      </x:c>
      <x:c r="J112" s="32" t="str">
        <x:v>ESTIMATE</x:v>
      </x:c>
      <x:c r="K112" s="32" t="str">
        <x:v>MEDIUM</x:v>
      </x:c>
      <x:c r="L112" s="32" t="str">
        <x:v>Owner / Procurement</x:v>
      </x:c>
      <x:c r="M112" s="32" t="str">
        <x:v>Сверить с КП и выбрать поставщика</x:v>
      </x:c>
    </x:row>
    <x:row r="113">
      <x:c r="A113" s="32" t="str">
        <x:v>ING-108</x:v>
      </x:c>
      <x:c r="B113" s="32" t="str">
        <x:v>Сыр сливочный</x:v>
      </x:c>
      <x:c r="C113" s="32" t="n">
        <x:v>370</x:v>
      </x:c>
      <x:c r="D113" s="32" t="str">
        <x:v>YES</x:v>
      </x:c>
      <x:c r="E113" s="39" t="n">
        <x:v>549.975</x:v>
      </x:c>
      <x:c r="F113" s="32" t="str">
        <x:v>median_public_observation</x:v>
      </x:c>
      <x:c r="G113" s="32" t="n">
        <x:v>1</x:v>
      </x:c>
      <x:c r="H113" s="32" t="str">
        <x:v>PSR-0064</x:v>
      </x:c>
      <x:c r="I113" s="32" t="str">
        <x:v>2026-08-03</x:v>
      </x:c>
      <x:c r="J113" s="32" t="str">
        <x:v>ESTIMATE</x:v>
      </x:c>
      <x:c r="K113" s="32" t="str">
        <x:v>LOW_CONFIDENCE</x:v>
      </x:c>
      <x:c r="L113" s="32" t="str">
        <x:v>Owner / Procurement</x:v>
      </x:c>
      <x:c r="M113" s="32" t="str">
        <x:v>Получить минимум 3 КП HoReCa с фасовкой, доставкой, MOQ и НДС</x:v>
      </x:c>
    </x:row>
    <x:row r="114">
      <x:c r="A114" s="32" t="str">
        <x:v>ING-109</x:v>
      </x:c>
      <x:c r="B114" s="32" t="str">
        <x:v>Сахарная пудра</x:v>
      </x:c>
      <x:c r="C114" s="32" t="n">
        <x:v>120</x:v>
      </x:c>
      <x:c r="D114" s="32" t="str">
        <x:v>NO</x:v>
      </x:c>
      <x:c r="E114" s="39"/>
      <x:c r="F114" s="32"/>
      <x:c r="G114" s="32" t="n">
        <x:v>0</x:v>
      </x:c>
      <x:c r="H114" s="32"/>
      <x:c r="I114" s="32"/>
      <x:c r="J114" s="32" t="str">
        <x:v>BLOCKED</x:v>
      </x:c>
      <x:c r="K114" s="32" t="str">
        <x:v>BLOCKED</x:v>
      </x:c>
      <x:c r="L114" s="32" t="str">
        <x:v>Owner / Procurement</x:v>
      </x:c>
      <x:c r="M114" s="32" t="str">
        <x:v>Получить минимум 3 КП HoReCa с фасовкой, доставкой, MOQ и НДС</x:v>
      </x:c>
    </x:row>
    <x:row r="115">
      <x:c r="A115" s="32" t="str">
        <x:v>ING-110</x:v>
      </x:c>
      <x:c r="B115" s="32" t="str">
        <x:v>Пектин или крахмал</x:v>
      </x:c>
      <x:c r="C115" s="32" t="n">
        <x:v>20</x:v>
      </x:c>
      <x:c r="D115" s="32" t="str">
        <x:v>NO</x:v>
      </x:c>
      <x:c r="E115" s="39"/>
      <x:c r="F115" s="32"/>
      <x:c r="G115" s="32" t="n">
        <x:v>0</x:v>
      </x:c>
      <x:c r="H115" s="32"/>
      <x:c r="I115" s="32"/>
      <x:c r="J115" s="32" t="str">
        <x:v>BLOCKED</x:v>
      </x:c>
      <x:c r="K115" s="32" t="str">
        <x:v>BLOCKED</x:v>
      </x:c>
      <x:c r="L115" s="32" t="str">
        <x:v>Owner / Procurement</x:v>
      </x:c>
      <x:c r="M115" s="32" t="str">
        <x:v>Получить минимум 3 КП HoReCa с фасовкой, доставкой, MOQ и НДС</x:v>
      </x:c>
    </x:row>
    <x:row r="116">
      <x:c r="A116" s="32" t="str">
        <x:v>ING-111</x:v>
      </x:c>
      <x:c r="B116" s="32" t="str">
        <x:v>Глазурь проектная</x:v>
      </x:c>
      <x:c r="C116" s="32" t="n">
        <x:v>150</x:v>
      </x:c>
      <x:c r="D116" s="32" t="str">
        <x:v>NO</x:v>
      </x:c>
      <x:c r="E116" s="39"/>
      <x:c r="F116" s="32"/>
      <x:c r="G116" s="32" t="n">
        <x:v>0</x:v>
      </x:c>
      <x:c r="H116" s="32"/>
      <x:c r="I116" s="32"/>
      <x:c r="J116" s="32" t="str">
        <x:v>BLOCKED</x:v>
      </x:c>
      <x:c r="K116" s="32" t="str">
        <x:v>BLOCKED</x:v>
      </x:c>
      <x:c r="L116" s="32" t="str">
        <x:v>Owner / Procurement</x:v>
      </x:c>
      <x:c r="M116" s="32" t="str">
        <x:v>Получить минимум 3 КП HoReCa с фасовкой, доставкой, MOQ и НДС</x:v>
      </x:c>
    </x:row>
    <x:row r="117">
      <x:c r="A117" s="32" t="str">
        <x:v>ING-112</x:v>
      </x:c>
      <x:c r="B117" s="32" t="str">
        <x:v>Декор съедобный</x:v>
      </x:c>
      <x:c r="C117" s="32" t="n">
        <x:v>97</x:v>
      </x:c>
      <x:c r="D117" s="32" t="str">
        <x:v>NO</x:v>
      </x:c>
      <x:c r="E117" s="39"/>
      <x:c r="F117" s="32"/>
      <x:c r="G117" s="32" t="n">
        <x:v>0</x:v>
      </x:c>
      <x:c r="H117" s="32"/>
      <x:c r="I117" s="32"/>
      <x:c r="J117" s="32" t="str">
        <x:v>BLOCKED</x:v>
      </x:c>
      <x:c r="K117" s="32" t="str">
        <x:v>BLOCKED</x:v>
      </x:c>
      <x:c r="L117" s="32" t="str">
        <x:v>Owner / Procurement</x:v>
      </x:c>
      <x:c r="M117" s="32" t="str">
        <x:v>Получить минимум 3 КП HoReCa с фасовкой, доставкой, MOQ и НДС</x:v>
      </x:c>
    </x:row>
    <x:row r="118">
      <x:c r="A118" s="32" t="str">
        <x:v>ING-113</x:v>
      </x:c>
      <x:c r="B118" s="32" t="str">
        <x:v>Цедра лимона</x:v>
      </x:c>
      <x:c r="C118" s="32" t="n">
        <x:v>7</x:v>
      </x:c>
      <x:c r="D118" s="32" t="str">
        <x:v>NO</x:v>
      </x:c>
      <x:c r="E118" s="39"/>
      <x:c r="F118" s="32"/>
      <x:c r="G118" s="32" t="n">
        <x:v>0</x:v>
      </x:c>
      <x:c r="H118" s="32"/>
      <x:c r="I118" s="32"/>
      <x:c r="J118" s="32" t="str">
        <x:v>BLOCKED</x:v>
      </x:c>
      <x:c r="K118" s="32" t="str">
        <x:v>BLOCKED</x:v>
      </x:c>
      <x:c r="L118" s="32" t="str">
        <x:v>Owner / Procurement</x:v>
      </x:c>
      <x:c r="M118" s="32" t="str">
        <x:v>Получить минимум 3 КП HoReCa с фасовкой, доставкой, MOQ и НДС</x:v>
      </x:c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</x:row>
    <x:row r="121">
      <x:c r="A121" s="34" t="str">
        <x:v>Accepted HOF-0005 v0.2.1 price sources (46)</x:v>
      </x:c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</x:row>
    <x:row r="122" ht="34" customHeight="1">
      <x:c r="A122" s="31" t="str">
        <x:v>Source ID</x:v>
      </x:c>
      <x:c r="B122" s="31" t="str">
        <x:v>Ingredient ID</x:v>
      </x:c>
      <x:c r="C122" s="31" t="str">
        <x:v>Ингредиент</x:v>
      </x:c>
      <x:c r="D122" s="31" t="str">
        <x:v>Продукт</x:v>
      </x:c>
      <x:c r="E122" s="31" t="str">
        <x:v>Поставщик</x:v>
      </x:c>
      <x:c r="F122" s="31" t="str">
        <x:v>Pack qty</x:v>
      </x:c>
      <x:c r="G122" s="31" t="str">
        <x:v>Unit</x:v>
      </x:c>
      <x:c r="H122" s="31" t="str">
        <x:v>Pack RUB</x:v>
      </x:c>
      <x:c r="I122" s="31" t="str">
        <x:v>RUB/kg</x:v>
      </x:c>
      <x:c r="J122" s="31" t="str">
        <x:v>Date</x:v>
      </x:c>
      <x:c r="K122" s="31" t="str">
        <x:v>URL</x:v>
      </x:c>
      <x:c r="L122" s="31" t="str">
        <x:v>Selected</x:v>
      </x:c>
      <x:c r="M122" s="31" t="str">
        <x:v>Review</x:v>
      </x:c>
    </x:row>
    <x:row r="123">
      <x:c r="A123" s="32" t="str">
        <x:v>PSR-0001</x:v>
      </x:c>
      <x:c r="B123" s="32" t="str">
        <x:v>ING-001</x:v>
      </x:c>
      <x:c r="C123" s="32" t="str">
        <x:v>Мука пшеничная хлебопекарная</x:v>
      </x:c>
      <x:c r="D123" s="32" t="str">
        <x:v>Мука ЛЕНТА высший сорт</x:v>
      </x:c>
      <x:c r="E123" s="32" t="str">
        <x:v>Лента</x:v>
      </x:c>
      <x:c r="F123" s="32" t="n">
        <x:v>1</x:v>
      </x:c>
      <x:c r="G123" s="32" t="str">
        <x:v>кг</x:v>
      </x:c>
      <x:c r="H123" s="32" t="n">
        <x:v>54.99</x:v>
      </x:c>
      <x:c r="I123" s="32" t="n">
        <x:v>54.99</x:v>
      </x:c>
      <x:c r="J123" s="32" t="str">
        <x:v>2026-08-03</x:v>
      </x:c>
      <x:c r="K123" s="32" t="str">
        <x:v>https://lenta.com/product/muka-pshenichnaya-vs-rossiya-1kg-30854/</x:v>
      </x:c>
      <x:c r="L123" s="32" t="n">
        <x:v>1</x:v>
      </x:c>
      <x:c r="M123" s="32" t="str">
        <x:v>VERIFIED_DIRECT_CARD</x:v>
      </x:c>
    </x:row>
    <x:row r="124">
      <x:c r="A124" s="32" t="str">
        <x:v>PSR-0003</x:v>
      </x:c>
      <x:c r="B124" s="32" t="str">
        <x:v>ING-001</x:v>
      </x:c>
      <x:c r="C124" s="32" t="str">
        <x:v>Мука пшеничная хлебопекарная</x:v>
      </x:c>
      <x:c r="D124" s="32" t="str">
        <x:v>Мука 365 ДНЕЙ хлебопекарная</x:v>
      </x:c>
      <x:c r="E124" s="32" t="str">
        <x:v>Лента</x:v>
      </x:c>
      <x:c r="F124" s="32" t="n">
        <x:v>2</x:v>
      </x:c>
      <x:c r="G124" s="32" t="str">
        <x:v>кг</x:v>
      </x:c>
      <x:c r="H124" s="32" t="n">
        <x:v>59.99</x:v>
      </x:c>
      <x:c r="I124" s="32" t="n">
        <x:v>29.995</x:v>
      </x:c>
      <x:c r="J124" s="32" t="str">
        <x:v>2026-08-03</x:v>
      </x:c>
      <x:c r="K124" s="32" t="str">
        <x:v>https://lenta.com/product/muka-pshenichnaya-hlebopekarnaya-1s-rossiya-2kg-295803/</x:v>
      </x:c>
      <x:c r="L124" s="32" t="n">
        <x:v>1</x:v>
      </x:c>
      <x:c r="M124" s="32" t="str">
        <x:v>VERIFIED_DIRECT_CARD</x:v>
      </x:c>
    </x:row>
    <x:row r="125">
      <x:c r="A125" s="32" t="str">
        <x:v>PSR-0004</x:v>
      </x:c>
      <x:c r="B125" s="32" t="str">
        <x:v>ING-003</x:v>
      </x:c>
      <x:c r="C125" s="32" t="str">
        <x:v>Дрожжи хлебопекарные</x:v>
      </x:c>
      <x:c r="D125" s="32" t="str">
        <x:v>Дрожжи САФ Левюр активные</x:v>
      </x:c>
      <x:c r="E125" s="32" t="str">
        <x:v>Лента</x:v>
      </x:c>
      <x:c r="F125" s="32" t="n">
        <x:v>0.1</x:v>
      </x:c>
      <x:c r="G125" s="32" t="str">
        <x:v>кг</x:v>
      </x:c>
      <x:c r="H125" s="32" t="n">
        <x:v>94.99</x:v>
      </x:c>
      <x:c r="I125" s="32" t="n">
        <x:v>949.9</x:v>
      </x:c>
      <x:c r="J125" s="32" t="str">
        <x:v>2026-08-03</x:v>
      </x:c>
      <x:c r="K125" s="32" t="str">
        <x:v>https://lenta.com/product/drozhzhi-levyur-hlebopekarnye-suhie-aktivnye-rossiya-100g-86736/</x:v>
      </x:c>
      <x:c r="L125" s="32" t="n">
        <x:v>1</x:v>
      </x:c>
      <x:c r="M125" s="32" t="str">
        <x:v>VERIFIED_DIRECT_CARD</x:v>
      </x:c>
    </x:row>
    <x:row r="126">
      <x:c r="A126" s="32" t="str">
        <x:v>PSR-0005</x:v>
      </x:c>
      <x:c r="B126" s="32" t="str">
        <x:v>ING-003</x:v>
      </x:c>
      <x:c r="C126" s="32" t="str">
        <x:v>Дрожжи хлебопекарные</x:v>
      </x:c>
      <x:c r="D126" s="32" t="str">
        <x:v>Дрожжи ANGEL активные</x:v>
      </x:c>
      <x:c r="E126" s="32" t="str">
        <x:v>Лента</x:v>
      </x:c>
      <x:c r="F126" s="32" t="n">
        <x:v>0.1</x:v>
      </x:c>
      <x:c r="G126" s="32" t="str">
        <x:v>кг</x:v>
      </x:c>
      <x:c r="H126" s="32" t="n">
        <x:v>59.99</x:v>
      </x:c>
      <x:c r="I126" s="32" t="n">
        <x:v>599.9</x:v>
      </x:c>
      <x:c r="J126" s="32" t="str">
        <x:v>2026-08-03</x:v>
      </x:c>
      <x:c r="K126" s="32" t="str">
        <x:v>https://lenta.com/product/drozhzhi-suhie-aktivnye-dvypechki-i-napitkov-rossiya-100g-650540/</x:v>
      </x:c>
      <x:c r="L126" s="32" t="n">
        <x:v>1</x:v>
      </x:c>
      <x:c r="M126" s="32" t="str">
        <x:v>VERIFIED_DIRECT_CARD</x:v>
      </x:c>
    </x:row>
    <x:row r="127">
      <x:c r="A127" s="32" t="str">
        <x:v>PSR-0006</x:v>
      </x:c>
      <x:c r="B127" s="32" t="str">
        <x:v>ING-003</x:v>
      </x:c>
      <x:c r="C127" s="32" t="str">
        <x:v>Дрожжи хлебопекарные</x:v>
      </x:c>
      <x:c r="D127" s="32" t="str">
        <x:v>Дрожжи SUPER сухие</x:v>
      </x:c>
      <x:c r="E127" s="32" t="str">
        <x:v>Лента</x:v>
      </x:c>
      <x:c r="F127" s="32" t="n">
        <x:v>0.08</x:v>
      </x:c>
      <x:c r="G127" s="32" t="str">
        <x:v>кг</x:v>
      </x:c>
      <x:c r="H127" s="32" t="n">
        <x:v>49.99</x:v>
      </x:c>
      <x:c r="I127" s="32" t="n">
        <x:v>624.875</x:v>
      </x:c>
      <x:c r="J127" s="32" t="str">
        <x:v>2026-08-03</x:v>
      </x:c>
      <x:c r="K127" s="32" t="str">
        <x:v>https://lenta.com/product/drozhzhi-hlebopekarnye-suhie-rossiya-80g-727787/</x:v>
      </x:c>
      <x:c r="L127" s="32" t="n">
        <x:v>1</x:v>
      </x:c>
      <x:c r="M127" s="32" t="str">
        <x:v>VERIFIED_DIRECT_CARD</x:v>
      </x:c>
    </x:row>
    <x:row r="128">
      <x:c r="A128" s="32" t="str">
        <x:v>PSR-0007</x:v>
      </x:c>
      <x:c r="B128" s="32" t="str">
        <x:v>ING-004</x:v>
      </x:c>
      <x:c r="C128" s="32" t="str">
        <x:v>Соль пищевая</x:v>
      </x:c>
      <x:c r="D128" s="32" t="str">
        <x:v>Соль Усольская</x:v>
      </x:c>
      <x:c r="E128" s="32" t="str">
        <x:v>Лента</x:v>
      </x:c>
      <x:c r="F128" s="32" t="n">
        <x:v>1</x:v>
      </x:c>
      <x:c r="G128" s="32" t="str">
        <x:v>кг</x:v>
      </x:c>
      <x:c r="H128" s="32" t="n">
        <x:v>42.99</x:v>
      </x:c>
      <x:c r="I128" s="32" t="n">
        <x:v>42.99</x:v>
      </x:c>
      <x:c r="J128" s="32" t="str">
        <x:v>2026-08-03</x:v>
      </x:c>
      <x:c r="K128" s="32" t="str">
        <x:v>https://lenta.com/product/sol-usolskaya-pishhevaya-vyvarochnaya-jodirovannaya-rossiya-1kg-214838/</x:v>
      </x:c>
      <x:c r="L128" s="32" t="n">
        <x:v>1</x:v>
      </x:c>
      <x:c r="M128" s="32" t="str">
        <x:v>VERIFIED_DIRECT_CARD</x:v>
      </x:c>
    </x:row>
    <x:row r="129">
      <x:c r="A129" s="32" t="str">
        <x:v>PSR-0009</x:v>
      </x:c>
      <x:c r="B129" s="32" t="str">
        <x:v>ING-026</x:v>
      </x:c>
      <x:c r="C129" s="32" t="str">
        <x:v>Яйцо или меланж</x:v>
      </x:c>
      <x:c r="D129" s="32" t="str">
        <x:v>Меланж пастеризованный GROVO</x:v>
      </x:c>
      <x:c r="E129" s="32" t="str">
        <x:v>DA-Mart / GROVO</x:v>
      </x:c>
      <x:c r="F129" s="32" t="n">
        <x:v>0.9</x:v>
      </x:c>
      <x:c r="G129" s="32" t="str">
        <x:v>кг</x:v>
      </x:c>
      <x:c r="H129" s="32" t="n">
        <x:v>361.5</x:v>
      </x:c>
      <x:c r="I129" s="32" t="n">
        <x:v>401.666667</x:v>
      </x:c>
      <x:c r="J129" s="32" t="str">
        <x:v>2026-08-03</x:v>
      </x:c>
      <x:c r="K129" s="32" t="str">
        <x:v>https://da-mart.ru/catalog/goods/296776/</x:v>
      </x:c>
      <x:c r="L129" s="32" t="n">
        <x:v>1</x:v>
      </x:c>
      <x:c r="M129" s="32" t="str">
        <x:v>VERIFIED_DIRECT_CARD</x:v>
      </x:c>
    </x:row>
    <x:row r="130">
      <x:c r="A130" s="32" t="str">
        <x:v>PSR-0010</x:v>
      </x:c>
      <x:c r="B130" s="32" t="str">
        <x:v>ING-027</x:v>
      </x:c>
      <x:c r="C130" s="32" t="str">
        <x:v>Масло сливочное</x:v>
      </x:c>
      <x:c r="D130" s="32" t="str">
        <x:v>Масло Вкуснотеево 82.5%</x:v>
      </x:c>
      <x:c r="E130" s="32" t="str">
        <x:v>Лента</x:v>
      </x:c>
      <x:c r="F130" s="32" t="n">
        <x:v>0.18</x:v>
      </x:c>
      <x:c r="G130" s="32" t="str">
        <x:v>кг</x:v>
      </x:c>
      <x:c r="H130" s="32" t="n">
        <x:v>199.99</x:v>
      </x:c>
      <x:c r="I130" s="32" t="n">
        <x:v>1111.055556</x:v>
      </x:c>
      <x:c r="J130" s="32" t="str">
        <x:v>2026-08-03</x:v>
      </x:c>
      <x:c r="K130" s="32" t="str">
        <x:v>https://lenta.com/product/maslo-slivochnoe-vkusnoteevo-tradicionnoe-825-rossiya-180g-743324/</x:v>
      </x:c>
      <x:c r="L130" s="32" t="n">
        <x:v>1</x:v>
      </x:c>
      <x:c r="M130" s="32" t="str">
        <x:v>VERIFIED_DIRECT_CARD</x:v>
      </x:c>
    </x:row>
    <x:row r="131">
      <x:c r="A131" s="32" t="str">
        <x:v>PSR-0013</x:v>
      </x:c>
      <x:c r="B131" s="32" t="str">
        <x:v>ING-028</x:v>
      </x:c>
      <x:c r="C131" s="32" t="str">
        <x:v>Сахар</x:v>
      </x:c>
      <x:c r="D131" s="32" t="str">
        <x:v>Сахар ЛЕНТА</x:v>
      </x:c>
      <x:c r="E131" s="32" t="str">
        <x:v>Лента</x:v>
      </x:c>
      <x:c r="F131" s="32" t="n">
        <x:v>1</x:v>
      </x:c>
      <x:c r="G131" s="32" t="str">
        <x:v>кг</x:v>
      </x:c>
      <x:c r="H131" s="32" t="n">
        <x:v>99.99</x:v>
      </x:c>
      <x:c r="I131" s="32" t="n">
        <x:v>99.99</x:v>
      </x:c>
      <x:c r="J131" s="32" t="str">
        <x:v>2026-08-03</x:v>
      </x:c>
      <x:c r="K131" s="32" t="str">
        <x:v>https://lenta.com/product/sakhar-pesok-lenta-rossiya-1kg-717070/</x:v>
      </x:c>
      <x:c r="L131" s="32" t="n">
        <x:v>1</x:v>
      </x:c>
      <x:c r="M131" s="32" t="str">
        <x:v>VERIFIED_DIRECT_CARD</x:v>
      </x:c>
    </x:row>
    <x:row r="132">
      <x:c r="A132" s="32" t="str">
        <x:v>PSR-0014</x:v>
      </x:c>
      <x:c r="B132" s="32" t="str">
        <x:v>ING-009</x:v>
      </x:c>
      <x:c r="C132" s="32" t="str">
        <x:v>Моцарелла</x:v>
      </x:c>
      <x:c r="D132" s="32" t="str">
        <x:v>Моцарелла Bonfesto Пицца</x:v>
      </x:c>
      <x:c r="E132" s="32" t="str">
        <x:v>Ашан</x:v>
      </x:c>
      <x:c r="F132" s="32" t="n">
        <x:v>1</x:v>
      </x:c>
      <x:c r="G132" s="32" t="str">
        <x:v>кг</x:v>
      </x:c>
      <x:c r="H132" s="32" t="n">
        <x:v>899.99</x:v>
      </x:c>
      <x:c r="I132" s="32" t="n">
        <x:v>899.99</x:v>
      </x:c>
      <x:c r="J132" s="32" t="str">
        <x:v>2026-08-03</x:v>
      </x:c>
      <x:c r="K132" s="32" t="str">
        <x:v>https://www.auchan.ru/product/syr-mocarella-picca-40-bonf/</x:v>
      </x:c>
      <x:c r="L132" s="32" t="n">
        <x:v>1</x:v>
      </x:c>
      <x:c r="M132" s="32" t="str">
        <x:v>VERIFIED_DIRECT_CARD</x:v>
      </x:c>
    </x:row>
    <x:row r="133">
      <x:c r="A133" s="32" t="str">
        <x:v>PSR-0015</x:v>
      </x:c>
      <x:c r="B133" s="32" t="str">
        <x:v>ING-009</x:v>
      </x:c>
      <x:c r="C133" s="32" t="str">
        <x:v>Моцарелла</x:v>
      </x:c>
      <x:c r="D133" s="32" t="str">
        <x:v>Моцарелла Primolatto</x:v>
      </x:c>
      <x:c r="E133" s="32" t="str">
        <x:v>Ашан</x:v>
      </x:c>
      <x:c r="F133" s="32" t="n">
        <x:v>0.25</x:v>
      </x:c>
      <x:c r="G133" s="32" t="str">
        <x:v>кг</x:v>
      </x:c>
      <x:c r="H133" s="32" t="n">
        <x:v>229.99</x:v>
      </x:c>
      <x:c r="I133" s="32" t="n">
        <x:v>919.96</x:v>
      </x:c>
      <x:c r="J133" s="32" t="str">
        <x:v>2026-08-03</x:v>
      </x:c>
      <x:c r="K133" s="32" t="str">
        <x:v>https://www.auchan.ru/product/mocarella-250g-primolatto-bzmzh/</x:v>
      </x:c>
      <x:c r="L133" s="32" t="n">
        <x:v>1</x:v>
      </x:c>
      <x:c r="M133" s="32" t="str">
        <x:v>VERIFIED_DIRECT_CARD</x:v>
      </x:c>
    </x:row>
    <x:row r="134">
      <x:c r="A134" s="32" t="str">
        <x:v>PSR-0017</x:v>
      </x:c>
      <x:c r="B134" s="32" t="str">
        <x:v>ING-010</x:v>
      </x:c>
      <x:c r="C134" s="32" t="str">
        <x:v>Пармезан</x:v>
      </x:c>
      <x:c r="D134" s="32" t="str">
        <x:v>Пармезан Dolce Granto</x:v>
      </x:c>
      <x:c r="E134" s="32" t="str">
        <x:v>Ашан</x:v>
      </x:c>
      <x:c r="F134" s="32" t="n">
        <x:v>0.2</x:v>
      </x:c>
      <x:c r="G134" s="32" t="str">
        <x:v>кг</x:v>
      </x:c>
      <x:c r="H134" s="32" t="n">
        <x:v>419.99</x:v>
      </x:c>
      <x:c r="I134" s="32" t="n">
        <x:v>2099.95</x:v>
      </x:c>
      <x:c r="J134" s="32" t="str">
        <x:v>2026-08-03</x:v>
      </x:c>
      <x:c r="K134" s="32" t="str">
        <x:v>https://www.auchan.ru/product/syr-parmezan-dolce-fasov-200g/</x:v>
      </x:c>
      <x:c r="L134" s="32" t="n">
        <x:v>1</x:v>
      </x:c>
      <x:c r="M134" s="32" t="str">
        <x:v>VERIFIED_DIRECT_CARD</x:v>
      </x:c>
    </x:row>
    <x:row r="135">
      <x:c r="A135" s="32" t="str">
        <x:v>PSR-0018</x:v>
      </x:c>
      <x:c r="B135" s="32" t="str">
        <x:v>ING-010</x:v>
      </x:c>
      <x:c r="C135" s="32" t="str">
        <x:v>Пармезан</x:v>
      </x:c>
      <x:c r="D135" s="32" t="str">
        <x:v>Пармезан Поставы городок</x:v>
      </x:c>
      <x:c r="E135" s="32" t="str">
        <x:v>Ашан</x:v>
      </x:c>
      <x:c r="F135" s="32" t="n">
        <x:v>0.2</x:v>
      </x:c>
      <x:c r="G135" s="32" t="str">
        <x:v>кг</x:v>
      </x:c>
      <x:c r="H135" s="32" t="n">
        <x:v>189.99</x:v>
      </x:c>
      <x:c r="I135" s="32" t="n">
        <x:v>949.95</x:v>
      </x:c>
      <x:c r="J135" s="32" t="str">
        <x:v>2026-08-03</x:v>
      </x:c>
      <x:c r="K135" s="32" t="str">
        <x:v>https://www.auchan.ru/product/syr-parmezan-postavy-45-200g/</x:v>
      </x:c>
      <x:c r="L135" s="32" t="n">
        <x:v>1</x:v>
      </x:c>
      <x:c r="M135" s="32" t="str">
        <x:v>VERIFIED_DIRECT_CARD</x:v>
      </x:c>
    </x:row>
    <x:row r="136">
      <x:c r="A136" s="32" t="str">
        <x:v>PSR-0019</x:v>
      </x:c>
      <x:c r="B136" s="32" t="str">
        <x:v>ING-010</x:v>
      </x:c>
      <x:c r="C136" s="32" t="str">
        <x:v>Пармезан</x:v>
      </x:c>
      <x:c r="D136" s="32" t="str">
        <x:v>Пармезан Сыробогатов</x:v>
      </x:c>
      <x:c r="E136" s="32" t="str">
        <x:v>Ашан</x:v>
      </x:c>
      <x:c r="F136" s="32" t="n">
        <x:v>0.2</x:v>
      </x:c>
      <x:c r="G136" s="32" t="str">
        <x:v>кг</x:v>
      </x:c>
      <x:c r="H136" s="32" t="n">
        <x:v>353.99</x:v>
      </x:c>
      <x:c r="I136" s="32" t="n">
        <x:v>1769.95</x:v>
      </x:c>
      <x:c r="J136" s="32" t="str">
        <x:v>2026-08-03</x:v>
      </x:c>
      <x:c r="K136" s="32" t="str">
        <x:v>https://www.auchan.ru/product/cyr-tverdyy-syrobogatov-parmezan-40-200-g/</x:v>
      </x:c>
      <x:c r="L136" s="32" t="n">
        <x:v>1</x:v>
      </x:c>
      <x:c r="M136" s="32" t="str">
        <x:v>VERIFIED_DIRECT_CARD</x:v>
      </x:c>
    </x:row>
    <x:row r="137">
      <x:c r="A137" s="32" t="str">
        <x:v>PSR-0020</x:v>
      </x:c>
      <x:c r="B137" s="32" t="str">
        <x:v>ING-010</x:v>
      </x:c>
      <x:c r="C137" s="32" t="str">
        <x:v>Пармезан</x:v>
      </x:c>
      <x:c r="D137" s="32" t="str">
        <x:v>Пармезан Laime</x:v>
      </x:c>
      <x:c r="E137" s="32" t="str">
        <x:v>Ашан</x:v>
      </x:c>
      <x:c r="F137" s="32" t="n">
        <x:v>0.2</x:v>
      </x:c>
      <x:c r="G137" s="32" t="str">
        <x:v>кг</x:v>
      </x:c>
      <x:c r="H137" s="32" t="n">
        <x:v>418.49</x:v>
      </x:c>
      <x:c r="I137" s="32" t="n">
        <x:v>2092.45</x:v>
      </x:c>
      <x:c r="J137" s="32" t="str">
        <x:v>2026-08-03</x:v>
      </x:c>
      <x:c r="K137" s="32" t="str">
        <x:v>https://www.auchan.ru/product/syr-tverdyy-laime-parmezan-200-g/</x:v>
      </x:c>
      <x:c r="L137" s="32" t="n">
        <x:v>1</x:v>
      </x:c>
      <x:c r="M137" s="32" t="str">
        <x:v>VERIFIED_DIRECT_CARD</x:v>
      </x:c>
    </x:row>
    <x:row r="138">
      <x:c r="A138" s="32" t="str">
        <x:v>PSR-0021</x:v>
      </x:c>
      <x:c r="B138" s="32" t="str">
        <x:v>ING-012</x:v>
      </x:c>
      <x:c r="C138" s="32" t="str">
        <x:v>Горгонзола</x:v>
      </x:c>
      <x:c r="D138" s="32" t="str">
        <x:v>Горгонзола Botticello</x:v>
      </x:c>
      <x:c r="E138" s="32" t="str">
        <x:v>Лента</x:v>
      </x:c>
      <x:c r="F138" s="32" t="n">
        <x:v>0.1</x:v>
      </x:c>
      <x:c r="G138" s="32" t="str">
        <x:v>кг</x:v>
      </x:c>
      <x:c r="H138" s="32" t="n">
        <x:v>189.99</x:v>
      </x:c>
      <x:c r="I138" s="32" t="n">
        <x:v>1899.9</x:v>
      </x:c>
      <x:c r="J138" s="32" t="str">
        <x:v>2026-08-03</x:v>
      </x:c>
      <x:c r="K138" s="32" t="str">
        <x:v>https://lenta.com/product/syr-s-golubojj-plesenyu-gorgonzola-50-bez-zmzh-rossiya-100g-909826/</x:v>
      </x:c>
      <x:c r="L138" s="32" t="n">
        <x:v>1</x:v>
      </x:c>
      <x:c r="M138" s="32" t="str">
        <x:v>VERIFIED_DIRECT_CARD</x:v>
      </x:c>
    </x:row>
    <x:row r="139">
      <x:c r="A139" s="32" t="str">
        <x:v>PSR-0023</x:v>
      </x:c>
      <x:c r="B139" s="32" t="str">
        <x:v>ING-012</x:v>
      </x:c>
      <x:c r="C139" s="32" t="str">
        <x:v>Горгонзола</x:v>
      </x:c>
      <x:c r="D139" s="32" t="str">
        <x:v>Горгонзола Ненашево</x:v>
      </x:c>
      <x:c r="E139" s="32" t="str">
        <x:v>Лента</x:v>
      </x:c>
      <x:c r="F139" s="32" t="n">
        <x:v>0.1</x:v>
      </x:c>
      <x:c r="G139" s="32" t="str">
        <x:v>кг</x:v>
      </x:c>
      <x:c r="H139" s="32" t="n">
        <x:v>169.99</x:v>
      </x:c>
      <x:c r="I139" s="32" t="n">
        <x:v>1699.9</x:v>
      </x:c>
      <x:c r="J139" s="32" t="str">
        <x:v>2026-08-03</x:v>
      </x:c>
      <x:c r="K139" s="32" t="str">
        <x:v>https://lenta.com/product/syr-gorgonzola-55-bez-zmzh-rossiya-100g-703203/</x:v>
      </x:c>
      <x:c r="L139" s="32" t="n">
        <x:v>1</x:v>
      </x:c>
      <x:c r="M139" s="32" t="str">
        <x:v>VERIFIED_DIRECT_CARD</x:v>
      </x:c>
    </x:row>
    <x:row r="140">
      <x:c r="A140" s="32" t="str">
        <x:v>PSR-0025</x:v>
      </x:c>
      <x:c r="B140" s="32" t="str">
        <x:v>ING-030</x:v>
      </x:c>
      <x:c r="C140" s="32" t="str">
        <x:v>Буррата</x:v>
      </x:c>
      <x:c r="D140" s="32" t="str">
        <x:v>Буррата Galbani mini</x:v>
      </x:c>
      <x:c r="E140" s="32" t="str">
        <x:v>Ашан</x:v>
      </x:c>
      <x:c r="F140" s="32" t="n">
        <x:v>0.125</x:v>
      </x:c>
      <x:c r="G140" s="32" t="str">
        <x:v>кг</x:v>
      </x:c>
      <x:c r="H140" s="32" t="n">
        <x:v>399.99</x:v>
      </x:c>
      <x:c r="I140" s="32" t="n">
        <x:v>3199.92</x:v>
      </x:c>
      <x:c r="J140" s="32" t="str">
        <x:v>2026-08-03</x:v>
      </x:c>
      <x:c r="K140" s="32" t="str">
        <x:v>https://www.auchan.ru/product/syr-galbani-burrata-50-125-g/</x:v>
      </x:c>
      <x:c r="L140" s="32" t="n">
        <x:v>1</x:v>
      </x:c>
      <x:c r="M140" s="32" t="str">
        <x:v>VERIFIED_DIRECT_CARD</x:v>
      </x:c>
    </x:row>
    <x:row r="141">
      <x:c r="A141" s="32" t="str">
        <x:v>PSR-0026</x:v>
      </x:c>
      <x:c r="B141" s="32" t="str">
        <x:v>ING-030</x:v>
      </x:c>
      <x:c r="C141" s="32" t="str">
        <x:v>Буррата</x:v>
      </x:c>
      <x:c r="D141" s="32" t="str">
        <x:v>Буррата Калачево</x:v>
      </x:c>
      <x:c r="E141" s="32" t="str">
        <x:v>Ашан</x:v>
      </x:c>
      <x:c r="F141" s="32" t="n">
        <x:v>0.125</x:v>
      </x:c>
      <x:c r="G141" s="32" t="str">
        <x:v>кг</x:v>
      </x:c>
      <x:c r="H141" s="32" t="n">
        <x:v>204.99</x:v>
      </x:c>
      <x:c r="I141" s="32" t="n">
        <x:v>1639.92</x:v>
      </x:c>
      <x:c r="J141" s="32" t="str">
        <x:v>2026-08-03</x:v>
      </x:c>
      <x:c r="K141" s="32" t="str">
        <x:v>https://www.auchan.ru/product/syr-buratta-kalachevo-125g/</x:v>
      </x:c>
      <x:c r="L141" s="32" t="n">
        <x:v>1</x:v>
      </x:c>
      <x:c r="M141" s="32" t="str">
        <x:v>VERIFIED_DIRECT_CARD</x:v>
      </x:c>
    </x:row>
    <x:row r="142">
      <x:c r="A142" s="32" t="str">
        <x:v>PSR-0027</x:v>
      </x:c>
      <x:c r="B142" s="32" t="str">
        <x:v>ING-030</x:v>
      </x:c>
      <x:c r="C142" s="32" t="str">
        <x:v>Буррата</x:v>
      </x:c>
      <x:c r="D142" s="32" t="str">
        <x:v>Буррата Калачево</x:v>
      </x:c>
      <x:c r="E142" s="32" t="str">
        <x:v>Ашан</x:v>
      </x:c>
      <x:c r="F142" s="32" t="n">
        <x:v>0.125</x:v>
      </x:c>
      <x:c r="G142" s="32" t="str">
        <x:v>кг</x:v>
      </x:c>
      <x:c r="H142" s="32" t="n">
        <x:v>179</x:v>
      </x:c>
      <x:c r="I142" s="32" t="n">
        <x:v>1432</x:v>
      </x:c>
      <x:c r="J142" s="32" t="str">
        <x:v>2026-08-03</x:v>
      </x:c>
      <x:c r="K142" s="32" t="str">
        <x:v>https://www.auchan.ru/product/syr-buratta-premium-125g/</x:v>
      </x:c>
      <x:c r="L142" s="32" t="n">
        <x:v>1</x:v>
      </x:c>
      <x:c r="M142" s="32" t="str">
        <x:v>VERIFIED_DIRECT_CARD</x:v>
      </x:c>
    </x:row>
    <x:row r="143">
      <x:c r="A143" s="32" t="str">
        <x:v>PSR-0028</x:v>
      </x:c>
      <x:c r="B143" s="32" t="str">
        <x:v>ING-030</x:v>
      </x:c>
      <x:c r="C143" s="32" t="str">
        <x:v>Буррата</x:v>
      </x:c>
      <x:c r="D143" s="32" t="str">
        <x:v>Буррата ЛЕНТА FRESH</x:v>
      </x:c>
      <x:c r="E143" s="32" t="str">
        <x:v>Лента</x:v>
      </x:c>
      <x:c r="F143" s="32" t="n">
        <x:v>0.15</x:v>
      </x:c>
      <x:c r="G143" s="32" t="str">
        <x:v>кг</x:v>
      </x:c>
      <x:c r="H143" s="32" t="n">
        <x:v>214.99</x:v>
      </x:c>
      <x:c r="I143" s="32" t="n">
        <x:v>1433.266667</x:v>
      </x:c>
      <x:c r="J143" s="32" t="str">
        <x:v>2026-08-03</x:v>
      </x:c>
      <x:c r="K143" s="32" t="str">
        <x:v>https://lenta.com/product/syr-myagkijj-burrata-bez-zmzh-rossiya-150g-712603/</x:v>
      </x:c>
      <x:c r="L143" s="32" t="n">
        <x:v>1</x:v>
      </x:c>
      <x:c r="M143" s="32" t="str">
        <x:v>VERIFIED_DIRECT_CARD</x:v>
      </x:c>
    </x:row>
    <x:row r="144">
      <x:c r="A144" s="32" t="str">
        <x:v>PSR-0031</x:v>
      </x:c>
      <x:c r="B144" s="32" t="str">
        <x:v>ING-036</x:v>
      </x:c>
      <x:c r="C144" s="32" t="str">
        <x:v>Креветки очищенные</x:v>
      </x:c>
      <x:c r="D144" s="32" t="str">
        <x:v>Креветки Fish&amp;More очищенные</x:v>
      </x:c>
      <x:c r="E144" s="32" t="str">
        <x:v>Ашан</x:v>
      </x:c>
      <x:c r="F144" s="32" t="n">
        <x:v>0.5</x:v>
      </x:c>
      <x:c r="G144" s="32" t="str">
        <x:v>кг</x:v>
      </x:c>
      <x:c r="H144" s="32" t="n">
        <x:v>899.99</x:v>
      </x:c>
      <x:c r="I144" s="32" t="n">
        <x:v>1799.98</x:v>
      </x:c>
      <x:c r="J144" s="32" t="str">
        <x:v>2026-08-03</x:v>
      </x:c>
      <x:c r="K144" s="32" t="str">
        <x:v>https://www.auchan.ru/product/krevetka-s-m-26-30-och-s-hv-0-5/</x:v>
      </x:c>
      <x:c r="L144" s="32" t="n">
        <x:v>1</x:v>
      </x:c>
      <x:c r="M144" s="32" t="str">
        <x:v>VERIFIED_DIRECT_CARD</x:v>
      </x:c>
    </x:row>
    <x:row r="145">
      <x:c r="A145" s="32" t="str">
        <x:v>PSR-0032</x:v>
      </x:c>
      <x:c r="B145" s="32" t="str">
        <x:v>ING-036</x:v>
      </x:c>
      <x:c r="C145" s="32" t="str">
        <x:v>Креветки очищенные</x:v>
      </x:c>
      <x:c r="D145" s="32" t="str">
        <x:v>Креветки Polar очищенные</x:v>
      </x:c>
      <x:c r="E145" s="32" t="str">
        <x:v>Ашан</x:v>
      </x:c>
      <x:c r="F145" s="32" t="n">
        <x:v>0.5</x:v>
      </x:c>
      <x:c r="G145" s="32" t="str">
        <x:v>кг</x:v>
      </x:c>
      <x:c r="H145" s="32" t="n">
        <x:v>769.99</x:v>
      </x:c>
      <x:c r="I145" s="32" t="n">
        <x:v>1539.98</x:v>
      </x:c>
      <x:c r="J145" s="32" t="str">
        <x:v>2026-08-03</x:v>
      </x:c>
      <x:c r="K145" s="32" t="str">
        <x:v>https://www.auchan.ru/product/krevetki-ochishchennye-polar-vareno-morozhenye-200-300-500-g/</x:v>
      </x:c>
      <x:c r="L145" s="32" t="n">
        <x:v>1</x:v>
      </x:c>
      <x:c r="M145" s="32" t="str">
        <x:v>VERIFIED_DIRECT_CARD</x:v>
      </x:c>
    </x:row>
    <x:row r="146">
      <x:c r="A146" s="32" t="str">
        <x:v>PSR-0033</x:v>
      </x:c>
      <x:c r="B146" s="32" t="str">
        <x:v>ING-036</x:v>
      </x:c>
      <x:c r="C146" s="32" t="str">
        <x:v>Креветки очищенные</x:v>
      </x:c>
      <x:c r="D146" s="32" t="str">
        <x:v>Креветки Океан Вкуса 41/50</x:v>
      </x:c>
      <x:c r="E146" s="32" t="str">
        <x:v>Ашан</x:v>
      </x:c>
      <x:c r="F146" s="32" t="n">
        <x:v>0.5</x:v>
      </x:c>
      <x:c r="G146" s="32" t="str">
        <x:v>кг</x:v>
      </x:c>
      <x:c r="H146" s="32" t="n">
        <x:v>829.99</x:v>
      </x:c>
      <x:c r="I146" s="32" t="n">
        <x:v>1659.98</x:v>
      </x:c>
      <x:c r="J146" s="32" t="str">
        <x:v>2026-08-03</x:v>
      </x:c>
      <x:c r="K146" s="32" t="str">
        <x:v>https://www.auchan.ru/product/krevetki-korolevskie-okean-vkusa-ochishchennye-s-hvostom-41-50-500-g/</x:v>
      </x:c>
      <x:c r="L146" s="32" t="n">
        <x:v>1</x:v>
      </x:c>
      <x:c r="M146" s="32" t="str">
        <x:v>VERIFIED_DIRECT_CARD</x:v>
      </x:c>
    </x:row>
    <x:row r="147">
      <x:c r="A147" s="32" t="str">
        <x:v>PSR-0034</x:v>
      </x:c>
      <x:c r="B147" s="32" t="str">
        <x:v>ING-036</x:v>
      </x:c>
      <x:c r="C147" s="32" t="str">
        <x:v>Креветки очищенные</x:v>
      </x:c>
      <x:c r="D147" s="32" t="str">
        <x:v>Креветки Вкус Арт</x:v>
      </x:c>
      <x:c r="E147" s="32" t="str">
        <x:v>Ашан</x:v>
      </x:c>
      <x:c r="F147" s="32" t="n">
        <x:v>0.5</x:v>
      </x:c>
      <x:c r="G147" s="32" t="str">
        <x:v>кг</x:v>
      </x:c>
      <x:c r="H147" s="32" t="n">
        <x:v>909.99</x:v>
      </x:c>
      <x:c r="I147" s="32" t="n">
        <x:v>1819.98</x:v>
      </x:c>
      <x:c r="J147" s="32" t="str">
        <x:v>2026-08-03</x:v>
      </x:c>
      <x:c r="K147" s="32" t="str">
        <x:v>https://www.auchan.ru/product/krevetka-korol-sm-ochishch-vkusart/</x:v>
      </x:c>
      <x:c r="L147" s="32" t="n">
        <x:v>1</x:v>
      </x:c>
      <x:c r="M147" s="32" t="str">
        <x:v>VERIFIED_DIRECT_CARD</x:v>
      </x:c>
    </x:row>
    <x:row r="148">
      <x:c r="A148" s="32" t="str">
        <x:v>PSR-0035</x:v>
      </x:c>
      <x:c r="B148" s="32" t="str">
        <x:v>ING-036</x:v>
      </x:c>
      <x:c r="C148" s="32" t="str">
        <x:v>Креветки очищенные</x:v>
      </x:c>
      <x:c r="D148" s="32" t="str">
        <x:v>Креветки ЛЕНТА очищенные</x:v>
      </x:c>
      <x:c r="E148" s="32" t="str">
        <x:v>Лента</x:v>
      </x:c>
      <x:c r="F148" s="32" t="n">
        <x:v>0.5</x:v>
      </x:c>
      <x:c r="G148" s="32" t="str">
        <x:v>кг</x:v>
      </x:c>
      <x:c r="H148" s="32" t="n">
        <x:v>749.99</x:v>
      </x:c>
      <x:c r="I148" s="32" t="n">
        <x:v>1499.98</x:v>
      </x:c>
      <x:c r="J148" s="32" t="str">
        <x:v>2026-08-03</x:v>
      </x:c>
      <x:c r="K148" s="32" t="str">
        <x:v>https://lenta.com/product/krevetki-ochishchennye-vm-200300-rossiya-500g-227076/</x:v>
      </x:c>
      <x:c r="L148" s="32" t="n">
        <x:v>1</x:v>
      </x:c>
      <x:c r="M148" s="32" t="str">
        <x:v>VERIFIED_DIRECT_CARD</x:v>
      </x:c>
    </x:row>
    <x:row r="149">
      <x:c r="A149" s="32" t="str">
        <x:v>PSR-0038</x:v>
      </x:c>
      <x:c r="B149" s="32" t="str">
        <x:v>ING-054</x:v>
      </x:c>
      <x:c r="C149" s="32" t="str">
        <x:v>Лосось слабосолёный, готовое филе</x:v>
      </x:c>
      <x:c r="D149" s="32" t="str">
        <x:v>Лосось слабосоленый филе</x:v>
      </x:c>
      <x:c r="E149" s="32" t="str">
        <x:v>Лента</x:v>
      </x:c>
      <x:c r="F149" s="32" t="n">
        <x:v>1</x:v>
      </x:c>
      <x:c r="G149" s="32" t="str">
        <x:v>кг</x:v>
      </x:c>
      <x:c r="H149" s="32" t="n">
        <x:v>3899.99</x:v>
      </x:c>
      <x:c r="I149" s="32" t="n">
        <x:v>3899.99</x:v>
      </x:c>
      <x:c r="J149" s="32" t="str">
        <x:v>2026-08-03</x:v>
      </x:c>
      <x:c r="K149" s="32" t="str">
        <x:v>https://lenta.com/product/losos-atlanticheskijj-file-slabosolenoe-rossiya-14426/</x:v>
      </x:c>
      <x:c r="L149" s="32" t="n">
        <x:v>1</x:v>
      </x:c>
      <x:c r="M149" s="32" t="str">
        <x:v>VERIFIED_DIRECT_CARD</x:v>
      </x:c>
    </x:row>
    <x:row r="150">
      <x:c r="A150" s="32" t="str">
        <x:v>PSR-0040</x:v>
      </x:c>
      <x:c r="B150" s="32" t="str">
        <x:v>ING-054</x:v>
      </x:c>
      <x:c r="C150" s="32" t="str">
        <x:v>Лосось слабосолёный, готовое филе</x:v>
      </x:c>
      <x:c r="D150" s="32" t="str">
        <x:v>Семга Русское море</x:v>
      </x:c>
      <x:c r="E150" s="32" t="str">
        <x:v>Ашан</x:v>
      </x:c>
      <x:c r="F150" s="32" t="n">
        <x:v>0.3</x:v>
      </x:c>
      <x:c r="G150" s="32" t="str">
        <x:v>кг</x:v>
      </x:c>
      <x:c r="H150" s="32" t="n">
        <x:v>1199.99</x:v>
      </x:c>
      <x:c r="I150" s="32" t="n">
        <x:v>3999.966667</x:v>
      </x:c>
      <x:c r="J150" s="32" t="str">
        <x:v>2026-08-03</x:v>
      </x:c>
      <x:c r="K150" s="32" t="str">
        <x:v>https://www.auchan.ru/product/semga-russkoe-more-slabosolenaya-file-kusok-300-g/</x:v>
      </x:c>
      <x:c r="L150" s="32" t="n">
        <x:v>1</x:v>
      </x:c>
      <x:c r="M150" s="32" t="str">
        <x:v>VERIFIED_DIRECT_CARD</x:v>
      </x:c>
    </x:row>
    <x:row r="151">
      <x:c r="A151" s="32" t="str">
        <x:v>PSR-0041</x:v>
      </x:c>
      <x:c r="B151" s="32" t="str">
        <x:v>ING-054</x:v>
      </x:c>
      <x:c r="C151" s="32" t="str">
        <x:v>Лосось слабосолёный, готовое филе</x:v>
      </x:c>
      <x:c r="D151" s="32" t="str">
        <x:v>Семга Русское море</x:v>
      </x:c>
      <x:c r="E151" s="32" t="str">
        <x:v>Ашан</x:v>
      </x:c>
      <x:c r="F151" s="32" t="n">
        <x:v>0.2</x:v>
      </x:c>
      <x:c r="G151" s="32" t="str">
        <x:v>кг</x:v>
      </x:c>
      <x:c r="H151" s="32" t="n">
        <x:v>849.99</x:v>
      </x:c>
      <x:c r="I151" s="32" t="n">
        <x:v>4249.95</x:v>
      </x:c>
      <x:c r="J151" s="32" t="str">
        <x:v>2026-08-03</x:v>
      </x:c>
      <x:c r="K151" s="32" t="str">
        <x:v>https://www.auchan.ru/product/semga-russkoe-more-slabosolenaya-file-kusok-200-g/</x:v>
      </x:c>
      <x:c r="L151" s="32" t="n">
        <x:v>1</x:v>
      </x:c>
      <x:c r="M151" s="32" t="str">
        <x:v>VERIFIED_DIRECT_CARD</x:v>
      </x:c>
    </x:row>
    <x:row r="152">
      <x:c r="A152" s="32" t="str">
        <x:v>PSR-0044</x:v>
      </x:c>
      <x:c r="B152" s="32" t="str">
        <x:v>ING-074</x:v>
      </x:c>
      <x:c r="C152" s="32" t="str">
        <x:v>Морковь</x:v>
      </x:c>
      <x:c r="D152" s="32" t="str">
        <x:v>Морковь весовая</x:v>
      </x:c>
      <x:c r="E152" s="32" t="str">
        <x:v>Лента</x:v>
      </x:c>
      <x:c r="F152" s="32" t="n">
        <x:v>1</x:v>
      </x:c>
      <x:c r="G152" s="32" t="str">
        <x:v>кг</x:v>
      </x:c>
      <x:c r="H152" s="32" t="n">
        <x:v>49.99</x:v>
      </x:c>
      <x:c r="I152" s="32" t="n">
        <x:v>49.99</x:v>
      </x:c>
      <x:c r="J152" s="32" t="str">
        <x:v>2026-08-03</x:v>
      </x:c>
      <x:c r="K152" s="32" t="str">
        <x:v>https://lenta.com/product/morkov-ves-1kg-303639/</x:v>
      </x:c>
      <x:c r="L152" s="32" t="n">
        <x:v>1</x:v>
      </x:c>
      <x:c r="M152" s="32" t="str">
        <x:v>VERIFIED_DIRECT_CARD</x:v>
      </x:c>
    </x:row>
    <x:row r="153">
      <x:c r="A153" s="32" t="str">
        <x:v>PSR-0046</x:v>
      </x:c>
      <x:c r="B153" s="32" t="str">
        <x:v>ING-076</x:v>
      </x:c>
      <x:c r="C153" s="32" t="str">
        <x:v>Треска, филе порционное</x:v>
      </x:c>
      <x:c r="D153" s="32" t="str">
        <x:v>Треска Borealis филе</x:v>
      </x:c>
      <x:c r="E153" s="32" t="str">
        <x:v>Ашан</x:v>
      </x:c>
      <x:c r="F153" s="32" t="n">
        <x:v>0.6</x:v>
      </x:c>
      <x:c r="G153" s="32" t="str">
        <x:v>кг</x:v>
      </x:c>
      <x:c r="H153" s="32" t="n">
        <x:v>1249.99</x:v>
      </x:c>
      <x:c r="I153" s="32" t="n">
        <x:v>2083.316667</x:v>
      </x:c>
      <x:c r="J153" s="32" t="str">
        <x:v>2026-08-03</x:v>
      </x:c>
      <x:c r="K153" s="32" t="str">
        <x:v>https://www.auchan.ru/product/treska-borealis-file-bez-shkury-600-g/</x:v>
      </x:c>
      <x:c r="L153" s="32" t="n">
        <x:v>1</x:v>
      </x:c>
      <x:c r="M153" s="32" t="str">
        <x:v>VERIFIED_DIRECT_CARD</x:v>
      </x:c>
    </x:row>
    <x:row r="154">
      <x:c r="A154" s="32" t="str">
        <x:v>PSR-0047</x:v>
      </x:c>
      <x:c r="B154" s="32" t="str">
        <x:v>ING-076</x:v>
      </x:c>
      <x:c r="C154" s="32" t="str">
        <x:v>Треска, филе порционное</x:v>
      </x:c>
      <x:c r="D154" s="32" t="str">
        <x:v>Треска охлажденная Мурманская</x:v>
      </x:c>
      <x:c r="E154" s="32" t="str">
        <x:v>Ашан</x:v>
      </x:c>
      <x:c r="F154" s="32" t="n">
        <x:v>1</x:v>
      </x:c>
      <x:c r="G154" s="32" t="str">
        <x:v>кг</x:v>
      </x:c>
      <x:c r="H154" s="32" t="n">
        <x:v>1289.99</x:v>
      </x:c>
      <x:c r="I154" s="32" t="n">
        <x:v>1289.99</x:v>
      </x:c>
      <x:c r="J154" s="32" t="str">
        <x:v>2026-08-03</x:v>
      </x:c>
      <x:c r="K154" s="32" t="str">
        <x:v>https://www.auchan.ru/product/treska_file_murm_bk_05_12/</x:v>
      </x:c>
      <x:c r="L154" s="32" t="n">
        <x:v>1</x:v>
      </x:c>
      <x:c r="M154" s="32" t="str">
        <x:v>VERIFIED_DIRECT_CARD</x:v>
      </x:c>
    </x:row>
    <x:row r="155">
      <x:c r="A155" s="32" t="str">
        <x:v>PSR-0048</x:v>
      </x:c>
      <x:c r="B155" s="32" t="str">
        <x:v>ING-076</x:v>
      </x:c>
      <x:c r="C155" s="32" t="str">
        <x:v>Треска, филе порционное</x:v>
      </x:c>
      <x:c r="D155" s="32" t="str">
        <x:v>Треска Красная птица филе</x:v>
      </x:c>
      <x:c r="E155" s="32" t="str">
        <x:v>Ашан</x:v>
      </x:c>
      <x:c r="F155" s="32" t="n">
        <x:v>1</x:v>
      </x:c>
      <x:c r="G155" s="32" t="str">
        <x:v>кг</x:v>
      </x:c>
      <x:c r="H155" s="32" t="n">
        <x:v>999.99</x:v>
      </x:c>
      <x:c r="I155" s="32" t="n">
        <x:v>999.99</x:v>
      </x:c>
      <x:c r="J155" s="32" t="str">
        <x:v>2026-08-03</x:v>
      </x:c>
      <x:c r="K155" s="32" t="str">
        <x:v>https://www.auchan.ru/product/kp-file-treski-b-k-ves/</x:v>
      </x:c>
      <x:c r="L155" s="32" t="n">
        <x:v>1</x:v>
      </x:c>
      <x:c r="M155" s="32" t="str">
        <x:v>VERIFIED_DIRECT_CARD</x:v>
      </x:c>
    </x:row>
    <x:row r="156">
      <x:c r="A156" s="32" t="str">
        <x:v>PSR-0049</x:v>
      </x:c>
      <x:c r="B156" s="32" t="str">
        <x:v>ING-076</x:v>
      </x:c>
      <x:c r="C156" s="32" t="str">
        <x:v>Треска, филе порционное</x:v>
      </x:c>
      <x:c r="D156" s="32" t="str">
        <x:v>Треска Вкус Арт филе</x:v>
      </x:c>
      <x:c r="E156" s="32" t="str">
        <x:v>Ашан</x:v>
      </x:c>
      <x:c r="F156" s="32" t="n">
        <x:v>0.6</x:v>
      </x:c>
      <x:c r="G156" s="32" t="str">
        <x:v>кг</x:v>
      </x:c>
      <x:c r="H156" s="32" t="n">
        <x:v>539.99</x:v>
      </x:c>
      <x:c r="I156" s="32" t="n">
        <x:v>899.983333</x:v>
      </x:c>
      <x:c r="J156" s="32" t="str">
        <x:v>2026-08-03</x:v>
      </x:c>
      <x:c r="K156" s="32" t="str">
        <x:v>https://www.auchan.ru/product/treska-file-vkus-art-600-gr/</x:v>
      </x:c>
      <x:c r="L156" s="32" t="n">
        <x:v>1</x:v>
      </x:c>
      <x:c r="M156" s="32" t="str">
        <x:v>VERIFIED_DIRECT_CARD</x:v>
      </x:c>
    </x:row>
    <x:row r="157">
      <x:c r="A157" s="32" t="str">
        <x:v>PSR-0050</x:v>
      </x:c>
      <x:c r="B157" s="32" t="str">
        <x:v>ING-077</x:v>
      </x:c>
      <x:c r="C157" s="32" t="str">
        <x:v>Сливки</x:v>
      </x:c>
      <x:c r="D157" s="32" t="str">
        <x:v>Сливки ЛЕНТА 33%</x:v>
      </x:c>
      <x:c r="E157" s="32" t="str">
        <x:v>Лента</x:v>
      </x:c>
      <x:c r="F157" s="32" t="n">
        <x:v>0.5</x:v>
      </x:c>
      <x:c r="G157" s="32" t="str">
        <x:v>кг</x:v>
      </x:c>
      <x:c r="H157" s="32" t="n">
        <x:v>189.99</x:v>
      </x:c>
      <x:c r="I157" s="32" t="n">
        <x:v>379.98</x:v>
      </x:c>
      <x:c r="J157" s="32" t="str">
        <x:v>2026-08-03</x:v>
      </x:c>
      <x:c r="K157" s="32" t="str">
        <x:v>https://lenta.com/product/slivki-upast-dlya-vzbivaniya-33-bez-zmzh-rossiya-500g-669483/</x:v>
      </x:c>
      <x:c r="L157" s="32" t="n">
        <x:v>1</x:v>
      </x:c>
      <x:c r="M157" s="32" t="str">
        <x:v>VERIFIED_DIRECT_CARD</x:v>
      </x:c>
    </x:row>
    <x:row r="158">
      <x:c r="A158" s="32" t="str">
        <x:v>PSR-0051</x:v>
      </x:c>
      <x:c r="B158" s="32" t="str">
        <x:v>ING-077</x:v>
      </x:c>
      <x:c r="C158" s="32" t="str">
        <x:v>Сливки</x:v>
      </x:c>
      <x:c r="D158" s="32" t="str">
        <x:v>Сливки БМК 33%</x:v>
      </x:c>
      <x:c r="E158" s="32" t="str">
        <x:v>Лента</x:v>
      </x:c>
      <x:c r="F158" s="32" t="n">
        <x:v>0.5</x:v>
      </x:c>
      <x:c r="G158" s="32" t="str">
        <x:v>кг</x:v>
      </x:c>
      <x:c r="H158" s="32" t="n">
        <x:v>449.99</x:v>
      </x:c>
      <x:c r="I158" s="32" t="n">
        <x:v>899.98</x:v>
      </x:c>
      <x:c r="J158" s="32" t="str">
        <x:v>2026-08-03</x:v>
      </x:c>
      <x:c r="K158" s="32" t="str">
        <x:v>https://lenta.com/product/slivki-upast-tva-33-bez-zmzh-rossiya-500g-564506/</x:v>
      </x:c>
      <x:c r="L158" s="32" t="n">
        <x:v>1</x:v>
      </x:c>
      <x:c r="M158" s="32" t="str">
        <x:v>VERIFIED_DIRECT_CARD</x:v>
      </x:c>
    </x:row>
    <x:row r="159">
      <x:c r="A159" s="32" t="str">
        <x:v>PSR-0052</x:v>
      </x:c>
      <x:c r="B159" s="32" t="str">
        <x:v>ING-077</x:v>
      </x:c>
      <x:c r="C159" s="32" t="str">
        <x:v>Сливки</x:v>
      </x:c>
      <x:c r="D159" s="32" t="str">
        <x:v>Сливки Село Зеленое 33%</x:v>
      </x:c>
      <x:c r="E159" s="32" t="str">
        <x:v>Лента</x:v>
      </x:c>
      <x:c r="F159" s="32" t="n">
        <x:v>0.5</x:v>
      </x:c>
      <x:c r="G159" s="32" t="str">
        <x:v>кг</x:v>
      </x:c>
      <x:c r="H159" s="32" t="n">
        <x:v>449.99</x:v>
      </x:c>
      <x:c r="I159" s="32" t="n">
        <x:v>899.98</x:v>
      </x:c>
      <x:c r="J159" s="32" t="str">
        <x:v>2026-08-03</x:v>
      </x:c>
      <x:c r="K159" s="32" t="str">
        <x:v>https://lenta.com/product/slivki-upast-dlya-vzbivaniya-33-bez-zmzh-rossiya-500g-440469/</x:v>
      </x:c>
      <x:c r="L159" s="32" t="n">
        <x:v>1</x:v>
      </x:c>
      <x:c r="M159" s="32" t="str">
        <x:v>VERIFIED_DIRECT_CARD</x:v>
      </x:c>
    </x:row>
    <x:row r="160">
      <x:c r="A160" s="32" t="str">
        <x:v>PSR-0054</x:v>
      </x:c>
      <x:c r="B160" s="32" t="str">
        <x:v>ING-088</x:v>
      </x:c>
      <x:c r="C160" s="32" t="str">
        <x:v>Говядина для котлеты</x:v>
      </x:c>
      <x:c r="D160" s="32" t="str">
        <x:v>Мякоть говяжья</x:v>
      </x:c>
      <x:c r="E160" s="32" t="str">
        <x:v>Лента</x:v>
      </x:c>
      <x:c r="F160" s="32" t="n">
        <x:v>1</x:v>
      </x:c>
      <x:c r="G160" s="32" t="str">
        <x:v>кг</x:v>
      </x:c>
      <x:c r="H160" s="32" t="n">
        <x:v>789.99</x:v>
      </x:c>
      <x:c r="I160" s="32" t="n">
        <x:v>789.99</x:v>
      </x:c>
      <x:c r="J160" s="32" t="str">
        <x:v>2026-08-03</x:v>
      </x:c>
      <x:c r="K160" s="32" t="str">
        <x:v>https://lenta.com/product/govyadina-myakot-ohlazhdennaya-ves-rossiya-471055/</x:v>
      </x:c>
      <x:c r="L160" s="32" t="n">
        <x:v>1</x:v>
      </x:c>
      <x:c r="M160" s="32" t="str">
        <x:v>VERIFIED_DIRECT_CARD</x:v>
      </x:c>
    </x:row>
    <x:row r="161">
      <x:c r="A161" s="32" t="str">
        <x:v>PSR-0055</x:v>
      </x:c>
      <x:c r="B161" s="32" t="str">
        <x:v>ING-097</x:v>
      </x:c>
      <x:c r="C161" s="32" t="str">
        <x:v>Говяжья вырезка</x:v>
      </x:c>
      <x:c r="D161" s="32" t="str">
        <x:v>Вырезка говяжья</x:v>
      </x:c>
      <x:c r="E161" s="32" t="str">
        <x:v>Ашан</x:v>
      </x:c>
      <x:c r="F161" s="32" t="n">
        <x:v>1</x:v>
      </x:c>
      <x:c r="G161" s="32" t="str">
        <x:v>кг</x:v>
      </x:c>
      <x:c r="H161" s="32" t="n">
        <x:v>1999.99</x:v>
      </x:c>
      <x:c r="I161" s="32" t="n">
        <x:v>1999.99</x:v>
      </x:c>
      <x:c r="J161" s="32" t="str">
        <x:v>2026-08-03</x:v>
      </x:c>
      <x:c r="K161" s="32" t="str">
        <x:v>https://www.auchan.ru/product/vyrezka-govyazhya-1kg/</x:v>
      </x:c>
      <x:c r="L161" s="32" t="n">
        <x:v>1</x:v>
      </x:c>
      <x:c r="M161" s="32" t="str">
        <x:v>VERIFIED_DIRECT_CARD</x:v>
      </x:c>
    </x:row>
    <x:row r="162">
      <x:c r="A162" s="32" t="str">
        <x:v>PSR-0056</x:v>
      </x:c>
      <x:c r="B162" s="32" t="str">
        <x:v>ING-097</x:v>
      </x:c>
      <x:c r="C162" s="32" t="str">
        <x:v>Говяжья вырезка</x:v>
      </x:c>
      <x:c r="D162" s="32" t="str">
        <x:v>Вырезка говяжья Tenderloin</x:v>
      </x:c>
      <x:c r="E162" s="32" t="str">
        <x:v>Ашан</x:v>
      </x:c>
      <x:c r="F162" s="32" t="n">
        <x:v>1</x:v>
      </x:c>
      <x:c r="G162" s="32" t="str">
        <x:v>кг</x:v>
      </x:c>
      <x:c r="H162" s="32" t="n">
        <x:v>1463.99</x:v>
      </x:c>
      <x:c r="I162" s="32" t="n">
        <x:v>1463.99</x:v>
      </x:c>
      <x:c r="J162" s="32" t="str">
        <x:v>2026-08-03</x:v>
      </x:c>
      <x:c r="K162" s="32" t="str">
        <x:v>https://www.auchan.ru/product/vyrezka_zachischennaya_mramor/</x:v>
      </x:c>
      <x:c r="L162" s="32" t="n">
        <x:v>1</x:v>
      </x:c>
      <x:c r="M162" s="32" t="str">
        <x:v>VERIFIED_DIRECT_CARD</x:v>
      </x:c>
    </x:row>
    <x:row r="163">
      <x:c r="A163" s="32" t="str">
        <x:v>PSR-0057</x:v>
      </x:c>
      <x:c r="B163" s="32" t="str">
        <x:v>ING-097</x:v>
      </x:c>
      <x:c r="C163" s="32" t="str">
        <x:v>Говяжья вырезка</x:v>
      </x:c>
      <x:c r="D163" s="32" t="str">
        <x:v>Вырезка говяжья Родные места</x:v>
      </x:c>
      <x:c r="E163" s="32" t="str">
        <x:v>Лента</x:v>
      </x:c>
      <x:c r="F163" s="32" t="n">
        <x:v>1</x:v>
      </x:c>
      <x:c r="G163" s="32" t="str">
        <x:v>кг</x:v>
      </x:c>
      <x:c r="H163" s="32" t="n">
        <x:v>809.99</x:v>
      </x:c>
      <x:c r="I163" s="32" t="n">
        <x:v>809.99</x:v>
      </x:c>
      <x:c r="J163" s="32" t="str">
        <x:v>2026-08-03</x:v>
      </x:c>
      <x:c r="K163" s="32" t="str">
        <x:v>https://lenta.com/product/vyrezka-govyazhya-ves-rossiya-494615/</x:v>
      </x:c>
      <x:c r="L163" s="32" t="n">
        <x:v>1</x:v>
      </x:c>
      <x:c r="M163" s="32" t="str">
        <x:v>VERIFIED_DIRECT_CARD</x:v>
      </x:c>
    </x:row>
    <x:row r="164">
      <x:c r="A164" s="32" t="str">
        <x:v>PSR-0058</x:v>
      </x:c>
      <x:c r="B164" s="32" t="str">
        <x:v>ING-097</x:v>
      </x:c>
      <x:c r="C164" s="32" t="str">
        <x:v>Говяжья вырезка</x:v>
      </x:c>
      <x:c r="D164" s="32" t="str">
        <x:v>Вырезка говяжья фермерская</x:v>
      </x:c>
      <x:c r="E164" s="32" t="str">
        <x:v>Лента</x:v>
      </x:c>
      <x:c r="F164" s="32" t="n">
        <x:v>1</x:v>
      </x:c>
      <x:c r="G164" s="32" t="str">
        <x:v>кг</x:v>
      </x:c>
      <x:c r="H164" s="32" t="n">
        <x:v>579.99</x:v>
      </x:c>
      <x:c r="I164" s="32" t="n">
        <x:v>579.99</x:v>
      </x:c>
      <x:c r="J164" s="32" t="str">
        <x:v>2026-08-03</x:v>
      </x:c>
      <x:c r="K164" s="32" t="str">
        <x:v>https://lenta.com/product/govyadina--fermerskaya-vyrezka-polufabrikat-ohlazhdennyjj-ves-rossiya-655814/</x:v>
      </x:c>
      <x:c r="L164" s="32" t="n">
        <x:v>1</x:v>
      </x:c>
      <x:c r="M164" s="32" t="str">
        <x:v>VERIFIED_DIRECT_CARD</x:v>
      </x:c>
    </x:row>
    <x:row r="165">
      <x:c r="A165" s="32" t="str">
        <x:v>PSR-0061</x:v>
      </x:c>
      <x:c r="B165" s="32" t="str">
        <x:v>ING-107</x:v>
      </x:c>
      <x:c r="C165" s="32" t="str">
        <x:v>Черника</x:v>
      </x:c>
      <x:c r="D165" s="32" t="str">
        <x:v>Черника Свой урожай</x:v>
      </x:c>
      <x:c r="E165" s="32" t="str">
        <x:v>Лента</x:v>
      </x:c>
      <x:c r="F165" s="32" t="n">
        <x:v>0.3</x:v>
      </x:c>
      <x:c r="G165" s="32" t="str">
        <x:v>кг</x:v>
      </x:c>
      <x:c r="H165" s="32" t="n">
        <x:v>199.99</x:v>
      </x:c>
      <x:c r="I165" s="32" t="n">
        <x:v>666.633333</x:v>
      </x:c>
      <x:c r="J165" s="32" t="str">
        <x:v>2026-08-03</x:v>
      </x:c>
      <x:c r="K165" s="32" t="str">
        <x:v>https://lenta.com/product/chernika-rossiya-300g-402638/</x:v>
      </x:c>
      <x:c r="L165" s="32" t="n">
        <x:v>1</x:v>
      </x:c>
      <x:c r="M165" s="32" t="str">
        <x:v>VERIFIED_DIRECT_CARD</x:v>
      </x:c>
    </x:row>
    <x:row r="166">
      <x:c r="A166" s="32" t="str">
        <x:v>PSR-0062</x:v>
      </x:c>
      <x:c r="B166" s="32" t="str">
        <x:v>ING-107</x:v>
      </x:c>
      <x:c r="C166" s="32" t="str">
        <x:v>Черника</x:v>
      </x:c>
      <x:c r="D166" s="32" t="str">
        <x:v>Черника И зимой и летом</x:v>
      </x:c>
      <x:c r="E166" s="32" t="str">
        <x:v>Лента</x:v>
      </x:c>
      <x:c r="F166" s="32" t="n">
        <x:v>0.3</x:v>
      </x:c>
      <x:c r="G166" s="32" t="str">
        <x:v>кг</x:v>
      </x:c>
      <x:c r="H166" s="32" t="n">
        <x:v>269.99</x:v>
      </x:c>
      <x:c r="I166" s="32" t="n">
        <x:v>899.966667</x:v>
      </x:c>
      <x:c r="J166" s="32" t="str">
        <x:v>2026-08-03</x:v>
      </x:c>
      <x:c r="K166" s="32" t="str">
        <x:v>https://lenta.com/product/chernika-rossiya-300g-698086/</x:v>
      </x:c>
      <x:c r="L166" s="32" t="n">
        <x:v>1</x:v>
      </x:c>
      <x:c r="M166" s="32" t="str">
        <x:v>VERIFIED_DIRECT_CARD</x:v>
      </x:c>
    </x:row>
    <x:row r="167">
      <x:c r="A167" s="32" t="str">
        <x:v>PSR-0063</x:v>
      </x:c>
      <x:c r="B167" s="32" t="str">
        <x:v>ING-107</x:v>
      </x:c>
      <x:c r="C167" s="32" t="str">
        <x:v>Черника</x:v>
      </x:c>
      <x:c r="D167" s="32" t="str">
        <x:v>Черника МариАйс</x:v>
      </x:c>
      <x:c r="E167" s="32" t="str">
        <x:v>Лента</x:v>
      </x:c>
      <x:c r="F167" s="32" t="n">
        <x:v>0.3</x:v>
      </x:c>
      <x:c r="G167" s="32" t="str">
        <x:v>кг</x:v>
      </x:c>
      <x:c r="H167" s="32" t="n">
        <x:v>234.99</x:v>
      </x:c>
      <x:c r="I167" s="32" t="n">
        <x:v>783.3</x:v>
      </x:c>
      <x:c r="J167" s="32" t="str">
        <x:v>2026-08-03</x:v>
      </x:c>
      <x:c r="K167" s="32" t="str">
        <x:v>https://lenta.com/product/chernika-bzam-pu-rossiya-300g-629698/</x:v>
      </x:c>
      <x:c r="L167" s="32" t="n">
        <x:v>1</x:v>
      </x:c>
      <x:c r="M167" s="32" t="str">
        <x:v>VERIFIED_DIRECT_CARD</x:v>
      </x:c>
    </x:row>
    <x:row r="168">
      <x:c r="A168" s="32" t="str">
        <x:v>PSR-0064</x:v>
      </x:c>
      <x:c r="B168" s="32" t="str">
        <x:v>ING-108</x:v>
      </x:c>
      <x:c r="C168" s="32" t="str">
        <x:v>Сыр сливочный</x:v>
      </x:c>
      <x:c r="D168" s="32" t="str">
        <x:v>Кремчиз Bonfesto</x:v>
      </x:c>
      <x:c r="E168" s="32" t="str">
        <x:v>Лента</x:v>
      </x:c>
      <x:c r="F168" s="32" t="n">
        <x:v>0.4</x:v>
      </x:c>
      <x:c r="G168" s="32" t="str">
        <x:v>кг</x:v>
      </x:c>
      <x:c r="H168" s="32" t="n">
        <x:v>219.99</x:v>
      </x:c>
      <x:c r="I168" s="32" t="n">
        <x:v>549.975</x:v>
      </x:c>
      <x:c r="J168" s="32" t="str">
        <x:v>2026-08-03</x:v>
      </x:c>
      <x:c r="K168" s="32" t="str">
        <x:v>https://lenta.com/product/syr-tvorozhnyjj-kremchiz-slivochnyjj-70-bez-zmzh-belarus-400g-665842/</x:v>
      </x:c>
      <x:c r="L168" s="32" t="n">
        <x:v>1</x:v>
      </x:c>
      <x:c r="M168" s="32" t="str">
        <x:v>VERIFIED_DIRECT_CARD</x:v>
      </x:c>
    </x:row>
  </x:sheetData>
  <x:mergeCells>
    <x:mergeCell ref="A1:M1"/>
    <x:mergeCell ref="A2:M2"/>
    <x:mergeCell ref="A121:M121"/>
  </x:mergeCells>
  <x:conditionalFormatting sqref="J6:K118">
    <x:cfRule type="containsText" dxfId="10" priority="1" operator="containsText" text="BLOCK"/>
    <x:cfRule type="containsText" dxfId="11" priority="2" operator="containsText" text="PASS"/>
  </x:conditionalFormatting>
  <x:pageMargins left="0.7" right="0.7" top="0.75" bottom="0.75" header="0.3" footer="0.3"/>
  <x:tableParts count="2">
    <x:tablePart xmlns:r="http://schemas.openxmlformats.org/officeDocument/2006/relationships" r:id="R9565352a3dfb4c9a"/>
    <x:tablePart xmlns:r="http://schemas.openxmlformats.org/officeDocument/2006/relationships" r:id="Rf3c126b7a64747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20" hidden="0" customWidth="1"/>
    <x:col min="4" max="4" width="13" hidden="0" customWidth="1"/>
    <x:col min="5" max="5" width="15" hidden="0" customWidth="1"/>
    <x:col min="6" max="6" width="13" hidden="0" customWidth="1"/>
    <x:col min="7" max="7" width="13" hidden="0" customWidth="1"/>
    <x:col min="8" max="8" width="11" hidden="0" customWidth="1"/>
    <x:col min="9" max="9" width="14" hidden="0" customWidth="1"/>
    <x:col min="10" max="10" width="13" hidden="0" customWidth="1"/>
    <x:col min="11" max="11" width="14" hidden="0" customWidth="1"/>
    <x:col min="12" max="12" width="15" hidden="0" customWidth="1"/>
    <x:col min="13" max="13" width="25" hidden="0" customWidth="1"/>
    <x:col min="14" max="14" width="45" hidden="0" customWidth="1"/>
    <x:col min="15" max="15" width="28" hidden="0" customWidth="1"/>
    <x:col min="16" max="16" width="30" hidden="0" customWidth="1"/>
  </x:cols>
  <x:sheetData>
    <x:row r="1" ht="30" customHeight="1">
      <x:c r="A1" s="26" t="str">
        <x:v>07 — Ценообразование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</x:row>
    <x:row r="2" ht="27" customHeight="1">
      <x:c r="A2" s="28" t="str">
        <x:v>Channel rows = 101. Project price, food cost and margin remain blank until complete COGS and channel costs are evidenced.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 ht="34" customHeight="1">
      <x:c r="A5" s="31" t="str">
        <x:v>Dish ID</x:v>
      </x:c>
      <x:c r="B5" s="31" t="str">
        <x:v>Блюдо</x:v>
      </x:c>
      <x:c r="C5" s="31" t="str">
        <x:v>Канал</x:v>
      </x:c>
      <x:c r="D5" s="31" t="str">
        <x:v>Target COGS</x:v>
      </x:c>
      <x:c r="E5" s="31" t="str">
        <x:v>Kitchen COGS</x:v>
      </x:c>
      <x:c r="F5" s="31" t="str">
        <x:v>Packaging</x:v>
      </x:c>
      <x:c r="G5" s="31" t="str">
        <x:v>Commission</x:v>
      </x:c>
      <x:c r="H5" s="31" t="str">
        <x:v>Tax</x:v>
      </x:c>
      <x:c r="I5" s="31" t="str">
        <x:v>Project price</x:v>
      </x:c>
      <x:c r="J5" s="31" t="str">
        <x:v>Food cost</x:v>
      </x:c>
      <x:c r="K5" s="31" t="str">
        <x:v>Gross margin</x:v>
      </x:c>
      <x:c r="L5" s="31" t="str">
        <x:v>Contribution</x:v>
      </x:c>
      <x:c r="M5" s="31" t="str">
        <x:v>Status</x:v>
      </x:c>
      <x:c r="N5" s="31" t="str">
        <x:v>Method</x:v>
      </x:c>
      <x:c r="O5" s="31" t="str">
        <x:v>Source</x:v>
      </x:c>
      <x:c r="P5" s="31" t="str">
        <x:v>Blockers</x:v>
      </x:c>
    </x:row>
    <x:row r="6">
      <x:c r="A6" s="32" t="str">
        <x:v>VKM-001</x:v>
      </x:c>
      <x:c r="B6" s="32" t="str">
        <x:v>Маргарита</x:v>
      </x:c>
      <x:c r="C6" s="32" t="str">
        <x:v>À la carte</x:v>
      </x:c>
      <x:c r="D6" s="40" t="n">
        <x:v>0.3</x:v>
      </x:c>
      <x:c r="E6" s="37" t="str">
        <x:f>IFERROR(INDEX('04_КАЛЬКУЛЯЦИИ'!$N$6:$N$33,MATCH(A6,'04_КАЛЬКУЛЯЦИИ'!$B$6:$B$33,0)),"")</x:f>
      </x:c>
      <x:c r="F6" s="36"/>
      <x:c r="G6" s="36"/>
      <x:c r="H6" s="36"/>
      <x:c r="I6" s="37" t="str">
        <x:f>IF(OR(E6="",F6="",D6=""),"",(E6+F6)/D6)</x:f>
      </x:c>
      <x:c r="J6" s="37" t="str">
        <x:f>IF(OR(E6="",F6="",I6=""),"",(E6+F6)/I6)</x:f>
      </x:c>
      <x:c r="K6" s="37" t="str">
        <x:f>IF(OR(I6="",E6="",F6=""),"",I6-E6-F6)</x:f>
      </x:c>
      <x:c r="L6" s="37" t="str">
        <x:f>IF(OR(K6="",G6="",H6=""),"",K6-I6*G6-I6*H6)</x:f>
      </x:c>
      <x:c r="M6" s="32" t="str">
        <x:v>BLOCKED_PENDING_VALIDATION</x:v>
      </x:c>
      <x:c r="N6" s="32" t="str">
        <x:v>(complete kitchen COGS + channel packaging) / S04 target COGS ratio; commission and tax excluded because unconfirmed</x:v>
      </x:c>
      <x:c r="O6" s="32" t="str">
        <x:v>S04 inputs + docs/03-methodology/COGS.md</x:v>
      </x:c>
      <x:c r="P6" s="32" t="str">
        <x:v>ING-005;ING-011;VSF-001;VSF-002</x:v>
      </x:c>
    </x:row>
    <x:row r="7">
      <x:c r="A7" s="32" t="str">
        <x:v>VKM-001</x:v>
      </x:c>
      <x:c r="B7" s="32" t="str">
        <x:v>Маргарита</x:v>
      </x:c>
      <x:c r="C7" s="32" t="str">
        <x:v>Бизнес-ланч</x:v>
      </x:c>
      <x:c r="D7" s="40" t="n">
        <x:v>0.4</x:v>
      </x:c>
      <x:c r="E7" s="37" t="str">
        <x:f>IFERROR(INDEX('04_КАЛЬКУЛЯЦИИ'!$N$6:$N$33,MATCH(A7,'04_КАЛЬКУЛЯЦИИ'!$B$6:$B$33,0)),"")</x:f>
      </x:c>
      <x:c r="F7" s="36"/>
      <x:c r="G7" s="36"/>
      <x:c r="H7" s="36"/>
      <x:c r="I7" s="37" t="str">
        <x:f>IF(OR(E7="",F7="",D7=""),"",(E7+F7)/D7)</x:f>
      </x:c>
      <x:c r="J7" s="37" t="str">
        <x:f>IF(OR(E7="",F7="",I7=""),"",(E7+F7)/I7)</x:f>
      </x:c>
      <x:c r="K7" s="37" t="str">
        <x:f>IF(OR(I7="",E7="",F7=""),"",I7-E7-F7)</x:f>
      </x:c>
      <x:c r="L7" s="37" t="str">
        <x:f>IF(OR(K7="",G7="",H7=""),"",K7-I7*G7-I7*H7)</x:f>
      </x:c>
      <x:c r="M7" s="32" t="str">
        <x:v>BLOCKED_PENDING_VALIDATION</x:v>
      </x:c>
      <x:c r="N7" s="32" t="str">
        <x:v>(complete kitchen COGS + channel packaging) / S04 target COGS ratio; commission and tax excluded because unconfirmed</x:v>
      </x:c>
      <x:c r="O7" s="32" t="str">
        <x:v>S04 inputs + docs/03-methodology/COGS.md</x:v>
      </x:c>
      <x:c r="P7" s="32" t="str">
        <x:v>ING-005;ING-011;VSF-001;VSF-002</x:v>
      </x:c>
    </x:row>
    <x:row r="8">
      <x:c r="A8" s="32" t="str">
        <x:v>VKM-001</x:v>
      </x:c>
      <x:c r="B8" s="32" t="str">
        <x:v>Маргарита</x:v>
      </x:c>
      <x:c r="C8" s="32" t="str">
        <x:v>Гостиничные ужины</x:v>
      </x:c>
      <x:c r="D8" s="40" t="n">
        <x:v>0.3</x:v>
      </x:c>
      <x:c r="E8" s="37" t="str">
        <x:f>IFERROR(INDEX('04_КАЛЬКУЛЯЦИИ'!$N$6:$N$33,MATCH(A8,'04_КАЛЬКУЛЯЦИИ'!$B$6:$B$33,0)),"")</x:f>
      </x:c>
      <x:c r="F8" s="36"/>
      <x:c r="G8" s="36"/>
      <x:c r="H8" s="36"/>
      <x:c r="I8" s="37" t="str">
        <x:f>IF(OR(E8="",F8="",D8=""),"",(E8+F8)/D8)</x:f>
      </x:c>
      <x:c r="J8" s="37" t="str">
        <x:f>IF(OR(E8="",F8="",I8=""),"",(E8+F8)/I8)</x:f>
      </x:c>
      <x:c r="K8" s="37" t="str">
        <x:f>IF(OR(I8="",E8="",F8=""),"",I8-E8-F8)</x:f>
      </x:c>
      <x:c r="L8" s="37" t="str">
        <x:f>IF(OR(K8="",G8="",H8=""),"",K8-I8*G8-I8*H8)</x:f>
      </x:c>
      <x:c r="M8" s="32" t="str">
        <x:v>BLOCKED_PENDING_VALIDATION</x:v>
      </x:c>
      <x:c r="N8" s="32" t="str">
        <x:v>(complete kitchen COGS + channel packaging) / S04 target COGS ratio; commission and tax excluded because unconfirmed</x:v>
      </x:c>
      <x:c r="O8" s="32" t="str">
        <x:v>S04 inputs + docs/03-methodology/COGS.md</x:v>
      </x:c>
      <x:c r="P8" s="32" t="str">
        <x:v>ING-005;ING-011;VSF-001;VSF-002</x:v>
      </x:c>
    </x:row>
    <x:row r="9">
      <x:c r="A9" s="32" t="str">
        <x:v>VKM-001</x:v>
      </x:c>
      <x:c r="B9" s="32" t="str">
        <x:v>Маргарита</x:v>
      </x:c>
      <x:c r="C9" s="32" t="str">
        <x:v>Доставка</x:v>
      </x:c>
      <x:c r="D9" s="40" t="n">
        <x:v>0.3</x:v>
      </x:c>
      <x:c r="E9" s="37" t="str">
        <x:f>IFERROR(INDEX('04_КАЛЬКУЛЯЦИИ'!$N$6:$N$33,MATCH(A9,'04_КАЛЬКУЛЯЦИИ'!$B$6:$B$33,0)),"")</x:f>
      </x:c>
      <x:c r="F9" s="36"/>
      <x:c r="G9" s="36"/>
      <x:c r="H9" s="36"/>
      <x:c r="I9" s="37" t="str">
        <x:f>IF(OR(E9="",F9="",D9=""),"",(E9+F9)/D9)</x:f>
      </x:c>
      <x:c r="J9" s="37" t="str">
        <x:f>IF(OR(E9="",F9="",I9=""),"",(E9+F9)/I9)</x:f>
      </x:c>
      <x:c r="K9" s="37" t="str">
        <x:f>IF(OR(I9="",E9="",F9=""),"",I9-E9-F9)</x:f>
      </x:c>
      <x:c r="L9" s="37" t="str">
        <x:f>IF(OR(K9="",G9="",H9=""),"",K9-I9*G9-I9*H9)</x:f>
      </x:c>
      <x:c r="M9" s="32" t="str">
        <x:v>BLOCKED_PENDING_VALIDATION</x:v>
      </x:c>
      <x:c r="N9" s="32" t="str">
        <x:v>(complete kitchen COGS + channel packaging) / S04 target COGS ratio; commission and tax excluded because unconfirmed</x:v>
      </x:c>
      <x:c r="O9" s="32" t="str">
        <x:v>S04 inputs + docs/03-methodology/COGS.md</x:v>
      </x:c>
      <x:c r="P9" s="32" t="str">
        <x:v>ING-005;ING-011;VSF-001;VSF-002</x:v>
      </x:c>
    </x:row>
    <x:row r="10">
      <x:c r="A10" s="32" t="str">
        <x:v>VKM-002</x:v>
      </x:c>
      <x:c r="B10" s="32" t="str">
        <x:v>Четыре сыра</x:v>
      </x:c>
      <x:c r="C10" s="32" t="str">
        <x:v>À la carte</x:v>
      </x:c>
      <x:c r="D10" s="40" t="n">
        <x:v>0.3</x:v>
      </x:c>
      <x:c r="E10" s="37" t="str">
        <x:f>IFERROR(INDEX('04_КАЛЬКУЛЯЦИИ'!$N$6:$N$33,MATCH(A10,'04_КАЛЬКУЛЯЦИИ'!$B$6:$B$33,0)),"")</x:f>
      </x:c>
      <x:c r="F10" s="36"/>
      <x:c r="G10" s="36"/>
      <x:c r="H10" s="36"/>
      <x:c r="I10" s="37" t="str">
        <x:f>IF(OR(E10="",F10="",D10=""),"",(E10+F10)/D10)</x:f>
      </x:c>
      <x:c r="J10" s="37" t="str">
        <x:f>IF(OR(E10="",F10="",I10=""),"",(E10+F10)/I10)</x:f>
      </x:c>
      <x:c r="K10" s="37" t="str">
        <x:f>IF(OR(I10="",E10="",F10=""),"",I10-E10-F10)</x:f>
      </x:c>
      <x:c r="L10" s="37" t="str">
        <x:f>IF(OR(K10="",G10="",H10=""),"",K10-I10*G10-I10*H10)</x:f>
      </x:c>
      <x:c r="M10" s="32" t="str">
        <x:v>BLOCKED_PENDING_VALIDATION</x:v>
      </x:c>
      <x:c r="N10" s="32" t="str">
        <x:v>(complete kitchen COGS + channel packaging) / S04 target COGS ratio; commission and tax excluded because unconfirmed</x:v>
      </x:c>
      <x:c r="O10" s="32" t="str">
        <x:v>S04 inputs + docs/03-methodology/COGS.md</x:v>
      </x:c>
      <x:c r="P10" s="32" t="str">
        <x:v>ING-005;ING-013;VSF-001;VSF-002</x:v>
      </x:c>
    </x:row>
    <x:row r="11">
      <x:c r="A11" s="32" t="str">
        <x:v>VKM-002</x:v>
      </x:c>
      <x:c r="B11" s="32" t="str">
        <x:v>Четыре сыра</x:v>
      </x:c>
      <x:c r="C11" s="32" t="str">
        <x:v>Бизнес-ланч</x:v>
      </x:c>
      <x:c r="D11" s="40" t="n">
        <x:v>0.4</x:v>
      </x:c>
      <x:c r="E11" s="37" t="str">
        <x:f>IFERROR(INDEX('04_КАЛЬКУЛЯЦИИ'!$N$6:$N$33,MATCH(A11,'04_КАЛЬКУЛЯЦИИ'!$B$6:$B$33,0)),"")</x:f>
      </x:c>
      <x:c r="F11" s="36"/>
      <x:c r="G11" s="36"/>
      <x:c r="H11" s="36"/>
      <x:c r="I11" s="37" t="str">
        <x:f>IF(OR(E11="",F11="",D11=""),"",(E11+F11)/D11)</x:f>
      </x:c>
      <x:c r="J11" s="37" t="str">
        <x:f>IF(OR(E11="",F11="",I11=""),"",(E11+F11)/I11)</x:f>
      </x:c>
      <x:c r="K11" s="37" t="str">
        <x:f>IF(OR(I11="",E11="",F11=""),"",I11-E11-F11)</x:f>
      </x:c>
      <x:c r="L11" s="37" t="str">
        <x:f>IF(OR(K11="",G11="",H11=""),"",K11-I11*G11-I11*H11)</x:f>
      </x:c>
      <x:c r="M11" s="32" t="str">
        <x:v>BLOCKED_PENDING_VALIDATION</x:v>
      </x:c>
      <x:c r="N11" s="32" t="str">
        <x:v>(complete kitchen COGS + channel packaging) / S04 target COGS ratio; commission and tax excluded because unconfirmed</x:v>
      </x:c>
      <x:c r="O11" s="32" t="str">
        <x:v>S04 inputs + docs/03-methodology/COGS.md</x:v>
      </x:c>
      <x:c r="P11" s="32" t="str">
        <x:v>ING-005;ING-013;VSF-001;VSF-002</x:v>
      </x:c>
    </x:row>
    <x:row r="12">
      <x:c r="A12" s="32" t="str">
        <x:v>VKM-002</x:v>
      </x:c>
      <x:c r="B12" s="32" t="str">
        <x:v>Четыре сыра</x:v>
      </x:c>
      <x:c r="C12" s="32" t="str">
        <x:v>Гостиничные ужины</x:v>
      </x:c>
      <x:c r="D12" s="40" t="n">
        <x:v>0.3</x:v>
      </x:c>
      <x:c r="E12" s="37" t="str">
        <x:f>IFERROR(INDEX('04_КАЛЬКУЛЯЦИИ'!$N$6:$N$33,MATCH(A12,'04_КАЛЬКУЛЯЦИИ'!$B$6:$B$33,0)),"")</x:f>
      </x:c>
      <x:c r="F12" s="36"/>
      <x:c r="G12" s="36"/>
      <x:c r="H12" s="36"/>
      <x:c r="I12" s="37" t="str">
        <x:f>IF(OR(E12="",F12="",D12=""),"",(E12+F12)/D12)</x:f>
      </x:c>
      <x:c r="J12" s="37" t="str">
        <x:f>IF(OR(E12="",F12="",I12=""),"",(E12+F12)/I12)</x:f>
      </x:c>
      <x:c r="K12" s="37" t="str">
        <x:f>IF(OR(I12="",E12="",F12=""),"",I12-E12-F12)</x:f>
      </x:c>
      <x:c r="L12" s="37" t="str">
        <x:f>IF(OR(K12="",G12="",H12=""),"",K12-I12*G12-I12*H12)</x:f>
      </x:c>
      <x:c r="M12" s="32" t="str">
        <x:v>BLOCKED_PENDING_VALIDATION</x:v>
      </x:c>
      <x:c r="N12" s="32" t="str">
        <x:v>(complete kitchen COGS + channel packaging) / S04 target COGS ratio; commission and tax excluded because unconfirmed</x:v>
      </x:c>
      <x:c r="O12" s="32" t="str">
        <x:v>S04 inputs + docs/03-methodology/COGS.md</x:v>
      </x:c>
      <x:c r="P12" s="32" t="str">
        <x:v>ING-005;ING-013;VSF-001;VSF-002</x:v>
      </x:c>
    </x:row>
    <x:row r="13">
      <x:c r="A13" s="32" t="str">
        <x:v>VKM-002</x:v>
      </x:c>
      <x:c r="B13" s="32" t="str">
        <x:v>Четыре сыра</x:v>
      </x:c>
      <x:c r="C13" s="32" t="str">
        <x:v>Доставка</x:v>
      </x:c>
      <x:c r="D13" s="40" t="n">
        <x:v>0.3</x:v>
      </x:c>
      <x:c r="E13" s="37" t="str">
        <x:f>IFERROR(INDEX('04_КАЛЬКУЛЯЦИИ'!$N$6:$N$33,MATCH(A13,'04_КАЛЬКУЛЯЦИИ'!$B$6:$B$33,0)),"")</x:f>
      </x:c>
      <x:c r="F13" s="36"/>
      <x:c r="G13" s="36"/>
      <x:c r="H13" s="36"/>
      <x:c r="I13" s="37" t="str">
        <x:f>IF(OR(E13="",F13="",D13=""),"",(E13+F13)/D13)</x:f>
      </x:c>
      <x:c r="J13" s="37" t="str">
        <x:f>IF(OR(E13="",F13="",I13=""),"",(E13+F13)/I13)</x:f>
      </x:c>
      <x:c r="K13" s="37" t="str">
        <x:f>IF(OR(I13="",E13="",F13=""),"",I13-E13-F13)</x:f>
      </x:c>
      <x:c r="L13" s="37" t="str">
        <x:f>IF(OR(K13="",G13="",H13=""),"",K13-I13*G13-I13*H13)</x:f>
      </x:c>
      <x:c r="M13" s="32" t="str">
        <x:v>BLOCKED_PENDING_VALIDATION</x:v>
      </x:c>
      <x:c r="N13" s="32" t="str">
        <x:v>(complete kitchen COGS + channel packaging) / S04 target COGS ratio; commission and tax excluded because unconfirmed</x:v>
      </x:c>
      <x:c r="O13" s="32" t="str">
        <x:v>S04 inputs + docs/03-methodology/COGS.md</x:v>
      </x:c>
      <x:c r="P13" s="32" t="str">
        <x:v>ING-005;ING-013;VSF-001;VSF-002</x:v>
      </x:c>
    </x:row>
    <x:row r="14">
      <x:c r="A14" s="32" t="str">
        <x:v>VKM-003</x:v>
      </x:c>
      <x:c r="B14" s="32" t="str">
        <x:v>Грибная с ветчиной</x:v>
      </x:c>
      <x:c r="C14" s="32" t="str">
        <x:v>À la carte</x:v>
      </x:c>
      <x:c r="D14" s="40" t="n">
        <x:v>0.3</x:v>
      </x:c>
      <x:c r="E14" s="37" t="str">
        <x:f>IFERROR(INDEX('04_КАЛЬКУЛЯЦИИ'!$N$6:$N$33,MATCH(A14,'04_КАЛЬКУЛЯЦИИ'!$B$6:$B$33,0)),"")</x:f>
      </x:c>
      <x:c r="F14" s="36"/>
      <x:c r="G14" s="36"/>
      <x:c r="H14" s="36"/>
      <x:c r="I14" s="37" t="str">
        <x:f>IF(OR(E14="",F14="",D14=""),"",(E14+F14)/D14)</x:f>
      </x:c>
      <x:c r="J14" s="37" t="str">
        <x:f>IF(OR(E14="",F14="",I14=""),"",(E14+F14)/I14)</x:f>
      </x:c>
      <x:c r="K14" s="37" t="str">
        <x:f>IF(OR(I14="",E14="",F14=""),"",I14-E14-F14)</x:f>
      </x:c>
      <x:c r="L14" s="37" t="str">
        <x:f>IF(OR(K14="",G14="",H14=""),"",K14-I14*G14-I14*H14)</x:f>
      </x:c>
      <x:c r="M14" s="32" t="str">
        <x:v>BLOCKED_PENDING_VALIDATION</x:v>
      </x:c>
      <x:c r="N14" s="32" t="str">
        <x:v>(complete kitchen COGS + channel packaging) / S04 target COGS ratio; commission and tax excluded because unconfirmed</x:v>
      </x:c>
      <x:c r="O14" s="32" t="str">
        <x:v>S04 inputs + docs/03-methodology/COGS.md</x:v>
      </x:c>
      <x:c r="P14" s="32" t="str">
        <x:v>ING-005;ING-014;ING-015;ING-016;VSF-001;VSF-002</x:v>
      </x:c>
    </x:row>
    <x:row r="15">
      <x:c r="A15" s="32" t="str">
        <x:v>VKM-003</x:v>
      </x:c>
      <x:c r="B15" s="32" t="str">
        <x:v>Грибная с ветчиной</x:v>
      </x:c>
      <x:c r="C15" s="32" t="str">
        <x:v>Бизнес-ланч</x:v>
      </x:c>
      <x:c r="D15" s="40" t="n">
        <x:v>0.4</x:v>
      </x:c>
      <x:c r="E15" s="37" t="str">
        <x:f>IFERROR(INDEX('04_КАЛЬКУЛЯЦИИ'!$N$6:$N$33,MATCH(A15,'04_КАЛЬКУЛЯЦИИ'!$B$6:$B$33,0)),"")</x:f>
      </x:c>
      <x:c r="F15" s="36"/>
      <x:c r="G15" s="36"/>
      <x:c r="H15" s="36"/>
      <x:c r="I15" s="37" t="str">
        <x:f>IF(OR(E15="",F15="",D15=""),"",(E15+F15)/D15)</x:f>
      </x:c>
      <x:c r="J15" s="37" t="str">
        <x:f>IF(OR(E15="",F15="",I15=""),"",(E15+F15)/I15)</x:f>
      </x:c>
      <x:c r="K15" s="37" t="str">
        <x:f>IF(OR(I15="",E15="",F15=""),"",I15-E15-F15)</x:f>
      </x:c>
      <x:c r="L15" s="37" t="str">
        <x:f>IF(OR(K15="",G15="",H15=""),"",K15-I15*G15-I15*H15)</x:f>
      </x:c>
      <x:c r="M15" s="32" t="str">
        <x:v>BLOCKED_PENDING_VALIDATION</x:v>
      </x:c>
      <x:c r="N15" s="32" t="str">
        <x:v>(complete kitchen COGS + channel packaging) / S04 target COGS ratio; commission and tax excluded because unconfirmed</x:v>
      </x:c>
      <x:c r="O15" s="32" t="str">
        <x:v>S04 inputs + docs/03-methodology/COGS.md</x:v>
      </x:c>
      <x:c r="P15" s="32" t="str">
        <x:v>ING-005;ING-014;ING-015;ING-016;VSF-001;VSF-002</x:v>
      </x:c>
    </x:row>
    <x:row r="16">
      <x:c r="A16" s="32" t="str">
        <x:v>VKM-003</x:v>
      </x:c>
      <x:c r="B16" s="32" t="str">
        <x:v>Грибная с ветчиной</x:v>
      </x:c>
      <x:c r="C16" s="32" t="str">
        <x:v>Гостиничные ужины</x:v>
      </x:c>
      <x:c r="D16" s="40" t="n">
        <x:v>0.3</x:v>
      </x:c>
      <x:c r="E16" s="37" t="str">
        <x:f>IFERROR(INDEX('04_КАЛЬКУЛЯЦИИ'!$N$6:$N$33,MATCH(A16,'04_КАЛЬКУЛЯЦИИ'!$B$6:$B$33,0)),"")</x:f>
      </x:c>
      <x:c r="F16" s="36"/>
      <x:c r="G16" s="36"/>
      <x:c r="H16" s="36"/>
      <x:c r="I16" s="37" t="str">
        <x:f>IF(OR(E16="",F16="",D16=""),"",(E16+F16)/D16)</x:f>
      </x:c>
      <x:c r="J16" s="37" t="str">
        <x:f>IF(OR(E16="",F16="",I16=""),"",(E16+F16)/I16)</x:f>
      </x:c>
      <x:c r="K16" s="37" t="str">
        <x:f>IF(OR(I16="",E16="",F16=""),"",I16-E16-F16)</x:f>
      </x:c>
      <x:c r="L16" s="37" t="str">
        <x:f>IF(OR(K16="",G16="",H16=""),"",K16-I16*G16-I16*H16)</x:f>
      </x:c>
      <x:c r="M16" s="32" t="str">
        <x:v>BLOCKED_PENDING_VALIDATION</x:v>
      </x:c>
      <x:c r="N16" s="32" t="str">
        <x:v>(complete kitchen COGS + channel packaging) / S04 target COGS ratio; commission and tax excluded because unconfirmed</x:v>
      </x:c>
      <x:c r="O16" s="32" t="str">
        <x:v>S04 inputs + docs/03-methodology/COGS.md</x:v>
      </x:c>
      <x:c r="P16" s="32" t="str">
        <x:v>ING-005;ING-014;ING-015;ING-016;VSF-001;VSF-002</x:v>
      </x:c>
    </x:row>
    <x:row r="17">
      <x:c r="A17" s="32" t="str">
        <x:v>VKM-003</x:v>
      </x:c>
      <x:c r="B17" s="32" t="str">
        <x:v>Грибная с ветчиной</x:v>
      </x:c>
      <x:c r="C17" s="32" t="str">
        <x:v>Доставка</x:v>
      </x:c>
      <x:c r="D17" s="40" t="n">
        <x:v>0.3</x:v>
      </x:c>
      <x:c r="E17" s="37" t="str">
        <x:f>IFERROR(INDEX('04_КАЛЬКУЛЯЦИИ'!$N$6:$N$33,MATCH(A17,'04_КАЛЬКУЛЯЦИИ'!$B$6:$B$33,0)),"")</x:f>
      </x:c>
      <x:c r="F17" s="36"/>
      <x:c r="G17" s="36"/>
      <x:c r="H17" s="36"/>
      <x:c r="I17" s="37" t="str">
        <x:f>IF(OR(E17="",F17="",D17=""),"",(E17+F17)/D17)</x:f>
      </x:c>
      <x:c r="J17" s="37" t="str">
        <x:f>IF(OR(E17="",F17="",I17=""),"",(E17+F17)/I17)</x:f>
      </x:c>
      <x:c r="K17" s="37" t="str">
        <x:f>IF(OR(I17="",E17="",F17=""),"",I17-E17-F17)</x:f>
      </x:c>
      <x:c r="L17" s="37" t="str">
        <x:f>IF(OR(K17="",G17="",H17=""),"",K17-I17*G17-I17*H17)</x:f>
      </x:c>
      <x:c r="M17" s="32" t="str">
        <x:v>BLOCKED_PENDING_VALIDATION</x:v>
      </x:c>
      <x:c r="N17" s="32" t="str">
        <x:v>(complete kitchen COGS + channel packaging) / S04 target COGS ratio; commission and tax excluded because unconfirmed</x:v>
      </x:c>
      <x:c r="O17" s="32" t="str">
        <x:v>S04 inputs + docs/03-methodology/COGS.md</x:v>
      </x:c>
      <x:c r="P17" s="32" t="str">
        <x:v>ING-005;ING-014;ING-015;ING-016;VSF-001;VSF-002</x:v>
      </x:c>
    </x:row>
    <x:row r="18">
      <x:c r="A18" s="32" t="str">
        <x:v>VKM-004</x:v>
      </x:c>
      <x:c r="B18" s="32" t="str">
        <x:v>Пепперони</x:v>
      </x:c>
      <x:c r="C18" s="32" t="str">
        <x:v>À la carte</x:v>
      </x:c>
      <x:c r="D18" s="40" t="n">
        <x:v>0.3</x:v>
      </x:c>
      <x:c r="E18" s="37" t="str">
        <x:f>IFERROR(INDEX('04_КАЛЬКУЛЯЦИИ'!$N$6:$N$33,MATCH(A18,'04_КАЛЬКУЛЯЦИИ'!$B$6:$B$33,0)),"")</x:f>
      </x:c>
      <x:c r="F18" s="36"/>
      <x:c r="G18" s="36"/>
      <x:c r="H18" s="36"/>
      <x:c r="I18" s="37" t="str">
        <x:f>IF(OR(E18="",F18="",D18=""),"",(E18+F18)/D18)</x:f>
      </x:c>
      <x:c r="J18" s="37" t="str">
        <x:f>IF(OR(E18="",F18="",I18=""),"",(E18+F18)/I18)</x:f>
      </x:c>
      <x:c r="K18" s="37" t="str">
        <x:f>IF(OR(I18="",E18="",F18=""),"",I18-E18-F18)</x:f>
      </x:c>
      <x:c r="L18" s="37" t="str">
        <x:f>IF(OR(K18="",G18="",H18=""),"",K18-I18*G18-I18*H18)</x:f>
      </x:c>
      <x:c r="M18" s="32" t="str">
        <x:v>BLOCKED_PENDING_VALIDATION</x:v>
      </x:c>
      <x:c r="N18" s="32" t="str">
        <x:v>(complete kitchen COGS + channel packaging) / S04 target COGS ratio; commission and tax excluded because unconfirmed</x:v>
      </x:c>
      <x:c r="O18" s="32" t="str">
        <x:v>S04 inputs + docs/03-methodology/COGS.md</x:v>
      </x:c>
      <x:c r="P18" s="32" t="str">
        <x:v>ING-005;ING-017;VSF-001;VSF-002</x:v>
      </x:c>
    </x:row>
    <x:row r="19">
      <x:c r="A19" s="32" t="str">
        <x:v>VKM-004</x:v>
      </x:c>
      <x:c r="B19" s="32" t="str">
        <x:v>Пепперони</x:v>
      </x:c>
      <x:c r="C19" s="32" t="str">
        <x:v>Бизнес-ланч</x:v>
      </x:c>
      <x:c r="D19" s="40" t="n">
        <x:v>0.4</x:v>
      </x:c>
      <x:c r="E19" s="37" t="str">
        <x:f>IFERROR(INDEX('04_КАЛЬКУЛЯЦИИ'!$N$6:$N$33,MATCH(A19,'04_КАЛЬКУЛЯЦИИ'!$B$6:$B$33,0)),"")</x:f>
      </x:c>
      <x:c r="F19" s="36"/>
      <x:c r="G19" s="36"/>
      <x:c r="H19" s="36"/>
      <x:c r="I19" s="37" t="str">
        <x:f>IF(OR(E19="",F19="",D19=""),"",(E19+F19)/D19)</x:f>
      </x:c>
      <x:c r="J19" s="37" t="str">
        <x:f>IF(OR(E19="",F19="",I19=""),"",(E19+F19)/I19)</x:f>
      </x:c>
      <x:c r="K19" s="37" t="str">
        <x:f>IF(OR(I19="",E19="",F19=""),"",I19-E19-F19)</x:f>
      </x:c>
      <x:c r="L19" s="37" t="str">
        <x:f>IF(OR(K19="",G19="",H19=""),"",K19-I19*G19-I19*H19)</x:f>
      </x:c>
      <x:c r="M19" s="32" t="str">
        <x:v>BLOCKED_PENDING_VALIDATION</x:v>
      </x:c>
      <x:c r="N19" s="32" t="str">
        <x:v>(complete kitchen COGS + channel packaging) / S04 target COGS ratio; commission and tax excluded because unconfirmed</x:v>
      </x:c>
      <x:c r="O19" s="32" t="str">
        <x:v>S04 inputs + docs/03-methodology/COGS.md</x:v>
      </x:c>
      <x:c r="P19" s="32" t="str">
        <x:v>ING-005;ING-017;VSF-001;VSF-002</x:v>
      </x:c>
    </x:row>
    <x:row r="20">
      <x:c r="A20" s="32" t="str">
        <x:v>VKM-004</x:v>
      </x:c>
      <x:c r="B20" s="32" t="str">
        <x:v>Пепперони</x:v>
      </x:c>
      <x:c r="C20" s="32" t="str">
        <x:v>Гостиничные ужины</x:v>
      </x:c>
      <x:c r="D20" s="40" t="n">
        <x:v>0.3</x:v>
      </x:c>
      <x:c r="E20" s="37" t="str">
        <x:f>IFERROR(INDEX('04_КАЛЬКУЛЯЦИИ'!$N$6:$N$33,MATCH(A20,'04_КАЛЬКУЛЯЦИИ'!$B$6:$B$33,0)),"")</x:f>
      </x:c>
      <x:c r="F20" s="36"/>
      <x:c r="G20" s="36"/>
      <x:c r="H20" s="36"/>
      <x:c r="I20" s="37" t="str">
        <x:f>IF(OR(E20="",F20="",D20=""),"",(E20+F20)/D20)</x:f>
      </x:c>
      <x:c r="J20" s="37" t="str">
        <x:f>IF(OR(E20="",F20="",I20=""),"",(E20+F20)/I20)</x:f>
      </x:c>
      <x:c r="K20" s="37" t="str">
        <x:f>IF(OR(I20="",E20="",F20=""),"",I20-E20-F20)</x:f>
      </x:c>
      <x:c r="L20" s="37" t="str">
        <x:f>IF(OR(K20="",G20="",H20=""),"",K20-I20*G20-I20*H20)</x:f>
      </x:c>
      <x:c r="M20" s="32" t="str">
        <x:v>BLOCKED_PENDING_VALIDATION</x:v>
      </x:c>
      <x:c r="N20" s="32" t="str">
        <x:v>(complete kitchen COGS + channel packaging) / S04 target COGS ratio; commission and tax excluded because unconfirmed</x:v>
      </x:c>
      <x:c r="O20" s="32" t="str">
        <x:v>S04 inputs + docs/03-methodology/COGS.md</x:v>
      </x:c>
      <x:c r="P20" s="32" t="str">
        <x:v>ING-005;ING-017;VSF-001;VSF-002</x:v>
      </x:c>
    </x:row>
    <x:row r="21">
      <x:c r="A21" s="32" t="str">
        <x:v>VKM-004</x:v>
      </x:c>
      <x:c r="B21" s="32" t="str">
        <x:v>Пепперони</x:v>
      </x:c>
      <x:c r="C21" s="32" t="str">
        <x:v>Доставка</x:v>
      </x:c>
      <x:c r="D21" s="40" t="n">
        <x:v>0.3</x:v>
      </x:c>
      <x:c r="E21" s="37" t="str">
        <x:f>IFERROR(INDEX('04_КАЛЬКУЛЯЦИИ'!$N$6:$N$33,MATCH(A21,'04_КАЛЬКУЛЯЦИИ'!$B$6:$B$33,0)),"")</x:f>
      </x:c>
      <x:c r="F21" s="36"/>
      <x:c r="G21" s="36"/>
      <x:c r="H21" s="36"/>
      <x:c r="I21" s="37" t="str">
        <x:f>IF(OR(E21="",F21="",D21=""),"",(E21+F21)/D21)</x:f>
      </x:c>
      <x:c r="J21" s="37" t="str">
        <x:f>IF(OR(E21="",F21="",I21=""),"",(E21+F21)/I21)</x:f>
      </x:c>
      <x:c r="K21" s="37" t="str">
        <x:f>IF(OR(I21="",E21="",F21=""),"",I21-E21-F21)</x:f>
      </x:c>
      <x:c r="L21" s="37" t="str">
        <x:f>IF(OR(K21="",G21="",H21=""),"",K21-I21*G21-I21*H21)</x:f>
      </x:c>
      <x:c r="M21" s="32" t="str">
        <x:v>BLOCKED_PENDING_VALIDATION</x:v>
      </x:c>
      <x:c r="N21" s="32" t="str">
        <x:v>(complete kitchen COGS + channel packaging) / S04 target COGS ratio; commission and tax excluded because unconfirmed</x:v>
      </x:c>
      <x:c r="O21" s="32" t="str">
        <x:v>S04 inputs + docs/03-methodology/COGS.md</x:v>
      </x:c>
      <x:c r="P21" s="32" t="str">
        <x:v>ING-005;ING-017;VSF-001;VSF-002</x:v>
      </x:c>
    </x:row>
    <x:row r="22">
      <x:c r="A22" s="32" t="str">
        <x:v>VKM-005</x:v>
      </x:c>
      <x:c r="B22" s="32" t="str">
        <x:v>Белая чиабатта</x:v>
      </x:c>
      <x:c r="C22" s="32" t="str">
        <x:v>À la carte</x:v>
      </x:c>
      <x:c r="D22" s="40" t="n">
        <x:v>0.3</x:v>
      </x:c>
      <x:c r="E22" s="37" t="str">
        <x:f>IFERROR(INDEX('04_КАЛЬКУЛЯЦИИ'!$N$6:$N$33,MATCH(A22,'04_КАЛЬКУЛЯЦИИ'!$B$6:$B$33,0)),"")</x:f>
      </x:c>
      <x:c r="F22" s="36"/>
      <x:c r="G22" s="36"/>
      <x:c r="H22" s="36"/>
      <x:c r="I22" s="37" t="str">
        <x:f>IF(OR(E22="",F22="",D22=""),"",(E22+F22)/D22)</x:f>
      </x:c>
      <x:c r="J22" s="37" t="str">
        <x:f>IF(OR(E22="",F22="",I22=""),"",(E22+F22)/I22)</x:f>
      </x:c>
      <x:c r="K22" s="37" t="str">
        <x:f>IF(OR(I22="",E22="",F22=""),"",I22-E22-F22)</x:f>
      </x:c>
      <x:c r="L22" s="37" t="str">
        <x:f>IF(OR(K22="",G22="",H22=""),"",K22-I22*G22-I22*H22)</x:f>
      </x:c>
      <x:c r="M22" s="32" t="str">
        <x:v>BLOCKED_PENDING_VALIDATION</x:v>
      </x:c>
      <x:c r="N22" s="32" t="str">
        <x:v>(complete kitchen COGS + channel packaging) / S04 target COGS ratio; commission and tax excluded because unconfirmed</x:v>
      </x:c>
      <x:c r="O22" s="32" t="str">
        <x:v>S04 inputs + docs/03-methodology/COGS.md</x:v>
      </x:c>
      <x:c r="P22" s="32" t="str">
        <x:v>VSF-003</x:v>
      </x:c>
    </x:row>
    <x:row r="23">
      <x:c r="A23" s="32" t="str">
        <x:v>VKM-005</x:v>
      </x:c>
      <x:c r="B23" s="32" t="str">
        <x:v>Белая чиабатта</x:v>
      </x:c>
      <x:c r="C23" s="32" t="str">
        <x:v>Бизнес-ланч</x:v>
      </x:c>
      <x:c r="D23" s="40" t="n">
        <x:v>0.4</x:v>
      </x:c>
      <x:c r="E23" s="37" t="str">
        <x:f>IFERROR(INDEX('04_КАЛЬКУЛЯЦИИ'!$N$6:$N$33,MATCH(A23,'04_КАЛЬКУЛЯЦИИ'!$B$6:$B$33,0)),"")</x:f>
      </x:c>
      <x:c r="F23" s="36"/>
      <x:c r="G23" s="36"/>
      <x:c r="H23" s="36"/>
      <x:c r="I23" s="37" t="str">
        <x:f>IF(OR(E23="",F23="",D23=""),"",(E23+F23)/D23)</x:f>
      </x:c>
      <x:c r="J23" s="37" t="str">
        <x:f>IF(OR(E23="",F23="",I23=""),"",(E23+F23)/I23)</x:f>
      </x:c>
      <x:c r="K23" s="37" t="str">
        <x:f>IF(OR(I23="",E23="",F23=""),"",I23-E23-F23)</x:f>
      </x:c>
      <x:c r="L23" s="37" t="str">
        <x:f>IF(OR(K23="",G23="",H23=""),"",K23-I23*G23-I23*H23)</x:f>
      </x:c>
      <x:c r="M23" s="32" t="str">
        <x:v>BLOCKED_PENDING_VALIDATION</x:v>
      </x:c>
      <x:c r="N23" s="32" t="str">
        <x:v>(complete kitchen COGS + channel packaging) / S04 target COGS ratio; commission and tax excluded because unconfirmed</x:v>
      </x:c>
      <x:c r="O23" s="32" t="str">
        <x:v>S04 inputs + docs/03-methodology/COGS.md</x:v>
      </x:c>
      <x:c r="P23" s="32" t="str">
        <x:v>VSF-003</x:v>
      </x:c>
    </x:row>
    <x:row r="24">
      <x:c r="A24" s="32" t="str">
        <x:v>VKM-005</x:v>
      </x:c>
      <x:c r="B24" s="32" t="str">
        <x:v>Белая чиабатта</x:v>
      </x:c>
      <x:c r="C24" s="32" t="str">
        <x:v>Гостиничные ужины</x:v>
      </x:c>
      <x:c r="D24" s="40" t="n">
        <x:v>0.3</x:v>
      </x:c>
      <x:c r="E24" s="37" t="str">
        <x:f>IFERROR(INDEX('04_КАЛЬКУЛЯЦИИ'!$N$6:$N$33,MATCH(A24,'04_КАЛЬКУЛЯЦИИ'!$B$6:$B$33,0)),"")</x:f>
      </x:c>
      <x:c r="F24" s="36"/>
      <x:c r="G24" s="36"/>
      <x:c r="H24" s="36"/>
      <x:c r="I24" s="37" t="str">
        <x:f>IF(OR(E24="",F24="",D24=""),"",(E24+F24)/D24)</x:f>
      </x:c>
      <x:c r="J24" s="37" t="str">
        <x:f>IF(OR(E24="",F24="",I24=""),"",(E24+F24)/I24)</x:f>
      </x:c>
      <x:c r="K24" s="37" t="str">
        <x:f>IF(OR(I24="",E24="",F24=""),"",I24-E24-F24)</x:f>
      </x:c>
      <x:c r="L24" s="37" t="str">
        <x:f>IF(OR(K24="",G24="",H24=""),"",K24-I24*G24-I24*H24)</x:f>
      </x:c>
      <x:c r="M24" s="32" t="str">
        <x:v>BLOCKED_PENDING_VALIDATION</x:v>
      </x:c>
      <x:c r="N24" s="32" t="str">
        <x:v>(complete kitchen COGS + channel packaging) / S04 target COGS ratio; commission and tax excluded because unconfirmed</x:v>
      </x:c>
      <x:c r="O24" s="32" t="str">
        <x:v>S04 inputs + docs/03-methodology/COGS.md</x:v>
      </x:c>
      <x:c r="P24" s="32" t="str">
        <x:v>VSF-003</x:v>
      </x:c>
    </x:row>
    <x:row r="25">
      <x:c r="A25" s="32" t="str">
        <x:v>VKM-005</x:v>
      </x:c>
      <x:c r="B25" s="32" t="str">
        <x:v>Белая чиабатта</x:v>
      </x:c>
      <x:c r="C25" s="32" t="str">
        <x:v>Доставка</x:v>
      </x:c>
      <x:c r="D25" s="40" t="n">
        <x:v>0.3</x:v>
      </x:c>
      <x:c r="E25" s="37" t="str">
        <x:f>IFERROR(INDEX('04_КАЛЬКУЛЯЦИИ'!$N$6:$N$33,MATCH(A25,'04_КАЛЬКУЛЯЦИИ'!$B$6:$B$33,0)),"")</x:f>
      </x:c>
      <x:c r="F25" s="36"/>
      <x:c r="G25" s="36"/>
      <x:c r="H25" s="36"/>
      <x:c r="I25" s="37" t="str">
        <x:f>IF(OR(E25="",F25="",D25=""),"",(E25+F25)/D25)</x:f>
      </x:c>
      <x:c r="J25" s="37" t="str">
        <x:f>IF(OR(E25="",F25="",I25=""),"",(E25+F25)/I25)</x:f>
      </x:c>
      <x:c r="K25" s="37" t="str">
        <x:f>IF(OR(I25="",E25="",F25=""),"",I25-E25-F25)</x:f>
      </x:c>
      <x:c r="L25" s="37" t="str">
        <x:f>IF(OR(K25="",G25="",H25=""),"",K25-I25*G25-I25*H25)</x:f>
      </x:c>
      <x:c r="M25" s="32" t="str">
        <x:v>BLOCKED_PENDING_VALIDATION</x:v>
      </x:c>
      <x:c r="N25" s="32" t="str">
        <x:v>(complete kitchen COGS + channel packaging) / S04 target COGS ratio; commission and tax excluded because unconfirmed</x:v>
      </x:c>
      <x:c r="O25" s="32" t="str">
        <x:v>S04 inputs + docs/03-methodology/COGS.md</x:v>
      </x:c>
      <x:c r="P25" s="32" t="str">
        <x:v>VSF-003</x:v>
      </x:c>
    </x:row>
    <x:row r="26">
      <x:c r="A26" s="32" t="str">
        <x:v>VKM-005</x:v>
      </x:c>
      <x:c r="B26" s="32" t="str">
        <x:v>Белая чиабатта</x:v>
      </x:c>
      <x:c r="C26" s="32" t="str">
        <x:v>Навынос</x:v>
      </x:c>
      <x:c r="D26" s="40" t="n">
        <x:v>0.428571</x:v>
      </x:c>
      <x:c r="E26" s="37" t="str">
        <x:f>IFERROR(INDEX('04_КАЛЬКУЛЯЦИИ'!$N$6:$N$33,MATCH(A26,'04_КАЛЬКУЛЯЦИИ'!$B$6:$B$33,0)),"")</x:f>
      </x:c>
      <x:c r="F26" s="36"/>
      <x:c r="G26" s="36"/>
      <x:c r="H26" s="36"/>
      <x:c r="I26" s="37" t="str">
        <x:f>IF(OR(E26="",F26="",D26=""),"",(E26+F26)/D26)</x:f>
      </x:c>
      <x:c r="J26" s="37" t="str">
        <x:f>IF(OR(E26="",F26="",I26=""),"",(E26+F26)/I26)</x:f>
      </x:c>
      <x:c r="K26" s="37" t="str">
        <x:f>IF(OR(I26="",E26="",F26=""),"",I26-E26-F26)</x:f>
      </x:c>
      <x:c r="L26" s="37" t="str">
        <x:f>IF(OR(K26="",G26="",H26=""),"",K26-I26*G26-I26*H26)</x:f>
      </x:c>
      <x:c r="M26" s="32" t="str">
        <x:v>BLOCKED_PENDING_VALIDATION</x:v>
      </x:c>
      <x:c r="N26" s="32" t="str">
        <x:v>(complete kitchen COGS + channel packaging) / S04 target COGS ratio; commission and tax excluded because unconfirmed</x:v>
      </x:c>
      <x:c r="O26" s="32" t="str">
        <x:v>S04 inputs + docs/03-methodology/COGS.md</x:v>
      </x:c>
      <x:c r="P26" s="32" t="str">
        <x:v>VSF-003</x:v>
      </x:c>
    </x:row>
    <x:row r="27">
      <x:c r="A27" s="32" t="str">
        <x:v>VKM-006</x:v>
      </x:c>
      <x:c r="B27" s="32" t="str">
        <x:v>Томатная чиабатта</x:v>
      </x:c>
      <x:c r="C27" s="32" t="str">
        <x:v>À la carte</x:v>
      </x:c>
      <x:c r="D27" s="40" t="n">
        <x:v>0.3</x:v>
      </x:c>
      <x:c r="E27" s="37" t="str">
        <x:f>IFERROR(INDEX('04_КАЛЬКУЛЯЦИИ'!$N$6:$N$33,MATCH(A27,'04_КАЛЬКУЛЯЦИИ'!$B$6:$B$33,0)),"")</x:f>
      </x:c>
      <x:c r="F27" s="36"/>
      <x:c r="G27" s="36"/>
      <x:c r="H27" s="36"/>
      <x:c r="I27" s="37" t="str">
        <x:f>IF(OR(E27="",F27="",D27=""),"",(E27+F27)/D27)</x:f>
      </x:c>
      <x:c r="J27" s="37" t="str">
        <x:f>IF(OR(E27="",F27="",I27=""),"",(E27+F27)/I27)</x:f>
      </x:c>
      <x:c r="K27" s="37" t="str">
        <x:f>IF(OR(I27="",E27="",F27=""),"",I27-E27-F27)</x:f>
      </x:c>
      <x:c r="L27" s="37" t="str">
        <x:f>IF(OR(K27="",G27="",H27=""),"",K27-I27*G27-I27*H27)</x:f>
      </x:c>
      <x:c r="M27" s="32" t="str">
        <x:v>BLOCKED_PENDING_VALIDATION</x:v>
      </x:c>
      <x:c r="N27" s="32" t="str">
        <x:v>(complete kitchen COGS + channel packaging) / S04 target COGS ratio; commission and tax excluded because unconfirmed</x:v>
      </x:c>
      <x:c r="O27" s="32" t="str">
        <x:v>S04 inputs + docs/03-methodology/COGS.md</x:v>
      </x:c>
      <x:c r="P27" s="32" t="str">
        <x:v>VSF-004</x:v>
      </x:c>
    </x:row>
    <x:row r="28">
      <x:c r="A28" s="32" t="str">
        <x:v>VKM-006</x:v>
      </x:c>
      <x:c r="B28" s="32" t="str">
        <x:v>Томатная чиабатта</x:v>
      </x:c>
      <x:c r="C28" s="32" t="str">
        <x:v>Бизнес-ланч</x:v>
      </x:c>
      <x:c r="D28" s="40" t="n">
        <x:v>0.4</x:v>
      </x:c>
      <x:c r="E28" s="37" t="str">
        <x:f>IFERROR(INDEX('04_КАЛЬКУЛЯЦИИ'!$N$6:$N$33,MATCH(A28,'04_КАЛЬКУЛЯЦИИ'!$B$6:$B$33,0)),"")</x:f>
      </x:c>
      <x:c r="F28" s="36"/>
      <x:c r="G28" s="36"/>
      <x:c r="H28" s="36"/>
      <x:c r="I28" s="37" t="str">
        <x:f>IF(OR(E28="",F28="",D28=""),"",(E28+F28)/D28)</x:f>
      </x:c>
      <x:c r="J28" s="37" t="str">
        <x:f>IF(OR(E28="",F28="",I28=""),"",(E28+F28)/I28)</x:f>
      </x:c>
      <x:c r="K28" s="37" t="str">
        <x:f>IF(OR(I28="",E28="",F28=""),"",I28-E28-F28)</x:f>
      </x:c>
      <x:c r="L28" s="37" t="str">
        <x:f>IF(OR(K28="",G28="",H28=""),"",K28-I28*G28-I28*H28)</x:f>
      </x:c>
      <x:c r="M28" s="32" t="str">
        <x:v>BLOCKED_PENDING_VALIDATION</x:v>
      </x:c>
      <x:c r="N28" s="32" t="str">
        <x:v>(complete kitchen COGS + channel packaging) / S04 target COGS ratio; commission and tax excluded because unconfirmed</x:v>
      </x:c>
      <x:c r="O28" s="32" t="str">
        <x:v>S04 inputs + docs/03-methodology/COGS.md</x:v>
      </x:c>
      <x:c r="P28" s="32" t="str">
        <x:v>VSF-004</x:v>
      </x:c>
    </x:row>
    <x:row r="29">
      <x:c r="A29" s="32" t="str">
        <x:v>VKM-006</x:v>
      </x:c>
      <x:c r="B29" s="32" t="str">
        <x:v>Томатная чиабатта</x:v>
      </x:c>
      <x:c r="C29" s="32" t="str">
        <x:v>Гостиничные ужины</x:v>
      </x:c>
      <x:c r="D29" s="40" t="n">
        <x:v>0.3</x:v>
      </x:c>
      <x:c r="E29" s="37" t="str">
        <x:f>IFERROR(INDEX('04_КАЛЬКУЛЯЦИИ'!$N$6:$N$33,MATCH(A29,'04_КАЛЬКУЛЯЦИИ'!$B$6:$B$33,0)),"")</x:f>
      </x:c>
      <x:c r="F29" s="36"/>
      <x:c r="G29" s="36"/>
      <x:c r="H29" s="36"/>
      <x:c r="I29" s="37" t="str">
        <x:f>IF(OR(E29="",F29="",D29=""),"",(E29+F29)/D29)</x:f>
      </x:c>
      <x:c r="J29" s="37" t="str">
        <x:f>IF(OR(E29="",F29="",I29=""),"",(E29+F29)/I29)</x:f>
      </x:c>
      <x:c r="K29" s="37" t="str">
        <x:f>IF(OR(I29="",E29="",F29=""),"",I29-E29-F29)</x:f>
      </x:c>
      <x:c r="L29" s="37" t="str">
        <x:f>IF(OR(K29="",G29="",H29=""),"",K29-I29*G29-I29*H29)</x:f>
      </x:c>
      <x:c r="M29" s="32" t="str">
        <x:v>BLOCKED_PENDING_VALIDATION</x:v>
      </x:c>
      <x:c r="N29" s="32" t="str">
        <x:v>(complete kitchen COGS + channel packaging) / S04 target COGS ratio; commission and tax excluded because unconfirmed</x:v>
      </x:c>
      <x:c r="O29" s="32" t="str">
        <x:v>S04 inputs + docs/03-methodology/COGS.md</x:v>
      </x:c>
      <x:c r="P29" s="32" t="str">
        <x:v>VSF-004</x:v>
      </x:c>
    </x:row>
    <x:row r="30">
      <x:c r="A30" s="32" t="str">
        <x:v>VKM-006</x:v>
      </x:c>
      <x:c r="B30" s="32" t="str">
        <x:v>Томатная чиабатта</x:v>
      </x:c>
      <x:c r="C30" s="32" t="str">
        <x:v>Доставка</x:v>
      </x:c>
      <x:c r="D30" s="40" t="n">
        <x:v>0.3</x:v>
      </x:c>
      <x:c r="E30" s="37" t="str">
        <x:f>IFERROR(INDEX('04_КАЛЬКУЛЯЦИИ'!$N$6:$N$33,MATCH(A30,'04_КАЛЬКУЛЯЦИИ'!$B$6:$B$33,0)),"")</x:f>
      </x:c>
      <x:c r="F30" s="36"/>
      <x:c r="G30" s="36"/>
      <x:c r="H30" s="36"/>
      <x:c r="I30" s="37" t="str">
        <x:f>IF(OR(E30="",F30="",D30=""),"",(E30+F30)/D30)</x:f>
      </x:c>
      <x:c r="J30" s="37" t="str">
        <x:f>IF(OR(E30="",F30="",I30=""),"",(E30+F30)/I30)</x:f>
      </x:c>
      <x:c r="K30" s="37" t="str">
        <x:f>IF(OR(I30="",E30="",F30=""),"",I30-E30-F30)</x:f>
      </x:c>
      <x:c r="L30" s="37" t="str">
        <x:f>IF(OR(K30="",G30="",H30=""),"",K30-I30*G30-I30*H30)</x:f>
      </x:c>
      <x:c r="M30" s="32" t="str">
        <x:v>BLOCKED_PENDING_VALIDATION</x:v>
      </x:c>
      <x:c r="N30" s="32" t="str">
        <x:v>(complete kitchen COGS + channel packaging) / S04 target COGS ratio; commission and tax excluded because unconfirmed</x:v>
      </x:c>
      <x:c r="O30" s="32" t="str">
        <x:v>S04 inputs + docs/03-methodology/COGS.md</x:v>
      </x:c>
      <x:c r="P30" s="32" t="str">
        <x:v>VSF-004</x:v>
      </x:c>
    </x:row>
    <x:row r="31">
      <x:c r="A31" s="32" t="str">
        <x:v>VKM-006</x:v>
      </x:c>
      <x:c r="B31" s="32" t="str">
        <x:v>Томатная чиабатта</x:v>
      </x:c>
      <x:c r="C31" s="32" t="str">
        <x:v>Навынос</x:v>
      </x:c>
      <x:c r="D31" s="40" t="n">
        <x:v>0.428571</x:v>
      </x:c>
      <x:c r="E31" s="37" t="str">
        <x:f>IFERROR(INDEX('04_КАЛЬКУЛЯЦИИ'!$N$6:$N$33,MATCH(A31,'04_КАЛЬКУЛЯЦИИ'!$B$6:$B$33,0)),"")</x:f>
      </x:c>
      <x:c r="F31" s="36"/>
      <x:c r="G31" s="36"/>
      <x:c r="H31" s="36"/>
      <x:c r="I31" s="37" t="str">
        <x:f>IF(OR(E31="",F31="",D31=""),"",(E31+F31)/D31)</x:f>
      </x:c>
      <x:c r="J31" s="37" t="str">
        <x:f>IF(OR(E31="",F31="",I31=""),"",(E31+F31)/I31)</x:f>
      </x:c>
      <x:c r="K31" s="37" t="str">
        <x:f>IF(OR(I31="",E31="",F31=""),"",I31-E31-F31)</x:f>
      </x:c>
      <x:c r="L31" s="37" t="str">
        <x:f>IF(OR(K31="",G31="",H31=""),"",K31-I31*G31-I31*H31)</x:f>
      </x:c>
      <x:c r="M31" s="32" t="str">
        <x:v>BLOCKED_PENDING_VALIDATION</x:v>
      </x:c>
      <x:c r="N31" s="32" t="str">
        <x:v>(complete kitchen COGS + channel packaging) / S04 target COGS ratio; commission and tax excluded because unconfirmed</x:v>
      </x:c>
      <x:c r="O31" s="32" t="str">
        <x:v>S04 inputs + docs/03-methodology/COGS.md</x:v>
      </x:c>
      <x:c r="P31" s="32" t="str">
        <x:v>VSF-004</x:v>
      </x:c>
    </x:row>
    <x:row r="32">
      <x:c r="A32" s="32" t="str">
        <x:v>VKM-007</x:v>
      </x:c>
      <x:c r="B32" s="32" t="str">
        <x:v>Бородинский хлеб</x:v>
      </x:c>
      <x:c r="C32" s="32" t="str">
        <x:v>À la carte</x:v>
      </x:c>
      <x:c r="D32" s="40" t="n">
        <x:v>0.3</x:v>
      </x:c>
      <x:c r="E32" s="37" t="str">
        <x:f>IFERROR(INDEX('04_КАЛЬКУЛЯЦИИ'!$N$6:$N$33,MATCH(A32,'04_КАЛЬКУЛЯЦИИ'!$B$6:$B$33,0)),"")</x:f>
      </x:c>
      <x:c r="F32" s="36"/>
      <x:c r="G32" s="36"/>
      <x:c r="H32" s="36"/>
      <x:c r="I32" s="37" t="str">
        <x:f>IF(OR(E32="",F32="",D32=""),"",(E32+F32)/D32)</x:f>
      </x:c>
      <x:c r="J32" s="37" t="str">
        <x:f>IF(OR(E32="",F32="",I32=""),"",(E32+F32)/I32)</x:f>
      </x:c>
      <x:c r="K32" s="37" t="str">
        <x:f>IF(OR(I32="",E32="",F32=""),"",I32-E32-F32)</x:f>
      </x:c>
      <x:c r="L32" s="37" t="str">
        <x:f>IF(OR(K32="",G32="",H32=""),"",K32-I32*G32-I32*H32)</x:f>
      </x:c>
      <x:c r="M32" s="32" t="str">
        <x:v>BLOCKED_PENDING_VALIDATION</x:v>
      </x:c>
      <x:c r="N32" s="32" t="str">
        <x:v>(complete kitchen COGS + channel packaging) / S04 target COGS ratio; commission and tax excluded because unconfirmed</x:v>
      </x:c>
      <x:c r="O32" s="32" t="str">
        <x:v>S04 inputs + docs/03-methodology/COGS.md</x:v>
      </x:c>
      <x:c r="P32" s="32" t="str">
        <x:v>VSF-005</x:v>
      </x:c>
    </x:row>
    <x:row r="33">
      <x:c r="A33" s="32" t="str">
        <x:v>VKM-007</x:v>
      </x:c>
      <x:c r="B33" s="32" t="str">
        <x:v>Бородинский хлеб</x:v>
      </x:c>
      <x:c r="C33" s="32" t="str">
        <x:v>Бизнес-ланч</x:v>
      </x:c>
      <x:c r="D33" s="40" t="n">
        <x:v>0.4</x:v>
      </x:c>
      <x:c r="E33" s="37" t="str">
        <x:f>IFERROR(INDEX('04_КАЛЬКУЛЯЦИИ'!$N$6:$N$33,MATCH(A33,'04_КАЛЬКУЛЯЦИИ'!$B$6:$B$33,0)),"")</x:f>
      </x:c>
      <x:c r="F33" s="36"/>
      <x:c r="G33" s="36"/>
      <x:c r="H33" s="36"/>
      <x:c r="I33" s="37" t="str">
        <x:f>IF(OR(E33="",F33="",D33=""),"",(E33+F33)/D33)</x:f>
      </x:c>
      <x:c r="J33" s="37" t="str">
        <x:f>IF(OR(E33="",F33="",I33=""),"",(E33+F33)/I33)</x:f>
      </x:c>
      <x:c r="K33" s="37" t="str">
        <x:f>IF(OR(I33="",E33="",F33=""),"",I33-E33-F33)</x:f>
      </x:c>
      <x:c r="L33" s="37" t="str">
        <x:f>IF(OR(K33="",G33="",H33=""),"",K33-I33*G33-I33*H33)</x:f>
      </x:c>
      <x:c r="M33" s="32" t="str">
        <x:v>BLOCKED_PENDING_VALIDATION</x:v>
      </x:c>
      <x:c r="N33" s="32" t="str">
        <x:v>(complete kitchen COGS + channel packaging) / S04 target COGS ratio; commission and tax excluded because unconfirmed</x:v>
      </x:c>
      <x:c r="O33" s="32" t="str">
        <x:v>S04 inputs + docs/03-methodology/COGS.md</x:v>
      </x:c>
      <x:c r="P33" s="32" t="str">
        <x:v>VSF-005</x:v>
      </x:c>
    </x:row>
    <x:row r="34">
      <x:c r="A34" s="32" t="str">
        <x:v>VKM-007</x:v>
      </x:c>
      <x:c r="B34" s="32" t="str">
        <x:v>Бородинский хлеб</x:v>
      </x:c>
      <x:c r="C34" s="32" t="str">
        <x:v>Гостиничные ужины</x:v>
      </x:c>
      <x:c r="D34" s="40" t="n">
        <x:v>0.3</x:v>
      </x:c>
      <x:c r="E34" s="37" t="str">
        <x:f>IFERROR(INDEX('04_КАЛЬКУЛЯЦИИ'!$N$6:$N$33,MATCH(A34,'04_КАЛЬКУЛЯЦИИ'!$B$6:$B$33,0)),"")</x:f>
      </x:c>
      <x:c r="F34" s="36"/>
      <x:c r="G34" s="36"/>
      <x:c r="H34" s="36"/>
      <x:c r="I34" s="37" t="str">
        <x:f>IF(OR(E34="",F34="",D34=""),"",(E34+F34)/D34)</x:f>
      </x:c>
      <x:c r="J34" s="37" t="str">
        <x:f>IF(OR(E34="",F34="",I34=""),"",(E34+F34)/I34)</x:f>
      </x:c>
      <x:c r="K34" s="37" t="str">
        <x:f>IF(OR(I34="",E34="",F34=""),"",I34-E34-F34)</x:f>
      </x:c>
      <x:c r="L34" s="37" t="str">
        <x:f>IF(OR(K34="",G34="",H34=""),"",K34-I34*G34-I34*H34)</x:f>
      </x:c>
      <x:c r="M34" s="32" t="str">
        <x:v>BLOCKED_PENDING_VALIDATION</x:v>
      </x:c>
      <x:c r="N34" s="32" t="str">
        <x:v>(complete kitchen COGS + channel packaging) / S04 target COGS ratio; commission and tax excluded because unconfirmed</x:v>
      </x:c>
      <x:c r="O34" s="32" t="str">
        <x:v>S04 inputs + docs/03-methodology/COGS.md</x:v>
      </x:c>
      <x:c r="P34" s="32" t="str">
        <x:v>VSF-005</x:v>
      </x:c>
    </x:row>
    <x:row r="35">
      <x:c r="A35" s="32" t="str">
        <x:v>VKM-007</x:v>
      </x:c>
      <x:c r="B35" s="32" t="str">
        <x:v>Бородинский хлеб</x:v>
      </x:c>
      <x:c r="C35" s="32" t="str">
        <x:v>Доставка</x:v>
      </x:c>
      <x:c r="D35" s="40" t="n">
        <x:v>0.3</x:v>
      </x:c>
      <x:c r="E35" s="37" t="str">
        <x:f>IFERROR(INDEX('04_КАЛЬКУЛЯЦИИ'!$N$6:$N$33,MATCH(A35,'04_КАЛЬКУЛЯЦИИ'!$B$6:$B$33,0)),"")</x:f>
      </x:c>
      <x:c r="F35" s="36"/>
      <x:c r="G35" s="36"/>
      <x:c r="H35" s="36"/>
      <x:c r="I35" s="37" t="str">
        <x:f>IF(OR(E35="",F35="",D35=""),"",(E35+F35)/D35)</x:f>
      </x:c>
      <x:c r="J35" s="37" t="str">
        <x:f>IF(OR(E35="",F35="",I35=""),"",(E35+F35)/I35)</x:f>
      </x:c>
      <x:c r="K35" s="37" t="str">
        <x:f>IF(OR(I35="",E35="",F35=""),"",I35-E35-F35)</x:f>
      </x:c>
      <x:c r="L35" s="37" t="str">
        <x:f>IF(OR(K35="",G35="",H35=""),"",K35-I35*G35-I35*H35)</x:f>
      </x:c>
      <x:c r="M35" s="32" t="str">
        <x:v>BLOCKED_PENDING_VALIDATION</x:v>
      </x:c>
      <x:c r="N35" s="32" t="str">
        <x:v>(complete kitchen COGS + channel packaging) / S04 target COGS ratio; commission and tax excluded because unconfirmed</x:v>
      </x:c>
      <x:c r="O35" s="32" t="str">
        <x:v>S04 inputs + docs/03-methodology/COGS.md</x:v>
      </x:c>
      <x:c r="P35" s="32" t="str">
        <x:v>VSF-005</x:v>
      </x:c>
    </x:row>
    <x:row r="36">
      <x:c r="A36" s="32" t="str">
        <x:v>VKM-007</x:v>
      </x:c>
      <x:c r="B36" s="32" t="str">
        <x:v>Бородинский хлеб</x:v>
      </x:c>
      <x:c r="C36" s="32" t="str">
        <x:v>Навынос</x:v>
      </x:c>
      <x:c r="D36" s="40" t="n">
        <x:v>0.428571</x:v>
      </x:c>
      <x:c r="E36" s="37" t="str">
        <x:f>IFERROR(INDEX('04_КАЛЬКУЛЯЦИИ'!$N$6:$N$33,MATCH(A36,'04_КАЛЬКУЛЯЦИИ'!$B$6:$B$33,0)),"")</x:f>
      </x:c>
      <x:c r="F36" s="36"/>
      <x:c r="G36" s="36"/>
      <x:c r="H36" s="36"/>
      <x:c r="I36" s="37" t="str">
        <x:f>IF(OR(E36="",F36="",D36=""),"",(E36+F36)/D36)</x:f>
      </x:c>
      <x:c r="J36" s="37" t="str">
        <x:f>IF(OR(E36="",F36="",I36=""),"",(E36+F36)/I36)</x:f>
      </x:c>
      <x:c r="K36" s="37" t="str">
        <x:f>IF(OR(I36="",E36="",F36=""),"",I36-E36-F36)</x:f>
      </x:c>
      <x:c r="L36" s="37" t="str">
        <x:f>IF(OR(K36="",G36="",H36=""),"",K36-I36*G36-I36*H36)</x:f>
      </x:c>
      <x:c r="M36" s="32" t="str">
        <x:v>BLOCKED_PENDING_VALIDATION</x:v>
      </x:c>
      <x:c r="N36" s="32" t="str">
        <x:v>(complete kitchen COGS + channel packaging) / S04 target COGS ratio; commission and tax excluded because unconfirmed</x:v>
      </x:c>
      <x:c r="O36" s="32" t="str">
        <x:v>S04 inputs + docs/03-methodology/COGS.md</x:v>
      </x:c>
      <x:c r="P36" s="32" t="str">
        <x:v>VSF-005</x:v>
      </x:c>
    </x:row>
    <x:row r="37">
      <x:c r="A37" s="32" t="str">
        <x:v>VKM-008</x:v>
      </x:c>
      <x:c r="B37" s="32" t="str">
        <x:v>Бриошь</x:v>
      </x:c>
      <x:c r="C37" s="32" t="str">
        <x:v>À la carte</x:v>
      </x:c>
      <x:c r="D37" s="40" t="n">
        <x:v>0.3</x:v>
      </x:c>
      <x:c r="E37" s="37" t="str">
        <x:f>IFERROR(INDEX('04_КАЛЬКУЛЯЦИИ'!$N$6:$N$33,MATCH(A37,'04_КАЛЬКУЛЯЦИИ'!$B$6:$B$33,0)),"")</x:f>
      </x:c>
      <x:c r="F37" s="36"/>
      <x:c r="G37" s="36"/>
      <x:c r="H37" s="36"/>
      <x:c r="I37" s="37" t="str">
        <x:f>IF(OR(E37="",F37="",D37=""),"",(E37+F37)/D37)</x:f>
      </x:c>
      <x:c r="J37" s="37" t="str">
        <x:f>IF(OR(E37="",F37="",I37=""),"",(E37+F37)/I37)</x:f>
      </x:c>
      <x:c r="K37" s="37" t="str">
        <x:f>IF(OR(I37="",E37="",F37=""),"",I37-E37-F37)</x:f>
      </x:c>
      <x:c r="L37" s="37" t="str">
        <x:f>IF(OR(K37="",G37="",H37=""),"",K37-I37*G37-I37*H37)</x:f>
      </x:c>
      <x:c r="M37" s="32" t="str">
        <x:v>BLOCKED_PENDING_VALIDATION</x:v>
      </x:c>
      <x:c r="N37" s="32" t="str">
        <x:v>(complete kitchen COGS + channel packaging) / S04 target COGS ratio; commission and tax excluded because unconfirmed</x:v>
      </x:c>
      <x:c r="O37" s="32" t="str">
        <x:v>S04 inputs + docs/03-methodology/COGS.md</x:v>
      </x:c>
      <x:c r="P37" s="32" t="str">
        <x:v>VSF-006</x:v>
      </x:c>
    </x:row>
    <x:row r="38">
      <x:c r="A38" s="32" t="str">
        <x:v>VKM-008</x:v>
      </x:c>
      <x:c r="B38" s="32" t="str">
        <x:v>Бриошь</x:v>
      </x:c>
      <x:c r="C38" s="32" t="str">
        <x:v>Бизнес-ланч</x:v>
      </x:c>
      <x:c r="D38" s="40" t="n">
        <x:v>0.4</x:v>
      </x:c>
      <x:c r="E38" s="37" t="str">
        <x:f>IFERROR(INDEX('04_КАЛЬКУЛЯЦИИ'!$N$6:$N$33,MATCH(A38,'04_КАЛЬКУЛЯЦИИ'!$B$6:$B$33,0)),"")</x:f>
      </x:c>
      <x:c r="F38" s="36"/>
      <x:c r="G38" s="36"/>
      <x:c r="H38" s="36"/>
      <x:c r="I38" s="37" t="str">
        <x:f>IF(OR(E38="",F38="",D38=""),"",(E38+F38)/D38)</x:f>
      </x:c>
      <x:c r="J38" s="37" t="str">
        <x:f>IF(OR(E38="",F38="",I38=""),"",(E38+F38)/I38)</x:f>
      </x:c>
      <x:c r="K38" s="37" t="str">
        <x:f>IF(OR(I38="",E38="",F38=""),"",I38-E38-F38)</x:f>
      </x:c>
      <x:c r="L38" s="37" t="str">
        <x:f>IF(OR(K38="",G38="",H38=""),"",K38-I38*G38-I38*H38)</x:f>
      </x:c>
      <x:c r="M38" s="32" t="str">
        <x:v>BLOCKED_PENDING_VALIDATION</x:v>
      </x:c>
      <x:c r="N38" s="32" t="str">
        <x:v>(complete kitchen COGS + channel packaging) / S04 target COGS ratio; commission and tax excluded because unconfirmed</x:v>
      </x:c>
      <x:c r="O38" s="32" t="str">
        <x:v>S04 inputs + docs/03-methodology/COGS.md</x:v>
      </x:c>
      <x:c r="P38" s="32" t="str">
        <x:v>VSF-006</x:v>
      </x:c>
    </x:row>
    <x:row r="39">
      <x:c r="A39" s="32" t="str">
        <x:v>VKM-008</x:v>
      </x:c>
      <x:c r="B39" s="32" t="str">
        <x:v>Бриошь</x:v>
      </x:c>
      <x:c r="C39" s="32" t="str">
        <x:v>Гостиничные ужины</x:v>
      </x:c>
      <x:c r="D39" s="40" t="n">
        <x:v>0.3</x:v>
      </x:c>
      <x:c r="E39" s="37" t="str">
        <x:f>IFERROR(INDEX('04_КАЛЬКУЛЯЦИИ'!$N$6:$N$33,MATCH(A39,'04_КАЛЬКУЛЯЦИИ'!$B$6:$B$33,0)),"")</x:f>
      </x:c>
      <x:c r="F39" s="36"/>
      <x:c r="G39" s="36"/>
      <x:c r="H39" s="36"/>
      <x:c r="I39" s="37" t="str">
        <x:f>IF(OR(E39="",F39="",D39=""),"",(E39+F39)/D39)</x:f>
      </x:c>
      <x:c r="J39" s="37" t="str">
        <x:f>IF(OR(E39="",F39="",I39=""),"",(E39+F39)/I39)</x:f>
      </x:c>
      <x:c r="K39" s="37" t="str">
        <x:f>IF(OR(I39="",E39="",F39=""),"",I39-E39-F39)</x:f>
      </x:c>
      <x:c r="L39" s="37" t="str">
        <x:f>IF(OR(K39="",G39="",H39=""),"",K39-I39*G39-I39*H39)</x:f>
      </x:c>
      <x:c r="M39" s="32" t="str">
        <x:v>BLOCKED_PENDING_VALIDATION</x:v>
      </x:c>
      <x:c r="N39" s="32" t="str">
        <x:v>(complete kitchen COGS + channel packaging) / S04 target COGS ratio; commission and tax excluded because unconfirmed</x:v>
      </x:c>
      <x:c r="O39" s="32" t="str">
        <x:v>S04 inputs + docs/03-methodology/COGS.md</x:v>
      </x:c>
      <x:c r="P39" s="32" t="str">
        <x:v>VSF-006</x:v>
      </x:c>
    </x:row>
    <x:row r="40">
      <x:c r="A40" s="32" t="str">
        <x:v>VKM-008</x:v>
      </x:c>
      <x:c r="B40" s="32" t="str">
        <x:v>Бриошь</x:v>
      </x:c>
      <x:c r="C40" s="32" t="str">
        <x:v>Доставка</x:v>
      </x:c>
      <x:c r="D40" s="40" t="n">
        <x:v>0.3</x:v>
      </x:c>
      <x:c r="E40" s="37" t="str">
        <x:f>IFERROR(INDEX('04_КАЛЬКУЛЯЦИИ'!$N$6:$N$33,MATCH(A40,'04_КАЛЬКУЛЯЦИИ'!$B$6:$B$33,0)),"")</x:f>
      </x:c>
      <x:c r="F40" s="36"/>
      <x:c r="G40" s="36"/>
      <x:c r="H40" s="36"/>
      <x:c r="I40" s="37" t="str">
        <x:f>IF(OR(E40="",F40="",D40=""),"",(E40+F40)/D40)</x:f>
      </x:c>
      <x:c r="J40" s="37" t="str">
        <x:f>IF(OR(E40="",F40="",I40=""),"",(E40+F40)/I40)</x:f>
      </x:c>
      <x:c r="K40" s="37" t="str">
        <x:f>IF(OR(I40="",E40="",F40=""),"",I40-E40-F40)</x:f>
      </x:c>
      <x:c r="L40" s="37" t="str">
        <x:f>IF(OR(K40="",G40="",H40=""),"",K40-I40*G40-I40*H40)</x:f>
      </x:c>
      <x:c r="M40" s="32" t="str">
        <x:v>BLOCKED_PENDING_VALIDATION</x:v>
      </x:c>
      <x:c r="N40" s="32" t="str">
        <x:v>(complete kitchen COGS + channel packaging) / S04 target COGS ratio; commission and tax excluded because unconfirmed</x:v>
      </x:c>
      <x:c r="O40" s="32" t="str">
        <x:v>S04 inputs + docs/03-methodology/COGS.md</x:v>
      </x:c>
      <x:c r="P40" s="32" t="str">
        <x:v>VSF-006</x:v>
      </x:c>
    </x:row>
    <x:row r="41">
      <x:c r="A41" s="32" t="str">
        <x:v>VKM-008</x:v>
      </x:c>
      <x:c r="B41" s="32" t="str">
        <x:v>Бриошь</x:v>
      </x:c>
      <x:c r="C41" s="32" t="str">
        <x:v>Навынос</x:v>
      </x:c>
      <x:c r="D41" s="40" t="n">
        <x:v>0.428571</x:v>
      </x:c>
      <x:c r="E41" s="37" t="str">
        <x:f>IFERROR(INDEX('04_КАЛЬКУЛЯЦИИ'!$N$6:$N$33,MATCH(A41,'04_КАЛЬКУЛЯЦИИ'!$B$6:$B$33,0)),"")</x:f>
      </x:c>
      <x:c r="F41" s="36"/>
      <x:c r="G41" s="36"/>
      <x:c r="H41" s="36"/>
      <x:c r="I41" s="37" t="str">
        <x:f>IF(OR(E41="",F41="",D41=""),"",(E41+F41)/D41)</x:f>
      </x:c>
      <x:c r="J41" s="37" t="str">
        <x:f>IF(OR(E41="",F41="",I41=""),"",(E41+F41)/I41)</x:f>
      </x:c>
      <x:c r="K41" s="37" t="str">
        <x:f>IF(OR(I41="",E41="",F41=""),"",I41-E41-F41)</x:f>
      </x:c>
      <x:c r="L41" s="37" t="str">
        <x:f>IF(OR(K41="",G41="",H41=""),"",K41-I41*G41-I41*H41)</x:f>
      </x:c>
      <x:c r="M41" s="32" t="str">
        <x:v>BLOCKED_PENDING_VALIDATION</x:v>
      </x:c>
      <x:c r="N41" s="32" t="str">
        <x:v>(complete kitchen COGS + channel packaging) / S04 target COGS ratio; commission and tax excluded because unconfirmed</x:v>
      </x:c>
      <x:c r="O41" s="32" t="str">
        <x:v>S04 inputs + docs/03-methodology/COGS.md</x:v>
      </x:c>
      <x:c r="P41" s="32" t="str">
        <x:v>VSF-006</x:v>
      </x:c>
    </x:row>
    <x:row r="42">
      <x:c r="A42" s="32" t="str">
        <x:v>VKM-009</x:v>
      </x:c>
      <x:c r="B42" s="32" t="str">
        <x:v>Буррата с томатами</x:v>
      </x:c>
      <x:c r="C42" s="32" t="str">
        <x:v>À la carte</x:v>
      </x:c>
      <x:c r="D42" s="40" t="n">
        <x:v>0.3</x:v>
      </x:c>
      <x:c r="E42" s="37" t="str">
        <x:f>IFERROR(INDEX('04_КАЛЬКУЛЯЦИИ'!$N$6:$N$33,MATCH(A42,'04_КАЛЬКУЛЯЦИИ'!$B$6:$B$33,0)),"")</x:f>
      </x:c>
      <x:c r="F42" s="36"/>
      <x:c r="G42" s="36"/>
      <x:c r="H42" s="36"/>
      <x:c r="I42" s="37" t="str">
        <x:f>IF(OR(E42="",F42="",D42=""),"",(E42+F42)/D42)</x:f>
      </x:c>
      <x:c r="J42" s="37" t="str">
        <x:f>IF(OR(E42="",F42="",I42=""),"",(E42+F42)/I42)</x:f>
      </x:c>
      <x:c r="K42" s="37" t="str">
        <x:f>IF(OR(I42="",E42="",F42=""),"",I42-E42-F42)</x:f>
      </x:c>
      <x:c r="L42" s="37" t="str">
        <x:f>IF(OR(K42="",G42="",H42=""),"",K42-I42*G42-I42*H42)</x:f>
      </x:c>
      <x:c r="M42" s="32" t="str">
        <x:v>BLOCKED_PENDING_VALIDATION</x:v>
      </x:c>
      <x:c r="N42" s="32" t="str">
        <x:v>(complete kitchen COGS + channel packaging) / S04 target COGS ratio; commission and tax excluded because unconfirmed</x:v>
      </x:c>
      <x:c r="O42" s="32" t="str">
        <x:v>S04 inputs + docs/03-methodology/COGS.md</x:v>
      </x:c>
      <x:c r="P42" s="32" t="str">
        <x:v>ING-005;ING-031;ING-034;VSF-007</x:v>
      </x:c>
    </x:row>
    <x:row r="43">
      <x:c r="A43" s="32" t="str">
        <x:v>VKM-009</x:v>
      </x:c>
      <x:c r="B43" s="32" t="str">
        <x:v>Буррата с томатами</x:v>
      </x:c>
      <x:c r="C43" s="32" t="str">
        <x:v>Бизнес-ланч</x:v>
      </x:c>
      <x:c r="D43" s="40" t="n">
        <x:v>0.4</x:v>
      </x:c>
      <x:c r="E43" s="37" t="str">
        <x:f>IFERROR(INDEX('04_КАЛЬКУЛЯЦИИ'!$N$6:$N$33,MATCH(A43,'04_КАЛЬКУЛЯЦИИ'!$B$6:$B$33,0)),"")</x:f>
      </x:c>
      <x:c r="F43" s="36"/>
      <x:c r="G43" s="36"/>
      <x:c r="H43" s="36"/>
      <x:c r="I43" s="37" t="str">
        <x:f>IF(OR(E43="",F43="",D43=""),"",(E43+F43)/D43)</x:f>
      </x:c>
      <x:c r="J43" s="37" t="str">
        <x:f>IF(OR(E43="",F43="",I43=""),"",(E43+F43)/I43)</x:f>
      </x:c>
      <x:c r="K43" s="37" t="str">
        <x:f>IF(OR(I43="",E43="",F43=""),"",I43-E43-F43)</x:f>
      </x:c>
      <x:c r="L43" s="37" t="str">
        <x:f>IF(OR(K43="",G43="",H43=""),"",K43-I43*G43-I43*H43)</x:f>
      </x:c>
      <x:c r="M43" s="32" t="str">
        <x:v>BLOCKED_PENDING_VALIDATION</x:v>
      </x:c>
      <x:c r="N43" s="32" t="str">
        <x:v>(complete kitchen COGS + channel packaging) / S04 target COGS ratio; commission and tax excluded because unconfirmed</x:v>
      </x:c>
      <x:c r="O43" s="32" t="str">
        <x:v>S04 inputs + docs/03-methodology/COGS.md</x:v>
      </x:c>
      <x:c r="P43" s="32" t="str">
        <x:v>ING-005;ING-031;ING-034;VSF-007</x:v>
      </x:c>
    </x:row>
    <x:row r="44">
      <x:c r="A44" s="32" t="str">
        <x:v>VKM-009</x:v>
      </x:c>
      <x:c r="B44" s="32" t="str">
        <x:v>Буррата с томатами</x:v>
      </x:c>
      <x:c r="C44" s="32" t="str">
        <x:v>Гостиничные ужины</x:v>
      </x:c>
      <x:c r="D44" s="40" t="n">
        <x:v>0.3</x:v>
      </x:c>
      <x:c r="E44" s="37" t="str">
        <x:f>IFERROR(INDEX('04_КАЛЬКУЛЯЦИИ'!$N$6:$N$33,MATCH(A44,'04_КАЛЬКУЛЯЦИИ'!$B$6:$B$33,0)),"")</x:f>
      </x:c>
      <x:c r="F44" s="36"/>
      <x:c r="G44" s="36"/>
      <x:c r="H44" s="36"/>
      <x:c r="I44" s="37" t="str">
        <x:f>IF(OR(E44="",F44="",D44=""),"",(E44+F44)/D44)</x:f>
      </x:c>
      <x:c r="J44" s="37" t="str">
        <x:f>IF(OR(E44="",F44="",I44=""),"",(E44+F44)/I44)</x:f>
      </x:c>
      <x:c r="K44" s="37" t="str">
        <x:f>IF(OR(I44="",E44="",F44=""),"",I44-E44-F44)</x:f>
      </x:c>
      <x:c r="L44" s="37" t="str">
        <x:f>IF(OR(K44="",G44="",H44=""),"",K44-I44*G44-I44*H44)</x:f>
      </x:c>
      <x:c r="M44" s="32" t="str">
        <x:v>BLOCKED_PENDING_VALIDATION</x:v>
      </x:c>
      <x:c r="N44" s="32" t="str">
        <x:v>(complete kitchen COGS + channel packaging) / S04 target COGS ratio; commission and tax excluded because unconfirmed</x:v>
      </x:c>
      <x:c r="O44" s="32" t="str">
        <x:v>S04 inputs + docs/03-methodology/COGS.md</x:v>
      </x:c>
      <x:c r="P44" s="32" t="str">
        <x:v>ING-005;ING-031;ING-034;VSF-007</x:v>
      </x:c>
    </x:row>
    <x:row r="45">
      <x:c r="A45" s="32" t="str">
        <x:v>VKM-009</x:v>
      </x:c>
      <x:c r="B45" s="32" t="str">
        <x:v>Буррата с томатами</x:v>
      </x:c>
      <x:c r="C45" s="32" t="str">
        <x:v>Доставка</x:v>
      </x:c>
      <x:c r="D45" s="40" t="n">
        <x:v>0.3</x:v>
      </x:c>
      <x:c r="E45" s="37" t="str">
        <x:f>IFERROR(INDEX('04_КАЛЬКУЛЯЦИИ'!$N$6:$N$33,MATCH(A45,'04_КАЛЬКУЛЯЦИИ'!$B$6:$B$33,0)),"")</x:f>
      </x:c>
      <x:c r="F45" s="36"/>
      <x:c r="G45" s="36"/>
      <x:c r="H45" s="36"/>
      <x:c r="I45" s="37" t="str">
        <x:f>IF(OR(E45="",F45="",D45=""),"",(E45+F45)/D45)</x:f>
      </x:c>
      <x:c r="J45" s="37" t="str">
        <x:f>IF(OR(E45="",F45="",I45=""),"",(E45+F45)/I45)</x:f>
      </x:c>
      <x:c r="K45" s="37" t="str">
        <x:f>IF(OR(I45="",E45="",F45=""),"",I45-E45-F45)</x:f>
      </x:c>
      <x:c r="L45" s="37" t="str">
        <x:f>IF(OR(K45="",G45="",H45=""),"",K45-I45*G45-I45*H45)</x:f>
      </x:c>
      <x:c r="M45" s="32" t="str">
        <x:v>BLOCKED_PENDING_VALIDATION</x:v>
      </x:c>
      <x:c r="N45" s="32" t="str">
        <x:v>(complete kitchen COGS + channel packaging) / S04 target COGS ratio; commission and tax excluded because unconfirmed</x:v>
      </x:c>
      <x:c r="O45" s="32" t="str">
        <x:v>S04 inputs + docs/03-methodology/COGS.md</x:v>
      </x:c>
      <x:c r="P45" s="32" t="str">
        <x:v>ING-005;ING-031;ING-034;VSF-007</x:v>
      </x:c>
    </x:row>
    <x:row r="46">
      <x:c r="A46" s="32" t="str">
        <x:v>VKM-010</x:v>
      </x:c>
      <x:c r="B46" s="32" t="str">
        <x:v>Микс-салат с креветками и яблоком</x:v>
      </x:c>
      <x:c r="C46" s="32" t="str">
        <x:v>À la carte</x:v>
      </x:c>
      <x:c r="D46" s="40" t="n">
        <x:v>0.3</x:v>
      </x:c>
      <x:c r="E46" s="37" t="str">
        <x:f>IFERROR(INDEX('04_КАЛЬКУЛЯЦИИ'!$N$6:$N$33,MATCH(A46,'04_КАЛЬКУЛЯЦИИ'!$B$6:$B$33,0)),"")</x:f>
      </x:c>
      <x:c r="F46" s="36"/>
      <x:c r="G46" s="36"/>
      <x:c r="H46" s="36"/>
      <x:c r="I46" s="37" t="str">
        <x:f>IF(OR(E46="",F46="",D46=""),"",(E46+F46)/D46)</x:f>
      </x:c>
      <x:c r="J46" s="37" t="str">
        <x:f>IF(OR(E46="",F46="",I46=""),"",(E46+F46)/I46)</x:f>
      </x:c>
      <x:c r="K46" s="37" t="str">
        <x:f>IF(OR(I46="",E46="",F46=""),"",I46-E46-F46)</x:f>
      </x:c>
      <x:c r="L46" s="37" t="str">
        <x:f>IF(OR(K46="",G46="",H46=""),"",K46-I46*G46-I46*H46)</x:f>
      </x:c>
      <x:c r="M46" s="32" t="str">
        <x:v>BLOCKED_PENDING_VALIDATION</x:v>
      </x:c>
      <x:c r="N46" s="32" t="str">
        <x:v>(complete kitchen COGS + channel packaging) / S04 target COGS ratio; commission and tax excluded because unconfirmed</x:v>
      </x:c>
      <x:c r="O46" s="32" t="str">
        <x:v>S04 inputs + docs/03-methodology/COGS.md</x:v>
      </x:c>
      <x:c r="P46" s="32" t="str">
        <x:v>ING-035;ING-037;ING-038;ING-042;VSF-008</x:v>
      </x:c>
    </x:row>
    <x:row r="47">
      <x:c r="A47" s="32" t="str">
        <x:v>VKM-010</x:v>
      </x:c>
      <x:c r="B47" s="32" t="str">
        <x:v>Микс-салат с креветками и яблоком</x:v>
      </x:c>
      <x:c r="C47" s="32" t="str">
        <x:v>Бизнес-ланч</x:v>
      </x:c>
      <x:c r="D47" s="40" t="n">
        <x:v>0.4</x:v>
      </x:c>
      <x:c r="E47" s="37" t="str">
        <x:f>IFERROR(INDEX('04_КАЛЬКУЛЯЦИИ'!$N$6:$N$33,MATCH(A47,'04_КАЛЬКУЛЯЦИИ'!$B$6:$B$33,0)),"")</x:f>
      </x:c>
      <x:c r="F47" s="36"/>
      <x:c r="G47" s="36"/>
      <x:c r="H47" s="36"/>
      <x:c r="I47" s="37" t="str">
        <x:f>IF(OR(E47="",F47="",D47=""),"",(E47+F47)/D47)</x:f>
      </x:c>
      <x:c r="J47" s="37" t="str">
        <x:f>IF(OR(E47="",F47="",I47=""),"",(E47+F47)/I47)</x:f>
      </x:c>
      <x:c r="K47" s="37" t="str">
        <x:f>IF(OR(I47="",E47="",F47=""),"",I47-E47-F47)</x:f>
      </x:c>
      <x:c r="L47" s="37" t="str">
        <x:f>IF(OR(K47="",G47="",H47=""),"",K47-I47*G47-I47*H47)</x:f>
      </x:c>
      <x:c r="M47" s="32" t="str">
        <x:v>BLOCKED_PENDING_VALIDATION</x:v>
      </x:c>
      <x:c r="N47" s="32" t="str">
        <x:v>(complete kitchen COGS + channel packaging) / S04 target COGS ratio; commission and tax excluded because unconfirmed</x:v>
      </x:c>
      <x:c r="O47" s="32" t="str">
        <x:v>S04 inputs + docs/03-methodology/COGS.md</x:v>
      </x:c>
      <x:c r="P47" s="32" t="str">
        <x:v>ING-035;ING-037;ING-038;ING-042;VSF-008</x:v>
      </x:c>
    </x:row>
    <x:row r="48">
      <x:c r="A48" s="32" t="str">
        <x:v>VKM-010</x:v>
      </x:c>
      <x:c r="B48" s="32" t="str">
        <x:v>Микс-салат с креветками и яблоком</x:v>
      </x:c>
      <x:c r="C48" s="32" t="str">
        <x:v>Гостиничные ужины</x:v>
      </x:c>
      <x:c r="D48" s="40" t="n">
        <x:v>0.3</x:v>
      </x:c>
      <x:c r="E48" s="37" t="str">
        <x:f>IFERROR(INDEX('04_КАЛЬКУЛЯЦИИ'!$N$6:$N$33,MATCH(A48,'04_КАЛЬКУЛЯЦИИ'!$B$6:$B$33,0)),"")</x:f>
      </x:c>
      <x:c r="F48" s="36"/>
      <x:c r="G48" s="36"/>
      <x:c r="H48" s="36"/>
      <x:c r="I48" s="37" t="str">
        <x:f>IF(OR(E48="",F48="",D48=""),"",(E48+F48)/D48)</x:f>
      </x:c>
      <x:c r="J48" s="37" t="str">
        <x:f>IF(OR(E48="",F48="",I48=""),"",(E48+F48)/I48)</x:f>
      </x:c>
      <x:c r="K48" s="37" t="str">
        <x:f>IF(OR(I48="",E48="",F48=""),"",I48-E48-F48)</x:f>
      </x:c>
      <x:c r="L48" s="37" t="str">
        <x:f>IF(OR(K48="",G48="",H48=""),"",K48-I48*G48-I48*H48)</x:f>
      </x:c>
      <x:c r="M48" s="32" t="str">
        <x:v>BLOCKED_PENDING_VALIDATION</x:v>
      </x:c>
      <x:c r="N48" s="32" t="str">
        <x:v>(complete kitchen COGS + channel packaging) / S04 target COGS ratio; commission and tax excluded because unconfirmed</x:v>
      </x:c>
      <x:c r="O48" s="32" t="str">
        <x:v>S04 inputs + docs/03-methodology/COGS.md</x:v>
      </x:c>
      <x:c r="P48" s="32" t="str">
        <x:v>ING-035;ING-037;ING-038;ING-042;VSF-008</x:v>
      </x:c>
    </x:row>
    <x:row r="49">
      <x:c r="A49" s="32" t="str">
        <x:v>VKM-010</x:v>
      </x:c>
      <x:c r="B49" s="32" t="str">
        <x:v>Микс-салат с креветками и яблоком</x:v>
      </x:c>
      <x:c r="C49" s="32" t="str">
        <x:v>Доставка</x:v>
      </x:c>
      <x:c r="D49" s="40" t="n">
        <x:v>0.3</x:v>
      </x:c>
      <x:c r="E49" s="37" t="str">
        <x:f>IFERROR(INDEX('04_КАЛЬКУЛЯЦИИ'!$N$6:$N$33,MATCH(A49,'04_КАЛЬКУЛЯЦИИ'!$B$6:$B$33,0)),"")</x:f>
      </x:c>
      <x:c r="F49" s="36"/>
      <x:c r="G49" s="36"/>
      <x:c r="H49" s="36"/>
      <x:c r="I49" s="37" t="str">
        <x:f>IF(OR(E49="",F49="",D49=""),"",(E49+F49)/D49)</x:f>
      </x:c>
      <x:c r="J49" s="37" t="str">
        <x:f>IF(OR(E49="",F49="",I49=""),"",(E49+F49)/I49)</x:f>
      </x:c>
      <x:c r="K49" s="37" t="str">
        <x:f>IF(OR(I49="",E49="",F49=""),"",I49-E49-F49)</x:f>
      </x:c>
      <x:c r="L49" s="37" t="str">
        <x:f>IF(OR(K49="",G49="",H49=""),"",K49-I49*G49-I49*H49)</x:f>
      </x:c>
      <x:c r="M49" s="32" t="str">
        <x:v>BLOCKED_PENDING_VALIDATION</x:v>
      </x:c>
      <x:c r="N49" s="32" t="str">
        <x:v>(complete kitchen COGS + channel packaging) / S04 target COGS ratio; commission and tax excluded because unconfirmed</x:v>
      </x:c>
      <x:c r="O49" s="32" t="str">
        <x:v>S04 inputs + docs/03-methodology/COGS.md</x:v>
      </x:c>
      <x:c r="P49" s="32" t="str">
        <x:v>ING-035;ING-037;ING-038;ING-042;VSF-008</x:v>
      </x:c>
    </x:row>
    <x:row r="50">
      <x:c r="A50" s="32" t="str">
        <x:v>VKM-011</x:v>
      </x:c>
      <x:c r="B50" s="32" t="str">
        <x:v>Греческий</x:v>
      </x:c>
      <x:c r="C50" s="32" t="str">
        <x:v>À la carte</x:v>
      </x:c>
      <x:c r="D50" s="40" t="n">
        <x:v>0.3</x:v>
      </x:c>
      <x:c r="E50" s="37" t="str">
        <x:f>IFERROR(INDEX('04_КАЛЬКУЛЯЦИИ'!$N$6:$N$33,MATCH(A50,'04_КАЛЬКУЛЯЦИИ'!$B$6:$B$33,0)),"")</x:f>
      </x:c>
      <x:c r="F50" s="36"/>
      <x:c r="G50" s="36"/>
      <x:c r="H50" s="36"/>
      <x:c r="I50" s="37" t="str">
        <x:f>IF(OR(E50="",F50="",D50=""),"",(E50+F50)/D50)</x:f>
      </x:c>
      <x:c r="J50" s="37" t="str">
        <x:f>IF(OR(E50="",F50="",I50=""),"",(E50+F50)/I50)</x:f>
      </x:c>
      <x:c r="K50" s="37" t="str">
        <x:f>IF(OR(I50="",E50="",F50=""),"",I50-E50-F50)</x:f>
      </x:c>
      <x:c r="L50" s="37" t="str">
        <x:f>IF(OR(K50="",G50="",H50=""),"",K50-I50*G50-I50*H50)</x:f>
      </x:c>
      <x:c r="M50" s="32" t="str">
        <x:v>BLOCKED_PENDING_VALIDATION</x:v>
      </x:c>
      <x:c r="N50" s="32" t="str">
        <x:v>(complete kitchen COGS + channel packaging) / S04 target COGS ratio; commission and tax excluded because unconfirmed</x:v>
      </x:c>
      <x:c r="O50" s="32" t="str">
        <x:v>S04 inputs + docs/03-methodology/COGS.md</x:v>
      </x:c>
      <x:c r="P50" s="32" t="str">
        <x:v>ING-031;ING-038;ING-043;ING-044;ING-045;ING-046;VSF-009</x:v>
      </x:c>
    </x:row>
    <x:row r="51">
      <x:c r="A51" s="32" t="str">
        <x:v>VKM-011</x:v>
      </x:c>
      <x:c r="B51" s="32" t="str">
        <x:v>Греческий</x:v>
      </x:c>
      <x:c r="C51" s="32" t="str">
        <x:v>Бизнес-ланч</x:v>
      </x:c>
      <x:c r="D51" s="40" t="n">
        <x:v>0.4</x:v>
      </x:c>
      <x:c r="E51" s="37" t="str">
        <x:f>IFERROR(INDEX('04_КАЛЬКУЛЯЦИИ'!$N$6:$N$33,MATCH(A51,'04_КАЛЬКУЛЯЦИИ'!$B$6:$B$33,0)),"")</x:f>
      </x:c>
      <x:c r="F51" s="36"/>
      <x:c r="G51" s="36"/>
      <x:c r="H51" s="36"/>
      <x:c r="I51" s="37" t="str">
        <x:f>IF(OR(E51="",F51="",D51=""),"",(E51+F51)/D51)</x:f>
      </x:c>
      <x:c r="J51" s="37" t="str">
        <x:f>IF(OR(E51="",F51="",I51=""),"",(E51+F51)/I51)</x:f>
      </x:c>
      <x:c r="K51" s="37" t="str">
        <x:f>IF(OR(I51="",E51="",F51=""),"",I51-E51-F51)</x:f>
      </x:c>
      <x:c r="L51" s="37" t="str">
        <x:f>IF(OR(K51="",G51="",H51=""),"",K51-I51*G51-I51*H51)</x:f>
      </x:c>
      <x:c r="M51" s="32" t="str">
        <x:v>BLOCKED_PENDING_VALIDATION</x:v>
      </x:c>
      <x:c r="N51" s="32" t="str">
        <x:v>(complete kitchen COGS + channel packaging) / S04 target COGS ratio; commission and tax excluded because unconfirmed</x:v>
      </x:c>
      <x:c r="O51" s="32" t="str">
        <x:v>S04 inputs + docs/03-methodology/COGS.md</x:v>
      </x:c>
      <x:c r="P51" s="32" t="str">
        <x:v>ING-031;ING-038;ING-043;ING-044;ING-045;ING-046;VSF-009</x:v>
      </x:c>
    </x:row>
    <x:row r="52">
      <x:c r="A52" s="32" t="str">
        <x:v>VKM-011</x:v>
      </x:c>
      <x:c r="B52" s="32" t="str">
        <x:v>Греческий</x:v>
      </x:c>
      <x:c r="C52" s="32" t="str">
        <x:v>Гостиничные ужины</x:v>
      </x:c>
      <x:c r="D52" s="40" t="n">
        <x:v>0.3</x:v>
      </x:c>
      <x:c r="E52" s="37" t="str">
        <x:f>IFERROR(INDEX('04_КАЛЬКУЛЯЦИИ'!$N$6:$N$33,MATCH(A52,'04_КАЛЬКУЛЯЦИИ'!$B$6:$B$33,0)),"")</x:f>
      </x:c>
      <x:c r="F52" s="36"/>
      <x:c r="G52" s="36"/>
      <x:c r="H52" s="36"/>
      <x:c r="I52" s="37" t="str">
        <x:f>IF(OR(E52="",F52="",D52=""),"",(E52+F52)/D52)</x:f>
      </x:c>
      <x:c r="J52" s="37" t="str">
        <x:f>IF(OR(E52="",F52="",I52=""),"",(E52+F52)/I52)</x:f>
      </x:c>
      <x:c r="K52" s="37" t="str">
        <x:f>IF(OR(I52="",E52="",F52=""),"",I52-E52-F52)</x:f>
      </x:c>
      <x:c r="L52" s="37" t="str">
        <x:f>IF(OR(K52="",G52="",H52=""),"",K52-I52*G52-I52*H52)</x:f>
      </x:c>
      <x:c r="M52" s="32" t="str">
        <x:v>BLOCKED_PENDING_VALIDATION</x:v>
      </x:c>
      <x:c r="N52" s="32" t="str">
        <x:v>(complete kitchen COGS + channel packaging) / S04 target COGS ratio; commission and tax excluded because unconfirmed</x:v>
      </x:c>
      <x:c r="O52" s="32" t="str">
        <x:v>S04 inputs + docs/03-methodology/COGS.md</x:v>
      </x:c>
      <x:c r="P52" s="32" t="str">
        <x:v>ING-031;ING-038;ING-043;ING-044;ING-045;ING-046;VSF-009</x:v>
      </x:c>
    </x:row>
    <x:row r="53">
      <x:c r="A53" s="32" t="str">
        <x:v>VKM-011</x:v>
      </x:c>
      <x:c r="B53" s="32" t="str">
        <x:v>Греческий</x:v>
      </x:c>
      <x:c r="C53" s="32" t="str">
        <x:v>Доставка</x:v>
      </x:c>
      <x:c r="D53" s="40" t="n">
        <x:v>0.3</x:v>
      </x:c>
      <x:c r="E53" s="37" t="str">
        <x:f>IFERROR(INDEX('04_КАЛЬКУЛЯЦИИ'!$N$6:$N$33,MATCH(A53,'04_КАЛЬКУЛЯЦИИ'!$B$6:$B$33,0)),"")</x:f>
      </x:c>
      <x:c r="F53" s="36"/>
      <x:c r="G53" s="36"/>
      <x:c r="H53" s="36"/>
      <x:c r="I53" s="37" t="str">
        <x:f>IF(OR(E53="",F53="",D53=""),"",(E53+F53)/D53)</x:f>
      </x:c>
      <x:c r="J53" s="37" t="str">
        <x:f>IF(OR(E53="",F53="",I53=""),"",(E53+F53)/I53)</x:f>
      </x:c>
      <x:c r="K53" s="37" t="str">
        <x:f>IF(OR(I53="",E53="",F53=""),"",I53-E53-F53)</x:f>
      </x:c>
      <x:c r="L53" s="37" t="str">
        <x:f>IF(OR(K53="",G53="",H53=""),"",K53-I53*G53-I53*H53)</x:f>
      </x:c>
      <x:c r="M53" s="32" t="str">
        <x:v>BLOCKED_PENDING_VALIDATION</x:v>
      </x:c>
      <x:c r="N53" s="32" t="str">
        <x:v>(complete kitchen COGS + channel packaging) / S04 target COGS ratio; commission and tax excluded because unconfirmed</x:v>
      </x:c>
      <x:c r="O53" s="32" t="str">
        <x:v>S04 inputs + docs/03-methodology/COGS.md</x:v>
      </x:c>
      <x:c r="P53" s="32" t="str">
        <x:v>ING-031;ING-038;ING-043;ING-044;ING-045;ING-046;VSF-009</x:v>
      </x:c>
    </x:row>
    <x:row r="54">
      <x:c r="A54" s="32" t="str">
        <x:v>VKM-012</x:v>
      </x:c>
      <x:c r="B54" s="32" t="str">
        <x:v>Винегрет</x:v>
      </x:c>
      <x:c r="C54" s="32" t="str">
        <x:v>À la carte</x:v>
      </x:c>
      <x:c r="D54" s="40" t="n">
        <x:v>0.3</x:v>
      </x:c>
      <x:c r="E54" s="37" t="str">
        <x:f>IFERROR(INDEX('04_КАЛЬКУЛЯЦИИ'!$N$6:$N$33,MATCH(A54,'04_КАЛЬКУЛЯЦИИ'!$B$6:$B$33,0)),"")</x:f>
      </x:c>
      <x:c r="F54" s="36"/>
      <x:c r="G54" s="36"/>
      <x:c r="H54" s="36"/>
      <x:c r="I54" s="37" t="str">
        <x:f>IF(OR(E54="",F54="",D54=""),"",(E54+F54)/D54)</x:f>
      </x:c>
      <x:c r="J54" s="37" t="str">
        <x:f>IF(OR(E54="",F54="",I54=""),"",(E54+F54)/I54)</x:f>
      </x:c>
      <x:c r="K54" s="37" t="str">
        <x:f>IF(OR(I54="",E54="",F54=""),"",I54-E54-F54)</x:f>
      </x:c>
      <x:c r="L54" s="37" t="str">
        <x:f>IF(OR(K54="",G54="",H54=""),"",K54-I54*G54-I54*H54)</x:f>
      </x:c>
      <x:c r="M54" s="32" t="str">
        <x:v>BLOCKED_PENDING_VALIDATION</x:v>
      </x:c>
      <x:c r="N54" s="32" t="str">
        <x:v>(complete kitchen COGS + channel packaging) / S04 target COGS ratio; commission and tax excluded because unconfirmed</x:v>
      </x:c>
      <x:c r="O54" s="32" t="str">
        <x:v>S04 inputs + docs/03-methodology/COGS.md</x:v>
      </x:c>
      <x:c r="P54" s="32" t="str">
        <x:v>ING-016;ING-024;ING-051;ING-052;ING-053;VSF-010</x:v>
      </x:c>
    </x:row>
    <x:row r="55">
      <x:c r="A55" s="32" t="str">
        <x:v>VKM-012</x:v>
      </x:c>
      <x:c r="B55" s="32" t="str">
        <x:v>Винегрет</x:v>
      </x:c>
      <x:c r="C55" s="32" t="str">
        <x:v>Бизнес-ланч</x:v>
      </x:c>
      <x:c r="D55" s="40" t="n">
        <x:v>0.4</x:v>
      </x:c>
      <x:c r="E55" s="37" t="str">
        <x:f>IFERROR(INDEX('04_КАЛЬКУЛЯЦИИ'!$N$6:$N$33,MATCH(A55,'04_КАЛЬКУЛЯЦИИ'!$B$6:$B$33,0)),"")</x:f>
      </x:c>
      <x:c r="F55" s="36"/>
      <x:c r="G55" s="36"/>
      <x:c r="H55" s="36"/>
      <x:c r="I55" s="37" t="str">
        <x:f>IF(OR(E55="",F55="",D55=""),"",(E55+F55)/D55)</x:f>
      </x:c>
      <x:c r="J55" s="37" t="str">
        <x:f>IF(OR(E55="",F55="",I55=""),"",(E55+F55)/I55)</x:f>
      </x:c>
      <x:c r="K55" s="37" t="str">
        <x:f>IF(OR(I55="",E55="",F55=""),"",I55-E55-F55)</x:f>
      </x:c>
      <x:c r="L55" s="37" t="str">
        <x:f>IF(OR(K55="",G55="",H55=""),"",K55-I55*G55-I55*H55)</x:f>
      </x:c>
      <x:c r="M55" s="32" t="str">
        <x:v>BLOCKED_PENDING_VALIDATION</x:v>
      </x:c>
      <x:c r="N55" s="32" t="str">
        <x:v>(complete kitchen COGS + channel packaging) / S04 target COGS ratio; commission and tax excluded because unconfirmed</x:v>
      </x:c>
      <x:c r="O55" s="32" t="str">
        <x:v>S04 inputs + docs/03-methodology/COGS.md</x:v>
      </x:c>
      <x:c r="P55" s="32" t="str">
        <x:v>ING-016;ING-024;ING-051;ING-052;ING-053;VSF-010</x:v>
      </x:c>
    </x:row>
    <x:row r="56">
      <x:c r="A56" s="32" t="str">
        <x:v>VKM-012</x:v>
      </x:c>
      <x:c r="B56" s="32" t="str">
        <x:v>Винегрет</x:v>
      </x:c>
      <x:c r="C56" s="32" t="str">
        <x:v>Гостиничные ужины</x:v>
      </x:c>
      <x:c r="D56" s="40" t="n">
        <x:v>0.3</x:v>
      </x:c>
      <x:c r="E56" s="37" t="str">
        <x:f>IFERROR(INDEX('04_КАЛЬКУЛЯЦИИ'!$N$6:$N$33,MATCH(A56,'04_КАЛЬКУЛЯЦИИ'!$B$6:$B$33,0)),"")</x:f>
      </x:c>
      <x:c r="F56" s="36"/>
      <x:c r="G56" s="36"/>
      <x:c r="H56" s="36"/>
      <x:c r="I56" s="37" t="str">
        <x:f>IF(OR(E56="",F56="",D56=""),"",(E56+F56)/D56)</x:f>
      </x:c>
      <x:c r="J56" s="37" t="str">
        <x:f>IF(OR(E56="",F56="",I56=""),"",(E56+F56)/I56)</x:f>
      </x:c>
      <x:c r="K56" s="37" t="str">
        <x:f>IF(OR(I56="",E56="",F56=""),"",I56-E56-F56)</x:f>
      </x:c>
      <x:c r="L56" s="37" t="str">
        <x:f>IF(OR(K56="",G56="",H56=""),"",K56-I56*G56-I56*H56)</x:f>
      </x:c>
      <x:c r="M56" s="32" t="str">
        <x:v>BLOCKED_PENDING_VALIDATION</x:v>
      </x:c>
      <x:c r="N56" s="32" t="str">
        <x:v>(complete kitchen COGS + channel packaging) / S04 target COGS ratio; commission and tax excluded because unconfirmed</x:v>
      </x:c>
      <x:c r="O56" s="32" t="str">
        <x:v>S04 inputs + docs/03-methodology/COGS.md</x:v>
      </x:c>
      <x:c r="P56" s="32" t="str">
        <x:v>ING-016;ING-024;ING-051;ING-052;ING-053;VSF-010</x:v>
      </x:c>
    </x:row>
    <x:row r="57">
      <x:c r="A57" s="32" t="str">
        <x:v>VKM-012</x:v>
      </x:c>
      <x:c r="B57" s="32" t="str">
        <x:v>Винегрет</x:v>
      </x:c>
      <x:c r="C57" s="32" t="str">
        <x:v>Доставка</x:v>
      </x:c>
      <x:c r="D57" s="40" t="n">
        <x:v>0.3</x:v>
      </x:c>
      <x:c r="E57" s="37" t="str">
        <x:f>IFERROR(INDEX('04_КАЛЬКУЛЯЦИИ'!$N$6:$N$33,MATCH(A57,'04_КАЛЬКУЛЯЦИИ'!$B$6:$B$33,0)),"")</x:f>
      </x:c>
      <x:c r="F57" s="36"/>
      <x:c r="G57" s="36"/>
      <x:c r="H57" s="36"/>
      <x:c r="I57" s="37" t="str">
        <x:f>IF(OR(E57="",F57="",D57=""),"",(E57+F57)/D57)</x:f>
      </x:c>
      <x:c r="J57" s="37" t="str">
        <x:f>IF(OR(E57="",F57="",I57=""),"",(E57+F57)/I57)</x:f>
      </x:c>
      <x:c r="K57" s="37" t="str">
        <x:f>IF(OR(I57="",E57="",F57=""),"",I57-E57-F57)</x:f>
      </x:c>
      <x:c r="L57" s="37" t="str">
        <x:f>IF(OR(K57="",G57="",H57=""),"",K57-I57*G57-I57*H57)</x:f>
      </x:c>
      <x:c r="M57" s="32" t="str">
        <x:v>BLOCKED_PENDING_VALIDATION</x:v>
      </x:c>
      <x:c r="N57" s="32" t="str">
        <x:v>(complete kitchen COGS + channel packaging) / S04 target COGS ratio; commission and tax excluded because unconfirmed</x:v>
      </x:c>
      <x:c r="O57" s="32" t="str">
        <x:v>S04 inputs + docs/03-methodology/COGS.md</x:v>
      </x:c>
      <x:c r="P57" s="32" t="str">
        <x:v>ING-016;ING-024;ING-051;ING-052;ING-053;VSF-010</x:v>
      </x:c>
    </x:row>
    <x:row r="58">
      <x:c r="A58" s="32" t="str">
        <x:v>VKM-013</x:v>
      </x:c>
      <x:c r="B58" s="32" t="str">
        <x:v>Слабосолёный лосось</x:v>
      </x:c>
      <x:c r="C58" s="32" t="str">
        <x:v>À la carte</x:v>
      </x:c>
      <x:c r="D58" s="40" t="n">
        <x:v>0.3</x:v>
      </x:c>
      <x:c r="E58" s="37" t="str">
        <x:f>IFERROR(INDEX('04_КАЛЬКУЛЯЦИИ'!$N$6:$N$33,MATCH(A58,'04_КАЛЬКУЛЯЦИИ'!$B$6:$B$33,0)),"")</x:f>
      </x:c>
      <x:c r="F58" s="36"/>
      <x:c r="G58" s="36"/>
      <x:c r="H58" s="36"/>
      <x:c r="I58" s="37" t="str">
        <x:f>IF(OR(E58="",F58="",D58=""),"",(E58+F58)/D58)</x:f>
      </x:c>
      <x:c r="J58" s="37" t="str">
        <x:f>IF(OR(E58="",F58="",I58=""),"",(E58+F58)/I58)</x:f>
      </x:c>
      <x:c r="K58" s="37" t="str">
        <x:f>IF(OR(I58="",E58="",F58=""),"",I58-E58-F58)</x:f>
      </x:c>
      <x:c r="L58" s="37" t="str">
        <x:f>IF(OR(K58="",G58="",H58=""),"",K58-I58*G58-I58*H58)</x:f>
      </x:c>
      <x:c r="M58" s="32" t="str">
        <x:v>BLOCKED_PENDING_VALIDATION</x:v>
      </x:c>
      <x:c r="N58" s="32" t="str">
        <x:v>(complete kitchen COGS + channel packaging) / S04 target COGS ratio; commission and tax excluded because unconfirmed</x:v>
      </x:c>
      <x:c r="O58" s="32" t="str">
        <x:v>S04 inputs + docs/03-methodology/COGS.md</x:v>
      </x:c>
      <x:c r="P58" s="32" t="str">
        <x:v>ING-024;ING-034;ING-055;ING-056</x:v>
      </x:c>
    </x:row>
    <x:row r="59">
      <x:c r="A59" s="32" t="str">
        <x:v>VKM-013</x:v>
      </x:c>
      <x:c r="B59" s="32" t="str">
        <x:v>Слабосолёный лосось</x:v>
      </x:c>
      <x:c r="C59" s="32" t="str">
        <x:v>Бизнес-ланч</x:v>
      </x:c>
      <x:c r="D59" s="40" t="n">
        <x:v>0.4</x:v>
      </x:c>
      <x:c r="E59" s="37" t="str">
        <x:f>IFERROR(INDEX('04_КАЛЬКУЛЯЦИИ'!$N$6:$N$33,MATCH(A59,'04_КАЛЬКУЛЯЦИИ'!$B$6:$B$33,0)),"")</x:f>
      </x:c>
      <x:c r="F59" s="36"/>
      <x:c r="G59" s="36"/>
      <x:c r="H59" s="36"/>
      <x:c r="I59" s="37" t="str">
        <x:f>IF(OR(E59="",F59="",D59=""),"",(E59+F59)/D59)</x:f>
      </x:c>
      <x:c r="J59" s="37" t="str">
        <x:f>IF(OR(E59="",F59="",I59=""),"",(E59+F59)/I59)</x:f>
      </x:c>
      <x:c r="K59" s="37" t="str">
        <x:f>IF(OR(I59="",E59="",F59=""),"",I59-E59-F59)</x:f>
      </x:c>
      <x:c r="L59" s="37" t="str">
        <x:f>IF(OR(K59="",G59="",H59=""),"",K59-I59*G59-I59*H59)</x:f>
      </x:c>
      <x:c r="M59" s="32" t="str">
        <x:v>BLOCKED_PENDING_VALIDATION</x:v>
      </x:c>
      <x:c r="N59" s="32" t="str">
        <x:v>(complete kitchen COGS + channel packaging) / S04 target COGS ratio; commission and tax excluded because unconfirmed</x:v>
      </x:c>
      <x:c r="O59" s="32" t="str">
        <x:v>S04 inputs + docs/03-methodology/COGS.md</x:v>
      </x:c>
      <x:c r="P59" s="32" t="str">
        <x:v>ING-024;ING-034;ING-055;ING-056</x:v>
      </x:c>
    </x:row>
    <x:row r="60">
      <x:c r="A60" s="32" t="str">
        <x:v>VKM-013</x:v>
      </x:c>
      <x:c r="B60" s="32" t="str">
        <x:v>Слабосолёный лосось</x:v>
      </x:c>
      <x:c r="C60" s="32" t="str">
        <x:v>Гостиничные ужины</x:v>
      </x:c>
      <x:c r="D60" s="40" t="n">
        <x:v>0.3</x:v>
      </x:c>
      <x:c r="E60" s="37" t="str">
        <x:f>IFERROR(INDEX('04_КАЛЬКУЛЯЦИИ'!$N$6:$N$33,MATCH(A60,'04_КАЛЬКУЛЯЦИИ'!$B$6:$B$33,0)),"")</x:f>
      </x:c>
      <x:c r="F60" s="36"/>
      <x:c r="G60" s="36"/>
      <x:c r="H60" s="36"/>
      <x:c r="I60" s="37" t="str">
        <x:f>IF(OR(E60="",F60="",D60=""),"",(E60+F60)/D60)</x:f>
      </x:c>
      <x:c r="J60" s="37" t="str">
        <x:f>IF(OR(E60="",F60="",I60=""),"",(E60+F60)/I60)</x:f>
      </x:c>
      <x:c r="K60" s="37" t="str">
        <x:f>IF(OR(I60="",E60="",F60=""),"",I60-E60-F60)</x:f>
      </x:c>
      <x:c r="L60" s="37" t="str">
        <x:f>IF(OR(K60="",G60="",H60=""),"",K60-I60*G60-I60*H60)</x:f>
      </x:c>
      <x:c r="M60" s="32" t="str">
        <x:v>BLOCKED_PENDING_VALIDATION</x:v>
      </x:c>
      <x:c r="N60" s="32" t="str">
        <x:v>(complete kitchen COGS + channel packaging) / S04 target COGS ratio; commission and tax excluded because unconfirmed</x:v>
      </x:c>
      <x:c r="O60" s="32" t="str">
        <x:v>S04 inputs + docs/03-methodology/COGS.md</x:v>
      </x:c>
      <x:c r="P60" s="32" t="str">
        <x:v>ING-024;ING-034;ING-055;ING-056</x:v>
      </x:c>
    </x:row>
    <x:row r="61">
      <x:c r="A61" s="32" t="str">
        <x:v>VKM-014</x:v>
      </x:c>
      <x:c r="B61" s="32" t="str">
        <x:v>Сельдь с запечённым картофелем</x:v>
      </x:c>
      <x:c r="C61" s="32" t="str">
        <x:v>À la carte</x:v>
      </x:c>
      <x:c r="D61" s="40" t="n">
        <x:v>0.3</x:v>
      </x:c>
      <x:c r="E61" s="37" t="str">
        <x:f>IFERROR(INDEX('04_КАЛЬКУЛЯЦИИ'!$N$6:$N$33,MATCH(A61,'04_КАЛЬКУЛЯЦИИ'!$B$6:$B$33,0)),"")</x:f>
      </x:c>
      <x:c r="F61" s="36"/>
      <x:c r="G61" s="36"/>
      <x:c r="H61" s="36"/>
      <x:c r="I61" s="37" t="str">
        <x:f>IF(OR(E61="",F61="",D61=""),"",(E61+F61)/D61)</x:f>
      </x:c>
      <x:c r="J61" s="37" t="str">
        <x:f>IF(OR(E61="",F61="",I61=""),"",(E61+F61)/I61)</x:f>
      </x:c>
      <x:c r="K61" s="37" t="str">
        <x:f>IF(OR(I61="",E61="",F61=""),"",I61-E61-F61)</x:f>
      </x:c>
      <x:c r="L61" s="37" t="str">
        <x:f>IF(OR(K61="",G61="",H61=""),"",K61-I61*G61-I61*H61)</x:f>
      </x:c>
      <x:c r="M61" s="32" t="str">
        <x:v>BLOCKED_PENDING_VALIDATION</x:v>
      </x:c>
      <x:c r="N61" s="32" t="str">
        <x:v>(complete kitchen COGS + channel packaging) / S04 target COGS ratio; commission and tax excluded because unconfirmed</x:v>
      </x:c>
      <x:c r="O61" s="32" t="str">
        <x:v>S04 inputs + docs/03-methodology/COGS.md</x:v>
      </x:c>
      <x:c r="P61" s="32" t="str">
        <x:v>ING-024;ING-046;ING-051;ING-057;ING-059;VSF-011</x:v>
      </x:c>
    </x:row>
    <x:row r="62">
      <x:c r="A62" s="32" t="str">
        <x:v>VKM-014</x:v>
      </x:c>
      <x:c r="B62" s="32" t="str">
        <x:v>Сельдь с запечённым картофелем</x:v>
      </x:c>
      <x:c r="C62" s="32" t="str">
        <x:v>Бизнес-ланч</x:v>
      </x:c>
      <x:c r="D62" s="40" t="n">
        <x:v>0.4</x:v>
      </x:c>
      <x:c r="E62" s="37" t="str">
        <x:f>IFERROR(INDEX('04_КАЛЬКУЛЯЦИИ'!$N$6:$N$33,MATCH(A62,'04_КАЛЬКУЛЯЦИИ'!$B$6:$B$33,0)),"")</x:f>
      </x:c>
      <x:c r="F62" s="36"/>
      <x:c r="G62" s="36"/>
      <x:c r="H62" s="36"/>
      <x:c r="I62" s="37" t="str">
        <x:f>IF(OR(E62="",F62="",D62=""),"",(E62+F62)/D62)</x:f>
      </x:c>
      <x:c r="J62" s="37" t="str">
        <x:f>IF(OR(E62="",F62="",I62=""),"",(E62+F62)/I62)</x:f>
      </x:c>
      <x:c r="K62" s="37" t="str">
        <x:f>IF(OR(I62="",E62="",F62=""),"",I62-E62-F62)</x:f>
      </x:c>
      <x:c r="L62" s="37" t="str">
        <x:f>IF(OR(K62="",G62="",H62=""),"",K62-I62*G62-I62*H62)</x:f>
      </x:c>
      <x:c r="M62" s="32" t="str">
        <x:v>BLOCKED_PENDING_VALIDATION</x:v>
      </x:c>
      <x:c r="N62" s="32" t="str">
        <x:v>(complete kitchen COGS + channel packaging) / S04 target COGS ratio; commission and tax excluded because unconfirmed</x:v>
      </x:c>
      <x:c r="O62" s="32" t="str">
        <x:v>S04 inputs + docs/03-methodology/COGS.md</x:v>
      </x:c>
      <x:c r="P62" s="32" t="str">
        <x:v>ING-024;ING-046;ING-051;ING-057;ING-059;VSF-011</x:v>
      </x:c>
    </x:row>
    <x:row r="63">
      <x:c r="A63" s="32" t="str">
        <x:v>VKM-014</x:v>
      </x:c>
      <x:c r="B63" s="32" t="str">
        <x:v>Сельдь с запечённым картофелем</x:v>
      </x:c>
      <x:c r="C63" s="32" t="str">
        <x:v>Гостиничные ужины</x:v>
      </x:c>
      <x:c r="D63" s="40" t="n">
        <x:v>0.3</x:v>
      </x:c>
      <x:c r="E63" s="37" t="str">
        <x:f>IFERROR(INDEX('04_КАЛЬКУЛЯЦИИ'!$N$6:$N$33,MATCH(A63,'04_КАЛЬКУЛЯЦИИ'!$B$6:$B$33,0)),"")</x:f>
      </x:c>
      <x:c r="F63" s="36"/>
      <x:c r="G63" s="36"/>
      <x:c r="H63" s="36"/>
      <x:c r="I63" s="37" t="str">
        <x:f>IF(OR(E63="",F63="",D63=""),"",(E63+F63)/D63)</x:f>
      </x:c>
      <x:c r="J63" s="37" t="str">
        <x:f>IF(OR(E63="",F63="",I63=""),"",(E63+F63)/I63)</x:f>
      </x:c>
      <x:c r="K63" s="37" t="str">
        <x:f>IF(OR(I63="",E63="",F63=""),"",I63-E63-F63)</x:f>
      </x:c>
      <x:c r="L63" s="37" t="str">
        <x:f>IF(OR(K63="",G63="",H63=""),"",K63-I63*G63-I63*H63)</x:f>
      </x:c>
      <x:c r="M63" s="32" t="str">
        <x:v>BLOCKED_PENDING_VALIDATION</x:v>
      </x:c>
      <x:c r="N63" s="32" t="str">
        <x:v>(complete kitchen COGS + channel packaging) / S04 target COGS ratio; commission and tax excluded because unconfirmed</x:v>
      </x:c>
      <x:c r="O63" s="32" t="str">
        <x:v>S04 inputs + docs/03-methodology/COGS.md</x:v>
      </x:c>
      <x:c r="P63" s="32" t="str">
        <x:v>ING-024;ING-046;ING-051;ING-057;ING-059;VSF-011</x:v>
      </x:c>
    </x:row>
    <x:row r="64">
      <x:c r="A64" s="32" t="str">
        <x:v>VKM-015</x:v>
      </x:c>
      <x:c r="B64" s="32" t="str">
        <x:v>Оливки и маслины</x:v>
      </x:c>
      <x:c r="C64" s="32" t="str">
        <x:v>À la carte</x:v>
      </x:c>
      <x:c r="D64" s="40" t="n">
        <x:v>0.3</x:v>
      </x:c>
      <x:c r="E64" s="37" t="str">
        <x:f>IFERROR(INDEX('04_КАЛЬКУЛЯЦИИ'!$N$6:$N$33,MATCH(A64,'04_КАЛЬКУЛЯЦИИ'!$B$6:$B$33,0)),"")</x:f>
      </x:c>
      <x:c r="F64" s="36"/>
      <x:c r="G64" s="36"/>
      <x:c r="H64" s="36"/>
      <x:c r="I64" s="37" t="str">
        <x:f>IF(OR(E64="",F64="",D64=""),"",(E64+F64)/D64)</x:f>
      </x:c>
      <x:c r="J64" s="37" t="str">
        <x:f>IF(OR(E64="",F64="",I64=""),"",(E64+F64)/I64)</x:f>
      </x:c>
      <x:c r="K64" s="37" t="str">
        <x:f>IF(OR(I64="",E64="",F64=""),"",I64-E64-F64)</x:f>
      </x:c>
      <x:c r="L64" s="37" t="str">
        <x:f>IF(OR(K64="",G64="",H64=""),"",K64-I64*G64-I64*H64)</x:f>
      </x:c>
      <x:c r="M64" s="32" t="str">
        <x:v>BLOCKED_PENDING_VALIDATION</x:v>
      </x:c>
      <x:c r="N64" s="32" t="str">
        <x:v>(complete kitchen COGS + channel packaging) / S04 target COGS ratio; commission and tax excluded because unconfirmed</x:v>
      </x:c>
      <x:c r="O64" s="32" t="str">
        <x:v>S04 inputs + docs/03-methodology/COGS.md</x:v>
      </x:c>
      <x:c r="P64" s="32" t="str">
        <x:v>ING-060;ING-061;VSF-012</x:v>
      </x:c>
    </x:row>
    <x:row r="65">
      <x:c r="A65" s="32" t="str">
        <x:v>VKM-015</x:v>
      </x:c>
      <x:c r="B65" s="32" t="str">
        <x:v>Оливки и маслины</x:v>
      </x:c>
      <x:c r="C65" s="32" t="str">
        <x:v>Бизнес-ланч</x:v>
      </x:c>
      <x:c r="D65" s="40" t="n">
        <x:v>0.4</x:v>
      </x:c>
      <x:c r="E65" s="37" t="str">
        <x:f>IFERROR(INDEX('04_КАЛЬКУЛЯЦИИ'!$N$6:$N$33,MATCH(A65,'04_КАЛЬКУЛЯЦИИ'!$B$6:$B$33,0)),"")</x:f>
      </x:c>
      <x:c r="F65" s="36"/>
      <x:c r="G65" s="36"/>
      <x:c r="H65" s="36"/>
      <x:c r="I65" s="37" t="str">
        <x:f>IF(OR(E65="",F65="",D65=""),"",(E65+F65)/D65)</x:f>
      </x:c>
      <x:c r="J65" s="37" t="str">
        <x:f>IF(OR(E65="",F65="",I65=""),"",(E65+F65)/I65)</x:f>
      </x:c>
      <x:c r="K65" s="37" t="str">
        <x:f>IF(OR(I65="",E65="",F65=""),"",I65-E65-F65)</x:f>
      </x:c>
      <x:c r="L65" s="37" t="str">
        <x:f>IF(OR(K65="",G65="",H65=""),"",K65-I65*G65-I65*H65)</x:f>
      </x:c>
      <x:c r="M65" s="32" t="str">
        <x:v>BLOCKED_PENDING_VALIDATION</x:v>
      </x:c>
      <x:c r="N65" s="32" t="str">
        <x:v>(complete kitchen COGS + channel packaging) / S04 target COGS ratio; commission and tax excluded because unconfirmed</x:v>
      </x:c>
      <x:c r="O65" s="32" t="str">
        <x:v>S04 inputs + docs/03-methodology/COGS.md</x:v>
      </x:c>
      <x:c r="P65" s="32" t="str">
        <x:v>ING-060;ING-061;VSF-012</x:v>
      </x:c>
    </x:row>
    <x:row r="66">
      <x:c r="A66" s="32" t="str">
        <x:v>VKM-015</x:v>
      </x:c>
      <x:c r="B66" s="32" t="str">
        <x:v>Оливки и маслины</x:v>
      </x:c>
      <x:c r="C66" s="32" t="str">
        <x:v>Гостиничные ужины</x:v>
      </x:c>
      <x:c r="D66" s="40" t="n">
        <x:v>0.3</x:v>
      </x:c>
      <x:c r="E66" s="37" t="str">
        <x:f>IFERROR(INDEX('04_КАЛЬКУЛЯЦИИ'!$N$6:$N$33,MATCH(A66,'04_КАЛЬКУЛЯЦИИ'!$B$6:$B$33,0)),"")</x:f>
      </x:c>
      <x:c r="F66" s="36"/>
      <x:c r="G66" s="36"/>
      <x:c r="H66" s="36"/>
      <x:c r="I66" s="37" t="str">
        <x:f>IF(OR(E66="",F66="",D66=""),"",(E66+F66)/D66)</x:f>
      </x:c>
      <x:c r="J66" s="37" t="str">
        <x:f>IF(OR(E66="",F66="",I66=""),"",(E66+F66)/I66)</x:f>
      </x:c>
      <x:c r="K66" s="37" t="str">
        <x:f>IF(OR(I66="",E66="",F66=""),"",I66-E66-F66)</x:f>
      </x:c>
      <x:c r="L66" s="37" t="str">
        <x:f>IF(OR(K66="",G66="",H66=""),"",K66-I66*G66-I66*H66)</x:f>
      </x:c>
      <x:c r="M66" s="32" t="str">
        <x:v>BLOCKED_PENDING_VALIDATION</x:v>
      </x:c>
      <x:c r="N66" s="32" t="str">
        <x:v>(complete kitchen COGS + channel packaging) / S04 target COGS ratio; commission and tax excluded because unconfirmed</x:v>
      </x:c>
      <x:c r="O66" s="32" t="str">
        <x:v>S04 inputs + docs/03-methodology/COGS.md</x:v>
      </x:c>
      <x:c r="P66" s="32" t="str">
        <x:v>ING-060;ING-061;VSF-012</x:v>
      </x:c>
    </x:row>
    <x:row r="67">
      <x:c r="A67" s="32" t="str">
        <x:v>VKM-016</x:v>
      </x:c>
      <x:c r="B67" s="32" t="str">
        <x:v>Ассорти фирменных солений</x:v>
      </x:c>
      <x:c r="C67" s="32" t="str">
        <x:v>À la carte</x:v>
      </x:c>
      <x:c r="D67" s="40" t="n">
        <x:v>0.3</x:v>
      </x:c>
      <x:c r="E67" s="37" t="str">
        <x:f>IFERROR(INDEX('04_КАЛЬКУЛЯЦИИ'!$N$6:$N$33,MATCH(A67,'04_КАЛЬКУЛЯЦИИ'!$B$6:$B$33,0)),"")</x:f>
      </x:c>
      <x:c r="F67" s="36"/>
      <x:c r="G67" s="36"/>
      <x:c r="H67" s="36"/>
      <x:c r="I67" s="37" t="str">
        <x:f>IF(OR(E67="",F67="",D67=""),"",(E67+F67)/D67)</x:f>
      </x:c>
      <x:c r="J67" s="37" t="str">
        <x:f>IF(OR(E67="",F67="",I67=""),"",(E67+F67)/I67)</x:f>
      </x:c>
      <x:c r="K67" s="37" t="str">
        <x:f>IF(OR(I67="",E67="",F67=""),"",I67-E67-F67)</x:f>
      </x:c>
      <x:c r="L67" s="37" t="str">
        <x:f>IF(OR(K67="",G67="",H67=""),"",K67-I67*G67-I67*H67)</x:f>
      </x:c>
      <x:c r="M67" s="32" t="str">
        <x:v>BLOCKED_PENDING_VALIDATION</x:v>
      </x:c>
      <x:c r="N67" s="32" t="str">
        <x:v>(complete kitchen COGS + channel packaging) / S04 target COGS ratio; commission and tax excluded because unconfirmed</x:v>
      </x:c>
      <x:c r="O67" s="32" t="str">
        <x:v>S04 inputs + docs/03-methodology/COGS.md</x:v>
      </x:c>
      <x:c r="P67" s="32" t="str">
        <x:v>VSF-014</x:v>
      </x:c>
    </x:row>
    <x:row r="68">
      <x:c r="A68" s="32" t="str">
        <x:v>VKM-016</x:v>
      </x:c>
      <x:c r="B68" s="32" t="str">
        <x:v>Ассорти фирменных солений</x:v>
      </x:c>
      <x:c r="C68" s="32" t="str">
        <x:v>Бизнес-ланч</x:v>
      </x:c>
      <x:c r="D68" s="40" t="n">
        <x:v>0.4</x:v>
      </x:c>
      <x:c r="E68" s="37" t="str">
        <x:f>IFERROR(INDEX('04_КАЛЬКУЛЯЦИИ'!$N$6:$N$33,MATCH(A68,'04_КАЛЬКУЛЯЦИИ'!$B$6:$B$33,0)),"")</x:f>
      </x:c>
      <x:c r="F68" s="36"/>
      <x:c r="G68" s="36"/>
      <x:c r="H68" s="36"/>
      <x:c r="I68" s="37" t="str">
        <x:f>IF(OR(E68="",F68="",D68=""),"",(E68+F68)/D68)</x:f>
      </x:c>
      <x:c r="J68" s="37" t="str">
        <x:f>IF(OR(E68="",F68="",I68=""),"",(E68+F68)/I68)</x:f>
      </x:c>
      <x:c r="K68" s="37" t="str">
        <x:f>IF(OR(I68="",E68="",F68=""),"",I68-E68-F68)</x:f>
      </x:c>
      <x:c r="L68" s="37" t="str">
        <x:f>IF(OR(K68="",G68="",H68=""),"",K68-I68*G68-I68*H68)</x:f>
      </x:c>
      <x:c r="M68" s="32" t="str">
        <x:v>BLOCKED_PENDING_VALIDATION</x:v>
      </x:c>
      <x:c r="N68" s="32" t="str">
        <x:v>(complete kitchen COGS + channel packaging) / S04 target COGS ratio; commission and tax excluded because unconfirmed</x:v>
      </x:c>
      <x:c r="O68" s="32" t="str">
        <x:v>S04 inputs + docs/03-methodology/COGS.md</x:v>
      </x:c>
      <x:c r="P68" s="32" t="str">
        <x:v>VSF-014</x:v>
      </x:c>
    </x:row>
    <x:row r="69">
      <x:c r="A69" s="32" t="str">
        <x:v>VKM-016</x:v>
      </x:c>
      <x:c r="B69" s="32" t="str">
        <x:v>Ассорти фирменных солений</x:v>
      </x:c>
      <x:c r="C69" s="32" t="str">
        <x:v>Гостиничные ужины</x:v>
      </x:c>
      <x:c r="D69" s="40" t="n">
        <x:v>0.3</x:v>
      </x:c>
      <x:c r="E69" s="37" t="str">
        <x:f>IFERROR(INDEX('04_КАЛЬКУЛЯЦИИ'!$N$6:$N$33,MATCH(A69,'04_КАЛЬКУЛЯЦИИ'!$B$6:$B$33,0)),"")</x:f>
      </x:c>
      <x:c r="F69" s="36"/>
      <x:c r="G69" s="36"/>
      <x:c r="H69" s="36"/>
      <x:c r="I69" s="37" t="str">
        <x:f>IF(OR(E69="",F69="",D69=""),"",(E69+F69)/D69)</x:f>
      </x:c>
      <x:c r="J69" s="37" t="str">
        <x:f>IF(OR(E69="",F69="",I69=""),"",(E69+F69)/I69)</x:f>
      </x:c>
      <x:c r="K69" s="37" t="str">
        <x:f>IF(OR(I69="",E69="",F69=""),"",I69-E69-F69)</x:f>
      </x:c>
      <x:c r="L69" s="37" t="str">
        <x:f>IF(OR(K69="",G69="",H69=""),"",K69-I69*G69-I69*H69)</x:f>
      </x:c>
      <x:c r="M69" s="32" t="str">
        <x:v>BLOCKED_PENDING_VALIDATION</x:v>
      </x:c>
      <x:c r="N69" s="32" t="str">
        <x:v>(complete kitchen COGS + channel packaging) / S04 target COGS ratio; commission and tax excluded because unconfirmed</x:v>
      </x:c>
      <x:c r="O69" s="32" t="str">
        <x:v>S04 inputs + docs/03-methodology/COGS.md</x:v>
      </x:c>
      <x:c r="P69" s="32" t="str">
        <x:v>VSF-014</x:v>
      </x:c>
    </x:row>
    <x:row r="70">
      <x:c r="A70" s="32" t="str">
        <x:v>VKM-017</x:v>
      </x:c>
      <x:c r="B70" s="32" t="str">
        <x:v>Ростбиф с луком и гренкой</x:v>
      </x:c>
      <x:c r="C70" s="32" t="str">
        <x:v>À la carte</x:v>
      </x:c>
      <x:c r="D70" s="40" t="n">
        <x:v>0.3</x:v>
      </x:c>
      <x:c r="E70" s="37" t="str">
        <x:f>IFERROR(INDEX('04_КАЛЬКУЛЯЦИИ'!$N$6:$N$33,MATCH(A70,'04_КАЛЬКУЛЯЦИИ'!$B$6:$B$33,0)),"")</x:f>
      </x:c>
      <x:c r="F70" s="36"/>
      <x:c r="G70" s="36"/>
      <x:c r="H70" s="36"/>
      <x:c r="I70" s="37" t="str">
        <x:f>IF(OR(E70="",F70="",D70=""),"",(E70+F70)/D70)</x:f>
      </x:c>
      <x:c r="J70" s="37" t="str">
        <x:f>IF(OR(E70="",F70="",I70=""),"",(E70+F70)/I70)</x:f>
      </x:c>
      <x:c r="K70" s="37" t="str">
        <x:f>IF(OR(I70="",E70="",F70=""),"",I70-E70-F70)</x:f>
      </x:c>
      <x:c r="L70" s="37" t="str">
        <x:f>IF(OR(K70="",G70="",H70=""),"",K70-I70*G70-I70*H70)</x:f>
      </x:c>
      <x:c r="M70" s="32" t="str">
        <x:v>BLOCKED_PENDING_VALIDATION</x:v>
      </x:c>
      <x:c r="N70" s="32" t="str">
        <x:v>(complete kitchen COGS + channel packaging) / S04 target COGS ratio; commission and tax excluded because unconfirmed</x:v>
      </x:c>
      <x:c r="O70" s="32" t="str">
        <x:v>S04 inputs + docs/03-methodology/COGS.md</x:v>
      </x:c>
      <x:c r="P70" s="32" t="str">
        <x:v>ING-046;ING-059;ING-066;VSF-015;VSF-016</x:v>
      </x:c>
    </x:row>
    <x:row r="71">
      <x:c r="A71" s="32" t="str">
        <x:v>VKM-017</x:v>
      </x:c>
      <x:c r="B71" s="32" t="str">
        <x:v>Ростбиф с луком и гренкой</x:v>
      </x:c>
      <x:c r="C71" s="32" t="str">
        <x:v>Бизнес-ланч</x:v>
      </x:c>
      <x:c r="D71" s="40" t="n">
        <x:v>0.4</x:v>
      </x:c>
      <x:c r="E71" s="37" t="str">
        <x:f>IFERROR(INDEX('04_КАЛЬКУЛЯЦИИ'!$N$6:$N$33,MATCH(A71,'04_КАЛЬКУЛЯЦИИ'!$B$6:$B$33,0)),"")</x:f>
      </x:c>
      <x:c r="F71" s="36"/>
      <x:c r="G71" s="36"/>
      <x:c r="H71" s="36"/>
      <x:c r="I71" s="37" t="str">
        <x:f>IF(OR(E71="",F71="",D71=""),"",(E71+F71)/D71)</x:f>
      </x:c>
      <x:c r="J71" s="37" t="str">
        <x:f>IF(OR(E71="",F71="",I71=""),"",(E71+F71)/I71)</x:f>
      </x:c>
      <x:c r="K71" s="37" t="str">
        <x:f>IF(OR(I71="",E71="",F71=""),"",I71-E71-F71)</x:f>
      </x:c>
      <x:c r="L71" s="37" t="str">
        <x:f>IF(OR(K71="",G71="",H71=""),"",K71-I71*G71-I71*H71)</x:f>
      </x:c>
      <x:c r="M71" s="32" t="str">
        <x:v>BLOCKED_PENDING_VALIDATION</x:v>
      </x:c>
      <x:c r="N71" s="32" t="str">
        <x:v>(complete kitchen COGS + channel packaging) / S04 target COGS ratio; commission and tax excluded because unconfirmed</x:v>
      </x:c>
      <x:c r="O71" s="32" t="str">
        <x:v>S04 inputs + docs/03-methodology/COGS.md</x:v>
      </x:c>
      <x:c r="P71" s="32" t="str">
        <x:v>ING-046;ING-059;ING-066;VSF-015;VSF-016</x:v>
      </x:c>
    </x:row>
    <x:row r="72">
      <x:c r="A72" s="32" t="str">
        <x:v>VKM-017</x:v>
      </x:c>
      <x:c r="B72" s="32" t="str">
        <x:v>Ростбиф с луком и гренкой</x:v>
      </x:c>
      <x:c r="C72" s="32" t="str">
        <x:v>Гостиничные ужины</x:v>
      </x:c>
      <x:c r="D72" s="40" t="n">
        <x:v>0.3</x:v>
      </x:c>
      <x:c r="E72" s="37" t="str">
        <x:f>IFERROR(INDEX('04_КАЛЬКУЛЯЦИИ'!$N$6:$N$33,MATCH(A72,'04_КАЛЬКУЛЯЦИИ'!$B$6:$B$33,0)),"")</x:f>
      </x:c>
      <x:c r="F72" s="36"/>
      <x:c r="G72" s="36"/>
      <x:c r="H72" s="36"/>
      <x:c r="I72" s="37" t="str">
        <x:f>IF(OR(E72="",F72="",D72=""),"",(E72+F72)/D72)</x:f>
      </x:c>
      <x:c r="J72" s="37" t="str">
        <x:f>IF(OR(E72="",F72="",I72=""),"",(E72+F72)/I72)</x:f>
      </x:c>
      <x:c r="K72" s="37" t="str">
        <x:f>IF(OR(I72="",E72="",F72=""),"",I72-E72-F72)</x:f>
      </x:c>
      <x:c r="L72" s="37" t="str">
        <x:f>IF(OR(K72="",G72="",H72=""),"",K72-I72*G72-I72*H72)</x:f>
      </x:c>
      <x:c r="M72" s="32" t="str">
        <x:v>BLOCKED_PENDING_VALIDATION</x:v>
      </x:c>
      <x:c r="N72" s="32" t="str">
        <x:v>(complete kitchen COGS + channel packaging) / S04 target COGS ratio; commission and tax excluded because unconfirmed</x:v>
      </x:c>
      <x:c r="O72" s="32" t="str">
        <x:v>S04 inputs + docs/03-methodology/COGS.md</x:v>
      </x:c>
      <x:c r="P72" s="32" t="str">
        <x:v>ING-046;ING-059;ING-066;VSF-015;VSF-016</x:v>
      </x:c>
    </x:row>
    <x:row r="73">
      <x:c r="A73" s="32" t="str">
        <x:v>VKM-018</x:v>
      </x:c>
      <x:c r="B73" s="32" t="str">
        <x:v>Традиционный красный борщ</x:v>
      </x:c>
      <x:c r="C73" s="32" t="str">
        <x:v>À la carte</x:v>
      </x:c>
      <x:c r="D73" s="40" t="n">
        <x:v>0.3</x:v>
      </x:c>
      <x:c r="E73" s="37" t="str">
        <x:f>IFERROR(INDEX('04_КАЛЬКУЛЯЦИИ'!$N$6:$N$33,MATCH(A73,'04_КАЛЬКУЛЯЦИИ'!$B$6:$B$33,0)),"")</x:f>
      </x:c>
      <x:c r="F73" s="36"/>
      <x:c r="G73" s="36"/>
      <x:c r="H73" s="36"/>
      <x:c r="I73" s="37" t="str">
        <x:f>IF(OR(E73="",F73="",D73=""),"",(E73+F73)/D73)</x:f>
      </x:c>
      <x:c r="J73" s="37" t="str">
        <x:f>IF(OR(E73="",F73="",I73=""),"",(E73+F73)/I73)</x:f>
      </x:c>
      <x:c r="K73" s="37" t="str">
        <x:f>IF(OR(I73="",E73="",F73=""),"",I73-E73-F73)</x:f>
      </x:c>
      <x:c r="L73" s="37" t="str">
        <x:f>IF(OR(K73="",G73="",H73=""),"",K73-I73*G73-I73*H73)</x:f>
      </x:c>
      <x:c r="M73" s="32" t="str">
        <x:v>BLOCKED_PENDING_VALIDATION</x:v>
      </x:c>
      <x:c r="N73" s="32" t="str">
        <x:v>(complete kitchen COGS + channel packaging) / S04 target COGS ratio; commission and tax excluded because unconfirmed</x:v>
      </x:c>
      <x:c r="O73" s="32" t="str">
        <x:v>S04 inputs + docs/03-methodology/COGS.md</x:v>
      </x:c>
      <x:c r="P73" s="32" t="str">
        <x:v>ING-059;ING-064;ING-072;ING-073;ING-075;VSF-017;VSF-018</x:v>
      </x:c>
    </x:row>
    <x:row r="74">
      <x:c r="A74" s="32" t="str">
        <x:v>VKM-018</x:v>
      </x:c>
      <x:c r="B74" s="32" t="str">
        <x:v>Традиционный красный борщ</x:v>
      </x:c>
      <x:c r="C74" s="32" t="str">
        <x:v>Бизнес-ланч</x:v>
      </x:c>
      <x:c r="D74" s="40" t="n">
        <x:v>0.4</x:v>
      </x:c>
      <x:c r="E74" s="37" t="str">
        <x:f>IFERROR(INDEX('04_КАЛЬКУЛЯЦИИ'!$N$6:$N$33,MATCH(A74,'04_КАЛЬКУЛЯЦИИ'!$B$6:$B$33,0)),"")</x:f>
      </x:c>
      <x:c r="F74" s="36"/>
      <x:c r="G74" s="36"/>
      <x:c r="H74" s="36"/>
      <x:c r="I74" s="37" t="str">
        <x:f>IF(OR(E74="",F74="",D74=""),"",(E74+F74)/D74)</x:f>
      </x:c>
      <x:c r="J74" s="37" t="str">
        <x:f>IF(OR(E74="",F74="",I74=""),"",(E74+F74)/I74)</x:f>
      </x:c>
      <x:c r="K74" s="37" t="str">
        <x:f>IF(OR(I74="",E74="",F74=""),"",I74-E74-F74)</x:f>
      </x:c>
      <x:c r="L74" s="37" t="str">
        <x:f>IF(OR(K74="",G74="",H74=""),"",K74-I74*G74-I74*H74)</x:f>
      </x:c>
      <x:c r="M74" s="32" t="str">
        <x:v>BLOCKED_PENDING_VALIDATION</x:v>
      </x:c>
      <x:c r="N74" s="32" t="str">
        <x:v>(complete kitchen COGS + channel packaging) / S04 target COGS ratio; commission and tax excluded because unconfirmed</x:v>
      </x:c>
      <x:c r="O74" s="32" t="str">
        <x:v>S04 inputs + docs/03-methodology/COGS.md</x:v>
      </x:c>
      <x:c r="P74" s="32" t="str">
        <x:v>ING-059;ING-064;ING-072;ING-073;ING-075;VSF-017;VSF-018</x:v>
      </x:c>
    </x:row>
    <x:row r="75">
      <x:c r="A75" s="32" t="str">
        <x:v>VKM-019</x:v>
      </x:c>
      <x:c r="B75" s="32" t="str">
        <x:v>Мурманская треска со сливочно-горчичным соусом</x:v>
      </x:c>
      <x:c r="C75" s="32" t="str">
        <x:v>À la carte</x:v>
      </x:c>
      <x:c r="D75" s="40" t="n">
        <x:v>0.3</x:v>
      </x:c>
      <x:c r="E75" s="37" t="str">
        <x:f>IFERROR(INDEX('04_КАЛЬКУЛЯЦИИ'!$N$6:$N$33,MATCH(A75,'04_КАЛЬКУЛЯЦИИ'!$B$6:$B$33,0)),"")</x:f>
      </x:c>
      <x:c r="F75" s="36"/>
      <x:c r="G75" s="36"/>
      <x:c r="H75" s="36"/>
      <x:c r="I75" s="37" t="str">
        <x:f>IF(OR(E75="",F75="",D75=""),"",(E75+F75)/D75)</x:f>
      </x:c>
      <x:c r="J75" s="37" t="str">
        <x:f>IF(OR(E75="",F75="",I75=""),"",(E75+F75)/I75)</x:f>
      </x:c>
      <x:c r="K75" s="37" t="str">
        <x:f>IF(OR(I75="",E75="",F75=""),"",I75-E75-F75)</x:f>
      </x:c>
      <x:c r="L75" s="37" t="str">
        <x:f>IF(OR(K75="",G75="",H75=""),"",K75-I75*G75-I75*H75)</x:f>
      </x:c>
      <x:c r="M75" s="32" t="str">
        <x:v>BLOCKED_PENDING_VALIDATION</x:v>
      </x:c>
      <x:c r="N75" s="32" t="str">
        <x:v>(complete kitchen COGS + channel packaging) / S04 target COGS ratio; commission and tax excluded because unconfirmed</x:v>
      </x:c>
      <x:c r="O75" s="32" t="str">
        <x:v>S04 inputs + docs/03-methodology/COGS.md</x:v>
      </x:c>
      <x:c r="P75" s="32" t="str">
        <x:v>ING-024;ING-059;ING-079;VSF-019</x:v>
      </x:c>
    </x:row>
    <x:row r="76">
      <x:c r="A76" s="32" t="str">
        <x:v>VKM-019</x:v>
      </x:c>
      <x:c r="B76" s="32" t="str">
        <x:v>Мурманская треска со сливочно-горчичным соусом</x:v>
      </x:c>
      <x:c r="C76" s="32" t="str">
        <x:v>Бизнес-ланч</x:v>
      </x:c>
      <x:c r="D76" s="40" t="n">
        <x:v>0.4</x:v>
      </x:c>
      <x:c r="E76" s="37" t="str">
        <x:f>IFERROR(INDEX('04_КАЛЬКУЛЯЦИИ'!$N$6:$N$33,MATCH(A76,'04_КАЛЬКУЛЯЦИИ'!$B$6:$B$33,0)),"")</x:f>
      </x:c>
      <x:c r="F76" s="36"/>
      <x:c r="G76" s="36"/>
      <x:c r="H76" s="36"/>
      <x:c r="I76" s="37" t="str">
        <x:f>IF(OR(E76="",F76="",D76=""),"",(E76+F76)/D76)</x:f>
      </x:c>
      <x:c r="J76" s="37" t="str">
        <x:f>IF(OR(E76="",F76="",I76=""),"",(E76+F76)/I76)</x:f>
      </x:c>
      <x:c r="K76" s="37" t="str">
        <x:f>IF(OR(I76="",E76="",F76=""),"",I76-E76-F76)</x:f>
      </x:c>
      <x:c r="L76" s="37" t="str">
        <x:f>IF(OR(K76="",G76="",H76=""),"",K76-I76*G76-I76*H76)</x:f>
      </x:c>
      <x:c r="M76" s="32" t="str">
        <x:v>BLOCKED_PENDING_VALIDATION</x:v>
      </x:c>
      <x:c r="N76" s="32" t="str">
        <x:v>(complete kitchen COGS + channel packaging) / S04 target COGS ratio; commission and tax excluded because unconfirmed</x:v>
      </x:c>
      <x:c r="O76" s="32" t="str">
        <x:v>S04 inputs + docs/03-methodology/COGS.md</x:v>
      </x:c>
      <x:c r="P76" s="32" t="str">
        <x:v>ING-024;ING-059;ING-079;VSF-019</x:v>
      </x:c>
    </x:row>
    <x:row r="77">
      <x:c r="A77" s="32" t="str">
        <x:v>VKM-019</x:v>
      </x:c>
      <x:c r="B77" s="32" t="str">
        <x:v>Мурманская треска со сливочно-горчичным соусом</x:v>
      </x:c>
      <x:c r="C77" s="32" t="str">
        <x:v>Гостиничные ужины</x:v>
      </x:c>
      <x:c r="D77" s="40" t="n">
        <x:v>0.3</x:v>
      </x:c>
      <x:c r="E77" s="37" t="str">
        <x:f>IFERROR(INDEX('04_КАЛЬКУЛЯЦИИ'!$N$6:$N$33,MATCH(A77,'04_КАЛЬКУЛЯЦИИ'!$B$6:$B$33,0)),"")</x:f>
      </x:c>
      <x:c r="F77" s="36"/>
      <x:c r="G77" s="36"/>
      <x:c r="H77" s="36"/>
      <x:c r="I77" s="37" t="str">
        <x:f>IF(OR(E77="",F77="",D77=""),"",(E77+F77)/D77)</x:f>
      </x:c>
      <x:c r="J77" s="37" t="str">
        <x:f>IF(OR(E77="",F77="",I77=""),"",(E77+F77)/I77)</x:f>
      </x:c>
      <x:c r="K77" s="37" t="str">
        <x:f>IF(OR(I77="",E77="",F77=""),"",I77-E77-F77)</x:f>
      </x:c>
      <x:c r="L77" s="37" t="str">
        <x:f>IF(OR(K77="",G77="",H77=""),"",K77-I77*G77-I77*H77)</x:f>
      </x:c>
      <x:c r="M77" s="32" t="str">
        <x:v>BLOCKED_PENDING_VALIDATION</x:v>
      </x:c>
      <x:c r="N77" s="32" t="str">
        <x:v>(complete kitchen COGS + channel packaging) / S04 target COGS ratio; commission and tax excluded because unconfirmed</x:v>
      </x:c>
      <x:c r="O77" s="32" t="str">
        <x:v>S04 inputs + docs/03-methodology/COGS.md</x:v>
      </x:c>
      <x:c r="P77" s="32" t="str">
        <x:v>ING-024;ING-059;ING-079;VSF-019</x:v>
      </x:c>
    </x:row>
    <x:row r="78">
      <x:c r="A78" s="32" t="str">
        <x:v>VKM-019</x:v>
      </x:c>
      <x:c r="B78" s="32" t="str">
        <x:v>Мурманская треска со сливочно-горчичным соусом</x:v>
      </x:c>
      <x:c r="C78" s="32" t="str">
        <x:v>Доставка</x:v>
      </x:c>
      <x:c r="D78" s="40" t="n">
        <x:v>0.3</x:v>
      </x:c>
      <x:c r="E78" s="37" t="str">
        <x:f>IFERROR(INDEX('04_КАЛЬКУЛЯЦИИ'!$N$6:$N$33,MATCH(A78,'04_КАЛЬКУЛЯЦИИ'!$B$6:$B$33,0)),"")</x:f>
      </x:c>
      <x:c r="F78" s="36"/>
      <x:c r="G78" s="36"/>
      <x:c r="H78" s="36"/>
      <x:c r="I78" s="37" t="str">
        <x:f>IF(OR(E78="",F78="",D78=""),"",(E78+F78)/D78)</x:f>
      </x:c>
      <x:c r="J78" s="37" t="str">
        <x:f>IF(OR(E78="",F78="",I78=""),"",(E78+F78)/I78)</x:f>
      </x:c>
      <x:c r="K78" s="37" t="str">
        <x:f>IF(OR(I78="",E78="",F78=""),"",I78-E78-F78)</x:f>
      </x:c>
      <x:c r="L78" s="37" t="str">
        <x:f>IF(OR(K78="",G78="",H78=""),"",K78-I78*G78-I78*H78)</x:f>
      </x:c>
      <x:c r="M78" s="32" t="str">
        <x:v>BLOCKED_PENDING_VALIDATION</x:v>
      </x:c>
      <x:c r="N78" s="32" t="str">
        <x:v>(complete kitchen COGS + channel packaging) / S04 target COGS ratio; commission and tax excluded because unconfirmed</x:v>
      </x:c>
      <x:c r="O78" s="32" t="str">
        <x:v>S04 inputs + docs/03-methodology/COGS.md</x:v>
      </x:c>
      <x:c r="P78" s="32" t="str">
        <x:v>ING-024;ING-059;ING-079;VSF-019</x:v>
      </x:c>
    </x:row>
    <x:row r="79">
      <x:c r="A79" s="32" t="str">
        <x:v>VKM-020</x:v>
      </x:c>
      <x:c r="B79" s="32" t="str">
        <x:v>Креветки по-тайски</x:v>
      </x:c>
      <x:c r="C79" s="32" t="str">
        <x:v>À la carte</x:v>
      </x:c>
      <x:c r="D79" s="40" t="n">
        <x:v>0.3</x:v>
      </x:c>
      <x:c r="E79" s="37" t="str">
        <x:f>IFERROR(INDEX('04_КАЛЬКУЛЯЦИИ'!$N$6:$N$33,MATCH(A79,'04_КАЛЬКУЛЯЦИИ'!$B$6:$B$33,0)),"")</x:f>
      </x:c>
      <x:c r="F79" s="36"/>
      <x:c r="G79" s="36"/>
      <x:c r="H79" s="36"/>
      <x:c r="I79" s="37" t="str">
        <x:f>IF(OR(E79="",F79="",D79=""),"",(E79+F79)/D79)</x:f>
      </x:c>
      <x:c r="J79" s="37" t="str">
        <x:f>IF(OR(E79="",F79="",I79=""),"",(E79+F79)/I79)</x:f>
      </x:c>
      <x:c r="K79" s="37" t="str">
        <x:f>IF(OR(I79="",E79="",F79=""),"",I79-E79-F79)</x:f>
      </x:c>
      <x:c r="L79" s="37" t="str">
        <x:f>IF(OR(K79="",G79="",H79=""),"",K79-I79*G79-I79*H79)</x:f>
      </x:c>
      <x:c r="M79" s="32" t="str">
        <x:v>BLOCKED_PENDING_VALIDATION</x:v>
      </x:c>
      <x:c r="N79" s="32" t="str">
        <x:v>(complete kitchen COGS + channel packaging) / S04 target COGS ratio; commission and tax excluded because unconfirmed</x:v>
      </x:c>
      <x:c r="O79" s="32" t="str">
        <x:v>S04 inputs + docs/03-methodology/COGS.md</x:v>
      </x:c>
      <x:c r="P79" s="32" t="str">
        <x:v>ING-016;ING-043;ING-084;ING-085;ING-086;VSF-020</x:v>
      </x:c>
    </x:row>
    <x:row r="80">
      <x:c r="A80" s="32" t="str">
        <x:v>VKM-020</x:v>
      </x:c>
      <x:c r="B80" s="32" t="str">
        <x:v>Креветки по-тайски</x:v>
      </x:c>
      <x:c r="C80" s="32" t="str">
        <x:v>Бизнес-ланч</x:v>
      </x:c>
      <x:c r="D80" s="40" t="n">
        <x:v>0.4</x:v>
      </x:c>
      <x:c r="E80" s="37" t="str">
        <x:f>IFERROR(INDEX('04_КАЛЬКУЛЯЦИИ'!$N$6:$N$33,MATCH(A80,'04_КАЛЬКУЛЯЦИИ'!$B$6:$B$33,0)),"")</x:f>
      </x:c>
      <x:c r="F80" s="36"/>
      <x:c r="G80" s="36"/>
      <x:c r="H80" s="36"/>
      <x:c r="I80" s="37" t="str">
        <x:f>IF(OR(E80="",F80="",D80=""),"",(E80+F80)/D80)</x:f>
      </x:c>
      <x:c r="J80" s="37" t="str">
        <x:f>IF(OR(E80="",F80="",I80=""),"",(E80+F80)/I80)</x:f>
      </x:c>
      <x:c r="K80" s="37" t="str">
        <x:f>IF(OR(I80="",E80="",F80=""),"",I80-E80-F80)</x:f>
      </x:c>
      <x:c r="L80" s="37" t="str">
        <x:f>IF(OR(K80="",G80="",H80=""),"",K80-I80*G80-I80*H80)</x:f>
      </x:c>
      <x:c r="M80" s="32" t="str">
        <x:v>BLOCKED_PENDING_VALIDATION</x:v>
      </x:c>
      <x:c r="N80" s="32" t="str">
        <x:v>(complete kitchen COGS + channel packaging) / S04 target COGS ratio; commission and tax excluded because unconfirmed</x:v>
      </x:c>
      <x:c r="O80" s="32" t="str">
        <x:v>S04 inputs + docs/03-methodology/COGS.md</x:v>
      </x:c>
      <x:c r="P80" s="32" t="str">
        <x:v>ING-016;ING-043;ING-084;ING-085;ING-086;VSF-020</x:v>
      </x:c>
    </x:row>
    <x:row r="81">
      <x:c r="A81" s="32" t="str">
        <x:v>VKM-020</x:v>
      </x:c>
      <x:c r="B81" s="32" t="str">
        <x:v>Креветки по-тайски</x:v>
      </x:c>
      <x:c r="C81" s="32" t="str">
        <x:v>Гостиничные ужины</x:v>
      </x:c>
      <x:c r="D81" s="40" t="n">
        <x:v>0.3</x:v>
      </x:c>
      <x:c r="E81" s="37" t="str">
        <x:f>IFERROR(INDEX('04_КАЛЬКУЛЯЦИИ'!$N$6:$N$33,MATCH(A81,'04_КАЛЬКУЛЯЦИИ'!$B$6:$B$33,0)),"")</x:f>
      </x:c>
      <x:c r="F81" s="36"/>
      <x:c r="G81" s="36"/>
      <x:c r="H81" s="36"/>
      <x:c r="I81" s="37" t="str">
        <x:f>IF(OR(E81="",F81="",D81=""),"",(E81+F81)/D81)</x:f>
      </x:c>
      <x:c r="J81" s="37" t="str">
        <x:f>IF(OR(E81="",F81="",I81=""),"",(E81+F81)/I81)</x:f>
      </x:c>
      <x:c r="K81" s="37" t="str">
        <x:f>IF(OR(I81="",E81="",F81=""),"",I81-E81-F81)</x:f>
      </x:c>
      <x:c r="L81" s="37" t="str">
        <x:f>IF(OR(K81="",G81="",H81=""),"",K81-I81*G81-I81*H81)</x:f>
      </x:c>
      <x:c r="M81" s="32" t="str">
        <x:v>BLOCKED_PENDING_VALIDATION</x:v>
      </x:c>
      <x:c r="N81" s="32" t="str">
        <x:v>(complete kitchen COGS + channel packaging) / S04 target COGS ratio; commission and tax excluded because unconfirmed</x:v>
      </x:c>
      <x:c r="O81" s="32" t="str">
        <x:v>S04 inputs + docs/03-methodology/COGS.md</x:v>
      </x:c>
      <x:c r="P81" s="32" t="str">
        <x:v>ING-016;ING-043;ING-084;ING-085;ING-086;VSF-020</x:v>
      </x:c>
    </x:row>
    <x:row r="82">
      <x:c r="A82" s="32" t="str">
        <x:v>VKM-020</x:v>
      </x:c>
      <x:c r="B82" s="32" t="str">
        <x:v>Креветки по-тайски</x:v>
      </x:c>
      <x:c r="C82" s="32" t="str">
        <x:v>Доставка</x:v>
      </x:c>
      <x:c r="D82" s="40" t="n">
        <x:v>0.3</x:v>
      </x:c>
      <x:c r="E82" s="37" t="str">
        <x:f>IFERROR(INDEX('04_КАЛЬКУЛЯЦИИ'!$N$6:$N$33,MATCH(A82,'04_КАЛЬКУЛЯЦИИ'!$B$6:$B$33,0)),"")</x:f>
      </x:c>
      <x:c r="F82" s="36"/>
      <x:c r="G82" s="36"/>
      <x:c r="H82" s="36"/>
      <x:c r="I82" s="37" t="str">
        <x:f>IF(OR(E82="",F82="",D82=""),"",(E82+F82)/D82)</x:f>
      </x:c>
      <x:c r="J82" s="37" t="str">
        <x:f>IF(OR(E82="",F82="",I82=""),"",(E82+F82)/I82)</x:f>
      </x:c>
      <x:c r="K82" s="37" t="str">
        <x:f>IF(OR(I82="",E82="",F82=""),"",I82-E82-F82)</x:f>
      </x:c>
      <x:c r="L82" s="37" t="str">
        <x:f>IF(OR(K82="",G82="",H82=""),"",K82-I82*G82-I82*H82)</x:f>
      </x:c>
      <x:c r="M82" s="32" t="str">
        <x:v>BLOCKED_PENDING_VALIDATION</x:v>
      </x:c>
      <x:c r="N82" s="32" t="str">
        <x:v>(complete kitchen COGS + channel packaging) / S04 target COGS ratio; commission and tax excluded because unconfirmed</x:v>
      </x:c>
      <x:c r="O82" s="32" t="str">
        <x:v>S04 inputs + docs/03-methodology/COGS.md</x:v>
      </x:c>
      <x:c r="P82" s="32" t="str">
        <x:v>ING-016;ING-043;ING-084;ING-085;ING-086;VSF-020</x:v>
      </x:c>
    </x:row>
    <x:row r="83">
      <x:c r="A83" s="32" t="str">
        <x:v>VKM-021</x:v>
      </x:c>
      <x:c r="B83" s="32" t="str">
        <x:v>Бургер VARSHAVKA</x:v>
      </x:c>
      <x:c r="C83" s="32" t="str">
        <x:v>À la carte</x:v>
      </x:c>
      <x:c r="D83" s="40" t="n">
        <x:v>0.3</x:v>
      </x:c>
      <x:c r="E83" s="37" t="str">
        <x:f>IFERROR(INDEX('04_КАЛЬКУЛЯЦИИ'!$N$6:$N$33,MATCH(A83,'04_КАЛЬКУЛЯЦИИ'!$B$6:$B$33,0)),"")</x:f>
      </x:c>
      <x:c r="F83" s="36"/>
      <x:c r="G83" s="36"/>
      <x:c r="H83" s="36"/>
      <x:c r="I83" s="37" t="str">
        <x:f>IF(OR(E83="",F83="",D83=""),"",(E83+F83)/D83)</x:f>
      </x:c>
      <x:c r="J83" s="37" t="str">
        <x:f>IF(OR(E83="",F83="",I83=""),"",(E83+F83)/I83)</x:f>
      </x:c>
      <x:c r="K83" s="37" t="str">
        <x:f>IF(OR(I83="",E83="",F83=""),"",I83-E83-F83)</x:f>
      </x:c>
      <x:c r="L83" s="37" t="str">
        <x:f>IF(OR(K83="",G83="",H83=""),"",K83-I83*G83-I83*H83)</x:f>
      </x:c>
      <x:c r="M83" s="32" t="str">
        <x:v>BLOCKED_PENDING_VALIDATION</x:v>
      </x:c>
      <x:c r="N83" s="32" t="str">
        <x:v>(complete kitchen COGS + channel packaging) / S04 target COGS ratio; commission and tax excluded because unconfirmed</x:v>
      </x:c>
      <x:c r="O83" s="32" t="str">
        <x:v>S04 inputs + docs/03-methodology/COGS.md</x:v>
      </x:c>
      <x:c r="P83" s="32" t="str">
        <x:v>ING-090;ING-091;ING-092;ING-093;ING-096;VSF-006;VSF-021;VSF-022</x:v>
      </x:c>
    </x:row>
    <x:row r="84">
      <x:c r="A84" s="32" t="str">
        <x:v>VKM-021</x:v>
      </x:c>
      <x:c r="B84" s="32" t="str">
        <x:v>Бургер VARSHAVKA</x:v>
      </x:c>
      <x:c r="C84" s="32" t="str">
        <x:v>Бизнес-ланч</x:v>
      </x:c>
      <x:c r="D84" s="40" t="n">
        <x:v>0.4</x:v>
      </x:c>
      <x:c r="E84" s="37" t="str">
        <x:f>IFERROR(INDEX('04_КАЛЬКУЛЯЦИИ'!$N$6:$N$33,MATCH(A84,'04_КАЛЬКУЛЯЦИИ'!$B$6:$B$33,0)),"")</x:f>
      </x:c>
      <x:c r="F84" s="36"/>
      <x:c r="G84" s="36"/>
      <x:c r="H84" s="36"/>
      <x:c r="I84" s="37" t="str">
        <x:f>IF(OR(E84="",F84="",D84=""),"",(E84+F84)/D84)</x:f>
      </x:c>
      <x:c r="J84" s="37" t="str">
        <x:f>IF(OR(E84="",F84="",I84=""),"",(E84+F84)/I84)</x:f>
      </x:c>
      <x:c r="K84" s="37" t="str">
        <x:f>IF(OR(I84="",E84="",F84=""),"",I84-E84-F84)</x:f>
      </x:c>
      <x:c r="L84" s="37" t="str">
        <x:f>IF(OR(K84="",G84="",H84=""),"",K84-I84*G84-I84*H84)</x:f>
      </x:c>
      <x:c r="M84" s="32" t="str">
        <x:v>BLOCKED_PENDING_VALIDATION</x:v>
      </x:c>
      <x:c r="N84" s="32" t="str">
        <x:v>(complete kitchen COGS + channel packaging) / S04 target COGS ratio; commission and tax excluded because unconfirmed</x:v>
      </x:c>
      <x:c r="O84" s="32" t="str">
        <x:v>S04 inputs + docs/03-methodology/COGS.md</x:v>
      </x:c>
      <x:c r="P84" s="32" t="str">
        <x:v>ING-090;ING-091;ING-092;ING-093;ING-096;VSF-006;VSF-021;VSF-022</x:v>
      </x:c>
    </x:row>
    <x:row r="85">
      <x:c r="A85" s="32" t="str">
        <x:v>VKM-021</x:v>
      </x:c>
      <x:c r="B85" s="32" t="str">
        <x:v>Бургер VARSHAVKA</x:v>
      </x:c>
      <x:c r="C85" s="32" t="str">
        <x:v>Гостиничные ужины</x:v>
      </x:c>
      <x:c r="D85" s="40" t="n">
        <x:v>0.3</x:v>
      </x:c>
      <x:c r="E85" s="37" t="str">
        <x:f>IFERROR(INDEX('04_КАЛЬКУЛЯЦИИ'!$N$6:$N$33,MATCH(A85,'04_КАЛЬКУЛЯЦИИ'!$B$6:$B$33,0)),"")</x:f>
      </x:c>
      <x:c r="F85" s="36"/>
      <x:c r="G85" s="36"/>
      <x:c r="H85" s="36"/>
      <x:c r="I85" s="37" t="str">
        <x:f>IF(OR(E85="",F85="",D85=""),"",(E85+F85)/D85)</x:f>
      </x:c>
      <x:c r="J85" s="37" t="str">
        <x:f>IF(OR(E85="",F85="",I85=""),"",(E85+F85)/I85)</x:f>
      </x:c>
      <x:c r="K85" s="37" t="str">
        <x:f>IF(OR(I85="",E85="",F85=""),"",I85-E85-F85)</x:f>
      </x:c>
      <x:c r="L85" s="37" t="str">
        <x:f>IF(OR(K85="",G85="",H85=""),"",K85-I85*G85-I85*H85)</x:f>
      </x:c>
      <x:c r="M85" s="32" t="str">
        <x:v>BLOCKED_PENDING_VALIDATION</x:v>
      </x:c>
      <x:c r="N85" s="32" t="str">
        <x:v>(complete kitchen COGS + channel packaging) / S04 target COGS ratio; commission and tax excluded because unconfirmed</x:v>
      </x:c>
      <x:c r="O85" s="32" t="str">
        <x:v>S04 inputs + docs/03-methodology/COGS.md</x:v>
      </x:c>
      <x:c r="P85" s="32" t="str">
        <x:v>ING-090;ING-091;ING-092;ING-093;ING-096;VSF-006;VSF-021;VSF-022</x:v>
      </x:c>
    </x:row>
    <x:row r="86">
      <x:c r="A86" s="32" t="str">
        <x:v>VKM-021</x:v>
      </x:c>
      <x:c r="B86" s="32" t="str">
        <x:v>Бургер VARSHAVKA</x:v>
      </x:c>
      <x:c r="C86" s="32" t="str">
        <x:v>Доставка</x:v>
      </x:c>
      <x:c r="D86" s="40" t="n">
        <x:v>0.3</x:v>
      </x:c>
      <x:c r="E86" s="37" t="str">
        <x:f>IFERROR(INDEX('04_КАЛЬКУЛЯЦИИ'!$N$6:$N$33,MATCH(A86,'04_КАЛЬКУЛЯЦИИ'!$B$6:$B$33,0)),"")</x:f>
      </x:c>
      <x:c r="F86" s="36"/>
      <x:c r="G86" s="36"/>
      <x:c r="H86" s="36"/>
      <x:c r="I86" s="37" t="str">
        <x:f>IF(OR(E86="",F86="",D86=""),"",(E86+F86)/D86)</x:f>
      </x:c>
      <x:c r="J86" s="37" t="str">
        <x:f>IF(OR(E86="",F86="",I86=""),"",(E86+F86)/I86)</x:f>
      </x:c>
      <x:c r="K86" s="37" t="str">
        <x:f>IF(OR(I86="",E86="",F86=""),"",I86-E86-F86)</x:f>
      </x:c>
      <x:c r="L86" s="37" t="str">
        <x:f>IF(OR(K86="",G86="",H86=""),"",K86-I86*G86-I86*H86)</x:f>
      </x:c>
      <x:c r="M86" s="32" t="str">
        <x:v>BLOCKED_PENDING_VALIDATION</x:v>
      </x:c>
      <x:c r="N86" s="32" t="str">
        <x:v>(complete kitchen COGS + channel packaging) / S04 target COGS ratio; commission and tax excluded because unconfirmed</x:v>
      </x:c>
      <x:c r="O86" s="32" t="str">
        <x:v>S04 inputs + docs/03-methodology/COGS.md</x:v>
      </x:c>
      <x:c r="P86" s="32" t="str">
        <x:v>ING-090;ING-091;ING-092;ING-093;ING-096;VSF-006;VSF-021;VSF-022</x:v>
      </x:c>
    </x:row>
    <x:row r="87">
      <x:c r="A87" s="32" t="str">
        <x:v>VKM-022</x:v>
      </x:c>
      <x:c r="B87" s="32" t="str">
        <x:v>Миньоны из говяжьей вырезки</x:v>
      </x:c>
      <x:c r="C87" s="32" t="str">
        <x:v>À la carte</x:v>
      </x:c>
      <x:c r="D87" s="40" t="n">
        <x:v>0.3</x:v>
      </x:c>
      <x:c r="E87" s="37" t="str">
        <x:f>IFERROR(INDEX('04_КАЛЬКУЛЯЦИИ'!$N$6:$N$33,MATCH(A87,'04_КАЛЬКУЛЯЦИИ'!$B$6:$B$33,0)),"")</x:f>
      </x:c>
      <x:c r="F87" s="36"/>
      <x:c r="G87" s="36"/>
      <x:c r="H87" s="36"/>
      <x:c r="I87" s="37" t="str">
        <x:f>IF(OR(E87="",F87="",D87=""),"",(E87+F87)/D87)</x:f>
      </x:c>
      <x:c r="J87" s="37" t="str">
        <x:f>IF(OR(E87="",F87="",I87=""),"",(E87+F87)/I87)</x:f>
      </x:c>
      <x:c r="K87" s="37" t="str">
        <x:f>IF(OR(I87="",E87="",F87=""),"",I87-E87-F87)</x:f>
      </x:c>
      <x:c r="L87" s="37" t="str">
        <x:f>IF(OR(K87="",G87="",H87=""),"",K87-I87*G87-I87*H87)</x:f>
      </x:c>
      <x:c r="M87" s="32" t="str">
        <x:v>BLOCKED_PENDING_VALIDATION</x:v>
      </x:c>
      <x:c r="N87" s="32" t="str">
        <x:v>(complete kitchen COGS + channel packaging) / S04 target COGS ratio; commission and tax excluded because unconfirmed</x:v>
      </x:c>
      <x:c r="O87" s="32" t="str">
        <x:v>S04 inputs + docs/03-methodology/COGS.md</x:v>
      </x:c>
      <x:c r="P87" s="32" t="str">
        <x:v>ING-007;ING-024;ING-033;ING-059;ING-063;ING-099;VSF-024</x:v>
      </x:c>
    </x:row>
    <x:row r="88">
      <x:c r="A88" s="32" t="str">
        <x:v>VKM-022</x:v>
      </x:c>
      <x:c r="B88" s="32" t="str">
        <x:v>Миньоны из говяжьей вырезки</x:v>
      </x:c>
      <x:c r="C88" s="32" t="str">
        <x:v>Бизнес-ланч</x:v>
      </x:c>
      <x:c r="D88" s="40" t="n">
        <x:v>0.4</x:v>
      </x:c>
      <x:c r="E88" s="37" t="str">
        <x:f>IFERROR(INDEX('04_КАЛЬКУЛЯЦИИ'!$N$6:$N$33,MATCH(A88,'04_КАЛЬКУЛЯЦИИ'!$B$6:$B$33,0)),"")</x:f>
      </x:c>
      <x:c r="F88" s="36"/>
      <x:c r="G88" s="36"/>
      <x:c r="H88" s="36"/>
      <x:c r="I88" s="37" t="str">
        <x:f>IF(OR(E88="",F88="",D88=""),"",(E88+F88)/D88)</x:f>
      </x:c>
      <x:c r="J88" s="37" t="str">
        <x:f>IF(OR(E88="",F88="",I88=""),"",(E88+F88)/I88)</x:f>
      </x:c>
      <x:c r="K88" s="37" t="str">
        <x:f>IF(OR(I88="",E88="",F88=""),"",I88-E88-F88)</x:f>
      </x:c>
      <x:c r="L88" s="37" t="str">
        <x:f>IF(OR(K88="",G88="",H88=""),"",K88-I88*G88-I88*H88)</x:f>
      </x:c>
      <x:c r="M88" s="32" t="str">
        <x:v>BLOCKED_PENDING_VALIDATION</x:v>
      </x:c>
      <x:c r="N88" s="32" t="str">
        <x:v>(complete kitchen COGS + channel packaging) / S04 target COGS ratio; commission and tax excluded because unconfirmed</x:v>
      </x:c>
      <x:c r="O88" s="32" t="str">
        <x:v>S04 inputs + docs/03-methodology/COGS.md</x:v>
      </x:c>
      <x:c r="P88" s="32" t="str">
        <x:v>ING-007;ING-024;ING-033;ING-059;ING-063;ING-099;VSF-024</x:v>
      </x:c>
    </x:row>
    <x:row r="89">
      <x:c r="A89" s="32" t="str">
        <x:v>VKM-022</x:v>
      </x:c>
      <x:c r="B89" s="32" t="str">
        <x:v>Миньоны из говяжьей вырезки</x:v>
      </x:c>
      <x:c r="C89" s="32" t="str">
        <x:v>Гостиничные ужины</x:v>
      </x:c>
      <x:c r="D89" s="40" t="n">
        <x:v>0.3</x:v>
      </x:c>
      <x:c r="E89" s="37" t="str">
        <x:f>IFERROR(INDEX('04_КАЛЬКУЛЯЦИИ'!$N$6:$N$33,MATCH(A89,'04_КАЛЬКУЛЯЦИИ'!$B$6:$B$33,0)),"")</x:f>
      </x:c>
      <x:c r="F89" s="36"/>
      <x:c r="G89" s="36"/>
      <x:c r="H89" s="36"/>
      <x:c r="I89" s="37" t="str">
        <x:f>IF(OR(E89="",F89="",D89=""),"",(E89+F89)/D89)</x:f>
      </x:c>
      <x:c r="J89" s="37" t="str">
        <x:f>IF(OR(E89="",F89="",I89=""),"",(E89+F89)/I89)</x:f>
      </x:c>
      <x:c r="K89" s="37" t="str">
        <x:f>IF(OR(I89="",E89="",F89=""),"",I89-E89-F89)</x:f>
      </x:c>
      <x:c r="L89" s="37" t="str">
        <x:f>IF(OR(K89="",G89="",H89=""),"",K89-I89*G89-I89*H89)</x:f>
      </x:c>
      <x:c r="M89" s="32" t="str">
        <x:v>BLOCKED_PENDING_VALIDATION</x:v>
      </x:c>
      <x:c r="N89" s="32" t="str">
        <x:v>(complete kitchen COGS + channel packaging) / S04 target COGS ratio; commission and tax excluded because unconfirmed</x:v>
      </x:c>
      <x:c r="O89" s="32" t="str">
        <x:v>S04 inputs + docs/03-methodology/COGS.md</x:v>
      </x:c>
      <x:c r="P89" s="32" t="str">
        <x:v>ING-007;ING-024;ING-033;ING-059;ING-063;ING-099;VSF-024</x:v>
      </x:c>
    </x:row>
    <x:row r="90">
      <x:c r="A90" s="32" t="str">
        <x:v>VKM-022</x:v>
      </x:c>
      <x:c r="B90" s="32" t="str">
        <x:v>Миньоны из говяжьей вырезки</x:v>
      </x:c>
      <x:c r="C90" s="32" t="str">
        <x:v>Доставка</x:v>
      </x:c>
      <x:c r="D90" s="40" t="n">
        <x:v>0.3</x:v>
      </x:c>
      <x:c r="E90" s="37" t="str">
        <x:f>IFERROR(INDEX('04_КАЛЬКУЛЯЦИИ'!$N$6:$N$33,MATCH(A90,'04_КАЛЬКУЛЯЦИИ'!$B$6:$B$33,0)),"")</x:f>
      </x:c>
      <x:c r="F90" s="36"/>
      <x:c r="G90" s="36"/>
      <x:c r="H90" s="36"/>
      <x:c r="I90" s="37" t="str">
        <x:f>IF(OR(E90="",F90="",D90=""),"",(E90+F90)/D90)</x:f>
      </x:c>
      <x:c r="J90" s="37" t="str">
        <x:f>IF(OR(E90="",F90="",I90=""),"",(E90+F90)/I90)</x:f>
      </x:c>
      <x:c r="K90" s="37" t="str">
        <x:f>IF(OR(I90="",E90="",F90=""),"",I90-E90-F90)</x:f>
      </x:c>
      <x:c r="L90" s="37" t="str">
        <x:f>IF(OR(K90="",G90="",H90=""),"",K90-I90*G90-I90*H90)</x:f>
      </x:c>
      <x:c r="M90" s="32" t="str">
        <x:v>BLOCKED_PENDING_VALIDATION</x:v>
      </x:c>
      <x:c r="N90" s="32" t="str">
        <x:v>(complete kitchen COGS + channel packaging) / S04 target COGS ratio; commission and tax excluded because unconfirmed</x:v>
      </x:c>
      <x:c r="O90" s="32" t="str">
        <x:v>S04 inputs + docs/03-methodology/COGS.md</x:v>
      </x:c>
      <x:c r="P90" s="32" t="str">
        <x:v>ING-007;ING-024;ING-033;ING-059;ING-063;ING-099;VSF-024</x:v>
      </x:c>
    </x:row>
    <x:row r="91">
      <x:c r="A91" s="32" t="str">
        <x:v>VKM-023</x:v>
      </x:c>
      <x:c r="B91" s="32" t="str">
        <x:v>Запечённый картофель</x:v>
      </x:c>
      <x:c r="C91" s="32" t="str">
        <x:v>À la carte</x:v>
      </x:c>
      <x:c r="D91" s="40" t="n">
        <x:v>0.3</x:v>
      </x:c>
      <x:c r="E91" s="37" t="str">
        <x:f>IFERROR(INDEX('04_КАЛЬКУЛЯЦИИ'!$N$6:$N$33,MATCH(A91,'04_КАЛЬКУЛЯЦИИ'!$B$6:$B$33,0)),"")</x:f>
      </x:c>
      <x:c r="F91" s="36"/>
      <x:c r="G91" s="36"/>
      <x:c r="H91" s="36"/>
      <x:c r="I91" s="37" t="str">
        <x:f>IF(OR(E91="",F91="",D91=""),"",(E91+F91)/D91)</x:f>
      </x:c>
      <x:c r="J91" s="37" t="str">
        <x:f>IF(OR(E91="",F91="",I91=""),"",(E91+F91)/I91)</x:f>
      </x:c>
      <x:c r="K91" s="37" t="str">
        <x:f>IF(OR(I91="",E91="",F91=""),"",I91-E91-F91)</x:f>
      </x:c>
      <x:c r="L91" s="37" t="str">
        <x:f>IF(OR(K91="",G91="",H91=""),"",K91-I91*G91-I91*H91)</x:f>
      </x:c>
      <x:c r="M91" s="32" t="str">
        <x:v>BLOCKED_PENDING_VALIDATION</x:v>
      </x:c>
      <x:c r="N91" s="32" t="str">
        <x:v>(complete kitchen COGS + channel packaging) / S04 target COGS ratio; commission and tax excluded because unconfirmed</x:v>
      </x:c>
      <x:c r="O91" s="32" t="str">
        <x:v>S04 inputs + docs/03-methodology/COGS.md</x:v>
      </x:c>
      <x:c r="P91" s="32" t="str">
        <x:v>VSF-011</x:v>
      </x:c>
    </x:row>
    <x:row r="92">
      <x:c r="A92" s="32" t="str">
        <x:v>VKM-023</x:v>
      </x:c>
      <x:c r="B92" s="32" t="str">
        <x:v>Запечённый картофель</x:v>
      </x:c>
      <x:c r="C92" s="32" t="str">
        <x:v>Бизнес-ланч</x:v>
      </x:c>
      <x:c r="D92" s="40" t="n">
        <x:v>0.4</x:v>
      </x:c>
      <x:c r="E92" s="37" t="str">
        <x:f>IFERROR(INDEX('04_КАЛЬКУЛЯЦИИ'!$N$6:$N$33,MATCH(A92,'04_КАЛЬКУЛЯЦИИ'!$B$6:$B$33,0)),"")</x:f>
      </x:c>
      <x:c r="F92" s="36"/>
      <x:c r="G92" s="36"/>
      <x:c r="H92" s="36"/>
      <x:c r="I92" s="37" t="str">
        <x:f>IF(OR(E92="",F92="",D92=""),"",(E92+F92)/D92)</x:f>
      </x:c>
      <x:c r="J92" s="37" t="str">
        <x:f>IF(OR(E92="",F92="",I92=""),"",(E92+F92)/I92)</x:f>
      </x:c>
      <x:c r="K92" s="37" t="str">
        <x:f>IF(OR(I92="",E92="",F92=""),"",I92-E92-F92)</x:f>
      </x:c>
      <x:c r="L92" s="37" t="str">
        <x:f>IF(OR(K92="",G92="",H92=""),"",K92-I92*G92-I92*H92)</x:f>
      </x:c>
      <x:c r="M92" s="32" t="str">
        <x:v>BLOCKED_PENDING_VALIDATION</x:v>
      </x:c>
      <x:c r="N92" s="32" t="str">
        <x:v>(complete kitchen COGS + channel packaging) / S04 target COGS ratio; commission and tax excluded because unconfirmed</x:v>
      </x:c>
      <x:c r="O92" s="32" t="str">
        <x:v>S04 inputs + docs/03-methodology/COGS.md</x:v>
      </x:c>
      <x:c r="P92" s="32" t="str">
        <x:v>VSF-011</x:v>
      </x:c>
    </x:row>
    <x:row r="93">
      <x:c r="A93" s="32" t="str">
        <x:v>VKM-023</x:v>
      </x:c>
      <x:c r="B93" s="32" t="str">
        <x:v>Запечённый картофель</x:v>
      </x:c>
      <x:c r="C93" s="32" t="str">
        <x:v>Гостиничные ужины</x:v>
      </x:c>
      <x:c r="D93" s="40" t="n">
        <x:v>0.3</x:v>
      </x:c>
      <x:c r="E93" s="37" t="str">
        <x:f>IFERROR(INDEX('04_КАЛЬКУЛЯЦИИ'!$N$6:$N$33,MATCH(A93,'04_КАЛЬКУЛЯЦИИ'!$B$6:$B$33,0)),"")</x:f>
      </x:c>
      <x:c r="F93" s="36"/>
      <x:c r="G93" s="36"/>
      <x:c r="H93" s="36"/>
      <x:c r="I93" s="37" t="str">
        <x:f>IF(OR(E93="",F93="",D93=""),"",(E93+F93)/D93)</x:f>
      </x:c>
      <x:c r="J93" s="37" t="str">
        <x:f>IF(OR(E93="",F93="",I93=""),"",(E93+F93)/I93)</x:f>
      </x:c>
      <x:c r="K93" s="37" t="str">
        <x:f>IF(OR(I93="",E93="",F93=""),"",I93-E93-F93)</x:f>
      </x:c>
      <x:c r="L93" s="37" t="str">
        <x:f>IF(OR(K93="",G93="",H93=""),"",K93-I93*G93-I93*H93)</x:f>
      </x:c>
      <x:c r="M93" s="32" t="str">
        <x:v>BLOCKED_PENDING_VALIDATION</x:v>
      </x:c>
      <x:c r="N93" s="32" t="str">
        <x:v>(complete kitchen COGS + channel packaging) / S04 target COGS ratio; commission and tax excluded because unconfirmed</x:v>
      </x:c>
      <x:c r="O93" s="32" t="str">
        <x:v>S04 inputs + docs/03-methodology/COGS.md</x:v>
      </x:c>
      <x:c r="P93" s="32" t="str">
        <x:v>VSF-011</x:v>
      </x:c>
    </x:row>
    <x:row r="94">
      <x:c r="A94" s="32" t="str">
        <x:v>VKM-024</x:v>
      </x:c>
      <x:c r="B94" s="32" t="str">
        <x:v>Рис жасмин</x:v>
      </x:c>
      <x:c r="C94" s="32" t="str">
        <x:v>À la carte</x:v>
      </x:c>
      <x:c r="D94" s="40" t="n">
        <x:v>0.3</x:v>
      </x:c>
      <x:c r="E94" s="37" t="str">
        <x:f>IFERROR(INDEX('04_КАЛЬКУЛЯЦИИ'!$N$6:$N$33,MATCH(A94,'04_КАЛЬКУЛЯЦИИ'!$B$6:$B$33,0)),"")</x:f>
      </x:c>
      <x:c r="F94" s="36"/>
      <x:c r="G94" s="36"/>
      <x:c r="H94" s="36"/>
      <x:c r="I94" s="37" t="str">
        <x:f>IF(OR(E94="",F94="",D94=""),"",(E94+F94)/D94)</x:f>
      </x:c>
      <x:c r="J94" s="37" t="str">
        <x:f>IF(OR(E94="",F94="",I94=""),"",(E94+F94)/I94)</x:f>
      </x:c>
      <x:c r="K94" s="37" t="str">
        <x:f>IF(OR(I94="",E94="",F94=""),"",I94-E94-F94)</x:f>
      </x:c>
      <x:c r="L94" s="37" t="str">
        <x:f>IF(OR(K94="",G94="",H94=""),"",K94-I94*G94-I94*H94)</x:f>
      </x:c>
      <x:c r="M94" s="32" t="str">
        <x:v>BLOCKED_PENDING_VALIDATION</x:v>
      </x:c>
      <x:c r="N94" s="32" t="str">
        <x:v>(complete kitchen COGS + channel packaging) / S04 target COGS ratio; commission and tax excluded because unconfirmed</x:v>
      </x:c>
      <x:c r="O94" s="32" t="str">
        <x:v>S04 inputs + docs/03-methodology/COGS.md</x:v>
      </x:c>
      <x:c r="P94" s="32" t="str">
        <x:v>ING-024;VSF-025</x:v>
      </x:c>
    </x:row>
    <x:row r="95">
      <x:c r="A95" s="32" t="str">
        <x:v>VKM-024</x:v>
      </x:c>
      <x:c r="B95" s="32" t="str">
        <x:v>Рис жасмин</x:v>
      </x:c>
      <x:c r="C95" s="32" t="str">
        <x:v>Бизнес-ланч</x:v>
      </x:c>
      <x:c r="D95" s="40" t="n">
        <x:v>0.4</x:v>
      </x:c>
      <x:c r="E95" s="37" t="str">
        <x:f>IFERROR(INDEX('04_КАЛЬКУЛЯЦИИ'!$N$6:$N$33,MATCH(A95,'04_КАЛЬКУЛЯЦИИ'!$B$6:$B$33,0)),"")</x:f>
      </x:c>
      <x:c r="F95" s="36"/>
      <x:c r="G95" s="36"/>
      <x:c r="H95" s="36"/>
      <x:c r="I95" s="37" t="str">
        <x:f>IF(OR(E95="",F95="",D95=""),"",(E95+F95)/D95)</x:f>
      </x:c>
      <x:c r="J95" s="37" t="str">
        <x:f>IF(OR(E95="",F95="",I95=""),"",(E95+F95)/I95)</x:f>
      </x:c>
      <x:c r="K95" s="37" t="str">
        <x:f>IF(OR(I95="",E95="",F95=""),"",I95-E95-F95)</x:f>
      </x:c>
      <x:c r="L95" s="37" t="str">
        <x:f>IF(OR(K95="",G95="",H95=""),"",K95-I95*G95-I95*H95)</x:f>
      </x:c>
      <x:c r="M95" s="32" t="str">
        <x:v>BLOCKED_PENDING_VALIDATION</x:v>
      </x:c>
      <x:c r="N95" s="32" t="str">
        <x:v>(complete kitchen COGS + channel packaging) / S04 target COGS ratio; commission and tax excluded because unconfirmed</x:v>
      </x:c>
      <x:c r="O95" s="32" t="str">
        <x:v>S04 inputs + docs/03-methodology/COGS.md</x:v>
      </x:c>
      <x:c r="P95" s="32" t="str">
        <x:v>ING-024;VSF-025</x:v>
      </x:c>
    </x:row>
    <x:row r="96">
      <x:c r="A96" s="32" t="str">
        <x:v>VKM-024</x:v>
      </x:c>
      <x:c r="B96" s="32" t="str">
        <x:v>Рис жасмин</x:v>
      </x:c>
      <x:c r="C96" s="32" t="str">
        <x:v>Гостиничные ужины</x:v>
      </x:c>
      <x:c r="D96" s="40" t="n">
        <x:v>0.3</x:v>
      </x:c>
      <x:c r="E96" s="37" t="str">
        <x:f>IFERROR(INDEX('04_КАЛЬКУЛЯЦИИ'!$N$6:$N$33,MATCH(A96,'04_КАЛЬКУЛЯЦИИ'!$B$6:$B$33,0)),"")</x:f>
      </x:c>
      <x:c r="F96" s="36"/>
      <x:c r="G96" s="36"/>
      <x:c r="H96" s="36"/>
      <x:c r="I96" s="37" t="str">
        <x:f>IF(OR(E96="",F96="",D96=""),"",(E96+F96)/D96)</x:f>
      </x:c>
      <x:c r="J96" s="37" t="str">
        <x:f>IF(OR(E96="",F96="",I96=""),"",(E96+F96)/I96)</x:f>
      </x:c>
      <x:c r="K96" s="37" t="str">
        <x:f>IF(OR(I96="",E96="",F96=""),"",I96-E96-F96)</x:f>
      </x:c>
      <x:c r="L96" s="37" t="str">
        <x:f>IF(OR(K96="",G96="",H96=""),"",K96-I96*G96-I96*H96)</x:f>
      </x:c>
      <x:c r="M96" s="32" t="str">
        <x:v>BLOCKED_PENDING_VALIDATION</x:v>
      </x:c>
      <x:c r="N96" s="32" t="str">
        <x:v>(complete kitchen COGS + channel packaging) / S04 target COGS ratio; commission and tax excluded because unconfirmed</x:v>
      </x:c>
      <x:c r="O96" s="32" t="str">
        <x:v>S04 inputs + docs/03-methodology/COGS.md</x:v>
      </x:c>
      <x:c r="P96" s="32" t="str">
        <x:v>ING-024;VSF-025</x:v>
      </x:c>
    </x:row>
    <x:row r="97">
      <x:c r="A97" s="32" t="str">
        <x:v>VKM-025</x:v>
      </x:c>
      <x:c r="B97" s="32" t="str">
        <x:v>Горячие овощи</x:v>
      </x:c>
      <x:c r="C97" s="32" t="str">
        <x:v>À la carte</x:v>
      </x:c>
      <x:c r="D97" s="40" t="n">
        <x:v>0.3</x:v>
      </x:c>
      <x:c r="E97" s="37" t="str">
        <x:f>IFERROR(INDEX('04_КАЛЬКУЛЯЦИИ'!$N$6:$N$33,MATCH(A97,'04_КАЛЬКУЛЯЦИИ'!$B$6:$B$33,0)),"")</x:f>
      </x:c>
      <x:c r="F97" s="36"/>
      <x:c r="G97" s="36"/>
      <x:c r="H97" s="36"/>
      <x:c r="I97" s="37" t="str">
        <x:f>IF(OR(E97="",F97="",D97=""),"",(E97+F97)/D97)</x:f>
      </x:c>
      <x:c r="J97" s="37" t="str">
        <x:f>IF(OR(E97="",F97="",I97=""),"",(E97+F97)/I97)</x:f>
      </x:c>
      <x:c r="K97" s="37" t="str">
        <x:f>IF(OR(I97="",E97="",F97=""),"",I97-E97-F97)</x:f>
      </x:c>
      <x:c r="L97" s="37" t="str">
        <x:f>IF(OR(K97="",G97="",H97=""),"",K97-I97*G97-I97*H97)</x:f>
      </x:c>
      <x:c r="M97" s="32" t="str">
        <x:v>BLOCKED_PENDING_VALIDATION</x:v>
      </x:c>
      <x:c r="N97" s="32" t="str">
        <x:v>(complete kitchen COGS + channel packaging) / S04 target COGS ratio; commission and tax excluded because unconfirmed</x:v>
      </x:c>
      <x:c r="O97" s="32" t="str">
        <x:v>S04 inputs + docs/03-methodology/COGS.md</x:v>
      </x:c>
      <x:c r="P97" s="32" t="str">
        <x:v>ING-024;ING-033;ING-063;VSF-026</x:v>
      </x:c>
    </x:row>
    <x:row r="98">
      <x:c r="A98" s="32" t="str">
        <x:v>VKM-025</x:v>
      </x:c>
      <x:c r="B98" s="32" t="str">
        <x:v>Горячие овощи</x:v>
      </x:c>
      <x:c r="C98" s="32" t="str">
        <x:v>Бизнес-ланч</x:v>
      </x:c>
      <x:c r="D98" s="40" t="n">
        <x:v>0.4</x:v>
      </x:c>
      <x:c r="E98" s="37" t="str">
        <x:f>IFERROR(INDEX('04_КАЛЬКУЛЯЦИИ'!$N$6:$N$33,MATCH(A98,'04_КАЛЬКУЛЯЦИИ'!$B$6:$B$33,0)),"")</x:f>
      </x:c>
      <x:c r="F98" s="36"/>
      <x:c r="G98" s="36"/>
      <x:c r="H98" s="36"/>
      <x:c r="I98" s="37" t="str">
        <x:f>IF(OR(E98="",F98="",D98=""),"",(E98+F98)/D98)</x:f>
      </x:c>
      <x:c r="J98" s="37" t="str">
        <x:f>IF(OR(E98="",F98="",I98=""),"",(E98+F98)/I98)</x:f>
      </x:c>
      <x:c r="K98" s="37" t="str">
        <x:f>IF(OR(I98="",E98="",F98=""),"",I98-E98-F98)</x:f>
      </x:c>
      <x:c r="L98" s="37" t="str">
        <x:f>IF(OR(K98="",G98="",H98=""),"",K98-I98*G98-I98*H98)</x:f>
      </x:c>
      <x:c r="M98" s="32" t="str">
        <x:v>BLOCKED_PENDING_VALIDATION</x:v>
      </x:c>
      <x:c r="N98" s="32" t="str">
        <x:v>(complete kitchen COGS + channel packaging) / S04 target COGS ratio; commission and tax excluded because unconfirmed</x:v>
      </x:c>
      <x:c r="O98" s="32" t="str">
        <x:v>S04 inputs + docs/03-methodology/COGS.md</x:v>
      </x:c>
      <x:c r="P98" s="32" t="str">
        <x:v>ING-024;ING-033;ING-063;VSF-026</x:v>
      </x:c>
    </x:row>
    <x:row r="99">
      <x:c r="A99" s="32" t="str">
        <x:v>VKM-025</x:v>
      </x:c>
      <x:c r="B99" s="32" t="str">
        <x:v>Горячие овощи</x:v>
      </x:c>
      <x:c r="C99" s="32" t="str">
        <x:v>Гостиничные ужины</x:v>
      </x:c>
      <x:c r="D99" s="40" t="n">
        <x:v>0.3</x:v>
      </x:c>
      <x:c r="E99" s="37" t="str">
        <x:f>IFERROR(INDEX('04_КАЛЬКУЛЯЦИИ'!$N$6:$N$33,MATCH(A99,'04_КАЛЬКУЛЯЦИИ'!$B$6:$B$33,0)),"")</x:f>
      </x:c>
      <x:c r="F99" s="36"/>
      <x:c r="G99" s="36"/>
      <x:c r="H99" s="36"/>
      <x:c r="I99" s="37" t="str">
        <x:f>IF(OR(E99="",F99="",D99=""),"",(E99+F99)/D99)</x:f>
      </x:c>
      <x:c r="J99" s="37" t="str">
        <x:f>IF(OR(E99="",F99="",I99=""),"",(E99+F99)/I99)</x:f>
      </x:c>
      <x:c r="K99" s="37" t="str">
        <x:f>IF(OR(I99="",E99="",F99=""),"",I99-E99-F99)</x:f>
      </x:c>
      <x:c r="L99" s="37" t="str">
        <x:f>IF(OR(K99="",G99="",H99=""),"",K99-I99*G99-I99*H99)</x:f>
      </x:c>
      <x:c r="M99" s="32" t="str">
        <x:v>BLOCKED_PENDING_VALIDATION</x:v>
      </x:c>
      <x:c r="N99" s="32" t="str">
        <x:v>(complete kitchen COGS + channel packaging) / S04 target COGS ratio; commission and tax excluded because unconfirmed</x:v>
      </x:c>
      <x:c r="O99" s="32" t="str">
        <x:v>S04 inputs + docs/03-methodology/COGS.md</x:v>
      </x:c>
      <x:c r="P99" s="32" t="str">
        <x:v>ING-024;ING-033;ING-063;VSF-026</x:v>
      </x:c>
    </x:row>
    <x:row r="100">
      <x:c r="A100" s="32" t="str">
        <x:v>VKM-029</x:v>
      </x:c>
      <x:c r="B100" s="32" t="str">
        <x:v>Черничный торт VARSHAVKA</x:v>
      </x:c>
      <x:c r="C100" s="32" t="str">
        <x:v>À la carte</x:v>
      </x:c>
      <x:c r="D100" s="40" t="n">
        <x:v>0.3</x:v>
      </x:c>
      <x:c r="E100" s="37" t="str">
        <x:f>IFERROR(INDEX('04_КАЛЬКУЛЯЦИИ'!$N$6:$N$33,MATCH(A100,'04_КАЛЬКУЛЯЦИИ'!$B$6:$B$33,0)),"")</x:f>
      </x:c>
      <x:c r="F100" s="36"/>
      <x:c r="G100" s="36"/>
      <x:c r="H100" s="36"/>
      <x:c r="I100" s="37" t="str">
        <x:f>IF(OR(E100="",F100="",D100=""),"",(E100+F100)/D100)</x:f>
      </x:c>
      <x:c r="J100" s="37" t="str">
        <x:f>IF(OR(E100="",F100="",I100=""),"",(E100+F100)/I100)</x:f>
      </x:c>
      <x:c r="K100" s="37" t="str">
        <x:f>IF(OR(I100="",E100="",F100=""),"",I100-E100-F100)</x:f>
      </x:c>
      <x:c r="L100" s="37" t="str">
        <x:f>IF(OR(K100="",G100="",H100=""),"",K100-I100*G100-I100*H100)</x:f>
      </x:c>
      <x:c r="M100" s="32" t="str">
        <x:v>BLOCKED_PENDING_VALIDATION</x:v>
      </x:c>
      <x:c r="N100" s="32" t="str">
        <x:v>(complete kitchen COGS + channel packaging) / S04 target COGS ratio; commission and tax excluded because unconfirmed</x:v>
      </x:c>
      <x:c r="O100" s="32" t="str">
        <x:v>S04 inputs + docs/03-methodology/COGS.md</x:v>
      </x:c>
      <x:c r="P100" s="32" t="str">
        <x:v>ING-112;VSF-027;VSF-028;VSF-029;VSF-030</x:v>
      </x:c>
    </x:row>
    <x:row r="101">
      <x:c r="A101" s="32" t="str">
        <x:v>VKM-029</x:v>
      </x:c>
      <x:c r="B101" s="32" t="str">
        <x:v>Черничный торт VARSHAVKA</x:v>
      </x:c>
      <x:c r="C101" s="32" t="str">
        <x:v>Навынос</x:v>
      </x:c>
      <x:c r="D101" s="40" t="n">
        <x:v>0.428571</x:v>
      </x:c>
      <x:c r="E101" s="37" t="str">
        <x:f>IFERROR(INDEX('04_КАЛЬКУЛЯЦИИ'!$N$6:$N$33,MATCH(A101,'04_КАЛЬКУЛЯЦИИ'!$B$6:$B$33,0)),"")</x:f>
      </x:c>
      <x:c r="F101" s="36"/>
      <x:c r="G101" s="36"/>
      <x:c r="H101" s="36"/>
      <x:c r="I101" s="37" t="str">
        <x:f>IF(OR(E101="",F101="",D101=""),"",(E101+F101)/D101)</x:f>
      </x:c>
      <x:c r="J101" s="37" t="str">
        <x:f>IF(OR(E101="",F101="",I101=""),"",(E101+F101)/I101)</x:f>
      </x:c>
      <x:c r="K101" s="37" t="str">
        <x:f>IF(OR(I101="",E101="",F101=""),"",I101-E101-F101)</x:f>
      </x:c>
      <x:c r="L101" s="37" t="str">
        <x:f>IF(OR(K101="",G101="",H101=""),"",K101-I101*G101-I101*H101)</x:f>
      </x:c>
      <x:c r="M101" s="32" t="str">
        <x:v>BLOCKED_PENDING_VALIDATION</x:v>
      </x:c>
      <x:c r="N101" s="32" t="str">
        <x:v>(complete kitchen COGS + channel packaging) / S04 target COGS ratio; commission and tax excluded because unconfirmed</x:v>
      </x:c>
      <x:c r="O101" s="32" t="str">
        <x:v>S04 inputs + docs/03-methodology/COGS.md</x:v>
      </x:c>
      <x:c r="P101" s="32" t="str">
        <x:v>ING-112;VSF-027;VSF-028;VSF-029;VSF-030</x:v>
      </x:c>
    </x:row>
    <x:row r="102">
      <x:c r="A102" s="32" t="str">
        <x:v>VKM-030</x:v>
      </x:c>
      <x:c r="B102" s="32" t="str">
        <x:v>Кростата с солёной карамелью</x:v>
      </x:c>
      <x:c r="C102" s="32" t="str">
        <x:v>À la carte</x:v>
      </x:c>
      <x:c r="D102" s="40" t="n">
        <x:v>0.3</x:v>
      </x:c>
      <x:c r="E102" s="37" t="str">
        <x:f>IFERROR(INDEX('04_КАЛЬКУЛЯЦИИ'!$N$6:$N$33,MATCH(A102,'04_КАЛЬКУЛЯЦИИ'!$B$6:$B$33,0)),"")</x:f>
      </x:c>
      <x:c r="F102" s="36"/>
      <x:c r="G102" s="36"/>
      <x:c r="H102" s="36"/>
      <x:c r="I102" s="37" t="str">
        <x:f>IF(OR(E102="",F102="",D102=""),"",(E102+F102)/D102)</x:f>
      </x:c>
      <x:c r="J102" s="37" t="str">
        <x:f>IF(OR(E102="",F102="",I102=""),"",(E102+F102)/I102)</x:f>
      </x:c>
      <x:c r="K102" s="37" t="str">
        <x:f>IF(OR(I102="",E102="",F102=""),"",I102-E102-F102)</x:f>
      </x:c>
      <x:c r="L102" s="37" t="str">
        <x:f>IF(OR(K102="",G102="",H102=""),"",K102-I102*G102-I102*H102)</x:f>
      </x:c>
      <x:c r="M102" s="32" t="str">
        <x:v>BLOCKED_PENDING_VALIDATION</x:v>
      </x:c>
      <x:c r="N102" s="32" t="str">
        <x:v>(complete kitchen COGS + channel packaging) / S04 target COGS ratio; commission and tax excluded because unconfirmed</x:v>
      </x:c>
      <x:c r="O102" s="32" t="str">
        <x:v>S04 inputs + docs/03-methodology/COGS.md</x:v>
      </x:c>
      <x:c r="P102" s="32" t="str">
        <x:v>ING-112;VSF-031;VSF-032;VSF-033</x:v>
      </x:c>
    </x:row>
    <x:row r="103">
      <x:c r="A103" s="32" t="str">
        <x:v>VKM-030</x:v>
      </x:c>
      <x:c r="B103" s="32" t="str">
        <x:v>Кростата с солёной карамелью</x:v>
      </x:c>
      <x:c r="C103" s="32" t="str">
        <x:v>Гостиничные ужины</x:v>
      </x:c>
      <x:c r="D103" s="40" t="n">
        <x:v>0.3</x:v>
      </x:c>
      <x:c r="E103" s="37" t="str">
        <x:f>IFERROR(INDEX('04_КАЛЬКУЛЯЦИИ'!$N$6:$N$33,MATCH(A103,'04_КАЛЬКУЛЯЦИИ'!$B$6:$B$33,0)),"")</x:f>
      </x:c>
      <x:c r="F103" s="36"/>
      <x:c r="G103" s="36"/>
      <x:c r="H103" s="36"/>
      <x:c r="I103" s="37" t="str">
        <x:f>IF(OR(E103="",F103="",D103=""),"",(E103+F103)/D103)</x:f>
      </x:c>
      <x:c r="J103" s="37" t="str">
        <x:f>IF(OR(E103="",F103="",I103=""),"",(E103+F103)/I103)</x:f>
      </x:c>
      <x:c r="K103" s="37" t="str">
        <x:f>IF(OR(I103="",E103="",F103=""),"",I103-E103-F103)</x:f>
      </x:c>
      <x:c r="L103" s="37" t="str">
        <x:f>IF(OR(K103="",G103="",H103=""),"",K103-I103*G103-I103*H103)</x:f>
      </x:c>
      <x:c r="M103" s="32" t="str">
        <x:v>BLOCKED_PENDING_VALIDATION</x:v>
      </x:c>
      <x:c r="N103" s="32" t="str">
        <x:v>(complete kitchen COGS + channel packaging) / S04 target COGS ratio; commission and tax excluded because unconfirmed</x:v>
      </x:c>
      <x:c r="O103" s="32" t="str">
        <x:v>S04 inputs + docs/03-methodology/COGS.md</x:v>
      </x:c>
      <x:c r="P103" s="32" t="str">
        <x:v>ING-112;VSF-031;VSF-032;VSF-033</x:v>
      </x:c>
    </x:row>
    <x:row r="104">
      <x:c r="A104" s="32" t="str">
        <x:v>VKM-030</x:v>
      </x:c>
      <x:c r="B104" s="32" t="str">
        <x:v>Кростата с солёной карамелью</x:v>
      </x:c>
      <x:c r="C104" s="32" t="str">
        <x:v>Навынос</x:v>
      </x:c>
      <x:c r="D104" s="40" t="n">
        <x:v>0.428571</x:v>
      </x:c>
      <x:c r="E104" s="37" t="str">
        <x:f>IFERROR(INDEX('04_КАЛЬКУЛЯЦИИ'!$N$6:$N$33,MATCH(A104,'04_КАЛЬКУЛЯЦИИ'!$B$6:$B$33,0)),"")</x:f>
      </x:c>
      <x:c r="F104" s="36"/>
      <x:c r="G104" s="36"/>
      <x:c r="H104" s="36"/>
      <x:c r="I104" s="37" t="str">
        <x:f>IF(OR(E104="",F104="",D104=""),"",(E104+F104)/D104)</x:f>
      </x:c>
      <x:c r="J104" s="37" t="str">
        <x:f>IF(OR(E104="",F104="",I104=""),"",(E104+F104)/I104)</x:f>
      </x:c>
      <x:c r="K104" s="37" t="str">
        <x:f>IF(OR(I104="",E104="",F104=""),"",I104-E104-F104)</x:f>
      </x:c>
      <x:c r="L104" s="37" t="str">
        <x:f>IF(OR(K104="",G104="",H104=""),"",K104-I104*G104-I104*H104)</x:f>
      </x:c>
      <x:c r="M104" s="32" t="str">
        <x:v>BLOCKED_PENDING_VALIDATION</x:v>
      </x:c>
      <x:c r="N104" s="32" t="str">
        <x:v>(complete kitchen COGS + channel packaging) / S04 target COGS ratio; commission and tax excluded because unconfirmed</x:v>
      </x:c>
      <x:c r="O104" s="32" t="str">
        <x:v>S04 inputs + docs/03-methodology/COGS.md</x:v>
      </x:c>
      <x:c r="P104" s="32" t="str">
        <x:v>ING-112;VSF-031;VSF-032;VSF-033</x:v>
      </x:c>
    </x:row>
    <x:row r="105">
      <x:c r="A105" s="32" t="str">
        <x:v>VKM-031</x:v>
      </x:c>
      <x:c r="B105" s="32" t="str">
        <x:v>Мадлен</x:v>
      </x:c>
      <x:c r="C105" s="32" t="str">
        <x:v>À la carte</x:v>
      </x:c>
      <x:c r="D105" s="40" t="n">
        <x:v>0.3</x:v>
      </x:c>
      <x:c r="E105" s="37" t="str">
        <x:f>IFERROR(INDEX('04_КАЛЬКУЛЯЦИИ'!$N$6:$N$33,MATCH(A105,'04_КАЛЬКУЛЯЦИИ'!$B$6:$B$33,0)),"")</x:f>
      </x:c>
      <x:c r="F105" s="36"/>
      <x:c r="G105" s="36"/>
      <x:c r="H105" s="36"/>
      <x:c r="I105" s="37" t="str">
        <x:f>IF(OR(E105="",F105="",D105=""),"",(E105+F105)/D105)</x:f>
      </x:c>
      <x:c r="J105" s="37" t="str">
        <x:f>IF(OR(E105="",F105="",I105=""),"",(E105+F105)/I105)</x:f>
      </x:c>
      <x:c r="K105" s="37" t="str">
        <x:f>IF(OR(I105="",E105="",F105=""),"",I105-E105-F105)</x:f>
      </x:c>
      <x:c r="L105" s="37" t="str">
        <x:f>IF(OR(K105="",G105="",H105=""),"",K105-I105*G105-I105*H105)</x:f>
      </x:c>
      <x:c r="M105" s="32" t="str">
        <x:v>BLOCKED_PENDING_VALIDATION</x:v>
      </x:c>
      <x:c r="N105" s="32" t="str">
        <x:v>(complete kitchen COGS + channel packaging) / S04 target COGS ratio; commission and tax excluded because unconfirmed</x:v>
      </x:c>
      <x:c r="O105" s="32" t="str">
        <x:v>S04 inputs + docs/03-methodology/COGS.md</x:v>
      </x:c>
      <x:c r="P105" s="32" t="str">
        <x:v>VSF-034</x:v>
      </x:c>
    </x:row>
    <x:row r="106">
      <x:c r="A106" s="32" t="str">
        <x:v>VKM-031</x:v>
      </x:c>
      <x:c r="B106" s="32" t="str">
        <x:v>Мадлен</x:v>
      </x:c>
      <x:c r="C106" s="32" t="str">
        <x:v>Навынос</x:v>
      </x:c>
      <x:c r="D106" s="40" t="n">
        <x:v>0.428571</x:v>
      </x:c>
      <x:c r="E106" s="37" t="str">
        <x:f>IFERROR(INDEX('04_КАЛЬКУЛЯЦИИ'!$N$6:$N$33,MATCH(A106,'04_КАЛЬКУЛЯЦИИ'!$B$6:$B$33,0)),"")</x:f>
      </x:c>
      <x:c r="F106" s="36"/>
      <x:c r="G106" s="36"/>
      <x:c r="H106" s="36"/>
      <x:c r="I106" s="37" t="str">
        <x:f>IF(OR(E106="",F106="",D106=""),"",(E106+F106)/D106)</x:f>
      </x:c>
      <x:c r="J106" s="37" t="str">
        <x:f>IF(OR(E106="",F106="",I106=""),"",(E106+F106)/I106)</x:f>
      </x:c>
      <x:c r="K106" s="37" t="str">
        <x:f>IF(OR(I106="",E106="",F106=""),"",I106-E106-F106)</x:f>
      </x:c>
      <x:c r="L106" s="37" t="str">
        <x:f>IF(OR(K106="",G106="",H106=""),"",K106-I106*G106-I106*H106)</x:f>
      </x:c>
      <x:c r="M106" s="32" t="str">
        <x:v>BLOCKED_PENDING_VALIDATION</x:v>
      </x:c>
      <x:c r="N106" s="32" t="str">
        <x:v>(complete kitchen COGS + channel packaging) / S04 target COGS ratio; commission and tax excluded because unconfirmed</x:v>
      </x:c>
      <x:c r="O106" s="32" t="str">
        <x:v>S04 inputs + docs/03-methodology/COGS.md</x:v>
      </x:c>
      <x:c r="P106" s="32" t="str">
        <x:v>VSF-034</x:v>
      </x:c>
    </x:row>
  </x:sheetData>
  <x:mergeCells>
    <x:mergeCell ref="A1:P1"/>
    <x:mergeCell ref="A2:P2"/>
  </x:mergeCells>
  <x:conditionalFormatting sqref="M6:M106">
    <x:cfRule type="containsText" dxfId="12" priority="1" operator="containsText" text="BLOCK"/>
    <x:cfRule type="containsText" dxfId="13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2c818d4df4c24c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8" hidden="0" customWidth="1"/>
    <x:col min="4" max="4" width="24" hidden="0" customWidth="1"/>
    <x:col min="5" max="5" width="55" hidden="0" customWidth="1"/>
    <x:col min="6" max="6" width="24" hidden="0" customWidth="1"/>
    <x:col min="7" max="7" width="45" hidden="0" customWidth="1"/>
    <x:col min="8" max="8" width="20" hidden="0" customWidth="1"/>
    <x:col min="9" max="9" width="18" hidden="0" customWidth="1"/>
    <x:col min="10" max="10" width="11" hidden="0" customWidth="1"/>
    <x:col min="11" max="11" width="17" hidden="0" customWidth="1"/>
    <x:col min="12" max="12" width="17" hidden="0" customWidth="1"/>
    <x:col min="13" max="13" width="17" hidden="0" customWidth="1"/>
    <x:col min="14" max="14" width="28" hidden="0" customWidth="1"/>
  </x:cols>
  <x:sheetData>
    <x:row r="1" ht="30" customHeight="1">
      <x:c r="A1" s="26" t="str">
        <x:v>08 — Оборудование и мощность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 ht="27" customHeight="1">
      <x:c r="A2" s="28" t="str">
        <x:v>Equipment structure is estimated; passports, installed/connected status, demand and factual bottlenecks are blocked.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34" customHeight="1">
      <x:c r="A5" s="31" t="str">
        <x:v>Resource ID</x:v>
      </x:c>
      <x:c r="B5" s="31" t="str">
        <x:v>Dish ID</x:v>
      </x:c>
      <x:c r="C5" s="31" t="str">
        <x:v>Блюдо</x:v>
      </x:c>
      <x:c r="D5" s="31" t="str">
        <x:v>Зона</x:v>
      </x:c>
      <x:c r="E5" s="31" t="str">
        <x:v>Ops</x:v>
      </x:c>
      <x:c r="F5" s="31" t="str">
        <x:v>Mapped</x:v>
      </x:c>
      <x:c r="G5" s="31" t="str">
        <x:v>Functions</x:v>
      </x:c>
      <x:c r="H5" s="31" t="str">
        <x:v>Conditional</x:v>
      </x:c>
      <x:c r="I5" s="31" t="str">
        <x:v>Active min</x:v>
      </x:c>
      <x:c r="J5" s="31" t="str">
        <x:v>Total min</x:v>
      </x:c>
      <x:c r="K5" s="31" t="str">
        <x:v>Capacity</x:v>
      </x:c>
      <x:c r="L5" s="31" t="str">
        <x:v>Availability</x:v>
      </x:c>
      <x:c r="M5" s="31" t="str">
        <x:v>Connections</x:v>
      </x:c>
      <x:c r="N5" s="31" t="str">
        <x:v>Blockers</x:v>
      </x:c>
    </x:row>
    <x:row r="6">
      <x:c r="A6" s="32" t="str">
        <x:v>RSC-001</x:v>
      </x:c>
      <x:c r="B6" s="32" t="str">
        <x:v>VKM-001</x:v>
      </x:c>
      <x:c r="C6" s="32" t="str">
        <x:v>Маргарита</x:v>
      </x:c>
      <x:c r="D6" s="32" t="str">
        <x:v>Пицца, хлеб, десерты</x:v>
      </x:c>
      <x:c r="E6" s="32" t="n">
        <x:v>6</x:v>
      </x:c>
      <x:c r="F6" s="32" t="n">
        <x:v>6</x:v>
      </x:c>
      <x:c r="G6" s="32" t="str">
        <x:v>BAK-03;BAK-12;HOT-05B;STO-08;BAK-01</x:v>
      </x:c>
      <x:c r="H6" s="32"/>
      <x:c r="I6" s="32" t="n">
        <x:v>19</x:v>
      </x:c>
      <x:c r="J6" s="32" t="n">
        <x:v>90</x:v>
      </x:c>
      <x:c r="K6" s="32" t="str">
        <x:v>BLOCKED</x:v>
      </x:c>
      <x:c r="L6" s="32" t="str">
        <x:v>BLOCKED</x:v>
      </x:c>
      <x:c r="M6" s="32" t="str">
        <x:v>BLOCKED</x:v>
      </x:c>
      <x:c r="N6" s="32" t="str">
        <x:v>GAP-007;GAP-017;GAP-018;GAP-019;GAP-020;GAP-021;GAP-022</x:v>
      </x:c>
    </x:row>
    <x:row r="7">
      <x:c r="A7" s="32" t="str">
        <x:v>RSC-002</x:v>
      </x:c>
      <x:c r="B7" s="32" t="str">
        <x:v>VKM-002</x:v>
      </x:c>
      <x:c r="C7" s="32" t="str">
        <x:v>Четыре сыра</x:v>
      </x:c>
      <x:c r="D7" s="32" t="str">
        <x:v>Пицца, хлеб, десерты</x:v>
      </x:c>
      <x:c r="E7" s="32" t="n">
        <x:v>5</x:v>
      </x:c>
      <x:c r="F7" s="32" t="n">
        <x:v>5</x:v>
      </x:c>
      <x:c r="G7" s="32" t="str">
        <x:v>BAK-03;BAK-12;HOT-05B;BAK-01</x:v>
      </x:c>
      <x:c r="H7" s="32"/>
      <x:c r="I7" s="32" t="n">
        <x:v>20</x:v>
      </x:c>
      <x:c r="J7" s="32" t="n">
        <x:v>92</x:v>
      </x:c>
      <x:c r="K7" s="32" t="str">
        <x:v>BLOCKED</x:v>
      </x:c>
      <x:c r="L7" s="32" t="str">
        <x:v>BLOCKED</x:v>
      </x:c>
      <x:c r="M7" s="32" t="str">
        <x:v>BLOCKED</x:v>
      </x:c>
      <x:c r="N7" s="32" t="str">
        <x:v>GAP-007;GAP-017;GAP-018;GAP-019;GAP-020;GAP-021;GAP-022</x:v>
      </x:c>
    </x:row>
    <x:row r="8">
      <x:c r="A8" s="32" t="str">
        <x:v>RSC-003</x:v>
      </x:c>
      <x:c r="B8" s="32" t="str">
        <x:v>VKM-003</x:v>
      </x:c>
      <x:c r="C8" s="32" t="str">
        <x:v>Грибная с ветчиной</x:v>
      </x:c>
      <x:c r="D8" s="32" t="str">
        <x:v>Пицца, хлеб, десерты</x:v>
      </x:c>
      <x:c r="E8" s="32" t="n">
        <x:v>5</x:v>
      </x:c>
      <x:c r="F8" s="32" t="n">
        <x:v>5</x:v>
      </x:c>
      <x:c r="G8" s="32" t="str">
        <x:v>BAK-03;BAK-12;HOT-05B;BAK-01</x:v>
      </x:c>
      <x:c r="H8" s="32"/>
      <x:c r="I8" s="32" t="n">
        <x:v>22</x:v>
      </x:c>
      <x:c r="J8" s="32" t="n">
        <x:v>95</x:v>
      </x:c>
      <x:c r="K8" s="32" t="str">
        <x:v>BLOCKED</x:v>
      </x:c>
      <x:c r="L8" s="32" t="str">
        <x:v>BLOCKED</x:v>
      </x:c>
      <x:c r="M8" s="32" t="str">
        <x:v>BLOCKED</x:v>
      </x:c>
      <x:c r="N8" s="32" t="str">
        <x:v>GAP-007;GAP-017;GAP-018;GAP-019;GAP-020;GAP-021;GAP-022</x:v>
      </x:c>
    </x:row>
    <x:row r="9">
      <x:c r="A9" s="32" t="str">
        <x:v>RSC-004</x:v>
      </x:c>
      <x:c r="B9" s="32" t="str">
        <x:v>VKM-004</x:v>
      </x:c>
      <x:c r="C9" s="32" t="str">
        <x:v>Пепперони</x:v>
      </x:c>
      <x:c r="D9" s="32" t="str">
        <x:v>Пицца, хлеб, десерты</x:v>
      </x:c>
      <x:c r="E9" s="32" t="n">
        <x:v>5</x:v>
      </x:c>
      <x:c r="F9" s="32" t="n">
        <x:v>5</x:v>
      </x:c>
      <x:c r="G9" s="32" t="str">
        <x:v>BAK-03;BAK-12;HOT-05B;BAK-01</x:v>
      </x:c>
      <x:c r="H9" s="32"/>
      <x:c r="I9" s="32" t="n">
        <x:v>20</x:v>
      </x:c>
      <x:c r="J9" s="32" t="n">
        <x:v>92</x:v>
      </x:c>
      <x:c r="K9" s="32" t="str">
        <x:v>BLOCKED</x:v>
      </x:c>
      <x:c r="L9" s="32" t="str">
        <x:v>BLOCKED</x:v>
      </x:c>
      <x:c r="M9" s="32" t="str">
        <x:v>BLOCKED</x:v>
      </x:c>
      <x:c r="N9" s="32" t="str">
        <x:v>GAP-007;GAP-017;GAP-018;GAP-019;GAP-020;GAP-021;GAP-022</x:v>
      </x:c>
    </x:row>
    <x:row r="10">
      <x:c r="A10" s="32" t="str">
        <x:v>RSC-005</x:v>
      </x:c>
      <x:c r="B10" s="32" t="str">
        <x:v>VKM-005</x:v>
      </x:c>
      <x:c r="C10" s="32" t="str">
        <x:v>Белая чиабатта</x:v>
      </x:c>
      <x:c r="D10" s="32" t="str">
        <x:v>Пицца, хлеб, десерты</x:v>
      </x:c>
      <x:c r="E10" s="32" t="n">
        <x:v>7</x:v>
      </x:c>
      <x:c r="F10" s="32" t="n">
        <x:v>7</x:v>
      </x:c>
      <x:c r="G10" s="32" t="str">
        <x:v>BAK-03;STO-08;REQ-BAK-PREP;BAK-05;BAK-02;BAK-06</x:v>
      </x:c>
      <x:c r="H10" s="32"/>
      <x:c r="I10" s="32" t="n">
        <x:v>18</x:v>
      </x:c>
      <x:c r="J10" s="32" t="n">
        <x:v>150</x:v>
      </x:c>
      <x:c r="K10" s="32" t="str">
        <x:v>BLOCKED</x:v>
      </x:c>
      <x:c r="L10" s="32" t="str">
        <x:v>BLOCKED</x:v>
      </x:c>
      <x:c r="M10" s="32" t="str">
        <x:v>BLOCKED</x:v>
      </x:c>
      <x:c r="N10" s="32" t="str">
        <x:v>GAP-007;GAP-017;GAP-018;GAP-019;GAP-020;GAP-021;GAP-022</x:v>
      </x:c>
    </x:row>
    <x:row r="11">
      <x:c r="A11" s="32" t="str">
        <x:v>RSC-006</x:v>
      </x:c>
      <x:c r="B11" s="32" t="str">
        <x:v>VKM-006</x:v>
      </x:c>
      <x:c r="C11" s="32" t="str">
        <x:v>Томатная чиабатта</x:v>
      </x:c>
      <x:c r="D11" s="32" t="str">
        <x:v>Пицца, хлеб, десерты</x:v>
      </x:c>
      <x:c r="E11" s="32" t="n">
        <x:v>7</x:v>
      </x:c>
      <x:c r="F11" s="32" t="n">
        <x:v>7</x:v>
      </x:c>
      <x:c r="G11" s="32" t="str">
        <x:v>BAK-03;STO-08;REQ-BAK-PREP;BAK-05;BAK-02;BAK-06</x:v>
      </x:c>
      <x:c r="H11" s="32"/>
      <x:c r="I11" s="32" t="n">
        <x:v>18</x:v>
      </x:c>
      <x:c r="J11" s="32" t="n">
        <x:v>150</x:v>
      </x:c>
      <x:c r="K11" s="32" t="str">
        <x:v>BLOCKED</x:v>
      </x:c>
      <x:c r="L11" s="32" t="str">
        <x:v>BLOCKED</x:v>
      </x:c>
      <x:c r="M11" s="32" t="str">
        <x:v>BLOCKED</x:v>
      </x:c>
      <x:c r="N11" s="32" t="str">
        <x:v>GAP-007;GAP-017;GAP-018;GAP-019;GAP-020;GAP-021;GAP-022</x:v>
      </x:c>
    </x:row>
    <x:row r="12">
      <x:c r="A12" s="32" t="str">
        <x:v>RSC-007</x:v>
      </x:c>
      <x:c r="B12" s="32" t="str">
        <x:v>VKM-007</x:v>
      </x:c>
      <x:c r="C12" s="32" t="str">
        <x:v>Бородинский хлеб</x:v>
      </x:c>
      <x:c r="D12" s="32" t="str">
        <x:v>Пицца, хлеб, десерты</x:v>
      </x:c>
      <x:c r="E12" s="32" t="n">
        <x:v>7</x:v>
      </x:c>
      <x:c r="F12" s="32" t="n">
        <x:v>7</x:v>
      </x:c>
      <x:c r="G12" s="32" t="str">
        <x:v>REQ-BAK-PREP;BAK-03;STO-08;BAK-05;BAK-02;BAK-06</x:v>
      </x:c>
      <x:c r="H12" s="32"/>
      <x:c r="I12" s="32" t="n">
        <x:v>25</x:v>
      </x:c>
      <x:c r="J12" s="32" t="n">
        <x:v>300</x:v>
      </x:c>
      <x:c r="K12" s="32" t="str">
        <x:v>BLOCKED</x:v>
      </x:c>
      <x:c r="L12" s="32" t="str">
        <x:v>BLOCKED</x:v>
      </x:c>
      <x:c r="M12" s="32" t="str">
        <x:v>BLOCKED</x:v>
      </x:c>
      <x:c r="N12" s="32" t="str">
        <x:v>GAP-007;GAP-017;GAP-018;GAP-019;GAP-020;GAP-021;GAP-022</x:v>
      </x:c>
    </x:row>
    <x:row r="13">
      <x:c r="A13" s="32" t="str">
        <x:v>RSC-008</x:v>
      </x:c>
      <x:c r="B13" s="32" t="str">
        <x:v>VKM-008</x:v>
      </x:c>
      <x:c r="C13" s="32" t="str">
        <x:v>Бриошь</x:v>
      </x:c>
      <x:c r="D13" s="32" t="str">
        <x:v>Пицца, хлеб, десерты</x:v>
      </x:c>
      <x:c r="E13" s="32" t="n">
        <x:v>8</x:v>
      </x:c>
      <x:c r="F13" s="32" t="n">
        <x:v>8</x:v>
      </x:c>
      <x:c r="G13" s="32" t="str">
        <x:v>BAK-03;REQ-BAK-PREP;STO-08;BAK-05;BAK-02;BAK-06</x:v>
      </x:c>
      <x:c r="H13" s="32"/>
      <x:c r="I13" s="32" t="n">
        <x:v>22</x:v>
      </x:c>
      <x:c r="J13" s="32" t="n">
        <x:v>180</x:v>
      </x:c>
      <x:c r="K13" s="32" t="str">
        <x:v>BLOCKED</x:v>
      </x:c>
      <x:c r="L13" s="32" t="str">
        <x:v>BLOCKED</x:v>
      </x:c>
      <x:c r="M13" s="32" t="str">
        <x:v>BLOCKED</x:v>
      </x:c>
      <x:c r="N13" s="32" t="str">
        <x:v>GAP-007;GAP-017;GAP-018;GAP-019;GAP-020;GAP-021;GAP-022</x:v>
      </x:c>
    </x:row>
    <x:row r="14">
      <x:c r="A14" s="32" t="str">
        <x:v>RSC-009</x:v>
      </x:c>
      <x:c r="B14" s="32" t="str">
        <x:v>VKM-009</x:v>
      </x:c>
      <x:c r="C14" s="32" t="str">
        <x:v>Буррата с томатами</x:v>
      </x:c>
      <x:c r="D14" s="32" t="str">
        <x:v>Холодный участок</x:v>
      </x:c>
      <x:c r="E14" s="32" t="n">
        <x:v>4</x:v>
      </x:c>
      <x:c r="F14" s="32" t="n">
        <x:v>4</x:v>
      </x:c>
      <x:c r="G14" s="32" t="str">
        <x:v>CLD-03;CLD-07</x:v>
      </x:c>
      <x:c r="H14" s="32"/>
      <x:c r="I14" s="32" t="n">
        <x:v>8</x:v>
      </x:c>
      <x:c r="J14" s="32" t="n">
        <x:v>10</x:v>
      </x:c>
      <x:c r="K14" s="32" t="str">
        <x:v>BLOCKED</x:v>
      </x:c>
      <x:c r="L14" s="32" t="str">
        <x:v>BLOCKED</x:v>
      </x:c>
      <x:c r="M14" s="32" t="str">
        <x:v>BLOCKED</x:v>
      </x:c>
      <x:c r="N14" s="32" t="str">
        <x:v>GAP-007;GAP-017;GAP-018;GAP-019;GAP-020;GAP-021;GAP-022</x:v>
      </x:c>
    </x:row>
    <x:row r="15">
      <x:c r="A15" s="32" t="str">
        <x:v>RSC-010</x:v>
      </x:c>
      <x:c r="B15" s="32" t="str">
        <x:v>VKM-010</x:v>
      </x:c>
      <x:c r="C15" s="32" t="str">
        <x:v>Микс-салат с креветками и яблоком</x:v>
      </x:c>
      <x:c r="D15" s="32" t="str">
        <x:v>Холодный участок</x:v>
      </x:c>
      <x:c r="E15" s="32" t="n">
        <x:v>5</x:v>
      </x:c>
      <x:c r="F15" s="32" t="n">
        <x:v>5</x:v>
      </x:c>
      <x:c r="G15" s="32" t="str">
        <x:v>CLD-03;CLD-07</x:v>
      </x:c>
      <x:c r="H15" s="32"/>
      <x:c r="I15" s="32" t="n">
        <x:v>12</x:v>
      </x:c>
      <x:c r="J15" s="32" t="n">
        <x:v>18</x:v>
      </x:c>
      <x:c r="K15" s="32" t="str">
        <x:v>BLOCKED</x:v>
      </x:c>
      <x:c r="L15" s="32" t="str">
        <x:v>BLOCKED</x:v>
      </x:c>
      <x:c r="M15" s="32" t="str">
        <x:v>BLOCKED</x:v>
      </x:c>
      <x:c r="N15" s="32" t="str">
        <x:v>GAP-007;GAP-017;GAP-018;GAP-019;GAP-020;GAP-021;GAP-022</x:v>
      </x:c>
    </x:row>
    <x:row r="16">
      <x:c r="A16" s="32" t="str">
        <x:v>RSC-011</x:v>
      </x:c>
      <x:c r="B16" s="32" t="str">
        <x:v>VKM-011</x:v>
      </x:c>
      <x:c r="C16" s="32" t="str">
        <x:v>Греческий</x:v>
      </x:c>
      <x:c r="D16" s="32" t="str">
        <x:v>Холодный участок</x:v>
      </x:c>
      <x:c r="E16" s="32" t="n">
        <x:v>4</x:v>
      </x:c>
      <x:c r="F16" s="32" t="n">
        <x:v>4</x:v>
      </x:c>
      <x:c r="G16" s="32" t="str">
        <x:v>CLD-03;CLD-07</x:v>
      </x:c>
      <x:c r="H16" s="32" t="str">
        <x:v>CLD-09</x:v>
      </x:c>
      <x:c r="I16" s="32" t="n">
        <x:v>10</x:v>
      </x:c>
      <x:c r="J16" s="32" t="n">
        <x:v>12</x:v>
      </x:c>
      <x:c r="K16" s="32" t="str">
        <x:v>BLOCKED</x:v>
      </x:c>
      <x:c r="L16" s="32" t="str">
        <x:v>BLOCKED</x:v>
      </x:c>
      <x:c r="M16" s="32" t="str">
        <x:v>BLOCKED</x:v>
      </x:c>
      <x:c r="N16" s="32" t="str">
        <x:v>GAP-007;GAP-017;GAP-018;GAP-019;GAP-020;GAP-021;GAP-022</x:v>
      </x:c>
    </x:row>
    <x:row r="17">
      <x:c r="A17" s="32" t="str">
        <x:v>RSC-012</x:v>
      </x:c>
      <x:c r="B17" s="32" t="str">
        <x:v>VKM-012</x:v>
      </x:c>
      <x:c r="C17" s="32" t="str">
        <x:v>Винегрет</x:v>
      </x:c>
      <x:c r="D17" s="32" t="str">
        <x:v>Холодный участок</x:v>
      </x:c>
      <x:c r="E17" s="32" t="n">
        <x:v>5</x:v>
      </x:c>
      <x:c r="F17" s="32" t="n">
        <x:v>5</x:v>
      </x:c>
      <x:c r="G17" s="32" t="str">
        <x:v>CLD-03;CLD-07;HOT-09;STO-10</x:v>
      </x:c>
      <x:c r="H17" s="32" t="str">
        <x:v>CLD-09</x:v>
      </x:c>
      <x:c r="I17" s="32" t="n">
        <x:v>18</x:v>
      </x:c>
      <x:c r="J17" s="32" t="n">
        <x:v>90</x:v>
      </x:c>
      <x:c r="K17" s="32" t="str">
        <x:v>BLOCKED</x:v>
      </x:c>
      <x:c r="L17" s="32" t="str">
        <x:v>BLOCKED</x:v>
      </x:c>
      <x:c r="M17" s="32" t="str">
        <x:v>BLOCKED</x:v>
      </x:c>
      <x:c r="N17" s="32" t="str">
        <x:v>GAP-007;GAP-017;GAP-018;GAP-019;GAP-020;GAP-021;GAP-022</x:v>
      </x:c>
    </x:row>
    <x:row r="18">
      <x:c r="A18" s="32" t="str">
        <x:v>RSC-013</x:v>
      </x:c>
      <x:c r="B18" s="32" t="str">
        <x:v>VKM-013</x:v>
      </x:c>
      <x:c r="C18" s="32" t="str">
        <x:v>Слабосолёный лосось</x:v>
      </x:c>
      <x:c r="D18" s="32" t="str">
        <x:v>Холодный участок</x:v>
      </x:c>
      <x:c r="E18" s="32" t="n">
        <x:v>5</x:v>
      </x:c>
      <x:c r="F18" s="32" t="n">
        <x:v>5</x:v>
      </x:c>
      <x:c r="G18" s="32" t="str">
        <x:v>CLD-03;CLD-07</x:v>
      </x:c>
      <x:c r="H18" s="32" t="str">
        <x:v>CLD-09</x:v>
      </x:c>
      <x:c r="I18" s="32" t="n">
        <x:v>7</x:v>
      </x:c>
      <x:c r="J18" s="32" t="n">
        <x:v>10</x:v>
      </x:c>
      <x:c r="K18" s="32" t="str">
        <x:v>BLOCKED</x:v>
      </x:c>
      <x:c r="L18" s="32" t="str">
        <x:v>BLOCKED</x:v>
      </x:c>
      <x:c r="M18" s="32" t="str">
        <x:v>BLOCKED</x:v>
      </x:c>
      <x:c r="N18" s="32" t="str">
        <x:v>GAP-007;GAP-017;GAP-018;GAP-019;GAP-020;GAP-021;GAP-022</x:v>
      </x:c>
    </x:row>
    <x:row r="19">
      <x:c r="A19" s="32" t="str">
        <x:v>RSC-014</x:v>
      </x:c>
      <x:c r="B19" s="32" t="str">
        <x:v>VKM-014</x:v>
      </x:c>
      <x:c r="C19" s="32" t="str">
        <x:v>Сельдь с запечённым картофелем</x:v>
      </x:c>
      <x:c r="D19" s="32" t="str">
        <x:v>Холодный участок</x:v>
      </x:c>
      <x:c r="E19" s="32" t="n">
        <x:v>4</x:v>
      </x:c>
      <x:c r="F19" s="32" t="n">
        <x:v>4</x:v>
      </x:c>
      <x:c r="G19" s="32" t="str">
        <x:v>HOT-01;CLD-03;CLD-07;HOT-09;STO-10</x:v>
      </x:c>
      <x:c r="H19" s="32"/>
      <x:c r="I19" s="32" t="n">
        <x:v>14</x:v>
      </x:c>
      <x:c r="J19" s="32" t="n">
        <x:v>55</x:v>
      </x:c>
      <x:c r="K19" s="32" t="str">
        <x:v>BLOCKED</x:v>
      </x:c>
      <x:c r="L19" s="32" t="str">
        <x:v>BLOCKED</x:v>
      </x:c>
      <x:c r="M19" s="32" t="str">
        <x:v>BLOCKED</x:v>
      </x:c>
      <x:c r="N19" s="32" t="str">
        <x:v>GAP-007;GAP-017;GAP-018;GAP-019;GAP-020;GAP-021;GAP-022</x:v>
      </x:c>
    </x:row>
    <x:row r="20">
      <x:c r="A20" s="32" t="str">
        <x:v>RSC-015</x:v>
      </x:c>
      <x:c r="B20" s="32" t="str">
        <x:v>VKM-015</x:v>
      </x:c>
      <x:c r="C20" s="32" t="str">
        <x:v>Оливки и маслины</x:v>
      </x:c>
      <x:c r="D20" s="32" t="str">
        <x:v>Холодный участок</x:v>
      </x:c>
      <x:c r="E20" s="32" t="n">
        <x:v>5</x:v>
      </x:c>
      <x:c r="F20" s="32" t="n">
        <x:v>5</x:v>
      </x:c>
      <x:c r="G20" s="32" t="str">
        <x:v>CLD-03;CLD-07</x:v>
      </x:c>
      <x:c r="H20" s="32" t="str">
        <x:v>CLD-09</x:v>
      </x:c>
      <x:c r="I20" s="32" t="n">
        <x:v>8</x:v>
      </x:c>
      <x:c r="J20" s="32" t="n">
        <x:v>40</x:v>
      </x:c>
      <x:c r="K20" s="32" t="str">
        <x:v>BLOCKED</x:v>
      </x:c>
      <x:c r="L20" s="32" t="str">
        <x:v>BLOCKED</x:v>
      </x:c>
      <x:c r="M20" s="32" t="str">
        <x:v>BLOCKED</x:v>
      </x:c>
      <x:c r="N20" s="32" t="str">
        <x:v>GAP-007;GAP-017;GAP-018;GAP-019;GAP-020;GAP-021;GAP-022</x:v>
      </x:c>
    </x:row>
    <x:row r="21">
      <x:c r="A21" s="32" t="str">
        <x:v>RSC-016</x:v>
      </x:c>
      <x:c r="B21" s="32" t="str">
        <x:v>VKM-016</x:v>
      </x:c>
      <x:c r="C21" s="32" t="str">
        <x:v>Ассорти фирменных солений</x:v>
      </x:c>
      <x:c r="D21" s="32" t="str">
        <x:v>Холодный участок</x:v>
      </x:c>
      <x:c r="E21" s="32" t="n">
        <x:v>4</x:v>
      </x:c>
      <x:c r="F21" s="32" t="n">
        <x:v>4</x:v>
      </x:c>
      <x:c r="G21" s="32" t="str">
        <x:v>CLD-03;CLD-07</x:v>
      </x:c>
      <x:c r="H21" s="32" t="str">
        <x:v>CLD-09</x:v>
      </x:c>
      <x:c r="I21" s="32" t="n">
        <x:v>23</x:v>
      </x:c>
      <x:c r="J21" s="32" t="n">
        <x:v>70</x:v>
      </x:c>
      <x:c r="K21" s="32" t="str">
        <x:v>BLOCKED</x:v>
      </x:c>
      <x:c r="L21" s="32" t="str">
        <x:v>BLOCKED</x:v>
      </x:c>
      <x:c r="M21" s="32" t="str">
        <x:v>BLOCKED</x:v>
      </x:c>
      <x:c r="N21" s="32" t="str">
        <x:v>GAP-007;GAP-017;GAP-018;GAP-019;GAP-020;GAP-021;GAP-022</x:v>
      </x:c>
    </x:row>
    <x:row r="22">
      <x:c r="A22" s="32" t="str">
        <x:v>RSC-017</x:v>
      </x:c>
      <x:c r="B22" s="32" t="str">
        <x:v>VKM-017</x:v>
      </x:c>
      <x:c r="C22" s="32" t="str">
        <x:v>Ростбиф с луком и гренкой</x:v>
      </x:c>
      <x:c r="D22" s="32" t="str">
        <x:v>Холодный участок</x:v>
      </x:c>
      <x:c r="E22" s="32" t="n">
        <x:v>5</x:v>
      </x:c>
      <x:c r="F22" s="32" t="n">
        <x:v>5</x:v>
      </x:c>
      <x:c r="G22" s="32" t="str">
        <x:v>CLD-03;CLD-07;BAK-02</x:v>
      </x:c>
      <x:c r="H22" s="32" t="str">
        <x:v>CLD-09;CLD-08</x:v>
      </x:c>
      <x:c r="I22" s="32" t="n">
        <x:v>12</x:v>
      </x:c>
      <x:c r="J22" s="32" t="n">
        <x:v>18</x:v>
      </x:c>
      <x:c r="K22" s="32" t="str">
        <x:v>BLOCKED</x:v>
      </x:c>
      <x:c r="L22" s="32" t="str">
        <x:v>BLOCKED</x:v>
      </x:c>
      <x:c r="M22" s="32" t="str">
        <x:v>BLOCKED</x:v>
      </x:c>
      <x:c r="N22" s="32" t="str">
        <x:v>GAP-007;GAP-017;GAP-018;GAP-019;GAP-020;GAP-021;GAP-022</x:v>
      </x:c>
    </x:row>
    <x:row r="23">
      <x:c r="A23" s="32" t="str">
        <x:v>RSC-018</x:v>
      </x:c>
      <x:c r="B23" s="32" t="str">
        <x:v>VKM-018</x:v>
      </x:c>
      <x:c r="C23" s="32" t="str">
        <x:v>Традиционный красный борщ</x:v>
      </x:c>
      <x:c r="D23" s="32" t="str">
        <x:v>Горячий участок</x:v>
      </x:c>
      <x:c r="E23" s="32" t="n">
        <x:v>6</x:v>
      </x:c>
      <x:c r="F23" s="32" t="n">
        <x:v>6</x:v>
      </x:c>
      <x:c r="G23" s="32" t="str">
        <x:v>HOT-05A;HOT-13;HOT-12</x:v>
      </x:c>
      <x:c r="H23" s="32" t="str">
        <x:v>CLD-09</x:v>
      </x:c>
      <x:c r="I23" s="32" t="n">
        <x:v>35</x:v>
      </x:c>
      <x:c r="J23" s="32" t="n">
        <x:v>180</x:v>
      </x:c>
      <x:c r="K23" s="32" t="str">
        <x:v>BLOCKED</x:v>
      </x:c>
      <x:c r="L23" s="32" t="str">
        <x:v>BLOCKED</x:v>
      </x:c>
      <x:c r="M23" s="32" t="str">
        <x:v>BLOCKED</x:v>
      </x:c>
      <x:c r="N23" s="32" t="str">
        <x:v>GAP-007;GAP-017;GAP-018;GAP-019;GAP-020;GAP-021;GAP-022</x:v>
      </x:c>
    </x:row>
    <x:row r="24">
      <x:c r="A24" s="32" t="str">
        <x:v>RSC-019</x:v>
      </x:c>
      <x:c r="B24" s="32" t="str">
        <x:v>VKM-019</x:v>
      </x:c>
      <x:c r="C24" s="32" t="str">
        <x:v>Мурманская треска со сливочно-горчичным соусом</x:v>
      </x:c>
      <x:c r="D24" s="32" t="str">
        <x:v>Горячий участок</x:v>
      </x:c>
      <x:c r="E24" s="32" t="n">
        <x:v>5</x:v>
      </x:c>
      <x:c r="F24" s="32" t="n">
        <x:v>5</x:v>
      </x:c>
      <x:c r="G24" s="32" t="str">
        <x:v>HOT-01;HOT-13;HOT-05B;HOT-12</x:v>
      </x:c>
      <x:c r="H24" s="32"/>
      <x:c r="I24" s="32" t="n">
        <x:v>18</x:v>
      </x:c>
      <x:c r="J24" s="32" t="n">
        <x:v>28</x:v>
      </x:c>
      <x:c r="K24" s="32" t="str">
        <x:v>BLOCKED</x:v>
      </x:c>
      <x:c r="L24" s="32" t="str">
        <x:v>BLOCKED</x:v>
      </x:c>
      <x:c r="M24" s="32" t="str">
        <x:v>BLOCKED</x:v>
      </x:c>
      <x:c r="N24" s="32" t="str">
        <x:v>GAP-007;GAP-017;GAP-018;GAP-019;GAP-020;GAP-021;GAP-022</x:v>
      </x:c>
    </x:row>
    <x:row r="25">
      <x:c r="A25" s="32" t="str">
        <x:v>RSC-020</x:v>
      </x:c>
      <x:c r="B25" s="32" t="str">
        <x:v>VKM-020</x:v>
      </x:c>
      <x:c r="C25" s="32" t="str">
        <x:v>Креветки по-тайски</x:v>
      </x:c>
      <x:c r="D25" s="32" t="str">
        <x:v>Горячий участок</x:v>
      </x:c>
      <x:c r="E25" s="32" t="n">
        <x:v>5</x:v>
      </x:c>
      <x:c r="F25" s="32" t="n">
        <x:v>5</x:v>
      </x:c>
      <x:c r="G25" s="32" t="str">
        <x:v>HOT-03;HOT-13;HOT-02;HOT-12</x:v>
      </x:c>
      <x:c r="H25" s="32"/>
      <x:c r="I25" s="32" t="n">
        <x:v>20</x:v>
      </x:c>
      <x:c r="J25" s="32" t="n">
        <x:v>30</x:v>
      </x:c>
      <x:c r="K25" s="32" t="str">
        <x:v>BLOCKED</x:v>
      </x:c>
      <x:c r="L25" s="32" t="str">
        <x:v>BLOCKED</x:v>
      </x:c>
      <x:c r="M25" s="32" t="str">
        <x:v>BLOCKED</x:v>
      </x:c>
      <x:c r="N25" s="32" t="str">
        <x:v>GAP-007;GAP-017;GAP-018;GAP-019;GAP-020;GAP-021;GAP-022</x:v>
      </x:c>
    </x:row>
    <x:row r="26">
      <x:c r="A26" s="32" t="str">
        <x:v>RSC-021</x:v>
      </x:c>
      <x:c r="B26" s="32" t="str">
        <x:v>VKM-021</x:v>
      </x:c>
      <x:c r="C26" s="32" t="str">
        <x:v>Бургер VARSHAVKA</x:v>
      </x:c>
      <x:c r="D26" s="32" t="str">
        <x:v>Горячий участок</x:v>
      </x:c>
      <x:c r="E26" s="32" t="n">
        <x:v>5</x:v>
      </x:c>
      <x:c r="F26" s="32" t="n">
        <x:v>5</x:v>
      </x:c>
      <x:c r="G26" s="32" t="str">
        <x:v>HOT-02;HOT-13;HOT-12</x:v>
      </x:c>
      <x:c r="H26" s="32"/>
      <x:c r="I26" s="32" t="n">
        <x:v>15</x:v>
      </x:c>
      <x:c r="J26" s="32" t="n">
        <x:v>25</x:v>
      </x:c>
      <x:c r="K26" s="32" t="str">
        <x:v>BLOCKED</x:v>
      </x:c>
      <x:c r="L26" s="32" t="str">
        <x:v>BLOCKED</x:v>
      </x:c>
      <x:c r="M26" s="32" t="str">
        <x:v>BLOCKED</x:v>
      </x:c>
      <x:c r="N26" s="32" t="str">
        <x:v>GAP-007;GAP-017;GAP-018;GAP-019;GAP-020;GAP-021;GAP-022</x:v>
      </x:c>
    </x:row>
    <x:row r="27">
      <x:c r="A27" s="32" t="str">
        <x:v>RSC-022</x:v>
      </x:c>
      <x:c r="B27" s="32" t="str">
        <x:v>VKM-022</x:v>
      </x:c>
      <x:c r="C27" s="32" t="str">
        <x:v>Миньоны из говяжьей вырезки</x:v>
      </x:c>
      <x:c r="D27" s="32" t="str">
        <x:v>Горячий участок</x:v>
      </x:c>
      <x:c r="E27" s="32" t="n">
        <x:v>6</x:v>
      </x:c>
      <x:c r="F27" s="32" t="n">
        <x:v>6</x:v>
      </x:c>
      <x:c r="G27" s="32" t="str">
        <x:v>HOT-02;HOT-13;HOT-12;HOT-05B</x:v>
      </x:c>
      <x:c r="H27" s="32" t="str">
        <x:v>CLD-08</x:v>
      </x:c>
      <x:c r="I27" s="32" t="n">
        <x:v>22</x:v>
      </x:c>
      <x:c r="J27" s="32" t="n">
        <x:v>35</x:v>
      </x:c>
      <x:c r="K27" s="32" t="str">
        <x:v>BLOCKED</x:v>
      </x:c>
      <x:c r="L27" s="32" t="str">
        <x:v>BLOCKED</x:v>
      </x:c>
      <x:c r="M27" s="32" t="str">
        <x:v>BLOCKED</x:v>
      </x:c>
      <x:c r="N27" s="32" t="str">
        <x:v>GAP-007;GAP-017;GAP-018;GAP-019;GAP-020;GAP-021;GAP-022</x:v>
      </x:c>
    </x:row>
    <x:row r="28">
      <x:c r="A28" s="32" t="str">
        <x:v>RSC-023</x:v>
      </x:c>
      <x:c r="B28" s="32" t="str">
        <x:v>VKM-023</x:v>
      </x:c>
      <x:c r="C28" s="32" t="str">
        <x:v>Запечённый картофель</x:v>
      </x:c>
      <x:c r="D28" s="32" t="str">
        <x:v>Горячий участок</x:v>
      </x:c>
      <x:c r="E28" s="32" t="n">
        <x:v>5</x:v>
      </x:c>
      <x:c r="F28" s="32" t="n">
        <x:v>5</x:v>
      </x:c>
      <x:c r="G28" s="32" t="str">
        <x:v>HOT-12;HOT-13;HOT-01</x:v>
      </x:c>
      <x:c r="H28" s="32" t="str">
        <x:v>CLD-09</x:v>
      </x:c>
      <x:c r="I28" s="32" t="n">
        <x:v>13</x:v>
      </x:c>
      <x:c r="J28" s="32" t="n">
        <x:v>45</x:v>
      </x:c>
      <x:c r="K28" s="32" t="str">
        <x:v>BLOCKED</x:v>
      </x:c>
      <x:c r="L28" s="32" t="str">
        <x:v>BLOCKED</x:v>
      </x:c>
      <x:c r="M28" s="32" t="str">
        <x:v>BLOCKED</x:v>
      </x:c>
      <x:c r="N28" s="32" t="str">
        <x:v>GAP-007;GAP-017;GAP-018;GAP-019;GAP-020;GAP-021;GAP-022</x:v>
      </x:c>
    </x:row>
    <x:row r="29">
      <x:c r="A29" s="32" t="str">
        <x:v>RSC-024</x:v>
      </x:c>
      <x:c r="B29" s="32" t="str">
        <x:v>VKM-024</x:v>
      </x:c>
      <x:c r="C29" s="32" t="str">
        <x:v>Рис жасмин</x:v>
      </x:c>
      <x:c r="D29" s="32" t="str">
        <x:v>Горячий участок</x:v>
      </x:c>
      <x:c r="E29" s="32" t="n">
        <x:v>6</x:v>
      </x:c>
      <x:c r="F29" s="32" t="n">
        <x:v>6</x:v>
      </x:c>
      <x:c r="G29" s="32" t="str">
        <x:v>HOT-06;HOT-13;HOT-12</x:v>
      </x:c>
      <x:c r="H29" s="32" t="str">
        <x:v>CLD-09</x:v>
      </x:c>
      <x:c r="I29" s="32" t="n">
        <x:v>8</x:v>
      </x:c>
      <x:c r="J29" s="32" t="n">
        <x:v>35</x:v>
      </x:c>
      <x:c r="K29" s="32" t="str">
        <x:v>BLOCKED</x:v>
      </x:c>
      <x:c r="L29" s="32" t="str">
        <x:v>BLOCKED</x:v>
      </x:c>
      <x:c r="M29" s="32" t="str">
        <x:v>BLOCKED</x:v>
      </x:c>
      <x:c r="N29" s="32" t="str">
        <x:v>GAP-007;GAP-017;GAP-018;GAP-019;GAP-020;GAP-021;GAP-022</x:v>
      </x:c>
    </x:row>
    <x:row r="30">
      <x:c r="A30" s="32" t="str">
        <x:v>RSC-025</x:v>
      </x:c>
      <x:c r="B30" s="32" t="str">
        <x:v>VKM-025</x:v>
      </x:c>
      <x:c r="C30" s="32" t="str">
        <x:v>Горячие овощи</x:v>
      </x:c>
      <x:c r="D30" s="32" t="str">
        <x:v>Горячий участок</x:v>
      </x:c>
      <x:c r="E30" s="32" t="n">
        <x:v>5</x:v>
      </x:c>
      <x:c r="F30" s="32" t="n">
        <x:v>5</x:v>
      </x:c>
      <x:c r="G30" s="32" t="str">
        <x:v>HOT-12;HOT-13;HOT-03</x:v>
      </x:c>
      <x:c r="H30" s="32" t="str">
        <x:v>CLD-09</x:v>
      </x:c>
      <x:c r="I30" s="32" t="n">
        <x:v>15</x:v>
      </x:c>
      <x:c r="J30" s="32" t="n">
        <x:v>22</x:v>
      </x:c>
      <x:c r="K30" s="32" t="str">
        <x:v>BLOCKED</x:v>
      </x:c>
      <x:c r="L30" s="32" t="str">
        <x:v>BLOCKED</x:v>
      </x:c>
      <x:c r="M30" s="32" t="str">
        <x:v>BLOCKED</x:v>
      </x:c>
      <x:c r="N30" s="32" t="str">
        <x:v>GAP-007;GAP-017;GAP-018;GAP-019;GAP-020;GAP-021;GAP-022</x:v>
      </x:c>
    </x:row>
    <x:row r="31">
      <x:c r="A31" s="32" t="str">
        <x:v>RSC-026</x:v>
      </x:c>
      <x:c r="B31" s="32" t="str">
        <x:v>VKM-029</x:v>
      </x:c>
      <x:c r="C31" s="32" t="str">
        <x:v>Черничный торт VARSHAVKA</x:v>
      </x:c>
      <x:c r="D31" s="32" t="str">
        <x:v>Пицца, хлеб, десерты</x:v>
      </x:c>
      <x:c r="E31" s="32" t="n">
        <x:v>7</x:v>
      </x:c>
      <x:c r="F31" s="32" t="n">
        <x:v>7</x:v>
      </x:c>
      <x:c r="G31" s="32" t="str">
        <x:v>BAK-04;BAK-02;BAK-07;BAK-06;STO-09;HOT-05B</x:v>
      </x:c>
      <x:c r="H31" s="32"/>
      <x:c r="I31" s="32" t="n">
        <x:v>120</x:v>
      </x:c>
      <x:c r="J31" s="32" t="n">
        <x:v>600</x:v>
      </x:c>
      <x:c r="K31" s="32" t="str">
        <x:v>BLOCKED</x:v>
      </x:c>
      <x:c r="L31" s="32" t="str">
        <x:v>BLOCKED</x:v>
      </x:c>
      <x:c r="M31" s="32" t="str">
        <x:v>BLOCKED</x:v>
      </x:c>
      <x:c r="N31" s="32" t="str">
        <x:v>GAP-007;GAP-017;GAP-018;GAP-019;GAP-020;GAP-021;GAP-022</x:v>
      </x:c>
    </x:row>
    <x:row r="32">
      <x:c r="A32" s="32" t="str">
        <x:v>RSC-027</x:v>
      </x:c>
      <x:c r="B32" s="32" t="str">
        <x:v>VKM-030</x:v>
      </x:c>
      <x:c r="C32" s="32" t="str">
        <x:v>Кростата с солёной карамелью</x:v>
      </x:c>
      <x:c r="D32" s="32" t="str">
        <x:v>Пицца, хлеб, десерты</x:v>
      </x:c>
      <x:c r="E32" s="32" t="n">
        <x:v>8</x:v>
      </x:c>
      <x:c r="F32" s="32" t="n">
        <x:v>8</x:v>
      </x:c>
      <x:c r="G32" s="32" t="str">
        <x:v>BAK-04;BAK-07;BAK-06;STO-09;BAK-02;HOT-05B</x:v>
      </x:c>
      <x:c r="H32" s="32"/>
      <x:c r="I32" s="32" t="n">
        <x:v>90</x:v>
      </x:c>
      <x:c r="J32" s="32" t="n">
        <x:v>420</x:v>
      </x:c>
      <x:c r="K32" s="32" t="str">
        <x:v>BLOCKED</x:v>
      </x:c>
      <x:c r="L32" s="32" t="str">
        <x:v>BLOCKED</x:v>
      </x:c>
      <x:c r="M32" s="32" t="str">
        <x:v>BLOCKED</x:v>
      </x:c>
      <x:c r="N32" s="32" t="str">
        <x:v>GAP-007;GAP-017;GAP-018;GAP-019;GAP-020;GAP-021;GAP-022</x:v>
      </x:c>
    </x:row>
    <x:row r="33">
      <x:c r="A33" s="32" t="str">
        <x:v>RSC-028</x:v>
      </x:c>
      <x:c r="B33" s="32" t="str">
        <x:v>VKM-031</x:v>
      </x:c>
      <x:c r="C33" s="32" t="str">
        <x:v>Мадлен</x:v>
      </x:c>
      <x:c r="D33" s="32" t="str">
        <x:v>Пицца, хлеб, десерты</x:v>
      </x:c>
      <x:c r="E33" s="32" t="n">
        <x:v>6</x:v>
      </x:c>
      <x:c r="F33" s="32" t="n">
        <x:v>6</x:v>
      </x:c>
      <x:c r="G33" s="32" t="str">
        <x:v>BAK-04;BAK-07;STO-09;BAK-02;BAK-06</x:v>
      </x:c>
      <x:c r="H33" s="32"/>
      <x:c r="I33" s="32" t="n">
        <x:v>30</x:v>
      </x:c>
      <x:c r="J33" s="32" t="n">
        <x:v>120</x:v>
      </x:c>
      <x:c r="K33" s="32" t="str">
        <x:v>BLOCKED</x:v>
      </x:c>
      <x:c r="L33" s="32" t="str">
        <x:v>BLOCKED</x:v>
      </x:c>
      <x:c r="M33" s="32" t="str">
        <x:v>BLOCKED</x:v>
      </x:c>
      <x:c r="N33" s="32" t="str">
        <x:v>GAP-007;GAP-017;GAP-018;GAP-019;GAP-020;GAP-021;GAP-022</x:v>
      </x:c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>
      <x:c r="A36" s="34" t="str">
        <x:v>Operation-to-function mapping (155)</x:v>
      </x:c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</x:row>
    <x:row r="37" ht="34" customHeight="1">
      <x:c r="A37" s="31" t="str">
        <x:v>Mapping</x:v>
      </x:c>
      <x:c r="B37" s="31" t="str">
        <x:v>Dish ID</x:v>
      </x:c>
      <x:c r="C37" s="31" t="str">
        <x:v>Блюдо</x:v>
      </x:c>
      <x:c r="D37" s="31" t="str">
        <x:v>Op</x:v>
      </x:c>
      <x:c r="E37" s="31" t="str">
        <x:v>Операция</x:v>
      </x:c>
      <x:c r="F37" s="31" t="str">
        <x:v>Functions</x:v>
      </x:c>
      <x:c r="G37" s="31" t="str">
        <x:v>Equipment/function</x:v>
      </x:c>
      <x:c r="H37" s="31" t="str">
        <x:v>CAPEX</x:v>
      </x:c>
      <x:c r="I37" s="31" t="str">
        <x:v>Role</x:v>
      </x:c>
      <x:c r="J37" s="31" t="str">
        <x:v>Min</x:v>
      </x:c>
      <x:c r="K37" s="31" t="str">
        <x:v>Passport cap.</x:v>
      </x:c>
      <x:c r="L37" s="31" t="str">
        <x:v>Capacity</x:v>
      </x:c>
      <x:c r="M37" s="31" t="str">
        <x:v>Status</x:v>
      </x:c>
      <x:c r="N37" s="31" t="str">
        <x:v>Blockers</x:v>
      </x:c>
    </x:row>
    <x:row r="38">
      <x:c r="A38" s="32" t="str">
        <x:v>EQM-0001</x:v>
      </x:c>
      <x:c r="B38" s="32" t="str">
        <x:v>VKM-001</x:v>
      </x:c>
      <x:c r="C38" s="32" t="str">
        <x:v>Маргарита</x:v>
      </x:c>
      <x:c r="D38" s="32" t="n">
        <x:v>1</x:v>
      </x:c>
      <x:c r="E38" s="32" t="str">
        <x:v>Подготовить тесто и соус</x:v>
      </x:c>
      <x:c r="F38" s="32" t="str">
        <x:v>BAK-03;BAK-12;HOT-05B</x:v>
      </x:c>
      <x:c r="G38" s="32" t="str">
        <x:v>Спиральный тестомес;Холодильный пицца-стол;Индукционная плита 2 зоны</x:v>
      </x:c>
      <x:c r="H38" s="32" t="str">
        <x:v>CAPEX.BAK.003;CAPEX.BAK.012;CAPEX.HOT.006</x:v>
      </x:c>
      <x:c r="I38" s="32" t="str">
        <x:v>MIXING_SAUCE_AND_PREP</x:v>
      </x:c>
      <x:c r="J38" s="32"/>
      <x:c r="K38" s="32"/>
      <x:c r="L38" s="32" t="str">
        <x:v>BLOCKED</x:v>
      </x:c>
      <x:c r="M38" s="32" t="str">
        <x:v>ESTIMATE</x:v>
      </x:c>
      <x:c r="N38" s="32" t="str">
        <x:v>GAP-007;GAP-017;GAP-018;GAP-019</x:v>
      </x:c>
    </x:row>
    <x:row r="39">
      <x:c r="A39" s="32" t="str">
        <x:v>EQM-0002</x:v>
      </x:c>
      <x:c r="B39" s="32" t="str">
        <x:v>VKM-001</x:v>
      </x:c>
      <x:c r="C39" s="32" t="str">
        <x:v>Маргарита</x:v>
      </x:c>
      <x:c r="D39" s="32" t="n">
        <x:v>2</x:v>
      </x:c>
      <x:c r="E39" s="32" t="str">
        <x:v>выдержать тесто</x:v>
      </x:c>
      <x:c r="F39" s="32" t="str">
        <x:v>STO-08</x:v>
      </x:c>
      <x:c r="G39" s="32" t="str">
        <x:v>Холодная ферментация теста</x:v>
      </x:c>
      <x:c r="H39" s="32" t="str">
        <x:v>CAPEX.STO.008</x:v>
      </x:c>
      <x:c r="I39" s="32" t="str">
        <x:v>CONTROLLED_HOLDING</x:v>
      </x:c>
      <x:c r="J39" s="32"/>
      <x:c r="K39" s="32"/>
      <x:c r="L39" s="32" t="str">
        <x:v>BLOCKED</x:v>
      </x:c>
      <x:c r="M39" s="32" t="str">
        <x:v>ESTIMATE</x:v>
      </x:c>
      <x:c r="N39" s="32" t="str">
        <x:v>GAP-007;GAP-017;GAP-018;GAP-019</x:v>
      </x:c>
    </x:row>
    <x:row r="40">
      <x:c r="A40" s="32" t="str">
        <x:v>EQM-0003</x:v>
      </x:c>
      <x:c r="B40" s="32" t="str">
        <x:v>VKM-001</x:v>
      </x:c>
      <x:c r="C40" s="32" t="str">
        <x:v>Маргарита</x:v>
      </x:c>
      <x:c r="D40" s="32" t="n">
        <x:v>3</x:v>
      </x:c>
      <x:c r="E40" s="32" t="str">
        <x:v>сформовать основу</x:v>
      </x:c>
      <x:c r="F40" s="32" t="str">
        <x:v>BAK-12</x:v>
      </x:c>
      <x:c r="G40" s="32" t="str">
        <x:v>Холодильный пицца-стол</x:v>
      </x:c>
      <x:c r="H40" s="32" t="str">
        <x:v>CAPEX.BAK.012</x:v>
      </x:c>
      <x:c r="I40" s="32" t="str">
        <x:v>FORMING_ASSEMBLY_FINISH</x:v>
      </x:c>
      <x:c r="J40" s="32"/>
      <x:c r="K40" s="32"/>
      <x:c r="L40" s="32" t="str">
        <x:v>BLOCKED</x:v>
      </x:c>
      <x:c r="M40" s="32" t="str">
        <x:v>ESTIMATE</x:v>
      </x:c>
      <x:c r="N40" s="32" t="str">
        <x:v>GAP-007;GAP-017;GAP-018;GAP-019</x:v>
      </x:c>
    </x:row>
    <x:row r="41">
      <x:c r="A41" s="32" t="str">
        <x:v>EQM-0004</x:v>
      </x:c>
      <x:c r="B41" s="32" t="str">
        <x:v>VKM-001</x:v>
      </x:c>
      <x:c r="C41" s="32" t="str">
        <x:v>Маргарита</x:v>
      </x:c>
      <x:c r="D41" s="32" t="n">
        <x:v>4</x:v>
      </x:c>
      <x:c r="E41" s="32" t="str">
        <x:v>нанести соус и сыр</x:v>
      </x:c>
      <x:c r="F41" s="32" t="str">
        <x:v>HOT-05B;BAK-12</x:v>
      </x:c>
      <x:c r="G41" s="32" t="str">
        <x:v>Индукционная плита 2 зоны;Холодильный пицца-стол</x:v>
      </x:c>
      <x:c r="H41" s="32" t="str">
        <x:v>CAPEX.HOT.006;CAPEX.BAK.012</x:v>
      </x:c>
      <x:c r="I41" s="32" t="str">
        <x:v>SAUCE_PREP_AND_ASSEMBLY</x:v>
      </x:c>
      <x:c r="J41" s="32"/>
      <x:c r="K41" s="32"/>
      <x:c r="L41" s="32" t="str">
        <x:v>BLOCKED</x:v>
      </x:c>
      <x:c r="M41" s="32" t="str">
        <x:v>ESTIMATE</x:v>
      </x:c>
      <x:c r="N41" s="32" t="str">
        <x:v>GAP-007;GAP-017;GAP-018;GAP-019</x:v>
      </x:c>
    </x:row>
    <x:row r="42">
      <x:c r="A42" s="32" t="str">
        <x:v>EQM-0005</x:v>
      </x:c>
      <x:c r="B42" s="32" t="str">
        <x:v>VKM-001</x:v>
      </x:c>
      <x:c r="C42" s="32" t="str">
        <x:v>Маргарита</x:v>
      </x:c>
      <x:c r="D42" s="32" t="n">
        <x:v>5</x:v>
      </x:c>
      <x:c r="E42" s="32" t="str">
        <x:v>выпечь</x:v>
      </x:c>
      <x:c r="F42" s="32" t="str">
        <x:v>BAK-01</x:v>
      </x:c>
      <x:c r="G42" s="32" t="str">
        <x:v>Печь для пиццы</x:v>
      </x:c>
      <x:c r="H42" s="32" t="str">
        <x:v>CAPEX.BAK.001</x:v>
      </x:c>
      <x:c r="I42" s="32" t="str">
        <x:v>THERMAL_PROCESS</x:v>
      </x:c>
      <x:c r="J42" s="32"/>
      <x:c r="K42" s="32"/>
      <x:c r="L42" s="32" t="str">
        <x:v>BLOCKED</x:v>
      </x:c>
      <x:c r="M42" s="32" t="str">
        <x:v>ESTIMATE</x:v>
      </x:c>
      <x:c r="N42" s="32" t="str">
        <x:v>GAP-007;GAP-017;GAP-018;GAP-019</x:v>
      </x:c>
    </x:row>
    <x:row r="43">
      <x:c r="A43" s="32" t="str">
        <x:v>EQM-0006</x:v>
      </x:c>
      <x:c r="B43" s="32" t="str">
        <x:v>VKM-001</x:v>
      </x:c>
      <x:c r="C43" s="32" t="str">
        <x:v>Маргарита</x:v>
      </x:c>
      <x:c r="D43" s="32" t="n">
        <x:v>6</x:v>
      </x:c>
      <x:c r="E43" s="32" t="str">
        <x:v>добавить базилик и масло</x:v>
      </x:c>
      <x:c r="F43" s="32" t="str">
        <x:v>BAK-12</x:v>
      </x:c>
      <x:c r="G43" s="32" t="str">
        <x:v>Холодильный пицца-стол</x:v>
      </x:c>
      <x:c r="H43" s="32" t="str">
        <x:v>CAPEX.BAK.012</x:v>
      </x:c>
      <x:c r="I43" s="32" t="str">
        <x:v>FORMING_ASSEMBLY_FINISH</x:v>
      </x:c>
      <x:c r="J43" s="32"/>
      <x:c r="K43" s="32"/>
      <x:c r="L43" s="32" t="str">
        <x:v>BLOCKED</x:v>
      </x:c>
      <x:c r="M43" s="32" t="str">
        <x:v>ESTIMATE</x:v>
      </x:c>
      <x:c r="N43" s="32" t="str">
        <x:v>GAP-007;GAP-017;GAP-018;GAP-019</x:v>
      </x:c>
    </x:row>
    <x:row r="44">
      <x:c r="A44" s="32" t="str">
        <x:v>EQM-0007</x:v>
      </x:c>
      <x:c r="B44" s="32" t="str">
        <x:v>VKM-002</x:v>
      </x:c>
      <x:c r="C44" s="32" t="str">
        <x:v>Четыре сыра</x:v>
      </x:c>
      <x:c r="D44" s="32" t="n">
        <x:v>1</x:v>
      </x:c>
      <x:c r="E44" s="32" t="str">
        <x:v>Подготовить тесто и соус</x:v>
      </x:c>
      <x:c r="F44" s="32" t="str">
        <x:v>BAK-03;BAK-12;HOT-05B</x:v>
      </x:c>
      <x:c r="G44" s="32" t="str">
        <x:v>Спиральный тестомес;Холодильный пицца-стол;Индукционная плита 2 зоны</x:v>
      </x:c>
      <x:c r="H44" s="32" t="str">
        <x:v>CAPEX.BAK.003;CAPEX.BAK.012;CAPEX.HOT.006</x:v>
      </x:c>
      <x:c r="I44" s="32" t="str">
        <x:v>MIXING_SAUCE_AND_PREP</x:v>
      </x:c>
      <x:c r="J44" s="32"/>
      <x:c r="K44" s="32"/>
      <x:c r="L44" s="32" t="str">
        <x:v>BLOCKED</x:v>
      </x:c>
      <x:c r="M44" s="32" t="str">
        <x:v>ESTIMATE</x:v>
      </x:c>
      <x:c r="N44" s="32" t="str">
        <x:v>GAP-007;GAP-017;GAP-018;GAP-019</x:v>
      </x:c>
    </x:row>
    <x:row r="45">
      <x:c r="A45" s="32" t="str">
        <x:v>EQM-0008</x:v>
      </x:c>
      <x:c r="B45" s="32" t="str">
        <x:v>VKM-002</x:v>
      </x:c>
      <x:c r="C45" s="32" t="str">
        <x:v>Четыре сыра</x:v>
      </x:c>
      <x:c r="D45" s="32" t="n">
        <x:v>2</x:v>
      </x:c>
      <x:c r="E45" s="32" t="str">
        <x:v>сформовать</x:v>
      </x:c>
      <x:c r="F45" s="32" t="str">
        <x:v>BAK-12</x:v>
      </x:c>
      <x:c r="G45" s="32" t="str">
        <x:v>Холодильный пицца-стол</x:v>
      </x:c>
      <x:c r="H45" s="32" t="str">
        <x:v>CAPEX.BAK.012</x:v>
      </x:c>
      <x:c r="I45" s="32" t="str">
        <x:v>FORMING_ASSEMBLY_FINISH</x:v>
      </x:c>
      <x:c r="J45" s="32"/>
      <x:c r="K45" s="32"/>
      <x:c r="L45" s="32" t="str">
        <x:v>BLOCKED</x:v>
      </x:c>
      <x:c r="M45" s="32" t="str">
        <x:v>ESTIMATE</x:v>
      </x:c>
      <x:c r="N45" s="32" t="str">
        <x:v>GAP-007;GAP-017;GAP-018;GAP-019</x:v>
      </x:c>
    </x:row>
    <x:row r="46">
      <x:c r="A46" s="32" t="str">
        <x:v>EQM-0009</x:v>
      </x:c>
      <x:c r="B46" s="32" t="str">
        <x:v>VKM-002</x:v>
      </x:c>
      <x:c r="C46" s="32" t="str">
        <x:v>Четыре сыра</x:v>
      </x:c>
      <x:c r="D46" s="32" t="n">
        <x:v>3</x:v>
      </x:c>
      <x:c r="E46" s="32" t="str">
        <x:v>распределить четыре сыра</x:v>
      </x:c>
      <x:c r="F46" s="32" t="str">
        <x:v>BAK-12</x:v>
      </x:c>
      <x:c r="G46" s="32" t="str">
        <x:v>Холодильный пицца-стол</x:v>
      </x:c>
      <x:c r="H46" s="32" t="str">
        <x:v>CAPEX.BAK.012</x:v>
      </x:c>
      <x:c r="I46" s="32" t="str">
        <x:v>FORMING_ASSEMBLY_FINISH</x:v>
      </x:c>
      <x:c r="J46" s="32"/>
      <x:c r="K46" s="32"/>
      <x:c r="L46" s="32" t="str">
        <x:v>BLOCKED</x:v>
      </x:c>
      <x:c r="M46" s="32" t="str">
        <x:v>ESTIMATE</x:v>
      </x:c>
      <x:c r="N46" s="32" t="str">
        <x:v>GAP-007;GAP-017;GAP-018;GAP-019</x:v>
      </x:c>
    </x:row>
    <x:row r="47">
      <x:c r="A47" s="32" t="str">
        <x:v>EQM-0010</x:v>
      </x:c>
      <x:c r="B47" s="32" t="str">
        <x:v>VKM-002</x:v>
      </x:c>
      <x:c r="C47" s="32" t="str">
        <x:v>Четыре сыра</x:v>
      </x:c>
      <x:c r="D47" s="32" t="n">
        <x:v>4</x:v>
      </x:c>
      <x:c r="E47" s="32" t="str">
        <x:v>выпечь</x:v>
      </x:c>
      <x:c r="F47" s="32" t="str">
        <x:v>BAK-01</x:v>
      </x:c>
      <x:c r="G47" s="32" t="str">
        <x:v>Печь для пиццы</x:v>
      </x:c>
      <x:c r="H47" s="32" t="str">
        <x:v>CAPEX.BAK.001</x:v>
      </x:c>
      <x:c r="I47" s="32" t="str">
        <x:v>THERMAL_PROCESS</x:v>
      </x:c>
      <x:c r="J47" s="32"/>
      <x:c r="K47" s="32"/>
      <x:c r="L47" s="32" t="str">
        <x:v>BLOCKED</x:v>
      </x:c>
      <x:c r="M47" s="32" t="str">
        <x:v>ESTIMATE</x:v>
      </x:c>
      <x:c r="N47" s="32" t="str">
        <x:v>GAP-007;GAP-017;GAP-018;GAP-019</x:v>
      </x:c>
    </x:row>
    <x:row r="48">
      <x:c r="A48" s="32" t="str">
        <x:v>EQM-0011</x:v>
      </x:c>
      <x:c r="B48" s="32" t="str">
        <x:v>VKM-002</x:v>
      </x:c>
      <x:c r="C48" s="32" t="str">
        <x:v>Четыре сыра</x:v>
      </x:c>
      <x:c r="D48" s="32" t="n">
        <x:v>5</x:v>
      </x:c>
      <x:c r="E48" s="32" t="str">
        <x:v>финишировать маслом</x:v>
      </x:c>
      <x:c r="F48" s="32" t="str">
        <x:v>BAK-12</x:v>
      </x:c>
      <x:c r="G48" s="32" t="str">
        <x:v>Холодильный пицца-стол</x:v>
      </x:c>
      <x:c r="H48" s="32" t="str">
        <x:v>CAPEX.BAK.012</x:v>
      </x:c>
      <x:c r="I48" s="32" t="str">
        <x:v>FORMING_ASSEMBLY_FINISH</x:v>
      </x:c>
      <x:c r="J48" s="32"/>
      <x:c r="K48" s="32"/>
      <x:c r="L48" s="32" t="str">
        <x:v>BLOCKED</x:v>
      </x:c>
      <x:c r="M48" s="32" t="str">
        <x:v>ESTIMATE</x:v>
      </x:c>
      <x:c r="N48" s="32" t="str">
        <x:v>GAP-007;GAP-017;GAP-018;GAP-019</x:v>
      </x:c>
    </x:row>
    <x:row r="49">
      <x:c r="A49" s="32" t="str">
        <x:v>EQM-0012</x:v>
      </x:c>
      <x:c r="B49" s="32" t="str">
        <x:v>VKM-003</x:v>
      </x:c>
      <x:c r="C49" s="32" t="str">
        <x:v>Грибная с ветчиной</x:v>
      </x:c>
      <x:c r="D49" s="32" t="n">
        <x:v>1</x:v>
      </x:c>
      <x:c r="E49" s="32" t="str">
        <x:v>Подготовить тесто и соус</x:v>
      </x:c>
      <x:c r="F49" s="32" t="str">
        <x:v>BAK-03;BAK-12;HOT-05B</x:v>
      </x:c>
      <x:c r="G49" s="32" t="str">
        <x:v>Спиральный тестомес;Холодильный пицца-стол;Индукционная плита 2 зоны</x:v>
      </x:c>
      <x:c r="H49" s="32" t="str">
        <x:v>CAPEX.BAK.003;CAPEX.BAK.012;CAPEX.HOT.006</x:v>
      </x:c>
      <x:c r="I49" s="32" t="str">
        <x:v>MIXING_SAUCE_AND_PREP</x:v>
      </x:c>
      <x:c r="J49" s="32"/>
      <x:c r="K49" s="32"/>
      <x:c r="L49" s="32" t="str">
        <x:v>BLOCKED</x:v>
      </x:c>
      <x:c r="M49" s="32" t="str">
        <x:v>ESTIMATE</x:v>
      </x:c>
      <x:c r="N49" s="32" t="str">
        <x:v>GAP-007;GAP-017;GAP-018;GAP-019</x:v>
      </x:c>
    </x:row>
    <x:row r="50">
      <x:c r="A50" s="32" t="str">
        <x:v>EQM-0013</x:v>
      </x:c>
      <x:c r="B50" s="32" t="str">
        <x:v>VKM-003</x:v>
      </x:c>
      <x:c r="C50" s="32" t="str">
        <x:v>Грибная с ветчиной</x:v>
      </x:c>
      <x:c r="D50" s="32" t="n">
        <x:v>2</x:v>
      </x:c>
      <x:c r="E50" s="32" t="str">
        <x:v>подготовить грибы и лук</x:v>
      </x:c>
      <x:c r="F50" s="32" t="str">
        <x:v>BAK-12</x:v>
      </x:c>
      <x:c r="G50" s="32" t="str">
        <x:v>Холодильный пицца-стол</x:v>
      </x:c>
      <x:c r="H50" s="32" t="str">
        <x:v>CAPEX.BAK.012</x:v>
      </x:c>
      <x:c r="I50" s="32" t="str">
        <x:v>FORMING_ASSEMBLY_FINISH</x:v>
      </x:c>
      <x:c r="J50" s="32"/>
      <x:c r="K50" s="32"/>
      <x:c r="L50" s="32" t="str">
        <x:v>BLOCKED</x:v>
      </x:c>
      <x:c r="M50" s="32" t="str">
        <x:v>ESTIMATE</x:v>
      </x:c>
      <x:c r="N50" s="32" t="str">
        <x:v>GAP-007;GAP-017;GAP-018;GAP-019</x:v>
      </x:c>
    </x:row>
    <x:row r="51">
      <x:c r="A51" s="32" t="str">
        <x:v>EQM-0014</x:v>
      </x:c>
      <x:c r="B51" s="32" t="str">
        <x:v>VKM-003</x:v>
      </x:c>
      <x:c r="C51" s="32" t="str">
        <x:v>Грибная с ветчиной</x:v>
      </x:c>
      <x:c r="D51" s="32" t="n">
        <x:v>3</x:v>
      </x:c>
      <x:c r="E51" s="32" t="str">
        <x:v>сформовать</x:v>
      </x:c>
      <x:c r="F51" s="32" t="str">
        <x:v>BAK-12</x:v>
      </x:c>
      <x:c r="G51" s="32" t="str">
        <x:v>Холодильный пицца-стол</x:v>
      </x:c>
      <x:c r="H51" s="32" t="str">
        <x:v>CAPEX.BAK.012</x:v>
      </x:c>
      <x:c r="I51" s="32" t="str">
        <x:v>FORMING_ASSEMBLY_FINISH</x:v>
      </x:c>
      <x:c r="J51" s="32"/>
      <x:c r="K51" s="32"/>
      <x:c r="L51" s="32" t="str">
        <x:v>BLOCKED</x:v>
      </x:c>
      <x:c r="M51" s="32" t="str">
        <x:v>ESTIMATE</x:v>
      </x:c>
      <x:c r="N51" s="32" t="str">
        <x:v>GAP-007;GAP-017;GAP-018;GAP-019</x:v>
      </x:c>
    </x:row>
    <x:row r="52">
      <x:c r="A52" s="32" t="str">
        <x:v>EQM-0015</x:v>
      </x:c>
      <x:c r="B52" s="32" t="str">
        <x:v>VKM-003</x:v>
      </x:c>
      <x:c r="C52" s="32" t="str">
        <x:v>Грибная с ветчиной</x:v>
      </x:c>
      <x:c r="D52" s="32" t="n">
        <x:v>4</x:v>
      </x:c>
      <x:c r="E52" s="32" t="str">
        <x:v>собрать с ветчиной</x:v>
      </x:c>
      <x:c r="F52" s="32" t="str">
        <x:v>BAK-12</x:v>
      </x:c>
      <x:c r="G52" s="32" t="str">
        <x:v>Холодильный пицца-стол</x:v>
      </x:c>
      <x:c r="H52" s="32" t="str">
        <x:v>CAPEX.BAK.012</x:v>
      </x:c>
      <x:c r="I52" s="32" t="str">
        <x:v>FORMING_ASSEMBLY_FINISH</x:v>
      </x:c>
      <x:c r="J52" s="32"/>
      <x:c r="K52" s="32"/>
      <x:c r="L52" s="32" t="str">
        <x:v>BLOCKED</x:v>
      </x:c>
      <x:c r="M52" s="32" t="str">
        <x:v>ESTIMATE</x:v>
      </x:c>
      <x:c r="N52" s="32" t="str">
        <x:v>GAP-007;GAP-017;GAP-018;GAP-019</x:v>
      </x:c>
    </x:row>
    <x:row r="53">
      <x:c r="A53" s="32" t="str">
        <x:v>EQM-0016</x:v>
      </x:c>
      <x:c r="B53" s="32" t="str">
        <x:v>VKM-003</x:v>
      </x:c>
      <x:c r="C53" s="32" t="str">
        <x:v>Грибная с ветчиной</x:v>
      </x:c>
      <x:c r="D53" s="32" t="n">
        <x:v>5</x:v>
      </x:c>
      <x:c r="E53" s="32" t="str">
        <x:v>выпечь</x:v>
      </x:c>
      <x:c r="F53" s="32" t="str">
        <x:v>BAK-01</x:v>
      </x:c>
      <x:c r="G53" s="32" t="str">
        <x:v>Печь для пиццы</x:v>
      </x:c>
      <x:c r="H53" s="32" t="str">
        <x:v>CAPEX.BAK.001</x:v>
      </x:c>
      <x:c r="I53" s="32" t="str">
        <x:v>THERMAL_PROCESS</x:v>
      </x:c>
      <x:c r="J53" s="32"/>
      <x:c r="K53" s="32"/>
      <x:c r="L53" s="32" t="str">
        <x:v>BLOCKED</x:v>
      </x:c>
      <x:c r="M53" s="32" t="str">
        <x:v>ESTIMATE</x:v>
      </x:c>
      <x:c r="N53" s="32" t="str">
        <x:v>GAP-007;GAP-017;GAP-018;GAP-019</x:v>
      </x:c>
    </x:row>
    <x:row r="54">
      <x:c r="A54" s="32" t="str">
        <x:v>EQM-0017</x:v>
      </x:c>
      <x:c r="B54" s="32" t="str">
        <x:v>VKM-004</x:v>
      </x:c>
      <x:c r="C54" s="32" t="str">
        <x:v>Пепперони</x:v>
      </x:c>
      <x:c r="D54" s="32" t="n">
        <x:v>1</x:v>
      </x:c>
      <x:c r="E54" s="32" t="str">
        <x:v>Подготовить тесто и соус</x:v>
      </x:c>
      <x:c r="F54" s="32" t="str">
        <x:v>BAK-03;BAK-12;HOT-05B</x:v>
      </x:c>
      <x:c r="G54" s="32" t="str">
        <x:v>Спиральный тестомес;Холодильный пицца-стол;Индукционная плита 2 зоны</x:v>
      </x:c>
      <x:c r="H54" s="32" t="str">
        <x:v>CAPEX.BAK.003;CAPEX.BAK.012;CAPEX.HOT.006</x:v>
      </x:c>
      <x:c r="I54" s="32" t="str">
        <x:v>MIXING_SAUCE_AND_PREP</x:v>
      </x:c>
      <x:c r="J54" s="32"/>
      <x:c r="K54" s="32"/>
      <x:c r="L54" s="32" t="str">
        <x:v>BLOCKED</x:v>
      </x:c>
      <x:c r="M54" s="32" t="str">
        <x:v>ESTIMATE</x:v>
      </x:c>
      <x:c r="N54" s="32" t="str">
        <x:v>GAP-007;GAP-017;GAP-018;GAP-019</x:v>
      </x:c>
    </x:row>
    <x:row r="55">
      <x:c r="A55" s="32" t="str">
        <x:v>EQM-0018</x:v>
      </x:c>
      <x:c r="B55" s="32" t="str">
        <x:v>VKM-004</x:v>
      </x:c>
      <x:c r="C55" s="32" t="str">
        <x:v>Пепперони</x:v>
      </x:c>
      <x:c r="D55" s="32" t="n">
        <x:v>2</x:v>
      </x:c>
      <x:c r="E55" s="32" t="str">
        <x:v>сформовать</x:v>
      </x:c>
      <x:c r="F55" s="32" t="str">
        <x:v>BAK-12</x:v>
      </x:c>
      <x:c r="G55" s="32" t="str">
        <x:v>Холодильный пицца-стол</x:v>
      </x:c>
      <x:c r="H55" s="32" t="str">
        <x:v>CAPEX.BAK.012</x:v>
      </x:c>
      <x:c r="I55" s="32" t="str">
        <x:v>FORMING_ASSEMBLY_FINISH</x:v>
      </x:c>
      <x:c r="J55" s="32"/>
      <x:c r="K55" s="32"/>
      <x:c r="L55" s="32" t="str">
        <x:v>BLOCKED</x:v>
      </x:c>
      <x:c r="M55" s="32" t="str">
        <x:v>ESTIMATE</x:v>
      </x:c>
      <x:c r="N55" s="32" t="str">
        <x:v>GAP-007;GAP-017;GAP-018;GAP-019</x:v>
      </x:c>
    </x:row>
    <x:row r="56">
      <x:c r="A56" s="32" t="str">
        <x:v>EQM-0019</x:v>
      </x:c>
      <x:c r="B56" s="32" t="str">
        <x:v>VKM-004</x:v>
      </x:c>
      <x:c r="C56" s="32" t="str">
        <x:v>Пепперони</x:v>
      </x:c>
      <x:c r="D56" s="32" t="n">
        <x:v>3</x:v>
      </x:c>
      <x:c r="E56" s="32" t="str">
        <x:v>собрать с моцареллой и пепперони</x:v>
      </x:c>
      <x:c r="F56" s="32" t="str">
        <x:v>BAK-12</x:v>
      </x:c>
      <x:c r="G56" s="32" t="str">
        <x:v>Холодильный пицца-стол</x:v>
      </x:c>
      <x:c r="H56" s="32" t="str">
        <x:v>CAPEX.BAK.012</x:v>
      </x:c>
      <x:c r="I56" s="32" t="str">
        <x:v>FORMING_ASSEMBLY_FINISH</x:v>
      </x:c>
      <x:c r="J56" s="32"/>
      <x:c r="K56" s="32"/>
      <x:c r="L56" s="32" t="str">
        <x:v>BLOCKED</x:v>
      </x:c>
      <x:c r="M56" s="32" t="str">
        <x:v>ESTIMATE</x:v>
      </x:c>
      <x:c r="N56" s="32" t="str">
        <x:v>GAP-007;GAP-017;GAP-018;GAP-019</x:v>
      </x:c>
    </x:row>
    <x:row r="57">
      <x:c r="A57" s="32" t="str">
        <x:v>EQM-0020</x:v>
      </x:c>
      <x:c r="B57" s="32" t="str">
        <x:v>VKM-004</x:v>
      </x:c>
      <x:c r="C57" s="32" t="str">
        <x:v>Пепперони</x:v>
      </x:c>
      <x:c r="D57" s="32" t="n">
        <x:v>4</x:v>
      </x:c>
      <x:c r="E57" s="32" t="str">
        <x:v>выпечь</x:v>
      </x:c>
      <x:c r="F57" s="32" t="str">
        <x:v>BAK-01</x:v>
      </x:c>
      <x:c r="G57" s="32" t="str">
        <x:v>Печь для пиццы</x:v>
      </x:c>
      <x:c r="H57" s="32" t="str">
        <x:v>CAPEX.BAK.001</x:v>
      </x:c>
      <x:c r="I57" s="32" t="str">
        <x:v>THERMAL_PROCESS</x:v>
      </x:c>
      <x:c r="J57" s="32"/>
      <x:c r="K57" s="32"/>
      <x:c r="L57" s="32" t="str">
        <x:v>BLOCKED</x:v>
      </x:c>
      <x:c r="M57" s="32" t="str">
        <x:v>ESTIMATE</x:v>
      </x:c>
      <x:c r="N57" s="32" t="str">
        <x:v>GAP-007;GAP-017;GAP-018;GAP-019</x:v>
      </x:c>
    </x:row>
    <x:row r="58">
      <x:c r="A58" s="32" t="str">
        <x:v>EQM-0021</x:v>
      </x:c>
      <x:c r="B58" s="32" t="str">
        <x:v>VKM-004</x:v>
      </x:c>
      <x:c r="C58" s="32" t="str">
        <x:v>Пепперони</x:v>
      </x:c>
      <x:c r="D58" s="32" t="n">
        <x:v>5</x:v>
      </x:c>
      <x:c r="E58" s="32" t="str">
        <x:v>финишировать</x:v>
      </x:c>
      <x:c r="F58" s="32" t="str">
        <x:v>BAK-12</x:v>
      </x:c>
      <x:c r="G58" s="32" t="str">
        <x:v>Холодильный пицца-стол</x:v>
      </x:c>
      <x:c r="H58" s="32" t="str">
        <x:v>CAPEX.BAK.012</x:v>
      </x:c>
      <x:c r="I58" s="32" t="str">
        <x:v>FORMING_ASSEMBLY_FINISH</x:v>
      </x:c>
      <x:c r="J58" s="32"/>
      <x:c r="K58" s="32"/>
      <x:c r="L58" s="32" t="str">
        <x:v>BLOCKED</x:v>
      </x:c>
      <x:c r="M58" s="32" t="str">
        <x:v>ESTIMATE</x:v>
      </x:c>
      <x:c r="N58" s="32" t="str">
        <x:v>GAP-007;GAP-017;GAP-018;GAP-019</x:v>
      </x:c>
    </x:row>
    <x:row r="59">
      <x:c r="A59" s="32" t="str">
        <x:v>EQM-0022</x:v>
      </x:c>
      <x:c r="B59" s="32" t="str">
        <x:v>VKM-005</x:v>
      </x:c>
      <x:c r="C59" s="32" t="str">
        <x:v>Белая чиабатта</x:v>
      </x:c>
      <x:c r="D59" s="32" t="n">
        <x:v>1</x:v>
      </x:c>
      <x:c r="E59" s="32" t="str">
        <x:v>Смешать компоненты</x:v>
      </x:c>
      <x:c r="F59" s="32" t="str">
        <x:v>BAK-03</x:v>
      </x:c>
      <x:c r="G59" s="32" t="str">
        <x:v>Спиральный тестомес</x:v>
      </x:c>
      <x:c r="H59" s="32" t="str">
        <x:v>CAPEX.BAK.003</x:v>
      </x:c>
      <x:c r="I59" s="32" t="str">
        <x:v>MIXING</x:v>
      </x:c>
      <x:c r="J59" s="32"/>
      <x:c r="K59" s="32"/>
      <x:c r="L59" s="32" t="str">
        <x:v>BLOCKED</x:v>
      </x:c>
      <x:c r="M59" s="32" t="str">
        <x:v>ESTIMATE</x:v>
      </x:c>
      <x:c r="N59" s="32" t="str">
        <x:v>GAP-007;GAP-017;GAP-018;GAP-019</x:v>
      </x:c>
    </x:row>
    <x:row r="60">
      <x:c r="A60" s="32" t="str">
        <x:v>EQM-0023</x:v>
      </x:c>
      <x:c r="B60" s="32" t="str">
        <x:v>VKM-005</x:v>
      </x:c>
      <x:c r="C60" s="32" t="str">
        <x:v>Белая чиабатта</x:v>
      </x:c>
      <x:c r="D60" s="32" t="n">
        <x:v>2</x:v>
      </x:c>
      <x:c r="E60" s="32" t="str">
        <x:v>замесить</x:v>
      </x:c>
      <x:c r="F60" s="32" t="str">
        <x:v>BAK-03</x:v>
      </x:c>
      <x:c r="G60" s="32" t="str">
        <x:v>Спиральный тестомес</x:v>
      </x:c>
      <x:c r="H60" s="32" t="str">
        <x:v>CAPEX.BAK.003</x:v>
      </x:c>
      <x:c r="I60" s="32" t="str">
        <x:v>MIXING</x:v>
      </x:c>
      <x:c r="J60" s="32"/>
      <x:c r="K60" s="32"/>
      <x:c r="L60" s="32" t="str">
        <x:v>BLOCKED</x:v>
      </x:c>
      <x:c r="M60" s="32" t="str">
        <x:v>ESTIMATE</x:v>
      </x:c>
      <x:c r="N60" s="32" t="str">
        <x:v>GAP-007;GAP-017;GAP-018;GAP-019</x:v>
      </x:c>
    </x:row>
    <x:row r="61">
      <x:c r="A61" s="32" t="str">
        <x:v>EQM-0024</x:v>
      </x:c>
      <x:c r="B61" s="32" t="str">
        <x:v>VKM-005</x:v>
      </x:c>
      <x:c r="C61" s="32" t="str">
        <x:v>Белая чиабатта</x:v>
      </x:c>
      <x:c r="D61" s="32" t="n">
        <x:v>3</x:v>
      </x:c>
      <x:c r="E61" s="32" t="str">
        <x:v>провести брожение и складывания</x:v>
      </x:c>
      <x:c r="F61" s="32" t="str">
        <x:v>STO-08</x:v>
      </x:c>
      <x:c r="G61" s="32" t="str">
        <x:v>Холодная ферментация теста</x:v>
      </x:c>
      <x:c r="H61" s="32" t="str">
        <x:v>CAPEX.STO.008</x:v>
      </x:c>
      <x:c r="I61" s="32" t="str">
        <x:v>FERMENTATION</x:v>
      </x:c>
      <x:c r="J61" s="32"/>
      <x:c r="K61" s="32"/>
      <x:c r="L61" s="32" t="str">
        <x:v>BLOCKED</x:v>
      </x:c>
      <x:c r="M61" s="32" t="str">
        <x:v>ESTIMATE</x:v>
      </x:c>
      <x:c r="N61" s="32" t="str">
        <x:v>GAP-007;GAP-017;GAP-018;GAP-019</x:v>
      </x:c>
    </x:row>
    <x:row r="62">
      <x:c r="A62" s="32" t="str">
        <x:v>EQM-0025</x:v>
      </x:c>
      <x:c r="B62" s="32" t="str">
        <x:v>VKM-005</x:v>
      </x:c>
      <x:c r="C62" s="32" t="str">
        <x:v>Белая чиабатта</x:v>
      </x:c>
      <x:c r="D62" s="32" t="n">
        <x:v>4</x:v>
      </x:c>
      <x:c r="E62" s="32" t="str">
        <x:v>сформовать</x:v>
      </x:c>
      <x:c r="F62" s="32" t="str">
        <x:v>REQ-BAK-PREP</x:v>
      </x:c>
      <x:c r="G62" s="32" t="str">
        <x:v>Проектное функциональное требование без действующего CAPEX-кода</x:v>
      </x:c>
      <x:c r="H62" s="32"/>
      <x:c r="I62" s="32" t="str">
        <x:v>MANUAL_FORMING_GAP</x:v>
      </x:c>
      <x:c r="J62" s="32"/>
      <x:c r="K62" s="32"/>
      <x:c r="L62" s="32" t="str">
        <x:v>BLOCKED</x:v>
      </x:c>
      <x:c r="M62" s="32" t="str">
        <x:v>ESTIMATE</x:v>
      </x:c>
      <x:c r="N62" s="32" t="str">
        <x:v>GAP-007;GAP-017;GAP-018;GAP-019</x:v>
      </x:c>
    </x:row>
    <x:row r="63">
      <x:c r="A63" s="32" t="str">
        <x:v>EQM-0026</x:v>
      </x:c>
      <x:c r="B63" s="32" t="str">
        <x:v>VKM-005</x:v>
      </x:c>
      <x:c r="C63" s="32" t="str">
        <x:v>Белая чиабатта</x:v>
      </x:c>
      <x:c r="D63" s="32" t="n">
        <x:v>5</x:v>
      </x:c>
      <x:c r="E63" s="32" t="str">
        <x:v>расстоять</x:v>
      </x:c>
      <x:c r="F63" s="32" t="str">
        <x:v>BAK-05</x:v>
      </x:c>
      <x:c r="G63" s="32" t="str">
        <x:v>Программируемый расстоечный шкаф</x:v>
      </x:c>
      <x:c r="H63" s="32" t="str">
        <x:v>CAPEX.BAK.005</x:v>
      </x:c>
      <x:c r="I63" s="32" t="str">
        <x:v>PROOFING</x:v>
      </x:c>
      <x:c r="J63" s="32"/>
      <x:c r="K63" s="32"/>
      <x:c r="L63" s="32" t="str">
        <x:v>BLOCKED</x:v>
      </x:c>
      <x:c r="M63" s="32" t="str">
        <x:v>ESTIMATE</x:v>
      </x:c>
      <x:c r="N63" s="32" t="str">
        <x:v>GAP-007;GAP-017;GAP-018;GAP-019</x:v>
      </x:c>
    </x:row>
    <x:row r="64">
      <x:c r="A64" s="32" t="str">
        <x:v>EQM-0027</x:v>
      </x:c>
      <x:c r="B64" s="32" t="str">
        <x:v>VKM-005</x:v>
      </x:c>
      <x:c r="C64" s="32" t="str">
        <x:v>Белая чиабатта</x:v>
      </x:c>
      <x:c r="D64" s="32" t="n">
        <x:v>6</x:v>
      </x:c>
      <x:c r="E64" s="32" t="str">
        <x:v>выпечь</x:v>
      </x:c>
      <x:c r="F64" s="32" t="str">
        <x:v>BAK-02</x:v>
      </x:c>
      <x:c r="G64" s="32" t="str">
        <x:v>Пекарская печь</x:v>
      </x:c>
      <x:c r="H64" s="32" t="str">
        <x:v>CAPEX.BAK.002</x:v>
      </x:c>
      <x:c r="I64" s="32" t="str">
        <x:v>THERMAL_PROCESS</x:v>
      </x:c>
      <x:c r="J64" s="32"/>
      <x:c r="K64" s="32"/>
      <x:c r="L64" s="32" t="str">
        <x:v>BLOCKED</x:v>
      </x:c>
      <x:c r="M64" s="32" t="str">
        <x:v>ESTIMATE</x:v>
      </x:c>
      <x:c r="N64" s="32" t="str">
        <x:v>GAP-007;GAP-017;GAP-018;GAP-019</x:v>
      </x:c>
    </x:row>
    <x:row r="65">
      <x:c r="A65" s="32" t="str">
        <x:v>EQM-0028</x:v>
      </x:c>
      <x:c r="B65" s="32" t="str">
        <x:v>VKM-005</x:v>
      </x:c>
      <x:c r="C65" s="32" t="str">
        <x:v>Белая чиабатта</x:v>
      </x:c>
      <x:c r="D65" s="32" t="n">
        <x:v>7</x:v>
      </x:c>
      <x:c r="E65" s="32" t="str">
        <x:v>охладить</x:v>
      </x:c>
      <x:c r="F65" s="32" t="str">
        <x:v>BAK-06</x:v>
      </x:c>
      <x:c r="G65" s="32" t="str">
        <x:v>Мобильный стеллаж охлаждения</x:v>
      </x:c>
      <x:c r="H65" s="32" t="str">
        <x:v>CAPEX.BAK.006</x:v>
      </x:c>
      <x:c r="I65" s="32" t="str">
        <x:v>COOLING_HOLDING</x:v>
      </x:c>
      <x:c r="J65" s="32"/>
      <x:c r="K65" s="32"/>
      <x:c r="L65" s="32" t="str">
        <x:v>BLOCKED</x:v>
      </x:c>
      <x:c r="M65" s="32" t="str">
        <x:v>ESTIMATE</x:v>
      </x:c>
      <x:c r="N65" s="32" t="str">
        <x:v>GAP-007;GAP-017;GAP-018;GAP-019</x:v>
      </x:c>
    </x:row>
    <x:row r="66">
      <x:c r="A66" s="32" t="str">
        <x:v>EQM-0029</x:v>
      </x:c>
      <x:c r="B66" s="32" t="str">
        <x:v>VKM-006</x:v>
      </x:c>
      <x:c r="C66" s="32" t="str">
        <x:v>Томатная чиабатта</x:v>
      </x:c>
      <x:c r="D66" s="32" t="n">
        <x:v>1</x:v>
      </x:c>
      <x:c r="E66" s="32" t="str">
        <x:v>Смешать тесто с томатными компонентами</x:v>
      </x:c>
      <x:c r="F66" s="32" t="str">
        <x:v>BAK-03</x:v>
      </x:c>
      <x:c r="G66" s="32" t="str">
        <x:v>Спиральный тестомес</x:v>
      </x:c>
      <x:c r="H66" s="32" t="str">
        <x:v>CAPEX.BAK.003</x:v>
      </x:c>
      <x:c r="I66" s="32" t="str">
        <x:v>MIXING</x:v>
      </x:c>
      <x:c r="J66" s="32"/>
      <x:c r="K66" s="32"/>
      <x:c r="L66" s="32" t="str">
        <x:v>BLOCKED</x:v>
      </x:c>
      <x:c r="M66" s="32" t="str">
        <x:v>ESTIMATE</x:v>
      </x:c>
      <x:c r="N66" s="32" t="str">
        <x:v>GAP-007;GAP-017;GAP-018;GAP-019</x:v>
      </x:c>
    </x:row>
    <x:row r="67">
      <x:c r="A67" s="32" t="str">
        <x:v>EQM-0030</x:v>
      </x:c>
      <x:c r="B67" s="32" t="str">
        <x:v>VKM-006</x:v>
      </x:c>
      <x:c r="C67" s="32" t="str">
        <x:v>Томатная чиабатта</x:v>
      </x:c>
      <x:c r="D67" s="32" t="n">
        <x:v>2</x:v>
      </x:c>
      <x:c r="E67" s="32" t="str">
        <x:v>замесить</x:v>
      </x:c>
      <x:c r="F67" s="32" t="str">
        <x:v>BAK-03</x:v>
      </x:c>
      <x:c r="G67" s="32" t="str">
        <x:v>Спиральный тестомес</x:v>
      </x:c>
      <x:c r="H67" s="32" t="str">
        <x:v>CAPEX.BAK.003</x:v>
      </x:c>
      <x:c r="I67" s="32" t="str">
        <x:v>MIXING</x:v>
      </x:c>
      <x:c r="J67" s="32"/>
      <x:c r="K67" s="32"/>
      <x:c r="L67" s="32" t="str">
        <x:v>BLOCKED</x:v>
      </x:c>
      <x:c r="M67" s="32" t="str">
        <x:v>ESTIMATE</x:v>
      </x:c>
      <x:c r="N67" s="32" t="str">
        <x:v>GAP-007;GAP-017;GAP-018;GAP-019</x:v>
      </x:c>
    </x:row>
    <x:row r="68">
      <x:c r="A68" s="32" t="str">
        <x:v>EQM-0031</x:v>
      </x:c>
      <x:c r="B68" s="32" t="str">
        <x:v>VKM-006</x:v>
      </x:c>
      <x:c r="C68" s="32" t="str">
        <x:v>Томатная чиабатта</x:v>
      </x:c>
      <x:c r="D68" s="32" t="n">
        <x:v>3</x:v>
      </x:c>
      <x:c r="E68" s="32" t="str">
        <x:v>провести брожение</x:v>
      </x:c>
      <x:c r="F68" s="32" t="str">
        <x:v>STO-08</x:v>
      </x:c>
      <x:c r="G68" s="32" t="str">
        <x:v>Холодная ферментация теста</x:v>
      </x:c>
      <x:c r="H68" s="32" t="str">
        <x:v>CAPEX.STO.008</x:v>
      </x:c>
      <x:c r="I68" s="32" t="str">
        <x:v>FERMENTATION</x:v>
      </x:c>
      <x:c r="J68" s="32"/>
      <x:c r="K68" s="32"/>
      <x:c r="L68" s="32" t="str">
        <x:v>BLOCKED</x:v>
      </x:c>
      <x:c r="M68" s="32" t="str">
        <x:v>ESTIMATE</x:v>
      </x:c>
      <x:c r="N68" s="32" t="str">
        <x:v>GAP-007;GAP-017;GAP-018;GAP-019</x:v>
      </x:c>
    </x:row>
    <x:row r="69">
      <x:c r="A69" s="32" t="str">
        <x:v>EQM-0032</x:v>
      </x:c>
      <x:c r="B69" s="32" t="str">
        <x:v>VKM-006</x:v>
      </x:c>
      <x:c r="C69" s="32" t="str">
        <x:v>Томатная чиабатта</x:v>
      </x:c>
      <x:c r="D69" s="32" t="n">
        <x:v>4</x:v>
      </x:c>
      <x:c r="E69" s="32" t="str">
        <x:v>сформовать</x:v>
      </x:c>
      <x:c r="F69" s="32" t="str">
        <x:v>REQ-BAK-PREP</x:v>
      </x:c>
      <x:c r="G69" s="32" t="str">
        <x:v>Проектное функциональное требование без действующего CAPEX-кода</x:v>
      </x:c>
      <x:c r="H69" s="32"/>
      <x:c r="I69" s="32" t="str">
        <x:v>MANUAL_FORMING_GAP</x:v>
      </x:c>
      <x:c r="J69" s="32"/>
      <x:c r="K69" s="32"/>
      <x:c r="L69" s="32" t="str">
        <x:v>BLOCKED</x:v>
      </x:c>
      <x:c r="M69" s="32" t="str">
        <x:v>ESTIMATE</x:v>
      </x:c>
      <x:c r="N69" s="32" t="str">
        <x:v>GAP-007;GAP-017;GAP-018;GAP-019</x:v>
      </x:c>
    </x:row>
    <x:row r="70">
      <x:c r="A70" s="32" t="str">
        <x:v>EQM-0033</x:v>
      </x:c>
      <x:c r="B70" s="32" t="str">
        <x:v>VKM-006</x:v>
      </x:c>
      <x:c r="C70" s="32" t="str">
        <x:v>Томатная чиабатта</x:v>
      </x:c>
      <x:c r="D70" s="32" t="n">
        <x:v>5</x:v>
      </x:c>
      <x:c r="E70" s="32" t="str">
        <x:v>расстоять</x:v>
      </x:c>
      <x:c r="F70" s="32" t="str">
        <x:v>BAK-05</x:v>
      </x:c>
      <x:c r="G70" s="32" t="str">
        <x:v>Программируемый расстоечный шкаф</x:v>
      </x:c>
      <x:c r="H70" s="32" t="str">
        <x:v>CAPEX.BAK.005</x:v>
      </x:c>
      <x:c r="I70" s="32" t="str">
        <x:v>PROOFING</x:v>
      </x:c>
      <x:c r="J70" s="32"/>
      <x:c r="K70" s="32"/>
      <x:c r="L70" s="32" t="str">
        <x:v>BLOCKED</x:v>
      </x:c>
      <x:c r="M70" s="32" t="str">
        <x:v>ESTIMATE</x:v>
      </x:c>
      <x:c r="N70" s="32" t="str">
        <x:v>GAP-007;GAP-017;GAP-018;GAP-019</x:v>
      </x:c>
    </x:row>
    <x:row r="71">
      <x:c r="A71" s="32" t="str">
        <x:v>EQM-0034</x:v>
      </x:c>
      <x:c r="B71" s="32" t="str">
        <x:v>VKM-006</x:v>
      </x:c>
      <x:c r="C71" s="32" t="str">
        <x:v>Томатная чиабатта</x:v>
      </x:c>
      <x:c r="D71" s="32" t="n">
        <x:v>6</x:v>
      </x:c>
      <x:c r="E71" s="32" t="str">
        <x:v>выпечь</x:v>
      </x:c>
      <x:c r="F71" s="32" t="str">
        <x:v>BAK-02</x:v>
      </x:c>
      <x:c r="G71" s="32" t="str">
        <x:v>Пекарская печь</x:v>
      </x:c>
      <x:c r="H71" s="32" t="str">
        <x:v>CAPEX.BAK.002</x:v>
      </x:c>
      <x:c r="I71" s="32" t="str">
        <x:v>THERMAL_PROCESS</x:v>
      </x:c>
      <x:c r="J71" s="32"/>
      <x:c r="K71" s="32"/>
      <x:c r="L71" s="32" t="str">
        <x:v>BLOCKED</x:v>
      </x:c>
      <x:c r="M71" s="32" t="str">
        <x:v>ESTIMATE</x:v>
      </x:c>
      <x:c r="N71" s="32" t="str">
        <x:v>GAP-007;GAP-017;GAP-018;GAP-019</x:v>
      </x:c>
    </x:row>
    <x:row r="72">
      <x:c r="A72" s="32" t="str">
        <x:v>EQM-0035</x:v>
      </x:c>
      <x:c r="B72" s="32" t="str">
        <x:v>VKM-006</x:v>
      </x:c>
      <x:c r="C72" s="32" t="str">
        <x:v>Томатная чиабатта</x:v>
      </x:c>
      <x:c r="D72" s="32" t="n">
        <x:v>7</x:v>
      </x:c>
      <x:c r="E72" s="32" t="str">
        <x:v>охладить</x:v>
      </x:c>
      <x:c r="F72" s="32" t="str">
        <x:v>BAK-06</x:v>
      </x:c>
      <x:c r="G72" s="32" t="str">
        <x:v>Мобильный стеллаж охлаждения</x:v>
      </x:c>
      <x:c r="H72" s="32" t="str">
        <x:v>CAPEX.BAK.006</x:v>
      </x:c>
      <x:c r="I72" s="32" t="str">
        <x:v>COOLING_HOLDING</x:v>
      </x:c>
      <x:c r="J72" s="32"/>
      <x:c r="K72" s="32"/>
      <x:c r="L72" s="32" t="str">
        <x:v>BLOCKED</x:v>
      </x:c>
      <x:c r="M72" s="32" t="str">
        <x:v>ESTIMATE</x:v>
      </x:c>
      <x:c r="N72" s="32" t="str">
        <x:v>GAP-007;GAP-017;GAP-018;GAP-019</x:v>
      </x:c>
    </x:row>
    <x:row r="73">
      <x:c r="A73" s="32" t="str">
        <x:v>EQM-0036</x:v>
      </x:c>
      <x:c r="B73" s="32" t="str">
        <x:v>VKM-007</x:v>
      </x:c>
      <x:c r="C73" s="32" t="str">
        <x:v>Бородинский хлеб</x:v>
      </x:c>
      <x:c r="D73" s="32" t="n">
        <x:v>1</x:v>
      </x:c>
      <x:c r="E73" s="32" t="str">
        <x:v>Приготовить заварку</x:v>
      </x:c>
      <x:c r="F73" s="32" t="str">
        <x:v>REQ-BAK-PREP</x:v>
      </x:c>
      <x:c r="G73" s="32" t="str">
        <x:v>Проектное функциональное требование без действующего CAPEX-кода</x:v>
      </x:c>
      <x:c r="H73" s="32"/>
      <x:c r="I73" s="32" t="str">
        <x:v>MANUAL_FORMING_GAP</x:v>
      </x:c>
      <x:c r="J73" s="32"/>
      <x:c r="K73" s="32"/>
      <x:c r="L73" s="32" t="str">
        <x:v>BLOCKED</x:v>
      </x:c>
      <x:c r="M73" s="32" t="str">
        <x:v>ESTIMATE</x:v>
      </x:c>
      <x:c r="N73" s="32" t="str">
        <x:v>GAP-007;GAP-017;GAP-018;GAP-019</x:v>
      </x:c>
    </x:row>
    <x:row r="74">
      <x:c r="A74" s="32" t="str">
        <x:v>EQM-0037</x:v>
      </x:c>
      <x:c r="B74" s="32" t="str">
        <x:v>VKM-007</x:v>
      </x:c>
      <x:c r="C74" s="32" t="str">
        <x:v>Бородинский хлеб</x:v>
      </x:c>
      <x:c r="D74" s="32" t="n">
        <x:v>2</x:v>
      </x:c>
      <x:c r="E74" s="32" t="str">
        <x:v>замесить тесто</x:v>
      </x:c>
      <x:c r="F74" s="32" t="str">
        <x:v>BAK-03</x:v>
      </x:c>
      <x:c r="G74" s="32" t="str">
        <x:v>Спиральный тестомес</x:v>
      </x:c>
      <x:c r="H74" s="32" t="str">
        <x:v>CAPEX.BAK.003</x:v>
      </x:c>
      <x:c r="I74" s="32" t="str">
        <x:v>MIXING</x:v>
      </x:c>
      <x:c r="J74" s="32"/>
      <x:c r="K74" s="32"/>
      <x:c r="L74" s="32" t="str">
        <x:v>BLOCKED</x:v>
      </x:c>
      <x:c r="M74" s="32" t="str">
        <x:v>ESTIMATE</x:v>
      </x:c>
      <x:c r="N74" s="32" t="str">
        <x:v>GAP-007;GAP-017;GAP-018;GAP-019</x:v>
      </x:c>
    </x:row>
    <x:row r="75">
      <x:c r="A75" s="32" t="str">
        <x:v>EQM-0038</x:v>
      </x:c>
      <x:c r="B75" s="32" t="str">
        <x:v>VKM-007</x:v>
      </x:c>
      <x:c r="C75" s="32" t="str">
        <x:v>Бородинский хлеб</x:v>
      </x:c>
      <x:c r="D75" s="32" t="n">
        <x:v>3</x:v>
      </x:c>
      <x:c r="E75" s="32" t="str">
        <x:v>провести брожение</x:v>
      </x:c>
      <x:c r="F75" s="32" t="str">
        <x:v>STO-08</x:v>
      </x:c>
      <x:c r="G75" s="32" t="str">
        <x:v>Холодная ферментация теста</x:v>
      </x:c>
      <x:c r="H75" s="32" t="str">
        <x:v>CAPEX.STO.008</x:v>
      </x:c>
      <x:c r="I75" s="32" t="str">
        <x:v>FERMENTATION</x:v>
      </x:c>
      <x:c r="J75" s="32"/>
      <x:c r="K75" s="32"/>
      <x:c r="L75" s="32" t="str">
        <x:v>BLOCKED</x:v>
      </x:c>
      <x:c r="M75" s="32" t="str">
        <x:v>ESTIMATE</x:v>
      </x:c>
      <x:c r="N75" s="32" t="str">
        <x:v>GAP-007;GAP-017;GAP-018;GAP-019</x:v>
      </x:c>
    </x:row>
    <x:row r="76">
      <x:c r="A76" s="32" t="str">
        <x:v>EQM-0039</x:v>
      </x:c>
      <x:c r="B76" s="32" t="str">
        <x:v>VKM-007</x:v>
      </x:c>
      <x:c r="C76" s="32" t="str">
        <x:v>Бородинский хлеб</x:v>
      </x:c>
      <x:c r="D76" s="32" t="n">
        <x:v>4</x:v>
      </x:c>
      <x:c r="E76" s="32" t="str">
        <x:v>уложить в форму</x:v>
      </x:c>
      <x:c r="F76" s="32" t="str">
        <x:v>REQ-BAK-PREP</x:v>
      </x:c>
      <x:c r="G76" s="32" t="str">
        <x:v>Проектное функциональное требование без действующего CAPEX-кода</x:v>
      </x:c>
      <x:c r="H76" s="32"/>
      <x:c r="I76" s="32" t="str">
        <x:v>MANUAL_FORMING_GAP</x:v>
      </x:c>
      <x:c r="J76" s="32"/>
      <x:c r="K76" s="32"/>
      <x:c r="L76" s="32" t="str">
        <x:v>BLOCKED</x:v>
      </x:c>
      <x:c r="M76" s="32" t="str">
        <x:v>ESTIMATE</x:v>
      </x:c>
      <x:c r="N76" s="32" t="str">
        <x:v>GAP-007;GAP-017;GAP-018;GAP-019</x:v>
      </x:c>
    </x:row>
    <x:row r="77">
      <x:c r="A77" s="32" t="str">
        <x:v>EQM-0040</x:v>
      </x:c>
      <x:c r="B77" s="32" t="str">
        <x:v>VKM-007</x:v>
      </x:c>
      <x:c r="C77" s="32" t="str">
        <x:v>Бородинский хлеб</x:v>
      </x:c>
      <x:c r="D77" s="32" t="n">
        <x:v>5</x:v>
      </x:c>
      <x:c r="E77" s="32" t="str">
        <x:v>расстоять</x:v>
      </x:c>
      <x:c r="F77" s="32" t="str">
        <x:v>BAK-05</x:v>
      </x:c>
      <x:c r="G77" s="32" t="str">
        <x:v>Программируемый расстоечный шкаф</x:v>
      </x:c>
      <x:c r="H77" s="32" t="str">
        <x:v>CAPEX.BAK.005</x:v>
      </x:c>
      <x:c r="I77" s="32" t="str">
        <x:v>PROOFING</x:v>
      </x:c>
      <x:c r="J77" s="32"/>
      <x:c r="K77" s="32"/>
      <x:c r="L77" s="32" t="str">
        <x:v>BLOCKED</x:v>
      </x:c>
      <x:c r="M77" s="32" t="str">
        <x:v>ESTIMATE</x:v>
      </x:c>
      <x:c r="N77" s="32" t="str">
        <x:v>GAP-007;GAP-017;GAP-018;GAP-019</x:v>
      </x:c>
    </x:row>
    <x:row r="78">
      <x:c r="A78" s="32" t="str">
        <x:v>EQM-0041</x:v>
      </x:c>
      <x:c r="B78" s="32" t="str">
        <x:v>VKM-007</x:v>
      </x:c>
      <x:c r="C78" s="32" t="str">
        <x:v>Бородинский хлеб</x:v>
      </x:c>
      <x:c r="D78" s="32" t="n">
        <x:v>6</x:v>
      </x:c>
      <x:c r="E78" s="32" t="str">
        <x:v>выпечь</x:v>
      </x:c>
      <x:c r="F78" s="32" t="str">
        <x:v>BAK-02</x:v>
      </x:c>
      <x:c r="G78" s="32" t="str">
        <x:v>Пекарская печь</x:v>
      </x:c>
      <x:c r="H78" s="32" t="str">
        <x:v>CAPEX.BAK.002</x:v>
      </x:c>
      <x:c r="I78" s="32" t="str">
        <x:v>THERMAL_PROCESS</x:v>
      </x:c>
      <x:c r="J78" s="32"/>
      <x:c r="K78" s="32"/>
      <x:c r="L78" s="32" t="str">
        <x:v>BLOCKED</x:v>
      </x:c>
      <x:c r="M78" s="32" t="str">
        <x:v>ESTIMATE</x:v>
      </x:c>
      <x:c r="N78" s="32" t="str">
        <x:v>GAP-007;GAP-017;GAP-018;GAP-019</x:v>
      </x:c>
    </x:row>
    <x:row r="79">
      <x:c r="A79" s="32" t="str">
        <x:v>EQM-0042</x:v>
      </x:c>
      <x:c r="B79" s="32" t="str">
        <x:v>VKM-007</x:v>
      </x:c>
      <x:c r="C79" s="32" t="str">
        <x:v>Бородинский хлеб</x:v>
      </x:c>
      <x:c r="D79" s="32" t="n">
        <x:v>7</x:v>
      </x:c>
      <x:c r="E79" s="32" t="str">
        <x:v>стабилизировать и охладить</x:v>
      </x:c>
      <x:c r="F79" s="32" t="str">
        <x:v>BAK-06</x:v>
      </x:c>
      <x:c r="G79" s="32" t="str">
        <x:v>Мобильный стеллаж охлаждения</x:v>
      </x:c>
      <x:c r="H79" s="32" t="str">
        <x:v>CAPEX.BAK.006</x:v>
      </x:c>
      <x:c r="I79" s="32" t="str">
        <x:v>COOLING_HOLDING</x:v>
      </x:c>
      <x:c r="J79" s="32"/>
      <x:c r="K79" s="32"/>
      <x:c r="L79" s="32" t="str">
        <x:v>BLOCKED</x:v>
      </x:c>
      <x:c r="M79" s="32" t="str">
        <x:v>ESTIMATE</x:v>
      </x:c>
      <x:c r="N79" s="32" t="str">
        <x:v>GAP-007;GAP-017;GAP-018;GAP-019</x:v>
      </x:c>
    </x:row>
    <x:row r="80">
      <x:c r="A80" s="32" t="str">
        <x:v>EQM-0043</x:v>
      </x:c>
      <x:c r="B80" s="32" t="str">
        <x:v>VKM-008</x:v>
      </x:c>
      <x:c r="C80" s="32" t="str">
        <x:v>Бриошь</x:v>
      </x:c>
      <x:c r="D80" s="32" t="n">
        <x:v>1</x:v>
      </x:c>
      <x:c r="E80" s="32" t="str">
        <x:v>Замесить сдобное тесто</x:v>
      </x:c>
      <x:c r="F80" s="32" t="str">
        <x:v>BAK-03</x:v>
      </x:c>
      <x:c r="G80" s="32" t="str">
        <x:v>Спиральный тестомес</x:v>
      </x:c>
      <x:c r="H80" s="32" t="str">
        <x:v>CAPEX.BAK.003</x:v>
      </x:c>
      <x:c r="I80" s="32" t="str">
        <x:v>MIXING</x:v>
      </x:c>
      <x:c r="J80" s="32"/>
      <x:c r="K80" s="32"/>
      <x:c r="L80" s="32" t="str">
        <x:v>BLOCKED</x:v>
      </x:c>
      <x:c r="M80" s="32" t="str">
        <x:v>ESTIMATE</x:v>
      </x:c>
      <x:c r="N80" s="32" t="str">
        <x:v>GAP-007;GAP-017;GAP-018;GAP-019</x:v>
      </x:c>
    </x:row>
    <x:row r="81">
      <x:c r="A81" s="32" t="str">
        <x:v>EQM-0044</x:v>
      </x:c>
      <x:c r="B81" s="32" t="str">
        <x:v>VKM-008</x:v>
      </x:c>
      <x:c r="C81" s="32" t="str">
        <x:v>Бриошь</x:v>
      </x:c>
      <x:c r="D81" s="32" t="n">
        <x:v>2</x:v>
      </x:c>
      <x:c r="E81" s="32" t="str">
        <x:v>ввести масло</x:v>
      </x:c>
      <x:c r="F81" s="32" t="str">
        <x:v>REQ-BAK-PREP</x:v>
      </x:c>
      <x:c r="G81" s="32" t="str">
        <x:v>Проектное функциональное требование без действующего CAPEX-кода</x:v>
      </x:c>
      <x:c r="H81" s="32"/>
      <x:c r="I81" s="32" t="str">
        <x:v>MANUAL_FORMING_GAP</x:v>
      </x:c>
      <x:c r="J81" s="32"/>
      <x:c r="K81" s="32"/>
      <x:c r="L81" s="32" t="str">
        <x:v>BLOCKED</x:v>
      </x:c>
      <x:c r="M81" s="32" t="str">
        <x:v>ESTIMATE</x:v>
      </x:c>
      <x:c r="N81" s="32" t="str">
        <x:v>GAP-007;GAP-017;GAP-018;GAP-019</x:v>
      </x:c>
    </x:row>
    <x:row r="82">
      <x:c r="A82" s="32" t="str">
        <x:v>EQM-0045</x:v>
      </x:c>
      <x:c r="B82" s="32" t="str">
        <x:v>VKM-008</x:v>
      </x:c>
      <x:c r="C82" s="32" t="str">
        <x:v>Бриошь</x:v>
      </x:c>
      <x:c r="D82" s="32" t="n">
        <x:v>3</x:v>
      </x:c>
      <x:c r="E82" s="32" t="str">
        <x:v>провести брожение</x:v>
      </x:c>
      <x:c r="F82" s="32" t="str">
        <x:v>STO-08</x:v>
      </x:c>
      <x:c r="G82" s="32" t="str">
        <x:v>Холодная ферментация теста</x:v>
      </x:c>
      <x:c r="H82" s="32" t="str">
        <x:v>CAPEX.STO.008</x:v>
      </x:c>
      <x:c r="I82" s="32" t="str">
        <x:v>FERMENTATION</x:v>
      </x:c>
      <x:c r="J82" s="32"/>
      <x:c r="K82" s="32"/>
      <x:c r="L82" s="32" t="str">
        <x:v>BLOCKED</x:v>
      </x:c>
      <x:c r="M82" s="32" t="str">
        <x:v>ESTIMATE</x:v>
      </x:c>
      <x:c r="N82" s="32" t="str">
        <x:v>GAP-007;GAP-017;GAP-018;GAP-019</x:v>
      </x:c>
    </x:row>
    <x:row r="83">
      <x:c r="A83" s="32" t="str">
        <x:v>EQM-0046</x:v>
      </x:c>
      <x:c r="B83" s="32" t="str">
        <x:v>VKM-008</x:v>
      </x:c>
      <x:c r="C83" s="32" t="str">
        <x:v>Бриошь</x:v>
      </x:c>
      <x:c r="D83" s="32" t="n">
        <x:v>4</x:v>
      </x:c>
      <x:c r="E83" s="32" t="str">
        <x:v>сформовать</x:v>
      </x:c>
      <x:c r="F83" s="32" t="str">
        <x:v>REQ-BAK-PREP</x:v>
      </x:c>
      <x:c r="G83" s="32" t="str">
        <x:v>Проектное функциональное требование без действующего CAPEX-кода</x:v>
      </x:c>
      <x:c r="H83" s="32"/>
      <x:c r="I83" s="32" t="str">
        <x:v>MANUAL_FORMING_GAP</x:v>
      </x:c>
      <x:c r="J83" s="32"/>
      <x:c r="K83" s="32"/>
      <x:c r="L83" s="32" t="str">
        <x:v>BLOCKED</x:v>
      </x:c>
      <x:c r="M83" s="32" t="str">
        <x:v>ESTIMATE</x:v>
      </x:c>
      <x:c r="N83" s="32" t="str">
        <x:v>GAP-007;GAP-017;GAP-018;GAP-019</x:v>
      </x:c>
    </x:row>
    <x:row r="84">
      <x:c r="A84" s="32" t="str">
        <x:v>EQM-0047</x:v>
      </x:c>
      <x:c r="B84" s="32" t="str">
        <x:v>VKM-008</x:v>
      </x:c>
      <x:c r="C84" s="32" t="str">
        <x:v>Бриошь</x:v>
      </x:c>
      <x:c r="D84" s="32" t="n">
        <x:v>5</x:v>
      </x:c>
      <x:c r="E84" s="32" t="str">
        <x:v>расстоять</x:v>
      </x:c>
      <x:c r="F84" s="32" t="str">
        <x:v>BAK-05</x:v>
      </x:c>
      <x:c r="G84" s="32" t="str">
        <x:v>Программируемый расстоечный шкаф</x:v>
      </x:c>
      <x:c r="H84" s="32" t="str">
        <x:v>CAPEX.BAK.005</x:v>
      </x:c>
      <x:c r="I84" s="32" t="str">
        <x:v>PROOFING</x:v>
      </x:c>
      <x:c r="J84" s="32"/>
      <x:c r="K84" s="32"/>
      <x:c r="L84" s="32" t="str">
        <x:v>BLOCKED</x:v>
      </x:c>
      <x:c r="M84" s="32" t="str">
        <x:v>ESTIMATE</x:v>
      </x:c>
      <x:c r="N84" s="32" t="str">
        <x:v>GAP-007;GAP-017;GAP-018;GAP-019</x:v>
      </x:c>
    </x:row>
    <x:row r="85">
      <x:c r="A85" s="32" t="str">
        <x:v>EQM-0048</x:v>
      </x:c>
      <x:c r="B85" s="32" t="str">
        <x:v>VKM-008</x:v>
      </x:c>
      <x:c r="C85" s="32" t="str">
        <x:v>Бриошь</x:v>
      </x:c>
      <x:c r="D85" s="32" t="n">
        <x:v>6</x:v>
      </x:c>
      <x:c r="E85" s="32" t="str">
        <x:v>смазать</x:v>
      </x:c>
      <x:c r="F85" s="32" t="str">
        <x:v>REQ-BAK-PREP</x:v>
      </x:c>
      <x:c r="G85" s="32" t="str">
        <x:v>Проектное функциональное требование без действующего CAPEX-кода</x:v>
      </x:c>
      <x:c r="H85" s="32"/>
      <x:c r="I85" s="32" t="str">
        <x:v>MANUAL_FORMING_GAP</x:v>
      </x:c>
      <x:c r="J85" s="32"/>
      <x:c r="K85" s="32"/>
      <x:c r="L85" s="32" t="str">
        <x:v>BLOCKED</x:v>
      </x:c>
      <x:c r="M85" s="32" t="str">
        <x:v>ESTIMATE</x:v>
      </x:c>
      <x:c r="N85" s="32" t="str">
        <x:v>GAP-007;GAP-017;GAP-018;GAP-019</x:v>
      </x:c>
    </x:row>
    <x:row r="86">
      <x:c r="A86" s="32" t="str">
        <x:v>EQM-0049</x:v>
      </x:c>
      <x:c r="B86" s="32" t="str">
        <x:v>VKM-008</x:v>
      </x:c>
      <x:c r="C86" s="32" t="str">
        <x:v>Бриошь</x:v>
      </x:c>
      <x:c r="D86" s="32" t="n">
        <x:v>7</x:v>
      </x:c>
      <x:c r="E86" s="32" t="str">
        <x:v>выпечь</x:v>
      </x:c>
      <x:c r="F86" s="32" t="str">
        <x:v>BAK-02</x:v>
      </x:c>
      <x:c r="G86" s="32" t="str">
        <x:v>Пекарская печь</x:v>
      </x:c>
      <x:c r="H86" s="32" t="str">
        <x:v>CAPEX.BAK.002</x:v>
      </x:c>
      <x:c r="I86" s="32" t="str">
        <x:v>THERMAL_PROCESS</x:v>
      </x:c>
      <x:c r="J86" s="32"/>
      <x:c r="K86" s="32"/>
      <x:c r="L86" s="32" t="str">
        <x:v>BLOCKED</x:v>
      </x:c>
      <x:c r="M86" s="32" t="str">
        <x:v>ESTIMATE</x:v>
      </x:c>
      <x:c r="N86" s="32" t="str">
        <x:v>GAP-007;GAP-017;GAP-018;GAP-019</x:v>
      </x:c>
    </x:row>
    <x:row r="87">
      <x:c r="A87" s="32" t="str">
        <x:v>EQM-0050</x:v>
      </x:c>
      <x:c r="B87" s="32" t="str">
        <x:v>VKM-008</x:v>
      </x:c>
      <x:c r="C87" s="32" t="str">
        <x:v>Бриошь</x:v>
      </x:c>
      <x:c r="D87" s="32" t="n">
        <x:v>8</x:v>
      </x:c>
      <x:c r="E87" s="32" t="str">
        <x:v>охладить</x:v>
      </x:c>
      <x:c r="F87" s="32" t="str">
        <x:v>BAK-06</x:v>
      </x:c>
      <x:c r="G87" s="32" t="str">
        <x:v>Мобильный стеллаж охлаждения</x:v>
      </x:c>
      <x:c r="H87" s="32" t="str">
        <x:v>CAPEX.BAK.006</x:v>
      </x:c>
      <x:c r="I87" s="32" t="str">
        <x:v>COOLING_HOLDING</x:v>
      </x:c>
      <x:c r="J87" s="32"/>
      <x:c r="K87" s="32"/>
      <x:c r="L87" s="32" t="str">
        <x:v>BLOCKED</x:v>
      </x:c>
      <x:c r="M87" s="32" t="str">
        <x:v>ESTIMATE</x:v>
      </x:c>
      <x:c r="N87" s="32" t="str">
        <x:v>GAP-007;GAP-017;GAP-018;GAP-019</x:v>
      </x:c>
    </x:row>
    <x:row r="88">
      <x:c r="A88" s="32" t="str">
        <x:v>EQM-0051</x:v>
      </x:c>
      <x:c r="B88" s="32" t="str">
        <x:v>VKM-009</x:v>
      </x:c>
      <x:c r="C88" s="32" t="str">
        <x:v>Буррата с томатами</x:v>
      </x:c>
      <x:c r="D88" s="32" t="n">
        <x:v>1</x:v>
      </x:c>
      <x:c r="E88" s="32" t="str">
        <x:v>Подготовить томаты и зелень</x:v>
      </x:c>
      <x:c r="F88" s="32" t="str">
        <x:v>CLD-03;CLD-07</x:v>
      </x:c>
      <x:c r="G88" s="32" t="str">
        <x:v>Вторая рабочая поверхность;Весы, ножи, доски холодного участка</x:v>
      </x:c>
      <x:c r="H88" s="32" t="str">
        <x:v>CAPEX.CLD.003;CAPEX.CLD.007</x:v>
      </x:c>
      <x:c r="I88" s="32" t="str">
        <x:v>COLD_PREP_ASSEMBLY</x:v>
      </x:c>
      <x:c r="J88" s="32"/>
      <x:c r="K88" s="32"/>
      <x:c r="L88" s="32" t="str">
        <x:v>BLOCKED</x:v>
      </x:c>
      <x:c r="M88" s="32" t="str">
        <x:v>ESTIMATE</x:v>
      </x:c>
      <x:c r="N88" s="32" t="str">
        <x:v>GAP-007;GAP-017;GAP-018;GAP-019</x:v>
      </x:c>
    </x:row>
    <x:row r="89">
      <x:c r="A89" s="32" t="str">
        <x:v>EQM-0052</x:v>
      </x:c>
      <x:c r="B89" s="32" t="str">
        <x:v>VKM-009</x:v>
      </x:c>
      <x:c r="C89" s="32" t="str">
        <x:v>Буррата с томатами</x:v>
      </x:c>
      <x:c r="D89" s="32" t="n">
        <x:v>2</x:v>
      </x:c>
      <x:c r="E89" s="32" t="str">
        <x:v>смешать заправку</x:v>
      </x:c>
      <x:c r="F89" s="32" t="str">
        <x:v>CLD-03;CLD-07</x:v>
      </x:c>
      <x:c r="G89" s="32" t="str">
        <x:v>Вторая рабочая поверхность;Весы, ножи, доски холодного участка</x:v>
      </x:c>
      <x:c r="H89" s="32" t="str">
        <x:v>CAPEX.CLD.003;CAPEX.CLD.007</x:v>
      </x:c>
      <x:c r="I89" s="32" t="str">
        <x:v>COLD_PREP_ASSEMBLY</x:v>
      </x:c>
      <x:c r="J89" s="32"/>
      <x:c r="K89" s="32"/>
      <x:c r="L89" s="32" t="str">
        <x:v>BLOCKED</x:v>
      </x:c>
      <x:c r="M89" s="32" t="str">
        <x:v>ESTIMATE</x:v>
      </x:c>
      <x:c r="N89" s="32" t="str">
        <x:v>GAP-007;GAP-017;GAP-018;GAP-019</x:v>
      </x:c>
    </x:row>
    <x:row r="90">
      <x:c r="A90" s="32" t="str">
        <x:v>EQM-0053</x:v>
      </x:c>
      <x:c r="B90" s="32" t="str">
        <x:v>VKM-009</x:v>
      </x:c>
      <x:c r="C90" s="32" t="str">
        <x:v>Буррата с томатами</x:v>
      </x:c>
      <x:c r="D90" s="32" t="n">
        <x:v>3</x:v>
      </x:c>
      <x:c r="E90" s="32" t="str">
        <x:v>разместить буррату</x:v>
      </x:c>
      <x:c r="F90" s="32" t="str">
        <x:v>CLD-03;CLD-07</x:v>
      </x:c>
      <x:c r="G90" s="32" t="str">
        <x:v>Вторая рабочая поверхность;Весы, ножи, доски холодного участка</x:v>
      </x:c>
      <x:c r="H90" s="32" t="str">
        <x:v>CAPEX.CLD.003;CAPEX.CLD.007</x:v>
      </x:c>
      <x:c r="I90" s="32" t="str">
        <x:v>COLD_PREP_ASSEMBLY</x:v>
      </x:c>
      <x:c r="J90" s="32"/>
      <x:c r="K90" s="32"/>
      <x:c r="L90" s="32" t="str">
        <x:v>BLOCKED</x:v>
      </x:c>
      <x:c r="M90" s="32" t="str">
        <x:v>ESTIMATE</x:v>
      </x:c>
      <x:c r="N90" s="32" t="str">
        <x:v>GAP-007;GAP-017;GAP-018;GAP-019</x:v>
      </x:c>
    </x:row>
    <x:row r="91">
      <x:c r="A91" s="32" t="str">
        <x:v>EQM-0054</x:v>
      </x:c>
      <x:c r="B91" s="32" t="str">
        <x:v>VKM-009</x:v>
      </x:c>
      <x:c r="C91" s="32" t="str">
        <x:v>Буррата с томатами</x:v>
      </x:c>
      <x:c r="D91" s="32" t="n">
        <x:v>4</x:v>
      </x:c>
      <x:c r="E91" s="32" t="str">
        <x:v>собрать и финишировать</x:v>
      </x:c>
      <x:c r="F91" s="32" t="str">
        <x:v>CLD-03;CLD-07</x:v>
      </x:c>
      <x:c r="G91" s="32" t="str">
        <x:v>Вторая рабочая поверхность;Весы, ножи, доски холодного участка</x:v>
      </x:c>
      <x:c r="H91" s="32" t="str">
        <x:v>CAPEX.CLD.003;CAPEX.CLD.007</x:v>
      </x:c>
      <x:c r="I91" s="32" t="str">
        <x:v>COLD_PREP_ASSEMBLY</x:v>
      </x:c>
      <x:c r="J91" s="32"/>
      <x:c r="K91" s="32"/>
      <x:c r="L91" s="32" t="str">
        <x:v>BLOCKED</x:v>
      </x:c>
      <x:c r="M91" s="32" t="str">
        <x:v>ESTIMATE</x:v>
      </x:c>
      <x:c r="N91" s="32" t="str">
        <x:v>GAP-007;GAP-017;GAP-018;GAP-019</x:v>
      </x:c>
    </x:row>
    <x:row r="92">
      <x:c r="A92" s="32" t="str">
        <x:v>EQM-0055</x:v>
      </x:c>
      <x:c r="B92" s="32" t="str">
        <x:v>VKM-010</x:v>
      </x:c>
      <x:c r="C92" s="32" t="str">
        <x:v>Микс-салат с креветками и яблоком</x:v>
      </x:c>
      <x:c r="D92" s="32" t="n">
        <x:v>1</x:v>
      </x:c>
      <x:c r="E92" s="32" t="str">
        <x:v>Подготовить зелень, яблоко и огурец</x:v>
      </x:c>
      <x:c r="F92" s="32" t="str">
        <x:v>CLD-03;CLD-07</x:v>
      </x:c>
      <x:c r="G92" s="32" t="str">
        <x:v>Вторая рабочая поверхность;Весы, ножи, доски холодного участка</x:v>
      </x:c>
      <x:c r="H92" s="32" t="str">
        <x:v>CAPEX.CLD.003;CAPEX.CLD.007</x:v>
      </x:c>
      <x:c r="I92" s="32" t="str">
        <x:v>COLD_PREP_ASSEMBLY</x:v>
      </x:c>
      <x:c r="J92" s="32"/>
      <x:c r="K92" s="32"/>
      <x:c r="L92" s="32" t="str">
        <x:v>BLOCKED</x:v>
      </x:c>
      <x:c r="M92" s="32" t="str">
        <x:v>ESTIMATE</x:v>
      </x:c>
      <x:c r="N92" s="32" t="str">
        <x:v>GAP-007;GAP-017;GAP-018;GAP-019</x:v>
      </x:c>
    </x:row>
    <x:row r="93">
      <x:c r="A93" s="32" t="str">
        <x:v>EQM-0056</x:v>
      </x:c>
      <x:c r="B93" s="32" t="str">
        <x:v>VKM-010</x:v>
      </x:c>
      <x:c r="C93" s="32" t="str">
        <x:v>Микс-салат с креветками и яблоком</x:v>
      </x:c>
      <x:c r="D93" s="32" t="n">
        <x:v>2</x:v>
      </x:c>
      <x:c r="E93" s="32" t="str">
        <x:v>подготовить креветки</x:v>
      </x:c>
      <x:c r="F93" s="32" t="str">
        <x:v>CLD-03;CLD-07</x:v>
      </x:c>
      <x:c r="G93" s="32" t="str">
        <x:v>Вторая рабочая поверхность;Весы, ножи, доски холодного участка</x:v>
      </x:c>
      <x:c r="H93" s="32" t="str">
        <x:v>CAPEX.CLD.003;CAPEX.CLD.007</x:v>
      </x:c>
      <x:c r="I93" s="32" t="str">
        <x:v>COLD_PREP_ASSEMBLY</x:v>
      </x:c>
      <x:c r="J93" s="32"/>
      <x:c r="K93" s="32"/>
      <x:c r="L93" s="32" t="str">
        <x:v>BLOCKED</x:v>
      </x:c>
      <x:c r="M93" s="32" t="str">
        <x:v>ESTIMATE</x:v>
      </x:c>
      <x:c r="N93" s="32" t="str">
        <x:v>GAP-007;GAP-017;GAP-018;GAP-019</x:v>
      </x:c>
    </x:row>
    <x:row r="94">
      <x:c r="A94" s="32" t="str">
        <x:v>EQM-0057</x:v>
      </x:c>
      <x:c r="B94" s="32" t="str">
        <x:v>VKM-010</x:v>
      </x:c>
      <x:c r="C94" s="32" t="str">
        <x:v>Микс-салат с креветками и яблоком</x:v>
      </x:c>
      <x:c r="D94" s="32" t="n">
        <x:v>3</x:v>
      </x:c>
      <x:c r="E94" s="32" t="str">
        <x:v>смешать заправку</x:v>
      </x:c>
      <x:c r="F94" s="32" t="str">
        <x:v>CLD-03;CLD-07</x:v>
      </x:c>
      <x:c r="G94" s="32" t="str">
        <x:v>Вторая рабочая поверхность;Весы, ножи, доски холодного участка</x:v>
      </x:c>
      <x:c r="H94" s="32" t="str">
        <x:v>CAPEX.CLD.003;CAPEX.CLD.007</x:v>
      </x:c>
      <x:c r="I94" s="32" t="str">
        <x:v>COLD_PREP_ASSEMBLY</x:v>
      </x:c>
      <x:c r="J94" s="32"/>
      <x:c r="K94" s="32"/>
      <x:c r="L94" s="32" t="str">
        <x:v>BLOCKED</x:v>
      </x:c>
      <x:c r="M94" s="32" t="str">
        <x:v>ESTIMATE</x:v>
      </x:c>
      <x:c r="N94" s="32" t="str">
        <x:v>GAP-007;GAP-017;GAP-018;GAP-019</x:v>
      </x:c>
    </x:row>
    <x:row r="95">
      <x:c r="A95" s="32" t="str">
        <x:v>EQM-0058</x:v>
      </x:c>
      <x:c r="B95" s="32" t="str">
        <x:v>VKM-010</x:v>
      </x:c>
      <x:c r="C95" s="32" t="str">
        <x:v>Микс-салат с креветками и яблоком</x:v>
      </x:c>
      <x:c r="D95" s="32" t="n">
        <x:v>4</x:v>
      </x:c>
      <x:c r="E95" s="32" t="str">
        <x:v>аккуратно собрать</x:v>
      </x:c>
      <x:c r="F95" s="32" t="str">
        <x:v>CLD-03;CLD-07</x:v>
      </x:c>
      <x:c r="G95" s="32" t="str">
        <x:v>Вторая рабочая поверхность;Весы, ножи, доски холодного участка</x:v>
      </x:c>
      <x:c r="H95" s="32" t="str">
        <x:v>CAPEX.CLD.003;CAPEX.CLD.007</x:v>
      </x:c>
      <x:c r="I95" s="32" t="str">
        <x:v>COLD_PREP_ASSEMBLY</x:v>
      </x:c>
      <x:c r="J95" s="32"/>
      <x:c r="K95" s="32"/>
      <x:c r="L95" s="32" t="str">
        <x:v>BLOCKED</x:v>
      </x:c>
      <x:c r="M95" s="32" t="str">
        <x:v>ESTIMATE</x:v>
      </x:c>
      <x:c r="N95" s="32" t="str">
        <x:v>GAP-007;GAP-017;GAP-018;GAP-019</x:v>
      </x:c>
    </x:row>
    <x:row r="96">
      <x:c r="A96" s="32" t="str">
        <x:v>EQM-0059</x:v>
      </x:c>
      <x:c r="B96" s="32" t="str">
        <x:v>VKM-010</x:v>
      </x:c>
      <x:c r="C96" s="32" t="str">
        <x:v>Микс-салат с креветками и яблоком</x:v>
      </x:c>
      <x:c r="D96" s="32" t="n">
        <x:v>5</x:v>
      </x:c>
      <x:c r="E96" s="32" t="str">
        <x:v>добавить финиш</x:v>
      </x:c>
      <x:c r="F96" s="32" t="str">
        <x:v>CLD-03;CLD-07</x:v>
      </x:c>
      <x:c r="G96" s="32" t="str">
        <x:v>Вторая рабочая поверхность;Весы, ножи, доски холодного участка</x:v>
      </x:c>
      <x:c r="H96" s="32" t="str">
        <x:v>CAPEX.CLD.003;CAPEX.CLD.007</x:v>
      </x:c>
      <x:c r="I96" s="32" t="str">
        <x:v>COLD_PREP_ASSEMBLY</x:v>
      </x:c>
      <x:c r="J96" s="32"/>
      <x:c r="K96" s="32"/>
      <x:c r="L96" s="32" t="str">
        <x:v>BLOCKED</x:v>
      </x:c>
      <x:c r="M96" s="32" t="str">
        <x:v>ESTIMATE</x:v>
      </x:c>
      <x:c r="N96" s="32" t="str">
        <x:v>GAP-007;GAP-017;GAP-018;GAP-019</x:v>
      </x:c>
    </x:row>
    <x:row r="97">
      <x:c r="A97" s="32" t="str">
        <x:v>EQM-0060</x:v>
      </x:c>
      <x:c r="B97" s="32" t="str">
        <x:v>VKM-011</x:v>
      </x:c>
      <x:c r="C97" s="32" t="str">
        <x:v>Греческий</x:v>
      </x:c>
      <x:c r="D97" s="32" t="n">
        <x:v>1</x:v>
      </x:c>
      <x:c r="E97" s="32" t="str">
        <x:v>Нарезать овощи</x:v>
      </x:c>
      <x:c r="F97" s="32" t="str">
        <x:v>CLD-03;CLD-07</x:v>
      </x:c>
      <x:c r="G97" s="32" t="str">
        <x:v>Вторая рабочая поверхность;Весы, ножи, доски холодного участка</x:v>
      </x:c>
      <x:c r="H97" s="32" t="str">
        <x:v>CAPEX.CLD.003;CAPEX.CLD.007</x:v>
      </x:c>
      <x:c r="I97" s="32" t="str">
        <x:v>COLD_PREP_ASSEMBLY</x:v>
      </x:c>
      <x:c r="J97" s="32"/>
      <x:c r="K97" s="32"/>
      <x:c r="L97" s="32" t="str">
        <x:v>BLOCKED</x:v>
      </x:c>
      <x:c r="M97" s="32" t="str">
        <x:v>ESTIMATE</x:v>
      </x:c>
      <x:c r="N97" s="32" t="str">
        <x:v>GAP-007;GAP-017;GAP-018;GAP-019</x:v>
      </x:c>
    </x:row>
    <x:row r="98">
      <x:c r="A98" s="32" t="str">
        <x:v>EQM-0061</x:v>
      </x:c>
      <x:c r="B98" s="32" t="str">
        <x:v>VKM-011</x:v>
      </x:c>
      <x:c r="C98" s="32" t="str">
        <x:v>Греческий</x:v>
      </x:c>
      <x:c r="D98" s="32" t="n">
        <x:v>2</x:v>
      </x:c>
      <x:c r="E98" s="32" t="str">
        <x:v>подготовить фету и оливки</x:v>
      </x:c>
      <x:c r="F98" s="32" t="str">
        <x:v>CLD-03;CLD-07</x:v>
      </x:c>
      <x:c r="G98" s="32" t="str">
        <x:v>Вторая рабочая поверхность;Весы, ножи, доски холодного участка</x:v>
      </x:c>
      <x:c r="H98" s="32" t="str">
        <x:v>CAPEX.CLD.003;CAPEX.CLD.007</x:v>
      </x:c>
      <x:c r="I98" s="32" t="str">
        <x:v>COLD_PREP_ASSEMBLY</x:v>
      </x:c>
      <x:c r="J98" s="32"/>
      <x:c r="K98" s="32"/>
      <x:c r="L98" s="32" t="str">
        <x:v>BLOCKED</x:v>
      </x:c>
      <x:c r="M98" s="32" t="str">
        <x:v>ESTIMATE</x:v>
      </x:c>
      <x:c r="N98" s="32" t="str">
        <x:v>GAP-007;GAP-017;GAP-018;GAP-019</x:v>
      </x:c>
    </x:row>
    <x:row r="99">
      <x:c r="A99" s="32" t="str">
        <x:v>EQM-0062</x:v>
      </x:c>
      <x:c r="B99" s="32" t="str">
        <x:v>VKM-011</x:v>
      </x:c>
      <x:c r="C99" s="32" t="str">
        <x:v>Греческий</x:v>
      </x:c>
      <x:c r="D99" s="32" t="n">
        <x:v>3</x:v>
      </x:c>
      <x:c r="E99" s="32" t="str">
        <x:v>смешать заправку</x:v>
      </x:c>
      <x:c r="F99" s="32" t="str">
        <x:v>CLD-03;CLD-07</x:v>
      </x:c>
      <x:c r="G99" s="32" t="str">
        <x:v>Вторая рабочая поверхность;Весы, ножи, доски холодного участка</x:v>
      </x:c>
      <x:c r="H99" s="32" t="str">
        <x:v>CAPEX.CLD.003;CAPEX.CLD.007</x:v>
      </x:c>
      <x:c r="I99" s="32" t="str">
        <x:v>COLD_PREP_ASSEMBLY</x:v>
      </x:c>
      <x:c r="J99" s="32"/>
      <x:c r="K99" s="32"/>
      <x:c r="L99" s="32" t="str">
        <x:v>BLOCKED</x:v>
      </x:c>
      <x:c r="M99" s="32" t="str">
        <x:v>ESTIMATE</x:v>
      </x:c>
      <x:c r="N99" s="32" t="str">
        <x:v>GAP-007;GAP-017;GAP-018;GAP-019</x:v>
      </x:c>
    </x:row>
    <x:row r="100">
      <x:c r="A100" s="32" t="str">
        <x:v>EQM-0063</x:v>
      </x:c>
      <x:c r="B100" s="32" t="str">
        <x:v>VKM-011</x:v>
      </x:c>
      <x:c r="C100" s="32" t="str">
        <x:v>Греческий</x:v>
      </x:c>
      <x:c r="D100" s="32" t="n">
        <x:v>4</x:v>
      </x:c>
      <x:c r="E100" s="32" t="str">
        <x:v>собрать без излишнего перемешивания</x:v>
      </x:c>
      <x:c r="F100" s="32" t="str">
        <x:v>CLD-03;CLD-07</x:v>
      </x:c>
      <x:c r="G100" s="32" t="str">
        <x:v>Вторая рабочая поверхность;Весы, ножи, доски холодного участка</x:v>
      </x:c>
      <x:c r="H100" s="32" t="str">
        <x:v>CAPEX.CLD.003;CAPEX.CLD.007</x:v>
      </x:c>
      <x:c r="I100" s="32" t="str">
        <x:v>COLD_PREP_ASSEMBLY</x:v>
      </x:c>
      <x:c r="J100" s="32"/>
      <x:c r="K100" s="32"/>
      <x:c r="L100" s="32" t="str">
        <x:v>BLOCKED</x:v>
      </x:c>
      <x:c r="M100" s="32" t="str">
        <x:v>ESTIMATE</x:v>
      </x:c>
      <x:c r="N100" s="32" t="str">
        <x:v>GAP-007;GAP-017;GAP-018;GAP-019</x:v>
      </x:c>
    </x:row>
    <x:row r="101">
      <x:c r="A101" s="32" t="str">
        <x:v>EQM-0064</x:v>
      </x:c>
      <x:c r="B101" s="32" t="str">
        <x:v>VKM-012</x:v>
      </x:c>
      <x:c r="C101" s="32" t="str">
        <x:v>Винегрет</x:v>
      </x:c>
      <x:c r="D101" s="32" t="n">
        <x:v>1</x:v>
      </x:c>
      <x:c r="E101" s="32" t="str">
        <x:v>Подготовить варёные овощи</x:v>
      </x:c>
      <x:c r="F101" s="32" t="str">
        <x:v>CLD-03;CLD-07</x:v>
      </x:c>
      <x:c r="G101" s="32" t="str">
        <x:v>Вторая рабочая поверхность;Весы, ножи, доски холодного участка</x:v>
      </x:c>
      <x:c r="H101" s="32" t="str">
        <x:v>CAPEX.CLD.003;CAPEX.CLD.007</x:v>
      </x:c>
      <x:c r="I101" s="32" t="str">
        <x:v>COLD_PREP_ASSEMBLY</x:v>
      </x:c>
      <x:c r="J101" s="32"/>
      <x:c r="K101" s="32"/>
      <x:c r="L101" s="32" t="str">
        <x:v>BLOCKED</x:v>
      </x:c>
      <x:c r="M101" s="32" t="str">
        <x:v>ESTIMATE</x:v>
      </x:c>
      <x:c r="N101" s="32" t="str">
        <x:v>GAP-007;GAP-017;GAP-018;GAP-019</x:v>
      </x:c>
    </x:row>
    <x:row r="102">
      <x:c r="A102" s="32" t="str">
        <x:v>EQM-0065</x:v>
      </x:c>
      <x:c r="B102" s="32" t="str">
        <x:v>VKM-012</x:v>
      </x:c>
      <x:c r="C102" s="32" t="str">
        <x:v>Винегрет</x:v>
      </x:c>
      <x:c r="D102" s="32" t="n">
        <x:v>2</x:v>
      </x:c>
      <x:c r="E102" s="32" t="str">
        <x:v>охладить</x:v>
      </x:c>
      <x:c r="F102" s="32" t="str">
        <x:v>HOT-09;STO-10</x:v>
      </x:c>
      <x:c r="G102" s="32" t="str">
        <x:v>Шкаф интенсивного охлаждения;Готовые полуфабрикаты</x:v>
      </x:c>
      <x:c r="H102" s="32" t="str">
        <x:v>CAPEX.HOT.010;CAPEX.STO.010</x:v>
      </x:c>
      <x:c r="I102" s="32" t="str">
        <x:v>COOLING_HOLDING</x:v>
      </x:c>
      <x:c r="J102" s="32"/>
      <x:c r="K102" s="32"/>
      <x:c r="L102" s="32" t="str">
        <x:v>BLOCKED</x:v>
      </x:c>
      <x:c r="M102" s="32" t="str">
        <x:v>ESTIMATE</x:v>
      </x:c>
      <x:c r="N102" s="32" t="str">
        <x:v>GAP-007;GAP-017;GAP-018;GAP-019</x:v>
      </x:c>
    </x:row>
    <x:row r="103">
      <x:c r="A103" s="32" t="str">
        <x:v>EQM-0066</x:v>
      </x:c>
      <x:c r="B103" s="32" t="str">
        <x:v>VKM-012</x:v>
      </x:c>
      <x:c r="C103" s="32" t="str">
        <x:v>Винегрет</x:v>
      </x:c>
      <x:c r="D103" s="32" t="n">
        <x:v>3</x:v>
      </x:c>
      <x:c r="E103" s="32" t="str">
        <x:v>нарезать одинаковым кубиком</x:v>
      </x:c>
      <x:c r="F103" s="32" t="str">
        <x:v>CLD-03;CLD-07</x:v>
      </x:c>
      <x:c r="G103" s="32" t="str">
        <x:v>Вторая рабочая поверхность;Весы, ножи, доски холодного участка</x:v>
      </x:c>
      <x:c r="H103" s="32" t="str">
        <x:v>CAPEX.CLD.003;CAPEX.CLD.007</x:v>
      </x:c>
      <x:c r="I103" s="32" t="str">
        <x:v>COLD_PREP_ASSEMBLY</x:v>
      </x:c>
      <x:c r="J103" s="32"/>
      <x:c r="K103" s="32"/>
      <x:c r="L103" s="32" t="str">
        <x:v>BLOCKED</x:v>
      </x:c>
      <x:c r="M103" s="32" t="str">
        <x:v>ESTIMATE</x:v>
      </x:c>
      <x:c r="N103" s="32" t="str">
        <x:v>GAP-007;GAP-017;GAP-018;GAP-019</x:v>
      </x:c>
    </x:row>
    <x:row r="104">
      <x:c r="A104" s="32" t="str">
        <x:v>EQM-0067</x:v>
      </x:c>
      <x:c r="B104" s="32" t="str">
        <x:v>VKM-012</x:v>
      </x:c>
      <x:c r="C104" s="32" t="str">
        <x:v>Винегрет</x:v>
      </x:c>
      <x:c r="D104" s="32" t="n">
        <x:v>4</x:v>
      </x:c>
      <x:c r="E104" s="32" t="str">
        <x:v>подготовить прочие компоненты</x:v>
      </x:c>
      <x:c r="F104" s="32" t="str">
        <x:v>CLD-03;CLD-07</x:v>
      </x:c>
      <x:c r="G104" s="32" t="str">
        <x:v>Вторая рабочая поверхность;Весы, ножи, доски холодного участка</x:v>
      </x:c>
      <x:c r="H104" s="32" t="str">
        <x:v>CAPEX.CLD.003;CAPEX.CLD.007</x:v>
      </x:c>
      <x:c r="I104" s="32" t="str">
        <x:v>COLD_PREP_ASSEMBLY</x:v>
      </x:c>
      <x:c r="J104" s="32"/>
      <x:c r="K104" s="32"/>
      <x:c r="L104" s="32" t="str">
        <x:v>BLOCKED</x:v>
      </x:c>
      <x:c r="M104" s="32" t="str">
        <x:v>ESTIMATE</x:v>
      </x:c>
      <x:c r="N104" s="32" t="str">
        <x:v>GAP-007;GAP-017;GAP-018;GAP-019</x:v>
      </x:c>
    </x:row>
    <x:row r="105">
      <x:c r="A105" s="32" t="str">
        <x:v>EQM-0068</x:v>
      </x:c>
      <x:c r="B105" s="32" t="str">
        <x:v>VKM-012</x:v>
      </x:c>
      <x:c r="C105" s="32" t="str">
        <x:v>Винегрет</x:v>
      </x:c>
      <x:c r="D105" s="32" t="n">
        <x:v>5</x:v>
      </x:c>
      <x:c r="E105" s="32" t="str">
        <x:v>смешать и заправить</x:v>
      </x:c>
      <x:c r="F105" s="32" t="str">
        <x:v>CLD-03;CLD-07</x:v>
      </x:c>
      <x:c r="G105" s="32" t="str">
        <x:v>Вторая рабочая поверхность;Весы, ножи, доски холодного участка</x:v>
      </x:c>
      <x:c r="H105" s="32" t="str">
        <x:v>CAPEX.CLD.003;CAPEX.CLD.007</x:v>
      </x:c>
      <x:c r="I105" s="32" t="str">
        <x:v>COLD_PREP_ASSEMBLY</x:v>
      </x:c>
      <x:c r="J105" s="32"/>
      <x:c r="K105" s="32"/>
      <x:c r="L105" s="32" t="str">
        <x:v>BLOCKED</x:v>
      </x:c>
      <x:c r="M105" s="32" t="str">
        <x:v>ESTIMATE</x:v>
      </x:c>
      <x:c r="N105" s="32" t="str">
        <x:v>GAP-007;GAP-017;GAP-018;GAP-019</x:v>
      </x:c>
    </x:row>
    <x:row r="106">
      <x:c r="A106" s="32" t="str">
        <x:v>EQM-0069</x:v>
      </x:c>
      <x:c r="B106" s="32" t="str">
        <x:v>VKM-013</x:v>
      </x:c>
      <x:c r="C106" s="32" t="str">
        <x:v>Слабосолёный лосось</x:v>
      </x:c>
      <x:c r="D106" s="32" t="n">
        <x:v>1</x:v>
      </x:c>
      <x:c r="E106" s="32" t="str">
        <x:v>Проверить готовое филе</x:v>
      </x:c>
      <x:c r="F106" s="32" t="str">
        <x:v>CLD-03;CLD-07</x:v>
      </x:c>
      <x:c r="G106" s="32" t="str">
        <x:v>Вторая рабочая поверхность;Весы, ножи, доски холодного участка</x:v>
      </x:c>
      <x:c r="H106" s="32" t="str">
        <x:v>CAPEX.CLD.003;CAPEX.CLD.007</x:v>
      </x:c>
      <x:c r="I106" s="32" t="str">
        <x:v>COLD_PREP_ASSEMBLY</x:v>
      </x:c>
      <x:c r="J106" s="32"/>
      <x:c r="K106" s="32"/>
      <x:c r="L106" s="32" t="str">
        <x:v>BLOCKED</x:v>
      </x:c>
      <x:c r="M106" s="32" t="str">
        <x:v>ESTIMATE</x:v>
      </x:c>
      <x:c r="N106" s="32" t="str">
        <x:v>GAP-007;GAP-017;GAP-018;GAP-019</x:v>
      </x:c>
    </x:row>
    <x:row r="107">
      <x:c r="A107" s="32" t="str">
        <x:v>EQM-0070</x:v>
      </x:c>
      <x:c r="B107" s="32" t="str">
        <x:v>VKM-013</x:v>
      </x:c>
      <x:c r="C107" s="32" t="str">
        <x:v>Слабосолёный лосось</x:v>
      </x:c>
      <x:c r="D107" s="32" t="n">
        <x:v>2</x:v>
      </x:c>
      <x:c r="E107" s="32" t="str">
        <x:v>удалить упаковочную жидкость</x:v>
      </x:c>
      <x:c r="F107" s="32" t="str">
        <x:v>CLD-03;CLD-07</x:v>
      </x:c>
      <x:c r="G107" s="32" t="str">
        <x:v>Вторая рабочая поверхность;Весы, ножи, доски холодного участка</x:v>
      </x:c>
      <x:c r="H107" s="32" t="str">
        <x:v>CAPEX.CLD.003;CAPEX.CLD.007</x:v>
      </x:c>
      <x:c r="I107" s="32" t="str">
        <x:v>COLD_PREP_ASSEMBLY</x:v>
      </x:c>
      <x:c r="J107" s="32"/>
      <x:c r="K107" s="32"/>
      <x:c r="L107" s="32" t="str">
        <x:v>BLOCKED</x:v>
      </x:c>
      <x:c r="M107" s="32" t="str">
        <x:v>ESTIMATE</x:v>
      </x:c>
      <x:c r="N107" s="32" t="str">
        <x:v>GAP-007;GAP-017;GAP-018;GAP-019</x:v>
      </x:c>
    </x:row>
    <x:row r="108">
      <x:c r="A108" s="32" t="str">
        <x:v>EQM-0071</x:v>
      </x:c>
      <x:c r="B108" s="32" t="str">
        <x:v>VKM-013</x:v>
      </x:c>
      <x:c r="C108" s="32" t="str">
        <x:v>Слабосолёный лосось</x:v>
      </x:c>
      <x:c r="D108" s="32" t="n">
        <x:v>3</x:v>
      </x:c>
      <x:c r="E108" s="32" t="str">
        <x:v>порционировать</x:v>
      </x:c>
      <x:c r="F108" s="32" t="str">
        <x:v>CLD-03;CLD-07</x:v>
      </x:c>
      <x:c r="G108" s="32" t="str">
        <x:v>Вторая рабочая поверхность;Весы, ножи, доски холодного участка</x:v>
      </x:c>
      <x:c r="H108" s="32" t="str">
        <x:v>CAPEX.CLD.003;CAPEX.CLD.007</x:v>
      </x:c>
      <x:c r="I108" s="32" t="str">
        <x:v>COLD_PREP_ASSEMBLY</x:v>
      </x:c>
      <x:c r="J108" s="32"/>
      <x:c r="K108" s="32"/>
      <x:c r="L108" s="32" t="str">
        <x:v>BLOCKED</x:v>
      </x:c>
      <x:c r="M108" s="32" t="str">
        <x:v>ESTIMATE</x:v>
      </x:c>
      <x:c r="N108" s="32" t="str">
        <x:v>GAP-007;GAP-017;GAP-018;GAP-019</x:v>
      </x:c>
    </x:row>
    <x:row r="109">
      <x:c r="A109" s="32" t="str">
        <x:v>EQM-0072</x:v>
      </x:c>
      <x:c r="B109" s="32" t="str">
        <x:v>VKM-013</x:v>
      </x:c>
      <x:c r="C109" s="32" t="str">
        <x:v>Слабосолёный лосось</x:v>
      </x:c>
      <x:c r="D109" s="32" t="n">
        <x:v>4</x:v>
      </x:c>
      <x:c r="E109" s="32" t="str">
        <x:v>подготовить лимон и гарниры</x:v>
      </x:c>
      <x:c r="F109" s="32" t="str">
        <x:v>CLD-03;CLD-07</x:v>
      </x:c>
      <x:c r="G109" s="32" t="str">
        <x:v>Вторая рабочая поверхность;Весы, ножи, доски холодного участка</x:v>
      </x:c>
      <x:c r="H109" s="32" t="str">
        <x:v>CAPEX.CLD.003;CAPEX.CLD.007</x:v>
      </x:c>
      <x:c r="I109" s="32" t="str">
        <x:v>COLD_PREP_ASSEMBLY</x:v>
      </x:c>
      <x:c r="J109" s="32"/>
      <x:c r="K109" s="32"/>
      <x:c r="L109" s="32" t="str">
        <x:v>BLOCKED</x:v>
      </x:c>
      <x:c r="M109" s="32" t="str">
        <x:v>ESTIMATE</x:v>
      </x:c>
      <x:c r="N109" s="32" t="str">
        <x:v>GAP-007;GAP-017;GAP-018;GAP-019</x:v>
      </x:c>
    </x:row>
    <x:row r="110">
      <x:c r="A110" s="32" t="str">
        <x:v>EQM-0073</x:v>
      </x:c>
      <x:c r="B110" s="32" t="str">
        <x:v>VKM-013</x:v>
      </x:c>
      <x:c r="C110" s="32" t="str">
        <x:v>Слабосолёный лосось</x:v>
      </x:c>
      <x:c r="D110" s="32" t="n">
        <x:v>5</x:v>
      </x:c>
      <x:c r="E110" s="32" t="str">
        <x:v>собрать</x:v>
      </x:c>
      <x:c r="F110" s="32" t="str">
        <x:v>CLD-03;CLD-07</x:v>
      </x:c>
      <x:c r="G110" s="32" t="str">
        <x:v>Вторая рабочая поверхность;Весы, ножи, доски холодного участка</x:v>
      </x:c>
      <x:c r="H110" s="32" t="str">
        <x:v>CAPEX.CLD.003;CAPEX.CLD.007</x:v>
      </x:c>
      <x:c r="I110" s="32" t="str">
        <x:v>COLD_PREP_ASSEMBLY</x:v>
      </x:c>
      <x:c r="J110" s="32"/>
      <x:c r="K110" s="32"/>
      <x:c r="L110" s="32" t="str">
        <x:v>BLOCKED</x:v>
      </x:c>
      <x:c r="M110" s="32" t="str">
        <x:v>ESTIMATE</x:v>
      </x:c>
      <x:c r="N110" s="32" t="str">
        <x:v>GAP-007;GAP-017;GAP-018;GAP-019</x:v>
      </x:c>
    </x:row>
    <x:row r="111">
      <x:c r="A111" s="32" t="str">
        <x:v>EQM-0074</x:v>
      </x:c>
      <x:c r="B111" s="32" t="str">
        <x:v>VKM-014</x:v>
      </x:c>
      <x:c r="C111" s="32" t="str">
        <x:v>Сельдь с запечённым картофелем</x:v>
      </x:c>
      <x:c r="D111" s="32" t="n">
        <x:v>1</x:v>
      </x:c>
      <x:c r="E111" s="32" t="str">
        <x:v>Подготовить и запечь картофель</x:v>
      </x:c>
      <x:c r="F111" s="32" t="str">
        <x:v>HOT-01</x:v>
      </x:c>
      <x:c r="G111" s="32" t="str">
        <x:v>Пароконвектомат</x:v>
      </x:c>
      <x:c r="H111" s="32" t="str">
        <x:v>CAPEX.HOT.001</x:v>
      </x:c>
      <x:c r="I111" s="32" t="str">
        <x:v>THERMAL_PROCESS</x:v>
      </x:c>
      <x:c r="J111" s="32"/>
      <x:c r="K111" s="32"/>
      <x:c r="L111" s="32" t="str">
        <x:v>BLOCKED</x:v>
      </x:c>
      <x:c r="M111" s="32" t="str">
        <x:v>ESTIMATE</x:v>
      </x:c>
      <x:c r="N111" s="32" t="str">
        <x:v>GAP-007;GAP-017;GAP-018;GAP-019</x:v>
      </x:c>
    </x:row>
    <x:row r="112">
      <x:c r="A112" s="32" t="str">
        <x:v>EQM-0075</x:v>
      </x:c>
      <x:c r="B112" s="32" t="str">
        <x:v>VKM-014</x:v>
      </x:c>
      <x:c r="C112" s="32" t="str">
        <x:v>Сельдь с запечённым картофелем</x:v>
      </x:c>
      <x:c r="D112" s="32" t="n">
        <x:v>2</x:v>
      </x:c>
      <x:c r="E112" s="32" t="str">
        <x:v>подготовить сельдь и лук</x:v>
      </x:c>
      <x:c r="F112" s="32" t="str">
        <x:v>CLD-03;CLD-07</x:v>
      </x:c>
      <x:c r="G112" s="32" t="str">
        <x:v>Вторая рабочая поверхность;Весы, ножи, доски холодного участка</x:v>
      </x:c>
      <x:c r="H112" s="32" t="str">
        <x:v>CAPEX.CLD.003;CAPEX.CLD.007</x:v>
      </x:c>
      <x:c r="I112" s="32" t="str">
        <x:v>COLD_PREP_ASSEMBLY</x:v>
      </x:c>
      <x:c r="J112" s="32"/>
      <x:c r="K112" s="32"/>
      <x:c r="L112" s="32" t="str">
        <x:v>BLOCKED</x:v>
      </x:c>
      <x:c r="M112" s="32" t="str">
        <x:v>ESTIMATE</x:v>
      </x:c>
      <x:c r="N112" s="32" t="str">
        <x:v>GAP-007;GAP-017;GAP-018;GAP-019</x:v>
      </x:c>
    </x:row>
    <x:row r="113">
      <x:c r="A113" s="32" t="str">
        <x:v>EQM-0076</x:v>
      </x:c>
      <x:c r="B113" s="32" t="str">
        <x:v>VKM-014</x:v>
      </x:c>
      <x:c r="C113" s="32" t="str">
        <x:v>Сельдь с запечённым картофелем</x:v>
      </x:c>
      <x:c r="D113" s="32" t="n">
        <x:v>3</x:v>
      </x:c>
      <x:c r="E113" s="32" t="str">
        <x:v>охладить компоненты по процессу</x:v>
      </x:c>
      <x:c r="F113" s="32" t="str">
        <x:v>HOT-09;STO-10</x:v>
      </x:c>
      <x:c r="G113" s="32" t="str">
        <x:v>Шкаф интенсивного охлаждения;Готовые полуфабрикаты</x:v>
      </x:c>
      <x:c r="H113" s="32" t="str">
        <x:v>CAPEX.HOT.010;CAPEX.STO.010</x:v>
      </x:c>
      <x:c r="I113" s="32" t="str">
        <x:v>COOLING_HOLDING</x:v>
      </x:c>
      <x:c r="J113" s="32"/>
      <x:c r="K113" s="32"/>
      <x:c r="L113" s="32" t="str">
        <x:v>BLOCKED</x:v>
      </x:c>
      <x:c r="M113" s="32" t="str">
        <x:v>ESTIMATE</x:v>
      </x:c>
      <x:c r="N113" s="32" t="str">
        <x:v>GAP-007;GAP-017;GAP-018;GAP-019</x:v>
      </x:c>
    </x:row>
    <x:row r="114">
      <x:c r="A114" s="32" t="str">
        <x:v>EQM-0077</x:v>
      </x:c>
      <x:c r="B114" s="32" t="str">
        <x:v>VKM-014</x:v>
      </x:c>
      <x:c r="C114" s="32" t="str">
        <x:v>Сельдь с запечённым картофелем</x:v>
      </x:c>
      <x:c r="D114" s="32" t="n">
        <x:v>4</x:v>
      </x:c>
      <x:c r="E114" s="32" t="str">
        <x:v>собрать и заправить</x:v>
      </x:c>
      <x:c r="F114" s="32" t="str">
        <x:v>CLD-03;CLD-07</x:v>
      </x:c>
      <x:c r="G114" s="32" t="str">
        <x:v>Вторая рабочая поверхность;Весы, ножи, доски холодного участка</x:v>
      </x:c>
      <x:c r="H114" s="32" t="str">
        <x:v>CAPEX.CLD.003;CAPEX.CLD.007</x:v>
      </x:c>
      <x:c r="I114" s="32" t="str">
        <x:v>COLD_PREP_ASSEMBLY</x:v>
      </x:c>
      <x:c r="J114" s="32"/>
      <x:c r="K114" s="32"/>
      <x:c r="L114" s="32" t="str">
        <x:v>BLOCKED</x:v>
      </x:c>
      <x:c r="M114" s="32" t="str">
        <x:v>ESTIMATE</x:v>
      </x:c>
      <x:c r="N114" s="32" t="str">
        <x:v>GAP-007;GAP-017;GAP-018;GAP-019</x:v>
      </x:c>
    </x:row>
    <x:row r="115">
      <x:c r="A115" s="32" t="str">
        <x:v>EQM-0078</x:v>
      </x:c>
      <x:c r="B115" s="32" t="str">
        <x:v>VKM-015</x:v>
      </x:c>
      <x:c r="C115" s="32" t="str">
        <x:v>Оливки и маслины</x:v>
      </x:c>
      <x:c r="D115" s="32" t="n">
        <x:v>1</x:v>
      </x:c>
      <x:c r="E115" s="32" t="str">
        <x:v>Освободить оливки и маслины от заливки</x:v>
      </x:c>
      <x:c r="F115" s="32" t="str">
        <x:v>CLD-03;CLD-07</x:v>
      </x:c>
      <x:c r="G115" s="32" t="str">
        <x:v>Вторая рабочая поверхность;Весы, ножи, доски холодного участка</x:v>
      </x:c>
      <x:c r="H115" s="32" t="str">
        <x:v>CAPEX.CLD.003;CAPEX.CLD.007</x:v>
      </x:c>
      <x:c r="I115" s="32" t="str">
        <x:v>COLD_PREP_ASSEMBLY</x:v>
      </x:c>
      <x:c r="J115" s="32"/>
      <x:c r="K115" s="32"/>
      <x:c r="L115" s="32" t="str">
        <x:v>BLOCKED</x:v>
      </x:c>
      <x:c r="M115" s="32" t="str">
        <x:v>ESTIMATE</x:v>
      </x:c>
      <x:c r="N115" s="32" t="str">
        <x:v>GAP-007;GAP-017;GAP-018;GAP-019</x:v>
      </x:c>
    </x:row>
    <x:row r="116">
      <x:c r="A116" s="32" t="str">
        <x:v>EQM-0079</x:v>
      </x:c>
      <x:c r="B116" s="32" t="str">
        <x:v>VKM-015</x:v>
      </x:c>
      <x:c r="C116" s="32" t="str">
        <x:v>Оливки и маслины</x:v>
      </x:c>
      <x:c r="D116" s="32" t="n">
        <x:v>2</x:v>
      </x:c>
      <x:c r="E116" s="32" t="str">
        <x:v>подготовить ароматический маринад</x:v>
      </x:c>
      <x:c r="F116" s="32" t="str">
        <x:v>CLD-03;CLD-07</x:v>
      </x:c>
      <x:c r="G116" s="32" t="str">
        <x:v>Вторая рабочая поверхность;Весы, ножи, доски холодного участка</x:v>
      </x:c>
      <x:c r="H116" s="32" t="str">
        <x:v>CAPEX.CLD.003;CAPEX.CLD.007</x:v>
      </x:c>
      <x:c r="I116" s="32" t="str">
        <x:v>COLD_PREP_ASSEMBLY</x:v>
      </x:c>
      <x:c r="J116" s="32"/>
      <x:c r="K116" s="32"/>
      <x:c r="L116" s="32" t="str">
        <x:v>BLOCKED</x:v>
      </x:c>
      <x:c r="M116" s="32" t="str">
        <x:v>ESTIMATE</x:v>
      </x:c>
      <x:c r="N116" s="32" t="str">
        <x:v>GAP-007;GAP-017;GAP-018;GAP-019</x:v>
      </x:c>
    </x:row>
    <x:row r="117">
      <x:c r="A117" s="32" t="str">
        <x:v>EQM-0080</x:v>
      </x:c>
      <x:c r="B117" s="32" t="str">
        <x:v>VKM-015</x:v>
      </x:c>
      <x:c r="C117" s="32" t="str">
        <x:v>Оливки и маслины</x:v>
      </x:c>
      <x:c r="D117" s="32" t="n">
        <x:v>3</x:v>
      </x:c>
      <x:c r="E117" s="32" t="str">
        <x:v>смешать</x:v>
      </x:c>
      <x:c r="F117" s="32" t="str">
        <x:v>CLD-03;CLD-07</x:v>
      </x:c>
      <x:c r="G117" s="32" t="str">
        <x:v>Вторая рабочая поверхность;Весы, ножи, доски холодного участка</x:v>
      </x:c>
      <x:c r="H117" s="32" t="str">
        <x:v>CAPEX.CLD.003;CAPEX.CLD.007</x:v>
      </x:c>
      <x:c r="I117" s="32" t="str">
        <x:v>COLD_PREP_ASSEMBLY</x:v>
      </x:c>
      <x:c r="J117" s="32"/>
      <x:c r="K117" s="32"/>
      <x:c r="L117" s="32" t="str">
        <x:v>BLOCKED</x:v>
      </x:c>
      <x:c r="M117" s="32" t="str">
        <x:v>ESTIMATE</x:v>
      </x:c>
      <x:c r="N117" s="32" t="str">
        <x:v>GAP-007;GAP-017;GAP-018;GAP-019</x:v>
      </x:c>
    </x:row>
    <x:row r="118">
      <x:c r="A118" s="32" t="str">
        <x:v>EQM-0081</x:v>
      </x:c>
      <x:c r="B118" s="32" t="str">
        <x:v>VKM-015</x:v>
      </x:c>
      <x:c r="C118" s="32" t="str">
        <x:v>Оливки и маслины</x:v>
      </x:c>
      <x:c r="D118" s="32" t="n">
        <x:v>4</x:v>
      </x:c>
      <x:c r="E118" s="32" t="str">
        <x:v>выдержать</x:v>
      </x:c>
      <x:c r="F118" s="32" t="str">
        <x:v>CLD-03;CLD-07</x:v>
      </x:c>
      <x:c r="G118" s="32" t="str">
        <x:v>Вторая рабочая поверхность;Весы, ножи, доски холодного участка</x:v>
      </x:c>
      <x:c r="H118" s="32" t="str">
        <x:v>CAPEX.CLD.003;CAPEX.CLD.007</x:v>
      </x:c>
      <x:c r="I118" s="32" t="str">
        <x:v>COLD_PREP_ASSEMBLY</x:v>
      </x:c>
      <x:c r="J118" s="32"/>
      <x:c r="K118" s="32"/>
      <x:c r="L118" s="32" t="str">
        <x:v>BLOCKED</x:v>
      </x:c>
      <x:c r="M118" s="32" t="str">
        <x:v>ESTIMATE</x:v>
      </x:c>
      <x:c r="N118" s="32" t="str">
        <x:v>GAP-007;GAP-017;GAP-018;GAP-019</x:v>
      </x:c>
    </x:row>
    <x:row r="119">
      <x:c r="A119" s="32" t="str">
        <x:v>EQM-0082</x:v>
      </x:c>
      <x:c r="B119" s="32" t="str">
        <x:v>VKM-015</x:v>
      </x:c>
      <x:c r="C119" s="32" t="str">
        <x:v>Оливки и маслины</x:v>
      </x:c>
      <x:c r="D119" s="32" t="n">
        <x:v>5</x:v>
      </x:c>
      <x:c r="E119" s="32" t="str">
        <x:v>порционировать</x:v>
      </x:c>
      <x:c r="F119" s="32" t="str">
        <x:v>CLD-03;CLD-07</x:v>
      </x:c>
      <x:c r="G119" s="32" t="str">
        <x:v>Вторая рабочая поверхность;Весы, ножи, доски холодного участка</x:v>
      </x:c>
      <x:c r="H119" s="32" t="str">
        <x:v>CAPEX.CLD.003;CAPEX.CLD.007</x:v>
      </x:c>
      <x:c r="I119" s="32" t="str">
        <x:v>COLD_PREP_ASSEMBLY</x:v>
      </x:c>
      <x:c r="J119" s="32"/>
      <x:c r="K119" s="32"/>
      <x:c r="L119" s="32" t="str">
        <x:v>BLOCKED</x:v>
      </x:c>
      <x:c r="M119" s="32" t="str">
        <x:v>ESTIMATE</x:v>
      </x:c>
      <x:c r="N119" s="32" t="str">
        <x:v>GAP-007;GAP-017;GAP-018;GAP-019</x:v>
      </x:c>
    </x:row>
    <x:row r="120">
      <x:c r="A120" s="32" t="str">
        <x:v>EQM-0083</x:v>
      </x:c>
      <x:c r="B120" s="32" t="str">
        <x:v>VKM-016</x:v>
      </x:c>
      <x:c r="C120" s="32" t="str">
        <x:v>Ассорти фирменных солений</x:v>
      </x:c>
      <x:c r="D120" s="32" t="n">
        <x:v>1</x:v>
      </x:c>
      <x:c r="E120" s="32" t="str">
        <x:v>Подготовить и нарезать овощи</x:v>
      </x:c>
      <x:c r="F120" s="32" t="str">
        <x:v>CLD-03;CLD-07</x:v>
      </x:c>
      <x:c r="G120" s="32" t="str">
        <x:v>Вторая рабочая поверхность;Весы, ножи, доски холодного участка</x:v>
      </x:c>
      <x:c r="H120" s="32" t="str">
        <x:v>CAPEX.CLD.003;CAPEX.CLD.007</x:v>
      </x:c>
      <x:c r="I120" s="32" t="str">
        <x:v>COLD_PREP_ASSEMBLY</x:v>
      </x:c>
      <x:c r="J120" s="32"/>
      <x:c r="K120" s="32"/>
      <x:c r="L120" s="32" t="str">
        <x:v>BLOCKED</x:v>
      </x:c>
      <x:c r="M120" s="32" t="str">
        <x:v>ESTIMATE</x:v>
      </x:c>
      <x:c r="N120" s="32" t="str">
        <x:v>GAP-007;GAP-017;GAP-018;GAP-019</x:v>
      </x:c>
    </x:row>
    <x:row r="121">
      <x:c r="A121" s="32" t="str">
        <x:v>EQM-0084</x:v>
      </x:c>
      <x:c r="B121" s="32" t="str">
        <x:v>VKM-016</x:v>
      </x:c>
      <x:c r="C121" s="32" t="str">
        <x:v>Ассорти фирменных солений</x:v>
      </x:c>
      <x:c r="D121" s="32" t="n">
        <x:v>2</x:v>
      </x:c>
      <x:c r="E121" s="32" t="str">
        <x:v>приготовить маринад</x:v>
      </x:c>
      <x:c r="F121" s="32" t="str">
        <x:v>CLD-03;CLD-07</x:v>
      </x:c>
      <x:c r="G121" s="32" t="str">
        <x:v>Вторая рабочая поверхность;Весы, ножи, доски холодного участка</x:v>
      </x:c>
      <x:c r="H121" s="32" t="str">
        <x:v>CAPEX.CLD.003;CAPEX.CLD.007</x:v>
      </x:c>
      <x:c r="I121" s="32" t="str">
        <x:v>COLD_PREP_ASSEMBLY</x:v>
      </x:c>
      <x:c r="J121" s="32"/>
      <x:c r="K121" s="32"/>
      <x:c r="L121" s="32" t="str">
        <x:v>BLOCKED</x:v>
      </x:c>
      <x:c r="M121" s="32" t="str">
        <x:v>ESTIMATE</x:v>
      </x:c>
      <x:c r="N121" s="32" t="str">
        <x:v>GAP-007;GAP-017;GAP-018;GAP-019</x:v>
      </x:c>
    </x:row>
    <x:row r="122">
      <x:c r="A122" s="32" t="str">
        <x:v>EQM-0085</x:v>
      </x:c>
      <x:c r="B122" s="32" t="str">
        <x:v>VKM-016</x:v>
      </x:c>
      <x:c r="C122" s="32" t="str">
        <x:v>Ассорти фирменных солений</x:v>
      </x:c>
      <x:c r="D122" s="32" t="n">
        <x:v>3</x:v>
      </x:c>
      <x:c r="E122" s="32" t="str">
        <x:v>мариновать компоненты раздельно</x:v>
      </x:c>
      <x:c r="F122" s="32" t="str">
        <x:v>CLD-03;CLD-07</x:v>
      </x:c>
      <x:c r="G122" s="32" t="str">
        <x:v>Вторая рабочая поверхность;Весы, ножи, доски холодного участка</x:v>
      </x:c>
      <x:c r="H122" s="32" t="str">
        <x:v>CAPEX.CLD.003;CAPEX.CLD.007</x:v>
      </x:c>
      <x:c r="I122" s="32" t="str">
        <x:v>COLD_PREP_ASSEMBLY</x:v>
      </x:c>
      <x:c r="J122" s="32"/>
      <x:c r="K122" s="32"/>
      <x:c r="L122" s="32" t="str">
        <x:v>BLOCKED</x:v>
      </x:c>
      <x:c r="M122" s="32" t="str">
        <x:v>ESTIMATE</x:v>
      </x:c>
      <x:c r="N122" s="32" t="str">
        <x:v>GAP-007;GAP-017;GAP-018;GAP-019</x:v>
      </x:c>
    </x:row>
    <x:row r="123">
      <x:c r="A123" s="32" t="str">
        <x:v>EQM-0086</x:v>
      </x:c>
      <x:c r="B123" s="32" t="str">
        <x:v>VKM-016</x:v>
      </x:c>
      <x:c r="C123" s="32" t="str">
        <x:v>Ассорти фирменных солений</x:v>
      </x:c>
      <x:c r="D123" s="32" t="n">
        <x:v>4</x:v>
      </x:c>
      <x:c r="E123" s="32" t="str">
        <x:v>объединить при подаче</x:v>
      </x:c>
      <x:c r="F123" s="32" t="str">
        <x:v>CLD-03;CLD-07</x:v>
      </x:c>
      <x:c r="G123" s="32" t="str">
        <x:v>Вторая рабочая поверхность;Весы, ножи, доски холодного участка</x:v>
      </x:c>
      <x:c r="H123" s="32" t="str">
        <x:v>CAPEX.CLD.003;CAPEX.CLD.007</x:v>
      </x:c>
      <x:c r="I123" s="32" t="str">
        <x:v>COLD_PREP_ASSEMBLY</x:v>
      </x:c>
      <x:c r="J123" s="32"/>
      <x:c r="K123" s="32"/>
      <x:c r="L123" s="32" t="str">
        <x:v>BLOCKED</x:v>
      </x:c>
      <x:c r="M123" s="32" t="str">
        <x:v>ESTIMATE</x:v>
      </x:c>
      <x:c r="N123" s="32" t="str">
        <x:v>GAP-007;GAP-017;GAP-018;GAP-019</x:v>
      </x:c>
    </x:row>
    <x:row r="124">
      <x:c r="A124" s="32" t="str">
        <x:v>EQM-0087</x:v>
      </x:c>
      <x:c r="B124" s="32" t="str">
        <x:v>VKM-017</x:v>
      </x:c>
      <x:c r="C124" s="32" t="str">
        <x:v>Ростбиф с луком и гренкой</x:v>
      </x:c>
      <x:c r="D124" s="32" t="n">
        <x:v>1</x:v>
      </x:c>
      <x:c r="E124" s="32" t="str">
        <x:v>Порционировать ростбиф</x:v>
      </x:c>
      <x:c r="F124" s="32" t="str">
        <x:v>CLD-03;CLD-07</x:v>
      </x:c>
      <x:c r="G124" s="32" t="str">
        <x:v>Вторая рабочая поверхность;Весы, ножи, доски холодного участка</x:v>
      </x:c>
      <x:c r="H124" s="32" t="str">
        <x:v>CAPEX.CLD.003;CAPEX.CLD.007</x:v>
      </x:c>
      <x:c r="I124" s="32" t="str">
        <x:v>COLD_PREP_ASSEMBLY</x:v>
      </x:c>
      <x:c r="J124" s="32"/>
      <x:c r="K124" s="32"/>
      <x:c r="L124" s="32" t="str">
        <x:v>BLOCKED</x:v>
      </x:c>
      <x:c r="M124" s="32" t="str">
        <x:v>ESTIMATE</x:v>
      </x:c>
      <x:c r="N124" s="32" t="str">
        <x:v>GAP-007;GAP-017;GAP-018;GAP-019</x:v>
      </x:c>
    </x:row>
    <x:row r="125">
      <x:c r="A125" s="32" t="str">
        <x:v>EQM-0088</x:v>
      </x:c>
      <x:c r="B125" s="32" t="str">
        <x:v>VKM-017</x:v>
      </x:c>
      <x:c r="C125" s="32" t="str">
        <x:v>Ростбиф с луком и гренкой</x:v>
      </x:c>
      <x:c r="D125" s="32" t="n">
        <x:v>2</x:v>
      </x:c>
      <x:c r="E125" s="32" t="str">
        <x:v>подготовить лук</x:v>
      </x:c>
      <x:c r="F125" s="32" t="str">
        <x:v>CLD-03;CLD-07</x:v>
      </x:c>
      <x:c r="G125" s="32" t="str">
        <x:v>Вторая рабочая поверхность;Весы, ножи, доски холодного участка</x:v>
      </x:c>
      <x:c r="H125" s="32" t="str">
        <x:v>CAPEX.CLD.003;CAPEX.CLD.007</x:v>
      </x:c>
      <x:c r="I125" s="32" t="str">
        <x:v>COLD_PREP_ASSEMBLY</x:v>
      </x:c>
      <x:c r="J125" s="32"/>
      <x:c r="K125" s="32"/>
      <x:c r="L125" s="32" t="str">
        <x:v>BLOCKED</x:v>
      </x:c>
      <x:c r="M125" s="32" t="str">
        <x:v>ESTIMATE</x:v>
      </x:c>
      <x:c r="N125" s="32" t="str">
        <x:v>GAP-007;GAP-017;GAP-018;GAP-019</x:v>
      </x:c>
    </x:row>
    <x:row r="126">
      <x:c r="A126" s="32" t="str">
        <x:v>EQM-0089</x:v>
      </x:c>
      <x:c r="B126" s="32" t="str">
        <x:v>VKM-017</x:v>
      </x:c>
      <x:c r="C126" s="32" t="str">
        <x:v>Ростбиф с луком и гренкой</x:v>
      </x:c>
      <x:c r="D126" s="32" t="n">
        <x:v>3</x:v>
      </x:c>
      <x:c r="E126" s="32" t="str">
        <x:v>подсушить гренку</x:v>
      </x:c>
      <x:c r="F126" s="32" t="str">
        <x:v>BAK-02</x:v>
      </x:c>
      <x:c r="G126" s="32" t="str">
        <x:v>Пекарская печь</x:v>
      </x:c>
      <x:c r="H126" s="32" t="str">
        <x:v>CAPEX.BAK.002</x:v>
      </x:c>
      <x:c r="I126" s="32" t="str">
        <x:v>THERMAL_PROCESS</x:v>
      </x:c>
      <x:c r="J126" s="32"/>
      <x:c r="K126" s="32"/>
      <x:c r="L126" s="32" t="str">
        <x:v>BLOCKED</x:v>
      </x:c>
      <x:c r="M126" s="32" t="str">
        <x:v>ESTIMATE</x:v>
      </x:c>
      <x:c r="N126" s="32" t="str">
        <x:v>GAP-007;GAP-017;GAP-018;GAP-019</x:v>
      </x:c>
    </x:row>
    <x:row r="127">
      <x:c r="A127" s="32" t="str">
        <x:v>EQM-0090</x:v>
      </x:c>
      <x:c r="B127" s="32" t="str">
        <x:v>VKM-017</x:v>
      </x:c>
      <x:c r="C127" s="32" t="str">
        <x:v>Ростбиф с луком и гренкой</x:v>
      </x:c>
      <x:c r="D127" s="32" t="n">
        <x:v>4</x:v>
      </x:c>
      <x:c r="E127" s="32" t="str">
        <x:v>смешать соус</x:v>
      </x:c>
      <x:c r="F127" s="32" t="str">
        <x:v>CLD-03;CLD-07</x:v>
      </x:c>
      <x:c r="G127" s="32" t="str">
        <x:v>Вторая рабочая поверхность;Весы, ножи, доски холодного участка</x:v>
      </x:c>
      <x:c r="H127" s="32" t="str">
        <x:v>CAPEX.CLD.003;CAPEX.CLD.007</x:v>
      </x:c>
      <x:c r="I127" s="32" t="str">
        <x:v>COLD_PREP_ASSEMBLY</x:v>
      </x:c>
      <x:c r="J127" s="32"/>
      <x:c r="K127" s="32"/>
      <x:c r="L127" s="32" t="str">
        <x:v>BLOCKED</x:v>
      </x:c>
      <x:c r="M127" s="32" t="str">
        <x:v>ESTIMATE</x:v>
      </x:c>
      <x:c r="N127" s="32" t="str">
        <x:v>GAP-007;GAP-017;GAP-018;GAP-019</x:v>
      </x:c>
    </x:row>
    <x:row r="128">
      <x:c r="A128" s="32" t="str">
        <x:v>EQM-0091</x:v>
      </x:c>
      <x:c r="B128" s="32" t="str">
        <x:v>VKM-017</x:v>
      </x:c>
      <x:c r="C128" s="32" t="str">
        <x:v>Ростбиф с луком и гренкой</x:v>
      </x:c>
      <x:c r="D128" s="32" t="n">
        <x:v>5</x:v>
      </x:c>
      <x:c r="E128" s="32" t="str">
        <x:v>собрать непосредственно перед подачей</x:v>
      </x:c>
      <x:c r="F128" s="32" t="str">
        <x:v>CLD-03;CLD-07</x:v>
      </x:c>
      <x:c r="G128" s="32" t="str">
        <x:v>Вторая рабочая поверхность;Весы, ножи, доски холодного участка</x:v>
      </x:c>
      <x:c r="H128" s="32" t="str">
        <x:v>CAPEX.CLD.003;CAPEX.CLD.007</x:v>
      </x:c>
      <x:c r="I128" s="32" t="str">
        <x:v>COLD_PREP_ASSEMBLY</x:v>
      </x:c>
      <x:c r="J128" s="32"/>
      <x:c r="K128" s="32"/>
      <x:c r="L128" s="32" t="str">
        <x:v>BLOCKED</x:v>
      </x:c>
      <x:c r="M128" s="32" t="str">
        <x:v>ESTIMATE</x:v>
      </x:c>
      <x:c r="N128" s="32" t="str">
        <x:v>GAP-007;GAP-017;GAP-018;GAP-019</x:v>
      </x:c>
    </x:row>
    <x:row r="129">
      <x:c r="A129" s="32" t="str">
        <x:v>EQM-0092</x:v>
      </x:c>
      <x:c r="B129" s="32" t="str">
        <x:v>VKM-018</x:v>
      </x:c>
      <x:c r="C129" s="32" t="str">
        <x:v>Традиционный красный борщ</x:v>
      </x:c>
      <x:c r="D129" s="32" t="n">
        <x:v>1</x:v>
      </x:c>
      <x:c r="E129" s="32" t="str">
        <x:v>Приготовить бульон</x:v>
      </x:c>
      <x:c r="F129" s="32" t="str">
        <x:v>HOT-05A;HOT-13</x:v>
      </x:c>
      <x:c r="G129" s="32" t="str">
        <x:v>Индукционная плита 4 зоны;GN, противни и горячий инвентарь</x:v>
      </x:c>
      <x:c r="H129" s="32" t="str">
        <x:v>CAPEX.HOT.005;CAPEX.HOT.014</x:v>
      </x:c>
      <x:c r="I129" s="32" t="str">
        <x:v>BOILING_SAUTE_COOKING</x:v>
      </x:c>
      <x:c r="J129" s="32"/>
      <x:c r="K129" s="32"/>
      <x:c r="L129" s="32" t="str">
        <x:v>BLOCKED</x:v>
      </x:c>
      <x:c r="M129" s="32" t="str">
        <x:v>ESTIMATE</x:v>
      </x:c>
      <x:c r="N129" s="32" t="str">
        <x:v>GAP-007;GAP-017;GAP-018;GAP-019</x:v>
      </x:c>
    </x:row>
    <x:row r="130">
      <x:c r="A130" s="32" t="str">
        <x:v>EQM-0093</x:v>
      </x:c>
      <x:c r="B130" s="32" t="str">
        <x:v>VKM-018</x:v>
      </x:c>
      <x:c r="C130" s="32" t="str">
        <x:v>Традиционный красный борщ</x:v>
      </x:c>
      <x:c r="D130" s="32" t="n">
        <x:v>2</x:v>
      </x:c>
      <x:c r="E130" s="32" t="str">
        <x:v>подготовить овощи</x:v>
      </x:c>
      <x:c r="F130" s="32" t="str">
        <x:v>HOT-12;HOT-13</x:v>
      </x:c>
      <x:c r="G130" s="32" t="str">
        <x:v>Столы и полки горячего участка;GN, противни и горячий инвентарь</x:v>
      </x:c>
      <x:c r="H130" s="32" t="str">
        <x:v>CAPEX.HOT.013;CAPEX.HOT.014</x:v>
      </x:c>
      <x:c r="I130" s="32" t="str">
        <x:v>HOT_PREP_PORTIONING</x:v>
      </x:c>
      <x:c r="J130" s="32"/>
      <x:c r="K130" s="32"/>
      <x:c r="L130" s="32" t="str">
        <x:v>BLOCKED</x:v>
      </x:c>
      <x:c r="M130" s="32" t="str">
        <x:v>ESTIMATE</x:v>
      </x:c>
      <x:c r="N130" s="32" t="str">
        <x:v>GAP-007;GAP-017;GAP-018;GAP-019</x:v>
      </x:c>
    </x:row>
    <x:row r="131">
      <x:c r="A131" s="32" t="str">
        <x:v>EQM-0094</x:v>
      </x:c>
      <x:c r="B131" s="32" t="str">
        <x:v>VKM-018</x:v>
      </x:c>
      <x:c r="C131" s="32" t="str">
        <x:v>Традиционный красный борщ</x:v>
      </x:c>
      <x:c r="D131" s="32" t="n">
        <x:v>3</x:v>
      </x:c>
      <x:c r="E131" s="32" t="str">
        <x:v>выполнить пассеровку свёклы</x:v>
      </x:c>
      <x:c r="F131" s="32" t="str">
        <x:v>HOT-05A;HOT-13</x:v>
      </x:c>
      <x:c r="G131" s="32" t="str">
        <x:v>Индукционная плита 4 зоны;GN, противни и горячий инвентарь</x:v>
      </x:c>
      <x:c r="H131" s="32" t="str">
        <x:v>CAPEX.HOT.005;CAPEX.HOT.014</x:v>
      </x:c>
      <x:c r="I131" s="32" t="str">
        <x:v>BOILING_SAUTE_COOKING</x:v>
      </x:c>
      <x:c r="J131" s="32"/>
      <x:c r="K131" s="32"/>
      <x:c r="L131" s="32" t="str">
        <x:v>BLOCKED</x:v>
      </x:c>
      <x:c r="M131" s="32" t="str">
        <x:v>ESTIMATE</x:v>
      </x:c>
      <x:c r="N131" s="32" t="str">
        <x:v>GAP-007;GAP-017;GAP-018;GAP-019</x:v>
      </x:c>
    </x:row>
    <x:row r="132">
      <x:c r="A132" s="32" t="str">
        <x:v>EQM-0095</x:v>
      </x:c>
      <x:c r="B132" s="32" t="str">
        <x:v>VKM-018</x:v>
      </x:c>
      <x:c r="C132" s="32" t="str">
        <x:v>Традиционный красный борщ</x:v>
      </x:c>
      <x:c r="D132" s="32" t="n">
        <x:v>4</x:v>
      </x:c>
      <x:c r="E132" s="32" t="str">
        <x:v>соединить компоненты</x:v>
      </x:c>
      <x:c r="F132" s="32" t="str">
        <x:v>HOT-05A;HOT-13</x:v>
      </x:c>
      <x:c r="G132" s="32" t="str">
        <x:v>Индукционная плита 4 зоны;GN, противни и горячий инвентарь</x:v>
      </x:c>
      <x:c r="H132" s="32" t="str">
        <x:v>CAPEX.HOT.005;CAPEX.HOT.014</x:v>
      </x:c>
      <x:c r="I132" s="32" t="str">
        <x:v>BOILING_SAUTE_COOKING</x:v>
      </x:c>
      <x:c r="J132" s="32"/>
      <x:c r="K132" s="32"/>
      <x:c r="L132" s="32" t="str">
        <x:v>BLOCKED</x:v>
      </x:c>
      <x:c r="M132" s="32" t="str">
        <x:v>ESTIMATE</x:v>
      </x:c>
      <x:c r="N132" s="32" t="str">
        <x:v>GAP-007;GAP-017;GAP-018;GAP-019</x:v>
      </x:c>
    </x:row>
    <x:row r="133">
      <x:c r="A133" s="32" t="str">
        <x:v>EQM-0096</x:v>
      </x:c>
      <x:c r="B133" s="32" t="str">
        <x:v>VKM-018</x:v>
      </x:c>
      <x:c r="C133" s="32" t="str">
        <x:v>Традиционный красный борщ</x:v>
      </x:c>
      <x:c r="D133" s="32" t="n">
        <x:v>5</x:v>
      </x:c>
      <x:c r="E133" s="32" t="str">
        <x:v>довести вкус</x:v>
      </x:c>
      <x:c r="F133" s="32" t="str">
        <x:v>HOT-05A;HOT-13</x:v>
      </x:c>
      <x:c r="G133" s="32" t="str">
        <x:v>Индукционная плита 4 зоны;GN, противни и горячий инвентарь</x:v>
      </x:c>
      <x:c r="H133" s="32" t="str">
        <x:v>CAPEX.HOT.005;CAPEX.HOT.014</x:v>
      </x:c>
      <x:c r="I133" s="32" t="str">
        <x:v>BOILING_SAUTE_COOKING</x:v>
      </x:c>
      <x:c r="J133" s="32"/>
      <x:c r="K133" s="32"/>
      <x:c r="L133" s="32" t="str">
        <x:v>BLOCKED</x:v>
      </x:c>
      <x:c r="M133" s="32" t="str">
        <x:v>ESTIMATE</x:v>
      </x:c>
      <x:c r="N133" s="32" t="str">
        <x:v>GAP-007;GAP-017;GAP-018;GAP-019</x:v>
      </x:c>
    </x:row>
    <x:row r="134">
      <x:c r="A134" s="32" t="str">
        <x:v>EQM-0097</x:v>
      </x:c>
      <x:c r="B134" s="32" t="str">
        <x:v>VKM-018</x:v>
      </x:c>
      <x:c r="C134" s="32" t="str">
        <x:v>Традиционный красный борщ</x:v>
      </x:c>
      <x:c r="D134" s="32" t="n">
        <x:v>6</x:v>
      </x:c>
      <x:c r="E134" s="32" t="str">
        <x:v>порционировать с мясом, сметаной и зеленью</x:v>
      </x:c>
      <x:c r="F134" s="32" t="str">
        <x:v>HOT-12;HOT-13</x:v>
      </x:c>
      <x:c r="G134" s="32" t="str">
        <x:v>Столы и полки горячего участка;GN, противни и горячий инвентарь</x:v>
      </x:c>
      <x:c r="H134" s="32" t="str">
        <x:v>CAPEX.HOT.013;CAPEX.HOT.014</x:v>
      </x:c>
      <x:c r="I134" s="32" t="str">
        <x:v>HOT_PREP_PORTIONING</x:v>
      </x:c>
      <x:c r="J134" s="32"/>
      <x:c r="K134" s="32"/>
      <x:c r="L134" s="32" t="str">
        <x:v>BLOCKED</x:v>
      </x:c>
      <x:c r="M134" s="32" t="str">
        <x:v>ESTIMATE</x:v>
      </x:c>
      <x:c r="N134" s="32" t="str">
        <x:v>GAP-007;GAP-017;GAP-018;GAP-019</x:v>
      </x:c>
    </x:row>
    <x:row r="135">
      <x:c r="A135" s="32" t="str">
        <x:v>EQM-0098</x:v>
      </x:c>
      <x:c r="B135" s="32" t="str">
        <x:v>VKM-019</x:v>
      </x:c>
      <x:c r="C135" s="32" t="str">
        <x:v>Мурманская треска со сливочно-горчичным соусом</x:v>
      </x:c>
      <x:c r="D135" s="32" t="n">
        <x:v>1</x:v>
      </x:c>
      <x:c r="E135" s="32" t="str">
        <x:v>Порционировать треску</x:v>
      </x:c>
      <x:c r="F135" s="32" t="str">
        <x:v>HOT-01;HOT-13</x:v>
      </x:c>
      <x:c r="G135" s="32" t="str">
        <x:v>Пароконвектомат;GN, противни и горячий инвентарь</x:v>
      </x:c>
      <x:c r="H135" s="32" t="str">
        <x:v>CAPEX.HOT.001;CAPEX.HOT.014</x:v>
      </x:c>
      <x:c r="I135" s="32" t="str">
        <x:v>FISH_THERMAL_PROCESS</x:v>
      </x:c>
      <x:c r="J135" s="32"/>
      <x:c r="K135" s="32"/>
      <x:c r="L135" s="32" t="str">
        <x:v>BLOCKED</x:v>
      </x:c>
      <x:c r="M135" s="32" t="str">
        <x:v>ESTIMATE</x:v>
      </x:c>
      <x:c r="N135" s="32" t="str">
        <x:v>GAP-007;GAP-017;GAP-018;GAP-019</x:v>
      </x:c>
    </x:row>
    <x:row r="136">
      <x:c r="A136" s="32" t="str">
        <x:v>EQM-0099</x:v>
      </x:c>
      <x:c r="B136" s="32" t="str">
        <x:v>VKM-019</x:v>
      </x:c>
      <x:c r="C136" s="32" t="str">
        <x:v>Мурманская треска со сливочно-горчичным соусом</x:v>
      </x:c>
      <x:c r="D136" s="32" t="n">
        <x:v>2</x:v>
      </x:c>
      <x:c r="E136" s="32" t="str">
        <x:v>подготовить соус</x:v>
      </x:c>
      <x:c r="F136" s="32" t="str">
        <x:v>HOT-05B;HOT-13</x:v>
      </x:c>
      <x:c r="G136" s="32" t="str">
        <x:v>Индукционная плита 2 зоны;GN, противни и горячий инвентарь</x:v>
      </x:c>
      <x:c r="H136" s="32" t="str">
        <x:v>CAPEX.HOT.006;CAPEX.HOT.014</x:v>
      </x:c>
      <x:c r="I136" s="32" t="str">
        <x:v>SAUCE_COOKING</x:v>
      </x:c>
      <x:c r="J136" s="32"/>
      <x:c r="K136" s="32"/>
      <x:c r="L136" s="32" t="str">
        <x:v>BLOCKED</x:v>
      </x:c>
      <x:c r="M136" s="32" t="str">
        <x:v>ESTIMATE</x:v>
      </x:c>
      <x:c r="N136" s="32" t="str">
        <x:v>GAP-007;GAP-017;GAP-018;GAP-019</x:v>
      </x:c>
    </x:row>
    <x:row r="137">
      <x:c r="A137" s="32" t="str">
        <x:v>EQM-0100</x:v>
      </x:c>
      <x:c r="B137" s="32" t="str">
        <x:v>VKM-019</x:v>
      </x:c>
      <x:c r="C137" s="32" t="str">
        <x:v>Мурманская треска со сливочно-горчичным соусом</x:v>
      </x:c>
      <x:c r="D137" s="32" t="n">
        <x:v>3</x:v>
      </x:c>
      <x:c r="E137" s="32" t="str">
        <x:v>обработать рыбу и шпинат</x:v>
      </x:c>
      <x:c r="F137" s="32" t="str">
        <x:v>HOT-01;HOT-13</x:v>
      </x:c>
      <x:c r="G137" s="32" t="str">
        <x:v>Пароконвектомат;GN, противни и горячий инвентарь</x:v>
      </x:c>
      <x:c r="H137" s="32" t="str">
        <x:v>CAPEX.HOT.001;CAPEX.HOT.014</x:v>
      </x:c>
      <x:c r="I137" s="32" t="str">
        <x:v>FISH_THERMAL_PROCESS</x:v>
      </x:c>
      <x:c r="J137" s="32"/>
      <x:c r="K137" s="32"/>
      <x:c r="L137" s="32" t="str">
        <x:v>BLOCKED</x:v>
      </x:c>
      <x:c r="M137" s="32" t="str">
        <x:v>ESTIMATE</x:v>
      </x:c>
      <x:c r="N137" s="32" t="str">
        <x:v>GAP-007;GAP-017;GAP-018;GAP-019</x:v>
      </x:c>
    </x:row>
    <x:row r="138">
      <x:c r="A138" s="32" t="str">
        <x:v>EQM-0101</x:v>
      </x:c>
      <x:c r="B138" s="32" t="str">
        <x:v>VKM-019</x:v>
      </x:c>
      <x:c r="C138" s="32" t="str">
        <x:v>Мурманская треска со сливочно-горчичным соусом</x:v>
      </x:c>
      <x:c r="D138" s="32" t="n">
        <x:v>4</x:v>
      </x:c>
      <x:c r="E138" s="32" t="str">
        <x:v>довести соус</x:v>
      </x:c>
      <x:c r="F138" s="32" t="str">
        <x:v>HOT-05B;HOT-13</x:v>
      </x:c>
      <x:c r="G138" s="32" t="str">
        <x:v>Индукционная плита 2 зоны;GN, противни и горячий инвентарь</x:v>
      </x:c>
      <x:c r="H138" s="32" t="str">
        <x:v>CAPEX.HOT.006;CAPEX.HOT.014</x:v>
      </x:c>
      <x:c r="I138" s="32" t="str">
        <x:v>SAUCE_COOKING</x:v>
      </x:c>
      <x:c r="J138" s="32"/>
      <x:c r="K138" s="32"/>
      <x:c r="L138" s="32" t="str">
        <x:v>BLOCKED</x:v>
      </x:c>
      <x:c r="M138" s="32" t="str">
        <x:v>ESTIMATE</x:v>
      </x:c>
      <x:c r="N138" s="32" t="str">
        <x:v>GAP-007;GAP-017;GAP-018;GAP-019</x:v>
      </x:c>
    </x:row>
    <x:row r="139">
      <x:c r="A139" s="32" t="str">
        <x:v>EQM-0102</x:v>
      </x:c>
      <x:c r="B139" s="32" t="str">
        <x:v>VKM-019</x:v>
      </x:c>
      <x:c r="C139" s="32" t="str">
        <x:v>Мурманская треска со сливочно-горчичным соусом</x:v>
      </x:c>
      <x:c r="D139" s="32" t="n">
        <x:v>5</x:v>
      </x:c>
      <x:c r="E139" s="32" t="str">
        <x:v>собрать и финишировать</x:v>
      </x:c>
      <x:c r="F139" s="32" t="str">
        <x:v>HOT-12;HOT-13</x:v>
      </x:c>
      <x:c r="G139" s="32" t="str">
        <x:v>Столы и полки горячего участка;GN, противни и горячий инвентарь</x:v>
      </x:c>
      <x:c r="H139" s="32" t="str">
        <x:v>CAPEX.HOT.013;CAPEX.HOT.014</x:v>
      </x:c>
      <x:c r="I139" s="32" t="str">
        <x:v>HOT_PREP_ASSEMBLY</x:v>
      </x:c>
      <x:c r="J139" s="32"/>
      <x:c r="K139" s="32"/>
      <x:c r="L139" s="32" t="str">
        <x:v>BLOCKED</x:v>
      </x:c>
      <x:c r="M139" s="32" t="str">
        <x:v>ESTIMATE</x:v>
      </x:c>
      <x:c r="N139" s="32" t="str">
        <x:v>GAP-007;GAP-017;GAP-018;GAP-019</x:v>
      </x:c>
    </x:row>
    <x:row r="140">
      <x:c r="A140" s="32" t="str">
        <x:v>EQM-0103</x:v>
      </x:c>
      <x:c r="B140" s="32" t="str">
        <x:v>VKM-020</x:v>
      </x:c>
      <x:c r="C140" s="32" t="str">
        <x:v>Креветки по-тайски</x:v>
      </x:c>
      <x:c r="D140" s="32" t="n">
        <x:v>1</x:v>
      </x:c>
      <x:c r="E140" s="32" t="str">
        <x:v>Подготовить креветки и овощи</x:v>
      </x:c>
      <x:c r="F140" s="32" t="str">
        <x:v>HOT-03;HOT-13</x:v>
      </x:c>
      <x:c r="G140" s="32" t="str">
        <x:v>WOK-пост;GN, противни и горячий инвентарь</x:v>
      </x:c>
      <x:c r="H140" s="32" t="str">
        <x:v>CAPEX.HOT.003;CAPEX.HOT.014</x:v>
      </x:c>
      <x:c r="I140" s="32" t="str">
        <x:v>WOK_COOKING</x:v>
      </x:c>
      <x:c r="J140" s="32"/>
      <x:c r="K140" s="32"/>
      <x:c r="L140" s="32" t="str">
        <x:v>BLOCKED</x:v>
      </x:c>
      <x:c r="M140" s="32" t="str">
        <x:v>ESTIMATE</x:v>
      </x:c>
      <x:c r="N140" s="32" t="str">
        <x:v>GAP-007;GAP-017;GAP-018;GAP-019</x:v>
      </x:c>
    </x:row>
    <x:row r="141">
      <x:c r="A141" s="32" t="str">
        <x:v>EQM-0104</x:v>
      </x:c>
      <x:c r="B141" s="32" t="str">
        <x:v>VKM-020</x:v>
      </x:c>
      <x:c r="C141" s="32" t="str">
        <x:v>Креветки по-тайски</x:v>
      </x:c>
      <x:c r="D141" s="32" t="n">
        <x:v>2</x:v>
      </x:c>
      <x:c r="E141" s="32" t="str">
        <x:v>приготовить кокосовый соус</x:v>
      </x:c>
      <x:c r="F141" s="32" t="str">
        <x:v>HOT-03;HOT-13</x:v>
      </x:c>
      <x:c r="G141" s="32" t="str">
        <x:v>WOK-пост;GN, противни и горячий инвентарь</x:v>
      </x:c>
      <x:c r="H141" s="32" t="str">
        <x:v>CAPEX.HOT.003;CAPEX.HOT.014</x:v>
      </x:c>
      <x:c r="I141" s="32" t="str">
        <x:v>WOK_COOKING</x:v>
      </x:c>
      <x:c r="J141" s="32"/>
      <x:c r="K141" s="32"/>
      <x:c r="L141" s="32" t="str">
        <x:v>BLOCKED</x:v>
      </x:c>
      <x:c r="M141" s="32" t="str">
        <x:v>ESTIMATE</x:v>
      </x:c>
      <x:c r="N141" s="32" t="str">
        <x:v>GAP-007;GAP-017;GAP-018;GAP-019</x:v>
      </x:c>
    </x:row>
    <x:row r="142">
      <x:c r="A142" s="32" t="str">
        <x:v>EQM-0105</x:v>
      </x:c>
      <x:c r="B142" s="32" t="str">
        <x:v>VKM-020</x:v>
      </x:c>
      <x:c r="C142" s="32" t="str">
        <x:v>Креветки по-тайски</x:v>
      </x:c>
      <x:c r="D142" s="32" t="n">
        <x:v>3</x:v>
      </x:c>
      <x:c r="E142" s="32" t="str">
        <x:v>последовательно обработать компоненты</x:v>
      </x:c>
      <x:c r="F142" s="32" t="str">
        <x:v>HOT-02;HOT-13</x:v>
      </x:c>
      <x:c r="G142" s="32" t="str">
        <x:v>Двухзонный теппан;GN, противни и горячий инвентарь</x:v>
      </x:c>
      <x:c r="H142" s="32" t="str">
        <x:v>CAPEX.HOT.002;CAPEX.HOT.014</x:v>
      </x:c>
      <x:c r="I142" s="32" t="str">
        <x:v>CONTACT_THERMAL_PROCESS</x:v>
      </x:c>
      <x:c r="J142" s="32"/>
      <x:c r="K142" s="32"/>
      <x:c r="L142" s="32" t="str">
        <x:v>BLOCKED</x:v>
      </x:c>
      <x:c r="M142" s="32" t="str">
        <x:v>ESTIMATE</x:v>
      </x:c>
      <x:c r="N142" s="32" t="str">
        <x:v>GAP-007;GAP-017;GAP-018;GAP-019</x:v>
      </x:c>
    </x:row>
    <x:row r="143">
      <x:c r="A143" s="32" t="str">
        <x:v>EQM-0106</x:v>
      </x:c>
      <x:c r="B143" s="32" t="str">
        <x:v>VKM-020</x:v>
      </x:c>
      <x:c r="C143" s="32" t="str">
        <x:v>Креветки по-тайски</x:v>
      </x:c>
      <x:c r="D143" s="32" t="n">
        <x:v>4</x:v>
      </x:c>
      <x:c r="E143" s="32" t="str">
        <x:v>добавить лапшу</x:v>
      </x:c>
      <x:c r="F143" s="32" t="str">
        <x:v>HOT-03;HOT-13</x:v>
      </x:c>
      <x:c r="G143" s="32" t="str">
        <x:v>WOK-пост;GN, противни и горячий инвентарь</x:v>
      </x:c>
      <x:c r="H143" s="32" t="str">
        <x:v>CAPEX.HOT.003;CAPEX.HOT.014</x:v>
      </x:c>
      <x:c r="I143" s="32" t="str">
        <x:v>WOK_COOKING</x:v>
      </x:c>
      <x:c r="J143" s="32"/>
      <x:c r="K143" s="32"/>
      <x:c r="L143" s="32" t="str">
        <x:v>BLOCKED</x:v>
      </x:c>
      <x:c r="M143" s="32" t="str">
        <x:v>ESTIMATE</x:v>
      </x:c>
      <x:c r="N143" s="32" t="str">
        <x:v>GAP-007;GAP-017;GAP-018;GAP-019</x:v>
      </x:c>
    </x:row>
    <x:row r="144">
      <x:c r="A144" s="32" t="str">
        <x:v>EQM-0107</x:v>
      </x:c>
      <x:c r="B144" s="32" t="str">
        <x:v>VKM-020</x:v>
      </x:c>
      <x:c r="C144" s="32" t="str">
        <x:v>Креветки по-тайски</x:v>
      </x:c>
      <x:c r="D144" s="32" t="n">
        <x:v>5</x:v>
      </x:c>
      <x:c r="E144" s="32" t="str">
        <x:v>довести и финишировать</x:v>
      </x:c>
      <x:c r="F144" s="32" t="str">
        <x:v>HOT-12;HOT-13</x:v>
      </x:c>
      <x:c r="G144" s="32" t="str">
        <x:v>Столы и полки горячего участка;GN, противни и горячий инвентарь</x:v>
      </x:c>
      <x:c r="H144" s="32" t="str">
        <x:v>CAPEX.HOT.013;CAPEX.HOT.014</x:v>
      </x:c>
      <x:c r="I144" s="32" t="str">
        <x:v>HOT_PREP_ASSEMBLY</x:v>
      </x:c>
      <x:c r="J144" s="32"/>
      <x:c r="K144" s="32"/>
      <x:c r="L144" s="32" t="str">
        <x:v>BLOCKED</x:v>
      </x:c>
      <x:c r="M144" s="32" t="str">
        <x:v>ESTIMATE</x:v>
      </x:c>
      <x:c r="N144" s="32" t="str">
        <x:v>GAP-007;GAP-017;GAP-018;GAP-019</x:v>
      </x:c>
    </x:row>
    <x:row r="145">
      <x:c r="A145" s="32" t="str">
        <x:v>EQM-0108</x:v>
      </x:c>
      <x:c r="B145" s="32" t="str">
        <x:v>VKM-021</x:v>
      </x:c>
      <x:c r="C145" s="32" t="str">
        <x:v>Бургер VARSHAVKA</x:v>
      </x:c>
      <x:c r="D145" s="32" t="n">
        <x:v>1</x:v>
      </x:c>
      <x:c r="E145" s="32" t="str">
        <x:v>Подготовить котлету и соус</x:v>
      </x:c>
      <x:c r="F145" s="32" t="str">
        <x:v>HOT-02;HOT-13</x:v>
      </x:c>
      <x:c r="G145" s="32" t="str">
        <x:v>Двухзонный теппан;GN, противни и горячий инвентарь</x:v>
      </x:c>
      <x:c r="H145" s="32" t="str">
        <x:v>CAPEX.HOT.002;CAPEX.HOT.014</x:v>
      </x:c>
      <x:c r="I145" s="32" t="str">
        <x:v>CONTACT_THERMAL_PROCESS</x:v>
      </x:c>
      <x:c r="J145" s="32"/>
      <x:c r="K145" s="32"/>
      <x:c r="L145" s="32" t="str">
        <x:v>BLOCKED</x:v>
      </x:c>
      <x:c r="M145" s="32" t="str">
        <x:v>ESTIMATE</x:v>
      </x:c>
      <x:c r="N145" s="32" t="str">
        <x:v>GAP-007;GAP-017;GAP-018;GAP-019</x:v>
      </x:c>
    </x:row>
    <x:row r="146">
      <x:c r="A146" s="32" t="str">
        <x:v>EQM-0109</x:v>
      </x:c>
      <x:c r="B146" s="32" t="str">
        <x:v>VKM-021</x:v>
      </x:c>
      <x:c r="C146" s="32" t="str">
        <x:v>Бургер VARSHAVKA</x:v>
      </x:c>
      <x:c r="D146" s="32" t="n">
        <x:v>2</x:v>
      </x:c>
      <x:c r="E146" s="32" t="str">
        <x:v>разрезать и подготовить бриошь</x:v>
      </x:c>
      <x:c r="F146" s="32" t="str">
        <x:v>HOT-12;HOT-13</x:v>
      </x:c>
      <x:c r="G146" s="32" t="str">
        <x:v>Столы и полки горячего участка;GN, противни и горячий инвентарь</x:v>
      </x:c>
      <x:c r="H146" s="32" t="str">
        <x:v>CAPEX.HOT.013;CAPEX.HOT.014</x:v>
      </x:c>
      <x:c r="I146" s="32" t="str">
        <x:v>HOT_PREP_ASSEMBLY</x:v>
      </x:c>
      <x:c r="J146" s="32"/>
      <x:c r="K146" s="32"/>
      <x:c r="L146" s="32" t="str">
        <x:v>BLOCKED</x:v>
      </x:c>
      <x:c r="M146" s="32" t="str">
        <x:v>ESTIMATE</x:v>
      </x:c>
      <x:c r="N146" s="32" t="str">
        <x:v>GAP-007;GAP-017;GAP-018;GAP-019</x:v>
      </x:c>
    </x:row>
    <x:row r="147">
      <x:c r="A147" s="32" t="str">
        <x:v>EQM-0110</x:v>
      </x:c>
      <x:c r="B147" s="32" t="str">
        <x:v>VKM-021</x:v>
      </x:c>
      <x:c r="C147" s="32" t="str">
        <x:v>Бургер VARSHAVKA</x:v>
      </x:c>
      <x:c r="D147" s="32" t="n">
        <x:v>3</x:v>
      </x:c>
      <x:c r="E147" s="32" t="str">
        <x:v>обработать котлету</x:v>
      </x:c>
      <x:c r="F147" s="32" t="str">
        <x:v>HOT-02;HOT-13</x:v>
      </x:c>
      <x:c r="G147" s="32" t="str">
        <x:v>Двухзонный теппан;GN, противни и горячий инвентарь</x:v>
      </x:c>
      <x:c r="H147" s="32" t="str">
        <x:v>CAPEX.HOT.002;CAPEX.HOT.014</x:v>
      </x:c>
      <x:c r="I147" s="32" t="str">
        <x:v>CONTACT_THERMAL_PROCESS</x:v>
      </x:c>
      <x:c r="J147" s="32"/>
      <x:c r="K147" s="32"/>
      <x:c r="L147" s="32" t="str">
        <x:v>BLOCKED</x:v>
      </x:c>
      <x:c r="M147" s="32" t="str">
        <x:v>ESTIMATE</x:v>
      </x:c>
      <x:c r="N147" s="32" t="str">
        <x:v>GAP-007;GAP-017;GAP-018;GAP-019</x:v>
      </x:c>
    </x:row>
    <x:row r="148">
      <x:c r="A148" s="32" t="str">
        <x:v>EQM-0111</x:v>
      </x:c>
      <x:c r="B148" s="32" t="str">
        <x:v>VKM-021</x:v>
      </x:c>
      <x:c r="C148" s="32" t="str">
        <x:v>Бургер VARSHAVKA</x:v>
      </x:c>
      <x:c r="D148" s="32" t="n">
        <x:v>4</x:v>
      </x:c>
      <x:c r="E148" s="32" t="str">
        <x:v>расплавить сыр</x:v>
      </x:c>
      <x:c r="F148" s="32" t="str">
        <x:v>HOT-12;HOT-13</x:v>
      </x:c>
      <x:c r="G148" s="32" t="str">
        <x:v>Столы и полки горячего участка;GN, противни и горячий инвентарь</x:v>
      </x:c>
      <x:c r="H148" s="32" t="str">
        <x:v>CAPEX.HOT.013;CAPEX.HOT.014</x:v>
      </x:c>
      <x:c r="I148" s="32" t="str">
        <x:v>HOT_PREP_ASSEMBLY</x:v>
      </x:c>
      <x:c r="J148" s="32"/>
      <x:c r="K148" s="32"/>
      <x:c r="L148" s="32" t="str">
        <x:v>BLOCKED</x:v>
      </x:c>
      <x:c r="M148" s="32" t="str">
        <x:v>ESTIMATE</x:v>
      </x:c>
      <x:c r="N148" s="32" t="str">
        <x:v>GAP-007;GAP-017;GAP-018;GAP-019</x:v>
      </x:c>
    </x:row>
    <x:row r="149">
      <x:c r="A149" s="32" t="str">
        <x:v>EQM-0112</x:v>
      </x:c>
      <x:c r="B149" s="32" t="str">
        <x:v>VKM-021</x:v>
      </x:c>
      <x:c r="C149" s="32" t="str">
        <x:v>Бургер VARSHAVKA</x:v>
      </x:c>
      <x:c r="D149" s="32" t="n">
        <x:v>5</x:v>
      </x:c>
      <x:c r="E149" s="32" t="str">
        <x:v>собрать в заданном порядке</x:v>
      </x:c>
      <x:c r="F149" s="32" t="str">
        <x:v>HOT-12;HOT-13</x:v>
      </x:c>
      <x:c r="G149" s="32" t="str">
        <x:v>Столы и полки горячего участка;GN, противни и горячий инвентарь</x:v>
      </x:c>
      <x:c r="H149" s="32" t="str">
        <x:v>CAPEX.HOT.013;CAPEX.HOT.014</x:v>
      </x:c>
      <x:c r="I149" s="32" t="str">
        <x:v>HOT_PREP_ASSEMBLY</x:v>
      </x:c>
      <x:c r="J149" s="32"/>
      <x:c r="K149" s="32"/>
      <x:c r="L149" s="32" t="str">
        <x:v>BLOCKED</x:v>
      </x:c>
      <x:c r="M149" s="32" t="str">
        <x:v>ESTIMATE</x:v>
      </x:c>
      <x:c r="N149" s="32" t="str">
        <x:v>GAP-007;GAP-017;GAP-018;GAP-019</x:v>
      </x:c>
    </x:row>
    <x:row r="150">
      <x:c r="A150" s="32" t="str">
        <x:v>EQM-0113</x:v>
      </x:c>
      <x:c r="B150" s="32" t="str">
        <x:v>VKM-022</x:v>
      </x:c>
      <x:c r="C150" s="32" t="str">
        <x:v>Миньоны из говяжьей вырезки</x:v>
      </x:c>
      <x:c r="D150" s="32" t="n">
        <x:v>1</x:v>
      </x:c>
      <x:c r="E150" s="32" t="str">
        <x:v>Зачистить и порционировать вырезку на два миньона</x:v>
      </x:c>
      <x:c r="F150" s="32" t="str">
        <x:v>HOT-02;HOT-13</x:v>
      </x:c>
      <x:c r="G150" s="32" t="str">
        <x:v>Двухзонный теппан;GN, противни и горячий инвентарь</x:v>
      </x:c>
      <x:c r="H150" s="32" t="str">
        <x:v>CAPEX.HOT.002;CAPEX.HOT.014</x:v>
      </x:c>
      <x:c r="I150" s="32" t="str">
        <x:v>CONTACT_THERMAL_PROCESS</x:v>
      </x:c>
      <x:c r="J150" s="32"/>
      <x:c r="K150" s="32"/>
      <x:c r="L150" s="32" t="str">
        <x:v>BLOCKED</x:v>
      </x:c>
      <x:c r="M150" s="32" t="str">
        <x:v>ESTIMATE</x:v>
      </x:c>
      <x:c r="N150" s="32" t="str">
        <x:v>GAP-007;GAP-017;GAP-018;GAP-019</x:v>
      </x:c>
    </x:row>
    <x:row r="151">
      <x:c r="A151" s="32" t="str">
        <x:v>EQM-0114</x:v>
      </x:c>
      <x:c r="B151" s="32" t="str">
        <x:v>VKM-022</x:v>
      </x:c>
      <x:c r="C151" s="32" t="str">
        <x:v>Миньоны из говяжьей вырезки</x:v>
      </x:c>
      <x:c r="D151" s="32" t="n">
        <x:v>2</x:v>
      </x:c>
      <x:c r="E151" s="32" t="str">
        <x:v>подготовить ароматику</x:v>
      </x:c>
      <x:c r="F151" s="32" t="str">
        <x:v>HOT-12;HOT-13</x:v>
      </x:c>
      <x:c r="G151" s="32" t="str">
        <x:v>Столы и полки горячего участка;GN, противни и горячий инвентарь</x:v>
      </x:c>
      <x:c r="H151" s="32" t="str">
        <x:v>CAPEX.HOT.013;CAPEX.HOT.014</x:v>
      </x:c>
      <x:c r="I151" s="32" t="str">
        <x:v>HOT_PREP_ASSEMBLY</x:v>
      </x:c>
      <x:c r="J151" s="32"/>
      <x:c r="K151" s="32"/>
      <x:c r="L151" s="32" t="str">
        <x:v>BLOCKED</x:v>
      </x:c>
      <x:c r="M151" s="32" t="str">
        <x:v>ESTIMATE</x:v>
      </x:c>
      <x:c r="N151" s="32" t="str">
        <x:v>GAP-007;GAP-017;GAP-018;GAP-019</x:v>
      </x:c>
    </x:row>
    <x:row r="152">
      <x:c r="A152" s="32" t="str">
        <x:v>EQM-0115</x:v>
      </x:c>
      <x:c r="B152" s="32" t="str">
        <x:v>VKM-022</x:v>
      </x:c>
      <x:c r="C152" s="32" t="str">
        <x:v>Миньоны из говяжьей вырезки</x:v>
      </x:c>
      <x:c r="D152" s="32" t="n">
        <x:v>3</x:v>
      </x:c>
      <x:c r="E152" s="32" t="str">
        <x:v>обработать</x:v>
      </x:c>
      <x:c r="F152" s="32" t="str">
        <x:v>HOT-02;HOT-13</x:v>
      </x:c>
      <x:c r="G152" s="32" t="str">
        <x:v>Двухзонный теппан;GN, противни и горячий инвентарь</x:v>
      </x:c>
      <x:c r="H152" s="32" t="str">
        <x:v>CAPEX.HOT.002;CAPEX.HOT.014</x:v>
      </x:c>
      <x:c r="I152" s="32" t="str">
        <x:v>CONTACT_THERMAL_PROCESS</x:v>
      </x:c>
      <x:c r="J152" s="32"/>
      <x:c r="K152" s="32"/>
      <x:c r="L152" s="32" t="str">
        <x:v>BLOCKED</x:v>
      </x:c>
      <x:c r="M152" s="32" t="str">
        <x:v>ESTIMATE</x:v>
      </x:c>
      <x:c r="N152" s="32" t="str">
        <x:v>GAP-007;GAP-017;GAP-018;GAP-019</x:v>
      </x:c>
    </x:row>
    <x:row r="153">
      <x:c r="A153" s="32" t="str">
        <x:v>EQM-0116</x:v>
      </x:c>
      <x:c r="B153" s="32" t="str">
        <x:v>VKM-022</x:v>
      </x:c>
      <x:c r="C153" s="32" t="str">
        <x:v>Миньоны из говяжьей вырезки</x:v>
      </x:c>
      <x:c r="D153" s="32" t="n">
        <x:v>4</x:v>
      </x:c>
      <x:c r="E153" s="32" t="str">
        <x:v>приготовить соус</x:v>
      </x:c>
      <x:c r="F153" s="32" t="str">
        <x:v>HOT-05B;HOT-13</x:v>
      </x:c>
      <x:c r="G153" s="32" t="str">
        <x:v>Индукционная плита 2 зоны;GN, противни и горячий инвентарь</x:v>
      </x:c>
      <x:c r="H153" s="32" t="str">
        <x:v>CAPEX.HOT.006;CAPEX.HOT.014</x:v>
      </x:c>
      <x:c r="I153" s="32" t="str">
        <x:v>SAUCE_COOKING</x:v>
      </x:c>
      <x:c r="J153" s="32"/>
      <x:c r="K153" s="32"/>
      <x:c r="L153" s="32" t="str">
        <x:v>BLOCKED</x:v>
      </x:c>
      <x:c r="M153" s="32" t="str">
        <x:v>ESTIMATE</x:v>
      </x:c>
      <x:c r="N153" s="32" t="str">
        <x:v>GAP-007;GAP-017;GAP-018;GAP-019</x:v>
      </x:c>
    </x:row>
    <x:row r="154">
      <x:c r="A154" s="32" t="str">
        <x:v>EQM-0117</x:v>
      </x:c>
      <x:c r="B154" s="32" t="str">
        <x:v>VKM-022</x:v>
      </x:c>
      <x:c r="C154" s="32" t="str">
        <x:v>Миньоны из говяжьей вырезки</x:v>
      </x:c>
      <x:c r="D154" s="32" t="n">
        <x:v>5</x:v>
      </x:c>
      <x:c r="E154" s="32" t="str">
        <x:v>дать продукту стабилизироваться</x:v>
      </x:c>
      <x:c r="F154" s="32" t="str">
        <x:v>HOT-12;HOT-13</x:v>
      </x:c>
      <x:c r="G154" s="32" t="str">
        <x:v>Столы и полки горячего участка;GN, противни и горячий инвентарь</x:v>
      </x:c>
      <x:c r="H154" s="32" t="str">
        <x:v>CAPEX.HOT.013;CAPEX.HOT.014</x:v>
      </x:c>
      <x:c r="I154" s="32" t="str">
        <x:v>HOT_PREP_ASSEMBLY</x:v>
      </x:c>
      <x:c r="J154" s="32"/>
      <x:c r="K154" s="32"/>
      <x:c r="L154" s="32" t="str">
        <x:v>BLOCKED</x:v>
      </x:c>
      <x:c r="M154" s="32" t="str">
        <x:v>ESTIMATE</x:v>
      </x:c>
      <x:c r="N154" s="32" t="str">
        <x:v>GAP-007;GAP-017;GAP-018;GAP-019</x:v>
      </x:c>
    </x:row>
    <x:row r="155">
      <x:c r="A155" s="32" t="str">
        <x:v>EQM-0118</x:v>
      </x:c>
      <x:c r="B155" s="32" t="str">
        <x:v>VKM-022</x:v>
      </x:c>
      <x:c r="C155" s="32" t="str">
        <x:v>Миньоны из говяжьей вырезки</x:v>
      </x:c>
      <x:c r="D155" s="32" t="n">
        <x:v>6</x:v>
      </x:c>
      <x:c r="E155" s="32" t="str">
        <x:v>собрать</x:v>
      </x:c>
      <x:c r="F155" s="32" t="str">
        <x:v>HOT-12;HOT-13</x:v>
      </x:c>
      <x:c r="G155" s="32" t="str">
        <x:v>Столы и полки горячего участка;GN, противни и горячий инвентарь</x:v>
      </x:c>
      <x:c r="H155" s="32" t="str">
        <x:v>CAPEX.HOT.013;CAPEX.HOT.014</x:v>
      </x:c>
      <x:c r="I155" s="32" t="str">
        <x:v>HOT_PREP_ASSEMBLY</x:v>
      </x:c>
      <x:c r="J155" s="32"/>
      <x:c r="K155" s="32"/>
      <x:c r="L155" s="32" t="str">
        <x:v>BLOCKED</x:v>
      </x:c>
      <x:c r="M155" s="32" t="str">
        <x:v>ESTIMATE</x:v>
      </x:c>
      <x:c r="N155" s="32" t="str">
        <x:v>GAP-007;GAP-017;GAP-018;GAP-019</x:v>
      </x:c>
    </x:row>
    <x:row r="156">
      <x:c r="A156" s="32" t="str">
        <x:v>EQM-0119</x:v>
      </x:c>
      <x:c r="B156" s="32" t="str">
        <x:v>VKM-023</x:v>
      </x:c>
      <x:c r="C156" s="32" t="str">
        <x:v>Запечённый картофель</x:v>
      </x:c>
      <x:c r="D156" s="32" t="n">
        <x:v>1</x:v>
      </x:c>
      <x:c r="E156" s="32" t="str">
        <x:v>Вымыть и подготовить картофель</x:v>
      </x:c>
      <x:c r="F156" s="32" t="str">
        <x:v>HOT-12;HOT-13</x:v>
      </x:c>
      <x:c r="G156" s="32" t="str">
        <x:v>Столы и полки горячего участка;GN, противни и горячий инвентарь</x:v>
      </x:c>
      <x:c r="H156" s="32" t="str">
        <x:v>CAPEX.HOT.013;CAPEX.HOT.014</x:v>
      </x:c>
      <x:c r="I156" s="32" t="str">
        <x:v>HOT_PREP_PORTIONING</x:v>
      </x:c>
      <x:c r="J156" s="32"/>
      <x:c r="K156" s="32"/>
      <x:c r="L156" s="32" t="str">
        <x:v>BLOCKED</x:v>
      </x:c>
      <x:c r="M156" s="32" t="str">
        <x:v>ESTIMATE</x:v>
      </x:c>
      <x:c r="N156" s="32" t="str">
        <x:v>GAP-007;GAP-017;GAP-018;GAP-019</x:v>
      </x:c>
    </x:row>
    <x:row r="157">
      <x:c r="A157" s="32" t="str">
        <x:v>EQM-0120</x:v>
      </x:c>
      <x:c r="B157" s="32" t="str">
        <x:v>VKM-023</x:v>
      </x:c>
      <x:c r="C157" s="32" t="str">
        <x:v>Запечённый картофель</x:v>
      </x:c>
      <x:c r="D157" s="32" t="n">
        <x:v>2</x:v>
      </x:c>
      <x:c r="E157" s="32" t="str">
        <x:v>нарезать</x:v>
      </x:c>
      <x:c r="F157" s="32" t="str">
        <x:v>HOT-12;HOT-13</x:v>
      </x:c>
      <x:c r="G157" s="32" t="str">
        <x:v>Столы и полки горячего участка;GN, противни и горячий инвентарь</x:v>
      </x:c>
      <x:c r="H157" s="32" t="str">
        <x:v>CAPEX.HOT.013;CAPEX.HOT.014</x:v>
      </x:c>
      <x:c r="I157" s="32" t="str">
        <x:v>HOT_PREP_PORTIONING</x:v>
      </x:c>
      <x:c r="J157" s="32"/>
      <x:c r="K157" s="32"/>
      <x:c r="L157" s="32" t="str">
        <x:v>BLOCKED</x:v>
      </x:c>
      <x:c r="M157" s="32" t="str">
        <x:v>ESTIMATE</x:v>
      </x:c>
      <x:c r="N157" s="32" t="str">
        <x:v>GAP-007;GAP-017;GAP-018;GAP-019</x:v>
      </x:c>
    </x:row>
    <x:row r="158">
      <x:c r="A158" s="32" t="str">
        <x:v>EQM-0121</x:v>
      </x:c>
      <x:c r="B158" s="32" t="str">
        <x:v>VKM-023</x:v>
      </x:c>
      <x:c r="C158" s="32" t="str">
        <x:v>Запечённый картофель</x:v>
      </x:c>
      <x:c r="D158" s="32" t="n">
        <x:v>3</x:v>
      </x:c>
      <x:c r="E158" s="32" t="str">
        <x:v>смешать с маслом и травами</x:v>
      </x:c>
      <x:c r="F158" s="32" t="str">
        <x:v>HOT-12;HOT-13</x:v>
      </x:c>
      <x:c r="G158" s="32" t="str">
        <x:v>Столы и полки горячего участка;GN, противни и горячий инвентарь</x:v>
      </x:c>
      <x:c r="H158" s="32" t="str">
        <x:v>CAPEX.HOT.013;CAPEX.HOT.014</x:v>
      </x:c>
      <x:c r="I158" s="32" t="str">
        <x:v>HOT_PREP_PORTIONING</x:v>
      </x:c>
      <x:c r="J158" s="32"/>
      <x:c r="K158" s="32"/>
      <x:c r="L158" s="32" t="str">
        <x:v>BLOCKED</x:v>
      </x:c>
      <x:c r="M158" s="32" t="str">
        <x:v>ESTIMATE</x:v>
      </x:c>
      <x:c r="N158" s="32" t="str">
        <x:v>GAP-007;GAP-017;GAP-018;GAP-019</x:v>
      </x:c>
    </x:row>
    <x:row r="159">
      <x:c r="A159" s="32" t="str">
        <x:v>EQM-0122</x:v>
      </x:c>
      <x:c r="B159" s="32" t="str">
        <x:v>VKM-023</x:v>
      </x:c>
      <x:c r="C159" s="32" t="str">
        <x:v>Запечённый картофель</x:v>
      </x:c>
      <x:c r="D159" s="32" t="n">
        <x:v>4</x:v>
      </x:c>
      <x:c r="E159" s="32" t="str">
        <x:v>запечь</x:v>
      </x:c>
      <x:c r="F159" s="32" t="str">
        <x:v>HOT-01;HOT-13</x:v>
      </x:c>
      <x:c r="G159" s="32" t="str">
        <x:v>Пароконвектомат;GN, противни и горячий инвентарь</x:v>
      </x:c>
      <x:c r="H159" s="32" t="str">
        <x:v>CAPEX.HOT.001;CAPEX.HOT.014</x:v>
      </x:c>
      <x:c r="I159" s="32" t="str">
        <x:v>OVEN_COOKING</x:v>
      </x:c>
      <x:c r="J159" s="32"/>
      <x:c r="K159" s="32"/>
      <x:c r="L159" s="32" t="str">
        <x:v>BLOCKED</x:v>
      </x:c>
      <x:c r="M159" s="32" t="str">
        <x:v>ESTIMATE</x:v>
      </x:c>
      <x:c r="N159" s="32" t="str">
        <x:v>GAP-007;GAP-017;GAP-018;GAP-019</x:v>
      </x:c>
    </x:row>
    <x:row r="160">
      <x:c r="A160" s="32" t="str">
        <x:v>EQM-0123</x:v>
      </x:c>
      <x:c r="B160" s="32" t="str">
        <x:v>VKM-023</x:v>
      </x:c>
      <x:c r="C160" s="32" t="str">
        <x:v>Запечённый картофель</x:v>
      </x:c>
      <x:c r="D160" s="32" t="n">
        <x:v>5</x:v>
      </x:c>
      <x:c r="E160" s="32" t="str">
        <x:v>порционировать</x:v>
      </x:c>
      <x:c r="F160" s="32" t="str">
        <x:v>HOT-12;HOT-13</x:v>
      </x:c>
      <x:c r="G160" s="32" t="str">
        <x:v>Столы и полки горячего участка;GN, противни и горячий инвентарь</x:v>
      </x:c>
      <x:c r="H160" s="32" t="str">
        <x:v>CAPEX.HOT.013;CAPEX.HOT.014</x:v>
      </x:c>
      <x:c r="I160" s="32" t="str">
        <x:v>HOT_PREP_PORTIONING</x:v>
      </x:c>
      <x:c r="J160" s="32"/>
      <x:c r="K160" s="32"/>
      <x:c r="L160" s="32" t="str">
        <x:v>BLOCKED</x:v>
      </x:c>
      <x:c r="M160" s="32" t="str">
        <x:v>ESTIMATE</x:v>
      </x:c>
      <x:c r="N160" s="32" t="str">
        <x:v>GAP-007;GAP-017;GAP-018;GAP-019</x:v>
      </x:c>
    </x:row>
    <x:row r="161">
      <x:c r="A161" s="32" t="str">
        <x:v>EQM-0124</x:v>
      </x:c>
      <x:c r="B161" s="32" t="str">
        <x:v>VKM-024</x:v>
      </x:c>
      <x:c r="C161" s="32" t="str">
        <x:v>Рис жасмин</x:v>
      </x:c>
      <x:c r="D161" s="32" t="n">
        <x:v>1</x:v>
      </x:c>
      <x:c r="E161" s="32" t="str">
        <x:v>Промыть рис</x:v>
      </x:c>
      <x:c r="F161" s="32" t="str">
        <x:v>HOT-06;HOT-13</x:v>
      </x:c>
      <x:c r="G161" s="32" t="str">
        <x:v>Рисоварка;GN, противни и горячий инвентарь</x:v>
      </x:c>
      <x:c r="H161" s="32" t="str">
        <x:v>CAPEX.HOT.007;CAPEX.HOT.014</x:v>
      </x:c>
      <x:c r="I161" s="32" t="str">
        <x:v>RICE_COOKING</x:v>
      </x:c>
      <x:c r="J161" s="32"/>
      <x:c r="K161" s="32"/>
      <x:c r="L161" s="32" t="str">
        <x:v>BLOCKED</x:v>
      </x:c>
      <x:c r="M161" s="32" t="str">
        <x:v>ESTIMATE</x:v>
      </x:c>
      <x:c r="N161" s="32" t="str">
        <x:v>GAP-007;GAP-017;GAP-018;GAP-019</x:v>
      </x:c>
    </x:row>
    <x:row r="162">
      <x:c r="A162" s="32" t="str">
        <x:v>EQM-0125</x:v>
      </x:c>
      <x:c r="B162" s="32" t="str">
        <x:v>VKM-024</x:v>
      </x:c>
      <x:c r="C162" s="32" t="str">
        <x:v>Рис жасмин</x:v>
      </x:c>
      <x:c r="D162" s="32" t="n">
        <x:v>2</x:v>
      </x:c>
      <x:c r="E162" s="32" t="str">
        <x:v>соединить с водой</x:v>
      </x:c>
      <x:c r="F162" s="32" t="str">
        <x:v>HOT-12;HOT-13</x:v>
      </x:c>
      <x:c r="G162" s="32" t="str">
        <x:v>Столы и полки горячего участка;GN, противни и горячий инвентарь</x:v>
      </x:c>
      <x:c r="H162" s="32" t="str">
        <x:v>CAPEX.HOT.013;CAPEX.HOT.014</x:v>
      </x:c>
      <x:c r="I162" s="32" t="str">
        <x:v>HOT_PREP_PORTIONING</x:v>
      </x:c>
      <x:c r="J162" s="32"/>
      <x:c r="K162" s="32"/>
      <x:c r="L162" s="32" t="str">
        <x:v>BLOCKED</x:v>
      </x:c>
      <x:c r="M162" s="32" t="str">
        <x:v>ESTIMATE</x:v>
      </x:c>
      <x:c r="N162" s="32" t="str">
        <x:v>GAP-007;GAP-017;GAP-018;GAP-019</x:v>
      </x:c>
    </x:row>
    <x:row r="163">
      <x:c r="A163" s="32" t="str">
        <x:v>EQM-0126</x:v>
      </x:c>
      <x:c r="B163" s="32" t="str">
        <x:v>VKM-024</x:v>
      </x:c>
      <x:c r="C163" s="32" t="str">
        <x:v>Рис жасмин</x:v>
      </x:c>
      <x:c r="D163" s="32" t="n">
        <x:v>3</x:v>
      </x:c>
      <x:c r="E163" s="32" t="str">
        <x:v>сварить</x:v>
      </x:c>
      <x:c r="F163" s="32" t="str">
        <x:v>HOT-06;HOT-13</x:v>
      </x:c>
      <x:c r="G163" s="32" t="str">
        <x:v>Рисоварка;GN, противни и горячий инвентарь</x:v>
      </x:c>
      <x:c r="H163" s="32" t="str">
        <x:v>CAPEX.HOT.007;CAPEX.HOT.014</x:v>
      </x:c>
      <x:c r="I163" s="32" t="str">
        <x:v>RICE_COOKING</x:v>
      </x:c>
      <x:c r="J163" s="32"/>
      <x:c r="K163" s="32"/>
      <x:c r="L163" s="32" t="str">
        <x:v>BLOCKED</x:v>
      </x:c>
      <x:c r="M163" s="32" t="str">
        <x:v>ESTIMATE</x:v>
      </x:c>
      <x:c r="N163" s="32" t="str">
        <x:v>GAP-007;GAP-017;GAP-018;GAP-019</x:v>
      </x:c>
    </x:row>
    <x:row r="164">
      <x:c r="A164" s="32" t="str">
        <x:v>EQM-0127</x:v>
      </x:c>
      <x:c r="B164" s="32" t="str">
        <x:v>VKM-024</x:v>
      </x:c>
      <x:c r="C164" s="32" t="str">
        <x:v>Рис жасмин</x:v>
      </x:c>
      <x:c r="D164" s="32" t="n">
        <x:v>4</x:v>
      </x:c>
      <x:c r="E164" s="32" t="str">
        <x:v>дать стабилизироваться</x:v>
      </x:c>
      <x:c r="F164" s="32" t="str">
        <x:v>HOT-12;HOT-13</x:v>
      </x:c>
      <x:c r="G164" s="32" t="str">
        <x:v>Столы и полки горячего участка;GN, противни и горячий инвентарь</x:v>
      </x:c>
      <x:c r="H164" s="32" t="str">
        <x:v>CAPEX.HOT.013;CAPEX.HOT.014</x:v>
      </x:c>
      <x:c r="I164" s="32" t="str">
        <x:v>HOT_PREP_PORTIONING</x:v>
      </x:c>
      <x:c r="J164" s="32"/>
      <x:c r="K164" s="32"/>
      <x:c r="L164" s="32" t="str">
        <x:v>BLOCKED</x:v>
      </x:c>
      <x:c r="M164" s="32" t="str">
        <x:v>ESTIMATE</x:v>
      </x:c>
      <x:c r="N164" s="32" t="str">
        <x:v>GAP-007;GAP-017;GAP-018;GAP-019</x:v>
      </x:c>
    </x:row>
    <x:row r="165">
      <x:c r="A165" s="32" t="str">
        <x:v>EQM-0128</x:v>
      </x:c>
      <x:c r="B165" s="32" t="str">
        <x:v>VKM-024</x:v>
      </x:c>
      <x:c r="C165" s="32" t="str">
        <x:v>Рис жасмин</x:v>
      </x:c>
      <x:c r="D165" s="32" t="n">
        <x:v>5</x:v>
      </x:c>
      <x:c r="E165" s="32" t="str">
        <x:v>внести масла и соль</x:v>
      </x:c>
      <x:c r="F165" s="32" t="str">
        <x:v>HOT-12;HOT-13</x:v>
      </x:c>
      <x:c r="G165" s="32" t="str">
        <x:v>Столы и полки горячего участка;GN, противни и горячий инвентарь</x:v>
      </x:c>
      <x:c r="H165" s="32" t="str">
        <x:v>CAPEX.HOT.013;CAPEX.HOT.014</x:v>
      </x:c>
      <x:c r="I165" s="32" t="str">
        <x:v>HOT_PREP_PORTIONING</x:v>
      </x:c>
      <x:c r="J165" s="32"/>
      <x:c r="K165" s="32"/>
      <x:c r="L165" s="32" t="str">
        <x:v>BLOCKED</x:v>
      </x:c>
      <x:c r="M165" s="32" t="str">
        <x:v>ESTIMATE</x:v>
      </x:c>
      <x:c r="N165" s="32" t="str">
        <x:v>GAP-007;GAP-017;GAP-018;GAP-019</x:v>
      </x:c>
    </x:row>
    <x:row r="166">
      <x:c r="A166" s="32" t="str">
        <x:v>EQM-0129</x:v>
      </x:c>
      <x:c r="B166" s="32" t="str">
        <x:v>VKM-024</x:v>
      </x:c>
      <x:c r="C166" s="32" t="str">
        <x:v>Рис жасмин</x:v>
      </x:c>
      <x:c r="D166" s="32" t="n">
        <x:v>6</x:v>
      </x:c>
      <x:c r="E166" s="32" t="str">
        <x:v>разрыхлить и порционировать</x:v>
      </x:c>
      <x:c r="F166" s="32" t="str">
        <x:v>HOT-12;HOT-13</x:v>
      </x:c>
      <x:c r="G166" s="32" t="str">
        <x:v>Столы и полки горячего участка;GN, противни и горячий инвентарь</x:v>
      </x:c>
      <x:c r="H166" s="32" t="str">
        <x:v>CAPEX.HOT.013;CAPEX.HOT.014</x:v>
      </x:c>
      <x:c r="I166" s="32" t="str">
        <x:v>HOT_PREP_PORTIONING</x:v>
      </x:c>
      <x:c r="J166" s="32"/>
      <x:c r="K166" s="32"/>
      <x:c r="L166" s="32" t="str">
        <x:v>BLOCKED</x:v>
      </x:c>
      <x:c r="M166" s="32" t="str">
        <x:v>ESTIMATE</x:v>
      </x:c>
      <x:c r="N166" s="32" t="str">
        <x:v>GAP-007;GAP-017;GAP-018;GAP-019</x:v>
      </x:c>
    </x:row>
    <x:row r="167">
      <x:c r="A167" s="32" t="str">
        <x:v>EQM-0130</x:v>
      </x:c>
      <x:c r="B167" s="32" t="str">
        <x:v>VKM-025</x:v>
      </x:c>
      <x:c r="C167" s="32" t="str">
        <x:v>Горячие овощи</x:v>
      </x:c>
      <x:c r="D167" s="32" t="n">
        <x:v>1</x:v>
      </x:c>
      <x:c r="E167" s="32" t="str">
        <x:v>Подготовить и одинаково нарезать овощи</x:v>
      </x:c>
      <x:c r="F167" s="32" t="str">
        <x:v>HOT-12;HOT-13</x:v>
      </x:c>
      <x:c r="G167" s="32" t="str">
        <x:v>Столы и полки горячего участка;GN, противни и горячий инвентарь</x:v>
      </x:c>
      <x:c r="H167" s="32" t="str">
        <x:v>CAPEX.HOT.013;CAPEX.HOT.014</x:v>
      </x:c>
      <x:c r="I167" s="32" t="str">
        <x:v>HOT_PREP_PORTIONING</x:v>
      </x:c>
      <x:c r="J167" s="32"/>
      <x:c r="K167" s="32"/>
      <x:c r="L167" s="32" t="str">
        <x:v>BLOCKED</x:v>
      </x:c>
      <x:c r="M167" s="32" t="str">
        <x:v>ESTIMATE</x:v>
      </x:c>
      <x:c r="N167" s="32" t="str">
        <x:v>GAP-007;GAP-017;GAP-018;GAP-019</x:v>
      </x:c>
    </x:row>
    <x:row r="168">
      <x:c r="A168" s="32" t="str">
        <x:v>EQM-0131</x:v>
      </x:c>
      <x:c r="B168" s="32" t="str">
        <x:v>VKM-025</x:v>
      </x:c>
      <x:c r="C168" s="32" t="str">
        <x:v>Горячие овощи</x:v>
      </x:c>
      <x:c r="D168" s="32" t="n">
        <x:v>2</x:v>
      </x:c>
      <x:c r="E168" s="32" t="str">
        <x:v>обрабатывать партиями</x:v>
      </x:c>
      <x:c r="F168" s="32" t="str">
        <x:v>HOT-03;HOT-13</x:v>
      </x:c>
      <x:c r="G168" s="32" t="str">
        <x:v>WOK-пост;GN, противни и горячий инвентарь</x:v>
      </x:c>
      <x:c r="H168" s="32" t="str">
        <x:v>CAPEX.HOT.003;CAPEX.HOT.014</x:v>
      </x:c>
      <x:c r="I168" s="32" t="str">
        <x:v>WOK_COOKING</x:v>
      </x:c>
      <x:c r="J168" s="32"/>
      <x:c r="K168" s="32"/>
      <x:c r="L168" s="32" t="str">
        <x:v>BLOCKED</x:v>
      </x:c>
      <x:c r="M168" s="32" t="str">
        <x:v>ESTIMATE</x:v>
      </x:c>
      <x:c r="N168" s="32" t="str">
        <x:v>GAP-007;GAP-017;GAP-018;GAP-019</x:v>
      </x:c>
    </x:row>
    <x:row r="169">
      <x:c r="A169" s="32" t="str">
        <x:v>EQM-0132</x:v>
      </x:c>
      <x:c r="B169" s="32" t="str">
        <x:v>VKM-025</x:v>
      </x:c>
      <x:c r="C169" s="32" t="str">
        <x:v>Горячие овощи</x:v>
      </x:c>
      <x:c r="D169" s="32" t="n">
        <x:v>3</x:v>
      </x:c>
      <x:c r="E169" s="32" t="str">
        <x:v>соединить</x:v>
      </x:c>
      <x:c r="F169" s="32" t="str">
        <x:v>HOT-12;HOT-13</x:v>
      </x:c>
      <x:c r="G169" s="32" t="str">
        <x:v>Столы и полки горячего участка;GN, противни и горячий инвентарь</x:v>
      </x:c>
      <x:c r="H169" s="32" t="str">
        <x:v>CAPEX.HOT.013;CAPEX.HOT.014</x:v>
      </x:c>
      <x:c r="I169" s="32" t="str">
        <x:v>HOT_PREP_PORTIONING</x:v>
      </x:c>
      <x:c r="J169" s="32"/>
      <x:c r="K169" s="32"/>
      <x:c r="L169" s="32" t="str">
        <x:v>BLOCKED</x:v>
      </x:c>
      <x:c r="M169" s="32" t="str">
        <x:v>ESTIMATE</x:v>
      </x:c>
      <x:c r="N169" s="32" t="str">
        <x:v>GAP-007;GAP-017;GAP-018;GAP-019</x:v>
      </x:c>
    </x:row>
    <x:row r="170">
      <x:c r="A170" s="32" t="str">
        <x:v>EQM-0133</x:v>
      </x:c>
      <x:c r="B170" s="32" t="str">
        <x:v>VKM-025</x:v>
      </x:c>
      <x:c r="C170" s="32" t="str">
        <x:v>Горячие овощи</x:v>
      </x:c>
      <x:c r="D170" s="32" t="n">
        <x:v>4</x:v>
      </x:c>
      <x:c r="E170" s="32" t="str">
        <x:v>приправить</x:v>
      </x:c>
      <x:c r="F170" s="32" t="str">
        <x:v>HOT-12;HOT-13</x:v>
      </x:c>
      <x:c r="G170" s="32" t="str">
        <x:v>Столы и полки горячего участка;GN, противни и горячий инвентарь</x:v>
      </x:c>
      <x:c r="H170" s="32" t="str">
        <x:v>CAPEX.HOT.013;CAPEX.HOT.014</x:v>
      </x:c>
      <x:c r="I170" s="32" t="str">
        <x:v>HOT_PREP_PORTIONING</x:v>
      </x:c>
      <x:c r="J170" s="32"/>
      <x:c r="K170" s="32"/>
      <x:c r="L170" s="32" t="str">
        <x:v>BLOCKED</x:v>
      </x:c>
      <x:c r="M170" s="32" t="str">
        <x:v>ESTIMATE</x:v>
      </x:c>
      <x:c r="N170" s="32" t="str">
        <x:v>GAP-007;GAP-017;GAP-018;GAP-019</x:v>
      </x:c>
    </x:row>
    <x:row r="171">
      <x:c r="A171" s="32" t="str">
        <x:v>EQM-0134</x:v>
      </x:c>
      <x:c r="B171" s="32" t="str">
        <x:v>VKM-025</x:v>
      </x:c>
      <x:c r="C171" s="32" t="str">
        <x:v>Горячие овощи</x:v>
      </x:c>
      <x:c r="D171" s="32" t="n">
        <x:v>5</x:v>
      </x:c>
      <x:c r="E171" s="32" t="str">
        <x:v>порционировать</x:v>
      </x:c>
      <x:c r="F171" s="32" t="str">
        <x:v>HOT-12;HOT-13</x:v>
      </x:c>
      <x:c r="G171" s="32" t="str">
        <x:v>Столы и полки горячего участка;GN, противни и горячий инвентарь</x:v>
      </x:c>
      <x:c r="H171" s="32" t="str">
        <x:v>CAPEX.HOT.013;CAPEX.HOT.014</x:v>
      </x:c>
      <x:c r="I171" s="32" t="str">
        <x:v>HOT_PREP_PORTIONING</x:v>
      </x:c>
      <x:c r="J171" s="32"/>
      <x:c r="K171" s="32"/>
      <x:c r="L171" s="32" t="str">
        <x:v>BLOCKED</x:v>
      </x:c>
      <x:c r="M171" s="32" t="str">
        <x:v>ESTIMATE</x:v>
      </x:c>
      <x:c r="N171" s="32" t="str">
        <x:v>GAP-007;GAP-017;GAP-018;GAP-019</x:v>
      </x:c>
    </x:row>
    <x:row r="172">
      <x:c r="A172" s="32" t="str">
        <x:v>EQM-0135</x:v>
      </x:c>
      <x:c r="B172" s="32" t="str">
        <x:v>VKM-029</x:v>
      </x:c>
      <x:c r="C172" s="32" t="str">
        <x:v>Черничный торт VARSHAVKA</x:v>
      </x:c>
      <x:c r="D172" s="32" t="n">
        <x:v>1</x:v>
      </x:c>
      <x:c r="E172" s="32" t="str">
        <x:v>Приготовить и выпечь бисквит</x:v>
      </x:c>
      <x:c r="F172" s="32" t="str">
        <x:v>BAK-04;BAK-02;BAK-07</x:v>
      </x:c>
      <x:c r="G172" s="32" t="str">
        <x:v>Планетарный миксер;Пекарская печь;Кондитерские формы и инвентарь</x:v>
      </x:c>
      <x:c r="H172" s="32" t="str">
        <x:v>CAPEX.BAK.004;CAPEX.BAK.002;CAPEX.BAK.007</x:v>
      </x:c>
      <x:c r="I172" s="32" t="str">
        <x:v>MIXING_FORMING_THERMAL_PROCESS</x:v>
      </x:c>
      <x:c r="J172" s="32"/>
      <x:c r="K172" s="32"/>
      <x:c r="L172" s="32" t="str">
        <x:v>BLOCKED</x:v>
      </x:c>
      <x:c r="M172" s="32" t="str">
        <x:v>ESTIMATE</x:v>
      </x:c>
      <x:c r="N172" s="32" t="str">
        <x:v>GAP-007;GAP-017;GAP-018;GAP-019</x:v>
      </x:c>
    </x:row>
    <x:row r="173">
      <x:c r="A173" s="32" t="str">
        <x:v>EQM-0136</x:v>
      </x:c>
      <x:c r="B173" s="32" t="str">
        <x:v>VKM-029</x:v>
      </x:c>
      <x:c r="C173" s="32" t="str">
        <x:v>Черничный торт VARSHAVKA</x:v>
      </x:c>
      <x:c r="D173" s="32" t="n">
        <x:v>2</x:v>
      </x:c>
      <x:c r="E173" s="32" t="str">
        <x:v>охладить</x:v>
      </x:c>
      <x:c r="F173" s="32" t="str">
        <x:v>BAK-06;STO-09</x:v>
      </x:c>
      <x:c r="G173" s="32" t="str">
        <x:v>Мобильный стеллаж охлаждения;Кондитерское хранение</x:v>
      </x:c>
      <x:c r="H173" s="32" t="str">
        <x:v>CAPEX.BAK.006;CAPEX.STO.009</x:v>
      </x:c>
      <x:c r="I173" s="32" t="str">
        <x:v>COOLING</x:v>
      </x:c>
      <x:c r="J173" s="32"/>
      <x:c r="K173" s="32"/>
      <x:c r="L173" s="32" t="str">
        <x:v>BLOCKED</x:v>
      </x:c>
      <x:c r="M173" s="32" t="str">
        <x:v>ESTIMATE</x:v>
      </x:c>
      <x:c r="N173" s="32" t="str">
        <x:v>GAP-007;GAP-017;GAP-018;GAP-019</x:v>
      </x:c>
    </x:row>
    <x:row r="174">
      <x:c r="A174" s="32" t="str">
        <x:v>EQM-0137</x:v>
      </x:c>
      <x:c r="B174" s="32" t="str">
        <x:v>VKM-029</x:v>
      </x:c>
      <x:c r="C174" s="32" t="str">
        <x:v>Черничный торт VARSHAVKA</x:v>
      </x:c>
      <x:c r="D174" s="32" t="n">
        <x:v>3</x:v>
      </x:c>
      <x:c r="E174" s="32" t="str">
        <x:v>приготовить крем, компоте и глазурь</x:v>
      </x:c>
      <x:c r="F174" s="32" t="str">
        <x:v>BAK-04;BAK-07;HOT-05B</x:v>
      </x:c>
      <x:c r="G174" s="32" t="str">
        <x:v>Планетарный миксер;Кондитерские формы и инвентарь;Индукционная плита 2 зоны</x:v>
      </x:c>
      <x:c r="H174" s="32" t="str">
        <x:v>CAPEX.BAK.004;CAPEX.BAK.007;CAPEX.HOT.006</x:v>
      </x:c>
      <x:c r="I174" s="32" t="str">
        <x:v>MIXING_AND_HEATED_COMPONENT_PREP</x:v>
      </x:c>
      <x:c r="J174" s="32"/>
      <x:c r="K174" s="32"/>
      <x:c r="L174" s="32" t="str">
        <x:v>BLOCKED</x:v>
      </x:c>
      <x:c r="M174" s="32" t="str">
        <x:v>ESTIMATE</x:v>
      </x:c>
      <x:c r="N174" s="32" t="str">
        <x:v>GAP-007;GAP-017;GAP-018;GAP-019</x:v>
      </x:c>
    </x:row>
    <x:row r="175">
      <x:c r="A175" s="32" t="str">
        <x:v>EQM-0138</x:v>
      </x:c>
      <x:c r="B175" s="32" t="str">
        <x:v>VKM-029</x:v>
      </x:c>
      <x:c r="C175" s="32" t="str">
        <x:v>Черничный торт VARSHAVKA</x:v>
      </x:c>
      <x:c r="D175" s="32" t="n">
        <x:v>4</x:v>
      </x:c>
      <x:c r="E175" s="32" t="str">
        <x:v>собрать слоями</x:v>
      </x:c>
      <x:c r="F175" s="32" t="str">
        <x:v>BAK-07</x:v>
      </x:c>
      <x:c r="G175" s="32" t="str">
        <x:v>Кондитерские формы и инвентарь</x:v>
      </x:c>
      <x:c r="H175" s="32" t="str">
        <x:v>CAPEX.BAK.007</x:v>
      </x:c>
      <x:c r="I175" s="32" t="str">
        <x:v>FORMING_DECORATING_PORTIONING</x:v>
      </x:c>
      <x:c r="J175" s="32"/>
      <x:c r="K175" s="32"/>
      <x:c r="L175" s="32" t="str">
        <x:v>BLOCKED</x:v>
      </x:c>
      <x:c r="M175" s="32" t="str">
        <x:v>ESTIMATE</x:v>
      </x:c>
      <x:c r="N175" s="32" t="str">
        <x:v>GAP-007;GAP-017;GAP-018;GAP-019</x:v>
      </x:c>
    </x:row>
    <x:row r="176">
      <x:c r="A176" s="32" t="str">
        <x:v>EQM-0139</x:v>
      </x:c>
      <x:c r="B176" s="32" t="str">
        <x:v>VKM-029</x:v>
      </x:c>
      <x:c r="C176" s="32" t="str">
        <x:v>Черничный торт VARSHAVKA</x:v>
      </x:c>
      <x:c r="D176" s="32" t="n">
        <x:v>5</x:v>
      </x:c>
      <x:c r="E176" s="32" t="str">
        <x:v>стабилизировать</x:v>
      </x:c>
      <x:c r="F176" s="32" t="str">
        <x:v>STO-09</x:v>
      </x:c>
      <x:c r="G176" s="32" t="str">
        <x:v>Кондитерское хранение</x:v>
      </x:c>
      <x:c r="H176" s="32" t="str">
        <x:v>CAPEX.STO.009</x:v>
      </x:c>
      <x:c r="I176" s="32" t="str">
        <x:v>CONTROLLED_HOLDING</x:v>
      </x:c>
      <x:c r="J176" s="32"/>
      <x:c r="K176" s="32"/>
      <x:c r="L176" s="32" t="str">
        <x:v>BLOCKED</x:v>
      </x:c>
      <x:c r="M176" s="32" t="str">
        <x:v>ESTIMATE</x:v>
      </x:c>
      <x:c r="N176" s="32" t="str">
        <x:v>GAP-007;GAP-017;GAP-018;GAP-019</x:v>
      </x:c>
    </x:row>
    <x:row r="177">
      <x:c r="A177" s="32" t="str">
        <x:v>EQM-0140</x:v>
      </x:c>
      <x:c r="B177" s="32" t="str">
        <x:v>VKM-029</x:v>
      </x:c>
      <x:c r="C177" s="32" t="str">
        <x:v>Черничный торт VARSHAVKA</x:v>
      </x:c>
      <x:c r="D177" s="32" t="n">
        <x:v>6</x:v>
      </x:c>
      <x:c r="E177" s="32" t="str">
        <x:v>покрыть и декорировать</x:v>
      </x:c>
      <x:c r="F177" s="32" t="str">
        <x:v>BAK-07</x:v>
      </x:c>
      <x:c r="G177" s="32" t="str">
        <x:v>Кондитерские формы и инвентарь</x:v>
      </x:c>
      <x:c r="H177" s="32" t="str">
        <x:v>CAPEX.BAK.007</x:v>
      </x:c>
      <x:c r="I177" s="32" t="str">
        <x:v>FORMING_DECORATING_PORTIONING</x:v>
      </x:c>
      <x:c r="J177" s="32"/>
      <x:c r="K177" s="32"/>
      <x:c r="L177" s="32" t="str">
        <x:v>BLOCKED</x:v>
      </x:c>
      <x:c r="M177" s="32" t="str">
        <x:v>ESTIMATE</x:v>
      </x:c>
      <x:c r="N177" s="32" t="str">
        <x:v>GAP-007;GAP-017;GAP-018;GAP-019</x:v>
      </x:c>
    </x:row>
    <x:row r="178">
      <x:c r="A178" s="32" t="str">
        <x:v>EQM-0141</x:v>
      </x:c>
      <x:c r="B178" s="32" t="str">
        <x:v>VKM-029</x:v>
      </x:c>
      <x:c r="C178" s="32" t="str">
        <x:v>Черничный торт VARSHAVKA</x:v>
      </x:c>
      <x:c r="D178" s="32" t="n">
        <x:v>7</x:v>
      </x:c>
      <x:c r="E178" s="32" t="str">
        <x:v>разделить на 12 порций</x:v>
      </x:c>
      <x:c r="F178" s="32" t="str">
        <x:v>BAK-07</x:v>
      </x:c>
      <x:c r="G178" s="32" t="str">
        <x:v>Кондитерские формы и инвентарь</x:v>
      </x:c>
      <x:c r="H178" s="32" t="str">
        <x:v>CAPEX.BAK.007</x:v>
      </x:c>
      <x:c r="I178" s="32" t="str">
        <x:v>FORMING_DECORATING_PORTIONING</x:v>
      </x:c>
      <x:c r="J178" s="32"/>
      <x:c r="K178" s="32"/>
      <x:c r="L178" s="32" t="str">
        <x:v>BLOCKED</x:v>
      </x:c>
      <x:c r="M178" s="32" t="str">
        <x:v>ESTIMATE</x:v>
      </x:c>
      <x:c r="N178" s="32" t="str">
        <x:v>GAP-007;GAP-017;GAP-018;GAP-019</x:v>
      </x:c>
    </x:row>
    <x:row r="179">
      <x:c r="A179" s="32" t="str">
        <x:v>EQM-0142</x:v>
      </x:c>
      <x:c r="B179" s="32" t="str">
        <x:v>VKM-030</x:v>
      </x:c>
      <x:c r="C179" s="32" t="str">
        <x:v>Кростата с солёной карамелью</x:v>
      </x:c>
      <x:c r="D179" s="32" t="n">
        <x:v>1</x:v>
      </x:c>
      <x:c r="E179" s="32" t="str">
        <x:v>Замесить песочное тесто</x:v>
      </x:c>
      <x:c r="F179" s="32" t="str">
        <x:v>BAK-04;BAK-07</x:v>
      </x:c>
      <x:c r="G179" s="32" t="str">
        <x:v>Планетарный миксер;Кондитерские формы и инвентарь</x:v>
      </x:c>
      <x:c r="H179" s="32" t="str">
        <x:v>CAPEX.BAK.004;CAPEX.BAK.007</x:v>
      </x:c>
      <x:c r="I179" s="32" t="str">
        <x:v>MIXING_COMPONENT_PREP</x:v>
      </x:c>
      <x:c r="J179" s="32"/>
      <x:c r="K179" s="32"/>
      <x:c r="L179" s="32" t="str">
        <x:v>BLOCKED</x:v>
      </x:c>
      <x:c r="M179" s="32" t="str">
        <x:v>ESTIMATE</x:v>
      </x:c>
      <x:c r="N179" s="32" t="str">
        <x:v>GAP-007;GAP-017;GAP-018;GAP-019</x:v>
      </x:c>
    </x:row>
    <x:row r="180">
      <x:c r="A180" s="32" t="str">
        <x:v>EQM-0143</x:v>
      </x:c>
      <x:c r="B180" s="32" t="str">
        <x:v>VKM-030</x:v>
      </x:c>
      <x:c r="C180" s="32" t="str">
        <x:v>Кростата с солёной карамелью</x:v>
      </x:c>
      <x:c r="D180" s="32" t="n">
        <x:v>2</x:v>
      </x:c>
      <x:c r="E180" s="32" t="str">
        <x:v>охладить</x:v>
      </x:c>
      <x:c r="F180" s="32" t="str">
        <x:v>BAK-06;STO-09</x:v>
      </x:c>
      <x:c r="G180" s="32" t="str">
        <x:v>Мобильный стеллаж охлаждения;Кондитерское хранение</x:v>
      </x:c>
      <x:c r="H180" s="32" t="str">
        <x:v>CAPEX.BAK.006;CAPEX.STO.009</x:v>
      </x:c>
      <x:c r="I180" s="32" t="str">
        <x:v>COOLING</x:v>
      </x:c>
      <x:c r="J180" s="32"/>
      <x:c r="K180" s="32"/>
      <x:c r="L180" s="32" t="str">
        <x:v>BLOCKED</x:v>
      </x:c>
      <x:c r="M180" s="32" t="str">
        <x:v>ESTIMATE</x:v>
      </x:c>
      <x:c r="N180" s="32" t="str">
        <x:v>GAP-007;GAP-017;GAP-018;GAP-019</x:v>
      </x:c>
    </x:row>
    <x:row r="181">
      <x:c r="A181" s="32" t="str">
        <x:v>EQM-0144</x:v>
      </x:c>
      <x:c r="B181" s="32" t="str">
        <x:v>VKM-030</x:v>
      </x:c>
      <x:c r="C181" s="32" t="str">
        <x:v>Кростата с солёной карамелью</x:v>
      </x:c>
      <x:c r="D181" s="32" t="n">
        <x:v>3</x:v>
      </x:c>
      <x:c r="E181" s="32" t="str">
        <x:v>сформовать и выпечь основу</x:v>
      </x:c>
      <x:c r="F181" s="32" t="str">
        <x:v>BAK-02;BAK-07</x:v>
      </x:c>
      <x:c r="G181" s="32" t="str">
        <x:v>Пекарская печь;Кондитерские формы и инвентарь</x:v>
      </x:c>
      <x:c r="H181" s="32" t="str">
        <x:v>CAPEX.BAK.002;CAPEX.BAK.007</x:v>
      </x:c>
      <x:c r="I181" s="32" t="str">
        <x:v>THERMAL_PROCESS</x:v>
      </x:c>
      <x:c r="J181" s="32"/>
      <x:c r="K181" s="32"/>
      <x:c r="L181" s="32" t="str">
        <x:v>BLOCKED</x:v>
      </x:c>
      <x:c r="M181" s="32" t="str">
        <x:v>ESTIMATE</x:v>
      </x:c>
      <x:c r="N181" s="32" t="str">
        <x:v>GAP-007;GAP-017;GAP-018;GAP-019</x:v>
      </x:c>
    </x:row>
    <x:row r="182">
      <x:c r="A182" s="32" t="str">
        <x:v>EQM-0145</x:v>
      </x:c>
      <x:c r="B182" s="32" t="str">
        <x:v>VKM-030</x:v>
      </x:c>
      <x:c r="C182" s="32" t="str">
        <x:v>Кростата с солёной карамелью</x:v>
      </x:c>
      <x:c r="D182" s="32" t="n">
        <x:v>4</x:v>
      </x:c>
      <x:c r="E182" s="32" t="str">
        <x:v>приготовить карамель и крем</x:v>
      </x:c>
      <x:c r="F182" s="32" t="str">
        <x:v>BAK-04;BAK-07;HOT-05B</x:v>
      </x:c>
      <x:c r="G182" s="32" t="str">
        <x:v>Планетарный миксер;Кондитерские формы и инвентарь;Индукционная плита 2 зоны</x:v>
      </x:c>
      <x:c r="H182" s="32" t="str">
        <x:v>CAPEX.BAK.004;CAPEX.BAK.007;CAPEX.HOT.006</x:v>
      </x:c>
      <x:c r="I182" s="32" t="str">
        <x:v>MIXING_AND_HEATED_COMPONENT_PREP</x:v>
      </x:c>
      <x:c r="J182" s="32"/>
      <x:c r="K182" s="32"/>
      <x:c r="L182" s="32" t="str">
        <x:v>BLOCKED</x:v>
      </x:c>
      <x:c r="M182" s="32" t="str">
        <x:v>ESTIMATE</x:v>
      </x:c>
      <x:c r="N182" s="32" t="str">
        <x:v>GAP-007;GAP-017;GAP-018;GAP-019</x:v>
      </x:c>
    </x:row>
    <x:row r="183">
      <x:c r="A183" s="32" t="str">
        <x:v>EQM-0146</x:v>
      </x:c>
      <x:c r="B183" s="32" t="str">
        <x:v>VKM-030</x:v>
      </x:c>
      <x:c r="C183" s="32" t="str">
        <x:v>Кростата с солёной карамелью</x:v>
      </x:c>
      <x:c r="D183" s="32" t="n">
        <x:v>5</x:v>
      </x:c>
      <x:c r="E183" s="32" t="str">
        <x:v>наполнить</x:v>
      </x:c>
      <x:c r="F183" s="32" t="str">
        <x:v>BAK-07</x:v>
      </x:c>
      <x:c r="G183" s="32" t="str">
        <x:v>Кондитерские формы и инвентарь</x:v>
      </x:c>
      <x:c r="H183" s="32" t="str">
        <x:v>CAPEX.BAK.007</x:v>
      </x:c>
      <x:c r="I183" s="32" t="str">
        <x:v>FORMING_DECORATING_PORTIONING</x:v>
      </x:c>
      <x:c r="J183" s="32"/>
      <x:c r="K183" s="32"/>
      <x:c r="L183" s="32" t="str">
        <x:v>BLOCKED</x:v>
      </x:c>
      <x:c r="M183" s="32" t="str">
        <x:v>ESTIMATE</x:v>
      </x:c>
      <x:c r="N183" s="32" t="str">
        <x:v>GAP-007;GAP-017;GAP-018;GAP-019</x:v>
      </x:c>
    </x:row>
    <x:row r="184">
      <x:c r="A184" s="32" t="str">
        <x:v>EQM-0147</x:v>
      </x:c>
      <x:c r="B184" s="32" t="str">
        <x:v>VKM-030</x:v>
      </x:c>
      <x:c r="C184" s="32" t="str">
        <x:v>Кростата с солёной карамелью</x:v>
      </x:c>
      <x:c r="D184" s="32" t="n">
        <x:v>6</x:v>
      </x:c>
      <x:c r="E184" s="32" t="str">
        <x:v>стабилизировать</x:v>
      </x:c>
      <x:c r="F184" s="32" t="str">
        <x:v>STO-09</x:v>
      </x:c>
      <x:c r="G184" s="32" t="str">
        <x:v>Кондитерское хранение</x:v>
      </x:c>
      <x:c r="H184" s="32" t="str">
        <x:v>CAPEX.STO.009</x:v>
      </x:c>
      <x:c r="I184" s="32" t="str">
        <x:v>CONTROLLED_HOLDING</x:v>
      </x:c>
      <x:c r="J184" s="32"/>
      <x:c r="K184" s="32"/>
      <x:c r="L184" s="32" t="str">
        <x:v>BLOCKED</x:v>
      </x:c>
      <x:c r="M184" s="32" t="str">
        <x:v>ESTIMATE</x:v>
      </x:c>
      <x:c r="N184" s="32" t="str">
        <x:v>GAP-007;GAP-017;GAP-018;GAP-019</x:v>
      </x:c>
    </x:row>
    <x:row r="185">
      <x:c r="A185" s="32" t="str">
        <x:v>EQM-0148</x:v>
      </x:c>
      <x:c r="B185" s="32" t="str">
        <x:v>VKM-030</x:v>
      </x:c>
      <x:c r="C185" s="32" t="str">
        <x:v>Кростата с солёной карамелью</x:v>
      </x:c>
      <x:c r="D185" s="32" t="n">
        <x:v>7</x:v>
      </x:c>
      <x:c r="E185" s="32" t="str">
        <x:v>декорировать</x:v>
      </x:c>
      <x:c r="F185" s="32" t="str">
        <x:v>BAK-07</x:v>
      </x:c>
      <x:c r="G185" s="32" t="str">
        <x:v>Кондитерские формы и инвентарь</x:v>
      </x:c>
      <x:c r="H185" s="32" t="str">
        <x:v>CAPEX.BAK.007</x:v>
      </x:c>
      <x:c r="I185" s="32" t="str">
        <x:v>FORMING_DECORATING_PORTIONING</x:v>
      </x:c>
      <x:c r="J185" s="32"/>
      <x:c r="K185" s="32"/>
      <x:c r="L185" s="32" t="str">
        <x:v>BLOCKED</x:v>
      </x:c>
      <x:c r="M185" s="32" t="str">
        <x:v>ESTIMATE</x:v>
      </x:c>
      <x:c r="N185" s="32" t="str">
        <x:v>GAP-007;GAP-017;GAP-018;GAP-019</x:v>
      </x:c>
    </x:row>
    <x:row r="186">
      <x:c r="A186" s="32" t="str">
        <x:v>EQM-0149</x:v>
      </x:c>
      <x:c r="B186" s="32" t="str">
        <x:v>VKM-030</x:v>
      </x:c>
      <x:c r="C186" s="32" t="str">
        <x:v>Кростата с солёной карамелью</x:v>
      </x:c>
      <x:c r="D186" s="32" t="n">
        <x:v>8</x:v>
      </x:c>
      <x:c r="E186" s="32" t="str">
        <x:v>разделить на 10 порций</x:v>
      </x:c>
      <x:c r="F186" s="32" t="str">
        <x:v>BAK-07</x:v>
      </x:c>
      <x:c r="G186" s="32" t="str">
        <x:v>Кондитерские формы и инвентарь</x:v>
      </x:c>
      <x:c r="H186" s="32" t="str">
        <x:v>CAPEX.BAK.007</x:v>
      </x:c>
      <x:c r="I186" s="32" t="str">
        <x:v>FORMING_DECORATING_PORTIONING</x:v>
      </x:c>
      <x:c r="J186" s="32"/>
      <x:c r="K186" s="32"/>
      <x:c r="L186" s="32" t="str">
        <x:v>BLOCKED</x:v>
      </x:c>
      <x:c r="M186" s="32" t="str">
        <x:v>ESTIMATE</x:v>
      </x:c>
      <x:c r="N186" s="32" t="str">
        <x:v>GAP-007;GAP-017;GAP-018;GAP-019</x:v>
      </x:c>
    </x:row>
    <x:row r="187">
      <x:c r="A187" s="32" t="str">
        <x:v>EQM-0150</x:v>
      </x:c>
      <x:c r="B187" s="32" t="str">
        <x:v>VKM-031</x:v>
      </x:c>
      <x:c r="C187" s="32" t="str">
        <x:v>Мадлен</x:v>
      </x:c>
      <x:c r="D187" s="32" t="n">
        <x:v>1</x:v>
      </x:c>
      <x:c r="E187" s="32" t="str">
        <x:v>Смешать тесто</x:v>
      </x:c>
      <x:c r="F187" s="32" t="str">
        <x:v>BAK-04;BAK-07</x:v>
      </x:c>
      <x:c r="G187" s="32" t="str">
        <x:v>Планетарный миксер;Кондитерские формы и инвентарь</x:v>
      </x:c>
      <x:c r="H187" s="32" t="str">
        <x:v>CAPEX.BAK.004;CAPEX.BAK.007</x:v>
      </x:c>
      <x:c r="I187" s="32" t="str">
        <x:v>MIXING_COMPONENT_PREP</x:v>
      </x:c>
      <x:c r="J187" s="32"/>
      <x:c r="K187" s="32"/>
      <x:c r="L187" s="32" t="str">
        <x:v>BLOCKED</x:v>
      </x:c>
      <x:c r="M187" s="32" t="str">
        <x:v>ESTIMATE</x:v>
      </x:c>
      <x:c r="N187" s="32" t="str">
        <x:v>GAP-007;GAP-017;GAP-018;GAP-019</x:v>
      </x:c>
    </x:row>
    <x:row r="188">
      <x:c r="A188" s="32" t="str">
        <x:v>EQM-0151</x:v>
      </x:c>
      <x:c r="B188" s="32" t="str">
        <x:v>VKM-031</x:v>
      </x:c>
      <x:c r="C188" s="32" t="str">
        <x:v>Мадлен</x:v>
      </x:c>
      <x:c r="D188" s="32" t="n">
        <x:v>2</x:v>
      </x:c>
      <x:c r="E188" s="32" t="str">
        <x:v>дать ему стабилизироваться</x:v>
      </x:c>
      <x:c r="F188" s="32" t="str">
        <x:v>STO-09</x:v>
      </x:c>
      <x:c r="G188" s="32" t="str">
        <x:v>Кондитерское хранение</x:v>
      </x:c>
      <x:c r="H188" s="32" t="str">
        <x:v>CAPEX.STO.009</x:v>
      </x:c>
      <x:c r="I188" s="32" t="str">
        <x:v>CONTROLLED_HOLDING</x:v>
      </x:c>
      <x:c r="J188" s="32"/>
      <x:c r="K188" s="32"/>
      <x:c r="L188" s="32" t="str">
        <x:v>BLOCKED</x:v>
      </x:c>
      <x:c r="M188" s="32" t="str">
        <x:v>ESTIMATE</x:v>
      </x:c>
      <x:c r="N188" s="32" t="str">
        <x:v>GAP-007;GAP-017;GAP-018;GAP-019</x:v>
      </x:c>
    </x:row>
    <x:row r="189">
      <x:c r="A189" s="32" t="str">
        <x:v>EQM-0152</x:v>
      </x:c>
      <x:c r="B189" s="32" t="str">
        <x:v>VKM-031</x:v>
      </x:c>
      <x:c r="C189" s="32" t="str">
        <x:v>Мадлен</x:v>
      </x:c>
      <x:c r="D189" s="32" t="n">
        <x:v>3</x:v>
      </x:c>
      <x:c r="E189" s="32" t="str">
        <x:v>дозировать в формы</x:v>
      </x:c>
      <x:c r="F189" s="32" t="str">
        <x:v>BAK-07</x:v>
      </x:c>
      <x:c r="G189" s="32" t="str">
        <x:v>Кондитерские формы и инвентарь</x:v>
      </x:c>
      <x:c r="H189" s="32" t="str">
        <x:v>CAPEX.BAK.007</x:v>
      </x:c>
      <x:c r="I189" s="32" t="str">
        <x:v>FORMING_DECORATING_PORTIONING</x:v>
      </x:c>
      <x:c r="J189" s="32"/>
      <x:c r="K189" s="32"/>
      <x:c r="L189" s="32" t="str">
        <x:v>BLOCKED</x:v>
      </x:c>
      <x:c r="M189" s="32" t="str">
        <x:v>ESTIMATE</x:v>
      </x:c>
      <x:c r="N189" s="32" t="str">
        <x:v>GAP-007;GAP-017;GAP-018;GAP-019</x:v>
      </x:c>
    </x:row>
    <x:row r="190">
      <x:c r="A190" s="32" t="str">
        <x:v>EQM-0153</x:v>
      </x:c>
      <x:c r="B190" s="32" t="str">
        <x:v>VKM-031</x:v>
      </x:c>
      <x:c r="C190" s="32" t="str">
        <x:v>Мадлен</x:v>
      </x:c>
      <x:c r="D190" s="32" t="n">
        <x:v>4</x:v>
      </x:c>
      <x:c r="E190" s="32" t="str">
        <x:v>выпечь</x:v>
      </x:c>
      <x:c r="F190" s="32" t="str">
        <x:v>BAK-02;BAK-07</x:v>
      </x:c>
      <x:c r="G190" s="32" t="str">
        <x:v>Пекарская печь;Кондитерские формы и инвентарь</x:v>
      </x:c>
      <x:c r="H190" s="32" t="str">
        <x:v>CAPEX.BAK.002;CAPEX.BAK.007</x:v>
      </x:c>
      <x:c r="I190" s="32" t="str">
        <x:v>THERMAL_PROCESS</x:v>
      </x:c>
      <x:c r="J190" s="32"/>
      <x:c r="K190" s="32"/>
      <x:c r="L190" s="32" t="str">
        <x:v>BLOCKED</x:v>
      </x:c>
      <x:c r="M190" s="32" t="str">
        <x:v>ESTIMATE</x:v>
      </x:c>
      <x:c r="N190" s="32" t="str">
        <x:v>GAP-007;GAP-017;GAP-018;GAP-019</x:v>
      </x:c>
    </x:row>
    <x:row r="191">
      <x:c r="A191" s="32" t="str">
        <x:v>EQM-0154</x:v>
      </x:c>
      <x:c r="B191" s="32" t="str">
        <x:v>VKM-031</x:v>
      </x:c>
      <x:c r="C191" s="32" t="str">
        <x:v>Мадлен</x:v>
      </x:c>
      <x:c r="D191" s="32" t="n">
        <x:v>5</x:v>
      </x:c>
      <x:c r="E191" s="32" t="str">
        <x:v>охладить</x:v>
      </x:c>
      <x:c r="F191" s="32" t="str">
        <x:v>BAK-06;STO-09</x:v>
      </x:c>
      <x:c r="G191" s="32" t="str">
        <x:v>Мобильный стеллаж охлаждения;Кондитерское хранение</x:v>
      </x:c>
      <x:c r="H191" s="32" t="str">
        <x:v>CAPEX.BAK.006;CAPEX.STO.009</x:v>
      </x:c>
      <x:c r="I191" s="32" t="str">
        <x:v>COOLING</x:v>
      </x:c>
      <x:c r="J191" s="32"/>
      <x:c r="K191" s="32"/>
      <x:c r="L191" s="32" t="str">
        <x:v>BLOCKED</x:v>
      </x:c>
      <x:c r="M191" s="32" t="str">
        <x:v>ESTIMATE</x:v>
      </x:c>
      <x:c r="N191" s="32" t="str">
        <x:v>GAP-007;GAP-017;GAP-018;GAP-019</x:v>
      </x:c>
    </x:row>
    <x:row r="192">
      <x:c r="A192" s="32" t="str">
        <x:v>EQM-0155</x:v>
      </x:c>
      <x:c r="B192" s="32" t="str">
        <x:v>VKM-031</x:v>
      </x:c>
      <x:c r="C192" s="32" t="str">
        <x:v>Мадлен</x:v>
      </x:c>
      <x:c r="D192" s="32" t="n">
        <x:v>6</x:v>
      </x:c>
      <x:c r="E192" s="32" t="str">
        <x:v>сформировать 20 одинаковых изделий</x:v>
      </x:c>
      <x:c r="F192" s="32" t="str">
        <x:v>BAK-07</x:v>
      </x:c>
      <x:c r="G192" s="32" t="str">
        <x:v>Кондитерские формы и инвентарь</x:v>
      </x:c>
      <x:c r="H192" s="32" t="str">
        <x:v>CAPEX.BAK.007</x:v>
      </x:c>
      <x:c r="I192" s="32" t="str">
        <x:v>FORMING_DECORATING_PORTIONING</x:v>
      </x:c>
      <x:c r="J192" s="32"/>
      <x:c r="K192" s="32"/>
      <x:c r="L192" s="32" t="str">
        <x:v>BLOCKED</x:v>
      </x:c>
      <x:c r="M192" s="32" t="str">
        <x:v>ESTIMATE</x:v>
      </x:c>
      <x:c r="N192" s="32" t="str">
        <x:v>GAP-007;GAP-017;GAP-018;GAP-019</x:v>
      </x:c>
    </x:row>
  </x:sheetData>
  <x:mergeCells>
    <x:mergeCell ref="A1:N1"/>
    <x:mergeCell ref="A2:N2"/>
    <x:mergeCell ref="A36:N36"/>
  </x:mergeCells>
  <x:conditionalFormatting sqref="K6:M33">
    <x:cfRule type="containsText" dxfId="14" priority="1" operator="containsText" text="BLOCK"/>
    <x:cfRule type="containsText" dxfId="15" priority="2" operator="containsText" text="PASS"/>
  </x:conditionalFormatting>
  <x:pageMargins left="0.7" right="0.7" top="0.75" bottom="0.75" header="0.3" footer="0.3"/>
  <x:tableParts count="2">
    <x:tablePart xmlns:r="http://schemas.openxmlformats.org/officeDocument/2006/relationships" r:id="R2ac5d831ddbb43d2"/>
    <x:tablePart xmlns:r="http://schemas.openxmlformats.org/officeDocument/2006/relationships" r:id="R4f2788c03c934f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14" hidden="0" customWidth="1"/>
    <x:col min="4" max="4" width="50" hidden="0" customWidth="1"/>
    <x:col min="5" max="5" width="22" hidden="0" customWidth="1"/>
    <x:col min="6" max="6" width="13" hidden="0" customWidth="1"/>
    <x:col min="7" max="7" width="15" hidden="0" customWidth="1"/>
    <x:col min="8" max="8" width="15" hidden="0" customWidth="1"/>
    <x:col min="9" max="9" width="22" hidden="0" customWidth="1"/>
    <x:col min="10" max="10" width="24" hidden="0" customWidth="1"/>
    <x:col min="11" max="11" width="15" hidden="0" customWidth="1"/>
    <x:col min="12" max="12" width="55" hidden="0" customWidth="1"/>
    <x:col min="13" max="13" width="20" hidden="0" customWidth="1"/>
    <x:col min="14" max="14" width="14" hidden="0" customWidth="1"/>
    <x:col min="15" max="15" width="12" hidden="0" customWidth="1"/>
    <x:col min="16" max="16" width="15" hidden="0" customWidth="1"/>
  </x:cols>
  <x:sheetData>
    <x:row r="1" ht="30" customHeight="1">
      <x:c r="A1" s="26" t="str">
        <x:v>09 — Инвентарь и посуда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</x:row>
    <x:row r="2" ht="27" customHeight="1">
      <x:c r="A2" s="28" t="str">
        <x:v>Candidate sets only; quantities, turnover, stock and packaging SKU remain blank/blocked.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 ht="34" customHeight="1">
      <x:c r="A5" s="31" t="str">
        <x:v>Dish ID</x:v>
      </x:c>
      <x:c r="B5" s="31" t="str">
        <x:v>Блюдо</x:v>
      </x:c>
      <x:c r="C5" s="31" t="str">
        <x:v>Inventory set</x:v>
      </x:c>
      <x:c r="D5" s="31" t="str">
        <x:v>Инвентарь</x:v>
      </x:c>
      <x:c r="E5" s="31" t="str">
        <x:v>Functions</x:v>
      </x:c>
      <x:c r="F5" s="31" t="str">
        <x:v>Required qty</x:v>
      </x:c>
      <x:c r="G5" s="31" t="str">
        <x:v>Qty status</x:v>
      </x:c>
      <x:c r="H5" s="31" t="str">
        <x:v>Inv status</x:v>
      </x:c>
      <x:c r="I5" s="31" t="str">
        <x:v>Evidence</x:v>
      </x:c>
      <x:c r="J5" s="31" t="str">
        <x:v>Inv blockers</x:v>
      </x:c>
      <x:c r="K5" s="31" t="str">
        <x:v>Tableware set</x:v>
      </x:c>
      <x:c r="L5" s="31" t="str">
        <x:v>Посуда / упаковка</x:v>
      </x:c>
      <x:c r="M5" s="31" t="str">
        <x:v>Historical SKU</x:v>
      </x:c>
      <x:c r="N5" s="31" t="str">
        <x:v>Pieces/service</x:v>
      </x:c>
      <x:c r="O5" s="31" t="str">
        <x:v>Start qty</x:v>
      </x:c>
      <x:c r="P5" s="31" t="str">
        <x:v>TW status</x:v>
      </x:c>
    </x:row>
    <x:row r="6">
      <x:c r="A6" s="32" t="str">
        <x:v>VKM-001</x:v>
      </x:c>
      <x:c r="B6" s="32" t="str">
        <x:v>Маргарита</x:v>
      </x:c>
      <x:c r="C6" s="32" t="str">
        <x:v>INVSET-001</x:v>
      </x:c>
      <x:c r="D6" s="32" t="str">
        <x:v>Весы; контейнеры теста; скребок; лопатка/лопата для пиццы; резак; ёмкости для топпингов</x:v>
      </x:c>
      <x:c r="E6" s="32" t="str">
        <x:v>BAK-12;CLD-07;WSH-07;WSH-08</x:v>
      </x:c>
      <x:c r="F6" s="38"/>
      <x:c r="G6" s="32" t="str">
        <x:v>BLOCKED</x:v>
      </x:c>
      <x:c r="H6" s="32" t="str">
        <x:v>ESTIMATE</x:v>
      </x:c>
      <x:c r="I6" s="32" t="str">
        <x:v>EVD-0025;EVD-FS-003;EVD-FS-004</x:v>
      </x:c>
      <x:c r="J6" s="32" t="str">
        <x:v>GAP-009;GAP-021</x:v>
      </x:c>
      <x:c r="K6" s="32" t="str">
        <x:v>TWS-001</x:v>
      </x:c>
      <x:c r="L6" s="32" t="str">
        <x:v>Тарелка мелкая D=260 мм; вилка; нож; коробка/подложка для доставки при применимом канале</x:v>
      </x:c>
      <x:c r="M6" s="32" t="str">
        <x:v>03011857;03112213;03114123</x:v>
      </x:c>
      <x:c r="N6" s="38"/>
      <x:c r="O6" s="38"/>
      <x:c r="P6" s="32" t="str">
        <x:v>BLOCKED</x:v>
      </x:c>
    </x:row>
    <x:row r="7">
      <x:c r="A7" s="32" t="str">
        <x:v>VKM-002</x:v>
      </x:c>
      <x:c r="B7" s="32" t="str">
        <x:v>Четыре сыра</x:v>
      </x:c>
      <x:c r="C7" s="32" t="str">
        <x:v>INVSET-002</x:v>
      </x:c>
      <x:c r="D7" s="32" t="str">
        <x:v>Весы; контейнеры теста; скребок; лопатка/лопата для пиццы; резак; ёмкости для топпингов</x:v>
      </x:c>
      <x:c r="E7" s="32" t="str">
        <x:v>BAK-12;CLD-07;WSH-07;WSH-08</x:v>
      </x:c>
      <x:c r="F7" s="38"/>
      <x:c r="G7" s="32" t="str">
        <x:v>BLOCKED</x:v>
      </x:c>
      <x:c r="H7" s="32" t="str">
        <x:v>ESTIMATE</x:v>
      </x:c>
      <x:c r="I7" s="32" t="str">
        <x:v>EVD-0025;EVD-FS-003;EVD-FS-004</x:v>
      </x:c>
      <x:c r="J7" s="32" t="str">
        <x:v>GAP-009;GAP-021</x:v>
      </x:c>
      <x:c r="K7" s="32" t="str">
        <x:v>TWS-002</x:v>
      </x:c>
      <x:c r="L7" s="32" t="str">
        <x:v>Тарелка мелкая D=260 мм; вилка; нож; коробка/подложка для доставки при применимом канале</x:v>
      </x:c>
      <x:c r="M7" s="32" t="str">
        <x:v>03011857;03112213;03114123</x:v>
      </x:c>
      <x:c r="N7" s="38"/>
      <x:c r="O7" s="38"/>
      <x:c r="P7" s="32" t="str">
        <x:v>BLOCKED</x:v>
      </x:c>
    </x:row>
    <x:row r="8">
      <x:c r="A8" s="32" t="str">
        <x:v>VKM-003</x:v>
      </x:c>
      <x:c r="B8" s="32" t="str">
        <x:v>Грибная с ветчиной</x:v>
      </x:c>
      <x:c r="C8" s="32" t="str">
        <x:v>INVSET-003</x:v>
      </x:c>
      <x:c r="D8" s="32" t="str">
        <x:v>Весы; контейнеры теста; скребок; лопатка/лопата для пиццы; резак; ёмкости для топпингов</x:v>
      </x:c>
      <x:c r="E8" s="32" t="str">
        <x:v>BAK-12;CLD-07;WSH-07;WSH-08</x:v>
      </x:c>
      <x:c r="F8" s="38"/>
      <x:c r="G8" s="32" t="str">
        <x:v>BLOCKED</x:v>
      </x:c>
      <x:c r="H8" s="32" t="str">
        <x:v>ESTIMATE</x:v>
      </x:c>
      <x:c r="I8" s="32" t="str">
        <x:v>EVD-0025;EVD-FS-003;EVD-FS-004</x:v>
      </x:c>
      <x:c r="J8" s="32" t="str">
        <x:v>GAP-009;GAP-021</x:v>
      </x:c>
      <x:c r="K8" s="32" t="str">
        <x:v>TWS-003</x:v>
      </x:c>
      <x:c r="L8" s="32" t="str">
        <x:v>Тарелка мелкая D=260 мм; вилка; нож; коробка/подложка для доставки при применимом канале</x:v>
      </x:c>
      <x:c r="M8" s="32" t="str">
        <x:v>03011857;03112213;03114123</x:v>
      </x:c>
      <x:c r="N8" s="38"/>
      <x:c r="O8" s="38"/>
      <x:c r="P8" s="32" t="str">
        <x:v>BLOCKED</x:v>
      </x:c>
    </x:row>
    <x:row r="9">
      <x:c r="A9" s="32" t="str">
        <x:v>VKM-004</x:v>
      </x:c>
      <x:c r="B9" s="32" t="str">
        <x:v>Пепперони</x:v>
      </x:c>
      <x:c r="C9" s="32" t="str">
        <x:v>INVSET-004</x:v>
      </x:c>
      <x:c r="D9" s="32" t="str">
        <x:v>Весы; контейнеры теста; скребок; лопатка/лопата для пиццы; резак; ёмкости для топпингов</x:v>
      </x:c>
      <x:c r="E9" s="32" t="str">
        <x:v>BAK-12;CLD-07;WSH-07;WSH-08</x:v>
      </x:c>
      <x:c r="F9" s="38"/>
      <x:c r="G9" s="32" t="str">
        <x:v>BLOCKED</x:v>
      </x:c>
      <x:c r="H9" s="32" t="str">
        <x:v>ESTIMATE</x:v>
      </x:c>
      <x:c r="I9" s="32" t="str">
        <x:v>EVD-0025;EVD-FS-003;EVD-FS-004</x:v>
      </x:c>
      <x:c r="J9" s="32" t="str">
        <x:v>GAP-009;GAP-021</x:v>
      </x:c>
      <x:c r="K9" s="32" t="str">
        <x:v>TWS-004</x:v>
      </x:c>
      <x:c r="L9" s="32" t="str">
        <x:v>Тарелка мелкая D=260 мм; вилка; нож; коробка/подложка для доставки при применимом канале</x:v>
      </x:c>
      <x:c r="M9" s="32" t="str">
        <x:v>03011857;03112213;03114123</x:v>
      </x:c>
      <x:c r="N9" s="38"/>
      <x:c r="O9" s="38"/>
      <x:c r="P9" s="32" t="str">
        <x:v>BLOCKED</x:v>
      </x:c>
    </x:row>
    <x:row r="10">
      <x:c r="A10" s="32" t="str">
        <x:v>VKM-005</x:v>
      </x:c>
      <x:c r="B10" s="32" t="str">
        <x:v>Белая чиабатта</x:v>
      </x:c>
      <x:c r="C10" s="32" t="str">
        <x:v>INVSET-005</x:v>
      </x:c>
      <x:c r="D10" s="32" t="str">
        <x:v>Весы; дежа; скребок; формы/противни; решётка охлаждения; термощуп после утверждения ППК</x:v>
      </x:c>
      <x:c r="E10" s="32" t="str">
        <x:v>BAK-03;BAK-05;BAK-06;HOT-13;WSH-07;WSH-08</x:v>
      </x:c>
      <x:c r="F10" s="38"/>
      <x:c r="G10" s="32" t="str">
        <x:v>BLOCKED</x:v>
      </x:c>
      <x:c r="H10" s="32" t="str">
        <x:v>ESTIMATE</x:v>
      </x:c>
      <x:c r="I10" s="32" t="str">
        <x:v>EVD-0025;EVD-FS-003;EVD-FS-004</x:v>
      </x:c>
      <x:c r="J10" s="32" t="str">
        <x:v>GAP-009;GAP-021</x:v>
      </x:c>
      <x:c r="K10" s="32" t="str">
        <x:v>TWS-005</x:v>
      </x:c>
      <x:c r="L10" s="32" t="str">
        <x:v>Тарелка D=175 мм либо хлебная корзина/доска; прибор по сервисному стандарту</x:v>
      </x:c>
      <x:c r="M10" s="32" t="str">
        <x:v>03010413</x:v>
      </x:c>
      <x:c r="N10" s="38"/>
      <x:c r="O10" s="38"/>
      <x:c r="P10" s="32" t="str">
        <x:v>BLOCKED</x:v>
      </x:c>
    </x:row>
    <x:row r="11">
      <x:c r="A11" s="32" t="str">
        <x:v>VKM-006</x:v>
      </x:c>
      <x:c r="B11" s="32" t="str">
        <x:v>Томатная чиабатта</x:v>
      </x:c>
      <x:c r="C11" s="32" t="str">
        <x:v>INVSET-006</x:v>
      </x:c>
      <x:c r="D11" s="32" t="str">
        <x:v>Весы; дежа; скребок; формы/противни; решётка охлаждения; термощуп после утверждения ППК</x:v>
      </x:c>
      <x:c r="E11" s="32" t="str">
        <x:v>BAK-03;BAK-05;BAK-06;HOT-13;WSH-07;WSH-08</x:v>
      </x:c>
      <x:c r="F11" s="38"/>
      <x:c r="G11" s="32" t="str">
        <x:v>BLOCKED</x:v>
      </x:c>
      <x:c r="H11" s="32" t="str">
        <x:v>ESTIMATE</x:v>
      </x:c>
      <x:c r="I11" s="32" t="str">
        <x:v>EVD-0025;EVD-FS-003;EVD-FS-004</x:v>
      </x:c>
      <x:c r="J11" s="32" t="str">
        <x:v>GAP-009;GAP-021</x:v>
      </x:c>
      <x:c r="K11" s="32" t="str">
        <x:v>TWS-006</x:v>
      </x:c>
      <x:c r="L11" s="32" t="str">
        <x:v>Тарелка D=175 мм либо хлебная корзина/доска; прибор по сервисному стандарту</x:v>
      </x:c>
      <x:c r="M11" s="32" t="str">
        <x:v>03010413</x:v>
      </x:c>
      <x:c r="N11" s="38"/>
      <x:c r="O11" s="38"/>
      <x:c r="P11" s="32" t="str">
        <x:v>BLOCKED</x:v>
      </x:c>
    </x:row>
    <x:row r="12">
      <x:c r="A12" s="32" t="str">
        <x:v>VKM-007</x:v>
      </x:c>
      <x:c r="B12" s="32" t="str">
        <x:v>Бородинский хлеб</x:v>
      </x:c>
      <x:c r="C12" s="32" t="str">
        <x:v>INVSET-007</x:v>
      </x:c>
      <x:c r="D12" s="32" t="str">
        <x:v>Весы; дежа; скребок; формы/противни; решётка охлаждения; термощуп после утверждения ППК</x:v>
      </x:c>
      <x:c r="E12" s="32" t="str">
        <x:v>BAK-03;BAK-05;BAK-06;HOT-13;WSH-07;WSH-08</x:v>
      </x:c>
      <x:c r="F12" s="38"/>
      <x:c r="G12" s="32" t="str">
        <x:v>BLOCKED</x:v>
      </x:c>
      <x:c r="H12" s="32" t="str">
        <x:v>ESTIMATE</x:v>
      </x:c>
      <x:c r="I12" s="32" t="str">
        <x:v>EVD-0025;EVD-FS-003;EVD-FS-004</x:v>
      </x:c>
      <x:c r="J12" s="32" t="str">
        <x:v>GAP-009;GAP-021</x:v>
      </x:c>
      <x:c r="K12" s="32" t="str">
        <x:v>TWS-007</x:v>
      </x:c>
      <x:c r="L12" s="32" t="str">
        <x:v>Тарелка D=175 мм либо хлебная корзина/доска; прибор по сервисному стандарту</x:v>
      </x:c>
      <x:c r="M12" s="32" t="str">
        <x:v>03010413</x:v>
      </x:c>
      <x:c r="N12" s="38"/>
      <x:c r="O12" s="38"/>
      <x:c r="P12" s="32" t="str">
        <x:v>BLOCKED</x:v>
      </x:c>
    </x:row>
    <x:row r="13">
      <x:c r="A13" s="32" t="str">
        <x:v>VKM-008</x:v>
      </x:c>
      <x:c r="B13" s="32" t="str">
        <x:v>Бриошь</x:v>
      </x:c>
      <x:c r="C13" s="32" t="str">
        <x:v>INVSET-008</x:v>
      </x:c>
      <x:c r="D13" s="32" t="str">
        <x:v>Весы; дежа; скребок; формы/противни; решётка охлаждения; термощуп после утверждения ППК</x:v>
      </x:c>
      <x:c r="E13" s="32" t="str">
        <x:v>BAK-03;BAK-05;BAK-06;HOT-13;WSH-07;WSH-08</x:v>
      </x:c>
      <x:c r="F13" s="38"/>
      <x:c r="G13" s="32" t="str">
        <x:v>BLOCKED</x:v>
      </x:c>
      <x:c r="H13" s="32" t="str">
        <x:v>ESTIMATE</x:v>
      </x:c>
      <x:c r="I13" s="32" t="str">
        <x:v>EVD-0025;EVD-FS-003;EVD-FS-004</x:v>
      </x:c>
      <x:c r="J13" s="32" t="str">
        <x:v>GAP-009;GAP-021</x:v>
      </x:c>
      <x:c r="K13" s="32" t="str">
        <x:v>TWS-008</x:v>
      </x:c>
      <x:c r="L13" s="32" t="str">
        <x:v>Тарелка D=175 мм либо хлебная корзина/доска; прибор по сервисному стандарту</x:v>
      </x:c>
      <x:c r="M13" s="32" t="str">
        <x:v>03010413</x:v>
      </x:c>
      <x:c r="N13" s="38"/>
      <x:c r="O13" s="38"/>
      <x:c r="P13" s="32" t="str">
        <x:v>BLOCKED</x:v>
      </x:c>
    </x:row>
    <x:row r="14">
      <x:c r="A14" s="32" t="str">
        <x:v>VKM-009</x:v>
      </x:c>
      <x:c r="B14" s="32" t="str">
        <x:v>Буррата с томатами</x:v>
      </x:c>
      <x:c r="C14" s="32" t="str">
        <x:v>INVSET-009</x:v>
      </x:c>
      <x:c r="D14" s="32" t="str">
        <x:v>Весы; маркированные ножи и доски; GN с крышками; миски; щипцы/ложки; гастроёмкости</x:v>
      </x:c>
      <x:c r="E14" s="32" t="str">
        <x:v>CLD-06;CLD-07;WSH-07;WSH-08</x:v>
      </x:c>
      <x:c r="F14" s="38"/>
      <x:c r="G14" s="32" t="str">
        <x:v>BLOCKED</x:v>
      </x:c>
      <x:c r="H14" s="32" t="str">
        <x:v>ESTIMATE</x:v>
      </x:c>
      <x:c r="I14" s="32" t="str">
        <x:v>EVD-0025;EVD-FS-003;EVD-FS-004</x:v>
      </x:c>
      <x:c r="J14" s="32" t="str">
        <x:v>GAP-009;GAP-021</x:v>
      </x:c>
      <x:c r="K14" s="32" t="str">
        <x:v>TWS-009</x:v>
      </x:c>
      <x:c r="L14" s="32" t="str">
        <x:v>Тарелка D=230 мм или D=260 мм; вилка; нож при необходимости</x:v>
      </x:c>
      <x:c r="M14" s="32" t="str">
        <x:v>03011456;03011857;03112213;03114123</x:v>
      </x:c>
      <x:c r="N14" s="38"/>
      <x:c r="O14" s="38"/>
      <x:c r="P14" s="32" t="str">
        <x:v>BLOCKED</x:v>
      </x:c>
    </x:row>
    <x:row r="15">
      <x:c r="A15" s="32" t="str">
        <x:v>VKM-010</x:v>
      </x:c>
      <x:c r="B15" s="32" t="str">
        <x:v>Микс-салат с креветками и яблоком</x:v>
      </x:c>
      <x:c r="C15" s="32" t="str">
        <x:v>INVSET-010</x:v>
      </x:c>
      <x:c r="D15" s="32" t="str">
        <x:v>Весы; маркированные ножи и доски; GN с крышками; миски; щипцы/ложки; гастроёмкости</x:v>
      </x:c>
      <x:c r="E15" s="32" t="str">
        <x:v>CLD-06;CLD-07;WSH-07;WSH-08</x:v>
      </x:c>
      <x:c r="F15" s="38"/>
      <x:c r="G15" s="32" t="str">
        <x:v>BLOCKED</x:v>
      </x:c>
      <x:c r="H15" s="32" t="str">
        <x:v>ESTIMATE</x:v>
      </x:c>
      <x:c r="I15" s="32" t="str">
        <x:v>EVD-0025;EVD-FS-003;EVD-FS-004</x:v>
      </x:c>
      <x:c r="J15" s="32" t="str">
        <x:v>GAP-009;GAP-021</x:v>
      </x:c>
      <x:c r="K15" s="32" t="str">
        <x:v>TWS-010</x:v>
      </x:c>
      <x:c r="L15" s="32" t="str">
        <x:v>Тарелка D=230 мм или D=260 мм; вилка; нож при необходимости</x:v>
      </x:c>
      <x:c r="M15" s="32" t="str">
        <x:v>03011456;03011857;03112213;03114123</x:v>
      </x:c>
      <x:c r="N15" s="38"/>
      <x:c r="O15" s="38"/>
      <x:c r="P15" s="32" t="str">
        <x:v>BLOCKED</x:v>
      </x:c>
    </x:row>
    <x:row r="16">
      <x:c r="A16" s="32" t="str">
        <x:v>VKM-011</x:v>
      </x:c>
      <x:c r="B16" s="32" t="str">
        <x:v>Греческий</x:v>
      </x:c>
      <x:c r="C16" s="32" t="str">
        <x:v>INVSET-011</x:v>
      </x:c>
      <x:c r="D16" s="32" t="str">
        <x:v>Весы; маркированные ножи и доски; GN с крышками; миски; щипцы/ложки; гастроёмкости</x:v>
      </x:c>
      <x:c r="E16" s="32" t="str">
        <x:v>CLD-06;CLD-07;WSH-07;WSH-08</x:v>
      </x:c>
      <x:c r="F16" s="38"/>
      <x:c r="G16" s="32" t="str">
        <x:v>BLOCKED</x:v>
      </x:c>
      <x:c r="H16" s="32" t="str">
        <x:v>ESTIMATE</x:v>
      </x:c>
      <x:c r="I16" s="32" t="str">
        <x:v>EVD-0025;EVD-FS-003;EVD-FS-004</x:v>
      </x:c>
      <x:c r="J16" s="32" t="str">
        <x:v>GAP-009;GAP-021</x:v>
      </x:c>
      <x:c r="K16" s="32" t="str">
        <x:v>TWS-011</x:v>
      </x:c>
      <x:c r="L16" s="32" t="str">
        <x:v>Тарелка D=230 мм или D=260 мм; вилка; нож при необходимости</x:v>
      </x:c>
      <x:c r="M16" s="32" t="str">
        <x:v>03011456;03011857;03112213;03114123</x:v>
      </x:c>
      <x:c r="N16" s="38"/>
      <x:c r="O16" s="38"/>
      <x:c r="P16" s="32" t="str">
        <x:v>BLOCKED</x:v>
      </x:c>
    </x:row>
    <x:row r="17">
      <x:c r="A17" s="32" t="str">
        <x:v>VKM-012</x:v>
      </x:c>
      <x:c r="B17" s="32" t="str">
        <x:v>Винегрет</x:v>
      </x:c>
      <x:c r="C17" s="32" t="str">
        <x:v>INVSET-012</x:v>
      </x:c>
      <x:c r="D17" s="32" t="str">
        <x:v>Весы; маркированные ножи и доски; GN с крышками; миски; щипцы/ложки; гастроёмкости</x:v>
      </x:c>
      <x:c r="E17" s="32" t="str">
        <x:v>CLD-06;CLD-07;WSH-07;WSH-08</x:v>
      </x:c>
      <x:c r="F17" s="38"/>
      <x:c r="G17" s="32" t="str">
        <x:v>BLOCKED</x:v>
      </x:c>
      <x:c r="H17" s="32" t="str">
        <x:v>ESTIMATE</x:v>
      </x:c>
      <x:c r="I17" s="32" t="str">
        <x:v>EVD-0025;EVD-FS-003;EVD-FS-004</x:v>
      </x:c>
      <x:c r="J17" s="32" t="str">
        <x:v>GAP-009;GAP-021</x:v>
      </x:c>
      <x:c r="K17" s="32" t="str">
        <x:v>TWS-012</x:v>
      </x:c>
      <x:c r="L17" s="32" t="str">
        <x:v>Тарелка D=230 мм или D=260 мм; вилка; нож при необходимости</x:v>
      </x:c>
      <x:c r="M17" s="32" t="str">
        <x:v>03011456;03011857;03112213;03114123</x:v>
      </x:c>
      <x:c r="N17" s="38"/>
      <x:c r="O17" s="38"/>
      <x:c r="P17" s="32" t="str">
        <x:v>BLOCKED</x:v>
      </x:c>
    </x:row>
    <x:row r="18">
      <x:c r="A18" s="32" t="str">
        <x:v>VKM-013</x:v>
      </x:c>
      <x:c r="B18" s="32" t="str">
        <x:v>Слабосолёный лосось</x:v>
      </x:c>
      <x:c r="C18" s="32" t="str">
        <x:v>INVSET-013</x:v>
      </x:c>
      <x:c r="D18" s="32" t="str">
        <x:v>Весы; маркированные ножи и доски; GN с крышками; миски; щипцы/ложки; гастроёмкости</x:v>
      </x:c>
      <x:c r="E18" s="32" t="str">
        <x:v>CLD-06;CLD-07;WSH-07;WSH-08</x:v>
      </x:c>
      <x:c r="F18" s="38"/>
      <x:c r="G18" s="32" t="str">
        <x:v>BLOCKED</x:v>
      </x:c>
      <x:c r="H18" s="32" t="str">
        <x:v>ESTIMATE</x:v>
      </x:c>
      <x:c r="I18" s="32" t="str">
        <x:v>EVD-0025;EVD-FS-003;EVD-FS-004</x:v>
      </x:c>
      <x:c r="J18" s="32" t="str">
        <x:v>GAP-009;GAP-021</x:v>
      </x:c>
      <x:c r="K18" s="32" t="str">
        <x:v>TWS-013</x:v>
      </x:c>
      <x:c r="L18" s="32" t="str">
        <x:v>Тарелка D=230 мм или D=260 мм; вилка; нож при необходимости</x:v>
      </x:c>
      <x:c r="M18" s="32" t="str">
        <x:v>03011456;03011857;03112213;03114123</x:v>
      </x:c>
      <x:c r="N18" s="38"/>
      <x:c r="O18" s="38"/>
      <x:c r="P18" s="32" t="str">
        <x:v>BLOCKED</x:v>
      </x:c>
    </x:row>
    <x:row r="19">
      <x:c r="A19" s="32" t="str">
        <x:v>VKM-014</x:v>
      </x:c>
      <x:c r="B19" s="32" t="str">
        <x:v>Сельдь с запечённым картофелем</x:v>
      </x:c>
      <x:c r="C19" s="32" t="str">
        <x:v>INVSET-014</x:v>
      </x:c>
      <x:c r="D19" s="32" t="str">
        <x:v>Весы; маркированные ножи и доски; GN с крышками; миски; щипцы/ложки; гастроёмкости</x:v>
      </x:c>
      <x:c r="E19" s="32" t="str">
        <x:v>CLD-06;CLD-07;WSH-07;WSH-08</x:v>
      </x:c>
      <x:c r="F19" s="38"/>
      <x:c r="G19" s="32" t="str">
        <x:v>BLOCKED</x:v>
      </x:c>
      <x:c r="H19" s="32" t="str">
        <x:v>ESTIMATE</x:v>
      </x:c>
      <x:c r="I19" s="32" t="str">
        <x:v>EVD-0025;EVD-FS-003;EVD-FS-004</x:v>
      </x:c>
      <x:c r="J19" s="32" t="str">
        <x:v>GAP-009;GAP-021</x:v>
      </x:c>
      <x:c r="K19" s="32" t="str">
        <x:v>TWS-014</x:v>
      </x:c>
      <x:c r="L19" s="32" t="str">
        <x:v>Тарелка D=230 мм или D=260 мм; вилка; нож при необходимости</x:v>
      </x:c>
      <x:c r="M19" s="32" t="str">
        <x:v>03011456;03011857;03112213;03114123</x:v>
      </x:c>
      <x:c r="N19" s="38"/>
      <x:c r="O19" s="38"/>
      <x:c r="P19" s="32" t="str">
        <x:v>BLOCKED</x:v>
      </x:c>
    </x:row>
    <x:row r="20">
      <x:c r="A20" s="32" t="str">
        <x:v>VKM-015</x:v>
      </x:c>
      <x:c r="B20" s="32" t="str">
        <x:v>Оливки и маслины</x:v>
      </x:c>
      <x:c r="C20" s="32" t="str">
        <x:v>INVSET-015</x:v>
      </x:c>
      <x:c r="D20" s="32" t="str">
        <x:v>Весы; маркированные ножи и доски; GN с крышками; миски; щипцы/ложки; гастроёмкости</x:v>
      </x:c>
      <x:c r="E20" s="32" t="str">
        <x:v>CLD-06;CLD-07;WSH-07;WSH-08</x:v>
      </x:c>
      <x:c r="F20" s="38"/>
      <x:c r="G20" s="32" t="str">
        <x:v>BLOCKED</x:v>
      </x:c>
      <x:c r="H20" s="32" t="str">
        <x:v>ESTIMATE</x:v>
      </x:c>
      <x:c r="I20" s="32" t="str">
        <x:v>EVD-0025;EVD-FS-003;EVD-FS-004</x:v>
      </x:c>
      <x:c r="J20" s="32" t="str">
        <x:v>GAP-009;GAP-021</x:v>
      </x:c>
      <x:c r="K20" s="32" t="str">
        <x:v>TWS-015</x:v>
      </x:c>
      <x:c r="L20" s="32" t="str">
        <x:v>Тарелка D=230 мм или D=260 мм; вилка; нож при необходимости</x:v>
      </x:c>
      <x:c r="M20" s="32" t="str">
        <x:v>03011456;03011857;03112213;03114123</x:v>
      </x:c>
      <x:c r="N20" s="38"/>
      <x:c r="O20" s="38"/>
      <x:c r="P20" s="32" t="str">
        <x:v>BLOCKED</x:v>
      </x:c>
    </x:row>
    <x:row r="21">
      <x:c r="A21" s="32" t="str">
        <x:v>VKM-016</x:v>
      </x:c>
      <x:c r="B21" s="32" t="str">
        <x:v>Ассорти фирменных солений</x:v>
      </x:c>
      <x:c r="C21" s="32" t="str">
        <x:v>INVSET-016</x:v>
      </x:c>
      <x:c r="D21" s="32" t="str">
        <x:v>Весы; маркированные ножи и доски; GN с крышками; миски; щипцы/ложки; гастроёмкости</x:v>
      </x:c>
      <x:c r="E21" s="32" t="str">
        <x:v>CLD-06;CLD-07;WSH-07;WSH-08</x:v>
      </x:c>
      <x:c r="F21" s="38"/>
      <x:c r="G21" s="32" t="str">
        <x:v>BLOCKED</x:v>
      </x:c>
      <x:c r="H21" s="32" t="str">
        <x:v>ESTIMATE</x:v>
      </x:c>
      <x:c r="I21" s="32" t="str">
        <x:v>EVD-0025;EVD-FS-003;EVD-FS-004</x:v>
      </x:c>
      <x:c r="J21" s="32" t="str">
        <x:v>GAP-009;GAP-021</x:v>
      </x:c>
      <x:c r="K21" s="32" t="str">
        <x:v>TWS-016</x:v>
      </x:c>
      <x:c r="L21" s="32" t="str">
        <x:v>Тарелка D=230 мм или D=260 мм; вилка; нож при необходимости</x:v>
      </x:c>
      <x:c r="M21" s="32" t="str">
        <x:v>03011456;03011857;03112213;03114123</x:v>
      </x:c>
      <x:c r="N21" s="38"/>
      <x:c r="O21" s="38"/>
      <x:c r="P21" s="32" t="str">
        <x:v>BLOCKED</x:v>
      </x:c>
    </x:row>
    <x:row r="22">
      <x:c r="A22" s="32" t="str">
        <x:v>VKM-017</x:v>
      </x:c>
      <x:c r="B22" s="32" t="str">
        <x:v>Ростбиф с луком и гренкой</x:v>
      </x:c>
      <x:c r="C22" s="32" t="str">
        <x:v>INVSET-017</x:v>
      </x:c>
      <x:c r="D22" s="32" t="str">
        <x:v>Весы; маркированные ножи и доски; GN с крышками; миски; щипцы/ложки; гастроёмкости</x:v>
      </x:c>
      <x:c r="E22" s="32" t="str">
        <x:v>CLD-06;CLD-07;WSH-07;WSH-08</x:v>
      </x:c>
      <x:c r="F22" s="38"/>
      <x:c r="G22" s="32" t="str">
        <x:v>BLOCKED</x:v>
      </x:c>
      <x:c r="H22" s="32" t="str">
        <x:v>ESTIMATE</x:v>
      </x:c>
      <x:c r="I22" s="32" t="str">
        <x:v>EVD-0025;EVD-FS-003;EVD-FS-004</x:v>
      </x:c>
      <x:c r="J22" s="32" t="str">
        <x:v>GAP-009;GAP-021</x:v>
      </x:c>
      <x:c r="K22" s="32" t="str">
        <x:v>TWS-017</x:v>
      </x:c>
      <x:c r="L22" s="32" t="str">
        <x:v>Тарелка D=230 мм или D=260 мм; вилка; нож при необходимости</x:v>
      </x:c>
      <x:c r="M22" s="32" t="str">
        <x:v>03011456;03011857;03112213;03114123</x:v>
      </x:c>
      <x:c r="N22" s="38"/>
      <x:c r="O22" s="38"/>
      <x:c r="P22" s="32" t="str">
        <x:v>BLOCKED</x:v>
      </x:c>
    </x:row>
    <x:row r="23">
      <x:c r="A23" s="32" t="str">
        <x:v>VKM-018</x:v>
      </x:c>
      <x:c r="B23" s="32" t="str">
        <x:v>Традиционный красный борщ</x:v>
      </x:c>
      <x:c r="C23" s="32" t="str">
        <x:v>INVSET-018</x:v>
      </x:c>
      <x:c r="D23" s="32" t="str">
        <x:v>Весы; маркированные ножи и доски; кастрюли; сотейник; половник; GN; термощуп после утверждения ППК</x:v>
      </x:c>
      <x:c r="E23" s="32" t="str">
        <x:v>HOT-13;CLD-07;WSH-07;WSH-08</x:v>
      </x:c>
      <x:c r="F23" s="38"/>
      <x:c r="G23" s="32" t="str">
        <x:v>BLOCKED</x:v>
      </x:c>
      <x:c r="H23" s="32" t="str">
        <x:v>ESTIMATE</x:v>
      </x:c>
      <x:c r="I23" s="32" t="str">
        <x:v>EVD-0025;EVD-FS-003;EVD-FS-004</x:v>
      </x:c>
      <x:c r="J23" s="32" t="str">
        <x:v>GAP-009;GAP-021</x:v>
      </x:c>
      <x:c r="K23" s="32" t="str">
        <x:v>TWS-018</x:v>
      </x:c>
      <x:c r="L23" s="32" t="str">
        <x:v>Тарелка глубокая 400 мл; ложка столовая; подстановочная тарелка по решению сервиса</x:v>
      </x:c>
      <x:c r="M23" s="32" t="str">
        <x:v>03010981;03110167</x:v>
      </x:c>
      <x:c r="N23" s="38"/>
      <x:c r="O23" s="38"/>
      <x:c r="P23" s="32" t="str">
        <x:v>BLOCKED</x:v>
      </x:c>
    </x:row>
    <x:row r="24">
      <x:c r="A24" s="32" t="str">
        <x:v>VKM-019</x:v>
      </x:c>
      <x:c r="B24" s="32" t="str">
        <x:v>Мурманская треска со сливочно-горчичным соусом</x:v>
      </x:c>
      <x:c r="C24" s="32" t="str">
        <x:v>INVSET-019</x:v>
      </x:c>
      <x:c r="D24" s="32" t="str">
        <x:v>Весы; маркированные ножи и доски; щипцы; сковороды/ёмкости GN; сотейник; лопатка; термощуп после утверждения ППК</x:v>
      </x:c>
      <x:c r="E24" s="32" t="str">
        <x:v>HOT-13;CLD-07;WSH-07;WSH-08</x:v>
      </x:c>
      <x:c r="F24" s="38"/>
      <x:c r="G24" s="32" t="str">
        <x:v>BLOCKED</x:v>
      </x:c>
      <x:c r="H24" s="32" t="str">
        <x:v>ESTIMATE</x:v>
      </x:c>
      <x:c r="I24" s="32" t="str">
        <x:v>EVD-0025;EVD-FS-003;EVD-FS-004</x:v>
      </x:c>
      <x:c r="J24" s="32" t="str">
        <x:v>GAP-009;GAP-021</x:v>
      </x:c>
      <x:c r="K24" s="32" t="str">
        <x:v>TWS-019</x:v>
      </x:c>
      <x:c r="L24" s="32" t="str">
        <x:v>Тарелка D=260 мм; вилка; нож или ложка по характеру блюда</x:v>
      </x:c>
      <x:c r="M24" s="32" t="str">
        <x:v>03011857;03112213;03114123;03110167</x:v>
      </x:c>
      <x:c r="N24" s="38"/>
      <x:c r="O24" s="38"/>
      <x:c r="P24" s="32" t="str">
        <x:v>BLOCKED</x:v>
      </x:c>
    </x:row>
    <x:row r="25">
      <x:c r="A25" s="32" t="str">
        <x:v>VKM-020</x:v>
      </x:c>
      <x:c r="B25" s="32" t="str">
        <x:v>Креветки по-тайски</x:v>
      </x:c>
      <x:c r="C25" s="32" t="str">
        <x:v>INVSET-020</x:v>
      </x:c>
      <x:c r="D25" s="32" t="str">
        <x:v>Весы; маркированные ножи и доски; щипцы; сковороды/ёмкости GN; сотейник; лопатка; термощуп после утверждения ППК</x:v>
      </x:c>
      <x:c r="E25" s="32" t="str">
        <x:v>HOT-13;CLD-07;WSH-07;WSH-08</x:v>
      </x:c>
      <x:c r="F25" s="38"/>
      <x:c r="G25" s="32" t="str">
        <x:v>BLOCKED</x:v>
      </x:c>
      <x:c r="H25" s="32" t="str">
        <x:v>ESTIMATE</x:v>
      </x:c>
      <x:c r="I25" s="32" t="str">
        <x:v>EVD-0025;EVD-FS-003;EVD-FS-004</x:v>
      </x:c>
      <x:c r="J25" s="32" t="str">
        <x:v>GAP-009;GAP-021</x:v>
      </x:c>
      <x:c r="K25" s="32" t="str">
        <x:v>TWS-020</x:v>
      </x:c>
      <x:c r="L25" s="32" t="str">
        <x:v>Тарелка D=260 мм; вилка; нож или ложка по характеру блюда</x:v>
      </x:c>
      <x:c r="M25" s="32" t="str">
        <x:v>03011857;03112213;03114123;03110167</x:v>
      </x:c>
      <x:c r="N25" s="38"/>
      <x:c r="O25" s="38"/>
      <x:c r="P25" s="32" t="str">
        <x:v>BLOCKED</x:v>
      </x:c>
    </x:row>
    <x:row r="26">
      <x:c r="A26" s="32" t="str">
        <x:v>VKM-021</x:v>
      </x:c>
      <x:c r="B26" s="32" t="str">
        <x:v>Бургер VARSHAVKA</x:v>
      </x:c>
      <x:c r="C26" s="32" t="str">
        <x:v>INVSET-021</x:v>
      </x:c>
      <x:c r="D26" s="32" t="str">
        <x:v>Весы; маркированные ножи и доски; щипцы; сковороды/ёмкости GN; сотейник; лопатка; термощуп после утверждения ППК</x:v>
      </x:c>
      <x:c r="E26" s="32" t="str">
        <x:v>HOT-13;CLD-07;WSH-07;WSH-08</x:v>
      </x:c>
      <x:c r="F26" s="38"/>
      <x:c r="G26" s="32" t="str">
        <x:v>BLOCKED</x:v>
      </x:c>
      <x:c r="H26" s="32" t="str">
        <x:v>ESTIMATE</x:v>
      </x:c>
      <x:c r="I26" s="32" t="str">
        <x:v>EVD-0025;EVD-FS-003;EVD-FS-004</x:v>
      </x:c>
      <x:c r="J26" s="32" t="str">
        <x:v>GAP-009;GAP-021</x:v>
      </x:c>
      <x:c r="K26" s="32" t="str">
        <x:v>TWS-021</x:v>
      </x:c>
      <x:c r="L26" s="32" t="str">
        <x:v>Тарелка D=260 мм; вилка; нож или ложка по характеру блюда</x:v>
      </x:c>
      <x:c r="M26" s="32" t="str">
        <x:v>03011857;03112213;03114123;03110167</x:v>
      </x:c>
      <x:c r="N26" s="38"/>
      <x:c r="O26" s="38"/>
      <x:c r="P26" s="32" t="str">
        <x:v>BLOCKED</x:v>
      </x:c>
    </x:row>
    <x:row r="27">
      <x:c r="A27" s="32" t="str">
        <x:v>VKM-022</x:v>
      </x:c>
      <x:c r="B27" s="32" t="str">
        <x:v>Миньоны из говяжьей вырезки</x:v>
      </x:c>
      <x:c r="C27" s="32" t="str">
        <x:v>INVSET-022</x:v>
      </x:c>
      <x:c r="D27" s="32" t="str">
        <x:v>Весы; маркированные ножи и доски; щипцы; сковороды/ёмкости GN; сотейник; лопатка; термощуп после утверждения ППК</x:v>
      </x:c>
      <x:c r="E27" s="32" t="str">
        <x:v>HOT-13;CLD-07;WSH-07;WSH-08</x:v>
      </x:c>
      <x:c r="F27" s="38"/>
      <x:c r="G27" s="32" t="str">
        <x:v>BLOCKED</x:v>
      </x:c>
      <x:c r="H27" s="32" t="str">
        <x:v>ESTIMATE</x:v>
      </x:c>
      <x:c r="I27" s="32" t="str">
        <x:v>EVD-0025;EVD-FS-003;EVD-FS-004</x:v>
      </x:c>
      <x:c r="J27" s="32" t="str">
        <x:v>GAP-009;GAP-021</x:v>
      </x:c>
      <x:c r="K27" s="32" t="str">
        <x:v>TWS-022</x:v>
      </x:c>
      <x:c r="L27" s="32" t="str">
        <x:v>Тарелка D=260 мм; вилка; нож или ложка по характеру блюда</x:v>
      </x:c>
      <x:c r="M27" s="32" t="str">
        <x:v>03011857;03112213;03114123;03110167</x:v>
      </x:c>
      <x:c r="N27" s="38"/>
      <x:c r="O27" s="38"/>
      <x:c r="P27" s="32" t="str">
        <x:v>BLOCKED</x:v>
      </x:c>
    </x:row>
    <x:row r="28">
      <x:c r="A28" s="32" t="str">
        <x:v>VKM-023</x:v>
      </x:c>
      <x:c r="B28" s="32" t="str">
        <x:v>Запечённый картофель</x:v>
      </x:c>
      <x:c r="C28" s="32" t="str">
        <x:v>INVSET-023</x:v>
      </x:c>
      <x:c r="D28" s="32" t="str">
        <x:v>Весы; ножи и доски; GN/противни; кастрюля/чаша; лопатка/ложка; порционный инвентарь</x:v>
      </x:c>
      <x:c r="E28" s="32" t="str">
        <x:v>HOT-13;CLD-07;WSH-07;WSH-08</x:v>
      </x:c>
      <x:c r="F28" s="38"/>
      <x:c r="G28" s="32" t="str">
        <x:v>BLOCKED</x:v>
      </x:c>
      <x:c r="H28" s="32" t="str">
        <x:v>ESTIMATE</x:v>
      </x:c>
      <x:c r="I28" s="32" t="str">
        <x:v>EVD-0025;EVD-FS-003;EVD-FS-004</x:v>
      </x:c>
      <x:c r="J28" s="32" t="str">
        <x:v>GAP-009;GAP-021</x:v>
      </x:c>
      <x:c r="K28" s="32" t="str">
        <x:v>TWS-023</x:v>
      </x:c>
      <x:c r="L28" s="32" t="str">
        <x:v>Тарелка D=260 мм; вилка; нож или ложка по характеру блюда</x:v>
      </x:c>
      <x:c r="M28" s="32" t="str">
        <x:v>03011857;03112213;03114123;03110167</x:v>
      </x:c>
      <x:c r="N28" s="38"/>
      <x:c r="O28" s="38"/>
      <x:c r="P28" s="32" t="str">
        <x:v>BLOCKED</x:v>
      </x:c>
    </x:row>
    <x:row r="29">
      <x:c r="A29" s="32" t="str">
        <x:v>VKM-024</x:v>
      </x:c>
      <x:c r="B29" s="32" t="str">
        <x:v>Рис жасмин</x:v>
      </x:c>
      <x:c r="C29" s="32" t="str">
        <x:v>INVSET-024</x:v>
      </x:c>
      <x:c r="D29" s="32" t="str">
        <x:v>Весы; ножи и доски; GN/противни; кастрюля/чаша; лопатка/ложка; порционный инвентарь</x:v>
      </x:c>
      <x:c r="E29" s="32" t="str">
        <x:v>HOT-13;CLD-07;WSH-07;WSH-08</x:v>
      </x:c>
      <x:c r="F29" s="38"/>
      <x:c r="G29" s="32" t="str">
        <x:v>BLOCKED</x:v>
      </x:c>
      <x:c r="H29" s="32" t="str">
        <x:v>ESTIMATE</x:v>
      </x:c>
      <x:c r="I29" s="32" t="str">
        <x:v>EVD-0025;EVD-FS-003;EVD-FS-004</x:v>
      </x:c>
      <x:c r="J29" s="32" t="str">
        <x:v>GAP-009;GAP-021</x:v>
      </x:c>
      <x:c r="K29" s="32" t="str">
        <x:v>TWS-024</x:v>
      </x:c>
      <x:c r="L29" s="32" t="str">
        <x:v>Тарелка D=260 мм; вилка; нож или ложка по характеру блюда</x:v>
      </x:c>
      <x:c r="M29" s="32" t="str">
        <x:v>03011857;03112213;03114123;03110167</x:v>
      </x:c>
      <x:c r="N29" s="38"/>
      <x:c r="O29" s="38"/>
      <x:c r="P29" s="32" t="str">
        <x:v>BLOCKED</x:v>
      </x:c>
    </x:row>
    <x:row r="30">
      <x:c r="A30" s="32" t="str">
        <x:v>VKM-025</x:v>
      </x:c>
      <x:c r="B30" s="32" t="str">
        <x:v>Горячие овощи</x:v>
      </x:c>
      <x:c r="C30" s="32" t="str">
        <x:v>INVSET-025</x:v>
      </x:c>
      <x:c r="D30" s="32" t="str">
        <x:v>Весы; ножи и доски; GN/противни; кастрюля/чаша; лопатка/ложка; порционный инвентарь</x:v>
      </x:c>
      <x:c r="E30" s="32" t="str">
        <x:v>HOT-13;CLD-07;WSH-07;WSH-08</x:v>
      </x:c>
      <x:c r="F30" s="38"/>
      <x:c r="G30" s="32" t="str">
        <x:v>BLOCKED</x:v>
      </x:c>
      <x:c r="H30" s="32" t="str">
        <x:v>ESTIMATE</x:v>
      </x:c>
      <x:c r="I30" s="32" t="str">
        <x:v>EVD-0025;EVD-FS-003;EVD-FS-004</x:v>
      </x:c>
      <x:c r="J30" s="32" t="str">
        <x:v>GAP-009;GAP-021</x:v>
      </x:c>
      <x:c r="K30" s="32" t="str">
        <x:v>TWS-025</x:v>
      </x:c>
      <x:c r="L30" s="32" t="str">
        <x:v>Тарелка D=260 мм; вилка; нож или ложка по характеру блюда</x:v>
      </x:c>
      <x:c r="M30" s="32" t="str">
        <x:v>03011857;03112213;03114123;03110167</x:v>
      </x:c>
      <x:c r="N30" s="38"/>
      <x:c r="O30" s="38"/>
      <x:c r="P30" s="32" t="str">
        <x:v>BLOCKED</x:v>
      </x:c>
    </x:row>
    <x:row r="31">
      <x:c r="A31" s="32" t="str">
        <x:v>VKM-029</x:v>
      </x:c>
      <x:c r="B31" s="32" t="str">
        <x:v>Черничный торт VARSHAVKA</x:v>
      </x:c>
      <x:c r="C31" s="32" t="str">
        <x:v>INVSET-026</x:v>
      </x:c>
      <x:c r="D31" s="32" t="str">
        <x:v>Весы; дежа; венчик/лопатка; формы; противни; решётки; шпатели; нож порционный</x:v>
      </x:c>
      <x:c r="E31" s="32" t="str">
        <x:v>BAK-04;BAK-06;BAK-07;WSH-07;WSH-08</x:v>
      </x:c>
      <x:c r="F31" s="38"/>
      <x:c r="G31" s="32" t="str">
        <x:v>BLOCKED</x:v>
      </x:c>
      <x:c r="H31" s="32" t="str">
        <x:v>ESTIMATE</x:v>
      </x:c>
      <x:c r="I31" s="32" t="str">
        <x:v>EVD-0025;EVD-FS-003;EVD-FS-004</x:v>
      </x:c>
      <x:c r="J31" s="32" t="str">
        <x:v>GAP-009;GAP-021</x:v>
      </x:c>
      <x:c r="K31" s="32" t="str">
        <x:v>TWS-026</x:v>
      </x:c>
      <x:c r="L31" s="32" t="str">
        <x:v>Тарелка D=175 мм или D=230 мм; десертная вилка/ложка — отдельный SKU не подтверждён</x:v>
      </x:c>
      <x:c r="M31" s="32" t="str">
        <x:v>03010413;03011456</x:v>
      </x:c>
      <x:c r="N31" s="38"/>
      <x:c r="O31" s="38"/>
      <x:c r="P31" s="32" t="str">
        <x:v>BLOCKED</x:v>
      </x:c>
    </x:row>
    <x:row r="32">
      <x:c r="A32" s="32" t="str">
        <x:v>VKM-030</x:v>
      </x:c>
      <x:c r="B32" s="32" t="str">
        <x:v>Кростата с солёной карамелью</x:v>
      </x:c>
      <x:c r="C32" s="32" t="str">
        <x:v>INVSET-027</x:v>
      </x:c>
      <x:c r="D32" s="32" t="str">
        <x:v>Весы; дежа; венчик/лопатка; формы; противни; решётки; шпатели; нож порционный</x:v>
      </x:c>
      <x:c r="E32" s="32" t="str">
        <x:v>BAK-04;BAK-06;BAK-07;WSH-07;WSH-08</x:v>
      </x:c>
      <x:c r="F32" s="38"/>
      <x:c r="G32" s="32" t="str">
        <x:v>BLOCKED</x:v>
      </x:c>
      <x:c r="H32" s="32" t="str">
        <x:v>ESTIMATE</x:v>
      </x:c>
      <x:c r="I32" s="32" t="str">
        <x:v>EVD-0025;EVD-FS-003;EVD-FS-004</x:v>
      </x:c>
      <x:c r="J32" s="32" t="str">
        <x:v>GAP-009;GAP-021</x:v>
      </x:c>
      <x:c r="K32" s="32" t="str">
        <x:v>TWS-027</x:v>
      </x:c>
      <x:c r="L32" s="32" t="str">
        <x:v>Тарелка D=175 мм или D=230 мм; десертная вилка/ложка — отдельный SKU не подтверждён</x:v>
      </x:c>
      <x:c r="M32" s="32" t="str">
        <x:v>03010413;03011456</x:v>
      </x:c>
      <x:c r="N32" s="38"/>
      <x:c r="O32" s="38"/>
      <x:c r="P32" s="32" t="str">
        <x:v>BLOCKED</x:v>
      </x:c>
    </x:row>
    <x:row r="33">
      <x:c r="A33" s="32" t="str">
        <x:v>VKM-031</x:v>
      </x:c>
      <x:c r="B33" s="32" t="str">
        <x:v>Мадлен</x:v>
      </x:c>
      <x:c r="C33" s="32" t="str">
        <x:v>INVSET-028</x:v>
      </x:c>
      <x:c r="D33" s="32" t="str">
        <x:v>Весы; дежа; венчик/лопатка; формы; противни; решётки; шпатели; нож порционный</x:v>
      </x:c>
      <x:c r="E33" s="32" t="str">
        <x:v>BAK-04;BAK-06;BAK-07;WSH-07;WSH-08</x:v>
      </x:c>
      <x:c r="F33" s="38"/>
      <x:c r="G33" s="32" t="str">
        <x:v>BLOCKED</x:v>
      </x:c>
      <x:c r="H33" s="32" t="str">
        <x:v>ESTIMATE</x:v>
      </x:c>
      <x:c r="I33" s="32" t="str">
        <x:v>EVD-0025;EVD-FS-003;EVD-FS-004</x:v>
      </x:c>
      <x:c r="J33" s="32" t="str">
        <x:v>GAP-009;GAP-021</x:v>
      </x:c>
      <x:c r="K33" s="32" t="str">
        <x:v>TWS-028</x:v>
      </x:c>
      <x:c r="L33" s="32" t="str">
        <x:v>Тарелка D=175 мм или D=230 мм; десертная вилка/ложка — отдельный SKU не подтверждён</x:v>
      </x:c>
      <x:c r="M33" s="32" t="str">
        <x:v>03010413;03011456</x:v>
      </x:c>
      <x:c r="N33" s="38"/>
      <x:c r="O33" s="38"/>
      <x:c r="P33" s="32" t="str">
        <x:v>BLOCKED</x:v>
      </x:c>
    </x:row>
  </x:sheetData>
  <x:mergeCells>
    <x:mergeCell ref="A1:P1"/>
    <x:mergeCell ref="A2:P2"/>
  </x:mergeCells>
  <x:conditionalFormatting sqref="G6:H33">
    <x:cfRule type="containsText" dxfId="16" priority="1" operator="containsText" text="BLOCK"/>
    <x:cfRule type="containsText" dxfId="17" priority="2" operator="containsText" text="PASS"/>
  </x:conditionalFormatting>
  <x:conditionalFormatting sqref="P6:P33">
    <x:cfRule type="containsText" dxfId="18" priority="3" operator="containsText" text="BLOCK"/>
    <x:cfRule type="containsText" dxfId="19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4c321da9783745a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7" hidden="0" customWidth="1"/>
    <x:col min="4" max="4" width="20" hidden="0" customWidth="1"/>
    <x:col min="5" max="5" width="13" hidden="0" customWidth="1"/>
    <x:col min="6" max="6" width="14" hidden="0" customWidth="1"/>
    <x:col min="7" max="7" width="13" hidden="0" customWidth="1"/>
    <x:col min="8" max="8" width="16" hidden="0" customWidth="1"/>
    <x:col min="9" max="9" width="24" hidden="0" customWidth="1"/>
    <x:col min="10" max="10" width="11" hidden="0" customWidth="1"/>
    <x:col min="11" max="11" width="38" hidden="0" customWidth="1"/>
    <x:col min="12" max="12" width="32" hidden="0" customWidth="1"/>
    <x:col min="13" max="13" width="30" hidden="0" customWidth="1"/>
    <x:col min="14" max="14" width="55" hidden="0" customWidth="1"/>
    <x:col min="15" max="15" width="52" hidden="0" customWidth="1"/>
  </x:cols>
  <x:sheetData>
    <x:row r="1" ht="30" customHeight="1">
      <x:c r="A1" s="26" t="str">
        <x:v>10 — Аллергены и безопасность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</x:row>
    <x:row r="2" ht="27" customHeight="1">
      <x:c r="A2" s="28" t="str">
        <x:v>Safety veto = BLOCK for all 28. Null means unknown; UNKNOWN_RECIPE_SKU is not allergen absence.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 ht="34" customHeight="1">
      <x:c r="A5" s="31" t="str">
        <x:v>Safety card</x:v>
      </x:c>
      <x:c r="B5" s="31" t="str">
        <x:v>Dish ID</x:v>
      </x:c>
      <x:c r="C5" s="31" t="str">
        <x:v>Блюдо</x:v>
      </x:c>
      <x:c r="D5" s="31" t="str">
        <x:v>Source recipe version</x:v>
      </x:c>
      <x:c r="E5" s="31" t="str">
        <x:v>Temp limit</x:v>
      </x:c>
      <x:c r="F5" s="31" t="str">
        <x:v>Cooling limit</x:v>
      </x:c>
      <x:c r="G5" s="31" t="str">
        <x:v>Reheat limit</x:v>
      </x:c>
      <x:c r="H5" s="31" t="str">
        <x:v>Shelf life</x:v>
      </x:c>
      <x:c r="I5" s="31" t="str">
        <x:v>Status</x:v>
      </x:c>
      <x:c r="J5" s="31" t="str">
        <x:v>Veto</x:v>
      </x:c>
      <x:c r="K5" s="31" t="str">
        <x:v>Allergens draft</x:v>
      </x:c>
      <x:c r="L5" s="31" t="str">
        <x:v>Cross contact</x:v>
      </x:c>
      <x:c r="M5" s="31" t="str">
        <x:v>Evidence</x:v>
      </x:c>
      <x:c r="N5" s="31" t="str">
        <x:v>Veto reason</x:v>
      </x:c>
      <x:c r="O5" s="31" t="str">
        <x:v>Next action</x:v>
      </x:c>
    </x:row>
    <x:row r="6">
      <x:c r="A6" s="32" t="str">
        <x:v>FSC-001</x:v>
      </x:c>
      <x:c r="B6" s="32" t="str">
        <x:v>VKM-001</x:v>
      </x:c>
      <x:c r="C6" s="32" t="str">
        <x:v>Маргарита</x:v>
      </x:c>
      <x:c r="D6" s="38" t="str">
        <x:v>null</x:v>
      </x:c>
      <x:c r="E6" s="38"/>
      <x:c r="F6" s="38"/>
      <x:c r="G6" s="38"/>
      <x:c r="H6" s="38"/>
      <x:c r="I6" s="32" t="str">
        <x:v>BLOCKED_PENDING_VALIDATION</x:v>
      </x:c>
      <x:c r="J6" s="32" t="str">
        <x:v>BLOCK</x:v>
      </x:c>
      <x:c r="K6" s="32" t="str">
        <x:v>GLUTEN;MILK — DRAFT_NAME_BASED; not final until recipe and SKU labels</x:v>
      </x:c>
      <x:c r="L6" s="32" t="str">
        <x:v>UNKNOWN_PENDING_SITE_FLOW_AND_EQUIPMENT_MAP</x:v>
      </x:c>
      <x:c r="M6" s="32" t="str">
        <x:v>EVD-0003;EVD-0012;EVD-0013;EVD-0014;EVD-0015;EVD-FS-001;EVD-FS-002;EVD-FS-003</x:v>
      </x:c>
      <x:c r="N6" s="32" t="str">
        <x:v>No accepted recipe/SKU allergen dossier and no validated dish-specific critical limits, shelf life or site HACCP/PPK record</x:v>
      </x:c>
      <x:c r="O6" s="32" t="str">
        <x:v>Chef submits frozen recipe; Procurement submits SKU dossier; PPK owner validates hazards/limits and traceability before Gate B readiness review</x:v>
      </x:c>
    </x:row>
    <x:row r="7">
      <x:c r="A7" s="32" t="str">
        <x:v>FSC-002</x:v>
      </x:c>
      <x:c r="B7" s="32" t="str">
        <x:v>VKM-002</x:v>
      </x:c>
      <x:c r="C7" s="32" t="str">
        <x:v>Четыре сыра</x:v>
      </x:c>
      <x:c r="D7" s="38" t="str">
        <x:v>null</x:v>
      </x:c>
      <x:c r="E7" s="38"/>
      <x:c r="F7" s="38"/>
      <x:c r="G7" s="38"/>
      <x:c r="H7" s="38"/>
      <x:c r="I7" s="32" t="str">
        <x:v>BLOCKED_PENDING_VALIDATION</x:v>
      </x:c>
      <x:c r="J7" s="32" t="str">
        <x:v>BLOCK</x:v>
      </x:c>
      <x:c r="K7" s="32" t="str">
        <x:v>GLUTEN;MILK — DRAFT_NAME_BASED; not final until recipe and SKU labels</x:v>
      </x:c>
      <x:c r="L7" s="32" t="str">
        <x:v>UNKNOWN_PENDING_SITE_FLOW_AND_EQUIPMENT_MAP</x:v>
      </x:c>
      <x:c r="M7" s="32" t="str">
        <x:v>EVD-0003;EVD-0012;EVD-0013;EVD-0014;EVD-0015;EVD-FS-001;EVD-FS-002;EVD-FS-003</x:v>
      </x:c>
      <x:c r="N7" s="32" t="str">
        <x:v>No accepted recipe/SKU allergen dossier and no validated dish-specific critical limits, shelf life or site HACCP/PPK record</x:v>
      </x:c>
      <x:c r="O7" s="32" t="str">
        <x:v>Chef submits frozen recipe; Procurement submits SKU dossier; PPK owner validates hazards/limits and traceability before Gate B readiness review</x:v>
      </x:c>
    </x:row>
    <x:row r="8">
      <x:c r="A8" s="32" t="str">
        <x:v>FSC-003</x:v>
      </x:c>
      <x:c r="B8" s="32" t="str">
        <x:v>VKM-003</x:v>
      </x:c>
      <x:c r="C8" s="32" t="str">
        <x:v>Грибная с ветчиной</x:v>
      </x:c>
      <x:c r="D8" s="38" t="str">
        <x:v>null</x:v>
      </x:c>
      <x:c r="E8" s="38"/>
      <x:c r="F8" s="38"/>
      <x:c r="G8" s="38"/>
      <x:c r="H8" s="38"/>
      <x:c r="I8" s="32" t="str">
        <x:v>BLOCKED_PENDING_VALIDATION</x:v>
      </x:c>
      <x:c r="J8" s="32" t="str">
        <x:v>BLOCK</x:v>
      </x:c>
      <x:c r="K8" s="32" t="str">
        <x:v>GLUTEN;MILK — DRAFT_NAME_BASED; not final until recipe and SKU labels</x:v>
      </x:c>
      <x:c r="L8" s="32" t="str">
        <x:v>UNKNOWN_PENDING_SITE_FLOW_AND_EQUIPMENT_MAP</x:v>
      </x:c>
      <x:c r="M8" s="32" t="str">
        <x:v>EVD-0003;EVD-0012;EVD-0013;EVD-0014;EVD-0015;EVD-FS-001;EVD-FS-002;EVD-FS-003</x:v>
      </x:c>
      <x:c r="N8" s="32" t="str">
        <x:v>No accepted recipe/SKU allergen dossier and no validated dish-specific critical limits, shelf life or site HACCP/PPK record</x:v>
      </x:c>
      <x:c r="O8" s="32" t="str">
        <x:v>Chef submits frozen recipe; Procurement submits SKU dossier; PPK owner validates hazards/limits and traceability before Gate B readiness review</x:v>
      </x:c>
    </x:row>
    <x:row r="9">
      <x:c r="A9" s="32" t="str">
        <x:v>FSC-004</x:v>
      </x:c>
      <x:c r="B9" s="32" t="str">
        <x:v>VKM-004</x:v>
      </x:c>
      <x:c r="C9" s="32" t="str">
        <x:v>Пепперони</x:v>
      </x:c>
      <x:c r="D9" s="38" t="str">
        <x:v>null</x:v>
      </x:c>
      <x:c r="E9" s="38"/>
      <x:c r="F9" s="38"/>
      <x:c r="G9" s="38"/>
      <x:c r="H9" s="38"/>
      <x:c r="I9" s="32" t="str">
        <x:v>BLOCKED_PENDING_VALIDATION</x:v>
      </x:c>
      <x:c r="J9" s="32" t="str">
        <x:v>BLOCK</x:v>
      </x:c>
      <x:c r="K9" s="32" t="str">
        <x:v>GLUTEN;MILK — DRAFT_NAME_BASED; not final until recipe and SKU labels</x:v>
      </x:c>
      <x:c r="L9" s="32" t="str">
        <x:v>UNKNOWN_PENDING_SITE_FLOW_AND_EQUIPMENT_MAP</x:v>
      </x:c>
      <x:c r="M9" s="32" t="str">
        <x:v>EVD-0003;EVD-0012;EVD-0013;EVD-0014;EVD-0015;EVD-FS-001;EVD-FS-002;EVD-FS-003</x:v>
      </x:c>
      <x:c r="N9" s="32" t="str">
        <x:v>No accepted recipe/SKU allergen dossier and no validated dish-specific critical limits, shelf life or site HACCP/PPK record</x:v>
      </x:c>
      <x:c r="O9" s="32" t="str">
        <x:v>Chef submits frozen recipe; Procurement submits SKU dossier; PPK owner validates hazards/limits and traceability before Gate B readiness review</x:v>
      </x:c>
    </x:row>
    <x:row r="10">
      <x:c r="A10" s="32" t="str">
        <x:v>FSC-005</x:v>
      </x:c>
      <x:c r="B10" s="32" t="str">
        <x:v>VKM-005</x:v>
      </x:c>
      <x:c r="C10" s="32" t="str">
        <x:v>Белая чиабатта</x:v>
      </x:c>
      <x:c r="D10" s="38" t="str">
        <x:v>null</x:v>
      </x:c>
      <x:c r="E10" s="38"/>
      <x:c r="F10" s="38"/>
      <x:c r="G10" s="38"/>
      <x:c r="H10" s="38"/>
      <x:c r="I10" s="32" t="str">
        <x:v>BLOCKED_PENDING_VALIDATION</x:v>
      </x:c>
      <x:c r="J10" s="32" t="str">
        <x:v>BLOCK</x:v>
      </x:c>
      <x:c r="K10" s="32" t="str">
        <x:v>GLUTEN — DRAFT_NAME_BASED; not final until recipe and SKU labels</x:v>
      </x:c>
      <x:c r="L10" s="32" t="str">
        <x:v>UNKNOWN_PENDING_SITE_FLOW_AND_EQUIPMENT_MAP</x:v>
      </x:c>
      <x:c r="M10" s="32" t="str">
        <x:v>EVD-0003;EVD-0012;EVD-0013;EVD-0014;EVD-0015;EVD-FS-001;EVD-FS-002;EVD-FS-003</x:v>
      </x:c>
      <x:c r="N10" s="32" t="str">
        <x:v>No accepted recipe/SKU allergen dossier and no validated dish-specific critical limits, shelf life or site HACCP/PPK record</x:v>
      </x:c>
      <x:c r="O10" s="32" t="str">
        <x:v>Chef submits frozen recipe; Procurement submits SKU dossier; PPK owner validates hazards/limits and traceability before Gate B readiness review</x:v>
      </x:c>
    </x:row>
    <x:row r="11">
      <x:c r="A11" s="32" t="str">
        <x:v>FSC-006</x:v>
      </x:c>
      <x:c r="B11" s="32" t="str">
        <x:v>VKM-006</x:v>
      </x:c>
      <x:c r="C11" s="32" t="str">
        <x:v>Томатная чиабатта</x:v>
      </x:c>
      <x:c r="D11" s="38" t="str">
        <x:v>null</x:v>
      </x:c>
      <x:c r="E11" s="38"/>
      <x:c r="F11" s="38"/>
      <x:c r="G11" s="38"/>
      <x:c r="H11" s="38"/>
      <x:c r="I11" s="32" t="str">
        <x:v>BLOCKED_PENDING_VALIDATION</x:v>
      </x:c>
      <x:c r="J11" s="32" t="str">
        <x:v>BLOCK</x:v>
      </x:c>
      <x:c r="K11" s="32" t="str">
        <x:v>GLUTEN — DRAFT_NAME_BASED; not final until recipe and SKU labels</x:v>
      </x:c>
      <x:c r="L11" s="32" t="str">
        <x:v>UNKNOWN_PENDING_SITE_FLOW_AND_EQUIPMENT_MAP</x:v>
      </x:c>
      <x:c r="M11" s="32" t="str">
        <x:v>EVD-0003;EVD-0012;EVD-0013;EVD-0014;EVD-0015;EVD-FS-001;EVD-FS-002;EVD-FS-003</x:v>
      </x:c>
      <x:c r="N11" s="32" t="str">
        <x:v>No accepted recipe/SKU allergen dossier and no validated dish-specific critical limits, shelf life or site HACCP/PPK record</x:v>
      </x:c>
      <x:c r="O11" s="32" t="str">
        <x:v>Chef submits frozen recipe; Procurement submits SKU dossier; PPK owner validates hazards/limits and traceability before Gate B readiness review</x:v>
      </x:c>
    </x:row>
    <x:row r="12">
      <x:c r="A12" s="32" t="str">
        <x:v>FSC-007</x:v>
      </x:c>
      <x:c r="B12" s="32" t="str">
        <x:v>VKM-007</x:v>
      </x:c>
      <x:c r="C12" s="32" t="str">
        <x:v>Бородинский хлеб</x:v>
      </x:c>
      <x:c r="D12" s="38" t="str">
        <x:v>null</x:v>
      </x:c>
      <x:c r="E12" s="38"/>
      <x:c r="F12" s="38"/>
      <x:c r="G12" s="38"/>
      <x:c r="H12" s="38"/>
      <x:c r="I12" s="32" t="str">
        <x:v>BLOCKED_PENDING_VALIDATION</x:v>
      </x:c>
      <x:c r="J12" s="32" t="str">
        <x:v>BLOCK</x:v>
      </x:c>
      <x:c r="K12" s="32" t="str">
        <x:v>GLUTEN — DRAFT_NAME_BASED; not final until recipe and SKU labels</x:v>
      </x:c>
      <x:c r="L12" s="32" t="str">
        <x:v>UNKNOWN_PENDING_SITE_FLOW_AND_EQUIPMENT_MAP</x:v>
      </x:c>
      <x:c r="M12" s="32" t="str">
        <x:v>EVD-0003;EVD-0012;EVD-0013;EVD-0014;EVD-0015;EVD-FS-001;EVD-FS-002;EVD-FS-003</x:v>
      </x:c>
      <x:c r="N12" s="32" t="str">
        <x:v>No accepted recipe/SKU allergen dossier and no validated dish-specific critical limits, shelf life or site HACCP/PPK record</x:v>
      </x:c>
      <x:c r="O12" s="32" t="str">
        <x:v>Chef submits frozen recipe; Procurement submits SKU dossier; PPK owner validates hazards/limits and traceability before Gate B readiness review</x:v>
      </x:c>
    </x:row>
    <x:row r="13">
      <x:c r="A13" s="32" t="str">
        <x:v>FSC-008</x:v>
      </x:c>
      <x:c r="B13" s="32" t="str">
        <x:v>VKM-008</x:v>
      </x:c>
      <x:c r="C13" s="32" t="str">
        <x:v>Бриошь</x:v>
      </x:c>
      <x:c r="D13" s="38" t="str">
        <x:v>null</x:v>
      </x:c>
      <x:c r="E13" s="38"/>
      <x:c r="F13" s="38"/>
      <x:c r="G13" s="38"/>
      <x:c r="H13" s="38"/>
      <x:c r="I13" s="32" t="str">
        <x:v>BLOCKED_PENDING_VALIDATION</x:v>
      </x:c>
      <x:c r="J13" s="32" t="str">
        <x:v>BLOCK</x:v>
      </x:c>
      <x:c r="K13" s="32" t="str">
        <x:v>GLUTEN;MILK;EGG — DRAFT_NAME_BASED; not final until recipe and SKU labels</x:v>
      </x:c>
      <x:c r="L13" s="32" t="str">
        <x:v>UNKNOWN_PENDING_SITE_FLOW_AND_EQUIPMENT_MAP</x:v>
      </x:c>
      <x:c r="M13" s="32" t="str">
        <x:v>EVD-0003;EVD-0012;EVD-0013;EVD-0014;EVD-0015;EVD-FS-001;EVD-FS-002;EVD-FS-003</x:v>
      </x:c>
      <x:c r="N13" s="32" t="str">
        <x:v>No accepted recipe/SKU allergen dossier and no validated dish-specific critical limits, shelf life or site HACCP/PPK record</x:v>
      </x:c>
      <x:c r="O13" s="32" t="str">
        <x:v>Chef submits frozen recipe; Procurement submits SKU dossier; PPK owner validates hazards/limits and traceability before Gate B readiness review</x:v>
      </x:c>
    </x:row>
    <x:row r="14">
      <x:c r="A14" s="32" t="str">
        <x:v>FSC-009</x:v>
      </x:c>
      <x:c r="B14" s="32" t="str">
        <x:v>VKM-009</x:v>
      </x:c>
      <x:c r="C14" s="32" t="str">
        <x:v>Буррата с томатами</x:v>
      </x:c>
      <x:c r="D14" s="38" t="str">
        <x:v>null</x:v>
      </x:c>
      <x:c r="E14" s="38"/>
      <x:c r="F14" s="38"/>
      <x:c r="G14" s="38"/>
      <x:c r="H14" s="38"/>
      <x:c r="I14" s="32" t="str">
        <x:v>BLOCKED_PENDING_VALIDATION</x:v>
      </x:c>
      <x:c r="J14" s="32" t="str">
        <x:v>BLOCK</x:v>
      </x:c>
      <x:c r="K14" s="32" t="str">
        <x:v>MILK — DRAFT_NAME_BASED; not final until recipe and SKU labels</x:v>
      </x:c>
      <x:c r="L14" s="32" t="str">
        <x:v>UNKNOWN_PENDING_SITE_FLOW_AND_EQUIPMENT_MAP</x:v>
      </x:c>
      <x:c r="M14" s="32" t="str">
        <x:v>EVD-0003;EVD-0012;EVD-0013;EVD-0014;EVD-0015;EVD-FS-001;EVD-FS-002;EVD-FS-003</x:v>
      </x:c>
      <x:c r="N14" s="32" t="str">
        <x:v>No accepted recipe/SKU allergen dossier and no validated dish-specific critical limits, shelf life or site HACCP/PPK record</x:v>
      </x:c>
      <x:c r="O14" s="32" t="str">
        <x:v>Chef submits frozen recipe; Procurement submits SKU dossier; PPK owner validates hazards/limits and traceability before Gate B readiness review</x:v>
      </x:c>
    </x:row>
    <x:row r="15">
      <x:c r="A15" s="32" t="str">
        <x:v>FSC-010</x:v>
      </x:c>
      <x:c r="B15" s="32" t="str">
        <x:v>VKM-010</x:v>
      </x:c>
      <x:c r="C15" s="32" t="str">
        <x:v>Микс-салат с креветками и яблоком</x:v>
      </x:c>
      <x:c r="D15" s="38" t="str">
        <x:v>null</x:v>
      </x:c>
      <x:c r="E15" s="38"/>
      <x:c r="F15" s="38"/>
      <x:c r="G15" s="38"/>
      <x:c r="H15" s="38"/>
      <x:c r="I15" s="32" t="str">
        <x:v>BLOCKED_PENDING_VALIDATION</x:v>
      </x:c>
      <x:c r="J15" s="32" t="str">
        <x:v>BLOCK</x:v>
      </x:c>
      <x:c r="K15" s="32" t="str">
        <x:v>CRUSTACEAN — DRAFT_NAME_BASED; not final until recipe and SKU labels</x:v>
      </x:c>
      <x:c r="L15" s="32" t="str">
        <x:v>UNKNOWN_PENDING_SITE_FLOW_AND_EQUIPMENT_MAP</x:v>
      </x:c>
      <x:c r="M15" s="32" t="str">
        <x:v>EVD-0003;EVD-0012;EVD-0013;EVD-0014;EVD-0015;EVD-FS-001;EVD-FS-002;EVD-FS-003</x:v>
      </x:c>
      <x:c r="N15" s="32" t="str">
        <x:v>No accepted recipe/SKU allergen dossier and no validated dish-specific critical limits, shelf life or site HACCP/PPK record</x:v>
      </x:c>
      <x:c r="O15" s="32" t="str">
        <x:v>Chef submits frozen recipe; Procurement submits SKU dossier; PPK owner validates hazards/limits and traceability before Gate B readiness review</x:v>
      </x:c>
    </x:row>
    <x:row r="16">
      <x:c r="A16" s="32" t="str">
        <x:v>FSC-011</x:v>
      </x:c>
      <x:c r="B16" s="32" t="str">
        <x:v>VKM-011</x:v>
      </x:c>
      <x:c r="C16" s="32" t="str">
        <x:v>Греческий</x:v>
      </x:c>
      <x:c r="D16" s="38" t="str">
        <x:v>null</x:v>
      </x:c>
      <x:c r="E16" s="38"/>
      <x:c r="F16" s="38"/>
      <x:c r="G16" s="38"/>
      <x:c r="H16" s="38"/>
      <x:c r="I16" s="32" t="str">
        <x:v>BLOCKED_PENDING_VALIDATION</x:v>
      </x:c>
      <x:c r="J16" s="32" t="str">
        <x:v>BLOCK</x:v>
      </x:c>
      <x:c r="K16" s="32" t="str">
        <x:v>MILK — DRAFT_NAME_BASED; not final until recipe and SKU labels</x:v>
      </x:c>
      <x:c r="L16" s="32" t="str">
        <x:v>UNKNOWN_PENDING_SITE_FLOW_AND_EQUIPMENT_MAP</x:v>
      </x:c>
      <x:c r="M16" s="32" t="str">
        <x:v>EVD-0003;EVD-0012;EVD-0013;EVD-0014;EVD-0015;EVD-FS-001;EVD-FS-002;EVD-FS-003</x:v>
      </x:c>
      <x:c r="N16" s="32" t="str">
        <x:v>No accepted recipe/SKU allergen dossier and no validated dish-specific critical limits, shelf life or site HACCP/PPK record</x:v>
      </x:c>
      <x:c r="O16" s="32" t="str">
        <x:v>Chef submits frozen recipe; Procurement submits SKU dossier; PPK owner validates hazards/limits and traceability before Gate B readiness review</x:v>
      </x:c>
    </x:row>
    <x:row r="17">
      <x:c r="A17" s="32" t="str">
        <x:v>FSC-012</x:v>
      </x:c>
      <x:c r="B17" s="32" t="str">
        <x:v>VKM-012</x:v>
      </x:c>
      <x:c r="C17" s="32" t="str">
        <x:v>Винегрет</x:v>
      </x:c>
      <x:c r="D17" s="38" t="str">
        <x:v>null</x:v>
      </x:c>
      <x:c r="E17" s="38"/>
      <x:c r="F17" s="38"/>
      <x:c r="G17" s="38"/>
      <x:c r="H17" s="38"/>
      <x:c r="I17" s="32" t="str">
        <x:v>BLOCKED_PENDING_VALIDATION</x:v>
      </x:c>
      <x:c r="J17" s="32" t="str">
        <x:v>BLOCK</x:v>
      </x:c>
      <x:c r="K17" s="32" t="str">
        <x:v>UNKNOWN_RECIPE_SKU; no allergen may be declared absent</x:v>
      </x:c>
      <x:c r="L17" s="32" t="str">
        <x:v>UNKNOWN_PENDING_SITE_FLOW_AND_EQUIPMENT_MAP</x:v>
      </x:c>
      <x:c r="M17" s="32" t="str">
        <x:v>EVD-0003;EVD-0012;EVD-0013;EVD-0014;EVD-0015;EVD-FS-001;EVD-FS-002;EVD-FS-003</x:v>
      </x:c>
      <x:c r="N17" s="32" t="str">
        <x:v>No accepted recipe/SKU allergen dossier and no validated dish-specific critical limits, shelf life or site HACCP/PPK record</x:v>
      </x:c>
      <x:c r="O17" s="32" t="str">
        <x:v>Chef submits frozen recipe; Procurement submits SKU dossier; PPK owner validates hazards/limits and traceability before Gate B readiness review</x:v>
      </x:c>
    </x:row>
    <x:row r="18">
      <x:c r="A18" s="32" t="str">
        <x:v>FSC-013</x:v>
      </x:c>
      <x:c r="B18" s="32" t="str">
        <x:v>VKM-013</x:v>
      </x:c>
      <x:c r="C18" s="32" t="str">
        <x:v>Слабосолёный лосось</x:v>
      </x:c>
      <x:c r="D18" s="38" t="str">
        <x:v>null</x:v>
      </x:c>
      <x:c r="E18" s="38"/>
      <x:c r="F18" s="38"/>
      <x:c r="G18" s="38"/>
      <x:c r="H18" s="38"/>
      <x:c r="I18" s="32" t="str">
        <x:v>BLOCKED_PENDING_VALIDATION</x:v>
      </x:c>
      <x:c r="J18" s="32" t="str">
        <x:v>BLOCK</x:v>
      </x:c>
      <x:c r="K18" s="32" t="str">
        <x:v>FISH — DRAFT_NAME_BASED; not final until recipe and SKU labels</x:v>
      </x:c>
      <x:c r="L18" s="32" t="str">
        <x:v>UNKNOWN_PENDING_SITE_FLOW_AND_EQUIPMENT_MAP</x:v>
      </x:c>
      <x:c r="M18" s="32" t="str">
        <x:v>EVD-0003;EVD-0012;EVD-0013;EVD-0014;EVD-0015;EVD-FS-001;EVD-FS-002;EVD-FS-003</x:v>
      </x:c>
      <x:c r="N18" s="32" t="str">
        <x:v>No accepted recipe/SKU allergen dossier and no validated dish-specific critical limits, shelf life or site HACCP/PPK record</x:v>
      </x:c>
      <x:c r="O18" s="32" t="str">
        <x:v>Chef submits frozen recipe; Procurement submits SKU dossier; PPK owner validates hazards/limits and traceability before Gate B readiness review</x:v>
      </x:c>
    </x:row>
    <x:row r="19">
      <x:c r="A19" s="32" t="str">
        <x:v>FSC-014</x:v>
      </x:c>
      <x:c r="B19" s="32" t="str">
        <x:v>VKM-014</x:v>
      </x:c>
      <x:c r="C19" s="32" t="str">
        <x:v>Сельдь с запечённым картофелем</x:v>
      </x:c>
      <x:c r="D19" s="38" t="str">
        <x:v>null</x:v>
      </x:c>
      <x:c r="E19" s="38"/>
      <x:c r="F19" s="38"/>
      <x:c r="G19" s="38"/>
      <x:c r="H19" s="38"/>
      <x:c r="I19" s="32" t="str">
        <x:v>BLOCKED_PENDING_VALIDATION</x:v>
      </x:c>
      <x:c r="J19" s="32" t="str">
        <x:v>BLOCK</x:v>
      </x:c>
      <x:c r="K19" s="32" t="str">
        <x:v>FISH — DRAFT_NAME_BASED; not final until recipe and SKU labels</x:v>
      </x:c>
      <x:c r="L19" s="32" t="str">
        <x:v>UNKNOWN_PENDING_SITE_FLOW_AND_EQUIPMENT_MAP</x:v>
      </x:c>
      <x:c r="M19" s="32" t="str">
        <x:v>EVD-0003;EVD-0012;EVD-0013;EVD-0014;EVD-0015;EVD-FS-001;EVD-FS-002;EVD-FS-003</x:v>
      </x:c>
      <x:c r="N19" s="32" t="str">
        <x:v>No accepted recipe/SKU allergen dossier and no validated dish-specific critical limits, shelf life or site HACCP/PPK record</x:v>
      </x:c>
      <x:c r="O19" s="32" t="str">
        <x:v>Chef submits frozen recipe; Procurement submits SKU dossier; PPK owner validates hazards/limits and traceability before Gate B readiness review</x:v>
      </x:c>
    </x:row>
    <x:row r="20">
      <x:c r="A20" s="32" t="str">
        <x:v>FSC-015</x:v>
      </x:c>
      <x:c r="B20" s="32" t="str">
        <x:v>VKM-015</x:v>
      </x:c>
      <x:c r="C20" s="32" t="str">
        <x:v>Оливки и маслины</x:v>
      </x:c>
      <x:c r="D20" s="38" t="str">
        <x:v>null</x:v>
      </x:c>
      <x:c r="E20" s="38"/>
      <x:c r="F20" s="38"/>
      <x:c r="G20" s="38"/>
      <x:c r="H20" s="38"/>
      <x:c r="I20" s="32" t="str">
        <x:v>BLOCKED_PENDING_VALIDATION</x:v>
      </x:c>
      <x:c r="J20" s="32" t="str">
        <x:v>BLOCK</x:v>
      </x:c>
      <x:c r="K20" s="32" t="str">
        <x:v>UNKNOWN_RECIPE_SKU; no allergen may be declared absent</x:v>
      </x:c>
      <x:c r="L20" s="32" t="str">
        <x:v>UNKNOWN_PENDING_SITE_FLOW_AND_EQUIPMENT_MAP</x:v>
      </x:c>
      <x:c r="M20" s="32" t="str">
        <x:v>EVD-0003;EVD-0012;EVD-0013;EVD-0014;EVD-0015;EVD-FS-001;EVD-FS-002;EVD-FS-003</x:v>
      </x:c>
      <x:c r="N20" s="32" t="str">
        <x:v>No accepted recipe/SKU allergen dossier and no validated dish-specific critical limits, shelf life or site HACCP/PPK record</x:v>
      </x:c>
      <x:c r="O20" s="32" t="str">
        <x:v>Chef submits frozen recipe; Procurement submits SKU dossier; PPK owner validates hazards/limits and traceability before Gate B readiness review</x:v>
      </x:c>
    </x:row>
    <x:row r="21">
      <x:c r="A21" s="32" t="str">
        <x:v>FSC-016</x:v>
      </x:c>
      <x:c r="B21" s="32" t="str">
        <x:v>VKM-016</x:v>
      </x:c>
      <x:c r="C21" s="32" t="str">
        <x:v>Ассорти фирменных солений</x:v>
      </x:c>
      <x:c r="D21" s="38" t="str">
        <x:v>null</x:v>
      </x:c>
      <x:c r="E21" s="38"/>
      <x:c r="F21" s="38"/>
      <x:c r="G21" s="38"/>
      <x:c r="H21" s="38"/>
      <x:c r="I21" s="32" t="str">
        <x:v>BLOCKED_PENDING_VALIDATION</x:v>
      </x:c>
      <x:c r="J21" s="32" t="str">
        <x:v>BLOCK</x:v>
      </x:c>
      <x:c r="K21" s="32" t="str">
        <x:v>UNKNOWN_RECIPE_SKU; no allergen may be declared absent</x:v>
      </x:c>
      <x:c r="L21" s="32" t="str">
        <x:v>UNKNOWN_PENDING_SITE_FLOW_AND_EQUIPMENT_MAP</x:v>
      </x:c>
      <x:c r="M21" s="32" t="str">
        <x:v>EVD-0003;EVD-0012;EVD-0013;EVD-0014;EVD-0015;EVD-FS-001;EVD-FS-002;EVD-FS-003</x:v>
      </x:c>
      <x:c r="N21" s="32" t="str">
        <x:v>No accepted recipe/SKU allergen dossier and no validated dish-specific critical limits, shelf life or site HACCP/PPK record</x:v>
      </x:c>
      <x:c r="O21" s="32" t="str">
        <x:v>Chef submits frozen recipe; Procurement submits SKU dossier; PPK owner validates hazards/limits and traceability before Gate B readiness review</x:v>
      </x:c>
    </x:row>
    <x:row r="22">
      <x:c r="A22" s="32" t="str">
        <x:v>FSC-017</x:v>
      </x:c>
      <x:c r="B22" s="32" t="str">
        <x:v>VKM-017</x:v>
      </x:c>
      <x:c r="C22" s="32" t="str">
        <x:v>Ростбиф с луком и гренкой</x:v>
      </x:c>
      <x:c r="D22" s="38" t="str">
        <x:v>null</x:v>
      </x:c>
      <x:c r="E22" s="38"/>
      <x:c r="F22" s="38"/>
      <x:c r="G22" s="38"/>
      <x:c r="H22" s="38"/>
      <x:c r="I22" s="32" t="str">
        <x:v>BLOCKED_PENDING_VALIDATION</x:v>
      </x:c>
      <x:c r="J22" s="32" t="str">
        <x:v>BLOCK</x:v>
      </x:c>
      <x:c r="K22" s="32" t="str">
        <x:v>GLUTEN — DRAFT_NAME_BASED; not final until recipe and SKU labels</x:v>
      </x:c>
      <x:c r="L22" s="32" t="str">
        <x:v>UNKNOWN_PENDING_SITE_FLOW_AND_EQUIPMENT_MAP</x:v>
      </x:c>
      <x:c r="M22" s="32" t="str">
        <x:v>EVD-0003;EVD-0012;EVD-0013;EVD-0014;EVD-0015;EVD-FS-001;EVD-FS-002;EVD-FS-003</x:v>
      </x:c>
      <x:c r="N22" s="32" t="str">
        <x:v>No accepted recipe/SKU allergen dossier and no validated dish-specific critical limits, shelf life or site HACCP/PPK record</x:v>
      </x:c>
      <x:c r="O22" s="32" t="str">
        <x:v>Chef submits frozen recipe; Procurement submits SKU dossier; PPK owner validates hazards/limits and traceability before Gate B readiness review</x:v>
      </x:c>
    </x:row>
    <x:row r="23">
      <x:c r="A23" s="32" t="str">
        <x:v>FSC-018</x:v>
      </x:c>
      <x:c r="B23" s="32" t="str">
        <x:v>VKM-018</x:v>
      </x:c>
      <x:c r="C23" s="32" t="str">
        <x:v>Традиционный красный борщ</x:v>
      </x:c>
      <x:c r="D23" s="38" t="str">
        <x:v>null</x:v>
      </x:c>
      <x:c r="E23" s="38"/>
      <x:c r="F23" s="38"/>
      <x:c r="G23" s="38"/>
      <x:c r="H23" s="38"/>
      <x:c r="I23" s="32" t="str">
        <x:v>BLOCKED_PENDING_VALIDATION</x:v>
      </x:c>
      <x:c r="J23" s="32" t="str">
        <x:v>BLOCK</x:v>
      </x:c>
      <x:c r="K23" s="32" t="str">
        <x:v>UNKNOWN_RECIPE_SKU; no allergen may be declared absent</x:v>
      </x:c>
      <x:c r="L23" s="32" t="str">
        <x:v>UNKNOWN_PENDING_SITE_FLOW_AND_EQUIPMENT_MAP</x:v>
      </x:c>
      <x:c r="M23" s="32" t="str">
        <x:v>EVD-0003;EVD-0012;EVD-0013;EVD-0014;EVD-0015;EVD-FS-001;EVD-FS-002;EVD-FS-003</x:v>
      </x:c>
      <x:c r="N23" s="32" t="str">
        <x:v>No accepted recipe/SKU allergen dossier and no validated dish-specific critical limits, shelf life or site HACCP/PPK record</x:v>
      </x:c>
      <x:c r="O23" s="32" t="str">
        <x:v>Chef submits frozen recipe; Procurement submits SKU dossier; PPK owner validates hazards/limits and traceability before Gate B readiness review</x:v>
      </x:c>
    </x:row>
    <x:row r="24">
      <x:c r="A24" s="32" t="str">
        <x:v>FSC-019</x:v>
      </x:c>
      <x:c r="B24" s="32" t="str">
        <x:v>VKM-019</x:v>
      </x:c>
      <x:c r="C24" s="32" t="str">
        <x:v>Мурманская треска со сливочно-горчичным соусом</x:v>
      </x:c>
      <x:c r="D24" s="38" t="str">
        <x:v>null</x:v>
      </x:c>
      <x:c r="E24" s="38"/>
      <x:c r="F24" s="38"/>
      <x:c r="G24" s="38"/>
      <x:c r="H24" s="38"/>
      <x:c r="I24" s="32" t="str">
        <x:v>BLOCKED_PENDING_VALIDATION</x:v>
      </x:c>
      <x:c r="J24" s="32" t="str">
        <x:v>BLOCK</x:v>
      </x:c>
      <x:c r="K24" s="32" t="str">
        <x:v>FISH;MILK;MUSTARD — DRAFT_NAME_BASED; not final until recipe and SKU labels</x:v>
      </x:c>
      <x:c r="L24" s="32" t="str">
        <x:v>UNKNOWN_PENDING_SITE_FLOW_AND_EQUIPMENT_MAP</x:v>
      </x:c>
      <x:c r="M24" s="32" t="str">
        <x:v>EVD-0003;EVD-0012;EVD-0013;EVD-0014;EVD-0015;EVD-FS-001;EVD-FS-002;EVD-FS-003</x:v>
      </x:c>
      <x:c r="N24" s="32" t="str">
        <x:v>No accepted recipe/SKU allergen dossier and no validated dish-specific critical limits, shelf life or site HACCP/PPK record</x:v>
      </x:c>
      <x:c r="O24" s="32" t="str">
        <x:v>Chef submits frozen recipe; Procurement submits SKU dossier; PPK owner validates hazards/limits and traceability before Gate B readiness review</x:v>
      </x:c>
    </x:row>
    <x:row r="25">
      <x:c r="A25" s="32" t="str">
        <x:v>FSC-020</x:v>
      </x:c>
      <x:c r="B25" s="32" t="str">
        <x:v>VKM-020</x:v>
      </x:c>
      <x:c r="C25" s="32" t="str">
        <x:v>Креветки по-тайски</x:v>
      </x:c>
      <x:c r="D25" s="38" t="str">
        <x:v>null</x:v>
      </x:c>
      <x:c r="E25" s="38"/>
      <x:c r="F25" s="38"/>
      <x:c r="G25" s="38"/>
      <x:c r="H25" s="38"/>
      <x:c r="I25" s="32" t="str">
        <x:v>BLOCKED_PENDING_VALIDATION</x:v>
      </x:c>
      <x:c r="J25" s="32" t="str">
        <x:v>BLOCK</x:v>
      </x:c>
      <x:c r="K25" s="32" t="str">
        <x:v>CRUSTACEAN — DRAFT_NAME_BASED; not final until recipe and SKU labels</x:v>
      </x:c>
      <x:c r="L25" s="32" t="str">
        <x:v>UNKNOWN_PENDING_SITE_FLOW_AND_EQUIPMENT_MAP</x:v>
      </x:c>
      <x:c r="M25" s="32" t="str">
        <x:v>EVD-0003;EVD-0012;EVD-0013;EVD-0014;EVD-0015;EVD-FS-001;EVD-FS-002;EVD-FS-003</x:v>
      </x:c>
      <x:c r="N25" s="32" t="str">
        <x:v>No accepted recipe/SKU allergen dossier and no validated dish-specific critical limits, shelf life or site HACCP/PPK record</x:v>
      </x:c>
      <x:c r="O25" s="32" t="str">
        <x:v>Chef submits frozen recipe; Procurement submits SKU dossier; PPK owner validates hazards/limits and traceability before Gate B readiness review</x:v>
      </x:c>
    </x:row>
    <x:row r="26">
      <x:c r="A26" s="32" t="str">
        <x:v>FSC-021</x:v>
      </x:c>
      <x:c r="B26" s="32" t="str">
        <x:v>VKM-021</x:v>
      </x:c>
      <x:c r="C26" s="32" t="str">
        <x:v>Бургер VARSHAVKA</x:v>
      </x:c>
      <x:c r="D26" s="38" t="str">
        <x:v>null</x:v>
      </x:c>
      <x:c r="E26" s="38"/>
      <x:c r="F26" s="38"/>
      <x:c r="G26" s="38"/>
      <x:c r="H26" s="38"/>
      <x:c r="I26" s="32" t="str">
        <x:v>BLOCKED_PENDING_VALIDATION</x:v>
      </x:c>
      <x:c r="J26" s="32" t="str">
        <x:v>BLOCK</x:v>
      </x:c>
      <x:c r="K26" s="32" t="str">
        <x:v>GLUTEN;MILK;EGG — DRAFT_NAME_BASED; not final until recipe and SKU labels</x:v>
      </x:c>
      <x:c r="L26" s="32" t="str">
        <x:v>UNKNOWN_PENDING_SITE_FLOW_AND_EQUIPMENT_MAP</x:v>
      </x:c>
      <x:c r="M26" s="32" t="str">
        <x:v>EVD-0003;EVD-0012;EVD-0013;EVD-0014;EVD-0015;EVD-FS-001;EVD-FS-002;EVD-FS-003</x:v>
      </x:c>
      <x:c r="N26" s="32" t="str">
        <x:v>No accepted recipe/SKU allergen dossier and no validated dish-specific critical limits, shelf life or site HACCP/PPK record</x:v>
      </x:c>
      <x:c r="O26" s="32" t="str">
        <x:v>Chef submits frozen recipe; Procurement submits SKU dossier; PPK owner validates hazards/limits and traceability before Gate B readiness review</x:v>
      </x:c>
    </x:row>
    <x:row r="27">
      <x:c r="A27" s="32" t="str">
        <x:v>FSC-022</x:v>
      </x:c>
      <x:c r="B27" s="32" t="str">
        <x:v>VKM-022</x:v>
      </x:c>
      <x:c r="C27" s="32" t="str">
        <x:v>Миньоны из говяжьей вырезки</x:v>
      </x:c>
      <x:c r="D27" s="38" t="str">
        <x:v>null</x:v>
      </x:c>
      <x:c r="E27" s="38"/>
      <x:c r="F27" s="38"/>
      <x:c r="G27" s="38"/>
      <x:c r="H27" s="38"/>
      <x:c r="I27" s="32" t="str">
        <x:v>BLOCKED_PENDING_VALIDATION</x:v>
      </x:c>
      <x:c r="J27" s="32" t="str">
        <x:v>BLOCK</x:v>
      </x:c>
      <x:c r="K27" s="32" t="str">
        <x:v>UNKNOWN_RECIPE_SKU; no allergen may be declared absent</x:v>
      </x:c>
      <x:c r="L27" s="32" t="str">
        <x:v>UNKNOWN_PENDING_SITE_FLOW_AND_EQUIPMENT_MAP</x:v>
      </x:c>
      <x:c r="M27" s="32" t="str">
        <x:v>EVD-0003;EVD-0012;EVD-0013;EVD-0014;EVD-0015;EVD-FS-001;EVD-FS-002;EVD-FS-003</x:v>
      </x:c>
      <x:c r="N27" s="32" t="str">
        <x:v>No accepted recipe/SKU allergen dossier and no validated dish-specific critical limits, shelf life or site HACCP/PPK record</x:v>
      </x:c>
      <x:c r="O27" s="32" t="str">
        <x:v>Chef submits frozen recipe; Procurement submits SKU dossier; PPK owner validates hazards/limits and traceability before Gate B readiness review</x:v>
      </x:c>
    </x:row>
    <x:row r="28">
      <x:c r="A28" s="32" t="str">
        <x:v>FSC-023</x:v>
      </x:c>
      <x:c r="B28" s="32" t="str">
        <x:v>VKM-023</x:v>
      </x:c>
      <x:c r="C28" s="32" t="str">
        <x:v>Запечённый картофель</x:v>
      </x:c>
      <x:c r="D28" s="38" t="str">
        <x:v>null</x:v>
      </x:c>
      <x:c r="E28" s="38"/>
      <x:c r="F28" s="38"/>
      <x:c r="G28" s="38"/>
      <x:c r="H28" s="38"/>
      <x:c r="I28" s="32" t="str">
        <x:v>BLOCKED_PENDING_VALIDATION</x:v>
      </x:c>
      <x:c r="J28" s="32" t="str">
        <x:v>BLOCK</x:v>
      </x:c>
      <x:c r="K28" s="32" t="str">
        <x:v>UNKNOWN_RECIPE_SKU; no allergen may be declared absent</x:v>
      </x:c>
      <x:c r="L28" s="32" t="str">
        <x:v>UNKNOWN_PENDING_SITE_FLOW_AND_EQUIPMENT_MAP</x:v>
      </x:c>
      <x:c r="M28" s="32" t="str">
        <x:v>EVD-0003;EVD-0012;EVD-0013;EVD-0014;EVD-0015;EVD-FS-001;EVD-FS-002;EVD-FS-003</x:v>
      </x:c>
      <x:c r="N28" s="32" t="str">
        <x:v>No accepted recipe/SKU allergen dossier and no validated dish-specific critical limits, shelf life or site HACCP/PPK record</x:v>
      </x:c>
      <x:c r="O28" s="32" t="str">
        <x:v>Chef submits frozen recipe; Procurement submits SKU dossier; PPK owner validates hazards/limits and traceability before Gate B readiness review</x:v>
      </x:c>
    </x:row>
    <x:row r="29">
      <x:c r="A29" s="32" t="str">
        <x:v>FSC-024</x:v>
      </x:c>
      <x:c r="B29" s="32" t="str">
        <x:v>VKM-024</x:v>
      </x:c>
      <x:c r="C29" s="32" t="str">
        <x:v>Рис жасмин</x:v>
      </x:c>
      <x:c r="D29" s="38" t="str">
        <x:v>null</x:v>
      </x:c>
      <x:c r="E29" s="38"/>
      <x:c r="F29" s="38"/>
      <x:c r="G29" s="38"/>
      <x:c r="H29" s="38"/>
      <x:c r="I29" s="32" t="str">
        <x:v>BLOCKED_PENDING_VALIDATION</x:v>
      </x:c>
      <x:c r="J29" s="32" t="str">
        <x:v>BLOCK</x:v>
      </x:c>
      <x:c r="K29" s="32" t="str">
        <x:v>UNKNOWN_RECIPE_SKU; no allergen may be declared absent</x:v>
      </x:c>
      <x:c r="L29" s="32" t="str">
        <x:v>UNKNOWN_PENDING_SITE_FLOW_AND_EQUIPMENT_MAP</x:v>
      </x:c>
      <x:c r="M29" s="32" t="str">
        <x:v>EVD-0003;EVD-0012;EVD-0013;EVD-0014;EVD-0015;EVD-FS-001;EVD-FS-002;EVD-FS-003</x:v>
      </x:c>
      <x:c r="N29" s="32" t="str">
        <x:v>No accepted recipe/SKU allergen dossier and no validated dish-specific critical limits, shelf life or site HACCP/PPK record</x:v>
      </x:c>
      <x:c r="O29" s="32" t="str">
        <x:v>Chef submits frozen recipe; Procurement submits SKU dossier; PPK owner validates hazards/limits and traceability before Gate B readiness review</x:v>
      </x:c>
    </x:row>
    <x:row r="30">
      <x:c r="A30" s="32" t="str">
        <x:v>FSC-025</x:v>
      </x:c>
      <x:c r="B30" s="32" t="str">
        <x:v>VKM-025</x:v>
      </x:c>
      <x:c r="C30" s="32" t="str">
        <x:v>Горячие овощи</x:v>
      </x:c>
      <x:c r="D30" s="38" t="str">
        <x:v>null</x:v>
      </x:c>
      <x:c r="E30" s="38"/>
      <x:c r="F30" s="38"/>
      <x:c r="G30" s="38"/>
      <x:c r="H30" s="38"/>
      <x:c r="I30" s="32" t="str">
        <x:v>BLOCKED_PENDING_VALIDATION</x:v>
      </x:c>
      <x:c r="J30" s="32" t="str">
        <x:v>BLOCK</x:v>
      </x:c>
      <x:c r="K30" s="32" t="str">
        <x:v>UNKNOWN_RECIPE_SKU; no allergen may be declared absent</x:v>
      </x:c>
      <x:c r="L30" s="32" t="str">
        <x:v>UNKNOWN_PENDING_SITE_FLOW_AND_EQUIPMENT_MAP</x:v>
      </x:c>
      <x:c r="M30" s="32" t="str">
        <x:v>EVD-0003;EVD-0012;EVD-0013;EVD-0014;EVD-0015;EVD-FS-001;EVD-FS-002;EVD-FS-003</x:v>
      </x:c>
      <x:c r="N30" s="32" t="str">
        <x:v>No accepted recipe/SKU allergen dossier and no validated dish-specific critical limits, shelf life or site HACCP/PPK record</x:v>
      </x:c>
      <x:c r="O30" s="32" t="str">
        <x:v>Chef submits frozen recipe; Procurement submits SKU dossier; PPK owner validates hazards/limits and traceability before Gate B readiness review</x:v>
      </x:c>
    </x:row>
    <x:row r="31">
      <x:c r="A31" s="32" t="str">
        <x:v>FSC-026</x:v>
      </x:c>
      <x:c r="B31" s="32" t="str">
        <x:v>VKM-029</x:v>
      </x:c>
      <x:c r="C31" s="32" t="str">
        <x:v>Черничный торт VARSHAVKA</x:v>
      </x:c>
      <x:c r="D31" s="38" t="str">
        <x:v>null</x:v>
      </x:c>
      <x:c r="E31" s="38"/>
      <x:c r="F31" s="38"/>
      <x:c r="G31" s="38"/>
      <x:c r="H31" s="38"/>
      <x:c r="I31" s="32" t="str">
        <x:v>BLOCKED_PENDING_VALIDATION</x:v>
      </x:c>
      <x:c r="J31" s="32" t="str">
        <x:v>BLOCK</x:v>
      </x:c>
      <x:c r="K31" s="32" t="str">
        <x:v>GLUTEN;MILK;EGG — DRAFT_NAME_BASED; not final until recipe and SKU labels</x:v>
      </x:c>
      <x:c r="L31" s="32" t="str">
        <x:v>UNKNOWN_PENDING_SITE_FLOW_AND_EQUIPMENT_MAP</x:v>
      </x:c>
      <x:c r="M31" s="32" t="str">
        <x:v>EVD-0003;EVD-0012;EVD-0013;EVD-0014;EVD-0015;EVD-FS-001;EVD-FS-002;EVD-FS-003</x:v>
      </x:c>
      <x:c r="N31" s="32" t="str">
        <x:v>No accepted recipe/SKU allergen dossier and no validated dish-specific critical limits, shelf life or site HACCP/PPK record</x:v>
      </x:c>
      <x:c r="O31" s="32" t="str">
        <x:v>Chef submits frozen recipe; Procurement submits SKU dossier; PPK owner validates hazards/limits and traceability before Gate B readiness review</x:v>
      </x:c>
    </x:row>
    <x:row r="32">
      <x:c r="A32" s="32" t="str">
        <x:v>FSC-027</x:v>
      </x:c>
      <x:c r="B32" s="32" t="str">
        <x:v>VKM-030</x:v>
      </x:c>
      <x:c r="C32" s="32" t="str">
        <x:v>Кростата с солёной карамелью</x:v>
      </x:c>
      <x:c r="D32" s="38" t="str">
        <x:v>null</x:v>
      </x:c>
      <x:c r="E32" s="38"/>
      <x:c r="F32" s="38"/>
      <x:c r="G32" s="38"/>
      <x:c r="H32" s="38"/>
      <x:c r="I32" s="32" t="str">
        <x:v>BLOCKED_PENDING_VALIDATION</x:v>
      </x:c>
      <x:c r="J32" s="32" t="str">
        <x:v>BLOCK</x:v>
      </x:c>
      <x:c r="K32" s="32" t="str">
        <x:v>GLUTEN;MILK;EGG — DRAFT_NAME_BASED; not final until recipe and SKU labels</x:v>
      </x:c>
      <x:c r="L32" s="32" t="str">
        <x:v>UNKNOWN_PENDING_SITE_FLOW_AND_EQUIPMENT_MAP</x:v>
      </x:c>
      <x:c r="M32" s="32" t="str">
        <x:v>EVD-0003;EVD-0012;EVD-0013;EVD-0014;EVD-0015;EVD-FS-001;EVD-FS-002;EVD-FS-003</x:v>
      </x:c>
      <x:c r="N32" s="32" t="str">
        <x:v>No accepted recipe/SKU allergen dossier and no validated dish-specific critical limits, shelf life or site HACCP/PPK record</x:v>
      </x:c>
      <x:c r="O32" s="32" t="str">
        <x:v>Chef submits frozen recipe; Procurement submits SKU dossier; PPK owner validates hazards/limits and traceability before Gate B readiness review</x:v>
      </x:c>
    </x:row>
    <x:row r="33">
      <x:c r="A33" s="32" t="str">
        <x:v>FSC-028</x:v>
      </x:c>
      <x:c r="B33" s="32" t="str">
        <x:v>VKM-031</x:v>
      </x:c>
      <x:c r="C33" s="32" t="str">
        <x:v>Мадлен</x:v>
      </x:c>
      <x:c r="D33" s="38" t="str">
        <x:v>null</x:v>
      </x:c>
      <x:c r="E33" s="38"/>
      <x:c r="F33" s="38"/>
      <x:c r="G33" s="38"/>
      <x:c r="H33" s="38"/>
      <x:c r="I33" s="32" t="str">
        <x:v>BLOCKED_PENDING_VALIDATION</x:v>
      </x:c>
      <x:c r="J33" s="32" t="str">
        <x:v>BLOCK</x:v>
      </x:c>
      <x:c r="K33" s="32" t="str">
        <x:v>GLUTEN;MILK;EGG — DRAFT_NAME_BASED; not final until recipe and SKU labels</x:v>
      </x:c>
      <x:c r="L33" s="32" t="str">
        <x:v>UNKNOWN_PENDING_SITE_FLOW_AND_EQUIPMENT_MAP</x:v>
      </x:c>
      <x:c r="M33" s="32" t="str">
        <x:v>EVD-0003;EVD-0012;EVD-0013;EVD-0014;EVD-0015;EVD-FS-001;EVD-FS-002;EVD-FS-003</x:v>
      </x:c>
      <x:c r="N33" s="32" t="str">
        <x:v>No accepted recipe/SKU allergen dossier and no validated dish-specific critical limits, shelf life or site HACCP/PPK record</x:v>
      </x:c>
      <x:c r="O33" s="32" t="str">
        <x:v>Chef submits frozen recipe; Procurement submits SKU dossier; PPK owner validates hazards/limits and traceability before Gate B readiness review</x:v>
      </x:c>
    </x:row>
  </x:sheetData>
  <x:mergeCells>
    <x:mergeCell ref="A1:O1"/>
    <x:mergeCell ref="A2:O2"/>
  </x:mergeCells>
  <x:conditionalFormatting sqref="I6:J33">
    <x:cfRule type="containsText" dxfId="20" priority="1" operator="containsText" text="BLOCK"/>
    <x:cfRule type="containsText" dxfId="21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0b71fd65eb424f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12" hidden="0" customWidth="1"/>
    <x:col min="5" max="5" width="14" hidden="0" customWidth="1"/>
    <x:col min="6" max="6" width="13" hidden="0" customWidth="1"/>
    <x:col min="7" max="7" width="14" hidden="0" customWidth="1"/>
    <x:col min="8" max="8" width="13" hidden="0" customWidth="1"/>
    <x:col min="9" max="9" width="14" hidden="0" customWidth="1"/>
    <x:col min="10" max="10" width="13" hidden="0" customWidth="1"/>
    <x:col min="11" max="11" width="14" hidden="0" customWidth="1"/>
    <x:col min="12" max="12" width="13" hidden="0" customWidth="1"/>
    <x:col min="13" max="13" width="9" hidden="0" customWidth="1"/>
    <x:col min="14" max="14" width="25" hidden="0" customWidth="1"/>
    <x:col min="15" max="15" width="30" hidden="0" customWidth="1"/>
    <x:col min="16" max="16" width="24" hidden="0" customWidth="1"/>
    <x:col min="17" max="17" width="55" hidden="0" customWidth="1"/>
  </x:cols>
  <x:sheetData>
    <x:row r="1" ht="30" customHeight="1">
      <x:c r="A1" s="26" t="str">
        <x:v>11 — Пищевая ценность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 ht="27" customHeight="1">
      <x:c r="A2" s="28" t="str">
        <x:v>All eight numeric nutrition fields are null for 28/28; no lab confirmation.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</x:row>
    <x:row r="5" ht="34" customHeight="1">
      <x:c r="A5" s="31" t="str">
        <x:v>Nutrition ID</x:v>
      </x:c>
      <x:c r="B5" s="31" t="str">
        <x:v>Dish ID</x:v>
      </x:c>
      <x:c r="C5" s="31" t="str">
        <x:v>Блюдо</x:v>
      </x:c>
      <x:c r="D5" s="31" t="str">
        <x:v>Portion g</x:v>
      </x:c>
      <x:c r="E5" s="31" t="str">
        <x:v>Protein/output</x:v>
      </x:c>
      <x:c r="F5" s="31" t="str">
        <x:v>Fat/output</x:v>
      </x:c>
      <x:c r="G5" s="31" t="str">
        <x:v>Carbs/output</x:v>
      </x:c>
      <x:c r="H5" s="31" t="str">
        <x:v>Kcal/output</x:v>
      </x:c>
      <x:c r="I5" s="31" t="str">
        <x:v>Protein/100g</x:v>
      </x:c>
      <x:c r="J5" s="31" t="str">
        <x:v>Fat/100g</x:v>
      </x:c>
      <x:c r="K5" s="31" t="str">
        <x:v>Carbs/100g</x:v>
      </x:c>
      <x:c r="L5" s="31" t="str">
        <x:v>Kcal/100g</x:v>
      </x:c>
      <x:c r="M5" s="31" t="str">
        <x:v>Lab</x:v>
      </x:c>
      <x:c r="N5" s="31" t="str">
        <x:v>Status</x:v>
      </x:c>
      <x:c r="O5" s="31" t="str">
        <x:v>Evidence</x:v>
      </x:c>
      <x:c r="P5" s="31" t="str">
        <x:v>Blockers</x:v>
      </x:c>
      <x:c r="Q5" s="31" t="str">
        <x:v>Next action</x:v>
      </x:c>
    </x:row>
    <x:row r="6">
      <x:c r="A6" s="32" t="str">
        <x:v>NUT-DISH-001</x:v>
      </x:c>
      <x:c r="B6" s="32" t="str">
        <x:v>VKM-001</x:v>
      </x:c>
      <x:c r="C6" s="32" t="str">
        <x:v>Маргарита</x:v>
      </x:c>
      <x:c r="D6" s="32" t="n">
        <x:v>450</x:v>
      </x:c>
      <x:c r="E6" s="38"/>
      <x:c r="F6" s="38"/>
      <x:c r="G6" s="38"/>
      <x:c r="H6" s="38"/>
      <x:c r="I6" s="38"/>
      <x:c r="J6" s="38"/>
      <x:c r="K6" s="38"/>
      <x:c r="L6" s="38"/>
      <x:c r="M6" s="32" t="str">
        <x:v>false</x:v>
      </x:c>
      <x:c r="N6" s="32" t="str">
        <x:v>BLOCKED_PENDING_VALIDATION</x:v>
      </x:c>
      <x:c r="O6" s="32" t="str">
        <x:v>EVD-0005;EVD-0007;EVD-0008;EVD-0027;EVD-0028;METHOD-NUT-001</x:v>
      </x:c>
      <x:c r="P6" s="32" t="str">
        <x:v>GAP-005;GAP-013;GAP-023</x:v>
      </x:c>
      <x:c r="Q6" s="32" t="str">
        <x:v>Map every ingredient to an accepted composition record, resolve processed-state/yield basis, rebuild and review</x:v>
      </x:c>
    </x:row>
    <x:row r="7">
      <x:c r="A7" s="32" t="str">
        <x:v>NUT-DISH-002</x:v>
      </x:c>
      <x:c r="B7" s="32" t="str">
        <x:v>VKM-002</x:v>
      </x:c>
      <x:c r="C7" s="32" t="str">
        <x:v>Четыре сыра</x:v>
      </x:c>
      <x:c r="D7" s="32" t="n">
        <x:v>480</x:v>
      </x:c>
      <x:c r="E7" s="38"/>
      <x:c r="F7" s="38"/>
      <x:c r="G7" s="38"/>
      <x:c r="H7" s="38"/>
      <x:c r="I7" s="38"/>
      <x:c r="J7" s="38"/>
      <x:c r="K7" s="38"/>
      <x:c r="L7" s="38"/>
      <x:c r="M7" s="32" t="str">
        <x:v>false</x:v>
      </x:c>
      <x:c r="N7" s="32" t="str">
        <x:v>BLOCKED_PENDING_VALIDATION</x:v>
      </x:c>
      <x:c r="O7" s="32" t="str">
        <x:v>EVD-0005;EVD-0007;EVD-0008;EVD-0027;EVD-0028;METHOD-NUT-001</x:v>
      </x:c>
      <x:c r="P7" s="32" t="str">
        <x:v>GAP-005;GAP-013;GAP-023</x:v>
      </x:c>
      <x:c r="Q7" s="32" t="str">
        <x:v>Map every ingredient to an accepted composition record, resolve processed-state/yield basis, rebuild and review</x:v>
      </x:c>
    </x:row>
    <x:row r="8">
      <x:c r="A8" s="32" t="str">
        <x:v>NUT-DISH-003</x:v>
      </x:c>
      <x:c r="B8" s="32" t="str">
        <x:v>VKM-003</x:v>
      </x:c>
      <x:c r="C8" s="32" t="str">
        <x:v>Грибная с ветчиной</x:v>
      </x:c>
      <x:c r="D8" s="32" t="n">
        <x:v>500</x:v>
      </x:c>
      <x:c r="E8" s="38"/>
      <x:c r="F8" s="38"/>
      <x:c r="G8" s="38"/>
      <x:c r="H8" s="38"/>
      <x:c r="I8" s="38"/>
      <x:c r="J8" s="38"/>
      <x:c r="K8" s="38"/>
      <x:c r="L8" s="38"/>
      <x:c r="M8" s="32" t="str">
        <x:v>false</x:v>
      </x:c>
      <x:c r="N8" s="32" t="str">
        <x:v>BLOCKED_PENDING_VALIDATION</x:v>
      </x:c>
      <x:c r="O8" s="32" t="str">
        <x:v>EVD-0005;EVD-0007;EVD-0008;EVD-0027;EVD-0028;METHOD-NUT-001</x:v>
      </x:c>
      <x:c r="P8" s="32" t="str">
        <x:v>GAP-005;GAP-013;GAP-023</x:v>
      </x:c>
      <x:c r="Q8" s="32" t="str">
        <x:v>Map every ingredient to an accepted composition record, resolve processed-state/yield basis, rebuild and review</x:v>
      </x:c>
    </x:row>
    <x:row r="9">
      <x:c r="A9" s="32" t="str">
        <x:v>NUT-DISH-004</x:v>
      </x:c>
      <x:c r="B9" s="32" t="str">
        <x:v>VKM-004</x:v>
      </x:c>
      <x:c r="C9" s="32" t="str">
        <x:v>Пепперони</x:v>
      </x:c>
      <x:c r="D9" s="32" t="n">
        <x:v>500</x:v>
      </x:c>
      <x:c r="E9" s="38"/>
      <x:c r="F9" s="38"/>
      <x:c r="G9" s="38"/>
      <x:c r="H9" s="38"/>
      <x:c r="I9" s="38"/>
      <x:c r="J9" s="38"/>
      <x:c r="K9" s="38"/>
      <x:c r="L9" s="38"/>
      <x:c r="M9" s="32" t="str">
        <x:v>false</x:v>
      </x:c>
      <x:c r="N9" s="32" t="str">
        <x:v>BLOCKED_PENDING_VALIDATION</x:v>
      </x:c>
      <x:c r="O9" s="32" t="str">
        <x:v>EVD-0005;EVD-0007;EVD-0008;EVD-0027;EVD-0028;METHOD-NUT-001</x:v>
      </x:c>
      <x:c r="P9" s="32" t="str">
        <x:v>GAP-005;GAP-013;GAP-023</x:v>
      </x:c>
      <x:c r="Q9" s="32" t="str">
        <x:v>Map every ingredient to an accepted composition record, resolve processed-state/yield basis, rebuild and review</x:v>
      </x:c>
    </x:row>
    <x:row r="10">
      <x:c r="A10" s="32" t="str">
        <x:v>NUT-DISH-005</x:v>
      </x:c>
      <x:c r="B10" s="32" t="str">
        <x:v>VKM-005</x:v>
      </x:c>
      <x:c r="C10" s="32" t="str">
        <x:v>Белая чиабатта</x:v>
      </x:c>
      <x:c r="D10" s="32" t="n">
        <x:v>100</x:v>
      </x:c>
      <x:c r="E10" s="38"/>
      <x:c r="F10" s="38"/>
      <x:c r="G10" s="38"/>
      <x:c r="H10" s="38"/>
      <x:c r="I10" s="38"/>
      <x:c r="J10" s="38"/>
      <x:c r="K10" s="38"/>
      <x:c r="L10" s="38"/>
      <x:c r="M10" s="32" t="str">
        <x:v>false</x:v>
      </x:c>
      <x:c r="N10" s="32" t="str">
        <x:v>BLOCKED_PENDING_VALIDATION</x:v>
      </x:c>
      <x:c r="O10" s="32" t="str">
        <x:v>EVD-0005;EVD-0007;EVD-0008;EVD-0027;EVD-0028;METHOD-NUT-001</x:v>
      </x:c>
      <x:c r="P10" s="32" t="str">
        <x:v>GAP-005;GAP-013;GAP-023</x:v>
      </x:c>
      <x:c r="Q10" s="32" t="str">
        <x:v>Map every ingredient to an accepted composition record, resolve processed-state/yield basis, rebuild and review</x:v>
      </x:c>
    </x:row>
    <x:row r="11">
      <x:c r="A11" s="32" t="str">
        <x:v>NUT-DISH-006</x:v>
      </x:c>
      <x:c r="B11" s="32" t="str">
        <x:v>VKM-006</x:v>
      </x:c>
      <x:c r="C11" s="32" t="str">
        <x:v>Томатная чиабатта</x:v>
      </x:c>
      <x:c r="D11" s="32" t="n">
        <x:v>100</x:v>
      </x:c>
      <x:c r="E11" s="38"/>
      <x:c r="F11" s="38"/>
      <x:c r="G11" s="38"/>
      <x:c r="H11" s="38"/>
      <x:c r="I11" s="38"/>
      <x:c r="J11" s="38"/>
      <x:c r="K11" s="38"/>
      <x:c r="L11" s="38"/>
      <x:c r="M11" s="32" t="str">
        <x:v>false</x:v>
      </x:c>
      <x:c r="N11" s="32" t="str">
        <x:v>BLOCKED_PENDING_VALIDATION</x:v>
      </x:c>
      <x:c r="O11" s="32" t="str">
        <x:v>EVD-0005;EVD-0007;EVD-0008;EVD-0027;EVD-0028;METHOD-NUT-001</x:v>
      </x:c>
      <x:c r="P11" s="32" t="str">
        <x:v>GAP-005;GAP-013;GAP-023</x:v>
      </x:c>
      <x:c r="Q11" s="32" t="str">
        <x:v>Map every ingredient to an accepted composition record, resolve processed-state/yield basis, rebuild and review</x:v>
      </x:c>
    </x:row>
    <x:row r="12">
      <x:c r="A12" s="32" t="str">
        <x:v>NUT-DISH-007</x:v>
      </x:c>
      <x:c r="B12" s="32" t="str">
        <x:v>VKM-007</x:v>
      </x:c>
      <x:c r="C12" s="32" t="str">
        <x:v>Бородинский хлеб</x:v>
      </x:c>
      <x:c r="D12" s="32" t="n">
        <x:v>350</x:v>
      </x:c>
      <x:c r="E12" s="38"/>
      <x:c r="F12" s="38"/>
      <x:c r="G12" s="38"/>
      <x:c r="H12" s="38"/>
      <x:c r="I12" s="38"/>
      <x:c r="J12" s="38"/>
      <x:c r="K12" s="38"/>
      <x:c r="L12" s="38"/>
      <x:c r="M12" s="32" t="str">
        <x:v>false</x:v>
      </x:c>
      <x:c r="N12" s="32" t="str">
        <x:v>BLOCKED_PENDING_VALIDATION</x:v>
      </x:c>
      <x:c r="O12" s="32" t="str">
        <x:v>EVD-0005;EVD-0007;EVD-0008;EVD-0027;EVD-0028;METHOD-NUT-001</x:v>
      </x:c>
      <x:c r="P12" s="32" t="str">
        <x:v>GAP-005;GAP-013;GAP-023</x:v>
      </x:c>
      <x:c r="Q12" s="32" t="str">
        <x:v>Map every ingredient to an accepted composition record, resolve processed-state/yield basis, rebuild and review</x:v>
      </x:c>
    </x:row>
    <x:row r="13">
      <x:c r="A13" s="32" t="str">
        <x:v>NUT-DISH-008</x:v>
      </x:c>
      <x:c r="B13" s="32" t="str">
        <x:v>VKM-008</x:v>
      </x:c>
      <x:c r="C13" s="32" t="str">
        <x:v>Бриошь</x:v>
      </x:c>
      <x:c r="D13" s="32" t="n">
        <x:v>85</x:v>
      </x:c>
      <x:c r="E13" s="38"/>
      <x:c r="F13" s="38"/>
      <x:c r="G13" s="38"/>
      <x:c r="H13" s="38"/>
      <x:c r="I13" s="38"/>
      <x:c r="J13" s="38"/>
      <x:c r="K13" s="38"/>
      <x:c r="L13" s="38"/>
      <x:c r="M13" s="32" t="str">
        <x:v>false</x:v>
      </x:c>
      <x:c r="N13" s="32" t="str">
        <x:v>BLOCKED_PENDING_VALIDATION</x:v>
      </x:c>
      <x:c r="O13" s="32" t="str">
        <x:v>EVD-0005;EVD-0007;EVD-0008;EVD-0027;EVD-0028;METHOD-NUT-001</x:v>
      </x:c>
      <x:c r="P13" s="32" t="str">
        <x:v>GAP-005;GAP-013;GAP-023</x:v>
      </x:c>
      <x:c r="Q13" s="32" t="str">
        <x:v>Map every ingredient to an accepted composition record, resolve processed-state/yield basis, rebuild and review</x:v>
      </x:c>
    </x:row>
    <x:row r="14">
      <x:c r="A14" s="32" t="str">
        <x:v>NUT-DISH-009</x:v>
      </x:c>
      <x:c r="B14" s="32" t="str">
        <x:v>VKM-009</x:v>
      </x:c>
      <x:c r="C14" s="32" t="str">
        <x:v>Буррата с томатами</x:v>
      </x:c>
      <x:c r="D14" s="32" t="n">
        <x:v>300</x:v>
      </x:c>
      <x:c r="E14" s="38"/>
      <x:c r="F14" s="38"/>
      <x:c r="G14" s="38"/>
      <x:c r="H14" s="38"/>
      <x:c r="I14" s="38"/>
      <x:c r="J14" s="38"/>
      <x:c r="K14" s="38"/>
      <x:c r="L14" s="38"/>
      <x:c r="M14" s="32" t="str">
        <x:v>false</x:v>
      </x:c>
      <x:c r="N14" s="32" t="str">
        <x:v>BLOCKED_PENDING_VALIDATION</x:v>
      </x:c>
      <x:c r="O14" s="32" t="str">
        <x:v>EVD-0005;EVD-0007;EVD-0008;EVD-0027;EVD-0028;METHOD-NUT-001</x:v>
      </x:c>
      <x:c r="P14" s="32" t="str">
        <x:v>GAP-005;GAP-013;GAP-023</x:v>
      </x:c>
      <x:c r="Q14" s="32" t="str">
        <x:v>Map every ingredient to an accepted composition record, resolve processed-state/yield basis, rebuild and review</x:v>
      </x:c>
    </x:row>
    <x:row r="15">
      <x:c r="A15" s="32" t="str">
        <x:v>NUT-DISH-010</x:v>
      </x:c>
      <x:c r="B15" s="32" t="str">
        <x:v>VKM-010</x:v>
      </x:c>
      <x:c r="C15" s="32" t="str">
        <x:v>Микс-салат с креветками и яблоком</x:v>
      </x:c>
      <x:c r="D15" s="32" t="n">
        <x:v>280</x:v>
      </x:c>
      <x:c r="E15" s="38"/>
      <x:c r="F15" s="38"/>
      <x:c r="G15" s="38"/>
      <x:c r="H15" s="38"/>
      <x:c r="I15" s="38"/>
      <x:c r="J15" s="38"/>
      <x:c r="K15" s="38"/>
      <x:c r="L15" s="38"/>
      <x:c r="M15" s="32" t="str">
        <x:v>false</x:v>
      </x:c>
      <x:c r="N15" s="32" t="str">
        <x:v>BLOCKED_PENDING_VALIDATION</x:v>
      </x:c>
      <x:c r="O15" s="32" t="str">
        <x:v>EVD-0005;EVD-0007;EVD-0008;EVD-0027;EVD-0028;METHOD-NUT-001</x:v>
      </x:c>
      <x:c r="P15" s="32" t="str">
        <x:v>GAP-005;GAP-013;GAP-023</x:v>
      </x:c>
      <x:c r="Q15" s="32" t="str">
        <x:v>Map every ingredient to an accepted composition record, resolve processed-state/yield basis, rebuild and review</x:v>
      </x:c>
    </x:row>
    <x:row r="16">
      <x:c r="A16" s="32" t="str">
        <x:v>NUT-DISH-011</x:v>
      </x:c>
      <x:c r="B16" s="32" t="str">
        <x:v>VKM-011</x:v>
      </x:c>
      <x:c r="C16" s="32" t="str">
        <x:v>Греческий</x:v>
      </x:c>
      <x:c r="D16" s="32" t="n">
        <x:v>270</x:v>
      </x:c>
      <x:c r="E16" s="38"/>
      <x:c r="F16" s="38"/>
      <x:c r="G16" s="38"/>
      <x:c r="H16" s="38"/>
      <x:c r="I16" s="38"/>
      <x:c r="J16" s="38"/>
      <x:c r="K16" s="38"/>
      <x:c r="L16" s="38"/>
      <x:c r="M16" s="32" t="str">
        <x:v>false</x:v>
      </x:c>
      <x:c r="N16" s="32" t="str">
        <x:v>BLOCKED_PENDING_VALIDATION</x:v>
      </x:c>
      <x:c r="O16" s="32" t="str">
        <x:v>EVD-0005;EVD-0007;EVD-0008;EVD-0027;EVD-0028;METHOD-NUT-001</x:v>
      </x:c>
      <x:c r="P16" s="32" t="str">
        <x:v>GAP-005;GAP-013;GAP-023</x:v>
      </x:c>
      <x:c r="Q16" s="32" t="str">
        <x:v>Map every ingredient to an accepted composition record, resolve processed-state/yield basis, rebuild and review</x:v>
      </x:c>
    </x:row>
    <x:row r="17">
      <x:c r="A17" s="32" t="str">
        <x:v>NUT-DISH-012</x:v>
      </x:c>
      <x:c r="B17" s="32" t="str">
        <x:v>VKM-012</x:v>
      </x:c>
      <x:c r="C17" s="32" t="str">
        <x:v>Винегрет</x:v>
      </x:c>
      <x:c r="D17" s="32" t="n">
        <x:v>240</x:v>
      </x:c>
      <x:c r="E17" s="38"/>
      <x:c r="F17" s="38"/>
      <x:c r="G17" s="38"/>
      <x:c r="H17" s="38"/>
      <x:c r="I17" s="38"/>
      <x:c r="J17" s="38"/>
      <x:c r="K17" s="38"/>
      <x:c r="L17" s="38"/>
      <x:c r="M17" s="32" t="str">
        <x:v>false</x:v>
      </x:c>
      <x:c r="N17" s="32" t="str">
        <x:v>BLOCKED_PENDING_VALIDATION</x:v>
      </x:c>
      <x:c r="O17" s="32" t="str">
        <x:v>EVD-0005;EVD-0007;EVD-0008;EVD-0027;EVD-0028;METHOD-NUT-001</x:v>
      </x:c>
      <x:c r="P17" s="32" t="str">
        <x:v>GAP-005;GAP-013;GAP-023</x:v>
      </x:c>
      <x:c r="Q17" s="32" t="str">
        <x:v>Map every ingredient to an accepted composition record, resolve processed-state/yield basis, rebuild and review</x:v>
      </x:c>
    </x:row>
    <x:row r="18">
      <x:c r="A18" s="32" t="str">
        <x:v>NUT-DISH-013</x:v>
      </x:c>
      <x:c r="B18" s="32" t="str">
        <x:v>VKM-013</x:v>
      </x:c>
      <x:c r="C18" s="32" t="str">
        <x:v>Слабосолёный лосось</x:v>
      </x:c>
      <x:c r="D18" s="32" t="n">
        <x:v>130</x:v>
      </x:c>
      <x:c r="E18" s="38"/>
      <x:c r="F18" s="38"/>
      <x:c r="G18" s="38"/>
      <x:c r="H18" s="38"/>
      <x:c r="I18" s="38"/>
      <x:c r="J18" s="38"/>
      <x:c r="K18" s="38"/>
      <x:c r="L18" s="38"/>
      <x:c r="M18" s="32" t="str">
        <x:v>false</x:v>
      </x:c>
      <x:c r="N18" s="32" t="str">
        <x:v>BLOCKED_PENDING_VALIDATION</x:v>
      </x:c>
      <x:c r="O18" s="32" t="str">
        <x:v>EVD-0005;EVD-0007;EVD-0008;EVD-0027;EVD-0028;METHOD-NUT-001</x:v>
      </x:c>
      <x:c r="P18" s="32" t="str">
        <x:v>GAP-005;GAP-013;GAP-023</x:v>
      </x:c>
      <x:c r="Q18" s="32" t="str">
        <x:v>Map every ingredient to an accepted composition record, resolve processed-state/yield basis, rebuild and review</x:v>
      </x:c>
    </x:row>
    <x:row r="19">
      <x:c r="A19" s="32" t="str">
        <x:v>NUT-DISH-014</x:v>
      </x:c>
      <x:c r="B19" s="32" t="str">
        <x:v>VKM-014</x:v>
      </x:c>
      <x:c r="C19" s="32" t="str">
        <x:v>Сельдь с запечённым картофелем</x:v>
      </x:c>
      <x:c r="D19" s="32" t="n">
        <x:v>250</x:v>
      </x:c>
      <x:c r="E19" s="38"/>
      <x:c r="F19" s="38"/>
      <x:c r="G19" s="38"/>
      <x:c r="H19" s="38"/>
      <x:c r="I19" s="38"/>
      <x:c r="J19" s="38"/>
      <x:c r="K19" s="38"/>
      <x:c r="L19" s="38"/>
      <x:c r="M19" s="32" t="str">
        <x:v>false</x:v>
      </x:c>
      <x:c r="N19" s="32" t="str">
        <x:v>BLOCKED_PENDING_VALIDATION</x:v>
      </x:c>
      <x:c r="O19" s="32" t="str">
        <x:v>EVD-0005;EVD-0007;EVD-0008;EVD-0027;EVD-0028;METHOD-NUT-001</x:v>
      </x:c>
      <x:c r="P19" s="32" t="str">
        <x:v>GAP-005;GAP-013;GAP-023</x:v>
      </x:c>
      <x:c r="Q19" s="32" t="str">
        <x:v>Map every ingredient to an accepted composition record, resolve processed-state/yield basis, rebuild and review</x:v>
      </x:c>
    </x:row>
    <x:row r="20">
      <x:c r="A20" s="32" t="str">
        <x:v>NUT-DISH-015</x:v>
      </x:c>
      <x:c r="B20" s="32" t="str">
        <x:v>VKM-015</x:v>
      </x:c>
      <x:c r="C20" s="32" t="str">
        <x:v>Оливки и маслины</x:v>
      </x:c>
      <x:c r="D20" s="32" t="n">
        <x:v>120</x:v>
      </x:c>
      <x:c r="E20" s="38"/>
      <x:c r="F20" s="38"/>
      <x:c r="G20" s="38"/>
      <x:c r="H20" s="38"/>
      <x:c r="I20" s="38"/>
      <x:c r="J20" s="38"/>
      <x:c r="K20" s="38"/>
      <x:c r="L20" s="38"/>
      <x:c r="M20" s="32" t="str">
        <x:v>false</x:v>
      </x:c>
      <x:c r="N20" s="32" t="str">
        <x:v>BLOCKED_PENDING_VALIDATION</x:v>
      </x:c>
      <x:c r="O20" s="32" t="str">
        <x:v>EVD-0005;EVD-0007;EVD-0008;EVD-0027;EVD-0028;METHOD-NUT-001</x:v>
      </x:c>
      <x:c r="P20" s="32" t="str">
        <x:v>GAP-005;GAP-013;GAP-023</x:v>
      </x:c>
      <x:c r="Q20" s="32" t="str">
        <x:v>Map every ingredient to an accepted composition record, resolve processed-state/yield basis, rebuild and review</x:v>
      </x:c>
    </x:row>
    <x:row r="21">
      <x:c r="A21" s="32" t="str">
        <x:v>NUT-DISH-016</x:v>
      </x:c>
      <x:c r="B21" s="32" t="str">
        <x:v>VKM-016</x:v>
      </x:c>
      <x:c r="C21" s="32" t="str">
        <x:v>Ассорти фирменных солений</x:v>
      </x:c>
      <x:c r="D21" s="32" t="n">
        <x:v>180</x:v>
      </x:c>
      <x:c r="E21" s="38"/>
      <x:c r="F21" s="38"/>
      <x:c r="G21" s="38"/>
      <x:c r="H21" s="38"/>
      <x:c r="I21" s="38"/>
      <x:c r="J21" s="38"/>
      <x:c r="K21" s="38"/>
      <x:c r="L21" s="38"/>
      <x:c r="M21" s="32" t="str">
        <x:v>false</x:v>
      </x:c>
      <x:c r="N21" s="32" t="str">
        <x:v>BLOCKED_PENDING_VALIDATION</x:v>
      </x:c>
      <x:c r="O21" s="32" t="str">
        <x:v>EVD-0005;EVD-0007;EVD-0008;EVD-0027;EVD-0028;METHOD-NUT-001</x:v>
      </x:c>
      <x:c r="P21" s="32" t="str">
        <x:v>GAP-005;GAP-013;GAP-023</x:v>
      </x:c>
      <x:c r="Q21" s="32" t="str">
        <x:v>Map every ingredient to an accepted composition record, resolve processed-state/yield basis, rebuild and review</x:v>
      </x:c>
    </x:row>
    <x:row r="22">
      <x:c r="A22" s="32" t="str">
        <x:v>NUT-DISH-017</x:v>
      </x:c>
      <x:c r="B22" s="32" t="str">
        <x:v>VKM-017</x:v>
      </x:c>
      <x:c r="C22" s="32" t="str">
        <x:v>Ростбиф с луком и гренкой</x:v>
      </x:c>
      <x:c r="D22" s="32" t="n">
        <x:v>180</x:v>
      </x:c>
      <x:c r="E22" s="38"/>
      <x:c r="F22" s="38"/>
      <x:c r="G22" s="38"/>
      <x:c r="H22" s="38"/>
      <x:c r="I22" s="38"/>
      <x:c r="J22" s="38"/>
      <x:c r="K22" s="38"/>
      <x:c r="L22" s="38"/>
      <x:c r="M22" s="32" t="str">
        <x:v>false</x:v>
      </x:c>
      <x:c r="N22" s="32" t="str">
        <x:v>BLOCKED_PENDING_VALIDATION</x:v>
      </x:c>
      <x:c r="O22" s="32" t="str">
        <x:v>EVD-0005;EVD-0007;EVD-0008;EVD-0027;EVD-0028;METHOD-NUT-001</x:v>
      </x:c>
      <x:c r="P22" s="32" t="str">
        <x:v>GAP-005;GAP-013;GAP-023</x:v>
      </x:c>
      <x:c r="Q22" s="32" t="str">
        <x:v>Map every ingredient to an accepted composition record, resolve processed-state/yield basis, rebuild and review</x:v>
      </x:c>
    </x:row>
    <x:row r="23">
      <x:c r="A23" s="32" t="str">
        <x:v>NUT-DISH-018</x:v>
      </x:c>
      <x:c r="B23" s="32" t="str">
        <x:v>VKM-018</x:v>
      </x:c>
      <x:c r="C23" s="32" t="str">
        <x:v>Традиционный красный борщ</x:v>
      </x:c>
      <x:c r="D23" s="32" t="n">
        <x:v>400</x:v>
      </x:c>
      <x:c r="E23" s="38"/>
      <x:c r="F23" s="38"/>
      <x:c r="G23" s="38"/>
      <x:c r="H23" s="38"/>
      <x:c r="I23" s="38"/>
      <x:c r="J23" s="38"/>
      <x:c r="K23" s="38"/>
      <x:c r="L23" s="38"/>
      <x:c r="M23" s="32" t="str">
        <x:v>false</x:v>
      </x:c>
      <x:c r="N23" s="32" t="str">
        <x:v>BLOCKED_PENDING_VALIDATION</x:v>
      </x:c>
      <x:c r="O23" s="32" t="str">
        <x:v>EVD-0005;EVD-0007;EVD-0008;EVD-0027;EVD-0028;METHOD-NUT-001</x:v>
      </x:c>
      <x:c r="P23" s="32" t="str">
        <x:v>GAP-005;GAP-013;GAP-023</x:v>
      </x:c>
      <x:c r="Q23" s="32" t="str">
        <x:v>Map every ingredient to an accepted composition record, resolve processed-state/yield basis, rebuild and review</x:v>
      </x:c>
    </x:row>
    <x:row r="24">
      <x:c r="A24" s="32" t="str">
        <x:v>NUT-DISH-019</x:v>
      </x:c>
      <x:c r="B24" s="32" t="str">
        <x:v>VKM-019</x:v>
      </x:c>
      <x:c r="C24" s="32" t="str">
        <x:v>Мурманская треска со сливочно-горчичным соусом</x:v>
      </x:c>
      <x:c r="D24" s="32" t="n">
        <x:v>300</x:v>
      </x:c>
      <x:c r="E24" s="38"/>
      <x:c r="F24" s="38"/>
      <x:c r="G24" s="38"/>
      <x:c r="H24" s="38"/>
      <x:c r="I24" s="38"/>
      <x:c r="J24" s="38"/>
      <x:c r="K24" s="38"/>
      <x:c r="L24" s="38"/>
      <x:c r="M24" s="32" t="str">
        <x:v>false</x:v>
      </x:c>
      <x:c r="N24" s="32" t="str">
        <x:v>BLOCKED_PENDING_VALIDATION</x:v>
      </x:c>
      <x:c r="O24" s="32" t="str">
        <x:v>EVD-0005;EVD-0007;EVD-0008;EVD-0027;EVD-0028;METHOD-NUT-001</x:v>
      </x:c>
      <x:c r="P24" s="32" t="str">
        <x:v>GAP-005;GAP-013;GAP-023</x:v>
      </x:c>
      <x:c r="Q24" s="32" t="str">
        <x:v>Map every ingredient to an accepted composition record, resolve processed-state/yield basis, rebuild and review</x:v>
      </x:c>
    </x:row>
    <x:row r="25">
      <x:c r="A25" s="32" t="str">
        <x:v>NUT-DISH-020</x:v>
      </x:c>
      <x:c r="B25" s="32" t="str">
        <x:v>VKM-020</x:v>
      </x:c>
      <x:c r="C25" s="32" t="str">
        <x:v>Креветки по-тайски</x:v>
      </x:c>
      <x:c r="D25" s="32" t="n">
        <x:v>360</x:v>
      </x:c>
      <x:c r="E25" s="38"/>
      <x:c r="F25" s="38"/>
      <x:c r="G25" s="38"/>
      <x:c r="H25" s="38"/>
      <x:c r="I25" s="38"/>
      <x:c r="J25" s="38"/>
      <x:c r="K25" s="38"/>
      <x:c r="L25" s="38"/>
      <x:c r="M25" s="32" t="str">
        <x:v>false</x:v>
      </x:c>
      <x:c r="N25" s="32" t="str">
        <x:v>BLOCKED_PENDING_VALIDATION</x:v>
      </x:c>
      <x:c r="O25" s="32" t="str">
        <x:v>EVD-0005;EVD-0007;EVD-0008;EVD-0027;EVD-0028;METHOD-NUT-001</x:v>
      </x:c>
      <x:c r="P25" s="32" t="str">
        <x:v>GAP-005;GAP-013;GAP-023</x:v>
      </x:c>
      <x:c r="Q25" s="32" t="str">
        <x:v>Map every ingredient to an accepted composition record, resolve processed-state/yield basis, rebuild and review</x:v>
      </x:c>
    </x:row>
    <x:row r="26">
      <x:c r="A26" s="32" t="str">
        <x:v>NUT-DISH-021</x:v>
      </x:c>
      <x:c r="B26" s="32" t="str">
        <x:v>VKM-021</x:v>
      </x:c>
      <x:c r="C26" s="32" t="str">
        <x:v>Бургер VARSHAVKA</x:v>
      </x:c>
      <x:c r="D26" s="32" t="n">
        <x:v>350</x:v>
      </x:c>
      <x:c r="E26" s="38"/>
      <x:c r="F26" s="38"/>
      <x:c r="G26" s="38"/>
      <x:c r="H26" s="38"/>
      <x:c r="I26" s="38"/>
      <x:c r="J26" s="38"/>
      <x:c r="K26" s="38"/>
      <x:c r="L26" s="38"/>
      <x:c r="M26" s="32" t="str">
        <x:v>false</x:v>
      </x:c>
      <x:c r="N26" s="32" t="str">
        <x:v>BLOCKED_PENDING_VALIDATION</x:v>
      </x:c>
      <x:c r="O26" s="32" t="str">
        <x:v>EVD-0005;EVD-0007;EVD-0008;EVD-0027;EVD-0028;METHOD-NUT-001</x:v>
      </x:c>
      <x:c r="P26" s="32" t="str">
        <x:v>GAP-005;GAP-013;GAP-023</x:v>
      </x:c>
      <x:c r="Q26" s="32" t="str">
        <x:v>Map every ingredient to an accepted composition record, resolve processed-state/yield basis, rebuild and review</x:v>
      </x:c>
    </x:row>
    <x:row r="27">
      <x:c r="A27" s="32" t="str">
        <x:v>NUT-DISH-022</x:v>
      </x:c>
      <x:c r="B27" s="32" t="str">
        <x:v>VKM-022</x:v>
      </x:c>
      <x:c r="C27" s="32" t="str">
        <x:v>Миньоны из говяжьей вырезки</x:v>
      </x:c>
      <x:c r="D27" s="32" t="n">
        <x:v>300</x:v>
      </x:c>
      <x:c r="E27" s="38"/>
      <x:c r="F27" s="38"/>
      <x:c r="G27" s="38"/>
      <x:c r="H27" s="38"/>
      <x:c r="I27" s="38"/>
      <x:c r="J27" s="38"/>
      <x:c r="K27" s="38"/>
      <x:c r="L27" s="38"/>
      <x:c r="M27" s="32" t="str">
        <x:v>false</x:v>
      </x:c>
      <x:c r="N27" s="32" t="str">
        <x:v>BLOCKED_PENDING_VALIDATION</x:v>
      </x:c>
      <x:c r="O27" s="32" t="str">
        <x:v>EVD-0005;EVD-0007;EVD-0008;EVD-0027;EVD-0028;METHOD-NUT-001</x:v>
      </x:c>
      <x:c r="P27" s="32" t="str">
        <x:v>GAP-005;GAP-013;GAP-023</x:v>
      </x:c>
      <x:c r="Q27" s="32" t="str">
        <x:v>Map every ingredient to an accepted composition record, resolve processed-state/yield basis, rebuild and review</x:v>
      </x:c>
    </x:row>
    <x:row r="28">
      <x:c r="A28" s="32" t="str">
        <x:v>NUT-DISH-023</x:v>
      </x:c>
      <x:c r="B28" s="32" t="str">
        <x:v>VKM-023</x:v>
      </x:c>
      <x:c r="C28" s="32" t="str">
        <x:v>Запечённый картофель</x:v>
      </x:c>
      <x:c r="D28" s="32" t="n">
        <x:v>150</x:v>
      </x:c>
      <x:c r="E28" s="38"/>
      <x:c r="F28" s="38"/>
      <x:c r="G28" s="38"/>
      <x:c r="H28" s="38"/>
      <x:c r="I28" s="38"/>
      <x:c r="J28" s="38"/>
      <x:c r="K28" s="38"/>
      <x:c r="L28" s="38"/>
      <x:c r="M28" s="32" t="str">
        <x:v>false</x:v>
      </x:c>
      <x:c r="N28" s="32" t="str">
        <x:v>BLOCKED_PENDING_VALIDATION</x:v>
      </x:c>
      <x:c r="O28" s="32" t="str">
        <x:v>EVD-0005;EVD-0007;EVD-0008;EVD-0027;EVD-0028;METHOD-NUT-001</x:v>
      </x:c>
      <x:c r="P28" s="32" t="str">
        <x:v>GAP-005;GAP-013;GAP-023</x:v>
      </x:c>
      <x:c r="Q28" s="32" t="str">
        <x:v>Map every ingredient to an accepted composition record, resolve processed-state/yield basis, rebuild and review</x:v>
      </x:c>
    </x:row>
    <x:row r="29">
      <x:c r="A29" s="32" t="str">
        <x:v>NUT-DISH-024</x:v>
      </x:c>
      <x:c r="B29" s="32" t="str">
        <x:v>VKM-024</x:v>
      </x:c>
      <x:c r="C29" s="32" t="str">
        <x:v>Рис жасмин</x:v>
      </x:c>
      <x:c r="D29" s="32" t="n">
        <x:v>150</x:v>
      </x:c>
      <x:c r="E29" s="38"/>
      <x:c r="F29" s="38"/>
      <x:c r="G29" s="38"/>
      <x:c r="H29" s="38"/>
      <x:c r="I29" s="38"/>
      <x:c r="J29" s="38"/>
      <x:c r="K29" s="38"/>
      <x:c r="L29" s="38"/>
      <x:c r="M29" s="32" t="str">
        <x:v>false</x:v>
      </x:c>
      <x:c r="N29" s="32" t="str">
        <x:v>BLOCKED_PENDING_VALIDATION</x:v>
      </x:c>
      <x:c r="O29" s="32" t="str">
        <x:v>EVD-0005;EVD-0007;EVD-0008;EVD-0027;EVD-0028;METHOD-NUT-001</x:v>
      </x:c>
      <x:c r="P29" s="32" t="str">
        <x:v>GAP-005;GAP-013;GAP-023</x:v>
      </x:c>
      <x:c r="Q29" s="32" t="str">
        <x:v>Map every ingredient to an accepted composition record, resolve processed-state/yield basis, rebuild and review</x:v>
      </x:c>
    </x:row>
    <x:row r="30">
      <x:c r="A30" s="32" t="str">
        <x:v>NUT-DISH-025</x:v>
      </x:c>
      <x:c r="B30" s="32" t="str">
        <x:v>VKM-025</x:v>
      </x:c>
      <x:c r="C30" s="32" t="str">
        <x:v>Горячие овощи</x:v>
      </x:c>
      <x:c r="D30" s="32" t="n">
        <x:v>150</x:v>
      </x:c>
      <x:c r="E30" s="38"/>
      <x:c r="F30" s="38"/>
      <x:c r="G30" s="38"/>
      <x:c r="H30" s="38"/>
      <x:c r="I30" s="38"/>
      <x:c r="J30" s="38"/>
      <x:c r="K30" s="38"/>
      <x:c r="L30" s="38"/>
      <x:c r="M30" s="32" t="str">
        <x:v>false</x:v>
      </x:c>
      <x:c r="N30" s="32" t="str">
        <x:v>BLOCKED_PENDING_VALIDATION</x:v>
      </x:c>
      <x:c r="O30" s="32" t="str">
        <x:v>EVD-0005;EVD-0007;EVD-0008;EVD-0027;EVD-0028;METHOD-NUT-001</x:v>
      </x:c>
      <x:c r="P30" s="32" t="str">
        <x:v>GAP-005;GAP-013;GAP-023</x:v>
      </x:c>
      <x:c r="Q30" s="32" t="str">
        <x:v>Map every ingredient to an accepted composition record, resolve processed-state/yield basis, rebuild and review</x:v>
      </x:c>
    </x:row>
    <x:row r="31">
      <x:c r="A31" s="32" t="str">
        <x:v>NUT-DISH-026</x:v>
      </x:c>
      <x:c r="B31" s="32" t="str">
        <x:v>VKM-029</x:v>
      </x:c>
      <x:c r="C31" s="32" t="str">
        <x:v>Черничный торт VARSHAVKA</x:v>
      </x:c>
      <x:c r="D31" s="32" t="n">
        <x:v>150</x:v>
      </x:c>
      <x:c r="E31" s="38"/>
      <x:c r="F31" s="38"/>
      <x:c r="G31" s="38"/>
      <x:c r="H31" s="38"/>
      <x:c r="I31" s="38"/>
      <x:c r="J31" s="38"/>
      <x:c r="K31" s="38"/>
      <x:c r="L31" s="38"/>
      <x:c r="M31" s="32" t="str">
        <x:v>false</x:v>
      </x:c>
      <x:c r="N31" s="32" t="str">
        <x:v>BLOCKED_PENDING_VALIDATION</x:v>
      </x:c>
      <x:c r="O31" s="32" t="str">
        <x:v>EVD-0005;EVD-0007;EVD-0008;EVD-0027;EVD-0028;METHOD-NUT-001</x:v>
      </x:c>
      <x:c r="P31" s="32" t="str">
        <x:v>GAP-005;GAP-013;GAP-023</x:v>
      </x:c>
      <x:c r="Q31" s="32" t="str">
        <x:v>Map every ingredient to an accepted composition record, resolve processed-state/yield basis, rebuild and review</x:v>
      </x:c>
    </x:row>
    <x:row r="32">
      <x:c r="A32" s="32" t="str">
        <x:v>NUT-DISH-027</x:v>
      </x:c>
      <x:c r="B32" s="32" t="str">
        <x:v>VKM-030</x:v>
      </x:c>
      <x:c r="C32" s="32" t="str">
        <x:v>Кростата с солёной карамелью</x:v>
      </x:c>
      <x:c r="D32" s="32" t="n">
        <x:v>120</x:v>
      </x:c>
      <x:c r="E32" s="38"/>
      <x:c r="F32" s="38"/>
      <x:c r="G32" s="38"/>
      <x:c r="H32" s="38"/>
      <x:c r="I32" s="38"/>
      <x:c r="J32" s="38"/>
      <x:c r="K32" s="38"/>
      <x:c r="L32" s="38"/>
      <x:c r="M32" s="32" t="str">
        <x:v>false</x:v>
      </x:c>
      <x:c r="N32" s="32" t="str">
        <x:v>BLOCKED_PENDING_VALIDATION</x:v>
      </x:c>
      <x:c r="O32" s="32" t="str">
        <x:v>EVD-0005;EVD-0007;EVD-0008;EVD-0027;EVD-0028;METHOD-NUT-001</x:v>
      </x:c>
      <x:c r="P32" s="32" t="str">
        <x:v>GAP-005;GAP-013;GAP-023</x:v>
      </x:c>
      <x:c r="Q32" s="32" t="str">
        <x:v>Map every ingredient to an accepted composition record, resolve processed-state/yield basis, rebuild and review</x:v>
      </x:c>
    </x:row>
    <x:row r="33">
      <x:c r="A33" s="32" t="str">
        <x:v>NUT-DISH-028</x:v>
      </x:c>
      <x:c r="B33" s="32" t="str">
        <x:v>VKM-031</x:v>
      </x:c>
      <x:c r="C33" s="32" t="str">
        <x:v>Мадлен</x:v>
      </x:c>
      <x:c r="D33" s="32" t="n">
        <x:v>60</x:v>
      </x:c>
      <x:c r="E33" s="38"/>
      <x:c r="F33" s="38"/>
      <x:c r="G33" s="38"/>
      <x:c r="H33" s="38"/>
      <x:c r="I33" s="38"/>
      <x:c r="J33" s="38"/>
      <x:c r="K33" s="38"/>
      <x:c r="L33" s="38"/>
      <x:c r="M33" s="32" t="str">
        <x:v>false</x:v>
      </x:c>
      <x:c r="N33" s="32" t="str">
        <x:v>BLOCKED_PENDING_VALIDATION</x:v>
      </x:c>
      <x:c r="O33" s="32" t="str">
        <x:v>EVD-0005;EVD-0007;EVD-0008;EVD-0027;EVD-0028;METHOD-NUT-001</x:v>
      </x:c>
      <x:c r="P33" s="32" t="str">
        <x:v>GAP-005;GAP-013;GAP-023</x:v>
      </x:c>
      <x:c r="Q33" s="32" t="str">
        <x:v>Map every ingredient to an accepted composition record, resolve processed-state/yield basis, rebuild and review</x:v>
      </x:c>
    </x:row>
  </x:sheetData>
  <x:mergeCells>
    <x:mergeCell ref="A1:Q1"/>
    <x:mergeCell ref="A2:Q2"/>
  </x:mergeCells>
  <x:conditionalFormatting sqref="N6:N33">
    <x:cfRule type="containsText" dxfId="22" priority="1" operator="containsText" text="BLOCK"/>
    <x:cfRule type="containsText" dxfId="23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9d9f3d6826174aa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5" hidden="0" customWidth="1"/>
    <x:col min="4" max="4" width="14" hidden="0" customWidth="1"/>
    <x:col min="5" max="5" width="60" hidden="0" customWidth="1"/>
    <x:col min="6" max="6" width="15" hidden="0" customWidth="1"/>
    <x:col min="7" max="7" width="20" hidden="0" customWidth="1"/>
    <x:col min="8" max="8" width="36" hidden="0" customWidth="1"/>
    <x:col min="9" max="9" width="22" hidden="0" customWidth="1"/>
    <x:col min="10" max="10" width="22" hidden="0" customWidth="1"/>
    <x:col min="11" max="11" width="18" hidden="0" customWidth="1"/>
    <x:col min="12" max="12" width="45" hidden="0" customWidth="1"/>
    <x:col min="13" max="13" width="14" hidden="0" customWidth="1"/>
    <x:col min="14" max="14" width="14" hidden="0" customWidth="1"/>
  </x:cols>
  <x:sheetData>
    <x:row r="1" ht="30" customHeight="1">
      <x:c r="A1" s="26" t="str">
        <x:v>12 — Вопросы шефу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 ht="27" customHeight="1">
      <x:c r="A2" s="28" t="str">
        <x:v>144 open questions. Answers require owner/chef evidence and change control.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34" customHeight="1">
      <x:c r="A5" s="31" t="str">
        <x:v>Question ID</x:v>
      </x:c>
      <x:c r="B5" s="31" t="str">
        <x:v>Dish ID</x:v>
      </x:c>
      <x:c r="C5" s="31" t="str">
        <x:v>Блюдо</x:v>
      </x:c>
      <x:c r="D5" s="31" t="str">
        <x:v>Тип</x:v>
      </x:c>
      <x:c r="E5" s="31" t="str">
        <x:v>Вопрос</x:v>
      </x:c>
      <x:c r="F5" s="31" t="str">
        <x:v>Статус</x:v>
      </x:c>
      <x:c r="G5" s="31" t="str">
        <x:v>Owner</x:v>
      </x:c>
      <x:c r="H5" s="31" t="str">
        <x:v>Impact</x:v>
      </x:c>
      <x:c r="I5" s="31" t="str">
        <x:v>Evidence</x:v>
      </x:c>
      <x:c r="J5" s="31" t="str">
        <x:v>Blockers</x:v>
      </x:c>
      <x:c r="K5" s="31" t="str">
        <x:v>Checkpoint</x:v>
      </x:c>
      <x:c r="L5" s="31" t="str">
        <x:v>Ответ</x:v>
      </x:c>
      <x:c r="M5" s="31" t="str">
        <x:v>Дата ответа</x:v>
      </x:c>
      <x:c r="N5" s="31" t="str">
        <x:v>Raised</x:v>
      </x:c>
    </x:row>
    <x:row r="6">
      <x:c r="A6" s="32" t="str">
        <x:v>CQ-0001</x:v>
      </x:c>
      <x:c r="B6" s="32" t="str">
        <x:v>VKM-001</x:v>
      </x:c>
      <x:c r="C6" s="32" t="str">
        <x:v>Маргарита</x:v>
      </x:c>
      <x:c r="D6" s="32" t="str">
        <x:v>RECIPE</x:v>
      </x:c>
      <x:c r="E6" s="32" t="str">
        <x:v>Подтвердить или скорректировать построчный состав и проектные нормы брутто/нетто.</x:v>
      </x:c>
      <x:c r="F6" s="32" t="str">
        <x:v>OPEN</x:v>
      </x:c>
      <x:c r="G6" s="32" t="str">
        <x:v>Chef</x:v>
      </x:c>
      <x:c r="H6" s="32" t="str">
        <x:v>Себестоимость; пищценность; аллергены; закупка</x:v>
      </x:c>
      <x:c r="I6" s="32" t="str">
        <x:v>EVD-0007</x:v>
      </x:c>
      <x:c r="J6" s="32" t="str">
        <x:v>GAP-004</x:v>
      </x:c>
      <x:c r="K6" s="32" t="str">
        <x:v>Owner/Chef Gate</x:v>
      </x:c>
      <x:c r="L6" s="38"/>
      <x:c r="M6" s="38"/>
      <x:c r="N6" s="32" t="str">
        <x:v>2026-08-03</x:v>
      </x:c>
    </x:row>
    <x:row r="7">
      <x:c r="A7" s="32" t="str">
        <x:v>CQ-0002</x:v>
      </x:c>
      <x:c r="B7" s="32" t="str">
        <x:v>VKM-001</x:v>
      </x:c>
      <x:c r="C7" s="32" t="str">
        <x:v>Маргарита</x:v>
      </x:c>
      <x:c r="D7" s="32" t="str">
        <x:v>YIELD</x:v>
      </x:c>
      <x:c r="E7" s="32" t="str">
        <x:v>Подтвердить целевой выход и способ учёта подготовительных/тепловых потерь контрольным взвешиванием.</x:v>
      </x:c>
      <x:c r="F7" s="32" t="str">
        <x:v>OPEN</x:v>
      </x:c>
      <x:c r="G7" s="32" t="str">
        <x:v>Chef</x:v>
      </x:c>
      <x:c r="H7" s="32" t="str">
        <x:v>Mass balance; себестоимость; порционирование</x:v>
      </x:c>
      <x:c r="I7" s="32" t="str">
        <x:v>EVD-0005;EVD-0008</x:v>
      </x:c>
      <x:c r="J7" s="32" t="str">
        <x:v>GAP-002;GAP-005</x:v>
      </x:c>
      <x:c r="K7" s="32" t="str">
        <x:v>Owner/Chef Gate</x:v>
      </x:c>
      <x:c r="L7" s="38"/>
      <x:c r="M7" s="38"/>
      <x:c r="N7" s="32" t="str">
        <x:v>2026-08-03</x:v>
      </x:c>
    </x:row>
    <x:row r="8">
      <x:c r="A8" s="32" t="str">
        <x:v>CQ-0003</x:v>
      </x:c>
      <x:c r="B8" s="32" t="str">
        <x:v>VKM-001</x:v>
      </x:c>
      <x:c r="C8" s="32" t="str">
        <x:v>Маргарита</x:v>
      </x:c>
      <x:c r="D8" s="32" t="str">
        <x:v>PROCESS</x:v>
      </x:c>
      <x:c r="E8" s="32" t="str">
        <x:v>Подтвердить последовательность операций, фактическое активное/полное время и проект подачи.</x:v>
      </x:c>
      <x:c r="F8" s="32" t="str">
        <x:v>OPEN</x:v>
      </x:c>
      <x:c r="G8" s="32" t="str">
        <x:v>Chef</x:v>
      </x:c>
      <x:c r="H8" s="32" t="str">
        <x:v>Техкарта; оборудование; мощность; сервис</x:v>
      </x:c>
      <x:c r="I8" s="32" t="str">
        <x:v>EVD-0010;EVD-0011</x:v>
      </x:c>
      <x:c r="J8" s="32" t="str">
        <x:v>GAP-007;GAP-008</x:v>
      </x:c>
      <x:c r="K8" s="32" t="str">
        <x:v>Owner/Chef Gate</x:v>
      </x:c>
      <x:c r="L8" s="38"/>
      <x:c r="M8" s="38"/>
      <x:c r="N8" s="32" t="str">
        <x:v>2026-08-03</x:v>
      </x:c>
    </x:row>
    <x:row r="9">
      <x:c r="A9" s="32" t="str">
        <x:v>CQ-0004</x:v>
      </x:c>
      <x:c r="B9" s="32" t="str">
        <x:v>VKM-001</x:v>
      </x:c>
      <x:c r="C9" s="32" t="str">
        <x:v>Маргарита</x:v>
      </x:c>
      <x:c r="D9" s="32" t="str">
        <x:v>SEMI_FINISHED</x:v>
      </x:c>
      <x:c r="E9" s="32" t="str">
        <x:v>Подтвердить выделение, код и размер партии связанных полуфабрикатов; указать общие полуфабрикаты.</x:v>
      </x:c>
      <x:c r="F9" s="32" t="str">
        <x:v>OPEN</x:v>
      </x:c>
      <x:c r="G9" s="32" t="str">
        <x:v>Chef</x:v>
      </x:c>
      <x:c r="H9" s="32" t="str">
        <x:v>DAG; двойной учёт; себестоимость; планирование</x:v>
      </x:c>
      <x:c r="I9" s="32" t="str">
        <x:v>EVD-0009</x:v>
      </x:c>
      <x:c r="J9" s="32" t="str">
        <x:v>GAP-006</x:v>
      </x:c>
      <x:c r="K9" s="32" t="str">
        <x:v>Owner/Chef Gate</x:v>
      </x:c>
      <x:c r="L9" s="38"/>
      <x:c r="M9" s="38"/>
      <x:c r="N9" s="32" t="str">
        <x:v>2026-08-03</x:v>
      </x:c>
    </x:row>
    <x:row r="10">
      <x:c r="A10" s="32" t="str">
        <x:v>CQ-0005</x:v>
      </x:c>
      <x:c r="B10" s="32" t="str">
        <x:v>VKM-001</x:v>
      </x:c>
      <x:c r="C10" s="32" t="str">
        <x:v>Маргарита</x:v>
      </x:c>
      <x:c r="D10" s="32" t="str">
        <x:v>PROCESS_FLOW_FOR_SAFETY</x:v>
      </x:c>
      <x:c r="E10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10" s="32" t="str">
        <x:v>OPEN</x:v>
      </x:c>
      <x:c r="G10" s="32" t="str">
        <x:v>Chef</x:v>
      </x:c>
      <x:c r="H10" s="32" t="str">
        <x:v>Safety veto; ППК/HACCP; маркировка и прослеживаемость</x:v>
      </x:c>
      <x:c r="I10" s="32" t="str">
        <x:v>EVD-0013;EVD-0014;EVD-FS-001;EVD-FS-003</x:v>
      </x:c>
      <x:c r="J10" s="32" t="str">
        <x:v>GAP-010;GAP-011</x:v>
      </x:c>
      <x:c r="K10" s="32" t="str">
        <x:v>Owner/Chef Gate</x:v>
      </x:c>
      <x:c r="L10" s="38"/>
      <x:c r="M10" s="38"/>
      <x:c r="N10" s="32" t="str">
        <x:v>2026-08-03</x:v>
      </x:c>
    </x:row>
    <x:row r="11">
      <x:c r="A11" s="32" t="str">
        <x:v>CQ-0006</x:v>
      </x:c>
      <x:c r="B11" s="32" t="str">
        <x:v>VKM-002</x:v>
      </x:c>
      <x:c r="C11" s="32" t="str">
        <x:v>Четыре сыра</x:v>
      </x:c>
      <x:c r="D11" s="32" t="str">
        <x:v>RECIPE</x:v>
      </x:c>
      <x:c r="E11" s="32" t="str">
        <x:v>Подтвердить или скорректировать построчный состав и проектные нормы брутто/нетто.</x:v>
      </x:c>
      <x:c r="F11" s="32" t="str">
        <x:v>OPEN</x:v>
      </x:c>
      <x:c r="G11" s="32" t="str">
        <x:v>Chef</x:v>
      </x:c>
      <x:c r="H11" s="32" t="str">
        <x:v>Себестоимость; пищценность; аллергены; закупка</x:v>
      </x:c>
      <x:c r="I11" s="32" t="str">
        <x:v>EVD-0007</x:v>
      </x:c>
      <x:c r="J11" s="32" t="str">
        <x:v>GAP-004</x:v>
      </x:c>
      <x:c r="K11" s="32" t="str">
        <x:v>Owner/Chef Gate</x:v>
      </x:c>
      <x:c r="L11" s="38"/>
      <x:c r="M11" s="38"/>
      <x:c r="N11" s="32" t="str">
        <x:v>2026-08-03</x:v>
      </x:c>
    </x:row>
    <x:row r="12">
      <x:c r="A12" s="32" t="str">
        <x:v>CQ-0007</x:v>
      </x:c>
      <x:c r="B12" s="32" t="str">
        <x:v>VKM-002</x:v>
      </x:c>
      <x:c r="C12" s="32" t="str">
        <x:v>Четыре сыра</x:v>
      </x:c>
      <x:c r="D12" s="32" t="str">
        <x:v>YIELD</x:v>
      </x:c>
      <x:c r="E12" s="32" t="str">
        <x:v>Подтвердить целевой выход и способ учёта подготовительных/тепловых потерь контрольным взвешиванием.</x:v>
      </x:c>
      <x:c r="F12" s="32" t="str">
        <x:v>OPEN</x:v>
      </x:c>
      <x:c r="G12" s="32" t="str">
        <x:v>Chef</x:v>
      </x:c>
      <x:c r="H12" s="32" t="str">
        <x:v>Mass balance; себестоимость; порционирование</x:v>
      </x:c>
      <x:c r="I12" s="32" t="str">
        <x:v>EVD-0005;EVD-0008</x:v>
      </x:c>
      <x:c r="J12" s="32" t="str">
        <x:v>GAP-002;GAP-005</x:v>
      </x:c>
      <x:c r="K12" s="32" t="str">
        <x:v>Owner/Chef Gate</x:v>
      </x:c>
      <x:c r="L12" s="38"/>
      <x:c r="M12" s="38"/>
      <x:c r="N12" s="32" t="str">
        <x:v>2026-08-03</x:v>
      </x:c>
    </x:row>
    <x:row r="13">
      <x:c r="A13" s="32" t="str">
        <x:v>CQ-0008</x:v>
      </x:c>
      <x:c r="B13" s="32" t="str">
        <x:v>VKM-002</x:v>
      </x:c>
      <x:c r="C13" s="32" t="str">
        <x:v>Четыре сыра</x:v>
      </x:c>
      <x:c r="D13" s="32" t="str">
        <x:v>PROCESS</x:v>
      </x:c>
      <x:c r="E13" s="32" t="str">
        <x:v>Подтвердить последовательность операций, фактическое активное/полное время и проект подачи.</x:v>
      </x:c>
      <x:c r="F13" s="32" t="str">
        <x:v>OPEN</x:v>
      </x:c>
      <x:c r="G13" s="32" t="str">
        <x:v>Chef</x:v>
      </x:c>
      <x:c r="H13" s="32" t="str">
        <x:v>Техкарта; оборудование; мощность; сервис</x:v>
      </x:c>
      <x:c r="I13" s="32" t="str">
        <x:v>EVD-0010;EVD-0011</x:v>
      </x:c>
      <x:c r="J13" s="32" t="str">
        <x:v>GAP-007;GAP-008</x:v>
      </x:c>
      <x:c r="K13" s="32" t="str">
        <x:v>Owner/Chef Gate</x:v>
      </x:c>
      <x:c r="L13" s="38"/>
      <x:c r="M13" s="38"/>
      <x:c r="N13" s="32" t="str">
        <x:v>2026-08-03</x:v>
      </x:c>
    </x:row>
    <x:row r="14">
      <x:c r="A14" s="32" t="str">
        <x:v>CQ-0009</x:v>
      </x:c>
      <x:c r="B14" s="32" t="str">
        <x:v>VKM-002</x:v>
      </x:c>
      <x:c r="C14" s="32" t="str">
        <x:v>Четыре сыра</x:v>
      </x:c>
      <x:c r="D14" s="32" t="str">
        <x:v>SEMI_FINISHED</x:v>
      </x:c>
      <x:c r="E14" s="32" t="str">
        <x:v>Подтвердить выделение, код и размер партии связанных полуфабрикатов; указать общие полуфабрикаты.</x:v>
      </x:c>
      <x:c r="F14" s="32" t="str">
        <x:v>OPEN</x:v>
      </x:c>
      <x:c r="G14" s="32" t="str">
        <x:v>Chef</x:v>
      </x:c>
      <x:c r="H14" s="32" t="str">
        <x:v>DAG; двойной учёт; себестоимость; планирование</x:v>
      </x:c>
      <x:c r="I14" s="32" t="str">
        <x:v>EVD-0009</x:v>
      </x:c>
      <x:c r="J14" s="32" t="str">
        <x:v>GAP-006</x:v>
      </x:c>
      <x:c r="K14" s="32" t="str">
        <x:v>Owner/Chef Gate</x:v>
      </x:c>
      <x:c r="L14" s="38"/>
      <x:c r="M14" s="38"/>
      <x:c r="N14" s="32" t="str">
        <x:v>2026-08-03</x:v>
      </x:c>
    </x:row>
    <x:row r="15">
      <x:c r="A15" s="32" t="str">
        <x:v>CQ-0010</x:v>
      </x:c>
      <x:c r="B15" s="32" t="str">
        <x:v>VKM-002</x:v>
      </x:c>
      <x:c r="C15" s="32" t="str">
        <x:v>Четыре сыра</x:v>
      </x:c>
      <x:c r="D15" s="32" t="str">
        <x:v>PROCESS_FLOW_FOR_SAFETY</x:v>
      </x:c>
      <x:c r="E15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15" s="32" t="str">
        <x:v>OPEN</x:v>
      </x:c>
      <x:c r="G15" s="32" t="str">
        <x:v>Chef</x:v>
      </x:c>
      <x:c r="H15" s="32" t="str">
        <x:v>Safety veto; ППК/HACCP; маркировка и прослеживаемость</x:v>
      </x:c>
      <x:c r="I15" s="32" t="str">
        <x:v>EVD-0013;EVD-0014;EVD-FS-001;EVD-FS-003</x:v>
      </x:c>
      <x:c r="J15" s="32" t="str">
        <x:v>GAP-010;GAP-011</x:v>
      </x:c>
      <x:c r="K15" s="32" t="str">
        <x:v>Owner/Chef Gate</x:v>
      </x:c>
      <x:c r="L15" s="38"/>
      <x:c r="M15" s="38"/>
      <x:c r="N15" s="32" t="str">
        <x:v>2026-08-03</x:v>
      </x:c>
    </x:row>
    <x:row r="16">
      <x:c r="A16" s="32" t="str">
        <x:v>CQ-0011</x:v>
      </x:c>
      <x:c r="B16" s="32" t="str">
        <x:v>VKM-003</x:v>
      </x:c>
      <x:c r="C16" s="32" t="str">
        <x:v>Грибная с ветчиной</x:v>
      </x:c>
      <x:c r="D16" s="32" t="str">
        <x:v>RECIPE</x:v>
      </x:c>
      <x:c r="E16" s="32" t="str">
        <x:v>Подтвердить или скорректировать построчный состав и проектные нормы брутто/нетто.</x:v>
      </x:c>
      <x:c r="F16" s="32" t="str">
        <x:v>OPEN</x:v>
      </x:c>
      <x:c r="G16" s="32" t="str">
        <x:v>Chef</x:v>
      </x:c>
      <x:c r="H16" s="32" t="str">
        <x:v>Себестоимость; пищценность; аллергены; закупка</x:v>
      </x:c>
      <x:c r="I16" s="32" t="str">
        <x:v>EVD-0007</x:v>
      </x:c>
      <x:c r="J16" s="32" t="str">
        <x:v>GAP-004</x:v>
      </x:c>
      <x:c r="K16" s="32" t="str">
        <x:v>Owner/Chef Gate</x:v>
      </x:c>
      <x:c r="L16" s="38"/>
      <x:c r="M16" s="38"/>
      <x:c r="N16" s="32" t="str">
        <x:v>2026-08-03</x:v>
      </x:c>
    </x:row>
    <x:row r="17">
      <x:c r="A17" s="32" t="str">
        <x:v>CQ-0012</x:v>
      </x:c>
      <x:c r="B17" s="32" t="str">
        <x:v>VKM-003</x:v>
      </x:c>
      <x:c r="C17" s="32" t="str">
        <x:v>Грибная с ветчиной</x:v>
      </x:c>
      <x:c r="D17" s="32" t="str">
        <x:v>YIELD</x:v>
      </x:c>
      <x:c r="E17" s="32" t="str">
        <x:v>Подтвердить целевой выход и способ учёта подготовительных/тепловых потерь контрольным взвешиванием.</x:v>
      </x:c>
      <x:c r="F17" s="32" t="str">
        <x:v>OPEN</x:v>
      </x:c>
      <x:c r="G17" s="32" t="str">
        <x:v>Chef</x:v>
      </x:c>
      <x:c r="H17" s="32" t="str">
        <x:v>Mass balance; себестоимость; порционирование</x:v>
      </x:c>
      <x:c r="I17" s="32" t="str">
        <x:v>EVD-0005;EVD-0008</x:v>
      </x:c>
      <x:c r="J17" s="32" t="str">
        <x:v>GAP-002;GAP-005</x:v>
      </x:c>
      <x:c r="K17" s="32" t="str">
        <x:v>Owner/Chef Gate</x:v>
      </x:c>
      <x:c r="L17" s="38"/>
      <x:c r="M17" s="38"/>
      <x:c r="N17" s="32" t="str">
        <x:v>2026-08-03</x:v>
      </x:c>
    </x:row>
    <x:row r="18">
      <x:c r="A18" s="32" t="str">
        <x:v>CQ-0013</x:v>
      </x:c>
      <x:c r="B18" s="32" t="str">
        <x:v>VKM-003</x:v>
      </x:c>
      <x:c r="C18" s="32" t="str">
        <x:v>Грибная с ветчиной</x:v>
      </x:c>
      <x:c r="D18" s="32" t="str">
        <x:v>PROCESS</x:v>
      </x:c>
      <x:c r="E18" s="32" t="str">
        <x:v>Подтвердить последовательность операций, фактическое активное/полное время и проект подачи.</x:v>
      </x:c>
      <x:c r="F18" s="32" t="str">
        <x:v>OPEN</x:v>
      </x:c>
      <x:c r="G18" s="32" t="str">
        <x:v>Chef</x:v>
      </x:c>
      <x:c r="H18" s="32" t="str">
        <x:v>Техкарта; оборудование; мощность; сервис</x:v>
      </x:c>
      <x:c r="I18" s="32" t="str">
        <x:v>EVD-0010;EVD-0011</x:v>
      </x:c>
      <x:c r="J18" s="32" t="str">
        <x:v>GAP-007;GAP-008</x:v>
      </x:c>
      <x:c r="K18" s="32" t="str">
        <x:v>Owner/Chef Gate</x:v>
      </x:c>
      <x:c r="L18" s="38"/>
      <x:c r="M18" s="38"/>
      <x:c r="N18" s="32" t="str">
        <x:v>2026-08-03</x:v>
      </x:c>
    </x:row>
    <x:row r="19">
      <x:c r="A19" s="32" t="str">
        <x:v>CQ-0014</x:v>
      </x:c>
      <x:c r="B19" s="32" t="str">
        <x:v>VKM-003</x:v>
      </x:c>
      <x:c r="C19" s="32" t="str">
        <x:v>Грибная с ветчиной</x:v>
      </x:c>
      <x:c r="D19" s="32" t="str">
        <x:v>SEMI_FINISHED</x:v>
      </x:c>
      <x:c r="E19" s="32" t="str">
        <x:v>Подтвердить выделение, код и размер партии связанных полуфабрикатов; указать общие полуфабрикаты.</x:v>
      </x:c>
      <x:c r="F19" s="32" t="str">
        <x:v>OPEN</x:v>
      </x:c>
      <x:c r="G19" s="32" t="str">
        <x:v>Chef</x:v>
      </x:c>
      <x:c r="H19" s="32" t="str">
        <x:v>DAG; двойной учёт; себестоимость; планирование</x:v>
      </x:c>
      <x:c r="I19" s="32" t="str">
        <x:v>EVD-0009</x:v>
      </x:c>
      <x:c r="J19" s="32" t="str">
        <x:v>GAP-006</x:v>
      </x:c>
      <x:c r="K19" s="32" t="str">
        <x:v>Owner/Chef Gate</x:v>
      </x:c>
      <x:c r="L19" s="38"/>
      <x:c r="M19" s="38"/>
      <x:c r="N19" s="32" t="str">
        <x:v>2026-08-03</x:v>
      </x:c>
    </x:row>
    <x:row r="20">
      <x:c r="A20" s="32" t="str">
        <x:v>CQ-0015</x:v>
      </x:c>
      <x:c r="B20" s="32" t="str">
        <x:v>VKM-003</x:v>
      </x:c>
      <x:c r="C20" s="32" t="str">
        <x:v>Грибная с ветчиной</x:v>
      </x:c>
      <x:c r="D20" s="32" t="str">
        <x:v>PROCESS_FLOW_FOR_SAFETY</x:v>
      </x:c>
      <x:c r="E20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20" s="32" t="str">
        <x:v>OPEN</x:v>
      </x:c>
      <x:c r="G20" s="32" t="str">
        <x:v>Chef</x:v>
      </x:c>
      <x:c r="H20" s="32" t="str">
        <x:v>Safety veto; ППК/HACCP; маркировка и прослеживаемость</x:v>
      </x:c>
      <x:c r="I20" s="32" t="str">
        <x:v>EVD-0013;EVD-0014;EVD-FS-001;EVD-FS-003</x:v>
      </x:c>
      <x:c r="J20" s="32" t="str">
        <x:v>GAP-010;GAP-011</x:v>
      </x:c>
      <x:c r="K20" s="32" t="str">
        <x:v>Owner/Chef Gate</x:v>
      </x:c>
      <x:c r="L20" s="38"/>
      <x:c r="M20" s="38"/>
      <x:c r="N20" s="32" t="str">
        <x:v>2026-08-03</x:v>
      </x:c>
    </x:row>
    <x:row r="21">
      <x:c r="A21" s="32" t="str">
        <x:v>CQ-0016</x:v>
      </x:c>
      <x:c r="B21" s="32" t="str">
        <x:v>VKM-004</x:v>
      </x:c>
      <x:c r="C21" s="32" t="str">
        <x:v>Пепперони</x:v>
      </x:c>
      <x:c r="D21" s="32" t="str">
        <x:v>RECIPE</x:v>
      </x:c>
      <x:c r="E21" s="32" t="str">
        <x:v>Подтвердить или скорректировать построчный состав и проектные нормы брутто/нетто.</x:v>
      </x:c>
      <x:c r="F21" s="32" t="str">
        <x:v>OPEN</x:v>
      </x:c>
      <x:c r="G21" s="32" t="str">
        <x:v>Chef</x:v>
      </x:c>
      <x:c r="H21" s="32" t="str">
        <x:v>Себестоимость; пищценность; аллергены; закупка</x:v>
      </x:c>
      <x:c r="I21" s="32" t="str">
        <x:v>EVD-0007</x:v>
      </x:c>
      <x:c r="J21" s="32" t="str">
        <x:v>GAP-004</x:v>
      </x:c>
      <x:c r="K21" s="32" t="str">
        <x:v>Owner/Chef Gate</x:v>
      </x:c>
      <x:c r="L21" s="38"/>
      <x:c r="M21" s="38"/>
      <x:c r="N21" s="32" t="str">
        <x:v>2026-08-03</x:v>
      </x:c>
    </x:row>
    <x:row r="22">
      <x:c r="A22" s="32" t="str">
        <x:v>CQ-0017</x:v>
      </x:c>
      <x:c r="B22" s="32" t="str">
        <x:v>VKM-004</x:v>
      </x:c>
      <x:c r="C22" s="32" t="str">
        <x:v>Пепперони</x:v>
      </x:c>
      <x:c r="D22" s="32" t="str">
        <x:v>YIELD</x:v>
      </x:c>
      <x:c r="E22" s="32" t="str">
        <x:v>Подтвердить целевой выход и способ учёта подготовительных/тепловых потерь контрольным взвешиванием.</x:v>
      </x:c>
      <x:c r="F22" s="32" t="str">
        <x:v>OPEN</x:v>
      </x:c>
      <x:c r="G22" s="32" t="str">
        <x:v>Chef</x:v>
      </x:c>
      <x:c r="H22" s="32" t="str">
        <x:v>Mass balance; себестоимость; порционирование</x:v>
      </x:c>
      <x:c r="I22" s="32" t="str">
        <x:v>EVD-0005;EVD-0008</x:v>
      </x:c>
      <x:c r="J22" s="32" t="str">
        <x:v>GAP-002;GAP-005</x:v>
      </x:c>
      <x:c r="K22" s="32" t="str">
        <x:v>Owner/Chef Gate</x:v>
      </x:c>
      <x:c r="L22" s="38"/>
      <x:c r="M22" s="38"/>
      <x:c r="N22" s="32" t="str">
        <x:v>2026-08-03</x:v>
      </x:c>
    </x:row>
    <x:row r="23">
      <x:c r="A23" s="32" t="str">
        <x:v>CQ-0018</x:v>
      </x:c>
      <x:c r="B23" s="32" t="str">
        <x:v>VKM-004</x:v>
      </x:c>
      <x:c r="C23" s="32" t="str">
        <x:v>Пепперони</x:v>
      </x:c>
      <x:c r="D23" s="32" t="str">
        <x:v>PROCESS</x:v>
      </x:c>
      <x:c r="E23" s="32" t="str">
        <x:v>Подтвердить последовательность операций, фактическое активное/полное время и проект подачи.</x:v>
      </x:c>
      <x:c r="F23" s="32" t="str">
        <x:v>OPEN</x:v>
      </x:c>
      <x:c r="G23" s="32" t="str">
        <x:v>Chef</x:v>
      </x:c>
      <x:c r="H23" s="32" t="str">
        <x:v>Техкарта; оборудование; мощность; сервис</x:v>
      </x:c>
      <x:c r="I23" s="32" t="str">
        <x:v>EVD-0010;EVD-0011</x:v>
      </x:c>
      <x:c r="J23" s="32" t="str">
        <x:v>GAP-007;GAP-008</x:v>
      </x:c>
      <x:c r="K23" s="32" t="str">
        <x:v>Owner/Chef Gate</x:v>
      </x:c>
      <x:c r="L23" s="38"/>
      <x:c r="M23" s="38"/>
      <x:c r="N23" s="32" t="str">
        <x:v>2026-08-03</x:v>
      </x:c>
    </x:row>
    <x:row r="24">
      <x:c r="A24" s="32" t="str">
        <x:v>CQ-0019</x:v>
      </x:c>
      <x:c r="B24" s="32" t="str">
        <x:v>VKM-004</x:v>
      </x:c>
      <x:c r="C24" s="32" t="str">
        <x:v>Пепперони</x:v>
      </x:c>
      <x:c r="D24" s="32" t="str">
        <x:v>SEMI_FINISHED</x:v>
      </x:c>
      <x:c r="E24" s="32" t="str">
        <x:v>Подтвердить выделение, код и размер партии связанных полуфабрикатов; указать общие полуфабрикаты.</x:v>
      </x:c>
      <x:c r="F24" s="32" t="str">
        <x:v>OPEN</x:v>
      </x:c>
      <x:c r="G24" s="32" t="str">
        <x:v>Chef</x:v>
      </x:c>
      <x:c r="H24" s="32" t="str">
        <x:v>DAG; двойной учёт; себестоимость; планирование</x:v>
      </x:c>
      <x:c r="I24" s="32" t="str">
        <x:v>EVD-0009</x:v>
      </x:c>
      <x:c r="J24" s="32" t="str">
        <x:v>GAP-006</x:v>
      </x:c>
      <x:c r="K24" s="32" t="str">
        <x:v>Owner/Chef Gate</x:v>
      </x:c>
      <x:c r="L24" s="38"/>
      <x:c r="M24" s="38"/>
      <x:c r="N24" s="32" t="str">
        <x:v>2026-08-03</x:v>
      </x:c>
    </x:row>
    <x:row r="25">
      <x:c r="A25" s="32" t="str">
        <x:v>CQ-0020</x:v>
      </x:c>
      <x:c r="B25" s="32" t="str">
        <x:v>VKM-004</x:v>
      </x:c>
      <x:c r="C25" s="32" t="str">
        <x:v>Пепперони</x:v>
      </x:c>
      <x:c r="D25" s="32" t="str">
        <x:v>PROCESS_FLOW_FOR_SAFETY</x:v>
      </x:c>
      <x:c r="E25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25" s="32" t="str">
        <x:v>OPEN</x:v>
      </x:c>
      <x:c r="G25" s="32" t="str">
        <x:v>Chef</x:v>
      </x:c>
      <x:c r="H25" s="32" t="str">
        <x:v>Safety veto; ППК/HACCP; маркировка и прослеживаемость</x:v>
      </x:c>
      <x:c r="I25" s="32" t="str">
        <x:v>EVD-0013;EVD-0014;EVD-FS-001;EVD-FS-003</x:v>
      </x:c>
      <x:c r="J25" s="32" t="str">
        <x:v>GAP-010;GAP-011</x:v>
      </x:c>
      <x:c r="K25" s="32" t="str">
        <x:v>Owner/Chef Gate</x:v>
      </x:c>
      <x:c r="L25" s="38"/>
      <x:c r="M25" s="38"/>
      <x:c r="N25" s="32" t="str">
        <x:v>2026-08-03</x:v>
      </x:c>
    </x:row>
    <x:row r="26">
      <x:c r="A26" s="32" t="str">
        <x:v>CQ-0021</x:v>
      </x:c>
      <x:c r="B26" s="32" t="str">
        <x:v>VKM-005</x:v>
      </x:c>
      <x:c r="C26" s="32" t="str">
        <x:v>Белая чиабатта</x:v>
      </x:c>
      <x:c r="D26" s="32" t="str">
        <x:v>RECIPE</x:v>
      </x:c>
      <x:c r="E26" s="32" t="str">
        <x:v>Подтвердить или скорректировать построчный состав и проектные нормы брутто/нетто.</x:v>
      </x:c>
      <x:c r="F26" s="32" t="str">
        <x:v>OPEN</x:v>
      </x:c>
      <x:c r="G26" s="32" t="str">
        <x:v>Chef</x:v>
      </x:c>
      <x:c r="H26" s="32" t="str">
        <x:v>Себестоимость; пищценность; аллергены; закупка</x:v>
      </x:c>
      <x:c r="I26" s="32" t="str">
        <x:v>EVD-0007</x:v>
      </x:c>
      <x:c r="J26" s="32" t="str">
        <x:v>GAP-004</x:v>
      </x:c>
      <x:c r="K26" s="32" t="str">
        <x:v>Owner/Chef Gate</x:v>
      </x:c>
      <x:c r="L26" s="38"/>
      <x:c r="M26" s="38"/>
      <x:c r="N26" s="32" t="str">
        <x:v>2026-08-03</x:v>
      </x:c>
    </x:row>
    <x:row r="27">
      <x:c r="A27" s="32" t="str">
        <x:v>CQ-0022</x:v>
      </x:c>
      <x:c r="B27" s="32" t="str">
        <x:v>VKM-005</x:v>
      </x:c>
      <x:c r="C27" s="32" t="str">
        <x:v>Белая чиабатта</x:v>
      </x:c>
      <x:c r="D27" s="32" t="str">
        <x:v>YIELD</x:v>
      </x:c>
      <x:c r="E27" s="32" t="str">
        <x:v>Подтвердить целевой выход и способ учёта подготовительных/тепловых потерь контрольным взвешиванием.</x:v>
      </x:c>
      <x:c r="F27" s="32" t="str">
        <x:v>OPEN</x:v>
      </x:c>
      <x:c r="G27" s="32" t="str">
        <x:v>Chef</x:v>
      </x:c>
      <x:c r="H27" s="32" t="str">
        <x:v>Mass balance; себестоимость; порционирование</x:v>
      </x:c>
      <x:c r="I27" s="32" t="str">
        <x:v>EVD-0005;EVD-0008</x:v>
      </x:c>
      <x:c r="J27" s="32" t="str">
        <x:v>GAP-002;GAP-005</x:v>
      </x:c>
      <x:c r="K27" s="32" t="str">
        <x:v>Owner/Chef Gate</x:v>
      </x:c>
      <x:c r="L27" s="38"/>
      <x:c r="M27" s="38"/>
      <x:c r="N27" s="32" t="str">
        <x:v>2026-08-03</x:v>
      </x:c>
    </x:row>
    <x:row r="28">
      <x:c r="A28" s="32" t="str">
        <x:v>CQ-0023</x:v>
      </x:c>
      <x:c r="B28" s="32" t="str">
        <x:v>VKM-005</x:v>
      </x:c>
      <x:c r="C28" s="32" t="str">
        <x:v>Белая чиабатта</x:v>
      </x:c>
      <x:c r="D28" s="32" t="str">
        <x:v>PROCESS</x:v>
      </x:c>
      <x:c r="E28" s="32" t="str">
        <x:v>Подтвердить последовательность операций, фактическое активное/полное время и проект подачи.</x:v>
      </x:c>
      <x:c r="F28" s="32" t="str">
        <x:v>OPEN</x:v>
      </x:c>
      <x:c r="G28" s="32" t="str">
        <x:v>Chef</x:v>
      </x:c>
      <x:c r="H28" s="32" t="str">
        <x:v>Техкарта; оборудование; мощность; сервис</x:v>
      </x:c>
      <x:c r="I28" s="32" t="str">
        <x:v>EVD-0010;EVD-0011</x:v>
      </x:c>
      <x:c r="J28" s="32" t="str">
        <x:v>GAP-007;GAP-008</x:v>
      </x:c>
      <x:c r="K28" s="32" t="str">
        <x:v>Owner/Chef Gate</x:v>
      </x:c>
      <x:c r="L28" s="38"/>
      <x:c r="M28" s="38"/>
      <x:c r="N28" s="32" t="str">
        <x:v>2026-08-03</x:v>
      </x:c>
    </x:row>
    <x:row r="29">
      <x:c r="A29" s="32" t="str">
        <x:v>CQ-0024</x:v>
      </x:c>
      <x:c r="B29" s="32" t="str">
        <x:v>VKM-005</x:v>
      </x:c>
      <x:c r="C29" s="32" t="str">
        <x:v>Белая чиабатта</x:v>
      </x:c>
      <x:c r="D29" s="32" t="str">
        <x:v>SEMI_FINISHED</x:v>
      </x:c>
      <x:c r="E29" s="32" t="str">
        <x:v>Подтвердить выделение, код и размер партии связанных полуфабрикатов; указать общие полуфабрикаты.</x:v>
      </x:c>
      <x:c r="F29" s="32" t="str">
        <x:v>OPEN</x:v>
      </x:c>
      <x:c r="G29" s="32" t="str">
        <x:v>Chef</x:v>
      </x:c>
      <x:c r="H29" s="32" t="str">
        <x:v>DAG; двойной учёт; себестоимость; планирование</x:v>
      </x:c>
      <x:c r="I29" s="32" t="str">
        <x:v>EVD-0009</x:v>
      </x:c>
      <x:c r="J29" s="32" t="str">
        <x:v>GAP-006</x:v>
      </x:c>
      <x:c r="K29" s="32" t="str">
        <x:v>Owner/Chef Gate</x:v>
      </x:c>
      <x:c r="L29" s="38"/>
      <x:c r="M29" s="38"/>
      <x:c r="N29" s="32" t="str">
        <x:v>2026-08-03</x:v>
      </x:c>
    </x:row>
    <x:row r="30">
      <x:c r="A30" s="32" t="str">
        <x:v>CQ-0025</x:v>
      </x:c>
      <x:c r="B30" s="32" t="str">
        <x:v>VKM-005</x:v>
      </x:c>
      <x:c r="C30" s="32" t="str">
        <x:v>Белая чиабатта</x:v>
      </x:c>
      <x:c r="D30" s="32" t="str">
        <x:v>PROCESS_FLOW_FOR_SAFETY</x:v>
      </x:c>
      <x:c r="E30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30" s="32" t="str">
        <x:v>OPEN</x:v>
      </x:c>
      <x:c r="G30" s="32" t="str">
        <x:v>Chef</x:v>
      </x:c>
      <x:c r="H30" s="32" t="str">
        <x:v>Safety veto; ППК/HACCP; маркировка и прослеживаемость</x:v>
      </x:c>
      <x:c r="I30" s="32" t="str">
        <x:v>EVD-0013;EVD-0014;EVD-FS-001;EVD-FS-003</x:v>
      </x:c>
      <x:c r="J30" s="32" t="str">
        <x:v>GAP-010;GAP-011</x:v>
      </x:c>
      <x:c r="K30" s="32" t="str">
        <x:v>Owner/Chef Gate</x:v>
      </x:c>
      <x:c r="L30" s="38"/>
      <x:c r="M30" s="38"/>
      <x:c r="N30" s="32" t="str">
        <x:v>2026-08-03</x:v>
      </x:c>
    </x:row>
    <x:row r="31">
      <x:c r="A31" s="32" t="str">
        <x:v>CQ-0026</x:v>
      </x:c>
      <x:c r="B31" s="32" t="str">
        <x:v>VKM-006</x:v>
      </x:c>
      <x:c r="C31" s="32" t="str">
        <x:v>Томатная чиабатта</x:v>
      </x:c>
      <x:c r="D31" s="32" t="str">
        <x:v>RECIPE</x:v>
      </x:c>
      <x:c r="E31" s="32" t="str">
        <x:v>Подтвердить или скорректировать построчный состав и проектные нормы брутто/нетто.</x:v>
      </x:c>
      <x:c r="F31" s="32" t="str">
        <x:v>OPEN</x:v>
      </x:c>
      <x:c r="G31" s="32" t="str">
        <x:v>Chef</x:v>
      </x:c>
      <x:c r="H31" s="32" t="str">
        <x:v>Себестоимость; пищценность; аллергены; закупка</x:v>
      </x:c>
      <x:c r="I31" s="32" t="str">
        <x:v>EVD-0007</x:v>
      </x:c>
      <x:c r="J31" s="32" t="str">
        <x:v>GAP-004</x:v>
      </x:c>
      <x:c r="K31" s="32" t="str">
        <x:v>Owner/Chef Gate</x:v>
      </x:c>
      <x:c r="L31" s="38"/>
      <x:c r="M31" s="38"/>
      <x:c r="N31" s="32" t="str">
        <x:v>2026-08-03</x:v>
      </x:c>
    </x:row>
    <x:row r="32">
      <x:c r="A32" s="32" t="str">
        <x:v>CQ-0027</x:v>
      </x:c>
      <x:c r="B32" s="32" t="str">
        <x:v>VKM-006</x:v>
      </x:c>
      <x:c r="C32" s="32" t="str">
        <x:v>Томатная чиабатта</x:v>
      </x:c>
      <x:c r="D32" s="32" t="str">
        <x:v>YIELD</x:v>
      </x:c>
      <x:c r="E32" s="32" t="str">
        <x:v>Подтвердить целевой выход и способ учёта подготовительных/тепловых потерь контрольным взвешиванием.</x:v>
      </x:c>
      <x:c r="F32" s="32" t="str">
        <x:v>OPEN</x:v>
      </x:c>
      <x:c r="G32" s="32" t="str">
        <x:v>Chef</x:v>
      </x:c>
      <x:c r="H32" s="32" t="str">
        <x:v>Mass balance; себестоимость; порционирование</x:v>
      </x:c>
      <x:c r="I32" s="32" t="str">
        <x:v>EVD-0005;EVD-0008</x:v>
      </x:c>
      <x:c r="J32" s="32" t="str">
        <x:v>GAP-002;GAP-005</x:v>
      </x:c>
      <x:c r="K32" s="32" t="str">
        <x:v>Owner/Chef Gate</x:v>
      </x:c>
      <x:c r="L32" s="38"/>
      <x:c r="M32" s="38"/>
      <x:c r="N32" s="32" t="str">
        <x:v>2026-08-03</x:v>
      </x:c>
    </x:row>
    <x:row r="33">
      <x:c r="A33" s="32" t="str">
        <x:v>CQ-0028</x:v>
      </x:c>
      <x:c r="B33" s="32" t="str">
        <x:v>VKM-006</x:v>
      </x:c>
      <x:c r="C33" s="32" t="str">
        <x:v>Томатная чиабатта</x:v>
      </x:c>
      <x:c r="D33" s="32" t="str">
        <x:v>PROCESS</x:v>
      </x:c>
      <x:c r="E33" s="32" t="str">
        <x:v>Подтвердить последовательность операций, фактическое активное/полное время и проект подачи.</x:v>
      </x:c>
      <x:c r="F33" s="32" t="str">
        <x:v>OPEN</x:v>
      </x:c>
      <x:c r="G33" s="32" t="str">
        <x:v>Chef</x:v>
      </x:c>
      <x:c r="H33" s="32" t="str">
        <x:v>Техкарта; оборудование; мощность; сервис</x:v>
      </x:c>
      <x:c r="I33" s="32" t="str">
        <x:v>EVD-0010;EVD-0011</x:v>
      </x:c>
      <x:c r="J33" s="32" t="str">
        <x:v>GAP-007;GAP-008</x:v>
      </x:c>
      <x:c r="K33" s="32" t="str">
        <x:v>Owner/Chef Gate</x:v>
      </x:c>
      <x:c r="L33" s="38"/>
      <x:c r="M33" s="38"/>
      <x:c r="N33" s="32" t="str">
        <x:v>2026-08-03</x:v>
      </x:c>
    </x:row>
    <x:row r="34">
      <x:c r="A34" s="32" t="str">
        <x:v>CQ-0029</x:v>
      </x:c>
      <x:c r="B34" s="32" t="str">
        <x:v>VKM-006</x:v>
      </x:c>
      <x:c r="C34" s="32" t="str">
        <x:v>Томатная чиабатта</x:v>
      </x:c>
      <x:c r="D34" s="32" t="str">
        <x:v>SEMI_FINISHED</x:v>
      </x:c>
      <x:c r="E34" s="32" t="str">
        <x:v>Подтвердить выделение, код и размер партии связанных полуфабрикатов; указать общие полуфабрикаты.</x:v>
      </x:c>
      <x:c r="F34" s="32" t="str">
        <x:v>OPEN</x:v>
      </x:c>
      <x:c r="G34" s="32" t="str">
        <x:v>Chef</x:v>
      </x:c>
      <x:c r="H34" s="32" t="str">
        <x:v>DAG; двойной учёт; себестоимость; планирование</x:v>
      </x:c>
      <x:c r="I34" s="32" t="str">
        <x:v>EVD-0009</x:v>
      </x:c>
      <x:c r="J34" s="32" t="str">
        <x:v>GAP-006</x:v>
      </x:c>
      <x:c r="K34" s="32" t="str">
        <x:v>Owner/Chef Gate</x:v>
      </x:c>
      <x:c r="L34" s="38"/>
      <x:c r="M34" s="38"/>
      <x:c r="N34" s="32" t="str">
        <x:v>2026-08-03</x:v>
      </x:c>
    </x:row>
    <x:row r="35">
      <x:c r="A35" s="32" t="str">
        <x:v>CQ-0030</x:v>
      </x:c>
      <x:c r="B35" s="32" t="str">
        <x:v>VKM-006</x:v>
      </x:c>
      <x:c r="C35" s="32" t="str">
        <x:v>Томатная чиабатта</x:v>
      </x:c>
      <x:c r="D35" s="32" t="str">
        <x:v>PROCESS_FLOW_FOR_SAFETY</x:v>
      </x:c>
      <x:c r="E35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35" s="32" t="str">
        <x:v>OPEN</x:v>
      </x:c>
      <x:c r="G35" s="32" t="str">
        <x:v>Chef</x:v>
      </x:c>
      <x:c r="H35" s="32" t="str">
        <x:v>Safety veto; ППК/HACCP; маркировка и прослеживаемость</x:v>
      </x:c>
      <x:c r="I35" s="32" t="str">
        <x:v>EVD-0013;EVD-0014;EVD-FS-001;EVD-FS-003</x:v>
      </x:c>
      <x:c r="J35" s="32" t="str">
        <x:v>GAP-010;GAP-011</x:v>
      </x:c>
      <x:c r="K35" s="32" t="str">
        <x:v>Owner/Chef Gate</x:v>
      </x:c>
      <x:c r="L35" s="38"/>
      <x:c r="M35" s="38"/>
      <x:c r="N35" s="32" t="str">
        <x:v>2026-08-03</x:v>
      </x:c>
    </x:row>
    <x:row r="36">
      <x:c r="A36" s="32" t="str">
        <x:v>CQ-0031</x:v>
      </x:c>
      <x:c r="B36" s="32" t="str">
        <x:v>VKM-007</x:v>
      </x:c>
      <x:c r="C36" s="32" t="str">
        <x:v>Бородинский хлеб</x:v>
      </x:c>
      <x:c r="D36" s="32" t="str">
        <x:v>RECIPE</x:v>
      </x:c>
      <x:c r="E36" s="32" t="str">
        <x:v>Подтвердить или скорректировать построчный состав и проектные нормы брутто/нетто.</x:v>
      </x:c>
      <x:c r="F36" s="32" t="str">
        <x:v>OPEN</x:v>
      </x:c>
      <x:c r="G36" s="32" t="str">
        <x:v>Chef</x:v>
      </x:c>
      <x:c r="H36" s="32" t="str">
        <x:v>Себестоимость; пищценность; аллергены; закупка</x:v>
      </x:c>
      <x:c r="I36" s="32" t="str">
        <x:v>EVD-0007</x:v>
      </x:c>
      <x:c r="J36" s="32" t="str">
        <x:v>GAP-004</x:v>
      </x:c>
      <x:c r="K36" s="32" t="str">
        <x:v>Owner/Chef Gate</x:v>
      </x:c>
      <x:c r="L36" s="38"/>
      <x:c r="M36" s="38"/>
      <x:c r="N36" s="32" t="str">
        <x:v>2026-08-03</x:v>
      </x:c>
    </x:row>
    <x:row r="37">
      <x:c r="A37" s="32" t="str">
        <x:v>CQ-0032</x:v>
      </x:c>
      <x:c r="B37" s="32" t="str">
        <x:v>VKM-007</x:v>
      </x:c>
      <x:c r="C37" s="32" t="str">
        <x:v>Бородинский хлеб</x:v>
      </x:c>
      <x:c r="D37" s="32" t="str">
        <x:v>YIELD</x:v>
      </x:c>
      <x:c r="E37" s="32" t="str">
        <x:v>Подтвердить целевой выход и способ учёта подготовительных/тепловых потерь контрольным взвешиванием.</x:v>
      </x:c>
      <x:c r="F37" s="32" t="str">
        <x:v>OPEN</x:v>
      </x:c>
      <x:c r="G37" s="32" t="str">
        <x:v>Chef</x:v>
      </x:c>
      <x:c r="H37" s="32" t="str">
        <x:v>Mass balance; себестоимость; порционирование</x:v>
      </x:c>
      <x:c r="I37" s="32" t="str">
        <x:v>EVD-0005;EVD-0008</x:v>
      </x:c>
      <x:c r="J37" s="32" t="str">
        <x:v>GAP-002;GAP-005</x:v>
      </x:c>
      <x:c r="K37" s="32" t="str">
        <x:v>Owner/Chef Gate</x:v>
      </x:c>
      <x:c r="L37" s="38"/>
      <x:c r="M37" s="38"/>
      <x:c r="N37" s="32" t="str">
        <x:v>2026-08-03</x:v>
      </x:c>
    </x:row>
    <x:row r="38">
      <x:c r="A38" s="32" t="str">
        <x:v>CQ-0033</x:v>
      </x:c>
      <x:c r="B38" s="32" t="str">
        <x:v>VKM-007</x:v>
      </x:c>
      <x:c r="C38" s="32" t="str">
        <x:v>Бородинский хлеб</x:v>
      </x:c>
      <x:c r="D38" s="32" t="str">
        <x:v>PROCESS</x:v>
      </x:c>
      <x:c r="E38" s="32" t="str">
        <x:v>Подтвердить последовательность операций, фактическое активное/полное время и проект подачи.</x:v>
      </x:c>
      <x:c r="F38" s="32" t="str">
        <x:v>OPEN</x:v>
      </x:c>
      <x:c r="G38" s="32" t="str">
        <x:v>Chef</x:v>
      </x:c>
      <x:c r="H38" s="32" t="str">
        <x:v>Техкарта; оборудование; мощность; сервис</x:v>
      </x:c>
      <x:c r="I38" s="32" t="str">
        <x:v>EVD-0010;EVD-0011</x:v>
      </x:c>
      <x:c r="J38" s="32" t="str">
        <x:v>GAP-007;GAP-008</x:v>
      </x:c>
      <x:c r="K38" s="32" t="str">
        <x:v>Owner/Chef Gate</x:v>
      </x:c>
      <x:c r="L38" s="38"/>
      <x:c r="M38" s="38"/>
      <x:c r="N38" s="32" t="str">
        <x:v>2026-08-03</x:v>
      </x:c>
    </x:row>
    <x:row r="39">
      <x:c r="A39" s="32" t="str">
        <x:v>CQ-0034</x:v>
      </x:c>
      <x:c r="B39" s="32" t="str">
        <x:v>VKM-007</x:v>
      </x:c>
      <x:c r="C39" s="32" t="str">
        <x:v>Бородинский хлеб</x:v>
      </x:c>
      <x:c r="D39" s="32" t="str">
        <x:v>SEMI_FINISHED</x:v>
      </x:c>
      <x:c r="E39" s="32" t="str">
        <x:v>Подтвердить выделение, код и размер партии связанных полуфабрикатов; указать общие полуфабрикаты.</x:v>
      </x:c>
      <x:c r="F39" s="32" t="str">
        <x:v>OPEN</x:v>
      </x:c>
      <x:c r="G39" s="32" t="str">
        <x:v>Chef</x:v>
      </x:c>
      <x:c r="H39" s="32" t="str">
        <x:v>DAG; двойной учёт; себестоимость; планирование</x:v>
      </x:c>
      <x:c r="I39" s="32" t="str">
        <x:v>EVD-0009</x:v>
      </x:c>
      <x:c r="J39" s="32" t="str">
        <x:v>GAP-006</x:v>
      </x:c>
      <x:c r="K39" s="32" t="str">
        <x:v>Owner/Chef Gate</x:v>
      </x:c>
      <x:c r="L39" s="38"/>
      <x:c r="M39" s="38"/>
      <x:c r="N39" s="32" t="str">
        <x:v>2026-08-03</x:v>
      </x:c>
    </x:row>
    <x:row r="40">
      <x:c r="A40" s="32" t="str">
        <x:v>CQ-0035</x:v>
      </x:c>
      <x:c r="B40" s="32" t="str">
        <x:v>VKM-007</x:v>
      </x:c>
      <x:c r="C40" s="32" t="str">
        <x:v>Бородинский хлеб</x:v>
      </x:c>
      <x:c r="D40" s="32" t="str">
        <x:v>PROCESS_FLOW_FOR_SAFETY</x:v>
      </x:c>
      <x:c r="E40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40" s="32" t="str">
        <x:v>OPEN</x:v>
      </x:c>
      <x:c r="G40" s="32" t="str">
        <x:v>Chef</x:v>
      </x:c>
      <x:c r="H40" s="32" t="str">
        <x:v>Safety veto; ППК/HACCP; маркировка и прослеживаемость</x:v>
      </x:c>
      <x:c r="I40" s="32" t="str">
        <x:v>EVD-0013;EVD-0014;EVD-FS-001;EVD-FS-003</x:v>
      </x:c>
      <x:c r="J40" s="32" t="str">
        <x:v>GAP-010;GAP-011</x:v>
      </x:c>
      <x:c r="K40" s="32" t="str">
        <x:v>Owner/Chef Gate</x:v>
      </x:c>
      <x:c r="L40" s="38"/>
      <x:c r="M40" s="38"/>
      <x:c r="N40" s="32" t="str">
        <x:v>2026-08-03</x:v>
      </x:c>
    </x:row>
    <x:row r="41">
      <x:c r="A41" s="32" t="str">
        <x:v>CQ-0036</x:v>
      </x:c>
      <x:c r="B41" s="32" t="str">
        <x:v>VKM-008</x:v>
      </x:c>
      <x:c r="C41" s="32" t="str">
        <x:v>Бриошь</x:v>
      </x:c>
      <x:c r="D41" s="32" t="str">
        <x:v>RECIPE</x:v>
      </x:c>
      <x:c r="E41" s="32" t="str">
        <x:v>Подтвердить или скорректировать построчный состав и проектные нормы брутто/нетто.</x:v>
      </x:c>
      <x:c r="F41" s="32" t="str">
        <x:v>OPEN</x:v>
      </x:c>
      <x:c r="G41" s="32" t="str">
        <x:v>Chef</x:v>
      </x:c>
      <x:c r="H41" s="32" t="str">
        <x:v>Себестоимость; пищценность; аллергены; закупка</x:v>
      </x:c>
      <x:c r="I41" s="32" t="str">
        <x:v>EVD-0007</x:v>
      </x:c>
      <x:c r="J41" s="32" t="str">
        <x:v>GAP-004</x:v>
      </x:c>
      <x:c r="K41" s="32" t="str">
        <x:v>Owner/Chef Gate</x:v>
      </x:c>
      <x:c r="L41" s="38"/>
      <x:c r="M41" s="38"/>
      <x:c r="N41" s="32" t="str">
        <x:v>2026-08-03</x:v>
      </x:c>
    </x:row>
    <x:row r="42">
      <x:c r="A42" s="32" t="str">
        <x:v>CQ-0037</x:v>
      </x:c>
      <x:c r="B42" s="32" t="str">
        <x:v>VKM-008</x:v>
      </x:c>
      <x:c r="C42" s="32" t="str">
        <x:v>Бриошь</x:v>
      </x:c>
      <x:c r="D42" s="32" t="str">
        <x:v>YIELD</x:v>
      </x:c>
      <x:c r="E42" s="32" t="str">
        <x:v>Подтвердить целевой выход и способ учёта подготовительных/тепловых потерь контрольным взвешиванием.</x:v>
      </x:c>
      <x:c r="F42" s="32" t="str">
        <x:v>OPEN</x:v>
      </x:c>
      <x:c r="G42" s="32" t="str">
        <x:v>Chef</x:v>
      </x:c>
      <x:c r="H42" s="32" t="str">
        <x:v>Mass balance; себестоимость; порционирование</x:v>
      </x:c>
      <x:c r="I42" s="32" t="str">
        <x:v>EVD-0005;EVD-0008</x:v>
      </x:c>
      <x:c r="J42" s="32" t="str">
        <x:v>GAP-002;GAP-005</x:v>
      </x:c>
      <x:c r="K42" s="32" t="str">
        <x:v>Owner/Chef Gate</x:v>
      </x:c>
      <x:c r="L42" s="38"/>
      <x:c r="M42" s="38"/>
      <x:c r="N42" s="32" t="str">
        <x:v>2026-08-03</x:v>
      </x:c>
    </x:row>
    <x:row r="43">
      <x:c r="A43" s="32" t="str">
        <x:v>CQ-0038</x:v>
      </x:c>
      <x:c r="B43" s="32" t="str">
        <x:v>VKM-008</x:v>
      </x:c>
      <x:c r="C43" s="32" t="str">
        <x:v>Бриошь</x:v>
      </x:c>
      <x:c r="D43" s="32" t="str">
        <x:v>PROCESS</x:v>
      </x:c>
      <x:c r="E43" s="32" t="str">
        <x:v>Подтвердить последовательность операций, фактическое активное/полное время и проект подачи.</x:v>
      </x:c>
      <x:c r="F43" s="32" t="str">
        <x:v>OPEN</x:v>
      </x:c>
      <x:c r="G43" s="32" t="str">
        <x:v>Chef</x:v>
      </x:c>
      <x:c r="H43" s="32" t="str">
        <x:v>Техкарта; оборудование; мощность; сервис</x:v>
      </x:c>
      <x:c r="I43" s="32" t="str">
        <x:v>EVD-0010;EVD-0011</x:v>
      </x:c>
      <x:c r="J43" s="32" t="str">
        <x:v>GAP-007;GAP-008</x:v>
      </x:c>
      <x:c r="K43" s="32" t="str">
        <x:v>Owner/Chef Gate</x:v>
      </x:c>
      <x:c r="L43" s="38"/>
      <x:c r="M43" s="38"/>
      <x:c r="N43" s="32" t="str">
        <x:v>2026-08-03</x:v>
      </x:c>
    </x:row>
    <x:row r="44">
      <x:c r="A44" s="32" t="str">
        <x:v>CQ-0039</x:v>
      </x:c>
      <x:c r="B44" s="32" t="str">
        <x:v>VKM-008</x:v>
      </x:c>
      <x:c r="C44" s="32" t="str">
        <x:v>Бриошь</x:v>
      </x:c>
      <x:c r="D44" s="32" t="str">
        <x:v>SEMI_FINISHED</x:v>
      </x:c>
      <x:c r="E44" s="32" t="str">
        <x:v>Подтвердить выделение, код и размер партии связанных полуфабрикатов; указать общие полуфабрикаты.</x:v>
      </x:c>
      <x:c r="F44" s="32" t="str">
        <x:v>OPEN</x:v>
      </x:c>
      <x:c r="G44" s="32" t="str">
        <x:v>Chef</x:v>
      </x:c>
      <x:c r="H44" s="32" t="str">
        <x:v>DAG; двойной учёт; себестоимость; планирование</x:v>
      </x:c>
      <x:c r="I44" s="32" t="str">
        <x:v>EVD-0009</x:v>
      </x:c>
      <x:c r="J44" s="32" t="str">
        <x:v>GAP-006</x:v>
      </x:c>
      <x:c r="K44" s="32" t="str">
        <x:v>Owner/Chef Gate</x:v>
      </x:c>
      <x:c r="L44" s="38"/>
      <x:c r="M44" s="38"/>
      <x:c r="N44" s="32" t="str">
        <x:v>2026-08-03</x:v>
      </x:c>
    </x:row>
    <x:row r="45">
      <x:c r="A45" s="32" t="str">
        <x:v>CQ-0040</x:v>
      </x:c>
      <x:c r="B45" s="32" t="str">
        <x:v>VKM-008</x:v>
      </x:c>
      <x:c r="C45" s="32" t="str">
        <x:v>Бриошь</x:v>
      </x:c>
      <x:c r="D45" s="32" t="str">
        <x:v>PROCESS_FLOW_FOR_SAFETY</x:v>
      </x:c>
      <x:c r="E45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45" s="32" t="str">
        <x:v>OPEN</x:v>
      </x:c>
      <x:c r="G45" s="32" t="str">
        <x:v>Chef</x:v>
      </x:c>
      <x:c r="H45" s="32" t="str">
        <x:v>Safety veto; ППК/HACCP; маркировка и прослеживаемость</x:v>
      </x:c>
      <x:c r="I45" s="32" t="str">
        <x:v>EVD-0013;EVD-0014;EVD-FS-001;EVD-FS-003</x:v>
      </x:c>
      <x:c r="J45" s="32" t="str">
        <x:v>GAP-010;GAP-011</x:v>
      </x:c>
      <x:c r="K45" s="32" t="str">
        <x:v>Owner/Chef Gate</x:v>
      </x:c>
      <x:c r="L45" s="38"/>
      <x:c r="M45" s="38"/>
      <x:c r="N45" s="32" t="str">
        <x:v>2026-08-03</x:v>
      </x:c>
    </x:row>
    <x:row r="46">
      <x:c r="A46" s="32" t="str">
        <x:v>CQ-0041</x:v>
      </x:c>
      <x:c r="B46" s="32" t="str">
        <x:v>VKM-009</x:v>
      </x:c>
      <x:c r="C46" s="32" t="str">
        <x:v>Буррата с томатами</x:v>
      </x:c>
      <x:c r="D46" s="32" t="str">
        <x:v>RECIPE</x:v>
      </x:c>
      <x:c r="E46" s="32" t="str">
        <x:v>Подтвердить или скорректировать построчный состав и проектные нормы брутто/нетто.</x:v>
      </x:c>
      <x:c r="F46" s="32" t="str">
        <x:v>OPEN</x:v>
      </x:c>
      <x:c r="G46" s="32" t="str">
        <x:v>Chef</x:v>
      </x:c>
      <x:c r="H46" s="32" t="str">
        <x:v>Себестоимость; пищценность; аллергены; закупка</x:v>
      </x:c>
      <x:c r="I46" s="32" t="str">
        <x:v>EVD-0007</x:v>
      </x:c>
      <x:c r="J46" s="32" t="str">
        <x:v>GAP-004</x:v>
      </x:c>
      <x:c r="K46" s="32" t="str">
        <x:v>Owner/Chef Gate</x:v>
      </x:c>
      <x:c r="L46" s="38"/>
      <x:c r="M46" s="38"/>
      <x:c r="N46" s="32" t="str">
        <x:v>2026-08-03</x:v>
      </x:c>
    </x:row>
    <x:row r="47">
      <x:c r="A47" s="32" t="str">
        <x:v>CQ-0042</x:v>
      </x:c>
      <x:c r="B47" s="32" t="str">
        <x:v>VKM-009</x:v>
      </x:c>
      <x:c r="C47" s="32" t="str">
        <x:v>Буррата с томатами</x:v>
      </x:c>
      <x:c r="D47" s="32" t="str">
        <x:v>YIELD</x:v>
      </x:c>
      <x:c r="E47" s="32" t="str">
        <x:v>Подтвердить целевой выход и способ учёта подготовительных/тепловых потерь контрольным взвешиванием.</x:v>
      </x:c>
      <x:c r="F47" s="32" t="str">
        <x:v>OPEN</x:v>
      </x:c>
      <x:c r="G47" s="32" t="str">
        <x:v>Chef</x:v>
      </x:c>
      <x:c r="H47" s="32" t="str">
        <x:v>Mass balance; себестоимость; порционирование</x:v>
      </x:c>
      <x:c r="I47" s="32" t="str">
        <x:v>EVD-0005;EVD-0008</x:v>
      </x:c>
      <x:c r="J47" s="32" t="str">
        <x:v>GAP-002;GAP-005</x:v>
      </x:c>
      <x:c r="K47" s="32" t="str">
        <x:v>Owner/Chef Gate</x:v>
      </x:c>
      <x:c r="L47" s="38"/>
      <x:c r="M47" s="38"/>
      <x:c r="N47" s="32" t="str">
        <x:v>2026-08-03</x:v>
      </x:c>
    </x:row>
    <x:row r="48">
      <x:c r="A48" s="32" t="str">
        <x:v>CQ-0043</x:v>
      </x:c>
      <x:c r="B48" s="32" t="str">
        <x:v>VKM-009</x:v>
      </x:c>
      <x:c r="C48" s="32" t="str">
        <x:v>Буррата с томатами</x:v>
      </x:c>
      <x:c r="D48" s="32" t="str">
        <x:v>PROCESS</x:v>
      </x:c>
      <x:c r="E48" s="32" t="str">
        <x:v>Подтвердить последовательность операций, фактическое активное/полное время и проект подачи.</x:v>
      </x:c>
      <x:c r="F48" s="32" t="str">
        <x:v>OPEN</x:v>
      </x:c>
      <x:c r="G48" s="32" t="str">
        <x:v>Chef</x:v>
      </x:c>
      <x:c r="H48" s="32" t="str">
        <x:v>Техкарта; оборудование; мощность; сервис</x:v>
      </x:c>
      <x:c r="I48" s="32" t="str">
        <x:v>EVD-0010;EVD-0011</x:v>
      </x:c>
      <x:c r="J48" s="32" t="str">
        <x:v>GAP-007;GAP-008</x:v>
      </x:c>
      <x:c r="K48" s="32" t="str">
        <x:v>Owner/Chef Gate</x:v>
      </x:c>
      <x:c r="L48" s="38"/>
      <x:c r="M48" s="38"/>
      <x:c r="N48" s="32" t="str">
        <x:v>2026-08-03</x:v>
      </x:c>
    </x:row>
    <x:row r="49">
      <x:c r="A49" s="32" t="str">
        <x:v>CQ-0044</x:v>
      </x:c>
      <x:c r="B49" s="32" t="str">
        <x:v>VKM-009</x:v>
      </x:c>
      <x:c r="C49" s="32" t="str">
        <x:v>Буррата с томатами</x:v>
      </x:c>
      <x:c r="D49" s="32" t="str">
        <x:v>SEMI_FINISHED</x:v>
      </x:c>
      <x:c r="E49" s="32" t="str">
        <x:v>Подтвердить выделение, код и размер партии связанных полуфабрикатов; указать общие полуфабрикаты.</x:v>
      </x:c>
      <x:c r="F49" s="32" t="str">
        <x:v>OPEN</x:v>
      </x:c>
      <x:c r="G49" s="32" t="str">
        <x:v>Chef</x:v>
      </x:c>
      <x:c r="H49" s="32" t="str">
        <x:v>DAG; двойной учёт; себестоимость; планирование</x:v>
      </x:c>
      <x:c r="I49" s="32" t="str">
        <x:v>EVD-0009</x:v>
      </x:c>
      <x:c r="J49" s="32" t="str">
        <x:v>GAP-006</x:v>
      </x:c>
      <x:c r="K49" s="32" t="str">
        <x:v>Owner/Chef Gate</x:v>
      </x:c>
      <x:c r="L49" s="38"/>
      <x:c r="M49" s="38"/>
      <x:c r="N49" s="32" t="str">
        <x:v>2026-08-03</x:v>
      </x:c>
    </x:row>
    <x:row r="50">
      <x:c r="A50" s="32" t="str">
        <x:v>CQ-0045</x:v>
      </x:c>
      <x:c r="B50" s="32" t="str">
        <x:v>VKM-009</x:v>
      </x:c>
      <x:c r="C50" s="32" t="str">
        <x:v>Буррата с томатами</x:v>
      </x:c>
      <x:c r="D50" s="32" t="str">
        <x:v>PROCESS_FLOW_FOR_SAFETY</x:v>
      </x:c>
      <x:c r="E50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50" s="32" t="str">
        <x:v>OPEN</x:v>
      </x:c>
      <x:c r="G50" s="32" t="str">
        <x:v>Chef</x:v>
      </x:c>
      <x:c r="H50" s="32" t="str">
        <x:v>Safety veto; ППК/HACCP; маркировка и прослеживаемость</x:v>
      </x:c>
      <x:c r="I50" s="32" t="str">
        <x:v>EVD-0013;EVD-0014;EVD-FS-001;EVD-FS-003</x:v>
      </x:c>
      <x:c r="J50" s="32" t="str">
        <x:v>GAP-010;GAP-011</x:v>
      </x:c>
      <x:c r="K50" s="32" t="str">
        <x:v>Owner/Chef Gate</x:v>
      </x:c>
      <x:c r="L50" s="38"/>
      <x:c r="M50" s="38"/>
      <x:c r="N50" s="32" t="str">
        <x:v>2026-08-03</x:v>
      </x:c>
    </x:row>
    <x:row r="51">
      <x:c r="A51" s="32" t="str">
        <x:v>CQ-0046</x:v>
      </x:c>
      <x:c r="B51" s="32" t="str">
        <x:v>VKM-010</x:v>
      </x:c>
      <x:c r="C51" s="32" t="str">
        <x:v>Микс-салат с креветками и яблоком</x:v>
      </x:c>
      <x:c r="D51" s="32" t="str">
        <x:v>RECIPE</x:v>
      </x:c>
      <x:c r="E51" s="32" t="str">
        <x:v>Подтвердить или скорректировать построчный состав и проектные нормы брутто/нетто.</x:v>
      </x:c>
      <x:c r="F51" s="32" t="str">
        <x:v>OPEN</x:v>
      </x:c>
      <x:c r="G51" s="32" t="str">
        <x:v>Chef</x:v>
      </x:c>
      <x:c r="H51" s="32" t="str">
        <x:v>Себестоимость; пищценность; аллергены; закупка</x:v>
      </x:c>
      <x:c r="I51" s="32" t="str">
        <x:v>EVD-0007</x:v>
      </x:c>
      <x:c r="J51" s="32" t="str">
        <x:v>GAP-004</x:v>
      </x:c>
      <x:c r="K51" s="32" t="str">
        <x:v>Owner/Chef Gate</x:v>
      </x:c>
      <x:c r="L51" s="38"/>
      <x:c r="M51" s="38"/>
      <x:c r="N51" s="32" t="str">
        <x:v>2026-08-03</x:v>
      </x:c>
    </x:row>
    <x:row r="52">
      <x:c r="A52" s="32" t="str">
        <x:v>CQ-0047</x:v>
      </x:c>
      <x:c r="B52" s="32" t="str">
        <x:v>VKM-010</x:v>
      </x:c>
      <x:c r="C52" s="32" t="str">
        <x:v>Микс-салат с креветками и яблоком</x:v>
      </x:c>
      <x:c r="D52" s="32" t="str">
        <x:v>YIELD</x:v>
      </x:c>
      <x:c r="E52" s="32" t="str">
        <x:v>Подтвердить целевой выход и способ учёта подготовительных/тепловых потерь контрольным взвешиванием.</x:v>
      </x:c>
      <x:c r="F52" s="32" t="str">
        <x:v>OPEN</x:v>
      </x:c>
      <x:c r="G52" s="32" t="str">
        <x:v>Chef</x:v>
      </x:c>
      <x:c r="H52" s="32" t="str">
        <x:v>Mass balance; себестоимость; порционирование</x:v>
      </x:c>
      <x:c r="I52" s="32" t="str">
        <x:v>EVD-0005;EVD-0008</x:v>
      </x:c>
      <x:c r="J52" s="32" t="str">
        <x:v>GAP-002;GAP-005</x:v>
      </x:c>
      <x:c r="K52" s="32" t="str">
        <x:v>Owner/Chef Gate</x:v>
      </x:c>
      <x:c r="L52" s="38"/>
      <x:c r="M52" s="38"/>
      <x:c r="N52" s="32" t="str">
        <x:v>2026-08-03</x:v>
      </x:c>
    </x:row>
    <x:row r="53">
      <x:c r="A53" s="32" t="str">
        <x:v>CQ-0048</x:v>
      </x:c>
      <x:c r="B53" s="32" t="str">
        <x:v>VKM-010</x:v>
      </x:c>
      <x:c r="C53" s="32" t="str">
        <x:v>Микс-салат с креветками и яблоком</x:v>
      </x:c>
      <x:c r="D53" s="32" t="str">
        <x:v>PROCESS</x:v>
      </x:c>
      <x:c r="E53" s="32" t="str">
        <x:v>Подтвердить последовательность операций, фактическое активное/полное время и проект подачи.</x:v>
      </x:c>
      <x:c r="F53" s="32" t="str">
        <x:v>OPEN</x:v>
      </x:c>
      <x:c r="G53" s="32" t="str">
        <x:v>Chef</x:v>
      </x:c>
      <x:c r="H53" s="32" t="str">
        <x:v>Техкарта; оборудование; мощность; сервис</x:v>
      </x:c>
      <x:c r="I53" s="32" t="str">
        <x:v>EVD-0010;EVD-0011</x:v>
      </x:c>
      <x:c r="J53" s="32" t="str">
        <x:v>GAP-007;GAP-008</x:v>
      </x:c>
      <x:c r="K53" s="32" t="str">
        <x:v>Owner/Chef Gate</x:v>
      </x:c>
      <x:c r="L53" s="38"/>
      <x:c r="M53" s="38"/>
      <x:c r="N53" s="32" t="str">
        <x:v>2026-08-03</x:v>
      </x:c>
    </x:row>
    <x:row r="54">
      <x:c r="A54" s="32" t="str">
        <x:v>CQ-0049</x:v>
      </x:c>
      <x:c r="B54" s="32" t="str">
        <x:v>VKM-010</x:v>
      </x:c>
      <x:c r="C54" s="32" t="str">
        <x:v>Микс-салат с креветками и яблоком</x:v>
      </x:c>
      <x:c r="D54" s="32" t="str">
        <x:v>SEMI_FINISHED</x:v>
      </x:c>
      <x:c r="E54" s="32" t="str">
        <x:v>Подтвердить выделение, код и размер партии связанных полуфабрикатов; указать общие полуфабрикаты.</x:v>
      </x:c>
      <x:c r="F54" s="32" t="str">
        <x:v>OPEN</x:v>
      </x:c>
      <x:c r="G54" s="32" t="str">
        <x:v>Chef</x:v>
      </x:c>
      <x:c r="H54" s="32" t="str">
        <x:v>DAG; двойной учёт; себестоимость; планирование</x:v>
      </x:c>
      <x:c r="I54" s="32" t="str">
        <x:v>EVD-0009</x:v>
      </x:c>
      <x:c r="J54" s="32" t="str">
        <x:v>GAP-006</x:v>
      </x:c>
      <x:c r="K54" s="32" t="str">
        <x:v>Owner/Chef Gate</x:v>
      </x:c>
      <x:c r="L54" s="38"/>
      <x:c r="M54" s="38"/>
      <x:c r="N54" s="32" t="str">
        <x:v>2026-08-03</x:v>
      </x:c>
    </x:row>
    <x:row r="55">
      <x:c r="A55" s="32" t="str">
        <x:v>CQ-0050</x:v>
      </x:c>
      <x:c r="B55" s="32" t="str">
        <x:v>VKM-010</x:v>
      </x:c>
      <x:c r="C55" s="32" t="str">
        <x:v>Микс-салат с креветками и яблоком</x:v>
      </x:c>
      <x:c r="D55" s="32" t="str">
        <x:v>PROCESS_FLOW_FOR_SAFETY</x:v>
      </x:c>
      <x:c r="E55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55" s="32" t="str">
        <x:v>OPEN</x:v>
      </x:c>
      <x:c r="G55" s="32" t="str">
        <x:v>Chef</x:v>
      </x:c>
      <x:c r="H55" s="32" t="str">
        <x:v>Safety veto; ППК/HACCP; маркировка и прослеживаемость</x:v>
      </x:c>
      <x:c r="I55" s="32" t="str">
        <x:v>EVD-0013;EVD-0014;EVD-FS-001;EVD-FS-003</x:v>
      </x:c>
      <x:c r="J55" s="32" t="str">
        <x:v>GAP-010;GAP-011</x:v>
      </x:c>
      <x:c r="K55" s="32" t="str">
        <x:v>Owner/Chef Gate</x:v>
      </x:c>
      <x:c r="L55" s="38"/>
      <x:c r="M55" s="38"/>
      <x:c r="N55" s="32" t="str">
        <x:v>2026-08-03</x:v>
      </x:c>
    </x:row>
    <x:row r="56">
      <x:c r="A56" s="32" t="str">
        <x:v>CQ-0051</x:v>
      </x:c>
      <x:c r="B56" s="32" t="str">
        <x:v>VKM-011</x:v>
      </x:c>
      <x:c r="C56" s="32" t="str">
        <x:v>Греческий</x:v>
      </x:c>
      <x:c r="D56" s="32" t="str">
        <x:v>RECIPE</x:v>
      </x:c>
      <x:c r="E56" s="32" t="str">
        <x:v>Подтвердить или скорректировать построчный состав и проектные нормы брутто/нетто.</x:v>
      </x:c>
      <x:c r="F56" s="32" t="str">
        <x:v>OPEN</x:v>
      </x:c>
      <x:c r="G56" s="32" t="str">
        <x:v>Chef</x:v>
      </x:c>
      <x:c r="H56" s="32" t="str">
        <x:v>Себестоимость; пищценность; аллергены; закупка</x:v>
      </x:c>
      <x:c r="I56" s="32" t="str">
        <x:v>EVD-0007</x:v>
      </x:c>
      <x:c r="J56" s="32" t="str">
        <x:v>GAP-004</x:v>
      </x:c>
      <x:c r="K56" s="32" t="str">
        <x:v>Owner/Chef Gate</x:v>
      </x:c>
      <x:c r="L56" s="38"/>
      <x:c r="M56" s="38"/>
      <x:c r="N56" s="32" t="str">
        <x:v>2026-08-03</x:v>
      </x:c>
    </x:row>
    <x:row r="57">
      <x:c r="A57" s="32" t="str">
        <x:v>CQ-0052</x:v>
      </x:c>
      <x:c r="B57" s="32" t="str">
        <x:v>VKM-011</x:v>
      </x:c>
      <x:c r="C57" s="32" t="str">
        <x:v>Греческий</x:v>
      </x:c>
      <x:c r="D57" s="32" t="str">
        <x:v>YIELD</x:v>
      </x:c>
      <x:c r="E57" s="32" t="str">
        <x:v>Подтвердить целевой выход и способ учёта подготовительных/тепловых потерь контрольным взвешиванием.</x:v>
      </x:c>
      <x:c r="F57" s="32" t="str">
        <x:v>OPEN</x:v>
      </x:c>
      <x:c r="G57" s="32" t="str">
        <x:v>Chef</x:v>
      </x:c>
      <x:c r="H57" s="32" t="str">
        <x:v>Mass balance; себестоимость; порционирование</x:v>
      </x:c>
      <x:c r="I57" s="32" t="str">
        <x:v>EVD-0005;EVD-0008</x:v>
      </x:c>
      <x:c r="J57" s="32" t="str">
        <x:v>GAP-002;GAP-005</x:v>
      </x:c>
      <x:c r="K57" s="32" t="str">
        <x:v>Owner/Chef Gate</x:v>
      </x:c>
      <x:c r="L57" s="38"/>
      <x:c r="M57" s="38"/>
      <x:c r="N57" s="32" t="str">
        <x:v>2026-08-03</x:v>
      </x:c>
    </x:row>
    <x:row r="58">
      <x:c r="A58" s="32" t="str">
        <x:v>CQ-0053</x:v>
      </x:c>
      <x:c r="B58" s="32" t="str">
        <x:v>VKM-011</x:v>
      </x:c>
      <x:c r="C58" s="32" t="str">
        <x:v>Греческий</x:v>
      </x:c>
      <x:c r="D58" s="32" t="str">
        <x:v>PROCESS</x:v>
      </x:c>
      <x:c r="E58" s="32" t="str">
        <x:v>Подтвердить последовательность операций, фактическое активное/полное время и проект подачи.</x:v>
      </x:c>
      <x:c r="F58" s="32" t="str">
        <x:v>OPEN</x:v>
      </x:c>
      <x:c r="G58" s="32" t="str">
        <x:v>Chef</x:v>
      </x:c>
      <x:c r="H58" s="32" t="str">
        <x:v>Техкарта; оборудование; мощность; сервис</x:v>
      </x:c>
      <x:c r="I58" s="32" t="str">
        <x:v>EVD-0010;EVD-0011</x:v>
      </x:c>
      <x:c r="J58" s="32" t="str">
        <x:v>GAP-007;GAP-008</x:v>
      </x:c>
      <x:c r="K58" s="32" t="str">
        <x:v>Owner/Chef Gate</x:v>
      </x:c>
      <x:c r="L58" s="38"/>
      <x:c r="M58" s="38"/>
      <x:c r="N58" s="32" t="str">
        <x:v>2026-08-03</x:v>
      </x:c>
    </x:row>
    <x:row r="59">
      <x:c r="A59" s="32" t="str">
        <x:v>CQ-0054</x:v>
      </x:c>
      <x:c r="B59" s="32" t="str">
        <x:v>VKM-011</x:v>
      </x:c>
      <x:c r="C59" s="32" t="str">
        <x:v>Греческий</x:v>
      </x:c>
      <x:c r="D59" s="32" t="str">
        <x:v>SEMI_FINISHED</x:v>
      </x:c>
      <x:c r="E59" s="32" t="str">
        <x:v>Подтвердить выделение, код и размер партии связанных полуфабрикатов; указать общие полуфабрикаты.</x:v>
      </x:c>
      <x:c r="F59" s="32" t="str">
        <x:v>OPEN</x:v>
      </x:c>
      <x:c r="G59" s="32" t="str">
        <x:v>Chef</x:v>
      </x:c>
      <x:c r="H59" s="32" t="str">
        <x:v>DAG; двойной учёт; себестоимость; планирование</x:v>
      </x:c>
      <x:c r="I59" s="32" t="str">
        <x:v>EVD-0009</x:v>
      </x:c>
      <x:c r="J59" s="32" t="str">
        <x:v>GAP-006</x:v>
      </x:c>
      <x:c r="K59" s="32" t="str">
        <x:v>Owner/Chef Gate</x:v>
      </x:c>
      <x:c r="L59" s="38"/>
      <x:c r="M59" s="38"/>
      <x:c r="N59" s="32" t="str">
        <x:v>2026-08-03</x:v>
      </x:c>
    </x:row>
    <x:row r="60">
      <x:c r="A60" s="32" t="str">
        <x:v>CQ-0055</x:v>
      </x:c>
      <x:c r="B60" s="32" t="str">
        <x:v>VKM-011</x:v>
      </x:c>
      <x:c r="C60" s="32" t="str">
        <x:v>Греческий</x:v>
      </x:c>
      <x:c r="D60" s="32" t="str">
        <x:v>PROCESS_FLOW_FOR_SAFETY</x:v>
      </x:c>
      <x:c r="E60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60" s="32" t="str">
        <x:v>OPEN</x:v>
      </x:c>
      <x:c r="G60" s="32" t="str">
        <x:v>Chef</x:v>
      </x:c>
      <x:c r="H60" s="32" t="str">
        <x:v>Safety veto; ППК/HACCP; маркировка и прослеживаемость</x:v>
      </x:c>
      <x:c r="I60" s="32" t="str">
        <x:v>EVD-0013;EVD-0014;EVD-FS-001;EVD-FS-003</x:v>
      </x:c>
      <x:c r="J60" s="32" t="str">
        <x:v>GAP-010;GAP-011</x:v>
      </x:c>
      <x:c r="K60" s="32" t="str">
        <x:v>Owner/Chef Gate</x:v>
      </x:c>
      <x:c r="L60" s="38"/>
      <x:c r="M60" s="38"/>
      <x:c r="N60" s="32" t="str">
        <x:v>2026-08-03</x:v>
      </x:c>
    </x:row>
    <x:row r="61">
      <x:c r="A61" s="32" t="str">
        <x:v>CQ-0056</x:v>
      </x:c>
      <x:c r="B61" s="32" t="str">
        <x:v>VKM-012</x:v>
      </x:c>
      <x:c r="C61" s="32" t="str">
        <x:v>Винегрет</x:v>
      </x:c>
      <x:c r="D61" s="32" t="str">
        <x:v>RECIPE</x:v>
      </x:c>
      <x:c r="E61" s="32" t="str">
        <x:v>Подтвердить или скорректировать построчный состав и проектные нормы брутто/нетто.</x:v>
      </x:c>
      <x:c r="F61" s="32" t="str">
        <x:v>OPEN</x:v>
      </x:c>
      <x:c r="G61" s="32" t="str">
        <x:v>Chef</x:v>
      </x:c>
      <x:c r="H61" s="32" t="str">
        <x:v>Себестоимость; пищценность; аллергены; закупка</x:v>
      </x:c>
      <x:c r="I61" s="32" t="str">
        <x:v>EVD-0007</x:v>
      </x:c>
      <x:c r="J61" s="32" t="str">
        <x:v>GAP-004</x:v>
      </x:c>
      <x:c r="K61" s="32" t="str">
        <x:v>Owner/Chef Gate</x:v>
      </x:c>
      <x:c r="L61" s="38"/>
      <x:c r="M61" s="38"/>
      <x:c r="N61" s="32" t="str">
        <x:v>2026-08-03</x:v>
      </x:c>
    </x:row>
    <x:row r="62">
      <x:c r="A62" s="32" t="str">
        <x:v>CQ-0057</x:v>
      </x:c>
      <x:c r="B62" s="32" t="str">
        <x:v>VKM-012</x:v>
      </x:c>
      <x:c r="C62" s="32" t="str">
        <x:v>Винегрет</x:v>
      </x:c>
      <x:c r="D62" s="32" t="str">
        <x:v>YIELD</x:v>
      </x:c>
      <x:c r="E62" s="32" t="str">
        <x:v>Подтвердить целевой выход и способ учёта подготовительных/тепловых потерь контрольным взвешиванием.</x:v>
      </x:c>
      <x:c r="F62" s="32" t="str">
        <x:v>OPEN</x:v>
      </x:c>
      <x:c r="G62" s="32" t="str">
        <x:v>Chef</x:v>
      </x:c>
      <x:c r="H62" s="32" t="str">
        <x:v>Mass balance; себестоимость; порционирование</x:v>
      </x:c>
      <x:c r="I62" s="32" t="str">
        <x:v>EVD-0005;EVD-0008</x:v>
      </x:c>
      <x:c r="J62" s="32" t="str">
        <x:v>GAP-002;GAP-005</x:v>
      </x:c>
      <x:c r="K62" s="32" t="str">
        <x:v>Owner/Chef Gate</x:v>
      </x:c>
      <x:c r="L62" s="38"/>
      <x:c r="M62" s="38"/>
      <x:c r="N62" s="32" t="str">
        <x:v>2026-08-03</x:v>
      </x:c>
    </x:row>
    <x:row r="63">
      <x:c r="A63" s="32" t="str">
        <x:v>CQ-0058</x:v>
      </x:c>
      <x:c r="B63" s="32" t="str">
        <x:v>VKM-012</x:v>
      </x:c>
      <x:c r="C63" s="32" t="str">
        <x:v>Винегрет</x:v>
      </x:c>
      <x:c r="D63" s="32" t="str">
        <x:v>PROCESS</x:v>
      </x:c>
      <x:c r="E63" s="32" t="str">
        <x:v>Подтвердить последовательность операций, фактическое активное/полное время и проект подачи.</x:v>
      </x:c>
      <x:c r="F63" s="32" t="str">
        <x:v>OPEN</x:v>
      </x:c>
      <x:c r="G63" s="32" t="str">
        <x:v>Chef</x:v>
      </x:c>
      <x:c r="H63" s="32" t="str">
        <x:v>Техкарта; оборудование; мощность; сервис</x:v>
      </x:c>
      <x:c r="I63" s="32" t="str">
        <x:v>EVD-0010;EVD-0011</x:v>
      </x:c>
      <x:c r="J63" s="32" t="str">
        <x:v>GAP-007;GAP-008</x:v>
      </x:c>
      <x:c r="K63" s="32" t="str">
        <x:v>Owner/Chef Gate</x:v>
      </x:c>
      <x:c r="L63" s="38"/>
      <x:c r="M63" s="38"/>
      <x:c r="N63" s="32" t="str">
        <x:v>2026-08-03</x:v>
      </x:c>
    </x:row>
    <x:row r="64">
      <x:c r="A64" s="32" t="str">
        <x:v>CQ-0059</x:v>
      </x:c>
      <x:c r="B64" s="32" t="str">
        <x:v>VKM-012</x:v>
      </x:c>
      <x:c r="C64" s="32" t="str">
        <x:v>Винегрет</x:v>
      </x:c>
      <x:c r="D64" s="32" t="str">
        <x:v>SEMI_FINISHED</x:v>
      </x:c>
      <x:c r="E64" s="32" t="str">
        <x:v>Подтвердить выделение, код и размер партии связанных полуфабрикатов; указать общие полуфабрикаты.</x:v>
      </x:c>
      <x:c r="F64" s="32" t="str">
        <x:v>OPEN</x:v>
      </x:c>
      <x:c r="G64" s="32" t="str">
        <x:v>Chef</x:v>
      </x:c>
      <x:c r="H64" s="32" t="str">
        <x:v>DAG; двойной учёт; себестоимость; планирование</x:v>
      </x:c>
      <x:c r="I64" s="32" t="str">
        <x:v>EVD-0009</x:v>
      </x:c>
      <x:c r="J64" s="32" t="str">
        <x:v>GAP-006</x:v>
      </x:c>
      <x:c r="K64" s="32" t="str">
        <x:v>Owner/Chef Gate</x:v>
      </x:c>
      <x:c r="L64" s="38"/>
      <x:c r="M64" s="38"/>
      <x:c r="N64" s="32" t="str">
        <x:v>2026-08-03</x:v>
      </x:c>
    </x:row>
    <x:row r="65">
      <x:c r="A65" s="32" t="str">
        <x:v>CQ-0060</x:v>
      </x:c>
      <x:c r="B65" s="32" t="str">
        <x:v>VKM-012</x:v>
      </x:c>
      <x:c r="C65" s="32" t="str">
        <x:v>Винегрет</x:v>
      </x:c>
      <x:c r="D65" s="32" t="str">
        <x:v>PROCESS_FLOW_FOR_SAFETY</x:v>
      </x:c>
      <x:c r="E65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65" s="32" t="str">
        <x:v>OPEN</x:v>
      </x:c>
      <x:c r="G65" s="32" t="str">
        <x:v>Chef</x:v>
      </x:c>
      <x:c r="H65" s="32" t="str">
        <x:v>Safety veto; ППК/HACCP; маркировка и прослеживаемость</x:v>
      </x:c>
      <x:c r="I65" s="32" t="str">
        <x:v>EVD-0013;EVD-0014;EVD-FS-001;EVD-FS-003</x:v>
      </x:c>
      <x:c r="J65" s="32" t="str">
        <x:v>GAP-010;GAP-011</x:v>
      </x:c>
      <x:c r="K65" s="32" t="str">
        <x:v>Owner/Chef Gate</x:v>
      </x:c>
      <x:c r="L65" s="38"/>
      <x:c r="M65" s="38"/>
      <x:c r="N65" s="32" t="str">
        <x:v>2026-08-03</x:v>
      </x:c>
    </x:row>
    <x:row r="66">
      <x:c r="A66" s="32" t="str">
        <x:v>CQ-0061</x:v>
      </x:c>
      <x:c r="B66" s="32" t="str">
        <x:v>VKM-013</x:v>
      </x:c>
      <x:c r="C66" s="32" t="str">
        <x:v>Слабосолёный лосось</x:v>
      </x:c>
      <x:c r="D66" s="32" t="str">
        <x:v>RECIPE</x:v>
      </x:c>
      <x:c r="E66" s="32" t="str">
        <x:v>Подтвердить или скорректировать построчный состав и проектные нормы брутто/нетто.</x:v>
      </x:c>
      <x:c r="F66" s="32" t="str">
        <x:v>OPEN</x:v>
      </x:c>
      <x:c r="G66" s="32" t="str">
        <x:v>Chef</x:v>
      </x:c>
      <x:c r="H66" s="32" t="str">
        <x:v>Себестоимость; пищценность; аллергены; закупка</x:v>
      </x:c>
      <x:c r="I66" s="32" t="str">
        <x:v>EVD-0007</x:v>
      </x:c>
      <x:c r="J66" s="32" t="str">
        <x:v>GAP-004</x:v>
      </x:c>
      <x:c r="K66" s="32" t="str">
        <x:v>Owner/Chef Gate</x:v>
      </x:c>
      <x:c r="L66" s="38"/>
      <x:c r="M66" s="38"/>
      <x:c r="N66" s="32" t="str">
        <x:v>2026-08-03</x:v>
      </x:c>
    </x:row>
    <x:row r="67">
      <x:c r="A67" s="32" t="str">
        <x:v>CQ-0062</x:v>
      </x:c>
      <x:c r="B67" s="32" t="str">
        <x:v>VKM-013</x:v>
      </x:c>
      <x:c r="C67" s="32" t="str">
        <x:v>Слабосолёный лосось</x:v>
      </x:c>
      <x:c r="D67" s="32" t="str">
        <x:v>YIELD</x:v>
      </x:c>
      <x:c r="E67" s="32" t="str">
        <x:v>Подтвердить целевой выход и способ учёта подготовительных/тепловых потерь контрольным взвешиванием.</x:v>
      </x:c>
      <x:c r="F67" s="32" t="str">
        <x:v>OPEN</x:v>
      </x:c>
      <x:c r="G67" s="32" t="str">
        <x:v>Chef</x:v>
      </x:c>
      <x:c r="H67" s="32" t="str">
        <x:v>Mass balance; себестоимость; порционирование</x:v>
      </x:c>
      <x:c r="I67" s="32" t="str">
        <x:v>EVD-0005;EVD-0008</x:v>
      </x:c>
      <x:c r="J67" s="32" t="str">
        <x:v>GAP-002;GAP-005</x:v>
      </x:c>
      <x:c r="K67" s="32" t="str">
        <x:v>Owner/Chef Gate</x:v>
      </x:c>
      <x:c r="L67" s="38"/>
      <x:c r="M67" s="38"/>
      <x:c r="N67" s="32" t="str">
        <x:v>2026-08-03</x:v>
      </x:c>
    </x:row>
    <x:row r="68">
      <x:c r="A68" s="32" t="str">
        <x:v>CQ-0063</x:v>
      </x:c>
      <x:c r="B68" s="32" t="str">
        <x:v>VKM-013</x:v>
      </x:c>
      <x:c r="C68" s="32" t="str">
        <x:v>Слабосолёный лосось</x:v>
      </x:c>
      <x:c r="D68" s="32" t="str">
        <x:v>PROCESS</x:v>
      </x:c>
      <x:c r="E68" s="32" t="str">
        <x:v>Подтвердить последовательность операций, фактическое активное/полное время и проект подачи.</x:v>
      </x:c>
      <x:c r="F68" s="32" t="str">
        <x:v>OPEN</x:v>
      </x:c>
      <x:c r="G68" s="32" t="str">
        <x:v>Chef</x:v>
      </x:c>
      <x:c r="H68" s="32" t="str">
        <x:v>Техкарта; оборудование; мощность; сервис</x:v>
      </x:c>
      <x:c r="I68" s="32" t="str">
        <x:v>EVD-0010;EVD-0011</x:v>
      </x:c>
      <x:c r="J68" s="32" t="str">
        <x:v>GAP-007;GAP-008</x:v>
      </x:c>
      <x:c r="K68" s="32" t="str">
        <x:v>Owner/Chef Gate</x:v>
      </x:c>
      <x:c r="L68" s="38"/>
      <x:c r="M68" s="38"/>
      <x:c r="N68" s="32" t="str">
        <x:v>2026-08-03</x:v>
      </x:c>
    </x:row>
    <x:row r="69">
      <x:c r="A69" s="32" t="str">
        <x:v>CQ-0064</x:v>
      </x:c>
      <x:c r="B69" s="32" t="str">
        <x:v>VKM-013</x:v>
      </x:c>
      <x:c r="C69" s="32" t="str">
        <x:v>Слабосолёный лосось</x:v>
      </x:c>
      <x:c r="D69" s="32" t="str">
        <x:v>SEMI_FINISHED</x:v>
      </x:c>
      <x:c r="E69" s="32" t="str">
        <x:v>Подтвердить выделение, код и размер партии связанных полуфабрикатов; указать общие полуфабрикаты.</x:v>
      </x:c>
      <x:c r="F69" s="32" t="str">
        <x:v>OPEN</x:v>
      </x:c>
      <x:c r="G69" s="32" t="str">
        <x:v>Chef</x:v>
      </x:c>
      <x:c r="H69" s="32" t="str">
        <x:v>DAG; двойной учёт; себестоимость; планирование</x:v>
      </x:c>
      <x:c r="I69" s="32" t="str">
        <x:v>EVD-0009</x:v>
      </x:c>
      <x:c r="J69" s="32" t="str">
        <x:v>GAP-006</x:v>
      </x:c>
      <x:c r="K69" s="32" t="str">
        <x:v>Owner/Chef Gate</x:v>
      </x:c>
      <x:c r="L69" s="38"/>
      <x:c r="M69" s="38"/>
      <x:c r="N69" s="32" t="str">
        <x:v>2026-08-03</x:v>
      </x:c>
    </x:row>
    <x:row r="70">
      <x:c r="A70" s="32" t="str">
        <x:v>CQ-0065</x:v>
      </x:c>
      <x:c r="B70" s="32" t="str">
        <x:v>VKM-013</x:v>
      </x:c>
      <x:c r="C70" s="32" t="str">
        <x:v>Слабосолёный лосось</x:v>
      </x:c>
      <x:c r="D70" s="32" t="str">
        <x:v>PROCESS_FLOW_FOR_SAFETY</x:v>
      </x:c>
      <x:c r="E70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70" s="32" t="str">
        <x:v>OPEN</x:v>
      </x:c>
      <x:c r="G70" s="32" t="str">
        <x:v>Chef</x:v>
      </x:c>
      <x:c r="H70" s="32" t="str">
        <x:v>Safety veto; ППК/HACCP; маркировка и прослеживаемость</x:v>
      </x:c>
      <x:c r="I70" s="32" t="str">
        <x:v>EVD-0013;EVD-0014;EVD-FS-001;EVD-FS-003</x:v>
      </x:c>
      <x:c r="J70" s="32" t="str">
        <x:v>GAP-010;GAP-011</x:v>
      </x:c>
      <x:c r="K70" s="32" t="str">
        <x:v>Owner/Chef Gate</x:v>
      </x:c>
      <x:c r="L70" s="38"/>
      <x:c r="M70" s="38"/>
      <x:c r="N70" s="32" t="str">
        <x:v>2026-08-03</x:v>
      </x:c>
    </x:row>
    <x:row r="71">
      <x:c r="A71" s="32" t="str">
        <x:v>CQ-0066</x:v>
      </x:c>
      <x:c r="B71" s="32" t="str">
        <x:v>VKM-014</x:v>
      </x:c>
      <x:c r="C71" s="32" t="str">
        <x:v>Сельдь с запечённым картофелем</x:v>
      </x:c>
      <x:c r="D71" s="32" t="str">
        <x:v>RECIPE</x:v>
      </x:c>
      <x:c r="E71" s="32" t="str">
        <x:v>Подтвердить или скорректировать построчный состав и проектные нормы брутто/нетто.</x:v>
      </x:c>
      <x:c r="F71" s="32" t="str">
        <x:v>OPEN</x:v>
      </x:c>
      <x:c r="G71" s="32" t="str">
        <x:v>Chef</x:v>
      </x:c>
      <x:c r="H71" s="32" t="str">
        <x:v>Себестоимость; пищценность; аллергены; закупка</x:v>
      </x:c>
      <x:c r="I71" s="32" t="str">
        <x:v>EVD-0007</x:v>
      </x:c>
      <x:c r="J71" s="32" t="str">
        <x:v>GAP-004</x:v>
      </x:c>
      <x:c r="K71" s="32" t="str">
        <x:v>Owner/Chef Gate</x:v>
      </x:c>
      <x:c r="L71" s="38"/>
      <x:c r="M71" s="38"/>
      <x:c r="N71" s="32" t="str">
        <x:v>2026-08-03</x:v>
      </x:c>
    </x:row>
    <x:row r="72">
      <x:c r="A72" s="32" t="str">
        <x:v>CQ-0067</x:v>
      </x:c>
      <x:c r="B72" s="32" t="str">
        <x:v>VKM-014</x:v>
      </x:c>
      <x:c r="C72" s="32" t="str">
        <x:v>Сельдь с запечённым картофелем</x:v>
      </x:c>
      <x:c r="D72" s="32" t="str">
        <x:v>YIELD</x:v>
      </x:c>
      <x:c r="E72" s="32" t="str">
        <x:v>Подтвердить целевой выход и способ учёта подготовительных/тепловых потерь контрольным взвешиванием.</x:v>
      </x:c>
      <x:c r="F72" s="32" t="str">
        <x:v>OPEN</x:v>
      </x:c>
      <x:c r="G72" s="32" t="str">
        <x:v>Chef</x:v>
      </x:c>
      <x:c r="H72" s="32" t="str">
        <x:v>Mass balance; себестоимость; порционирование</x:v>
      </x:c>
      <x:c r="I72" s="32" t="str">
        <x:v>EVD-0005;EVD-0008</x:v>
      </x:c>
      <x:c r="J72" s="32" t="str">
        <x:v>GAP-002;GAP-005</x:v>
      </x:c>
      <x:c r="K72" s="32" t="str">
        <x:v>Owner/Chef Gate</x:v>
      </x:c>
      <x:c r="L72" s="38"/>
      <x:c r="M72" s="38"/>
      <x:c r="N72" s="32" t="str">
        <x:v>2026-08-03</x:v>
      </x:c>
    </x:row>
    <x:row r="73">
      <x:c r="A73" s="32" t="str">
        <x:v>CQ-0068</x:v>
      </x:c>
      <x:c r="B73" s="32" t="str">
        <x:v>VKM-014</x:v>
      </x:c>
      <x:c r="C73" s="32" t="str">
        <x:v>Сельдь с запечённым картофелем</x:v>
      </x:c>
      <x:c r="D73" s="32" t="str">
        <x:v>PROCESS</x:v>
      </x:c>
      <x:c r="E73" s="32" t="str">
        <x:v>Подтвердить последовательность операций, фактическое активное/полное время и проект подачи.</x:v>
      </x:c>
      <x:c r="F73" s="32" t="str">
        <x:v>OPEN</x:v>
      </x:c>
      <x:c r="G73" s="32" t="str">
        <x:v>Chef</x:v>
      </x:c>
      <x:c r="H73" s="32" t="str">
        <x:v>Техкарта; оборудование; мощность; сервис</x:v>
      </x:c>
      <x:c r="I73" s="32" t="str">
        <x:v>EVD-0010;EVD-0011</x:v>
      </x:c>
      <x:c r="J73" s="32" t="str">
        <x:v>GAP-007;GAP-008</x:v>
      </x:c>
      <x:c r="K73" s="32" t="str">
        <x:v>Owner/Chef Gate</x:v>
      </x:c>
      <x:c r="L73" s="38"/>
      <x:c r="M73" s="38"/>
      <x:c r="N73" s="32" t="str">
        <x:v>2026-08-03</x:v>
      </x:c>
    </x:row>
    <x:row r="74">
      <x:c r="A74" s="32" t="str">
        <x:v>CQ-0069</x:v>
      </x:c>
      <x:c r="B74" s="32" t="str">
        <x:v>VKM-014</x:v>
      </x:c>
      <x:c r="C74" s="32" t="str">
        <x:v>Сельдь с запечённым картофелем</x:v>
      </x:c>
      <x:c r="D74" s="32" t="str">
        <x:v>SEMI_FINISHED</x:v>
      </x:c>
      <x:c r="E74" s="32" t="str">
        <x:v>Подтвердить выделение, код и размер партии связанных полуфабрикатов; указать общие полуфабрикаты.</x:v>
      </x:c>
      <x:c r="F74" s="32" t="str">
        <x:v>OPEN</x:v>
      </x:c>
      <x:c r="G74" s="32" t="str">
        <x:v>Chef</x:v>
      </x:c>
      <x:c r="H74" s="32" t="str">
        <x:v>DAG; двойной учёт; себестоимость; планирование</x:v>
      </x:c>
      <x:c r="I74" s="32" t="str">
        <x:v>EVD-0009</x:v>
      </x:c>
      <x:c r="J74" s="32" t="str">
        <x:v>GAP-006</x:v>
      </x:c>
      <x:c r="K74" s="32" t="str">
        <x:v>Owner/Chef Gate</x:v>
      </x:c>
      <x:c r="L74" s="38"/>
      <x:c r="M74" s="38"/>
      <x:c r="N74" s="32" t="str">
        <x:v>2026-08-03</x:v>
      </x:c>
    </x:row>
    <x:row r="75">
      <x:c r="A75" s="32" t="str">
        <x:v>CQ-0070</x:v>
      </x:c>
      <x:c r="B75" s="32" t="str">
        <x:v>VKM-014</x:v>
      </x:c>
      <x:c r="C75" s="32" t="str">
        <x:v>Сельдь с запечённым картофелем</x:v>
      </x:c>
      <x:c r="D75" s="32" t="str">
        <x:v>PROCESS_FLOW_FOR_SAFETY</x:v>
      </x:c>
      <x:c r="E75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75" s="32" t="str">
        <x:v>OPEN</x:v>
      </x:c>
      <x:c r="G75" s="32" t="str">
        <x:v>Chef</x:v>
      </x:c>
      <x:c r="H75" s="32" t="str">
        <x:v>Safety veto; ППК/HACCP; маркировка и прослеживаемость</x:v>
      </x:c>
      <x:c r="I75" s="32" t="str">
        <x:v>EVD-0013;EVD-0014;EVD-FS-001;EVD-FS-003</x:v>
      </x:c>
      <x:c r="J75" s="32" t="str">
        <x:v>GAP-010;GAP-011</x:v>
      </x:c>
      <x:c r="K75" s="32" t="str">
        <x:v>Owner/Chef Gate</x:v>
      </x:c>
      <x:c r="L75" s="38"/>
      <x:c r="M75" s="38"/>
      <x:c r="N75" s="32" t="str">
        <x:v>2026-08-03</x:v>
      </x:c>
    </x:row>
    <x:row r="76">
      <x:c r="A76" s="32" t="str">
        <x:v>CQ-0071</x:v>
      </x:c>
      <x:c r="B76" s="32" t="str">
        <x:v>VKM-015</x:v>
      </x:c>
      <x:c r="C76" s="32" t="str">
        <x:v>Оливки и маслины</x:v>
      </x:c>
      <x:c r="D76" s="32" t="str">
        <x:v>RECIPE</x:v>
      </x:c>
      <x:c r="E76" s="32" t="str">
        <x:v>Подтвердить или скорректировать построчный состав и проектные нормы брутто/нетто.</x:v>
      </x:c>
      <x:c r="F76" s="32" t="str">
        <x:v>OPEN</x:v>
      </x:c>
      <x:c r="G76" s="32" t="str">
        <x:v>Chef</x:v>
      </x:c>
      <x:c r="H76" s="32" t="str">
        <x:v>Себестоимость; пищценность; аллергены; закупка</x:v>
      </x:c>
      <x:c r="I76" s="32" t="str">
        <x:v>EVD-0007</x:v>
      </x:c>
      <x:c r="J76" s="32" t="str">
        <x:v>GAP-004</x:v>
      </x:c>
      <x:c r="K76" s="32" t="str">
        <x:v>Owner/Chef Gate</x:v>
      </x:c>
      <x:c r="L76" s="38"/>
      <x:c r="M76" s="38"/>
      <x:c r="N76" s="32" t="str">
        <x:v>2026-08-03</x:v>
      </x:c>
    </x:row>
    <x:row r="77">
      <x:c r="A77" s="32" t="str">
        <x:v>CQ-0072</x:v>
      </x:c>
      <x:c r="B77" s="32" t="str">
        <x:v>VKM-015</x:v>
      </x:c>
      <x:c r="C77" s="32" t="str">
        <x:v>Оливки и маслины</x:v>
      </x:c>
      <x:c r="D77" s="32" t="str">
        <x:v>YIELD</x:v>
      </x:c>
      <x:c r="E77" s="32" t="str">
        <x:v>Подтвердить целевой выход и способ учёта подготовительных/тепловых потерь контрольным взвешиванием.</x:v>
      </x:c>
      <x:c r="F77" s="32" t="str">
        <x:v>OPEN</x:v>
      </x:c>
      <x:c r="G77" s="32" t="str">
        <x:v>Chef</x:v>
      </x:c>
      <x:c r="H77" s="32" t="str">
        <x:v>Mass balance; себестоимость; порционирование</x:v>
      </x:c>
      <x:c r="I77" s="32" t="str">
        <x:v>EVD-0005;EVD-0008</x:v>
      </x:c>
      <x:c r="J77" s="32" t="str">
        <x:v>GAP-002;GAP-005</x:v>
      </x:c>
      <x:c r="K77" s="32" t="str">
        <x:v>Owner/Chef Gate</x:v>
      </x:c>
      <x:c r="L77" s="38"/>
      <x:c r="M77" s="38"/>
      <x:c r="N77" s="32" t="str">
        <x:v>2026-08-03</x:v>
      </x:c>
    </x:row>
    <x:row r="78">
      <x:c r="A78" s="32" t="str">
        <x:v>CQ-0073</x:v>
      </x:c>
      <x:c r="B78" s="32" t="str">
        <x:v>VKM-015</x:v>
      </x:c>
      <x:c r="C78" s="32" t="str">
        <x:v>Оливки и маслины</x:v>
      </x:c>
      <x:c r="D78" s="32" t="str">
        <x:v>PROCESS</x:v>
      </x:c>
      <x:c r="E78" s="32" t="str">
        <x:v>Подтвердить последовательность операций, фактическое активное/полное время и проект подачи.</x:v>
      </x:c>
      <x:c r="F78" s="32" t="str">
        <x:v>OPEN</x:v>
      </x:c>
      <x:c r="G78" s="32" t="str">
        <x:v>Chef</x:v>
      </x:c>
      <x:c r="H78" s="32" t="str">
        <x:v>Техкарта; оборудование; мощность; сервис</x:v>
      </x:c>
      <x:c r="I78" s="32" t="str">
        <x:v>EVD-0010;EVD-0011</x:v>
      </x:c>
      <x:c r="J78" s="32" t="str">
        <x:v>GAP-007;GAP-008</x:v>
      </x:c>
      <x:c r="K78" s="32" t="str">
        <x:v>Owner/Chef Gate</x:v>
      </x:c>
      <x:c r="L78" s="38"/>
      <x:c r="M78" s="38"/>
      <x:c r="N78" s="32" t="str">
        <x:v>2026-08-03</x:v>
      </x:c>
    </x:row>
    <x:row r="79">
      <x:c r="A79" s="32" t="str">
        <x:v>CQ-0074</x:v>
      </x:c>
      <x:c r="B79" s="32" t="str">
        <x:v>VKM-015</x:v>
      </x:c>
      <x:c r="C79" s="32" t="str">
        <x:v>Оливки и маслины</x:v>
      </x:c>
      <x:c r="D79" s="32" t="str">
        <x:v>SEMI_FINISHED</x:v>
      </x:c>
      <x:c r="E79" s="32" t="str">
        <x:v>Подтвердить выделение, код и размер партии связанных полуфабрикатов; указать общие полуфабрикаты.</x:v>
      </x:c>
      <x:c r="F79" s="32" t="str">
        <x:v>OPEN</x:v>
      </x:c>
      <x:c r="G79" s="32" t="str">
        <x:v>Chef</x:v>
      </x:c>
      <x:c r="H79" s="32" t="str">
        <x:v>DAG; двойной учёт; себестоимость; планирование</x:v>
      </x:c>
      <x:c r="I79" s="32" t="str">
        <x:v>EVD-0009</x:v>
      </x:c>
      <x:c r="J79" s="32" t="str">
        <x:v>GAP-006</x:v>
      </x:c>
      <x:c r="K79" s="32" t="str">
        <x:v>Owner/Chef Gate</x:v>
      </x:c>
      <x:c r="L79" s="38"/>
      <x:c r="M79" s="38"/>
      <x:c r="N79" s="32" t="str">
        <x:v>2026-08-03</x:v>
      </x:c>
    </x:row>
    <x:row r="80">
      <x:c r="A80" s="32" t="str">
        <x:v>CQ-0075</x:v>
      </x:c>
      <x:c r="B80" s="32" t="str">
        <x:v>VKM-015</x:v>
      </x:c>
      <x:c r="C80" s="32" t="str">
        <x:v>Оливки и маслины</x:v>
      </x:c>
      <x:c r="D80" s="32" t="str">
        <x:v>PROCESS_FLOW_FOR_SAFETY</x:v>
      </x:c>
      <x:c r="E80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80" s="32" t="str">
        <x:v>OPEN</x:v>
      </x:c>
      <x:c r="G80" s="32" t="str">
        <x:v>Chef</x:v>
      </x:c>
      <x:c r="H80" s="32" t="str">
        <x:v>Safety veto; ППК/HACCP; маркировка и прослеживаемость</x:v>
      </x:c>
      <x:c r="I80" s="32" t="str">
        <x:v>EVD-0013;EVD-0014;EVD-FS-001;EVD-FS-003</x:v>
      </x:c>
      <x:c r="J80" s="32" t="str">
        <x:v>GAP-010;GAP-011</x:v>
      </x:c>
      <x:c r="K80" s="32" t="str">
        <x:v>Owner/Chef Gate</x:v>
      </x:c>
      <x:c r="L80" s="38"/>
      <x:c r="M80" s="38"/>
      <x:c r="N80" s="32" t="str">
        <x:v>2026-08-03</x:v>
      </x:c>
    </x:row>
    <x:row r="81">
      <x:c r="A81" s="32" t="str">
        <x:v>CQ-0076</x:v>
      </x:c>
      <x:c r="B81" s="32" t="str">
        <x:v>VKM-016</x:v>
      </x:c>
      <x:c r="C81" s="32" t="str">
        <x:v>Ассорти фирменных солений</x:v>
      </x:c>
      <x:c r="D81" s="32" t="str">
        <x:v>RECIPE</x:v>
      </x:c>
      <x:c r="E81" s="32" t="str">
        <x:v>Подтвердить или скорректировать построчный состав и проектные нормы брутто/нетто.</x:v>
      </x:c>
      <x:c r="F81" s="32" t="str">
        <x:v>OPEN</x:v>
      </x:c>
      <x:c r="G81" s="32" t="str">
        <x:v>Chef</x:v>
      </x:c>
      <x:c r="H81" s="32" t="str">
        <x:v>Себестоимость; пищценность; аллергены; закупка</x:v>
      </x:c>
      <x:c r="I81" s="32" t="str">
        <x:v>EVD-0007</x:v>
      </x:c>
      <x:c r="J81" s="32" t="str">
        <x:v>GAP-004</x:v>
      </x:c>
      <x:c r="K81" s="32" t="str">
        <x:v>Owner/Chef Gate</x:v>
      </x:c>
      <x:c r="L81" s="38"/>
      <x:c r="M81" s="38"/>
      <x:c r="N81" s="32" t="str">
        <x:v>2026-08-03</x:v>
      </x:c>
    </x:row>
    <x:row r="82">
      <x:c r="A82" s="32" t="str">
        <x:v>CQ-0077</x:v>
      </x:c>
      <x:c r="B82" s="32" t="str">
        <x:v>VKM-016</x:v>
      </x:c>
      <x:c r="C82" s="32" t="str">
        <x:v>Ассорти фирменных солений</x:v>
      </x:c>
      <x:c r="D82" s="32" t="str">
        <x:v>YIELD</x:v>
      </x:c>
      <x:c r="E82" s="32" t="str">
        <x:v>Подтвердить целевой выход и способ учёта подготовительных/тепловых потерь контрольным взвешиванием.</x:v>
      </x:c>
      <x:c r="F82" s="32" t="str">
        <x:v>OPEN</x:v>
      </x:c>
      <x:c r="G82" s="32" t="str">
        <x:v>Chef</x:v>
      </x:c>
      <x:c r="H82" s="32" t="str">
        <x:v>Mass balance; себестоимость; порционирование</x:v>
      </x:c>
      <x:c r="I82" s="32" t="str">
        <x:v>EVD-0005;EVD-0008</x:v>
      </x:c>
      <x:c r="J82" s="32" t="str">
        <x:v>GAP-002;GAP-005</x:v>
      </x:c>
      <x:c r="K82" s="32" t="str">
        <x:v>Owner/Chef Gate</x:v>
      </x:c>
      <x:c r="L82" s="38"/>
      <x:c r="M82" s="38"/>
      <x:c r="N82" s="32" t="str">
        <x:v>2026-08-03</x:v>
      </x:c>
    </x:row>
    <x:row r="83">
      <x:c r="A83" s="32" t="str">
        <x:v>CQ-0078</x:v>
      </x:c>
      <x:c r="B83" s="32" t="str">
        <x:v>VKM-016</x:v>
      </x:c>
      <x:c r="C83" s="32" t="str">
        <x:v>Ассорти фирменных солений</x:v>
      </x:c>
      <x:c r="D83" s="32" t="str">
        <x:v>PROCESS</x:v>
      </x:c>
      <x:c r="E83" s="32" t="str">
        <x:v>Подтвердить последовательность операций, фактическое активное/полное время и проект подачи.</x:v>
      </x:c>
      <x:c r="F83" s="32" t="str">
        <x:v>OPEN</x:v>
      </x:c>
      <x:c r="G83" s="32" t="str">
        <x:v>Chef</x:v>
      </x:c>
      <x:c r="H83" s="32" t="str">
        <x:v>Техкарта; оборудование; мощность; сервис</x:v>
      </x:c>
      <x:c r="I83" s="32" t="str">
        <x:v>EVD-0010;EVD-0011</x:v>
      </x:c>
      <x:c r="J83" s="32" t="str">
        <x:v>GAP-007;GAP-008</x:v>
      </x:c>
      <x:c r="K83" s="32" t="str">
        <x:v>Owner/Chef Gate</x:v>
      </x:c>
      <x:c r="L83" s="38"/>
      <x:c r="M83" s="38"/>
      <x:c r="N83" s="32" t="str">
        <x:v>2026-08-03</x:v>
      </x:c>
    </x:row>
    <x:row r="84">
      <x:c r="A84" s="32" t="str">
        <x:v>CQ-0079</x:v>
      </x:c>
      <x:c r="B84" s="32" t="str">
        <x:v>VKM-016</x:v>
      </x:c>
      <x:c r="C84" s="32" t="str">
        <x:v>Ассорти фирменных солений</x:v>
      </x:c>
      <x:c r="D84" s="32" t="str">
        <x:v>SEMI_FINISHED</x:v>
      </x:c>
      <x:c r="E84" s="32" t="str">
        <x:v>Подтвердить выделение, код и размер партии связанных полуфабрикатов; указать общие полуфабрикаты.</x:v>
      </x:c>
      <x:c r="F84" s="32" t="str">
        <x:v>OPEN</x:v>
      </x:c>
      <x:c r="G84" s="32" t="str">
        <x:v>Chef</x:v>
      </x:c>
      <x:c r="H84" s="32" t="str">
        <x:v>DAG; двойной учёт; себестоимость; планирование</x:v>
      </x:c>
      <x:c r="I84" s="32" t="str">
        <x:v>EVD-0009</x:v>
      </x:c>
      <x:c r="J84" s="32" t="str">
        <x:v>GAP-006</x:v>
      </x:c>
      <x:c r="K84" s="32" t="str">
        <x:v>Owner/Chef Gate</x:v>
      </x:c>
      <x:c r="L84" s="38"/>
      <x:c r="M84" s="38"/>
      <x:c r="N84" s="32" t="str">
        <x:v>2026-08-03</x:v>
      </x:c>
    </x:row>
    <x:row r="85">
      <x:c r="A85" s="32" t="str">
        <x:v>CQ-0080</x:v>
      </x:c>
      <x:c r="B85" s="32" t="str">
        <x:v>VKM-016</x:v>
      </x:c>
      <x:c r="C85" s="32" t="str">
        <x:v>Ассорти фирменных солений</x:v>
      </x:c>
      <x:c r="D85" s="32" t="str">
        <x:v>PROCESS_FLOW_FOR_SAFETY</x:v>
      </x:c>
      <x:c r="E85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85" s="32" t="str">
        <x:v>OPEN</x:v>
      </x:c>
      <x:c r="G85" s="32" t="str">
        <x:v>Chef</x:v>
      </x:c>
      <x:c r="H85" s="32" t="str">
        <x:v>Safety veto; ППК/HACCP; маркировка и прослеживаемость</x:v>
      </x:c>
      <x:c r="I85" s="32" t="str">
        <x:v>EVD-0013;EVD-0014;EVD-FS-001;EVD-FS-003</x:v>
      </x:c>
      <x:c r="J85" s="32" t="str">
        <x:v>GAP-010;GAP-011</x:v>
      </x:c>
      <x:c r="K85" s="32" t="str">
        <x:v>Owner/Chef Gate</x:v>
      </x:c>
      <x:c r="L85" s="38"/>
      <x:c r="M85" s="38"/>
      <x:c r="N85" s="32" t="str">
        <x:v>2026-08-03</x:v>
      </x:c>
    </x:row>
    <x:row r="86">
      <x:c r="A86" s="32" t="str">
        <x:v>CQ-0081</x:v>
      </x:c>
      <x:c r="B86" s="32" t="str">
        <x:v>VKM-017</x:v>
      </x:c>
      <x:c r="C86" s="32" t="str">
        <x:v>Ростбиф с луком и гренкой</x:v>
      </x:c>
      <x:c r="D86" s="32" t="str">
        <x:v>RECIPE</x:v>
      </x:c>
      <x:c r="E86" s="32" t="str">
        <x:v>Подтвердить или скорректировать построчный состав и проектные нормы брутто/нетто.</x:v>
      </x:c>
      <x:c r="F86" s="32" t="str">
        <x:v>OPEN</x:v>
      </x:c>
      <x:c r="G86" s="32" t="str">
        <x:v>Chef</x:v>
      </x:c>
      <x:c r="H86" s="32" t="str">
        <x:v>Себестоимость; пищценность; аллергены; закупка</x:v>
      </x:c>
      <x:c r="I86" s="32" t="str">
        <x:v>EVD-0007</x:v>
      </x:c>
      <x:c r="J86" s="32" t="str">
        <x:v>GAP-004</x:v>
      </x:c>
      <x:c r="K86" s="32" t="str">
        <x:v>Owner/Chef Gate</x:v>
      </x:c>
      <x:c r="L86" s="38"/>
      <x:c r="M86" s="38"/>
      <x:c r="N86" s="32" t="str">
        <x:v>2026-08-03</x:v>
      </x:c>
    </x:row>
    <x:row r="87">
      <x:c r="A87" s="32" t="str">
        <x:v>CQ-0082</x:v>
      </x:c>
      <x:c r="B87" s="32" t="str">
        <x:v>VKM-017</x:v>
      </x:c>
      <x:c r="C87" s="32" t="str">
        <x:v>Ростбиф с луком и гренкой</x:v>
      </x:c>
      <x:c r="D87" s="32" t="str">
        <x:v>YIELD</x:v>
      </x:c>
      <x:c r="E87" s="32" t="str">
        <x:v>Подтвердить целевой выход и способ учёта подготовительных/тепловых потерь контрольным взвешиванием.</x:v>
      </x:c>
      <x:c r="F87" s="32" t="str">
        <x:v>OPEN</x:v>
      </x:c>
      <x:c r="G87" s="32" t="str">
        <x:v>Chef</x:v>
      </x:c>
      <x:c r="H87" s="32" t="str">
        <x:v>Mass balance; себестоимость; порционирование</x:v>
      </x:c>
      <x:c r="I87" s="32" t="str">
        <x:v>EVD-0005;EVD-0008</x:v>
      </x:c>
      <x:c r="J87" s="32" t="str">
        <x:v>GAP-002;GAP-005</x:v>
      </x:c>
      <x:c r="K87" s="32" t="str">
        <x:v>Owner/Chef Gate</x:v>
      </x:c>
      <x:c r="L87" s="38"/>
      <x:c r="M87" s="38"/>
      <x:c r="N87" s="32" t="str">
        <x:v>2026-08-03</x:v>
      </x:c>
    </x:row>
    <x:row r="88">
      <x:c r="A88" s="32" t="str">
        <x:v>CQ-0083</x:v>
      </x:c>
      <x:c r="B88" s="32" t="str">
        <x:v>VKM-017</x:v>
      </x:c>
      <x:c r="C88" s="32" t="str">
        <x:v>Ростбиф с луком и гренкой</x:v>
      </x:c>
      <x:c r="D88" s="32" t="str">
        <x:v>PROCESS</x:v>
      </x:c>
      <x:c r="E88" s="32" t="str">
        <x:v>Подтвердить последовательность операций, фактическое активное/полное время и проект подачи.</x:v>
      </x:c>
      <x:c r="F88" s="32" t="str">
        <x:v>OPEN</x:v>
      </x:c>
      <x:c r="G88" s="32" t="str">
        <x:v>Chef</x:v>
      </x:c>
      <x:c r="H88" s="32" t="str">
        <x:v>Техкарта; оборудование; мощность; сервис</x:v>
      </x:c>
      <x:c r="I88" s="32" t="str">
        <x:v>EVD-0010;EVD-0011</x:v>
      </x:c>
      <x:c r="J88" s="32" t="str">
        <x:v>GAP-007;GAP-008</x:v>
      </x:c>
      <x:c r="K88" s="32" t="str">
        <x:v>Owner/Chef Gate</x:v>
      </x:c>
      <x:c r="L88" s="38"/>
      <x:c r="M88" s="38"/>
      <x:c r="N88" s="32" t="str">
        <x:v>2026-08-03</x:v>
      </x:c>
    </x:row>
    <x:row r="89">
      <x:c r="A89" s="32" t="str">
        <x:v>CQ-0084</x:v>
      </x:c>
      <x:c r="B89" s="32" t="str">
        <x:v>VKM-017</x:v>
      </x:c>
      <x:c r="C89" s="32" t="str">
        <x:v>Ростбиф с луком и гренкой</x:v>
      </x:c>
      <x:c r="D89" s="32" t="str">
        <x:v>SEMI_FINISHED</x:v>
      </x:c>
      <x:c r="E89" s="32" t="str">
        <x:v>Подтвердить выделение, код и размер партии связанных полуфабрикатов; указать общие полуфабрикаты.</x:v>
      </x:c>
      <x:c r="F89" s="32" t="str">
        <x:v>OPEN</x:v>
      </x:c>
      <x:c r="G89" s="32" t="str">
        <x:v>Chef</x:v>
      </x:c>
      <x:c r="H89" s="32" t="str">
        <x:v>DAG; двойной учёт; себестоимость; планирование</x:v>
      </x:c>
      <x:c r="I89" s="32" t="str">
        <x:v>EVD-0009</x:v>
      </x:c>
      <x:c r="J89" s="32" t="str">
        <x:v>GAP-006</x:v>
      </x:c>
      <x:c r="K89" s="32" t="str">
        <x:v>Owner/Chef Gate</x:v>
      </x:c>
      <x:c r="L89" s="38"/>
      <x:c r="M89" s="38"/>
      <x:c r="N89" s="32" t="str">
        <x:v>2026-08-03</x:v>
      </x:c>
    </x:row>
    <x:row r="90">
      <x:c r="A90" s="32" t="str">
        <x:v>CQ-0085</x:v>
      </x:c>
      <x:c r="B90" s="32" t="str">
        <x:v>VKM-017</x:v>
      </x:c>
      <x:c r="C90" s="32" t="str">
        <x:v>Ростбиф с луком и гренкой</x:v>
      </x:c>
      <x:c r="D90" s="32" t="str">
        <x:v>PROCESS_FLOW_FOR_SAFETY</x:v>
      </x:c>
      <x:c r="E90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90" s="32" t="str">
        <x:v>OPEN</x:v>
      </x:c>
      <x:c r="G90" s="32" t="str">
        <x:v>Chef</x:v>
      </x:c>
      <x:c r="H90" s="32" t="str">
        <x:v>Safety veto; ППК/HACCP; маркировка и прослеживаемость</x:v>
      </x:c>
      <x:c r="I90" s="32" t="str">
        <x:v>EVD-0013;EVD-0014;EVD-FS-001;EVD-FS-003</x:v>
      </x:c>
      <x:c r="J90" s="32" t="str">
        <x:v>GAP-010;GAP-011</x:v>
      </x:c>
      <x:c r="K90" s="32" t="str">
        <x:v>Owner/Chef Gate</x:v>
      </x:c>
      <x:c r="L90" s="38"/>
      <x:c r="M90" s="38"/>
      <x:c r="N90" s="32" t="str">
        <x:v>2026-08-03</x:v>
      </x:c>
    </x:row>
    <x:row r="91">
      <x:c r="A91" s="32" t="str">
        <x:v>CQ-0086</x:v>
      </x:c>
      <x:c r="B91" s="32" t="str">
        <x:v>VKM-018</x:v>
      </x:c>
      <x:c r="C91" s="32" t="str">
        <x:v>Традиционный красный борщ</x:v>
      </x:c>
      <x:c r="D91" s="32" t="str">
        <x:v>RECIPE</x:v>
      </x:c>
      <x:c r="E91" s="32" t="str">
        <x:v>Подтвердить или скорректировать построчный состав и проектные нормы брутто/нетто.</x:v>
      </x:c>
      <x:c r="F91" s="32" t="str">
        <x:v>OPEN</x:v>
      </x:c>
      <x:c r="G91" s="32" t="str">
        <x:v>Chef</x:v>
      </x:c>
      <x:c r="H91" s="32" t="str">
        <x:v>Себестоимость; пищценность; аллергены; закупка</x:v>
      </x:c>
      <x:c r="I91" s="32" t="str">
        <x:v>EVD-0007</x:v>
      </x:c>
      <x:c r="J91" s="32" t="str">
        <x:v>GAP-004</x:v>
      </x:c>
      <x:c r="K91" s="32" t="str">
        <x:v>Owner/Chef Gate</x:v>
      </x:c>
      <x:c r="L91" s="38"/>
      <x:c r="M91" s="38"/>
      <x:c r="N91" s="32" t="str">
        <x:v>2026-08-03</x:v>
      </x:c>
    </x:row>
    <x:row r="92">
      <x:c r="A92" s="32" t="str">
        <x:v>CQ-0087</x:v>
      </x:c>
      <x:c r="B92" s="32" t="str">
        <x:v>VKM-018</x:v>
      </x:c>
      <x:c r="C92" s="32" t="str">
        <x:v>Традиционный красный борщ</x:v>
      </x:c>
      <x:c r="D92" s="32" t="str">
        <x:v>YIELD</x:v>
      </x:c>
      <x:c r="E92" s="32" t="str">
        <x:v>Подтвердить целевой выход и способ учёта подготовительных/тепловых потерь контрольным взвешиванием.</x:v>
      </x:c>
      <x:c r="F92" s="32" t="str">
        <x:v>OPEN</x:v>
      </x:c>
      <x:c r="G92" s="32" t="str">
        <x:v>Chef</x:v>
      </x:c>
      <x:c r="H92" s="32" t="str">
        <x:v>Mass balance; себестоимость; порционирование</x:v>
      </x:c>
      <x:c r="I92" s="32" t="str">
        <x:v>EVD-0005;EVD-0008</x:v>
      </x:c>
      <x:c r="J92" s="32" t="str">
        <x:v>GAP-002;GAP-005</x:v>
      </x:c>
      <x:c r="K92" s="32" t="str">
        <x:v>Owner/Chef Gate</x:v>
      </x:c>
      <x:c r="L92" s="38"/>
      <x:c r="M92" s="38"/>
      <x:c r="N92" s="32" t="str">
        <x:v>2026-08-03</x:v>
      </x:c>
    </x:row>
    <x:row r="93">
      <x:c r="A93" s="32" t="str">
        <x:v>CQ-0088</x:v>
      </x:c>
      <x:c r="B93" s="32" t="str">
        <x:v>VKM-018</x:v>
      </x:c>
      <x:c r="C93" s="32" t="str">
        <x:v>Традиционный красный борщ</x:v>
      </x:c>
      <x:c r="D93" s="32" t="str">
        <x:v>PROCESS</x:v>
      </x:c>
      <x:c r="E93" s="32" t="str">
        <x:v>Подтвердить последовательность операций, фактическое активное/полное время и проект подачи.</x:v>
      </x:c>
      <x:c r="F93" s="32" t="str">
        <x:v>OPEN</x:v>
      </x:c>
      <x:c r="G93" s="32" t="str">
        <x:v>Chef</x:v>
      </x:c>
      <x:c r="H93" s="32" t="str">
        <x:v>Техкарта; оборудование; мощность; сервис</x:v>
      </x:c>
      <x:c r="I93" s="32" t="str">
        <x:v>EVD-0010;EVD-0011</x:v>
      </x:c>
      <x:c r="J93" s="32" t="str">
        <x:v>GAP-007;GAP-008</x:v>
      </x:c>
      <x:c r="K93" s="32" t="str">
        <x:v>Owner/Chef Gate</x:v>
      </x:c>
      <x:c r="L93" s="38"/>
      <x:c r="M93" s="38"/>
      <x:c r="N93" s="32" t="str">
        <x:v>2026-08-03</x:v>
      </x:c>
    </x:row>
    <x:row r="94">
      <x:c r="A94" s="32" t="str">
        <x:v>CQ-0089</x:v>
      </x:c>
      <x:c r="B94" s="32" t="str">
        <x:v>VKM-018</x:v>
      </x:c>
      <x:c r="C94" s="32" t="str">
        <x:v>Традиционный красный борщ</x:v>
      </x:c>
      <x:c r="D94" s="32" t="str">
        <x:v>SEMI_FINISHED</x:v>
      </x:c>
      <x:c r="E94" s="32" t="str">
        <x:v>Подтвердить выделение, код и размер партии связанных полуфабрикатов; указать общие полуфабрикаты.</x:v>
      </x:c>
      <x:c r="F94" s="32" t="str">
        <x:v>OPEN</x:v>
      </x:c>
      <x:c r="G94" s="32" t="str">
        <x:v>Chef</x:v>
      </x:c>
      <x:c r="H94" s="32" t="str">
        <x:v>DAG; двойной учёт; себестоимость; планирование</x:v>
      </x:c>
      <x:c r="I94" s="32" t="str">
        <x:v>EVD-0009</x:v>
      </x:c>
      <x:c r="J94" s="32" t="str">
        <x:v>GAP-006</x:v>
      </x:c>
      <x:c r="K94" s="32" t="str">
        <x:v>Owner/Chef Gate</x:v>
      </x:c>
      <x:c r="L94" s="38"/>
      <x:c r="M94" s="38"/>
      <x:c r="N94" s="32" t="str">
        <x:v>2026-08-03</x:v>
      </x:c>
    </x:row>
    <x:row r="95">
      <x:c r="A95" s="32" t="str">
        <x:v>CQ-0090</x:v>
      </x:c>
      <x:c r="B95" s="32" t="str">
        <x:v>VKM-018</x:v>
      </x:c>
      <x:c r="C95" s="32" t="str">
        <x:v>Традиционный красный борщ</x:v>
      </x:c>
      <x:c r="D95" s="32" t="str">
        <x:v>PROCESS_FLOW_FOR_SAFETY</x:v>
      </x:c>
      <x:c r="E95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95" s="32" t="str">
        <x:v>OPEN</x:v>
      </x:c>
      <x:c r="G95" s="32" t="str">
        <x:v>Chef</x:v>
      </x:c>
      <x:c r="H95" s="32" t="str">
        <x:v>Safety veto; ППК/HACCP; маркировка и прослеживаемость</x:v>
      </x:c>
      <x:c r="I95" s="32" t="str">
        <x:v>EVD-0013;EVD-0014;EVD-FS-001;EVD-FS-003</x:v>
      </x:c>
      <x:c r="J95" s="32" t="str">
        <x:v>GAP-010;GAP-011</x:v>
      </x:c>
      <x:c r="K95" s="32" t="str">
        <x:v>Owner/Chef Gate</x:v>
      </x:c>
      <x:c r="L95" s="38"/>
      <x:c r="M95" s="38"/>
      <x:c r="N95" s="32" t="str">
        <x:v>2026-08-03</x:v>
      </x:c>
    </x:row>
    <x:row r="96">
      <x:c r="A96" s="32" t="str">
        <x:v>CQ-0091</x:v>
      </x:c>
      <x:c r="B96" s="32" t="str">
        <x:v>VKM-019</x:v>
      </x:c>
      <x:c r="C96" s="32" t="str">
        <x:v>Мурманская треска со сливочно-горчичным соусом</x:v>
      </x:c>
      <x:c r="D96" s="32" t="str">
        <x:v>RECIPE</x:v>
      </x:c>
      <x:c r="E96" s="32" t="str">
        <x:v>Подтвердить или скорректировать построчный состав и проектные нормы брутто/нетто.</x:v>
      </x:c>
      <x:c r="F96" s="32" t="str">
        <x:v>OPEN</x:v>
      </x:c>
      <x:c r="G96" s="32" t="str">
        <x:v>Chef</x:v>
      </x:c>
      <x:c r="H96" s="32" t="str">
        <x:v>Себестоимость; пищценность; аллергены; закупка</x:v>
      </x:c>
      <x:c r="I96" s="32" t="str">
        <x:v>EVD-0007</x:v>
      </x:c>
      <x:c r="J96" s="32" t="str">
        <x:v>GAP-004</x:v>
      </x:c>
      <x:c r="K96" s="32" t="str">
        <x:v>Owner/Chef Gate</x:v>
      </x:c>
      <x:c r="L96" s="38"/>
      <x:c r="M96" s="38"/>
      <x:c r="N96" s="32" t="str">
        <x:v>2026-08-03</x:v>
      </x:c>
    </x:row>
    <x:row r="97">
      <x:c r="A97" s="32" t="str">
        <x:v>CQ-0092</x:v>
      </x:c>
      <x:c r="B97" s="32" t="str">
        <x:v>VKM-019</x:v>
      </x:c>
      <x:c r="C97" s="32" t="str">
        <x:v>Мурманская треска со сливочно-горчичным соусом</x:v>
      </x:c>
      <x:c r="D97" s="32" t="str">
        <x:v>YIELD</x:v>
      </x:c>
      <x:c r="E97" s="32" t="str">
        <x:v>Подтвердить целевой выход и способ учёта подготовительных/тепловых потерь контрольным взвешиванием.</x:v>
      </x:c>
      <x:c r="F97" s="32" t="str">
        <x:v>OPEN</x:v>
      </x:c>
      <x:c r="G97" s="32" t="str">
        <x:v>Chef</x:v>
      </x:c>
      <x:c r="H97" s="32" t="str">
        <x:v>Mass balance; себестоимость; порционирование</x:v>
      </x:c>
      <x:c r="I97" s="32" t="str">
        <x:v>EVD-0005;EVD-0008</x:v>
      </x:c>
      <x:c r="J97" s="32" t="str">
        <x:v>GAP-002;GAP-005</x:v>
      </x:c>
      <x:c r="K97" s="32" t="str">
        <x:v>Owner/Chef Gate</x:v>
      </x:c>
      <x:c r="L97" s="38"/>
      <x:c r="M97" s="38"/>
      <x:c r="N97" s="32" t="str">
        <x:v>2026-08-03</x:v>
      </x:c>
    </x:row>
    <x:row r="98">
      <x:c r="A98" s="32" t="str">
        <x:v>CQ-0093</x:v>
      </x:c>
      <x:c r="B98" s="32" t="str">
        <x:v>VKM-019</x:v>
      </x:c>
      <x:c r="C98" s="32" t="str">
        <x:v>Мурманская треска со сливочно-горчичным соусом</x:v>
      </x:c>
      <x:c r="D98" s="32" t="str">
        <x:v>PROCESS</x:v>
      </x:c>
      <x:c r="E98" s="32" t="str">
        <x:v>Подтвердить последовательность операций, фактическое активное/полное время и проект подачи.</x:v>
      </x:c>
      <x:c r="F98" s="32" t="str">
        <x:v>OPEN</x:v>
      </x:c>
      <x:c r="G98" s="32" t="str">
        <x:v>Chef</x:v>
      </x:c>
      <x:c r="H98" s="32" t="str">
        <x:v>Техкарта; оборудование; мощность; сервис</x:v>
      </x:c>
      <x:c r="I98" s="32" t="str">
        <x:v>EVD-0010;EVD-0011</x:v>
      </x:c>
      <x:c r="J98" s="32" t="str">
        <x:v>GAP-007;GAP-008</x:v>
      </x:c>
      <x:c r="K98" s="32" t="str">
        <x:v>Owner/Chef Gate</x:v>
      </x:c>
      <x:c r="L98" s="38"/>
      <x:c r="M98" s="38"/>
      <x:c r="N98" s="32" t="str">
        <x:v>2026-08-03</x:v>
      </x:c>
    </x:row>
    <x:row r="99">
      <x:c r="A99" s="32" t="str">
        <x:v>CQ-0094</x:v>
      </x:c>
      <x:c r="B99" s="32" t="str">
        <x:v>VKM-019</x:v>
      </x:c>
      <x:c r="C99" s="32" t="str">
        <x:v>Мурманская треска со сливочно-горчичным соусом</x:v>
      </x:c>
      <x:c r="D99" s="32" t="str">
        <x:v>SEMI_FINISHED</x:v>
      </x:c>
      <x:c r="E99" s="32" t="str">
        <x:v>Подтвердить выделение, код и размер партии связанных полуфабрикатов; указать общие полуфабрикаты.</x:v>
      </x:c>
      <x:c r="F99" s="32" t="str">
        <x:v>OPEN</x:v>
      </x:c>
      <x:c r="G99" s="32" t="str">
        <x:v>Chef</x:v>
      </x:c>
      <x:c r="H99" s="32" t="str">
        <x:v>DAG; двойной учёт; себестоимость; планирование</x:v>
      </x:c>
      <x:c r="I99" s="32" t="str">
        <x:v>EVD-0009</x:v>
      </x:c>
      <x:c r="J99" s="32" t="str">
        <x:v>GAP-006</x:v>
      </x:c>
      <x:c r="K99" s="32" t="str">
        <x:v>Owner/Chef Gate</x:v>
      </x:c>
      <x:c r="L99" s="38"/>
      <x:c r="M99" s="38"/>
      <x:c r="N99" s="32" t="str">
        <x:v>2026-08-03</x:v>
      </x:c>
    </x:row>
    <x:row r="100">
      <x:c r="A100" s="32" t="str">
        <x:v>CQ-0095</x:v>
      </x:c>
      <x:c r="B100" s="32" t="str">
        <x:v>VKM-019</x:v>
      </x:c>
      <x:c r="C100" s="32" t="str">
        <x:v>Мурманская треска со сливочно-горчичным соусом</x:v>
      </x:c>
      <x:c r="D100" s="32" t="str">
        <x:v>PROCESS_FLOW_FOR_SAFETY</x:v>
      </x:c>
      <x:c r="E100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100" s="32" t="str">
        <x:v>OPEN</x:v>
      </x:c>
      <x:c r="G100" s="32" t="str">
        <x:v>Chef</x:v>
      </x:c>
      <x:c r="H100" s="32" t="str">
        <x:v>Safety veto; ППК/HACCP; маркировка и прослеживаемость</x:v>
      </x:c>
      <x:c r="I100" s="32" t="str">
        <x:v>EVD-0013;EVD-0014;EVD-FS-001;EVD-FS-003</x:v>
      </x:c>
      <x:c r="J100" s="32" t="str">
        <x:v>GAP-010;GAP-011</x:v>
      </x:c>
      <x:c r="K100" s="32" t="str">
        <x:v>Owner/Chef Gate</x:v>
      </x:c>
      <x:c r="L100" s="38"/>
      <x:c r="M100" s="38"/>
      <x:c r="N100" s="32" t="str">
        <x:v>2026-08-03</x:v>
      </x:c>
    </x:row>
    <x:row r="101">
      <x:c r="A101" s="32" t="str">
        <x:v>CQ-0096</x:v>
      </x:c>
      <x:c r="B101" s="32" t="str">
        <x:v>VKM-020</x:v>
      </x:c>
      <x:c r="C101" s="32" t="str">
        <x:v>Креветки по-тайски</x:v>
      </x:c>
      <x:c r="D101" s="32" t="str">
        <x:v>RECIPE</x:v>
      </x:c>
      <x:c r="E101" s="32" t="str">
        <x:v>Подтвердить или скорректировать построчный состав и проектные нормы брутто/нетто.</x:v>
      </x:c>
      <x:c r="F101" s="32" t="str">
        <x:v>OPEN</x:v>
      </x:c>
      <x:c r="G101" s="32" t="str">
        <x:v>Chef</x:v>
      </x:c>
      <x:c r="H101" s="32" t="str">
        <x:v>Себестоимость; пищценность; аллергены; закупка</x:v>
      </x:c>
      <x:c r="I101" s="32" t="str">
        <x:v>EVD-0007</x:v>
      </x:c>
      <x:c r="J101" s="32" t="str">
        <x:v>GAP-004</x:v>
      </x:c>
      <x:c r="K101" s="32" t="str">
        <x:v>Owner/Chef Gate</x:v>
      </x:c>
      <x:c r="L101" s="38"/>
      <x:c r="M101" s="38"/>
      <x:c r="N101" s="32" t="str">
        <x:v>2026-08-03</x:v>
      </x:c>
    </x:row>
    <x:row r="102">
      <x:c r="A102" s="32" t="str">
        <x:v>CQ-0097</x:v>
      </x:c>
      <x:c r="B102" s="32" t="str">
        <x:v>VKM-020</x:v>
      </x:c>
      <x:c r="C102" s="32" t="str">
        <x:v>Креветки по-тайски</x:v>
      </x:c>
      <x:c r="D102" s="32" t="str">
        <x:v>YIELD</x:v>
      </x:c>
      <x:c r="E102" s="32" t="str">
        <x:v>Подтвердить целевой выход и способ учёта подготовительных/тепловых потерь контрольным взвешиванием.</x:v>
      </x:c>
      <x:c r="F102" s="32" t="str">
        <x:v>OPEN</x:v>
      </x:c>
      <x:c r="G102" s="32" t="str">
        <x:v>Chef</x:v>
      </x:c>
      <x:c r="H102" s="32" t="str">
        <x:v>Mass balance; себестоимость; порционирование</x:v>
      </x:c>
      <x:c r="I102" s="32" t="str">
        <x:v>EVD-0005;EVD-0008</x:v>
      </x:c>
      <x:c r="J102" s="32" t="str">
        <x:v>GAP-002;GAP-005</x:v>
      </x:c>
      <x:c r="K102" s="32" t="str">
        <x:v>Owner/Chef Gate</x:v>
      </x:c>
      <x:c r="L102" s="38"/>
      <x:c r="M102" s="38"/>
      <x:c r="N102" s="32" t="str">
        <x:v>2026-08-03</x:v>
      </x:c>
    </x:row>
    <x:row r="103">
      <x:c r="A103" s="32" t="str">
        <x:v>CQ-0098</x:v>
      </x:c>
      <x:c r="B103" s="32" t="str">
        <x:v>VKM-020</x:v>
      </x:c>
      <x:c r="C103" s="32" t="str">
        <x:v>Креветки по-тайски</x:v>
      </x:c>
      <x:c r="D103" s="32" t="str">
        <x:v>PROCESS</x:v>
      </x:c>
      <x:c r="E103" s="32" t="str">
        <x:v>Подтвердить последовательность операций, фактическое активное/полное время и проект подачи.</x:v>
      </x:c>
      <x:c r="F103" s="32" t="str">
        <x:v>OPEN</x:v>
      </x:c>
      <x:c r="G103" s="32" t="str">
        <x:v>Chef</x:v>
      </x:c>
      <x:c r="H103" s="32" t="str">
        <x:v>Техкарта; оборудование; мощность; сервис</x:v>
      </x:c>
      <x:c r="I103" s="32" t="str">
        <x:v>EVD-0010;EVD-0011</x:v>
      </x:c>
      <x:c r="J103" s="32" t="str">
        <x:v>GAP-007;GAP-008</x:v>
      </x:c>
      <x:c r="K103" s="32" t="str">
        <x:v>Owner/Chef Gate</x:v>
      </x:c>
      <x:c r="L103" s="38"/>
      <x:c r="M103" s="38"/>
      <x:c r="N103" s="32" t="str">
        <x:v>2026-08-03</x:v>
      </x:c>
    </x:row>
    <x:row r="104">
      <x:c r="A104" s="32" t="str">
        <x:v>CQ-0099</x:v>
      </x:c>
      <x:c r="B104" s="32" t="str">
        <x:v>VKM-020</x:v>
      </x:c>
      <x:c r="C104" s="32" t="str">
        <x:v>Креветки по-тайски</x:v>
      </x:c>
      <x:c r="D104" s="32" t="str">
        <x:v>SEMI_FINISHED</x:v>
      </x:c>
      <x:c r="E104" s="32" t="str">
        <x:v>Подтвердить выделение, код и размер партии связанных полуфабрикатов; указать общие полуфабрикаты.</x:v>
      </x:c>
      <x:c r="F104" s="32" t="str">
        <x:v>OPEN</x:v>
      </x:c>
      <x:c r="G104" s="32" t="str">
        <x:v>Chef</x:v>
      </x:c>
      <x:c r="H104" s="32" t="str">
        <x:v>DAG; двойной учёт; себестоимость; планирование</x:v>
      </x:c>
      <x:c r="I104" s="32" t="str">
        <x:v>EVD-0009</x:v>
      </x:c>
      <x:c r="J104" s="32" t="str">
        <x:v>GAP-006</x:v>
      </x:c>
      <x:c r="K104" s="32" t="str">
        <x:v>Owner/Chef Gate</x:v>
      </x:c>
      <x:c r="L104" s="38"/>
      <x:c r="M104" s="38"/>
      <x:c r="N104" s="32" t="str">
        <x:v>2026-08-03</x:v>
      </x:c>
    </x:row>
    <x:row r="105">
      <x:c r="A105" s="32" t="str">
        <x:v>CQ-0100</x:v>
      </x:c>
      <x:c r="B105" s="32" t="str">
        <x:v>VKM-020</x:v>
      </x:c>
      <x:c r="C105" s="32" t="str">
        <x:v>Креветки по-тайски</x:v>
      </x:c>
      <x:c r="D105" s="32" t="str">
        <x:v>PROCESS_FLOW_FOR_SAFETY</x:v>
      </x:c>
      <x:c r="E105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105" s="32" t="str">
        <x:v>OPEN</x:v>
      </x:c>
      <x:c r="G105" s="32" t="str">
        <x:v>Chef</x:v>
      </x:c>
      <x:c r="H105" s="32" t="str">
        <x:v>Safety veto; ППК/HACCP; маркировка и прослеживаемость</x:v>
      </x:c>
      <x:c r="I105" s="32" t="str">
        <x:v>EVD-0013;EVD-0014;EVD-FS-001;EVD-FS-003</x:v>
      </x:c>
      <x:c r="J105" s="32" t="str">
        <x:v>GAP-010;GAP-011</x:v>
      </x:c>
      <x:c r="K105" s="32" t="str">
        <x:v>Owner/Chef Gate</x:v>
      </x:c>
      <x:c r="L105" s="38"/>
      <x:c r="M105" s="38"/>
      <x:c r="N105" s="32" t="str">
        <x:v>2026-08-03</x:v>
      </x:c>
    </x:row>
    <x:row r="106">
      <x:c r="A106" s="32" t="str">
        <x:v>CQ-0101</x:v>
      </x:c>
      <x:c r="B106" s="32" t="str">
        <x:v>VKM-021</x:v>
      </x:c>
      <x:c r="C106" s="32" t="str">
        <x:v>Бургер VARSHAVKA</x:v>
      </x:c>
      <x:c r="D106" s="32" t="str">
        <x:v>RECIPE</x:v>
      </x:c>
      <x:c r="E106" s="32" t="str">
        <x:v>Подтвердить или скорректировать построчный состав и проектные нормы брутто/нетто.</x:v>
      </x:c>
      <x:c r="F106" s="32" t="str">
        <x:v>OPEN</x:v>
      </x:c>
      <x:c r="G106" s="32" t="str">
        <x:v>Chef</x:v>
      </x:c>
      <x:c r="H106" s="32" t="str">
        <x:v>Себестоимость; пищценность; аллергены; закупка</x:v>
      </x:c>
      <x:c r="I106" s="32" t="str">
        <x:v>EVD-0007</x:v>
      </x:c>
      <x:c r="J106" s="32" t="str">
        <x:v>GAP-004</x:v>
      </x:c>
      <x:c r="K106" s="32" t="str">
        <x:v>Owner/Chef Gate</x:v>
      </x:c>
      <x:c r="L106" s="38"/>
      <x:c r="M106" s="38"/>
      <x:c r="N106" s="32" t="str">
        <x:v>2026-08-03</x:v>
      </x:c>
    </x:row>
    <x:row r="107">
      <x:c r="A107" s="32" t="str">
        <x:v>CQ-0102</x:v>
      </x:c>
      <x:c r="B107" s="32" t="str">
        <x:v>VKM-021</x:v>
      </x:c>
      <x:c r="C107" s="32" t="str">
        <x:v>Бургер VARSHAVKA</x:v>
      </x:c>
      <x:c r="D107" s="32" t="str">
        <x:v>YIELD</x:v>
      </x:c>
      <x:c r="E107" s="32" t="str">
        <x:v>Подтвердить целевой выход и способ учёта подготовительных/тепловых потерь контрольным взвешиванием.</x:v>
      </x:c>
      <x:c r="F107" s="32" t="str">
        <x:v>OPEN</x:v>
      </x:c>
      <x:c r="G107" s="32" t="str">
        <x:v>Chef</x:v>
      </x:c>
      <x:c r="H107" s="32" t="str">
        <x:v>Mass balance; себестоимость; порционирование</x:v>
      </x:c>
      <x:c r="I107" s="32" t="str">
        <x:v>EVD-0005;EVD-0008</x:v>
      </x:c>
      <x:c r="J107" s="32" t="str">
        <x:v>GAP-002;GAP-005</x:v>
      </x:c>
      <x:c r="K107" s="32" t="str">
        <x:v>Owner/Chef Gate</x:v>
      </x:c>
      <x:c r="L107" s="38"/>
      <x:c r="M107" s="38"/>
      <x:c r="N107" s="32" t="str">
        <x:v>2026-08-03</x:v>
      </x:c>
    </x:row>
    <x:row r="108">
      <x:c r="A108" s="32" t="str">
        <x:v>CQ-0103</x:v>
      </x:c>
      <x:c r="B108" s="32" t="str">
        <x:v>VKM-021</x:v>
      </x:c>
      <x:c r="C108" s="32" t="str">
        <x:v>Бургер VARSHAVKA</x:v>
      </x:c>
      <x:c r="D108" s="32" t="str">
        <x:v>PROCESS</x:v>
      </x:c>
      <x:c r="E108" s="32" t="str">
        <x:v>Подтвердить последовательность операций, фактическое активное/полное время и проект подачи.</x:v>
      </x:c>
      <x:c r="F108" s="32" t="str">
        <x:v>OPEN</x:v>
      </x:c>
      <x:c r="G108" s="32" t="str">
        <x:v>Chef</x:v>
      </x:c>
      <x:c r="H108" s="32" t="str">
        <x:v>Техкарта; оборудование; мощность; сервис</x:v>
      </x:c>
      <x:c r="I108" s="32" t="str">
        <x:v>EVD-0010;EVD-0011</x:v>
      </x:c>
      <x:c r="J108" s="32" t="str">
        <x:v>GAP-007;GAP-008</x:v>
      </x:c>
      <x:c r="K108" s="32" t="str">
        <x:v>Owner/Chef Gate</x:v>
      </x:c>
      <x:c r="L108" s="38"/>
      <x:c r="M108" s="38"/>
      <x:c r="N108" s="32" t="str">
        <x:v>2026-08-03</x:v>
      </x:c>
    </x:row>
    <x:row r="109">
      <x:c r="A109" s="32" t="str">
        <x:v>CQ-0104</x:v>
      </x:c>
      <x:c r="B109" s="32" t="str">
        <x:v>VKM-021</x:v>
      </x:c>
      <x:c r="C109" s="32" t="str">
        <x:v>Бургер VARSHAVKA</x:v>
      </x:c>
      <x:c r="D109" s="32" t="str">
        <x:v>SEMI_FINISHED</x:v>
      </x:c>
      <x:c r="E109" s="32" t="str">
        <x:v>Подтвердить выделение, код и размер партии связанных полуфабрикатов; указать общие полуфабрикаты.</x:v>
      </x:c>
      <x:c r="F109" s="32" t="str">
        <x:v>OPEN</x:v>
      </x:c>
      <x:c r="G109" s="32" t="str">
        <x:v>Chef</x:v>
      </x:c>
      <x:c r="H109" s="32" t="str">
        <x:v>DAG; двойной учёт; себестоимость; планирование</x:v>
      </x:c>
      <x:c r="I109" s="32" t="str">
        <x:v>EVD-0009</x:v>
      </x:c>
      <x:c r="J109" s="32" t="str">
        <x:v>GAP-006</x:v>
      </x:c>
      <x:c r="K109" s="32" t="str">
        <x:v>Owner/Chef Gate</x:v>
      </x:c>
      <x:c r="L109" s="38"/>
      <x:c r="M109" s="38"/>
      <x:c r="N109" s="32" t="str">
        <x:v>2026-08-03</x:v>
      </x:c>
    </x:row>
    <x:row r="110">
      <x:c r="A110" s="32" t="str">
        <x:v>CQ-0105</x:v>
      </x:c>
      <x:c r="B110" s="32" t="str">
        <x:v>VKM-021</x:v>
      </x:c>
      <x:c r="C110" s="32" t="str">
        <x:v>Бургер VARSHAVKA</x:v>
      </x:c>
      <x:c r="D110" s="32" t="str">
        <x:v>PROCESS_FLOW_FOR_SAFETY</x:v>
      </x:c>
      <x:c r="E110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110" s="32" t="str">
        <x:v>OPEN</x:v>
      </x:c>
      <x:c r="G110" s="32" t="str">
        <x:v>Chef</x:v>
      </x:c>
      <x:c r="H110" s="32" t="str">
        <x:v>Safety veto; ППК/HACCP; маркировка и прослеживаемость</x:v>
      </x:c>
      <x:c r="I110" s="32" t="str">
        <x:v>EVD-0013;EVD-0014;EVD-FS-001;EVD-FS-003</x:v>
      </x:c>
      <x:c r="J110" s="32" t="str">
        <x:v>GAP-010;GAP-011</x:v>
      </x:c>
      <x:c r="K110" s="32" t="str">
        <x:v>Owner/Chef Gate</x:v>
      </x:c>
      <x:c r="L110" s="38"/>
      <x:c r="M110" s="38"/>
      <x:c r="N110" s="32" t="str">
        <x:v>2026-08-03</x:v>
      </x:c>
    </x:row>
    <x:row r="111">
      <x:c r="A111" s="32" t="str">
        <x:v>CQ-0106</x:v>
      </x:c>
      <x:c r="B111" s="32" t="str">
        <x:v>VKM-021</x:v>
      </x:c>
      <x:c r="C111" s="32" t="str">
        <x:v>Бургер VARSHAVKA</x:v>
      </x:c>
      <x:c r="D111" s="32" t="str">
        <x:v>DEPENDENCY</x:v>
      </x:c>
      <x:c r="E111" s="32" t="str">
        <x:v>Подтвердить, используется ли VKM-008 как готовая бриошь или отдельная спецификация бриоши для бургера.</x:v>
      </x:c>
      <x:c r="F111" s="32" t="str">
        <x:v>OPEN</x:v>
      </x:c>
      <x:c r="G111" s="32" t="str">
        <x:v>Chef</x:v>
      </x:c>
      <x:c r="H111" s="32" t="str">
        <x:v>Связи VKM/VSF; себестоимость; выпуск</x:v>
      </x:c>
      <x:c r="I111" s="32" t="str">
        <x:v>EVD-0009</x:v>
      </x:c>
      <x:c r="J111" s="32" t="str">
        <x:v>GAP-006</x:v>
      </x:c>
      <x:c r="K111" s="32" t="str">
        <x:v>Owner/Chef Gate</x:v>
      </x:c>
      <x:c r="L111" s="38"/>
      <x:c r="M111" s="38"/>
      <x:c r="N111" s="32" t="str">
        <x:v>2026-08-03</x:v>
      </x:c>
    </x:row>
    <x:row r="112">
      <x:c r="A112" s="32" t="str">
        <x:v>CQ-0107</x:v>
      </x:c>
      <x:c r="B112" s="32" t="str">
        <x:v>VKM-022</x:v>
      </x:c>
      <x:c r="C112" s="32" t="str">
        <x:v>Миньоны из говяжьей вырезки</x:v>
      </x:c>
      <x:c r="D112" s="32" t="str">
        <x:v>RECIPE</x:v>
      </x:c>
      <x:c r="E112" s="32" t="str">
        <x:v>Подтвердить или скорректировать построчный состав и проектные нормы брутто/нетто.</x:v>
      </x:c>
      <x:c r="F112" s="32" t="str">
        <x:v>OPEN</x:v>
      </x:c>
      <x:c r="G112" s="32" t="str">
        <x:v>Chef</x:v>
      </x:c>
      <x:c r="H112" s="32" t="str">
        <x:v>Себестоимость; пищценность; аллергены; закупка</x:v>
      </x:c>
      <x:c r="I112" s="32" t="str">
        <x:v>EVD-0007</x:v>
      </x:c>
      <x:c r="J112" s="32" t="str">
        <x:v>GAP-004</x:v>
      </x:c>
      <x:c r="K112" s="32" t="str">
        <x:v>Owner/Chef Gate</x:v>
      </x:c>
      <x:c r="L112" s="38"/>
      <x:c r="M112" s="38"/>
      <x:c r="N112" s="32" t="str">
        <x:v>2026-08-03</x:v>
      </x:c>
    </x:row>
    <x:row r="113">
      <x:c r="A113" s="32" t="str">
        <x:v>CQ-0108</x:v>
      </x:c>
      <x:c r="B113" s="32" t="str">
        <x:v>VKM-022</x:v>
      </x:c>
      <x:c r="C113" s="32" t="str">
        <x:v>Миньоны из говяжьей вырезки</x:v>
      </x:c>
      <x:c r="D113" s="32" t="str">
        <x:v>YIELD</x:v>
      </x:c>
      <x:c r="E113" s="32" t="str">
        <x:v>Подтвердить целевой выход и способ учёта подготовительных/тепловых потерь контрольным взвешиванием.</x:v>
      </x:c>
      <x:c r="F113" s="32" t="str">
        <x:v>OPEN</x:v>
      </x:c>
      <x:c r="G113" s="32" t="str">
        <x:v>Chef</x:v>
      </x:c>
      <x:c r="H113" s="32" t="str">
        <x:v>Mass balance; себестоимость; порционирование</x:v>
      </x:c>
      <x:c r="I113" s="32" t="str">
        <x:v>EVD-0005;EVD-0008</x:v>
      </x:c>
      <x:c r="J113" s="32" t="str">
        <x:v>GAP-002;GAP-005</x:v>
      </x:c>
      <x:c r="K113" s="32" t="str">
        <x:v>Owner/Chef Gate</x:v>
      </x:c>
      <x:c r="L113" s="38"/>
      <x:c r="M113" s="38"/>
      <x:c r="N113" s="32" t="str">
        <x:v>2026-08-03</x:v>
      </x:c>
    </x:row>
    <x:row r="114">
      <x:c r="A114" s="32" t="str">
        <x:v>CQ-0109</x:v>
      </x:c>
      <x:c r="B114" s="32" t="str">
        <x:v>VKM-022</x:v>
      </x:c>
      <x:c r="C114" s="32" t="str">
        <x:v>Миньоны из говяжьей вырезки</x:v>
      </x:c>
      <x:c r="D114" s="32" t="str">
        <x:v>PROCESS</x:v>
      </x:c>
      <x:c r="E114" s="32" t="str">
        <x:v>Подтвердить последовательность операций, фактическое активное/полное время и проект подачи.</x:v>
      </x:c>
      <x:c r="F114" s="32" t="str">
        <x:v>OPEN</x:v>
      </x:c>
      <x:c r="G114" s="32" t="str">
        <x:v>Chef</x:v>
      </x:c>
      <x:c r="H114" s="32" t="str">
        <x:v>Техкарта; оборудование; мощность; сервис</x:v>
      </x:c>
      <x:c r="I114" s="32" t="str">
        <x:v>EVD-0010;EVD-0011</x:v>
      </x:c>
      <x:c r="J114" s="32" t="str">
        <x:v>GAP-007;GAP-008</x:v>
      </x:c>
      <x:c r="K114" s="32" t="str">
        <x:v>Owner/Chef Gate</x:v>
      </x:c>
      <x:c r="L114" s="38"/>
      <x:c r="M114" s="38"/>
      <x:c r="N114" s="32" t="str">
        <x:v>2026-08-03</x:v>
      </x:c>
    </x:row>
    <x:row r="115">
      <x:c r="A115" s="32" t="str">
        <x:v>CQ-0110</x:v>
      </x:c>
      <x:c r="B115" s="32" t="str">
        <x:v>VKM-022</x:v>
      </x:c>
      <x:c r="C115" s="32" t="str">
        <x:v>Миньоны из говяжьей вырезки</x:v>
      </x:c>
      <x:c r="D115" s="32" t="str">
        <x:v>SEMI_FINISHED</x:v>
      </x:c>
      <x:c r="E115" s="32" t="str">
        <x:v>Подтвердить выделение, код и размер партии связанных полуфабрикатов; указать общие полуфабрикаты.</x:v>
      </x:c>
      <x:c r="F115" s="32" t="str">
        <x:v>OPEN</x:v>
      </x:c>
      <x:c r="G115" s="32" t="str">
        <x:v>Chef</x:v>
      </x:c>
      <x:c r="H115" s="32" t="str">
        <x:v>DAG; двойной учёт; себестоимость; планирование</x:v>
      </x:c>
      <x:c r="I115" s="32" t="str">
        <x:v>EVD-0009</x:v>
      </x:c>
      <x:c r="J115" s="32" t="str">
        <x:v>GAP-006</x:v>
      </x:c>
      <x:c r="K115" s="32" t="str">
        <x:v>Owner/Chef Gate</x:v>
      </x:c>
      <x:c r="L115" s="38"/>
      <x:c r="M115" s="38"/>
      <x:c r="N115" s="32" t="str">
        <x:v>2026-08-03</x:v>
      </x:c>
    </x:row>
    <x:row r="116">
      <x:c r="A116" s="32" t="str">
        <x:v>CQ-0111</x:v>
      </x:c>
      <x:c r="B116" s="32" t="str">
        <x:v>VKM-022</x:v>
      </x:c>
      <x:c r="C116" s="32" t="str">
        <x:v>Миньоны из говяжьей вырезки</x:v>
      </x:c>
      <x:c r="D116" s="32" t="str">
        <x:v>PROCESS_FLOW_FOR_SAFETY</x:v>
      </x:c>
      <x:c r="E116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116" s="32" t="str">
        <x:v>OPEN</x:v>
      </x:c>
      <x:c r="G116" s="32" t="str">
        <x:v>Chef</x:v>
      </x:c>
      <x:c r="H116" s="32" t="str">
        <x:v>Safety veto; ППК/HACCP; маркировка и прослеживаемость</x:v>
      </x:c>
      <x:c r="I116" s="32" t="str">
        <x:v>EVD-0013;EVD-0014;EVD-FS-001;EVD-FS-003</x:v>
      </x:c>
      <x:c r="J116" s="32" t="str">
        <x:v>GAP-010;GAP-011</x:v>
      </x:c>
      <x:c r="K116" s="32" t="str">
        <x:v>Owner/Chef Gate</x:v>
      </x:c>
      <x:c r="L116" s="38"/>
      <x:c r="M116" s="38"/>
      <x:c r="N116" s="32" t="str">
        <x:v>2026-08-03</x:v>
      </x:c>
    </x:row>
    <x:row r="117">
      <x:c r="A117" s="32" t="str">
        <x:v>CQ-0112</x:v>
      </x:c>
      <x:c r="B117" s="32" t="str">
        <x:v>VKM-023</x:v>
      </x:c>
      <x:c r="C117" s="32" t="str">
        <x:v>Запечённый картофель</x:v>
      </x:c>
      <x:c r="D117" s="32" t="str">
        <x:v>RECIPE</x:v>
      </x:c>
      <x:c r="E117" s="32" t="str">
        <x:v>Подтвердить или скорректировать построчный состав и проектные нормы брутто/нетто.</x:v>
      </x:c>
      <x:c r="F117" s="32" t="str">
        <x:v>OPEN</x:v>
      </x:c>
      <x:c r="G117" s="32" t="str">
        <x:v>Chef</x:v>
      </x:c>
      <x:c r="H117" s="32" t="str">
        <x:v>Себестоимость; пищценность; аллергены; закупка</x:v>
      </x:c>
      <x:c r="I117" s="32" t="str">
        <x:v>EVD-0007</x:v>
      </x:c>
      <x:c r="J117" s="32" t="str">
        <x:v>GAP-004</x:v>
      </x:c>
      <x:c r="K117" s="32" t="str">
        <x:v>Owner/Chef Gate</x:v>
      </x:c>
      <x:c r="L117" s="38"/>
      <x:c r="M117" s="38"/>
      <x:c r="N117" s="32" t="str">
        <x:v>2026-08-03</x:v>
      </x:c>
    </x:row>
    <x:row r="118">
      <x:c r="A118" s="32" t="str">
        <x:v>CQ-0113</x:v>
      </x:c>
      <x:c r="B118" s="32" t="str">
        <x:v>VKM-023</x:v>
      </x:c>
      <x:c r="C118" s="32" t="str">
        <x:v>Запечённый картофель</x:v>
      </x:c>
      <x:c r="D118" s="32" t="str">
        <x:v>YIELD</x:v>
      </x:c>
      <x:c r="E118" s="32" t="str">
        <x:v>Подтвердить целевой выход и способ учёта подготовительных/тепловых потерь контрольным взвешиванием.</x:v>
      </x:c>
      <x:c r="F118" s="32" t="str">
        <x:v>OPEN</x:v>
      </x:c>
      <x:c r="G118" s="32" t="str">
        <x:v>Chef</x:v>
      </x:c>
      <x:c r="H118" s="32" t="str">
        <x:v>Mass balance; себестоимость; порционирование</x:v>
      </x:c>
      <x:c r="I118" s="32" t="str">
        <x:v>EVD-0005;EVD-0008</x:v>
      </x:c>
      <x:c r="J118" s="32" t="str">
        <x:v>GAP-002;GAP-005</x:v>
      </x:c>
      <x:c r="K118" s="32" t="str">
        <x:v>Owner/Chef Gate</x:v>
      </x:c>
      <x:c r="L118" s="38"/>
      <x:c r="M118" s="38"/>
      <x:c r="N118" s="32" t="str">
        <x:v>2026-08-03</x:v>
      </x:c>
    </x:row>
    <x:row r="119">
      <x:c r="A119" s="32" t="str">
        <x:v>CQ-0114</x:v>
      </x:c>
      <x:c r="B119" s="32" t="str">
        <x:v>VKM-023</x:v>
      </x:c>
      <x:c r="C119" s="32" t="str">
        <x:v>Запечённый картофель</x:v>
      </x:c>
      <x:c r="D119" s="32" t="str">
        <x:v>PROCESS</x:v>
      </x:c>
      <x:c r="E119" s="32" t="str">
        <x:v>Подтвердить последовательность операций, фактическое активное/полное время и проект подачи.</x:v>
      </x:c>
      <x:c r="F119" s="32" t="str">
        <x:v>OPEN</x:v>
      </x:c>
      <x:c r="G119" s="32" t="str">
        <x:v>Chef</x:v>
      </x:c>
      <x:c r="H119" s="32" t="str">
        <x:v>Техкарта; оборудование; мощность; сервис</x:v>
      </x:c>
      <x:c r="I119" s="32" t="str">
        <x:v>EVD-0010;EVD-0011</x:v>
      </x:c>
      <x:c r="J119" s="32" t="str">
        <x:v>GAP-007;GAP-008</x:v>
      </x:c>
      <x:c r="K119" s="32" t="str">
        <x:v>Owner/Chef Gate</x:v>
      </x:c>
      <x:c r="L119" s="38"/>
      <x:c r="M119" s="38"/>
      <x:c r="N119" s="32" t="str">
        <x:v>2026-08-03</x:v>
      </x:c>
    </x:row>
    <x:row r="120">
      <x:c r="A120" s="32" t="str">
        <x:v>CQ-0115</x:v>
      </x:c>
      <x:c r="B120" s="32" t="str">
        <x:v>VKM-023</x:v>
      </x:c>
      <x:c r="C120" s="32" t="str">
        <x:v>Запечённый картофель</x:v>
      </x:c>
      <x:c r="D120" s="32" t="str">
        <x:v>SEMI_FINISHED</x:v>
      </x:c>
      <x:c r="E120" s="32" t="str">
        <x:v>Подтвердить выделение, код и размер партии связанных полуфабрикатов; указать общие полуфабрикаты.</x:v>
      </x:c>
      <x:c r="F120" s="32" t="str">
        <x:v>OPEN</x:v>
      </x:c>
      <x:c r="G120" s="32" t="str">
        <x:v>Chef</x:v>
      </x:c>
      <x:c r="H120" s="32" t="str">
        <x:v>DAG; двойной учёт; себестоимость; планирование</x:v>
      </x:c>
      <x:c r="I120" s="32" t="str">
        <x:v>EVD-0009</x:v>
      </x:c>
      <x:c r="J120" s="32" t="str">
        <x:v>GAP-006</x:v>
      </x:c>
      <x:c r="K120" s="32" t="str">
        <x:v>Owner/Chef Gate</x:v>
      </x:c>
      <x:c r="L120" s="38"/>
      <x:c r="M120" s="38"/>
      <x:c r="N120" s="32" t="str">
        <x:v>2026-08-03</x:v>
      </x:c>
    </x:row>
    <x:row r="121">
      <x:c r="A121" s="32" t="str">
        <x:v>CQ-0116</x:v>
      </x:c>
      <x:c r="B121" s="32" t="str">
        <x:v>VKM-023</x:v>
      </x:c>
      <x:c r="C121" s="32" t="str">
        <x:v>Запечённый картофель</x:v>
      </x:c>
      <x:c r="D121" s="32" t="str">
        <x:v>PROCESS_FLOW_FOR_SAFETY</x:v>
      </x:c>
      <x:c r="E121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121" s="32" t="str">
        <x:v>OPEN</x:v>
      </x:c>
      <x:c r="G121" s="32" t="str">
        <x:v>Chef</x:v>
      </x:c>
      <x:c r="H121" s="32" t="str">
        <x:v>Safety veto; ППК/HACCP; маркировка и прослеживаемость</x:v>
      </x:c>
      <x:c r="I121" s="32" t="str">
        <x:v>EVD-0013;EVD-0014;EVD-FS-001;EVD-FS-003</x:v>
      </x:c>
      <x:c r="J121" s="32" t="str">
        <x:v>GAP-010;GAP-011</x:v>
      </x:c>
      <x:c r="K121" s="32" t="str">
        <x:v>Owner/Chef Gate</x:v>
      </x:c>
      <x:c r="L121" s="38"/>
      <x:c r="M121" s="38"/>
      <x:c r="N121" s="32" t="str">
        <x:v>2026-08-03</x:v>
      </x:c>
    </x:row>
    <x:row r="122">
      <x:c r="A122" s="32" t="str">
        <x:v>CQ-0117</x:v>
      </x:c>
      <x:c r="B122" s="32" t="str">
        <x:v>VKM-024</x:v>
      </x:c>
      <x:c r="C122" s="32" t="str">
        <x:v>Рис жасмин</x:v>
      </x:c>
      <x:c r="D122" s="32" t="str">
        <x:v>RECIPE</x:v>
      </x:c>
      <x:c r="E122" s="32" t="str">
        <x:v>Подтвердить или скорректировать построчный состав и проектные нормы брутто/нетто.</x:v>
      </x:c>
      <x:c r="F122" s="32" t="str">
        <x:v>OPEN</x:v>
      </x:c>
      <x:c r="G122" s="32" t="str">
        <x:v>Chef</x:v>
      </x:c>
      <x:c r="H122" s="32" t="str">
        <x:v>Себестоимость; пищценность; аллергены; закупка</x:v>
      </x:c>
      <x:c r="I122" s="32" t="str">
        <x:v>EVD-0007</x:v>
      </x:c>
      <x:c r="J122" s="32" t="str">
        <x:v>GAP-004</x:v>
      </x:c>
      <x:c r="K122" s="32" t="str">
        <x:v>Owner/Chef Gate</x:v>
      </x:c>
      <x:c r="L122" s="38"/>
      <x:c r="M122" s="38"/>
      <x:c r="N122" s="32" t="str">
        <x:v>2026-08-03</x:v>
      </x:c>
    </x:row>
    <x:row r="123">
      <x:c r="A123" s="32" t="str">
        <x:v>CQ-0118</x:v>
      </x:c>
      <x:c r="B123" s="32" t="str">
        <x:v>VKM-024</x:v>
      </x:c>
      <x:c r="C123" s="32" t="str">
        <x:v>Рис жасмин</x:v>
      </x:c>
      <x:c r="D123" s="32" t="str">
        <x:v>YIELD</x:v>
      </x:c>
      <x:c r="E123" s="32" t="str">
        <x:v>Подтвердить целевой выход и способ учёта подготовительных/тепловых потерь контрольным взвешиванием.</x:v>
      </x:c>
      <x:c r="F123" s="32" t="str">
        <x:v>OPEN</x:v>
      </x:c>
      <x:c r="G123" s="32" t="str">
        <x:v>Chef</x:v>
      </x:c>
      <x:c r="H123" s="32" t="str">
        <x:v>Mass balance; себестоимость; порционирование</x:v>
      </x:c>
      <x:c r="I123" s="32" t="str">
        <x:v>EVD-0005;EVD-0008</x:v>
      </x:c>
      <x:c r="J123" s="32" t="str">
        <x:v>GAP-002;GAP-005</x:v>
      </x:c>
      <x:c r="K123" s="32" t="str">
        <x:v>Owner/Chef Gate</x:v>
      </x:c>
      <x:c r="L123" s="38"/>
      <x:c r="M123" s="38"/>
      <x:c r="N123" s="32" t="str">
        <x:v>2026-08-03</x:v>
      </x:c>
    </x:row>
    <x:row r="124">
      <x:c r="A124" s="32" t="str">
        <x:v>CQ-0119</x:v>
      </x:c>
      <x:c r="B124" s="32" t="str">
        <x:v>VKM-024</x:v>
      </x:c>
      <x:c r="C124" s="32" t="str">
        <x:v>Рис жасмин</x:v>
      </x:c>
      <x:c r="D124" s="32" t="str">
        <x:v>PROCESS</x:v>
      </x:c>
      <x:c r="E124" s="32" t="str">
        <x:v>Подтвердить последовательность операций, фактическое активное/полное время и проект подачи.</x:v>
      </x:c>
      <x:c r="F124" s="32" t="str">
        <x:v>OPEN</x:v>
      </x:c>
      <x:c r="G124" s="32" t="str">
        <x:v>Chef</x:v>
      </x:c>
      <x:c r="H124" s="32" t="str">
        <x:v>Техкарта; оборудование; мощность; сервис</x:v>
      </x:c>
      <x:c r="I124" s="32" t="str">
        <x:v>EVD-0010;EVD-0011</x:v>
      </x:c>
      <x:c r="J124" s="32" t="str">
        <x:v>GAP-007;GAP-008</x:v>
      </x:c>
      <x:c r="K124" s="32" t="str">
        <x:v>Owner/Chef Gate</x:v>
      </x:c>
      <x:c r="L124" s="38"/>
      <x:c r="M124" s="38"/>
      <x:c r="N124" s="32" t="str">
        <x:v>2026-08-03</x:v>
      </x:c>
    </x:row>
    <x:row r="125">
      <x:c r="A125" s="32" t="str">
        <x:v>CQ-0120</x:v>
      </x:c>
      <x:c r="B125" s="32" t="str">
        <x:v>VKM-024</x:v>
      </x:c>
      <x:c r="C125" s="32" t="str">
        <x:v>Рис жасмин</x:v>
      </x:c>
      <x:c r="D125" s="32" t="str">
        <x:v>SEMI_FINISHED</x:v>
      </x:c>
      <x:c r="E125" s="32" t="str">
        <x:v>Подтвердить выделение, код и размер партии связанных полуфабрикатов; указать общие полуфабрикаты.</x:v>
      </x:c>
      <x:c r="F125" s="32" t="str">
        <x:v>OPEN</x:v>
      </x:c>
      <x:c r="G125" s="32" t="str">
        <x:v>Chef</x:v>
      </x:c>
      <x:c r="H125" s="32" t="str">
        <x:v>DAG; двойной учёт; себестоимость; планирование</x:v>
      </x:c>
      <x:c r="I125" s="32" t="str">
        <x:v>EVD-0009</x:v>
      </x:c>
      <x:c r="J125" s="32" t="str">
        <x:v>GAP-006</x:v>
      </x:c>
      <x:c r="K125" s="32" t="str">
        <x:v>Owner/Chef Gate</x:v>
      </x:c>
      <x:c r="L125" s="38"/>
      <x:c r="M125" s="38"/>
      <x:c r="N125" s="32" t="str">
        <x:v>2026-08-03</x:v>
      </x:c>
    </x:row>
    <x:row r="126">
      <x:c r="A126" s="32" t="str">
        <x:v>CQ-0121</x:v>
      </x:c>
      <x:c r="B126" s="32" t="str">
        <x:v>VKM-024</x:v>
      </x:c>
      <x:c r="C126" s="32" t="str">
        <x:v>Рис жасмин</x:v>
      </x:c>
      <x:c r="D126" s="32" t="str">
        <x:v>PROCESS_FLOW_FOR_SAFETY</x:v>
      </x:c>
      <x:c r="E126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126" s="32" t="str">
        <x:v>OPEN</x:v>
      </x:c>
      <x:c r="G126" s="32" t="str">
        <x:v>Chef</x:v>
      </x:c>
      <x:c r="H126" s="32" t="str">
        <x:v>Safety veto; ППК/HACCP; маркировка и прослеживаемость</x:v>
      </x:c>
      <x:c r="I126" s="32" t="str">
        <x:v>EVD-0013;EVD-0014;EVD-FS-001;EVD-FS-003</x:v>
      </x:c>
      <x:c r="J126" s="32" t="str">
        <x:v>GAP-010;GAP-011</x:v>
      </x:c>
      <x:c r="K126" s="32" t="str">
        <x:v>Owner/Chef Gate</x:v>
      </x:c>
      <x:c r="L126" s="38"/>
      <x:c r="M126" s="38"/>
      <x:c r="N126" s="32" t="str">
        <x:v>2026-08-03</x:v>
      </x:c>
    </x:row>
    <x:row r="127">
      <x:c r="A127" s="32" t="str">
        <x:v>CQ-0122</x:v>
      </x:c>
      <x:c r="B127" s="32" t="str">
        <x:v>VKM-025</x:v>
      </x:c>
      <x:c r="C127" s="32" t="str">
        <x:v>Горячие овощи</x:v>
      </x:c>
      <x:c r="D127" s="32" t="str">
        <x:v>RECIPE</x:v>
      </x:c>
      <x:c r="E127" s="32" t="str">
        <x:v>Подтвердить или скорректировать построчный состав и проектные нормы брутто/нетто.</x:v>
      </x:c>
      <x:c r="F127" s="32" t="str">
        <x:v>OPEN</x:v>
      </x:c>
      <x:c r="G127" s="32" t="str">
        <x:v>Chef</x:v>
      </x:c>
      <x:c r="H127" s="32" t="str">
        <x:v>Себестоимость; пищценность; аллергены; закупка</x:v>
      </x:c>
      <x:c r="I127" s="32" t="str">
        <x:v>EVD-0007</x:v>
      </x:c>
      <x:c r="J127" s="32" t="str">
        <x:v>GAP-004</x:v>
      </x:c>
      <x:c r="K127" s="32" t="str">
        <x:v>Owner/Chef Gate</x:v>
      </x:c>
      <x:c r="L127" s="38"/>
      <x:c r="M127" s="38"/>
      <x:c r="N127" s="32" t="str">
        <x:v>2026-08-03</x:v>
      </x:c>
    </x:row>
    <x:row r="128">
      <x:c r="A128" s="32" t="str">
        <x:v>CQ-0123</x:v>
      </x:c>
      <x:c r="B128" s="32" t="str">
        <x:v>VKM-025</x:v>
      </x:c>
      <x:c r="C128" s="32" t="str">
        <x:v>Горячие овощи</x:v>
      </x:c>
      <x:c r="D128" s="32" t="str">
        <x:v>YIELD</x:v>
      </x:c>
      <x:c r="E128" s="32" t="str">
        <x:v>Подтвердить целевой выход и способ учёта подготовительных/тепловых потерь контрольным взвешиванием.</x:v>
      </x:c>
      <x:c r="F128" s="32" t="str">
        <x:v>OPEN</x:v>
      </x:c>
      <x:c r="G128" s="32" t="str">
        <x:v>Chef</x:v>
      </x:c>
      <x:c r="H128" s="32" t="str">
        <x:v>Mass balance; себестоимость; порционирование</x:v>
      </x:c>
      <x:c r="I128" s="32" t="str">
        <x:v>EVD-0005;EVD-0008</x:v>
      </x:c>
      <x:c r="J128" s="32" t="str">
        <x:v>GAP-002;GAP-005</x:v>
      </x:c>
      <x:c r="K128" s="32" t="str">
        <x:v>Owner/Chef Gate</x:v>
      </x:c>
      <x:c r="L128" s="38"/>
      <x:c r="M128" s="38"/>
      <x:c r="N128" s="32" t="str">
        <x:v>2026-08-03</x:v>
      </x:c>
    </x:row>
    <x:row r="129">
      <x:c r="A129" s="32" t="str">
        <x:v>CQ-0124</x:v>
      </x:c>
      <x:c r="B129" s="32" t="str">
        <x:v>VKM-025</x:v>
      </x:c>
      <x:c r="C129" s="32" t="str">
        <x:v>Горячие овощи</x:v>
      </x:c>
      <x:c r="D129" s="32" t="str">
        <x:v>PROCESS</x:v>
      </x:c>
      <x:c r="E129" s="32" t="str">
        <x:v>Подтвердить последовательность операций, фактическое активное/полное время и проект подачи.</x:v>
      </x:c>
      <x:c r="F129" s="32" t="str">
        <x:v>OPEN</x:v>
      </x:c>
      <x:c r="G129" s="32" t="str">
        <x:v>Chef</x:v>
      </x:c>
      <x:c r="H129" s="32" t="str">
        <x:v>Техкарта; оборудование; мощность; сервис</x:v>
      </x:c>
      <x:c r="I129" s="32" t="str">
        <x:v>EVD-0010;EVD-0011</x:v>
      </x:c>
      <x:c r="J129" s="32" t="str">
        <x:v>GAP-007;GAP-008</x:v>
      </x:c>
      <x:c r="K129" s="32" t="str">
        <x:v>Owner/Chef Gate</x:v>
      </x:c>
      <x:c r="L129" s="38"/>
      <x:c r="M129" s="38"/>
      <x:c r="N129" s="32" t="str">
        <x:v>2026-08-03</x:v>
      </x:c>
    </x:row>
    <x:row r="130">
      <x:c r="A130" s="32" t="str">
        <x:v>CQ-0125</x:v>
      </x:c>
      <x:c r="B130" s="32" t="str">
        <x:v>VKM-025</x:v>
      </x:c>
      <x:c r="C130" s="32" t="str">
        <x:v>Горячие овощи</x:v>
      </x:c>
      <x:c r="D130" s="32" t="str">
        <x:v>SEMI_FINISHED</x:v>
      </x:c>
      <x:c r="E130" s="32" t="str">
        <x:v>Подтвердить выделение, код и размер партии связанных полуфабрикатов; указать общие полуфабрикаты.</x:v>
      </x:c>
      <x:c r="F130" s="32" t="str">
        <x:v>OPEN</x:v>
      </x:c>
      <x:c r="G130" s="32" t="str">
        <x:v>Chef</x:v>
      </x:c>
      <x:c r="H130" s="32" t="str">
        <x:v>DAG; двойной учёт; себестоимость; планирование</x:v>
      </x:c>
      <x:c r="I130" s="32" t="str">
        <x:v>EVD-0009</x:v>
      </x:c>
      <x:c r="J130" s="32" t="str">
        <x:v>GAP-006</x:v>
      </x:c>
      <x:c r="K130" s="32" t="str">
        <x:v>Owner/Chef Gate</x:v>
      </x:c>
      <x:c r="L130" s="38"/>
      <x:c r="M130" s="38"/>
      <x:c r="N130" s="32" t="str">
        <x:v>2026-08-03</x:v>
      </x:c>
    </x:row>
    <x:row r="131">
      <x:c r="A131" s="32" t="str">
        <x:v>CQ-0126</x:v>
      </x:c>
      <x:c r="B131" s="32" t="str">
        <x:v>VKM-025</x:v>
      </x:c>
      <x:c r="C131" s="32" t="str">
        <x:v>Горячие овощи</x:v>
      </x:c>
      <x:c r="D131" s="32" t="str">
        <x:v>PROCESS_FLOW_FOR_SAFETY</x:v>
      </x:c>
      <x:c r="E131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131" s="32" t="str">
        <x:v>OPEN</x:v>
      </x:c>
      <x:c r="G131" s="32" t="str">
        <x:v>Chef</x:v>
      </x:c>
      <x:c r="H131" s="32" t="str">
        <x:v>Safety veto; ППК/HACCP; маркировка и прослеживаемость</x:v>
      </x:c>
      <x:c r="I131" s="32" t="str">
        <x:v>EVD-0013;EVD-0014;EVD-FS-001;EVD-FS-003</x:v>
      </x:c>
      <x:c r="J131" s="32" t="str">
        <x:v>GAP-010;GAP-011</x:v>
      </x:c>
      <x:c r="K131" s="32" t="str">
        <x:v>Owner/Chef Gate</x:v>
      </x:c>
      <x:c r="L131" s="38"/>
      <x:c r="M131" s="38"/>
      <x:c r="N131" s="32" t="str">
        <x:v>2026-08-03</x:v>
      </x:c>
    </x:row>
    <x:row r="132">
      <x:c r="A132" s="32" t="str">
        <x:v>CQ-0127</x:v>
      </x:c>
      <x:c r="B132" s="32" t="str">
        <x:v>VKM-029</x:v>
      </x:c>
      <x:c r="C132" s="32" t="str">
        <x:v>Черничный торт VARSHAVKA</x:v>
      </x:c>
      <x:c r="D132" s="32" t="str">
        <x:v>RECIPE</x:v>
      </x:c>
      <x:c r="E132" s="32" t="str">
        <x:v>Подтвердить или скорректировать построчный состав и проектные нормы брутто/нетто.</x:v>
      </x:c>
      <x:c r="F132" s="32" t="str">
        <x:v>OPEN</x:v>
      </x:c>
      <x:c r="G132" s="32" t="str">
        <x:v>Chef</x:v>
      </x:c>
      <x:c r="H132" s="32" t="str">
        <x:v>Себестоимость; пищценность; аллергены; закупка</x:v>
      </x:c>
      <x:c r="I132" s="32" t="str">
        <x:v>EVD-0007</x:v>
      </x:c>
      <x:c r="J132" s="32" t="str">
        <x:v>GAP-004</x:v>
      </x:c>
      <x:c r="K132" s="32" t="str">
        <x:v>Owner/Chef Gate</x:v>
      </x:c>
      <x:c r="L132" s="38"/>
      <x:c r="M132" s="38"/>
      <x:c r="N132" s="32" t="str">
        <x:v>2026-08-03</x:v>
      </x:c>
    </x:row>
    <x:row r="133">
      <x:c r="A133" s="32" t="str">
        <x:v>CQ-0128</x:v>
      </x:c>
      <x:c r="B133" s="32" t="str">
        <x:v>VKM-029</x:v>
      </x:c>
      <x:c r="C133" s="32" t="str">
        <x:v>Черничный торт VARSHAVKA</x:v>
      </x:c>
      <x:c r="D133" s="32" t="str">
        <x:v>YIELD</x:v>
      </x:c>
      <x:c r="E133" s="32" t="str">
        <x:v>Подтвердить целевой выход и способ учёта подготовительных/тепловых потерь контрольным взвешиванием.</x:v>
      </x:c>
      <x:c r="F133" s="32" t="str">
        <x:v>OPEN</x:v>
      </x:c>
      <x:c r="G133" s="32" t="str">
        <x:v>Chef</x:v>
      </x:c>
      <x:c r="H133" s="32" t="str">
        <x:v>Mass balance; себестоимость; порционирование</x:v>
      </x:c>
      <x:c r="I133" s="32" t="str">
        <x:v>EVD-0005;EVD-0008</x:v>
      </x:c>
      <x:c r="J133" s="32" t="str">
        <x:v>GAP-002;GAP-005</x:v>
      </x:c>
      <x:c r="K133" s="32" t="str">
        <x:v>Owner/Chef Gate</x:v>
      </x:c>
      <x:c r="L133" s="38"/>
      <x:c r="M133" s="38"/>
      <x:c r="N133" s="32" t="str">
        <x:v>2026-08-03</x:v>
      </x:c>
    </x:row>
    <x:row r="134">
      <x:c r="A134" s="32" t="str">
        <x:v>CQ-0129</x:v>
      </x:c>
      <x:c r="B134" s="32" t="str">
        <x:v>VKM-029</x:v>
      </x:c>
      <x:c r="C134" s="32" t="str">
        <x:v>Черничный торт VARSHAVKA</x:v>
      </x:c>
      <x:c r="D134" s="32" t="str">
        <x:v>PROCESS</x:v>
      </x:c>
      <x:c r="E134" s="32" t="str">
        <x:v>Подтвердить последовательность операций, фактическое активное/полное время и проект подачи.</x:v>
      </x:c>
      <x:c r="F134" s="32" t="str">
        <x:v>OPEN</x:v>
      </x:c>
      <x:c r="G134" s="32" t="str">
        <x:v>Chef</x:v>
      </x:c>
      <x:c r="H134" s="32" t="str">
        <x:v>Техкарта; оборудование; мощность; сервис</x:v>
      </x:c>
      <x:c r="I134" s="32" t="str">
        <x:v>EVD-0010;EVD-0011</x:v>
      </x:c>
      <x:c r="J134" s="32" t="str">
        <x:v>GAP-007;GAP-008</x:v>
      </x:c>
      <x:c r="K134" s="32" t="str">
        <x:v>Owner/Chef Gate</x:v>
      </x:c>
      <x:c r="L134" s="38"/>
      <x:c r="M134" s="38"/>
      <x:c r="N134" s="32" t="str">
        <x:v>2026-08-03</x:v>
      </x:c>
    </x:row>
    <x:row r="135">
      <x:c r="A135" s="32" t="str">
        <x:v>CQ-0130</x:v>
      </x:c>
      <x:c r="B135" s="32" t="str">
        <x:v>VKM-029</x:v>
      </x:c>
      <x:c r="C135" s="32" t="str">
        <x:v>Черничный торт VARSHAVKA</x:v>
      </x:c>
      <x:c r="D135" s="32" t="str">
        <x:v>SEMI_FINISHED</x:v>
      </x:c>
      <x:c r="E135" s="32" t="str">
        <x:v>Подтвердить выделение, код и размер партии связанных полуфабрикатов; указать общие полуфабрикаты.</x:v>
      </x:c>
      <x:c r="F135" s="32" t="str">
        <x:v>OPEN</x:v>
      </x:c>
      <x:c r="G135" s="32" t="str">
        <x:v>Chef</x:v>
      </x:c>
      <x:c r="H135" s="32" t="str">
        <x:v>DAG; двойной учёт; себестоимость; планирование</x:v>
      </x:c>
      <x:c r="I135" s="32" t="str">
        <x:v>EVD-0009</x:v>
      </x:c>
      <x:c r="J135" s="32" t="str">
        <x:v>GAP-006</x:v>
      </x:c>
      <x:c r="K135" s="32" t="str">
        <x:v>Owner/Chef Gate</x:v>
      </x:c>
      <x:c r="L135" s="38"/>
      <x:c r="M135" s="38"/>
      <x:c r="N135" s="32" t="str">
        <x:v>2026-08-03</x:v>
      </x:c>
    </x:row>
    <x:row r="136">
      <x:c r="A136" s="32" t="str">
        <x:v>CQ-0131</x:v>
      </x:c>
      <x:c r="B136" s="32" t="str">
        <x:v>VKM-029</x:v>
      </x:c>
      <x:c r="C136" s="32" t="str">
        <x:v>Черничный торт VARSHAVKA</x:v>
      </x:c>
      <x:c r="D136" s="32" t="str">
        <x:v>PROCESS_FLOW_FOR_SAFETY</x:v>
      </x:c>
      <x:c r="E136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136" s="32" t="str">
        <x:v>OPEN</x:v>
      </x:c>
      <x:c r="G136" s="32" t="str">
        <x:v>Chef</x:v>
      </x:c>
      <x:c r="H136" s="32" t="str">
        <x:v>Safety veto; ППК/HACCP; маркировка и прослеживаемость</x:v>
      </x:c>
      <x:c r="I136" s="32" t="str">
        <x:v>EVD-0013;EVD-0014;EVD-FS-001;EVD-FS-003</x:v>
      </x:c>
      <x:c r="J136" s="32" t="str">
        <x:v>GAP-010;GAP-011</x:v>
      </x:c>
      <x:c r="K136" s="32" t="str">
        <x:v>Owner/Chef Gate</x:v>
      </x:c>
      <x:c r="L136" s="38"/>
      <x:c r="M136" s="38"/>
      <x:c r="N136" s="32" t="str">
        <x:v>2026-08-03</x:v>
      </x:c>
    </x:row>
    <x:row r="137">
      <x:c r="A137" s="32" t="str">
        <x:v>CQ-0132</x:v>
      </x:c>
      <x:c r="B137" s="32" t="str">
        <x:v>VKM-029</x:v>
      </x:c>
      <x:c r="C137" s="32" t="str">
        <x:v>Черничный торт VARSHAVKA</x:v>
      </x:c>
      <x:c r="D137" s="32" t="str">
        <x:v>BATCH</x:v>
      </x:c>
      <x:c r="E137" s="32" t="str">
        <x:v>Подтвердить размер партии, число изделий/порций, массу до и после стабилизации и правила допустимого отклонения.</x:v>
      </x:c>
      <x:c r="F137" s="32" t="str">
        <x:v>OPEN</x:v>
      </x:c>
      <x:c r="G137" s="32" t="str">
        <x:v>Chef</x:v>
      </x:c>
      <x:c r="H137" s="32" t="str">
        <x:v>Mass balance; порционирование; capacity</x:v>
      </x:c>
      <x:c r="I137" s="32" t="str">
        <x:v>EVD-0005;EVD-0008</x:v>
      </x:c>
      <x:c r="J137" s="32" t="str">
        <x:v>GAP-002;GAP-005</x:v>
      </x:c>
      <x:c r="K137" s="32" t="str">
        <x:v>Owner/Chef Gate</x:v>
      </x:c>
      <x:c r="L137" s="38"/>
      <x:c r="M137" s="38"/>
      <x:c r="N137" s="32" t="str">
        <x:v>2026-08-03</x:v>
      </x:c>
    </x:row>
    <x:row r="138">
      <x:c r="A138" s="32" t="str">
        <x:v>CQ-0133</x:v>
      </x:c>
      <x:c r="B138" s="32" t="str">
        <x:v>VKM-030</x:v>
      </x:c>
      <x:c r="C138" s="32" t="str">
        <x:v>Кростата с солёной карамелью</x:v>
      </x:c>
      <x:c r="D138" s="32" t="str">
        <x:v>RECIPE</x:v>
      </x:c>
      <x:c r="E138" s="32" t="str">
        <x:v>Подтвердить или скорректировать построчный состав и проектные нормы брутто/нетто.</x:v>
      </x:c>
      <x:c r="F138" s="32" t="str">
        <x:v>OPEN</x:v>
      </x:c>
      <x:c r="G138" s="32" t="str">
        <x:v>Chef</x:v>
      </x:c>
      <x:c r="H138" s="32" t="str">
        <x:v>Себестоимость; пищценность; аллергены; закупка</x:v>
      </x:c>
      <x:c r="I138" s="32" t="str">
        <x:v>EVD-0007</x:v>
      </x:c>
      <x:c r="J138" s="32" t="str">
        <x:v>GAP-004</x:v>
      </x:c>
      <x:c r="K138" s="32" t="str">
        <x:v>Owner/Chef Gate</x:v>
      </x:c>
      <x:c r="L138" s="38"/>
      <x:c r="M138" s="38"/>
      <x:c r="N138" s="32" t="str">
        <x:v>2026-08-03</x:v>
      </x:c>
    </x:row>
    <x:row r="139">
      <x:c r="A139" s="32" t="str">
        <x:v>CQ-0134</x:v>
      </x:c>
      <x:c r="B139" s="32" t="str">
        <x:v>VKM-030</x:v>
      </x:c>
      <x:c r="C139" s="32" t="str">
        <x:v>Кростата с солёной карамелью</x:v>
      </x:c>
      <x:c r="D139" s="32" t="str">
        <x:v>YIELD</x:v>
      </x:c>
      <x:c r="E139" s="32" t="str">
        <x:v>Подтвердить целевой выход и способ учёта подготовительных/тепловых потерь контрольным взвешиванием.</x:v>
      </x:c>
      <x:c r="F139" s="32" t="str">
        <x:v>OPEN</x:v>
      </x:c>
      <x:c r="G139" s="32" t="str">
        <x:v>Chef</x:v>
      </x:c>
      <x:c r="H139" s="32" t="str">
        <x:v>Mass balance; себестоимость; порционирование</x:v>
      </x:c>
      <x:c r="I139" s="32" t="str">
        <x:v>EVD-0005;EVD-0008</x:v>
      </x:c>
      <x:c r="J139" s="32" t="str">
        <x:v>GAP-002;GAP-005</x:v>
      </x:c>
      <x:c r="K139" s="32" t="str">
        <x:v>Owner/Chef Gate</x:v>
      </x:c>
      <x:c r="L139" s="38"/>
      <x:c r="M139" s="38"/>
      <x:c r="N139" s="32" t="str">
        <x:v>2026-08-03</x:v>
      </x:c>
    </x:row>
    <x:row r="140">
      <x:c r="A140" s="32" t="str">
        <x:v>CQ-0135</x:v>
      </x:c>
      <x:c r="B140" s="32" t="str">
        <x:v>VKM-030</x:v>
      </x:c>
      <x:c r="C140" s="32" t="str">
        <x:v>Кростата с солёной карамелью</x:v>
      </x:c>
      <x:c r="D140" s="32" t="str">
        <x:v>PROCESS</x:v>
      </x:c>
      <x:c r="E140" s="32" t="str">
        <x:v>Подтвердить последовательность операций, фактическое активное/полное время и проект подачи.</x:v>
      </x:c>
      <x:c r="F140" s="32" t="str">
        <x:v>OPEN</x:v>
      </x:c>
      <x:c r="G140" s="32" t="str">
        <x:v>Chef</x:v>
      </x:c>
      <x:c r="H140" s="32" t="str">
        <x:v>Техкарта; оборудование; мощность; сервис</x:v>
      </x:c>
      <x:c r="I140" s="32" t="str">
        <x:v>EVD-0010;EVD-0011</x:v>
      </x:c>
      <x:c r="J140" s="32" t="str">
        <x:v>GAP-007;GAP-008</x:v>
      </x:c>
      <x:c r="K140" s="32" t="str">
        <x:v>Owner/Chef Gate</x:v>
      </x:c>
      <x:c r="L140" s="38"/>
      <x:c r="M140" s="38"/>
      <x:c r="N140" s="32" t="str">
        <x:v>2026-08-03</x:v>
      </x:c>
    </x:row>
    <x:row r="141">
      <x:c r="A141" s="32" t="str">
        <x:v>CQ-0136</x:v>
      </x:c>
      <x:c r="B141" s="32" t="str">
        <x:v>VKM-030</x:v>
      </x:c>
      <x:c r="C141" s="32" t="str">
        <x:v>Кростата с солёной карамелью</x:v>
      </x:c>
      <x:c r="D141" s="32" t="str">
        <x:v>SEMI_FINISHED</x:v>
      </x:c>
      <x:c r="E141" s="32" t="str">
        <x:v>Подтвердить выделение, код и размер партии связанных полуфабрикатов; указать общие полуфабрикаты.</x:v>
      </x:c>
      <x:c r="F141" s="32" t="str">
        <x:v>OPEN</x:v>
      </x:c>
      <x:c r="G141" s="32" t="str">
        <x:v>Chef</x:v>
      </x:c>
      <x:c r="H141" s="32" t="str">
        <x:v>DAG; двойной учёт; себестоимость; планирование</x:v>
      </x:c>
      <x:c r="I141" s="32" t="str">
        <x:v>EVD-0009</x:v>
      </x:c>
      <x:c r="J141" s="32" t="str">
        <x:v>GAP-006</x:v>
      </x:c>
      <x:c r="K141" s="32" t="str">
        <x:v>Owner/Chef Gate</x:v>
      </x:c>
      <x:c r="L141" s="38"/>
      <x:c r="M141" s="38"/>
      <x:c r="N141" s="32" t="str">
        <x:v>2026-08-03</x:v>
      </x:c>
    </x:row>
    <x:row r="142">
      <x:c r="A142" s="32" t="str">
        <x:v>CQ-0137</x:v>
      </x:c>
      <x:c r="B142" s="32" t="str">
        <x:v>VKM-030</x:v>
      </x:c>
      <x:c r="C142" s="32" t="str">
        <x:v>Кростата с солёной карамелью</x:v>
      </x:c>
      <x:c r="D142" s="32" t="str">
        <x:v>PROCESS_FLOW_FOR_SAFETY</x:v>
      </x:c>
      <x:c r="E142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142" s="32" t="str">
        <x:v>OPEN</x:v>
      </x:c>
      <x:c r="G142" s="32" t="str">
        <x:v>Chef</x:v>
      </x:c>
      <x:c r="H142" s="32" t="str">
        <x:v>Safety veto; ППК/HACCP; маркировка и прослеживаемость</x:v>
      </x:c>
      <x:c r="I142" s="32" t="str">
        <x:v>EVD-0013;EVD-0014;EVD-FS-001;EVD-FS-003</x:v>
      </x:c>
      <x:c r="J142" s="32" t="str">
        <x:v>GAP-010;GAP-011</x:v>
      </x:c>
      <x:c r="K142" s="32" t="str">
        <x:v>Owner/Chef Gate</x:v>
      </x:c>
      <x:c r="L142" s="38"/>
      <x:c r="M142" s="38"/>
      <x:c r="N142" s="32" t="str">
        <x:v>2026-08-03</x:v>
      </x:c>
    </x:row>
    <x:row r="143">
      <x:c r="A143" s="32" t="str">
        <x:v>CQ-0138</x:v>
      </x:c>
      <x:c r="B143" s="32" t="str">
        <x:v>VKM-030</x:v>
      </x:c>
      <x:c r="C143" s="32" t="str">
        <x:v>Кростата с солёной карамелью</x:v>
      </x:c>
      <x:c r="D143" s="32" t="str">
        <x:v>BATCH</x:v>
      </x:c>
      <x:c r="E143" s="32" t="str">
        <x:v>Подтвердить размер партии, число изделий/порций, массу до и после стабилизации и правила допустимого отклонения.</x:v>
      </x:c>
      <x:c r="F143" s="32" t="str">
        <x:v>OPEN</x:v>
      </x:c>
      <x:c r="G143" s="32" t="str">
        <x:v>Chef</x:v>
      </x:c>
      <x:c r="H143" s="32" t="str">
        <x:v>Mass balance; порционирование; capacity</x:v>
      </x:c>
      <x:c r="I143" s="32" t="str">
        <x:v>EVD-0005;EVD-0008</x:v>
      </x:c>
      <x:c r="J143" s="32" t="str">
        <x:v>GAP-002;GAP-005</x:v>
      </x:c>
      <x:c r="K143" s="32" t="str">
        <x:v>Owner/Chef Gate</x:v>
      </x:c>
      <x:c r="L143" s="38"/>
      <x:c r="M143" s="38"/>
      <x:c r="N143" s="32" t="str">
        <x:v>2026-08-03</x:v>
      </x:c>
    </x:row>
    <x:row r="144">
      <x:c r="A144" s="32" t="str">
        <x:v>CQ-0139</x:v>
      </x:c>
      <x:c r="B144" s="32" t="str">
        <x:v>VKM-031</x:v>
      </x:c>
      <x:c r="C144" s="32" t="str">
        <x:v>Мадлен</x:v>
      </x:c>
      <x:c r="D144" s="32" t="str">
        <x:v>RECIPE</x:v>
      </x:c>
      <x:c r="E144" s="32" t="str">
        <x:v>Подтвердить или скорректировать построчный состав и проектные нормы брутто/нетто.</x:v>
      </x:c>
      <x:c r="F144" s="32" t="str">
        <x:v>OPEN</x:v>
      </x:c>
      <x:c r="G144" s="32" t="str">
        <x:v>Chef</x:v>
      </x:c>
      <x:c r="H144" s="32" t="str">
        <x:v>Себестоимость; пищценность; аллергены; закупка</x:v>
      </x:c>
      <x:c r="I144" s="32" t="str">
        <x:v>EVD-0007</x:v>
      </x:c>
      <x:c r="J144" s="32" t="str">
        <x:v>GAP-004</x:v>
      </x:c>
      <x:c r="K144" s="32" t="str">
        <x:v>Owner/Chef Gate</x:v>
      </x:c>
      <x:c r="L144" s="38"/>
      <x:c r="M144" s="38"/>
      <x:c r="N144" s="32" t="str">
        <x:v>2026-08-03</x:v>
      </x:c>
    </x:row>
    <x:row r="145">
      <x:c r="A145" s="32" t="str">
        <x:v>CQ-0140</x:v>
      </x:c>
      <x:c r="B145" s="32" t="str">
        <x:v>VKM-031</x:v>
      </x:c>
      <x:c r="C145" s="32" t="str">
        <x:v>Мадлен</x:v>
      </x:c>
      <x:c r="D145" s="32" t="str">
        <x:v>YIELD</x:v>
      </x:c>
      <x:c r="E145" s="32" t="str">
        <x:v>Подтвердить целевой выход и способ учёта подготовительных/тепловых потерь контрольным взвешиванием.</x:v>
      </x:c>
      <x:c r="F145" s="32" t="str">
        <x:v>OPEN</x:v>
      </x:c>
      <x:c r="G145" s="32" t="str">
        <x:v>Chef</x:v>
      </x:c>
      <x:c r="H145" s="32" t="str">
        <x:v>Mass balance; себестоимость; порционирование</x:v>
      </x:c>
      <x:c r="I145" s="32" t="str">
        <x:v>EVD-0005;EVD-0008</x:v>
      </x:c>
      <x:c r="J145" s="32" t="str">
        <x:v>GAP-002;GAP-005</x:v>
      </x:c>
      <x:c r="K145" s="32" t="str">
        <x:v>Owner/Chef Gate</x:v>
      </x:c>
      <x:c r="L145" s="38"/>
      <x:c r="M145" s="38"/>
      <x:c r="N145" s="32" t="str">
        <x:v>2026-08-03</x:v>
      </x:c>
    </x:row>
    <x:row r="146">
      <x:c r="A146" s="32" t="str">
        <x:v>CQ-0141</x:v>
      </x:c>
      <x:c r="B146" s="32" t="str">
        <x:v>VKM-031</x:v>
      </x:c>
      <x:c r="C146" s="32" t="str">
        <x:v>Мадлен</x:v>
      </x:c>
      <x:c r="D146" s="32" t="str">
        <x:v>PROCESS</x:v>
      </x:c>
      <x:c r="E146" s="32" t="str">
        <x:v>Подтвердить последовательность операций, фактическое активное/полное время и проект подачи.</x:v>
      </x:c>
      <x:c r="F146" s="32" t="str">
        <x:v>OPEN</x:v>
      </x:c>
      <x:c r="G146" s="32" t="str">
        <x:v>Chef</x:v>
      </x:c>
      <x:c r="H146" s="32" t="str">
        <x:v>Техкарта; оборудование; мощность; сервис</x:v>
      </x:c>
      <x:c r="I146" s="32" t="str">
        <x:v>EVD-0010;EVD-0011</x:v>
      </x:c>
      <x:c r="J146" s="32" t="str">
        <x:v>GAP-007;GAP-008</x:v>
      </x:c>
      <x:c r="K146" s="32" t="str">
        <x:v>Owner/Chef Gate</x:v>
      </x:c>
      <x:c r="L146" s="38"/>
      <x:c r="M146" s="38"/>
      <x:c r="N146" s="32" t="str">
        <x:v>2026-08-03</x:v>
      </x:c>
    </x:row>
    <x:row r="147">
      <x:c r="A147" s="32" t="str">
        <x:v>CQ-0142</x:v>
      </x:c>
      <x:c r="B147" s="32" t="str">
        <x:v>VKM-031</x:v>
      </x:c>
      <x:c r="C147" s="32" t="str">
        <x:v>Мадлен</x:v>
      </x:c>
      <x:c r="D147" s="32" t="str">
        <x:v>SEMI_FINISHED</x:v>
      </x:c>
      <x:c r="E147" s="32" t="str">
        <x:v>Подтвердить выделение, код и размер партии связанных полуфабрикатов; указать общие полуфабрикаты.</x:v>
      </x:c>
      <x:c r="F147" s="32" t="str">
        <x:v>OPEN</x:v>
      </x:c>
      <x:c r="G147" s="32" t="str">
        <x:v>Chef</x:v>
      </x:c>
      <x:c r="H147" s="32" t="str">
        <x:v>DAG; двойной учёт; себестоимость; планирование</x:v>
      </x:c>
      <x:c r="I147" s="32" t="str">
        <x:v>EVD-0009</x:v>
      </x:c>
      <x:c r="J147" s="32" t="str">
        <x:v>GAP-006</x:v>
      </x:c>
      <x:c r="K147" s="32" t="str">
        <x:v>Owner/Chef Gate</x:v>
      </x:c>
      <x:c r="L147" s="38"/>
      <x:c r="M147" s="38"/>
      <x:c r="N147" s="32" t="str">
        <x:v>2026-08-03</x:v>
      </x:c>
    </x:row>
    <x:row r="148">
      <x:c r="A148" s="32" t="str">
        <x:v>CQ-0143</x:v>
      </x:c>
      <x:c r="B148" s="32" t="str">
        <x:v>VKM-031</x:v>
      </x:c>
      <x:c r="C148" s="32" t="str">
        <x:v>Мадлен</x:v>
      </x:c>
      <x:c r="D148" s="32" t="str">
        <x:v>PROCESS_FLOW_FOR_SAFETY</x:v>
      </x:c>
      <x:c r="E148" s="32" t="str">
        <x: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x:v>
      </x:c>
      <x:c r="F148" s="32" t="str">
        <x:v>OPEN</x:v>
      </x:c>
      <x:c r="G148" s="32" t="str">
        <x:v>Chef</x:v>
      </x:c>
      <x:c r="H148" s="32" t="str">
        <x:v>Safety veto; ППК/HACCP; маркировка и прослеживаемость</x:v>
      </x:c>
      <x:c r="I148" s="32" t="str">
        <x:v>EVD-0013;EVD-0014;EVD-FS-001;EVD-FS-003</x:v>
      </x:c>
      <x:c r="J148" s="32" t="str">
        <x:v>GAP-010;GAP-011</x:v>
      </x:c>
      <x:c r="K148" s="32" t="str">
        <x:v>Owner/Chef Gate</x:v>
      </x:c>
      <x:c r="L148" s="38"/>
      <x:c r="M148" s="38"/>
      <x:c r="N148" s="32" t="str">
        <x:v>2026-08-03</x:v>
      </x:c>
    </x:row>
    <x:row r="149">
      <x:c r="A149" s="32" t="str">
        <x:v>CQ-0144</x:v>
      </x:c>
      <x:c r="B149" s="32" t="str">
        <x:v>VKM-031</x:v>
      </x:c>
      <x:c r="C149" s="32" t="str">
        <x:v>Мадлен</x:v>
      </x:c>
      <x:c r="D149" s="32" t="str">
        <x:v>BATCH</x:v>
      </x:c>
      <x:c r="E149" s="32" t="str">
        <x:v>Подтвердить размер партии, число изделий/порций, массу до и после стабилизации и правила допустимого отклонения.</x:v>
      </x:c>
      <x:c r="F149" s="32" t="str">
        <x:v>OPEN</x:v>
      </x:c>
      <x:c r="G149" s="32" t="str">
        <x:v>Chef</x:v>
      </x:c>
      <x:c r="H149" s="32" t="str">
        <x:v>Mass balance; порционирование; capacity</x:v>
      </x:c>
      <x:c r="I149" s="32" t="str">
        <x:v>EVD-0005;EVD-0008</x:v>
      </x:c>
      <x:c r="J149" s="32" t="str">
        <x:v>GAP-002;GAP-005</x:v>
      </x:c>
      <x:c r="K149" s="32" t="str">
        <x:v>Owner/Chef Gate</x:v>
      </x:c>
      <x:c r="L149" s="38"/>
      <x:c r="M149" s="38"/>
      <x:c r="N149" s="32" t="str">
        <x:v>2026-08-03</x:v>
      </x:c>
    </x:row>
  </x:sheetData>
  <x:mergeCells>
    <x:mergeCell ref="A1:N1"/>
    <x:mergeCell ref="A2:N2"/>
  </x:mergeCells>
  <x:dataValidations count="1">
    <x:dataValidation type="list" sqref="F6:F149">
      <x:formula1>"OPEN,ANSWERED,SUPERSEDED"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a4025a6c97454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5" hidden="0" customWidth="1"/>
    <x:col min="5" max="5" width="13" hidden="0" customWidth="1"/>
    <x:col min="6" max="6" width="18" hidden="0" customWidth="1"/>
    <x:col min="7" max="7" width="13" hidden="0" customWidth="1"/>
    <x:col min="8" max="8" width="18" hidden="0" customWidth="1"/>
    <x:col min="9" max="9" width="13" hidden="0" customWidth="1"/>
    <x:col min="10" max="10" width="25" hidden="0" customWidth="1"/>
    <x:col min="11" max="11" width="30" hidden="0" customWidth="1"/>
    <x:col min="12" max="12" width="38" hidden="0" customWidth="1"/>
  </x:cols>
  <x:sheetData>
    <x:row r="1" ht="30" customHeight="1">
      <x:c r="A1" s="26" t="str">
        <x:v>13 — Согласование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 ht="27" customHeight="1">
      <x:c r="A2" s="28" t="str">
        <x:v>Approval fields are intentionally blank. Safety veto prevents readiness upgrade without a new FoodSafety review.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 ht="34" customHeight="1">
      <x:c r="A5" s="31" t="str">
        <x:v>Dish ID</x:v>
      </x:c>
      <x:c r="B5" s="31" t="str">
        <x:v>Блюдо</x:v>
      </x:c>
      <x:c r="C5" s="31" t="str">
        <x:v>Recipe version</x:v>
      </x:c>
      <x:c r="D5" s="31" t="str">
        <x:v>Current status</x:v>
      </x:c>
      <x:c r="E5" s="31" t="str">
        <x:v>Safety veto</x:v>
      </x:c>
      <x:c r="F5" s="31" t="str">
        <x:v>Chef decision</x:v>
      </x:c>
      <x:c r="G5" s="31" t="str">
        <x:v>Chef date</x:v>
      </x:c>
      <x:c r="H5" s="31" t="str">
        <x:v>Owner decision</x:v>
      </x:c>
      <x:c r="I5" s="31" t="str">
        <x:v>Owner date</x:v>
      </x:c>
      <x:c r="J5" s="31" t="str">
        <x:v>Approval status</x:v>
      </x:c>
      <x:c r="K5" s="31" t="str">
        <x:v>Open conflicts</x:v>
      </x:c>
      <x:c r="L5" s="31" t="str">
        <x:v>Change control</x:v>
      </x:c>
    </x:row>
    <x:row r="6">
      <x:c r="A6" s="32" t="str">
        <x:v>VKM-001</x:v>
      </x:c>
      <x:c r="B6" s="32" t="str">
        <x:v>Маргарита</x:v>
      </x:c>
      <x:c r="C6" s="32" t="str">
        <x:v>0.1.0-DRAFT</x:v>
      </x:c>
      <x:c r="D6" s="32" t="str">
        <x:v>DRAFT_WITH_ASSUMPTIONS</x:v>
      </x:c>
      <x:c r="E6" s="32" t="str">
        <x:v>BLOCK</x:v>
      </x:c>
      <x:c r="F6" s="38"/>
      <x:c r="G6" s="38"/>
      <x:c r="H6" s="38"/>
      <x:c r="I6" s="38"/>
      <x:c r="J6" s="32" t="str">
        <x:v>PENDING_OWNER_CHEF_GATE</x:v>
      </x:c>
      <x:c r="K6" s="32" t="str">
        <x:v>INT-C-002;INT-C-004;INT-C-005;INT-C-006;INT-C-007;INT-C-008</x:v>
      </x:c>
      <x:c r="L6" s="32" t="str">
        <x:v>Change Request + new handoff required</x:v>
      </x:c>
    </x:row>
    <x:row r="7">
      <x:c r="A7" s="32" t="str">
        <x:v>VKM-002</x:v>
      </x:c>
      <x:c r="B7" s="32" t="str">
        <x:v>Четыре сыра</x:v>
      </x:c>
      <x:c r="C7" s="32" t="str">
        <x:v>0.1.0-DRAFT</x:v>
      </x:c>
      <x:c r="D7" s="32" t="str">
        <x:v>DRAFT_WITH_ASSUMPTIONS</x:v>
      </x:c>
      <x:c r="E7" s="32" t="str">
        <x:v>BLOCK</x:v>
      </x:c>
      <x:c r="F7" s="38"/>
      <x:c r="G7" s="38"/>
      <x:c r="H7" s="38"/>
      <x:c r="I7" s="38"/>
      <x:c r="J7" s="32" t="str">
        <x:v>PENDING_OWNER_CHEF_GATE</x:v>
      </x:c>
      <x:c r="K7" s="32" t="str">
        <x:v>INT-C-002;INT-C-004;INT-C-005;INT-C-006;INT-C-007;INT-C-008</x:v>
      </x:c>
      <x:c r="L7" s="32" t="str">
        <x:v>Change Request + new handoff required</x:v>
      </x:c>
    </x:row>
    <x:row r="8">
      <x:c r="A8" s="32" t="str">
        <x:v>VKM-003</x:v>
      </x:c>
      <x:c r="B8" s="32" t="str">
        <x:v>Грибная с ветчиной</x:v>
      </x:c>
      <x:c r="C8" s="32" t="str">
        <x:v>0.1.0-DRAFT</x:v>
      </x:c>
      <x:c r="D8" s="32" t="str">
        <x:v>DRAFT_WITH_ASSUMPTIONS</x:v>
      </x:c>
      <x:c r="E8" s="32" t="str">
        <x:v>BLOCK</x:v>
      </x:c>
      <x:c r="F8" s="38"/>
      <x:c r="G8" s="38"/>
      <x:c r="H8" s="38"/>
      <x:c r="I8" s="38"/>
      <x:c r="J8" s="32" t="str">
        <x:v>PENDING_OWNER_CHEF_GATE</x:v>
      </x:c>
      <x:c r="K8" s="32" t="str">
        <x:v>INT-C-002;INT-C-004;INT-C-005;INT-C-006;INT-C-007;INT-C-008</x:v>
      </x:c>
      <x:c r="L8" s="32" t="str">
        <x:v>Change Request + new handoff required</x:v>
      </x:c>
    </x:row>
    <x:row r="9">
      <x:c r="A9" s="32" t="str">
        <x:v>VKM-004</x:v>
      </x:c>
      <x:c r="B9" s="32" t="str">
        <x:v>Пепперони</x:v>
      </x:c>
      <x:c r="C9" s="32" t="str">
        <x:v>0.1.0-DRAFT</x:v>
      </x:c>
      <x:c r="D9" s="32" t="str">
        <x:v>DRAFT_WITH_ASSUMPTIONS</x:v>
      </x:c>
      <x:c r="E9" s="32" t="str">
        <x:v>BLOCK</x:v>
      </x:c>
      <x:c r="F9" s="38"/>
      <x:c r="G9" s="38"/>
      <x:c r="H9" s="38"/>
      <x:c r="I9" s="38"/>
      <x:c r="J9" s="32" t="str">
        <x:v>PENDING_OWNER_CHEF_GATE</x:v>
      </x:c>
      <x:c r="K9" s="32" t="str">
        <x:v>INT-C-002;INT-C-004;INT-C-005;INT-C-006;INT-C-007;INT-C-008</x:v>
      </x:c>
      <x:c r="L9" s="32" t="str">
        <x:v>Change Request + new handoff required</x:v>
      </x:c>
    </x:row>
    <x:row r="10">
      <x:c r="A10" s="32" t="str">
        <x:v>VKM-005</x:v>
      </x:c>
      <x:c r="B10" s="32" t="str">
        <x:v>Белая чиабатта</x:v>
      </x:c>
      <x:c r="C10" s="32" t="str">
        <x:v>0.1.0-DRAFT</x:v>
      </x:c>
      <x:c r="D10" s="32" t="str">
        <x:v>DRAFT_WITH_ASSUMPTIONS</x:v>
      </x:c>
      <x:c r="E10" s="32" t="str">
        <x:v>BLOCK</x:v>
      </x:c>
      <x:c r="F10" s="38"/>
      <x:c r="G10" s="38"/>
      <x:c r="H10" s="38"/>
      <x:c r="I10" s="38"/>
      <x:c r="J10" s="32" t="str">
        <x:v>PENDING_OWNER_CHEF_GATE</x:v>
      </x:c>
      <x:c r="K10" s="32" t="str">
        <x:v>INT-C-002;INT-C-004;INT-C-005;INT-C-006;INT-C-007;INT-C-003</x:v>
      </x:c>
      <x:c r="L10" s="32" t="str">
        <x:v>Change Request + new handoff required</x:v>
      </x:c>
    </x:row>
    <x:row r="11">
      <x:c r="A11" s="32" t="str">
        <x:v>VKM-006</x:v>
      </x:c>
      <x:c r="B11" s="32" t="str">
        <x:v>Томатная чиабатта</x:v>
      </x:c>
      <x:c r="C11" s="32" t="str">
        <x:v>0.1.0-DRAFT</x:v>
      </x:c>
      <x:c r="D11" s="32" t="str">
        <x:v>DRAFT_WITH_ASSUMPTIONS</x:v>
      </x:c>
      <x:c r="E11" s="32" t="str">
        <x:v>BLOCK</x:v>
      </x:c>
      <x:c r="F11" s="38"/>
      <x:c r="G11" s="38"/>
      <x:c r="H11" s="38"/>
      <x:c r="I11" s="38"/>
      <x:c r="J11" s="32" t="str">
        <x:v>PENDING_OWNER_CHEF_GATE</x:v>
      </x:c>
      <x:c r="K11" s="32" t="str">
        <x:v>INT-C-002;INT-C-004;INT-C-005;INT-C-006;INT-C-007;INT-C-003</x:v>
      </x:c>
      <x:c r="L11" s="32" t="str">
        <x:v>Change Request + new handoff required</x:v>
      </x:c>
    </x:row>
    <x:row r="12">
      <x:c r="A12" s="32" t="str">
        <x:v>VKM-007</x:v>
      </x:c>
      <x:c r="B12" s="32" t="str">
        <x:v>Бородинский хлеб</x:v>
      </x:c>
      <x:c r="C12" s="32" t="str">
        <x:v>0.1.0-DRAFT</x:v>
      </x:c>
      <x:c r="D12" s="32" t="str">
        <x:v>DRAFT_WITH_ASSUMPTIONS</x:v>
      </x:c>
      <x:c r="E12" s="32" t="str">
        <x:v>BLOCK</x:v>
      </x:c>
      <x:c r="F12" s="38"/>
      <x:c r="G12" s="38"/>
      <x:c r="H12" s="38"/>
      <x:c r="I12" s="38"/>
      <x:c r="J12" s="32" t="str">
        <x:v>PENDING_OWNER_CHEF_GATE</x:v>
      </x:c>
      <x:c r="K12" s="32" t="str">
        <x:v>INT-C-002;INT-C-004;INT-C-005;INT-C-006;INT-C-007;INT-C-003</x:v>
      </x:c>
      <x:c r="L12" s="32" t="str">
        <x:v>Change Request + new handoff required</x:v>
      </x:c>
    </x:row>
    <x:row r="13">
      <x:c r="A13" s="32" t="str">
        <x:v>VKM-008</x:v>
      </x:c>
      <x:c r="B13" s="32" t="str">
        <x:v>Бриошь</x:v>
      </x:c>
      <x:c r="C13" s="32" t="str">
        <x:v>0.1.0-DRAFT</x:v>
      </x:c>
      <x:c r="D13" s="32" t="str">
        <x:v>DRAFT_WITH_ASSUMPTIONS</x:v>
      </x:c>
      <x:c r="E13" s="32" t="str">
        <x:v>BLOCK</x:v>
      </x:c>
      <x:c r="F13" s="38"/>
      <x:c r="G13" s="38"/>
      <x:c r="H13" s="38"/>
      <x:c r="I13" s="38"/>
      <x:c r="J13" s="32" t="str">
        <x:v>PENDING_OWNER_CHEF_GATE</x:v>
      </x:c>
      <x:c r="K13" s="32" t="str">
        <x:v>INT-C-002;INT-C-004;INT-C-005;INT-C-006;INT-C-007;INT-C-003</x:v>
      </x:c>
      <x:c r="L13" s="32" t="str">
        <x:v>Change Request + new handoff required</x:v>
      </x:c>
    </x:row>
    <x:row r="14">
      <x:c r="A14" s="32" t="str">
        <x:v>VKM-009</x:v>
      </x:c>
      <x:c r="B14" s="32" t="str">
        <x:v>Буррата с томатами</x:v>
      </x:c>
      <x:c r="C14" s="32" t="str">
        <x:v>0.1.0-DRAFT</x:v>
      </x:c>
      <x:c r="D14" s="32" t="str">
        <x:v>DRAFT_WITH_ASSUMPTIONS</x:v>
      </x:c>
      <x:c r="E14" s="32" t="str">
        <x:v>BLOCK</x:v>
      </x:c>
      <x:c r="F14" s="38"/>
      <x:c r="G14" s="38"/>
      <x:c r="H14" s="38"/>
      <x:c r="I14" s="38"/>
      <x:c r="J14" s="32" t="str">
        <x:v>PENDING_OWNER_CHEF_GATE</x:v>
      </x:c>
      <x:c r="K14" s="32" t="str">
        <x:v>INT-C-002;INT-C-004;INT-C-005;INT-C-006;INT-C-007</x:v>
      </x:c>
      <x:c r="L14" s="32" t="str">
        <x:v>Change Request + new handoff required</x:v>
      </x:c>
    </x:row>
    <x:row r="15">
      <x:c r="A15" s="32" t="str">
        <x:v>VKM-010</x:v>
      </x:c>
      <x:c r="B15" s="32" t="str">
        <x:v>Микс-салат с креветками и яблоком</x:v>
      </x:c>
      <x:c r="C15" s="32" t="str">
        <x:v>0.1.0-DRAFT</x:v>
      </x:c>
      <x:c r="D15" s="32" t="str">
        <x:v>DRAFT_WITH_ASSUMPTIONS</x:v>
      </x:c>
      <x:c r="E15" s="32" t="str">
        <x:v>BLOCK</x:v>
      </x:c>
      <x:c r="F15" s="38"/>
      <x:c r="G15" s="38"/>
      <x:c r="H15" s="38"/>
      <x:c r="I15" s="38"/>
      <x:c r="J15" s="32" t="str">
        <x:v>PENDING_OWNER_CHEF_GATE</x:v>
      </x:c>
      <x:c r="K15" s="32" t="str">
        <x:v>INT-C-002;INT-C-004;INT-C-005;INT-C-006;INT-C-007</x:v>
      </x:c>
      <x:c r="L15" s="32" t="str">
        <x:v>Change Request + new handoff required</x:v>
      </x:c>
    </x:row>
    <x:row r="16">
      <x:c r="A16" s="32" t="str">
        <x:v>VKM-011</x:v>
      </x:c>
      <x:c r="B16" s="32" t="str">
        <x:v>Греческий</x:v>
      </x:c>
      <x:c r="C16" s="32" t="str">
        <x:v>0.1.0-DRAFT</x:v>
      </x:c>
      <x:c r="D16" s="32" t="str">
        <x:v>DRAFT_WITH_ASSUMPTIONS</x:v>
      </x:c>
      <x:c r="E16" s="32" t="str">
        <x:v>BLOCK</x:v>
      </x:c>
      <x:c r="F16" s="38"/>
      <x:c r="G16" s="38"/>
      <x:c r="H16" s="38"/>
      <x:c r="I16" s="38"/>
      <x:c r="J16" s="32" t="str">
        <x:v>PENDING_OWNER_CHEF_GATE</x:v>
      </x:c>
      <x:c r="K16" s="32" t="str">
        <x:v>INT-C-002;INT-C-004;INT-C-005;INT-C-006;INT-C-007</x:v>
      </x:c>
      <x:c r="L16" s="32" t="str">
        <x:v>Change Request + new handoff required</x:v>
      </x:c>
    </x:row>
    <x:row r="17">
      <x:c r="A17" s="32" t="str">
        <x:v>VKM-012</x:v>
      </x:c>
      <x:c r="B17" s="32" t="str">
        <x:v>Винегрет</x:v>
      </x:c>
      <x:c r="C17" s="32" t="str">
        <x:v>0.1.0-DRAFT</x:v>
      </x:c>
      <x:c r="D17" s="32" t="str">
        <x:v>DRAFT_WITH_ASSUMPTIONS</x:v>
      </x:c>
      <x:c r="E17" s="32" t="str">
        <x:v>BLOCK</x:v>
      </x:c>
      <x:c r="F17" s="38"/>
      <x:c r="G17" s="38"/>
      <x:c r="H17" s="38"/>
      <x:c r="I17" s="38"/>
      <x:c r="J17" s="32" t="str">
        <x:v>PENDING_OWNER_CHEF_GATE</x:v>
      </x:c>
      <x:c r="K17" s="32" t="str">
        <x:v>INT-C-002;INT-C-004;INT-C-005;INT-C-006;INT-C-007</x:v>
      </x:c>
      <x:c r="L17" s="32" t="str">
        <x:v>Change Request + new handoff required</x:v>
      </x:c>
    </x:row>
    <x:row r="18">
      <x:c r="A18" s="32" t="str">
        <x:v>VKM-013</x:v>
      </x:c>
      <x:c r="B18" s="32" t="str">
        <x:v>Слабосолёный лосось</x:v>
      </x:c>
      <x:c r="C18" s="32" t="str">
        <x:v>0.1.0-DRAFT</x:v>
      </x:c>
      <x:c r="D18" s="32" t="str">
        <x:v>DRAFT_WITH_ASSUMPTIONS</x:v>
      </x:c>
      <x:c r="E18" s="32" t="str">
        <x:v>BLOCK</x:v>
      </x:c>
      <x:c r="F18" s="38"/>
      <x:c r="G18" s="38"/>
      <x:c r="H18" s="38"/>
      <x:c r="I18" s="38"/>
      <x:c r="J18" s="32" t="str">
        <x:v>PENDING_OWNER_CHEF_GATE</x:v>
      </x:c>
      <x:c r="K18" s="32" t="str">
        <x:v>INT-C-002;INT-C-004;INT-C-005;INT-C-006;INT-C-007;INT-C-008</x:v>
      </x:c>
      <x:c r="L18" s="32" t="str">
        <x:v>Change Request + new handoff required</x:v>
      </x:c>
    </x:row>
    <x:row r="19">
      <x:c r="A19" s="32" t="str">
        <x:v>VKM-014</x:v>
      </x:c>
      <x:c r="B19" s="32" t="str">
        <x:v>Сельдь с запечённым картофелем</x:v>
      </x:c>
      <x:c r="C19" s="32" t="str">
        <x:v>0.1.0-DRAFT</x:v>
      </x:c>
      <x:c r="D19" s="32" t="str">
        <x:v>DRAFT_WITH_ASSUMPTIONS</x:v>
      </x:c>
      <x:c r="E19" s="32" t="str">
        <x:v>BLOCK</x:v>
      </x:c>
      <x:c r="F19" s="38"/>
      <x:c r="G19" s="38"/>
      <x:c r="H19" s="38"/>
      <x:c r="I19" s="38"/>
      <x:c r="J19" s="32" t="str">
        <x:v>PENDING_OWNER_CHEF_GATE</x:v>
      </x:c>
      <x:c r="K19" s="32" t="str">
        <x:v>INT-C-002;INT-C-004;INT-C-005;INT-C-006;INT-C-007</x:v>
      </x:c>
      <x:c r="L19" s="32" t="str">
        <x:v>Change Request + new handoff required</x:v>
      </x:c>
    </x:row>
    <x:row r="20">
      <x:c r="A20" s="32" t="str">
        <x:v>VKM-015</x:v>
      </x:c>
      <x:c r="B20" s="32" t="str">
        <x:v>Оливки и маслины</x:v>
      </x:c>
      <x:c r="C20" s="32" t="str">
        <x:v>0.1.0-DRAFT</x:v>
      </x:c>
      <x:c r="D20" s="32" t="str">
        <x:v>DRAFT_WITH_ASSUMPTIONS</x:v>
      </x:c>
      <x:c r="E20" s="32" t="str">
        <x:v>BLOCK</x:v>
      </x:c>
      <x:c r="F20" s="38"/>
      <x:c r="G20" s="38"/>
      <x:c r="H20" s="38"/>
      <x:c r="I20" s="38"/>
      <x:c r="J20" s="32" t="str">
        <x:v>PENDING_OWNER_CHEF_GATE</x:v>
      </x:c>
      <x:c r="K20" s="32" t="str">
        <x:v>INT-C-002;INT-C-004;INT-C-005;INT-C-006;INT-C-007</x:v>
      </x:c>
      <x:c r="L20" s="32" t="str">
        <x:v>Change Request + new handoff required</x:v>
      </x:c>
    </x:row>
    <x:row r="21">
      <x:c r="A21" s="32" t="str">
        <x:v>VKM-016</x:v>
      </x:c>
      <x:c r="B21" s="32" t="str">
        <x:v>Ассорти фирменных солений</x:v>
      </x:c>
      <x:c r="C21" s="32" t="str">
        <x:v>0.1.0-DRAFT</x:v>
      </x:c>
      <x:c r="D21" s="32" t="str">
        <x:v>DRAFT_WITH_ASSUMPTIONS</x:v>
      </x:c>
      <x:c r="E21" s="32" t="str">
        <x:v>BLOCK</x:v>
      </x:c>
      <x:c r="F21" s="38"/>
      <x:c r="G21" s="38"/>
      <x:c r="H21" s="38"/>
      <x:c r="I21" s="38"/>
      <x:c r="J21" s="32" t="str">
        <x:v>PENDING_OWNER_CHEF_GATE</x:v>
      </x:c>
      <x:c r="K21" s="32" t="str">
        <x:v>INT-C-002;INT-C-004;INT-C-005;INT-C-006;INT-C-007;INT-C-008</x:v>
      </x:c>
      <x:c r="L21" s="32" t="str">
        <x:v>Change Request + new handoff required</x:v>
      </x:c>
    </x:row>
    <x:row r="22">
      <x:c r="A22" s="32" t="str">
        <x:v>VKM-017</x:v>
      </x:c>
      <x:c r="B22" s="32" t="str">
        <x:v>Ростбиф с луком и гренкой</x:v>
      </x:c>
      <x:c r="C22" s="32" t="str">
        <x:v>0.1.0-DRAFT</x:v>
      </x:c>
      <x:c r="D22" s="32" t="str">
        <x:v>DRAFT_WITH_ASSUMPTIONS</x:v>
      </x:c>
      <x:c r="E22" s="32" t="str">
        <x:v>BLOCK</x:v>
      </x:c>
      <x:c r="F22" s="38"/>
      <x:c r="G22" s="38"/>
      <x:c r="H22" s="38"/>
      <x:c r="I22" s="38"/>
      <x:c r="J22" s="32" t="str">
        <x:v>PENDING_OWNER_CHEF_GATE</x:v>
      </x:c>
      <x:c r="K22" s="32" t="str">
        <x:v>INT-C-002;INT-C-004;INT-C-005;INT-C-006;INT-C-007</x:v>
      </x:c>
      <x:c r="L22" s="32" t="str">
        <x:v>Change Request + new handoff required</x:v>
      </x:c>
    </x:row>
    <x:row r="23">
      <x:c r="A23" s="32" t="str">
        <x:v>VKM-018</x:v>
      </x:c>
      <x:c r="B23" s="32" t="str">
        <x:v>Традиционный красный борщ</x:v>
      </x:c>
      <x:c r="C23" s="32" t="str">
        <x:v>0.1.0-DRAFT</x:v>
      </x:c>
      <x:c r="D23" s="32" t="str">
        <x:v>DRAFT_WITH_ASSUMPTIONS</x:v>
      </x:c>
      <x:c r="E23" s="32" t="str">
        <x:v>BLOCK</x:v>
      </x:c>
      <x:c r="F23" s="38"/>
      <x:c r="G23" s="38"/>
      <x:c r="H23" s="38"/>
      <x:c r="I23" s="38"/>
      <x:c r="J23" s="32" t="str">
        <x:v>PENDING_OWNER_CHEF_GATE</x:v>
      </x:c>
      <x:c r="K23" s="32" t="str">
        <x:v>INT-C-002;INT-C-004;INT-C-005;INT-C-006;INT-C-007;INT-C-008</x:v>
      </x:c>
      <x:c r="L23" s="32" t="str">
        <x:v>Change Request + new handoff required</x:v>
      </x:c>
    </x:row>
    <x:row r="24">
      <x:c r="A24" s="32" t="str">
        <x:v>VKM-019</x:v>
      </x:c>
      <x:c r="B24" s="32" t="str">
        <x:v>Мурманская треска со сливочно-горчичным соусом</x:v>
      </x:c>
      <x:c r="C24" s="32" t="str">
        <x:v>0.1.0-DRAFT</x:v>
      </x:c>
      <x:c r="D24" s="32" t="str">
        <x:v>DRAFT_WITH_ASSUMPTIONS</x:v>
      </x:c>
      <x:c r="E24" s="32" t="str">
        <x:v>BLOCK</x:v>
      </x:c>
      <x:c r="F24" s="38"/>
      <x:c r="G24" s="38"/>
      <x:c r="H24" s="38"/>
      <x:c r="I24" s="38"/>
      <x:c r="J24" s="32" t="str">
        <x:v>PENDING_OWNER_CHEF_GATE</x:v>
      </x:c>
      <x:c r="K24" s="32" t="str">
        <x:v>INT-C-002;INT-C-004;INT-C-005;INT-C-006;INT-C-007</x:v>
      </x:c>
      <x:c r="L24" s="32" t="str">
        <x:v>Change Request + new handoff required</x:v>
      </x:c>
    </x:row>
    <x:row r="25">
      <x:c r="A25" s="32" t="str">
        <x:v>VKM-020</x:v>
      </x:c>
      <x:c r="B25" s="32" t="str">
        <x:v>Креветки по-тайски</x:v>
      </x:c>
      <x:c r="C25" s="32" t="str">
        <x:v>0.1.0-DRAFT</x:v>
      </x:c>
      <x:c r="D25" s="32" t="str">
        <x:v>DRAFT_WITH_ASSUMPTIONS</x:v>
      </x:c>
      <x:c r="E25" s="32" t="str">
        <x:v>BLOCK</x:v>
      </x:c>
      <x:c r="F25" s="38"/>
      <x:c r="G25" s="38"/>
      <x:c r="H25" s="38"/>
      <x:c r="I25" s="38"/>
      <x:c r="J25" s="32" t="str">
        <x:v>PENDING_OWNER_CHEF_GATE</x:v>
      </x:c>
      <x:c r="K25" s="32" t="str">
        <x:v>INT-C-002;INT-C-004;INT-C-005;INT-C-006;INT-C-007;INT-C-008</x:v>
      </x:c>
      <x:c r="L25" s="32" t="str">
        <x:v>Change Request + new handoff required</x:v>
      </x:c>
    </x:row>
    <x:row r="26">
      <x:c r="A26" s="32" t="str">
        <x:v>VKM-021</x:v>
      </x:c>
      <x:c r="B26" s="32" t="str">
        <x:v>Бургер VARSHAVKA</x:v>
      </x:c>
      <x:c r="C26" s="32" t="str">
        <x:v>0.1.0-DRAFT</x:v>
      </x:c>
      <x:c r="D26" s="32" t="str">
        <x:v>DRAFT_WITH_ASSUMPTIONS</x:v>
      </x:c>
      <x:c r="E26" s="32" t="str">
        <x:v>BLOCK</x:v>
      </x:c>
      <x:c r="F26" s="38"/>
      <x:c r="G26" s="38"/>
      <x:c r="H26" s="38"/>
      <x:c r="I26" s="38"/>
      <x:c r="J26" s="32" t="str">
        <x:v>PENDING_OWNER_CHEF_GATE</x:v>
      </x:c>
      <x:c r="K26" s="32" t="str">
        <x:v>INT-C-002;INT-C-004;INT-C-005;INT-C-006;INT-C-007</x:v>
      </x:c>
      <x:c r="L26" s="32" t="str">
        <x:v>Change Request + new handoff required</x:v>
      </x:c>
    </x:row>
    <x:row r="27">
      <x:c r="A27" s="32" t="str">
        <x:v>VKM-022</x:v>
      </x:c>
      <x:c r="B27" s="32" t="str">
        <x:v>Миньоны из говяжьей вырезки</x:v>
      </x:c>
      <x:c r="C27" s="32" t="str">
        <x:v>0.1.0-DRAFT</x:v>
      </x:c>
      <x:c r="D27" s="32" t="str">
        <x:v>DRAFT_WITH_ASSUMPTIONS</x:v>
      </x:c>
      <x:c r="E27" s="32" t="str">
        <x:v>BLOCK</x:v>
      </x:c>
      <x:c r="F27" s="38"/>
      <x:c r="G27" s="38"/>
      <x:c r="H27" s="38"/>
      <x:c r="I27" s="38"/>
      <x:c r="J27" s="32" t="str">
        <x:v>PENDING_OWNER_CHEF_GATE</x:v>
      </x:c>
      <x:c r="K27" s="32" t="str">
        <x:v>INT-C-002;INT-C-004;INT-C-005;INT-C-006;INT-C-007;INT-C-008</x:v>
      </x:c>
      <x:c r="L27" s="32" t="str">
        <x:v>Change Request + new handoff required</x:v>
      </x:c>
    </x:row>
    <x:row r="28">
      <x:c r="A28" s="32" t="str">
        <x:v>VKM-023</x:v>
      </x:c>
      <x:c r="B28" s="32" t="str">
        <x:v>Запечённый картофель</x:v>
      </x:c>
      <x:c r="C28" s="32" t="str">
        <x:v>0.1.0-DRAFT</x:v>
      </x:c>
      <x:c r="D28" s="32" t="str">
        <x:v>DRAFT_WITH_ASSUMPTIONS</x:v>
      </x:c>
      <x:c r="E28" s="32" t="str">
        <x:v>BLOCK</x:v>
      </x:c>
      <x:c r="F28" s="38"/>
      <x:c r="G28" s="38"/>
      <x:c r="H28" s="38"/>
      <x:c r="I28" s="38"/>
      <x:c r="J28" s="32" t="str">
        <x:v>PENDING_OWNER_CHEF_GATE</x:v>
      </x:c>
      <x:c r="K28" s="32" t="str">
        <x:v>INT-C-002;INT-C-004;INT-C-005;INT-C-006;INT-C-007</x:v>
      </x:c>
      <x:c r="L28" s="32" t="str">
        <x:v>Change Request + new handoff required</x:v>
      </x:c>
    </x:row>
    <x:row r="29">
      <x:c r="A29" s="32" t="str">
        <x:v>VKM-024</x:v>
      </x:c>
      <x:c r="B29" s="32" t="str">
        <x:v>Рис жасмин</x:v>
      </x:c>
      <x:c r="C29" s="32" t="str">
        <x:v>0.1.0-DRAFT</x:v>
      </x:c>
      <x:c r="D29" s="32" t="str">
        <x:v>DRAFT_WITH_ASSUMPTIONS</x:v>
      </x:c>
      <x:c r="E29" s="32" t="str">
        <x:v>BLOCK</x:v>
      </x:c>
      <x:c r="F29" s="38"/>
      <x:c r="G29" s="38"/>
      <x:c r="H29" s="38"/>
      <x:c r="I29" s="38"/>
      <x:c r="J29" s="32" t="str">
        <x:v>PENDING_OWNER_CHEF_GATE</x:v>
      </x:c>
      <x:c r="K29" s="32" t="str">
        <x:v>INT-C-002;INT-C-004;INT-C-005;INT-C-006;INT-C-007</x:v>
      </x:c>
      <x:c r="L29" s="32" t="str">
        <x:v>Change Request + new handoff required</x:v>
      </x:c>
    </x:row>
    <x:row r="30">
      <x:c r="A30" s="32" t="str">
        <x:v>VKM-025</x:v>
      </x:c>
      <x:c r="B30" s="32" t="str">
        <x:v>Горячие овощи</x:v>
      </x:c>
      <x:c r="C30" s="32" t="str">
        <x:v>0.1.0-DRAFT</x:v>
      </x:c>
      <x:c r="D30" s="32" t="str">
        <x:v>DRAFT_WITH_ASSUMPTIONS</x:v>
      </x:c>
      <x:c r="E30" s="32" t="str">
        <x:v>BLOCK</x:v>
      </x:c>
      <x:c r="F30" s="38"/>
      <x:c r="G30" s="38"/>
      <x:c r="H30" s="38"/>
      <x:c r="I30" s="38"/>
      <x:c r="J30" s="32" t="str">
        <x:v>PENDING_OWNER_CHEF_GATE</x:v>
      </x:c>
      <x:c r="K30" s="32" t="str">
        <x:v>INT-C-002;INT-C-004;INT-C-005;INT-C-006;INT-C-007</x:v>
      </x:c>
      <x:c r="L30" s="32" t="str">
        <x:v>Change Request + new handoff required</x:v>
      </x:c>
    </x:row>
    <x:row r="31">
      <x:c r="A31" s="32" t="str">
        <x:v>VKM-029</x:v>
      </x:c>
      <x:c r="B31" s="32" t="str">
        <x:v>Черничный торт VARSHAVKA</x:v>
      </x:c>
      <x:c r="C31" s="32" t="str">
        <x:v>0.1.0-DRAFT</x:v>
      </x:c>
      <x:c r="D31" s="32" t="str">
        <x:v>DRAFT_WITH_ASSUMPTIONS</x:v>
      </x:c>
      <x:c r="E31" s="32" t="str">
        <x:v>BLOCK</x:v>
      </x:c>
      <x:c r="F31" s="38"/>
      <x:c r="G31" s="38"/>
      <x:c r="H31" s="38"/>
      <x:c r="I31" s="38"/>
      <x:c r="J31" s="32" t="str">
        <x:v>PENDING_OWNER_CHEF_GATE</x:v>
      </x:c>
      <x:c r="K31" s="32" t="str">
        <x:v>INT-C-002;INT-C-004;INT-C-005;INT-C-006;INT-C-007;INT-C-008</x:v>
      </x:c>
      <x:c r="L31" s="32" t="str">
        <x:v>Change Request + new handoff required</x:v>
      </x:c>
    </x:row>
    <x:row r="32">
      <x:c r="A32" s="32" t="str">
        <x:v>VKM-030</x:v>
      </x:c>
      <x:c r="B32" s="32" t="str">
        <x:v>Кростата с солёной карамелью</x:v>
      </x:c>
      <x:c r="C32" s="32" t="str">
        <x:v>0.1.0-DRAFT</x:v>
      </x:c>
      <x:c r="D32" s="32" t="str">
        <x:v>DRAFT_WITH_ASSUMPTIONS</x:v>
      </x:c>
      <x:c r="E32" s="32" t="str">
        <x:v>BLOCK</x:v>
      </x:c>
      <x:c r="F32" s="38"/>
      <x:c r="G32" s="38"/>
      <x:c r="H32" s="38"/>
      <x:c r="I32" s="38"/>
      <x:c r="J32" s="32" t="str">
        <x:v>PENDING_OWNER_CHEF_GATE</x:v>
      </x:c>
      <x:c r="K32" s="32" t="str">
        <x:v>INT-C-002;INT-C-004;INT-C-005;INT-C-006;INT-C-007</x:v>
      </x:c>
      <x:c r="L32" s="32" t="str">
        <x:v>Change Request + new handoff required</x:v>
      </x:c>
    </x:row>
    <x:row r="33">
      <x:c r="A33" s="32" t="str">
        <x:v>VKM-031</x:v>
      </x:c>
      <x:c r="B33" s="32" t="str">
        <x:v>Мадлен</x:v>
      </x:c>
      <x:c r="C33" s="32" t="str">
        <x:v>0.1.0-DRAFT</x:v>
      </x:c>
      <x:c r="D33" s="32" t="str">
        <x:v>DRAFT_WITH_ASSUMPTIONS</x:v>
      </x:c>
      <x:c r="E33" s="32" t="str">
        <x:v>BLOCK</x:v>
      </x:c>
      <x:c r="F33" s="38"/>
      <x:c r="G33" s="38"/>
      <x:c r="H33" s="38"/>
      <x:c r="I33" s="38"/>
      <x:c r="J33" s="32" t="str">
        <x:v>PENDING_OWNER_CHEF_GATE</x:v>
      </x:c>
      <x:c r="K33" s="32" t="str">
        <x:v>INT-C-002;INT-C-004;INT-C-005;INT-C-006;INT-C-007</x:v>
      </x:c>
      <x:c r="L33" s="32" t="str">
        <x:v>Change Request + new handoff required</x:v>
      </x:c>
    </x:row>
  </x:sheetData>
  <x:mergeCells>
    <x:mergeCell ref="A1:L1"/>
    <x:mergeCell ref="A2:L2"/>
  </x:mergeCells>
  <x:conditionalFormatting sqref="D6:E33">
    <x:cfRule type="containsText" dxfId="24" priority="1" operator="containsText" text="BLOCK"/>
    <x:cfRule type="containsText" dxfId="25" priority="2" operator="containsText" text="PASS"/>
  </x:conditionalFormatting>
  <x:dataValidations count="2">
    <x:dataValidation type="list" sqref="F6:F33">
      <x:formula1>"ACCEPTED,REJECTED,ACCEPTED_WITH_CONDITIONS"</x:formula1>
    </x:dataValidation>
    <x:dataValidation type="list" sqref="H6:H33">
      <x:formula1>"ACCEPTED,REJECTED,ACCEPTED_WITH_CONDITIONS"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c7198ba85f41f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7" hidden="0" customWidth="1"/>
    <x:col min="4" max="4" width="18" hidden="0" customWidth="1"/>
    <x:col min="5" max="5" width="12" hidden="0" customWidth="1"/>
    <x:col min="6" max="6" width="18" hidden="0" customWidth="1"/>
    <x:col min="7" max="7" width="12" hidden="0" customWidth="1"/>
    <x:col min="8" max="8" width="9" hidden="0" customWidth="1"/>
    <x:col min="9" max="9" width="18" hidden="0" customWidth="1"/>
    <x:col min="10" max="10" width="13" hidden="0" customWidth="1"/>
    <x:col min="11" max="11" width="13" hidden="0" customWidth="1"/>
    <x:col min="12" max="12" width="14" hidden="0" customWidth="1"/>
    <x:col min="13" max="13" width="16" hidden="0" customWidth="1"/>
    <x:col min="14" max="14" width="18" hidden="0" customWidth="1"/>
    <x:col min="15" max="15" width="30" hidden="0" customWidth="1"/>
    <x:col min="16" max="16" width="45" hidden="0" customWidth="1"/>
  </x:cols>
  <x:sheetData>
    <x:row r="1" ht="30" customHeight="1">
      <x:c r="A1" s="26" t="str">
        <x:v>14 — Контрольные проработки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</x:row>
    <x:row r="2" ht="27" customHeight="1">
      <x:c r="A2" s="28" t="str">
        <x:v>Plan rows = 28; actual measurements and decisions remain blank until execution.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 ht="34" customHeight="1">
      <x:c r="A5" s="31" t="str">
        <x:v>Plan ID</x:v>
      </x:c>
      <x:c r="B5" s="31" t="str">
        <x:v>Dish ID</x:v>
      </x:c>
      <x:c r="C5" s="31" t="str">
        <x:v>Блюдо</x:v>
      </x:c>
      <x:c r="D5" s="31" t="str">
        <x:v>Recipe version</x:v>
      </x:c>
      <x:c r="E5" s="31" t="str">
        <x:v>Draft batch</x:v>
      </x:c>
      <x:c r="F5" s="31" t="str">
        <x:v>Unit</x:v>
      </x:c>
      <x:c r="G5" s="31" t="str">
        <x:v>Draft output</x:v>
      </x:c>
      <x:c r="H5" s="31" t="str">
        <x:v>Out unit</x:v>
      </x:c>
      <x:c r="I5" s="31" t="str">
        <x:v>Execution</x:v>
      </x:c>
      <x:c r="J5" s="31" t="str">
        <x:v>Actual gross</x:v>
      </x:c>
      <x:c r="K5" s="31" t="str">
        <x:v>Actual net</x:v>
      </x:c>
      <x:c r="L5" s="31" t="str">
        <x:v>Actual output</x:v>
      </x:c>
      <x:c r="M5" s="31" t="str">
        <x:v>Actual active min</x:v>
      </x:c>
      <x:c r="N5" s="31" t="str">
        <x:v>Decision</x:v>
      </x:c>
      <x:c r="O5" s="31" t="str">
        <x:v>Blockers</x:v>
      </x:c>
      <x:c r="P5" s="31" t="str">
        <x:v>Next action</x:v>
      </x:c>
    </x:row>
    <x:row r="6">
      <x:c r="A6" s="32" t="str">
        <x:v>CCP-001</x:v>
      </x:c>
      <x:c r="B6" s="32" t="str">
        <x:v>VKM-001</x:v>
      </x:c>
      <x:c r="C6" s="32" t="str">
        <x:v>Маргарита</x:v>
      </x:c>
      <x:c r="D6" s="32" t="str">
        <x:v>0.1.0-DRAFT</x:v>
      </x:c>
      <x:c r="E6" s="32" t="n">
        <x:v>3</x:v>
      </x:c>
      <x:c r="F6" s="32" t="str">
        <x:v>порция/изделие</x:v>
      </x:c>
      <x:c r="G6" s="32" t="n">
        <x:v>450</x:v>
      </x:c>
      <x:c r="H6" s="32" t="str">
        <x:v>г</x:v>
      </x:c>
      <x:c r="I6" s="32" t="str">
        <x:v>НЕ ПРОВЕДЕНО</x:v>
      </x:c>
      <x:c r="J6" s="38"/>
      <x:c r="K6" s="38"/>
      <x:c r="L6" s="38"/>
      <x:c r="M6" s="38"/>
      <x:c r="N6" s="38"/>
      <x:c r="O6" s="32" t="str">
        <x:v>GAP-002;GAP-005;GAP-008;GAP-025</x:v>
      </x:c>
      <x:c r="P6" s="32" t="str">
        <x:v>Контрольная проработка; Change Request при отклонении от v0.1.0-DRAFT</x:v>
      </x:c>
    </x:row>
    <x:row r="7">
      <x:c r="A7" s="32" t="str">
        <x:v>CCP-002</x:v>
      </x:c>
      <x:c r="B7" s="32" t="str">
        <x:v>VKM-002</x:v>
      </x:c>
      <x:c r="C7" s="32" t="str">
        <x:v>Четыре сыра</x:v>
      </x:c>
      <x:c r="D7" s="32" t="str">
        <x:v>0.1.0-DRAFT</x:v>
      </x:c>
      <x:c r="E7" s="32" t="n">
        <x:v>3</x:v>
      </x:c>
      <x:c r="F7" s="32" t="str">
        <x:v>порция/изделие</x:v>
      </x:c>
      <x:c r="G7" s="32" t="n">
        <x:v>480</x:v>
      </x:c>
      <x:c r="H7" s="32" t="str">
        <x:v>г</x:v>
      </x:c>
      <x:c r="I7" s="32" t="str">
        <x:v>НЕ ПРОВЕДЕНО</x:v>
      </x:c>
      <x:c r="J7" s="38"/>
      <x:c r="K7" s="38"/>
      <x:c r="L7" s="38"/>
      <x:c r="M7" s="38"/>
      <x:c r="N7" s="38"/>
      <x:c r="O7" s="32" t="str">
        <x:v>GAP-002;GAP-005;GAP-008;GAP-025</x:v>
      </x:c>
      <x:c r="P7" s="32" t="str">
        <x:v>Контрольная проработка; Change Request при отклонении от v0.1.0-DRAFT</x:v>
      </x:c>
    </x:row>
    <x:row r="8">
      <x:c r="A8" s="32" t="str">
        <x:v>CCP-003</x:v>
      </x:c>
      <x:c r="B8" s="32" t="str">
        <x:v>VKM-003</x:v>
      </x:c>
      <x:c r="C8" s="32" t="str">
        <x:v>Грибная с ветчиной</x:v>
      </x:c>
      <x:c r="D8" s="32" t="str">
        <x:v>0.1.0-DRAFT</x:v>
      </x:c>
      <x:c r="E8" s="32" t="n">
        <x:v>3</x:v>
      </x:c>
      <x:c r="F8" s="32" t="str">
        <x:v>порция/изделие</x:v>
      </x:c>
      <x:c r="G8" s="32" t="n">
        <x:v>500</x:v>
      </x:c>
      <x:c r="H8" s="32" t="str">
        <x:v>г</x:v>
      </x:c>
      <x:c r="I8" s="32" t="str">
        <x:v>НЕ ПРОВЕДЕНО</x:v>
      </x:c>
      <x:c r="J8" s="38"/>
      <x:c r="K8" s="38"/>
      <x:c r="L8" s="38"/>
      <x:c r="M8" s="38"/>
      <x:c r="N8" s="38"/>
      <x:c r="O8" s="32" t="str">
        <x:v>GAP-002;GAP-005;GAP-008;GAP-025</x:v>
      </x:c>
      <x:c r="P8" s="32" t="str">
        <x:v>Контрольная проработка; Change Request при отклонении от v0.1.0-DRAFT</x:v>
      </x:c>
    </x:row>
    <x:row r="9">
      <x:c r="A9" s="32" t="str">
        <x:v>CCP-004</x:v>
      </x:c>
      <x:c r="B9" s="32" t="str">
        <x:v>VKM-004</x:v>
      </x:c>
      <x:c r="C9" s="32" t="str">
        <x:v>Пепперони</x:v>
      </x:c>
      <x:c r="D9" s="32" t="str">
        <x:v>0.1.0-DRAFT</x:v>
      </x:c>
      <x:c r="E9" s="32" t="n">
        <x:v>3</x:v>
      </x:c>
      <x:c r="F9" s="32" t="str">
        <x:v>порция/изделие</x:v>
      </x:c>
      <x:c r="G9" s="32" t="n">
        <x:v>500</x:v>
      </x:c>
      <x:c r="H9" s="32" t="str">
        <x:v>г</x:v>
      </x:c>
      <x:c r="I9" s="32" t="str">
        <x:v>НЕ ПРОВЕДЕНО</x:v>
      </x:c>
      <x:c r="J9" s="38"/>
      <x:c r="K9" s="38"/>
      <x:c r="L9" s="38"/>
      <x:c r="M9" s="38"/>
      <x:c r="N9" s="38"/>
      <x:c r="O9" s="32" t="str">
        <x:v>GAP-002;GAP-005;GAP-008;GAP-025</x:v>
      </x:c>
      <x:c r="P9" s="32" t="str">
        <x:v>Контрольная проработка; Change Request при отклонении от v0.1.0-DRAFT</x:v>
      </x:c>
    </x:row>
    <x:row r="10">
      <x:c r="A10" s="32" t="str">
        <x:v>CCP-005</x:v>
      </x:c>
      <x:c r="B10" s="32" t="str">
        <x:v>VKM-005</x:v>
      </x:c>
      <x:c r="C10" s="32" t="str">
        <x:v>Белая чиабатта</x:v>
      </x:c>
      <x:c r="D10" s="32" t="str">
        <x:v>0.1.0-DRAFT</x:v>
      </x:c>
      <x:c r="E10" s="32" t="n">
        <x:v>5</x:v>
      </x:c>
      <x:c r="F10" s="32" t="str">
        <x:v>порция/изделие</x:v>
      </x:c>
      <x:c r="G10" s="32" t="n">
        <x:v>100</x:v>
      </x:c>
      <x:c r="H10" s="32" t="str">
        <x:v>г</x:v>
      </x:c>
      <x:c r="I10" s="32" t="str">
        <x:v>НЕ ПРОВЕДЕНО</x:v>
      </x:c>
      <x:c r="J10" s="38"/>
      <x:c r="K10" s="38"/>
      <x:c r="L10" s="38"/>
      <x:c r="M10" s="38"/>
      <x:c r="N10" s="38"/>
      <x:c r="O10" s="32" t="str">
        <x:v>GAP-002;GAP-005;GAP-008;GAP-025</x:v>
      </x:c>
      <x:c r="P10" s="32" t="str">
        <x:v>Контрольная проработка; Change Request при отклонении от v0.1.0-DRAFT</x:v>
      </x:c>
    </x:row>
    <x:row r="11">
      <x:c r="A11" s="32" t="str">
        <x:v>CCP-006</x:v>
      </x:c>
      <x:c r="B11" s="32" t="str">
        <x:v>VKM-006</x:v>
      </x:c>
      <x:c r="C11" s="32" t="str">
        <x:v>Томатная чиабатта</x:v>
      </x:c>
      <x:c r="D11" s="32" t="str">
        <x:v>0.1.0-DRAFT</x:v>
      </x:c>
      <x:c r="E11" s="32" t="n">
        <x:v>5</x:v>
      </x:c>
      <x:c r="F11" s="32" t="str">
        <x:v>порция/изделие</x:v>
      </x:c>
      <x:c r="G11" s="32" t="n">
        <x:v>100</x:v>
      </x:c>
      <x:c r="H11" s="32" t="str">
        <x:v>г</x:v>
      </x:c>
      <x:c r="I11" s="32" t="str">
        <x:v>НЕ ПРОВЕДЕНО</x:v>
      </x:c>
      <x:c r="J11" s="38"/>
      <x:c r="K11" s="38"/>
      <x:c r="L11" s="38"/>
      <x:c r="M11" s="38"/>
      <x:c r="N11" s="38"/>
      <x:c r="O11" s="32" t="str">
        <x:v>GAP-002;GAP-005;GAP-008;GAP-025</x:v>
      </x:c>
      <x:c r="P11" s="32" t="str">
        <x:v>Контрольная проработка; Change Request при отклонении от v0.1.0-DRAFT</x:v>
      </x:c>
    </x:row>
    <x:row r="12">
      <x:c r="A12" s="32" t="str">
        <x:v>CCP-007</x:v>
      </x:c>
      <x:c r="B12" s="32" t="str">
        <x:v>VKM-007</x:v>
      </x:c>
      <x:c r="C12" s="32" t="str">
        <x:v>Бородинский хлеб</x:v>
      </x:c>
      <x:c r="D12" s="32" t="str">
        <x:v>0.1.0-DRAFT</x:v>
      </x:c>
      <x:c r="E12" s="32" t="n">
        <x:v>5</x:v>
      </x:c>
      <x:c r="F12" s="32" t="str">
        <x:v>порция/изделие</x:v>
      </x:c>
      <x:c r="G12" s="32" t="n">
        <x:v>350</x:v>
      </x:c>
      <x:c r="H12" s="32" t="str">
        <x:v>г</x:v>
      </x:c>
      <x:c r="I12" s="32" t="str">
        <x:v>НЕ ПРОВЕДЕНО</x:v>
      </x:c>
      <x:c r="J12" s="38"/>
      <x:c r="K12" s="38"/>
      <x:c r="L12" s="38"/>
      <x:c r="M12" s="38"/>
      <x:c r="N12" s="38"/>
      <x:c r="O12" s="32" t="str">
        <x:v>GAP-002;GAP-005;GAP-008;GAP-025</x:v>
      </x:c>
      <x:c r="P12" s="32" t="str">
        <x:v>Контрольная проработка; Change Request при отклонении от v0.1.0-DRAFT</x:v>
      </x:c>
    </x:row>
    <x:row r="13">
      <x:c r="A13" s="32" t="str">
        <x:v>CCP-008</x:v>
      </x:c>
      <x:c r="B13" s="32" t="str">
        <x:v>VKM-008</x:v>
      </x:c>
      <x:c r="C13" s="32" t="str">
        <x:v>Бриошь</x:v>
      </x:c>
      <x:c r="D13" s="32" t="str">
        <x:v>0.1.0-DRAFT</x:v>
      </x:c>
      <x:c r="E13" s="32" t="n">
        <x:v>5</x:v>
      </x:c>
      <x:c r="F13" s="32" t="str">
        <x:v>порция/изделие</x:v>
      </x:c>
      <x:c r="G13" s="32" t="n">
        <x:v>85</x:v>
      </x:c>
      <x:c r="H13" s="32" t="str">
        <x:v>г</x:v>
      </x:c>
      <x:c r="I13" s="32" t="str">
        <x:v>НЕ ПРОВЕДЕНО</x:v>
      </x:c>
      <x:c r="J13" s="38"/>
      <x:c r="K13" s="38"/>
      <x:c r="L13" s="38"/>
      <x:c r="M13" s="38"/>
      <x:c r="N13" s="38"/>
      <x:c r="O13" s="32" t="str">
        <x:v>GAP-002;GAP-005;GAP-008;GAP-025</x:v>
      </x:c>
      <x:c r="P13" s="32" t="str">
        <x:v>Контрольная проработка; Change Request при отклонении от v0.1.0-DRAFT</x:v>
      </x:c>
    </x:row>
    <x:row r="14">
      <x:c r="A14" s="32" t="str">
        <x:v>CCP-009</x:v>
      </x:c>
      <x:c r="B14" s="32" t="str">
        <x:v>VKM-009</x:v>
      </x:c>
      <x:c r="C14" s="32" t="str">
        <x:v>Буррата с томатами</x:v>
      </x:c>
      <x:c r="D14" s="32" t="str">
        <x:v>0.1.0-DRAFT</x:v>
      </x:c>
      <x:c r="E14" s="32" t="n">
        <x:v>5</x:v>
      </x:c>
      <x:c r="F14" s="32" t="str">
        <x:v>порция/изделие</x:v>
      </x:c>
      <x:c r="G14" s="32" t="n">
        <x:v>300</x:v>
      </x:c>
      <x:c r="H14" s="32" t="str">
        <x:v>г</x:v>
      </x:c>
      <x:c r="I14" s="32" t="str">
        <x:v>НЕ ПРОВЕДЕНО</x:v>
      </x:c>
      <x:c r="J14" s="38"/>
      <x:c r="K14" s="38"/>
      <x:c r="L14" s="38"/>
      <x:c r="M14" s="38"/>
      <x:c r="N14" s="38"/>
      <x:c r="O14" s="32" t="str">
        <x:v>GAP-002;GAP-005;GAP-008;GAP-025</x:v>
      </x:c>
      <x:c r="P14" s="32" t="str">
        <x:v>Контрольная проработка; Change Request при отклонении от v0.1.0-DRAFT</x:v>
      </x:c>
    </x:row>
    <x:row r="15">
      <x:c r="A15" s="32" t="str">
        <x:v>CCP-010</x:v>
      </x:c>
      <x:c r="B15" s="32" t="str">
        <x:v>VKM-010</x:v>
      </x:c>
      <x:c r="C15" s="32" t="str">
        <x:v>Микс-салат с креветками и яблоком</x:v>
      </x:c>
      <x:c r="D15" s="32" t="str">
        <x:v>0.1.0-DRAFT</x:v>
      </x:c>
      <x:c r="E15" s="32" t="n">
        <x:v>5</x:v>
      </x:c>
      <x:c r="F15" s="32" t="str">
        <x:v>порция/изделие</x:v>
      </x:c>
      <x:c r="G15" s="32" t="n">
        <x:v>280</x:v>
      </x:c>
      <x:c r="H15" s="32" t="str">
        <x:v>г</x:v>
      </x:c>
      <x:c r="I15" s="32" t="str">
        <x:v>НЕ ПРОВЕДЕНО</x:v>
      </x:c>
      <x:c r="J15" s="38"/>
      <x:c r="K15" s="38"/>
      <x:c r="L15" s="38"/>
      <x:c r="M15" s="38"/>
      <x:c r="N15" s="38"/>
      <x:c r="O15" s="32" t="str">
        <x:v>GAP-002;GAP-005;GAP-008;GAP-025</x:v>
      </x:c>
      <x:c r="P15" s="32" t="str">
        <x:v>Контрольная проработка; Change Request при отклонении от v0.1.0-DRAFT</x:v>
      </x:c>
    </x:row>
    <x:row r="16">
      <x:c r="A16" s="32" t="str">
        <x:v>CCP-011</x:v>
      </x:c>
      <x:c r="B16" s="32" t="str">
        <x:v>VKM-011</x:v>
      </x:c>
      <x:c r="C16" s="32" t="str">
        <x:v>Греческий</x:v>
      </x:c>
      <x:c r="D16" s="32" t="str">
        <x:v>0.1.0-DRAFT</x:v>
      </x:c>
      <x:c r="E16" s="32" t="n">
        <x:v>5</x:v>
      </x:c>
      <x:c r="F16" s="32" t="str">
        <x:v>порция/изделие</x:v>
      </x:c>
      <x:c r="G16" s="32" t="n">
        <x:v>270</x:v>
      </x:c>
      <x:c r="H16" s="32" t="str">
        <x:v>г</x:v>
      </x:c>
      <x:c r="I16" s="32" t="str">
        <x:v>НЕ ПРОВЕДЕНО</x:v>
      </x:c>
      <x:c r="J16" s="38"/>
      <x:c r="K16" s="38"/>
      <x:c r="L16" s="38"/>
      <x:c r="M16" s="38"/>
      <x:c r="N16" s="38"/>
      <x:c r="O16" s="32" t="str">
        <x:v>GAP-002;GAP-005;GAP-008;GAP-025</x:v>
      </x:c>
      <x:c r="P16" s="32" t="str">
        <x:v>Контрольная проработка; Change Request при отклонении от v0.1.0-DRAFT</x:v>
      </x:c>
    </x:row>
    <x:row r="17">
      <x:c r="A17" s="32" t="str">
        <x:v>CCP-012</x:v>
      </x:c>
      <x:c r="B17" s="32" t="str">
        <x:v>VKM-012</x:v>
      </x:c>
      <x:c r="C17" s="32" t="str">
        <x:v>Винегрет</x:v>
      </x:c>
      <x:c r="D17" s="32" t="str">
        <x:v>0.1.0-DRAFT</x:v>
      </x:c>
      <x:c r="E17" s="32" t="n">
        <x:v>5</x:v>
      </x:c>
      <x:c r="F17" s="32" t="str">
        <x:v>порция/изделие</x:v>
      </x:c>
      <x:c r="G17" s="32" t="n">
        <x:v>240</x:v>
      </x:c>
      <x:c r="H17" s="32" t="str">
        <x:v>г</x:v>
      </x:c>
      <x:c r="I17" s="32" t="str">
        <x:v>НЕ ПРОВЕДЕНО</x:v>
      </x:c>
      <x:c r="J17" s="38"/>
      <x:c r="K17" s="38"/>
      <x:c r="L17" s="38"/>
      <x:c r="M17" s="38"/>
      <x:c r="N17" s="38"/>
      <x:c r="O17" s="32" t="str">
        <x:v>GAP-002;GAP-005;GAP-008;GAP-025</x:v>
      </x:c>
      <x:c r="P17" s="32" t="str">
        <x:v>Контрольная проработка; Change Request при отклонении от v0.1.0-DRAFT</x:v>
      </x:c>
    </x:row>
    <x:row r="18">
      <x:c r="A18" s="32" t="str">
        <x:v>CCP-013</x:v>
      </x:c>
      <x:c r="B18" s="32" t="str">
        <x:v>VKM-013</x:v>
      </x:c>
      <x:c r="C18" s="32" t="str">
        <x:v>Слабосолёный лосось</x:v>
      </x:c>
      <x:c r="D18" s="32" t="str">
        <x:v>0.1.0-DRAFT</x:v>
      </x:c>
      <x:c r="E18" s="32" t="n">
        <x:v>5</x:v>
      </x:c>
      <x:c r="F18" s="32" t="str">
        <x:v>порция/изделие</x:v>
      </x:c>
      <x:c r="G18" s="32" t="n">
        <x:v>130</x:v>
      </x:c>
      <x:c r="H18" s="32" t="str">
        <x:v>г</x:v>
      </x:c>
      <x:c r="I18" s="32" t="str">
        <x:v>НЕ ПРОВЕДЕНО</x:v>
      </x:c>
      <x:c r="J18" s="38"/>
      <x:c r="K18" s="38"/>
      <x:c r="L18" s="38"/>
      <x:c r="M18" s="38"/>
      <x:c r="N18" s="38"/>
      <x:c r="O18" s="32" t="str">
        <x:v>GAP-002;GAP-005;GAP-008;GAP-025</x:v>
      </x:c>
      <x:c r="P18" s="32" t="str">
        <x:v>Контрольная проработка; Change Request при отклонении от v0.1.0-DRAFT</x:v>
      </x:c>
    </x:row>
    <x:row r="19">
      <x:c r="A19" s="32" t="str">
        <x:v>CCP-014</x:v>
      </x:c>
      <x:c r="B19" s="32" t="str">
        <x:v>VKM-014</x:v>
      </x:c>
      <x:c r="C19" s="32" t="str">
        <x:v>Сельдь с запечённым картофелем</x:v>
      </x:c>
      <x:c r="D19" s="32" t="str">
        <x:v>0.1.0-DRAFT</x:v>
      </x:c>
      <x:c r="E19" s="32" t="n">
        <x:v>5</x:v>
      </x:c>
      <x:c r="F19" s="32" t="str">
        <x:v>порция/изделие</x:v>
      </x:c>
      <x:c r="G19" s="32" t="n">
        <x:v>250</x:v>
      </x:c>
      <x:c r="H19" s="32" t="str">
        <x:v>г</x:v>
      </x:c>
      <x:c r="I19" s="32" t="str">
        <x:v>НЕ ПРОВЕДЕНО</x:v>
      </x:c>
      <x:c r="J19" s="38"/>
      <x:c r="K19" s="38"/>
      <x:c r="L19" s="38"/>
      <x:c r="M19" s="38"/>
      <x:c r="N19" s="38"/>
      <x:c r="O19" s="32" t="str">
        <x:v>GAP-002;GAP-005;GAP-008;GAP-025</x:v>
      </x:c>
      <x:c r="P19" s="32" t="str">
        <x:v>Контрольная проработка; Change Request при отклонении от v0.1.0-DRAFT</x:v>
      </x:c>
    </x:row>
    <x:row r="20">
      <x:c r="A20" s="32" t="str">
        <x:v>CCP-015</x:v>
      </x:c>
      <x:c r="B20" s="32" t="str">
        <x:v>VKM-015</x:v>
      </x:c>
      <x:c r="C20" s="32" t="str">
        <x:v>Оливки и маслины</x:v>
      </x:c>
      <x:c r="D20" s="32" t="str">
        <x:v>0.1.0-DRAFT</x:v>
      </x:c>
      <x:c r="E20" s="32" t="n">
        <x:v>5</x:v>
      </x:c>
      <x:c r="F20" s="32" t="str">
        <x:v>порция/изделие</x:v>
      </x:c>
      <x:c r="G20" s="32" t="n">
        <x:v>120</x:v>
      </x:c>
      <x:c r="H20" s="32" t="str">
        <x:v>г</x:v>
      </x:c>
      <x:c r="I20" s="32" t="str">
        <x:v>НЕ ПРОВЕДЕНО</x:v>
      </x:c>
      <x:c r="J20" s="38"/>
      <x:c r="K20" s="38"/>
      <x:c r="L20" s="38"/>
      <x:c r="M20" s="38"/>
      <x:c r="N20" s="38"/>
      <x:c r="O20" s="32" t="str">
        <x:v>GAP-002;GAP-005;GAP-008;GAP-025</x:v>
      </x:c>
      <x:c r="P20" s="32" t="str">
        <x:v>Контрольная проработка; Change Request при отклонении от v0.1.0-DRAFT</x:v>
      </x:c>
    </x:row>
    <x:row r="21">
      <x:c r="A21" s="32" t="str">
        <x:v>CCP-016</x:v>
      </x:c>
      <x:c r="B21" s="32" t="str">
        <x:v>VKM-016</x:v>
      </x:c>
      <x:c r="C21" s="32" t="str">
        <x:v>Ассорти фирменных солений</x:v>
      </x:c>
      <x:c r="D21" s="32" t="str">
        <x:v>0.1.0-DRAFT</x:v>
      </x:c>
      <x:c r="E21" s="32" t="n">
        <x:v>5</x:v>
      </x:c>
      <x:c r="F21" s="32" t="str">
        <x:v>порция/изделие</x:v>
      </x:c>
      <x:c r="G21" s="32" t="n">
        <x:v>180</x:v>
      </x:c>
      <x:c r="H21" s="32" t="str">
        <x:v>г</x:v>
      </x:c>
      <x:c r="I21" s="32" t="str">
        <x:v>НЕ ПРОВЕДЕНО</x:v>
      </x:c>
      <x:c r="J21" s="38"/>
      <x:c r="K21" s="38"/>
      <x:c r="L21" s="38"/>
      <x:c r="M21" s="38"/>
      <x:c r="N21" s="38"/>
      <x:c r="O21" s="32" t="str">
        <x:v>GAP-002;GAP-005;GAP-008;GAP-025</x:v>
      </x:c>
      <x:c r="P21" s="32" t="str">
        <x:v>Контрольная проработка; Change Request при отклонении от v0.1.0-DRAFT</x:v>
      </x:c>
    </x:row>
    <x:row r="22">
      <x:c r="A22" s="32" t="str">
        <x:v>CCP-017</x:v>
      </x:c>
      <x:c r="B22" s="32" t="str">
        <x:v>VKM-017</x:v>
      </x:c>
      <x:c r="C22" s="32" t="str">
        <x:v>Ростбиф с луком и гренкой</x:v>
      </x:c>
      <x:c r="D22" s="32" t="str">
        <x:v>0.1.0-DRAFT</x:v>
      </x:c>
      <x:c r="E22" s="32" t="n">
        <x:v>5</x:v>
      </x:c>
      <x:c r="F22" s="32" t="str">
        <x:v>порция/изделие</x:v>
      </x:c>
      <x:c r="G22" s="32" t="n">
        <x:v>180</x:v>
      </x:c>
      <x:c r="H22" s="32" t="str">
        <x:v>г</x:v>
      </x:c>
      <x:c r="I22" s="32" t="str">
        <x:v>НЕ ПРОВЕДЕНО</x:v>
      </x:c>
      <x:c r="J22" s="38"/>
      <x:c r="K22" s="38"/>
      <x:c r="L22" s="38"/>
      <x:c r="M22" s="38"/>
      <x:c r="N22" s="38"/>
      <x:c r="O22" s="32" t="str">
        <x:v>GAP-002;GAP-005;GAP-008;GAP-025</x:v>
      </x:c>
      <x:c r="P22" s="32" t="str">
        <x:v>Контрольная проработка; Change Request при отклонении от v0.1.0-DRAFT</x:v>
      </x:c>
    </x:row>
    <x:row r="23">
      <x:c r="A23" s="32" t="str">
        <x:v>CCP-018</x:v>
      </x:c>
      <x:c r="B23" s="32" t="str">
        <x:v>VKM-018</x:v>
      </x:c>
      <x:c r="C23" s="32" t="str">
        <x:v>Традиционный красный борщ</x:v>
      </x:c>
      <x:c r="D23" s="32" t="str">
        <x:v>0.1.0-DRAFT</x:v>
      </x:c>
      <x:c r="E23" s="32" t="n">
        <x:v>5</x:v>
      </x:c>
      <x:c r="F23" s="32" t="str">
        <x:v>порция/изделие</x:v>
      </x:c>
      <x:c r="G23" s="32" t="n">
        <x:v>400</x:v>
      </x:c>
      <x:c r="H23" s="32" t="str">
        <x:v>г</x:v>
      </x:c>
      <x:c r="I23" s="32" t="str">
        <x:v>НЕ ПРОВЕДЕНО</x:v>
      </x:c>
      <x:c r="J23" s="38"/>
      <x:c r="K23" s="38"/>
      <x:c r="L23" s="38"/>
      <x:c r="M23" s="38"/>
      <x:c r="N23" s="38"/>
      <x:c r="O23" s="32" t="str">
        <x:v>GAP-002;GAP-005;GAP-008;GAP-025</x:v>
      </x:c>
      <x:c r="P23" s="32" t="str">
        <x:v>Контрольная проработка; Change Request при отклонении от v0.1.0-DRAFT</x:v>
      </x:c>
    </x:row>
    <x:row r="24">
      <x:c r="A24" s="32" t="str">
        <x:v>CCP-019</x:v>
      </x:c>
      <x:c r="B24" s="32" t="str">
        <x:v>VKM-019</x:v>
      </x:c>
      <x:c r="C24" s="32" t="str">
        <x:v>Мурманская треска со сливочно-горчичным соусом</x:v>
      </x:c>
      <x:c r="D24" s="32" t="str">
        <x:v>0.1.0-DRAFT</x:v>
      </x:c>
      <x:c r="E24" s="32" t="n">
        <x:v>5</x:v>
      </x:c>
      <x:c r="F24" s="32" t="str">
        <x:v>порция/изделие</x:v>
      </x:c>
      <x:c r="G24" s="32" t="n">
        <x:v>300</x:v>
      </x:c>
      <x:c r="H24" s="32" t="str">
        <x:v>г</x:v>
      </x:c>
      <x:c r="I24" s="32" t="str">
        <x:v>НЕ ПРОВЕДЕНО</x:v>
      </x:c>
      <x:c r="J24" s="38"/>
      <x:c r="K24" s="38"/>
      <x:c r="L24" s="38"/>
      <x:c r="M24" s="38"/>
      <x:c r="N24" s="38"/>
      <x:c r="O24" s="32" t="str">
        <x:v>GAP-002;GAP-005;GAP-008;GAP-025</x:v>
      </x:c>
      <x:c r="P24" s="32" t="str">
        <x:v>Контрольная проработка; Change Request при отклонении от v0.1.0-DRAFT</x:v>
      </x:c>
    </x:row>
    <x:row r="25">
      <x:c r="A25" s="32" t="str">
        <x:v>CCP-020</x:v>
      </x:c>
      <x:c r="B25" s="32" t="str">
        <x:v>VKM-020</x:v>
      </x:c>
      <x:c r="C25" s="32" t="str">
        <x:v>Креветки по-тайски</x:v>
      </x:c>
      <x:c r="D25" s="32" t="str">
        <x:v>0.1.0-DRAFT</x:v>
      </x:c>
      <x:c r="E25" s="32" t="n">
        <x:v>5</x:v>
      </x:c>
      <x:c r="F25" s="32" t="str">
        <x:v>порция/изделие</x:v>
      </x:c>
      <x:c r="G25" s="32" t="n">
        <x:v>360</x:v>
      </x:c>
      <x:c r="H25" s="32" t="str">
        <x:v>г</x:v>
      </x:c>
      <x:c r="I25" s="32" t="str">
        <x:v>НЕ ПРОВЕДЕНО</x:v>
      </x:c>
      <x:c r="J25" s="38"/>
      <x:c r="K25" s="38"/>
      <x:c r="L25" s="38"/>
      <x:c r="M25" s="38"/>
      <x:c r="N25" s="38"/>
      <x:c r="O25" s="32" t="str">
        <x:v>GAP-002;GAP-005;GAP-008;GAP-025</x:v>
      </x:c>
      <x:c r="P25" s="32" t="str">
        <x:v>Контрольная проработка; Change Request при отклонении от v0.1.0-DRAFT</x:v>
      </x:c>
    </x:row>
    <x:row r="26">
      <x:c r="A26" s="32" t="str">
        <x:v>CCP-021</x:v>
      </x:c>
      <x:c r="B26" s="32" t="str">
        <x:v>VKM-021</x:v>
      </x:c>
      <x:c r="C26" s="32" t="str">
        <x:v>Бургер VARSHAVKA</x:v>
      </x:c>
      <x:c r="D26" s="32" t="str">
        <x:v>0.1.0-DRAFT</x:v>
      </x:c>
      <x:c r="E26" s="32" t="n">
        <x:v>5</x:v>
      </x:c>
      <x:c r="F26" s="32" t="str">
        <x:v>порция/изделие</x:v>
      </x:c>
      <x:c r="G26" s="32" t="n">
        <x:v>350</x:v>
      </x:c>
      <x:c r="H26" s="32" t="str">
        <x:v>г</x:v>
      </x:c>
      <x:c r="I26" s="32" t="str">
        <x:v>НЕ ПРОВЕДЕНО</x:v>
      </x:c>
      <x:c r="J26" s="38"/>
      <x:c r="K26" s="38"/>
      <x:c r="L26" s="38"/>
      <x:c r="M26" s="38"/>
      <x:c r="N26" s="38"/>
      <x:c r="O26" s="32" t="str">
        <x:v>GAP-002;GAP-005;GAP-008;GAP-025</x:v>
      </x:c>
      <x:c r="P26" s="32" t="str">
        <x:v>Контрольная проработка; Change Request при отклонении от v0.1.0-DRAFT</x:v>
      </x:c>
    </x:row>
    <x:row r="27">
      <x:c r="A27" s="32" t="str">
        <x:v>CCP-022</x:v>
      </x:c>
      <x:c r="B27" s="32" t="str">
        <x:v>VKM-022</x:v>
      </x:c>
      <x:c r="C27" s="32" t="str">
        <x:v>Миньоны из говяжьей вырезки</x:v>
      </x:c>
      <x:c r="D27" s="32" t="str">
        <x:v>0.1.0-DRAFT</x:v>
      </x:c>
      <x:c r="E27" s="32" t="n">
        <x:v>5</x:v>
      </x:c>
      <x:c r="F27" s="32" t="str">
        <x:v>порция/изделие</x:v>
      </x:c>
      <x:c r="G27" s="32" t="n">
        <x:v>300</x:v>
      </x:c>
      <x:c r="H27" s="32" t="str">
        <x:v>г</x:v>
      </x:c>
      <x:c r="I27" s="32" t="str">
        <x:v>НЕ ПРОВЕДЕНО</x:v>
      </x:c>
      <x:c r="J27" s="38"/>
      <x:c r="K27" s="38"/>
      <x:c r="L27" s="38"/>
      <x:c r="M27" s="38"/>
      <x:c r="N27" s="38"/>
      <x:c r="O27" s="32" t="str">
        <x:v>GAP-002;GAP-005;GAP-008;GAP-025</x:v>
      </x:c>
      <x:c r="P27" s="32" t="str">
        <x:v>Контрольная проработка; Change Request при отклонении от v0.1.0-DRAFT</x:v>
      </x:c>
    </x:row>
    <x:row r="28">
      <x:c r="A28" s="32" t="str">
        <x:v>CCP-023</x:v>
      </x:c>
      <x:c r="B28" s="32" t="str">
        <x:v>VKM-023</x:v>
      </x:c>
      <x:c r="C28" s="32" t="str">
        <x:v>Запечённый картофель</x:v>
      </x:c>
      <x:c r="D28" s="32" t="str">
        <x:v>0.1.0-DRAFT</x:v>
      </x:c>
      <x:c r="E28" s="32" t="n">
        <x:v>5</x:v>
      </x:c>
      <x:c r="F28" s="32" t="str">
        <x:v>порция/изделие</x:v>
      </x:c>
      <x:c r="G28" s="32" t="n">
        <x:v>150</x:v>
      </x:c>
      <x:c r="H28" s="32" t="str">
        <x:v>г</x:v>
      </x:c>
      <x:c r="I28" s="32" t="str">
        <x:v>НЕ ПРОВЕДЕНО</x:v>
      </x:c>
      <x:c r="J28" s="38"/>
      <x:c r="K28" s="38"/>
      <x:c r="L28" s="38"/>
      <x:c r="M28" s="38"/>
      <x:c r="N28" s="38"/>
      <x:c r="O28" s="32" t="str">
        <x:v>GAP-002;GAP-005;GAP-008;GAP-025</x:v>
      </x:c>
      <x:c r="P28" s="32" t="str">
        <x:v>Контрольная проработка; Change Request при отклонении от v0.1.0-DRAFT</x:v>
      </x:c>
    </x:row>
    <x:row r="29">
      <x:c r="A29" s="32" t="str">
        <x:v>CCP-024</x:v>
      </x:c>
      <x:c r="B29" s="32" t="str">
        <x:v>VKM-024</x:v>
      </x:c>
      <x:c r="C29" s="32" t="str">
        <x:v>Рис жасмин</x:v>
      </x:c>
      <x:c r="D29" s="32" t="str">
        <x:v>0.1.0-DRAFT</x:v>
      </x:c>
      <x:c r="E29" s="32" t="n">
        <x:v>5</x:v>
      </x:c>
      <x:c r="F29" s="32" t="str">
        <x:v>порция/изделие</x:v>
      </x:c>
      <x:c r="G29" s="32" t="n">
        <x:v>150</x:v>
      </x:c>
      <x:c r="H29" s="32" t="str">
        <x:v>г</x:v>
      </x:c>
      <x:c r="I29" s="32" t="str">
        <x:v>НЕ ПРОВЕДЕНО</x:v>
      </x:c>
      <x:c r="J29" s="38"/>
      <x:c r="K29" s="38"/>
      <x:c r="L29" s="38"/>
      <x:c r="M29" s="38"/>
      <x:c r="N29" s="38"/>
      <x:c r="O29" s="32" t="str">
        <x:v>GAP-002;GAP-005;GAP-008;GAP-025</x:v>
      </x:c>
      <x:c r="P29" s="32" t="str">
        <x:v>Контрольная проработка; Change Request при отклонении от v0.1.0-DRAFT</x:v>
      </x:c>
    </x:row>
    <x:row r="30">
      <x:c r="A30" s="32" t="str">
        <x:v>CCP-025</x:v>
      </x:c>
      <x:c r="B30" s="32" t="str">
        <x:v>VKM-025</x:v>
      </x:c>
      <x:c r="C30" s="32" t="str">
        <x:v>Горячие овощи</x:v>
      </x:c>
      <x:c r="D30" s="32" t="str">
        <x:v>0.1.0-DRAFT</x:v>
      </x:c>
      <x:c r="E30" s="32" t="n">
        <x:v>5</x:v>
      </x:c>
      <x:c r="F30" s="32" t="str">
        <x:v>порция/изделие</x:v>
      </x:c>
      <x:c r="G30" s="32" t="n">
        <x:v>150</x:v>
      </x:c>
      <x:c r="H30" s="32" t="str">
        <x:v>г</x:v>
      </x:c>
      <x:c r="I30" s="32" t="str">
        <x:v>НЕ ПРОВЕДЕНО</x:v>
      </x:c>
      <x:c r="J30" s="38"/>
      <x:c r="K30" s="38"/>
      <x:c r="L30" s="38"/>
      <x:c r="M30" s="38"/>
      <x:c r="N30" s="38"/>
      <x:c r="O30" s="32" t="str">
        <x:v>GAP-002;GAP-005;GAP-008;GAP-025</x:v>
      </x:c>
      <x:c r="P30" s="32" t="str">
        <x:v>Контрольная проработка; Change Request при отклонении от v0.1.0-DRAFT</x:v>
      </x:c>
    </x:row>
    <x:row r="31">
      <x:c r="A31" s="32" t="str">
        <x:v>CCP-026</x:v>
      </x:c>
      <x:c r="B31" s="32" t="str">
        <x:v>VKM-029</x:v>
      </x:c>
      <x:c r="C31" s="32" t="str">
        <x:v>Черничный торт VARSHAVKA</x:v>
      </x:c>
      <x:c r="D31" s="32" t="str">
        <x:v>0.1.0-DRAFT</x:v>
      </x:c>
      <x:c r="E31" s="32" t="n">
        <x:v>1</x:v>
      </x:c>
      <x:c r="F31" s="32" t="str">
        <x:v>изделие</x:v>
      </x:c>
      <x:c r="G31" s="32" t="n">
        <x:v>1800</x:v>
      </x:c>
      <x:c r="H31" s="32" t="str">
        <x:v>г</x:v>
      </x:c>
      <x:c r="I31" s="32" t="str">
        <x:v>НЕ ПРОВЕДЕНО</x:v>
      </x:c>
      <x:c r="J31" s="38"/>
      <x:c r="K31" s="38"/>
      <x:c r="L31" s="38"/>
      <x:c r="M31" s="38"/>
      <x:c r="N31" s="38"/>
      <x:c r="O31" s="32" t="str">
        <x:v>GAP-002;GAP-005;GAP-008;GAP-025</x:v>
      </x:c>
      <x:c r="P31" s="32" t="str">
        <x:v>Контрольная проработка; Change Request при отклонении от v0.1.0-DRAFT</x:v>
      </x:c>
    </x:row>
    <x:row r="32">
      <x:c r="A32" s="32" t="str">
        <x:v>CCP-027</x:v>
      </x:c>
      <x:c r="B32" s="32" t="str">
        <x:v>VKM-030</x:v>
      </x:c>
      <x:c r="C32" s="32" t="str">
        <x:v>Кростата с солёной карамелью</x:v>
      </x:c>
      <x:c r="D32" s="32" t="str">
        <x:v>0.1.0-DRAFT</x:v>
      </x:c>
      <x:c r="E32" s="32" t="n">
        <x:v>1</x:v>
      </x:c>
      <x:c r="F32" s="32" t="str">
        <x:v>изделие</x:v>
      </x:c>
      <x:c r="G32" s="32" t="n">
        <x:v>1200</x:v>
      </x:c>
      <x:c r="H32" s="32" t="str">
        <x:v>г</x:v>
      </x:c>
      <x:c r="I32" s="32" t="str">
        <x:v>НЕ ПРОВЕДЕНО</x:v>
      </x:c>
      <x:c r="J32" s="38"/>
      <x:c r="K32" s="38"/>
      <x:c r="L32" s="38"/>
      <x:c r="M32" s="38"/>
      <x:c r="N32" s="38"/>
      <x:c r="O32" s="32" t="str">
        <x:v>GAP-002;GAP-005;GAP-008;GAP-025</x:v>
      </x:c>
      <x:c r="P32" s="32" t="str">
        <x:v>Контрольная проработка; Change Request при отклонении от v0.1.0-DRAFT</x:v>
      </x:c>
    </x:row>
    <x:row r="33">
      <x:c r="A33" s="32" t="str">
        <x:v>CCP-028</x:v>
      </x:c>
      <x:c r="B33" s="32" t="str">
        <x:v>VKM-031</x:v>
      </x:c>
      <x:c r="C33" s="32" t="str">
        <x:v>Мадлен</x:v>
      </x:c>
      <x:c r="D33" s="32" t="str">
        <x:v>0.1.0-DRAFT</x:v>
      </x:c>
      <x:c r="E33" s="32" t="n">
        <x:v>1</x:v>
      </x:c>
      <x:c r="F33" s="32" t="str">
        <x:v>партия</x:v>
      </x:c>
      <x:c r="G33" s="32" t="n">
        <x:v>600</x:v>
      </x:c>
      <x:c r="H33" s="32" t="str">
        <x:v>г</x:v>
      </x:c>
      <x:c r="I33" s="32" t="str">
        <x:v>НЕ ПРОВЕДЕНО</x:v>
      </x:c>
      <x:c r="J33" s="38"/>
      <x:c r="K33" s="38"/>
      <x:c r="L33" s="38"/>
      <x:c r="M33" s="38"/>
      <x:c r="N33" s="38"/>
      <x:c r="O33" s="32" t="str">
        <x:v>GAP-002;GAP-005;GAP-008;GAP-025</x:v>
      </x:c>
      <x:c r="P33" s="32" t="str">
        <x:v>Контрольная проработка; Change Request при отклонении от v0.1.0-DRAFT</x:v>
      </x:c>
    </x:row>
  </x:sheetData>
  <x:mergeCells>
    <x:mergeCell ref="A1:P1"/>
    <x:mergeCell ref="A2:P2"/>
  </x:mergeCells>
  <x:dataValidations count="1">
    <x:dataValidation type="list" sqref="N6:N33">
      <x:formula1>"PASS,FAIL,RETEST_REQUIRED"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e170f045e6421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0" hidden="0" customWidth="1"/>
  </x:cols>
  <x:sheetData>
    <x:row r="1" ht="30" customHeight="1">
      <x:c r="A1" s="26" t="str">
        <x:v>15 — Проверки Gate D</x:v>
      </x:c>
      <x:c r="B1" s="26"/>
      <x:c r="C1" s="26"/>
      <x:c r="D1" s="26"/>
      <x:c r="E1" s="26"/>
      <x:c r="F1" s="26"/>
      <x:c r="G1" s="26"/>
    </x:row>
    <x:row r="2" ht="27" customHeight="1">
      <x:c r="A2" s="28" t="str">
        <x:v>One assertion per row. PASS_WITH_CONDITIONS is expected while subject-matter blockers remain open.</x:v>
      </x:c>
      <x:c r="B2" s="28"/>
      <x:c r="C2" s="28"/>
      <x:c r="D2" s="28"/>
      <x:c r="E2" s="28"/>
      <x:c r="F2" s="28"/>
      <x:c r="G2" s="28"/>
    </x:row>
    <x:row r="3">
      <x:c r="A3" s="27"/>
      <x:c r="B3" s="27"/>
      <x:c r="C3" s="27"/>
      <x:c r="D3" s="27"/>
      <x:c r="E3" s="27"/>
      <x:c r="F3" s="27"/>
      <x:c r="G3" s="27"/>
    </x:row>
    <x:row r="4">
      <x:c r="A4" s="27"/>
      <x:c r="B4" s="27"/>
      <x:c r="C4" s="27"/>
      <x:c r="D4" s="27"/>
      <x:c r="E4" s="27"/>
      <x:c r="F4" s="27"/>
      <x:c r="G4" s="27"/>
    </x:row>
    <x:row r="5">
      <x:c r="A5" s="29" t="str">
        <x:v>Check ID</x:v>
      </x:c>
      <x:c r="B5" s="29" t="str">
        <x:v>Assertion</x:v>
      </x:c>
      <x:c r="C5" s="29" t="str">
        <x:v>Expected</x:v>
      </x:c>
      <x:c r="D5" s="29" t="str">
        <x:v>Actual</x:v>
      </x:c>
      <x:c r="E5" s="29" t="str">
        <x:v>Delta</x:v>
      </x:c>
      <x:c r="F5" s="29" t="str">
        <x:v>Status</x:v>
      </x:c>
      <x:c r="G5" s="29" t="str">
        <x:v>Notes</x:v>
      </x:c>
    </x:row>
    <x:row r="6">
      <x:c r="A6" s="27" t="str">
        <x:v>CHK-001</x:v>
      </x:c>
      <x:c r="B6" s="27" t="str">
        <x:v>Dish scope count</x:v>
      </x:c>
      <x:c r="C6" s="27" t="n">
        <x:v>28</x:v>
      </x:c>
      <x:c r="D6" s="27" t="n">
        <x:f>COUNTA('01_МЕНЮ'!$A$6:$A$33)</x:f>
        <x:v>28</x:v>
      </x:c>
      <x:c r="E6" s="27" t="n">
        <x:f>D6-C6</x:f>
        <x:v>0</x:v>
      </x:c>
      <x:c r="F6" s="27" t="str">
        <x:f>IF(E6=0,"PASS","FAIL")</x:f>
        <x:v>PASS</x:v>
      </x:c>
      <x:c r="G6" s="27" t="str">
        <x:v>Workbook scope</x:v>
      </x:c>
    </x:row>
    <x:row r="7">
      <x:c r="A7" s="27" t="str">
        <x:v>CHK-002</x:v>
      </x:c>
      <x:c r="B7" s="27" t="str">
        <x:v>Sheet count</x:v>
      </x:c>
      <x:c r="C7" s="27" t="n">
        <x:v>17</x:v>
      </x:c>
      <x:c r="D7" s="27" t="n">
        <x:f>COUNTA($A$31:$A$47)</x:f>
        <x:v>17</x:v>
      </x:c>
      <x:c r="E7" s="27" t="n">
        <x:f>D7-C7</x:f>
        <x:v>0</x:v>
      </x:c>
      <x:c r="F7" s="27" t="str">
        <x:f>IF(E7=0,"PASS","FAIL")</x:f>
        <x:v>PASS</x:v>
      </x:c>
      <x:c r="G7" s="27" t="str">
        <x:v>Exact required list below</x:v>
      </x:c>
    </x:row>
    <x:row r="8">
      <x:c r="A8" s="27" t="str">
        <x:v>CHK-003</x:v>
      </x:c>
      <x:c r="B8" s="27" t="str">
        <x:v>Safety BLOCK veto</x:v>
      </x:c>
      <x:c r="C8" s="27" t="n">
        <x:v>28</x:v>
      </x:c>
      <x:c r="D8" s="27" t="n">
        <x:f>COUNTIF('10_АЛЛЕРГЕНЫ_БЕЗОПАСНОСТЬ'!$J$6:$J$33,"BLOCK")</x:f>
        <x:v>28</x:v>
      </x:c>
      <x:c r="E8" s="27" t="n">
        <x:f>D8-C8</x:f>
        <x:v>0</x:v>
      </x:c>
      <x:c r="F8" s="27" t="str">
        <x:f>IF(E8=0,"PASS","FAIL")</x:f>
        <x:v>PASS</x:v>
      </x:c>
      <x:c r="G8" s="27" t="str">
        <x:v>HOF-0003</x:v>
      </x:c>
    </x:row>
    <x:row r="9">
      <x:c r="A9" s="27" t="str">
        <x:v>CHK-004</x:v>
      </x:c>
      <x:c r="B9" s="27" t="str">
        <x:v>Nutrition blocked rows</x:v>
      </x:c>
      <x:c r="C9" s="27" t="n">
        <x:v>28</x:v>
      </x:c>
      <x:c r="D9" s="27" t="n">
        <x:f>COUNTIF('11_ПИЩЕВАЯ_ЦЕННОСТЬ'!$N$6:$N$33,"BLOCKED_PENDING_VALIDATION")</x:f>
        <x:v>28</x:v>
      </x:c>
      <x:c r="E9" s="27" t="n">
        <x:f>D9-C9</x:f>
        <x:v>0</x:v>
      </x:c>
      <x:c r="F9" s="27" t="str">
        <x:f>IF(E9=0,"PASS","FAIL")</x:f>
        <x:v>PASS</x:v>
      </x:c>
      <x:c r="G9" s="27" t="str">
        <x:v>HOF-0007</x:v>
      </x:c>
    </x:row>
    <x:row r="10">
      <x:c r="A10" s="27" t="str">
        <x:v>CHK-005</x:v>
      </x:c>
      <x:c r="B10" s="27" t="str">
        <x:v>Nutrition numeric blanks</x:v>
      </x:c>
      <x:c r="C10" s="27" t="n">
        <x:v>224</x:v>
      </x:c>
      <x:c r="D10" s="27" t="n">
        <x:f>COUNTBLANK('11_ПИЩЕВАЯ_ЦЕННОСТЬ'!$E$6:$L$33)</x:f>
        <x:v>224</x:v>
      </x:c>
      <x:c r="E10" s="27" t="n">
        <x:f>D10-C10</x:f>
        <x:v>0</x:v>
      </x:c>
      <x:c r="F10" s="27" t="str">
        <x:f>IF(E10=0,"PASS","FAIL")</x:f>
        <x:v>PASS</x:v>
      </x:c>
      <x:c r="G10" s="27" t="str">
        <x:v>8 fields × 28</x:v>
      </x:c>
    </x:row>
    <x:row r="11">
      <x:c r="A11" s="27" t="str">
        <x:v>CHK-006</x:v>
      </x:c>
      <x:c r="B11" s="27" t="str">
        <x:v>Complete food cost blanks</x:v>
      </x:c>
      <x:c r="C11" s="27" t="n">
        <x:v>28</x:v>
      </x:c>
      <x:c r="D11" s="27" t="n">
        <x:f>COUNTBLANK('04_КАЛЬКУЛЯЦИИ'!$I$6:$I$33)</x:f>
        <x:v>28</x:v>
      </x:c>
      <x:c r="E11" s="27" t="n">
        <x:f>D11-C11</x:f>
        <x:v>0</x:v>
      </x:c>
      <x:c r="F11" s="27" t="str">
        <x:f>IF(E11=0,"PASS","FAIL")</x:f>
        <x:v>PASS</x:v>
      </x:c>
      <x:c r="G11" s="27" t="str">
        <x:v>Complete COGS blocked</x:v>
      </x:c>
    </x:row>
    <x:row r="12">
      <x:c r="A12" s="27" t="str">
        <x:v>CHK-007</x:v>
      </x:c>
      <x:c r="B12" s="27" t="str">
        <x:v>Complete portion COGS blanks</x:v>
      </x:c>
      <x:c r="C12" s="27" t="n">
        <x:v>28</x:v>
      </x:c>
      <x:c r="D12" s="27" t="n">
        <x:f>COUNTBLANK('04_КАЛЬКУЛЯЦИИ'!$N$6:$N$33)</x:f>
        <x:v>28</x:v>
      </x:c>
      <x:c r="E12" s="27" t="n">
        <x:f>D12-C12</x:f>
        <x:v>0</x:v>
      </x:c>
      <x:c r="F12" s="27" t="str">
        <x:f>IF(E12=0,"PASS","FAIL")</x:f>
        <x:v>PASS</x:v>
      </x:c>
      <x:c r="G12" s="27" t="str">
        <x:v>Complete COGS blocked</x:v>
      </x:c>
    </x:row>
    <x:row r="13">
      <x:c r="A13" s="27" t="str">
        <x:v>CHK-008</x:v>
      </x:c>
      <x:c r="B13" s="27" t="str">
        <x:v>Channel price blanks</x:v>
      </x:c>
      <x:c r="C13" s="27" t="n">
        <x:v>101</x:v>
      </x:c>
      <x:c r="D13" s="27" t="n">
        <x:f>COUNTBLANK('07_ЦЕНООБРАЗОВАНИЕ'!$I$6:$I$106)</x:f>
        <x:v>101</x:v>
      </x:c>
      <x:c r="E13" s="27" t="n">
        <x:f>D13-C13</x:f>
        <x:v>0</x:v>
      </x:c>
      <x:c r="F13" s="27" t="str">
        <x:f>IF(E13=0,"PASS","FAIL")</x:f>
        <x:v>PASS</x:v>
      </x:c>
      <x:c r="G13" s="27" t="str">
        <x:v>Channel pricing blocked</x:v>
      </x:c>
    </x:row>
    <x:row r="14">
      <x:c r="A14" s="27" t="str">
        <x:v>CHK-009</x:v>
      </x:c>
      <x:c r="B14" s="27" t="str">
        <x:v>Accepted price sources</x:v>
      </x:c>
      <x:c r="C14" s="27" t="n">
        <x:v>46</x:v>
      </x:c>
      <x:c r="D14" s="27" t="n">
        <x:f>COUNTA('06_СЫРЬЁ_И_ЦЕНЫ'!$A$122:$A$167)</x:f>
        <x:v>46</x:v>
      </x:c>
      <x:c r="E14" s="27" t="n">
        <x:f>D14-C14</x:f>
        <x:v>0</x:v>
      </x:c>
      <x:c r="F14" s="27" t="str">
        <x:f>IF(E14=0,"PASS","FAIL")</x:f>
        <x:v>PASS</x:v>
      </x:c>
      <x:c r="G14" s="27" t="str">
        <x:v>HOF-0005 v0.2.1</x:v>
      </x:c>
    </x:row>
    <x:row r="15">
      <x:c r="A15" s="27" t="str">
        <x:v>CHK-010</x:v>
      </x:c>
      <x:c r="B15" s="27" t="str">
        <x:v>Rejected source rows selected/present</x:v>
      </x:c>
      <x:c r="C15" s="27" t="n">
        <x:v>0</x:v>
      </x:c>
      <x:c r="D15" s="27" t="n">
        <x:f>COUNTIF('06_СЫРЬЁ_И_ЦЕНЫ'!$M$122:$M$167,"*REJECT*")</x:f>
        <x:v>0</x:v>
      </x:c>
      <x:c r="E15" s="27" t="n">
        <x:f>D15-C15</x:f>
        <x:v>0</x:v>
      </x:c>
      <x:c r="F15" s="27" t="str">
        <x:f>IF(E15=0,"PASS","FAIL")</x:f>
        <x:v>PASS</x:v>
      </x:c>
      <x:c r="G15" s="27" t="str">
        <x:v>22 rejected excluded</x:v>
      </x:c>
    </x:row>
    <x:row r="16">
      <x:c r="A16" s="27" t="str">
        <x:v>CHK-011</x:v>
      </x:c>
      <x:c r="B16" s="27" t="str">
        <x:v>Negative selected prices</x:v>
      </x:c>
      <x:c r="C16" s="27" t="n">
        <x:v>0</x:v>
      </x:c>
      <x:c r="D16" s="27" t="n">
        <x:f>COUNTIF('06_СЫРЬЁ_И_ЦЕНЫ'!$E$6:$E$118,"&lt;0")</x:f>
        <x:v>0</x:v>
      </x:c>
      <x:c r="E16" s="27" t="n">
        <x:f>D16-C16</x:f>
        <x:v>0</x:v>
      </x:c>
      <x:c r="F16" s="27" t="str">
        <x:f>IF(E16=0,"PASS","FAIL")</x:f>
        <x:v>PASS</x:v>
      </x:c>
      <x:c r="G16" s="27" t="str">
        <x:v>No negative prices</x:v>
      </x:c>
    </x:row>
    <x:row r="17">
      <x:c r="A17" s="27" t="str">
        <x:v>CHK-012</x:v>
      </x:c>
      <x:c r="B17" s="27" t="str">
        <x:v>Zero selected prices</x:v>
      </x:c>
      <x:c r="C17" s="27" t="n">
        <x:v>0</x:v>
      </x:c>
      <x:c r="D17" s="27" t="n">
        <x:f>COUNTIFS('06_СЫРЬЁ_И_ЦЕНЫ'!$E$6:$E$118,0,'06_СЫРЬЁ_И_ЦЕНЫ'!$E$6:$E$118,"&lt;&gt;")</x:f>
        <x:v>0</x:v>
      </x:c>
      <x:c r="E17" s="27" t="n">
        <x:f>D17-C17</x:f>
        <x:v>0</x:v>
      </x:c>
      <x:c r="F17" s="27" t="str">
        <x:f>IF(E17=0,"PASS","FAIL")</x:f>
        <x:v>PASS</x:v>
      </x:c>
      <x:c r="G17" s="27" t="str">
        <x:v>Unknown must be blank</x:v>
      </x:c>
    </x:row>
    <x:row r="18">
      <x:c r="A18" s="27" t="str">
        <x:v>CHK-013</x:v>
      </x:c>
      <x:c r="B18" s="27" t="str">
        <x:v>VSF cards</x:v>
      </x:c>
      <x:c r="C18" s="27" t="n">
        <x:v>34</x:v>
      </x:c>
      <x:c r="D18" s="27" t="n">
        <x:f>COUNTA('03_ПОЛУФАБРИКАТЫ'!$A$6:$A$39)</x:f>
        <x:v>34</x:v>
      </x:c>
      <x:c r="E18" s="27" t="n">
        <x:f>D18-C18</x:f>
        <x:v>0</x:v>
      </x:c>
      <x:c r="F18" s="27" t="str">
        <x:f>IF(E18=0,"PASS","FAIL")</x:f>
        <x:v>PASS</x:v>
      </x:c>
      <x:c r="G18" s="27" t="str">
        <x:v>HOF-0004</x:v>
      </x:c>
    </x:row>
    <x:row r="19">
      <x:c r="A19" s="27" t="str">
        <x:v>CHK-014</x:v>
      </x:c>
      <x:c r="B19" s="27" t="str">
        <x:v>DAG edges</x:v>
      </x:c>
      <x:c r="C19" s="27" t="n">
        <x:v>42</x:v>
      </x:c>
      <x:c r="D19" s="27" t="n">
        <x:f>COUNTA('03_ПОЛУФАБРИКАТЫ'!$A$43:$A$84)</x:f>
        <x:v>42</x:v>
      </x:c>
      <x:c r="E19" s="27" t="n">
        <x:f>D19-C19</x:f>
        <x:v>0</x:v>
      </x:c>
      <x:c r="F19" s="27" t="str">
        <x:f>IF(E19=0,"PASS","FAIL")</x:f>
        <x:v>PASS</x:v>
      </x:c>
      <x:c r="G19" s="27" t="str">
        <x:v>No orphan/cycle per Gate C</x:v>
      </x:c>
    </x:row>
    <x:row r="20">
      <x:c r="A20" s="27" t="str">
        <x:v>CHK-015</x:v>
      </x:c>
      <x:c r="B20" s="27" t="str">
        <x:v>Recipe lines</x:v>
      </x:c>
      <x:c r="C20" s="27" t="n">
        <x:v>253</x:v>
      </x:c>
      <x:c r="D20" s="27" t="n">
        <x:f>COUNTA('02_РЕЦЕПТУРЫ'!$A$6:$A$258)</x:f>
        <x:v>253</x:v>
      </x:c>
      <x:c r="E20" s="27" t="n">
        <x:f>D20-C20</x:f>
        <x:v>0</x:v>
      </x:c>
      <x:c r="F20" s="27" t="str">
        <x:f>IF(E20=0,"PASS","FAIL")</x:f>
        <x:v>PASS</x:v>
      </x:c>
      <x:c r="G20" s="27" t="str">
        <x:v>HOF-0002</x:v>
      </x:c>
    </x:row>
    <x:row r="21">
      <x:c r="A21" s="27"/>
      <x:c r="B21" s="27"/>
      <x:c r="C21" s="27"/>
      <x:c r="D21" s="27"/>
      <x:c r="E21" s="27"/>
      <x:c r="F21" s="27"/>
      <x:c r="G21" s="27"/>
    </x:row>
    <x:row r="22">
      <x:c r="A22" s="27"/>
      <x:c r="B22" s="27"/>
      <x:c r="C22" s="27"/>
      <x:c r="D22" s="27"/>
      <x:c r="E22" s="27"/>
      <x:c r="F22" s="27"/>
      <x:c r="G22" s="27"/>
    </x:row>
    <x:row r="23">
      <x:c r="A23" s="34" t="str">
        <x:v>Model status</x:v>
      </x:c>
      <x:c r="B23" s="34" t="str">
        <x:v>Formula / meaning</x:v>
      </x:c>
      <x:c r="C23" s="27"/>
      <x:c r="D23" s="27"/>
      <x:c r="E23" s="27"/>
      <x:c r="F23" s="27"/>
      <x:c r="G23" s="27"/>
    </x:row>
    <x:row r="24">
      <x:c r="A24" s="27" t="str">
        <x:v>Structural Gate D</x:v>
      </x:c>
      <x:c r="B24" s="27" t="str">
        <x:f>IF(COUNTIF(F6:F20,"FAIL")=0,"PASS","FAIL")</x:f>
        <x:v>PASS</x:v>
      </x:c>
      <x:c r="C24" s="27"/>
      <x:c r="D24" s="27"/>
      <x:c r="E24" s="27"/>
      <x:c r="F24" s="27"/>
      <x:c r="G24" s="27"/>
    </x:row>
    <x:row r="25">
      <x:c r="A25" s="27" t="str">
        <x:v>Subject matter status</x:v>
      </x:c>
      <x:c r="B25" s="27" t="str">
        <x:v>PASS_WITH_CONDITIONS</x:v>
      </x:c>
      <x:c r="C25" s="27"/>
      <x:c r="D25" s="27"/>
      <x:c r="E25" s="27"/>
      <x:c r="F25" s="27"/>
      <x:c r="G25" s="27"/>
    </x:row>
    <x:row r="26">
      <x:c r="A26" s="27" t="str">
        <x:v>Safety release</x:v>
      </x:c>
      <x:c r="B26" s="27" t="str">
        <x:v>BLOCKED 28/28</x:v>
      </x:c>
      <x:c r="C26" s="27"/>
      <x:c r="D26" s="27"/>
      <x:c r="E26" s="27"/>
      <x:c r="F26" s="27"/>
      <x:c r="G26" s="27"/>
    </x:row>
    <x:row r="27">
      <x:c r="A27" s="27" t="str">
        <x:v>Economic release</x:v>
      </x:c>
      <x:c r="B27" s="27" t="str">
        <x:v>BLOCKED 28/28</x:v>
      </x:c>
      <x:c r="C27" s="27"/>
      <x:c r="D27" s="27"/>
      <x:c r="E27" s="27"/>
      <x:c r="F27" s="27"/>
      <x:c r="G27" s="27"/>
    </x:row>
    <x:row r="28">
      <x:c r="A28" s="27" t="str">
        <x:v>Nutrition release</x:v>
      </x:c>
      <x:c r="B28" s="27" t="str">
        <x:v>BLOCKED 28/28</x:v>
      </x:c>
      <x:c r="C28" s="27"/>
      <x:c r="D28" s="27"/>
      <x:c r="E28" s="27"/>
      <x:c r="F28" s="27"/>
      <x:c r="G28" s="27"/>
    </x:row>
    <x:row r="29">
      <x:c r="A29" s="27"/>
      <x:c r="B29" s="27"/>
      <x:c r="C29" s="27"/>
      <x:c r="D29" s="27"/>
      <x:c r="E29" s="27"/>
      <x:c r="F29" s="27"/>
      <x:c r="G29" s="27"/>
    </x:row>
    <x:row r="30">
      <x:c r="A30" s="29" t="str">
        <x:v>Required sheet name</x:v>
      </x:c>
      <x:c r="B30" s="29" t="str">
        <x:v>Logical print/used range</x:v>
      </x:c>
      <x:c r="C30" s="27"/>
      <x:c r="D30" s="27"/>
      <x:c r="E30" s="27"/>
      <x:c r="F30" s="27"/>
      <x:c r="G30" s="27"/>
    </x:row>
    <x:row r="31">
      <x:c r="A31" s="30" t="str">
        <x:v>00_ПАСПОРТ</x:v>
      </x:c>
      <x:c r="B31" s="27" t="str">
        <x:v>A1:J40</x:v>
      </x:c>
      <x:c r="C31" s="27"/>
      <x:c r="D31" s="27"/>
      <x:c r="E31" s="27"/>
      <x:c r="F31" s="27"/>
      <x:c r="G31" s="27"/>
    </x:row>
    <x:row r="32">
      <x:c r="A32" s="30" t="str">
        <x:v>01_МЕНЮ</x:v>
      </x:c>
      <x:c r="B32" s="27" t="str">
        <x:v>A1:N33</x:v>
      </x:c>
      <x:c r="C32" s="27"/>
      <x:c r="D32" s="27"/>
      <x:c r="E32" s="27"/>
      <x:c r="F32" s="27"/>
      <x:c r="G32" s="27"/>
    </x:row>
    <x:row r="33">
      <x:c r="A33" s="30" t="str">
        <x:v>02_РЕЦЕПТУРЫ</x:v>
      </x:c>
      <x:c r="B33" s="27" t="str">
        <x:v>A1:P258</x:v>
      </x:c>
      <x:c r="C33" s="27"/>
      <x:c r="D33" s="27"/>
      <x:c r="E33" s="27"/>
      <x:c r="F33" s="27"/>
      <x:c r="G33" s="27"/>
    </x:row>
    <x:row r="34">
      <x:c r="A34" s="30" t="str">
        <x:v>03_ПОЛУФАБРИКАТЫ</x:v>
      </x:c>
      <x:c r="B34" s="27" t="str">
        <x:v>A1:O85</x:v>
      </x:c>
      <x:c r="C34" s="27"/>
      <x:c r="D34" s="27"/>
      <x:c r="E34" s="27"/>
      <x:c r="F34" s="27"/>
      <x:c r="G34" s="27"/>
    </x:row>
    <x:row r="35">
      <x:c r="A35" s="30" t="str">
        <x:v>04_КАЛЬКУЛЯЦИИ</x:v>
      </x:c>
      <x:c r="B35" s="27" t="str">
        <x:v>A1:Q33</x:v>
      </x:c>
      <x:c r="C35" s="27"/>
      <x:c r="D35" s="27"/>
      <x:c r="E35" s="27"/>
      <x:c r="F35" s="27"/>
      <x:c r="G35" s="27"/>
    </x:row>
    <x:row r="36">
      <x:c r="A36" s="30" t="str">
        <x:v>05_ТЕХКАРТЫ</x:v>
      </x:c>
      <x:c r="B36" s="27" t="str">
        <x:v>A1:Q33</x:v>
      </x:c>
      <x:c r="C36" s="27"/>
      <x:c r="D36" s="27"/>
      <x:c r="E36" s="27"/>
      <x:c r="F36" s="27"/>
      <x:c r="G36" s="27"/>
    </x:row>
    <x:row r="37">
      <x:c r="A37" s="30" t="str">
        <x:v>06_СЫРЬЁ_И_ЦЕНЫ</x:v>
      </x:c>
      <x:c r="B37" s="27" t="str">
        <x:v>A1:M168</x:v>
      </x:c>
      <x:c r="C37" s="27"/>
      <x:c r="D37" s="27"/>
      <x:c r="E37" s="27"/>
      <x:c r="F37" s="27"/>
      <x:c r="G37" s="27"/>
    </x:row>
    <x:row r="38">
      <x:c r="A38" s="30" t="str">
        <x:v>07_ЦЕНООБРАЗОВАНИЕ</x:v>
      </x:c>
      <x:c r="B38" s="27" t="str">
        <x:v>A1:P106</x:v>
      </x:c>
      <x:c r="C38" s="27"/>
      <x:c r="D38" s="27"/>
      <x:c r="E38" s="27"/>
      <x:c r="F38" s="27"/>
      <x:c r="G38" s="27"/>
    </x:row>
    <x:row r="39">
      <x:c r="A39" s="30" t="str">
        <x:v>08_ОБОРУДОВАНИЕ</x:v>
      </x:c>
      <x:c r="B39" s="27" t="str">
        <x:v>A1:N192</x:v>
      </x:c>
      <x:c r="C39" s="27"/>
      <x:c r="D39" s="27"/>
      <x:c r="E39" s="27"/>
      <x:c r="F39" s="27"/>
      <x:c r="G39" s="27"/>
    </x:row>
    <x:row r="40">
      <x:c r="A40" s="30" t="str">
        <x:v>09_ИНВЕНТАРЬ_И_ПОСУДА</x:v>
      </x:c>
      <x:c r="B40" s="27" t="str">
        <x:v>A1:P33</x:v>
      </x:c>
      <x:c r="C40" s="27"/>
      <x:c r="D40" s="27"/>
      <x:c r="E40" s="27"/>
      <x:c r="F40" s="27"/>
      <x:c r="G40" s="27"/>
    </x:row>
    <x:row r="41">
      <x:c r="A41" s="30" t="str">
        <x:v>10_АЛЛЕРГЕНЫ_БЕЗОПАСНОСТЬ</x:v>
      </x:c>
      <x:c r="B41" s="27" t="str">
        <x:v>A1:O33</x:v>
      </x:c>
      <x:c r="C41" s="27"/>
      <x:c r="D41" s="27"/>
      <x:c r="E41" s="27"/>
      <x:c r="F41" s="27"/>
      <x:c r="G41" s="27"/>
    </x:row>
    <x:row r="42">
      <x:c r="A42" s="30" t="str">
        <x:v>11_ПИЩЕВАЯ_ЦЕННОСТЬ</x:v>
      </x:c>
      <x:c r="B42" s="27" t="str">
        <x:v>A1:Q33</x:v>
      </x:c>
      <x:c r="C42" s="27"/>
      <x:c r="D42" s="27"/>
      <x:c r="E42" s="27"/>
      <x:c r="F42" s="27"/>
      <x:c r="G42" s="27"/>
    </x:row>
    <x:row r="43">
      <x:c r="A43" s="30" t="str">
        <x:v>12_ВОПРОСЫ_ШЕФУ</x:v>
      </x:c>
      <x:c r="B43" s="27" t="str">
        <x:v>A1:N149</x:v>
      </x:c>
      <x:c r="C43" s="27"/>
      <x:c r="D43" s="27"/>
      <x:c r="E43" s="27"/>
      <x:c r="F43" s="27"/>
      <x:c r="G43" s="27"/>
    </x:row>
    <x:row r="44">
      <x:c r="A44" s="30" t="str">
        <x:v>13_СОГЛАСОВАНИЕ</x:v>
      </x:c>
      <x:c r="B44" s="27" t="str">
        <x:v>A1:L33</x:v>
      </x:c>
      <x:c r="C44" s="27"/>
      <x:c r="D44" s="27"/>
      <x:c r="E44" s="27"/>
      <x:c r="F44" s="27"/>
      <x:c r="G44" s="27"/>
    </x:row>
    <x:row r="45">
      <x:c r="A45" s="30" t="str">
        <x:v>14_КОНТРОЛЬНЫЕ_ПРОРАБОТКИ</x:v>
      </x:c>
      <x:c r="B45" s="27" t="str">
        <x:v>A1:P33</x:v>
      </x:c>
      <x:c r="C45" s="27"/>
      <x:c r="D45" s="27"/>
      <x:c r="E45" s="27"/>
      <x:c r="F45" s="27"/>
      <x:c r="G45" s="27"/>
    </x:row>
    <x:row r="46">
      <x:c r="A46" s="30" t="str">
        <x:v>15_ПРОВЕРКИ</x:v>
      </x:c>
      <x:c r="B46" s="27" t="str">
        <x:v>A1:G47</x:v>
      </x:c>
      <x:c r="C46" s="27"/>
      <x:c r="D46" s="27"/>
      <x:c r="E46" s="27"/>
      <x:c r="F46" s="27"/>
      <x:c r="G46" s="27"/>
    </x:row>
    <x:row r="47">
      <x:c r="A47" s="30" t="str">
        <x:v>16_ИСТОЧНИКИ</x:v>
      </x:c>
      <x:c r="B47" s="27" t="str">
        <x:v>A1:M118</x:v>
      </x:c>
      <x:c r="C47" s="27"/>
      <x:c r="D47" s="27"/>
      <x:c r="E47" s="27"/>
      <x:c r="F47" s="27"/>
      <x:c r="G47" s="27"/>
    </x:row>
  </x:sheetData>
  <x:mergeCells>
    <x:mergeCell ref="A1:G1"/>
    <x:mergeCell ref="A2:G2"/>
  </x:mergeCells>
  <x:conditionalFormatting sqref="F6:F20">
    <x:cfRule type="containsText" dxfId="26" priority="1" operator="containsText" text="BLOCK"/>
    <x:cfRule type="containsText" dxfId="27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d15fe654152542d2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42" hidden="0" customWidth="1"/>
    <x:col min="4" max="4" width="70" hidden="0" customWidth="1"/>
    <x:col min="5" max="5" width="24" hidden="0" customWidth="1"/>
    <x:col min="6" max="6" width="18" hidden="0" customWidth="1"/>
    <x:col min="7" max="7" width="25" hidden="0" customWidth="1"/>
    <x:col min="8" max="8" width="45" hidden="0" customWidth="1"/>
    <x:col min="9" max="9" width="55" hidden="0" customWidth="1"/>
    <x:col min="10" max="10" width="25" hidden="0" customWidth="1"/>
    <x:col min="11" max="11" width="20" hidden="0" customWidth="1"/>
    <x:col min="12" max="12" width="24" hidden="0" customWidth="1"/>
    <x:col min="13" max="13" width="24" hidden="0" customWidth="1"/>
  </x:cols>
  <x:sheetData>
    <x:row r="1" ht="30" customHeight="1">
      <x:c r="A1" s="26" t="str">
        <x:v>16 — Источники и Evidence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27" customHeight="1">
      <x:c r="A2" s="28" t="str">
        <x:v>Full URLs are plain text. Price observations are only 46 accepted HOF-0005 v0.2.1 rows; rejected 22 are absent from selection.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</x:row>
    <x:row r="5" ht="34" customHeight="1">
      <x:c r="A5" s="31" t="str">
        <x:v>Source/Evidence ID</x:v>
      </x:c>
      <x:c r="B5" s="31" t="str">
        <x:v>Type</x:v>
      </x:c>
      <x:c r="C5" s="31" t="str">
        <x:v>Title / parameter</x:v>
      </x:c>
      <x:c r="D5" s="31" t="str">
        <x:v>Locator / URL</x:v>
      </x:c>
      <x:c r="E5" s="31" t="str">
        <x:v>Issuer / class</x:v>
      </x:c>
      <x:c r="F5" s="31" t="str">
        <x:v>Version / date</x:v>
      </x:c>
      <x:c r="G5" s="31" t="str">
        <x:v>Status</x:v>
      </x:c>
      <x:c r="H5" s="31" t="str">
        <x:v>Allowed use</x:v>
      </x:c>
      <x:c r="I5" s="31" t="str">
        <x:v>Limitations / prohibited</x:v>
      </x:c>
      <x:c r="J5" s="31" t="str">
        <x:v>Owner</x:v>
      </x:c>
      <x:c r="K5" s="31" t="str">
        <x:v>Linked source/entity</x:v>
      </x:c>
      <x:c r="L5" s="31" t="str">
        <x:v>Scope/name</x:v>
      </x:c>
      <x:c r="M5" s="31" t="str">
        <x:v>Gaps</x:v>
      </x:c>
    </x:row>
    <x:row r="6">
      <x:c r="A6" s="32" t="str">
        <x:v>SRC-001</x:v>
      </x:c>
      <x:c r="B6" s="32" t="str">
        <x:v>SOURCE</x:v>
      </x:c>
      <x:c r="C6" s="32" t="str">
        <x:v>MULTI_AGENT_GOVERNANCE_VARSHAVKA</x:v>
      </x:c>
      <x:c r="D6" s="32" t="str">
        <x:v>docs/01-project/MULTI_AGENT_GOVERNANCE_VARSHAVKA.md</x:v>
      </x:c>
      <x:c r="E6" s="32" t="str">
        <x:v>1</x:v>
      </x:c>
      <x:c r="F6" s="32" t="str">
        <x:v>1.0.0 / 2026-08-03</x:v>
      </x:c>
      <x:c r="G6" s="32" t="str">
        <x:v>APPLICABLE</x:v>
      </x:c>
      <x:c r="H6" s="32" t="str">
        <x:v>roles; gates; evidence and handoff rules</x:v>
      </x:c>
      <x:c r="I6" s="32" t="str">
        <x:v>does not supply domain facts</x:v>
      </x:c>
      <x:c r="J6" s="32" t="str">
        <x:v>Owner / Orchestrator</x:v>
      </x:c>
      <x:c r="K6" s="32"/>
      <x:c r="L6" s="32"/>
      <x:c r="M6" s="32"/>
    </x:row>
    <x:row r="7">
      <x:c r="A7" s="32" t="str">
        <x:v>SRC-002</x:v>
      </x:c>
      <x:c r="B7" s="32" t="str">
        <x:v>SOURCE</x:v>
      </x:c>
      <x:c r="C7" s="32" t="str">
        <x:v>KITCHEN_MENU_VARSHAVKA_v3.0.0</x:v>
      </x:c>
      <x:c r="D7" s="32" t="str">
        <x:v>downloads/KITCHEN_MENU_VARSHAVKA_v3.0.0.xlsx</x:v>
      </x:c>
      <x:c r="E7" s="32" t="str">
        <x:v>5</x:v>
      </x:c>
      <x:c r="F7" s="32" t="str">
        <x:v>3.0.0 / 2026-07-28 / sha256 edf80218…c95</x:v>
      </x:c>
      <x:c r="G7" s="32" t="str">
        <x:v>APPLICABLE_WITH_CONDITIONS</x:v>
      </x:c>
      <x:c r="H7" s="32" t="str">
        <x:v>menu identity; section; unit; draft output; production model; channels</x:v>
      </x:c>
      <x:c r="I7" s="32" t="str">
        <x:v>recipes and outputs conditional pending control cooks</x:v>
      </x:c>
      <x:c r="J7" s="32" t="str">
        <x:v>Chef / Owner</x:v>
      </x:c>
      <x:c r="K7" s="32"/>
      <x:c r="L7" s="32"/>
      <x:c r="M7" s="32"/>
    </x:row>
    <x:row r="8">
      <x:c r="A8" s="32" t="str">
        <x:v>SRC-003</x:v>
      </x:c>
      <x:c r="B8" s="32" t="str">
        <x:v>SOURCE</x:v>
      </x:c>
      <x:c r="C8" s="32" t="str">
        <x:v>KITCHEN_MENU_3.0.0</x:v>
      </x:c>
      <x:c r="D8" s="32" t="str">
        <x:v>docs/07-operations/KITCHEN_MENU_3.0.0.md</x:v>
      </x:c>
      <x:c r="E8" s="32" t="str">
        <x:v>5</x:v>
      </x:c>
      <x:c r="F8" s="32" t="str">
        <x:v>2026-07-27</x:v>
      </x:c>
      <x:c r="G8" s="32" t="str">
        <x:v>APPLICABLE_WITH_CONDITIONS</x:v>
      </x:c>
      <x:c r="H8" s="32" t="str">
        <x:v>human-readable reconciliation of SRC-002</x:v>
      </x:c>
      <x:c r="I8" s="32" t="str">
        <x:v>explicitly says recipes and outputs conditional</x:v>
      </x:c>
      <x:c r="J8" s="32" t="str">
        <x:v>Chef / Owner</x:v>
      </x:c>
      <x:c r="K8" s="32"/>
      <x:c r="L8" s="32"/>
      <x:c r="M8" s="32"/>
    </x:row>
    <x:row r="9">
      <x:c r="A9" s="32" t="str">
        <x:v>SRC-004</x:v>
      </x:c>
      <x:c r="B9" s="32" t="str">
        <x:v>SOURCE</x:v>
      </x:c>
      <x:c r="C9" s="32" t="str">
        <x:v>KITCHEN_PRODUCTION_CAPACITY_BY_MENU</x:v>
      </x:c>
      <x:c r="D9" s="32" t="str">
        <x:v>downloads/KITCHEN_PRODUCTION_CAPACITY_BY_MENU_VARSHAVKA_v3.0.0.xlsx</x:v>
      </x:c>
      <x:c r="E9" s="32" t="str">
        <x:v>5</x:v>
      </x:c>
      <x:c r="F9" s="32" t="str">
        <x:v>3.0.0 / 2026-07-28 / sha256 9a050fc3…ab5</x:v>
      </x:c>
      <x:c r="G9" s="32" t="str">
        <x:v>PRELIMINARY</x:v>
      </x:c>
      <x:c r="H9" s="32" t="str">
        <x:v>demand profiles; functional groups; preliminary bottlenecks</x:v>
      </x:c>
      <x:c r="I9" s="32" t="str">
        <x:v>profiles provisional; no passport performance</x:v>
      </x:c>
      <x:c r="J9" s="32" t="str">
        <x:v>Operations / Engineering</x:v>
      </x:c>
      <x:c r="K9" s="32"/>
      <x:c r="L9" s="32"/>
      <x:c r="M9" s="32"/>
    </x:row>
    <x:row r="10">
      <x:c r="A10" s="32" t="str">
        <x:v>SRC-005</x:v>
      </x:c>
      <x:c r="B10" s="32" t="str">
        <x:v>SOURCE</x:v>
      </x:c>
      <x:c r="C10" s="32" t="str">
        <x:v>EQUIPMENT_POWER_REGISTER</x:v>
      </x:c>
      <x:c r="D10" s="32" t="str">
        <x:v>downloads/EQUIPMENT_POWER_REGISTER_VARSHAVKA_v3.0.0.xlsx</x:v>
      </x:c>
      <x:c r="E10" s="32" t="str">
        <x:v>5</x:v>
      </x:c>
      <x:c r="F10" s="32" t="str">
        <x:v>3.0.0 / 2026-07-28 / sha256 4399b884…c39f</x:v>
      </x:c>
      <x:c r="G10" s="32" t="str">
        <x:v>PRELIMINARY</x:v>
      </x:c>
      <x:c r="H10" s="32" t="str">
        <x:v>equipment functions; preliminary electrical estimate</x:v>
      </x:c>
      <x:c r="I10" s="32" t="str">
        <x:v>models passports ownership and connections unconfirmed</x:v>
      </x:c>
      <x:c r="J10" s="32" t="str">
        <x:v>Procurement / Engineering</x:v>
      </x:c>
      <x:c r="K10" s="32"/>
      <x:c r="L10" s="32"/>
      <x:c r="M10" s="32"/>
    </x:row>
    <x:row r="11">
      <x:c r="A11" s="32" t="str">
        <x:v>SRC-006</x:v>
      </x:c>
      <x:c r="B11" s="32" t="str">
        <x:v>SOURCE</x:v>
      </x:c>
      <x:c r="C11" s="32" t="str">
        <x:v>S04 financial model</x:v>
      </x:c>
      <x:c r="D11" s="32" t="str">
        <x:v>models/scenarios/S04/FINMODEL_VARSHAVKA_USALI_SCENARIO_S04_v3.0.0.xlsx</x:v>
      </x:c>
      <x:c r="E11" s="32" t="str">
        <x:v>5</x:v>
      </x:c>
      <x:c r="F11" s="32" t="str">
        <x:v>3.0.0 / 2026-07-28 / sha256 337ce883…e695</x:v>
      </x:c>
      <x:c r="G11" s="32" t="str">
        <x:v>REFERENCE_ONLY</x:v>
      </x:c>
      <x:c r="H11" s="32" t="str">
        <x:v>architecture; current proxy/status reconciliation; breakfast example</x:v>
      </x:c>
      <x:c r="I11" s="32" t="str">
        <x:v>proxy COGS and draft inputs cannot populate 28 recipe cost cards</x:v>
      </x:c>
      <x:c r="J11" s="32" t="str">
        <x:v>Finance / Owner</x:v>
      </x:c>
      <x:c r="K11" s="32"/>
      <x:c r="L11" s="32"/>
      <x:c r="M11" s="32"/>
    </x:row>
    <x:row r="12">
      <x:c r="A12" s="32" t="str">
        <x:v>SRC-007</x:v>
      </x:c>
      <x:c r="B12" s="32" t="str">
        <x:v>SOURCE</x:v>
      </x:c>
      <x:c r="C12" s="32" t="str">
        <x:v>S04 release note</x:v>
      </x:c>
      <x:c r="D12" s="32" t="str">
        <x:v>docs/08-releases/S04-v3.0.0.md</x:v>
      </x:c>
      <x:c r="E12" s="32" t="str">
        <x:v>5</x:v>
      </x:c>
      <x:c r="F12" s="32" t="str">
        <x:v>2026-07-28</x:v>
      </x:c>
      <x:c r="G12" s="32" t="str">
        <x:v>APPLICABLE</x:v>
      </x:c>
      <x:c r="H12" s="32" t="str">
        <x:v>release status and stated limitations</x:v>
      </x:c>
      <x:c r="I12" s="32" t="str">
        <x:v>not a primary supplier recipe or safety document</x:v>
      </x:c>
      <x:c r="J12" s="32" t="str">
        <x:v>Orchestrator</x:v>
      </x:c>
      <x:c r="K12" s="32"/>
      <x:c r="L12" s="32"/>
      <x:c r="M12" s="32"/>
    </x:row>
    <x:row r="13">
      <x:c r="A13" s="32" t="str">
        <x:v>SRC-008</x:v>
      </x:c>
      <x:c r="B13" s="32" t="str">
        <x:v>SOURCE</x:v>
      </x:c>
      <x:c r="C13" s="32" t="str">
        <x:v>S04 validation report</x:v>
      </x:c>
      <x:c r="D13" s="32" t="str">
        <x:v>docs/06-validation/SCENARIO_S04_v3.0.0_VALIDATION.md</x:v>
      </x:c>
      <x:c r="E13" s="32" t="str">
        <x:v>5</x:v>
      </x:c>
      <x:c r="F13" s="32" t="str">
        <x:v>2026-07-28</x:v>
      </x:c>
      <x:c r="G13" s="32" t="str">
        <x:v>APPLICABLE</x:v>
      </x:c>
      <x:c r="H13" s="32" t="str">
        <x:v>formula/check provenance and breakfast architecture</x:v>
      </x:c>
      <x:c r="I13" s="32" t="str">
        <x:v>does not validate 28 recipes or external facts</x:v>
      </x:c>
      <x:c r="J13" s="32" t="str">
        <x:v>SystemArchitect</x:v>
      </x:c>
      <x:c r="K13" s="32"/>
      <x:c r="L13" s="32"/>
      <x:c r="M13" s="32"/>
    </x:row>
    <x:row r="14">
      <x:c r="A14" s="32" t="str">
        <x:v>SRC-009</x:v>
      </x:c>
      <x:c r="B14" s="32" t="str">
        <x:v>SOURCE</x:v>
      </x:c>
      <x:c r="C14" s="32" t="str">
        <x:v>ISSUE_REGISTER</x:v>
      </x:c>
      <x:c r="D14" s="32" t="str">
        <x:v>docs/05-data/ISSUE_REGISTER.md</x:v>
      </x:c>
      <x:c r="E14" s="32" t="str">
        <x:v>5</x:v>
      </x:c>
      <x:c r="F14" s="32" t="str">
        <x:v>2026-07-28 current repository snapshot</x:v>
      </x:c>
      <x:c r="G14" s="32" t="str">
        <x:v>APPLICABLE</x:v>
      </x:c>
      <x:c r="H14" s="32" t="str">
        <x:v>blockers; owners; acceptance criteria; dependencies</x:v>
      </x:c>
      <x:c r="I14" s="32" t="str">
        <x:v>open item is not evidence of fact</x:v>
      </x:c>
      <x:c r="J14" s="32" t="str">
        <x:v>Orchestrator / named owner</x:v>
      </x:c>
      <x:c r="K14" s="32"/>
      <x:c r="L14" s="32"/>
      <x:c r="M14" s="32"/>
    </x:row>
    <x:row r="15">
      <x:c r="A15" s="32" t="str">
        <x:v>SRC-010</x:v>
      </x:c>
      <x:c r="B15" s="32" t="str">
        <x:v>SOURCE</x:v>
      </x:c>
      <x:c r="C15" s="32" t="str">
        <x:v>Project data sources</x:v>
      </x:c>
      <x:c r="D15" s="32" t="str">
        <x:v>docs/05-data/DATA_SOURCES.md</x:v>
      </x:c>
      <x:c r="E15" s="32" t="str">
        <x:v>5</x:v>
      </x:c>
      <x:c r="F15" s="32" t="str">
        <x:v>current main</x:v>
      </x:c>
      <x:c r="G15" s="32" t="str">
        <x:v>APPLICABLE_WITH_CONDITIONS</x:v>
      </x:c>
      <x:c r="H15" s="32" t="str">
        <x:v>provenance boundary; confidential document location</x:v>
      </x:c>
      <x:c r="I15" s="32" t="str">
        <x:v>primary confidential documents absent from repository</x:v>
      </x:c>
      <x:c r="J15" s="32" t="str">
        <x:v>Owner</x:v>
      </x:c>
      <x:c r="K15" s="32"/>
      <x:c r="L15" s="32"/>
      <x:c r="M15" s="32"/>
    </x:row>
    <x:row r="16">
      <x:c r="A16" s="32" t="str">
        <x:v>SRC-011</x:v>
      </x:c>
      <x:c r="B16" s="32" t="str">
        <x:v>SOURCE</x:v>
      </x:c>
      <x:c r="C16" s="32" t="str">
        <x:v>CAPEX quantity specification</x:v>
      </x:c>
      <x:c r="D16" s="32" t="str">
        <x:v>docs/10-investment/CAPEX_QUANTITY_SPECIFICATION.csv</x:v>
      </x:c>
      <x:c r="E16" s="32" t="str">
        <x:v>5</x:v>
      </x:c>
      <x:c r="F16" s="32" t="str">
        <x:v>3.0.0 / 2026-07-28</x:v>
      </x:c>
      <x:c r="G16" s="32" t="str">
        <x:v>PRELIMINARY</x:v>
      </x:c>
      <x:c r="H16" s="32" t="str">
        <x:v>candidate quantities; gap routing</x:v>
      </x:c>
      <x:c r="I16" s="32" t="str">
        <x:v>does not prove purchase suitability or installation</x:v>
      </x:c>
      <x:c r="J16" s="32" t="str">
        <x:v>Procurement / Engineering</x:v>
      </x:c>
      <x:c r="K16" s="32"/>
      <x:c r="L16" s="32"/>
      <x:c r="M16" s="32"/>
    </x:row>
    <x:row r="17">
      <x:c r="A17" s="32" t="str">
        <x:v>SRC-012</x:v>
      </x:c>
      <x:c r="B17" s="32" t="str">
        <x:v>SOURCE</x:v>
      </x:c>
      <x:c r="C17" s="32" t="str">
        <x:v>Conditional equipment gates</x:v>
      </x:c>
      <x:c r="D17" s="32" t="str">
        <x:v>docs/10-investment/CONDITIONAL_EQUIPMENT_GATES.csv</x:v>
      </x:c>
      <x:c r="E17" s="32" t="str">
        <x:v>5</x:v>
      </x:c>
      <x:c r="F17" s="32" t="str">
        <x:v>3.0.0 / 2026-07-28</x:v>
      </x:c>
      <x:c r="G17" s="32" t="str">
        <x:v>APPLICABLE</x:v>
      </x:c>
      <x:c r="H17" s="32" t="str">
        <x:v>test/decision gates</x:v>
      </x:c>
      <x:c r="I17" s="32" t="str">
        <x:v>not equipment passport or acceptance act</x:v>
      </x:c>
      <x:c r="J17" s="32" t="str">
        <x:v>Operations / Engineering</x:v>
      </x:c>
      <x:c r="K17" s="32"/>
      <x:c r="L17" s="32"/>
      <x:c r="M17" s="32"/>
    </x:row>
    <x:row r="18">
      <x:c r="A18" s="32" t="str">
        <x:v>SRC-013</x:v>
      </x:c>
      <x:c r="B18" s="32" t="str">
        <x:v>SOURCE</x:v>
      </x:c>
      <x:c r="C18" s="32" t="str">
        <x:v>Issue #52 control-trial package</x:v>
      </x:c>
      <x:c r="D18" s="32" t="str">
        <x:v>docs/06-validation/issue-52/</x:v>
      </x:c>
      <x:c r="E18" s="32" t="str">
        <x:v>5</x:v>
      </x:c>
      <x:c r="F18" s="32" t="str">
        <x:v>2026-07-27/28</x:v>
      </x:c>
      <x:c r="G18" s="32" t="str">
        <x:v>REFERENCE_ONLY</x:v>
      </x:c>
      <x:c r="H18" s="32" t="str">
        <x:v>control-cook form architecture; evidence capture pattern</x:v>
      </x:c>
      <x:c r="I18" s="32" t="str">
        <x:v>excluded dishes; blank/project forms are not trial results</x:v>
      </x:c>
      <x:c r="J18" s="32" t="str">
        <x:v>Chef / Food Safety</x:v>
      </x:c>
      <x:c r="K18" s="32"/>
      <x:c r="L18" s="32"/>
      <x:c r="M18" s="32"/>
    </x:row>
    <x:row r="19">
      <x:c r="A19" s="32" t="str">
        <x:v>SRC-014</x:v>
      </x:c>
      <x:c r="B19" s="32" t="str">
        <x:v>SOURCE</x:v>
      </x:c>
      <x:c r="C19" s="32" t="str">
        <x:v>PR81 Source Audit</x:v>
      </x:c>
      <x:c r="D19" s="32" t="str">
        <x:v>/tmp/issue81/docs/07-operations/issue-80/SOURCE_AUDIT.md</x:v>
      </x:c>
      <x:c r="E19" s="32" t="str">
        <x:v>5</x:v>
      </x:c>
      <x:c r="F19" s="32" t="str">
        <x:v>2026-08-03</x:v>
      </x:c>
      <x:c r="G19" s="32" t="str">
        <x:v>REFERENCE_ONLY</x:v>
      </x:c>
      <x:c r="H19" s="32" t="str">
        <x:v>cross-check source hierarchy and known limitations</x:v>
      </x:c>
      <x:c r="I19" s="32" t="str">
        <x:v>not merged; not base; must revalidate</x:v>
      </x:c>
      <x:c r="J19" s="32" t="str">
        <x:v>SourceAuditor</x:v>
      </x:c>
      <x:c r="K19" s="32"/>
      <x:c r="L19" s="32"/>
      <x:c r="M19" s="32"/>
    </x:row>
    <x:row r="20">
      <x:c r="A20" s="32" t="str">
        <x:v>SRC-015</x:v>
      </x:c>
      <x:c r="B20" s="32" t="str">
        <x:v>SOURCE</x:v>
      </x:c>
      <x:c r="C20" s="32" t="str">
        <x:v>PR81 draft workbook</x:v>
      </x:c>
      <x:c r="D20" s="32" t="str">
        <x:v>/tmp/issue81/docs/07-operations/issue-80/VARSHAVKA_MENU_COSTING_TECH_CARDS_DRAFT_v1.0.0.xlsx</x:v>
      </x:c>
      <x:c r="E20" s="32" t="str">
        <x:v>5</x:v>
      </x:c>
      <x:c r="F20" s="32" t="str">
        <x:v>1.0.0 / 2026-08-03 / sha256 1c054ef9…b01</x:v>
      </x:c>
      <x:c r="G20" s="32" t="str">
        <x:v>REFERENCE_ONLY</x:v>
      </x:c>
      <x:c r="H20" s="32" t="str">
        <x:v>stable VKM/VKC/VKT; formula and validation patterns</x:v>
      </x:c>
      <x:c r="I20" s="32" t="str">
        <x:v>10 sheets not required 17; 28 skeletons contain no recipes</x:v>
      </x:c>
      <x:c r="J20" s="32" t="str">
        <x:v>ExcelBuilder / SystemArchitect</x:v>
      </x:c>
      <x:c r="K20" s="32"/>
      <x:c r="L20" s="32"/>
      <x:c r="M20" s="32"/>
    </x:row>
    <x:row r="21">
      <x:c r="A21" s="32" t="str">
        <x:v>SRC-016</x:v>
      </x:c>
      <x:c r="B21" s="32" t="str">
        <x:v>SOURCE</x:v>
      </x:c>
      <x:c r="C21" s="32" t="str">
        <x:v>PR81 builder</x:v>
      </x:c>
      <x:c r="D21" s="32" t="str">
        <x:v>/tmp/issue81/scripts/releases/build_issue_80_menu_cards.mjs</x:v>
      </x:c>
      <x:c r="E21" s="32" t="str">
        <x:v>5</x:v>
      </x:c>
      <x:c r="F21" s="32" t="str">
        <x:v>2026-08-03</x:v>
      </x:c>
      <x:c r="G21" s="32" t="str">
        <x:v>REFERENCE_ONLY</x:v>
      </x:c>
      <x:c r="H21" s="32" t="str">
        <x:v>reproducible builder patterns</x:v>
      </x:c>
      <x:c r="I21" s="32" t="str">
        <x:v>must be reviewed and extended; no domain-value authority</x:v>
      </x:c>
      <x:c r="J21" s="32" t="str">
        <x:v>ExcelBuilder</x:v>
      </x:c>
      <x:c r="K21" s="32"/>
      <x:c r="L21" s="32"/>
      <x:c r="M21" s="32"/>
    </x:row>
    <x:row r="22">
      <x:c r="A22" s="32" t="str">
        <x:v>SRC-017</x:v>
      </x:c>
      <x:c r="B22" s="32" t="str">
        <x:v>SOURCE</x:v>
      </x:c>
      <x:c r="C22" s="32" t="str">
        <x:v>PR81 Independent Verification</x:v>
      </x:c>
      <x:c r="D22" s="32" t="str">
        <x:v>/tmp/issue81/docs/07-operations/issue-80/INDEPENDENT_VERIFICATION.md</x:v>
      </x:c>
      <x:c r="E22" s="32" t="str">
        <x:v>5</x:v>
      </x:c>
      <x:c r="F22" s="32" t="str">
        <x:v>2026-08-03</x:v>
      </x:c>
      <x:c r="G22" s="32" t="str">
        <x:v>REFERENCE_ONLY</x:v>
      </x:c>
      <x:c r="H22" s="32" t="str">
        <x:v>known defects and regression checks</x:v>
      </x:c>
      <x:c r="I22" s="32" t="str">
        <x:v>PASS applies only to Issue #80 checkpoint</x:v>
      </x:c>
      <x:c r="J22" s="32" t="str">
        <x:v>IndependentVerifier</x:v>
      </x:c>
      <x:c r="K22" s="32"/>
      <x:c r="L22" s="32"/>
      <x:c r="M22" s="32"/>
    </x:row>
    <x:row r="23">
      <x:c r="A23" s="32" t="str">
        <x:v>SRC-018</x:v>
      </x:c>
      <x:c r="B23" s="32" t="str">
        <x:v>SOURCE</x:v>
      </x:c>
      <x:c r="C23" s="32" t="str">
        <x:v>ADR set</x:v>
      </x:c>
      <x:c r="D23" s="32" t="str">
        <x:v>docs/04-decisions/ADR-0001-TWO-BUSINESSES.md through ADR-0006-S03-DINNER-COGS-LINK.md</x:v>
      </x:c>
      <x:c r="E23" s="32" t="str">
        <x:v>1</x:v>
      </x:c>
      <x:c r="F23" s="32" t="str">
        <x:v>current main; latest dated 2026-07-17</x:v>
      </x:c>
      <x:c r="G23" s="32" t="str">
        <x:v>APPLICABLE_WITH_CONDITIONS</x:v>
      </x:c>
      <x:c r="H23" s="32" t="str">
        <x:v>business boundaries; accounting architecture; supersession</x:v>
      </x:c>
      <x:c r="I23" s="32" t="str">
        <x:v>does not approve recipes prices or safety parameters</x:v>
      </x:c>
      <x:c r="J23" s="32" t="str">
        <x:v>Owner / Orchestrator</x:v>
      </x:c>
      <x:c r="K23" s="32"/>
      <x:c r="L23" s="32"/>
      <x:c r="M23" s="32"/>
    </x:row>
    <x:row r="24">
      <x:c r="A24" s="32" t="str">
        <x:v>EVD-0001</x:v>
      </x:c>
      <x:c r="B24" s="32" t="str">
        <x:v>EVIDENCE</x:v>
      </x:c>
      <x:c r="C24" s="32" t="str">
        <x:v>governance and status taxonomy</x:v>
      </x:c>
      <x:c r="D24" s="32" t="str">
        <x:v>sections 2-8</x:v>
      </x:c>
      <x:c r="E24" s="32" t="str">
        <x:v>approved governance</x:v>
      </x:c>
      <x:c r="F24" s="32" t="str">
        <x:v>1.0.0 / 2026-08-03</x:v>
      </x:c>
      <x:c r="G24" s="32" t="str">
        <x:v>FACT</x:v>
      </x:c>
      <x:c r="H24" s="32" t="str">
        <x:v>workflow; roles; gates; status vocabulary</x:v>
      </x:c>
      <x:c r="I24" s="32" t="str">
        <x:v>domain fact substitution</x:v>
      </x:c>
      <x:c r="J24" s="32" t="str">
        <x:v>Orchestrator</x:v>
      </x:c>
      <x:c r="K24" s="32" t="str">
        <x:v>SRC-001</x:v>
      </x:c>
      <x:c r="L24" s="32" t="str">
        <x:v>ALL_28</x:v>
      </x:c>
      <x:c r="M24" s="32" t="str"/>
    </x:row>
    <x:row r="25">
      <x:c r="A25" s="32" t="str">
        <x:v>EVD-0002</x:v>
      </x:c>
      <x:c r="B25" s="32" t="str">
        <x:v>EVIDENCE</x:v>
      </x:c>
      <x:c r="C25" s="32" t="str">
        <x:v>stable VKM/VKC/VKT identifiers</x:v>
      </x:c>
      <x:c r="D25" s="32" t="str">
        <x:v>01_MENU/02_COSTING/03_TECHCARDS</x:v>
      </x:c>
      <x:c r="E25" s="32" t="str">
        <x:v>reference architecture</x:v>
      </x:c>
      <x:c r="F25" s="32" t="str">
        <x:v>1.0.0 / 2026-08-03</x:v>
      </x:c>
      <x:c r="G25" s="32" t="str">
        <x:v>FACT</x:v>
      </x:c>
      <x:c r="H25" s="32" t="str">
        <x:v>retain one-to-one code pattern</x:v>
      </x:c>
      <x:c r="I25" s="32" t="str">
        <x:v>copy domain values without handoff</x:v>
      </x:c>
      <x:c r="J25" s="32" t="str">
        <x:v>SystemArchitect</x:v>
      </x:c>
      <x:c r="K25" s="32" t="str">
        <x:v>SRC-015</x:v>
      </x:c>
      <x:c r="L25" s="32" t="str">
        <x:v>ALL_28</x:v>
      </x:c>
      <x:c r="M25" s="32" t="str"/>
    </x:row>
    <x:row r="26">
      <x:c r="A26" s="32" t="str">
        <x:v>EVD-0003</x:v>
      </x:c>
      <x:c r="B26" s="32" t="str">
        <x:v>EVIDENCE</x:v>
      </x:c>
      <x:c r="C26" s="32" t="str">
        <x:v>menu names and sections</x:v>
      </x:c>
      <x:c r="D26" s="32" t="str">
        <x:v>active menu table</x:v>
      </x:c>
      <x:c r="E26" s="32" t="str">
        <x:v>official project artifact</x:v>
      </x:c>
      <x:c r="F26" s="32" t="str">
        <x:v>3.0.0 / 2026-07-28</x:v>
      </x:c>
      <x:c r="G26" s="32" t="str">
        <x:v>FACT</x:v>
      </x:c>
      <x:c r="H26" s="32" t="str">
        <x:v>identity and section reconciliation</x:v>
      </x:c>
      <x:c r="I26" s="32" t="str">
        <x:v>claim recipe approval</x:v>
      </x:c>
      <x:c r="J26" s="32" t="str">
        <x:v>Chef / Owner</x:v>
      </x:c>
      <x:c r="K26" s="32" t="str">
        <x:v>SRC-002</x:v>
      </x:c>
      <x:c r="L26" s="32" t="str">
        <x:v>ALL_28</x:v>
      </x:c>
      <x:c r="M26" s="32" t="str"/>
    </x:row>
    <x:row r="27">
      <x:c r="A27" s="32" t="str">
        <x:v>EVD-0004</x:v>
      </x:c>
      <x:c r="B27" s="32" t="str">
        <x:v>EVIDENCE</x:v>
      </x:c>
      <x:c r="C27" s="32" t="str">
        <x:v>production and sales unit</x:v>
      </x:c>
      <x:c r="D27" s="32" t="str">
        <x:v>active menu table</x:v>
      </x:c>
      <x:c r="E27" s="32" t="str">
        <x:v>official project artifact</x:v>
      </x:c>
      <x:c r="F27" s="32" t="str">
        <x:v>3.0.0 / 2026-07-28</x:v>
      </x:c>
      <x:c r="G27" s="32" t="str">
        <x:v>DRAFT</x:v>
      </x:c>
      <x:c r="H27" s="32" t="str">
        <x:v>use as draft card metadata</x:v>
      </x:c>
      <x:c r="I27" s="32" t="str">
        <x:v>declare operationally validated</x:v>
      </x:c>
      <x:c r="J27" s="32" t="str">
        <x:v>Chef</x:v>
      </x:c>
      <x:c r="K27" s="32" t="str">
        <x:v>SRC-002</x:v>
      </x:c>
      <x:c r="L27" s="32" t="str">
        <x:v>ALL_28</x:v>
      </x:c>
      <x:c r="M27" s="32" t="str">
        <x:v>GAP-001</x:v>
      </x:c>
    </x:row>
    <x:row r="28">
      <x:c r="A28" s="32" t="str">
        <x:v>EVD-0005</x:v>
      </x:c>
      <x:c r="B28" s="32" t="str">
        <x:v>EVIDENCE</x:v>
      </x:c>
      <x:c r="C28" s="32" t="str">
        <x:v>normative portion or batch output</x:v>
      </x:c>
      <x:c r="D28" s="32" t="str">
        <x:v>active menu table</x:v>
      </x:c>
      <x:c r="E28" s="32" t="str">
        <x:v>project draft</x:v>
      </x:c>
      <x:c r="F28" s="32" t="str">
        <x:v>3.0.0 / 2026-07-28</x:v>
      </x:c>
      <x:c r="G28" s="32" t="str">
        <x:v>DRAFT</x:v>
      </x:c>
      <x:c r="H28" s="32" t="str">
        <x:v>use as control-cook target only</x:v>
      </x:c>
      <x:c r="I28" s="32" t="str">
        <x:v>claim factual yield or mass balance</x:v>
      </x:c>
      <x:c r="J28" s="32" t="str">
        <x:v>Chef</x:v>
      </x:c>
      <x:c r="K28" s="32" t="str">
        <x:v>SRC-002</x:v>
      </x:c>
      <x:c r="L28" s="32" t="str">
        <x:v>ALL_28</x:v>
      </x:c>
      <x:c r="M28" s="32" t="str">
        <x:v>GAP-002</x:v>
      </x:c>
    </x:row>
    <x:row r="29">
      <x:c r="A29" s="32" t="str">
        <x:v>EVD-0006</x:v>
      </x:c>
      <x:c r="B29" s="32" t="str">
        <x:v>EVIDENCE</x:v>
      </x:c>
      <x:c r="C29" s="32" t="str">
        <x:v>production model and channels</x:v>
      </x:c>
      <x:c r="D29" s="32" t="str">
        <x:v>active menu table</x:v>
      </x:c>
      <x:c r="E29" s="32" t="str">
        <x:v>project draft</x:v>
      </x:c>
      <x:c r="F29" s="32" t="str">
        <x:v>3.0.0 / 2026-07-28</x:v>
      </x:c>
      <x:c r="G29" s="32" t="str">
        <x:v>DRAFT</x:v>
      </x:c>
      <x:c r="H29" s="32" t="str">
        <x:v>seed workflow and applicable channel list</x:v>
      </x:c>
      <x:c r="I29" s="32" t="str">
        <x:v>claim owner-approved offering or price</x:v>
      </x:c>
      <x:c r="J29" s="32" t="str">
        <x:v>Owner / Chef</x:v>
      </x:c>
      <x:c r="K29" s="32" t="str">
        <x:v>SRC-002</x:v>
      </x:c>
      <x:c r="L29" s="32" t="str">
        <x:v>ALL_28</x:v>
      </x:c>
      <x:c r="M29" s="32" t="str">
        <x:v>GAP-003</x:v>
      </x:c>
    </x:row>
    <x:row r="30">
      <x:c r="A30" s="32" t="str">
        <x:v>EVD-0007</x:v>
      </x:c>
      <x:c r="B30" s="32" t="str">
        <x:v>EVIDENCE</x:v>
      </x:c>
      <x:c r="C30" s="32" t="str">
        <x:v>gross and net ingredient norms</x:v>
      </x:c>
      <x:c r="D30" s="32" t="str">
        <x:v>V-I-005 through V-I-012</x:v>
      </x:c>
      <x:c r="E30" s="32" t="str">
        <x:v>gap evidence</x:v>
      </x:c>
      <x:c r="F30" s="32" t="str">
        <x:v>2026-07-28</x:v>
      </x:c>
      <x:c r="G30" s="32" t="str">
        <x:v>BLOCKED</x:v>
      </x:c>
      <x:c r="H30" s="32" t="str">
        <x:v>create explicit chef questions and null inputs</x:v>
      </x:c>
      <x:c r="I30" s="32" t="str">
        <x:v>invent plausible recipes</x:v>
      </x:c>
      <x:c r="J30" s="32" t="str">
        <x:v>Chef</x:v>
      </x:c>
      <x:c r="K30" s="32" t="str">
        <x:v>SRC-009</x:v>
      </x:c>
      <x:c r="L30" s="32" t="str">
        <x:v>ALL_28</x:v>
      </x:c>
      <x:c r="M30" s="32" t="str">
        <x:v>GAP-004</x:v>
      </x:c>
    </x:row>
    <x:row r="31">
      <x:c r="A31" s="32" t="str">
        <x:v>EVD-0008</x:v>
      </x:c>
      <x:c r="B31" s="32" t="str">
        <x:v>EVIDENCE</x:v>
      </x:c>
      <x:c r="C31" s="32" t="str">
        <x:v>actual losses and yields</x:v>
      </x:c>
      <x:c r="D31" s="32" t="str">
        <x:v>V-I-005 through V-I-012</x:v>
      </x:c>
      <x:c r="E31" s="32" t="str">
        <x:v>gap evidence</x:v>
      </x:c>
      <x:c r="F31" s="32" t="str">
        <x:v>2026-07-28</x:v>
      </x:c>
      <x:c r="G31" s="32" t="str">
        <x:v>BLOCKED_PENDING_VALIDATION</x:v>
      </x:c>
      <x:c r="H31" s="32" t="str">
        <x:v>plan weighed trials</x:v>
      </x:c>
      <x:c r="I31" s="32" t="str">
        <x:v>derive factual loss from menu output</x:v>
      </x:c>
      <x:c r="J31" s="32" t="str">
        <x:v>Chef / Procurement</x:v>
      </x:c>
      <x:c r="K31" s="32" t="str">
        <x:v>SRC-009</x:v>
      </x:c>
      <x:c r="L31" s="32" t="str">
        <x:v>ALL_28</x:v>
      </x:c>
      <x:c r="M31" s="32" t="str">
        <x:v>GAP-005</x:v>
      </x:c>
    </x:row>
    <x:row r="32">
      <x:c r="A32" s="32" t="str">
        <x:v>EVD-0009</x:v>
      </x:c>
      <x:c r="B32" s="32" t="str">
        <x:v>EVIDENCE</x:v>
      </x:c>
      <x:c r="C32" s="32" t="str">
        <x:v>semi-finished product recipes and batch yields</x:v>
      </x:c>
      <x:c r="D32" s="32" t="str">
        <x:v>production-model descriptions</x:v>
      </x:c>
      <x:c r="E32" s="32" t="str">
        <x:v>secondary project cue</x:v>
      </x:c>
      <x:c r="F32" s="32" t="str">
        <x:v>2026-07-27</x:v>
      </x:c>
      <x:c r="G32" s="32" t="str">
        <x:v>BLOCKED</x:v>
      </x:c>
      <x:c r="H32" s="32" t="str">
        <x:v>identify candidate VSF nodes only</x:v>
      </x:c>
      <x:c r="I32" s="32" t="str">
        <x:v>assign composition or yield without chef handoff</x:v>
      </x:c>
      <x:c r="J32" s="32" t="str">
        <x:v>Chef / SemiFinishedProductsAgent</x:v>
      </x:c>
      <x:c r="K32" s="32" t="str">
        <x:v>SRC-003</x:v>
      </x:c>
      <x:c r="L32" s="32" t="str">
        <x:v>ALL_28</x:v>
      </x:c>
      <x:c r="M32" s="32" t="str">
        <x:v>GAP-006</x:v>
      </x:c>
    </x:row>
    <x:row r="33">
      <x:c r="A33" s="32" t="str">
        <x:v>EVD-0010</x:v>
      </x:c>
      <x:c r="B33" s="32" t="str">
        <x:v>EVIDENCE</x:v>
      </x:c>
      <x:c r="C33" s="32" t="str">
        <x:v>operation sequence and process time</x:v>
      </x:c>
      <x:c r="D33" s="32" t="str">
        <x:v>operation/capacity mappings</x:v>
      </x:c>
      <x:c r="E33" s="32" t="str">
        <x:v>preliminary model</x:v>
      </x:c>
      <x:c r="F33" s="32" t="str">
        <x:v>3.0.0 / 2026-07-28</x:v>
      </x:c>
      <x:c r="G33" s="32" t="str">
        <x:v>ESTIMATE</x:v>
      </x:c>
      <x:c r="H33" s="32" t="str">
        <x:v>use only as planning prompt and reconciliation aid</x:v>
      </x:c>
      <x:c r="I33" s="32" t="str">
        <x:v>claim observed time or approved technology</x:v>
      </x:c>
      <x:c r="J33" s="32" t="str">
        <x:v>Chef / Operations</x:v>
      </x:c>
      <x:c r="K33" s="32" t="str">
        <x:v>SRC-004</x:v>
      </x:c>
      <x:c r="L33" s="32" t="str">
        <x:v>ALL_28</x:v>
      </x:c>
      <x:c r="M33" s="32" t="str">
        <x:v>GAP-007</x:v>
      </x:c>
    </x:row>
    <x:row r="34">
      <x:c r="A34" s="32" t="str">
        <x:v>EVD-0011</x:v>
      </x:c>
      <x:c r="B34" s="32" t="str">
        <x:v>EVIDENCE</x:v>
      </x:c>
      <x:c r="C34" s="32" t="str">
        <x:v>presentation and organoleptic acceptance</x:v>
      </x:c>
      <x:c r="D34" s="32" t="str">
        <x:v>control-trial form patterns</x:v>
      </x:c>
      <x:c r="E34" s="32" t="str">
        <x:v>reference template</x:v>
      </x:c>
      <x:c r="F34" s="32" t="str">
        <x:v>2026-07-27/28</x:v>
      </x:c>
      <x:c r="G34" s="32" t="str">
        <x:v>BLOCKED</x:v>
      </x:c>
      <x:c r="H34" s="32" t="str">
        <x:v>use form structure</x:v>
      </x:c>
      <x:c r="I34" s="32" t="str">
        <x:v>simulate tasting or acceptance</x:v>
      </x:c>
      <x:c r="J34" s="32" t="str">
        <x:v>Chef / Owner</x:v>
      </x:c>
      <x:c r="K34" s="32" t="str">
        <x:v>SRC-013</x:v>
      </x:c>
      <x:c r="L34" s="32" t="str">
        <x:v>ALL_28</x:v>
      </x:c>
      <x:c r="M34" s="32" t="str">
        <x:v>GAP-008</x:v>
      </x:c>
    </x:row>
    <x:row r="35">
      <x:c r="A35" s="32" t="str">
        <x:v>EVD-0012</x:v>
      </x:c>
      <x:c r="B35" s="32" t="str">
        <x:v>EVIDENCE</x:v>
      </x:c>
      <x:c r="C35" s="32" t="str">
        <x:v>ingredient and SKU allergen declarations</x:v>
      </x:c>
      <x:c r="D35" s="32" t="str">
        <x:v>V-I-018 and V-I-068</x:v>
      </x:c>
      <x:c r="E35" s="32" t="str">
        <x:v>gap evidence</x:v>
      </x:c>
      <x:c r="F35" s="32" t="str">
        <x:v>2026-07-28</x:v>
      </x:c>
      <x:c r="G35" s="32" t="str">
        <x:v>BLOCKED_PENDING_VALIDATION</x:v>
      </x:c>
      <x:c r="H35" s="32" t="str">
        <x:v>build provisional ingredient-based questions</x:v>
      </x:c>
      <x:c r="I35" s="32" t="str">
        <x:v>declare allergen-free status</x:v>
      </x:c>
      <x:c r="J35" s="32" t="str">
        <x:v>Food Safety / Procurement</x:v>
      </x:c>
      <x:c r="K35" s="32" t="str">
        <x:v>SRC-009</x:v>
      </x:c>
      <x:c r="L35" s="32" t="str">
        <x:v>ALL_28</x:v>
      </x:c>
      <x:c r="M35" s="32" t="str">
        <x:v>GAP-009</x:v>
      </x:c>
    </x:row>
    <x:row r="36">
      <x:c r="A36" s="32" t="str">
        <x:v>EVD-0013</x:v>
      </x:c>
      <x:c r="B36" s="32" t="str">
        <x:v>EVIDENCE</x:v>
      </x:c>
      <x:c r="C36" s="32" t="str">
        <x:v>critical temperatures and process limits</x:v>
      </x:c>
      <x:c r="D36" s="32" t="str">
        <x:v>V-I-013 through V-I-018</x:v>
      </x:c>
      <x:c r="E36" s="32" t="str">
        <x:v>gap evidence</x:v>
      </x:c>
      <x:c r="F36" s="32" t="str">
        <x:v>2026-07-28</x:v>
      </x:c>
      <x:c r="G36" s="32" t="str">
        <x:v>BLOCKED_PENDING_VALIDATION</x:v>
      </x:c>
      <x:c r="H36" s="32" t="str">
        <x:v>identify CCP fields and official-source research needs</x:v>
      </x:c>
      <x:c r="I36" s="32" t="str">
        <x:v>invent temperature limits</x:v>
      </x:c>
      <x:c r="J36" s="32" t="str">
        <x:v>FoodSafetyAgent</x:v>
      </x:c>
      <x:c r="K36" s="32" t="str">
        <x:v>SRC-009</x:v>
      </x:c>
      <x:c r="L36" s="32" t="str">
        <x:v>ALL_28</x:v>
      </x:c>
      <x:c r="M36" s="32" t="str">
        <x:v>GAP-010</x:v>
      </x:c>
    </x:row>
    <x:row r="37">
      <x:c r="A37" s="32" t="str">
        <x:v>EVD-0014</x:v>
      </x:c>
      <x:c r="B37" s="32" t="str">
        <x:v>EVIDENCE</x:v>
      </x:c>
      <x:c r="C37" s="32" t="str">
        <x:v>storage shelf life cooling reheating and realization</x:v>
      </x:c>
      <x:c r="D37" s="32" t="str">
        <x:v>V-I-013 through V-I-020</x:v>
      </x:c>
      <x:c r="E37" s="32" t="str">
        <x:v>gap evidence</x:v>
      </x:c>
      <x:c r="F37" s="32" t="str">
        <x:v>2026-07-28</x:v>
      </x:c>
      <x:c r="G37" s="32" t="str">
        <x:v>BLOCKED_PENDING_VALIDATION</x:v>
      </x:c>
      <x:c r="H37" s="32" t="str">
        <x:v>create blocker and validation protocol</x:v>
      </x:c>
      <x:c r="I37" s="32" t="str">
        <x:v>assign shelf life or regime</x:v>
      </x:c>
      <x:c r="J37" s="32" t="str">
        <x:v>FoodSafetyAgent / PPK owner</x:v>
      </x:c>
      <x:c r="K37" s="32" t="str">
        <x:v>SRC-009</x:v>
      </x:c>
      <x:c r="L37" s="32" t="str">
        <x:v>ALL_28</x:v>
      </x:c>
      <x:c r="M37" s="32" t="str">
        <x:v>GAP-011</x:v>
      </x:c>
    </x:row>
    <x:row r="38">
      <x:c r="A38" s="32" t="str">
        <x:v>EVD-0015</x:v>
      </x:c>
      <x:c r="B38" s="32" t="str">
        <x:v>EVIDENCE</x:v>
      </x:c>
      <x:c r="C38" s="32" t="str">
        <x:v>labeling and traceability controls</x:v>
      </x:c>
      <x:c r="D38" s="32" t="str">
        <x:v>V-I-018 and V-I-068</x:v>
      </x:c>
      <x:c r="E38" s="32" t="str">
        <x:v>gap evidence</x:v>
      </x:c>
      <x:c r="F38" s="32" t="str">
        <x:v>2026-07-28</x:v>
      </x:c>
      <x:c r="G38" s="32" t="str">
        <x:v>BLOCKED</x:v>
      </x:c>
      <x:c r="H38" s="32" t="str">
        <x:v>define required fields only</x:v>
      </x:c>
      <x:c r="I38" s="32" t="str">
        <x:v>claim implemented compliance</x:v>
      </x:c>
      <x:c r="J38" s="32" t="str">
        <x:v>FoodSafetyAgent / Operations</x:v>
      </x:c>
      <x:c r="K38" s="32" t="str">
        <x:v>SRC-009</x:v>
      </x:c>
      <x:c r="L38" s="32" t="str">
        <x:v>ALL_28</x:v>
      </x:c>
      <x:c r="M38" s="32" t="str">
        <x:v>GAP-012</x:v>
      </x:c>
    </x:row>
    <x:row r="39">
      <x:c r="A39" s="32" t="str">
        <x:v>EVD-0016</x:v>
      </x:c>
      <x:c r="B39" s="32" t="str">
        <x:v>EVIDENCE</x:v>
      </x:c>
      <x:c r="C39" s="32" t="str">
        <x:v>raw-material SKU specifications and package sizes</x:v>
      </x:c>
      <x:c r="D39" s="32" t="str">
        <x:v>V-I-009 V-I-010 V-I-042 V-I-122</x:v>
      </x:c>
      <x:c r="E39" s="32" t="str">
        <x:v>gap evidence</x:v>
      </x:c>
      <x:c r="F39" s="32" t="str">
        <x:v>2026-07-28</x:v>
      </x:c>
      <x:c r="G39" s="32" t="str">
        <x:v>BLOCKED</x:v>
      </x:c>
      <x:c r="H39" s="32" t="str">
        <x:v>build required-document list and null register</x:v>
      </x:c>
      <x:c r="I39" s="32" t="str">
        <x:v>make up SKU or package</x:v>
      </x:c>
      <x:c r="J39" s="32" t="str">
        <x:v>Procurement</x:v>
      </x:c>
      <x:c r="K39" s="32" t="str">
        <x:v>SRC-009</x:v>
      </x:c>
      <x:c r="L39" s="32" t="str">
        <x:v>ALL_28</x:v>
      </x:c>
      <x:c r="M39" s="32" t="str">
        <x:v>GAP-013</x:v>
      </x:c>
    </x:row>
    <x:row r="40">
      <x:c r="A40" s="32" t="str">
        <x:v>EVD-0017</x:v>
      </x:c>
      <x:c r="B40" s="32" t="str">
        <x:v>EVIDENCE</x:v>
      </x:c>
      <x:c r="C40" s="32" t="str">
        <x:v>supplier prices delivery MOQ lead time and VAT</x:v>
      </x:c>
      <x:c r="D40" s="32" t="str">
        <x:v>V-I-039 V-I-053 V-I-122 V-I-123</x:v>
      </x:c>
      <x:c r="E40" s="32" t="str">
        <x:v>gap evidence</x:v>
      </x:c>
      <x:c r="F40" s="32" t="str">
        <x:v>2026-07-28</x:v>
      </x:c>
      <x:c r="G40" s="32" t="str">
        <x:v>BLOCKED</x:v>
      </x:c>
      <x:c r="H40" s="32" t="str">
        <x:v>prepare price-observation schema</x:v>
      </x:c>
      <x:c r="I40" s="32" t="str">
        <x:v>copy draft price as approved</x:v>
      </x:c>
      <x:c r="J40" s="32" t="str">
        <x:v>Procurement / Finance</x:v>
      </x:c>
      <x:c r="K40" s="32" t="str">
        <x:v>SRC-009</x:v>
      </x:c>
      <x:c r="L40" s="32" t="str">
        <x:v>ALL_28</x:v>
      </x:c>
      <x:c r="M40" s="32" t="str">
        <x:v>GAP-014</x:v>
      </x:c>
    </x:row>
    <x:row r="41">
      <x:c r="A41" s="32" t="str">
        <x:v>EVD-0018</x:v>
      </x:c>
      <x:c r="B41" s="32" t="str">
        <x:v>EVIDENCE</x:v>
      </x:c>
      <x:c r="C41" s="32" t="str">
        <x:v>recipe cost and nested VSF cost</x:v>
      </x:c>
      <x:c r="D41" s="32" t="str">
        <x:v>V-I-053</x:v>
      </x:c>
      <x:c r="E41" s="32" t="str">
        <x:v>canonical blocker</x:v>
      </x:c>
      <x:c r="F41" s="32" t="str">
        <x:v>2026-07-28</x:v>
      </x:c>
      <x:c r="G41" s="32" t="str">
        <x:v>BLOCKED</x:v>
      </x:c>
      <x:c r="H41" s="32" t="str">
        <x:v>calculate only after frozen recipe and accepted prices</x:v>
      </x:c>
      <x:c r="I41" s="32" t="str">
        <x:v>use proxy percentage COGS as recipe cost</x:v>
      </x:c>
      <x:c r="J41" s="32" t="str">
        <x:v>CostingPricingAgent</x:v>
      </x:c>
      <x:c r="K41" s="32" t="str">
        <x:v>SRC-009</x:v>
      </x:c>
      <x:c r="L41" s="32" t="str">
        <x:v>ALL_28</x:v>
      </x:c>
      <x:c r="M41" s="32" t="str">
        <x:v>GAP-015</x:v>
      </x:c>
    </x:row>
    <x:row r="42">
      <x:c r="A42" s="32" t="str">
        <x:v>EVD-0019</x:v>
      </x:c>
      <x:c r="B42" s="32" t="str">
        <x:v>EVIDENCE</x:v>
      </x:c>
      <x:c r="C42" s="32" t="str">
        <x:v>channel selling prices commissions and tax applicability</x:v>
      </x:c>
      <x:c r="D42" s="32" t="str">
        <x:v>scenario channel architecture</x:v>
      </x:c>
      <x:c r="E42" s="32" t="str">
        <x:v>reference model</x:v>
      </x:c>
      <x:c r="F42" s="32" t="str">
        <x:v>3.0.0 / 2026-07-28</x:v>
      </x:c>
      <x:c r="G42" s="32" t="str">
        <x:v>BLOCKED</x:v>
      </x:c>
      <x:c r="H42" s="32" t="str">
        <x:v>identify applicable channels and formula inputs</x:v>
      </x:c>
      <x:c r="I42" s="32" t="str">
        <x:v>declare project price or tax approved</x:v>
      </x:c>
      <x:c r="J42" s="32" t="str">
        <x:v>Owner / Finance / Tax</x:v>
      </x:c>
      <x:c r="K42" s="32" t="str">
        <x:v>SRC-006</x:v>
      </x:c>
      <x:c r="L42" s="32" t="str">
        <x:v>ALL_28</x:v>
      </x:c>
      <x:c r="M42" s="32" t="str">
        <x:v>GAP-016</x:v>
      </x:c>
    </x:row>
    <x:row r="43">
      <x:c r="A43" s="32" t="str">
        <x:v>EVD-0020</x:v>
      </x:c>
      <x:c r="B43" s="32" t="str">
        <x:v>EVIDENCE</x:v>
      </x:c>
      <x:c r="C43" s="32" t="str">
        <x:v>food cost gross margin and contribution</x:v>
      </x:c>
      <x:c r="D43" s="32" t="str">
        <x:v>ADR-0006 and business architecture</x:v>
      </x:c>
      <x:c r="E43" s="32" t="str">
        <x:v>calculation method</x:v>
      </x:c>
      <x:c r="F43" s="32" t="str">
        <x:v>current main</x:v>
      </x:c>
      <x:c r="G43" s="32" t="str">
        <x:v>BLOCKED</x:v>
      </x:c>
      <x:c r="H43" s="32" t="str">
        <x:v>calculate transparently after accepted inputs</x:v>
      </x:c>
      <x:c r="I43" s="32" t="str">
        <x:v>use ADR proxy as item fact</x:v>
      </x:c>
      <x:c r="J43" s="32" t="str">
        <x:v>CostingPricingAgent</x:v>
      </x:c>
      <x:c r="K43" s="32" t="str">
        <x:v>SRC-018</x:v>
      </x:c>
      <x:c r="L43" s="32" t="str">
        <x:v>ALL_28</x:v>
      </x:c>
      <x:c r="M43" s="32" t="str">
        <x:v>GAP-015;GAP-016</x:v>
      </x:c>
    </x:row>
    <x:row r="44">
      <x:c r="A44" s="32" t="str">
        <x:v>EVD-0021</x:v>
      </x:c>
      <x:c r="B44" s="32" t="str">
        <x:v>EVIDENCE</x:v>
      </x:c>
      <x:c r="C44" s="32" t="str">
        <x:v>equipment functional mapping</x:v>
      </x:c>
      <x:c r="D44" s="32" t="str">
        <x:v>menu-to-capacity operation groups</x:v>
      </x:c>
      <x:c r="E44" s="32" t="str">
        <x:v>preliminary model</x:v>
      </x:c>
      <x:c r="F44" s="32" t="str">
        <x:v>3.0.0 / 2026-07-28</x:v>
      </x:c>
      <x:c r="G44" s="32" t="str">
        <x:v>ESTIMATE</x:v>
      </x:c>
      <x:c r="H44" s="32" t="str">
        <x:v>seed operation-to-function mapping</x:v>
      </x:c>
      <x:c r="I44" s="32" t="str">
        <x:v>approve concrete equipment</x:v>
      </x:c>
      <x:c r="J44" s="32" t="str">
        <x:v>EquipmentCapacityAgent</x:v>
      </x:c>
      <x:c r="K44" s="32" t="str">
        <x:v>SRC-004</x:v>
      </x:c>
      <x:c r="L44" s="32" t="str">
        <x:v>ALL_28</x:v>
      </x:c>
      <x:c r="M44" s="32" t="str">
        <x:v>GAP-017</x:v>
      </x:c>
    </x:row>
    <x:row r="45">
      <x:c r="A45" s="32" t="str">
        <x:v>EVD-0022</x:v>
      </x:c>
      <x:c r="B45" s="32" t="str">
        <x:v>EVIDENCE</x:v>
      </x:c>
      <x:c r="C45" s="32" t="str">
        <x:v>equipment model capacity duration and batch count</x:v>
      </x:c>
      <x:c r="D45" s="32" t="str">
        <x:v>equipment register</x:v>
      </x:c>
      <x:c r="E45" s="32" t="str">
        <x:v>preliminary estimate</x:v>
      </x:c>
      <x:c r="F45" s="32" t="str">
        <x:v>3.0.0 / 2026-07-28</x:v>
      </x:c>
      <x:c r="G45" s="32" t="str">
        <x:v>BLOCKED</x:v>
      </x:c>
      <x:c r="H45" s="32" t="str">
        <x:v>identify missing passport data</x:v>
      </x:c>
      <x:c r="I45" s="32" t="str">
        <x:v>invent passport throughput</x:v>
      </x:c>
      <x:c r="J45" s="32" t="str">
        <x:v>Procurement / Engineering</x:v>
      </x:c>
      <x:c r="K45" s="32" t="str">
        <x:v>SRC-005</x:v>
      </x:c>
      <x:c r="L45" s="32" t="str">
        <x:v>ALL_28</x:v>
      </x:c>
      <x:c r="M45" s="32" t="str">
        <x:v>GAP-018</x:v>
      </x:c>
    </x:row>
    <x:row r="46">
      <x:c r="A46" s="32" t="str">
        <x:v>EVD-0023</x:v>
      </x:c>
      <x:c r="B46" s="32" t="str">
        <x:v>EVIDENCE</x:v>
      </x:c>
      <x:c r="C46" s="32" t="str">
        <x:v>equipment ownership installation and connections</x:v>
      </x:c>
      <x:c r="D46" s="32" t="str">
        <x:v>V-I-038 through V-I-044 and V-I-104 through V-I-114</x:v>
      </x:c>
      <x:c r="E46" s="32" t="str">
        <x:v>gap evidence</x:v>
      </x:c>
      <x:c r="F46" s="32" t="str">
        <x:v>2026-07-28</x:v>
      </x:c>
      <x:c r="G46" s="32" t="str">
        <x:v>BLOCKED</x:v>
      </x:c>
      <x:c r="H46" s="32" t="str">
        <x:v>record CAPEX/technical gaps</x:v>
      </x:c>
      <x:c r="I46" s="32" t="str">
        <x:v>claim available or connected</x:v>
      </x:c>
      <x:c r="J46" s="32" t="str">
        <x:v>Engineering / Owner</x:v>
      </x:c>
      <x:c r="K46" s="32" t="str">
        <x:v>SRC-009</x:v>
      </x:c>
      <x:c r="L46" s="32" t="str">
        <x:v>ALL_28</x:v>
      </x:c>
      <x:c r="M46" s="32" t="str">
        <x:v>GAP-019</x:v>
      </x:c>
    </x:row>
    <x:row r="47">
      <x:c r="A47" s="32" t="str">
        <x:v>EVD-0024</x:v>
      </x:c>
      <x:c r="B47" s="32" t="str">
        <x:v>EVIDENCE</x:v>
      </x:c>
      <x:c r="C47" s="32" t="str">
        <x:v>production capacity and bottlenecks</x:v>
      </x:c>
      <x:c r="D47" s="32" t="str">
        <x:v>capacity workbook</x:v>
      </x:c>
      <x:c r="E47" s="32" t="str">
        <x:v>scenario estimate</x:v>
      </x:c>
      <x:c r="F47" s="32" t="str">
        <x:v>3.0.0 / 2026-07-28</x:v>
      </x:c>
      <x:c r="G47" s="32" t="str">
        <x:v>ESTIMATE</x:v>
      </x:c>
      <x:c r="H47" s="32" t="str">
        <x:v>preliminary sensitivity and test plan</x:v>
      </x:c>
      <x:c r="I47" s="32" t="str">
        <x:v>claim demonstrated capacity</x:v>
      </x:c>
      <x:c r="J47" s="32" t="str">
        <x:v>Operations / Engineering</x:v>
      </x:c>
      <x:c r="K47" s="32" t="str">
        <x:v>SRC-004</x:v>
      </x:c>
      <x:c r="L47" s="32" t="str">
        <x:v>ALL_28</x:v>
      </x:c>
      <x:c r="M47" s="32" t="str">
        <x:v>GAP-020</x:v>
      </x:c>
    </x:row>
    <x:row r="48">
      <x:c r="A48" s="32" t="str">
        <x:v>EVD-0025</x:v>
      </x:c>
      <x:c r="B48" s="32" t="str">
        <x:v>EVIDENCE</x:v>
      </x:c>
      <x:c r="C48" s="32" t="str">
        <x:v>inventory and production utensils</x:v>
      </x:c>
      <x:c r="D48" s="32" t="str">
        <x:v>CAPEX quantity rows</x:v>
      </x:c>
      <x:c r="E48" s="32" t="str">
        <x:v>project estimate</x:v>
      </x:c>
      <x:c r="F48" s="32" t="str">
        <x:v>3.0.0 / 2026-07-28</x:v>
      </x:c>
      <x:c r="G48" s="32" t="str">
        <x:v>ESTIMATE</x:v>
      </x:c>
      <x:c r="H48" s="32" t="str">
        <x:v>seed resource questions and candidate list</x:v>
      </x:c>
      <x:c r="I48" s="32" t="str">
        <x:v>claim quantity approved or purchased</x:v>
      </x:c>
      <x:c r="J48" s="32" t="str">
        <x:v>Operations / Procurement</x:v>
      </x:c>
      <x:c r="K48" s="32" t="str">
        <x:v>SRC-011</x:v>
      </x:c>
      <x:c r="L48" s="32" t="str">
        <x:v>ALL_28</x:v>
      </x:c>
      <x:c r="M48" s="32" t="str">
        <x:v>GAP-021</x:v>
      </x:c>
    </x:row>
    <x:row r="49">
      <x:c r="A49" s="32" t="str">
        <x:v>EVD-0026</x:v>
      </x:c>
      <x:c r="B49" s="32" t="str">
        <x:v>EVIDENCE</x:v>
      </x:c>
      <x:c r="C49" s="32" t="str">
        <x:v>service tableware and reserve</x:v>
      </x:c>
      <x:c r="D49" s="32" t="str">
        <x:v>V-I-083 V-I-118 V-I-119</x:v>
      </x:c>
      <x:c r="E49" s="32" t="str">
        <x:v>gap evidence</x:v>
      </x:c>
      <x:c r="F49" s="32" t="str">
        <x:v>2026-07-28</x:v>
      </x:c>
      <x:c r="G49" s="32" t="str">
        <x:v>BLOCKED</x:v>
      </x:c>
      <x:c r="H49" s="32" t="str">
        <x:v>create per-dish tableware requirement fields</x:v>
      </x:c>
      <x:c r="I49" s="32" t="str">
        <x:v>invent service scheme or reserve</x:v>
      </x:c>
      <x:c r="J49" s="32" t="str">
        <x:v>Operations / Owner</x:v>
      </x:c>
      <x:c r="K49" s="32" t="str">
        <x:v>SRC-009</x:v>
      </x:c>
      <x:c r="L49" s="32" t="str">
        <x:v>ALL_28</x:v>
      </x:c>
      <x:c r="M49" s="32" t="str">
        <x:v>GAP-022</x:v>
      </x:c>
    </x:row>
    <x:row r="50">
      <x:c r="A50" s="32" t="str">
        <x:v>EVD-0027</x:v>
      </x:c>
      <x:c r="B50" s="32" t="str">
        <x:v>EVIDENCE</x:v>
      </x:c>
      <x:c r="C50" s="32" t="str">
        <x:v>nutrition source values per ingredient</x:v>
      </x:c>
      <x:c r="D50" s="32" t="str">
        <x:v>source policy</x:v>
      </x:c>
      <x:c r="E50" s="32" t="str">
        <x:v>absence evidence</x:v>
      </x:c>
      <x:c r="F50" s="32" t="str">
        <x:v>current main</x:v>
      </x:c>
      <x:c r="G50" s="32" t="str">
        <x:v>BLOCKED</x:v>
      </x:c>
      <x:c r="H50" s="32" t="str">
        <x:v>define acceptable source hierarchy</x:v>
      </x:c>
      <x:c r="I50" s="32" t="str">
        <x:v>replace unknown with zero</x:v>
      </x:c>
      <x:c r="J50" s="32" t="str">
        <x:v>NutritionDataAgent / Procurement</x:v>
      </x:c>
      <x:c r="K50" s="32" t="str">
        <x:v>SRC-010</x:v>
      </x:c>
      <x:c r="L50" s="32" t="str">
        <x:v>ALL_28</x:v>
      </x:c>
      <x:c r="M50" s="32" t="str">
        <x:v>GAP-023</x:v>
      </x:c>
    </x:row>
    <x:row r="51">
      <x:c r="A51" s="32" t="str">
        <x:v>EVD-0028</x:v>
      </x:c>
      <x:c r="B51" s="32" t="str">
        <x:v>EVIDENCE</x:v>
      </x:c>
      <x:c r="C51" s="32" t="str">
        <x:v>calculated protein fat carbohydrate and energy</x:v>
      </x:c>
      <x:c r="D51" s="32" t="str">
        <x:v>method requires frozen net recipe plus EVD-0027</x:v>
      </x:c>
      <x:c r="E51" s="32" t="str">
        <x:v>calculation method</x:v>
      </x:c>
      <x:c r="F51" s="32" t="str">
        <x:v>Issue #82 method</x:v>
      </x:c>
      <x:c r="G51" s="32" t="str">
        <x:v>BLOCKED</x:v>
      </x:c>
      <x:c r="H51" s="32" t="str">
        <x:v>calculate and label as CALCULATED after inputs</x:v>
      </x:c>
      <x:c r="I51" s="32" t="str">
        <x:v>claim laboratory confirmation</x:v>
      </x:c>
      <x:c r="J51" s="32" t="str">
        <x:v>NutritionDataAgent</x:v>
      </x:c>
      <x:c r="K51" s="32" t="str">
        <x:v>NA</x:v>
      </x:c>
      <x:c r="L51" s="32" t="str">
        <x:v>ALL_28</x:v>
      </x:c>
      <x:c r="M51" s="32" t="str">
        <x:v>GAP-023</x:v>
      </x:c>
    </x:row>
    <x:row r="52">
      <x:c r="A52" s="32" t="str">
        <x:v>EVD-0029</x:v>
      </x:c>
      <x:c r="B52" s="32" t="str">
        <x:v>EVIDENCE</x:v>
      </x:c>
      <x:c r="C52" s="32" t="str">
        <x:v>chef and owner approvals</x:v>
      </x:c>
      <x:c r="D52" s="32" t="str">
        <x:v>approval constraints</x:v>
      </x:c>
      <x:c r="E52" s="32" t="str">
        <x:v>approved governance</x:v>
      </x:c>
      <x:c r="F52" s="32" t="str">
        <x:v>1.0.0 / 2026-08-03</x:v>
      </x:c>
      <x:c r="G52" s="32" t="str">
        <x:v>BLOCKED</x:v>
      </x:c>
      <x:c r="H52" s="32" t="str">
        <x:v>provide approval sheet and decision fields</x:v>
      </x:c>
      <x:c r="I52" s="32" t="str">
        <x:v>self-approve or infer approval</x:v>
      </x:c>
      <x:c r="J52" s="32" t="str">
        <x:v>Chef / Owner</x:v>
      </x:c>
      <x:c r="K52" s="32" t="str">
        <x:v>SRC-001</x:v>
      </x:c>
      <x:c r="L52" s="32" t="str">
        <x:v>ALL_28</x:v>
      </x:c>
      <x:c r="M52" s="32" t="str">
        <x:v>GAP-024</x:v>
      </x:c>
    </x:row>
    <x:row r="53">
      <x:c r="A53" s="32" t="str">
        <x:v>EVD-0030</x:v>
      </x:c>
      <x:c r="B53" s="32" t="str">
        <x:v>EVIDENCE</x:v>
      </x:c>
      <x:c r="C53" s="32" t="str">
        <x:v>control-cook evidence and mass balance</x:v>
      </x:c>
      <x:c r="D53" s="32" t="str">
        <x:v>V-I-005 and related trials</x:v>
      </x:c>
      <x:c r="E53" s="32" t="str">
        <x:v>canonical planned work</x:v>
      </x:c>
      <x:c r="F53" s="32" t="str">
        <x:v>2026-07-28</x:v>
      </x:c>
      <x:c r="G53" s="32" t="str">
        <x:v>BLOCKED_PENDING_VALIDATION</x:v>
      </x:c>
      <x:c r="H53" s="32" t="str">
        <x:v>prepare 28 forms and acceptance rules</x:v>
      </x:c>
      <x:c r="I53" s="32" t="str">
        <x:v>simulate observed results</x:v>
      </x:c>
      <x:c r="J53" s="32" t="str">
        <x:v>Chef / Operations</x:v>
      </x:c>
      <x:c r="K53" s="32" t="str">
        <x:v>SRC-009</x:v>
      </x:c>
      <x:c r="L53" s="32" t="str">
        <x:v>ALL_28</x:v>
      </x:c>
      <x:c r="M53" s="32" t="str">
        <x:v>GAP-025</x:v>
      </x:c>
    </x:row>
    <x:row r="54">
      <x:c r="A54" s="32" t="str">
        <x:v>EVD-0031</x:v>
      </x:c>
      <x:c r="B54" s="32" t="str">
        <x:v>EVIDENCE</x:v>
      </x:c>
      <x:c r="C54" s="32" t="str">
        <x:v>PR81 builder and automated checks</x:v>
      </x:c>
      <x:c r="D54" s="32" t="str">
        <x:v>build_issue_80_menu_cards.mjs</x:v>
      </x:c>
      <x:c r="E54" s="32" t="str">
        <x:v>reference implementation</x:v>
      </x:c>
      <x:c r="F54" s="32" t="str">
        <x:v>2026-08-03</x:v>
      </x:c>
      <x:c r="G54" s="32" t="str">
        <x:v>FACT</x:v>
      </x:c>
      <x:c r="H54" s="32" t="str">
        <x:v>reuse after code review and extend to 17 sheets</x:v>
      </x:c>
      <x:c r="I54" s="32" t="str">
        <x:v>treat 10-sheet output as Issue #82 completion</x:v>
      </x:c>
      <x:c r="J54" s="32" t="str">
        <x:v>ExcelBuilder</x:v>
      </x:c>
      <x:c r="K54" s="32" t="str">
        <x:v>SRC-016</x:v>
      </x:c>
      <x:c r="L54" s="32" t="str">
        <x:v>ALL_28</x:v>
      </x:c>
      <x:c r="M54" s="32" t="str">
        <x:v>GAP-026</x:v>
      </x:c>
    </x:row>
    <x:row r="55">
      <x:c r="A55" s="32" t="str">
        <x:v>EVD-0032</x:v>
      </x:c>
      <x:c r="B55" s="32" t="str">
        <x:v>EVIDENCE</x:v>
      </x:c>
      <x:c r="C55" s="32" t="str">
        <x:v>three breakfast worked examples</x:v>
      </x:c>
      <x:c r="D55" s="32" t="str">
        <x:v>workbook detailed breakfast rows</x:v>
      </x:c>
      <x:c r="E55" s="32" t="str">
        <x:v>reference-only</x:v>
      </x:c>
      <x:c r="F55" s="32" t="str">
        <x:v>1.0.0 / 2026-08-03</x:v>
      </x:c>
      <x:c r="G55" s="32" t="str">
        <x:v>DRAFT</x:v>
      </x:c>
      <x:c r="H55" s="32" t="str">
        <x:v>inspect architecture and formula links</x:v>
      </x:c>
      <x:c r="I55" s="32" t="str">
        <x:v>include in 28-dish scope or transfer values</x:v>
      </x:c>
      <x:c r="J55" s="32" t="str">
        <x:v>ExcelBuilder / SystemArchitect</x:v>
      </x:c>
      <x:c r="K55" s="32" t="str">
        <x:v>SRC-015</x:v>
      </x:c>
      <x:c r="L55" s="32" t="str">
        <x:v>VKM-026…VKM-028</x:v>
      </x:c>
      <x:c r="M55" s="32" t="str"/>
    </x:row>
    <x:row r="56">
      <x:c r="A56" s="32" t="str">
        <x:v>EVD-FS-001</x:v>
      </x:c>
      <x:c r="B56" s="32" t="str">
        <x:v>SAFETY</x:v>
      </x:c>
      <x:c r="C56" s="32" t="str">
        <x:v>ТР ТС 021/2011 О безопасности пищевой продукции</x:v>
      </x:c>
      <x:c r="D56" s="32" t="str">
        <x:v>https://eec.eaeunion.org/comission/department/deptexreg/tr/PischevayaProd.php</x:v>
      </x:c>
      <x:c r="E56" s="32" t="str">
        <x:v>ЕЭК / Комиссия Таможенного союза</x:v>
      </x:c>
      <x:c r="F56" s="32" t="str">
        <x:v>Решение № 880 от 09.12.2011</x:v>
      </x:c>
      <x:c r="G56" s="32" t="str">
        <x:v>FACT</x:v>
      </x:c>
      <x:c r="H56" s="32" t="str">
        <x:v>Articles 7, 10, 11: safety, manufacturer-set shelf life/storage, hazard analysis, CCP/monitoring/corrective actions, documentation and traceability</x:v>
      </x:c>
      <x:c r="I56" s="32" t="str">
        <x:v>Официальная страница ЕЭК; изменения перечислены по 22.04.2024 №35, вступили 10.11.2024; проверено 2026-08-03</x:v>
      </x:c>
      <x:c r="J56" s="32" t="str">
        <x:v>Food Safety/PPK owner</x:v>
      </x:c>
      <x:c r="K56" s="32"/>
      <x:c r="L56" s="32"/>
      <x:c r="M56" s="32"/>
    </x:row>
    <x:row r="57">
      <x:c r="A57" s="32" t="str">
        <x:v>EVD-FS-002</x:v>
      </x:c>
      <x:c r="B57" s="32" t="str">
        <x:v>SAFETY</x:v>
      </x:c>
      <x:c r="C57" s="32" t="str">
        <x:v>ТР ТС 022/2011 Пищевая продукция в части ее маркировки</x:v>
      </x:c>
      <x:c r="D57" s="32" t="str">
        <x:v>https://eec.eaeunion.org/comission/department/deptexreg/tr/PischevkaMarkirovka.php</x:v>
      </x:c>
      <x:c r="E57" s="32" t="str">
        <x:v>ЕЭК / Комиссия Таможенного союза</x:v>
      </x:c>
      <x:c r="F57" s="32" t="str">
        <x:v>Решение № 881 от 09.12.2011</x:v>
      </x:c>
      <x:c r="G57" s="32" t="str">
        <x:v>FACT</x:v>
      </x:c>
      <x:c r="H57" s="32" t="str">
        <x:v>Article 4.4(13-17): mandatory declaration of listed allergenic components and possible presence where exclusion is impossible; final applicability depends on packaging/channel</x:v>
      </x:c>
      <x:c r="I57" s="32" t="str">
        <x:v>Официальная страница ЕЭК; изменения №35 от 22.04.2024 вступили 10.11.2024; проверено 2026-08-03</x:v>
      </x:c>
      <x:c r="J57" s="32" t="str">
        <x:v>Food Safety/PPK owner</x:v>
      </x:c>
      <x:c r="K57" s="32"/>
      <x:c r="L57" s="32"/>
      <x:c r="M57" s="32"/>
    </x:row>
    <x:row r="58">
      <x:c r="A58" s="32" t="str">
        <x:v>EVD-FS-003</x:v>
      </x:c>
      <x:c r="B58" s="32" t="str">
        <x:v>SAFETY</x:v>
      </x:c>
      <x:c r="C58" s="32" t="str">
        <x:v>СанПиН 2.3/2.4.3590-20</x:v>
      </x:c>
      <x:c r="D58" s="32" t="str">
        <x:v>https://publication.pravo.gov.ru/document/view/0001202011120001</x:v>
      </x:c>
      <x:c r="E58" s="32" t="str">
        <x:v>Главный государственный санитарный врач РФ</x:v>
      </x:c>
      <x:c r="F58" s="32" t="str">
        <x:v>Постановление №32 от 27.10.2020; ред. постановления №9 от 22.08.2024</x:v>
      </x:c>
      <x:c r="G58" s="32" t="str">
        <x:v>FACT</x:v>
      </x:c>
      <x:c r="H58" s="32" t="str">
        <x:v>Current РФ sanitary requirements for public catering; exact site/dish procedures require PPK/HACCP applicability review</x:v>
      </x:c>
      <x:c r="I58" s="32" t="str">
        <x:v>Текущая редакция действует на дату среза; изменение действует с 01.03.2025; проверено 2026-08-03</x:v>
      </x:c>
      <x:c r="J58" s="32" t="str">
        <x:v>Food Safety/PPK owner</x:v>
      </x:c>
      <x:c r="K58" s="32"/>
      <x:c r="L58" s="32"/>
      <x:c r="M58" s="32"/>
    </x:row>
    <x:row r="59">
      <x:c r="A59" s="32" t="str">
        <x:v>EVD-FS-004</x:v>
      </x:c>
      <x:c r="B59" s="32" t="str">
        <x:v>SAFETY</x:v>
      </x:c>
      <x:c r="C59" s="32" t="str">
        <x:v>Изменения в СанПиН 2.3/2.4.3590-20</x:v>
      </x:c>
      <x:c r="D59" s="32" t="str">
        <x:v>https://publication.pravo.gov.ru/document/0001202412260029</x:v>
      </x:c>
      <x:c r="E59" s="32" t="str">
        <x:v>Главный государственный санитарный врач РФ</x:v>
      </x:c>
      <x:c r="F59" s="32" t="str">
        <x:v>Постановление №9 от 22.08.2024; рег. №80757</x:v>
      </x:c>
      <x:c r="G59" s="32" t="str">
        <x:v>FACT</x:v>
      </x:c>
      <x:c r="H59" s="32" t="str">
        <x:v>Forms part of current edition on cut-off date</x:v>
      </x:c>
      <x:c r="I59" s="32" t="str">
        <x:v>Официально опубликовано 26.12.2024; вступило 01.03.2025; проверено 2026-08-03</x:v>
      </x:c>
      <x:c r="J59" s="32" t="str">
        <x:v>Food Safety/PPK owner</x:v>
      </x:c>
      <x:c r="K59" s="32"/>
      <x:c r="L59" s="32"/>
      <x:c r="M59" s="32"/>
    </x:row>
    <x:row r="60">
      <x:c r="A60" s="32" t="str">
        <x:v>EVD-FS-005</x:v>
      </x:c>
      <x:c r="B60" s="32" t="str">
        <x:v>SAFETY</x:v>
      </x:c>
      <x:c r="C60" s="32" t="str">
        <x:v>СанПиН 2.3/2.4.4282-26</x:v>
      </x:c>
      <x:c r="D60" s="32" t="str">
        <x:v>https://publication.pravo.gov.ru/document/0001202606020084</x:v>
      </x:c>
      <x:c r="E60" s="32" t="str">
        <x:v>Главный государственный санитарный врач РФ</x:v>
      </x:c>
      <x:c r="F60" s="32" t="str">
        <x:v>Постановление №18 от 02.06.2026; рег. №86854</x:v>
      </x:c>
      <x:c r="G60" s="32" t="str">
        <x:v>MONITOR</x:v>
      </x:c>
      <x:c r="H60" s="32" t="str">
        <x:v>Mandatory transition review before any operation/release on or after 01.09.2026; does not replace current law as of 03.08.2026</x:v>
      </x:c>
      <x:c r="I60" s="32" t="str">
        <x:v>Официально опубликовано; проверено 2026-08-03</x:v>
      </x:c>
      <x:c r="J60" s="32" t="str">
        <x:v>Food Safety/PPK owner</x:v>
      </x:c>
      <x:c r="K60" s="32"/>
      <x:c r="L60" s="32"/>
      <x:c r="M60" s="32"/>
    </x:row>
    <x:row r="61">
      <x:c r="A61" s="32" t="str">
        <x:v>EVD-FS-006</x:v>
      </x:c>
      <x:c r="B61" s="32" t="str">
        <x:v>SAFETY</x:v>
      </x:c>
      <x:c r="C61" s="32" t="str">
        <x:v>ТР ЕАЭС 040/2016 О безопасности рыбы и рыбной продукции</x:v>
      </x:c>
      <x:c r="D61" s="32" t="str">
        <x:v>https://eec.eaeunion.org/comission/department/deptexreg/tr/TR_EEU_040_2016.php</x:v>
      </x:c>
      <x:c r="E61" s="32" t="str">
        <x:v>ЕЭК</x:v>
      </x:c>
      <x:c r="F61" s="32" t="str">
        <x:v>Решение Совета ЕЭК №162 от 18.10.2016</x:v>
      </x:c>
      <x:c r="G61" s="32" t="str">
        <x:v>FACT</x:v>
      </x:c>
      <x:c r="H61" s="32" t="str">
        <x:v>VKM-010,013,014,019,020 and fish/seafood compound ingredients; source documents and exact process requirements remain SKU-specific</x:v>
      </x:c>
      <x:c r="I61" s="32" t="str">
        <x:v>Официальная страница ЕЭК; проверено 2026-08-03</x:v>
      </x:c>
      <x:c r="J61" s="32" t="str">
        <x:v>Food Safety/PPK owner</x:v>
      </x:c>
      <x:c r="K61" s="32"/>
      <x:c r="L61" s="32"/>
      <x:c r="M61" s="32"/>
    </x:row>
    <x:row r="62">
      <x:c r="A62" s="32" t="str">
        <x:v>EVD-FS-007</x:v>
      </x:c>
      <x:c r="B62" s="32" t="str">
        <x:v>SAFETY</x:v>
      </x:c>
      <x:c r="C62" s="32" t="str">
        <x:v>ТР ТС 033/2013 О безопасности молока и молочной продукции</x:v>
      </x:c>
      <x:c r="D62" s="32" t="str">
        <x:v>https://eec.eaeunion.org/comission/department/deptexreg/tr/tr-ts-033.php</x:v>
      </x:c>
      <x:c r="E62" s="32" t="str">
        <x:v>ЕЭК</x:v>
      </x:c>
      <x:c r="F62" s="32" t="str">
        <x:v>Решение Совета ЕЭК №67 от 09.10.2013</x:v>
      </x:c>
      <x:c r="G62" s="32" t="str">
        <x:v>FACT</x:v>
      </x:c>
      <x:c r="H62" s="32" t="str">
        <x:v>Dairy ingredients/SKUs identified by final recipes</x:v>
      </x:c>
      <x:c r="I62" s="32" t="str">
        <x:v>Официальная страница ЕЭК; проверено 2026-08-03</x:v>
      </x:c>
      <x:c r="J62" s="32" t="str">
        <x:v>Food Safety/PPK owner</x:v>
      </x:c>
      <x:c r="K62" s="32"/>
      <x:c r="L62" s="32"/>
      <x:c r="M62" s="32"/>
    </x:row>
    <x:row r="63">
      <x:c r="A63" s="32" t="str">
        <x:v>EVD-FS-008</x:v>
      </x:c>
      <x:c r="B63" s="32" t="str">
        <x:v>SAFETY</x:v>
      </x:c>
      <x:c r="C63" s="32" t="str">
        <x:v>ТР ТС 034/2013 О безопасности мяса и мясной продукции</x:v>
      </x:c>
      <x:c r="D63" s="32" t="str">
        <x:v>https://eec.eaeunion.org/comission/department/deptexreg/tr/tr-ts-034.php</x:v>
      </x:c>
      <x:c r="E63" s="32" t="str">
        <x:v>ЕЭК</x:v>
      </x:c>
      <x:c r="F63" s="32" t="str">
        <x:v>Решение Совета ЕЭК №68 от 09.10.2013</x:v>
      </x:c>
      <x:c r="G63" s="32" t="str">
        <x:v>FACT</x:v>
      </x:c>
      <x:c r="H63" s="32" t="str">
        <x:v>Ham, pepperoni, roast beef, burger/minions and other meat SKUs identified by final recipes</x:v>
      </x:c>
      <x:c r="I63" s="32" t="str">
        <x:v>Официальная страница ЕЭК; changes listed through 2023/2024; проверено 2026-08-03</x:v>
      </x:c>
      <x:c r="J63" s="32" t="str">
        <x:v>Food Safety/PPK owner</x:v>
      </x:c>
      <x:c r="K63" s="32"/>
      <x:c r="L63" s="32"/>
      <x:c r="M63" s="32"/>
    </x:row>
    <x:row r="64">
      <x:c r="A64" s="32" t="str">
        <x:v>EVD-FS-009</x:v>
      </x:c>
      <x:c r="B64" s="32" t="str">
        <x:v>SAFETY</x:v>
      </x:c>
      <x:c r="C64" s="32" t="str">
        <x:v>ТР ТС 029/2012 Требования безопасности пищевых добавок, ароматизаторов и технологических вспомогательных средств</x:v>
      </x:c>
      <x:c r="D64" s="32" t="str">
        <x:v>https://eec.eaeunion.org/comission/department/deptexreg/tr/bezopPischDobavok.php</x:v>
      </x:c>
      <x:c r="E64" s="32" t="str">
        <x:v>ЕЭК</x:v>
      </x:c>
      <x:c r="F64" s="32" t="str">
        <x:v>Решение Совета ЕЭК №58 от 20.07.2012</x:v>
      </x:c>
      <x:c r="G64" s="32" t="str">
        <x:v>FACT</x:v>
      </x:c>
      <x:c r="H64" s="32" t="str">
        <x:v>Compound ingredients, marinades, sauces, bakery improvers/additives after SKU selection</x:v>
      </x:c>
      <x:c r="I64" s="32" t="str">
        <x:v>Официальная страница ЕЭК; изменения №84 от 29.08.2023 вступили 27.02.2024; проверено 2026-08-03</x:v>
      </x:c>
      <x:c r="J64" s="32" t="str">
        <x:v>Food Safety/PPK owner</x:v>
      </x:c>
      <x:c r="K64" s="32"/>
      <x:c r="L64" s="32"/>
      <x:c r="M64" s="32"/>
    </x:row>
    <x:row r="65">
      <x:c r="A65" s="32" t="str">
        <x:v>EVD-FS-010</x:v>
      </x:c>
      <x:c r="B65" s="32" t="str">
        <x:v>SAFETY</x:v>
      </x:c>
      <x:c r="C65" s="32" t="str">
        <x:v>Правила оказания услуг общественного питания</x:v>
      </x:c>
      <x:c r="D65" s="32" t="str">
        <x:v>https://publication.pravo.gov.ru/Document/View/0001202009280045</x:v>
      </x:c>
      <x:c r="E65" s="32" t="str">
        <x:v>Правительство РФ</x:v>
      </x:c>
      <x:c r="F65" s="32" t="str">
        <x:v>Постановление №1515 от 21.09.2020</x:v>
      </x:c>
      <x:c r="G65" s="32" t="str">
        <x:v>MONITOR</x:v>
      </x:c>
      <x:c r="H65" s="32" t="str">
        <x:v>Consumer information and service context; does not substitute food labeling and technical-regulation requirements</x:v>
      </x:c>
      <x:c r="I65" s="32" t="str">
        <x:v>Официальное опубликование; applicability/current-term legal review required before launch; checked 2026-08-03</x:v>
      </x:c>
      <x:c r="J65" s="32" t="str">
        <x:v>Food Safety/PPK owner</x:v>
      </x:c>
      <x:c r="K65" s="32"/>
      <x:c r="L65" s="32"/>
      <x:c r="M65" s="32"/>
    </x:row>
    <x:row r="66">
      <x:c r="A66" s="32" t="str">
        <x:v>NUT-SRC-001</x:v>
      </x:c>
      <x:c r="B66" s="32" t="str">
        <x:v>NUTRITION</x:v>
      </x:c>
      <x:c r="C66" s="32" t="str">
        <x:v>Frozen ChefTechnology recipe package HOF-0002</x:v>
      </x:c>
      <x:c r="D66" s="32"/>
      <x:c r="E66" s="32" t="str">
        <x:v>METHOD</x:v>
      </x:c>
      <x:c r="F66" s="32"/>
      <x:c r="G66" s="32"/>
      <x:c r="H66" s="32" t="str">
        <x:v>ingredient identifiers, draft net quantities and recipe version</x:v>
      </x:c>
      <x:c r="I66" s="32"/>
      <x:c r="J66" s="32" t="str">
        <x:v>Chef / Orchestrator</x:v>
      </x:c>
      <x:c r="K66" s="32"/>
      <x:c r="L66" s="32"/>
      <x:c r="M66" s="32"/>
    </x:row>
    <x:row r="67">
      <x:c r="A67" s="32" t="str">
        <x:v>NUT-SRC-002</x:v>
      </x:c>
      <x:c r="B67" s="32" t="str">
        <x:v>NUTRITION</x:v>
      </x:c>
      <x:c r="C67" s="32" t="str">
        <x:v>Dish passports HOF-0002</x:v>
      </x:c>
      <x:c r="D67" s="32"/>
      <x:c r="E67" s="32" t="str">
        <x:v>METHOD</x:v>
      </x:c>
      <x:c r="F67" s="32"/>
      <x:c r="G67" s="32"/>
      <x:c r="H67" s="32" t="str">
        <x:v>dish identity, draft output and sales-unit basis</x:v>
      </x:c>
      <x:c r="I67" s="32"/>
      <x:c r="J67" s="32" t="str">
        <x:v>Chef / Owner</x:v>
      </x:c>
      <x:c r="K67" s="32"/>
      <x:c r="L67" s="32"/>
      <x:c r="M67" s="32"/>
    </x:row>
    <x:row r="68">
      <x:c r="A68" s="32" t="str">
        <x:v>NUT-SRC-003</x:v>
      </x:c>
      <x:c r="B68" s="32" t="str">
        <x:v>NUTRITION</x:v>
      </x:c>
      <x:c r="C68" s="32" t="str">
        <x:v>Issue #82 Evidence Matrix</x:v>
      </x:c>
      <x:c r="D68" s="32"/>
      <x:c r="E68" s="32" t="str">
        <x:v>METHOD</x:v>
      </x:c>
      <x:c r="F68" s="32"/>
      <x:c r="G68" s="32"/>
      <x:c r="H68" s="32" t="str">
        <x:v>enforce source hierarchy and nutrition blocker</x:v>
      </x:c>
      <x:c r="I68" s="32"/>
      <x:c r="J68" s="32" t="str">
        <x:v>SourceAuditor / NutritionDataAgent</x:v>
      </x:c>
      <x:c r="K68" s="32"/>
      <x:c r="L68" s="32"/>
      <x:c r="M68" s="32"/>
    </x:row>
    <x:row r="69">
      <x:c r="A69" s="32" t="str">
        <x:v>NUT-SRC-004</x:v>
      </x:c>
      <x:c r="B69" s="32" t="str">
        <x:v>NUTRITION</x:v>
      </x:c>
      <x:c r="C69" s="32" t="str">
        <x:v>ТР ТС 022/2011 — Пищевая продукция в части ее маркировки</x:v>
      </x:c>
      <x:c r="D69" s="32"/>
      <x:c r="E69" s="32" t="str">
        <x:v>METHOD</x:v>
      </x:c>
      <x:c r="F69" s="32"/>
      <x:c r="G69" s="32"/>
      <x:c r="H69" s="32" t="str">
        <x:v>required presentation basis: energy and protein/fat/carbohydrate per 100 g/ml and/or serving</x:v>
      </x:c>
      <x:c r="I69" s="32"/>
      <x:c r="J69" s="32" t="str">
        <x:v>NutritionDataAgent / LegalCompliance owner</x:v>
      </x:c>
      <x:c r="K69" s="32"/>
      <x:c r="L69" s="32"/>
      <x:c r="M69" s="32"/>
    </x:row>
    <x:row r="70">
      <x:c r="A70" s="32" t="str">
        <x:v>NUT-SRC-005</x:v>
      </x:c>
      <x:c r="B70" s="32" t="str">
        <x:v>NUTRITION</x:v>
      </x:c>
      <x:c r="C70" s="32" t="str">
        <x:v>USDA FoodData Central</x:v>
      </x:c>
      <x:c r="D70" s="32"/>
      <x:c r="E70" s="32" t="str">
        <x:v>METHOD</x:v>
      </x:c>
      <x:c r="F70" s="32"/>
      <x:c r="G70" s="32"/>
      <x:c r="H70" s="32" t="str">
        <x:v>candidate composition values only after exact FDC record mapping, basis and date are recorded</x:v>
      </x:c>
      <x:c r="I70" s="32"/>
      <x:c r="J70" s="32" t="str">
        <x:v>NutritionDataAgent / Procurement</x:v>
      </x:c>
      <x:c r="K70" s="32"/>
      <x:c r="L70" s="32"/>
      <x:c r="M70" s="32"/>
    </x:row>
    <x:row r="71">
      <x:c r="A71" s="32" t="str">
        <x:v>NUT-SRC-006</x:v>
      </x:c>
      <x:c r="B71" s="32" t="str">
        <x:v>NUTRITION</x:v>
      </x:c>
      <x:c r="C71" s="32" t="str">
        <x:v>Supplier/manufacturer specification or label for exact purchased SKU</x:v>
      </x:c>
      <x:c r="D71" s="32"/>
      <x:c r="E71" s="32" t="str">
        <x:v>METHOD</x:v>
      </x:c>
      <x:c r="F71" s="32"/>
      <x:c r="G71" s="32"/>
      <x:c r="H71" s="32" t="str">
        <x:v>preferred source for branded/processed ingredients after SKU approval</x:v>
      </x:c>
      <x:c r="I71" s="32"/>
      <x:c r="J71" s="32" t="str">
        <x:v>Procurement / NutritionDataAgent</x:v>
      </x:c>
      <x:c r="K71" s="32"/>
      <x:c r="L71" s="32"/>
      <x:c r="M71" s="32"/>
    </x:row>
    <x:row r="72">
      <x:c r="A72" s="32" t="str">
        <x:v>NUT-SRC-007</x:v>
      </x:c>
      <x:c r="B72" s="32" t="str">
        <x:v>NUTRITION</x:v>
      </x:c>
      <x:c r="C72" s="32" t="str">
        <x:v>Frozen semi-finished-product package HOF-0004</x:v>
      </x:c>
      <x:c r="D72" s="32"/>
      <x:c r="E72" s="32" t="str">
        <x:v>METHOD</x:v>
      </x:c>
      <x:c r="F72" s="32"/>
      <x:c r="G72" s="32"/>
      <x:c r="H72" s="32" t="str">
        <x:v>resolve VSF relationships and enforce the anti-double-counting rule</x:v>
      </x:c>
      <x:c r="I72" s="32"/>
      <x:c r="J72" s="32" t="str">
        <x:v>SemiFinishedProductsAgent / SystemArchitect</x:v>
      </x:c>
      <x:c r="K72" s="32"/>
      <x:c r="L72" s="32"/>
      <x:c r="M72" s="32"/>
    </x:row>
    <x:row r="73">
      <x:c r="A73" s="32" t="str">
        <x:v>PSR-0001</x:v>
      </x:c>
      <x:c r="B73" s="32" t="str">
        <x:v>PRICE_ACCEPTED</x:v>
      </x:c>
      <x:c r="C73" s="32" t="str">
        <x:v>Мука ЛЕНТА высший сорт</x:v>
      </x:c>
      <x:c r="D73" s="32" t="str">
        <x:v>https://lenta.com/product/muka-pshenichnaya-vs-rossiya-1kg-30854/</x:v>
      </x:c>
      <x:c r="E73" s="32" t="str">
        <x:v>Лента</x:v>
      </x:c>
      <x:c r="F73" s="32" t="str">
        <x:v>2026-08-03</x:v>
      </x:c>
      <x:c r="G73" s="32" t="str">
        <x:v>VERIFIED_DIRECT_CARD</x:v>
      </x:c>
      <x:c r="H73" s="32" t="str">
        <x:v>ESTIMATE_PUBLIC_RETAIL_BENCHMARK</x:v>
      </x:c>
      <x:c r="I73" s="32" t="str">
        <x:v>Не является КП; доступность, региональная цена и условия поставки требуют проверки</x:v>
      </x:c>
      <x:c r="J73" s="32" t="str">
        <x:v>Owner / Procurement</x:v>
      </x:c>
      <x:c r="K73" s="32" t="str">
        <x:v>ING-001</x:v>
      </x:c>
      <x:c r="L73" s="32" t="str">
        <x:v>Мука пшеничная хлебопекарная</x:v>
      </x:c>
      <x:c r="M73" s="32"/>
    </x:row>
    <x:row r="74">
      <x:c r="A74" s="32" t="str">
        <x:v>PSR-0003</x:v>
      </x:c>
      <x:c r="B74" s="32" t="str">
        <x:v>PRICE_ACCEPTED</x:v>
      </x:c>
      <x:c r="C74" s="32" t="str">
        <x:v>Мука 365 ДНЕЙ хлебопекарная</x:v>
      </x:c>
      <x:c r="D74" s="32" t="str">
        <x:v>https://lenta.com/product/muka-pshenichnaya-hlebopekarnaya-1s-rossiya-2kg-295803/</x:v>
      </x:c>
      <x:c r="E74" s="32" t="str">
        <x:v>Лента</x:v>
      </x:c>
      <x:c r="F74" s="32" t="str">
        <x:v>2026-08-03</x:v>
      </x:c>
      <x:c r="G74" s="32" t="str">
        <x:v>VERIFIED_DIRECT_CARD</x:v>
      </x:c>
      <x:c r="H74" s="32" t="str">
        <x:v>ESTIMATE_PUBLIC_RETAIL_BENCHMARK</x:v>
      </x:c>
      <x:c r="I74" s="32" t="str">
        <x:v>Не является КП; доступность, региональная цена и условия поставки требуют проверки</x:v>
      </x:c>
      <x:c r="J74" s="32" t="str">
        <x:v>Owner / Procurement</x:v>
      </x:c>
      <x:c r="K74" s="32" t="str">
        <x:v>ING-001</x:v>
      </x:c>
      <x:c r="L74" s="32" t="str">
        <x:v>Мука пшеничная хлебопекарная</x:v>
      </x:c>
      <x:c r="M74" s="32"/>
    </x:row>
    <x:row r="75">
      <x:c r="A75" s="32" t="str">
        <x:v>PSR-0004</x:v>
      </x:c>
      <x:c r="B75" s="32" t="str">
        <x:v>PRICE_ACCEPTED</x:v>
      </x:c>
      <x:c r="C75" s="32" t="str">
        <x:v>Дрожжи САФ Левюр активные</x:v>
      </x:c>
      <x:c r="D75" s="32" t="str">
        <x:v>https://lenta.com/product/drozhzhi-levyur-hlebopekarnye-suhie-aktivnye-rossiya-100g-86736/</x:v>
      </x:c>
      <x:c r="E75" s="32" t="str">
        <x:v>Лента</x:v>
      </x:c>
      <x:c r="F75" s="32" t="str">
        <x:v>2026-08-03</x:v>
      </x:c>
      <x:c r="G75" s="32" t="str">
        <x:v>VERIFIED_DIRECT_CARD</x:v>
      </x:c>
      <x:c r="H75" s="32" t="str">
        <x:v>ESTIMATE_PUBLIC_RETAIL_BENCHMARK</x:v>
      </x:c>
      <x:c r="I75" s="32" t="str">
        <x:v>Не является КП; доступность, региональная цена и условия поставки требуют проверки</x:v>
      </x:c>
      <x:c r="J75" s="32" t="str">
        <x:v>Owner / Procurement</x:v>
      </x:c>
      <x:c r="K75" s="32" t="str">
        <x:v>ING-003</x:v>
      </x:c>
      <x:c r="L75" s="32" t="str">
        <x:v>Дрожжи хлебопекарные</x:v>
      </x:c>
      <x:c r="M75" s="32"/>
    </x:row>
    <x:row r="76">
      <x:c r="A76" s="32" t="str">
        <x:v>PSR-0005</x:v>
      </x:c>
      <x:c r="B76" s="32" t="str">
        <x:v>PRICE_ACCEPTED</x:v>
      </x:c>
      <x:c r="C76" s="32" t="str">
        <x:v>Дрожжи ANGEL активные</x:v>
      </x:c>
      <x:c r="D76" s="32" t="str">
        <x:v>https://lenta.com/product/drozhzhi-suhie-aktivnye-dvypechki-i-napitkov-rossiya-100g-650540/</x:v>
      </x:c>
      <x:c r="E76" s="32" t="str">
        <x:v>Лента</x:v>
      </x:c>
      <x:c r="F76" s="32" t="str">
        <x:v>2026-08-03</x:v>
      </x:c>
      <x:c r="G76" s="32" t="str">
        <x:v>VERIFIED_DIRECT_CARD</x:v>
      </x:c>
      <x:c r="H76" s="32" t="str">
        <x:v>ESTIMATE_PUBLIC_RETAIL_BENCHMARK</x:v>
      </x:c>
      <x:c r="I76" s="32" t="str">
        <x:v>Не является КП; доступность, региональная цена и условия поставки требуют проверки</x:v>
      </x:c>
      <x:c r="J76" s="32" t="str">
        <x:v>Owner / Procurement</x:v>
      </x:c>
      <x:c r="K76" s="32" t="str">
        <x:v>ING-003</x:v>
      </x:c>
      <x:c r="L76" s="32" t="str">
        <x:v>Дрожжи хлебопекарные</x:v>
      </x:c>
      <x:c r="M76" s="32"/>
    </x:row>
    <x:row r="77">
      <x:c r="A77" s="32" t="str">
        <x:v>PSR-0006</x:v>
      </x:c>
      <x:c r="B77" s="32" t="str">
        <x:v>PRICE_ACCEPTED</x:v>
      </x:c>
      <x:c r="C77" s="32" t="str">
        <x:v>Дрожжи SUPER сухие</x:v>
      </x:c>
      <x:c r="D77" s="32" t="str">
        <x:v>https://lenta.com/product/drozhzhi-hlebopekarnye-suhie-rossiya-80g-727787/</x:v>
      </x:c>
      <x:c r="E77" s="32" t="str">
        <x:v>Лента</x:v>
      </x:c>
      <x:c r="F77" s="32" t="str">
        <x:v>2026-08-03</x:v>
      </x:c>
      <x:c r="G77" s="32" t="str">
        <x:v>VERIFIED_DIRECT_CARD</x:v>
      </x:c>
      <x:c r="H77" s="32" t="str">
        <x:v>ESTIMATE_PUBLIC_RETAIL_BENCHMARK</x:v>
      </x:c>
      <x:c r="I77" s="32" t="str">
        <x:v>Не является КП; доступность, региональная цена и условия поставки требуют проверки</x:v>
      </x:c>
      <x:c r="J77" s="32" t="str">
        <x:v>Owner / Procurement</x:v>
      </x:c>
      <x:c r="K77" s="32" t="str">
        <x:v>ING-003</x:v>
      </x:c>
      <x:c r="L77" s="32" t="str">
        <x:v>Дрожжи хлебопекарные</x:v>
      </x:c>
      <x:c r="M77" s="32"/>
    </x:row>
    <x:row r="78">
      <x:c r="A78" s="32" t="str">
        <x:v>PSR-0007</x:v>
      </x:c>
      <x:c r="B78" s="32" t="str">
        <x:v>PRICE_ACCEPTED</x:v>
      </x:c>
      <x:c r="C78" s="32" t="str">
        <x:v>Соль Усольская</x:v>
      </x:c>
      <x:c r="D78" s="32" t="str">
        <x:v>https://lenta.com/product/sol-usolskaya-pishhevaya-vyvarochnaya-jodirovannaya-rossiya-1kg-214838/</x:v>
      </x:c>
      <x:c r="E78" s="32" t="str">
        <x:v>Лента</x:v>
      </x:c>
      <x:c r="F78" s="32" t="str">
        <x:v>2026-08-03</x:v>
      </x:c>
      <x:c r="G78" s="32" t="str">
        <x:v>VERIFIED_DIRECT_CARD</x:v>
      </x:c>
      <x:c r="H78" s="32" t="str">
        <x:v>ESTIMATE_PUBLIC_RETAIL_BENCHMARK</x:v>
      </x:c>
      <x:c r="I78" s="32" t="str">
        <x:v>Не является КП; доступность, региональная цена и условия поставки требуют проверки</x:v>
      </x:c>
      <x:c r="J78" s="32" t="str">
        <x:v>Owner / Procurement</x:v>
      </x:c>
      <x:c r="K78" s="32" t="str">
        <x:v>ING-004</x:v>
      </x:c>
      <x:c r="L78" s="32" t="str">
        <x:v>Соль пищевая</x:v>
      </x:c>
      <x:c r="M78" s="32"/>
    </x:row>
    <x:row r="79">
      <x:c r="A79" s="32" t="str">
        <x:v>PSR-0009</x:v>
      </x:c>
      <x:c r="B79" s="32" t="str">
        <x:v>PRICE_ACCEPTED</x:v>
      </x:c>
      <x:c r="C79" s="32" t="str">
        <x:v>Меланж пастеризованный GROVO</x:v>
      </x:c>
      <x:c r="D79" s="32" t="str">
        <x:v>https://da-mart.ru/catalog/goods/296776/</x:v>
      </x:c>
      <x:c r="E79" s="32" t="str">
        <x:v>DA-Mart / GROVO</x:v>
      </x:c>
      <x:c r="F79" s="32" t="str">
        <x:v>2026-08-03</x:v>
      </x:c>
      <x:c r="G79" s="32" t="str">
        <x:v>VERIFIED_DIRECT_CARD</x:v>
      </x:c>
      <x:c r="H79" s="32" t="str">
        <x:v>ESTIMATE_PUBLIC_RETAIL_BENCHMARK</x:v>
      </x:c>
      <x:c r="I79" s="32" t="str">
        <x:v>Не является КП; доступность, региональная цена и условия поставки требуют проверки</x:v>
      </x:c>
      <x:c r="J79" s="32" t="str">
        <x:v>Owner / Procurement</x:v>
      </x:c>
      <x:c r="K79" s="32" t="str">
        <x:v>ING-026</x:v>
      </x:c>
      <x:c r="L79" s="32" t="str">
        <x:v>Яйцо или меланж</x:v>
      </x:c>
      <x:c r="M79" s="32"/>
    </x:row>
    <x:row r="80">
      <x:c r="A80" s="32" t="str">
        <x:v>PSR-0010</x:v>
      </x:c>
      <x:c r="B80" s="32" t="str">
        <x:v>PRICE_ACCEPTED</x:v>
      </x:c>
      <x:c r="C80" s="32" t="str">
        <x:v>Масло Вкуснотеево 82.5%</x:v>
      </x:c>
      <x:c r="D80" s="32" t="str">
        <x:v>https://lenta.com/product/maslo-slivochnoe-vkusnoteevo-tradicionnoe-825-rossiya-180g-743324/</x:v>
      </x:c>
      <x:c r="E80" s="32" t="str">
        <x:v>Лента</x:v>
      </x:c>
      <x:c r="F80" s="32" t="str">
        <x:v>2026-08-03</x:v>
      </x:c>
      <x:c r="G80" s="32" t="str">
        <x:v>VERIFIED_DIRECT_CARD</x:v>
      </x:c>
      <x:c r="H80" s="32" t="str">
        <x:v>ESTIMATE_PUBLIC_RETAIL_BENCHMARK</x:v>
      </x:c>
      <x:c r="I80" s="32" t="str">
        <x:v>Не является КП; доступность, региональная цена и условия поставки требуют проверки</x:v>
      </x:c>
      <x:c r="J80" s="32" t="str">
        <x:v>Owner / Procurement</x:v>
      </x:c>
      <x:c r="K80" s="32" t="str">
        <x:v>ING-027</x:v>
      </x:c>
      <x:c r="L80" s="32" t="str">
        <x:v>Масло сливочное</x:v>
      </x:c>
      <x:c r="M80" s="32"/>
    </x:row>
    <x:row r="81">
      <x:c r="A81" s="32" t="str">
        <x:v>PSR-0013</x:v>
      </x:c>
      <x:c r="B81" s="32" t="str">
        <x:v>PRICE_ACCEPTED</x:v>
      </x:c>
      <x:c r="C81" s="32" t="str">
        <x:v>Сахар ЛЕНТА</x:v>
      </x:c>
      <x:c r="D81" s="32" t="str">
        <x:v>https://lenta.com/product/sakhar-pesok-lenta-rossiya-1kg-717070/</x:v>
      </x:c>
      <x:c r="E81" s="32" t="str">
        <x:v>Лента</x:v>
      </x:c>
      <x:c r="F81" s="32" t="str">
        <x:v>2026-08-03</x:v>
      </x:c>
      <x:c r="G81" s="32" t="str">
        <x:v>VERIFIED_DIRECT_CARD</x:v>
      </x:c>
      <x:c r="H81" s="32" t="str">
        <x:v>ESTIMATE_PUBLIC_RETAIL_BENCHMARK</x:v>
      </x:c>
      <x:c r="I81" s="32" t="str">
        <x:v>Не является КП; доступность, региональная цена и условия поставки требуют проверки</x:v>
      </x:c>
      <x:c r="J81" s="32" t="str">
        <x:v>Owner / Procurement</x:v>
      </x:c>
      <x:c r="K81" s="32" t="str">
        <x:v>ING-028</x:v>
      </x:c>
      <x:c r="L81" s="32" t="str">
        <x:v>Сахар</x:v>
      </x:c>
      <x:c r="M81" s="32"/>
    </x:row>
    <x:row r="82">
      <x:c r="A82" s="32" t="str">
        <x:v>PSR-0014</x:v>
      </x:c>
      <x:c r="B82" s="32" t="str">
        <x:v>PRICE_ACCEPTED</x:v>
      </x:c>
      <x:c r="C82" s="32" t="str">
        <x:v>Моцарелла Bonfesto Пицца</x:v>
      </x:c>
      <x:c r="D82" s="32" t="str">
        <x:v>https://www.auchan.ru/product/syr-mocarella-picca-40-bonf/</x:v>
      </x:c>
      <x:c r="E82" s="32" t="str">
        <x:v>Ашан</x:v>
      </x:c>
      <x:c r="F82" s="32" t="str">
        <x:v>2026-08-03</x:v>
      </x:c>
      <x:c r="G82" s="32" t="str">
        <x:v>VERIFIED_DIRECT_CARD</x:v>
      </x:c>
      <x:c r="H82" s="32" t="str">
        <x:v>ESTIMATE_PUBLIC_RETAIL_BENCHMARK</x:v>
      </x:c>
      <x:c r="I82" s="32" t="str">
        <x:v>Не является КП; доступность, региональная цена и условия поставки требуют проверки</x:v>
      </x:c>
      <x:c r="J82" s="32" t="str">
        <x:v>Owner / Procurement</x:v>
      </x:c>
      <x:c r="K82" s="32" t="str">
        <x:v>ING-009</x:v>
      </x:c>
      <x:c r="L82" s="32" t="str">
        <x:v>Моцарелла</x:v>
      </x:c>
      <x:c r="M82" s="32"/>
    </x:row>
    <x:row r="83">
      <x:c r="A83" s="32" t="str">
        <x:v>PSR-0015</x:v>
      </x:c>
      <x:c r="B83" s="32" t="str">
        <x:v>PRICE_ACCEPTED</x:v>
      </x:c>
      <x:c r="C83" s="32" t="str">
        <x:v>Моцарелла Primolatto</x:v>
      </x:c>
      <x:c r="D83" s="32" t="str">
        <x:v>https://www.auchan.ru/product/mocarella-250g-primolatto-bzmzh/</x:v>
      </x:c>
      <x:c r="E83" s="32" t="str">
        <x:v>Ашан</x:v>
      </x:c>
      <x:c r="F83" s="32" t="str">
        <x:v>2026-08-03</x:v>
      </x:c>
      <x:c r="G83" s="32" t="str">
        <x:v>VERIFIED_DIRECT_CARD</x:v>
      </x:c>
      <x:c r="H83" s="32" t="str">
        <x:v>ESTIMATE_PUBLIC_RETAIL_BENCHMARK</x:v>
      </x:c>
      <x:c r="I83" s="32" t="str">
        <x:v>Не является КП; доступность, региональная цена и условия поставки требуют проверки</x:v>
      </x:c>
      <x:c r="J83" s="32" t="str">
        <x:v>Owner / Procurement</x:v>
      </x:c>
      <x:c r="K83" s="32" t="str">
        <x:v>ING-009</x:v>
      </x:c>
      <x:c r="L83" s="32" t="str">
        <x:v>Моцарелла</x:v>
      </x:c>
      <x:c r="M83" s="32"/>
    </x:row>
    <x:row r="84">
      <x:c r="A84" s="32" t="str">
        <x:v>PSR-0017</x:v>
      </x:c>
      <x:c r="B84" s="32" t="str">
        <x:v>PRICE_ACCEPTED</x:v>
      </x:c>
      <x:c r="C84" s="32" t="str">
        <x:v>Пармезан Dolce Granto</x:v>
      </x:c>
      <x:c r="D84" s="32" t="str">
        <x:v>https://www.auchan.ru/product/syr-parmezan-dolce-fasov-200g/</x:v>
      </x:c>
      <x:c r="E84" s="32" t="str">
        <x:v>Ашан</x:v>
      </x:c>
      <x:c r="F84" s="32" t="str">
        <x:v>2026-08-03</x:v>
      </x:c>
      <x:c r="G84" s="32" t="str">
        <x:v>VERIFIED_DIRECT_CARD</x:v>
      </x:c>
      <x:c r="H84" s="32" t="str">
        <x:v>ESTIMATE_PUBLIC_RETAIL_BENCHMARK</x:v>
      </x:c>
      <x:c r="I84" s="32" t="str">
        <x:v>Не является КП; доступность, региональная цена и условия поставки требуют проверки</x:v>
      </x:c>
      <x:c r="J84" s="32" t="str">
        <x:v>Owner / Procurement</x:v>
      </x:c>
      <x:c r="K84" s="32" t="str">
        <x:v>ING-010</x:v>
      </x:c>
      <x:c r="L84" s="32" t="str">
        <x:v>Пармезан</x:v>
      </x:c>
      <x:c r="M84" s="32"/>
    </x:row>
    <x:row r="85">
      <x:c r="A85" s="32" t="str">
        <x:v>PSR-0018</x:v>
      </x:c>
      <x:c r="B85" s="32" t="str">
        <x:v>PRICE_ACCEPTED</x:v>
      </x:c>
      <x:c r="C85" s="32" t="str">
        <x:v>Пармезан Поставы городок</x:v>
      </x:c>
      <x:c r="D85" s="32" t="str">
        <x:v>https://www.auchan.ru/product/syr-parmezan-postavy-45-200g/</x:v>
      </x:c>
      <x:c r="E85" s="32" t="str">
        <x:v>Ашан</x:v>
      </x:c>
      <x:c r="F85" s="32" t="str">
        <x:v>2026-08-03</x:v>
      </x:c>
      <x:c r="G85" s="32" t="str">
        <x:v>VERIFIED_DIRECT_CARD</x:v>
      </x:c>
      <x:c r="H85" s="32" t="str">
        <x:v>ESTIMATE_PUBLIC_RETAIL_BENCHMARK</x:v>
      </x:c>
      <x:c r="I85" s="32" t="str">
        <x:v>Не является КП; доступность, региональная цена и условия поставки требуют проверки</x:v>
      </x:c>
      <x:c r="J85" s="32" t="str">
        <x:v>Owner / Procurement</x:v>
      </x:c>
      <x:c r="K85" s="32" t="str">
        <x:v>ING-010</x:v>
      </x:c>
      <x:c r="L85" s="32" t="str">
        <x:v>Пармезан</x:v>
      </x:c>
      <x:c r="M85" s="32"/>
    </x:row>
    <x:row r="86">
      <x:c r="A86" s="32" t="str">
        <x:v>PSR-0019</x:v>
      </x:c>
      <x:c r="B86" s="32" t="str">
        <x:v>PRICE_ACCEPTED</x:v>
      </x:c>
      <x:c r="C86" s="32" t="str">
        <x:v>Пармезан Сыробогатов</x:v>
      </x:c>
      <x:c r="D86" s="32" t="str">
        <x:v>https://www.auchan.ru/product/cyr-tverdyy-syrobogatov-parmezan-40-200-g/</x:v>
      </x:c>
      <x:c r="E86" s="32" t="str">
        <x:v>Ашан</x:v>
      </x:c>
      <x:c r="F86" s="32" t="str">
        <x:v>2026-08-03</x:v>
      </x:c>
      <x:c r="G86" s="32" t="str">
        <x:v>VERIFIED_DIRECT_CARD</x:v>
      </x:c>
      <x:c r="H86" s="32" t="str">
        <x:v>ESTIMATE_PUBLIC_RETAIL_BENCHMARK</x:v>
      </x:c>
      <x:c r="I86" s="32" t="str">
        <x:v>Не является КП; доступность, региональная цена и условия поставки требуют проверки</x:v>
      </x:c>
      <x:c r="J86" s="32" t="str">
        <x:v>Owner / Procurement</x:v>
      </x:c>
      <x:c r="K86" s="32" t="str">
        <x:v>ING-010</x:v>
      </x:c>
      <x:c r="L86" s="32" t="str">
        <x:v>Пармезан</x:v>
      </x:c>
      <x:c r="M86" s="32"/>
    </x:row>
    <x:row r="87">
      <x:c r="A87" s="32" t="str">
        <x:v>PSR-0020</x:v>
      </x:c>
      <x:c r="B87" s="32" t="str">
        <x:v>PRICE_ACCEPTED</x:v>
      </x:c>
      <x:c r="C87" s="32" t="str">
        <x:v>Пармезан Laime</x:v>
      </x:c>
      <x:c r="D87" s="32" t="str">
        <x:v>https://www.auchan.ru/product/syr-tverdyy-laime-parmezan-200-g/</x:v>
      </x:c>
      <x:c r="E87" s="32" t="str">
        <x:v>Ашан</x:v>
      </x:c>
      <x:c r="F87" s="32" t="str">
        <x:v>2026-08-03</x:v>
      </x:c>
      <x:c r="G87" s="32" t="str">
        <x:v>VERIFIED_DIRECT_CARD</x:v>
      </x:c>
      <x:c r="H87" s="32" t="str">
        <x:v>ESTIMATE_PUBLIC_RETAIL_BENCHMARK</x:v>
      </x:c>
      <x:c r="I87" s="32" t="str">
        <x:v>Не является КП; доступность, региональная цена и условия поставки требуют проверки</x:v>
      </x:c>
      <x:c r="J87" s="32" t="str">
        <x:v>Owner / Procurement</x:v>
      </x:c>
      <x:c r="K87" s="32" t="str">
        <x:v>ING-010</x:v>
      </x:c>
      <x:c r="L87" s="32" t="str">
        <x:v>Пармезан</x:v>
      </x:c>
      <x:c r="M87" s="32"/>
    </x:row>
    <x:row r="88">
      <x:c r="A88" s="32" t="str">
        <x:v>PSR-0021</x:v>
      </x:c>
      <x:c r="B88" s="32" t="str">
        <x:v>PRICE_ACCEPTED</x:v>
      </x:c>
      <x:c r="C88" s="32" t="str">
        <x:v>Горгонзола Botticello</x:v>
      </x:c>
      <x:c r="D88" s="32" t="str">
        <x:v>https://lenta.com/product/syr-s-golubojj-plesenyu-gorgonzola-50-bez-zmzh-rossiya-100g-909826/</x:v>
      </x:c>
      <x:c r="E88" s="32" t="str">
        <x:v>Лента</x:v>
      </x:c>
      <x:c r="F88" s="32" t="str">
        <x:v>2026-08-03</x:v>
      </x:c>
      <x:c r="G88" s="32" t="str">
        <x:v>VERIFIED_DIRECT_CARD</x:v>
      </x:c>
      <x:c r="H88" s="32" t="str">
        <x:v>ESTIMATE_PUBLIC_RETAIL_BENCHMARK</x:v>
      </x:c>
      <x:c r="I88" s="32" t="str">
        <x:v>Не является КП; доступность, региональная цена и условия поставки требуют проверки</x:v>
      </x:c>
      <x:c r="J88" s="32" t="str">
        <x:v>Owner / Procurement</x:v>
      </x:c>
      <x:c r="K88" s="32" t="str">
        <x:v>ING-012</x:v>
      </x:c>
      <x:c r="L88" s="32" t="str">
        <x:v>Горгонзола</x:v>
      </x:c>
      <x:c r="M88" s="32"/>
    </x:row>
    <x:row r="89">
      <x:c r="A89" s="32" t="str">
        <x:v>PSR-0023</x:v>
      </x:c>
      <x:c r="B89" s="32" t="str">
        <x:v>PRICE_ACCEPTED</x:v>
      </x:c>
      <x:c r="C89" s="32" t="str">
        <x:v>Горгонзола Ненашево</x:v>
      </x:c>
      <x:c r="D89" s="32" t="str">
        <x:v>https://lenta.com/product/syr-gorgonzola-55-bez-zmzh-rossiya-100g-703203/</x:v>
      </x:c>
      <x:c r="E89" s="32" t="str">
        <x:v>Лента</x:v>
      </x:c>
      <x:c r="F89" s="32" t="str">
        <x:v>2026-08-03</x:v>
      </x:c>
      <x:c r="G89" s="32" t="str">
        <x:v>VERIFIED_DIRECT_CARD</x:v>
      </x:c>
      <x:c r="H89" s="32" t="str">
        <x:v>ESTIMATE_PUBLIC_RETAIL_BENCHMARK</x:v>
      </x:c>
      <x:c r="I89" s="32" t="str">
        <x:v>Не является КП; доступность, региональная цена и условия поставки требуют проверки</x:v>
      </x:c>
      <x:c r="J89" s="32" t="str">
        <x:v>Owner / Procurement</x:v>
      </x:c>
      <x:c r="K89" s="32" t="str">
        <x:v>ING-012</x:v>
      </x:c>
      <x:c r="L89" s="32" t="str">
        <x:v>Горгонзола</x:v>
      </x:c>
      <x:c r="M89" s="32"/>
    </x:row>
    <x:row r="90">
      <x:c r="A90" s="32" t="str">
        <x:v>PSR-0025</x:v>
      </x:c>
      <x:c r="B90" s="32" t="str">
        <x:v>PRICE_ACCEPTED</x:v>
      </x:c>
      <x:c r="C90" s="32" t="str">
        <x:v>Буррата Galbani mini</x:v>
      </x:c>
      <x:c r="D90" s="32" t="str">
        <x:v>https://www.auchan.ru/product/syr-galbani-burrata-50-125-g/</x:v>
      </x:c>
      <x:c r="E90" s="32" t="str">
        <x:v>Ашан</x:v>
      </x:c>
      <x:c r="F90" s="32" t="str">
        <x:v>2026-08-03</x:v>
      </x:c>
      <x:c r="G90" s="32" t="str">
        <x:v>VERIFIED_DIRECT_CARD</x:v>
      </x:c>
      <x:c r="H90" s="32" t="str">
        <x:v>ESTIMATE_PUBLIC_RETAIL_BENCHMARK</x:v>
      </x:c>
      <x:c r="I90" s="32" t="str">
        <x:v>Не является КП; доступность, региональная цена и условия поставки требуют проверки</x:v>
      </x:c>
      <x:c r="J90" s="32" t="str">
        <x:v>Owner / Procurement</x:v>
      </x:c>
      <x:c r="K90" s="32" t="str">
        <x:v>ING-030</x:v>
      </x:c>
      <x:c r="L90" s="32" t="str">
        <x:v>Буррата</x:v>
      </x:c>
      <x:c r="M90" s="32"/>
    </x:row>
    <x:row r="91">
      <x:c r="A91" s="32" t="str">
        <x:v>PSR-0026</x:v>
      </x:c>
      <x:c r="B91" s="32" t="str">
        <x:v>PRICE_ACCEPTED</x:v>
      </x:c>
      <x:c r="C91" s="32" t="str">
        <x:v>Буррата Калачево</x:v>
      </x:c>
      <x:c r="D91" s="32" t="str">
        <x:v>https://www.auchan.ru/product/syr-buratta-kalachevo-125g/</x:v>
      </x:c>
      <x:c r="E91" s="32" t="str">
        <x:v>Ашан</x:v>
      </x:c>
      <x:c r="F91" s="32" t="str">
        <x:v>2026-08-03</x:v>
      </x:c>
      <x:c r="G91" s="32" t="str">
        <x:v>VERIFIED_DIRECT_CARD</x:v>
      </x:c>
      <x:c r="H91" s="32" t="str">
        <x:v>ESTIMATE_PUBLIC_RETAIL_BENCHMARK</x:v>
      </x:c>
      <x:c r="I91" s="32" t="str">
        <x:v>Не является КП; доступность, региональная цена и условия поставки требуют проверки</x:v>
      </x:c>
      <x:c r="J91" s="32" t="str">
        <x:v>Owner / Procurement</x:v>
      </x:c>
      <x:c r="K91" s="32" t="str">
        <x:v>ING-030</x:v>
      </x:c>
      <x:c r="L91" s="32" t="str">
        <x:v>Буррата</x:v>
      </x:c>
      <x:c r="M91" s="32"/>
    </x:row>
    <x:row r="92">
      <x:c r="A92" s="32" t="str">
        <x:v>PSR-0027</x:v>
      </x:c>
      <x:c r="B92" s="32" t="str">
        <x:v>PRICE_ACCEPTED</x:v>
      </x:c>
      <x:c r="C92" s="32" t="str">
        <x:v>Буррата Калачево</x:v>
      </x:c>
      <x:c r="D92" s="32" t="str">
        <x:v>https://www.auchan.ru/product/syr-buratta-premium-125g/</x:v>
      </x:c>
      <x:c r="E92" s="32" t="str">
        <x:v>Ашан</x:v>
      </x:c>
      <x:c r="F92" s="32" t="str">
        <x:v>2026-08-03</x:v>
      </x:c>
      <x:c r="G92" s="32" t="str">
        <x:v>VERIFIED_DIRECT_CARD</x:v>
      </x:c>
      <x:c r="H92" s="32" t="str">
        <x:v>ESTIMATE_PUBLIC_RETAIL_BENCHMARK</x:v>
      </x:c>
      <x:c r="I92" s="32" t="str">
        <x:v>Не является КП; доступность, региональная цена и условия поставки требуют проверки</x:v>
      </x:c>
      <x:c r="J92" s="32" t="str">
        <x:v>Owner / Procurement</x:v>
      </x:c>
      <x:c r="K92" s="32" t="str">
        <x:v>ING-030</x:v>
      </x:c>
      <x:c r="L92" s="32" t="str">
        <x:v>Буррата</x:v>
      </x:c>
      <x:c r="M92" s="32"/>
    </x:row>
    <x:row r="93">
      <x:c r="A93" s="32" t="str">
        <x:v>PSR-0028</x:v>
      </x:c>
      <x:c r="B93" s="32" t="str">
        <x:v>PRICE_ACCEPTED</x:v>
      </x:c>
      <x:c r="C93" s="32" t="str">
        <x:v>Буррата ЛЕНТА FRESH</x:v>
      </x:c>
      <x:c r="D93" s="32" t="str">
        <x:v>https://lenta.com/product/syr-myagkijj-burrata-bez-zmzh-rossiya-150g-712603/</x:v>
      </x:c>
      <x:c r="E93" s="32" t="str">
        <x:v>Лента</x:v>
      </x:c>
      <x:c r="F93" s="32" t="str">
        <x:v>2026-08-03</x:v>
      </x:c>
      <x:c r="G93" s="32" t="str">
        <x:v>VERIFIED_DIRECT_CARD</x:v>
      </x:c>
      <x:c r="H93" s="32" t="str">
        <x:v>ESTIMATE_PUBLIC_RETAIL_BENCHMARK</x:v>
      </x:c>
      <x:c r="I93" s="32" t="str">
        <x:v>Не является КП; доступность, региональная цена и условия поставки требуют проверки</x:v>
      </x:c>
      <x:c r="J93" s="32" t="str">
        <x:v>Owner / Procurement</x:v>
      </x:c>
      <x:c r="K93" s="32" t="str">
        <x:v>ING-030</x:v>
      </x:c>
      <x:c r="L93" s="32" t="str">
        <x:v>Буррата</x:v>
      </x:c>
      <x:c r="M93" s="32"/>
    </x:row>
    <x:row r="94">
      <x:c r="A94" s="32" t="str">
        <x:v>PSR-0031</x:v>
      </x:c>
      <x:c r="B94" s="32" t="str">
        <x:v>PRICE_ACCEPTED</x:v>
      </x:c>
      <x:c r="C94" s="32" t="str">
        <x:v>Креветки Fish&amp;More очищенные</x:v>
      </x:c>
      <x:c r="D94" s="32" t="str">
        <x:v>https://www.auchan.ru/product/krevetka-s-m-26-30-och-s-hv-0-5/</x:v>
      </x:c>
      <x:c r="E94" s="32" t="str">
        <x:v>Ашан</x:v>
      </x:c>
      <x:c r="F94" s="32" t="str">
        <x:v>2026-08-03</x:v>
      </x:c>
      <x:c r="G94" s="32" t="str">
        <x:v>VERIFIED_DIRECT_CARD</x:v>
      </x:c>
      <x:c r="H94" s="32" t="str">
        <x:v>ESTIMATE_PUBLIC_RETAIL_BENCHMARK</x:v>
      </x:c>
      <x:c r="I94" s="32" t="str">
        <x:v>Не является КП; доступность, региональная цена и условия поставки требуют проверки</x:v>
      </x:c>
      <x:c r="J94" s="32" t="str">
        <x:v>Owner / Procurement</x:v>
      </x:c>
      <x:c r="K94" s="32" t="str">
        <x:v>ING-036</x:v>
      </x:c>
      <x:c r="L94" s="32" t="str">
        <x:v>Креветки очищенные</x:v>
      </x:c>
      <x:c r="M94" s="32"/>
    </x:row>
    <x:row r="95">
      <x:c r="A95" s="32" t="str">
        <x:v>PSR-0032</x:v>
      </x:c>
      <x:c r="B95" s="32" t="str">
        <x:v>PRICE_ACCEPTED</x:v>
      </x:c>
      <x:c r="C95" s="32" t="str">
        <x:v>Креветки Polar очищенные</x:v>
      </x:c>
      <x:c r="D95" s="32" t="str">
        <x:v>https://www.auchan.ru/product/krevetki-ochishchennye-polar-vareno-morozhenye-200-300-500-g/</x:v>
      </x:c>
      <x:c r="E95" s="32" t="str">
        <x:v>Ашан</x:v>
      </x:c>
      <x:c r="F95" s="32" t="str">
        <x:v>2026-08-03</x:v>
      </x:c>
      <x:c r="G95" s="32" t="str">
        <x:v>VERIFIED_DIRECT_CARD</x:v>
      </x:c>
      <x:c r="H95" s="32" t="str">
        <x:v>ESTIMATE_PUBLIC_RETAIL_BENCHMARK</x:v>
      </x:c>
      <x:c r="I95" s="32" t="str">
        <x:v>Не является КП; доступность, региональная цена и условия поставки требуют проверки</x:v>
      </x:c>
      <x:c r="J95" s="32" t="str">
        <x:v>Owner / Procurement</x:v>
      </x:c>
      <x:c r="K95" s="32" t="str">
        <x:v>ING-036</x:v>
      </x:c>
      <x:c r="L95" s="32" t="str">
        <x:v>Креветки очищенные</x:v>
      </x:c>
      <x:c r="M95" s="32"/>
    </x:row>
    <x:row r="96">
      <x:c r="A96" s="32" t="str">
        <x:v>PSR-0033</x:v>
      </x:c>
      <x:c r="B96" s="32" t="str">
        <x:v>PRICE_ACCEPTED</x:v>
      </x:c>
      <x:c r="C96" s="32" t="str">
        <x:v>Креветки Океан Вкуса 41/50</x:v>
      </x:c>
      <x:c r="D96" s="32" t="str">
        <x:v>https://www.auchan.ru/product/krevetki-korolevskie-okean-vkusa-ochishchennye-s-hvostom-41-50-500-g/</x:v>
      </x:c>
      <x:c r="E96" s="32" t="str">
        <x:v>Ашан</x:v>
      </x:c>
      <x:c r="F96" s="32" t="str">
        <x:v>2026-08-03</x:v>
      </x:c>
      <x:c r="G96" s="32" t="str">
        <x:v>VERIFIED_DIRECT_CARD</x:v>
      </x:c>
      <x:c r="H96" s="32" t="str">
        <x:v>ESTIMATE_PUBLIC_RETAIL_BENCHMARK</x:v>
      </x:c>
      <x:c r="I96" s="32" t="str">
        <x:v>Не является КП; доступность, региональная цена и условия поставки требуют проверки</x:v>
      </x:c>
      <x:c r="J96" s="32" t="str">
        <x:v>Owner / Procurement</x:v>
      </x:c>
      <x:c r="K96" s="32" t="str">
        <x:v>ING-036</x:v>
      </x:c>
      <x:c r="L96" s="32" t="str">
        <x:v>Креветки очищенные</x:v>
      </x:c>
      <x:c r="M96" s="32"/>
    </x:row>
    <x:row r="97">
      <x:c r="A97" s="32" t="str">
        <x:v>PSR-0034</x:v>
      </x:c>
      <x:c r="B97" s="32" t="str">
        <x:v>PRICE_ACCEPTED</x:v>
      </x:c>
      <x:c r="C97" s="32" t="str">
        <x:v>Креветки Вкус Арт</x:v>
      </x:c>
      <x:c r="D97" s="32" t="str">
        <x:v>https://www.auchan.ru/product/krevetka-korol-sm-ochishch-vkusart/</x:v>
      </x:c>
      <x:c r="E97" s="32" t="str">
        <x:v>Ашан</x:v>
      </x:c>
      <x:c r="F97" s="32" t="str">
        <x:v>2026-08-03</x:v>
      </x:c>
      <x:c r="G97" s="32" t="str">
        <x:v>VERIFIED_DIRECT_CARD</x:v>
      </x:c>
      <x:c r="H97" s="32" t="str">
        <x:v>ESTIMATE_PUBLIC_RETAIL_BENCHMARK</x:v>
      </x:c>
      <x:c r="I97" s="32" t="str">
        <x:v>Не является КП; доступность, региональная цена и условия поставки требуют проверки</x:v>
      </x:c>
      <x:c r="J97" s="32" t="str">
        <x:v>Owner / Procurement</x:v>
      </x:c>
      <x:c r="K97" s="32" t="str">
        <x:v>ING-036</x:v>
      </x:c>
      <x:c r="L97" s="32" t="str">
        <x:v>Креветки очищенные</x:v>
      </x:c>
      <x:c r="M97" s="32"/>
    </x:row>
    <x:row r="98">
      <x:c r="A98" s="32" t="str">
        <x:v>PSR-0035</x:v>
      </x:c>
      <x:c r="B98" s="32" t="str">
        <x:v>PRICE_ACCEPTED</x:v>
      </x:c>
      <x:c r="C98" s="32" t="str">
        <x:v>Креветки ЛЕНТА очищенные</x:v>
      </x:c>
      <x:c r="D98" s="32" t="str">
        <x:v>https://lenta.com/product/krevetki-ochishchennye-vm-200300-rossiya-500g-227076/</x:v>
      </x:c>
      <x:c r="E98" s="32" t="str">
        <x:v>Лента</x:v>
      </x:c>
      <x:c r="F98" s="32" t="str">
        <x:v>2026-08-03</x:v>
      </x:c>
      <x:c r="G98" s="32" t="str">
        <x:v>VERIFIED_DIRECT_CARD</x:v>
      </x:c>
      <x:c r="H98" s="32" t="str">
        <x:v>ESTIMATE_PUBLIC_RETAIL_BENCHMARK</x:v>
      </x:c>
      <x:c r="I98" s="32" t="str">
        <x:v>Не является КП; доступность, региональная цена и условия поставки требуют проверки</x:v>
      </x:c>
      <x:c r="J98" s="32" t="str">
        <x:v>Owner / Procurement</x:v>
      </x:c>
      <x:c r="K98" s="32" t="str">
        <x:v>ING-036</x:v>
      </x:c>
      <x:c r="L98" s="32" t="str">
        <x:v>Креветки очищенные</x:v>
      </x:c>
      <x:c r="M98" s="32"/>
    </x:row>
    <x:row r="99">
      <x:c r="A99" s="32" t="str">
        <x:v>PSR-0038</x:v>
      </x:c>
      <x:c r="B99" s="32" t="str">
        <x:v>PRICE_ACCEPTED</x:v>
      </x:c>
      <x:c r="C99" s="32" t="str">
        <x:v>Лосось слабосоленый филе</x:v>
      </x:c>
      <x:c r="D99" s="32" t="str">
        <x:v>https://lenta.com/product/losos-atlanticheskijj-file-slabosolenoe-rossiya-14426/</x:v>
      </x:c>
      <x:c r="E99" s="32" t="str">
        <x:v>Лента</x:v>
      </x:c>
      <x:c r="F99" s="32" t="str">
        <x:v>2026-08-03</x:v>
      </x:c>
      <x:c r="G99" s="32" t="str">
        <x:v>VERIFIED_DIRECT_CARD</x:v>
      </x:c>
      <x:c r="H99" s="32" t="str">
        <x:v>ESTIMATE_PUBLIC_RETAIL_BENCHMARK</x:v>
      </x:c>
      <x:c r="I99" s="32" t="str">
        <x:v>Не является КП; доступность, региональная цена и условия поставки требуют проверки</x:v>
      </x:c>
      <x:c r="J99" s="32" t="str">
        <x:v>Owner / Procurement</x:v>
      </x:c>
      <x:c r="K99" s="32" t="str">
        <x:v>ING-054</x:v>
      </x:c>
      <x:c r="L99" s="32" t="str">
        <x:v>Лосось слабосолёный, готовое филе</x:v>
      </x:c>
      <x:c r="M99" s="32"/>
    </x:row>
    <x:row r="100">
      <x:c r="A100" s="32" t="str">
        <x:v>PSR-0040</x:v>
      </x:c>
      <x:c r="B100" s="32" t="str">
        <x:v>PRICE_ACCEPTED</x:v>
      </x:c>
      <x:c r="C100" s="32" t="str">
        <x:v>Семга Русское море</x:v>
      </x:c>
      <x:c r="D100" s="32" t="str">
        <x:v>https://www.auchan.ru/product/semga-russkoe-more-slabosolenaya-file-kusok-300-g/</x:v>
      </x:c>
      <x:c r="E100" s="32" t="str">
        <x:v>Ашан</x:v>
      </x:c>
      <x:c r="F100" s="32" t="str">
        <x:v>2026-08-03</x:v>
      </x:c>
      <x:c r="G100" s="32" t="str">
        <x:v>VERIFIED_DIRECT_CARD</x:v>
      </x:c>
      <x:c r="H100" s="32" t="str">
        <x:v>ESTIMATE_PUBLIC_RETAIL_BENCHMARK</x:v>
      </x:c>
      <x:c r="I100" s="32" t="str">
        <x:v>Не является КП; доступность, региональная цена и условия поставки требуют проверки</x:v>
      </x:c>
      <x:c r="J100" s="32" t="str">
        <x:v>Owner / Procurement</x:v>
      </x:c>
      <x:c r="K100" s="32" t="str">
        <x:v>ING-054</x:v>
      </x:c>
      <x:c r="L100" s="32" t="str">
        <x:v>Лосось слабосолёный, готовое филе</x:v>
      </x:c>
      <x:c r="M100" s="32"/>
    </x:row>
    <x:row r="101">
      <x:c r="A101" s="32" t="str">
        <x:v>PSR-0041</x:v>
      </x:c>
      <x:c r="B101" s="32" t="str">
        <x:v>PRICE_ACCEPTED</x:v>
      </x:c>
      <x:c r="C101" s="32" t="str">
        <x:v>Семга Русское море</x:v>
      </x:c>
      <x:c r="D101" s="32" t="str">
        <x:v>https://www.auchan.ru/product/semga-russkoe-more-slabosolenaya-file-kusok-200-g/</x:v>
      </x:c>
      <x:c r="E101" s="32" t="str">
        <x:v>Ашан</x:v>
      </x:c>
      <x:c r="F101" s="32" t="str">
        <x:v>2026-08-03</x:v>
      </x:c>
      <x:c r="G101" s="32" t="str">
        <x:v>VERIFIED_DIRECT_CARD</x:v>
      </x:c>
      <x:c r="H101" s="32" t="str">
        <x:v>ESTIMATE_PUBLIC_RETAIL_BENCHMARK</x:v>
      </x:c>
      <x:c r="I101" s="32" t="str">
        <x:v>Не является КП; доступность, региональная цена и условия поставки требуют проверки</x:v>
      </x:c>
      <x:c r="J101" s="32" t="str">
        <x:v>Owner / Procurement</x:v>
      </x:c>
      <x:c r="K101" s="32" t="str">
        <x:v>ING-054</x:v>
      </x:c>
      <x:c r="L101" s="32" t="str">
        <x:v>Лосось слабосолёный, готовое филе</x:v>
      </x:c>
      <x:c r="M101" s="32"/>
    </x:row>
    <x:row r="102">
      <x:c r="A102" s="32" t="str">
        <x:v>PSR-0044</x:v>
      </x:c>
      <x:c r="B102" s="32" t="str">
        <x:v>PRICE_ACCEPTED</x:v>
      </x:c>
      <x:c r="C102" s="32" t="str">
        <x:v>Морковь весовая</x:v>
      </x:c>
      <x:c r="D102" s="32" t="str">
        <x:v>https://lenta.com/product/morkov-ves-1kg-303639/</x:v>
      </x:c>
      <x:c r="E102" s="32" t="str">
        <x:v>Лента</x:v>
      </x:c>
      <x:c r="F102" s="32" t="str">
        <x:v>2026-08-03</x:v>
      </x:c>
      <x:c r="G102" s="32" t="str">
        <x:v>VERIFIED_DIRECT_CARD</x:v>
      </x:c>
      <x:c r="H102" s="32" t="str">
        <x:v>ESTIMATE_PUBLIC_RETAIL_BENCHMARK</x:v>
      </x:c>
      <x:c r="I102" s="32" t="str">
        <x:v>Не является КП; доступность, региональная цена и условия поставки требуют проверки</x:v>
      </x:c>
      <x:c r="J102" s="32" t="str">
        <x:v>Owner / Procurement</x:v>
      </x:c>
      <x:c r="K102" s="32" t="str">
        <x:v>ING-074</x:v>
      </x:c>
      <x:c r="L102" s="32" t="str">
        <x:v>Морковь</x:v>
      </x:c>
      <x:c r="M102" s="32"/>
    </x:row>
    <x:row r="103">
      <x:c r="A103" s="32" t="str">
        <x:v>PSR-0046</x:v>
      </x:c>
      <x:c r="B103" s="32" t="str">
        <x:v>PRICE_ACCEPTED</x:v>
      </x:c>
      <x:c r="C103" s="32" t="str">
        <x:v>Треска Borealis филе</x:v>
      </x:c>
      <x:c r="D103" s="32" t="str">
        <x:v>https://www.auchan.ru/product/treska-borealis-file-bez-shkury-600-g/</x:v>
      </x:c>
      <x:c r="E103" s="32" t="str">
        <x:v>Ашан</x:v>
      </x:c>
      <x:c r="F103" s="32" t="str">
        <x:v>2026-08-03</x:v>
      </x:c>
      <x:c r="G103" s="32" t="str">
        <x:v>VERIFIED_DIRECT_CARD</x:v>
      </x:c>
      <x:c r="H103" s="32" t="str">
        <x:v>ESTIMATE_PUBLIC_RETAIL_BENCHMARK</x:v>
      </x:c>
      <x:c r="I103" s="32" t="str">
        <x:v>Не является КП; доступность, региональная цена и условия поставки требуют проверки</x:v>
      </x:c>
      <x:c r="J103" s="32" t="str">
        <x:v>Owner / Procurement</x:v>
      </x:c>
      <x:c r="K103" s="32" t="str">
        <x:v>ING-076</x:v>
      </x:c>
      <x:c r="L103" s="32" t="str">
        <x:v>Треска, филе порционное</x:v>
      </x:c>
      <x:c r="M103" s="32"/>
    </x:row>
    <x:row r="104">
      <x:c r="A104" s="32" t="str">
        <x:v>PSR-0047</x:v>
      </x:c>
      <x:c r="B104" s="32" t="str">
        <x:v>PRICE_ACCEPTED</x:v>
      </x:c>
      <x:c r="C104" s="32" t="str">
        <x:v>Треска охлажденная Мурманская</x:v>
      </x:c>
      <x:c r="D104" s="32" t="str">
        <x:v>https://www.auchan.ru/product/treska_file_murm_bk_05_12/</x:v>
      </x:c>
      <x:c r="E104" s="32" t="str">
        <x:v>Ашан</x:v>
      </x:c>
      <x:c r="F104" s="32" t="str">
        <x:v>2026-08-03</x:v>
      </x:c>
      <x:c r="G104" s="32" t="str">
        <x:v>VERIFIED_DIRECT_CARD</x:v>
      </x:c>
      <x:c r="H104" s="32" t="str">
        <x:v>ESTIMATE_PUBLIC_RETAIL_BENCHMARK</x:v>
      </x:c>
      <x:c r="I104" s="32" t="str">
        <x:v>Не является КП; доступность, региональная цена и условия поставки требуют проверки</x:v>
      </x:c>
      <x:c r="J104" s="32" t="str">
        <x:v>Owner / Procurement</x:v>
      </x:c>
      <x:c r="K104" s="32" t="str">
        <x:v>ING-076</x:v>
      </x:c>
      <x:c r="L104" s="32" t="str">
        <x:v>Треска, филе порционное</x:v>
      </x:c>
      <x:c r="M104" s="32"/>
    </x:row>
    <x:row r="105">
      <x:c r="A105" s="32" t="str">
        <x:v>PSR-0048</x:v>
      </x:c>
      <x:c r="B105" s="32" t="str">
        <x:v>PRICE_ACCEPTED</x:v>
      </x:c>
      <x:c r="C105" s="32" t="str">
        <x:v>Треска Красная птица филе</x:v>
      </x:c>
      <x:c r="D105" s="32" t="str">
        <x:v>https://www.auchan.ru/product/kp-file-treski-b-k-ves/</x:v>
      </x:c>
      <x:c r="E105" s="32" t="str">
        <x:v>Ашан</x:v>
      </x:c>
      <x:c r="F105" s="32" t="str">
        <x:v>2026-08-03</x:v>
      </x:c>
      <x:c r="G105" s="32" t="str">
        <x:v>VERIFIED_DIRECT_CARD</x:v>
      </x:c>
      <x:c r="H105" s="32" t="str">
        <x:v>ESTIMATE_PUBLIC_RETAIL_BENCHMARK</x:v>
      </x:c>
      <x:c r="I105" s="32" t="str">
        <x:v>Не является КП; доступность, региональная цена и условия поставки требуют проверки</x:v>
      </x:c>
      <x:c r="J105" s="32" t="str">
        <x:v>Owner / Procurement</x:v>
      </x:c>
      <x:c r="K105" s="32" t="str">
        <x:v>ING-076</x:v>
      </x:c>
      <x:c r="L105" s="32" t="str">
        <x:v>Треска, филе порционное</x:v>
      </x:c>
      <x:c r="M105" s="32"/>
    </x:row>
    <x:row r="106">
      <x:c r="A106" s="32" t="str">
        <x:v>PSR-0049</x:v>
      </x:c>
      <x:c r="B106" s="32" t="str">
        <x:v>PRICE_ACCEPTED</x:v>
      </x:c>
      <x:c r="C106" s="32" t="str">
        <x:v>Треска Вкус Арт филе</x:v>
      </x:c>
      <x:c r="D106" s="32" t="str">
        <x:v>https://www.auchan.ru/product/treska-file-vkus-art-600-gr/</x:v>
      </x:c>
      <x:c r="E106" s="32" t="str">
        <x:v>Ашан</x:v>
      </x:c>
      <x:c r="F106" s="32" t="str">
        <x:v>2026-08-03</x:v>
      </x:c>
      <x:c r="G106" s="32" t="str">
        <x:v>VERIFIED_DIRECT_CARD</x:v>
      </x:c>
      <x:c r="H106" s="32" t="str">
        <x:v>ESTIMATE_PUBLIC_RETAIL_BENCHMARK</x:v>
      </x:c>
      <x:c r="I106" s="32" t="str">
        <x:v>Не является КП; доступность, региональная цена и условия поставки требуют проверки</x:v>
      </x:c>
      <x:c r="J106" s="32" t="str">
        <x:v>Owner / Procurement</x:v>
      </x:c>
      <x:c r="K106" s="32" t="str">
        <x:v>ING-076</x:v>
      </x:c>
      <x:c r="L106" s="32" t="str">
        <x:v>Треска, филе порционное</x:v>
      </x:c>
      <x:c r="M106" s="32"/>
    </x:row>
    <x:row r="107">
      <x:c r="A107" s="32" t="str">
        <x:v>PSR-0050</x:v>
      </x:c>
      <x:c r="B107" s="32" t="str">
        <x:v>PRICE_ACCEPTED</x:v>
      </x:c>
      <x:c r="C107" s="32" t="str">
        <x:v>Сливки ЛЕНТА 33%</x:v>
      </x:c>
      <x:c r="D107" s="32" t="str">
        <x:v>https://lenta.com/product/slivki-upast-dlya-vzbivaniya-33-bez-zmzh-rossiya-500g-669483/</x:v>
      </x:c>
      <x:c r="E107" s="32" t="str">
        <x:v>Лента</x:v>
      </x:c>
      <x:c r="F107" s="32" t="str">
        <x:v>2026-08-03</x:v>
      </x:c>
      <x:c r="G107" s="32" t="str">
        <x:v>VERIFIED_DIRECT_CARD</x:v>
      </x:c>
      <x:c r="H107" s="32" t="str">
        <x:v>ESTIMATE_PUBLIC_RETAIL_BENCHMARK</x:v>
      </x:c>
      <x:c r="I107" s="32" t="str">
        <x:v>Не является КП; доступность, региональная цена и условия поставки требуют проверки</x:v>
      </x:c>
      <x:c r="J107" s="32" t="str">
        <x:v>Owner / Procurement</x:v>
      </x:c>
      <x:c r="K107" s="32" t="str">
        <x:v>ING-077</x:v>
      </x:c>
      <x:c r="L107" s="32" t="str">
        <x:v>Сливки</x:v>
      </x:c>
      <x:c r="M107" s="32"/>
    </x:row>
    <x:row r="108">
      <x:c r="A108" s="32" t="str">
        <x:v>PSR-0051</x:v>
      </x:c>
      <x:c r="B108" s="32" t="str">
        <x:v>PRICE_ACCEPTED</x:v>
      </x:c>
      <x:c r="C108" s="32" t="str">
        <x:v>Сливки БМК 33%</x:v>
      </x:c>
      <x:c r="D108" s="32" t="str">
        <x:v>https://lenta.com/product/slivki-upast-tva-33-bez-zmzh-rossiya-500g-564506/</x:v>
      </x:c>
      <x:c r="E108" s="32" t="str">
        <x:v>Лента</x:v>
      </x:c>
      <x:c r="F108" s="32" t="str">
        <x:v>2026-08-03</x:v>
      </x:c>
      <x:c r="G108" s="32" t="str">
        <x:v>VERIFIED_DIRECT_CARD</x:v>
      </x:c>
      <x:c r="H108" s="32" t="str">
        <x:v>ESTIMATE_PUBLIC_RETAIL_BENCHMARK</x:v>
      </x:c>
      <x:c r="I108" s="32" t="str">
        <x:v>Не является КП; доступность, региональная цена и условия поставки требуют проверки</x:v>
      </x:c>
      <x:c r="J108" s="32" t="str">
        <x:v>Owner / Procurement</x:v>
      </x:c>
      <x:c r="K108" s="32" t="str">
        <x:v>ING-077</x:v>
      </x:c>
      <x:c r="L108" s="32" t="str">
        <x:v>Сливки</x:v>
      </x:c>
      <x:c r="M108" s="32"/>
    </x:row>
    <x:row r="109">
      <x:c r="A109" s="32" t="str">
        <x:v>PSR-0052</x:v>
      </x:c>
      <x:c r="B109" s="32" t="str">
        <x:v>PRICE_ACCEPTED</x:v>
      </x:c>
      <x:c r="C109" s="32" t="str">
        <x:v>Сливки Село Зеленое 33%</x:v>
      </x:c>
      <x:c r="D109" s="32" t="str">
        <x:v>https://lenta.com/product/slivki-upast-dlya-vzbivaniya-33-bez-zmzh-rossiya-500g-440469/</x:v>
      </x:c>
      <x:c r="E109" s="32" t="str">
        <x:v>Лента</x:v>
      </x:c>
      <x:c r="F109" s="32" t="str">
        <x:v>2026-08-03</x:v>
      </x:c>
      <x:c r="G109" s="32" t="str">
        <x:v>VERIFIED_DIRECT_CARD</x:v>
      </x:c>
      <x:c r="H109" s="32" t="str">
        <x:v>ESTIMATE_PUBLIC_RETAIL_BENCHMARK</x:v>
      </x:c>
      <x:c r="I109" s="32" t="str">
        <x:v>Не является КП; доступность, региональная цена и условия поставки требуют проверки</x:v>
      </x:c>
      <x:c r="J109" s="32" t="str">
        <x:v>Owner / Procurement</x:v>
      </x:c>
      <x:c r="K109" s="32" t="str">
        <x:v>ING-077</x:v>
      </x:c>
      <x:c r="L109" s="32" t="str">
        <x:v>Сливки</x:v>
      </x:c>
      <x:c r="M109" s="32"/>
    </x:row>
    <x:row r="110">
      <x:c r="A110" s="32" t="str">
        <x:v>PSR-0054</x:v>
      </x:c>
      <x:c r="B110" s="32" t="str">
        <x:v>PRICE_ACCEPTED</x:v>
      </x:c>
      <x:c r="C110" s="32" t="str">
        <x:v>Мякоть говяжья</x:v>
      </x:c>
      <x:c r="D110" s="32" t="str">
        <x:v>https://lenta.com/product/govyadina-myakot-ohlazhdennaya-ves-rossiya-471055/</x:v>
      </x:c>
      <x:c r="E110" s="32" t="str">
        <x:v>Лента</x:v>
      </x:c>
      <x:c r="F110" s="32" t="str">
        <x:v>2026-08-03</x:v>
      </x:c>
      <x:c r="G110" s="32" t="str">
        <x:v>VERIFIED_DIRECT_CARD</x:v>
      </x:c>
      <x:c r="H110" s="32" t="str">
        <x:v>ESTIMATE_PUBLIC_RETAIL_BENCHMARK</x:v>
      </x:c>
      <x:c r="I110" s="32" t="str">
        <x:v>Не является КП; доступность, региональная цена и условия поставки требуют проверки</x:v>
      </x:c>
      <x:c r="J110" s="32" t="str">
        <x:v>Owner / Procurement</x:v>
      </x:c>
      <x:c r="K110" s="32" t="str">
        <x:v>ING-088</x:v>
      </x:c>
      <x:c r="L110" s="32" t="str">
        <x:v>Говядина для котлеты</x:v>
      </x:c>
      <x:c r="M110" s="32"/>
    </x:row>
    <x:row r="111">
      <x:c r="A111" s="32" t="str">
        <x:v>PSR-0055</x:v>
      </x:c>
      <x:c r="B111" s="32" t="str">
        <x:v>PRICE_ACCEPTED</x:v>
      </x:c>
      <x:c r="C111" s="32" t="str">
        <x:v>Вырезка говяжья</x:v>
      </x:c>
      <x:c r="D111" s="32" t="str">
        <x:v>https://www.auchan.ru/product/vyrezka-govyazhya-1kg/</x:v>
      </x:c>
      <x:c r="E111" s="32" t="str">
        <x:v>Ашан</x:v>
      </x:c>
      <x:c r="F111" s="32" t="str">
        <x:v>2026-08-03</x:v>
      </x:c>
      <x:c r="G111" s="32" t="str">
        <x:v>VERIFIED_DIRECT_CARD</x:v>
      </x:c>
      <x:c r="H111" s="32" t="str">
        <x:v>ESTIMATE_PUBLIC_RETAIL_BENCHMARK</x:v>
      </x:c>
      <x:c r="I111" s="32" t="str">
        <x:v>Не является КП; доступность, региональная цена и условия поставки требуют проверки</x:v>
      </x:c>
      <x:c r="J111" s="32" t="str">
        <x:v>Owner / Procurement</x:v>
      </x:c>
      <x:c r="K111" s="32" t="str">
        <x:v>ING-097</x:v>
      </x:c>
      <x:c r="L111" s="32" t="str">
        <x:v>Говяжья вырезка</x:v>
      </x:c>
      <x:c r="M111" s="32"/>
    </x:row>
    <x:row r="112">
      <x:c r="A112" s="32" t="str">
        <x:v>PSR-0056</x:v>
      </x:c>
      <x:c r="B112" s="32" t="str">
        <x:v>PRICE_ACCEPTED</x:v>
      </x:c>
      <x:c r="C112" s="32" t="str">
        <x:v>Вырезка говяжья Tenderloin</x:v>
      </x:c>
      <x:c r="D112" s="32" t="str">
        <x:v>https://www.auchan.ru/product/vyrezka_zachischennaya_mramor/</x:v>
      </x:c>
      <x:c r="E112" s="32" t="str">
        <x:v>Ашан</x:v>
      </x:c>
      <x:c r="F112" s="32" t="str">
        <x:v>2026-08-03</x:v>
      </x:c>
      <x:c r="G112" s="32" t="str">
        <x:v>VERIFIED_DIRECT_CARD</x:v>
      </x:c>
      <x:c r="H112" s="32" t="str">
        <x:v>ESTIMATE_PUBLIC_RETAIL_BENCHMARK</x:v>
      </x:c>
      <x:c r="I112" s="32" t="str">
        <x:v>Не является КП; доступность, региональная цена и условия поставки требуют проверки</x:v>
      </x:c>
      <x:c r="J112" s="32" t="str">
        <x:v>Owner / Procurement</x:v>
      </x:c>
      <x:c r="K112" s="32" t="str">
        <x:v>ING-097</x:v>
      </x:c>
      <x:c r="L112" s="32" t="str">
        <x:v>Говяжья вырезка</x:v>
      </x:c>
      <x:c r="M112" s="32"/>
    </x:row>
    <x:row r="113">
      <x:c r="A113" s="32" t="str">
        <x:v>PSR-0057</x:v>
      </x:c>
      <x:c r="B113" s="32" t="str">
        <x:v>PRICE_ACCEPTED</x:v>
      </x:c>
      <x:c r="C113" s="32" t="str">
        <x:v>Вырезка говяжья Родные места</x:v>
      </x:c>
      <x:c r="D113" s="32" t="str">
        <x:v>https://lenta.com/product/vyrezka-govyazhya-ves-rossiya-494615/</x:v>
      </x:c>
      <x:c r="E113" s="32" t="str">
        <x:v>Лента</x:v>
      </x:c>
      <x:c r="F113" s="32" t="str">
        <x:v>2026-08-03</x:v>
      </x:c>
      <x:c r="G113" s="32" t="str">
        <x:v>VERIFIED_DIRECT_CARD</x:v>
      </x:c>
      <x:c r="H113" s="32" t="str">
        <x:v>ESTIMATE_PUBLIC_RETAIL_BENCHMARK</x:v>
      </x:c>
      <x:c r="I113" s="32" t="str">
        <x:v>Не является КП; доступность, региональная цена и условия поставки требуют проверки</x:v>
      </x:c>
      <x:c r="J113" s="32" t="str">
        <x:v>Owner / Procurement</x:v>
      </x:c>
      <x:c r="K113" s="32" t="str">
        <x:v>ING-097</x:v>
      </x:c>
      <x:c r="L113" s="32" t="str">
        <x:v>Говяжья вырезка</x:v>
      </x:c>
      <x:c r="M113" s="32"/>
    </x:row>
    <x:row r="114">
      <x:c r="A114" s="32" t="str">
        <x:v>PSR-0058</x:v>
      </x:c>
      <x:c r="B114" s="32" t="str">
        <x:v>PRICE_ACCEPTED</x:v>
      </x:c>
      <x:c r="C114" s="32" t="str">
        <x:v>Вырезка говяжья фермерская</x:v>
      </x:c>
      <x:c r="D114" s="32" t="str">
        <x:v>https://lenta.com/product/govyadina--fermerskaya-vyrezka-polufabrikat-ohlazhdennyjj-ves-rossiya-655814/</x:v>
      </x:c>
      <x:c r="E114" s="32" t="str">
        <x:v>Лента</x:v>
      </x:c>
      <x:c r="F114" s="32" t="str">
        <x:v>2026-08-03</x:v>
      </x:c>
      <x:c r="G114" s="32" t="str">
        <x:v>VERIFIED_DIRECT_CARD</x:v>
      </x:c>
      <x:c r="H114" s="32" t="str">
        <x:v>ESTIMATE_PUBLIC_RETAIL_BENCHMARK</x:v>
      </x:c>
      <x:c r="I114" s="32" t="str">
        <x:v>Не является КП; доступность, региональная цена и условия поставки требуют проверки</x:v>
      </x:c>
      <x:c r="J114" s="32" t="str">
        <x:v>Owner / Procurement</x:v>
      </x:c>
      <x:c r="K114" s="32" t="str">
        <x:v>ING-097</x:v>
      </x:c>
      <x:c r="L114" s="32" t="str">
        <x:v>Говяжья вырезка</x:v>
      </x:c>
      <x:c r="M114" s="32"/>
    </x:row>
    <x:row r="115">
      <x:c r="A115" s="32" t="str">
        <x:v>PSR-0061</x:v>
      </x:c>
      <x:c r="B115" s="32" t="str">
        <x:v>PRICE_ACCEPTED</x:v>
      </x:c>
      <x:c r="C115" s="32" t="str">
        <x:v>Черника Свой урожай</x:v>
      </x:c>
      <x:c r="D115" s="32" t="str">
        <x:v>https://lenta.com/product/chernika-rossiya-300g-402638/</x:v>
      </x:c>
      <x:c r="E115" s="32" t="str">
        <x:v>Лента</x:v>
      </x:c>
      <x:c r="F115" s="32" t="str">
        <x:v>2026-08-03</x:v>
      </x:c>
      <x:c r="G115" s="32" t="str">
        <x:v>VERIFIED_DIRECT_CARD</x:v>
      </x:c>
      <x:c r="H115" s="32" t="str">
        <x:v>ESTIMATE_PUBLIC_RETAIL_BENCHMARK</x:v>
      </x:c>
      <x:c r="I115" s="32" t="str">
        <x:v>Не является КП; доступность, региональная цена и условия поставки требуют проверки</x:v>
      </x:c>
      <x:c r="J115" s="32" t="str">
        <x:v>Owner / Procurement</x:v>
      </x:c>
      <x:c r="K115" s="32" t="str">
        <x:v>ING-107</x:v>
      </x:c>
      <x:c r="L115" s="32" t="str">
        <x:v>Черника</x:v>
      </x:c>
      <x:c r="M115" s="32"/>
    </x:row>
    <x:row r="116">
      <x:c r="A116" s="32" t="str">
        <x:v>PSR-0062</x:v>
      </x:c>
      <x:c r="B116" s="32" t="str">
        <x:v>PRICE_ACCEPTED</x:v>
      </x:c>
      <x:c r="C116" s="32" t="str">
        <x:v>Черника И зимой и летом</x:v>
      </x:c>
      <x:c r="D116" s="32" t="str">
        <x:v>https://lenta.com/product/chernika-rossiya-300g-698086/</x:v>
      </x:c>
      <x:c r="E116" s="32" t="str">
        <x:v>Лента</x:v>
      </x:c>
      <x:c r="F116" s="32" t="str">
        <x:v>2026-08-03</x:v>
      </x:c>
      <x:c r="G116" s="32" t="str">
        <x:v>VERIFIED_DIRECT_CARD</x:v>
      </x:c>
      <x:c r="H116" s="32" t="str">
        <x:v>ESTIMATE_PUBLIC_RETAIL_BENCHMARK</x:v>
      </x:c>
      <x:c r="I116" s="32" t="str">
        <x:v>Не является КП; доступность, региональная цена и условия поставки требуют проверки</x:v>
      </x:c>
      <x:c r="J116" s="32" t="str">
        <x:v>Owner / Procurement</x:v>
      </x:c>
      <x:c r="K116" s="32" t="str">
        <x:v>ING-107</x:v>
      </x:c>
      <x:c r="L116" s="32" t="str">
        <x:v>Черника</x:v>
      </x:c>
      <x:c r="M116" s="32"/>
    </x:row>
    <x:row r="117">
      <x:c r="A117" s="32" t="str">
        <x:v>PSR-0063</x:v>
      </x:c>
      <x:c r="B117" s="32" t="str">
        <x:v>PRICE_ACCEPTED</x:v>
      </x:c>
      <x:c r="C117" s="32" t="str">
        <x:v>Черника МариАйс</x:v>
      </x:c>
      <x:c r="D117" s="32" t="str">
        <x:v>https://lenta.com/product/chernika-bzam-pu-rossiya-300g-629698/</x:v>
      </x:c>
      <x:c r="E117" s="32" t="str">
        <x:v>Лента</x:v>
      </x:c>
      <x:c r="F117" s="32" t="str">
        <x:v>2026-08-03</x:v>
      </x:c>
      <x:c r="G117" s="32" t="str">
        <x:v>VERIFIED_DIRECT_CARD</x:v>
      </x:c>
      <x:c r="H117" s="32" t="str">
        <x:v>ESTIMATE_PUBLIC_RETAIL_BENCHMARK</x:v>
      </x:c>
      <x:c r="I117" s="32" t="str">
        <x:v>Не является КП; доступность, региональная цена и условия поставки требуют проверки</x:v>
      </x:c>
      <x:c r="J117" s="32" t="str">
        <x:v>Owner / Procurement</x:v>
      </x:c>
      <x:c r="K117" s="32" t="str">
        <x:v>ING-107</x:v>
      </x:c>
      <x:c r="L117" s="32" t="str">
        <x:v>Черника</x:v>
      </x:c>
      <x:c r="M117" s="32"/>
    </x:row>
    <x:row r="118">
      <x:c r="A118" s="32" t="str">
        <x:v>PSR-0064</x:v>
      </x:c>
      <x:c r="B118" s="32" t="str">
        <x:v>PRICE_ACCEPTED</x:v>
      </x:c>
      <x:c r="C118" s="32" t="str">
        <x:v>Кремчиз Bonfesto</x:v>
      </x:c>
      <x:c r="D118" s="32" t="str">
        <x:v>https://lenta.com/product/syr-tvorozhnyjj-kremchiz-slivochnyjj-70-bez-zmzh-belarus-400g-665842/</x:v>
      </x:c>
      <x:c r="E118" s="32" t="str">
        <x:v>Лента</x:v>
      </x:c>
      <x:c r="F118" s="32" t="str">
        <x:v>2026-08-03</x:v>
      </x:c>
      <x:c r="G118" s="32" t="str">
        <x:v>VERIFIED_DIRECT_CARD</x:v>
      </x:c>
      <x:c r="H118" s="32" t="str">
        <x:v>ESTIMATE_PUBLIC_RETAIL_BENCHMARK</x:v>
      </x:c>
      <x:c r="I118" s="32" t="str">
        <x:v>Не является КП; доступность, региональная цена и условия поставки требуют проверки</x:v>
      </x:c>
      <x:c r="J118" s="32" t="str">
        <x:v>Owner / Procurement</x:v>
      </x:c>
      <x:c r="K118" s="32" t="str">
        <x:v>ING-108</x:v>
      </x:c>
      <x:c r="L118" s="32" t="str">
        <x:v>Сыр сливочный</x:v>
      </x:c>
      <x:c r="M118" s="32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8b40d895dec45c3"/>
  </x:tableParts>
</x:worksheet>
</file>