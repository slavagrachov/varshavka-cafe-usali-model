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5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6.xml" ContentType="application/vnd.openxmlformats-officedocument.spreadsheetml.worksheet+xml"/>
  <Override PartName="/xl/tables/table8.xml" ContentType="application/vnd.openxmlformats-officedocument.spreadsheetml.table+xml"/>
  <Override PartName="/xl/worksheets/sheet7.xml" ContentType="application/vnd.openxmlformats-officedocument.spreadsheetml.worksheet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worksheets/sheet8.xml" ContentType="application/vnd.openxmlformats-officedocument.spreadsheetml.worksheet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worksheets/sheet9.xml" ContentType="application/vnd.openxmlformats-officedocument.spreadsheetml.worksheet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worksheets/sheet10.xml" ContentType="application/vnd.openxmlformats-officedocument.spreadsheetml.worksheet+xml"/>
  <Override PartName="/xl/tables/table16.xml" ContentType="application/vnd.openxmlformats-officedocument.spreadsheetml.table+xml"/>
  <Override PartName="/xl/worksheets/sheet11.xml" ContentType="application/vnd.openxmlformats-officedocument.spreadsheetml.worksheet+xml"/>
  <Override PartName="/xl/tables/table17.xml" ContentType="application/vnd.openxmlformats-officedocument.spreadsheetml.table+xml"/>
  <Override PartName="/xl/worksheets/sheet12.xml" ContentType="application/vnd.openxmlformats-officedocument.spreadsheetml.worksheet+xml"/>
  <Override PartName="/xl/tables/table18.xml" ContentType="application/vnd.openxmlformats-officedocument.spreadsheetml.table+xml"/>
  <Override PartName="/xl/worksheets/sheet13.xml" ContentType="application/vnd.openxmlformats-officedocument.spreadsheetml.worksheet+xml"/>
  <Override PartName="/xl/tables/table19.xml" ContentType="application/vnd.openxmlformats-officedocument.spreadsheetml.table+xml"/>
  <Override PartName="/xl/worksheets/sheet14.xml" ContentType="application/vnd.openxmlformats-officedocument.spreadsheetml.worksheet+xml"/>
  <Override PartName="/xl/tables/table20.xml" ContentType="application/vnd.openxmlformats-officedocument.spreadsheetml.table+xml"/>
  <Override PartName="/xl/worksheets/sheet15.xml" ContentType="application/vnd.openxmlformats-officedocument.spreadsheetml.worksheet+xml"/>
  <Override PartName="/xl/tables/table21.xml" ContentType="application/vnd.openxmlformats-officedocument.spreadsheetml.table+xml"/>
  <Override PartName="/xl/worksheets/sheet16.xml" ContentType="application/vnd.openxmlformats-officedocument.spreadsheetml.worksheet+xml"/>
  <Override PartName="/xl/tables/table22.xml" ContentType="application/vnd.openxmlformats-officedocument.spreadsheetml.table+xml"/>
  <Override PartName="/xl/worksheets/sheet17.xml" ContentType="application/vnd.openxmlformats-officedocument.spreadsheetml.worksheet+xml"/>
  <Override PartName="/xl/tables/table2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0_ПАСПОРТ" sheetId="1" state="visible" r:id="rId1"/>
    <sheet xmlns:r="http://schemas.openxmlformats.org/officeDocument/2006/relationships" name="01_МЕНЮ" sheetId="2" state="visible" r:id="rId2"/>
    <sheet xmlns:r="http://schemas.openxmlformats.org/officeDocument/2006/relationships" name="02_РЕЦЕПТУРЫ" sheetId="3" state="visible" r:id="rId3"/>
    <sheet xmlns:r="http://schemas.openxmlformats.org/officeDocument/2006/relationships" name="03_ПОЛУФАБРИКАТЫ" sheetId="4" state="visible" r:id="rId4"/>
    <sheet xmlns:r="http://schemas.openxmlformats.org/officeDocument/2006/relationships" name="04_КАЛЬКУЛЯЦИИ" sheetId="5" state="visible" r:id="rId5"/>
    <sheet xmlns:r="http://schemas.openxmlformats.org/officeDocument/2006/relationships" name="05_ТЕХКАРТЫ" sheetId="6" state="visible" r:id="rId6"/>
    <sheet xmlns:r="http://schemas.openxmlformats.org/officeDocument/2006/relationships" name="06_СЫРЬЁ_И_ЦЕНЫ" sheetId="7" state="visible" r:id="rId7"/>
    <sheet xmlns:r="http://schemas.openxmlformats.org/officeDocument/2006/relationships" name="07_ЦЕНООБРАЗОВАНИЕ" sheetId="8" state="visible" r:id="rId8"/>
    <sheet xmlns:r="http://schemas.openxmlformats.org/officeDocument/2006/relationships" name="08_ОБОРУДОВАНИЕ" sheetId="9" state="visible" r:id="rId9"/>
    <sheet xmlns:r="http://schemas.openxmlformats.org/officeDocument/2006/relationships" name="09_ИНВЕНТАРЬ_И_ПОСУДА" sheetId="10" state="visible" r:id="rId10"/>
    <sheet xmlns:r="http://schemas.openxmlformats.org/officeDocument/2006/relationships" name="10_АЛЛЕРГЕНЫ_БЕЗОПАСНОСТЬ" sheetId="11" state="visible" r:id="rId11"/>
    <sheet xmlns:r="http://schemas.openxmlformats.org/officeDocument/2006/relationships" name="11_ПИЩЕВАЯ_ЦЕННОСТЬ" sheetId="12" state="visible" r:id="rId12"/>
    <sheet xmlns:r="http://schemas.openxmlformats.org/officeDocument/2006/relationships" name="12_ВОПРОСЫ_ШЕФУ" sheetId="13" state="visible" r:id="rId13"/>
    <sheet xmlns:r="http://schemas.openxmlformats.org/officeDocument/2006/relationships" name="13_СОГЛАСОВАНИЕ" sheetId="14" state="visible" r:id="rId14"/>
    <sheet xmlns:r="http://schemas.openxmlformats.org/officeDocument/2006/relationships" name="14_КОНТРОЛЬНЫЕ_ПРОРАБОТКИ" sheetId="15" state="visible" r:id="rId15"/>
    <sheet xmlns:r="http://schemas.openxmlformats.org/officeDocument/2006/relationships" name="15_ПРОВЕРКИ" sheetId="16" state="visible" r:id="rId16"/>
    <sheet xmlns:r="http://schemas.openxmlformats.org/officeDocument/2006/relationships" name="16_ИСТОЧНИКИ" sheetId="17" state="visible" r:id="rId17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#,##0.00;[Red](#,##0.00);-"/>
    <numFmt numFmtId="165" formatCode="0.0%"/>
    <numFmt numFmtId="166" formatCode="#,##0.0000;[Red](#,##0.0000);-"/>
  </numFmts>
  <fonts count="10">
    <font>
      <name val="Carlito"/>
      <sz val="11"/>
    </font>
    <font>
      <name val="Carlito"/>
      <b val="1"/>
      <color rgb="FFFFFFFF"/>
      <sz val="15"/>
    </font>
    <font>
      <name val="Carlito"/>
      <i val="1"/>
      <color rgb="FF1F2937"/>
      <sz val="10"/>
    </font>
    <font>
      <name val="Carlito"/>
      <b val="1"/>
      <color rgb="FFFFFFFF"/>
      <sz val="11"/>
    </font>
    <font>
      <name val="Carlito"/>
      <color rgb="FF1F2937"/>
      <sz val="9"/>
    </font>
    <font>
      <name val="Aptos"/>
      <b val="1"/>
      <color rgb="FFFFFFFF"/>
      <sz val="15"/>
    </font>
    <font>
      <name val="Aptos"/>
      <sz val="11"/>
    </font>
    <font>
      <name val="Aptos"/>
      <i val="1"/>
      <color rgb="FF1F2937"/>
      <sz val="10"/>
    </font>
    <font>
      <name val="Aptos"/>
      <b val="1"/>
      <color rgb="FFFFFFFF"/>
      <sz val="11"/>
    </font>
    <font>
      <name val="Aptos"/>
      <color rgb="FF1F2937"/>
      <sz val="9"/>
    </font>
  </fonts>
  <fills count="7">
    <fill>
      <patternFill/>
    </fill>
    <fill>
      <patternFill patternType="gray125"/>
    </fill>
    <fill>
      <patternFill patternType="solid">
        <fgColor rgb="FF18324A"/>
      </patternFill>
    </fill>
    <fill>
      <patternFill patternType="solid">
        <fgColor rgb="FFEAF2F7"/>
      </patternFill>
    </fill>
    <fill>
      <patternFill patternType="solid">
        <fgColor rgb="FF2C6E8F"/>
      </patternFill>
    </fill>
    <fill>
      <patternFill patternType="solid">
        <fgColor rgb="FFE8F5E9"/>
      </patternFill>
    </fill>
    <fill>
      <patternFill patternType="solid">
        <fgColor rgb="FFFFF4CC"/>
      </patternFill>
    </fill>
  </fills>
  <borders count="1">
    <border/>
  </borders>
  <cellStyleXfs count="1">
    <xf numFmtId="0" fontId="0" fillId="0" borderId="0"/>
  </cellStyleXfs>
  <cellXfs count="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0" fillId="0" borderId="0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vertical="center" wrapText="1"/>
    </xf>
    <xf numFmtId="0" fontId="4" fillId="0" borderId="0" pivotButton="0" quotePrefix="0" xfId="0"/>
    <xf numFmtId="0" fontId="4" fillId="0" borderId="0" applyAlignment="1" pivotButton="0" quotePrefix="0" xfId="0">
      <alignment wrapText="1"/>
    </xf>
    <xf numFmtId="0" fontId="4" fillId="0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164" fontId="4" fillId="5" borderId="0" applyAlignment="1" pivotButton="0" quotePrefix="0" xfId="0">
      <alignment vertical="top" wrapText="1"/>
    </xf>
    <xf numFmtId="0" fontId="3" fillId="2" borderId="0" pivotButton="0" quotePrefix="0" xfId="0"/>
    <xf numFmtId="0" fontId="0" fillId="6" borderId="0" pivotButton="0" quotePrefix="0" xfId="0"/>
    <xf numFmtId="165" fontId="0" fillId="6" borderId="0" pivotButton="0" quotePrefix="0" xfId="0"/>
    <xf numFmtId="0" fontId="4" fillId="6" borderId="0" applyAlignment="1" pivotButton="0" quotePrefix="0" xfId="0">
      <alignment vertical="top" wrapText="1"/>
    </xf>
    <xf numFmtId="164" fontId="4" fillId="6" borderId="0" applyAlignment="1" pivotButton="0" quotePrefix="0" xfId="0">
      <alignment vertical="top" wrapText="1"/>
    </xf>
    <xf numFmtId="164" fontId="4" fillId="0" borderId="0" applyAlignment="1" pivotButton="0" quotePrefix="0" xfId="0">
      <alignment vertical="top" wrapText="1"/>
    </xf>
    <xf numFmtId="166" fontId="4" fillId="6" borderId="0" applyAlignment="1" pivotButton="0" quotePrefix="0" xfId="0">
      <alignment vertical="top" wrapText="1"/>
    </xf>
    <xf numFmtId="165" fontId="4" fillId="0" borderId="0" applyAlignment="1" pivotButton="0" quotePrefix="0" xfId="0">
      <alignment vertical="top" wrapText="1"/>
    </xf>
    <xf numFmtId="2" fontId="4" fillId="5" borderId="0" applyAlignment="1" pivotButton="0" quotePrefix="0" xfId="0">
      <alignment vertical="top" wrapText="1"/>
    </xf>
    <xf numFmtId="0" fontId="5" fillId="2" borderId="0" applyAlignment="1" pivotButton="0" quotePrefix="0" xfId="0">
      <alignment vertical="center"/>
    </xf>
    <xf numFmtId="0" fontId="6" fillId="0" borderId="0" pivotButton="0" quotePrefix="0" xfId="0"/>
    <xf numFmtId="0" fontId="7" fillId="3" borderId="0" applyAlignment="1" pivotButton="0" quotePrefix="0" xfId="0">
      <alignment vertical="center" wrapText="1"/>
    </xf>
    <xf numFmtId="0" fontId="8" fillId="4" borderId="0" pivotButton="0" quotePrefix="0" xfId="0"/>
    <xf numFmtId="0" fontId="6" fillId="0" borderId="0" applyAlignment="1" pivotButton="0" quotePrefix="0" xfId="0">
      <alignment wrapText="1"/>
    </xf>
    <xf numFmtId="0" fontId="8" fillId="4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top" wrapText="1"/>
    </xf>
    <xf numFmtId="164" fontId="9" fillId="5" borderId="0" applyAlignment="1" pivotButton="0" quotePrefix="0" xfId="0">
      <alignment vertical="top" wrapText="1"/>
    </xf>
    <xf numFmtId="0" fontId="8" fillId="2" borderId="0" pivotButton="0" quotePrefix="0" xfId="0"/>
    <xf numFmtId="165" fontId="6" fillId="6" borderId="0" pivotButton="0" quotePrefix="0" xfId="0"/>
    <xf numFmtId="164" fontId="9" fillId="6" borderId="0" applyAlignment="1" pivotButton="0" quotePrefix="0" xfId="0">
      <alignment vertical="top" wrapText="1"/>
    </xf>
    <xf numFmtId="164" fontId="9" fillId="0" borderId="0" applyAlignment="1" pivotButton="0" quotePrefix="0" xfId="0">
      <alignment vertical="top" wrapText="1"/>
    </xf>
    <xf numFmtId="0" fontId="9" fillId="6" borderId="0" applyAlignment="1" pivotButton="0" quotePrefix="0" xfId="0">
      <alignment vertical="top" wrapText="1"/>
    </xf>
    <xf numFmtId="166" fontId="9" fillId="6" borderId="0" applyAlignment="1" pivotButton="0" quotePrefix="0" xfId="0">
      <alignment vertical="top" wrapText="1"/>
    </xf>
    <xf numFmtId="165" fontId="9" fillId="0" borderId="0" applyAlignment="1" pivotButton="0" quotePrefix="0" xfId="0">
      <alignment vertical="top" wrapText="1"/>
    </xf>
    <xf numFmtId="2" fontId="9" fillId="5" borderId="0" applyAlignment="1" pivotButton="0" quotePrefix="0" xfId="0">
      <alignment vertical="top" wrapText="1"/>
    </xf>
    <xf numFmtId="164" fontId="9" fillId="5" borderId="0" applyAlignment="1" pivotButton="0" quotePrefix="0" xfId="0">
      <alignment vertical="top" wrapText="1"/>
    </xf>
    <xf numFmtId="165" fontId="6" fillId="6" borderId="0" pivotButton="0" quotePrefix="0" xfId="0"/>
    <xf numFmtId="164" fontId="9" fillId="6" borderId="0" applyAlignment="1" pivotButton="0" quotePrefix="0" xfId="0">
      <alignment vertical="top" wrapText="1"/>
    </xf>
    <xf numFmtId="164" fontId="9" fillId="0" borderId="0" applyAlignment="1" pivotButton="0" quotePrefix="0" xfId="0">
      <alignment vertical="top" wrapText="1"/>
    </xf>
    <xf numFmtId="166" fontId="9" fillId="6" borderId="0" applyAlignment="1" pivotButton="0" quotePrefix="0" xfId="0">
      <alignment vertical="top" wrapText="1"/>
    </xf>
    <xf numFmtId="165" fontId="9" fillId="0" borderId="0" applyAlignment="1" pivotButton="0" quotePrefix="0" xfId="0">
      <alignment vertical="top" wrapText="1"/>
    </xf>
    <xf numFmtId="2" fontId="9" fillId="5" borderId="0" applyAlignment="1" pivotButton="0" quotePrefix="0" xfId="0">
      <alignment vertical="top" wrapText="1"/>
    </xf>
  </cellXfs>
  <cellStyles count="1">
    <cellStyle name="Normal" xfId="0"/>
  </cellStyles>
  <dxfs count="36">
    <dxf>
      <font>
        <b val="1"/>
        <color rgb="FF9B1C1C"/>
      </font>
      <fill>
        <patternFill patternType="solid">
          <bgColor rgb="FFFDE8E8"/>
        </patternFill>
      </fill>
    </dxf>
    <dxf>
      <font>
        <b val="1"/>
        <color rgb="FF166534"/>
      </font>
      <fill>
        <patternFill patternType="solid">
          <bgColor rgb="FFE2F2E6"/>
        </patternFill>
      </fill>
    </dxf>
    <dxf>
      <font>
        <b val="1"/>
        <color rgb="FF9B1C1C"/>
      </font>
      <fill>
        <patternFill patternType="solid">
          <bgColor rgb="FFFDE8E8"/>
        </patternFill>
      </fill>
    </dxf>
    <dxf>
      <font>
        <b val="1"/>
        <color rgb="FF166534"/>
      </font>
      <fill>
        <patternFill patternType="solid">
          <bgColor rgb="FFE2F2E6"/>
        </patternFill>
      </fill>
    </dxf>
    <dxf>
      <font>
        <b val="1"/>
        <color rgb="FF9B1C1C"/>
      </font>
      <fill>
        <patternFill patternType="solid">
          <bgColor rgb="FFFDE8E8"/>
        </patternFill>
      </fill>
    </dxf>
    <dxf>
      <font>
        <b val="1"/>
        <color rgb="FF166534"/>
      </font>
      <fill>
        <patternFill patternType="solid">
          <bgColor rgb="FFE2F2E6"/>
        </patternFill>
      </fill>
    </dxf>
    <dxf>
      <font>
        <b val="1"/>
        <color rgb="FF9B1C1C"/>
      </font>
      <fill>
        <patternFill patternType="solid">
          <bgColor rgb="FFFDE8E8"/>
        </patternFill>
      </fill>
    </dxf>
    <dxf>
      <font>
        <b val="1"/>
        <color rgb="FF166534"/>
      </font>
      <fill>
        <patternFill patternType="solid">
          <bgColor rgb="FFE2F2E6"/>
        </patternFill>
      </fill>
    </dxf>
    <dxf>
      <font>
        <b val="1"/>
        <color rgb="FF9B1C1C"/>
      </font>
      <fill>
        <patternFill patternType="solid">
          <bgColor rgb="FFFDE8E8"/>
        </patternFill>
      </fill>
    </dxf>
    <dxf>
      <font>
        <b val="1"/>
        <color rgb="FF166534"/>
      </font>
      <fill>
        <patternFill patternType="solid">
          <bgColor rgb="FFE2F2E6"/>
        </patternFill>
      </fill>
    </dxf>
    <dxf>
      <font>
        <b val="1"/>
        <color rgb="FF9B1C1C"/>
      </font>
      <fill>
        <patternFill patternType="solid">
          <bgColor rgb="FFFDE8E8"/>
        </patternFill>
      </fill>
    </dxf>
    <dxf>
      <font>
        <b val="1"/>
        <color rgb="FF166534"/>
      </font>
      <fill>
        <patternFill patternType="solid">
          <bgColor rgb="FFE2F2E6"/>
        </patternFill>
      </fill>
    </dxf>
    <dxf>
      <font>
        <b val="1"/>
        <color rgb="FF9B1C1C"/>
      </font>
      <fill>
        <patternFill patternType="solid">
          <bgColor rgb="FFFDE8E8"/>
        </patternFill>
      </fill>
    </dxf>
    <dxf>
      <font>
        <b val="1"/>
        <color rgb="FF166534"/>
      </font>
      <fill>
        <patternFill patternType="solid">
          <bgColor rgb="FFE2F2E6"/>
        </patternFill>
      </fill>
    </dxf>
    <dxf>
      <font>
        <b val="1"/>
        <color rgb="FF9B1C1C"/>
      </font>
      <fill>
        <patternFill patternType="solid">
          <bgColor rgb="FFFDE8E8"/>
        </patternFill>
      </fill>
    </dxf>
    <dxf>
      <font>
        <b val="1"/>
        <color rgb="FF166534"/>
      </font>
      <fill>
        <patternFill patternType="solid">
          <bgColor rgb="FFE2F2E6"/>
        </patternFill>
      </fill>
    </dxf>
    <dxf>
      <font>
        <b val="1"/>
        <color rgb="FF9B1C1C"/>
      </font>
      <fill>
        <patternFill patternType="solid">
          <bgColor rgb="FFFDE8E8"/>
        </patternFill>
      </fill>
    </dxf>
    <dxf>
      <font>
        <b val="1"/>
        <color rgb="FF166534"/>
      </font>
      <fill>
        <patternFill patternType="solid">
          <bgColor rgb="FFE2F2E6"/>
        </patternFill>
      </fill>
    </dxf>
    <dxf>
      <font>
        <b val="1"/>
        <color rgb="FF9B1C1C"/>
      </font>
      <fill>
        <patternFill patternType="solid">
          <bgColor rgb="FFFDE8E8"/>
        </patternFill>
      </fill>
    </dxf>
    <dxf>
      <font>
        <b val="1"/>
        <color rgb="FF166534"/>
      </font>
      <fill>
        <patternFill patternType="solid">
          <bgColor rgb="FFE2F2E6"/>
        </patternFill>
      </fill>
    </dxf>
    <dxf>
      <font>
        <b val="1"/>
        <color rgb="FF9B1C1C"/>
      </font>
      <fill>
        <patternFill patternType="solid">
          <bgColor rgb="FFFDE8E8"/>
        </patternFill>
      </fill>
    </dxf>
    <dxf>
      <font>
        <b val="1"/>
        <color rgb="FF166534"/>
      </font>
      <fill>
        <patternFill patternType="solid">
          <bgColor rgb="FFE2F2E6"/>
        </patternFill>
      </fill>
    </dxf>
    <dxf>
      <font>
        <b val="1"/>
        <color rgb="FF9B1C1C"/>
      </font>
      <fill>
        <patternFill patternType="solid">
          <bgColor rgb="FFFDE8E8"/>
        </patternFill>
      </fill>
    </dxf>
    <dxf>
      <font>
        <b val="1"/>
        <color rgb="FF166534"/>
      </font>
      <fill>
        <patternFill patternType="solid">
          <bgColor rgb="FFE2F2E6"/>
        </patternFill>
      </fill>
    </dxf>
    <dxf>
      <font>
        <b val="1"/>
        <color rgb="FF9B1C1C"/>
      </font>
      <fill>
        <patternFill patternType="solid">
          <bgColor rgb="FFFDE8E8"/>
        </patternFill>
      </fill>
    </dxf>
    <dxf>
      <font>
        <b val="1"/>
        <color rgb="FF166534"/>
      </font>
      <fill>
        <patternFill patternType="solid">
          <bgColor rgb="FFE2F2E6"/>
        </patternFill>
      </fill>
    </dxf>
    <dxf>
      <font>
        <b val="1"/>
        <color rgb="FF9B1C1C"/>
      </font>
      <fill>
        <patternFill patternType="solid">
          <bgColor rgb="FFFDE8E8"/>
        </patternFill>
      </fill>
    </dxf>
    <dxf>
      <font>
        <b val="1"/>
        <color rgb="FF166534"/>
      </font>
      <fill>
        <patternFill patternType="solid">
          <bgColor rgb="FFE2F2E6"/>
        </patternFill>
      </fill>
    </dxf>
    <dxf>
      <font>
        <b val="1"/>
        <color rgb="FF9B1C1C"/>
      </font>
      <fill>
        <patternFill patternType="solid">
          <bgColor rgb="FFFDE8E8"/>
        </patternFill>
      </fill>
    </dxf>
    <dxf>
      <font>
        <b val="1"/>
        <color rgb="FF166534"/>
      </font>
      <fill>
        <patternFill patternType="solid">
          <bgColor rgb="FFE2F2E6"/>
        </patternFill>
      </fill>
    </dxf>
    <dxf>
      <font>
        <b val="1"/>
        <color rgb="FF9B1C1C"/>
      </font>
      <fill>
        <patternFill patternType="solid">
          <bgColor rgb="FFFDE8E8"/>
        </patternFill>
      </fill>
    </dxf>
    <dxf>
      <font>
        <b val="1"/>
        <color rgb="FF166534"/>
      </font>
      <fill>
        <patternFill patternType="solid">
          <bgColor rgb="FFE2F2E6"/>
        </patternFill>
      </fill>
    </dxf>
    <dxf>
      <font>
        <b val="1"/>
        <color rgb="FF9B1C1C"/>
      </font>
      <fill>
        <patternFill patternType="solid">
          <bgColor rgb="FFFDE8E8"/>
        </patternFill>
      </fill>
    </dxf>
    <dxf>
      <font>
        <b val="1"/>
        <color rgb="FF166534"/>
      </font>
      <fill>
        <patternFill patternType="solid">
          <bgColor rgb="FFE2F2E6"/>
        </patternFill>
      </fill>
    </dxf>
    <dxf>
      <font>
        <b val="1"/>
        <color rgb="FF9B1C1C"/>
      </font>
      <fill>
        <patternFill patternType="solid">
          <bgColor rgb="FFFDE8E8"/>
        </patternFill>
      </fill>
    </dxf>
    <dxf>
      <font>
        <b val="1"/>
        <color rgb="FF166534"/>
      </font>
      <fill>
        <patternFill patternType="solid">
          <bgColor rgb="FFE2F2E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ables/table1.xml><?xml version="1.0" encoding="utf-8"?>
<table xmlns="http://schemas.openxmlformats.org/spreadsheetml/2006/main" id="1" name="PassportStatus" displayName="PassportStatus" ref="A12:J40" headerRowCount="1" totalsRowCount="0" totalsRowShown="0">
  <autoFilter ref="A12:J40"/>
  <tableColumns count="10">
    <tableColumn id="1" name="Dish ID"/>
    <tableColumn id="2" name="Блюдо"/>
    <tableColumn id="3" name="Раздел"/>
    <tableColumn id="4" name="Recipe version"/>
    <tableColumn id="5" name="Dish status"/>
    <tableColumn id="6" name="Safety veto"/>
    <tableColumn id="7" name="Cost status"/>
    <tableColumn id="8" name="Nutrition status"/>
    <tableColumn id="9" name="Gate C"/>
    <tableColumn id="10" name="Blocker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enuReadiness" displayName="MenuReadiness" ref="A5:N33" headerRowCount="1" totalsRowCount="0" totalsRowShown="0">
  <autoFilter ref="A5:N33"/>
  <tableColumns count="14">
    <tableColumn id="1" name="Dish ID"/>
    <tableColumn id="2" name="Блюдо"/>
    <tableColumn id="3" name="Раздел"/>
    <tableColumn id="4" name="Ед. продажи"/>
    <tableColumn id="5" name="Выход"/>
    <tableColumn id="6" name="Ед."/>
    <tableColumn id="7" name="Recipe version"/>
    <tableColumn id="8" name="Статус"/>
    <tableColumn id="9" name="Safety veto"/>
    <tableColumn id="10" name="Complete COGS"/>
    <tableColumn id="11" name="Цена"/>
    <tableColumn id="12" name="Food cost"/>
    <tableColumn id="13" name="Маржа"/>
    <tableColumn id="14" name="Blocker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ecipeLines" displayName="RecipeLines" ref="A5:P258" headerRowCount="1" totalsRowCount="0" totalsRowShown="0">
  <autoFilter ref="A5:P258"/>
  <tableColumns count="16">
    <tableColumn id="1" name="Line ID"/>
    <tableColumn id="2" name="Dish ID"/>
    <tableColumn id="3" name="Cost card"/>
    <tableColumn id="4" name="Tech card"/>
    <tableColumn id="5" name="Версия"/>
    <tableColumn id="6" name="Ingredient ID"/>
    <tableColumn id="7" name="Ингредиент"/>
    <tableColumn id="8" name="Стадия"/>
    <tableColumn id="9" name="VSF"/>
    <tableColumn id="10" name="Брутто"/>
    <tableColumn id="11" name="Ед."/>
    <tableColumn id="12" name="Нетто"/>
    <tableColumn id="13" name="Вклад в выход"/>
    <tableColumn id="14" name="Статус"/>
    <tableColumn id="15" name="Evidence"/>
    <tableColumn id="16" name="Blocker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emiFinished" displayName="SemiFinished" ref="A5:O39" headerRowCount="1" totalsRowCount="0" totalsRowShown="0">
  <autoFilter ref="A5:O39"/>
  <tableColumns count="15">
    <tableColumn id="1" name="VSF"/>
    <tableColumn id="2" name="Наименование"/>
    <tableColumn id="3" name="Версия"/>
    <tableColumn id="4" name="Variant"/>
    <tableColumn id="5" name="Variants"/>
    <tableColumn id="6" name="Брутто"/>
    <tableColumn id="7" name="Нетто"/>
    <tableColumn id="8" name="Выход"/>
    <tableColumn id="9" name="Ед."/>
    <tableColumn id="10" name="Блюда"/>
    <tableColumn id="11" name="Child VSF"/>
    <tableColumn id="12" name="Статус"/>
    <tableColumn id="13" name="Evidence"/>
    <tableColumn id="14" name="Blockers"/>
    <tableColumn id="15" name="Анти-double-countin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emiDAG" displayName="SemiDAG" ref="A43:J85" headerRowCount="1" totalsRowCount="0" totalsRowShown="0">
  <autoFilter ref="A43:J85"/>
  <tableColumns count="10">
    <tableColumn id="1" name="Edge"/>
    <tableColumn id="2" name="Parent type"/>
    <tableColumn id="3" name="Parent"/>
    <tableColumn id="4" name="Child"/>
    <tableColumn id="5" name="Variant"/>
    <tableColumn id="6" name="Qty"/>
    <tableColumn id="7" name="Unit"/>
    <tableColumn id="8" name="Mapping"/>
    <tableColumn id="9" name="Status"/>
    <tableColumn id="10" name="Cycle control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CostCards" displayName="CostCards" ref="A5:Q33" headerRowCount="1" totalsRowCount="0" totalsRowShown="0">
  <autoFilter ref="A5:Q33"/>
  <tableColumns count="17">
    <tableColumn id="1" name="Cost card"/>
    <tableColumn id="2" name="Dish ID"/>
    <tableColumn id="3" name="Блюдо"/>
    <tableColumn id="4" name="Выход"/>
    <tableColumn id="5" name="Ед."/>
    <tableColumn id="6" name="Partial input"/>
    <tableColumn id="7" name="Partial formula"/>
    <tableColumn id="8" name="Complete food input"/>
    <tableColumn id="9" name="Complete food formula"/>
    <tableColumn id="10" name="Spoilage"/>
    <tableColumn id="11" name="Kitchen COGS"/>
    <tableColumn id="12" name="Packaging"/>
    <tableColumn id="13" name="Other variable"/>
    <tableColumn id="14" name="Complete portion COGS"/>
    <tableColumn id="15" name="Missing IDs"/>
    <tableColumn id="16" name="Status"/>
    <tableColumn id="17" name="Evidenc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ProxyCosting" displayName="ProxyCosting" ref="A37:M65" headerRowCount="1" totalsRowCount="0" totalsRowShown="0">
  <autoFilter ref="A37:M65"/>
  <tableColumns count="13">
    <tableColumn id="1" name="Dish ID"/>
    <tableColumn id="2" name="Блюдо"/>
    <tableColumn id="3" name="Версия"/>
    <tableColumn id="4" name="Scenario food"/>
    <tableColumn id="5" name="Proxy component"/>
    <tableColumn id="6" name="Evidence floor"/>
    <tableColumn id="7" name="Spoilage"/>
    <tableColumn id="8" name="Scenario COGS"/>
    <tableColumn id="9" name="Scenario status"/>
    <tableColumn id="10" name="Confidence"/>
    <tableColumn id="11" name="Procurement"/>
    <tableColumn id="12" name="Method"/>
    <tableColumn id="13" name="Limitation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echCards" displayName="TechCards" ref="A5:AG33" headerRowCount="1" totalsRowCount="0" totalsRowShown="0">
  <autoFilter ref="A5:AG33"/>
  <tableColumns count="33">
    <tableColumn id="1" name="Tech card"/>
    <tableColumn id="2" name="Dish ID"/>
    <tableColumn id="3" name="Блюдо"/>
    <tableColumn id="4" name="Версия"/>
    <tableColumn id="5" name="Область применения"/>
    <tableColumn id="6" name="Scope status"/>
    <tableColumn id="7" name="Требования к сырью"/>
    <tableColumn id="8" name="Raw status"/>
    <tableColumn id="9" name="Подготовка сырья"/>
    <tableColumn id="10" name="Prep status"/>
    <tableColumn id="11" name="Допустимые отклонения"/>
    <tableColumn id="12" name="Tolerance status"/>
    <tableColumn id="13" name="Органолептика"/>
    <tableColumn id="14" name="Sensory status"/>
    <tableColumn id="15" name="Хранение и реализация"/>
    <tableColumn id="16" name="Storage status"/>
    <tableColumn id="17" name="Операции"/>
    <tableColumn id="18" name="Активное время"/>
    <tableColumn id="19" name="Ед."/>
    <tableColumn id="20" name="Полное время"/>
    <tableColumn id="21" name="Ед."/>
    <tableColumn id="22" name="Подача"/>
    <tableColumn id="23" name="Выход"/>
    <tableColumn id="24" name="Ед."/>
    <tableColumn id="25" name="Safety limits"/>
    <tableColumn id="26" name="Safety status"/>
    <tableColumn id="27" name="Статус"/>
    <tableColumn id="28" name="Evidence"/>
    <tableColumn id="29" name="Safety evidence"/>
    <tableColumn id="30" name="Safety blockers"/>
    <tableColumn id="31" name="Blockers"/>
    <tableColumn id="32" name="Owner"/>
    <tableColumn id="33" name="Validati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RawPrices" displayName="RawPrices" ref="A5:M118" headerRowCount="1" totalsRowCount="0" totalsRowShown="0">
  <autoFilter ref="A5:M118"/>
  <tableColumns count="13">
    <tableColumn id="1" name="Ingredient ID"/>
    <tableColumn id="2" name="Ингредиент"/>
    <tableColumn id="3" name="Usage g"/>
    <tableColumn id="4" name="SKU critical"/>
    <tableColumn id="5" name="Selected RUB/kg"/>
    <tableColumn id="6" name="Basis"/>
    <tableColumn id="7" name="Obs."/>
    <tableColumn id="8" name="Source IDs"/>
    <tableColumn id="9" name="As of"/>
    <tableColumn id="10" name="Status"/>
    <tableColumn id="11" name="Confidence"/>
    <tableColumn id="12" name="Owner"/>
    <tableColumn id="13" name="Next action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AcceptedPriceSources" displayName="AcceptedPriceSources" ref="A122:M190" headerRowCount="1" totalsRowCount="0" totalsRowShown="0">
  <autoFilter ref="A122:M190"/>
  <tableColumns count="13">
    <tableColumn id="1" name="Source ID"/>
    <tableColumn id="2" name="Ingredient ID"/>
    <tableColumn id="3" name="Ингредиент"/>
    <tableColumn id="4" name="Продукт"/>
    <tableColumn id="5" name="Поставщик"/>
    <tableColumn id="6" name="Pack qty"/>
    <tableColumn id="7" name="Unit"/>
    <tableColumn id="8" name="Pack RUB"/>
    <tableColumn id="9" name="RUB/kg"/>
    <tableColumn id="10" name="Date"/>
    <tableColumn id="11" name="URL"/>
    <tableColumn id="12" name="Selected"/>
    <tableColumn id="13" name="Review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ChannelPricing" displayName="ChannelPricing" ref="A5:P106" headerRowCount="1" totalsRowCount="0" totalsRowShown="0">
  <autoFilter ref="A5:P106"/>
  <tableColumns count="16">
    <tableColumn id="1" name="Dish ID"/>
    <tableColumn id="2" name="Блюдо"/>
    <tableColumn id="3" name="Канал"/>
    <tableColumn id="4" name="Target COGS"/>
    <tableColumn id="5" name="Kitchen COGS"/>
    <tableColumn id="6" name="Packaging"/>
    <tableColumn id="7" name="Commission"/>
    <tableColumn id="8" name="Tax"/>
    <tableColumn id="9" name="Project price"/>
    <tableColumn id="10" name="Food cost"/>
    <tableColumn id="11" name="Gross margin"/>
    <tableColumn id="12" name="Contribution"/>
    <tableColumn id="13" name="Status"/>
    <tableColumn id="14" name="Method"/>
    <tableColumn id="15" name="Source"/>
    <tableColumn id="16" name="Blocker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ProxyChannelPricing" displayName="ProxyChannelPricing" ref="A110:P211" headerRowCount="1" totalsRowCount="0" totalsRowShown="0">
  <autoFilter ref="A110:P211"/>
  <tableColumns count="16">
    <tableColumn id="1" name="Dish ID"/>
    <tableColumn id="2" name="Блюдо"/>
    <tableColumn id="3" name="Канал"/>
    <tableColumn id="4" name="Target"/>
    <tableColumn id="5" name="Scenario COGS"/>
    <tableColumn id="6" name="Packaging assumption"/>
    <tableColumn id="7" name="Scenario price"/>
    <tableColumn id="8" name="Food cost"/>
    <tableColumn id="9" name="Margin"/>
    <tableColumn id="10" name="Contribution"/>
    <tableColumn id="11" name="Tax"/>
    <tableColumn id="12" name="Commission"/>
    <tableColumn id="13" name="Status"/>
    <tableColumn id="14" name="Confidence"/>
    <tableColumn id="15" name="Procurement"/>
    <tableColumn id="16" name="Limitations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ResourceCards" displayName="ResourceCards" ref="A5:N33" headerRowCount="1" totalsRowCount="0" totalsRowShown="0">
  <autoFilter ref="A5:N33"/>
  <tableColumns count="14">
    <tableColumn id="1" name="Resource ID"/>
    <tableColumn id="2" name="Dish ID"/>
    <tableColumn id="3" name="Блюдо"/>
    <tableColumn id="4" name="Зона"/>
    <tableColumn id="5" name="Ops"/>
    <tableColumn id="6" name="Mapped"/>
    <tableColumn id="7" name="Functions"/>
    <tableColumn id="8" name="Conditional"/>
    <tableColumn id="9" name="Active min"/>
    <tableColumn id="10" name="Total min"/>
    <tableColumn id="11" name="Capacity"/>
    <tableColumn id="12" name="Availability"/>
    <tableColumn id="13" name="Connections"/>
    <tableColumn id="14" name="Blocker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EquipmentMappings" displayName="EquipmentMappings" ref="A37:W192" headerRowCount="1" totalsRowCount="0" totalsRowShown="0">
  <autoFilter ref="A37:W192"/>
  <tableColumns count="23">
    <tableColumn id="1" name="Mapping"/>
    <tableColumn id="2" name="Dish ID"/>
    <tableColumn id="3" name="Блюдо"/>
    <tableColumn id="4" name="Op"/>
    <tableColumn id="5" name="Операция"/>
    <tableColumn id="6" name="Functions"/>
    <tableColumn id="7" name="Equipment/function"/>
    <tableColumn id="8" name="CAPEX"/>
    <tableColumn id="9" name="Role"/>
    <tableColumn id="10" name="Min"/>
    <tableColumn id="11" name="Project requirement"/>
    <tableColumn id="12" name="Req status"/>
    <tableColumn id="13" name="Recipe load"/>
    <tableColumn id="14" name="Manufacturer"/>
    <tableColumn id="15" name="Model/article"/>
    <tableColumn id="16" name="Passport"/>
    <tableColumn id="17" name="Passport cap."/>
    <tableColumn id="18" name="Capacity"/>
    <tableColumn id="19" name="Availability"/>
    <tableColumn id="20" name="Connections"/>
    <tableColumn id="21" name="Suitability"/>
    <tableColumn id="22" name="Status"/>
    <tableColumn id="23" name="Blocker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CapacityScenario" displayName="CapacityScenario" ref="A196:V224" headerRowCount="1" totalsRowCount="0" totalsRowShown="0">
  <autoFilter ref="A196:V224"/>
  <tableColumns count="22">
    <tableColumn id="1" name="Capacity ID"/>
    <tableColumn id="2" name="Dish ID"/>
    <tableColumn id="3" name="Блюдо"/>
    <tableColumn id="4" name="Group"/>
    <tableColumn id="5" name="Functions"/>
    <tableColumn id="6" name="Active min"/>
    <tableColumn id="7" name="Total min"/>
    <tableColumn id="8" name="Labor units/h"/>
    <tableColumn id="9" name="Labor status"/>
    <tableColumn id="10" name="Model estimate"/>
    <tableColumn id="11" name="Model status"/>
    <tableColumn id="12" name="Plan cycle"/>
    <tableColumn id="13" name="Plan status"/>
    <tableColumn id="14" name="One-recipe batches"/>
    <tableColumn id="15" name="Scenario status"/>
    <tableColumn id="16" name="Demand"/>
    <tableColumn id="17" name="Passport batch"/>
    <tableColumn id="18" name="Required batches"/>
    <tableColumn id="19" name="Bottleneck"/>
    <tableColumn id="20" name="Bottleneck status"/>
    <tableColumn id="21" name="Blockers"/>
    <tableColumn id="22" name="Next action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InventoryTableware" displayName="InventoryTableware" ref="A5:P33" headerRowCount="1" totalsRowCount="0" totalsRowShown="0">
  <autoFilter ref="A5:P33"/>
  <tableColumns count="16">
    <tableColumn id="1" name="Dish ID"/>
    <tableColumn id="2" name="Блюдо"/>
    <tableColumn id="3" name="Inventory set"/>
    <tableColumn id="4" name="Инвентарь"/>
    <tableColumn id="5" name="Functions"/>
    <tableColumn id="6" name="Required qty"/>
    <tableColumn id="7" name="Qty status"/>
    <tableColumn id="8" name="Inv status"/>
    <tableColumn id="9" name="Evidence"/>
    <tableColumn id="10" name="Inv blockers"/>
    <tableColumn id="11" name="Tableware set"/>
    <tableColumn id="12" name="Посуда / упаковка"/>
    <tableColumn id="13" name="Historical SKU"/>
    <tableColumn id="14" name="Pieces/service"/>
    <tableColumn id="15" name="Start qty"/>
    <tableColumn id="16" name="TW statu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SafetyCards" displayName="SafetyCards" ref="A5:S33" headerRowCount="1" totalsRowCount="0" totalsRowShown="0">
  <autoFilter ref="A5:S33"/>
  <tableColumns count="19">
    <tableColumn id="1" name="Safety card"/>
    <tableColumn id="2" name="Dish ID"/>
    <tableColumn id="3" name="Блюдо"/>
    <tableColumn id="4" name="Source recipe version"/>
    <tableColumn id="5" name="Recipe blob"/>
    <tableColumn id="6" name="Temp limit"/>
    <tableColumn id="7" name="Cooling limit"/>
    <tableColumn id="8" name="Reheat limit"/>
    <tableColumn id="9" name="Shelf life"/>
    <tableColumn id="10" name="Cooling applicability"/>
    <tableColumn id="11" name="Reheat applicability"/>
    <tableColumn id="12" name="Status"/>
    <tableColumn id="13" name="Veto"/>
    <tableColumn id="14" name="Allergens draft"/>
    <tableColumn id="15" name="Cross contact"/>
    <tableColumn id="16" name="Matrix status"/>
    <tableColumn id="17" name="Evidence"/>
    <tableColumn id="18" name="Veto reason"/>
    <tableColumn id="19" name="Unblock condition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Nutrition" displayName="Nutrition" ref="A5:Y33" headerRowCount="1" totalsRowCount="0" totalsRowShown="0">
  <autoFilter ref="A5:Y33"/>
  <tableColumns count="25">
    <tableColumn id="1" name="Nutrition ID"/>
    <tableColumn id="2" name="Dish ID"/>
    <tableColumn id="3" name="Блюдо"/>
    <tableColumn id="4" name="Portion g"/>
    <tableColumn id="5" name="Protein/output"/>
    <tableColumn id="6" name="Protein low"/>
    <tableColumn id="7" name="Protein high"/>
    <tableColumn id="8" name="Fat/output"/>
    <tableColumn id="9" name="Fat low"/>
    <tableColumn id="10" name="Fat high"/>
    <tableColumn id="11" name="Carbs/output"/>
    <tableColumn id="12" name="Carbs low"/>
    <tableColumn id="13" name="Carbs high"/>
    <tableColumn id="14" name="Kcal/output"/>
    <tableColumn id="15" name="Kcal low"/>
    <tableColumn id="16" name="Kcal high"/>
    <tableColumn id="17" name="Protein/100g"/>
    <tableColumn id="18" name="Fat/100g"/>
    <tableColumn id="19" name="Carbs/100g"/>
    <tableColumn id="20" name="Kcal/100g"/>
    <tableColumn id="21" name="Lab"/>
    <tableColumn id="22" name="Calc status"/>
    <tableColumn id="23" name="Release"/>
    <tableColumn id="24" name="Evidence"/>
    <tableColumn id="25" name="Blocker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ChefQuestions" displayName="ChefQuestions" ref="A5:N149" headerRowCount="1" totalsRowCount="0" totalsRowShown="0">
  <autoFilter ref="A5:N149"/>
  <tableColumns count="14">
    <tableColumn id="1" name="Question ID"/>
    <tableColumn id="2" name="Dish ID"/>
    <tableColumn id="3" name="Блюдо"/>
    <tableColumn id="4" name="Тип"/>
    <tableColumn id="5" name="Вопрос"/>
    <tableColumn id="6" name="Статус"/>
    <tableColumn id="7" name="Owner"/>
    <tableColumn id="8" name="Impact"/>
    <tableColumn id="9" name="Evidence"/>
    <tableColumn id="10" name="Blockers"/>
    <tableColumn id="11" name="Checkpoint"/>
    <tableColumn id="12" name="Ответ"/>
    <tableColumn id="13" name="Дата ответа"/>
    <tableColumn id="14" name="Raised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Approvals" displayName="Approvals" ref="A5:L33" headerRowCount="1" totalsRowCount="0" totalsRowShown="0">
  <autoFilter ref="A5:L33"/>
  <tableColumns count="12">
    <tableColumn id="1" name="Dish ID"/>
    <tableColumn id="2" name="Блюдо"/>
    <tableColumn id="3" name="Recipe version"/>
    <tableColumn id="4" name="Current status"/>
    <tableColumn id="5" name="Safety veto"/>
    <tableColumn id="6" name="Chef decision"/>
    <tableColumn id="7" name="Chef date"/>
    <tableColumn id="8" name="Owner decision"/>
    <tableColumn id="9" name="Owner date"/>
    <tableColumn id="10" name="Approval status"/>
    <tableColumn id="11" name="Open conflicts"/>
    <tableColumn id="12" name="Change control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ControlCook" displayName="ControlCook" ref="A5:P33" headerRowCount="1" totalsRowCount="0" totalsRowShown="0">
  <autoFilter ref="A5:P33"/>
  <tableColumns count="16">
    <tableColumn id="1" name="Plan ID"/>
    <tableColumn id="2" name="Dish ID"/>
    <tableColumn id="3" name="Блюдо"/>
    <tableColumn id="4" name="Recipe version"/>
    <tableColumn id="5" name="Draft batch"/>
    <tableColumn id="6" name="Unit"/>
    <tableColumn id="7" name="Draft output"/>
    <tableColumn id="8" name="Out unit"/>
    <tableColumn id="9" name="Execution"/>
    <tableColumn id="10" name="Actual gross"/>
    <tableColumn id="11" name="Actual net"/>
    <tableColumn id="12" name="Actual output"/>
    <tableColumn id="13" name="Actual active min"/>
    <tableColumn id="14" name="Decision"/>
    <tableColumn id="15" name="Blockers"/>
    <tableColumn id="16" name="Next action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GateDChecks" displayName="GateDChecks" ref="A5:G22" headerRowCount="1" totalsRowCount="0" totalsRowShown="0">
  <tableColumns count="7">
    <tableColumn id="1" name="Check ID"/>
    <tableColumn id="2" name="Assertion"/>
    <tableColumn id="3" name="Expected"/>
    <tableColumn id="4" name="Actual"/>
    <tableColumn id="5" name="Delta"/>
    <tableColumn id="6" name="Status"/>
    <tableColumn id="7" name="Notes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UnifiedSources" displayName="UnifiedSources" ref="A5:M141" headerRowCount="1" totalsRowCount="0" totalsRowShown="0">
  <autoFilter ref="A5:M141"/>
  <tableColumns count="13">
    <tableColumn id="1" name="Source/Evidence ID"/>
    <tableColumn id="2" name="Type"/>
    <tableColumn id="3" name="Title / parameter"/>
    <tableColumn id="4" name="Locator / URL"/>
    <tableColumn id="5" name="Issuer / class"/>
    <tableColumn id="6" name="Version / date"/>
    <tableColumn id="7" name="Status"/>
    <tableColumn id="8" name="Allowed use"/>
    <tableColumn id="9" name="Limitations / prohibited"/>
    <tableColumn id="10" name="Owner"/>
    <tableColumn id="11" name="Linked source/entity"/>
    <tableColumn id="12" name="Scope/name"/>
    <tableColumn id="13" name="Gap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table" Target="/xl/tables/table5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table" Target="/xl/tables/table7.xml" Id="rId2"/></Relationships>
</file>

<file path=xl/worksheets/_rels/sheet6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9.xml" Id="rId1"/><Relationship Type="http://schemas.openxmlformats.org/officeDocument/2006/relationships/table" Target="/xl/tables/table10.xml" Id="rId2"/></Relationships>
</file>

<file path=xl/worksheets/_rels/sheet8.xml.rels><Relationships xmlns="http://schemas.openxmlformats.org/package/2006/relationships"><Relationship Type="http://schemas.openxmlformats.org/officeDocument/2006/relationships/table" Target="/xl/tables/table11.xml" Id="rId1"/><Relationship Type="http://schemas.openxmlformats.org/officeDocument/2006/relationships/table" Target="/xl/tables/table12.xml" Id="rId2"/></Relationships>
</file>

<file path=xl/worksheets/_rels/sheet9.xml.rels><Relationships xmlns="http://schemas.openxmlformats.org/package/2006/relationships"><Relationship Type="http://schemas.openxmlformats.org/officeDocument/2006/relationships/table" Target="/xl/tables/table13.xml" Id="rId1"/><Relationship Type="http://schemas.openxmlformats.org/officeDocument/2006/relationships/table" Target="/xl/tables/table14.xml" Id="rId2"/><Relationship Type="http://schemas.openxmlformats.org/officeDocument/2006/relationships/table" Target="/xl/tables/table15.xml" Id="rId3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18" customWidth="1" min="3" max="3"/>
    <col width="18" customWidth="1" min="4" max="4"/>
    <col width="24" customWidth="1" min="5" max="5"/>
    <col width="14" customWidth="1" min="6" max="6"/>
    <col width="25" customWidth="1" min="7" max="7"/>
    <col width="25" customWidth="1" min="8" max="8"/>
    <col width="22" customWidth="1" min="9" max="9"/>
    <col width="42" customWidth="1" min="10" max="10"/>
  </cols>
  <sheetData>
    <row r="1" ht="30" customHeight="1">
      <c r="A1" s="27" t="inlineStr">
        <is>
          <t>ВАРШАВКА — меню, калькуляции и технологические карты</t>
        </is>
      </c>
      <c r="J1" s="28" t="n"/>
    </row>
    <row r="2" ht="27" customHeight="1">
      <c r="A2" s="29" t="inlineStr">
        <is>
          <t>Remediation release candidate · Structural Gate D PASS · предметная готовность ограничена открытыми evidence/Owner/Chef gates</t>
        </is>
      </c>
      <c r="J2" s="28" t="n"/>
    </row>
    <row r="3">
      <c r="A3" s="28" t="n"/>
      <c r="B3" s="28" t="n"/>
      <c r="C3" s="28" t="n"/>
      <c r="D3" s="28" t="n"/>
      <c r="E3" s="28" t="n"/>
      <c r="F3" s="28" t="n"/>
      <c r="G3" s="28" t="n"/>
      <c r="H3" s="28" t="n"/>
      <c r="I3" s="28" t="n"/>
      <c r="J3" s="28" t="n"/>
    </row>
    <row r="4">
      <c r="A4" s="30" t="inlineStr">
        <is>
          <t>Параметр</t>
        </is>
      </c>
      <c r="B4" s="30" t="inlineStr">
        <is>
          <t>Значение</t>
        </is>
      </c>
      <c r="C4" s="28" t="n"/>
      <c r="D4" s="28" t="n"/>
      <c r="E4" s="28" t="n"/>
      <c r="F4" s="28" t="n"/>
      <c r="G4" s="28" t="n"/>
      <c r="H4" s="28" t="n"/>
      <c r="I4" s="28" t="n"/>
      <c r="J4" s="28" t="n"/>
    </row>
    <row r="5">
      <c r="A5" s="31" t="inlineStr">
        <is>
          <t>Версия</t>
        </is>
      </c>
      <c r="B5" s="31" t="inlineStr">
        <is>
          <t>2.0.0-DRAFT</t>
        </is>
      </c>
      <c r="C5" s="28" t="n"/>
      <c r="D5" s="28" t="n"/>
      <c r="E5" s="28" t="n"/>
      <c r="F5" s="28" t="n"/>
      <c r="G5" s="28" t="n"/>
      <c r="H5" s="28" t="n"/>
      <c r="I5" s="28" t="n"/>
      <c r="J5" s="28" t="n"/>
    </row>
    <row r="6">
      <c r="A6" s="31" t="inlineStr">
        <is>
          <t>Дата среза</t>
        </is>
      </c>
      <c r="B6" s="31" t="inlineStr">
        <is>
          <t>2026-08-03</t>
        </is>
      </c>
      <c r="C6" s="28" t="n"/>
      <c r="D6" s="28" t="n"/>
      <c r="E6" s="28" t="n"/>
      <c r="F6" s="28" t="n"/>
      <c r="G6" s="28" t="n"/>
      <c r="H6" s="28" t="n"/>
      <c r="I6" s="28" t="n"/>
      <c r="J6" s="28" t="n"/>
    </row>
    <row r="7">
      <c r="A7" s="31" t="inlineStr">
        <is>
          <t>Scope</t>
        </is>
      </c>
      <c r="B7" s="31" t="inlineStr">
        <is>
          <t>VKM-001…025, VKM-029…031 (28)</t>
        </is>
      </c>
      <c r="C7" s="28" t="n"/>
      <c r="D7" s="28" t="n"/>
      <c r="E7" s="28" t="n"/>
      <c r="F7" s="28" t="n"/>
      <c r="G7" s="28" t="n"/>
      <c r="H7" s="28" t="n"/>
      <c r="I7" s="28" t="n"/>
      <c r="J7" s="28" t="n"/>
    </row>
    <row r="8">
      <c r="A8" s="31" t="inlineStr">
        <is>
          <t>Исключено</t>
        </is>
      </c>
      <c r="B8" s="31" t="inlineStr">
        <is>
          <t>VKM-026…028</t>
        </is>
      </c>
      <c r="C8" s="28" t="n"/>
      <c r="D8" s="28" t="n"/>
      <c r="E8" s="28" t="n"/>
      <c r="F8" s="28" t="n"/>
      <c r="G8" s="28" t="n"/>
      <c r="H8" s="28" t="n"/>
      <c r="I8" s="28" t="n"/>
      <c r="J8" s="28" t="n"/>
    </row>
    <row r="9">
      <c r="A9" s="31" t="inlineStr">
        <is>
          <t>Экономика</t>
        </is>
      </c>
      <c r="B9" s="31" t="inlineStr">
        <is>
          <t>HOF-0014: evidence layer 68 accepted; proxy 28/101 isolated</t>
        </is>
      </c>
      <c r="C9" s="28" t="n"/>
      <c r="D9" s="28" t="n"/>
      <c r="E9" s="28" t="n"/>
      <c r="F9" s="28" t="n"/>
      <c r="G9" s="28" t="n"/>
      <c r="H9" s="28" t="n"/>
      <c r="I9" s="28" t="n"/>
      <c r="J9" s="28" t="n"/>
    </row>
    <row r="10">
      <c r="A10" s="31" t="inlineStr">
        <is>
          <t>Статус</t>
        </is>
      </c>
      <c r="B10" s="31" t="inlineStr">
        <is>
          <t>DRAFT / STRUCTURAL_PASS / SUBJECT_MATTER_BLOCKED</t>
        </is>
      </c>
      <c r="C10" s="28" t="n"/>
      <c r="D10" s="28" t="n"/>
      <c r="E10" s="28" t="n"/>
      <c r="F10" s="28" t="n"/>
      <c r="G10" s="28" t="n"/>
      <c r="H10" s="28" t="n"/>
      <c r="I10" s="28" t="n"/>
      <c r="J10" s="28" t="n"/>
    </row>
    <row r="11">
      <c r="A11" s="28" t="n"/>
      <c r="B11" s="28" t="n"/>
      <c r="C11" s="28" t="n"/>
      <c r="D11" s="28" t="n"/>
      <c r="E11" s="28" t="n"/>
      <c r="F11" s="28" t="n"/>
      <c r="G11" s="28" t="n"/>
      <c r="H11" s="28" t="n"/>
      <c r="I11" s="28" t="n"/>
      <c r="J11" s="28" t="n"/>
    </row>
    <row r="12" ht="34" customHeight="1">
      <c r="A12" s="32" t="inlineStr">
        <is>
          <t>Dish ID</t>
        </is>
      </c>
      <c r="B12" s="32" t="inlineStr">
        <is>
          <t>Блюдо</t>
        </is>
      </c>
      <c r="C12" s="32" t="inlineStr">
        <is>
          <t>Раздел</t>
        </is>
      </c>
      <c r="D12" s="32" t="inlineStr">
        <is>
          <t>Recipe version</t>
        </is>
      </c>
      <c r="E12" s="32" t="inlineStr">
        <is>
          <t>Dish status</t>
        </is>
      </c>
      <c r="F12" s="32" t="inlineStr">
        <is>
          <t>Safety veto</t>
        </is>
      </c>
      <c r="G12" s="32" t="inlineStr">
        <is>
          <t>Cost status</t>
        </is>
      </c>
      <c r="H12" s="32" t="inlineStr">
        <is>
          <t>Nutrition status</t>
        </is>
      </c>
      <c r="I12" s="32" t="inlineStr">
        <is>
          <t>Gate C</t>
        </is>
      </c>
      <c r="J12" s="32" t="inlineStr">
        <is>
          <t>Blockers</t>
        </is>
      </c>
    </row>
    <row r="13">
      <c r="A13" s="33" t="inlineStr">
        <is>
          <t>VKM-001</t>
        </is>
      </c>
      <c r="B13" s="33" t="inlineStr">
        <is>
          <t>Маргарита</t>
        </is>
      </c>
      <c r="C13" s="33" t="inlineStr">
        <is>
          <t>Пицца</t>
        </is>
      </c>
      <c r="D13" s="33" t="inlineStr">
        <is>
          <t>0.1.0-DRAFT</t>
        </is>
      </c>
      <c r="E13" s="33" t="inlineStr">
        <is>
          <t>DRAFT_WITH_ASSUMPTIONS</t>
        </is>
      </c>
      <c r="F13" s="33" t="inlineStr">
        <is>
          <t>BLOCK</t>
        </is>
      </c>
      <c r="G13" s="33" t="inlineStr">
        <is>
          <t>BLOCKED_PENDING_VALIDATION</t>
        </is>
      </c>
      <c r="H13" s="33" t="inlineStr">
        <is>
          <t>CALCULATED_DRAFT_WITH_ASSUMPTIONS / BLOCKED_PENDING_VALIDATION</t>
        </is>
      </c>
      <c r="I13" s="33" t="inlineStr">
        <is>
          <t>PASS_WITH_CONDITIONS</t>
        </is>
      </c>
      <c r="J13" s="33" t="inlineStr">
        <is>
          <t>INT-C-002;INT-C-004;INT-C-005;INT-C-006;INT-C-007;INT-C-008</t>
        </is>
      </c>
    </row>
    <row r="14">
      <c r="A14" s="33" t="inlineStr">
        <is>
          <t>VKM-002</t>
        </is>
      </c>
      <c r="B14" s="33" t="inlineStr">
        <is>
          <t>Четыре сыра</t>
        </is>
      </c>
      <c r="C14" s="33" t="inlineStr">
        <is>
          <t>Пицца</t>
        </is>
      </c>
      <c r="D14" s="33" t="inlineStr">
        <is>
          <t>0.1.0-DRAFT</t>
        </is>
      </c>
      <c r="E14" s="33" t="inlineStr">
        <is>
          <t>DRAFT_WITH_ASSUMPTIONS</t>
        </is>
      </c>
      <c r="F14" s="33" t="inlineStr">
        <is>
          <t>BLOCK</t>
        </is>
      </c>
      <c r="G14" s="33" t="inlineStr">
        <is>
          <t>BLOCKED_PENDING_VALIDATION</t>
        </is>
      </c>
      <c r="H14" s="33" t="inlineStr">
        <is>
          <t>CALCULATED_DRAFT_WITH_ASSUMPTIONS / BLOCKED_PENDING_VALIDATION</t>
        </is>
      </c>
      <c r="I14" s="33" t="inlineStr">
        <is>
          <t>PASS_WITH_CONDITIONS</t>
        </is>
      </c>
      <c r="J14" s="33" t="inlineStr">
        <is>
          <t>INT-C-002;INT-C-004;INT-C-005;INT-C-006;INT-C-007;INT-C-008</t>
        </is>
      </c>
    </row>
    <row r="15">
      <c r="A15" s="33" t="inlineStr">
        <is>
          <t>VKM-003</t>
        </is>
      </c>
      <c r="B15" s="33" t="inlineStr">
        <is>
          <t>Грибная с ветчиной</t>
        </is>
      </c>
      <c r="C15" s="33" t="inlineStr">
        <is>
          <t>Пицца</t>
        </is>
      </c>
      <c r="D15" s="33" t="inlineStr">
        <is>
          <t>0.1.0-DRAFT</t>
        </is>
      </c>
      <c r="E15" s="33" t="inlineStr">
        <is>
          <t>DRAFT_WITH_ASSUMPTIONS</t>
        </is>
      </c>
      <c r="F15" s="33" t="inlineStr">
        <is>
          <t>BLOCK</t>
        </is>
      </c>
      <c r="G15" s="33" t="inlineStr">
        <is>
          <t>BLOCKED_PENDING_VALIDATION</t>
        </is>
      </c>
      <c r="H15" s="33" t="inlineStr">
        <is>
          <t>CALCULATED_DRAFT_WITH_ASSUMPTIONS / BLOCKED_PENDING_VALIDATION</t>
        </is>
      </c>
      <c r="I15" s="33" t="inlineStr">
        <is>
          <t>PASS_WITH_CONDITIONS</t>
        </is>
      </c>
      <c r="J15" s="33" t="inlineStr">
        <is>
          <t>INT-C-002;INT-C-004;INT-C-005;INT-C-006;INT-C-007;INT-C-008</t>
        </is>
      </c>
    </row>
    <row r="16">
      <c r="A16" s="33" t="inlineStr">
        <is>
          <t>VKM-004</t>
        </is>
      </c>
      <c r="B16" s="33" t="inlineStr">
        <is>
          <t>Пепперони</t>
        </is>
      </c>
      <c r="C16" s="33" t="inlineStr">
        <is>
          <t>Пицца</t>
        </is>
      </c>
      <c r="D16" s="33" t="inlineStr">
        <is>
          <t>0.1.0-DRAFT</t>
        </is>
      </c>
      <c r="E16" s="33" t="inlineStr">
        <is>
          <t>DRAFT_WITH_ASSUMPTIONS</t>
        </is>
      </c>
      <c r="F16" s="33" t="inlineStr">
        <is>
          <t>BLOCK</t>
        </is>
      </c>
      <c r="G16" s="33" t="inlineStr">
        <is>
          <t>BLOCKED_PENDING_VALIDATION</t>
        </is>
      </c>
      <c r="H16" s="33" t="inlineStr">
        <is>
          <t>CALCULATED_DRAFT_WITH_ASSUMPTIONS / BLOCKED_PENDING_VALIDATION</t>
        </is>
      </c>
      <c r="I16" s="33" t="inlineStr">
        <is>
          <t>PASS_WITH_CONDITIONS</t>
        </is>
      </c>
      <c r="J16" s="33" t="inlineStr">
        <is>
          <t>INT-C-002;INT-C-004;INT-C-005;INT-C-006;INT-C-007;INT-C-008</t>
        </is>
      </c>
    </row>
    <row r="17">
      <c r="A17" s="33" t="inlineStr">
        <is>
          <t>VKM-005</t>
        </is>
      </c>
      <c r="B17" s="33" t="inlineStr">
        <is>
          <t>Белая чиабатта</t>
        </is>
      </c>
      <c r="C17" s="33" t="inlineStr">
        <is>
          <t>Хлеб</t>
        </is>
      </c>
      <c r="D17" s="33" t="inlineStr">
        <is>
          <t>0.1.0-DRAFT</t>
        </is>
      </c>
      <c r="E17" s="33" t="inlineStr">
        <is>
          <t>DRAFT_WITH_ASSUMPTIONS</t>
        </is>
      </c>
      <c r="F17" s="33" t="inlineStr">
        <is>
          <t>BLOCK</t>
        </is>
      </c>
      <c r="G17" s="33" t="inlineStr">
        <is>
          <t>BLOCKED_PENDING_VALIDATION</t>
        </is>
      </c>
      <c r="H17" s="33" t="inlineStr">
        <is>
          <t>CALCULATED_DRAFT / BLOCKED_PENDING_VALIDATION</t>
        </is>
      </c>
      <c r="I17" s="33" t="inlineStr">
        <is>
          <t>PASS_WITH_CONDITIONS</t>
        </is>
      </c>
      <c r="J17" s="33" t="inlineStr">
        <is>
          <t>INT-C-002;INT-C-004;INT-C-005;INT-C-006;INT-C-007;INT-C-003</t>
        </is>
      </c>
    </row>
    <row r="18">
      <c r="A18" s="33" t="inlineStr">
        <is>
          <t>VKM-006</t>
        </is>
      </c>
      <c r="B18" s="33" t="inlineStr">
        <is>
          <t>Томатная чиабатта</t>
        </is>
      </c>
      <c r="C18" s="33" t="inlineStr">
        <is>
          <t>Хлеб</t>
        </is>
      </c>
      <c r="D18" s="33" t="inlineStr">
        <is>
          <t>0.1.0-DRAFT</t>
        </is>
      </c>
      <c r="E18" s="33" t="inlineStr">
        <is>
          <t>DRAFT_WITH_ASSUMPTIONS</t>
        </is>
      </c>
      <c r="F18" s="33" t="inlineStr">
        <is>
          <t>BLOCK</t>
        </is>
      </c>
      <c r="G18" s="33" t="inlineStr">
        <is>
          <t>BLOCKED_PENDING_VALIDATION</t>
        </is>
      </c>
      <c r="H18" s="33" t="inlineStr">
        <is>
          <t>CALCULATED_DRAFT_WITH_ASSUMPTIONS / BLOCKED_PENDING_VALIDATION</t>
        </is>
      </c>
      <c r="I18" s="33" t="inlineStr">
        <is>
          <t>PASS_WITH_CONDITIONS</t>
        </is>
      </c>
      <c r="J18" s="33" t="inlineStr">
        <is>
          <t>INT-C-002;INT-C-004;INT-C-005;INT-C-006;INT-C-007;INT-C-003</t>
        </is>
      </c>
    </row>
    <row r="19">
      <c r="A19" s="33" t="inlineStr">
        <is>
          <t>VKM-007</t>
        </is>
      </c>
      <c r="B19" s="33" t="inlineStr">
        <is>
          <t>Бородинский хлеб</t>
        </is>
      </c>
      <c r="C19" s="33" t="inlineStr">
        <is>
          <t>Хлеб</t>
        </is>
      </c>
      <c r="D19" s="33" t="inlineStr">
        <is>
          <t>0.1.0-DRAFT</t>
        </is>
      </c>
      <c r="E19" s="33" t="inlineStr">
        <is>
          <t>DRAFT_WITH_ASSUMPTIONS</t>
        </is>
      </c>
      <c r="F19" s="33" t="inlineStr">
        <is>
          <t>BLOCK</t>
        </is>
      </c>
      <c r="G19" s="33" t="inlineStr">
        <is>
          <t>BLOCKED_PENDING_VALIDATION</t>
        </is>
      </c>
      <c r="H19" s="33" t="inlineStr">
        <is>
          <t>CALCULATED_DRAFT_WITH_ASSUMPTIONS / BLOCKED_PENDING_VALIDATION</t>
        </is>
      </c>
      <c r="I19" s="33" t="inlineStr">
        <is>
          <t>PASS_WITH_CONDITIONS</t>
        </is>
      </c>
      <c r="J19" s="33" t="inlineStr">
        <is>
          <t>INT-C-002;INT-C-004;INT-C-005;INT-C-006;INT-C-007;INT-C-003</t>
        </is>
      </c>
    </row>
    <row r="20">
      <c r="A20" s="33" t="inlineStr">
        <is>
          <t>VKM-008</t>
        </is>
      </c>
      <c r="B20" s="33" t="inlineStr">
        <is>
          <t>Бриошь</t>
        </is>
      </c>
      <c r="C20" s="33" t="inlineStr">
        <is>
          <t>Хлеб</t>
        </is>
      </c>
      <c r="D20" s="33" t="inlineStr">
        <is>
          <t>0.1.0-DRAFT</t>
        </is>
      </c>
      <c r="E20" s="33" t="inlineStr">
        <is>
          <t>DRAFT_WITH_ASSUMPTIONS</t>
        </is>
      </c>
      <c r="F20" s="33" t="inlineStr">
        <is>
          <t>BLOCK</t>
        </is>
      </c>
      <c r="G20" s="33" t="inlineStr">
        <is>
          <t>BLOCKED_PENDING_VALIDATION</t>
        </is>
      </c>
      <c r="H20" s="33" t="inlineStr">
        <is>
          <t>CALCULATED_DRAFT_WITH_ASSUMPTIONS / BLOCKED_PENDING_VALIDATION</t>
        </is>
      </c>
      <c r="I20" s="33" t="inlineStr">
        <is>
          <t>PASS_WITH_CONDITIONS</t>
        </is>
      </c>
      <c r="J20" s="33" t="inlineStr">
        <is>
          <t>INT-C-002;INT-C-004;INT-C-005;INT-C-006;INT-C-007;INT-C-003</t>
        </is>
      </c>
    </row>
    <row r="21">
      <c r="A21" s="33" t="inlineStr">
        <is>
          <t>VKM-009</t>
        </is>
      </c>
      <c r="B21" s="33" t="inlineStr">
        <is>
          <t>Буррата с томатами</t>
        </is>
      </c>
      <c r="C21" s="33" t="inlineStr">
        <is>
          <t>Салаты</t>
        </is>
      </c>
      <c r="D21" s="33" t="inlineStr">
        <is>
          <t>0.1.0-DRAFT</t>
        </is>
      </c>
      <c r="E21" s="33" t="inlineStr">
        <is>
          <t>DRAFT_WITH_ASSUMPTIONS</t>
        </is>
      </c>
      <c r="F21" s="33" t="inlineStr">
        <is>
          <t>BLOCK</t>
        </is>
      </c>
      <c r="G21" s="33" t="inlineStr">
        <is>
          <t>BLOCKED_PENDING_VALIDATION</t>
        </is>
      </c>
      <c r="H21" s="33" t="inlineStr">
        <is>
          <t>CALCULATED_DRAFT_WITH_ASSUMPTIONS / BLOCKED_PENDING_VALIDATION</t>
        </is>
      </c>
      <c r="I21" s="33" t="inlineStr">
        <is>
          <t>PASS_WITH_CONDITIONS</t>
        </is>
      </c>
      <c r="J21" s="33" t="inlineStr">
        <is>
          <t>INT-C-002;INT-C-004;INT-C-005;INT-C-006;INT-C-007</t>
        </is>
      </c>
    </row>
    <row r="22">
      <c r="A22" s="33" t="inlineStr">
        <is>
          <t>VKM-010</t>
        </is>
      </c>
      <c r="B22" s="33" t="inlineStr">
        <is>
          <t>Микс-салат с креветками и яблоком</t>
        </is>
      </c>
      <c r="C22" s="33" t="inlineStr">
        <is>
          <t>Салаты</t>
        </is>
      </c>
      <c r="D22" s="33" t="inlineStr">
        <is>
          <t>0.1.0-DRAFT</t>
        </is>
      </c>
      <c r="E22" s="33" t="inlineStr">
        <is>
          <t>DRAFT_WITH_ASSUMPTIONS</t>
        </is>
      </c>
      <c r="F22" s="33" t="inlineStr">
        <is>
          <t>BLOCK</t>
        </is>
      </c>
      <c r="G22" s="33" t="inlineStr">
        <is>
          <t>BLOCKED_PENDING_VALIDATION</t>
        </is>
      </c>
      <c r="H22" s="33" t="inlineStr">
        <is>
          <t>CALCULATED_DRAFT_WITH_ASSUMPTIONS / BLOCKED_PENDING_VALIDATION</t>
        </is>
      </c>
      <c r="I22" s="33" t="inlineStr">
        <is>
          <t>PASS_WITH_CONDITIONS</t>
        </is>
      </c>
      <c r="J22" s="33" t="inlineStr">
        <is>
          <t>INT-C-002;INT-C-004;INT-C-005;INT-C-006;INT-C-007</t>
        </is>
      </c>
    </row>
    <row r="23">
      <c r="A23" s="33" t="inlineStr">
        <is>
          <t>VKM-011</t>
        </is>
      </c>
      <c r="B23" s="33" t="inlineStr">
        <is>
          <t>Греческий</t>
        </is>
      </c>
      <c r="C23" s="33" t="inlineStr">
        <is>
          <t>Салаты</t>
        </is>
      </c>
      <c r="D23" s="33" t="inlineStr">
        <is>
          <t>0.1.0-DRAFT</t>
        </is>
      </c>
      <c r="E23" s="33" t="inlineStr">
        <is>
          <t>DRAFT_WITH_ASSUMPTIONS</t>
        </is>
      </c>
      <c r="F23" s="33" t="inlineStr">
        <is>
          <t>BLOCK</t>
        </is>
      </c>
      <c r="G23" s="33" t="inlineStr">
        <is>
          <t>BLOCKED_PENDING_VALIDATION</t>
        </is>
      </c>
      <c r="H23" s="33" t="inlineStr">
        <is>
          <t>CALCULATED_DRAFT_WITH_ASSUMPTIONS / BLOCKED_PENDING_VALIDATION</t>
        </is>
      </c>
      <c r="I23" s="33" t="inlineStr">
        <is>
          <t>PASS_WITH_CONDITIONS</t>
        </is>
      </c>
      <c r="J23" s="33" t="inlineStr">
        <is>
          <t>INT-C-002;INT-C-004;INT-C-005;INT-C-006;INT-C-007</t>
        </is>
      </c>
    </row>
    <row r="24">
      <c r="A24" s="33" t="inlineStr">
        <is>
          <t>VKM-012</t>
        </is>
      </c>
      <c r="B24" s="33" t="inlineStr">
        <is>
          <t>Винегрет</t>
        </is>
      </c>
      <c r="C24" s="33" t="inlineStr">
        <is>
          <t>Салаты</t>
        </is>
      </c>
      <c r="D24" s="33" t="inlineStr">
        <is>
          <t>0.1.0-DRAFT</t>
        </is>
      </c>
      <c r="E24" s="33" t="inlineStr">
        <is>
          <t>DRAFT_WITH_ASSUMPTIONS</t>
        </is>
      </c>
      <c r="F24" s="33" t="inlineStr">
        <is>
          <t>BLOCK</t>
        </is>
      </c>
      <c r="G24" s="33" t="inlineStr">
        <is>
          <t>BLOCKED_PENDING_VALIDATION</t>
        </is>
      </c>
      <c r="H24" s="33" t="inlineStr">
        <is>
          <t>CALCULATED_DRAFT_WITH_ASSUMPTIONS / BLOCKED_PENDING_VALIDATION</t>
        </is>
      </c>
      <c r="I24" s="33" t="inlineStr">
        <is>
          <t>PASS_WITH_CONDITIONS</t>
        </is>
      </c>
      <c r="J24" s="33" t="inlineStr">
        <is>
          <t>INT-C-002;INT-C-004;INT-C-005;INT-C-006;INT-C-007</t>
        </is>
      </c>
    </row>
    <row r="25">
      <c r="A25" s="33" t="inlineStr">
        <is>
          <t>VKM-013</t>
        </is>
      </c>
      <c r="B25" s="33" t="inlineStr">
        <is>
          <t>Слабосолёный лосось</t>
        </is>
      </c>
      <c r="C25" s="33" t="inlineStr">
        <is>
          <t>Холодные закуски</t>
        </is>
      </c>
      <c r="D25" s="33" t="inlineStr">
        <is>
          <t>0.1.0-DRAFT</t>
        </is>
      </c>
      <c r="E25" s="33" t="inlineStr">
        <is>
          <t>DRAFT_WITH_ASSUMPTIONS</t>
        </is>
      </c>
      <c r="F25" s="33" t="inlineStr">
        <is>
          <t>BLOCK</t>
        </is>
      </c>
      <c r="G25" s="33" t="inlineStr">
        <is>
          <t>BLOCKED_PENDING_VALIDATION</t>
        </is>
      </c>
      <c r="H25" s="33" t="inlineStr">
        <is>
          <t>CALCULATED_DRAFT_WITH_ASSUMPTIONS / BLOCKED_PENDING_VALIDATION</t>
        </is>
      </c>
      <c r="I25" s="33" t="inlineStr">
        <is>
          <t>PASS_WITH_CONDITIONS</t>
        </is>
      </c>
      <c r="J25" s="33" t="inlineStr">
        <is>
          <t>INT-C-002;INT-C-004;INT-C-005;INT-C-006;INT-C-007;INT-C-008</t>
        </is>
      </c>
    </row>
    <row r="26">
      <c r="A26" s="33" t="inlineStr">
        <is>
          <t>VKM-014</t>
        </is>
      </c>
      <c r="B26" s="33" t="inlineStr">
        <is>
          <t>Сельдь с запечённым картофелем</t>
        </is>
      </c>
      <c r="C26" s="33" t="inlineStr">
        <is>
          <t>Холодные закуски</t>
        </is>
      </c>
      <c r="D26" s="33" t="inlineStr">
        <is>
          <t>0.1.0-DRAFT</t>
        </is>
      </c>
      <c r="E26" s="33" t="inlineStr">
        <is>
          <t>DRAFT_WITH_ASSUMPTIONS</t>
        </is>
      </c>
      <c r="F26" s="33" t="inlineStr">
        <is>
          <t>BLOCK</t>
        </is>
      </c>
      <c r="G26" s="33" t="inlineStr">
        <is>
          <t>BLOCKED_PENDING_VALIDATION</t>
        </is>
      </c>
      <c r="H26" s="33" t="inlineStr">
        <is>
          <t>CALCULATED_DRAFT_WITH_ASSUMPTIONS / BLOCKED_PENDING_VALIDATION</t>
        </is>
      </c>
      <c r="I26" s="33" t="inlineStr">
        <is>
          <t>PASS_WITH_CONDITIONS</t>
        </is>
      </c>
      <c r="J26" s="33" t="inlineStr">
        <is>
          <t>INT-C-002;INT-C-004;INT-C-005;INT-C-006;INT-C-007</t>
        </is>
      </c>
    </row>
    <row r="27">
      <c r="A27" s="33" t="inlineStr">
        <is>
          <t>VKM-015</t>
        </is>
      </c>
      <c r="B27" s="33" t="inlineStr">
        <is>
          <t>Оливки и маслины</t>
        </is>
      </c>
      <c r="C27" s="33" t="inlineStr">
        <is>
          <t>Холодные закуски</t>
        </is>
      </c>
      <c r="D27" s="33" t="inlineStr">
        <is>
          <t>0.1.0-DRAFT</t>
        </is>
      </c>
      <c r="E27" s="33" t="inlineStr">
        <is>
          <t>DRAFT_WITH_ASSUMPTIONS</t>
        </is>
      </c>
      <c r="F27" s="33" t="inlineStr">
        <is>
          <t>BLOCK</t>
        </is>
      </c>
      <c r="G27" s="33" t="inlineStr">
        <is>
          <t>BLOCKED_PENDING_VALIDATION</t>
        </is>
      </c>
      <c r="H27" s="33" t="inlineStr">
        <is>
          <t>CALCULATED_DRAFT_WITH_ASSUMPTIONS / BLOCKED_PENDING_VALIDATION</t>
        </is>
      </c>
      <c r="I27" s="33" t="inlineStr">
        <is>
          <t>PASS_WITH_CONDITIONS</t>
        </is>
      </c>
      <c r="J27" s="33" t="inlineStr">
        <is>
          <t>INT-C-002;INT-C-004;INT-C-005;INT-C-006;INT-C-007</t>
        </is>
      </c>
    </row>
    <row r="28">
      <c r="A28" s="33" t="inlineStr">
        <is>
          <t>VKM-016</t>
        </is>
      </c>
      <c r="B28" s="33" t="inlineStr">
        <is>
          <t>Ассорти фирменных солений</t>
        </is>
      </c>
      <c r="C28" s="33" t="inlineStr">
        <is>
          <t>Холодные закуски</t>
        </is>
      </c>
      <c r="D28" s="33" t="inlineStr">
        <is>
          <t>0.1.0-DRAFT</t>
        </is>
      </c>
      <c r="E28" s="33" t="inlineStr">
        <is>
          <t>DRAFT_WITH_ASSUMPTIONS</t>
        </is>
      </c>
      <c r="F28" s="33" t="inlineStr">
        <is>
          <t>BLOCK</t>
        </is>
      </c>
      <c r="G28" s="33" t="inlineStr">
        <is>
          <t>BLOCKED_PENDING_VALIDATION</t>
        </is>
      </c>
      <c r="H28" s="33" t="inlineStr">
        <is>
          <t>CALCULATED_DRAFT_WITH_ASSUMPTIONS / BLOCKED_PENDING_VALIDATION</t>
        </is>
      </c>
      <c r="I28" s="33" t="inlineStr">
        <is>
          <t>PASS_WITH_CONDITIONS</t>
        </is>
      </c>
      <c r="J28" s="33" t="inlineStr">
        <is>
          <t>INT-C-002;INT-C-004;INT-C-005;INT-C-006;INT-C-007;INT-C-008</t>
        </is>
      </c>
    </row>
    <row r="29">
      <c r="A29" s="33" t="inlineStr">
        <is>
          <t>VKM-017</t>
        </is>
      </c>
      <c r="B29" s="33" t="inlineStr">
        <is>
          <t>Ростбиф с луком и гренкой</t>
        </is>
      </c>
      <c r="C29" s="33" t="inlineStr">
        <is>
          <t>Холодные закуски</t>
        </is>
      </c>
      <c r="D29" s="33" t="inlineStr">
        <is>
          <t>0.1.0-DRAFT</t>
        </is>
      </c>
      <c r="E29" s="33" t="inlineStr">
        <is>
          <t>DRAFT_WITH_ASSUMPTIONS</t>
        </is>
      </c>
      <c r="F29" s="33" t="inlineStr">
        <is>
          <t>BLOCK</t>
        </is>
      </c>
      <c r="G29" s="33" t="inlineStr">
        <is>
          <t>BLOCKED_PENDING_VALIDATION</t>
        </is>
      </c>
      <c r="H29" s="33" t="inlineStr">
        <is>
          <t>CALCULATED_DRAFT_WITH_ASSUMPTIONS / BLOCKED_PENDING_VALIDATION</t>
        </is>
      </c>
      <c r="I29" s="33" t="inlineStr">
        <is>
          <t>PASS_WITH_CONDITIONS</t>
        </is>
      </c>
      <c r="J29" s="33" t="inlineStr">
        <is>
          <t>INT-C-002;INT-C-004;INT-C-005;INT-C-006;INT-C-007</t>
        </is>
      </c>
    </row>
    <row r="30">
      <c r="A30" s="33" t="inlineStr">
        <is>
          <t>VKM-018</t>
        </is>
      </c>
      <c r="B30" s="33" t="inlineStr">
        <is>
          <t>Традиционный красный борщ</t>
        </is>
      </c>
      <c r="C30" s="33" t="inlineStr">
        <is>
          <t>Супы</t>
        </is>
      </c>
      <c r="D30" s="33" t="inlineStr">
        <is>
          <t>0.1.0-DRAFT</t>
        </is>
      </c>
      <c r="E30" s="33" t="inlineStr">
        <is>
          <t>DRAFT_WITH_ASSUMPTIONS</t>
        </is>
      </c>
      <c r="F30" s="33" t="inlineStr">
        <is>
          <t>BLOCK</t>
        </is>
      </c>
      <c r="G30" s="33" t="inlineStr">
        <is>
          <t>BLOCKED_PENDING_VALIDATION</t>
        </is>
      </c>
      <c r="H30" s="33" t="inlineStr">
        <is>
          <t>CALCULATED_DRAFT_WITH_ASSUMPTIONS / BLOCKED_PENDING_VALIDATION</t>
        </is>
      </c>
      <c r="I30" s="33" t="inlineStr">
        <is>
          <t>PASS_WITH_CONDITIONS</t>
        </is>
      </c>
      <c r="J30" s="33" t="inlineStr">
        <is>
          <t>INT-C-002;INT-C-004;INT-C-005;INT-C-006;INT-C-007;INT-C-008</t>
        </is>
      </c>
    </row>
    <row r="31">
      <c r="A31" s="33" t="inlineStr">
        <is>
          <t>VKM-019</t>
        </is>
      </c>
      <c r="B31" s="33" t="inlineStr">
        <is>
          <t>Мурманская треска со сливочно-горчичным соусом</t>
        </is>
      </c>
      <c r="C31" s="33" t="inlineStr">
        <is>
          <t>Горячие блюда</t>
        </is>
      </c>
      <c r="D31" s="33" t="inlineStr">
        <is>
          <t>0.1.0-DRAFT</t>
        </is>
      </c>
      <c r="E31" s="33" t="inlineStr">
        <is>
          <t>DRAFT_WITH_ASSUMPTIONS</t>
        </is>
      </c>
      <c r="F31" s="33" t="inlineStr">
        <is>
          <t>BLOCK</t>
        </is>
      </c>
      <c r="G31" s="33" t="inlineStr">
        <is>
          <t>BLOCKED_PENDING_VALIDATION</t>
        </is>
      </c>
      <c r="H31" s="33" t="inlineStr">
        <is>
          <t>CALCULATED_DRAFT_WITH_ASSUMPTIONS / BLOCKED_PENDING_VALIDATION</t>
        </is>
      </c>
      <c r="I31" s="33" t="inlineStr">
        <is>
          <t>PASS_WITH_CONDITIONS</t>
        </is>
      </c>
      <c r="J31" s="33" t="inlineStr">
        <is>
          <t>INT-C-002;INT-C-004;INT-C-005;INT-C-006;INT-C-007</t>
        </is>
      </c>
    </row>
    <row r="32">
      <c r="A32" s="33" t="inlineStr">
        <is>
          <t>VKM-020</t>
        </is>
      </c>
      <c r="B32" s="33" t="inlineStr">
        <is>
          <t>Креветки по-тайски</t>
        </is>
      </c>
      <c r="C32" s="33" t="inlineStr">
        <is>
          <t>Горячие блюда</t>
        </is>
      </c>
      <c r="D32" s="33" t="inlineStr">
        <is>
          <t>0.1.0-DRAFT</t>
        </is>
      </c>
      <c r="E32" s="33" t="inlineStr">
        <is>
          <t>DRAFT_WITH_ASSUMPTIONS</t>
        </is>
      </c>
      <c r="F32" s="33" t="inlineStr">
        <is>
          <t>BLOCK</t>
        </is>
      </c>
      <c r="G32" s="33" t="inlineStr">
        <is>
          <t>BLOCKED_PENDING_VALIDATION</t>
        </is>
      </c>
      <c r="H32" s="33" t="inlineStr">
        <is>
          <t>CALCULATED_DRAFT_WITH_ASSUMPTIONS / BLOCKED_PENDING_VALIDATION</t>
        </is>
      </c>
      <c r="I32" s="33" t="inlineStr">
        <is>
          <t>PASS_WITH_CONDITIONS</t>
        </is>
      </c>
      <c r="J32" s="33" t="inlineStr">
        <is>
          <t>INT-C-002;INT-C-004;INT-C-005;INT-C-006;INT-C-007;INT-C-008</t>
        </is>
      </c>
    </row>
    <row r="33">
      <c r="A33" s="33" t="inlineStr">
        <is>
          <t>VKM-021</t>
        </is>
      </c>
      <c r="B33" s="33" t="inlineStr">
        <is>
          <t>Бургер VARSHAVKA</t>
        </is>
      </c>
      <c r="C33" s="33" t="inlineStr">
        <is>
          <t>Горячие блюда</t>
        </is>
      </c>
      <c r="D33" s="33" t="inlineStr">
        <is>
          <t>0.1.0-DRAFT</t>
        </is>
      </c>
      <c r="E33" s="33" t="inlineStr">
        <is>
          <t>DRAFT_WITH_ASSUMPTIONS</t>
        </is>
      </c>
      <c r="F33" s="33" t="inlineStr">
        <is>
          <t>BLOCK</t>
        </is>
      </c>
      <c r="G33" s="33" t="inlineStr">
        <is>
          <t>BLOCKED_PENDING_VALIDATION</t>
        </is>
      </c>
      <c r="H33" s="33" t="inlineStr">
        <is>
          <t>CALCULATED_DRAFT_WITH_ASSUMPTIONS / BLOCKED_PENDING_VALIDATION</t>
        </is>
      </c>
      <c r="I33" s="33" t="inlineStr">
        <is>
          <t>PASS_WITH_CONDITIONS</t>
        </is>
      </c>
      <c r="J33" s="33" t="inlineStr">
        <is>
          <t>INT-C-002;INT-C-004;INT-C-005;INT-C-006;INT-C-007</t>
        </is>
      </c>
    </row>
    <row r="34">
      <c r="A34" s="33" t="inlineStr">
        <is>
          <t>VKM-022</t>
        </is>
      </c>
      <c r="B34" s="33" t="inlineStr">
        <is>
          <t>Миньоны из говяжьей вырезки</t>
        </is>
      </c>
      <c r="C34" s="33" t="inlineStr">
        <is>
          <t>Горячие блюда</t>
        </is>
      </c>
      <c r="D34" s="33" t="inlineStr">
        <is>
          <t>0.1.0-DRAFT</t>
        </is>
      </c>
      <c r="E34" s="33" t="inlineStr">
        <is>
          <t>DRAFT_WITH_ASSUMPTIONS</t>
        </is>
      </c>
      <c r="F34" s="33" t="inlineStr">
        <is>
          <t>BLOCK</t>
        </is>
      </c>
      <c r="G34" s="33" t="inlineStr">
        <is>
          <t>BLOCKED_PENDING_VALIDATION</t>
        </is>
      </c>
      <c r="H34" s="33" t="inlineStr">
        <is>
          <t>CALCULATED_DRAFT_WITH_ASSUMPTIONS / BLOCKED_PENDING_VALIDATION</t>
        </is>
      </c>
      <c r="I34" s="33" t="inlineStr">
        <is>
          <t>PASS_WITH_CONDITIONS</t>
        </is>
      </c>
      <c r="J34" s="33" t="inlineStr">
        <is>
          <t>INT-C-002;INT-C-004;INT-C-005;INT-C-006;INT-C-007;INT-C-008</t>
        </is>
      </c>
    </row>
    <row r="35">
      <c r="A35" s="33" t="inlineStr">
        <is>
          <t>VKM-023</t>
        </is>
      </c>
      <c r="B35" s="33" t="inlineStr">
        <is>
          <t>Запечённый картофель</t>
        </is>
      </c>
      <c r="C35" s="33" t="inlineStr">
        <is>
          <t>Гарниры</t>
        </is>
      </c>
      <c r="D35" s="33" t="inlineStr">
        <is>
          <t>0.1.0-DRAFT</t>
        </is>
      </c>
      <c r="E35" s="33" t="inlineStr">
        <is>
          <t>DRAFT_WITH_ASSUMPTIONS</t>
        </is>
      </c>
      <c r="F35" s="33" t="inlineStr">
        <is>
          <t>BLOCK</t>
        </is>
      </c>
      <c r="G35" s="33" t="inlineStr">
        <is>
          <t>BLOCKED_PENDING_VALIDATION</t>
        </is>
      </c>
      <c r="H35" s="33" t="inlineStr">
        <is>
          <t>CALCULATED_DRAFT_WITH_ASSUMPTIONS / BLOCKED_PENDING_VALIDATION</t>
        </is>
      </c>
      <c r="I35" s="33" t="inlineStr">
        <is>
          <t>PASS_WITH_CONDITIONS</t>
        </is>
      </c>
      <c r="J35" s="33" t="inlineStr">
        <is>
          <t>INT-C-002;INT-C-004;INT-C-005;INT-C-006;INT-C-007</t>
        </is>
      </c>
    </row>
    <row r="36">
      <c r="A36" s="33" t="inlineStr">
        <is>
          <t>VKM-024</t>
        </is>
      </c>
      <c r="B36" s="33" t="inlineStr">
        <is>
          <t>Рис жасмин</t>
        </is>
      </c>
      <c r="C36" s="33" t="inlineStr">
        <is>
          <t>Гарниры</t>
        </is>
      </c>
      <c r="D36" s="33" t="inlineStr">
        <is>
          <t>0.1.0-DRAFT</t>
        </is>
      </c>
      <c r="E36" s="33" t="inlineStr">
        <is>
          <t>DRAFT_WITH_ASSUMPTIONS</t>
        </is>
      </c>
      <c r="F36" s="33" t="inlineStr">
        <is>
          <t>BLOCK</t>
        </is>
      </c>
      <c r="G36" s="33" t="inlineStr">
        <is>
          <t>BLOCKED_PENDING_VALIDATION</t>
        </is>
      </c>
      <c r="H36" s="33" t="inlineStr">
        <is>
          <t>CALCULATED_DRAFT_WITH_ASSUMPTIONS / BLOCKED_PENDING_VALIDATION</t>
        </is>
      </c>
      <c r="I36" s="33" t="inlineStr">
        <is>
          <t>PASS_WITH_CONDITIONS</t>
        </is>
      </c>
      <c r="J36" s="33" t="inlineStr">
        <is>
          <t>INT-C-002;INT-C-004;INT-C-005;INT-C-006;INT-C-007</t>
        </is>
      </c>
    </row>
    <row r="37">
      <c r="A37" s="33" t="inlineStr">
        <is>
          <t>VKM-025</t>
        </is>
      </c>
      <c r="B37" s="33" t="inlineStr">
        <is>
          <t>Горячие овощи</t>
        </is>
      </c>
      <c r="C37" s="33" t="inlineStr">
        <is>
          <t>Гарниры</t>
        </is>
      </c>
      <c r="D37" s="33" t="inlineStr">
        <is>
          <t>0.1.0-DRAFT</t>
        </is>
      </c>
      <c r="E37" s="33" t="inlineStr">
        <is>
          <t>DRAFT_WITH_ASSUMPTIONS</t>
        </is>
      </c>
      <c r="F37" s="33" t="inlineStr">
        <is>
          <t>BLOCK</t>
        </is>
      </c>
      <c r="G37" s="33" t="inlineStr">
        <is>
          <t>BLOCKED_PENDING_VALIDATION</t>
        </is>
      </c>
      <c r="H37" s="33" t="inlineStr">
        <is>
          <t>CALCULATED_DRAFT_WITH_ASSUMPTIONS / BLOCKED_PENDING_VALIDATION</t>
        </is>
      </c>
      <c r="I37" s="33" t="inlineStr">
        <is>
          <t>PASS_WITH_CONDITIONS</t>
        </is>
      </c>
      <c r="J37" s="33" t="inlineStr">
        <is>
          <t>INT-C-002;INT-C-004;INT-C-005;INT-C-006;INT-C-007</t>
        </is>
      </c>
    </row>
    <row r="38">
      <c r="A38" s="33" t="inlineStr">
        <is>
          <t>VKM-029</t>
        </is>
      </c>
      <c r="B38" s="33" t="inlineStr">
        <is>
          <t>Черничный торт VARSHAVKA</t>
        </is>
      </c>
      <c r="C38" s="33" t="inlineStr">
        <is>
          <t>Десерты</t>
        </is>
      </c>
      <c r="D38" s="33" t="inlineStr">
        <is>
          <t>0.1.0-DRAFT</t>
        </is>
      </c>
      <c r="E38" s="33" t="inlineStr">
        <is>
          <t>DRAFT_WITH_ASSUMPTIONS</t>
        </is>
      </c>
      <c r="F38" s="33" t="inlineStr">
        <is>
          <t>BLOCK</t>
        </is>
      </c>
      <c r="G38" s="33" t="inlineStr">
        <is>
          <t>BLOCKED_PENDING_VALIDATION</t>
        </is>
      </c>
      <c r="H38" s="33" t="inlineStr">
        <is>
          <t>CALCULATED_DRAFT_WITH_ASSUMPTIONS / BLOCKED_PENDING_VALIDATION</t>
        </is>
      </c>
      <c r="I38" s="33" t="inlineStr">
        <is>
          <t>PASS_WITH_CONDITIONS</t>
        </is>
      </c>
      <c r="J38" s="33" t="inlineStr">
        <is>
          <t>INT-C-002;INT-C-004;INT-C-005;INT-C-006;INT-C-007;INT-C-008</t>
        </is>
      </c>
    </row>
    <row r="39">
      <c r="A39" s="33" t="inlineStr">
        <is>
          <t>VKM-030</t>
        </is>
      </c>
      <c r="B39" s="33" t="inlineStr">
        <is>
          <t>Кростата с солёной карамелью</t>
        </is>
      </c>
      <c r="C39" s="33" t="inlineStr">
        <is>
          <t>Десерты</t>
        </is>
      </c>
      <c r="D39" s="33" t="inlineStr">
        <is>
          <t>0.1.0-DRAFT</t>
        </is>
      </c>
      <c r="E39" s="33" t="inlineStr">
        <is>
          <t>DRAFT_WITH_ASSUMPTIONS</t>
        </is>
      </c>
      <c r="F39" s="33" t="inlineStr">
        <is>
          <t>BLOCK</t>
        </is>
      </c>
      <c r="G39" s="33" t="inlineStr">
        <is>
          <t>BLOCKED_PENDING_VALIDATION</t>
        </is>
      </c>
      <c r="H39" s="33" t="inlineStr">
        <is>
          <t>CALCULATED_DRAFT_WITH_ASSUMPTIONS / BLOCKED_PENDING_VALIDATION</t>
        </is>
      </c>
      <c r="I39" s="33" t="inlineStr">
        <is>
          <t>PASS_WITH_CONDITIONS</t>
        </is>
      </c>
      <c r="J39" s="33" t="inlineStr">
        <is>
          <t>INT-C-002;INT-C-004;INT-C-005;INT-C-006;INT-C-007</t>
        </is>
      </c>
    </row>
    <row r="40">
      <c r="A40" s="33" t="inlineStr">
        <is>
          <t>VKM-031</t>
        </is>
      </c>
      <c r="B40" s="33" t="inlineStr">
        <is>
          <t>Мадлен</t>
        </is>
      </c>
      <c r="C40" s="33" t="inlineStr">
        <is>
          <t>Десерты</t>
        </is>
      </c>
      <c r="D40" s="33" t="inlineStr">
        <is>
          <t>0.1.0-DRAFT</t>
        </is>
      </c>
      <c r="E40" s="33" t="inlineStr">
        <is>
          <t>DRAFT_WITH_ASSUMPTIONS</t>
        </is>
      </c>
      <c r="F40" s="33" t="inlineStr">
        <is>
          <t>BLOCK</t>
        </is>
      </c>
      <c r="G40" s="33" t="inlineStr">
        <is>
          <t>BLOCKED_PENDING_VALIDATION</t>
        </is>
      </c>
      <c r="H40" s="33" t="inlineStr">
        <is>
          <t>CALCULATED_DRAFT_WITH_ASSUMPTIONS / BLOCKED_PENDING_VALIDATION</t>
        </is>
      </c>
      <c r="I40" s="33" t="inlineStr">
        <is>
          <t>PASS_WITH_CONDITIONS</t>
        </is>
      </c>
      <c r="J40" s="33" t="inlineStr">
        <is>
          <t>INT-C-002;INT-C-004;INT-C-005;INT-C-006;INT-C-007</t>
        </is>
      </c>
    </row>
  </sheetData>
  <mergeCells count="2">
    <mergeCell ref="A1:I1"/>
    <mergeCell ref="A2:I2"/>
  </mergeCells>
  <conditionalFormatting sqref="E13:I40">
    <cfRule type="containsText" priority="1" operator="containsText" dxfId="0" text="BLOCK"/>
    <cfRule type="containsText" priority="2" operator="containsText" dxfId="1" text="PASS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9" customWidth="1" min="4" max="4"/>
    <col width="12" customWidth="1" min="5" max="5"/>
    <col width="8" customWidth="1" min="6" max="6"/>
    <col width="18" customWidth="1" min="7" max="7"/>
    <col width="25" customWidth="1" min="8" max="8"/>
    <col width="14" customWidth="1" min="9" max="9"/>
    <col width="15" customWidth="1" min="10" max="10"/>
    <col width="14" customWidth="1" min="11" max="11"/>
    <col width="13" customWidth="1" min="12" max="12"/>
    <col width="14" customWidth="1" min="13" max="13"/>
    <col width="32" customWidth="1" min="14" max="14"/>
  </cols>
  <sheetData>
    <row r="1" ht="30" customHeight="1">
      <c r="A1" s="27" t="inlineStr">
        <is>
          <t>01 — Меню и readiness</t>
        </is>
      </c>
      <c r="N1" s="28" t="n"/>
    </row>
    <row r="2" ht="27" customHeight="1">
      <c r="A2" s="29" t="inlineStr">
        <is>
          <t>Жёлтые поля — ввод/подтверждение; зелёные — формулы. Complete COGS, price, food cost, margin intentionally blank.</t>
        </is>
      </c>
      <c r="N2" s="28" t="n"/>
    </row>
    <row r="3">
      <c r="A3" s="28" t="n"/>
      <c r="B3" s="28" t="n"/>
      <c r="C3" s="28" t="n"/>
      <c r="D3" s="28" t="n"/>
      <c r="E3" s="28" t="n"/>
      <c r="F3" s="28" t="n"/>
      <c r="G3" s="28" t="n"/>
      <c r="H3" s="28" t="n"/>
      <c r="I3" s="28" t="n"/>
      <c r="J3" s="28" t="n"/>
      <c r="K3" s="28" t="n"/>
      <c r="L3" s="28" t="n"/>
      <c r="M3" s="28" t="n"/>
      <c r="N3" s="28" t="n"/>
    </row>
    <row r="4">
      <c r="A4" s="28" t="n"/>
      <c r="B4" s="28" t="n"/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</row>
    <row r="5" ht="34" customHeight="1">
      <c r="A5" s="32" t="inlineStr">
        <is>
          <t>Dish ID</t>
        </is>
      </c>
      <c r="B5" s="32" t="inlineStr">
        <is>
          <t>Блюдо</t>
        </is>
      </c>
      <c r="C5" s="32" t="inlineStr">
        <is>
          <t>Раздел</t>
        </is>
      </c>
      <c r="D5" s="32" t="inlineStr">
        <is>
          <t>Ед. продажи</t>
        </is>
      </c>
      <c r="E5" s="32" t="inlineStr">
        <is>
          <t>Выход</t>
        </is>
      </c>
      <c r="F5" s="32" t="inlineStr">
        <is>
          <t>Ед.</t>
        </is>
      </c>
      <c r="G5" s="32" t="inlineStr">
        <is>
          <t>Recipe version</t>
        </is>
      </c>
      <c r="H5" s="32" t="inlineStr">
        <is>
          <t>Статус</t>
        </is>
      </c>
      <c r="I5" s="32" t="inlineStr">
        <is>
          <t>Safety veto</t>
        </is>
      </c>
      <c r="J5" s="32" t="inlineStr">
        <is>
          <t>Complete COGS</t>
        </is>
      </c>
      <c r="K5" s="32" t="inlineStr">
        <is>
          <t>Цена</t>
        </is>
      </c>
      <c r="L5" s="32" t="inlineStr">
        <is>
          <t>Food cost</t>
        </is>
      </c>
      <c r="M5" s="32" t="inlineStr">
        <is>
          <t>Маржа</t>
        </is>
      </c>
      <c r="N5" s="32" t="inlineStr">
        <is>
          <t>Blockers</t>
        </is>
      </c>
    </row>
    <row r="6">
      <c r="A6" s="33" t="inlineStr">
        <is>
          <t>VKM-001</t>
        </is>
      </c>
      <c r="B6" s="33" t="inlineStr">
        <is>
          <t>Маргарита</t>
        </is>
      </c>
      <c r="C6" s="33" t="inlineStr">
        <is>
          <t>Пицца</t>
        </is>
      </c>
      <c r="D6" s="33" t="inlineStr">
        <is>
          <t>1 пицца</t>
        </is>
      </c>
      <c r="E6" s="33" t="n">
        <v>450</v>
      </c>
      <c r="F6" s="33" t="inlineStr">
        <is>
          <t>г</t>
        </is>
      </c>
      <c r="G6" s="33" t="inlineStr">
        <is>
          <t>0.1.0-DRAFT</t>
        </is>
      </c>
      <c r="H6" s="33" t="inlineStr">
        <is>
          <t>DRAFT_WITH_ASSUMPTIONS</t>
        </is>
      </c>
      <c r="I6" s="33" t="inlineStr">
        <is>
          <t>BLOCK</t>
        </is>
      </c>
      <c r="J6" s="43">
        <f>IF('04_КАЛЬКУЛЯЦИИ'!N6="","",'04_КАЛЬКУЛЯЦИИ'!N6)</f>
        <v/>
      </c>
      <c r="K6" s="43">
        <f>IFERROR(INDEX('07_ЦЕНООБРАЗОВАНИЕ'!$I$6:$I$106,MATCH(1,('07_ЦЕНООБРАЗОВАНИЕ'!$A$6:$A$106=A6)*('07_ЦЕНООБРАЗОВАНИЕ'!$C$6:$C$106="À la carte"),0)),"")</f>
        <v/>
      </c>
      <c r="L6" s="43">
        <f>IF(OR(J6="",K6=""),"",J6/K6)</f>
        <v/>
      </c>
      <c r="M6" s="43">
        <f>IF(OR(J6="",K6=""),"",K6-J6)</f>
        <v/>
      </c>
      <c r="N6" s="33" t="inlineStr">
        <is>
          <t>GAP-001;GAP-002;GAP-004;GAP-005</t>
        </is>
      </c>
    </row>
    <row r="7">
      <c r="A7" s="33" t="inlineStr">
        <is>
          <t>VKM-002</t>
        </is>
      </c>
      <c r="B7" s="33" t="inlineStr">
        <is>
          <t>Четыре сыра</t>
        </is>
      </c>
      <c r="C7" s="33" t="inlineStr">
        <is>
          <t>Пицца</t>
        </is>
      </c>
      <c r="D7" s="33" t="inlineStr">
        <is>
          <t>1 пицца</t>
        </is>
      </c>
      <c r="E7" s="33" t="n">
        <v>480</v>
      </c>
      <c r="F7" s="33" t="inlineStr">
        <is>
          <t>г</t>
        </is>
      </c>
      <c r="G7" s="33" t="inlineStr">
        <is>
          <t>0.1.0-DRAFT</t>
        </is>
      </c>
      <c r="H7" s="33" t="inlineStr">
        <is>
          <t>DRAFT_WITH_ASSUMPTIONS</t>
        </is>
      </c>
      <c r="I7" s="33" t="inlineStr">
        <is>
          <t>BLOCK</t>
        </is>
      </c>
      <c r="J7" s="43">
        <f>IF('04_КАЛЬКУЛЯЦИИ'!N7="","",'04_КАЛЬКУЛЯЦИИ'!N7)</f>
        <v/>
      </c>
      <c r="K7" s="43">
        <f>IFERROR(INDEX('07_ЦЕНООБРАЗОВАНИЕ'!$I$6:$I$106,MATCH(1,('07_ЦЕНООБРАЗОВАНИЕ'!$A$6:$A$106=A7)*('07_ЦЕНООБРАЗОВАНИЕ'!$C$6:$C$106="À la carte"),0)),"")</f>
        <v/>
      </c>
      <c r="L7" s="43">
        <f>IF(OR(J7="",K7=""),"",J7/K7)</f>
        <v/>
      </c>
      <c r="M7" s="43">
        <f>IF(OR(J7="",K7=""),"",K7-J7)</f>
        <v/>
      </c>
      <c r="N7" s="33" t="inlineStr">
        <is>
          <t>GAP-001;GAP-002;GAP-004;GAP-005</t>
        </is>
      </c>
    </row>
    <row r="8">
      <c r="A8" s="33" t="inlineStr">
        <is>
          <t>VKM-003</t>
        </is>
      </c>
      <c r="B8" s="33" t="inlineStr">
        <is>
          <t>Грибная с ветчиной</t>
        </is>
      </c>
      <c r="C8" s="33" t="inlineStr">
        <is>
          <t>Пицца</t>
        </is>
      </c>
      <c r="D8" s="33" t="inlineStr">
        <is>
          <t>1 пицца</t>
        </is>
      </c>
      <c r="E8" s="33" t="n">
        <v>500</v>
      </c>
      <c r="F8" s="33" t="inlineStr">
        <is>
          <t>г</t>
        </is>
      </c>
      <c r="G8" s="33" t="inlineStr">
        <is>
          <t>0.1.0-DRAFT</t>
        </is>
      </c>
      <c r="H8" s="33" t="inlineStr">
        <is>
          <t>DRAFT_WITH_ASSUMPTIONS</t>
        </is>
      </c>
      <c r="I8" s="33" t="inlineStr">
        <is>
          <t>BLOCK</t>
        </is>
      </c>
      <c r="J8" s="43">
        <f>IF('04_КАЛЬКУЛЯЦИИ'!N8="","",'04_КАЛЬКУЛЯЦИИ'!N8)</f>
        <v/>
      </c>
      <c r="K8" s="43">
        <f>IFERROR(INDEX('07_ЦЕНООБРАЗОВАНИЕ'!$I$6:$I$106,MATCH(1,('07_ЦЕНООБРАЗОВАНИЕ'!$A$6:$A$106=A8)*('07_ЦЕНООБРАЗОВАНИЕ'!$C$6:$C$106="À la carte"),0)),"")</f>
        <v/>
      </c>
      <c r="L8" s="43">
        <f>IF(OR(J8="",K8=""),"",J8/K8)</f>
        <v/>
      </c>
      <c r="M8" s="43">
        <f>IF(OR(J8="",K8=""),"",K8-J8)</f>
        <v/>
      </c>
      <c r="N8" s="33" t="inlineStr">
        <is>
          <t>GAP-001;GAP-002;GAP-004;GAP-005</t>
        </is>
      </c>
    </row>
    <row r="9">
      <c r="A9" s="33" t="inlineStr">
        <is>
          <t>VKM-004</t>
        </is>
      </c>
      <c r="B9" s="33" t="inlineStr">
        <is>
          <t>Пепперони</t>
        </is>
      </c>
      <c r="C9" s="33" t="inlineStr">
        <is>
          <t>Пицца</t>
        </is>
      </c>
      <c r="D9" s="33" t="inlineStr">
        <is>
          <t>1 пицца</t>
        </is>
      </c>
      <c r="E9" s="33" t="n">
        <v>500</v>
      </c>
      <c r="F9" s="33" t="inlineStr">
        <is>
          <t>г</t>
        </is>
      </c>
      <c r="G9" s="33" t="inlineStr">
        <is>
          <t>0.1.0-DRAFT</t>
        </is>
      </c>
      <c r="H9" s="33" t="inlineStr">
        <is>
          <t>DRAFT_WITH_ASSUMPTIONS</t>
        </is>
      </c>
      <c r="I9" s="33" t="inlineStr">
        <is>
          <t>BLOCK</t>
        </is>
      </c>
      <c r="J9" s="43">
        <f>IF('04_КАЛЬКУЛЯЦИИ'!N9="","",'04_КАЛЬКУЛЯЦИИ'!N9)</f>
        <v/>
      </c>
      <c r="K9" s="43">
        <f>IFERROR(INDEX('07_ЦЕНООБРАЗОВАНИЕ'!$I$6:$I$106,MATCH(1,('07_ЦЕНООБРАЗОВАНИЕ'!$A$6:$A$106=A9)*('07_ЦЕНООБРАЗОВАНИЕ'!$C$6:$C$106="À la carte"),0)),"")</f>
        <v/>
      </c>
      <c r="L9" s="43">
        <f>IF(OR(J9="",K9=""),"",J9/K9)</f>
        <v/>
      </c>
      <c r="M9" s="43">
        <f>IF(OR(J9="",K9=""),"",K9-J9)</f>
        <v/>
      </c>
      <c r="N9" s="33" t="inlineStr">
        <is>
          <t>GAP-001;GAP-002;GAP-004;GAP-005</t>
        </is>
      </c>
    </row>
    <row r="10">
      <c r="A10" s="33" t="inlineStr">
        <is>
          <t>VKM-005</t>
        </is>
      </c>
      <c r="B10" s="33" t="inlineStr">
        <is>
          <t>Белая чиабатта</t>
        </is>
      </c>
      <c r="C10" s="33" t="inlineStr">
        <is>
          <t>Хлеб</t>
        </is>
      </c>
      <c r="D10" s="33" t="inlineStr">
        <is>
          <t>1 изделие</t>
        </is>
      </c>
      <c r="E10" s="33" t="n">
        <v>100</v>
      </c>
      <c r="F10" s="33" t="inlineStr">
        <is>
          <t>г</t>
        </is>
      </c>
      <c r="G10" s="33" t="inlineStr">
        <is>
          <t>0.1.0-DRAFT</t>
        </is>
      </c>
      <c r="H10" s="33" t="inlineStr">
        <is>
          <t>DRAFT_WITH_ASSUMPTIONS</t>
        </is>
      </c>
      <c r="I10" s="33" t="inlineStr">
        <is>
          <t>BLOCK</t>
        </is>
      </c>
      <c r="J10" s="43">
        <f>IF('04_КАЛЬКУЛЯЦИИ'!N10="","",'04_КАЛЬКУЛЯЦИИ'!N10)</f>
        <v/>
      </c>
      <c r="K10" s="43">
        <f>IFERROR(INDEX('07_ЦЕНООБРАЗОВАНИЕ'!$I$6:$I$106,MATCH(1,('07_ЦЕНООБРАЗОВАНИЕ'!$A$6:$A$106=A10)*('07_ЦЕНООБРАЗОВАНИЕ'!$C$6:$C$106="À la carte"),0)),"")</f>
        <v/>
      </c>
      <c r="L10" s="43">
        <f>IF(OR(J10="",K10=""),"",J10/K10)</f>
        <v/>
      </c>
      <c r="M10" s="43">
        <f>IF(OR(J10="",K10=""),"",K10-J10)</f>
        <v/>
      </c>
      <c r="N10" s="33" t="inlineStr">
        <is>
          <t>GAP-001;GAP-002;GAP-004;GAP-005</t>
        </is>
      </c>
    </row>
    <row r="11">
      <c r="A11" s="33" t="inlineStr">
        <is>
          <t>VKM-006</t>
        </is>
      </c>
      <c r="B11" s="33" t="inlineStr">
        <is>
          <t>Томатная чиабатта</t>
        </is>
      </c>
      <c r="C11" s="33" t="inlineStr">
        <is>
          <t>Хлеб</t>
        </is>
      </c>
      <c r="D11" s="33" t="inlineStr">
        <is>
          <t>1 изделие</t>
        </is>
      </c>
      <c r="E11" s="33" t="n">
        <v>100</v>
      </c>
      <c r="F11" s="33" t="inlineStr">
        <is>
          <t>г</t>
        </is>
      </c>
      <c r="G11" s="33" t="inlineStr">
        <is>
          <t>0.1.0-DRAFT</t>
        </is>
      </c>
      <c r="H11" s="33" t="inlineStr">
        <is>
          <t>DRAFT_WITH_ASSUMPTIONS</t>
        </is>
      </c>
      <c r="I11" s="33" t="inlineStr">
        <is>
          <t>BLOCK</t>
        </is>
      </c>
      <c r="J11" s="43">
        <f>IF('04_КАЛЬКУЛЯЦИИ'!N11="","",'04_КАЛЬКУЛЯЦИИ'!N11)</f>
        <v/>
      </c>
      <c r="K11" s="43">
        <f>IFERROR(INDEX('07_ЦЕНООБРАЗОВАНИЕ'!$I$6:$I$106,MATCH(1,('07_ЦЕНООБРАЗОВАНИЕ'!$A$6:$A$106=A11)*('07_ЦЕНООБРАЗОВАНИЕ'!$C$6:$C$106="À la carte"),0)),"")</f>
        <v/>
      </c>
      <c r="L11" s="43">
        <f>IF(OR(J11="",K11=""),"",J11/K11)</f>
        <v/>
      </c>
      <c r="M11" s="43">
        <f>IF(OR(J11="",K11=""),"",K11-J11)</f>
        <v/>
      </c>
      <c r="N11" s="33" t="inlineStr">
        <is>
          <t>GAP-001;GAP-002;GAP-004;GAP-005</t>
        </is>
      </c>
    </row>
    <row r="12">
      <c r="A12" s="33" t="inlineStr">
        <is>
          <t>VKM-007</t>
        </is>
      </c>
      <c r="B12" s="33" t="inlineStr">
        <is>
          <t>Бородинский хлеб</t>
        </is>
      </c>
      <c r="C12" s="33" t="inlineStr">
        <is>
          <t>Хлеб</t>
        </is>
      </c>
      <c r="D12" s="33" t="inlineStr">
        <is>
          <t>1 буханка</t>
        </is>
      </c>
      <c r="E12" s="33" t="n">
        <v>350</v>
      </c>
      <c r="F12" s="33" t="inlineStr">
        <is>
          <t>г</t>
        </is>
      </c>
      <c r="G12" s="33" t="inlineStr">
        <is>
          <t>0.1.0-DRAFT</t>
        </is>
      </c>
      <c r="H12" s="33" t="inlineStr">
        <is>
          <t>DRAFT_WITH_ASSUMPTIONS</t>
        </is>
      </c>
      <c r="I12" s="33" t="inlineStr">
        <is>
          <t>BLOCK</t>
        </is>
      </c>
      <c r="J12" s="43">
        <f>IF('04_КАЛЬКУЛЯЦИИ'!N12="","",'04_КАЛЬКУЛЯЦИИ'!N12)</f>
        <v/>
      </c>
      <c r="K12" s="43">
        <f>IFERROR(INDEX('07_ЦЕНООБРАЗОВАНИЕ'!$I$6:$I$106,MATCH(1,('07_ЦЕНООБРАЗОВАНИЕ'!$A$6:$A$106=A12)*('07_ЦЕНООБРАЗОВАНИЕ'!$C$6:$C$106="À la carte"),0)),"")</f>
        <v/>
      </c>
      <c r="L12" s="43">
        <f>IF(OR(J12="",K12=""),"",J12/K12)</f>
        <v/>
      </c>
      <c r="M12" s="43">
        <f>IF(OR(J12="",K12=""),"",K12-J12)</f>
        <v/>
      </c>
      <c r="N12" s="33" t="inlineStr">
        <is>
          <t>GAP-001;GAP-002;GAP-004;GAP-005</t>
        </is>
      </c>
    </row>
    <row r="13">
      <c r="A13" s="33" t="inlineStr">
        <is>
          <t>VKM-008</t>
        </is>
      </c>
      <c r="B13" s="33" t="inlineStr">
        <is>
          <t>Бриошь</t>
        </is>
      </c>
      <c r="C13" s="33" t="inlineStr">
        <is>
          <t>Хлеб</t>
        </is>
      </c>
      <c r="D13" s="33" t="inlineStr">
        <is>
          <t>1 изделие</t>
        </is>
      </c>
      <c r="E13" s="33" t="n">
        <v>85</v>
      </c>
      <c r="F13" s="33" t="inlineStr">
        <is>
          <t>г</t>
        </is>
      </c>
      <c r="G13" s="33" t="inlineStr">
        <is>
          <t>0.1.0-DRAFT</t>
        </is>
      </c>
      <c r="H13" s="33" t="inlineStr">
        <is>
          <t>DRAFT_WITH_ASSUMPTIONS</t>
        </is>
      </c>
      <c r="I13" s="33" t="inlineStr">
        <is>
          <t>BLOCK</t>
        </is>
      </c>
      <c r="J13" s="43">
        <f>IF('04_КАЛЬКУЛЯЦИИ'!N13="","",'04_КАЛЬКУЛЯЦИИ'!N13)</f>
        <v/>
      </c>
      <c r="K13" s="43">
        <f>IFERROR(INDEX('07_ЦЕНООБРАЗОВАНИЕ'!$I$6:$I$106,MATCH(1,('07_ЦЕНООБРАЗОВАНИЕ'!$A$6:$A$106=A13)*('07_ЦЕНООБРАЗОВАНИЕ'!$C$6:$C$106="À la carte"),0)),"")</f>
        <v/>
      </c>
      <c r="L13" s="43">
        <f>IF(OR(J13="",K13=""),"",J13/K13)</f>
        <v/>
      </c>
      <c r="M13" s="43">
        <f>IF(OR(J13="",K13=""),"",K13-J13)</f>
        <v/>
      </c>
      <c r="N13" s="33" t="inlineStr">
        <is>
          <t>GAP-001;GAP-002;GAP-004;GAP-005</t>
        </is>
      </c>
    </row>
    <row r="14">
      <c r="A14" s="33" t="inlineStr">
        <is>
          <t>VKM-009</t>
        </is>
      </c>
      <c r="B14" s="33" t="inlineStr">
        <is>
          <t>Буррата с томатами</t>
        </is>
      </c>
      <c r="C14" s="33" t="inlineStr">
        <is>
          <t>Салаты</t>
        </is>
      </c>
      <c r="D14" s="33" t="inlineStr">
        <is>
          <t>1 порция</t>
        </is>
      </c>
      <c r="E14" s="33" t="n">
        <v>300</v>
      </c>
      <c r="F14" s="33" t="inlineStr">
        <is>
          <t>г</t>
        </is>
      </c>
      <c r="G14" s="33" t="inlineStr">
        <is>
          <t>0.1.0-DRAFT</t>
        </is>
      </c>
      <c r="H14" s="33" t="inlineStr">
        <is>
          <t>DRAFT_WITH_ASSUMPTIONS</t>
        </is>
      </c>
      <c r="I14" s="33" t="inlineStr">
        <is>
          <t>BLOCK</t>
        </is>
      </c>
      <c r="J14" s="43">
        <f>IF('04_КАЛЬКУЛЯЦИИ'!N14="","",'04_КАЛЬКУЛЯЦИИ'!N14)</f>
        <v/>
      </c>
      <c r="K14" s="43">
        <f>IFERROR(INDEX('07_ЦЕНООБРАЗОВАНИЕ'!$I$6:$I$106,MATCH(1,('07_ЦЕНООБРАЗОВАНИЕ'!$A$6:$A$106=A14)*('07_ЦЕНООБРАЗОВАНИЕ'!$C$6:$C$106="À la carte"),0)),"")</f>
        <v/>
      </c>
      <c r="L14" s="43">
        <f>IF(OR(J14="",K14=""),"",J14/K14)</f>
        <v/>
      </c>
      <c r="M14" s="43">
        <f>IF(OR(J14="",K14=""),"",K14-J14)</f>
        <v/>
      </c>
      <c r="N14" s="33" t="inlineStr">
        <is>
          <t>GAP-001;GAP-002;GAP-004;GAP-005</t>
        </is>
      </c>
    </row>
    <row r="15">
      <c r="A15" s="33" t="inlineStr">
        <is>
          <t>VKM-010</t>
        </is>
      </c>
      <c r="B15" s="33" t="inlineStr">
        <is>
          <t>Микс-салат с креветками и яблоком</t>
        </is>
      </c>
      <c r="C15" s="33" t="inlineStr">
        <is>
          <t>Салаты</t>
        </is>
      </c>
      <c r="D15" s="33" t="inlineStr">
        <is>
          <t>1 порция</t>
        </is>
      </c>
      <c r="E15" s="33" t="n">
        <v>280</v>
      </c>
      <c r="F15" s="33" t="inlineStr">
        <is>
          <t>г</t>
        </is>
      </c>
      <c r="G15" s="33" t="inlineStr">
        <is>
          <t>0.1.0-DRAFT</t>
        </is>
      </c>
      <c r="H15" s="33" t="inlineStr">
        <is>
          <t>DRAFT_WITH_ASSUMPTIONS</t>
        </is>
      </c>
      <c r="I15" s="33" t="inlineStr">
        <is>
          <t>BLOCK</t>
        </is>
      </c>
      <c r="J15" s="43">
        <f>IF('04_КАЛЬКУЛЯЦИИ'!N15="","",'04_КАЛЬКУЛЯЦИИ'!N15)</f>
        <v/>
      </c>
      <c r="K15" s="43">
        <f>IFERROR(INDEX('07_ЦЕНООБРАЗОВАНИЕ'!$I$6:$I$106,MATCH(1,('07_ЦЕНООБРАЗОВАНИЕ'!$A$6:$A$106=A15)*('07_ЦЕНООБРАЗОВАНИЕ'!$C$6:$C$106="À la carte"),0)),"")</f>
        <v/>
      </c>
      <c r="L15" s="43">
        <f>IF(OR(J15="",K15=""),"",J15/K15)</f>
        <v/>
      </c>
      <c r="M15" s="43">
        <f>IF(OR(J15="",K15=""),"",K15-J15)</f>
        <v/>
      </c>
      <c r="N15" s="33" t="inlineStr">
        <is>
          <t>GAP-001;GAP-002;GAP-004;GAP-005</t>
        </is>
      </c>
    </row>
    <row r="16">
      <c r="A16" s="33" t="inlineStr">
        <is>
          <t>VKM-011</t>
        </is>
      </c>
      <c r="B16" s="33" t="inlineStr">
        <is>
          <t>Греческий</t>
        </is>
      </c>
      <c r="C16" s="33" t="inlineStr">
        <is>
          <t>Салаты</t>
        </is>
      </c>
      <c r="D16" s="33" t="inlineStr">
        <is>
          <t>1 порция</t>
        </is>
      </c>
      <c r="E16" s="33" t="n">
        <v>270</v>
      </c>
      <c r="F16" s="33" t="inlineStr">
        <is>
          <t>г</t>
        </is>
      </c>
      <c r="G16" s="33" t="inlineStr">
        <is>
          <t>0.1.0-DRAFT</t>
        </is>
      </c>
      <c r="H16" s="33" t="inlineStr">
        <is>
          <t>DRAFT_WITH_ASSUMPTIONS</t>
        </is>
      </c>
      <c r="I16" s="33" t="inlineStr">
        <is>
          <t>BLOCK</t>
        </is>
      </c>
      <c r="J16" s="43">
        <f>IF('04_КАЛЬКУЛЯЦИИ'!N16="","",'04_КАЛЬКУЛЯЦИИ'!N16)</f>
        <v/>
      </c>
      <c r="K16" s="43">
        <f>IFERROR(INDEX('07_ЦЕНООБРАЗОВАНИЕ'!$I$6:$I$106,MATCH(1,('07_ЦЕНООБРАЗОВАНИЕ'!$A$6:$A$106=A16)*('07_ЦЕНООБРАЗОВАНИЕ'!$C$6:$C$106="À la carte"),0)),"")</f>
        <v/>
      </c>
      <c r="L16" s="43">
        <f>IF(OR(J16="",K16=""),"",J16/K16)</f>
        <v/>
      </c>
      <c r="M16" s="43">
        <f>IF(OR(J16="",K16=""),"",K16-J16)</f>
        <v/>
      </c>
      <c r="N16" s="33" t="inlineStr">
        <is>
          <t>GAP-001;GAP-002;GAP-004;GAP-005</t>
        </is>
      </c>
    </row>
    <row r="17">
      <c r="A17" s="33" t="inlineStr">
        <is>
          <t>VKM-012</t>
        </is>
      </c>
      <c r="B17" s="33" t="inlineStr">
        <is>
          <t>Винегрет</t>
        </is>
      </c>
      <c r="C17" s="33" t="inlineStr">
        <is>
          <t>Салаты</t>
        </is>
      </c>
      <c r="D17" s="33" t="inlineStr">
        <is>
          <t>1 порция</t>
        </is>
      </c>
      <c r="E17" s="33" t="n">
        <v>240</v>
      </c>
      <c r="F17" s="33" t="inlineStr">
        <is>
          <t>г</t>
        </is>
      </c>
      <c r="G17" s="33" t="inlineStr">
        <is>
          <t>0.1.0-DRAFT</t>
        </is>
      </c>
      <c r="H17" s="33" t="inlineStr">
        <is>
          <t>DRAFT_WITH_ASSUMPTIONS</t>
        </is>
      </c>
      <c r="I17" s="33" t="inlineStr">
        <is>
          <t>BLOCK</t>
        </is>
      </c>
      <c r="J17" s="43">
        <f>IF('04_КАЛЬКУЛЯЦИИ'!N17="","",'04_КАЛЬКУЛЯЦИИ'!N17)</f>
        <v/>
      </c>
      <c r="K17" s="43">
        <f>IFERROR(INDEX('07_ЦЕНООБРАЗОВАНИЕ'!$I$6:$I$106,MATCH(1,('07_ЦЕНООБРАЗОВАНИЕ'!$A$6:$A$106=A17)*('07_ЦЕНООБРАЗОВАНИЕ'!$C$6:$C$106="À la carte"),0)),"")</f>
        <v/>
      </c>
      <c r="L17" s="43">
        <f>IF(OR(J17="",K17=""),"",J17/K17)</f>
        <v/>
      </c>
      <c r="M17" s="43">
        <f>IF(OR(J17="",K17=""),"",K17-J17)</f>
        <v/>
      </c>
      <c r="N17" s="33" t="inlineStr">
        <is>
          <t>GAP-001;GAP-002;GAP-004;GAP-005</t>
        </is>
      </c>
    </row>
    <row r="18">
      <c r="A18" s="33" t="inlineStr">
        <is>
          <t>VKM-013</t>
        </is>
      </c>
      <c r="B18" s="33" t="inlineStr">
        <is>
          <t>Слабосолёный лосось</t>
        </is>
      </c>
      <c r="C18" s="33" t="inlineStr">
        <is>
          <t>Холодные закуски</t>
        </is>
      </c>
      <c r="D18" s="33" t="inlineStr">
        <is>
          <t>1 порция</t>
        </is>
      </c>
      <c r="E18" s="33" t="n">
        <v>130</v>
      </c>
      <c r="F18" s="33" t="inlineStr">
        <is>
          <t>г</t>
        </is>
      </c>
      <c r="G18" s="33" t="inlineStr">
        <is>
          <t>0.1.0-DRAFT</t>
        </is>
      </c>
      <c r="H18" s="33" t="inlineStr">
        <is>
          <t>DRAFT_WITH_ASSUMPTIONS</t>
        </is>
      </c>
      <c r="I18" s="33" t="inlineStr">
        <is>
          <t>BLOCK</t>
        </is>
      </c>
      <c r="J18" s="43">
        <f>IF('04_КАЛЬКУЛЯЦИИ'!N18="","",'04_КАЛЬКУЛЯЦИИ'!N18)</f>
        <v/>
      </c>
      <c r="K18" s="43">
        <f>IFERROR(INDEX('07_ЦЕНООБРАЗОВАНИЕ'!$I$6:$I$106,MATCH(1,('07_ЦЕНООБРАЗОВАНИЕ'!$A$6:$A$106=A18)*('07_ЦЕНООБРАЗОВАНИЕ'!$C$6:$C$106="À la carte"),0)),"")</f>
        <v/>
      </c>
      <c r="L18" s="43">
        <f>IF(OR(J18="",K18=""),"",J18/K18)</f>
        <v/>
      </c>
      <c r="M18" s="43">
        <f>IF(OR(J18="",K18=""),"",K18-J18)</f>
        <v/>
      </c>
      <c r="N18" s="33" t="inlineStr">
        <is>
          <t>GAP-001;GAP-002;GAP-004;GAP-005</t>
        </is>
      </c>
    </row>
    <row r="19">
      <c r="A19" s="33" t="inlineStr">
        <is>
          <t>VKM-014</t>
        </is>
      </c>
      <c r="B19" s="33" t="inlineStr">
        <is>
          <t>Сельдь с запечённым картофелем</t>
        </is>
      </c>
      <c r="C19" s="33" t="inlineStr">
        <is>
          <t>Холодные закуски</t>
        </is>
      </c>
      <c r="D19" s="33" t="inlineStr">
        <is>
          <t>1 порция</t>
        </is>
      </c>
      <c r="E19" s="33" t="n">
        <v>250</v>
      </c>
      <c r="F19" s="33" t="inlineStr">
        <is>
          <t>г</t>
        </is>
      </c>
      <c r="G19" s="33" t="inlineStr">
        <is>
          <t>0.1.0-DRAFT</t>
        </is>
      </c>
      <c r="H19" s="33" t="inlineStr">
        <is>
          <t>DRAFT_WITH_ASSUMPTIONS</t>
        </is>
      </c>
      <c r="I19" s="33" t="inlineStr">
        <is>
          <t>BLOCK</t>
        </is>
      </c>
      <c r="J19" s="43">
        <f>IF('04_КАЛЬКУЛЯЦИИ'!N19="","",'04_КАЛЬКУЛЯЦИИ'!N19)</f>
        <v/>
      </c>
      <c r="K19" s="43">
        <f>IFERROR(INDEX('07_ЦЕНООБРАЗОВАНИЕ'!$I$6:$I$106,MATCH(1,('07_ЦЕНООБРАЗОВАНИЕ'!$A$6:$A$106=A19)*('07_ЦЕНООБРАЗОВАНИЕ'!$C$6:$C$106="À la carte"),0)),"")</f>
        <v/>
      </c>
      <c r="L19" s="43">
        <f>IF(OR(J19="",K19=""),"",J19/K19)</f>
        <v/>
      </c>
      <c r="M19" s="43">
        <f>IF(OR(J19="",K19=""),"",K19-J19)</f>
        <v/>
      </c>
      <c r="N19" s="33" t="inlineStr">
        <is>
          <t>GAP-001;GAP-002;GAP-004;GAP-005</t>
        </is>
      </c>
    </row>
    <row r="20">
      <c r="A20" s="33" t="inlineStr">
        <is>
          <t>VKM-015</t>
        </is>
      </c>
      <c r="B20" s="33" t="inlineStr">
        <is>
          <t>Оливки и маслины</t>
        </is>
      </c>
      <c r="C20" s="33" t="inlineStr">
        <is>
          <t>Холодные закуски</t>
        </is>
      </c>
      <c r="D20" s="33" t="inlineStr">
        <is>
          <t>1 порция</t>
        </is>
      </c>
      <c r="E20" s="33" t="n">
        <v>120</v>
      </c>
      <c r="F20" s="33" t="inlineStr">
        <is>
          <t>г</t>
        </is>
      </c>
      <c r="G20" s="33" t="inlineStr">
        <is>
          <t>0.1.0-DRAFT</t>
        </is>
      </c>
      <c r="H20" s="33" t="inlineStr">
        <is>
          <t>DRAFT_WITH_ASSUMPTIONS</t>
        </is>
      </c>
      <c r="I20" s="33" t="inlineStr">
        <is>
          <t>BLOCK</t>
        </is>
      </c>
      <c r="J20" s="43">
        <f>IF('04_КАЛЬКУЛЯЦИИ'!N20="","",'04_КАЛЬКУЛЯЦИИ'!N20)</f>
        <v/>
      </c>
      <c r="K20" s="43">
        <f>IFERROR(INDEX('07_ЦЕНООБРАЗОВАНИЕ'!$I$6:$I$106,MATCH(1,('07_ЦЕНООБРАЗОВАНИЕ'!$A$6:$A$106=A20)*('07_ЦЕНООБРАЗОВАНИЕ'!$C$6:$C$106="À la carte"),0)),"")</f>
        <v/>
      </c>
      <c r="L20" s="43">
        <f>IF(OR(J20="",K20=""),"",J20/K20)</f>
        <v/>
      </c>
      <c r="M20" s="43">
        <f>IF(OR(J20="",K20=""),"",K20-J20)</f>
        <v/>
      </c>
      <c r="N20" s="33" t="inlineStr">
        <is>
          <t>GAP-001;GAP-002;GAP-004;GAP-005</t>
        </is>
      </c>
    </row>
    <row r="21">
      <c r="A21" s="33" t="inlineStr">
        <is>
          <t>VKM-016</t>
        </is>
      </c>
      <c r="B21" s="33" t="inlineStr">
        <is>
          <t>Ассорти фирменных солений</t>
        </is>
      </c>
      <c r="C21" s="33" t="inlineStr">
        <is>
          <t>Холодные закуски</t>
        </is>
      </c>
      <c r="D21" s="33" t="inlineStr">
        <is>
          <t>1 порция</t>
        </is>
      </c>
      <c r="E21" s="33" t="n">
        <v>180</v>
      </c>
      <c r="F21" s="33" t="inlineStr">
        <is>
          <t>г</t>
        </is>
      </c>
      <c r="G21" s="33" t="inlineStr">
        <is>
          <t>0.1.0-DRAFT</t>
        </is>
      </c>
      <c r="H21" s="33" t="inlineStr">
        <is>
          <t>DRAFT_WITH_ASSUMPTIONS</t>
        </is>
      </c>
      <c r="I21" s="33" t="inlineStr">
        <is>
          <t>BLOCK</t>
        </is>
      </c>
      <c r="J21" s="43">
        <f>IF('04_КАЛЬКУЛЯЦИИ'!N21="","",'04_КАЛЬКУЛЯЦИИ'!N21)</f>
        <v/>
      </c>
      <c r="K21" s="43">
        <f>IFERROR(INDEX('07_ЦЕНООБРАЗОВАНИЕ'!$I$6:$I$106,MATCH(1,('07_ЦЕНООБРАЗОВАНИЕ'!$A$6:$A$106=A21)*('07_ЦЕНООБРАЗОВАНИЕ'!$C$6:$C$106="À la carte"),0)),"")</f>
        <v/>
      </c>
      <c r="L21" s="43">
        <f>IF(OR(J21="",K21=""),"",J21/K21)</f>
        <v/>
      </c>
      <c r="M21" s="43">
        <f>IF(OR(J21="",K21=""),"",K21-J21)</f>
        <v/>
      </c>
      <c r="N21" s="33" t="inlineStr">
        <is>
          <t>GAP-001;GAP-002;GAP-004;GAP-005</t>
        </is>
      </c>
    </row>
    <row r="22">
      <c r="A22" s="33" t="inlineStr">
        <is>
          <t>VKM-017</t>
        </is>
      </c>
      <c r="B22" s="33" t="inlineStr">
        <is>
          <t>Ростбиф с луком и гренкой</t>
        </is>
      </c>
      <c r="C22" s="33" t="inlineStr">
        <is>
          <t>Холодные закуски</t>
        </is>
      </c>
      <c r="D22" s="33" t="inlineStr">
        <is>
          <t>1 порция</t>
        </is>
      </c>
      <c r="E22" s="33" t="n">
        <v>180</v>
      </c>
      <c r="F22" s="33" t="inlineStr">
        <is>
          <t>г</t>
        </is>
      </c>
      <c r="G22" s="33" t="inlineStr">
        <is>
          <t>0.1.0-DRAFT</t>
        </is>
      </c>
      <c r="H22" s="33" t="inlineStr">
        <is>
          <t>DRAFT_WITH_ASSUMPTIONS</t>
        </is>
      </c>
      <c r="I22" s="33" t="inlineStr">
        <is>
          <t>BLOCK</t>
        </is>
      </c>
      <c r="J22" s="43">
        <f>IF('04_КАЛЬКУЛЯЦИИ'!N22="","",'04_КАЛЬКУЛЯЦИИ'!N22)</f>
        <v/>
      </c>
      <c r="K22" s="43">
        <f>IFERROR(INDEX('07_ЦЕНООБРАЗОВАНИЕ'!$I$6:$I$106,MATCH(1,('07_ЦЕНООБРАЗОВАНИЕ'!$A$6:$A$106=A22)*('07_ЦЕНООБРАЗОВАНИЕ'!$C$6:$C$106="À la carte"),0)),"")</f>
        <v/>
      </c>
      <c r="L22" s="43">
        <f>IF(OR(J22="",K22=""),"",J22/K22)</f>
        <v/>
      </c>
      <c r="M22" s="43">
        <f>IF(OR(J22="",K22=""),"",K22-J22)</f>
        <v/>
      </c>
      <c r="N22" s="33" t="inlineStr">
        <is>
          <t>GAP-001;GAP-002;GAP-004;GAP-005</t>
        </is>
      </c>
    </row>
    <row r="23">
      <c r="A23" s="33" t="inlineStr">
        <is>
          <t>VKM-018</t>
        </is>
      </c>
      <c r="B23" s="33" t="inlineStr">
        <is>
          <t>Традиционный красный борщ</t>
        </is>
      </c>
      <c r="C23" s="33" t="inlineStr">
        <is>
          <t>Супы</t>
        </is>
      </c>
      <c r="D23" s="33" t="inlineStr">
        <is>
          <t>1 гостевая подача</t>
        </is>
      </c>
      <c r="E23" s="33" t="n">
        <v>400</v>
      </c>
      <c r="F23" s="33" t="inlineStr">
        <is>
          <t>г</t>
        </is>
      </c>
      <c r="G23" s="33" t="inlineStr">
        <is>
          <t>0.1.0-DRAFT</t>
        </is>
      </c>
      <c r="H23" s="33" t="inlineStr">
        <is>
          <t>DRAFT_WITH_ASSUMPTIONS</t>
        </is>
      </c>
      <c r="I23" s="33" t="inlineStr">
        <is>
          <t>BLOCK</t>
        </is>
      </c>
      <c r="J23" s="43">
        <f>IF('04_КАЛЬКУЛЯЦИИ'!N23="","",'04_КАЛЬКУЛЯЦИИ'!N23)</f>
        <v/>
      </c>
      <c r="K23" s="43">
        <f>IFERROR(INDEX('07_ЦЕНООБРАЗОВАНИЕ'!$I$6:$I$106,MATCH(1,('07_ЦЕНООБРАЗОВАНИЕ'!$A$6:$A$106=A23)*('07_ЦЕНООБРАЗОВАНИЕ'!$C$6:$C$106="À la carte"),0)),"")</f>
        <v/>
      </c>
      <c r="L23" s="43">
        <f>IF(OR(J23="",K23=""),"",J23/K23)</f>
        <v/>
      </c>
      <c r="M23" s="43">
        <f>IF(OR(J23="",K23=""),"",K23-J23)</f>
        <v/>
      </c>
      <c r="N23" s="33" t="inlineStr">
        <is>
          <t>GAP-001;GAP-002;GAP-004;GAP-005</t>
        </is>
      </c>
    </row>
    <row r="24">
      <c r="A24" s="33" t="inlineStr">
        <is>
          <t>VKM-019</t>
        </is>
      </c>
      <c r="B24" s="33" t="inlineStr">
        <is>
          <t>Мурманская треска со сливочно-горчичным соусом</t>
        </is>
      </c>
      <c r="C24" s="33" t="inlineStr">
        <is>
          <t>Горячие блюда</t>
        </is>
      </c>
      <c r="D24" s="33" t="inlineStr">
        <is>
          <t>1 порция</t>
        </is>
      </c>
      <c r="E24" s="33" t="n">
        <v>300</v>
      </c>
      <c r="F24" s="33" t="inlineStr">
        <is>
          <t>г</t>
        </is>
      </c>
      <c r="G24" s="33" t="inlineStr">
        <is>
          <t>0.1.0-DRAFT</t>
        </is>
      </c>
      <c r="H24" s="33" t="inlineStr">
        <is>
          <t>DRAFT_WITH_ASSUMPTIONS</t>
        </is>
      </c>
      <c r="I24" s="33" t="inlineStr">
        <is>
          <t>BLOCK</t>
        </is>
      </c>
      <c r="J24" s="43">
        <f>IF('04_КАЛЬКУЛЯЦИИ'!N24="","",'04_КАЛЬКУЛЯЦИИ'!N24)</f>
        <v/>
      </c>
      <c r="K24" s="43">
        <f>IFERROR(INDEX('07_ЦЕНООБРАЗОВАНИЕ'!$I$6:$I$106,MATCH(1,('07_ЦЕНООБРАЗОВАНИЕ'!$A$6:$A$106=A24)*('07_ЦЕНООБРАЗОВАНИЕ'!$C$6:$C$106="À la carte"),0)),"")</f>
        <v/>
      </c>
      <c r="L24" s="43">
        <f>IF(OR(J24="",K24=""),"",J24/K24)</f>
        <v/>
      </c>
      <c r="M24" s="43">
        <f>IF(OR(J24="",K24=""),"",K24-J24)</f>
        <v/>
      </c>
      <c r="N24" s="33" t="inlineStr">
        <is>
          <t>GAP-001;GAP-002;GAP-004;GAP-005</t>
        </is>
      </c>
    </row>
    <row r="25">
      <c r="A25" s="33" t="inlineStr">
        <is>
          <t>VKM-020</t>
        </is>
      </c>
      <c r="B25" s="33" t="inlineStr">
        <is>
          <t>Креветки по-тайски</t>
        </is>
      </c>
      <c r="C25" s="33" t="inlineStr">
        <is>
          <t>Горячие блюда</t>
        </is>
      </c>
      <c r="D25" s="33" t="inlineStr">
        <is>
          <t>1 порция</t>
        </is>
      </c>
      <c r="E25" s="33" t="n">
        <v>360</v>
      </c>
      <c r="F25" s="33" t="inlineStr">
        <is>
          <t>г</t>
        </is>
      </c>
      <c r="G25" s="33" t="inlineStr">
        <is>
          <t>0.1.0-DRAFT</t>
        </is>
      </c>
      <c r="H25" s="33" t="inlineStr">
        <is>
          <t>DRAFT_WITH_ASSUMPTIONS</t>
        </is>
      </c>
      <c r="I25" s="33" t="inlineStr">
        <is>
          <t>BLOCK</t>
        </is>
      </c>
      <c r="J25" s="43">
        <f>IF('04_КАЛЬКУЛЯЦИИ'!N25="","",'04_КАЛЬКУЛЯЦИИ'!N25)</f>
        <v/>
      </c>
      <c r="K25" s="43">
        <f>IFERROR(INDEX('07_ЦЕНООБРАЗОВАНИЕ'!$I$6:$I$106,MATCH(1,('07_ЦЕНООБРАЗОВАНИЕ'!$A$6:$A$106=A25)*('07_ЦЕНООБРАЗОВАНИЕ'!$C$6:$C$106="À la carte"),0)),"")</f>
        <v/>
      </c>
      <c r="L25" s="43">
        <f>IF(OR(J25="",K25=""),"",J25/K25)</f>
        <v/>
      </c>
      <c r="M25" s="43">
        <f>IF(OR(J25="",K25=""),"",K25-J25)</f>
        <v/>
      </c>
      <c r="N25" s="33" t="inlineStr">
        <is>
          <t>GAP-001;GAP-002;GAP-004;GAP-005</t>
        </is>
      </c>
    </row>
    <row r="26">
      <c r="A26" s="33" t="inlineStr">
        <is>
          <t>VKM-021</t>
        </is>
      </c>
      <c r="B26" s="33" t="inlineStr">
        <is>
          <t>Бургер VARSHAVKA</t>
        </is>
      </c>
      <c r="C26" s="33" t="inlineStr">
        <is>
          <t>Горячие блюда</t>
        </is>
      </c>
      <c r="D26" s="33" t="inlineStr">
        <is>
          <t>1 бургер</t>
        </is>
      </c>
      <c r="E26" s="33" t="n">
        <v>350</v>
      </c>
      <c r="F26" s="33" t="inlineStr">
        <is>
          <t>г</t>
        </is>
      </c>
      <c r="G26" s="33" t="inlineStr">
        <is>
          <t>0.1.0-DRAFT</t>
        </is>
      </c>
      <c r="H26" s="33" t="inlineStr">
        <is>
          <t>DRAFT_WITH_ASSUMPTIONS</t>
        </is>
      </c>
      <c r="I26" s="33" t="inlineStr">
        <is>
          <t>BLOCK</t>
        </is>
      </c>
      <c r="J26" s="43">
        <f>IF('04_КАЛЬКУЛЯЦИИ'!N26="","",'04_КАЛЬКУЛЯЦИИ'!N26)</f>
        <v/>
      </c>
      <c r="K26" s="43">
        <f>IFERROR(INDEX('07_ЦЕНООБРАЗОВАНИЕ'!$I$6:$I$106,MATCH(1,('07_ЦЕНООБРАЗОВАНИЕ'!$A$6:$A$106=A26)*('07_ЦЕНООБРАЗОВАНИЕ'!$C$6:$C$106="À la carte"),0)),"")</f>
        <v/>
      </c>
      <c r="L26" s="43">
        <f>IF(OR(J26="",K26=""),"",J26/K26)</f>
        <v/>
      </c>
      <c r="M26" s="43">
        <f>IF(OR(J26="",K26=""),"",K26-J26)</f>
        <v/>
      </c>
      <c r="N26" s="33" t="inlineStr">
        <is>
          <t>GAP-001;GAP-002;GAP-004;GAP-005</t>
        </is>
      </c>
    </row>
    <row r="27">
      <c r="A27" s="33" t="inlineStr">
        <is>
          <t>VKM-022</t>
        </is>
      </c>
      <c r="B27" s="33" t="inlineStr">
        <is>
          <t>Миньоны из говяжьей вырезки</t>
        </is>
      </c>
      <c r="C27" s="33" t="inlineStr">
        <is>
          <t>Горячие блюда</t>
        </is>
      </c>
      <c r="D27" s="33" t="inlineStr">
        <is>
          <t>1 порция, 2 миньона</t>
        </is>
      </c>
      <c r="E27" s="33" t="n">
        <v>300</v>
      </c>
      <c r="F27" s="33" t="inlineStr">
        <is>
          <t>г</t>
        </is>
      </c>
      <c r="G27" s="33" t="inlineStr">
        <is>
          <t>0.1.0-DRAFT</t>
        </is>
      </c>
      <c r="H27" s="33" t="inlineStr">
        <is>
          <t>DRAFT_WITH_ASSUMPTIONS</t>
        </is>
      </c>
      <c r="I27" s="33" t="inlineStr">
        <is>
          <t>BLOCK</t>
        </is>
      </c>
      <c r="J27" s="43">
        <f>IF('04_КАЛЬКУЛЯЦИИ'!N27="","",'04_КАЛЬКУЛЯЦИИ'!N27)</f>
        <v/>
      </c>
      <c r="K27" s="43">
        <f>IFERROR(INDEX('07_ЦЕНООБРАЗОВАНИЕ'!$I$6:$I$106,MATCH(1,('07_ЦЕНООБРАЗОВАНИЕ'!$A$6:$A$106=A27)*('07_ЦЕНООБРАЗОВАНИЕ'!$C$6:$C$106="À la carte"),0)),"")</f>
        <v/>
      </c>
      <c r="L27" s="43">
        <f>IF(OR(J27="",K27=""),"",J27/K27)</f>
        <v/>
      </c>
      <c r="M27" s="43">
        <f>IF(OR(J27="",K27=""),"",K27-J27)</f>
        <v/>
      </c>
      <c r="N27" s="33" t="inlineStr">
        <is>
          <t>GAP-001;GAP-002;GAP-004;GAP-005</t>
        </is>
      </c>
    </row>
    <row r="28">
      <c r="A28" s="33" t="inlineStr">
        <is>
          <t>VKM-023</t>
        </is>
      </c>
      <c r="B28" s="33" t="inlineStr">
        <is>
          <t>Запечённый картофель</t>
        </is>
      </c>
      <c r="C28" s="33" t="inlineStr">
        <is>
          <t>Гарниры</t>
        </is>
      </c>
      <c r="D28" s="33" t="inlineStr">
        <is>
          <t>1 порция</t>
        </is>
      </c>
      <c r="E28" s="33" t="n">
        <v>150</v>
      </c>
      <c r="F28" s="33" t="inlineStr">
        <is>
          <t>г</t>
        </is>
      </c>
      <c r="G28" s="33" t="inlineStr">
        <is>
          <t>0.1.0-DRAFT</t>
        </is>
      </c>
      <c r="H28" s="33" t="inlineStr">
        <is>
          <t>DRAFT_WITH_ASSUMPTIONS</t>
        </is>
      </c>
      <c r="I28" s="33" t="inlineStr">
        <is>
          <t>BLOCK</t>
        </is>
      </c>
      <c r="J28" s="43">
        <f>IF('04_КАЛЬКУЛЯЦИИ'!N28="","",'04_КАЛЬКУЛЯЦИИ'!N28)</f>
        <v/>
      </c>
      <c r="K28" s="43">
        <f>IFERROR(INDEX('07_ЦЕНООБРАЗОВАНИЕ'!$I$6:$I$106,MATCH(1,('07_ЦЕНООБРАЗОВАНИЕ'!$A$6:$A$106=A28)*('07_ЦЕНООБРАЗОВАНИЕ'!$C$6:$C$106="À la carte"),0)),"")</f>
        <v/>
      </c>
      <c r="L28" s="43">
        <f>IF(OR(J28="",K28=""),"",J28/K28)</f>
        <v/>
      </c>
      <c r="M28" s="43">
        <f>IF(OR(J28="",K28=""),"",K28-J28)</f>
        <v/>
      </c>
      <c r="N28" s="33" t="inlineStr">
        <is>
          <t>GAP-001;GAP-002;GAP-004;GAP-005</t>
        </is>
      </c>
    </row>
    <row r="29">
      <c r="A29" s="33" t="inlineStr">
        <is>
          <t>VKM-024</t>
        </is>
      </c>
      <c r="B29" s="33" t="inlineStr">
        <is>
          <t>Рис жасмин</t>
        </is>
      </c>
      <c r="C29" s="33" t="inlineStr">
        <is>
          <t>Гарниры</t>
        </is>
      </c>
      <c r="D29" s="33" t="inlineStr">
        <is>
          <t>1 порция</t>
        </is>
      </c>
      <c r="E29" s="33" t="n">
        <v>150</v>
      </c>
      <c r="F29" s="33" t="inlineStr">
        <is>
          <t>г</t>
        </is>
      </c>
      <c r="G29" s="33" t="inlineStr">
        <is>
          <t>0.1.0-DRAFT</t>
        </is>
      </c>
      <c r="H29" s="33" t="inlineStr">
        <is>
          <t>DRAFT_WITH_ASSUMPTIONS</t>
        </is>
      </c>
      <c r="I29" s="33" t="inlineStr">
        <is>
          <t>BLOCK</t>
        </is>
      </c>
      <c r="J29" s="43">
        <f>IF('04_КАЛЬКУЛЯЦИИ'!N29="","",'04_КАЛЬКУЛЯЦИИ'!N29)</f>
        <v/>
      </c>
      <c r="K29" s="43">
        <f>IFERROR(INDEX('07_ЦЕНООБРАЗОВАНИЕ'!$I$6:$I$106,MATCH(1,('07_ЦЕНООБРАЗОВАНИЕ'!$A$6:$A$106=A29)*('07_ЦЕНООБРАЗОВАНИЕ'!$C$6:$C$106="À la carte"),0)),"")</f>
        <v/>
      </c>
      <c r="L29" s="43">
        <f>IF(OR(J29="",K29=""),"",J29/K29)</f>
        <v/>
      </c>
      <c r="M29" s="43">
        <f>IF(OR(J29="",K29=""),"",K29-J29)</f>
        <v/>
      </c>
      <c r="N29" s="33" t="inlineStr">
        <is>
          <t>GAP-001;GAP-002;GAP-004;GAP-005</t>
        </is>
      </c>
    </row>
    <row r="30">
      <c r="A30" s="33" t="inlineStr">
        <is>
          <t>VKM-025</t>
        </is>
      </c>
      <c r="B30" s="33" t="inlineStr">
        <is>
          <t>Горячие овощи</t>
        </is>
      </c>
      <c r="C30" s="33" t="inlineStr">
        <is>
          <t>Гарниры</t>
        </is>
      </c>
      <c r="D30" s="33" t="inlineStr">
        <is>
          <t>1 порция</t>
        </is>
      </c>
      <c r="E30" s="33" t="n">
        <v>150</v>
      </c>
      <c r="F30" s="33" t="inlineStr">
        <is>
          <t>г</t>
        </is>
      </c>
      <c r="G30" s="33" t="inlineStr">
        <is>
          <t>0.1.0-DRAFT</t>
        </is>
      </c>
      <c r="H30" s="33" t="inlineStr">
        <is>
          <t>DRAFT_WITH_ASSUMPTIONS</t>
        </is>
      </c>
      <c r="I30" s="33" t="inlineStr">
        <is>
          <t>BLOCK</t>
        </is>
      </c>
      <c r="J30" s="43">
        <f>IF('04_КАЛЬКУЛЯЦИИ'!N30="","",'04_КАЛЬКУЛЯЦИИ'!N30)</f>
        <v/>
      </c>
      <c r="K30" s="43">
        <f>IFERROR(INDEX('07_ЦЕНООБРАЗОВАНИЕ'!$I$6:$I$106,MATCH(1,('07_ЦЕНООБРАЗОВАНИЕ'!$A$6:$A$106=A30)*('07_ЦЕНООБРАЗОВАНИЕ'!$C$6:$C$106="À la carte"),0)),"")</f>
        <v/>
      </c>
      <c r="L30" s="43">
        <f>IF(OR(J30="",K30=""),"",J30/K30)</f>
        <v/>
      </c>
      <c r="M30" s="43">
        <f>IF(OR(J30="",K30=""),"",K30-J30)</f>
        <v/>
      </c>
      <c r="N30" s="33" t="inlineStr">
        <is>
          <t>GAP-001;GAP-002;GAP-004;GAP-005</t>
        </is>
      </c>
    </row>
    <row r="31">
      <c r="A31" s="33" t="inlineStr">
        <is>
          <t>VKM-029</t>
        </is>
      </c>
      <c r="B31" s="33" t="inlineStr">
        <is>
          <t>Черничный торт VARSHAVKA</t>
        </is>
      </c>
      <c r="C31" s="33" t="inlineStr">
        <is>
          <t>Десерты</t>
        </is>
      </c>
      <c r="D31" s="33" t="inlineStr">
        <is>
          <t>1 торт / 12 порций</t>
        </is>
      </c>
      <c r="E31" s="33" t="n">
        <v>1800</v>
      </c>
      <c r="F31" s="33" t="inlineStr">
        <is>
          <t>г</t>
        </is>
      </c>
      <c r="G31" s="33" t="inlineStr">
        <is>
          <t>0.1.0-DRAFT</t>
        </is>
      </c>
      <c r="H31" s="33" t="inlineStr">
        <is>
          <t>DRAFT_WITH_ASSUMPTIONS</t>
        </is>
      </c>
      <c r="I31" s="33" t="inlineStr">
        <is>
          <t>BLOCK</t>
        </is>
      </c>
      <c r="J31" s="43">
        <f>IF('04_КАЛЬКУЛЯЦИИ'!N31="","",'04_КАЛЬКУЛЯЦИИ'!N31)</f>
        <v/>
      </c>
      <c r="K31" s="43">
        <f>IFERROR(INDEX('07_ЦЕНООБРАЗОВАНИЕ'!$I$6:$I$106,MATCH(1,('07_ЦЕНООБРАЗОВАНИЕ'!$A$6:$A$106=A31)*('07_ЦЕНООБРАЗОВАНИЕ'!$C$6:$C$106="À la carte"),0)),"")</f>
        <v/>
      </c>
      <c r="L31" s="43">
        <f>IF(OR(J31="",K31=""),"",J31/K31)</f>
        <v/>
      </c>
      <c r="M31" s="43">
        <f>IF(OR(J31="",K31=""),"",K31-J31)</f>
        <v/>
      </c>
      <c r="N31" s="33" t="inlineStr">
        <is>
          <t>GAP-001;GAP-002;GAP-004;GAP-005</t>
        </is>
      </c>
    </row>
    <row r="32">
      <c r="A32" s="33" t="inlineStr">
        <is>
          <t>VKM-030</t>
        </is>
      </c>
      <c r="B32" s="33" t="inlineStr">
        <is>
          <t>Кростата с солёной карамелью</t>
        </is>
      </c>
      <c r="C32" s="33" t="inlineStr">
        <is>
          <t>Десерты</t>
        </is>
      </c>
      <c r="D32" s="33" t="inlineStr">
        <is>
          <t>1 кростата / 10 порций</t>
        </is>
      </c>
      <c r="E32" s="33" t="n">
        <v>1200</v>
      </c>
      <c r="F32" s="33" t="inlineStr">
        <is>
          <t>г</t>
        </is>
      </c>
      <c r="G32" s="33" t="inlineStr">
        <is>
          <t>0.1.0-DRAFT</t>
        </is>
      </c>
      <c r="H32" s="33" t="inlineStr">
        <is>
          <t>DRAFT_WITH_ASSUMPTIONS</t>
        </is>
      </c>
      <c r="I32" s="33" t="inlineStr">
        <is>
          <t>BLOCK</t>
        </is>
      </c>
      <c r="J32" s="43">
        <f>IF('04_КАЛЬКУЛЯЦИИ'!N32="","",'04_КАЛЬКУЛЯЦИИ'!N32)</f>
        <v/>
      </c>
      <c r="K32" s="43">
        <f>IFERROR(INDEX('07_ЦЕНООБРАЗОВАНИЕ'!$I$6:$I$106,MATCH(1,('07_ЦЕНООБРАЗОВАНИЕ'!$A$6:$A$106=A32)*('07_ЦЕНООБРАЗОВАНИЕ'!$C$6:$C$106="À la carte"),0)),"")</f>
        <v/>
      </c>
      <c r="L32" s="43">
        <f>IF(OR(J32="",K32=""),"",J32/K32)</f>
        <v/>
      </c>
      <c r="M32" s="43">
        <f>IF(OR(J32="",K32=""),"",K32-J32)</f>
        <v/>
      </c>
      <c r="N32" s="33" t="inlineStr">
        <is>
          <t>GAP-001;GAP-002;GAP-004;GAP-005</t>
        </is>
      </c>
    </row>
    <row r="33">
      <c r="A33" s="33" t="inlineStr">
        <is>
          <t>VKM-031</t>
        </is>
      </c>
      <c r="B33" s="33" t="inlineStr">
        <is>
          <t>Мадлен</t>
        </is>
      </c>
      <c r="C33" s="33" t="inlineStr">
        <is>
          <t>Десерты</t>
        </is>
      </c>
      <c r="D33" s="33" t="inlineStr">
        <is>
          <t>партия 20 шт. / продажа 2 шт.</t>
        </is>
      </c>
      <c r="E33" s="33" t="n">
        <v>600</v>
      </c>
      <c r="F33" s="33" t="inlineStr">
        <is>
          <t>г</t>
        </is>
      </c>
      <c r="G33" s="33" t="inlineStr">
        <is>
          <t>0.1.0-DRAFT</t>
        </is>
      </c>
      <c r="H33" s="33" t="inlineStr">
        <is>
          <t>DRAFT_WITH_ASSUMPTIONS</t>
        </is>
      </c>
      <c r="I33" s="33" t="inlineStr">
        <is>
          <t>BLOCK</t>
        </is>
      </c>
      <c r="J33" s="43">
        <f>IF('04_КАЛЬКУЛЯЦИИ'!N33="","",'04_КАЛЬКУЛЯЦИИ'!N33)</f>
        <v/>
      </c>
      <c r="K33" s="43">
        <f>IFERROR(INDEX('07_ЦЕНООБРАЗОВАНИЕ'!$I$6:$I$106,MATCH(1,('07_ЦЕНООБРАЗОВАНИЕ'!$A$6:$A$106=A33)*('07_ЦЕНООБРАЗОВАНИЕ'!$C$6:$C$106="À la carte"),0)),"")</f>
        <v/>
      </c>
      <c r="L33" s="43">
        <f>IF(OR(J33="",K33=""),"",J33/K33)</f>
        <v/>
      </c>
      <c r="M33" s="43">
        <f>IF(OR(J33="",K33=""),"",K33-J33)</f>
        <v/>
      </c>
      <c r="N33" s="33" t="inlineStr">
        <is>
          <t>GAP-001;GAP-002;GAP-004;GAP-005</t>
        </is>
      </c>
    </row>
  </sheetData>
  <mergeCells count="2">
    <mergeCell ref="A2:M2"/>
    <mergeCell ref="A1:M1"/>
  </mergeCells>
  <conditionalFormatting sqref="H6:I33">
    <cfRule type="containsText" priority="1" operator="containsText" dxfId="0" text="BLOCK"/>
    <cfRule type="containsText" priority="2" operator="containsText" dxfId="1" text="PASS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5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8" customWidth="1" min="5" max="5"/>
    <col width="13" customWidth="1" min="6" max="6"/>
    <col width="30" customWidth="1" min="7" max="7"/>
    <col width="18" customWidth="1" min="8" max="8"/>
    <col width="12" customWidth="1" min="9" max="9"/>
    <col width="11" customWidth="1" min="10" max="10"/>
    <col width="8" customWidth="1" min="11" max="11"/>
    <col width="11" customWidth="1" min="12" max="12"/>
    <col width="13" customWidth="1" min="13" max="13"/>
    <col width="17" customWidth="1" min="14" max="14"/>
    <col width="25" customWidth="1" min="15" max="15"/>
    <col width="25" customWidth="1" min="16" max="16"/>
  </cols>
  <sheetData>
    <row r="1" ht="30" customHeight="1">
      <c r="A1" s="27" t="inlineStr">
        <is>
          <t>02 — Рецептуры</t>
        </is>
      </c>
    </row>
    <row r="2" ht="27" customHeight="1">
      <c r="A2" s="29" t="inlineStr">
        <is>
          <t>253 строк HOF-0002; нормы DRAFT/ASSUMPTION, фактические потери и выход требуют контрольной проработки.</t>
        </is>
      </c>
    </row>
    <row r="3">
      <c r="A3" s="28" t="n"/>
      <c r="B3" s="28" t="n"/>
      <c r="C3" s="28" t="n"/>
      <c r="D3" s="28" t="n"/>
      <c r="E3" s="28" t="n"/>
      <c r="F3" s="28" t="n"/>
      <c r="G3" s="28" t="n"/>
      <c r="H3" s="28" t="n"/>
      <c r="I3" s="28" t="n"/>
      <c r="J3" s="28" t="n"/>
      <c r="K3" s="28" t="n"/>
      <c r="L3" s="28" t="n"/>
      <c r="M3" s="28" t="n"/>
      <c r="N3" s="28" t="n"/>
      <c r="O3" s="28" t="n"/>
      <c r="P3" s="28" t="n"/>
    </row>
    <row r="4">
      <c r="A4" s="28" t="n"/>
      <c r="B4" s="28" t="n"/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  <c r="P4" s="28" t="n"/>
    </row>
    <row r="5" ht="34" customHeight="1">
      <c r="A5" s="32" t="inlineStr">
        <is>
          <t>Line ID</t>
        </is>
      </c>
      <c r="B5" s="32" t="inlineStr">
        <is>
          <t>Dish ID</t>
        </is>
      </c>
      <c r="C5" s="32" t="inlineStr">
        <is>
          <t>Cost card</t>
        </is>
      </c>
      <c r="D5" s="32" t="inlineStr">
        <is>
          <t>Tech card</t>
        </is>
      </c>
      <c r="E5" s="32" t="inlineStr">
        <is>
          <t>Версия</t>
        </is>
      </c>
      <c r="F5" s="32" t="inlineStr">
        <is>
          <t>Ingredient ID</t>
        </is>
      </c>
      <c r="G5" s="32" t="inlineStr">
        <is>
          <t>Ингредиент</t>
        </is>
      </c>
      <c r="H5" s="32" t="inlineStr">
        <is>
          <t>Стадия</t>
        </is>
      </c>
      <c r="I5" s="32" t="inlineStr">
        <is>
          <t>VSF</t>
        </is>
      </c>
      <c r="J5" s="32" t="inlineStr">
        <is>
          <t>Брутто</t>
        </is>
      </c>
      <c r="K5" s="32" t="inlineStr">
        <is>
          <t>Ед.</t>
        </is>
      </c>
      <c r="L5" s="32" t="inlineStr">
        <is>
          <t>Нетто</t>
        </is>
      </c>
      <c r="M5" s="32" t="inlineStr">
        <is>
          <t>Вклад в выход</t>
        </is>
      </c>
      <c r="N5" s="32" t="inlineStr">
        <is>
          <t>Статус</t>
        </is>
      </c>
      <c r="O5" s="32" t="inlineStr">
        <is>
          <t>Evidence</t>
        </is>
      </c>
      <c r="P5" s="32" t="inlineStr">
        <is>
          <t>Blockers</t>
        </is>
      </c>
    </row>
    <row r="6">
      <c r="A6" s="33" t="inlineStr">
        <is>
          <t>RCP-0001</t>
        </is>
      </c>
      <c r="B6" s="33" t="inlineStr">
        <is>
          <t>VKM-001</t>
        </is>
      </c>
      <c r="C6" s="33" t="inlineStr">
        <is>
          <t>VKC-001</t>
        </is>
      </c>
      <c r="D6" s="33" t="inlineStr">
        <is>
          <t>VKT-001</t>
        </is>
      </c>
      <c r="E6" s="33" t="inlineStr">
        <is>
          <t>0.1.0-DRAFT</t>
        </is>
      </c>
      <c r="F6" s="33" t="inlineStr">
        <is>
          <t>ING-001</t>
        </is>
      </c>
      <c r="G6" s="33" t="inlineStr">
        <is>
          <t>Мука пшеничная хлебопекарная</t>
        </is>
      </c>
      <c r="H6" s="33" t="inlineStr">
        <is>
          <t>Тесто</t>
        </is>
      </c>
      <c r="I6" s="33" t="inlineStr">
        <is>
          <t>VSF-001</t>
        </is>
      </c>
      <c r="J6" s="33" t="n">
        <v>140</v>
      </c>
      <c r="K6" s="33" t="inlineStr">
        <is>
          <t>г</t>
        </is>
      </c>
      <c r="L6" s="33" t="n">
        <v>140</v>
      </c>
      <c r="M6" s="33" t="n">
        <v>130</v>
      </c>
      <c r="N6" s="33" t="inlineStr">
        <is>
          <t>ASSUMPTION</t>
        </is>
      </c>
      <c r="O6" s="33" t="inlineStr">
        <is>
          <t>EVD-0007;EVD-0008</t>
        </is>
      </c>
      <c r="P6" s="33" t="inlineStr">
        <is>
          <t>GAP-004;GAP-005</t>
        </is>
      </c>
    </row>
    <row r="7">
      <c r="A7" s="33" t="inlineStr">
        <is>
          <t>RCP-0002</t>
        </is>
      </c>
      <c r="B7" s="33" t="inlineStr">
        <is>
          <t>VKM-001</t>
        </is>
      </c>
      <c r="C7" s="33" t="inlineStr">
        <is>
          <t>VKC-001</t>
        </is>
      </c>
      <c r="D7" s="33" t="inlineStr">
        <is>
          <t>VKT-001</t>
        </is>
      </c>
      <c r="E7" s="33" t="inlineStr">
        <is>
          <t>0.1.0-DRAFT</t>
        </is>
      </c>
      <c r="F7" s="33" t="inlineStr">
        <is>
          <t>ING-002</t>
        </is>
      </c>
      <c r="G7" s="33" t="inlineStr">
        <is>
          <t>Вода питьевая</t>
        </is>
      </c>
      <c r="H7" s="33" t="inlineStr">
        <is>
          <t>Тесто</t>
        </is>
      </c>
      <c r="I7" s="33" t="inlineStr">
        <is>
          <t>VSF-001</t>
        </is>
      </c>
      <c r="J7" s="33" t="n">
        <v>85</v>
      </c>
      <c r="K7" s="33" t="inlineStr">
        <is>
          <t>г</t>
        </is>
      </c>
      <c r="L7" s="33" t="n">
        <v>85</v>
      </c>
      <c r="M7" s="33" t="n">
        <v>70</v>
      </c>
      <c r="N7" s="33" t="inlineStr">
        <is>
          <t>ASSUMPTION</t>
        </is>
      </c>
      <c r="O7" s="33" t="inlineStr">
        <is>
          <t>EVD-0007;EVD-0008</t>
        </is>
      </c>
      <c r="P7" s="33" t="inlineStr">
        <is>
          <t>GAP-004;GAP-005</t>
        </is>
      </c>
    </row>
    <row r="8">
      <c r="A8" s="33" t="inlineStr">
        <is>
          <t>RCP-0003</t>
        </is>
      </c>
      <c r="B8" s="33" t="inlineStr">
        <is>
          <t>VKM-001</t>
        </is>
      </c>
      <c r="C8" s="33" t="inlineStr">
        <is>
          <t>VKC-001</t>
        </is>
      </c>
      <c r="D8" s="33" t="inlineStr">
        <is>
          <t>VKT-001</t>
        </is>
      </c>
      <c r="E8" s="33" t="inlineStr">
        <is>
          <t>0.1.0-DRAFT</t>
        </is>
      </c>
      <c r="F8" s="33" t="inlineStr">
        <is>
          <t>ING-003</t>
        </is>
      </c>
      <c r="G8" s="33" t="inlineStr">
        <is>
          <t>Дрожжи хлебопекарные</t>
        </is>
      </c>
      <c r="H8" s="33" t="inlineStr">
        <is>
          <t>Тесто</t>
        </is>
      </c>
      <c r="I8" s="33" t="inlineStr">
        <is>
          <t>VSF-001</t>
        </is>
      </c>
      <c r="J8" s="33" t="n">
        <v>2</v>
      </c>
      <c r="K8" s="33" t="inlineStr">
        <is>
          <t>г</t>
        </is>
      </c>
      <c r="L8" s="33" t="n">
        <v>2</v>
      </c>
      <c r="M8" s="33" t="n">
        <v>2</v>
      </c>
      <c r="N8" s="33" t="inlineStr">
        <is>
          <t>ASSUMPTION</t>
        </is>
      </c>
      <c r="O8" s="33" t="inlineStr">
        <is>
          <t>EVD-0007;EVD-0008</t>
        </is>
      </c>
      <c r="P8" s="33" t="inlineStr">
        <is>
          <t>GAP-004;GAP-005</t>
        </is>
      </c>
    </row>
    <row r="9">
      <c r="A9" s="33" t="inlineStr">
        <is>
          <t>RCP-0004</t>
        </is>
      </c>
      <c r="B9" s="33" t="inlineStr">
        <is>
          <t>VKM-001</t>
        </is>
      </c>
      <c r="C9" s="33" t="inlineStr">
        <is>
          <t>VKC-001</t>
        </is>
      </c>
      <c r="D9" s="33" t="inlineStr">
        <is>
          <t>VKT-001</t>
        </is>
      </c>
      <c r="E9" s="33" t="inlineStr">
        <is>
          <t>0.1.0-DRAFT</t>
        </is>
      </c>
      <c r="F9" s="33" t="inlineStr">
        <is>
          <t>ING-004</t>
        </is>
      </c>
      <c r="G9" s="33" t="inlineStr">
        <is>
          <t>Соль пищевая</t>
        </is>
      </c>
      <c r="H9" s="33" t="inlineStr">
        <is>
          <t>Тесто</t>
        </is>
      </c>
      <c r="I9" s="33" t="inlineStr">
        <is>
          <t>VSF-001</t>
        </is>
      </c>
      <c r="J9" s="33" t="n">
        <v>3</v>
      </c>
      <c r="K9" s="33" t="inlineStr">
        <is>
          <t>г</t>
        </is>
      </c>
      <c r="L9" s="33" t="n">
        <v>3</v>
      </c>
      <c r="M9" s="33" t="n">
        <v>3</v>
      </c>
      <c r="N9" s="33" t="inlineStr">
        <is>
          <t>ASSUMPTION</t>
        </is>
      </c>
      <c r="O9" s="33" t="inlineStr">
        <is>
          <t>EVD-0007;EVD-0008</t>
        </is>
      </c>
      <c r="P9" s="33" t="inlineStr">
        <is>
          <t>GAP-004;GAP-005</t>
        </is>
      </c>
    </row>
    <row r="10">
      <c r="A10" s="33" t="inlineStr">
        <is>
          <t>RCP-0005</t>
        </is>
      </c>
      <c r="B10" s="33" t="inlineStr">
        <is>
          <t>VKM-001</t>
        </is>
      </c>
      <c r="C10" s="33" t="inlineStr">
        <is>
          <t>VKC-001</t>
        </is>
      </c>
      <c r="D10" s="33" t="inlineStr">
        <is>
          <t>VKT-001</t>
        </is>
      </c>
      <c r="E10" s="33" t="inlineStr">
        <is>
          <t>0.1.0-DRAFT</t>
        </is>
      </c>
      <c r="F10" s="33" t="inlineStr">
        <is>
          <t>ING-005</t>
        </is>
      </c>
      <c r="G10" s="33" t="inlineStr">
        <is>
          <t>Масло оливковое</t>
        </is>
      </c>
      <c r="H10" s="33" t="inlineStr">
        <is>
          <t>Тесто</t>
        </is>
      </c>
      <c r="I10" s="33" t="inlineStr">
        <is>
          <t>VSF-001</t>
        </is>
      </c>
      <c r="J10" s="33" t="n">
        <v>8</v>
      </c>
      <c r="K10" s="33" t="inlineStr">
        <is>
          <t>г</t>
        </is>
      </c>
      <c r="L10" s="33" t="n">
        <v>8</v>
      </c>
      <c r="M10" s="33" t="n">
        <v>8</v>
      </c>
      <c r="N10" s="33" t="inlineStr">
        <is>
          <t>ASSUMPTION</t>
        </is>
      </c>
      <c r="O10" s="33" t="inlineStr">
        <is>
          <t>EVD-0007;EVD-0008</t>
        </is>
      </c>
      <c r="P10" s="33" t="inlineStr">
        <is>
          <t>GAP-004;GAP-005</t>
        </is>
      </c>
    </row>
    <row r="11">
      <c r="A11" s="33" t="inlineStr">
        <is>
          <t>RCP-0006</t>
        </is>
      </c>
      <c r="B11" s="33" t="inlineStr">
        <is>
          <t>VKM-001</t>
        </is>
      </c>
      <c r="C11" s="33" t="inlineStr">
        <is>
          <t>VKC-001</t>
        </is>
      </c>
      <c r="D11" s="33" t="inlineStr">
        <is>
          <t>VKT-001</t>
        </is>
      </c>
      <c r="E11" s="33" t="inlineStr">
        <is>
          <t>0.1.0-DRAFT</t>
        </is>
      </c>
      <c r="F11" s="33" t="inlineStr">
        <is>
          <t>ING-006</t>
        </is>
      </c>
      <c r="G11" s="33" t="inlineStr">
        <is>
          <t>Томаты протёртые</t>
        </is>
      </c>
      <c r="H11" s="33" t="inlineStr">
        <is>
          <t>Соус</t>
        </is>
      </c>
      <c r="I11" s="33" t="inlineStr">
        <is>
          <t>VSF-002</t>
        </is>
      </c>
      <c r="J11" s="33" t="n">
        <v>70</v>
      </c>
      <c r="K11" s="33" t="inlineStr">
        <is>
          <t>г</t>
        </is>
      </c>
      <c r="L11" s="33" t="n">
        <v>70</v>
      </c>
      <c r="M11" s="33" t="n">
        <v>67</v>
      </c>
      <c r="N11" s="33" t="inlineStr">
        <is>
          <t>ASSUMPTION</t>
        </is>
      </c>
      <c r="O11" s="33" t="inlineStr">
        <is>
          <t>EVD-0007;EVD-0008</t>
        </is>
      </c>
      <c r="P11" s="33" t="inlineStr">
        <is>
          <t>GAP-004;GAP-005</t>
        </is>
      </c>
    </row>
    <row r="12">
      <c r="A12" s="33" t="inlineStr">
        <is>
          <t>RCP-0007</t>
        </is>
      </c>
      <c r="B12" s="33" t="inlineStr">
        <is>
          <t>VKM-001</t>
        </is>
      </c>
      <c r="C12" s="33" t="inlineStr">
        <is>
          <t>VKC-001</t>
        </is>
      </c>
      <c r="D12" s="33" t="inlineStr">
        <is>
          <t>VKT-001</t>
        </is>
      </c>
      <c r="E12" s="33" t="inlineStr">
        <is>
          <t>0.1.0-DRAFT</t>
        </is>
      </c>
      <c r="F12" s="33" t="inlineStr">
        <is>
          <t>ING-007</t>
        </is>
      </c>
      <c r="G12" s="33" t="inlineStr">
        <is>
          <t>Чеснок</t>
        </is>
      </c>
      <c r="H12" s="33" t="inlineStr">
        <is>
          <t>Соус</t>
        </is>
      </c>
      <c r="I12" s="33" t="inlineStr">
        <is>
          <t>VSF-002</t>
        </is>
      </c>
      <c r="J12" s="33" t="n">
        <v>2.2</v>
      </c>
      <c r="K12" s="33" t="inlineStr">
        <is>
          <t>г</t>
        </is>
      </c>
      <c r="L12" s="33" t="n">
        <v>2</v>
      </c>
      <c r="M12" s="33" t="n">
        <v>2</v>
      </c>
      <c r="N12" s="33" t="inlineStr">
        <is>
          <t>ASSUMPTION</t>
        </is>
      </c>
      <c r="O12" s="33" t="inlineStr">
        <is>
          <t>EVD-0007;EVD-0008</t>
        </is>
      </c>
      <c r="P12" s="33" t="inlineStr">
        <is>
          <t>GAP-004;GAP-005</t>
        </is>
      </c>
    </row>
    <row r="13">
      <c r="A13" s="33" t="inlineStr">
        <is>
          <t>RCP-0008</t>
        </is>
      </c>
      <c r="B13" s="33" t="inlineStr">
        <is>
          <t>VKM-001</t>
        </is>
      </c>
      <c r="C13" s="33" t="inlineStr">
        <is>
          <t>VKC-001</t>
        </is>
      </c>
      <c r="D13" s="33" t="inlineStr">
        <is>
          <t>VKT-001</t>
        </is>
      </c>
      <c r="E13" s="33" t="inlineStr">
        <is>
          <t>0.1.0-DRAFT</t>
        </is>
      </c>
      <c r="F13" s="33" t="inlineStr">
        <is>
          <t>ING-008</t>
        </is>
      </c>
      <c r="G13" s="33" t="inlineStr">
        <is>
          <t>Орегано</t>
        </is>
      </c>
      <c r="H13" s="33" t="inlineStr">
        <is>
          <t>Соус</t>
        </is>
      </c>
      <c r="I13" s="33" t="inlineStr">
        <is>
          <t>VSF-002</t>
        </is>
      </c>
      <c r="J13" s="33" t="n">
        <v>1</v>
      </c>
      <c r="K13" s="33" t="inlineStr">
        <is>
          <t>г</t>
        </is>
      </c>
      <c r="L13" s="33" t="n">
        <v>1</v>
      </c>
      <c r="M13" s="33" t="n">
        <v>1</v>
      </c>
      <c r="N13" s="33" t="inlineStr">
        <is>
          <t>ASSUMPTION</t>
        </is>
      </c>
      <c r="O13" s="33" t="inlineStr">
        <is>
          <t>EVD-0007;EVD-0008</t>
        </is>
      </c>
      <c r="P13" s="33" t="inlineStr">
        <is>
          <t>GAP-004;GAP-005</t>
        </is>
      </c>
    </row>
    <row r="14">
      <c r="A14" s="33" t="inlineStr">
        <is>
          <t>RCP-0009</t>
        </is>
      </c>
      <c r="B14" s="33" t="inlineStr">
        <is>
          <t>VKM-001</t>
        </is>
      </c>
      <c r="C14" s="33" t="inlineStr">
        <is>
          <t>VKC-001</t>
        </is>
      </c>
      <c r="D14" s="33" t="inlineStr">
        <is>
          <t>VKT-001</t>
        </is>
      </c>
      <c r="E14" s="33" t="inlineStr">
        <is>
          <t>0.1.0-DRAFT</t>
        </is>
      </c>
      <c r="F14" s="33" t="inlineStr">
        <is>
          <t>ING-005</t>
        </is>
      </c>
      <c r="G14" s="33" t="inlineStr">
        <is>
          <t>Масло оливковое</t>
        </is>
      </c>
      <c r="H14" s="33" t="inlineStr">
        <is>
          <t>Соус</t>
        </is>
      </c>
      <c r="I14" s="33" t="inlineStr">
        <is>
          <t>VSF-002</t>
        </is>
      </c>
      <c r="J14" s="33" t="n">
        <v>10</v>
      </c>
      <c r="K14" s="33" t="inlineStr">
        <is>
          <t>г</t>
        </is>
      </c>
      <c r="L14" s="33" t="n">
        <v>10</v>
      </c>
      <c r="M14" s="33" t="n">
        <v>10</v>
      </c>
      <c r="N14" s="33" t="inlineStr">
        <is>
          <t>ASSUMPTION</t>
        </is>
      </c>
      <c r="O14" s="33" t="inlineStr">
        <is>
          <t>EVD-0007;EVD-0008</t>
        </is>
      </c>
      <c r="P14" s="33" t="inlineStr">
        <is>
          <t>GAP-004;GAP-005</t>
        </is>
      </c>
    </row>
    <row r="15">
      <c r="A15" s="33" t="inlineStr">
        <is>
          <t>RCP-0010</t>
        </is>
      </c>
      <c r="B15" s="33" t="inlineStr">
        <is>
          <t>VKM-001</t>
        </is>
      </c>
      <c r="C15" s="33" t="inlineStr">
        <is>
          <t>VKC-001</t>
        </is>
      </c>
      <c r="D15" s="33" t="inlineStr">
        <is>
          <t>VKT-001</t>
        </is>
      </c>
      <c r="E15" s="33" t="inlineStr">
        <is>
          <t>0.1.0-DRAFT</t>
        </is>
      </c>
      <c r="F15" s="33" t="inlineStr">
        <is>
          <t>ING-009</t>
        </is>
      </c>
      <c r="G15" s="33" t="inlineStr">
        <is>
          <t>Моцарелла</t>
        </is>
      </c>
      <c r="H15" s="33" t="inlineStr">
        <is>
          <t>Сборка</t>
        </is>
      </c>
      <c r="I15" s="33" t="n"/>
      <c r="J15" s="33" t="n">
        <v>130</v>
      </c>
      <c r="K15" s="33" t="inlineStr">
        <is>
          <t>г</t>
        </is>
      </c>
      <c r="L15" s="33" t="n">
        <v>130</v>
      </c>
      <c r="M15" s="33" t="n">
        <v>130</v>
      </c>
      <c r="N15" s="33" t="inlineStr">
        <is>
          <t>ASSUMPTION</t>
        </is>
      </c>
      <c r="O15" s="33" t="inlineStr">
        <is>
          <t>EVD-0007;EVD-0008</t>
        </is>
      </c>
      <c r="P15" s="33" t="inlineStr">
        <is>
          <t>GAP-004;GAP-005</t>
        </is>
      </c>
    </row>
    <row r="16">
      <c r="A16" s="33" t="inlineStr">
        <is>
          <t>RCP-0011</t>
        </is>
      </c>
      <c r="B16" s="33" t="inlineStr">
        <is>
          <t>VKM-001</t>
        </is>
      </c>
      <c r="C16" s="33" t="inlineStr">
        <is>
          <t>VKC-001</t>
        </is>
      </c>
      <c r="D16" s="33" t="inlineStr">
        <is>
          <t>VKT-001</t>
        </is>
      </c>
      <c r="E16" s="33" t="inlineStr">
        <is>
          <t>0.1.0-DRAFT</t>
        </is>
      </c>
      <c r="F16" s="33" t="inlineStr">
        <is>
          <t>ING-010</t>
        </is>
      </c>
      <c r="G16" s="33" t="inlineStr">
        <is>
          <t>Пармезан</t>
        </is>
      </c>
      <c r="H16" s="33" t="inlineStr">
        <is>
          <t>Сборка</t>
        </is>
      </c>
      <c r="I16" s="33" t="n"/>
      <c r="J16" s="33" t="n">
        <v>10</v>
      </c>
      <c r="K16" s="33" t="inlineStr">
        <is>
          <t>г</t>
        </is>
      </c>
      <c r="L16" s="33" t="n">
        <v>10</v>
      </c>
      <c r="M16" s="33" t="n">
        <v>10</v>
      </c>
      <c r="N16" s="33" t="inlineStr">
        <is>
          <t>ASSUMPTION</t>
        </is>
      </c>
      <c r="O16" s="33" t="inlineStr">
        <is>
          <t>EVD-0007;EVD-0008</t>
        </is>
      </c>
      <c r="P16" s="33" t="inlineStr">
        <is>
          <t>GAP-004;GAP-005</t>
        </is>
      </c>
    </row>
    <row r="17">
      <c r="A17" s="33" t="inlineStr">
        <is>
          <t>RCP-0012</t>
        </is>
      </c>
      <c r="B17" s="33" t="inlineStr">
        <is>
          <t>VKM-001</t>
        </is>
      </c>
      <c r="C17" s="33" t="inlineStr">
        <is>
          <t>VKC-001</t>
        </is>
      </c>
      <c r="D17" s="33" t="inlineStr">
        <is>
          <t>VKT-001</t>
        </is>
      </c>
      <c r="E17" s="33" t="inlineStr">
        <is>
          <t>0.1.0-DRAFT</t>
        </is>
      </c>
      <c r="F17" s="33" t="inlineStr">
        <is>
          <t>ING-011</t>
        </is>
      </c>
      <c r="G17" s="33" t="inlineStr">
        <is>
          <t>Базилик свежий</t>
        </is>
      </c>
      <c r="H17" s="33" t="inlineStr">
        <is>
          <t>Сборка</t>
        </is>
      </c>
      <c r="I17" s="33" t="n"/>
      <c r="J17" s="33" t="n">
        <v>6</v>
      </c>
      <c r="K17" s="33" t="inlineStr">
        <is>
          <t>г</t>
        </is>
      </c>
      <c r="L17" s="33" t="n">
        <v>5</v>
      </c>
      <c r="M17" s="33" t="n">
        <v>5</v>
      </c>
      <c r="N17" s="33" t="inlineStr">
        <is>
          <t>ASSUMPTION</t>
        </is>
      </c>
      <c r="O17" s="33" t="inlineStr">
        <is>
          <t>EVD-0007;EVD-0008</t>
        </is>
      </c>
      <c r="P17" s="33" t="inlineStr">
        <is>
          <t>GAP-004;GAP-005</t>
        </is>
      </c>
    </row>
    <row r="18">
      <c r="A18" s="33" t="inlineStr">
        <is>
          <t>RCP-0013</t>
        </is>
      </c>
      <c r="B18" s="33" t="inlineStr">
        <is>
          <t>VKM-001</t>
        </is>
      </c>
      <c r="C18" s="33" t="inlineStr">
        <is>
          <t>VKC-001</t>
        </is>
      </c>
      <c r="D18" s="33" t="inlineStr">
        <is>
          <t>VKT-001</t>
        </is>
      </c>
      <c r="E18" s="33" t="inlineStr">
        <is>
          <t>0.1.0-DRAFT</t>
        </is>
      </c>
      <c r="F18" s="33" t="inlineStr">
        <is>
          <t>ING-005</t>
        </is>
      </c>
      <c r="G18" s="33" t="inlineStr">
        <is>
          <t>Масло оливковое</t>
        </is>
      </c>
      <c r="H18" s="33" t="inlineStr">
        <is>
          <t>Финиш</t>
        </is>
      </c>
      <c r="I18" s="33" t="n"/>
      <c r="J18" s="33" t="n">
        <v>12</v>
      </c>
      <c r="K18" s="33" t="inlineStr">
        <is>
          <t>г</t>
        </is>
      </c>
      <c r="L18" s="33" t="n">
        <v>12</v>
      </c>
      <c r="M18" s="33" t="n">
        <v>12</v>
      </c>
      <c r="N18" s="33" t="inlineStr">
        <is>
          <t>ASSUMPTION</t>
        </is>
      </c>
      <c r="O18" s="33" t="inlineStr">
        <is>
          <t>EVD-0007;EVD-0008</t>
        </is>
      </c>
      <c r="P18" s="33" t="inlineStr">
        <is>
          <t>GAP-004;GAP-005</t>
        </is>
      </c>
    </row>
    <row r="19">
      <c r="A19" s="33" t="inlineStr">
        <is>
          <t>RCP-0014</t>
        </is>
      </c>
      <c r="B19" s="33" t="inlineStr">
        <is>
          <t>VKM-002</t>
        </is>
      </c>
      <c r="C19" s="33" t="inlineStr">
        <is>
          <t>VKC-002</t>
        </is>
      </c>
      <c r="D19" s="33" t="inlineStr">
        <is>
          <t>VKT-002</t>
        </is>
      </c>
      <c r="E19" s="33" t="inlineStr">
        <is>
          <t>0.1.0-DRAFT</t>
        </is>
      </c>
      <c r="F19" s="33" t="inlineStr">
        <is>
          <t>ING-001</t>
        </is>
      </c>
      <c r="G19" s="33" t="inlineStr">
        <is>
          <t>Мука пшеничная хлебопекарная</t>
        </is>
      </c>
      <c r="H19" s="33" t="inlineStr">
        <is>
          <t>Тесто</t>
        </is>
      </c>
      <c r="I19" s="33" t="inlineStr">
        <is>
          <t>VSF-001</t>
        </is>
      </c>
      <c r="J19" s="33" t="n">
        <v>140</v>
      </c>
      <c r="K19" s="33" t="inlineStr">
        <is>
          <t>г</t>
        </is>
      </c>
      <c r="L19" s="33" t="n">
        <v>140</v>
      </c>
      <c r="M19" s="33" t="n">
        <v>130</v>
      </c>
      <c r="N19" s="33" t="inlineStr">
        <is>
          <t>ASSUMPTION</t>
        </is>
      </c>
      <c r="O19" s="33" t="inlineStr">
        <is>
          <t>EVD-0007;EVD-0008</t>
        </is>
      </c>
      <c r="P19" s="33" t="inlineStr">
        <is>
          <t>GAP-004;GAP-005</t>
        </is>
      </c>
    </row>
    <row r="20">
      <c r="A20" s="33" t="inlineStr">
        <is>
          <t>RCP-0015</t>
        </is>
      </c>
      <c r="B20" s="33" t="inlineStr">
        <is>
          <t>VKM-002</t>
        </is>
      </c>
      <c r="C20" s="33" t="inlineStr">
        <is>
          <t>VKC-002</t>
        </is>
      </c>
      <c r="D20" s="33" t="inlineStr">
        <is>
          <t>VKT-002</t>
        </is>
      </c>
      <c r="E20" s="33" t="inlineStr">
        <is>
          <t>0.1.0-DRAFT</t>
        </is>
      </c>
      <c r="F20" s="33" t="inlineStr">
        <is>
          <t>ING-002</t>
        </is>
      </c>
      <c r="G20" s="33" t="inlineStr">
        <is>
          <t>Вода питьевая</t>
        </is>
      </c>
      <c r="H20" s="33" t="inlineStr">
        <is>
          <t>Тесто</t>
        </is>
      </c>
      <c r="I20" s="33" t="inlineStr">
        <is>
          <t>VSF-001</t>
        </is>
      </c>
      <c r="J20" s="33" t="n">
        <v>85</v>
      </c>
      <c r="K20" s="33" t="inlineStr">
        <is>
          <t>г</t>
        </is>
      </c>
      <c r="L20" s="33" t="n">
        <v>85</v>
      </c>
      <c r="M20" s="33" t="n">
        <v>70</v>
      </c>
      <c r="N20" s="33" t="inlineStr">
        <is>
          <t>ASSUMPTION</t>
        </is>
      </c>
      <c r="O20" s="33" t="inlineStr">
        <is>
          <t>EVD-0007;EVD-0008</t>
        </is>
      </c>
      <c r="P20" s="33" t="inlineStr">
        <is>
          <t>GAP-004;GAP-005</t>
        </is>
      </c>
    </row>
    <row r="21">
      <c r="A21" s="33" t="inlineStr">
        <is>
          <t>RCP-0016</t>
        </is>
      </c>
      <c r="B21" s="33" t="inlineStr">
        <is>
          <t>VKM-002</t>
        </is>
      </c>
      <c r="C21" s="33" t="inlineStr">
        <is>
          <t>VKC-002</t>
        </is>
      </c>
      <c r="D21" s="33" t="inlineStr">
        <is>
          <t>VKT-002</t>
        </is>
      </c>
      <c r="E21" s="33" t="inlineStr">
        <is>
          <t>0.1.0-DRAFT</t>
        </is>
      </c>
      <c r="F21" s="33" t="inlineStr">
        <is>
          <t>ING-003</t>
        </is>
      </c>
      <c r="G21" s="33" t="inlineStr">
        <is>
          <t>Дрожжи хлебопекарные</t>
        </is>
      </c>
      <c r="H21" s="33" t="inlineStr">
        <is>
          <t>Тесто</t>
        </is>
      </c>
      <c r="I21" s="33" t="inlineStr">
        <is>
          <t>VSF-001</t>
        </is>
      </c>
      <c r="J21" s="33" t="n">
        <v>2</v>
      </c>
      <c r="K21" s="33" t="inlineStr">
        <is>
          <t>г</t>
        </is>
      </c>
      <c r="L21" s="33" t="n">
        <v>2</v>
      </c>
      <c r="M21" s="33" t="n">
        <v>2</v>
      </c>
      <c r="N21" s="33" t="inlineStr">
        <is>
          <t>ASSUMPTION</t>
        </is>
      </c>
      <c r="O21" s="33" t="inlineStr">
        <is>
          <t>EVD-0007;EVD-0008</t>
        </is>
      </c>
      <c r="P21" s="33" t="inlineStr">
        <is>
          <t>GAP-004;GAP-005</t>
        </is>
      </c>
    </row>
    <row r="22">
      <c r="A22" s="33" t="inlineStr">
        <is>
          <t>RCP-0017</t>
        </is>
      </c>
      <c r="B22" s="33" t="inlineStr">
        <is>
          <t>VKM-002</t>
        </is>
      </c>
      <c r="C22" s="33" t="inlineStr">
        <is>
          <t>VKC-002</t>
        </is>
      </c>
      <c r="D22" s="33" t="inlineStr">
        <is>
          <t>VKT-002</t>
        </is>
      </c>
      <c r="E22" s="33" t="inlineStr">
        <is>
          <t>0.1.0-DRAFT</t>
        </is>
      </c>
      <c r="F22" s="33" t="inlineStr">
        <is>
          <t>ING-004</t>
        </is>
      </c>
      <c r="G22" s="33" t="inlineStr">
        <is>
          <t>Соль пищевая</t>
        </is>
      </c>
      <c r="H22" s="33" t="inlineStr">
        <is>
          <t>Тесто</t>
        </is>
      </c>
      <c r="I22" s="33" t="inlineStr">
        <is>
          <t>VSF-001</t>
        </is>
      </c>
      <c r="J22" s="33" t="n">
        <v>3</v>
      </c>
      <c r="K22" s="33" t="inlineStr">
        <is>
          <t>г</t>
        </is>
      </c>
      <c r="L22" s="33" t="n">
        <v>3</v>
      </c>
      <c r="M22" s="33" t="n">
        <v>3</v>
      </c>
      <c r="N22" s="33" t="inlineStr">
        <is>
          <t>ASSUMPTION</t>
        </is>
      </c>
      <c r="O22" s="33" t="inlineStr">
        <is>
          <t>EVD-0007;EVD-0008</t>
        </is>
      </c>
      <c r="P22" s="33" t="inlineStr">
        <is>
          <t>GAP-004;GAP-005</t>
        </is>
      </c>
    </row>
    <row r="23">
      <c r="A23" s="33" t="inlineStr">
        <is>
          <t>RCP-0018</t>
        </is>
      </c>
      <c r="B23" s="33" t="inlineStr">
        <is>
          <t>VKM-002</t>
        </is>
      </c>
      <c r="C23" s="33" t="inlineStr">
        <is>
          <t>VKC-002</t>
        </is>
      </c>
      <c r="D23" s="33" t="inlineStr">
        <is>
          <t>VKT-002</t>
        </is>
      </c>
      <c r="E23" s="33" t="inlineStr">
        <is>
          <t>0.1.0-DRAFT</t>
        </is>
      </c>
      <c r="F23" s="33" t="inlineStr">
        <is>
          <t>ING-005</t>
        </is>
      </c>
      <c r="G23" s="33" t="inlineStr">
        <is>
          <t>Масло оливковое</t>
        </is>
      </c>
      <c r="H23" s="33" t="inlineStr">
        <is>
          <t>Тесто</t>
        </is>
      </c>
      <c r="I23" s="33" t="inlineStr">
        <is>
          <t>VSF-001</t>
        </is>
      </c>
      <c r="J23" s="33" t="n">
        <v>15</v>
      </c>
      <c r="K23" s="33" t="inlineStr">
        <is>
          <t>г</t>
        </is>
      </c>
      <c r="L23" s="33" t="n">
        <v>15</v>
      </c>
      <c r="M23" s="33" t="n">
        <v>15</v>
      </c>
      <c r="N23" s="33" t="inlineStr">
        <is>
          <t>ASSUMPTION</t>
        </is>
      </c>
      <c r="O23" s="33" t="inlineStr">
        <is>
          <t>EVD-0007;EVD-0008</t>
        </is>
      </c>
      <c r="P23" s="33" t="inlineStr">
        <is>
          <t>GAP-004;GAP-005</t>
        </is>
      </c>
    </row>
    <row r="24">
      <c r="A24" s="33" t="inlineStr">
        <is>
          <t>RCP-0019</t>
        </is>
      </c>
      <c r="B24" s="33" t="inlineStr">
        <is>
          <t>VKM-002</t>
        </is>
      </c>
      <c r="C24" s="33" t="inlineStr">
        <is>
          <t>VKC-002</t>
        </is>
      </c>
      <c r="D24" s="33" t="inlineStr">
        <is>
          <t>VKT-002</t>
        </is>
      </c>
      <c r="E24" s="33" t="inlineStr">
        <is>
          <t>0.1.0-DRAFT</t>
        </is>
      </c>
      <c r="F24" s="33" t="inlineStr">
        <is>
          <t>ING-006</t>
        </is>
      </c>
      <c r="G24" s="33" t="inlineStr">
        <is>
          <t>Томаты протёртые</t>
        </is>
      </c>
      <c r="H24" s="33" t="inlineStr">
        <is>
          <t>Соус</t>
        </is>
      </c>
      <c r="I24" s="33" t="inlineStr">
        <is>
          <t>VSF-002</t>
        </is>
      </c>
      <c r="J24" s="33" t="n">
        <v>45</v>
      </c>
      <c r="K24" s="33" t="inlineStr">
        <is>
          <t>г</t>
        </is>
      </c>
      <c r="L24" s="33" t="n">
        <v>45</v>
      </c>
      <c r="M24" s="33" t="n">
        <v>42</v>
      </c>
      <c r="N24" s="33" t="inlineStr">
        <is>
          <t>ASSUMPTION</t>
        </is>
      </c>
      <c r="O24" s="33" t="inlineStr">
        <is>
          <t>EVD-0007;EVD-0008</t>
        </is>
      </c>
      <c r="P24" s="33" t="inlineStr">
        <is>
          <t>GAP-004;GAP-005</t>
        </is>
      </c>
    </row>
    <row r="25">
      <c r="A25" s="33" t="inlineStr">
        <is>
          <t>RCP-0020</t>
        </is>
      </c>
      <c r="B25" s="33" t="inlineStr">
        <is>
          <t>VKM-002</t>
        </is>
      </c>
      <c r="C25" s="33" t="inlineStr">
        <is>
          <t>VKC-002</t>
        </is>
      </c>
      <c r="D25" s="33" t="inlineStr">
        <is>
          <t>VKT-002</t>
        </is>
      </c>
      <c r="E25" s="33" t="inlineStr">
        <is>
          <t>0.1.0-DRAFT</t>
        </is>
      </c>
      <c r="F25" s="33" t="inlineStr">
        <is>
          <t>ING-007</t>
        </is>
      </c>
      <c r="G25" s="33" t="inlineStr">
        <is>
          <t>Чеснок</t>
        </is>
      </c>
      <c r="H25" s="33" t="inlineStr">
        <is>
          <t>Соус</t>
        </is>
      </c>
      <c r="I25" s="33" t="inlineStr">
        <is>
          <t>VSF-002</t>
        </is>
      </c>
      <c r="J25" s="33" t="n">
        <v>2.2</v>
      </c>
      <c r="K25" s="33" t="inlineStr">
        <is>
          <t>г</t>
        </is>
      </c>
      <c r="L25" s="33" t="n">
        <v>2</v>
      </c>
      <c r="M25" s="33" t="n">
        <v>2</v>
      </c>
      <c r="N25" s="33" t="inlineStr">
        <is>
          <t>ASSUMPTION</t>
        </is>
      </c>
      <c r="O25" s="33" t="inlineStr">
        <is>
          <t>EVD-0007;EVD-0008</t>
        </is>
      </c>
      <c r="P25" s="33" t="inlineStr">
        <is>
          <t>GAP-004;GAP-005</t>
        </is>
      </c>
    </row>
    <row r="26">
      <c r="A26" s="33" t="inlineStr">
        <is>
          <t>RCP-0021</t>
        </is>
      </c>
      <c r="B26" s="33" t="inlineStr">
        <is>
          <t>VKM-002</t>
        </is>
      </c>
      <c r="C26" s="33" t="inlineStr">
        <is>
          <t>VKC-002</t>
        </is>
      </c>
      <c r="D26" s="33" t="inlineStr">
        <is>
          <t>VKT-002</t>
        </is>
      </c>
      <c r="E26" s="33" t="inlineStr">
        <is>
          <t>0.1.0-DRAFT</t>
        </is>
      </c>
      <c r="F26" s="33" t="inlineStr">
        <is>
          <t>ING-008</t>
        </is>
      </c>
      <c r="G26" s="33" t="inlineStr">
        <is>
          <t>Орегано</t>
        </is>
      </c>
      <c r="H26" s="33" t="inlineStr">
        <is>
          <t>Соус</t>
        </is>
      </c>
      <c r="I26" s="33" t="inlineStr">
        <is>
          <t>VSF-002</t>
        </is>
      </c>
      <c r="J26" s="33" t="n">
        <v>1</v>
      </c>
      <c r="K26" s="33" t="inlineStr">
        <is>
          <t>г</t>
        </is>
      </c>
      <c r="L26" s="33" t="n">
        <v>1</v>
      </c>
      <c r="M26" s="33" t="n">
        <v>1</v>
      </c>
      <c r="N26" s="33" t="inlineStr">
        <is>
          <t>ASSUMPTION</t>
        </is>
      </c>
      <c r="O26" s="33" t="inlineStr">
        <is>
          <t>EVD-0007;EVD-0008</t>
        </is>
      </c>
      <c r="P26" s="33" t="inlineStr">
        <is>
          <t>GAP-004;GAP-005</t>
        </is>
      </c>
    </row>
    <row r="27">
      <c r="A27" s="33" t="inlineStr">
        <is>
          <t>RCP-0022</t>
        </is>
      </c>
      <c r="B27" s="33" t="inlineStr">
        <is>
          <t>VKM-002</t>
        </is>
      </c>
      <c r="C27" s="33" t="inlineStr">
        <is>
          <t>VKC-002</t>
        </is>
      </c>
      <c r="D27" s="33" t="inlineStr">
        <is>
          <t>VKT-002</t>
        </is>
      </c>
      <c r="E27" s="33" t="inlineStr">
        <is>
          <t>0.1.0-DRAFT</t>
        </is>
      </c>
      <c r="F27" s="33" t="inlineStr">
        <is>
          <t>ING-005</t>
        </is>
      </c>
      <c r="G27" s="33" t="inlineStr">
        <is>
          <t>Масло оливковое</t>
        </is>
      </c>
      <c r="H27" s="33" t="inlineStr">
        <is>
          <t>Соус</t>
        </is>
      </c>
      <c r="I27" s="33" t="inlineStr">
        <is>
          <t>VSF-002</t>
        </is>
      </c>
      <c r="J27" s="33" t="n">
        <v>5</v>
      </c>
      <c r="K27" s="33" t="inlineStr">
        <is>
          <t>г</t>
        </is>
      </c>
      <c r="L27" s="33" t="n">
        <v>5</v>
      </c>
      <c r="M27" s="33" t="n">
        <v>5</v>
      </c>
      <c r="N27" s="33" t="inlineStr">
        <is>
          <t>ASSUMPTION</t>
        </is>
      </c>
      <c r="O27" s="33" t="inlineStr">
        <is>
          <t>EVD-0007;EVD-0008</t>
        </is>
      </c>
      <c r="P27" s="33" t="inlineStr">
        <is>
          <t>GAP-004;GAP-005</t>
        </is>
      </c>
    </row>
    <row r="28">
      <c r="A28" s="33" t="inlineStr">
        <is>
          <t>RCP-0023</t>
        </is>
      </c>
      <c r="B28" s="33" t="inlineStr">
        <is>
          <t>VKM-002</t>
        </is>
      </c>
      <c r="C28" s="33" t="inlineStr">
        <is>
          <t>VKC-002</t>
        </is>
      </c>
      <c r="D28" s="33" t="inlineStr">
        <is>
          <t>VKT-002</t>
        </is>
      </c>
      <c r="E28" s="33" t="inlineStr">
        <is>
          <t>0.1.0-DRAFT</t>
        </is>
      </c>
      <c r="F28" s="33" t="inlineStr">
        <is>
          <t>ING-009</t>
        </is>
      </c>
      <c r="G28" s="33" t="inlineStr">
        <is>
          <t>Моцарелла</t>
        </is>
      </c>
      <c r="H28" s="33" t="inlineStr">
        <is>
          <t>Сборка</t>
        </is>
      </c>
      <c r="I28" s="33" t="n"/>
      <c r="J28" s="33" t="n">
        <v>90</v>
      </c>
      <c r="K28" s="33" t="inlineStr">
        <is>
          <t>г</t>
        </is>
      </c>
      <c r="L28" s="33" t="n">
        <v>90</v>
      </c>
      <c r="M28" s="33" t="n">
        <v>90</v>
      </c>
      <c r="N28" s="33" t="inlineStr">
        <is>
          <t>ASSUMPTION</t>
        </is>
      </c>
      <c r="O28" s="33" t="inlineStr">
        <is>
          <t>EVD-0007;EVD-0008</t>
        </is>
      </c>
      <c r="P28" s="33" t="inlineStr">
        <is>
          <t>GAP-004;GAP-005</t>
        </is>
      </c>
    </row>
    <row r="29">
      <c r="A29" s="33" t="inlineStr">
        <is>
          <t>RCP-0024</t>
        </is>
      </c>
      <c r="B29" s="33" t="inlineStr">
        <is>
          <t>VKM-002</t>
        </is>
      </c>
      <c r="C29" s="33" t="inlineStr">
        <is>
          <t>VKC-002</t>
        </is>
      </c>
      <c r="D29" s="33" t="inlineStr">
        <is>
          <t>VKT-002</t>
        </is>
      </c>
      <c r="E29" s="33" t="inlineStr">
        <is>
          <t>0.1.0-DRAFT</t>
        </is>
      </c>
      <c r="F29" s="33" t="inlineStr">
        <is>
          <t>ING-012</t>
        </is>
      </c>
      <c r="G29" s="33" t="inlineStr">
        <is>
          <t>Горгонзола</t>
        </is>
      </c>
      <c r="H29" s="33" t="inlineStr">
        <is>
          <t>Сборка</t>
        </is>
      </c>
      <c r="I29" s="33" t="n"/>
      <c r="J29" s="33" t="n">
        <v>45</v>
      </c>
      <c r="K29" s="33" t="inlineStr">
        <is>
          <t>г</t>
        </is>
      </c>
      <c r="L29" s="33" t="n">
        <v>45</v>
      </c>
      <c r="M29" s="33" t="n">
        <v>45</v>
      </c>
      <c r="N29" s="33" t="inlineStr">
        <is>
          <t>ASSUMPTION</t>
        </is>
      </c>
      <c r="O29" s="33" t="inlineStr">
        <is>
          <t>EVD-0007;EVD-0008</t>
        </is>
      </c>
      <c r="P29" s="33" t="inlineStr">
        <is>
          <t>GAP-004;GAP-005</t>
        </is>
      </c>
    </row>
    <row r="30">
      <c r="A30" s="33" t="inlineStr">
        <is>
          <t>RCP-0025</t>
        </is>
      </c>
      <c r="B30" s="33" t="inlineStr">
        <is>
          <t>VKM-002</t>
        </is>
      </c>
      <c r="C30" s="33" t="inlineStr">
        <is>
          <t>VKC-002</t>
        </is>
      </c>
      <c r="D30" s="33" t="inlineStr">
        <is>
          <t>VKT-002</t>
        </is>
      </c>
      <c r="E30" s="33" t="inlineStr">
        <is>
          <t>0.1.0-DRAFT</t>
        </is>
      </c>
      <c r="F30" s="33" t="inlineStr">
        <is>
          <t>ING-010</t>
        </is>
      </c>
      <c r="G30" s="33" t="inlineStr">
        <is>
          <t>Пармезан</t>
        </is>
      </c>
      <c r="H30" s="33" t="inlineStr">
        <is>
          <t>Сборка</t>
        </is>
      </c>
      <c r="I30" s="33" t="n"/>
      <c r="J30" s="33" t="n">
        <v>35</v>
      </c>
      <c r="K30" s="33" t="inlineStr">
        <is>
          <t>г</t>
        </is>
      </c>
      <c r="L30" s="33" t="n">
        <v>35</v>
      </c>
      <c r="M30" s="33" t="n">
        <v>35</v>
      </c>
      <c r="N30" s="33" t="inlineStr">
        <is>
          <t>ASSUMPTION</t>
        </is>
      </c>
      <c r="O30" s="33" t="inlineStr">
        <is>
          <t>EVD-0007;EVD-0008</t>
        </is>
      </c>
      <c r="P30" s="33" t="inlineStr">
        <is>
          <t>GAP-004;GAP-005</t>
        </is>
      </c>
    </row>
    <row r="31">
      <c r="A31" s="33" t="inlineStr">
        <is>
          <t>RCP-0026</t>
        </is>
      </c>
      <c r="B31" s="33" t="inlineStr">
        <is>
          <t>VKM-002</t>
        </is>
      </c>
      <c r="C31" s="33" t="inlineStr">
        <is>
          <t>VKC-002</t>
        </is>
      </c>
      <c r="D31" s="33" t="inlineStr">
        <is>
          <t>VKT-002</t>
        </is>
      </c>
      <c r="E31" s="33" t="inlineStr">
        <is>
          <t>0.1.0-DRAFT</t>
        </is>
      </c>
      <c r="F31" s="33" t="inlineStr">
        <is>
          <t>ING-013</t>
        </is>
      </c>
      <c r="G31" s="33" t="inlineStr">
        <is>
          <t>Фонтина или иной четвёртый сыр</t>
        </is>
      </c>
      <c r="H31" s="33" t="inlineStr">
        <is>
          <t>Сборка</t>
        </is>
      </c>
      <c r="I31" s="33" t="n"/>
      <c r="J31" s="33" t="n">
        <v>30</v>
      </c>
      <c r="K31" s="33" t="inlineStr">
        <is>
          <t>г</t>
        </is>
      </c>
      <c r="L31" s="33" t="n">
        <v>30</v>
      </c>
      <c r="M31" s="33" t="n">
        <v>30</v>
      </c>
      <c r="N31" s="33" t="inlineStr">
        <is>
          <t>ASSUMPTION</t>
        </is>
      </c>
      <c r="O31" s="33" t="inlineStr">
        <is>
          <t>EVD-0007;EVD-0008</t>
        </is>
      </c>
      <c r="P31" s="33" t="inlineStr">
        <is>
          <t>GAP-004;GAP-005</t>
        </is>
      </c>
    </row>
    <row r="32">
      <c r="A32" s="33" t="inlineStr">
        <is>
          <t>RCP-0027</t>
        </is>
      </c>
      <c r="B32" s="33" t="inlineStr">
        <is>
          <t>VKM-002</t>
        </is>
      </c>
      <c r="C32" s="33" t="inlineStr">
        <is>
          <t>VKC-002</t>
        </is>
      </c>
      <c r="D32" s="33" t="inlineStr">
        <is>
          <t>VKT-002</t>
        </is>
      </c>
      <c r="E32" s="33" t="inlineStr">
        <is>
          <t>0.1.0-DRAFT</t>
        </is>
      </c>
      <c r="F32" s="33" t="inlineStr">
        <is>
          <t>ING-005</t>
        </is>
      </c>
      <c r="G32" s="33" t="inlineStr">
        <is>
          <t>Масло оливковое</t>
        </is>
      </c>
      <c r="H32" s="33" t="inlineStr">
        <is>
          <t>Финиш</t>
        </is>
      </c>
      <c r="I32" s="33" t="n"/>
      <c r="J32" s="33" t="n">
        <v>10</v>
      </c>
      <c r="K32" s="33" t="inlineStr">
        <is>
          <t>г</t>
        </is>
      </c>
      <c r="L32" s="33" t="n">
        <v>10</v>
      </c>
      <c r="M32" s="33" t="n">
        <v>10</v>
      </c>
      <c r="N32" s="33" t="inlineStr">
        <is>
          <t>ASSUMPTION</t>
        </is>
      </c>
      <c r="O32" s="33" t="inlineStr">
        <is>
          <t>EVD-0007;EVD-0008</t>
        </is>
      </c>
      <c r="P32" s="33" t="inlineStr">
        <is>
          <t>GAP-004;GAP-005</t>
        </is>
      </c>
    </row>
    <row r="33">
      <c r="A33" s="33" t="inlineStr">
        <is>
          <t>RCP-0028</t>
        </is>
      </c>
      <c r="B33" s="33" t="inlineStr">
        <is>
          <t>VKM-003</t>
        </is>
      </c>
      <c r="C33" s="33" t="inlineStr">
        <is>
          <t>VKC-003</t>
        </is>
      </c>
      <c r="D33" s="33" t="inlineStr">
        <is>
          <t>VKT-003</t>
        </is>
      </c>
      <c r="E33" s="33" t="inlineStr">
        <is>
          <t>0.1.0-DRAFT</t>
        </is>
      </c>
      <c r="F33" s="33" t="inlineStr">
        <is>
          <t>ING-001</t>
        </is>
      </c>
      <c r="G33" s="33" t="inlineStr">
        <is>
          <t>Мука пшеничная хлебопекарная</t>
        </is>
      </c>
      <c r="H33" s="33" t="inlineStr">
        <is>
          <t>Тесто</t>
        </is>
      </c>
      <c r="I33" s="33" t="inlineStr">
        <is>
          <t>VSF-001</t>
        </is>
      </c>
      <c r="J33" s="33" t="n">
        <v>140</v>
      </c>
      <c r="K33" s="33" t="inlineStr">
        <is>
          <t>г</t>
        </is>
      </c>
      <c r="L33" s="33" t="n">
        <v>140</v>
      </c>
      <c r="M33" s="33" t="n">
        <v>130</v>
      </c>
      <c r="N33" s="33" t="inlineStr">
        <is>
          <t>ASSUMPTION</t>
        </is>
      </c>
      <c r="O33" s="33" t="inlineStr">
        <is>
          <t>EVD-0007;EVD-0008</t>
        </is>
      </c>
      <c r="P33" s="33" t="inlineStr">
        <is>
          <t>GAP-004;GAP-005</t>
        </is>
      </c>
    </row>
    <row r="34">
      <c r="A34" s="33" t="inlineStr">
        <is>
          <t>RCP-0029</t>
        </is>
      </c>
      <c r="B34" s="33" t="inlineStr">
        <is>
          <t>VKM-003</t>
        </is>
      </c>
      <c r="C34" s="33" t="inlineStr">
        <is>
          <t>VKC-003</t>
        </is>
      </c>
      <c r="D34" s="33" t="inlineStr">
        <is>
          <t>VKT-003</t>
        </is>
      </c>
      <c r="E34" s="33" t="inlineStr">
        <is>
          <t>0.1.0-DRAFT</t>
        </is>
      </c>
      <c r="F34" s="33" t="inlineStr">
        <is>
          <t>ING-002</t>
        </is>
      </c>
      <c r="G34" s="33" t="inlineStr">
        <is>
          <t>Вода питьевая</t>
        </is>
      </c>
      <c r="H34" s="33" t="inlineStr">
        <is>
          <t>Тесто</t>
        </is>
      </c>
      <c r="I34" s="33" t="inlineStr">
        <is>
          <t>VSF-001</t>
        </is>
      </c>
      <c r="J34" s="33" t="n">
        <v>85</v>
      </c>
      <c r="K34" s="33" t="inlineStr">
        <is>
          <t>г</t>
        </is>
      </c>
      <c r="L34" s="33" t="n">
        <v>85</v>
      </c>
      <c r="M34" s="33" t="n">
        <v>70</v>
      </c>
      <c r="N34" s="33" t="inlineStr">
        <is>
          <t>ASSUMPTION</t>
        </is>
      </c>
      <c r="O34" s="33" t="inlineStr">
        <is>
          <t>EVD-0007;EVD-0008</t>
        </is>
      </c>
      <c r="P34" s="33" t="inlineStr">
        <is>
          <t>GAP-004;GAP-005</t>
        </is>
      </c>
    </row>
    <row r="35">
      <c r="A35" s="33" t="inlineStr">
        <is>
          <t>RCP-0030</t>
        </is>
      </c>
      <c r="B35" s="33" t="inlineStr">
        <is>
          <t>VKM-003</t>
        </is>
      </c>
      <c r="C35" s="33" t="inlineStr">
        <is>
          <t>VKC-003</t>
        </is>
      </c>
      <c r="D35" s="33" t="inlineStr">
        <is>
          <t>VKT-003</t>
        </is>
      </c>
      <c r="E35" s="33" t="inlineStr">
        <is>
          <t>0.1.0-DRAFT</t>
        </is>
      </c>
      <c r="F35" s="33" t="inlineStr">
        <is>
          <t>ING-003</t>
        </is>
      </c>
      <c r="G35" s="33" t="inlineStr">
        <is>
          <t>Дрожжи хлебопекарные</t>
        </is>
      </c>
      <c r="H35" s="33" t="inlineStr">
        <is>
          <t>Тесто</t>
        </is>
      </c>
      <c r="I35" s="33" t="inlineStr">
        <is>
          <t>VSF-001</t>
        </is>
      </c>
      <c r="J35" s="33" t="n">
        <v>2</v>
      </c>
      <c r="K35" s="33" t="inlineStr">
        <is>
          <t>г</t>
        </is>
      </c>
      <c r="L35" s="33" t="n">
        <v>2</v>
      </c>
      <c r="M35" s="33" t="n">
        <v>2</v>
      </c>
      <c r="N35" s="33" t="inlineStr">
        <is>
          <t>ASSUMPTION</t>
        </is>
      </c>
      <c r="O35" s="33" t="inlineStr">
        <is>
          <t>EVD-0007;EVD-0008</t>
        </is>
      </c>
      <c r="P35" s="33" t="inlineStr">
        <is>
          <t>GAP-004;GAP-005</t>
        </is>
      </c>
    </row>
    <row r="36">
      <c r="A36" s="33" t="inlineStr">
        <is>
          <t>RCP-0031</t>
        </is>
      </c>
      <c r="B36" s="33" t="inlineStr">
        <is>
          <t>VKM-003</t>
        </is>
      </c>
      <c r="C36" s="33" t="inlineStr">
        <is>
          <t>VKC-003</t>
        </is>
      </c>
      <c r="D36" s="33" t="inlineStr">
        <is>
          <t>VKT-003</t>
        </is>
      </c>
      <c r="E36" s="33" t="inlineStr">
        <is>
          <t>0.1.0-DRAFT</t>
        </is>
      </c>
      <c r="F36" s="33" t="inlineStr">
        <is>
          <t>ING-004</t>
        </is>
      </c>
      <c r="G36" s="33" t="inlineStr">
        <is>
          <t>Соль пищевая</t>
        </is>
      </c>
      <c r="H36" s="33" t="inlineStr">
        <is>
          <t>Тесто</t>
        </is>
      </c>
      <c r="I36" s="33" t="inlineStr">
        <is>
          <t>VSF-001</t>
        </is>
      </c>
      <c r="J36" s="33" t="n">
        <v>3</v>
      </c>
      <c r="K36" s="33" t="inlineStr">
        <is>
          <t>г</t>
        </is>
      </c>
      <c r="L36" s="33" t="n">
        <v>3</v>
      </c>
      <c r="M36" s="33" t="n">
        <v>3</v>
      </c>
      <c r="N36" s="33" t="inlineStr">
        <is>
          <t>ASSUMPTION</t>
        </is>
      </c>
      <c r="O36" s="33" t="inlineStr">
        <is>
          <t>EVD-0007;EVD-0008</t>
        </is>
      </c>
      <c r="P36" s="33" t="inlineStr">
        <is>
          <t>GAP-004;GAP-005</t>
        </is>
      </c>
    </row>
    <row r="37">
      <c r="A37" s="33" t="inlineStr">
        <is>
          <t>RCP-0032</t>
        </is>
      </c>
      <c r="B37" s="33" t="inlineStr">
        <is>
          <t>VKM-003</t>
        </is>
      </c>
      <c r="C37" s="33" t="inlineStr">
        <is>
          <t>VKC-003</t>
        </is>
      </c>
      <c r="D37" s="33" t="inlineStr">
        <is>
          <t>VKT-003</t>
        </is>
      </c>
      <c r="E37" s="33" t="inlineStr">
        <is>
          <t>0.1.0-DRAFT</t>
        </is>
      </c>
      <c r="F37" s="33" t="inlineStr">
        <is>
          <t>ING-005</t>
        </is>
      </c>
      <c r="G37" s="33" t="inlineStr">
        <is>
          <t>Масло оливковое</t>
        </is>
      </c>
      <c r="H37" s="33" t="inlineStr">
        <is>
          <t>Тесто</t>
        </is>
      </c>
      <c r="I37" s="33" t="inlineStr">
        <is>
          <t>VSF-001</t>
        </is>
      </c>
      <c r="J37" s="33" t="n">
        <v>15</v>
      </c>
      <c r="K37" s="33" t="inlineStr">
        <is>
          <t>г</t>
        </is>
      </c>
      <c r="L37" s="33" t="n">
        <v>15</v>
      </c>
      <c r="M37" s="33" t="n">
        <v>15</v>
      </c>
      <c r="N37" s="33" t="inlineStr">
        <is>
          <t>ASSUMPTION</t>
        </is>
      </c>
      <c r="O37" s="33" t="inlineStr">
        <is>
          <t>EVD-0007;EVD-0008</t>
        </is>
      </c>
      <c r="P37" s="33" t="inlineStr">
        <is>
          <t>GAP-004;GAP-005</t>
        </is>
      </c>
    </row>
    <row r="38">
      <c r="A38" s="33" t="inlineStr">
        <is>
          <t>RCP-0033</t>
        </is>
      </c>
      <c r="B38" s="33" t="inlineStr">
        <is>
          <t>VKM-003</t>
        </is>
      </c>
      <c r="C38" s="33" t="inlineStr">
        <is>
          <t>VKC-003</t>
        </is>
      </c>
      <c r="D38" s="33" t="inlineStr">
        <is>
          <t>VKT-003</t>
        </is>
      </c>
      <c r="E38" s="33" t="inlineStr">
        <is>
          <t>0.1.0-DRAFT</t>
        </is>
      </c>
      <c r="F38" s="33" t="inlineStr">
        <is>
          <t>ING-006</t>
        </is>
      </c>
      <c r="G38" s="33" t="inlineStr">
        <is>
          <t>Томаты протёртые</t>
        </is>
      </c>
      <c r="H38" s="33" t="inlineStr">
        <is>
          <t>Соус</t>
        </is>
      </c>
      <c r="I38" s="33" t="inlineStr">
        <is>
          <t>VSF-002</t>
        </is>
      </c>
      <c r="J38" s="33" t="n">
        <v>63</v>
      </c>
      <c r="K38" s="33" t="inlineStr">
        <is>
          <t>г</t>
        </is>
      </c>
      <c r="L38" s="33" t="n">
        <v>63</v>
      </c>
      <c r="M38" s="33" t="n">
        <v>60</v>
      </c>
      <c r="N38" s="33" t="inlineStr">
        <is>
          <t>ASSUMPTION</t>
        </is>
      </c>
      <c r="O38" s="33" t="inlineStr">
        <is>
          <t>EVD-0007;EVD-0008</t>
        </is>
      </c>
      <c r="P38" s="33" t="inlineStr">
        <is>
          <t>GAP-004;GAP-005</t>
        </is>
      </c>
    </row>
    <row r="39">
      <c r="A39" s="33" t="inlineStr">
        <is>
          <t>RCP-0034</t>
        </is>
      </c>
      <c r="B39" s="33" t="inlineStr">
        <is>
          <t>VKM-003</t>
        </is>
      </c>
      <c r="C39" s="33" t="inlineStr">
        <is>
          <t>VKC-003</t>
        </is>
      </c>
      <c r="D39" s="33" t="inlineStr">
        <is>
          <t>VKT-003</t>
        </is>
      </c>
      <c r="E39" s="33" t="inlineStr">
        <is>
          <t>0.1.0-DRAFT</t>
        </is>
      </c>
      <c r="F39" s="33" t="inlineStr">
        <is>
          <t>ING-007</t>
        </is>
      </c>
      <c r="G39" s="33" t="inlineStr">
        <is>
          <t>Чеснок</t>
        </is>
      </c>
      <c r="H39" s="33" t="inlineStr">
        <is>
          <t>Соус</t>
        </is>
      </c>
      <c r="I39" s="33" t="inlineStr">
        <is>
          <t>VSF-002</t>
        </is>
      </c>
      <c r="J39" s="33" t="n">
        <v>2.2</v>
      </c>
      <c r="K39" s="33" t="inlineStr">
        <is>
          <t>г</t>
        </is>
      </c>
      <c r="L39" s="33" t="n">
        <v>2</v>
      </c>
      <c r="M39" s="33" t="n">
        <v>2</v>
      </c>
      <c r="N39" s="33" t="inlineStr">
        <is>
          <t>ASSUMPTION</t>
        </is>
      </c>
      <c r="O39" s="33" t="inlineStr">
        <is>
          <t>EVD-0007;EVD-0008</t>
        </is>
      </c>
      <c r="P39" s="33" t="inlineStr">
        <is>
          <t>GAP-004;GAP-005</t>
        </is>
      </c>
    </row>
    <row r="40">
      <c r="A40" s="33" t="inlineStr">
        <is>
          <t>RCP-0035</t>
        </is>
      </c>
      <c r="B40" s="33" t="inlineStr">
        <is>
          <t>VKM-003</t>
        </is>
      </c>
      <c r="C40" s="33" t="inlineStr">
        <is>
          <t>VKC-003</t>
        </is>
      </c>
      <c r="D40" s="33" t="inlineStr">
        <is>
          <t>VKT-003</t>
        </is>
      </c>
      <c r="E40" s="33" t="inlineStr">
        <is>
          <t>0.1.0-DRAFT</t>
        </is>
      </c>
      <c r="F40" s="33" t="inlineStr">
        <is>
          <t>ING-008</t>
        </is>
      </c>
      <c r="G40" s="33" t="inlineStr">
        <is>
          <t>Орегано</t>
        </is>
      </c>
      <c r="H40" s="33" t="inlineStr">
        <is>
          <t>Соус</t>
        </is>
      </c>
      <c r="I40" s="33" t="inlineStr">
        <is>
          <t>VSF-002</t>
        </is>
      </c>
      <c r="J40" s="33" t="n">
        <v>1</v>
      </c>
      <c r="K40" s="33" t="inlineStr">
        <is>
          <t>г</t>
        </is>
      </c>
      <c r="L40" s="33" t="n">
        <v>1</v>
      </c>
      <c r="M40" s="33" t="n">
        <v>1</v>
      </c>
      <c r="N40" s="33" t="inlineStr">
        <is>
          <t>ASSUMPTION</t>
        </is>
      </c>
      <c r="O40" s="33" t="inlineStr">
        <is>
          <t>EVD-0007;EVD-0008</t>
        </is>
      </c>
      <c r="P40" s="33" t="inlineStr">
        <is>
          <t>GAP-004;GAP-005</t>
        </is>
      </c>
    </row>
    <row r="41">
      <c r="A41" s="33" t="inlineStr">
        <is>
          <t>RCP-0036</t>
        </is>
      </c>
      <c r="B41" s="33" t="inlineStr">
        <is>
          <t>VKM-003</t>
        </is>
      </c>
      <c r="C41" s="33" t="inlineStr">
        <is>
          <t>VKC-003</t>
        </is>
      </c>
      <c r="D41" s="33" t="inlineStr">
        <is>
          <t>VKT-003</t>
        </is>
      </c>
      <c r="E41" s="33" t="inlineStr">
        <is>
          <t>0.1.0-DRAFT</t>
        </is>
      </c>
      <c r="F41" s="33" t="inlineStr">
        <is>
          <t>ING-005</t>
        </is>
      </c>
      <c r="G41" s="33" t="inlineStr">
        <is>
          <t>Масло оливковое</t>
        </is>
      </c>
      <c r="H41" s="33" t="inlineStr">
        <is>
          <t>Соус</t>
        </is>
      </c>
      <c r="I41" s="33" t="inlineStr">
        <is>
          <t>VSF-002</t>
        </is>
      </c>
      <c r="J41" s="33" t="n">
        <v>7</v>
      </c>
      <c r="K41" s="33" t="inlineStr">
        <is>
          <t>г</t>
        </is>
      </c>
      <c r="L41" s="33" t="n">
        <v>7</v>
      </c>
      <c r="M41" s="33" t="n">
        <v>7</v>
      </c>
      <c r="N41" s="33" t="inlineStr">
        <is>
          <t>ASSUMPTION</t>
        </is>
      </c>
      <c r="O41" s="33" t="inlineStr">
        <is>
          <t>EVD-0007;EVD-0008</t>
        </is>
      </c>
      <c r="P41" s="33" t="inlineStr">
        <is>
          <t>GAP-004;GAP-005</t>
        </is>
      </c>
    </row>
    <row r="42">
      <c r="A42" s="33" t="inlineStr">
        <is>
          <t>RCP-0037</t>
        </is>
      </c>
      <c r="B42" s="33" t="inlineStr">
        <is>
          <t>VKM-003</t>
        </is>
      </c>
      <c r="C42" s="33" t="inlineStr">
        <is>
          <t>VKC-003</t>
        </is>
      </c>
      <c r="D42" s="33" t="inlineStr">
        <is>
          <t>VKT-003</t>
        </is>
      </c>
      <c r="E42" s="33" t="inlineStr">
        <is>
          <t>0.1.0-DRAFT</t>
        </is>
      </c>
      <c r="F42" s="33" t="inlineStr">
        <is>
          <t>ING-009</t>
        </is>
      </c>
      <c r="G42" s="33" t="inlineStr">
        <is>
          <t>Моцарелла</t>
        </is>
      </c>
      <c r="H42" s="33" t="inlineStr">
        <is>
          <t>Сборка</t>
        </is>
      </c>
      <c r="I42" s="33" t="n"/>
      <c r="J42" s="33" t="n">
        <v>90</v>
      </c>
      <c r="K42" s="33" t="inlineStr">
        <is>
          <t>г</t>
        </is>
      </c>
      <c r="L42" s="33" t="n">
        <v>90</v>
      </c>
      <c r="M42" s="33" t="n">
        <v>90</v>
      </c>
      <c r="N42" s="33" t="inlineStr">
        <is>
          <t>ASSUMPTION</t>
        </is>
      </c>
      <c r="O42" s="33" t="inlineStr">
        <is>
          <t>EVD-0007;EVD-0008</t>
        </is>
      </c>
      <c r="P42" s="33" t="inlineStr">
        <is>
          <t>GAP-004;GAP-005</t>
        </is>
      </c>
    </row>
    <row r="43">
      <c r="A43" s="33" t="inlineStr">
        <is>
          <t>RCP-0038</t>
        </is>
      </c>
      <c r="B43" s="33" t="inlineStr">
        <is>
          <t>VKM-003</t>
        </is>
      </c>
      <c r="C43" s="33" t="inlineStr">
        <is>
          <t>VKC-003</t>
        </is>
      </c>
      <c r="D43" s="33" t="inlineStr">
        <is>
          <t>VKT-003</t>
        </is>
      </c>
      <c r="E43" s="33" t="inlineStr">
        <is>
          <t>0.1.0-DRAFT</t>
        </is>
      </c>
      <c r="F43" s="33" t="inlineStr">
        <is>
          <t>ING-014</t>
        </is>
      </c>
      <c r="G43" s="33" t="inlineStr">
        <is>
          <t>Ветчина</t>
        </is>
      </c>
      <c r="H43" s="33" t="inlineStr">
        <is>
          <t>Сборка</t>
        </is>
      </c>
      <c r="I43" s="33" t="n"/>
      <c r="J43" s="33" t="n">
        <v>60</v>
      </c>
      <c r="K43" s="33" t="inlineStr">
        <is>
          <t>г</t>
        </is>
      </c>
      <c r="L43" s="33" t="n">
        <v>60</v>
      </c>
      <c r="M43" s="33" t="n">
        <v>60</v>
      </c>
      <c r="N43" s="33" t="inlineStr">
        <is>
          <t>ASSUMPTION</t>
        </is>
      </c>
      <c r="O43" s="33" t="inlineStr">
        <is>
          <t>EVD-0007;EVD-0008</t>
        </is>
      </c>
      <c r="P43" s="33" t="inlineStr">
        <is>
          <t>GAP-004;GAP-005</t>
        </is>
      </c>
    </row>
    <row r="44">
      <c r="A44" s="33" t="inlineStr">
        <is>
          <t>RCP-0039</t>
        </is>
      </c>
      <c r="B44" s="33" t="inlineStr">
        <is>
          <t>VKM-003</t>
        </is>
      </c>
      <c r="C44" s="33" t="inlineStr">
        <is>
          <t>VKC-003</t>
        </is>
      </c>
      <c r="D44" s="33" t="inlineStr">
        <is>
          <t>VKT-003</t>
        </is>
      </c>
      <c r="E44" s="33" t="inlineStr">
        <is>
          <t>0.1.0-DRAFT</t>
        </is>
      </c>
      <c r="F44" s="33" t="inlineStr">
        <is>
          <t>ING-015</t>
        </is>
      </c>
      <c r="G44" s="33" t="inlineStr">
        <is>
          <t>Шампиньоны</t>
        </is>
      </c>
      <c r="H44" s="33" t="inlineStr">
        <is>
          <t>Сборка</t>
        </is>
      </c>
      <c r="I44" s="33" t="n"/>
      <c r="J44" s="33" t="n">
        <v>50</v>
      </c>
      <c r="K44" s="33" t="inlineStr">
        <is>
          <t>г</t>
        </is>
      </c>
      <c r="L44" s="33" t="n">
        <v>48</v>
      </c>
      <c r="M44" s="33" t="n">
        <v>45</v>
      </c>
      <c r="N44" s="33" t="inlineStr">
        <is>
          <t>ASSUMPTION</t>
        </is>
      </c>
      <c r="O44" s="33" t="inlineStr">
        <is>
          <t>EVD-0007;EVD-0008</t>
        </is>
      </c>
      <c r="P44" s="33" t="inlineStr">
        <is>
          <t>GAP-004;GAP-005</t>
        </is>
      </c>
    </row>
    <row r="45">
      <c r="A45" s="33" t="inlineStr">
        <is>
          <t>RCP-0040</t>
        </is>
      </c>
      <c r="B45" s="33" t="inlineStr">
        <is>
          <t>VKM-003</t>
        </is>
      </c>
      <c r="C45" s="33" t="inlineStr">
        <is>
          <t>VKC-003</t>
        </is>
      </c>
      <c r="D45" s="33" t="inlineStr">
        <is>
          <t>VKT-003</t>
        </is>
      </c>
      <c r="E45" s="33" t="inlineStr">
        <is>
          <t>0.1.0-DRAFT</t>
        </is>
      </c>
      <c r="F45" s="33" t="inlineStr">
        <is>
          <t>ING-016</t>
        </is>
      </c>
      <c r="G45" s="33" t="inlineStr">
        <is>
          <t>Лук репчатый</t>
        </is>
      </c>
      <c r="H45" s="33" t="inlineStr">
        <is>
          <t>Сборка</t>
        </is>
      </c>
      <c r="I45" s="33" t="n"/>
      <c r="J45" s="33" t="n">
        <v>12</v>
      </c>
      <c r="K45" s="33" t="inlineStr">
        <is>
          <t>г</t>
        </is>
      </c>
      <c r="L45" s="33" t="n">
        <v>10</v>
      </c>
      <c r="M45" s="33" t="n">
        <v>10</v>
      </c>
      <c r="N45" s="33" t="inlineStr">
        <is>
          <t>ASSUMPTION</t>
        </is>
      </c>
      <c r="O45" s="33" t="inlineStr">
        <is>
          <t>EVD-0007;EVD-0008</t>
        </is>
      </c>
      <c r="P45" s="33" t="inlineStr">
        <is>
          <t>GAP-004;GAP-005</t>
        </is>
      </c>
    </row>
    <row r="46">
      <c r="A46" s="33" t="inlineStr">
        <is>
          <t>RCP-0041</t>
        </is>
      </c>
      <c r="B46" s="33" t="inlineStr">
        <is>
          <t>VKM-003</t>
        </is>
      </c>
      <c r="C46" s="33" t="inlineStr">
        <is>
          <t>VKC-003</t>
        </is>
      </c>
      <c r="D46" s="33" t="inlineStr">
        <is>
          <t>VKT-003</t>
        </is>
      </c>
      <c r="E46" s="33" t="inlineStr">
        <is>
          <t>0.1.0-DRAFT</t>
        </is>
      </c>
      <c r="F46" s="33" t="inlineStr">
        <is>
          <t>ING-005</t>
        </is>
      </c>
      <c r="G46" s="33" t="inlineStr">
        <is>
          <t>Масло оливковое</t>
        </is>
      </c>
      <c r="H46" s="33" t="inlineStr">
        <is>
          <t>Финиш</t>
        </is>
      </c>
      <c r="I46" s="33" t="n"/>
      <c r="J46" s="33" t="n">
        <v>5</v>
      </c>
      <c r="K46" s="33" t="inlineStr">
        <is>
          <t>г</t>
        </is>
      </c>
      <c r="L46" s="33" t="n">
        <v>5</v>
      </c>
      <c r="M46" s="33" t="n">
        <v>5</v>
      </c>
      <c r="N46" s="33" t="inlineStr">
        <is>
          <t>ASSUMPTION</t>
        </is>
      </c>
      <c r="O46" s="33" t="inlineStr">
        <is>
          <t>EVD-0007;EVD-0008</t>
        </is>
      </c>
      <c r="P46" s="33" t="inlineStr">
        <is>
          <t>GAP-004;GAP-005</t>
        </is>
      </c>
    </row>
    <row r="47">
      <c r="A47" s="33" t="inlineStr">
        <is>
          <t>RCP-0042</t>
        </is>
      </c>
      <c r="B47" s="33" t="inlineStr">
        <is>
          <t>VKM-004</t>
        </is>
      </c>
      <c r="C47" s="33" t="inlineStr">
        <is>
          <t>VKC-004</t>
        </is>
      </c>
      <c r="D47" s="33" t="inlineStr">
        <is>
          <t>VKT-004</t>
        </is>
      </c>
      <c r="E47" s="33" t="inlineStr">
        <is>
          <t>0.1.0-DRAFT</t>
        </is>
      </c>
      <c r="F47" s="33" t="inlineStr">
        <is>
          <t>ING-001</t>
        </is>
      </c>
      <c r="G47" s="33" t="inlineStr">
        <is>
          <t>Мука пшеничная хлебопекарная</t>
        </is>
      </c>
      <c r="H47" s="33" t="inlineStr">
        <is>
          <t>Тесто</t>
        </is>
      </c>
      <c r="I47" s="33" t="inlineStr">
        <is>
          <t>VSF-001</t>
        </is>
      </c>
      <c r="J47" s="33" t="n">
        <v>140</v>
      </c>
      <c r="K47" s="33" t="inlineStr">
        <is>
          <t>г</t>
        </is>
      </c>
      <c r="L47" s="33" t="n">
        <v>140</v>
      </c>
      <c r="M47" s="33" t="n">
        <v>130</v>
      </c>
      <c r="N47" s="33" t="inlineStr">
        <is>
          <t>ASSUMPTION</t>
        </is>
      </c>
      <c r="O47" s="33" t="inlineStr">
        <is>
          <t>EVD-0007;EVD-0008</t>
        </is>
      </c>
      <c r="P47" s="33" t="inlineStr">
        <is>
          <t>GAP-004;GAP-005</t>
        </is>
      </c>
    </row>
    <row r="48">
      <c r="A48" s="33" t="inlineStr">
        <is>
          <t>RCP-0043</t>
        </is>
      </c>
      <c r="B48" s="33" t="inlineStr">
        <is>
          <t>VKM-004</t>
        </is>
      </c>
      <c r="C48" s="33" t="inlineStr">
        <is>
          <t>VKC-004</t>
        </is>
      </c>
      <c r="D48" s="33" t="inlineStr">
        <is>
          <t>VKT-004</t>
        </is>
      </c>
      <c r="E48" s="33" t="inlineStr">
        <is>
          <t>0.1.0-DRAFT</t>
        </is>
      </c>
      <c r="F48" s="33" t="inlineStr">
        <is>
          <t>ING-002</t>
        </is>
      </c>
      <c r="G48" s="33" t="inlineStr">
        <is>
          <t>Вода питьевая</t>
        </is>
      </c>
      <c r="H48" s="33" t="inlineStr">
        <is>
          <t>Тесто</t>
        </is>
      </c>
      <c r="I48" s="33" t="inlineStr">
        <is>
          <t>VSF-001</t>
        </is>
      </c>
      <c r="J48" s="33" t="n">
        <v>85</v>
      </c>
      <c r="K48" s="33" t="inlineStr">
        <is>
          <t>г</t>
        </is>
      </c>
      <c r="L48" s="33" t="n">
        <v>85</v>
      </c>
      <c r="M48" s="33" t="n">
        <v>70</v>
      </c>
      <c r="N48" s="33" t="inlineStr">
        <is>
          <t>ASSUMPTION</t>
        </is>
      </c>
      <c r="O48" s="33" t="inlineStr">
        <is>
          <t>EVD-0007;EVD-0008</t>
        </is>
      </c>
      <c r="P48" s="33" t="inlineStr">
        <is>
          <t>GAP-004;GAP-005</t>
        </is>
      </c>
    </row>
    <row r="49">
      <c r="A49" s="33" t="inlineStr">
        <is>
          <t>RCP-0044</t>
        </is>
      </c>
      <c r="B49" s="33" t="inlineStr">
        <is>
          <t>VKM-004</t>
        </is>
      </c>
      <c r="C49" s="33" t="inlineStr">
        <is>
          <t>VKC-004</t>
        </is>
      </c>
      <c r="D49" s="33" t="inlineStr">
        <is>
          <t>VKT-004</t>
        </is>
      </c>
      <c r="E49" s="33" t="inlineStr">
        <is>
          <t>0.1.0-DRAFT</t>
        </is>
      </c>
      <c r="F49" s="33" t="inlineStr">
        <is>
          <t>ING-003</t>
        </is>
      </c>
      <c r="G49" s="33" t="inlineStr">
        <is>
          <t>Дрожжи хлебопекарные</t>
        </is>
      </c>
      <c r="H49" s="33" t="inlineStr">
        <is>
          <t>Тесто</t>
        </is>
      </c>
      <c r="I49" s="33" t="inlineStr">
        <is>
          <t>VSF-001</t>
        </is>
      </c>
      <c r="J49" s="33" t="n">
        <v>2</v>
      </c>
      <c r="K49" s="33" t="inlineStr">
        <is>
          <t>г</t>
        </is>
      </c>
      <c r="L49" s="33" t="n">
        <v>2</v>
      </c>
      <c r="M49" s="33" t="n">
        <v>2</v>
      </c>
      <c r="N49" s="33" t="inlineStr">
        <is>
          <t>ASSUMPTION</t>
        </is>
      </c>
      <c r="O49" s="33" t="inlineStr">
        <is>
          <t>EVD-0007;EVD-0008</t>
        </is>
      </c>
      <c r="P49" s="33" t="inlineStr">
        <is>
          <t>GAP-004;GAP-005</t>
        </is>
      </c>
    </row>
    <row r="50">
      <c r="A50" s="33" t="inlineStr">
        <is>
          <t>RCP-0045</t>
        </is>
      </c>
      <c r="B50" s="33" t="inlineStr">
        <is>
          <t>VKM-004</t>
        </is>
      </c>
      <c r="C50" s="33" t="inlineStr">
        <is>
          <t>VKC-004</t>
        </is>
      </c>
      <c r="D50" s="33" t="inlineStr">
        <is>
          <t>VKT-004</t>
        </is>
      </c>
      <c r="E50" s="33" t="inlineStr">
        <is>
          <t>0.1.0-DRAFT</t>
        </is>
      </c>
      <c r="F50" s="33" t="inlineStr">
        <is>
          <t>ING-004</t>
        </is>
      </c>
      <c r="G50" s="33" t="inlineStr">
        <is>
          <t>Соль пищевая</t>
        </is>
      </c>
      <c r="H50" s="33" t="inlineStr">
        <is>
          <t>Тесто</t>
        </is>
      </c>
      <c r="I50" s="33" t="inlineStr">
        <is>
          <t>VSF-001</t>
        </is>
      </c>
      <c r="J50" s="33" t="n">
        <v>3</v>
      </c>
      <c r="K50" s="33" t="inlineStr">
        <is>
          <t>г</t>
        </is>
      </c>
      <c r="L50" s="33" t="n">
        <v>3</v>
      </c>
      <c r="M50" s="33" t="n">
        <v>3</v>
      </c>
      <c r="N50" s="33" t="inlineStr">
        <is>
          <t>ASSUMPTION</t>
        </is>
      </c>
      <c r="O50" s="33" t="inlineStr">
        <is>
          <t>EVD-0007;EVD-0008</t>
        </is>
      </c>
      <c r="P50" s="33" t="inlineStr">
        <is>
          <t>GAP-004;GAP-005</t>
        </is>
      </c>
    </row>
    <row r="51">
      <c r="A51" s="33" t="inlineStr">
        <is>
          <t>RCP-0046</t>
        </is>
      </c>
      <c r="B51" s="33" t="inlineStr">
        <is>
          <t>VKM-004</t>
        </is>
      </c>
      <c r="C51" s="33" t="inlineStr">
        <is>
          <t>VKC-004</t>
        </is>
      </c>
      <c r="D51" s="33" t="inlineStr">
        <is>
          <t>VKT-004</t>
        </is>
      </c>
      <c r="E51" s="33" t="inlineStr">
        <is>
          <t>0.1.0-DRAFT</t>
        </is>
      </c>
      <c r="F51" s="33" t="inlineStr">
        <is>
          <t>ING-005</t>
        </is>
      </c>
      <c r="G51" s="33" t="inlineStr">
        <is>
          <t>Масло оливковое</t>
        </is>
      </c>
      <c r="H51" s="33" t="inlineStr">
        <is>
          <t>Тесто</t>
        </is>
      </c>
      <c r="I51" s="33" t="inlineStr">
        <is>
          <t>VSF-001</t>
        </is>
      </c>
      <c r="J51" s="33" t="n">
        <v>15</v>
      </c>
      <c r="K51" s="33" t="inlineStr">
        <is>
          <t>г</t>
        </is>
      </c>
      <c r="L51" s="33" t="n">
        <v>15</v>
      </c>
      <c r="M51" s="33" t="n">
        <v>15</v>
      </c>
      <c r="N51" s="33" t="inlineStr">
        <is>
          <t>ASSUMPTION</t>
        </is>
      </c>
      <c r="O51" s="33" t="inlineStr">
        <is>
          <t>EVD-0007;EVD-0008</t>
        </is>
      </c>
      <c r="P51" s="33" t="inlineStr">
        <is>
          <t>GAP-004;GAP-005</t>
        </is>
      </c>
    </row>
    <row r="52">
      <c r="A52" s="33" t="inlineStr">
        <is>
          <t>RCP-0047</t>
        </is>
      </c>
      <c r="B52" s="33" t="inlineStr">
        <is>
          <t>VKM-004</t>
        </is>
      </c>
      <c r="C52" s="33" t="inlineStr">
        <is>
          <t>VKC-004</t>
        </is>
      </c>
      <c r="D52" s="33" t="inlineStr">
        <is>
          <t>VKT-004</t>
        </is>
      </c>
      <c r="E52" s="33" t="inlineStr">
        <is>
          <t>0.1.0-DRAFT</t>
        </is>
      </c>
      <c r="F52" s="33" t="inlineStr">
        <is>
          <t>ING-006</t>
        </is>
      </c>
      <c r="G52" s="33" t="inlineStr">
        <is>
          <t>Томаты протёртые</t>
        </is>
      </c>
      <c r="H52" s="33" t="inlineStr">
        <is>
          <t>Соус</t>
        </is>
      </c>
      <c r="I52" s="33" t="inlineStr">
        <is>
          <t>VSF-002</t>
        </is>
      </c>
      <c r="J52" s="33" t="n">
        <v>63</v>
      </c>
      <c r="K52" s="33" t="inlineStr">
        <is>
          <t>г</t>
        </is>
      </c>
      <c r="L52" s="33" t="n">
        <v>63</v>
      </c>
      <c r="M52" s="33" t="n">
        <v>60</v>
      </c>
      <c r="N52" s="33" t="inlineStr">
        <is>
          <t>ASSUMPTION</t>
        </is>
      </c>
      <c r="O52" s="33" t="inlineStr">
        <is>
          <t>EVD-0007;EVD-0008</t>
        </is>
      </c>
      <c r="P52" s="33" t="inlineStr">
        <is>
          <t>GAP-004;GAP-005</t>
        </is>
      </c>
    </row>
    <row r="53">
      <c r="A53" s="33" t="inlineStr">
        <is>
          <t>RCP-0048</t>
        </is>
      </c>
      <c r="B53" s="33" t="inlineStr">
        <is>
          <t>VKM-004</t>
        </is>
      </c>
      <c r="C53" s="33" t="inlineStr">
        <is>
          <t>VKC-004</t>
        </is>
      </c>
      <c r="D53" s="33" t="inlineStr">
        <is>
          <t>VKT-004</t>
        </is>
      </c>
      <c r="E53" s="33" t="inlineStr">
        <is>
          <t>0.1.0-DRAFT</t>
        </is>
      </c>
      <c r="F53" s="33" t="inlineStr">
        <is>
          <t>ING-007</t>
        </is>
      </c>
      <c r="G53" s="33" t="inlineStr">
        <is>
          <t>Чеснок</t>
        </is>
      </c>
      <c r="H53" s="33" t="inlineStr">
        <is>
          <t>Соус</t>
        </is>
      </c>
      <c r="I53" s="33" t="inlineStr">
        <is>
          <t>VSF-002</t>
        </is>
      </c>
      <c r="J53" s="33" t="n">
        <v>2.2</v>
      </c>
      <c r="K53" s="33" t="inlineStr">
        <is>
          <t>г</t>
        </is>
      </c>
      <c r="L53" s="33" t="n">
        <v>2</v>
      </c>
      <c r="M53" s="33" t="n">
        <v>2</v>
      </c>
      <c r="N53" s="33" t="inlineStr">
        <is>
          <t>ASSUMPTION</t>
        </is>
      </c>
      <c r="O53" s="33" t="inlineStr">
        <is>
          <t>EVD-0007;EVD-0008</t>
        </is>
      </c>
      <c r="P53" s="33" t="inlineStr">
        <is>
          <t>GAP-004;GAP-005</t>
        </is>
      </c>
    </row>
    <row r="54">
      <c r="A54" s="33" t="inlineStr">
        <is>
          <t>RCP-0049</t>
        </is>
      </c>
      <c r="B54" s="33" t="inlineStr">
        <is>
          <t>VKM-004</t>
        </is>
      </c>
      <c r="C54" s="33" t="inlineStr">
        <is>
          <t>VKC-004</t>
        </is>
      </c>
      <c r="D54" s="33" t="inlineStr">
        <is>
          <t>VKT-004</t>
        </is>
      </c>
      <c r="E54" s="33" t="inlineStr">
        <is>
          <t>0.1.0-DRAFT</t>
        </is>
      </c>
      <c r="F54" s="33" t="inlineStr">
        <is>
          <t>ING-008</t>
        </is>
      </c>
      <c r="G54" s="33" t="inlineStr">
        <is>
          <t>Орегано</t>
        </is>
      </c>
      <c r="H54" s="33" t="inlineStr">
        <is>
          <t>Соус</t>
        </is>
      </c>
      <c r="I54" s="33" t="inlineStr">
        <is>
          <t>VSF-002</t>
        </is>
      </c>
      <c r="J54" s="33" t="n">
        <v>1</v>
      </c>
      <c r="K54" s="33" t="inlineStr">
        <is>
          <t>г</t>
        </is>
      </c>
      <c r="L54" s="33" t="n">
        <v>1</v>
      </c>
      <c r="M54" s="33" t="n">
        <v>1</v>
      </c>
      <c r="N54" s="33" t="inlineStr">
        <is>
          <t>ASSUMPTION</t>
        </is>
      </c>
      <c r="O54" s="33" t="inlineStr">
        <is>
          <t>EVD-0007;EVD-0008</t>
        </is>
      </c>
      <c r="P54" s="33" t="inlineStr">
        <is>
          <t>GAP-004;GAP-005</t>
        </is>
      </c>
    </row>
    <row r="55">
      <c r="A55" s="33" t="inlineStr">
        <is>
          <t>RCP-0050</t>
        </is>
      </c>
      <c r="B55" s="33" t="inlineStr">
        <is>
          <t>VKM-004</t>
        </is>
      </c>
      <c r="C55" s="33" t="inlineStr">
        <is>
          <t>VKC-004</t>
        </is>
      </c>
      <c r="D55" s="33" t="inlineStr">
        <is>
          <t>VKT-004</t>
        </is>
      </c>
      <c r="E55" s="33" t="inlineStr">
        <is>
          <t>0.1.0-DRAFT</t>
        </is>
      </c>
      <c r="F55" s="33" t="inlineStr">
        <is>
          <t>ING-005</t>
        </is>
      </c>
      <c r="G55" s="33" t="inlineStr">
        <is>
          <t>Масло оливковое</t>
        </is>
      </c>
      <c r="H55" s="33" t="inlineStr">
        <is>
          <t>Соус</t>
        </is>
      </c>
      <c r="I55" s="33" t="inlineStr">
        <is>
          <t>VSF-002</t>
        </is>
      </c>
      <c r="J55" s="33" t="n">
        <v>7</v>
      </c>
      <c r="K55" s="33" t="inlineStr">
        <is>
          <t>г</t>
        </is>
      </c>
      <c r="L55" s="33" t="n">
        <v>7</v>
      </c>
      <c r="M55" s="33" t="n">
        <v>7</v>
      </c>
      <c r="N55" s="33" t="inlineStr">
        <is>
          <t>ASSUMPTION</t>
        </is>
      </c>
      <c r="O55" s="33" t="inlineStr">
        <is>
          <t>EVD-0007;EVD-0008</t>
        </is>
      </c>
      <c r="P55" s="33" t="inlineStr">
        <is>
          <t>GAP-004;GAP-005</t>
        </is>
      </c>
    </row>
    <row r="56">
      <c r="A56" s="33" t="inlineStr">
        <is>
          <t>RCP-0051</t>
        </is>
      </c>
      <c r="B56" s="33" t="inlineStr">
        <is>
          <t>VKM-004</t>
        </is>
      </c>
      <c r="C56" s="33" t="inlineStr">
        <is>
          <t>VKC-004</t>
        </is>
      </c>
      <c r="D56" s="33" t="inlineStr">
        <is>
          <t>VKT-004</t>
        </is>
      </c>
      <c r="E56" s="33" t="inlineStr">
        <is>
          <t>0.1.0-DRAFT</t>
        </is>
      </c>
      <c r="F56" s="33" t="inlineStr">
        <is>
          <t>ING-009</t>
        </is>
      </c>
      <c r="G56" s="33" t="inlineStr">
        <is>
          <t>Моцарелла</t>
        </is>
      </c>
      <c r="H56" s="33" t="inlineStr">
        <is>
          <t>Сборка</t>
        </is>
      </c>
      <c r="I56" s="33" t="n"/>
      <c r="J56" s="33" t="n">
        <v>110</v>
      </c>
      <c r="K56" s="33" t="inlineStr">
        <is>
          <t>г</t>
        </is>
      </c>
      <c r="L56" s="33" t="n">
        <v>110</v>
      </c>
      <c r="M56" s="33" t="n">
        <v>110</v>
      </c>
      <c r="N56" s="33" t="inlineStr">
        <is>
          <t>ASSUMPTION</t>
        </is>
      </c>
      <c r="O56" s="33" t="inlineStr">
        <is>
          <t>EVD-0007;EVD-0008</t>
        </is>
      </c>
      <c r="P56" s="33" t="inlineStr">
        <is>
          <t>GAP-004;GAP-005</t>
        </is>
      </c>
    </row>
    <row r="57">
      <c r="A57" s="33" t="inlineStr">
        <is>
          <t>RCP-0052</t>
        </is>
      </c>
      <c r="B57" s="33" t="inlineStr">
        <is>
          <t>VKM-004</t>
        </is>
      </c>
      <c r="C57" s="33" t="inlineStr">
        <is>
          <t>VKC-004</t>
        </is>
      </c>
      <c r="D57" s="33" t="inlineStr">
        <is>
          <t>VKT-004</t>
        </is>
      </c>
      <c r="E57" s="33" t="inlineStr">
        <is>
          <t>0.1.0-DRAFT</t>
        </is>
      </c>
      <c r="F57" s="33" t="inlineStr">
        <is>
          <t>ING-017</t>
        </is>
      </c>
      <c r="G57" s="33" t="inlineStr">
        <is>
          <t>Пепперони</t>
        </is>
      </c>
      <c r="H57" s="33" t="inlineStr">
        <is>
          <t>Сборка</t>
        </is>
      </c>
      <c r="I57" s="33" t="n"/>
      <c r="J57" s="33" t="n">
        <v>90</v>
      </c>
      <c r="K57" s="33" t="inlineStr">
        <is>
          <t>г</t>
        </is>
      </c>
      <c r="L57" s="33" t="n">
        <v>90</v>
      </c>
      <c r="M57" s="33" t="n">
        <v>90</v>
      </c>
      <c r="N57" s="33" t="inlineStr">
        <is>
          <t>ASSUMPTION</t>
        </is>
      </c>
      <c r="O57" s="33" t="inlineStr">
        <is>
          <t>EVD-0007;EVD-0008</t>
        </is>
      </c>
      <c r="P57" s="33" t="inlineStr">
        <is>
          <t>GAP-004;GAP-005</t>
        </is>
      </c>
    </row>
    <row r="58">
      <c r="A58" s="33" t="inlineStr">
        <is>
          <t>RCP-0053</t>
        </is>
      </c>
      <c r="B58" s="33" t="inlineStr">
        <is>
          <t>VKM-004</t>
        </is>
      </c>
      <c r="C58" s="33" t="inlineStr">
        <is>
          <t>VKC-004</t>
        </is>
      </c>
      <c r="D58" s="33" t="inlineStr">
        <is>
          <t>VKT-004</t>
        </is>
      </c>
      <c r="E58" s="33" t="inlineStr">
        <is>
          <t>0.1.0-DRAFT</t>
        </is>
      </c>
      <c r="F58" s="33" t="inlineStr">
        <is>
          <t>ING-005</t>
        </is>
      </c>
      <c r="G58" s="33" t="inlineStr">
        <is>
          <t>Масло оливковое</t>
        </is>
      </c>
      <c r="H58" s="33" t="inlineStr">
        <is>
          <t>Финиш</t>
        </is>
      </c>
      <c r="I58" s="33" t="n"/>
      <c r="J58" s="33" t="n">
        <v>10</v>
      </c>
      <c r="K58" s="33" t="inlineStr">
        <is>
          <t>г</t>
        </is>
      </c>
      <c r="L58" s="33" t="n">
        <v>10</v>
      </c>
      <c r="M58" s="33" t="n">
        <v>10</v>
      </c>
      <c r="N58" s="33" t="inlineStr">
        <is>
          <t>ASSUMPTION</t>
        </is>
      </c>
      <c r="O58" s="33" t="inlineStr">
        <is>
          <t>EVD-0007;EVD-0008</t>
        </is>
      </c>
      <c r="P58" s="33" t="inlineStr">
        <is>
          <t>GAP-004;GAP-005</t>
        </is>
      </c>
    </row>
    <row r="59">
      <c r="A59" s="33" t="inlineStr">
        <is>
          <t>RCP-0054</t>
        </is>
      </c>
      <c r="B59" s="33" t="inlineStr">
        <is>
          <t>VKM-005</t>
        </is>
      </c>
      <c r="C59" s="33" t="inlineStr">
        <is>
          <t>VKC-005</t>
        </is>
      </c>
      <c r="D59" s="33" t="inlineStr">
        <is>
          <t>VKT-005</t>
        </is>
      </c>
      <c r="E59" s="33" t="inlineStr">
        <is>
          <t>0.1.0-DRAFT</t>
        </is>
      </c>
      <c r="F59" s="33" t="inlineStr">
        <is>
          <t>ING-001</t>
        </is>
      </c>
      <c r="G59" s="33" t="inlineStr">
        <is>
          <t>Мука пшеничная хлебопекарная</t>
        </is>
      </c>
      <c r="H59" s="33" t="inlineStr">
        <is>
          <t>Тесто</t>
        </is>
      </c>
      <c r="I59" s="33" t="inlineStr">
        <is>
          <t>VSF-003</t>
        </is>
      </c>
      <c r="J59" s="33" t="n">
        <v>60</v>
      </c>
      <c r="K59" s="33" t="inlineStr">
        <is>
          <t>г</t>
        </is>
      </c>
      <c r="L59" s="33" t="n">
        <v>60</v>
      </c>
      <c r="M59" s="33" t="n">
        <v>55</v>
      </c>
      <c r="N59" s="33" t="inlineStr">
        <is>
          <t>ASSUMPTION</t>
        </is>
      </c>
      <c r="O59" s="33" t="inlineStr">
        <is>
          <t>EVD-0007;EVD-0008</t>
        </is>
      </c>
      <c r="P59" s="33" t="inlineStr">
        <is>
          <t>GAP-004;GAP-005</t>
        </is>
      </c>
    </row>
    <row r="60">
      <c r="A60" s="33" t="inlineStr">
        <is>
          <t>RCP-0055</t>
        </is>
      </c>
      <c r="B60" s="33" t="inlineStr">
        <is>
          <t>VKM-005</t>
        </is>
      </c>
      <c r="C60" s="33" t="inlineStr">
        <is>
          <t>VKC-005</t>
        </is>
      </c>
      <c r="D60" s="33" t="inlineStr">
        <is>
          <t>VKT-005</t>
        </is>
      </c>
      <c r="E60" s="33" t="inlineStr">
        <is>
          <t>0.1.0-DRAFT</t>
        </is>
      </c>
      <c r="F60" s="33" t="inlineStr">
        <is>
          <t>ING-002</t>
        </is>
      </c>
      <c r="G60" s="33" t="inlineStr">
        <is>
          <t>Вода питьевая</t>
        </is>
      </c>
      <c r="H60" s="33" t="inlineStr">
        <is>
          <t>Тесто</t>
        </is>
      </c>
      <c r="I60" s="33" t="inlineStr">
        <is>
          <t>VSF-003</t>
        </is>
      </c>
      <c r="J60" s="33" t="n">
        <v>40</v>
      </c>
      <c r="K60" s="33" t="inlineStr">
        <is>
          <t>г</t>
        </is>
      </c>
      <c r="L60" s="33" t="n">
        <v>40</v>
      </c>
      <c r="M60" s="33" t="n">
        <v>34</v>
      </c>
      <c r="N60" s="33" t="inlineStr">
        <is>
          <t>ASSUMPTION</t>
        </is>
      </c>
      <c r="O60" s="33" t="inlineStr">
        <is>
          <t>EVD-0007;EVD-0008</t>
        </is>
      </c>
      <c r="P60" s="33" t="inlineStr">
        <is>
          <t>GAP-004;GAP-005</t>
        </is>
      </c>
    </row>
    <row r="61">
      <c r="A61" s="33" t="inlineStr">
        <is>
          <t>RCP-0056</t>
        </is>
      </c>
      <c r="B61" s="33" t="inlineStr">
        <is>
          <t>VKM-005</t>
        </is>
      </c>
      <c r="C61" s="33" t="inlineStr">
        <is>
          <t>VKC-005</t>
        </is>
      </c>
      <c r="D61" s="33" t="inlineStr">
        <is>
          <t>VKT-005</t>
        </is>
      </c>
      <c r="E61" s="33" t="inlineStr">
        <is>
          <t>0.1.0-DRAFT</t>
        </is>
      </c>
      <c r="F61" s="33" t="inlineStr">
        <is>
          <t>ING-003</t>
        </is>
      </c>
      <c r="G61" s="33" t="inlineStr">
        <is>
          <t>Дрожжи хлебопекарные</t>
        </is>
      </c>
      <c r="H61" s="33" t="inlineStr">
        <is>
          <t>Тесто</t>
        </is>
      </c>
      <c r="I61" s="33" t="inlineStr">
        <is>
          <t>VSF-003</t>
        </is>
      </c>
      <c r="J61" s="33" t="n">
        <v>1</v>
      </c>
      <c r="K61" s="33" t="inlineStr">
        <is>
          <t>г</t>
        </is>
      </c>
      <c r="L61" s="33" t="n">
        <v>1</v>
      </c>
      <c r="M61" s="33" t="n">
        <v>1</v>
      </c>
      <c r="N61" s="33" t="inlineStr">
        <is>
          <t>ASSUMPTION</t>
        </is>
      </c>
      <c r="O61" s="33" t="inlineStr">
        <is>
          <t>EVD-0007;EVD-0008</t>
        </is>
      </c>
      <c r="P61" s="33" t="inlineStr">
        <is>
          <t>GAP-004;GAP-005</t>
        </is>
      </c>
    </row>
    <row r="62">
      <c r="A62" s="33" t="inlineStr">
        <is>
          <t>RCP-0057</t>
        </is>
      </c>
      <c r="B62" s="33" t="inlineStr">
        <is>
          <t>VKM-005</t>
        </is>
      </c>
      <c r="C62" s="33" t="inlineStr">
        <is>
          <t>VKC-005</t>
        </is>
      </c>
      <c r="D62" s="33" t="inlineStr">
        <is>
          <t>VKT-005</t>
        </is>
      </c>
      <c r="E62" s="33" t="inlineStr">
        <is>
          <t>0.1.0-DRAFT</t>
        </is>
      </c>
      <c r="F62" s="33" t="inlineStr">
        <is>
          <t>ING-004</t>
        </is>
      </c>
      <c r="G62" s="33" t="inlineStr">
        <is>
          <t>Соль пищевая</t>
        </is>
      </c>
      <c r="H62" s="33" t="inlineStr">
        <is>
          <t>Тесто</t>
        </is>
      </c>
      <c r="I62" s="33" t="inlineStr">
        <is>
          <t>VSF-003</t>
        </is>
      </c>
      <c r="J62" s="33" t="n">
        <v>2</v>
      </c>
      <c r="K62" s="33" t="inlineStr">
        <is>
          <t>г</t>
        </is>
      </c>
      <c r="L62" s="33" t="n">
        <v>2</v>
      </c>
      <c r="M62" s="33" t="n">
        <v>2</v>
      </c>
      <c r="N62" s="33" t="inlineStr">
        <is>
          <t>ASSUMPTION</t>
        </is>
      </c>
      <c r="O62" s="33" t="inlineStr">
        <is>
          <t>EVD-0007;EVD-0008</t>
        </is>
      </c>
      <c r="P62" s="33" t="inlineStr">
        <is>
          <t>GAP-004;GAP-005</t>
        </is>
      </c>
    </row>
    <row r="63">
      <c r="A63" s="33" t="inlineStr">
        <is>
          <t>RCP-0058</t>
        </is>
      </c>
      <c r="B63" s="33" t="inlineStr">
        <is>
          <t>VKM-005</t>
        </is>
      </c>
      <c r="C63" s="33" t="inlineStr">
        <is>
          <t>VKC-005</t>
        </is>
      </c>
      <c r="D63" s="33" t="inlineStr">
        <is>
          <t>VKT-005</t>
        </is>
      </c>
      <c r="E63" s="33" t="inlineStr">
        <is>
          <t>0.1.0-DRAFT</t>
        </is>
      </c>
      <c r="F63" s="33" t="inlineStr">
        <is>
          <t>ING-005</t>
        </is>
      </c>
      <c r="G63" s="33" t="inlineStr">
        <is>
          <t>Масло оливковое</t>
        </is>
      </c>
      <c r="H63" s="33" t="inlineStr">
        <is>
          <t>Тесто</t>
        </is>
      </c>
      <c r="I63" s="33" t="inlineStr">
        <is>
          <t>VSF-003</t>
        </is>
      </c>
      <c r="J63" s="33" t="n">
        <v>8</v>
      </c>
      <c r="K63" s="33" t="inlineStr">
        <is>
          <t>г</t>
        </is>
      </c>
      <c r="L63" s="33" t="n">
        <v>8</v>
      </c>
      <c r="M63" s="33" t="n">
        <v>8</v>
      </c>
      <c r="N63" s="33" t="inlineStr">
        <is>
          <t>ASSUMPTION</t>
        </is>
      </c>
      <c r="O63" s="33" t="inlineStr">
        <is>
          <t>EVD-0007;EVD-0008</t>
        </is>
      </c>
      <c r="P63" s="33" t="inlineStr">
        <is>
          <t>GAP-004;GAP-005</t>
        </is>
      </c>
    </row>
    <row r="64">
      <c r="A64" s="33" t="inlineStr">
        <is>
          <t>RCP-0059</t>
        </is>
      </c>
      <c r="B64" s="33" t="inlineStr">
        <is>
          <t>VKM-006</t>
        </is>
      </c>
      <c r="C64" s="33" t="inlineStr">
        <is>
          <t>VKC-006</t>
        </is>
      </c>
      <c r="D64" s="33" t="inlineStr">
        <is>
          <t>VKT-006</t>
        </is>
      </c>
      <c r="E64" s="33" t="inlineStr">
        <is>
          <t>0.1.0-DRAFT</t>
        </is>
      </c>
      <c r="F64" s="33" t="inlineStr">
        <is>
          <t>ING-001</t>
        </is>
      </c>
      <c r="G64" s="33" t="inlineStr">
        <is>
          <t>Мука пшеничная хлебопекарная</t>
        </is>
      </c>
      <c r="H64" s="33" t="inlineStr">
        <is>
          <t>Тесто</t>
        </is>
      </c>
      <c r="I64" s="33" t="inlineStr">
        <is>
          <t>VSF-004</t>
        </is>
      </c>
      <c r="J64" s="33" t="n">
        <v>55</v>
      </c>
      <c r="K64" s="33" t="inlineStr">
        <is>
          <t>г</t>
        </is>
      </c>
      <c r="L64" s="33" t="n">
        <v>55</v>
      </c>
      <c r="M64" s="33" t="n">
        <v>50</v>
      </c>
      <c r="N64" s="33" t="inlineStr">
        <is>
          <t>ASSUMPTION</t>
        </is>
      </c>
      <c r="O64" s="33" t="inlineStr">
        <is>
          <t>EVD-0007;EVD-0008</t>
        </is>
      </c>
      <c r="P64" s="33" t="inlineStr">
        <is>
          <t>GAP-004;GAP-005</t>
        </is>
      </c>
    </row>
    <row r="65">
      <c r="A65" s="33" t="inlineStr">
        <is>
          <t>RCP-0060</t>
        </is>
      </c>
      <c r="B65" s="33" t="inlineStr">
        <is>
          <t>VKM-006</t>
        </is>
      </c>
      <c r="C65" s="33" t="inlineStr">
        <is>
          <t>VKC-006</t>
        </is>
      </c>
      <c r="D65" s="33" t="inlineStr">
        <is>
          <t>VKT-006</t>
        </is>
      </c>
      <c r="E65" s="33" t="inlineStr">
        <is>
          <t>0.1.0-DRAFT</t>
        </is>
      </c>
      <c r="F65" s="33" t="inlineStr">
        <is>
          <t>ING-002</t>
        </is>
      </c>
      <c r="G65" s="33" t="inlineStr">
        <is>
          <t>Вода питьевая</t>
        </is>
      </c>
      <c r="H65" s="33" t="inlineStr">
        <is>
          <t>Тесто</t>
        </is>
      </c>
      <c r="I65" s="33" t="inlineStr">
        <is>
          <t>VSF-004</t>
        </is>
      </c>
      <c r="J65" s="33" t="n">
        <v>31</v>
      </c>
      <c r="K65" s="33" t="inlineStr">
        <is>
          <t>г</t>
        </is>
      </c>
      <c r="L65" s="33" t="n">
        <v>31</v>
      </c>
      <c r="M65" s="33" t="n">
        <v>25</v>
      </c>
      <c r="N65" s="33" t="inlineStr">
        <is>
          <t>ASSUMPTION</t>
        </is>
      </c>
      <c r="O65" s="33" t="inlineStr">
        <is>
          <t>EVD-0007;EVD-0008</t>
        </is>
      </c>
      <c r="P65" s="33" t="inlineStr">
        <is>
          <t>GAP-004;GAP-005</t>
        </is>
      </c>
    </row>
    <row r="66">
      <c r="A66" s="33" t="inlineStr">
        <is>
          <t>RCP-0061</t>
        </is>
      </c>
      <c r="B66" s="33" t="inlineStr">
        <is>
          <t>VKM-006</t>
        </is>
      </c>
      <c r="C66" s="33" t="inlineStr">
        <is>
          <t>VKC-006</t>
        </is>
      </c>
      <c r="D66" s="33" t="inlineStr">
        <is>
          <t>VKT-006</t>
        </is>
      </c>
      <c r="E66" s="33" t="inlineStr">
        <is>
          <t>0.1.0-DRAFT</t>
        </is>
      </c>
      <c r="F66" s="33" t="inlineStr">
        <is>
          <t>ING-018</t>
        </is>
      </c>
      <c r="G66" s="33" t="inlineStr">
        <is>
          <t>Пюре томатное</t>
        </is>
      </c>
      <c r="H66" s="33" t="inlineStr">
        <is>
          <t>Тесто</t>
        </is>
      </c>
      <c r="I66" s="33" t="inlineStr">
        <is>
          <t>VSF-004</t>
        </is>
      </c>
      <c r="J66" s="33" t="n">
        <v>13</v>
      </c>
      <c r="K66" s="33" t="inlineStr">
        <is>
          <t>г</t>
        </is>
      </c>
      <c r="L66" s="33" t="n">
        <v>13</v>
      </c>
      <c r="M66" s="33" t="n">
        <v>12</v>
      </c>
      <c r="N66" s="33" t="inlineStr">
        <is>
          <t>ASSUMPTION</t>
        </is>
      </c>
      <c r="O66" s="33" t="inlineStr">
        <is>
          <t>EVD-0007;EVD-0008</t>
        </is>
      </c>
      <c r="P66" s="33" t="inlineStr">
        <is>
          <t>GAP-004;GAP-005</t>
        </is>
      </c>
    </row>
    <row r="67">
      <c r="A67" s="33" t="inlineStr">
        <is>
          <t>RCP-0062</t>
        </is>
      </c>
      <c r="B67" s="33" t="inlineStr">
        <is>
          <t>VKM-006</t>
        </is>
      </c>
      <c r="C67" s="33" t="inlineStr">
        <is>
          <t>VKC-006</t>
        </is>
      </c>
      <c r="D67" s="33" t="inlineStr">
        <is>
          <t>VKT-006</t>
        </is>
      </c>
      <c r="E67" s="33" t="inlineStr">
        <is>
          <t>0.1.0-DRAFT</t>
        </is>
      </c>
      <c r="F67" s="33" t="inlineStr">
        <is>
          <t>ING-019</t>
        </is>
      </c>
      <c r="G67" s="33" t="inlineStr">
        <is>
          <t>Томаты вяленые</t>
        </is>
      </c>
      <c r="H67" s="33" t="inlineStr">
        <is>
          <t>Тесто</t>
        </is>
      </c>
      <c r="I67" s="33" t="inlineStr">
        <is>
          <t>VSF-004</t>
        </is>
      </c>
      <c r="J67" s="33" t="n">
        <v>8</v>
      </c>
      <c r="K67" s="33" t="inlineStr">
        <is>
          <t>г</t>
        </is>
      </c>
      <c r="L67" s="33" t="n">
        <v>8</v>
      </c>
      <c r="M67" s="33" t="n">
        <v>8</v>
      </c>
      <c r="N67" s="33" t="inlineStr">
        <is>
          <t>ASSUMPTION</t>
        </is>
      </c>
      <c r="O67" s="33" t="inlineStr">
        <is>
          <t>EVD-0007;EVD-0008</t>
        </is>
      </c>
      <c r="P67" s="33" t="inlineStr">
        <is>
          <t>GAP-004;GAP-005</t>
        </is>
      </c>
    </row>
    <row r="68">
      <c r="A68" s="33" t="inlineStr">
        <is>
          <t>RCP-0063</t>
        </is>
      </c>
      <c r="B68" s="33" t="inlineStr">
        <is>
          <t>VKM-006</t>
        </is>
      </c>
      <c r="C68" s="33" t="inlineStr">
        <is>
          <t>VKC-006</t>
        </is>
      </c>
      <c r="D68" s="33" t="inlineStr">
        <is>
          <t>VKT-006</t>
        </is>
      </c>
      <c r="E68" s="33" t="inlineStr">
        <is>
          <t>0.1.0-DRAFT</t>
        </is>
      </c>
      <c r="F68" s="33" t="inlineStr">
        <is>
          <t>ING-005</t>
        </is>
      </c>
      <c r="G68" s="33" t="inlineStr">
        <is>
          <t>Масло оливковое</t>
        </is>
      </c>
      <c r="H68" s="33" t="inlineStr">
        <is>
          <t>Тесто</t>
        </is>
      </c>
      <c r="I68" s="33" t="inlineStr">
        <is>
          <t>VSF-004</t>
        </is>
      </c>
      <c r="J68" s="33" t="n">
        <v>3</v>
      </c>
      <c r="K68" s="33" t="inlineStr">
        <is>
          <t>г</t>
        </is>
      </c>
      <c r="L68" s="33" t="n">
        <v>3</v>
      </c>
      <c r="M68" s="33" t="n">
        <v>3</v>
      </c>
      <c r="N68" s="33" t="inlineStr">
        <is>
          <t>ASSUMPTION</t>
        </is>
      </c>
      <c r="O68" s="33" t="inlineStr">
        <is>
          <t>EVD-0007;EVD-0008</t>
        </is>
      </c>
      <c r="P68" s="33" t="inlineStr">
        <is>
          <t>GAP-004;GAP-005</t>
        </is>
      </c>
    </row>
    <row r="69">
      <c r="A69" s="33" t="inlineStr">
        <is>
          <t>RCP-0064</t>
        </is>
      </c>
      <c r="B69" s="33" t="inlineStr">
        <is>
          <t>VKM-006</t>
        </is>
      </c>
      <c r="C69" s="33" t="inlineStr">
        <is>
          <t>VKC-006</t>
        </is>
      </c>
      <c r="D69" s="33" t="inlineStr">
        <is>
          <t>VKT-006</t>
        </is>
      </c>
      <c r="E69" s="33" t="inlineStr">
        <is>
          <t>0.1.0-DRAFT</t>
        </is>
      </c>
      <c r="F69" s="33" t="inlineStr">
        <is>
          <t>ING-003</t>
        </is>
      </c>
      <c r="G69" s="33" t="inlineStr">
        <is>
          <t>Дрожжи хлебопекарные</t>
        </is>
      </c>
      <c r="H69" s="33" t="inlineStr">
        <is>
          <t>Тесто</t>
        </is>
      </c>
      <c r="I69" s="33" t="inlineStr">
        <is>
          <t>VSF-004</t>
        </is>
      </c>
      <c r="J69" s="33" t="n">
        <v>1</v>
      </c>
      <c r="K69" s="33" t="inlineStr">
        <is>
          <t>г</t>
        </is>
      </c>
      <c r="L69" s="33" t="n">
        <v>1</v>
      </c>
      <c r="M69" s="33" t="n">
        <v>1</v>
      </c>
      <c r="N69" s="33" t="inlineStr">
        <is>
          <t>ASSUMPTION</t>
        </is>
      </c>
      <c r="O69" s="33" t="inlineStr">
        <is>
          <t>EVD-0007;EVD-0008</t>
        </is>
      </c>
      <c r="P69" s="33" t="inlineStr">
        <is>
          <t>GAP-004;GAP-005</t>
        </is>
      </c>
    </row>
    <row r="70">
      <c r="A70" s="33" t="inlineStr">
        <is>
          <t>RCP-0065</t>
        </is>
      </c>
      <c r="B70" s="33" t="inlineStr">
        <is>
          <t>VKM-006</t>
        </is>
      </c>
      <c r="C70" s="33" t="inlineStr">
        <is>
          <t>VKC-006</t>
        </is>
      </c>
      <c r="D70" s="33" t="inlineStr">
        <is>
          <t>VKT-006</t>
        </is>
      </c>
      <c r="E70" s="33" t="inlineStr">
        <is>
          <t>0.1.0-DRAFT</t>
        </is>
      </c>
      <c r="F70" s="33" t="inlineStr">
        <is>
          <t>ING-004</t>
        </is>
      </c>
      <c r="G70" s="33" t="inlineStr">
        <is>
          <t>Соль пищевая</t>
        </is>
      </c>
      <c r="H70" s="33" t="inlineStr">
        <is>
          <t>Тесто</t>
        </is>
      </c>
      <c r="I70" s="33" t="inlineStr">
        <is>
          <t>VSF-004</t>
        </is>
      </c>
      <c r="J70" s="33" t="n">
        <v>1</v>
      </c>
      <c r="K70" s="33" t="inlineStr">
        <is>
          <t>г</t>
        </is>
      </c>
      <c r="L70" s="33" t="n">
        <v>1</v>
      </c>
      <c r="M70" s="33" t="n">
        <v>1</v>
      </c>
      <c r="N70" s="33" t="inlineStr">
        <is>
          <t>ASSUMPTION</t>
        </is>
      </c>
      <c r="O70" s="33" t="inlineStr">
        <is>
          <t>EVD-0007;EVD-0008</t>
        </is>
      </c>
      <c r="P70" s="33" t="inlineStr">
        <is>
          <t>GAP-004;GAP-005</t>
        </is>
      </c>
    </row>
    <row r="71">
      <c r="A71" s="33" t="inlineStr">
        <is>
          <t>RCP-0066</t>
        </is>
      </c>
      <c r="B71" s="33" t="inlineStr">
        <is>
          <t>VKM-007</t>
        </is>
      </c>
      <c r="C71" s="33" t="inlineStr">
        <is>
          <t>VKC-007</t>
        </is>
      </c>
      <c r="D71" s="33" t="inlineStr">
        <is>
          <t>VKT-007</t>
        </is>
      </c>
      <c r="E71" s="33" t="inlineStr">
        <is>
          <t>0.1.0-DRAFT</t>
        </is>
      </c>
      <c r="F71" s="33" t="inlineStr">
        <is>
          <t>ING-020</t>
        </is>
      </c>
      <c r="G71" s="33" t="inlineStr">
        <is>
          <t>Мука ржаная</t>
        </is>
      </c>
      <c r="H71" s="33" t="inlineStr">
        <is>
          <t>Тесто</t>
        </is>
      </c>
      <c r="I71" s="33" t="inlineStr">
        <is>
          <t>VSF-005</t>
        </is>
      </c>
      <c r="J71" s="33" t="n">
        <v>150</v>
      </c>
      <c r="K71" s="33" t="inlineStr">
        <is>
          <t>г</t>
        </is>
      </c>
      <c r="L71" s="33" t="n">
        <v>150</v>
      </c>
      <c r="M71" s="33" t="n">
        <v>140</v>
      </c>
      <c r="N71" s="33" t="inlineStr">
        <is>
          <t>ASSUMPTION</t>
        </is>
      </c>
      <c r="O71" s="33" t="inlineStr">
        <is>
          <t>EVD-0007;EVD-0008</t>
        </is>
      </c>
      <c r="P71" s="33" t="inlineStr">
        <is>
          <t>GAP-004;GAP-005</t>
        </is>
      </c>
    </row>
    <row r="72">
      <c r="A72" s="33" t="inlineStr">
        <is>
          <t>RCP-0067</t>
        </is>
      </c>
      <c r="B72" s="33" t="inlineStr">
        <is>
          <t>VKM-007</t>
        </is>
      </c>
      <c r="C72" s="33" t="inlineStr">
        <is>
          <t>VKC-007</t>
        </is>
      </c>
      <c r="D72" s="33" t="inlineStr">
        <is>
          <t>VKT-007</t>
        </is>
      </c>
      <c r="E72" s="33" t="inlineStr">
        <is>
          <t>0.1.0-DRAFT</t>
        </is>
      </c>
      <c r="F72" s="33" t="inlineStr">
        <is>
          <t>ING-001</t>
        </is>
      </c>
      <c r="G72" s="33" t="inlineStr">
        <is>
          <t>Мука пшеничная хлебопекарная</t>
        </is>
      </c>
      <c r="H72" s="33" t="inlineStr">
        <is>
          <t>Тесто</t>
        </is>
      </c>
      <c r="I72" s="33" t="inlineStr">
        <is>
          <t>VSF-005</t>
        </is>
      </c>
      <c r="J72" s="33" t="n">
        <v>75</v>
      </c>
      <c r="K72" s="33" t="inlineStr">
        <is>
          <t>г</t>
        </is>
      </c>
      <c r="L72" s="33" t="n">
        <v>75</v>
      </c>
      <c r="M72" s="33" t="n">
        <v>70</v>
      </c>
      <c r="N72" s="33" t="inlineStr">
        <is>
          <t>ASSUMPTION</t>
        </is>
      </c>
      <c r="O72" s="33" t="inlineStr">
        <is>
          <t>EVD-0007;EVD-0008</t>
        </is>
      </c>
      <c r="P72" s="33" t="inlineStr">
        <is>
          <t>GAP-004;GAP-005</t>
        </is>
      </c>
    </row>
    <row r="73">
      <c r="A73" s="33" t="inlineStr">
        <is>
          <t>RCP-0068</t>
        </is>
      </c>
      <c r="B73" s="33" t="inlineStr">
        <is>
          <t>VKM-007</t>
        </is>
      </c>
      <c r="C73" s="33" t="inlineStr">
        <is>
          <t>VKC-007</t>
        </is>
      </c>
      <c r="D73" s="33" t="inlineStr">
        <is>
          <t>VKT-007</t>
        </is>
      </c>
      <c r="E73" s="33" t="inlineStr">
        <is>
          <t>0.1.0-DRAFT</t>
        </is>
      </c>
      <c r="F73" s="33" t="inlineStr">
        <is>
          <t>ING-002</t>
        </is>
      </c>
      <c r="G73" s="33" t="inlineStr">
        <is>
          <t>Вода питьевая</t>
        </is>
      </c>
      <c r="H73" s="33" t="inlineStr">
        <is>
          <t>Тесто</t>
        </is>
      </c>
      <c r="I73" s="33" t="inlineStr">
        <is>
          <t>VSF-005</t>
        </is>
      </c>
      <c r="J73" s="33" t="n">
        <v>125</v>
      </c>
      <c r="K73" s="33" t="inlineStr">
        <is>
          <t>г</t>
        </is>
      </c>
      <c r="L73" s="33" t="n">
        <v>125</v>
      </c>
      <c r="M73" s="33" t="n">
        <v>95</v>
      </c>
      <c r="N73" s="33" t="inlineStr">
        <is>
          <t>ASSUMPTION</t>
        </is>
      </c>
      <c r="O73" s="33" t="inlineStr">
        <is>
          <t>EVD-0007;EVD-0008</t>
        </is>
      </c>
      <c r="P73" s="33" t="inlineStr">
        <is>
          <t>GAP-004;GAP-005</t>
        </is>
      </c>
    </row>
    <row r="74">
      <c r="A74" s="33" t="inlineStr">
        <is>
          <t>RCP-0069</t>
        </is>
      </c>
      <c r="B74" s="33" t="inlineStr">
        <is>
          <t>VKM-007</t>
        </is>
      </c>
      <c r="C74" s="33" t="inlineStr">
        <is>
          <t>VKC-007</t>
        </is>
      </c>
      <c r="D74" s="33" t="inlineStr">
        <is>
          <t>VKT-007</t>
        </is>
      </c>
      <c r="E74" s="33" t="inlineStr">
        <is>
          <t>0.1.0-DRAFT</t>
        </is>
      </c>
      <c r="F74" s="33" t="inlineStr">
        <is>
          <t>ING-021</t>
        </is>
      </c>
      <c r="G74" s="33" t="inlineStr">
        <is>
          <t>Солод ржаной</t>
        </is>
      </c>
      <c r="H74" s="33" t="inlineStr">
        <is>
          <t>Заварка</t>
        </is>
      </c>
      <c r="I74" s="33" t="inlineStr">
        <is>
          <t>VSF-005</t>
        </is>
      </c>
      <c r="J74" s="33" t="n">
        <v>20</v>
      </c>
      <c r="K74" s="33" t="inlineStr">
        <is>
          <t>г</t>
        </is>
      </c>
      <c r="L74" s="33" t="n">
        <v>20</v>
      </c>
      <c r="M74" s="33" t="n">
        <v>20</v>
      </c>
      <c r="N74" s="33" t="inlineStr">
        <is>
          <t>ASSUMPTION</t>
        </is>
      </c>
      <c r="O74" s="33" t="inlineStr">
        <is>
          <t>EVD-0007;EVD-0008</t>
        </is>
      </c>
      <c r="P74" s="33" t="inlineStr">
        <is>
          <t>GAP-004;GAP-005</t>
        </is>
      </c>
    </row>
    <row r="75">
      <c r="A75" s="33" t="inlineStr">
        <is>
          <t>RCP-0070</t>
        </is>
      </c>
      <c r="B75" s="33" t="inlineStr">
        <is>
          <t>VKM-007</t>
        </is>
      </c>
      <c r="C75" s="33" t="inlineStr">
        <is>
          <t>VKC-007</t>
        </is>
      </c>
      <c r="D75" s="33" t="inlineStr">
        <is>
          <t>VKT-007</t>
        </is>
      </c>
      <c r="E75" s="33" t="inlineStr">
        <is>
          <t>0.1.0-DRAFT</t>
        </is>
      </c>
      <c r="F75" s="33" t="inlineStr">
        <is>
          <t>ING-022</t>
        </is>
      </c>
      <c r="G75" s="33" t="inlineStr">
        <is>
          <t>Патока</t>
        </is>
      </c>
      <c r="H75" s="33" t="inlineStr">
        <is>
          <t>Тесто</t>
        </is>
      </c>
      <c r="I75" s="33" t="inlineStr">
        <is>
          <t>VSF-005</t>
        </is>
      </c>
      <c r="J75" s="33" t="n">
        <v>10</v>
      </c>
      <c r="K75" s="33" t="inlineStr">
        <is>
          <t>г</t>
        </is>
      </c>
      <c r="L75" s="33" t="n">
        <v>10</v>
      </c>
      <c r="M75" s="33" t="n">
        <v>10</v>
      </c>
      <c r="N75" s="33" t="inlineStr">
        <is>
          <t>ASSUMPTION</t>
        </is>
      </c>
      <c r="O75" s="33" t="inlineStr">
        <is>
          <t>EVD-0007;EVD-0008</t>
        </is>
      </c>
      <c r="P75" s="33" t="inlineStr">
        <is>
          <t>GAP-004;GAP-005</t>
        </is>
      </c>
    </row>
    <row r="76">
      <c r="A76" s="33" t="inlineStr">
        <is>
          <t>RCP-0071</t>
        </is>
      </c>
      <c r="B76" s="33" t="inlineStr">
        <is>
          <t>VKM-007</t>
        </is>
      </c>
      <c r="C76" s="33" t="inlineStr">
        <is>
          <t>VKC-007</t>
        </is>
      </c>
      <c r="D76" s="33" t="inlineStr">
        <is>
          <t>VKT-007</t>
        </is>
      </c>
      <c r="E76" s="33" t="inlineStr">
        <is>
          <t>0.1.0-DRAFT</t>
        </is>
      </c>
      <c r="F76" s="33" t="inlineStr">
        <is>
          <t>ING-023</t>
        </is>
      </c>
      <c r="G76" s="33" t="inlineStr">
        <is>
          <t>Кориандр</t>
        </is>
      </c>
      <c r="H76" s="33" t="inlineStr">
        <is>
          <t>Тесто/посыпка</t>
        </is>
      </c>
      <c r="I76" s="33" t="inlineStr">
        <is>
          <t>VSF-005</t>
        </is>
      </c>
      <c r="J76" s="33" t="n">
        <v>4</v>
      </c>
      <c r="K76" s="33" t="inlineStr">
        <is>
          <t>г</t>
        </is>
      </c>
      <c r="L76" s="33" t="n">
        <v>4</v>
      </c>
      <c r="M76" s="33" t="n">
        <v>4</v>
      </c>
      <c r="N76" s="33" t="inlineStr">
        <is>
          <t>ASSUMPTION</t>
        </is>
      </c>
      <c r="O76" s="33" t="inlineStr">
        <is>
          <t>EVD-0007;EVD-0008</t>
        </is>
      </c>
      <c r="P76" s="33" t="inlineStr">
        <is>
          <t>GAP-004;GAP-005</t>
        </is>
      </c>
    </row>
    <row r="77">
      <c r="A77" s="33" t="inlineStr">
        <is>
          <t>RCP-0072</t>
        </is>
      </c>
      <c r="B77" s="33" t="inlineStr">
        <is>
          <t>VKM-007</t>
        </is>
      </c>
      <c r="C77" s="33" t="inlineStr">
        <is>
          <t>VKC-007</t>
        </is>
      </c>
      <c r="D77" s="33" t="inlineStr">
        <is>
          <t>VKT-007</t>
        </is>
      </c>
      <c r="E77" s="33" t="inlineStr">
        <is>
          <t>0.1.0-DRAFT</t>
        </is>
      </c>
      <c r="F77" s="33" t="inlineStr">
        <is>
          <t>ING-003</t>
        </is>
      </c>
      <c r="G77" s="33" t="inlineStr">
        <is>
          <t>Дрожжи хлебопекарные</t>
        </is>
      </c>
      <c r="H77" s="33" t="inlineStr">
        <is>
          <t>Тесто</t>
        </is>
      </c>
      <c r="I77" s="33" t="inlineStr">
        <is>
          <t>VSF-005</t>
        </is>
      </c>
      <c r="J77" s="33" t="n">
        <v>3</v>
      </c>
      <c r="K77" s="33" t="inlineStr">
        <is>
          <t>г</t>
        </is>
      </c>
      <c r="L77" s="33" t="n">
        <v>3</v>
      </c>
      <c r="M77" s="33" t="n">
        <v>3</v>
      </c>
      <c r="N77" s="33" t="inlineStr">
        <is>
          <t>ASSUMPTION</t>
        </is>
      </c>
      <c r="O77" s="33" t="inlineStr">
        <is>
          <t>EVD-0007;EVD-0008</t>
        </is>
      </c>
      <c r="P77" s="33" t="inlineStr">
        <is>
          <t>GAP-004;GAP-005</t>
        </is>
      </c>
    </row>
    <row r="78">
      <c r="A78" s="33" t="inlineStr">
        <is>
          <t>RCP-0073</t>
        </is>
      </c>
      <c r="B78" s="33" t="inlineStr">
        <is>
          <t>VKM-007</t>
        </is>
      </c>
      <c r="C78" s="33" t="inlineStr">
        <is>
          <t>VKC-007</t>
        </is>
      </c>
      <c r="D78" s="33" t="inlineStr">
        <is>
          <t>VKT-007</t>
        </is>
      </c>
      <c r="E78" s="33" t="inlineStr">
        <is>
          <t>0.1.0-DRAFT</t>
        </is>
      </c>
      <c r="F78" s="33" t="inlineStr">
        <is>
          <t>ING-004</t>
        </is>
      </c>
      <c r="G78" s="33" t="inlineStr">
        <is>
          <t>Соль пищевая</t>
        </is>
      </c>
      <c r="H78" s="33" t="inlineStr">
        <is>
          <t>Тесто</t>
        </is>
      </c>
      <c r="I78" s="33" t="inlineStr">
        <is>
          <t>VSF-005</t>
        </is>
      </c>
      <c r="J78" s="33" t="n">
        <v>5</v>
      </c>
      <c r="K78" s="33" t="inlineStr">
        <is>
          <t>г</t>
        </is>
      </c>
      <c r="L78" s="33" t="n">
        <v>5</v>
      </c>
      <c r="M78" s="33" t="n">
        <v>5</v>
      </c>
      <c r="N78" s="33" t="inlineStr">
        <is>
          <t>ASSUMPTION</t>
        </is>
      </c>
      <c r="O78" s="33" t="inlineStr">
        <is>
          <t>EVD-0007;EVD-0008</t>
        </is>
      </c>
      <c r="P78" s="33" t="inlineStr">
        <is>
          <t>GAP-004;GAP-005</t>
        </is>
      </c>
    </row>
    <row r="79">
      <c r="A79" s="33" t="inlineStr">
        <is>
          <t>RCP-0074</t>
        </is>
      </c>
      <c r="B79" s="33" t="inlineStr">
        <is>
          <t>VKM-007</t>
        </is>
      </c>
      <c r="C79" s="33" t="inlineStr">
        <is>
          <t>VKC-007</t>
        </is>
      </c>
      <c r="D79" s="33" t="inlineStr">
        <is>
          <t>VKT-007</t>
        </is>
      </c>
      <c r="E79" s="33" t="inlineStr">
        <is>
          <t>0.1.0-DRAFT</t>
        </is>
      </c>
      <c r="F79" s="33" t="inlineStr">
        <is>
          <t>ING-024</t>
        </is>
      </c>
      <c r="G79" s="33" t="inlineStr">
        <is>
          <t>Масло растительное</t>
        </is>
      </c>
      <c r="H79" s="33" t="inlineStr">
        <is>
          <t>Форма</t>
        </is>
      </c>
      <c r="I79" s="33" t="inlineStr">
        <is>
          <t>VSF-005</t>
        </is>
      </c>
      <c r="J79" s="33" t="n">
        <v>3</v>
      </c>
      <c r="K79" s="33" t="inlineStr">
        <is>
          <t>г</t>
        </is>
      </c>
      <c r="L79" s="33" t="n">
        <v>3</v>
      </c>
      <c r="M79" s="33" t="n">
        <v>3</v>
      </c>
      <c r="N79" s="33" t="inlineStr">
        <is>
          <t>ASSUMPTION</t>
        </is>
      </c>
      <c r="O79" s="33" t="inlineStr">
        <is>
          <t>EVD-0007;EVD-0008</t>
        </is>
      </c>
      <c r="P79" s="33" t="inlineStr">
        <is>
          <t>GAP-004;GAP-005</t>
        </is>
      </c>
    </row>
    <row r="80">
      <c r="A80" s="33" t="inlineStr">
        <is>
          <t>RCP-0075</t>
        </is>
      </c>
      <c r="B80" s="33" t="inlineStr">
        <is>
          <t>VKM-008</t>
        </is>
      </c>
      <c r="C80" s="33" t="inlineStr">
        <is>
          <t>VKC-008</t>
        </is>
      </c>
      <c r="D80" s="33" t="inlineStr">
        <is>
          <t>VKT-008</t>
        </is>
      </c>
      <c r="E80" s="33" t="inlineStr">
        <is>
          <t>0.1.0-DRAFT</t>
        </is>
      </c>
      <c r="F80" s="33" t="inlineStr">
        <is>
          <t>ING-001</t>
        </is>
      </c>
      <c r="G80" s="33" t="inlineStr">
        <is>
          <t>Мука пшеничная хлебопекарная</t>
        </is>
      </c>
      <c r="H80" s="33" t="inlineStr">
        <is>
          <t>Тесто</t>
        </is>
      </c>
      <c r="I80" s="33" t="inlineStr">
        <is>
          <t>VSF-006</t>
        </is>
      </c>
      <c r="J80" s="33" t="n">
        <v>38</v>
      </c>
      <c r="K80" s="33" t="inlineStr">
        <is>
          <t>г</t>
        </is>
      </c>
      <c r="L80" s="33" t="n">
        <v>38</v>
      </c>
      <c r="M80" s="33" t="n">
        <v>35</v>
      </c>
      <c r="N80" s="33" t="inlineStr">
        <is>
          <t>ASSUMPTION</t>
        </is>
      </c>
      <c r="O80" s="33" t="inlineStr">
        <is>
          <t>EVD-0007;EVD-0008</t>
        </is>
      </c>
      <c r="P80" s="33" t="inlineStr">
        <is>
          <t>GAP-004;GAP-005</t>
        </is>
      </c>
    </row>
    <row r="81">
      <c r="A81" s="33" t="inlineStr">
        <is>
          <t>RCP-0076</t>
        </is>
      </c>
      <c r="B81" s="33" t="inlineStr">
        <is>
          <t>VKM-008</t>
        </is>
      </c>
      <c r="C81" s="33" t="inlineStr">
        <is>
          <t>VKC-008</t>
        </is>
      </c>
      <c r="D81" s="33" t="inlineStr">
        <is>
          <t>VKT-008</t>
        </is>
      </c>
      <c r="E81" s="33" t="inlineStr">
        <is>
          <t>0.1.0-DRAFT</t>
        </is>
      </c>
      <c r="F81" s="33" t="inlineStr">
        <is>
          <t>ING-025</t>
        </is>
      </c>
      <c r="G81" s="33" t="inlineStr">
        <is>
          <t>Молоко</t>
        </is>
      </c>
      <c r="H81" s="33" t="inlineStr">
        <is>
          <t>Тесто</t>
        </is>
      </c>
      <c r="I81" s="33" t="inlineStr">
        <is>
          <t>VSF-006</t>
        </is>
      </c>
      <c r="J81" s="33" t="n">
        <v>13</v>
      </c>
      <c r="K81" s="33" t="inlineStr">
        <is>
          <t>г</t>
        </is>
      </c>
      <c r="L81" s="33" t="n">
        <v>13</v>
      </c>
      <c r="M81" s="33" t="n">
        <v>12</v>
      </c>
      <c r="N81" s="33" t="inlineStr">
        <is>
          <t>ASSUMPTION</t>
        </is>
      </c>
      <c r="O81" s="33" t="inlineStr">
        <is>
          <t>EVD-0007;EVD-0008</t>
        </is>
      </c>
      <c r="P81" s="33" t="inlineStr">
        <is>
          <t>GAP-004;GAP-005</t>
        </is>
      </c>
    </row>
    <row r="82">
      <c r="A82" s="33" t="inlineStr">
        <is>
          <t>RCP-0077</t>
        </is>
      </c>
      <c r="B82" s="33" t="inlineStr">
        <is>
          <t>VKM-008</t>
        </is>
      </c>
      <c r="C82" s="33" t="inlineStr">
        <is>
          <t>VKC-008</t>
        </is>
      </c>
      <c r="D82" s="33" t="inlineStr">
        <is>
          <t>VKT-008</t>
        </is>
      </c>
      <c r="E82" s="33" t="inlineStr">
        <is>
          <t>0.1.0-DRAFT</t>
        </is>
      </c>
      <c r="F82" s="33" t="inlineStr">
        <is>
          <t>ING-026</t>
        </is>
      </c>
      <c r="G82" s="33" t="inlineStr">
        <is>
          <t>Яйцо или меланж</t>
        </is>
      </c>
      <c r="H82" s="33" t="inlineStr">
        <is>
          <t>Тесто</t>
        </is>
      </c>
      <c r="I82" s="33" t="inlineStr">
        <is>
          <t>VSF-006</t>
        </is>
      </c>
      <c r="J82" s="33" t="n">
        <v>16</v>
      </c>
      <c r="K82" s="33" t="inlineStr">
        <is>
          <t>г</t>
        </is>
      </c>
      <c r="L82" s="33" t="n">
        <v>16</v>
      </c>
      <c r="M82" s="33" t="n">
        <v>15</v>
      </c>
      <c r="N82" s="33" t="inlineStr">
        <is>
          <t>ASSUMPTION</t>
        </is>
      </c>
      <c r="O82" s="33" t="inlineStr">
        <is>
          <t>EVD-0007;EVD-0008</t>
        </is>
      </c>
      <c r="P82" s="33" t="inlineStr">
        <is>
          <t>GAP-004;GAP-005</t>
        </is>
      </c>
    </row>
    <row r="83">
      <c r="A83" s="33" t="inlineStr">
        <is>
          <t>RCP-0078</t>
        </is>
      </c>
      <c r="B83" s="33" t="inlineStr">
        <is>
          <t>VKM-008</t>
        </is>
      </c>
      <c r="C83" s="33" t="inlineStr">
        <is>
          <t>VKC-008</t>
        </is>
      </c>
      <c r="D83" s="33" t="inlineStr">
        <is>
          <t>VKT-008</t>
        </is>
      </c>
      <c r="E83" s="33" t="inlineStr">
        <is>
          <t>0.1.0-DRAFT</t>
        </is>
      </c>
      <c r="F83" s="33" t="inlineStr">
        <is>
          <t>ING-027</t>
        </is>
      </c>
      <c r="G83" s="33" t="inlineStr">
        <is>
          <t>Масло сливочное</t>
        </is>
      </c>
      <c r="H83" s="33" t="inlineStr">
        <is>
          <t>Тесто</t>
        </is>
      </c>
      <c r="I83" s="33" t="inlineStr">
        <is>
          <t>VSF-006</t>
        </is>
      </c>
      <c r="J83" s="33" t="n">
        <v>15</v>
      </c>
      <c r="K83" s="33" t="inlineStr">
        <is>
          <t>г</t>
        </is>
      </c>
      <c r="L83" s="33" t="n">
        <v>15</v>
      </c>
      <c r="M83" s="33" t="n">
        <v>15</v>
      </c>
      <c r="N83" s="33" t="inlineStr">
        <is>
          <t>ASSUMPTION</t>
        </is>
      </c>
      <c r="O83" s="33" t="inlineStr">
        <is>
          <t>EVD-0007;EVD-0008</t>
        </is>
      </c>
      <c r="P83" s="33" t="inlineStr">
        <is>
          <t>GAP-004;GAP-005</t>
        </is>
      </c>
    </row>
    <row r="84">
      <c r="A84" s="33" t="inlineStr">
        <is>
          <t>RCP-0079</t>
        </is>
      </c>
      <c r="B84" s="33" t="inlineStr">
        <is>
          <t>VKM-008</t>
        </is>
      </c>
      <c r="C84" s="33" t="inlineStr">
        <is>
          <t>VKC-008</t>
        </is>
      </c>
      <c r="D84" s="33" t="inlineStr">
        <is>
          <t>VKT-008</t>
        </is>
      </c>
      <c r="E84" s="33" t="inlineStr">
        <is>
          <t>0.1.0-DRAFT</t>
        </is>
      </c>
      <c r="F84" s="33" t="inlineStr">
        <is>
          <t>ING-028</t>
        </is>
      </c>
      <c r="G84" s="33" t="inlineStr">
        <is>
          <t>Сахар</t>
        </is>
      </c>
      <c r="H84" s="33" t="inlineStr">
        <is>
          <t>Тесто</t>
        </is>
      </c>
      <c r="I84" s="33" t="inlineStr">
        <is>
          <t>VSF-006</t>
        </is>
      </c>
      <c r="J84" s="33" t="n">
        <v>5</v>
      </c>
      <c r="K84" s="33" t="inlineStr">
        <is>
          <t>г</t>
        </is>
      </c>
      <c r="L84" s="33" t="n">
        <v>5</v>
      </c>
      <c r="M84" s="33" t="n">
        <v>5</v>
      </c>
      <c r="N84" s="33" t="inlineStr">
        <is>
          <t>ASSUMPTION</t>
        </is>
      </c>
      <c r="O84" s="33" t="inlineStr">
        <is>
          <t>EVD-0007;EVD-0008</t>
        </is>
      </c>
      <c r="P84" s="33" t="inlineStr">
        <is>
          <t>GAP-004;GAP-005</t>
        </is>
      </c>
    </row>
    <row r="85">
      <c r="A85" s="33" t="inlineStr">
        <is>
          <t>RCP-0080</t>
        </is>
      </c>
      <c r="B85" s="33" t="inlineStr">
        <is>
          <t>VKM-008</t>
        </is>
      </c>
      <c r="C85" s="33" t="inlineStr">
        <is>
          <t>VKC-008</t>
        </is>
      </c>
      <c r="D85" s="33" t="inlineStr">
        <is>
          <t>VKT-008</t>
        </is>
      </c>
      <c r="E85" s="33" t="inlineStr">
        <is>
          <t>0.1.0-DRAFT</t>
        </is>
      </c>
      <c r="F85" s="33" t="inlineStr">
        <is>
          <t>ING-003</t>
        </is>
      </c>
      <c r="G85" s="33" t="inlineStr">
        <is>
          <t>Дрожжи хлебопекарные</t>
        </is>
      </c>
      <c r="H85" s="33" t="inlineStr">
        <is>
          <t>Тесто</t>
        </is>
      </c>
      <c r="I85" s="33" t="inlineStr">
        <is>
          <t>VSF-006</t>
        </is>
      </c>
      <c r="J85" s="33" t="n">
        <v>1</v>
      </c>
      <c r="K85" s="33" t="inlineStr">
        <is>
          <t>г</t>
        </is>
      </c>
      <c r="L85" s="33" t="n">
        <v>1</v>
      </c>
      <c r="M85" s="33" t="n">
        <v>1</v>
      </c>
      <c r="N85" s="33" t="inlineStr">
        <is>
          <t>ASSUMPTION</t>
        </is>
      </c>
      <c r="O85" s="33" t="inlineStr">
        <is>
          <t>EVD-0007;EVD-0008</t>
        </is>
      </c>
      <c r="P85" s="33" t="inlineStr">
        <is>
          <t>GAP-004;GAP-005</t>
        </is>
      </c>
    </row>
    <row r="86">
      <c r="A86" s="33" t="inlineStr">
        <is>
          <t>RCP-0081</t>
        </is>
      </c>
      <c r="B86" s="33" t="inlineStr">
        <is>
          <t>VKM-008</t>
        </is>
      </c>
      <c r="C86" s="33" t="inlineStr">
        <is>
          <t>VKC-008</t>
        </is>
      </c>
      <c r="D86" s="33" t="inlineStr">
        <is>
          <t>VKT-008</t>
        </is>
      </c>
      <c r="E86" s="33" t="inlineStr">
        <is>
          <t>0.1.0-DRAFT</t>
        </is>
      </c>
      <c r="F86" s="33" t="inlineStr">
        <is>
          <t>ING-004</t>
        </is>
      </c>
      <c r="G86" s="33" t="inlineStr">
        <is>
          <t>Соль пищевая</t>
        </is>
      </c>
      <c r="H86" s="33" t="inlineStr">
        <is>
          <t>Тесто</t>
        </is>
      </c>
      <c r="I86" s="33" t="inlineStr">
        <is>
          <t>VSF-006</t>
        </is>
      </c>
      <c r="J86" s="33" t="n">
        <v>1</v>
      </c>
      <c r="K86" s="33" t="inlineStr">
        <is>
          <t>г</t>
        </is>
      </c>
      <c r="L86" s="33" t="n">
        <v>1</v>
      </c>
      <c r="M86" s="33" t="n">
        <v>1</v>
      </c>
      <c r="N86" s="33" t="inlineStr">
        <is>
          <t>ASSUMPTION</t>
        </is>
      </c>
      <c r="O86" s="33" t="inlineStr">
        <is>
          <t>EVD-0007;EVD-0008</t>
        </is>
      </c>
      <c r="P86" s="33" t="inlineStr">
        <is>
          <t>GAP-004;GAP-005</t>
        </is>
      </c>
    </row>
    <row r="87">
      <c r="A87" s="33" t="inlineStr">
        <is>
          <t>RCP-0082</t>
        </is>
      </c>
      <c r="B87" s="33" t="inlineStr">
        <is>
          <t>VKM-008</t>
        </is>
      </c>
      <c r="C87" s="33" t="inlineStr">
        <is>
          <t>VKC-008</t>
        </is>
      </c>
      <c r="D87" s="33" t="inlineStr">
        <is>
          <t>VKT-008</t>
        </is>
      </c>
      <c r="E87" s="33" t="inlineStr">
        <is>
          <t>0.1.0-DRAFT</t>
        </is>
      </c>
      <c r="F87" s="33" t="inlineStr">
        <is>
          <t>ING-029</t>
        </is>
      </c>
      <c r="G87" s="33" t="inlineStr">
        <is>
          <t>Меланж для смазки</t>
        </is>
      </c>
      <c r="H87" s="33" t="inlineStr">
        <is>
          <t>Финиш</t>
        </is>
      </c>
      <c r="I87" s="33" t="inlineStr">
        <is>
          <t>VSF-006</t>
        </is>
      </c>
      <c r="J87" s="33" t="n">
        <v>1</v>
      </c>
      <c r="K87" s="33" t="inlineStr">
        <is>
          <t>г</t>
        </is>
      </c>
      <c r="L87" s="33" t="n">
        <v>1</v>
      </c>
      <c r="M87" s="33" t="n">
        <v>1</v>
      </c>
      <c r="N87" s="33" t="inlineStr">
        <is>
          <t>ASSUMPTION</t>
        </is>
      </c>
      <c r="O87" s="33" t="inlineStr">
        <is>
          <t>EVD-0007;EVD-0008</t>
        </is>
      </c>
      <c r="P87" s="33" t="inlineStr">
        <is>
          <t>GAP-004;GAP-005</t>
        </is>
      </c>
    </row>
    <row r="88">
      <c r="A88" s="33" t="inlineStr">
        <is>
          <t>RCP-0083</t>
        </is>
      </c>
      <c r="B88" s="33" t="inlineStr">
        <is>
          <t>VKM-009</t>
        </is>
      </c>
      <c r="C88" s="33" t="inlineStr">
        <is>
          <t>VKC-009</t>
        </is>
      </c>
      <c r="D88" s="33" t="inlineStr">
        <is>
          <t>VKT-009</t>
        </is>
      </c>
      <c r="E88" s="33" t="inlineStr">
        <is>
          <t>0.1.0-DRAFT</t>
        </is>
      </c>
      <c r="F88" s="33" t="inlineStr">
        <is>
          <t>ING-030</t>
        </is>
      </c>
      <c r="G88" s="33" t="inlineStr">
        <is>
          <t>Буррата</t>
        </is>
      </c>
      <c r="H88" s="33" t="inlineStr">
        <is>
          <t>Сборка</t>
        </is>
      </c>
      <c r="I88" s="33" t="n"/>
      <c r="J88" s="33" t="n">
        <v>125</v>
      </c>
      <c r="K88" s="33" t="inlineStr">
        <is>
          <t>г</t>
        </is>
      </c>
      <c r="L88" s="33" t="n">
        <v>125</v>
      </c>
      <c r="M88" s="33" t="n">
        <v>125</v>
      </c>
      <c r="N88" s="33" t="inlineStr">
        <is>
          <t>ASSUMPTION</t>
        </is>
      </c>
      <c r="O88" s="33" t="inlineStr">
        <is>
          <t>EVD-0007;EVD-0008</t>
        </is>
      </c>
      <c r="P88" s="33" t="inlineStr">
        <is>
          <t>GAP-004;GAP-005</t>
        </is>
      </c>
    </row>
    <row r="89">
      <c r="A89" s="33" t="inlineStr">
        <is>
          <t>RCP-0084</t>
        </is>
      </c>
      <c r="B89" s="33" t="inlineStr">
        <is>
          <t>VKM-009</t>
        </is>
      </c>
      <c r="C89" s="33" t="inlineStr">
        <is>
          <t>VKC-009</t>
        </is>
      </c>
      <c r="D89" s="33" t="inlineStr">
        <is>
          <t>VKT-009</t>
        </is>
      </c>
      <c r="E89" s="33" t="inlineStr">
        <is>
          <t>0.1.0-DRAFT</t>
        </is>
      </c>
      <c r="F89" s="33" t="inlineStr">
        <is>
          <t>ING-031</t>
        </is>
      </c>
      <c r="G89" s="33" t="inlineStr">
        <is>
          <t>Томаты свежие</t>
        </is>
      </c>
      <c r="H89" s="33" t="inlineStr">
        <is>
          <t>Сборка</t>
        </is>
      </c>
      <c r="I89" s="33" t="n"/>
      <c r="J89" s="33" t="n">
        <v>132</v>
      </c>
      <c r="K89" s="33" t="inlineStr">
        <is>
          <t>г</t>
        </is>
      </c>
      <c r="L89" s="33" t="n">
        <v>120</v>
      </c>
      <c r="M89" s="33" t="n">
        <v>120</v>
      </c>
      <c r="N89" s="33" t="inlineStr">
        <is>
          <t>ASSUMPTION</t>
        </is>
      </c>
      <c r="O89" s="33" t="inlineStr">
        <is>
          <t>EVD-0007;EVD-0008</t>
        </is>
      </c>
      <c r="P89" s="33" t="inlineStr">
        <is>
          <t>GAP-004;GAP-005</t>
        </is>
      </c>
    </row>
    <row r="90">
      <c r="A90" s="33" t="inlineStr">
        <is>
          <t>RCP-0085</t>
        </is>
      </c>
      <c r="B90" s="33" t="inlineStr">
        <is>
          <t>VKM-009</t>
        </is>
      </c>
      <c r="C90" s="33" t="inlineStr">
        <is>
          <t>VKC-009</t>
        </is>
      </c>
      <c r="D90" s="33" t="inlineStr">
        <is>
          <t>VKT-009</t>
        </is>
      </c>
      <c r="E90" s="33" t="inlineStr">
        <is>
          <t>0.1.0-DRAFT</t>
        </is>
      </c>
      <c r="F90" s="33" t="inlineStr">
        <is>
          <t>ING-006</t>
        </is>
      </c>
      <c r="G90" s="33" t="inlineStr">
        <is>
          <t>Томаты протёртые</t>
        </is>
      </c>
      <c r="H90" s="33" t="inlineStr">
        <is>
          <t>Заправка</t>
        </is>
      </c>
      <c r="I90" s="33" t="inlineStr">
        <is>
          <t>VSF-007</t>
        </is>
      </c>
      <c r="J90" s="33" t="n">
        <v>15</v>
      </c>
      <c r="K90" s="33" t="inlineStr">
        <is>
          <t>г</t>
        </is>
      </c>
      <c r="L90" s="33" t="n">
        <v>15</v>
      </c>
      <c r="M90" s="33" t="n">
        <v>15</v>
      </c>
      <c r="N90" s="33" t="inlineStr">
        <is>
          <t>ASSUMPTION</t>
        </is>
      </c>
      <c r="O90" s="33" t="inlineStr">
        <is>
          <t>EVD-0007;EVD-0008</t>
        </is>
      </c>
      <c r="P90" s="33" t="inlineStr">
        <is>
          <t>GAP-004;GAP-005</t>
        </is>
      </c>
    </row>
    <row r="91">
      <c r="A91" s="33" t="inlineStr">
        <is>
          <t>RCP-0086</t>
        </is>
      </c>
      <c r="B91" s="33" t="inlineStr">
        <is>
          <t>VKM-009</t>
        </is>
      </c>
      <c r="C91" s="33" t="inlineStr">
        <is>
          <t>VKC-009</t>
        </is>
      </c>
      <c r="D91" s="33" t="inlineStr">
        <is>
          <t>VKT-009</t>
        </is>
      </c>
      <c r="E91" s="33" t="inlineStr">
        <is>
          <t>0.1.0-DRAFT</t>
        </is>
      </c>
      <c r="F91" s="33" t="inlineStr">
        <is>
          <t>ING-005</t>
        </is>
      </c>
      <c r="G91" s="33" t="inlineStr">
        <is>
          <t>Масло оливковое</t>
        </is>
      </c>
      <c r="H91" s="33" t="inlineStr">
        <is>
          <t>Заправка</t>
        </is>
      </c>
      <c r="I91" s="33" t="inlineStr">
        <is>
          <t>VSF-007</t>
        </is>
      </c>
      <c r="J91" s="33" t="n">
        <v>10</v>
      </c>
      <c r="K91" s="33" t="inlineStr">
        <is>
          <t>г</t>
        </is>
      </c>
      <c r="L91" s="33" t="n">
        <v>10</v>
      </c>
      <c r="M91" s="33" t="n">
        <v>10</v>
      </c>
      <c r="N91" s="33" t="inlineStr">
        <is>
          <t>ASSUMPTION</t>
        </is>
      </c>
      <c r="O91" s="33" t="inlineStr">
        <is>
          <t>EVD-0007;EVD-0008</t>
        </is>
      </c>
      <c r="P91" s="33" t="inlineStr">
        <is>
          <t>GAP-004;GAP-005</t>
        </is>
      </c>
    </row>
    <row r="92">
      <c r="A92" s="33" t="inlineStr">
        <is>
          <t>RCP-0087</t>
        </is>
      </c>
      <c r="B92" s="33" t="inlineStr">
        <is>
          <t>VKM-009</t>
        </is>
      </c>
      <c r="C92" s="33" t="inlineStr">
        <is>
          <t>VKC-009</t>
        </is>
      </c>
      <c r="D92" s="33" t="inlineStr">
        <is>
          <t>VKT-009</t>
        </is>
      </c>
      <c r="E92" s="33" t="inlineStr">
        <is>
          <t>0.1.0-DRAFT</t>
        </is>
      </c>
      <c r="F92" s="33" t="inlineStr">
        <is>
          <t>ING-032</t>
        </is>
      </c>
      <c r="G92" s="33" t="inlineStr">
        <is>
          <t>Уксус бальзамический</t>
        </is>
      </c>
      <c r="H92" s="33" t="inlineStr">
        <is>
          <t>Заправка</t>
        </is>
      </c>
      <c r="I92" s="33" t="inlineStr">
        <is>
          <t>VSF-007</t>
        </is>
      </c>
      <c r="J92" s="33" t="n">
        <v>3</v>
      </c>
      <c r="K92" s="33" t="inlineStr">
        <is>
          <t>г</t>
        </is>
      </c>
      <c r="L92" s="33" t="n">
        <v>3</v>
      </c>
      <c r="M92" s="33" t="n">
        <v>3</v>
      </c>
      <c r="N92" s="33" t="inlineStr">
        <is>
          <t>ASSUMPTION</t>
        </is>
      </c>
      <c r="O92" s="33" t="inlineStr">
        <is>
          <t>EVD-0007;EVD-0008</t>
        </is>
      </c>
      <c r="P92" s="33" t="inlineStr">
        <is>
          <t>GAP-004;GAP-005</t>
        </is>
      </c>
    </row>
    <row r="93">
      <c r="A93" s="33" t="inlineStr">
        <is>
          <t>RCP-0088</t>
        </is>
      </c>
      <c r="B93" s="33" t="inlineStr">
        <is>
          <t>VKM-009</t>
        </is>
      </c>
      <c r="C93" s="33" t="inlineStr">
        <is>
          <t>VKC-009</t>
        </is>
      </c>
      <c r="D93" s="33" t="inlineStr">
        <is>
          <t>VKT-009</t>
        </is>
      </c>
      <c r="E93" s="33" t="inlineStr">
        <is>
          <t>0.1.0-DRAFT</t>
        </is>
      </c>
      <c r="F93" s="33" t="inlineStr">
        <is>
          <t>ING-033</t>
        </is>
      </c>
      <c r="G93" s="33" t="inlineStr">
        <is>
          <t>Соль и специи</t>
        </is>
      </c>
      <c r="H93" s="33" t="inlineStr">
        <is>
          <t>Заправка</t>
        </is>
      </c>
      <c r="I93" s="33" t="inlineStr">
        <is>
          <t>VSF-007</t>
        </is>
      </c>
      <c r="J93" s="33" t="n">
        <v>2</v>
      </c>
      <c r="K93" s="33" t="inlineStr">
        <is>
          <t>г</t>
        </is>
      </c>
      <c r="L93" s="33" t="n">
        <v>2</v>
      </c>
      <c r="M93" s="33" t="n">
        <v>2</v>
      </c>
      <c r="N93" s="33" t="inlineStr">
        <is>
          <t>ASSUMPTION</t>
        </is>
      </c>
      <c r="O93" s="33" t="inlineStr">
        <is>
          <t>EVD-0007;EVD-0008</t>
        </is>
      </c>
      <c r="P93" s="33" t="inlineStr">
        <is>
          <t>GAP-004;GAP-005</t>
        </is>
      </c>
    </row>
    <row r="94">
      <c r="A94" s="33" t="inlineStr">
        <is>
          <t>RCP-0089</t>
        </is>
      </c>
      <c r="B94" s="33" t="inlineStr">
        <is>
          <t>VKM-009</t>
        </is>
      </c>
      <c r="C94" s="33" t="inlineStr">
        <is>
          <t>VKC-009</t>
        </is>
      </c>
      <c r="D94" s="33" t="inlineStr">
        <is>
          <t>VKT-009</t>
        </is>
      </c>
      <c r="E94" s="33" t="inlineStr">
        <is>
          <t>0.1.0-DRAFT</t>
        </is>
      </c>
      <c r="F94" s="33" t="inlineStr">
        <is>
          <t>ING-034</t>
        </is>
      </c>
      <c r="G94" s="33" t="inlineStr">
        <is>
          <t>Салатная зелень</t>
        </is>
      </c>
      <c r="H94" s="33" t="inlineStr">
        <is>
          <t>Сборка</t>
        </is>
      </c>
      <c r="I94" s="33" t="n"/>
      <c r="J94" s="33" t="n">
        <v>17</v>
      </c>
      <c r="K94" s="33" t="inlineStr">
        <is>
          <t>г</t>
        </is>
      </c>
      <c r="L94" s="33" t="n">
        <v>15</v>
      </c>
      <c r="M94" s="33" t="n">
        <v>15</v>
      </c>
      <c r="N94" s="33" t="inlineStr">
        <is>
          <t>ASSUMPTION</t>
        </is>
      </c>
      <c r="O94" s="33" t="inlineStr">
        <is>
          <t>EVD-0007;EVD-0008</t>
        </is>
      </c>
      <c r="P94" s="33" t="inlineStr">
        <is>
          <t>GAP-004;GAP-005</t>
        </is>
      </c>
    </row>
    <row r="95">
      <c r="A95" s="33" t="inlineStr">
        <is>
          <t>RCP-0090</t>
        </is>
      </c>
      <c r="B95" s="33" t="inlineStr">
        <is>
          <t>VKM-009</t>
        </is>
      </c>
      <c r="C95" s="33" t="inlineStr">
        <is>
          <t>VKC-009</t>
        </is>
      </c>
      <c r="D95" s="33" t="inlineStr">
        <is>
          <t>VKT-009</t>
        </is>
      </c>
      <c r="E95" s="33" t="inlineStr">
        <is>
          <t>0.1.0-DRAFT</t>
        </is>
      </c>
      <c r="F95" s="33" t="inlineStr">
        <is>
          <t>ING-005</t>
        </is>
      </c>
      <c r="G95" s="33" t="inlineStr">
        <is>
          <t>Масло оливковое</t>
        </is>
      </c>
      <c r="H95" s="33" t="inlineStr">
        <is>
          <t>Финиш</t>
        </is>
      </c>
      <c r="I95" s="33" t="n"/>
      <c r="J95" s="33" t="n">
        <v>10</v>
      </c>
      <c r="K95" s="33" t="inlineStr">
        <is>
          <t>г</t>
        </is>
      </c>
      <c r="L95" s="33" t="n">
        <v>10</v>
      </c>
      <c r="M95" s="33" t="n">
        <v>10</v>
      </c>
      <c r="N95" s="33" t="inlineStr">
        <is>
          <t>ASSUMPTION</t>
        </is>
      </c>
      <c r="O95" s="33" t="inlineStr">
        <is>
          <t>EVD-0007;EVD-0008</t>
        </is>
      </c>
      <c r="P95" s="33" t="inlineStr">
        <is>
          <t>GAP-004;GAP-005</t>
        </is>
      </c>
    </row>
    <row r="96">
      <c r="A96" s="33" t="inlineStr">
        <is>
          <t>RCP-0091</t>
        </is>
      </c>
      <c r="B96" s="33" t="inlineStr">
        <is>
          <t>VKM-010</t>
        </is>
      </c>
      <c r="C96" s="33" t="inlineStr">
        <is>
          <t>VKC-010</t>
        </is>
      </c>
      <c r="D96" s="33" t="inlineStr">
        <is>
          <t>VKT-010</t>
        </is>
      </c>
      <c r="E96" s="33" t="inlineStr">
        <is>
          <t>0.1.0-DRAFT</t>
        </is>
      </c>
      <c r="F96" s="33" t="inlineStr">
        <is>
          <t>ING-035</t>
        </is>
      </c>
      <c r="G96" s="33" t="inlineStr">
        <is>
          <t>Салатный микс</t>
        </is>
      </c>
      <c r="H96" s="33" t="inlineStr">
        <is>
          <t>Сборка</t>
        </is>
      </c>
      <c r="I96" s="33" t="n"/>
      <c r="J96" s="33" t="n">
        <v>90</v>
      </c>
      <c r="K96" s="33" t="inlineStr">
        <is>
          <t>г</t>
        </is>
      </c>
      <c r="L96" s="33" t="n">
        <v>80</v>
      </c>
      <c r="M96" s="33" t="n">
        <v>80</v>
      </c>
      <c r="N96" s="33" t="inlineStr">
        <is>
          <t>ASSUMPTION</t>
        </is>
      </c>
      <c r="O96" s="33" t="inlineStr">
        <is>
          <t>EVD-0007;EVD-0008</t>
        </is>
      </c>
      <c r="P96" s="33" t="inlineStr">
        <is>
          <t>GAP-004;GAP-005</t>
        </is>
      </c>
    </row>
    <row r="97">
      <c r="A97" s="33" t="inlineStr">
        <is>
          <t>RCP-0092</t>
        </is>
      </c>
      <c r="B97" s="33" t="inlineStr">
        <is>
          <t>VKM-010</t>
        </is>
      </c>
      <c r="C97" s="33" t="inlineStr">
        <is>
          <t>VKC-010</t>
        </is>
      </c>
      <c r="D97" s="33" t="inlineStr">
        <is>
          <t>VKT-010</t>
        </is>
      </c>
      <c r="E97" s="33" t="inlineStr">
        <is>
          <t>0.1.0-DRAFT</t>
        </is>
      </c>
      <c r="F97" s="33" t="inlineStr">
        <is>
          <t>ING-036</t>
        </is>
      </c>
      <c r="G97" s="33" t="inlineStr">
        <is>
          <t>Креветки очищенные</t>
        </is>
      </c>
      <c r="H97" s="33" t="inlineStr">
        <is>
          <t>Сборка</t>
        </is>
      </c>
      <c r="I97" s="33" t="n"/>
      <c r="J97" s="33" t="n">
        <v>105</v>
      </c>
      <c r="K97" s="33" t="inlineStr">
        <is>
          <t>г</t>
        </is>
      </c>
      <c r="L97" s="33" t="n">
        <v>100</v>
      </c>
      <c r="M97" s="33" t="n">
        <v>90</v>
      </c>
      <c r="N97" s="33" t="inlineStr">
        <is>
          <t>ASSUMPTION</t>
        </is>
      </c>
      <c r="O97" s="33" t="inlineStr">
        <is>
          <t>EVD-0007;EVD-0008</t>
        </is>
      </c>
      <c r="P97" s="33" t="inlineStr">
        <is>
          <t>GAP-004;GAP-005</t>
        </is>
      </c>
    </row>
    <row r="98">
      <c r="A98" s="33" t="inlineStr">
        <is>
          <t>RCP-0093</t>
        </is>
      </c>
      <c r="B98" s="33" t="inlineStr">
        <is>
          <t>VKM-010</t>
        </is>
      </c>
      <c r="C98" s="33" t="inlineStr">
        <is>
          <t>VKC-010</t>
        </is>
      </c>
      <c r="D98" s="33" t="inlineStr">
        <is>
          <t>VKT-010</t>
        </is>
      </c>
      <c r="E98" s="33" t="inlineStr">
        <is>
          <t>0.1.0-DRAFT</t>
        </is>
      </c>
      <c r="F98" s="33" t="inlineStr">
        <is>
          <t>ING-037</t>
        </is>
      </c>
      <c r="G98" s="33" t="inlineStr">
        <is>
          <t>Яблоко</t>
        </is>
      </c>
      <c r="H98" s="33" t="inlineStr">
        <is>
          <t>Сборка</t>
        </is>
      </c>
      <c r="I98" s="33" t="n"/>
      <c r="J98" s="33" t="n">
        <v>65</v>
      </c>
      <c r="K98" s="33" t="inlineStr">
        <is>
          <t>г</t>
        </is>
      </c>
      <c r="L98" s="33" t="n">
        <v>58</v>
      </c>
      <c r="M98" s="33" t="n">
        <v>55</v>
      </c>
      <c r="N98" s="33" t="inlineStr">
        <is>
          <t>ASSUMPTION</t>
        </is>
      </c>
      <c r="O98" s="33" t="inlineStr">
        <is>
          <t>EVD-0007;EVD-0008</t>
        </is>
      </c>
      <c r="P98" s="33" t="inlineStr">
        <is>
          <t>GAP-004;GAP-005</t>
        </is>
      </c>
    </row>
    <row r="99">
      <c r="A99" s="33" t="inlineStr">
        <is>
          <t>RCP-0094</t>
        </is>
      </c>
      <c r="B99" s="33" t="inlineStr">
        <is>
          <t>VKM-010</t>
        </is>
      </c>
      <c r="C99" s="33" t="inlineStr">
        <is>
          <t>VKC-010</t>
        </is>
      </c>
      <c r="D99" s="33" t="inlineStr">
        <is>
          <t>VKT-010</t>
        </is>
      </c>
      <c r="E99" s="33" t="inlineStr">
        <is>
          <t>0.1.0-DRAFT</t>
        </is>
      </c>
      <c r="F99" s="33" t="inlineStr">
        <is>
          <t>ING-038</t>
        </is>
      </c>
      <c r="G99" s="33" t="inlineStr">
        <is>
          <t>Огурец свежий</t>
        </is>
      </c>
      <c r="H99" s="33" t="inlineStr">
        <is>
          <t>Сборка</t>
        </is>
      </c>
      <c r="I99" s="33" t="n"/>
      <c r="J99" s="33" t="n">
        <v>34</v>
      </c>
      <c r="K99" s="33" t="inlineStr">
        <is>
          <t>г</t>
        </is>
      </c>
      <c r="L99" s="33" t="n">
        <v>30</v>
      </c>
      <c r="M99" s="33" t="n">
        <v>30</v>
      </c>
      <c r="N99" s="33" t="inlineStr">
        <is>
          <t>ASSUMPTION</t>
        </is>
      </c>
      <c r="O99" s="33" t="inlineStr">
        <is>
          <t>EVD-0007;EVD-0008</t>
        </is>
      </c>
      <c r="P99" s="33" t="inlineStr">
        <is>
          <t>GAP-004;GAP-005</t>
        </is>
      </c>
    </row>
    <row r="100">
      <c r="A100" s="33" t="inlineStr">
        <is>
          <t>RCP-0095</t>
        </is>
      </c>
      <c r="B100" s="33" t="inlineStr">
        <is>
          <t>VKM-010</t>
        </is>
      </c>
      <c r="C100" s="33" t="inlineStr">
        <is>
          <t>VKC-010</t>
        </is>
      </c>
      <c r="D100" s="33" t="inlineStr">
        <is>
          <t>VKT-010</t>
        </is>
      </c>
      <c r="E100" s="33" t="inlineStr">
        <is>
          <t>0.1.0-DRAFT</t>
        </is>
      </c>
      <c r="F100" s="33" t="inlineStr">
        <is>
          <t>ING-024</t>
        </is>
      </c>
      <c r="G100" s="33" t="inlineStr">
        <is>
          <t>Масло растительное</t>
        </is>
      </c>
      <c r="H100" s="33" t="inlineStr">
        <is>
          <t>Заправка</t>
        </is>
      </c>
      <c r="I100" s="33" t="inlineStr">
        <is>
          <t>VSF-008</t>
        </is>
      </c>
      <c r="J100" s="33" t="n">
        <v>10</v>
      </c>
      <c r="K100" s="33" t="inlineStr">
        <is>
          <t>г</t>
        </is>
      </c>
      <c r="L100" s="33" t="n">
        <v>10</v>
      </c>
      <c r="M100" s="33" t="n">
        <v>10</v>
      </c>
      <c r="N100" s="33" t="inlineStr">
        <is>
          <t>ASSUMPTION</t>
        </is>
      </c>
      <c r="O100" s="33" t="inlineStr">
        <is>
          <t>EVD-0007;EVD-0008</t>
        </is>
      </c>
      <c r="P100" s="33" t="inlineStr">
        <is>
          <t>GAP-004;GAP-005</t>
        </is>
      </c>
    </row>
    <row r="101">
      <c r="A101" s="33" t="inlineStr">
        <is>
          <t>RCP-0096</t>
        </is>
      </c>
      <c r="B101" s="33" t="inlineStr">
        <is>
          <t>VKM-010</t>
        </is>
      </c>
      <c r="C101" s="33" t="inlineStr">
        <is>
          <t>VKC-010</t>
        </is>
      </c>
      <c r="D101" s="33" t="inlineStr">
        <is>
          <t>VKT-010</t>
        </is>
      </c>
      <c r="E101" s="33" t="inlineStr">
        <is>
          <t>0.1.0-DRAFT</t>
        </is>
      </c>
      <c r="F101" s="33" t="inlineStr">
        <is>
          <t>ING-039</t>
        </is>
      </c>
      <c r="G101" s="33" t="inlineStr">
        <is>
          <t>Сок лимона</t>
        </is>
      </c>
      <c r="H101" s="33" t="inlineStr">
        <is>
          <t>Заправка</t>
        </is>
      </c>
      <c r="I101" s="33" t="inlineStr">
        <is>
          <t>VSF-008</t>
        </is>
      </c>
      <c r="J101" s="33" t="n">
        <v>7</v>
      </c>
      <c r="K101" s="33" t="inlineStr">
        <is>
          <t>г</t>
        </is>
      </c>
      <c r="L101" s="33" t="n">
        <v>5</v>
      </c>
      <c r="M101" s="33" t="n">
        <v>5</v>
      </c>
      <c r="N101" s="33" t="inlineStr">
        <is>
          <t>ASSUMPTION</t>
        </is>
      </c>
      <c r="O101" s="33" t="inlineStr">
        <is>
          <t>EVD-0007;EVD-0008</t>
        </is>
      </c>
      <c r="P101" s="33" t="inlineStr">
        <is>
          <t>GAP-004;GAP-005</t>
        </is>
      </c>
    </row>
    <row r="102">
      <c r="A102" s="33" t="inlineStr">
        <is>
          <t>RCP-0097</t>
        </is>
      </c>
      <c r="B102" s="33" t="inlineStr">
        <is>
          <t>VKM-010</t>
        </is>
      </c>
      <c r="C102" s="33" t="inlineStr">
        <is>
          <t>VKC-010</t>
        </is>
      </c>
      <c r="D102" s="33" t="inlineStr">
        <is>
          <t>VKT-010</t>
        </is>
      </c>
      <c r="E102" s="33" t="inlineStr">
        <is>
          <t>0.1.0-DRAFT</t>
        </is>
      </c>
      <c r="F102" s="33" t="inlineStr">
        <is>
          <t>ING-040</t>
        </is>
      </c>
      <c r="G102" s="33" t="inlineStr">
        <is>
          <t>Мёд</t>
        </is>
      </c>
      <c r="H102" s="33" t="inlineStr">
        <is>
          <t>Заправка</t>
        </is>
      </c>
      <c r="I102" s="33" t="inlineStr">
        <is>
          <t>VSF-008</t>
        </is>
      </c>
      <c r="J102" s="33" t="n">
        <v>3</v>
      </c>
      <c r="K102" s="33" t="inlineStr">
        <is>
          <t>г</t>
        </is>
      </c>
      <c r="L102" s="33" t="n">
        <v>3</v>
      </c>
      <c r="M102" s="33" t="n">
        <v>3</v>
      </c>
      <c r="N102" s="33" t="inlineStr">
        <is>
          <t>ASSUMPTION</t>
        </is>
      </c>
      <c r="O102" s="33" t="inlineStr">
        <is>
          <t>EVD-0007;EVD-0008</t>
        </is>
      </c>
      <c r="P102" s="33" t="inlineStr">
        <is>
          <t>GAP-004;GAP-005</t>
        </is>
      </c>
    </row>
    <row r="103">
      <c r="A103" s="33" t="inlineStr">
        <is>
          <t>RCP-0098</t>
        </is>
      </c>
      <c r="B103" s="33" t="inlineStr">
        <is>
          <t>VKM-010</t>
        </is>
      </c>
      <c r="C103" s="33" t="inlineStr">
        <is>
          <t>VKC-010</t>
        </is>
      </c>
      <c r="D103" s="33" t="inlineStr">
        <is>
          <t>VKT-010</t>
        </is>
      </c>
      <c r="E103" s="33" t="inlineStr">
        <is>
          <t>0.1.0-DRAFT</t>
        </is>
      </c>
      <c r="F103" s="33" t="inlineStr">
        <is>
          <t>ING-041</t>
        </is>
      </c>
      <c r="G103" s="33" t="inlineStr">
        <is>
          <t>Горчица</t>
        </is>
      </c>
      <c r="H103" s="33" t="inlineStr">
        <is>
          <t>Заправка</t>
        </is>
      </c>
      <c r="I103" s="33" t="inlineStr">
        <is>
          <t>VSF-008</t>
        </is>
      </c>
      <c r="J103" s="33" t="n">
        <v>2</v>
      </c>
      <c r="K103" s="33" t="inlineStr">
        <is>
          <t>г</t>
        </is>
      </c>
      <c r="L103" s="33" t="n">
        <v>2</v>
      </c>
      <c r="M103" s="33" t="n">
        <v>2</v>
      </c>
      <c r="N103" s="33" t="inlineStr">
        <is>
          <t>ASSUMPTION</t>
        </is>
      </c>
      <c r="O103" s="33" t="inlineStr">
        <is>
          <t>EVD-0007;EVD-0008</t>
        </is>
      </c>
      <c r="P103" s="33" t="inlineStr">
        <is>
          <t>GAP-004;GAP-005</t>
        </is>
      </c>
    </row>
    <row r="104">
      <c r="A104" s="33" t="inlineStr">
        <is>
          <t>RCP-0099</t>
        </is>
      </c>
      <c r="B104" s="33" t="inlineStr">
        <is>
          <t>VKM-010</t>
        </is>
      </c>
      <c r="C104" s="33" t="inlineStr">
        <is>
          <t>VKC-010</t>
        </is>
      </c>
      <c r="D104" s="33" t="inlineStr">
        <is>
          <t>VKT-010</t>
        </is>
      </c>
      <c r="E104" s="33" t="inlineStr">
        <is>
          <t>0.1.0-DRAFT</t>
        </is>
      </c>
      <c r="F104" s="33" t="inlineStr">
        <is>
          <t>ING-042</t>
        </is>
      </c>
      <c r="G104" s="33" t="inlineStr">
        <is>
          <t>Семена или ореховая крошка</t>
        </is>
      </c>
      <c r="H104" s="33" t="inlineStr">
        <is>
          <t>Финиш</t>
        </is>
      </c>
      <c r="I104" s="33" t="n"/>
      <c r="J104" s="33" t="n">
        <v>5</v>
      </c>
      <c r="K104" s="33" t="inlineStr">
        <is>
          <t>г</t>
        </is>
      </c>
      <c r="L104" s="33" t="n">
        <v>5</v>
      </c>
      <c r="M104" s="33" t="n">
        <v>5</v>
      </c>
      <c r="N104" s="33" t="inlineStr">
        <is>
          <t>ASSUMPTION</t>
        </is>
      </c>
      <c r="O104" s="33" t="inlineStr">
        <is>
          <t>EVD-0007;EVD-0008</t>
        </is>
      </c>
      <c r="P104" s="33" t="inlineStr">
        <is>
          <t>GAP-004;GAP-005</t>
        </is>
      </c>
    </row>
    <row r="105">
      <c r="A105" s="33" t="inlineStr">
        <is>
          <t>RCP-0100</t>
        </is>
      </c>
      <c r="B105" s="33" t="inlineStr">
        <is>
          <t>VKM-011</t>
        </is>
      </c>
      <c r="C105" s="33" t="inlineStr">
        <is>
          <t>VKC-011</t>
        </is>
      </c>
      <c r="D105" s="33" t="inlineStr">
        <is>
          <t>VKT-011</t>
        </is>
      </c>
      <c r="E105" s="33" t="inlineStr">
        <is>
          <t>0.1.0-DRAFT</t>
        </is>
      </c>
      <c r="F105" s="33" t="inlineStr">
        <is>
          <t>ING-031</t>
        </is>
      </c>
      <c r="G105" s="33" t="inlineStr">
        <is>
          <t>Томаты свежие</t>
        </is>
      </c>
      <c r="H105" s="33" t="inlineStr">
        <is>
          <t>Основная рецептура</t>
        </is>
      </c>
      <c r="I105" s="33" t="n"/>
      <c r="J105" s="33" t="n">
        <v>88</v>
      </c>
      <c r="K105" s="33" t="inlineStr">
        <is>
          <t>г</t>
        </is>
      </c>
      <c r="L105" s="33" t="n">
        <v>80</v>
      </c>
      <c r="M105" s="33" t="n">
        <v>80</v>
      </c>
      <c r="N105" s="33" t="inlineStr">
        <is>
          <t>ASSUMPTION</t>
        </is>
      </c>
      <c r="O105" s="33" t="inlineStr">
        <is>
          <t>EVD-0007;EVD-0008</t>
        </is>
      </c>
      <c r="P105" s="33" t="inlineStr">
        <is>
          <t>GAP-004;GAP-005</t>
        </is>
      </c>
    </row>
    <row r="106">
      <c r="A106" s="33" t="inlineStr">
        <is>
          <t>RCP-0101</t>
        </is>
      </c>
      <c r="B106" s="33" t="inlineStr">
        <is>
          <t>VKM-011</t>
        </is>
      </c>
      <c r="C106" s="33" t="inlineStr">
        <is>
          <t>VKC-011</t>
        </is>
      </c>
      <c r="D106" s="33" t="inlineStr">
        <is>
          <t>VKT-011</t>
        </is>
      </c>
      <c r="E106" s="33" t="inlineStr">
        <is>
          <t>0.1.0-DRAFT</t>
        </is>
      </c>
      <c r="F106" s="33" t="inlineStr">
        <is>
          <t>ING-038</t>
        </is>
      </c>
      <c r="G106" s="33" t="inlineStr">
        <is>
          <t>Огурец свежий</t>
        </is>
      </c>
      <c r="H106" s="33" t="inlineStr">
        <is>
          <t>Основная рецептура</t>
        </is>
      </c>
      <c r="I106" s="33" t="n"/>
      <c r="J106" s="33" t="n">
        <v>68</v>
      </c>
      <c r="K106" s="33" t="inlineStr">
        <is>
          <t>г</t>
        </is>
      </c>
      <c r="L106" s="33" t="n">
        <v>60</v>
      </c>
      <c r="M106" s="33" t="n">
        <v>60</v>
      </c>
      <c r="N106" s="33" t="inlineStr">
        <is>
          <t>ASSUMPTION</t>
        </is>
      </c>
      <c r="O106" s="33" t="inlineStr">
        <is>
          <t>EVD-0007;EVD-0008</t>
        </is>
      </c>
      <c r="P106" s="33" t="inlineStr">
        <is>
          <t>GAP-004;GAP-005</t>
        </is>
      </c>
    </row>
    <row r="107">
      <c r="A107" s="33" t="inlineStr">
        <is>
          <t>RCP-0102</t>
        </is>
      </c>
      <c r="B107" s="33" t="inlineStr">
        <is>
          <t>VKM-011</t>
        </is>
      </c>
      <c r="C107" s="33" t="inlineStr">
        <is>
          <t>VKC-011</t>
        </is>
      </c>
      <c r="D107" s="33" t="inlineStr">
        <is>
          <t>VKT-011</t>
        </is>
      </c>
      <c r="E107" s="33" t="inlineStr">
        <is>
          <t>0.1.0-DRAFT</t>
        </is>
      </c>
      <c r="F107" s="33" t="inlineStr">
        <is>
          <t>ING-043</t>
        </is>
      </c>
      <c r="G107" s="33" t="inlineStr">
        <is>
          <t>Перец сладкий</t>
        </is>
      </c>
      <c r="H107" s="33" t="inlineStr">
        <is>
          <t>Основная рецептура</t>
        </is>
      </c>
      <c r="I107" s="33" t="n"/>
      <c r="J107" s="33" t="n">
        <v>48</v>
      </c>
      <c r="K107" s="33" t="inlineStr">
        <is>
          <t>г</t>
        </is>
      </c>
      <c r="L107" s="33" t="n">
        <v>40</v>
      </c>
      <c r="M107" s="33" t="n">
        <v>40</v>
      </c>
      <c r="N107" s="33" t="inlineStr">
        <is>
          <t>ASSUMPTION</t>
        </is>
      </c>
      <c r="O107" s="33" t="inlineStr">
        <is>
          <t>EVD-0007;EVD-0008</t>
        </is>
      </c>
      <c r="P107" s="33" t="inlineStr">
        <is>
          <t>GAP-004;GAP-005</t>
        </is>
      </c>
    </row>
    <row r="108">
      <c r="A108" s="33" t="inlineStr">
        <is>
          <t>RCP-0103</t>
        </is>
      </c>
      <c r="B108" s="33" t="inlineStr">
        <is>
          <t>VKM-011</t>
        </is>
      </c>
      <c r="C108" s="33" t="inlineStr">
        <is>
          <t>VKC-011</t>
        </is>
      </c>
      <c r="D108" s="33" t="inlineStr">
        <is>
          <t>VKT-011</t>
        </is>
      </c>
      <c r="E108" s="33" t="inlineStr">
        <is>
          <t>0.1.0-DRAFT</t>
        </is>
      </c>
      <c r="F108" s="33" t="inlineStr">
        <is>
          <t>ING-044</t>
        </is>
      </c>
      <c r="G108" s="33" t="inlineStr">
        <is>
          <t>Сыр фета</t>
        </is>
      </c>
      <c r="H108" s="33" t="inlineStr">
        <is>
          <t>Основная рецептура</t>
        </is>
      </c>
      <c r="I108" s="33" t="n"/>
      <c r="J108" s="33" t="n">
        <v>50</v>
      </c>
      <c r="K108" s="33" t="inlineStr">
        <is>
          <t>г</t>
        </is>
      </c>
      <c r="L108" s="33" t="n">
        <v>50</v>
      </c>
      <c r="M108" s="33" t="n">
        <v>50</v>
      </c>
      <c r="N108" s="33" t="inlineStr">
        <is>
          <t>ASSUMPTION</t>
        </is>
      </c>
      <c r="O108" s="33" t="inlineStr">
        <is>
          <t>EVD-0007;EVD-0008</t>
        </is>
      </c>
      <c r="P108" s="33" t="inlineStr">
        <is>
          <t>GAP-004;GAP-005</t>
        </is>
      </c>
    </row>
    <row r="109">
      <c r="A109" s="33" t="inlineStr">
        <is>
          <t>RCP-0104</t>
        </is>
      </c>
      <c r="B109" s="33" t="inlineStr">
        <is>
          <t>VKM-011</t>
        </is>
      </c>
      <c r="C109" s="33" t="inlineStr">
        <is>
          <t>VKC-011</t>
        </is>
      </c>
      <c r="D109" s="33" t="inlineStr">
        <is>
          <t>VKT-011</t>
        </is>
      </c>
      <c r="E109" s="33" t="inlineStr">
        <is>
          <t>0.1.0-DRAFT</t>
        </is>
      </c>
      <c r="F109" s="33" t="inlineStr">
        <is>
          <t>ING-045</t>
        </is>
      </c>
      <c r="G109" s="33" t="inlineStr">
        <is>
          <t>Оливки</t>
        </is>
      </c>
      <c r="H109" s="33" t="inlineStr">
        <is>
          <t>Основная рецептура</t>
        </is>
      </c>
      <c r="I109" s="33" t="n"/>
      <c r="J109" s="33" t="n">
        <v>21</v>
      </c>
      <c r="K109" s="33" t="inlineStr">
        <is>
          <t>г</t>
        </is>
      </c>
      <c r="L109" s="33" t="n">
        <v>20</v>
      </c>
      <c r="M109" s="33" t="n">
        <v>20</v>
      </c>
      <c r="N109" s="33" t="inlineStr">
        <is>
          <t>ASSUMPTION</t>
        </is>
      </c>
      <c r="O109" s="33" t="inlineStr">
        <is>
          <t>EVD-0007;EVD-0008</t>
        </is>
      </c>
      <c r="P109" s="33" t="inlineStr">
        <is>
          <t>GAP-004;GAP-005</t>
        </is>
      </c>
    </row>
    <row r="110">
      <c r="A110" s="33" t="inlineStr">
        <is>
          <t>RCP-0105</t>
        </is>
      </c>
      <c r="B110" s="33" t="inlineStr">
        <is>
          <t>VKM-011</t>
        </is>
      </c>
      <c r="C110" s="33" t="inlineStr">
        <is>
          <t>VKC-011</t>
        </is>
      </c>
      <c r="D110" s="33" t="inlineStr">
        <is>
          <t>VKT-011</t>
        </is>
      </c>
      <c r="E110" s="33" t="inlineStr">
        <is>
          <t>0.1.0-DRAFT</t>
        </is>
      </c>
      <c r="F110" s="33" t="inlineStr">
        <is>
          <t>ING-046</t>
        </is>
      </c>
      <c r="G110" s="33" t="inlineStr">
        <is>
          <t>Лук красный</t>
        </is>
      </c>
      <c r="H110" s="33" t="inlineStr">
        <is>
          <t>Основная рецептура</t>
        </is>
      </c>
      <c r="I110" s="33" t="n"/>
      <c r="J110" s="33" t="n">
        <v>12</v>
      </c>
      <c r="K110" s="33" t="inlineStr">
        <is>
          <t>г</t>
        </is>
      </c>
      <c r="L110" s="33" t="n">
        <v>10</v>
      </c>
      <c r="M110" s="33" t="n">
        <v>10</v>
      </c>
      <c r="N110" s="33" t="inlineStr">
        <is>
          <t>ASSUMPTION</t>
        </is>
      </c>
      <c r="O110" s="33" t="inlineStr">
        <is>
          <t>EVD-0007;EVD-0008</t>
        </is>
      </c>
      <c r="P110" s="33" t="inlineStr">
        <is>
          <t>GAP-004;GAP-005</t>
        </is>
      </c>
    </row>
    <row r="111">
      <c r="A111" s="33" t="inlineStr">
        <is>
          <t>RCP-0106</t>
        </is>
      </c>
      <c r="B111" s="33" t="inlineStr">
        <is>
          <t>VKM-011</t>
        </is>
      </c>
      <c r="C111" s="33" t="inlineStr">
        <is>
          <t>VKC-011</t>
        </is>
      </c>
      <c r="D111" s="33" t="inlineStr">
        <is>
          <t>VKT-011</t>
        </is>
      </c>
      <c r="E111" s="33" t="inlineStr">
        <is>
          <t>0.1.0-DRAFT</t>
        </is>
      </c>
      <c r="F111" s="33" t="inlineStr">
        <is>
          <t>ING-005</t>
        </is>
      </c>
      <c r="G111" s="33" t="inlineStr">
        <is>
          <t>Масло оливковое</t>
        </is>
      </c>
      <c r="H111" s="33" t="inlineStr">
        <is>
          <t>Заправка</t>
        </is>
      </c>
      <c r="I111" s="33" t="inlineStr">
        <is>
          <t>VSF-009</t>
        </is>
      </c>
      <c r="J111" s="33" t="n">
        <v>7</v>
      </c>
      <c r="K111" s="33" t="inlineStr">
        <is>
          <t>г</t>
        </is>
      </c>
      <c r="L111" s="33" t="n">
        <v>7</v>
      </c>
      <c r="M111" s="33" t="n">
        <v>7</v>
      </c>
      <c r="N111" s="33" t="inlineStr">
        <is>
          <t>ASSUMPTION</t>
        </is>
      </c>
      <c r="O111" s="33" t="inlineStr">
        <is>
          <t>EVD-0007;EVD-0008</t>
        </is>
      </c>
      <c r="P111" s="33" t="inlineStr">
        <is>
          <t>GAP-004;GAP-005</t>
        </is>
      </c>
    </row>
    <row r="112">
      <c r="A112" s="33" t="inlineStr">
        <is>
          <t>RCP-0107</t>
        </is>
      </c>
      <c r="B112" s="33" t="inlineStr">
        <is>
          <t>VKM-011</t>
        </is>
      </c>
      <c r="C112" s="33" t="inlineStr">
        <is>
          <t>VKC-011</t>
        </is>
      </c>
      <c r="D112" s="33" t="inlineStr">
        <is>
          <t>VKT-011</t>
        </is>
      </c>
      <c r="E112" s="33" t="inlineStr">
        <is>
          <t>0.1.0-DRAFT</t>
        </is>
      </c>
      <c r="F112" s="33" t="inlineStr">
        <is>
          <t>ING-039</t>
        </is>
      </c>
      <c r="G112" s="33" t="inlineStr">
        <is>
          <t>Сок лимона</t>
        </is>
      </c>
      <c r="H112" s="33" t="inlineStr">
        <is>
          <t>Заправка</t>
        </is>
      </c>
      <c r="I112" s="33" t="inlineStr">
        <is>
          <t>VSF-009</t>
        </is>
      </c>
      <c r="J112" s="33" t="n">
        <v>3</v>
      </c>
      <c r="K112" s="33" t="inlineStr">
        <is>
          <t>г</t>
        </is>
      </c>
      <c r="L112" s="33" t="n">
        <v>2</v>
      </c>
      <c r="M112" s="33" t="n">
        <v>2</v>
      </c>
      <c r="N112" s="33" t="inlineStr">
        <is>
          <t>ASSUMPTION</t>
        </is>
      </c>
      <c r="O112" s="33" t="inlineStr">
        <is>
          <t>EVD-0007;EVD-0008</t>
        </is>
      </c>
      <c r="P112" s="33" t="inlineStr">
        <is>
          <t>GAP-004;GAP-005</t>
        </is>
      </c>
    </row>
    <row r="113">
      <c r="A113" s="33" t="inlineStr">
        <is>
          <t>RCP-0108</t>
        </is>
      </c>
      <c r="B113" s="33" t="inlineStr">
        <is>
          <t>VKM-011</t>
        </is>
      </c>
      <c r="C113" s="33" t="inlineStr">
        <is>
          <t>VKC-011</t>
        </is>
      </c>
      <c r="D113" s="33" t="inlineStr">
        <is>
          <t>VKT-011</t>
        </is>
      </c>
      <c r="E113" s="33" t="inlineStr">
        <is>
          <t>0.1.0-DRAFT</t>
        </is>
      </c>
      <c r="F113" s="33" t="inlineStr">
        <is>
          <t>ING-047</t>
        </is>
      </c>
      <c r="G113" s="33" t="inlineStr">
        <is>
          <t>Орегано и соль</t>
        </is>
      </c>
      <c r="H113" s="33" t="inlineStr">
        <is>
          <t>Заправка</t>
        </is>
      </c>
      <c r="I113" s="33" t="inlineStr">
        <is>
          <t>VSF-009</t>
        </is>
      </c>
      <c r="J113" s="33" t="n">
        <v>1</v>
      </c>
      <c r="K113" s="33" t="inlineStr">
        <is>
          <t>г</t>
        </is>
      </c>
      <c r="L113" s="33" t="n">
        <v>1</v>
      </c>
      <c r="M113" s="33" t="n">
        <v>1</v>
      </c>
      <c r="N113" s="33" t="inlineStr">
        <is>
          <t>ASSUMPTION</t>
        </is>
      </c>
      <c r="O113" s="33" t="inlineStr">
        <is>
          <t>EVD-0007;EVD-0008</t>
        </is>
      </c>
      <c r="P113" s="33" t="inlineStr">
        <is>
          <t>GAP-004;GAP-005</t>
        </is>
      </c>
    </row>
    <row r="114">
      <c r="A114" s="33" t="inlineStr">
        <is>
          <t>RCP-0109</t>
        </is>
      </c>
      <c r="B114" s="33" t="inlineStr">
        <is>
          <t>VKM-012</t>
        </is>
      </c>
      <c r="C114" s="33" t="inlineStr">
        <is>
          <t>VKC-012</t>
        </is>
      </c>
      <c r="D114" s="33" t="inlineStr">
        <is>
          <t>VKT-012</t>
        </is>
      </c>
      <c r="E114" s="33" t="inlineStr">
        <is>
          <t>0.1.0-DRAFT</t>
        </is>
      </c>
      <c r="F114" s="33" t="inlineStr">
        <is>
          <t>ING-048</t>
        </is>
      </c>
      <c r="G114" s="33" t="inlineStr">
        <is>
          <t>Свёкла отварная</t>
        </is>
      </c>
      <c r="H114" s="33" t="inlineStr">
        <is>
          <t>Овощной полуфабрикат</t>
        </is>
      </c>
      <c r="I114" s="33" t="inlineStr">
        <is>
          <t>VSF-010</t>
        </is>
      </c>
      <c r="J114" s="33" t="n">
        <v>95</v>
      </c>
      <c r="K114" s="33" t="inlineStr">
        <is>
          <t>г</t>
        </is>
      </c>
      <c r="L114" s="33" t="n">
        <v>88</v>
      </c>
      <c r="M114" s="33" t="n">
        <v>80</v>
      </c>
      <c r="N114" s="33" t="inlineStr">
        <is>
          <t>ASSUMPTION</t>
        </is>
      </c>
      <c r="O114" s="33" t="inlineStr">
        <is>
          <t>EVD-0007;EVD-0008</t>
        </is>
      </c>
      <c r="P114" s="33" t="inlineStr">
        <is>
          <t>GAP-004;GAP-005</t>
        </is>
      </c>
    </row>
    <row r="115">
      <c r="A115" s="33" t="inlineStr">
        <is>
          <t>RCP-0110</t>
        </is>
      </c>
      <c r="B115" s="33" t="inlineStr">
        <is>
          <t>VKM-012</t>
        </is>
      </c>
      <c r="C115" s="33" t="inlineStr">
        <is>
          <t>VKC-012</t>
        </is>
      </c>
      <c r="D115" s="33" t="inlineStr">
        <is>
          <t>VKT-012</t>
        </is>
      </c>
      <c r="E115" s="33" t="inlineStr">
        <is>
          <t>0.1.0-DRAFT</t>
        </is>
      </c>
      <c r="F115" s="33" t="inlineStr">
        <is>
          <t>ING-049</t>
        </is>
      </c>
      <c r="G115" s="33" t="inlineStr">
        <is>
          <t>Картофель отварной</t>
        </is>
      </c>
      <c r="H115" s="33" t="inlineStr">
        <is>
          <t>Овощной полуфабрикат</t>
        </is>
      </c>
      <c r="I115" s="33" t="inlineStr">
        <is>
          <t>VSF-010</t>
        </is>
      </c>
      <c r="J115" s="33" t="n">
        <v>65</v>
      </c>
      <c r="K115" s="33" t="inlineStr">
        <is>
          <t>г</t>
        </is>
      </c>
      <c r="L115" s="33" t="n">
        <v>58</v>
      </c>
      <c r="M115" s="33" t="n">
        <v>50</v>
      </c>
      <c r="N115" s="33" t="inlineStr">
        <is>
          <t>ASSUMPTION</t>
        </is>
      </c>
      <c r="O115" s="33" t="inlineStr">
        <is>
          <t>EVD-0007;EVD-0008</t>
        </is>
      </c>
      <c r="P115" s="33" t="inlineStr">
        <is>
          <t>GAP-004;GAP-005</t>
        </is>
      </c>
    </row>
    <row r="116">
      <c r="A116" s="33" t="inlineStr">
        <is>
          <t>RCP-0111</t>
        </is>
      </c>
      <c r="B116" s="33" t="inlineStr">
        <is>
          <t>VKM-012</t>
        </is>
      </c>
      <c r="C116" s="33" t="inlineStr">
        <is>
          <t>VKC-012</t>
        </is>
      </c>
      <c r="D116" s="33" t="inlineStr">
        <is>
          <t>VKT-012</t>
        </is>
      </c>
      <c r="E116" s="33" t="inlineStr">
        <is>
          <t>0.1.0-DRAFT</t>
        </is>
      </c>
      <c r="F116" s="33" t="inlineStr">
        <is>
          <t>ING-050</t>
        </is>
      </c>
      <c r="G116" s="33" t="inlineStr">
        <is>
          <t>Морковь отварная</t>
        </is>
      </c>
      <c r="H116" s="33" t="inlineStr">
        <is>
          <t>Овощной полуфабрикат</t>
        </is>
      </c>
      <c r="I116" s="33" t="inlineStr">
        <is>
          <t>VSF-010</t>
        </is>
      </c>
      <c r="J116" s="33" t="n">
        <v>38</v>
      </c>
      <c r="K116" s="33" t="inlineStr">
        <is>
          <t>г</t>
        </is>
      </c>
      <c r="L116" s="33" t="n">
        <v>34</v>
      </c>
      <c r="M116" s="33" t="n">
        <v>30</v>
      </c>
      <c r="N116" s="33" t="inlineStr">
        <is>
          <t>ASSUMPTION</t>
        </is>
      </c>
      <c r="O116" s="33" t="inlineStr">
        <is>
          <t>EVD-0007;EVD-0008</t>
        </is>
      </c>
      <c r="P116" s="33" t="inlineStr">
        <is>
          <t>GAP-004;GAP-005</t>
        </is>
      </c>
    </row>
    <row r="117">
      <c r="A117" s="33" t="inlineStr">
        <is>
          <t>RCP-0112</t>
        </is>
      </c>
      <c r="B117" s="33" t="inlineStr">
        <is>
          <t>VKM-012</t>
        </is>
      </c>
      <c r="C117" s="33" t="inlineStr">
        <is>
          <t>VKC-012</t>
        </is>
      </c>
      <c r="D117" s="33" t="inlineStr">
        <is>
          <t>VKT-012</t>
        </is>
      </c>
      <c r="E117" s="33" t="inlineStr">
        <is>
          <t>0.1.0-DRAFT</t>
        </is>
      </c>
      <c r="F117" s="33" t="inlineStr">
        <is>
          <t>ING-051</t>
        </is>
      </c>
      <c r="G117" s="33" t="inlineStr">
        <is>
          <t>Огурец солёный</t>
        </is>
      </c>
      <c r="H117" s="33" t="inlineStr">
        <is>
          <t>Сборка</t>
        </is>
      </c>
      <c r="I117" s="33" t="n"/>
      <c r="J117" s="33" t="n">
        <v>40</v>
      </c>
      <c r="K117" s="33" t="inlineStr">
        <is>
          <t>г</t>
        </is>
      </c>
      <c r="L117" s="33" t="n">
        <v>35</v>
      </c>
      <c r="M117" s="33" t="n">
        <v>35</v>
      </c>
      <c r="N117" s="33" t="inlineStr">
        <is>
          <t>ASSUMPTION</t>
        </is>
      </c>
      <c r="O117" s="33" t="inlineStr">
        <is>
          <t>EVD-0007;EVD-0008</t>
        </is>
      </c>
      <c r="P117" s="33" t="inlineStr">
        <is>
          <t>GAP-004;GAP-005</t>
        </is>
      </c>
    </row>
    <row r="118">
      <c r="A118" s="33" t="inlineStr">
        <is>
          <t>RCP-0113</t>
        </is>
      </c>
      <c r="B118" s="33" t="inlineStr">
        <is>
          <t>VKM-012</t>
        </is>
      </c>
      <c r="C118" s="33" t="inlineStr">
        <is>
          <t>VKC-012</t>
        </is>
      </c>
      <c r="D118" s="33" t="inlineStr">
        <is>
          <t>VKT-012</t>
        </is>
      </c>
      <c r="E118" s="33" t="inlineStr">
        <is>
          <t>0.1.0-DRAFT</t>
        </is>
      </c>
      <c r="F118" s="33" t="inlineStr">
        <is>
          <t>ING-052</t>
        </is>
      </c>
      <c r="G118" s="33" t="inlineStr">
        <is>
          <t>Капуста квашеная</t>
        </is>
      </c>
      <c r="H118" s="33" t="inlineStr">
        <is>
          <t>Сборка</t>
        </is>
      </c>
      <c r="I118" s="33" t="n"/>
      <c r="J118" s="33" t="n">
        <v>28</v>
      </c>
      <c r="K118" s="33" t="inlineStr">
        <is>
          <t>г</t>
        </is>
      </c>
      <c r="L118" s="33" t="n">
        <v>25</v>
      </c>
      <c r="M118" s="33" t="n">
        <v>25</v>
      </c>
      <c r="N118" s="33" t="inlineStr">
        <is>
          <t>ASSUMPTION</t>
        </is>
      </c>
      <c r="O118" s="33" t="inlineStr">
        <is>
          <t>EVD-0007;EVD-0008</t>
        </is>
      </c>
      <c r="P118" s="33" t="inlineStr">
        <is>
          <t>GAP-004;GAP-005</t>
        </is>
      </c>
    </row>
    <row r="119">
      <c r="A119" s="33" t="inlineStr">
        <is>
          <t>RCP-0114</t>
        </is>
      </c>
      <c r="B119" s="33" t="inlineStr">
        <is>
          <t>VKM-012</t>
        </is>
      </c>
      <c r="C119" s="33" t="inlineStr">
        <is>
          <t>VKC-012</t>
        </is>
      </c>
      <c r="D119" s="33" t="inlineStr">
        <is>
          <t>VKT-012</t>
        </is>
      </c>
      <c r="E119" s="33" t="inlineStr">
        <is>
          <t>0.1.0-DRAFT</t>
        </is>
      </c>
      <c r="F119" s="33" t="inlineStr">
        <is>
          <t>ING-053</t>
        </is>
      </c>
      <c r="G119" s="33" t="inlineStr">
        <is>
          <t>Горошек консервированный без заливки</t>
        </is>
      </c>
      <c r="H119" s="33" t="inlineStr">
        <is>
          <t>Сборка</t>
        </is>
      </c>
      <c r="I119" s="33" t="n"/>
      <c r="J119" s="33" t="n">
        <v>16</v>
      </c>
      <c r="K119" s="33" t="inlineStr">
        <is>
          <t>г</t>
        </is>
      </c>
      <c r="L119" s="33" t="n">
        <v>10</v>
      </c>
      <c r="M119" s="33" t="n">
        <v>10</v>
      </c>
      <c r="N119" s="33" t="inlineStr">
        <is>
          <t>ASSUMPTION</t>
        </is>
      </c>
      <c r="O119" s="33" t="inlineStr">
        <is>
          <t>EVD-0007;EVD-0008</t>
        </is>
      </c>
      <c r="P119" s="33" t="inlineStr">
        <is>
          <t>GAP-004;GAP-005</t>
        </is>
      </c>
    </row>
    <row r="120">
      <c r="A120" s="33" t="inlineStr">
        <is>
          <t>RCP-0115</t>
        </is>
      </c>
      <c r="B120" s="33" t="inlineStr">
        <is>
          <t>VKM-012</t>
        </is>
      </c>
      <c r="C120" s="33" t="inlineStr">
        <is>
          <t>VKC-012</t>
        </is>
      </c>
      <c r="D120" s="33" t="inlineStr">
        <is>
          <t>VKT-012</t>
        </is>
      </c>
      <c r="E120" s="33" t="inlineStr">
        <is>
          <t>0.1.0-DRAFT</t>
        </is>
      </c>
      <c r="F120" s="33" t="inlineStr">
        <is>
          <t>ING-016</t>
        </is>
      </c>
      <c r="G120" s="33" t="inlineStr">
        <is>
          <t>Лук репчатый</t>
        </is>
      </c>
      <c r="H120" s="33" t="inlineStr">
        <is>
          <t>Сборка</t>
        </is>
      </c>
      <c r="I120" s="33" t="n"/>
      <c r="J120" s="33" t="n">
        <v>6</v>
      </c>
      <c r="K120" s="33" t="inlineStr">
        <is>
          <t>г</t>
        </is>
      </c>
      <c r="L120" s="33" t="n">
        <v>5</v>
      </c>
      <c r="M120" s="33" t="n">
        <v>5</v>
      </c>
      <c r="N120" s="33" t="inlineStr">
        <is>
          <t>ASSUMPTION</t>
        </is>
      </c>
      <c r="O120" s="33" t="inlineStr">
        <is>
          <t>EVD-0007;EVD-0008</t>
        </is>
      </c>
      <c r="P120" s="33" t="inlineStr">
        <is>
          <t>GAP-004;GAP-005</t>
        </is>
      </c>
    </row>
    <row r="121">
      <c r="A121" s="33" t="inlineStr">
        <is>
          <t>RCP-0116</t>
        </is>
      </c>
      <c r="B121" s="33" t="inlineStr">
        <is>
          <t>VKM-012</t>
        </is>
      </c>
      <c r="C121" s="33" t="inlineStr">
        <is>
          <t>VKC-012</t>
        </is>
      </c>
      <c r="D121" s="33" t="inlineStr">
        <is>
          <t>VKT-012</t>
        </is>
      </c>
      <c r="E121" s="33" t="inlineStr">
        <is>
          <t>0.1.0-DRAFT</t>
        </is>
      </c>
      <c r="F121" s="33" t="inlineStr">
        <is>
          <t>ING-024</t>
        </is>
      </c>
      <c r="G121" s="33" t="inlineStr">
        <is>
          <t>Масло растительное</t>
        </is>
      </c>
      <c r="H121" s="33" t="inlineStr">
        <is>
          <t>Заправка</t>
        </is>
      </c>
      <c r="I121" s="33" t="n"/>
      <c r="J121" s="33" t="n">
        <v>5</v>
      </c>
      <c r="K121" s="33" t="inlineStr">
        <is>
          <t>г</t>
        </is>
      </c>
      <c r="L121" s="33" t="n">
        <v>5</v>
      </c>
      <c r="M121" s="33" t="n">
        <v>5</v>
      </c>
      <c r="N121" s="33" t="inlineStr">
        <is>
          <t>ASSUMPTION</t>
        </is>
      </c>
      <c r="O121" s="33" t="inlineStr">
        <is>
          <t>EVD-0007;EVD-0008</t>
        </is>
      </c>
      <c r="P121" s="33" t="inlineStr">
        <is>
          <t>GAP-004;GAP-005</t>
        </is>
      </c>
    </row>
    <row r="122">
      <c r="A122" s="33" t="inlineStr">
        <is>
          <t>RCP-0117</t>
        </is>
      </c>
      <c r="B122" s="33" t="inlineStr">
        <is>
          <t>VKM-013</t>
        </is>
      </c>
      <c r="C122" s="33" t="inlineStr">
        <is>
          <t>VKC-013</t>
        </is>
      </c>
      <c r="D122" s="33" t="inlineStr">
        <is>
          <t>VKT-013</t>
        </is>
      </c>
      <c r="E122" s="33" t="inlineStr">
        <is>
          <t>0.1.0-DRAFT</t>
        </is>
      </c>
      <c r="F122" s="33" t="inlineStr">
        <is>
          <t>ING-054</t>
        </is>
      </c>
      <c r="G122" s="33" t="inlineStr">
        <is>
          <t>Лосось слабосолёный, готовое филе</t>
        </is>
      </c>
      <c r="H122" s="33" t="inlineStr">
        <is>
          <t>Основная рецептура</t>
        </is>
      </c>
      <c r="I122" s="33" t="n"/>
      <c r="J122" s="33" t="n">
        <v>110</v>
      </c>
      <c r="K122" s="33" t="inlineStr">
        <is>
          <t>г</t>
        </is>
      </c>
      <c r="L122" s="33" t="n">
        <v>100</v>
      </c>
      <c r="M122" s="33" t="n">
        <v>100</v>
      </c>
      <c r="N122" s="33" t="inlineStr">
        <is>
          <t>ASSUMPTION</t>
        </is>
      </c>
      <c r="O122" s="33" t="inlineStr">
        <is>
          <t>EVD-0007;EVD-0008</t>
        </is>
      </c>
      <c r="P122" s="33" t="inlineStr">
        <is>
          <t>GAP-004;GAP-005</t>
        </is>
      </c>
    </row>
    <row r="123">
      <c r="A123" s="33" t="inlineStr">
        <is>
          <t>RCP-0118</t>
        </is>
      </c>
      <c r="B123" s="33" t="inlineStr">
        <is>
          <t>VKM-013</t>
        </is>
      </c>
      <c r="C123" s="33" t="inlineStr">
        <is>
          <t>VKC-013</t>
        </is>
      </c>
      <c r="D123" s="33" t="inlineStr">
        <is>
          <t>VKT-013</t>
        </is>
      </c>
      <c r="E123" s="33" t="inlineStr">
        <is>
          <t>0.1.0-DRAFT</t>
        </is>
      </c>
      <c r="F123" s="33" t="inlineStr">
        <is>
          <t>ING-055</t>
        </is>
      </c>
      <c r="G123" s="33" t="inlineStr">
        <is>
          <t>Лимон</t>
        </is>
      </c>
      <c r="H123" s="33" t="inlineStr">
        <is>
          <t>Основная рецептура</t>
        </is>
      </c>
      <c r="I123" s="33" t="n"/>
      <c r="J123" s="33" t="n">
        <v>13</v>
      </c>
      <c r="K123" s="33" t="inlineStr">
        <is>
          <t>г</t>
        </is>
      </c>
      <c r="L123" s="33" t="n">
        <v>10</v>
      </c>
      <c r="M123" s="33" t="n">
        <v>10</v>
      </c>
      <c r="N123" s="33" t="inlineStr">
        <is>
          <t>ASSUMPTION</t>
        </is>
      </c>
      <c r="O123" s="33" t="inlineStr">
        <is>
          <t>EVD-0007;EVD-0008</t>
        </is>
      </c>
      <c r="P123" s="33" t="inlineStr">
        <is>
          <t>GAP-004;GAP-005</t>
        </is>
      </c>
    </row>
    <row r="124">
      <c r="A124" s="33" t="inlineStr">
        <is>
          <t>RCP-0119</t>
        </is>
      </c>
      <c r="B124" s="33" t="inlineStr">
        <is>
          <t>VKM-013</t>
        </is>
      </c>
      <c r="C124" s="33" t="inlineStr">
        <is>
          <t>VKC-013</t>
        </is>
      </c>
      <c r="D124" s="33" t="inlineStr">
        <is>
          <t>VKT-013</t>
        </is>
      </c>
      <c r="E124" s="33" t="inlineStr">
        <is>
          <t>0.1.0-DRAFT</t>
        </is>
      </c>
      <c r="F124" s="33" t="inlineStr">
        <is>
          <t>ING-034</t>
        </is>
      </c>
      <c r="G124" s="33" t="inlineStr">
        <is>
          <t>Салатная зелень</t>
        </is>
      </c>
      <c r="H124" s="33" t="inlineStr">
        <is>
          <t>Основная рецептура</t>
        </is>
      </c>
      <c r="I124" s="33" t="n"/>
      <c r="J124" s="33" t="n">
        <v>12</v>
      </c>
      <c r="K124" s="33" t="inlineStr">
        <is>
          <t>г</t>
        </is>
      </c>
      <c r="L124" s="33" t="n">
        <v>10</v>
      </c>
      <c r="M124" s="33" t="n">
        <v>10</v>
      </c>
      <c r="N124" s="33" t="inlineStr">
        <is>
          <t>ASSUMPTION</t>
        </is>
      </c>
      <c r="O124" s="33" t="inlineStr">
        <is>
          <t>EVD-0007;EVD-0008</t>
        </is>
      </c>
      <c r="P124" s="33" t="inlineStr">
        <is>
          <t>GAP-004;GAP-005</t>
        </is>
      </c>
    </row>
    <row r="125">
      <c r="A125" s="33" t="inlineStr">
        <is>
          <t>RCP-0120</t>
        </is>
      </c>
      <c r="B125" s="33" t="inlineStr">
        <is>
          <t>VKM-013</t>
        </is>
      </c>
      <c r="C125" s="33" t="inlineStr">
        <is>
          <t>VKC-013</t>
        </is>
      </c>
      <c r="D125" s="33" t="inlineStr">
        <is>
          <t>VKT-013</t>
        </is>
      </c>
      <c r="E125" s="33" t="inlineStr">
        <is>
          <t>0.1.0-DRAFT</t>
        </is>
      </c>
      <c r="F125" s="33" t="inlineStr">
        <is>
          <t>ING-056</t>
        </is>
      </c>
      <c r="G125" s="33" t="inlineStr">
        <is>
          <t>Каперсы</t>
        </is>
      </c>
      <c r="H125" s="33" t="inlineStr">
        <is>
          <t>Основная рецептура</t>
        </is>
      </c>
      <c r="I125" s="33" t="n"/>
      <c r="J125" s="33" t="n">
        <v>6</v>
      </c>
      <c r="K125" s="33" t="inlineStr">
        <is>
          <t>г</t>
        </is>
      </c>
      <c r="L125" s="33" t="n">
        <v>5</v>
      </c>
      <c r="M125" s="33" t="n">
        <v>5</v>
      </c>
      <c r="N125" s="33" t="inlineStr">
        <is>
          <t>ASSUMPTION</t>
        </is>
      </c>
      <c r="O125" s="33" t="inlineStr">
        <is>
          <t>EVD-0007;EVD-0008</t>
        </is>
      </c>
      <c r="P125" s="33" t="inlineStr">
        <is>
          <t>GAP-004;GAP-005</t>
        </is>
      </c>
    </row>
    <row r="126">
      <c r="A126" s="33" t="inlineStr">
        <is>
          <t>RCP-0121</t>
        </is>
      </c>
      <c r="B126" s="33" t="inlineStr">
        <is>
          <t>VKM-013</t>
        </is>
      </c>
      <c r="C126" s="33" t="inlineStr">
        <is>
          <t>VKC-013</t>
        </is>
      </c>
      <c r="D126" s="33" t="inlineStr">
        <is>
          <t>VKT-013</t>
        </is>
      </c>
      <c r="E126" s="33" t="inlineStr">
        <is>
          <t>0.1.0-DRAFT</t>
        </is>
      </c>
      <c r="F126" s="33" t="inlineStr">
        <is>
          <t>ING-024</t>
        </is>
      </c>
      <c r="G126" s="33" t="inlineStr">
        <is>
          <t>Масло растительное</t>
        </is>
      </c>
      <c r="H126" s="33" t="inlineStr">
        <is>
          <t>Основная рецептура</t>
        </is>
      </c>
      <c r="I126" s="33" t="n"/>
      <c r="J126" s="33" t="n">
        <v>5</v>
      </c>
      <c r="K126" s="33" t="inlineStr">
        <is>
          <t>г</t>
        </is>
      </c>
      <c r="L126" s="33" t="n">
        <v>5</v>
      </c>
      <c r="M126" s="33" t="n">
        <v>5</v>
      </c>
      <c r="N126" s="33" t="inlineStr">
        <is>
          <t>ASSUMPTION</t>
        </is>
      </c>
      <c r="O126" s="33" t="inlineStr">
        <is>
          <t>EVD-0007;EVD-0008</t>
        </is>
      </c>
      <c r="P126" s="33" t="inlineStr">
        <is>
          <t>GAP-004;GAP-005</t>
        </is>
      </c>
    </row>
    <row r="127">
      <c r="A127" s="33" t="inlineStr">
        <is>
          <t>RCP-0122</t>
        </is>
      </c>
      <c r="B127" s="33" t="inlineStr">
        <is>
          <t>VKM-014</t>
        </is>
      </c>
      <c r="C127" s="33" t="inlineStr">
        <is>
          <t>VKC-014</t>
        </is>
      </c>
      <c r="D127" s="33" t="inlineStr">
        <is>
          <t>VKT-014</t>
        </is>
      </c>
      <c r="E127" s="33" t="inlineStr">
        <is>
          <t>0.1.0-DRAFT</t>
        </is>
      </c>
      <c r="F127" s="33" t="inlineStr">
        <is>
          <t>ING-057</t>
        </is>
      </c>
      <c r="G127" s="33" t="inlineStr">
        <is>
          <t>Сельдь, филе</t>
        </is>
      </c>
      <c r="H127" s="33" t="inlineStr">
        <is>
          <t>Сборка</t>
        </is>
      </c>
      <c r="I127" s="33" t="n"/>
      <c r="J127" s="33" t="n">
        <v>110</v>
      </c>
      <c r="K127" s="33" t="inlineStr">
        <is>
          <t>г</t>
        </is>
      </c>
      <c r="L127" s="33" t="n">
        <v>95</v>
      </c>
      <c r="M127" s="33" t="n">
        <v>90</v>
      </c>
      <c r="N127" s="33" t="inlineStr">
        <is>
          <t>ASSUMPTION</t>
        </is>
      </c>
      <c r="O127" s="33" t="inlineStr">
        <is>
          <t>EVD-0007;EVD-0008</t>
        </is>
      </c>
      <c r="P127" s="33" t="inlineStr">
        <is>
          <t>GAP-004;GAP-005</t>
        </is>
      </c>
    </row>
    <row r="128">
      <c r="A128" s="33" t="inlineStr">
        <is>
          <t>RCP-0123</t>
        </is>
      </c>
      <c r="B128" s="33" t="inlineStr">
        <is>
          <t>VKM-014</t>
        </is>
      </c>
      <c r="C128" s="33" t="inlineStr">
        <is>
          <t>VKC-014</t>
        </is>
      </c>
      <c r="D128" s="33" t="inlineStr">
        <is>
          <t>VKT-014</t>
        </is>
      </c>
      <c r="E128" s="33" t="inlineStr">
        <is>
          <t>0.1.0-DRAFT</t>
        </is>
      </c>
      <c r="F128" s="33" t="inlineStr">
        <is>
          <t>ING-058</t>
        </is>
      </c>
      <c r="G128" s="33" t="inlineStr">
        <is>
          <t>Картофель запечённый</t>
        </is>
      </c>
      <c r="H128" s="33" t="inlineStr">
        <is>
          <t>Картофельный полуфабрикат</t>
        </is>
      </c>
      <c r="I128" s="33" t="inlineStr">
        <is>
          <t>VSF-011</t>
        </is>
      </c>
      <c r="J128" s="33" t="n">
        <v>135</v>
      </c>
      <c r="K128" s="33" t="inlineStr">
        <is>
          <t>г</t>
        </is>
      </c>
      <c r="L128" s="33" t="n">
        <v>125</v>
      </c>
      <c r="M128" s="33" t="n">
        <v>110</v>
      </c>
      <c r="N128" s="33" t="inlineStr">
        <is>
          <t>ASSUMPTION</t>
        </is>
      </c>
      <c r="O128" s="33" t="inlineStr">
        <is>
          <t>EVD-0007;EVD-0008</t>
        </is>
      </c>
      <c r="P128" s="33" t="inlineStr">
        <is>
          <t>GAP-004;GAP-005</t>
        </is>
      </c>
    </row>
    <row r="129">
      <c r="A129" s="33" t="inlineStr">
        <is>
          <t>RCP-0124</t>
        </is>
      </c>
      <c r="B129" s="33" t="inlineStr">
        <is>
          <t>VKM-014</t>
        </is>
      </c>
      <c r="C129" s="33" t="inlineStr">
        <is>
          <t>VKC-014</t>
        </is>
      </c>
      <c r="D129" s="33" t="inlineStr">
        <is>
          <t>VKT-014</t>
        </is>
      </c>
      <c r="E129" s="33" t="inlineStr">
        <is>
          <t>0.1.0-DRAFT</t>
        </is>
      </c>
      <c r="F129" s="33" t="inlineStr">
        <is>
          <t>ING-046</t>
        </is>
      </c>
      <c r="G129" s="33" t="inlineStr">
        <is>
          <t>Лук красный</t>
        </is>
      </c>
      <c r="H129" s="33" t="inlineStr">
        <is>
          <t>Сборка</t>
        </is>
      </c>
      <c r="I129" s="33" t="n"/>
      <c r="J129" s="33" t="n">
        <v>24</v>
      </c>
      <c r="K129" s="33" t="inlineStr">
        <is>
          <t>г</t>
        </is>
      </c>
      <c r="L129" s="33" t="n">
        <v>20</v>
      </c>
      <c r="M129" s="33" t="n">
        <v>20</v>
      </c>
      <c r="N129" s="33" t="inlineStr">
        <is>
          <t>ASSUMPTION</t>
        </is>
      </c>
      <c r="O129" s="33" t="inlineStr">
        <is>
          <t>EVD-0007;EVD-0008</t>
        </is>
      </c>
      <c r="P129" s="33" t="inlineStr">
        <is>
          <t>GAP-004;GAP-005</t>
        </is>
      </c>
    </row>
    <row r="130">
      <c r="A130" s="33" t="inlineStr">
        <is>
          <t>RCP-0125</t>
        </is>
      </c>
      <c r="B130" s="33" t="inlineStr">
        <is>
          <t>VKM-014</t>
        </is>
      </c>
      <c r="C130" s="33" t="inlineStr">
        <is>
          <t>VKC-014</t>
        </is>
      </c>
      <c r="D130" s="33" t="inlineStr">
        <is>
          <t>VKT-014</t>
        </is>
      </c>
      <c r="E130" s="33" t="inlineStr">
        <is>
          <t>0.1.0-DRAFT</t>
        </is>
      </c>
      <c r="F130" s="33" t="inlineStr">
        <is>
          <t>ING-051</t>
        </is>
      </c>
      <c r="G130" s="33" t="inlineStr">
        <is>
          <t>Огурец солёный</t>
        </is>
      </c>
      <c r="H130" s="33" t="inlineStr">
        <is>
          <t>Сборка</t>
        </is>
      </c>
      <c r="I130" s="33" t="n"/>
      <c r="J130" s="33" t="n">
        <v>17</v>
      </c>
      <c r="K130" s="33" t="inlineStr">
        <is>
          <t>г</t>
        </is>
      </c>
      <c r="L130" s="33" t="n">
        <v>15</v>
      </c>
      <c r="M130" s="33" t="n">
        <v>15</v>
      </c>
      <c r="N130" s="33" t="inlineStr">
        <is>
          <t>ASSUMPTION</t>
        </is>
      </c>
      <c r="O130" s="33" t="inlineStr">
        <is>
          <t>EVD-0007;EVD-0008</t>
        </is>
      </c>
      <c r="P130" s="33" t="inlineStr">
        <is>
          <t>GAP-004;GAP-005</t>
        </is>
      </c>
    </row>
    <row r="131">
      <c r="A131" s="33" t="inlineStr">
        <is>
          <t>RCP-0126</t>
        </is>
      </c>
      <c r="B131" s="33" t="inlineStr">
        <is>
          <t>VKM-014</t>
        </is>
      </c>
      <c r="C131" s="33" t="inlineStr">
        <is>
          <t>VKC-014</t>
        </is>
      </c>
      <c r="D131" s="33" t="inlineStr">
        <is>
          <t>VKT-014</t>
        </is>
      </c>
      <c r="E131" s="33" t="inlineStr">
        <is>
          <t>0.1.0-DRAFT</t>
        </is>
      </c>
      <c r="F131" s="33" t="inlineStr">
        <is>
          <t>ING-024</t>
        </is>
      </c>
      <c r="G131" s="33" t="inlineStr">
        <is>
          <t>Масло растительное</t>
        </is>
      </c>
      <c r="H131" s="33" t="inlineStr">
        <is>
          <t>Заправка</t>
        </is>
      </c>
      <c r="I131" s="33" t="n"/>
      <c r="J131" s="33" t="n">
        <v>10</v>
      </c>
      <c r="K131" s="33" t="inlineStr">
        <is>
          <t>г</t>
        </is>
      </c>
      <c r="L131" s="33" t="n">
        <v>10</v>
      </c>
      <c r="M131" s="33" t="n">
        <v>10</v>
      </c>
      <c r="N131" s="33" t="inlineStr">
        <is>
          <t>ASSUMPTION</t>
        </is>
      </c>
      <c r="O131" s="33" t="inlineStr">
        <is>
          <t>EVD-0007;EVD-0008</t>
        </is>
      </c>
      <c r="P131" s="33" t="inlineStr">
        <is>
          <t>GAP-004;GAP-005</t>
        </is>
      </c>
    </row>
    <row r="132">
      <c r="A132" s="33" t="inlineStr">
        <is>
          <t>RCP-0127</t>
        </is>
      </c>
      <c r="B132" s="33" t="inlineStr">
        <is>
          <t>VKM-014</t>
        </is>
      </c>
      <c r="C132" s="33" t="inlineStr">
        <is>
          <t>VKC-014</t>
        </is>
      </c>
      <c r="D132" s="33" t="inlineStr">
        <is>
          <t>VKT-014</t>
        </is>
      </c>
      <c r="E132" s="33" t="inlineStr">
        <is>
          <t>0.1.0-DRAFT</t>
        </is>
      </c>
      <c r="F132" s="33" t="inlineStr">
        <is>
          <t>ING-059</t>
        </is>
      </c>
      <c r="G132" s="33" t="inlineStr">
        <is>
          <t>Зелень</t>
        </is>
      </c>
      <c r="H132" s="33" t="inlineStr">
        <is>
          <t>Финиш</t>
        </is>
      </c>
      <c r="I132" s="33" t="n"/>
      <c r="J132" s="33" t="n">
        <v>6</v>
      </c>
      <c r="K132" s="33" t="inlineStr">
        <is>
          <t>г</t>
        </is>
      </c>
      <c r="L132" s="33" t="n">
        <v>5</v>
      </c>
      <c r="M132" s="33" t="n">
        <v>5</v>
      </c>
      <c r="N132" s="33" t="inlineStr">
        <is>
          <t>ASSUMPTION</t>
        </is>
      </c>
      <c r="O132" s="33" t="inlineStr">
        <is>
          <t>EVD-0007;EVD-0008</t>
        </is>
      </c>
      <c r="P132" s="33" t="inlineStr">
        <is>
          <t>GAP-004;GAP-005</t>
        </is>
      </c>
    </row>
    <row r="133">
      <c r="A133" s="33" t="inlineStr">
        <is>
          <t>RCP-0128</t>
        </is>
      </c>
      <c r="B133" s="33" t="inlineStr">
        <is>
          <t>VKM-015</t>
        </is>
      </c>
      <c r="C133" s="33" t="inlineStr">
        <is>
          <t>VKC-015</t>
        </is>
      </c>
      <c r="D133" s="33" t="inlineStr">
        <is>
          <t>VKT-015</t>
        </is>
      </c>
      <c r="E133" s="33" t="inlineStr">
        <is>
          <t>0.1.0-DRAFT</t>
        </is>
      </c>
      <c r="F133" s="33" t="inlineStr">
        <is>
          <t>ING-060</t>
        </is>
      </c>
      <c r="G133" s="33" t="inlineStr">
        <is>
          <t>Оливки зелёные без заливки</t>
        </is>
      </c>
      <c r="H133" s="33" t="inlineStr">
        <is>
          <t>Основная рецептура</t>
        </is>
      </c>
      <c r="I133" s="33" t="n"/>
      <c r="J133" s="33" t="n">
        <v>65</v>
      </c>
      <c r="K133" s="33" t="inlineStr">
        <is>
          <t>г</t>
        </is>
      </c>
      <c r="L133" s="33" t="n">
        <v>50</v>
      </c>
      <c r="M133" s="33" t="n">
        <v>50</v>
      </c>
      <c r="N133" s="33" t="inlineStr">
        <is>
          <t>ASSUMPTION</t>
        </is>
      </c>
      <c r="O133" s="33" t="inlineStr">
        <is>
          <t>EVD-0007;EVD-0008</t>
        </is>
      </c>
      <c r="P133" s="33" t="inlineStr">
        <is>
          <t>GAP-004;GAP-005</t>
        </is>
      </c>
    </row>
    <row r="134">
      <c r="A134" s="33" t="inlineStr">
        <is>
          <t>RCP-0129</t>
        </is>
      </c>
      <c r="B134" s="33" t="inlineStr">
        <is>
          <t>VKM-015</t>
        </is>
      </c>
      <c r="C134" s="33" t="inlineStr">
        <is>
          <t>VKC-015</t>
        </is>
      </c>
      <c r="D134" s="33" t="inlineStr">
        <is>
          <t>VKT-015</t>
        </is>
      </c>
      <c r="E134" s="33" t="inlineStr">
        <is>
          <t>0.1.0-DRAFT</t>
        </is>
      </c>
      <c r="F134" s="33" t="inlineStr">
        <is>
          <t>ING-061</t>
        </is>
      </c>
      <c r="G134" s="33" t="inlineStr">
        <is>
          <t>Маслины без заливки</t>
        </is>
      </c>
      <c r="H134" s="33" t="inlineStr">
        <is>
          <t>Основная рецептура</t>
        </is>
      </c>
      <c r="I134" s="33" t="n"/>
      <c r="J134" s="33" t="n">
        <v>65</v>
      </c>
      <c r="K134" s="33" t="inlineStr">
        <is>
          <t>г</t>
        </is>
      </c>
      <c r="L134" s="33" t="n">
        <v>50</v>
      </c>
      <c r="M134" s="33" t="n">
        <v>50</v>
      </c>
      <c r="N134" s="33" t="inlineStr">
        <is>
          <t>ASSUMPTION</t>
        </is>
      </c>
      <c r="O134" s="33" t="inlineStr">
        <is>
          <t>EVD-0007;EVD-0008</t>
        </is>
      </c>
      <c r="P134" s="33" t="inlineStr">
        <is>
          <t>GAP-004;GAP-005</t>
        </is>
      </c>
    </row>
    <row r="135">
      <c r="A135" s="33" t="inlineStr">
        <is>
          <t>RCP-0130</t>
        </is>
      </c>
      <c r="B135" s="33" t="inlineStr">
        <is>
          <t>VKM-015</t>
        </is>
      </c>
      <c r="C135" s="33" t="inlineStr">
        <is>
          <t>VKC-015</t>
        </is>
      </c>
      <c r="D135" s="33" t="inlineStr">
        <is>
          <t>VKT-015</t>
        </is>
      </c>
      <c r="E135" s="33" t="inlineStr">
        <is>
          <t>0.1.0-DRAFT</t>
        </is>
      </c>
      <c r="F135" s="33" t="inlineStr">
        <is>
          <t>ING-005</t>
        </is>
      </c>
      <c r="G135" s="33" t="inlineStr">
        <is>
          <t>Масло оливковое</t>
        </is>
      </c>
      <c r="H135" s="33" t="inlineStr">
        <is>
          <t>Маринад</t>
        </is>
      </c>
      <c r="I135" s="33" t="inlineStr">
        <is>
          <t>VSF-012</t>
        </is>
      </c>
      <c r="J135" s="33" t="n">
        <v>10</v>
      </c>
      <c r="K135" s="33" t="inlineStr">
        <is>
          <t>г</t>
        </is>
      </c>
      <c r="L135" s="33" t="n">
        <v>10</v>
      </c>
      <c r="M135" s="33" t="n">
        <v>10</v>
      </c>
      <c r="N135" s="33" t="inlineStr">
        <is>
          <t>ASSUMPTION</t>
        </is>
      </c>
      <c r="O135" s="33" t="inlineStr">
        <is>
          <t>EVD-0007;EVD-0008</t>
        </is>
      </c>
      <c r="P135" s="33" t="inlineStr">
        <is>
          <t>GAP-004;GAP-005</t>
        </is>
      </c>
    </row>
    <row r="136">
      <c r="A136" s="33" t="inlineStr">
        <is>
          <t>RCP-0131</t>
        </is>
      </c>
      <c r="B136" s="33" t="inlineStr">
        <is>
          <t>VKM-015</t>
        </is>
      </c>
      <c r="C136" s="33" t="inlineStr">
        <is>
          <t>VKC-015</t>
        </is>
      </c>
      <c r="D136" s="33" t="inlineStr">
        <is>
          <t>VKT-015</t>
        </is>
      </c>
      <c r="E136" s="33" t="inlineStr">
        <is>
          <t>0.1.0-DRAFT</t>
        </is>
      </c>
      <c r="F136" s="33" t="inlineStr">
        <is>
          <t>ING-062</t>
        </is>
      </c>
      <c r="G136" s="33" t="inlineStr">
        <is>
          <t>Цедра цитрусовая</t>
        </is>
      </c>
      <c r="H136" s="33" t="inlineStr">
        <is>
          <t>Маринад</t>
        </is>
      </c>
      <c r="I136" s="33" t="inlineStr">
        <is>
          <t>VSF-012</t>
        </is>
      </c>
      <c r="J136" s="33" t="n">
        <v>5</v>
      </c>
      <c r="K136" s="33" t="inlineStr">
        <is>
          <t>г</t>
        </is>
      </c>
      <c r="L136" s="33" t="n">
        <v>3</v>
      </c>
      <c r="M136" s="33" t="n">
        <v>3</v>
      </c>
      <c r="N136" s="33" t="inlineStr">
        <is>
          <t>ASSUMPTION</t>
        </is>
      </c>
      <c r="O136" s="33" t="inlineStr">
        <is>
          <t>EVD-0007;EVD-0008</t>
        </is>
      </c>
      <c r="P136" s="33" t="inlineStr">
        <is>
          <t>GAP-004;GAP-005</t>
        </is>
      </c>
    </row>
    <row r="137">
      <c r="A137" s="33" t="inlineStr">
        <is>
          <t>RCP-0132</t>
        </is>
      </c>
      <c r="B137" s="33" t="inlineStr">
        <is>
          <t>VKM-015</t>
        </is>
      </c>
      <c r="C137" s="33" t="inlineStr">
        <is>
          <t>VKC-015</t>
        </is>
      </c>
      <c r="D137" s="33" t="inlineStr">
        <is>
          <t>VKT-015</t>
        </is>
      </c>
      <c r="E137" s="33" t="inlineStr">
        <is>
          <t>0.1.0-DRAFT</t>
        </is>
      </c>
      <c r="F137" s="33" t="inlineStr">
        <is>
          <t>ING-007</t>
        </is>
      </c>
      <c r="G137" s="33" t="inlineStr">
        <is>
          <t>Чеснок</t>
        </is>
      </c>
      <c r="H137" s="33" t="inlineStr">
        <is>
          <t>Маринад</t>
        </is>
      </c>
      <c r="I137" s="33" t="inlineStr">
        <is>
          <t>VSF-012</t>
        </is>
      </c>
      <c r="J137" s="33" t="n">
        <v>2.3</v>
      </c>
      <c r="K137" s="33" t="inlineStr">
        <is>
          <t>г</t>
        </is>
      </c>
      <c r="L137" s="33" t="n">
        <v>2</v>
      </c>
      <c r="M137" s="33" t="n">
        <v>2</v>
      </c>
      <c r="N137" s="33" t="inlineStr">
        <is>
          <t>ASSUMPTION</t>
        </is>
      </c>
      <c r="O137" s="33" t="inlineStr">
        <is>
          <t>EVD-0007;EVD-0008</t>
        </is>
      </c>
      <c r="P137" s="33" t="inlineStr">
        <is>
          <t>GAP-004;GAP-005</t>
        </is>
      </c>
    </row>
    <row r="138">
      <c r="A138" s="33" t="inlineStr">
        <is>
          <t>RCP-0133</t>
        </is>
      </c>
      <c r="B138" s="33" t="inlineStr">
        <is>
          <t>VKM-015</t>
        </is>
      </c>
      <c r="C138" s="33" t="inlineStr">
        <is>
          <t>VKC-015</t>
        </is>
      </c>
      <c r="D138" s="33" t="inlineStr">
        <is>
          <t>VKT-015</t>
        </is>
      </c>
      <c r="E138" s="33" t="inlineStr">
        <is>
          <t>0.1.0-DRAFT</t>
        </is>
      </c>
      <c r="F138" s="33" t="inlineStr">
        <is>
          <t>ING-063</t>
        </is>
      </c>
      <c r="G138" s="33" t="inlineStr">
        <is>
          <t>Пряные травы</t>
        </is>
      </c>
      <c r="H138" s="33" t="inlineStr">
        <is>
          <t>Маринад</t>
        </is>
      </c>
      <c r="I138" s="33" t="inlineStr">
        <is>
          <t>VSF-012</t>
        </is>
      </c>
      <c r="J138" s="33" t="n">
        <v>5</v>
      </c>
      <c r="K138" s="33" t="inlineStr">
        <is>
          <t>г</t>
        </is>
      </c>
      <c r="L138" s="33" t="n">
        <v>5</v>
      </c>
      <c r="M138" s="33" t="n">
        <v>5</v>
      </c>
      <c r="N138" s="33" t="inlineStr">
        <is>
          <t>ASSUMPTION</t>
        </is>
      </c>
      <c r="O138" s="33" t="inlineStr">
        <is>
          <t>EVD-0007;EVD-0008</t>
        </is>
      </c>
      <c r="P138" s="33" t="inlineStr">
        <is>
          <t>GAP-004;GAP-005</t>
        </is>
      </c>
    </row>
    <row r="139">
      <c r="A139" s="33" t="inlineStr">
        <is>
          <t>RCP-0134</t>
        </is>
      </c>
      <c r="B139" s="33" t="inlineStr">
        <is>
          <t>VKM-016</t>
        </is>
      </c>
      <c r="C139" s="33" t="inlineStr">
        <is>
          <t>VKC-016</t>
        </is>
      </c>
      <c r="D139" s="33" t="inlineStr">
        <is>
          <t>VKT-016</t>
        </is>
      </c>
      <c r="E139" s="33" t="inlineStr">
        <is>
          <t>0.1.0-DRAFT</t>
        </is>
      </c>
      <c r="F139" s="33" t="inlineStr">
        <is>
          <t>ING-038</t>
        </is>
      </c>
      <c r="G139" s="33" t="inlineStr">
        <is>
          <t>Огурец свежий</t>
        </is>
      </c>
      <c r="H139" s="33" t="inlineStr">
        <is>
          <t>Ассорти</t>
        </is>
      </c>
      <c r="I139" s="33" t="inlineStr">
        <is>
          <t>VSF-014</t>
        </is>
      </c>
      <c r="J139" s="33" t="n">
        <v>58</v>
      </c>
      <c r="K139" s="33" t="inlineStr">
        <is>
          <t>г</t>
        </is>
      </c>
      <c r="L139" s="33" t="n">
        <v>52</v>
      </c>
      <c r="M139" s="33" t="n">
        <v>50</v>
      </c>
      <c r="N139" s="33" t="inlineStr">
        <is>
          <t>ASSUMPTION</t>
        </is>
      </c>
      <c r="O139" s="33" t="inlineStr">
        <is>
          <t>EVD-0007;EVD-0008</t>
        </is>
      </c>
      <c r="P139" s="33" t="inlineStr">
        <is>
          <t>GAP-004;GAP-005</t>
        </is>
      </c>
    </row>
    <row r="140">
      <c r="A140" s="33" t="inlineStr">
        <is>
          <t>RCP-0135</t>
        </is>
      </c>
      <c r="B140" s="33" t="inlineStr">
        <is>
          <t>VKM-016</t>
        </is>
      </c>
      <c r="C140" s="33" t="inlineStr">
        <is>
          <t>VKC-016</t>
        </is>
      </c>
      <c r="D140" s="33" t="inlineStr">
        <is>
          <t>VKT-016</t>
        </is>
      </c>
      <c r="E140" s="33" t="inlineStr">
        <is>
          <t>0.1.0-DRAFT</t>
        </is>
      </c>
      <c r="F140" s="33" t="inlineStr">
        <is>
          <t>ING-064</t>
        </is>
      </c>
      <c r="G140" s="33" t="inlineStr">
        <is>
          <t>Капуста белокочанная</t>
        </is>
      </c>
      <c r="H140" s="33" t="inlineStr">
        <is>
          <t>Ассорти</t>
        </is>
      </c>
      <c r="I140" s="33" t="inlineStr">
        <is>
          <t>VSF-014</t>
        </is>
      </c>
      <c r="J140" s="33" t="n">
        <v>48</v>
      </c>
      <c r="K140" s="33" t="inlineStr">
        <is>
          <t>г</t>
        </is>
      </c>
      <c r="L140" s="33" t="n">
        <v>42</v>
      </c>
      <c r="M140" s="33" t="n">
        <v>40</v>
      </c>
      <c r="N140" s="33" t="inlineStr">
        <is>
          <t>ASSUMPTION</t>
        </is>
      </c>
      <c r="O140" s="33" t="inlineStr">
        <is>
          <t>EVD-0007;EVD-0008</t>
        </is>
      </c>
      <c r="P140" s="33" t="inlineStr">
        <is>
          <t>GAP-004;GAP-005</t>
        </is>
      </c>
    </row>
    <row r="141">
      <c r="A141" s="33" t="inlineStr">
        <is>
          <t>RCP-0136</t>
        </is>
      </c>
      <c r="B141" s="33" t="inlineStr">
        <is>
          <t>VKM-016</t>
        </is>
      </c>
      <c r="C141" s="33" t="inlineStr">
        <is>
          <t>VKC-016</t>
        </is>
      </c>
      <c r="D141" s="33" t="inlineStr">
        <is>
          <t>VKT-016</t>
        </is>
      </c>
      <c r="E141" s="33" t="inlineStr">
        <is>
          <t>0.1.0-DRAFT</t>
        </is>
      </c>
      <c r="F141" s="33" t="inlineStr">
        <is>
          <t>ING-031</t>
        </is>
      </c>
      <c r="G141" s="33" t="inlineStr">
        <is>
          <t>Томаты свежие</t>
        </is>
      </c>
      <c r="H141" s="33" t="inlineStr">
        <is>
          <t>Ассорти</t>
        </is>
      </c>
      <c r="I141" s="33" t="inlineStr">
        <is>
          <t>VSF-014</t>
        </is>
      </c>
      <c r="J141" s="33" t="n">
        <v>44</v>
      </c>
      <c r="K141" s="33" t="inlineStr">
        <is>
          <t>г</t>
        </is>
      </c>
      <c r="L141" s="33" t="n">
        <v>40</v>
      </c>
      <c r="M141" s="33" t="n">
        <v>40</v>
      </c>
      <c r="N141" s="33" t="inlineStr">
        <is>
          <t>ASSUMPTION</t>
        </is>
      </c>
      <c r="O141" s="33" t="inlineStr">
        <is>
          <t>EVD-0007;EVD-0008</t>
        </is>
      </c>
      <c r="P141" s="33" t="inlineStr">
        <is>
          <t>GAP-004;GAP-005</t>
        </is>
      </c>
    </row>
    <row r="142">
      <c r="A142" s="33" t="inlineStr">
        <is>
          <t>RCP-0137</t>
        </is>
      </c>
      <c r="B142" s="33" t="inlineStr">
        <is>
          <t>VKM-016</t>
        </is>
      </c>
      <c r="C142" s="33" t="inlineStr">
        <is>
          <t>VKC-016</t>
        </is>
      </c>
      <c r="D142" s="33" t="inlineStr">
        <is>
          <t>VKT-016</t>
        </is>
      </c>
      <c r="E142" s="33" t="inlineStr">
        <is>
          <t>0.1.0-DRAFT</t>
        </is>
      </c>
      <c r="F142" s="33" t="inlineStr">
        <is>
          <t>ING-043</t>
        </is>
      </c>
      <c r="G142" s="33" t="inlineStr">
        <is>
          <t>Перец сладкий</t>
        </is>
      </c>
      <c r="H142" s="33" t="inlineStr">
        <is>
          <t>Ассорти</t>
        </is>
      </c>
      <c r="I142" s="33" t="inlineStr">
        <is>
          <t>VSF-014</t>
        </is>
      </c>
      <c r="J142" s="33" t="n">
        <v>36</v>
      </c>
      <c r="K142" s="33" t="inlineStr">
        <is>
          <t>г</t>
        </is>
      </c>
      <c r="L142" s="33" t="n">
        <v>31</v>
      </c>
      <c r="M142" s="33" t="n">
        <v>30</v>
      </c>
      <c r="N142" s="33" t="inlineStr">
        <is>
          <t>ASSUMPTION</t>
        </is>
      </c>
      <c r="O142" s="33" t="inlineStr">
        <is>
          <t>EVD-0007;EVD-0008</t>
        </is>
      </c>
      <c r="P142" s="33" t="inlineStr">
        <is>
          <t>GAP-004;GAP-005</t>
        </is>
      </c>
    </row>
    <row r="143">
      <c r="A143" s="33" t="inlineStr">
        <is>
          <t>RCP-0138</t>
        </is>
      </c>
      <c r="B143" s="33" t="inlineStr">
        <is>
          <t>VKM-016</t>
        </is>
      </c>
      <c r="C143" s="33" t="inlineStr">
        <is>
          <t>VKC-016</t>
        </is>
      </c>
      <c r="D143" s="33" t="inlineStr">
        <is>
          <t>VKT-016</t>
        </is>
      </c>
      <c r="E143" s="33" t="inlineStr">
        <is>
          <t>0.1.0-DRAFT</t>
        </is>
      </c>
      <c r="F143" s="33" t="inlineStr">
        <is>
          <t>ING-065</t>
        </is>
      </c>
      <c r="G143" s="33" t="inlineStr">
        <is>
          <t>Уксус пищевой</t>
        </is>
      </c>
      <c r="H143" s="33" t="inlineStr">
        <is>
          <t>Маринад</t>
        </is>
      </c>
      <c r="I143" s="33" t="inlineStr">
        <is>
          <t>VSF-013</t>
        </is>
      </c>
      <c r="J143" s="33" t="n">
        <v>5</v>
      </c>
      <c r="K143" s="33" t="inlineStr">
        <is>
          <t>г</t>
        </is>
      </c>
      <c r="L143" s="33" t="n">
        <v>5</v>
      </c>
      <c r="M143" s="33" t="n">
        <v>5</v>
      </c>
      <c r="N143" s="33" t="inlineStr">
        <is>
          <t>ASSUMPTION</t>
        </is>
      </c>
      <c r="O143" s="33" t="inlineStr">
        <is>
          <t>EVD-0007;EVD-0008</t>
        </is>
      </c>
      <c r="P143" s="33" t="inlineStr">
        <is>
          <t>GAP-004;GAP-005</t>
        </is>
      </c>
    </row>
    <row r="144">
      <c r="A144" s="33" t="inlineStr">
        <is>
          <t>RCP-0139</t>
        </is>
      </c>
      <c r="B144" s="33" t="inlineStr">
        <is>
          <t>VKM-016</t>
        </is>
      </c>
      <c r="C144" s="33" t="inlineStr">
        <is>
          <t>VKC-016</t>
        </is>
      </c>
      <c r="D144" s="33" t="inlineStr">
        <is>
          <t>VKT-016</t>
        </is>
      </c>
      <c r="E144" s="33" t="inlineStr">
        <is>
          <t>0.1.0-DRAFT</t>
        </is>
      </c>
      <c r="F144" s="33" t="inlineStr">
        <is>
          <t>ING-028</t>
        </is>
      </c>
      <c r="G144" s="33" t="inlineStr">
        <is>
          <t>Сахар</t>
        </is>
      </c>
      <c r="H144" s="33" t="inlineStr">
        <is>
          <t>Маринад</t>
        </is>
      </c>
      <c r="I144" s="33" t="inlineStr">
        <is>
          <t>VSF-013</t>
        </is>
      </c>
      <c r="J144" s="33" t="n">
        <v>4</v>
      </c>
      <c r="K144" s="33" t="inlineStr">
        <is>
          <t>г</t>
        </is>
      </c>
      <c r="L144" s="33" t="n">
        <v>4</v>
      </c>
      <c r="M144" s="33" t="n">
        <v>4</v>
      </c>
      <c r="N144" s="33" t="inlineStr">
        <is>
          <t>ASSUMPTION</t>
        </is>
      </c>
      <c r="O144" s="33" t="inlineStr">
        <is>
          <t>EVD-0007;EVD-0008</t>
        </is>
      </c>
      <c r="P144" s="33" t="inlineStr">
        <is>
          <t>GAP-004;GAP-005</t>
        </is>
      </c>
    </row>
    <row r="145">
      <c r="A145" s="33" t="inlineStr">
        <is>
          <t>RCP-0140</t>
        </is>
      </c>
      <c r="B145" s="33" t="inlineStr">
        <is>
          <t>VKM-016</t>
        </is>
      </c>
      <c r="C145" s="33" t="inlineStr">
        <is>
          <t>VKC-016</t>
        </is>
      </c>
      <c r="D145" s="33" t="inlineStr">
        <is>
          <t>VKT-016</t>
        </is>
      </c>
      <c r="E145" s="33" t="inlineStr">
        <is>
          <t>0.1.0-DRAFT</t>
        </is>
      </c>
      <c r="F145" s="33" t="inlineStr">
        <is>
          <t>ING-004</t>
        </is>
      </c>
      <c r="G145" s="33" t="inlineStr">
        <is>
          <t>Соль пищевая</t>
        </is>
      </c>
      <c r="H145" s="33" t="inlineStr">
        <is>
          <t>Маринад</t>
        </is>
      </c>
      <c r="I145" s="33" t="inlineStr">
        <is>
          <t>VSF-013</t>
        </is>
      </c>
      <c r="J145" s="33" t="n">
        <v>2</v>
      </c>
      <c r="K145" s="33" t="inlineStr">
        <is>
          <t>г</t>
        </is>
      </c>
      <c r="L145" s="33" t="n">
        <v>2</v>
      </c>
      <c r="M145" s="33" t="n">
        <v>2</v>
      </c>
      <c r="N145" s="33" t="inlineStr">
        <is>
          <t>ASSUMPTION</t>
        </is>
      </c>
      <c r="O145" s="33" t="inlineStr">
        <is>
          <t>EVD-0007;EVD-0008</t>
        </is>
      </c>
      <c r="P145" s="33" t="inlineStr">
        <is>
          <t>GAP-004;GAP-005</t>
        </is>
      </c>
    </row>
    <row r="146">
      <c r="A146" s="33" t="inlineStr">
        <is>
          <t>RCP-0141</t>
        </is>
      </c>
      <c r="B146" s="33" t="inlineStr">
        <is>
          <t>VKM-016</t>
        </is>
      </c>
      <c r="C146" s="33" t="inlineStr">
        <is>
          <t>VKC-016</t>
        </is>
      </c>
      <c r="D146" s="33" t="inlineStr">
        <is>
          <t>VKT-016</t>
        </is>
      </c>
      <c r="E146" s="33" t="inlineStr">
        <is>
          <t>0.1.0-DRAFT</t>
        </is>
      </c>
      <c r="F146" s="33" t="inlineStr">
        <is>
          <t>ING-002</t>
        </is>
      </c>
      <c r="G146" s="33" t="inlineStr">
        <is>
          <t>Вода питьевая</t>
        </is>
      </c>
      <c r="H146" s="33" t="inlineStr">
        <is>
          <t>Маринад</t>
        </is>
      </c>
      <c r="I146" s="33" t="inlineStr">
        <is>
          <t>VSF-013</t>
        </is>
      </c>
      <c r="J146" s="33" t="n">
        <v>4</v>
      </c>
      <c r="K146" s="33" t="inlineStr">
        <is>
          <t>г</t>
        </is>
      </c>
      <c r="L146" s="33" t="n">
        <v>4</v>
      </c>
      <c r="M146" s="33" t="n">
        <v>4</v>
      </c>
      <c r="N146" s="33" t="inlineStr">
        <is>
          <t>ASSUMPTION</t>
        </is>
      </c>
      <c r="O146" s="33" t="inlineStr">
        <is>
          <t>EVD-0007;EVD-0008</t>
        </is>
      </c>
      <c r="P146" s="33" t="inlineStr">
        <is>
          <t>GAP-004;GAP-005</t>
        </is>
      </c>
    </row>
    <row r="147">
      <c r="A147" s="33" t="inlineStr">
        <is>
          <t>RCP-0142</t>
        </is>
      </c>
      <c r="B147" s="33" t="inlineStr">
        <is>
          <t>VKM-016</t>
        </is>
      </c>
      <c r="C147" s="33" t="inlineStr">
        <is>
          <t>VKC-016</t>
        </is>
      </c>
      <c r="D147" s="33" t="inlineStr">
        <is>
          <t>VKT-016</t>
        </is>
      </c>
      <c r="E147" s="33" t="inlineStr">
        <is>
          <t>0.1.0-DRAFT</t>
        </is>
      </c>
      <c r="F147" s="33" t="inlineStr">
        <is>
          <t>ING-024</t>
        </is>
      </c>
      <c r="G147" s="33" t="inlineStr">
        <is>
          <t>Масло растительное</t>
        </is>
      </c>
      <c r="H147" s="33" t="inlineStr">
        <is>
          <t>Маринад</t>
        </is>
      </c>
      <c r="I147" s="33" t="inlineStr">
        <is>
          <t>VSF-013</t>
        </is>
      </c>
      <c r="J147" s="33" t="n">
        <v>5</v>
      </c>
      <c r="K147" s="33" t="inlineStr">
        <is>
          <t>г</t>
        </is>
      </c>
      <c r="L147" s="33" t="n">
        <v>5</v>
      </c>
      <c r="M147" s="33" t="n">
        <v>5</v>
      </c>
      <c r="N147" s="33" t="inlineStr">
        <is>
          <t>ASSUMPTION</t>
        </is>
      </c>
      <c r="O147" s="33" t="inlineStr">
        <is>
          <t>EVD-0007;EVD-0008</t>
        </is>
      </c>
      <c r="P147" s="33" t="inlineStr">
        <is>
          <t>GAP-004;GAP-005</t>
        </is>
      </c>
    </row>
    <row r="148">
      <c r="A148" s="33" t="inlineStr">
        <is>
          <t>RCP-0143</t>
        </is>
      </c>
      <c r="B148" s="33" t="inlineStr">
        <is>
          <t>VKM-017</t>
        </is>
      </c>
      <c r="C148" s="33" t="inlineStr">
        <is>
          <t>VKC-017</t>
        </is>
      </c>
      <c r="D148" s="33" t="inlineStr">
        <is>
          <t>VKT-017</t>
        </is>
      </c>
      <c r="E148" s="33" t="inlineStr">
        <is>
          <t>0.1.0-DRAFT</t>
        </is>
      </c>
      <c r="F148" s="33" t="inlineStr">
        <is>
          <t>ING-066</t>
        </is>
      </c>
      <c r="G148" s="33" t="inlineStr">
        <is>
          <t>Ростбиф охлаждённый готовый</t>
        </is>
      </c>
      <c r="H148" s="33" t="inlineStr">
        <is>
          <t>Сборка</t>
        </is>
      </c>
      <c r="I148" s="33" t="n"/>
      <c r="J148" s="33" t="n">
        <v>115</v>
      </c>
      <c r="K148" s="33" t="inlineStr">
        <is>
          <t>г</t>
        </is>
      </c>
      <c r="L148" s="33" t="n">
        <v>110</v>
      </c>
      <c r="M148" s="33" t="n">
        <v>110</v>
      </c>
      <c r="N148" s="33" t="inlineStr">
        <is>
          <t>ASSUMPTION</t>
        </is>
      </c>
      <c r="O148" s="33" t="inlineStr">
        <is>
          <t>EVD-0007;EVD-0008</t>
        </is>
      </c>
      <c r="P148" s="33" t="inlineStr">
        <is>
          <t>GAP-004;GAP-005</t>
        </is>
      </c>
    </row>
    <row r="149">
      <c r="A149" s="33" t="inlineStr">
        <is>
          <t>RCP-0144</t>
        </is>
      </c>
      <c r="B149" s="33" t="inlineStr">
        <is>
          <t>VKM-017</t>
        </is>
      </c>
      <c r="C149" s="33" t="inlineStr">
        <is>
          <t>VKC-017</t>
        </is>
      </c>
      <c r="D149" s="33" t="inlineStr">
        <is>
          <t>VKT-017</t>
        </is>
      </c>
      <c r="E149" s="33" t="inlineStr">
        <is>
          <t>0.1.0-DRAFT</t>
        </is>
      </c>
      <c r="F149" s="33" t="inlineStr">
        <is>
          <t>ING-046</t>
        </is>
      </c>
      <c r="G149" s="33" t="inlineStr">
        <is>
          <t>Лук красный</t>
        </is>
      </c>
      <c r="H149" s="33" t="inlineStr">
        <is>
          <t>Сборка</t>
        </is>
      </c>
      <c r="I149" s="33" t="n"/>
      <c r="J149" s="33" t="n">
        <v>24</v>
      </c>
      <c r="K149" s="33" t="inlineStr">
        <is>
          <t>г</t>
        </is>
      </c>
      <c r="L149" s="33" t="n">
        <v>20</v>
      </c>
      <c r="M149" s="33" t="n">
        <v>20</v>
      </c>
      <c r="N149" s="33" t="inlineStr">
        <is>
          <t>ASSUMPTION</t>
        </is>
      </c>
      <c r="O149" s="33" t="inlineStr">
        <is>
          <t>EVD-0007;EVD-0008</t>
        </is>
      </c>
      <c r="P149" s="33" t="inlineStr">
        <is>
          <t>GAP-004;GAP-005</t>
        </is>
      </c>
    </row>
    <row r="150">
      <c r="A150" s="33" t="inlineStr">
        <is>
          <t>RCP-0145</t>
        </is>
      </c>
      <c r="B150" s="33" t="inlineStr">
        <is>
          <t>VKM-017</t>
        </is>
      </c>
      <c r="C150" s="33" t="inlineStr">
        <is>
          <t>VKC-017</t>
        </is>
      </c>
      <c r="D150" s="33" t="inlineStr">
        <is>
          <t>VKT-017</t>
        </is>
      </c>
      <c r="E150" s="33" t="inlineStr">
        <is>
          <t>0.1.0-DRAFT</t>
        </is>
      </c>
      <c r="F150" s="33" t="inlineStr">
        <is>
          <t>ING-067</t>
        </is>
      </c>
      <c r="G150" s="33" t="inlineStr">
        <is>
          <t>Хлеб для гренки</t>
        </is>
      </c>
      <c r="H150" s="33" t="inlineStr">
        <is>
          <t>Гренка</t>
        </is>
      </c>
      <c r="I150" s="33" t="inlineStr">
        <is>
          <t>VSF-015</t>
        </is>
      </c>
      <c r="J150" s="33" t="n">
        <v>34</v>
      </c>
      <c r="K150" s="33" t="inlineStr">
        <is>
          <t>г</t>
        </is>
      </c>
      <c r="L150" s="33" t="n">
        <v>32</v>
      </c>
      <c r="M150" s="33" t="n">
        <v>30</v>
      </c>
      <c r="N150" s="33" t="inlineStr">
        <is>
          <t>ASSUMPTION</t>
        </is>
      </c>
      <c r="O150" s="33" t="inlineStr">
        <is>
          <t>EVD-0007;EVD-0008</t>
        </is>
      </c>
      <c r="P150" s="33" t="inlineStr">
        <is>
          <t>GAP-004;GAP-005</t>
        </is>
      </c>
    </row>
    <row r="151">
      <c r="A151" s="33" t="inlineStr">
        <is>
          <t>RCP-0146</t>
        </is>
      </c>
      <c r="B151" s="33" t="inlineStr">
        <is>
          <t>VKM-017</t>
        </is>
      </c>
      <c r="C151" s="33" t="inlineStr">
        <is>
          <t>VKC-017</t>
        </is>
      </c>
      <c r="D151" s="33" t="inlineStr">
        <is>
          <t>VKT-017</t>
        </is>
      </c>
      <c r="E151" s="33" t="inlineStr">
        <is>
          <t>0.1.0-DRAFT</t>
        </is>
      </c>
      <c r="F151" s="33" t="inlineStr">
        <is>
          <t>ING-024</t>
        </is>
      </c>
      <c r="G151" s="33" t="inlineStr">
        <is>
          <t>Масло растительное</t>
        </is>
      </c>
      <c r="H151" s="33" t="inlineStr">
        <is>
          <t>Гренка</t>
        </is>
      </c>
      <c r="I151" s="33" t="inlineStr">
        <is>
          <t>VSF-015</t>
        </is>
      </c>
      <c r="J151" s="33" t="n">
        <v>3</v>
      </c>
      <c r="K151" s="33" t="inlineStr">
        <is>
          <t>г</t>
        </is>
      </c>
      <c r="L151" s="33" t="n">
        <v>3</v>
      </c>
      <c r="M151" s="33" t="n">
        <v>3</v>
      </c>
      <c r="N151" s="33" t="inlineStr">
        <is>
          <t>ASSUMPTION</t>
        </is>
      </c>
      <c r="O151" s="33" t="inlineStr">
        <is>
          <t>EVD-0007;EVD-0008</t>
        </is>
      </c>
      <c r="P151" s="33" t="inlineStr">
        <is>
          <t>GAP-004;GAP-005</t>
        </is>
      </c>
    </row>
    <row r="152">
      <c r="A152" s="33" t="inlineStr">
        <is>
          <t>RCP-0147</t>
        </is>
      </c>
      <c r="B152" s="33" t="inlineStr">
        <is>
          <t>VKM-017</t>
        </is>
      </c>
      <c r="C152" s="33" t="inlineStr">
        <is>
          <t>VKC-017</t>
        </is>
      </c>
      <c r="D152" s="33" t="inlineStr">
        <is>
          <t>VKT-017</t>
        </is>
      </c>
      <c r="E152" s="33" t="inlineStr">
        <is>
          <t>0.1.0-DRAFT</t>
        </is>
      </c>
      <c r="F152" s="33" t="inlineStr">
        <is>
          <t>ING-041</t>
        </is>
      </c>
      <c r="G152" s="33" t="inlineStr">
        <is>
          <t>Горчица</t>
        </is>
      </c>
      <c r="H152" s="33" t="inlineStr">
        <is>
          <t>Соус</t>
        </is>
      </c>
      <c r="I152" s="33" t="inlineStr">
        <is>
          <t>VSF-016</t>
        </is>
      </c>
      <c r="J152" s="33" t="n">
        <v>5</v>
      </c>
      <c r="K152" s="33" t="inlineStr">
        <is>
          <t>г</t>
        </is>
      </c>
      <c r="L152" s="33" t="n">
        <v>5</v>
      </c>
      <c r="M152" s="33" t="n">
        <v>5</v>
      </c>
      <c r="N152" s="33" t="inlineStr">
        <is>
          <t>ASSUMPTION</t>
        </is>
      </c>
      <c r="O152" s="33" t="inlineStr">
        <is>
          <t>EVD-0007;EVD-0008</t>
        </is>
      </c>
      <c r="P152" s="33" t="inlineStr">
        <is>
          <t>GAP-004;GAP-005</t>
        </is>
      </c>
    </row>
    <row r="153">
      <c r="A153" s="33" t="inlineStr">
        <is>
          <t>RCP-0148</t>
        </is>
      </c>
      <c r="B153" s="33" t="inlineStr">
        <is>
          <t>VKM-017</t>
        </is>
      </c>
      <c r="C153" s="33" t="inlineStr">
        <is>
          <t>VKC-017</t>
        </is>
      </c>
      <c r="D153" s="33" t="inlineStr">
        <is>
          <t>VKT-017</t>
        </is>
      </c>
      <c r="E153" s="33" t="inlineStr">
        <is>
          <t>0.1.0-DRAFT</t>
        </is>
      </c>
      <c r="F153" s="33" t="inlineStr">
        <is>
          <t>ING-068</t>
        </is>
      </c>
      <c r="G153" s="33" t="inlineStr">
        <is>
          <t>Майонез или эмульсионный соус</t>
        </is>
      </c>
      <c r="H153" s="33" t="inlineStr">
        <is>
          <t>Соус</t>
        </is>
      </c>
      <c r="I153" s="33" t="inlineStr">
        <is>
          <t>VSF-016</t>
        </is>
      </c>
      <c r="J153" s="33" t="n">
        <v>7</v>
      </c>
      <c r="K153" s="33" t="inlineStr">
        <is>
          <t>г</t>
        </is>
      </c>
      <c r="L153" s="33" t="n">
        <v>7</v>
      </c>
      <c r="M153" s="33" t="n">
        <v>7</v>
      </c>
      <c r="N153" s="33" t="inlineStr">
        <is>
          <t>ASSUMPTION</t>
        </is>
      </c>
      <c r="O153" s="33" t="inlineStr">
        <is>
          <t>EVD-0007;EVD-0008</t>
        </is>
      </c>
      <c r="P153" s="33" t="inlineStr">
        <is>
          <t>GAP-004;GAP-005</t>
        </is>
      </c>
    </row>
    <row r="154">
      <c r="A154" s="33" t="inlineStr">
        <is>
          <t>RCP-0149</t>
        </is>
      </c>
      <c r="B154" s="33" t="inlineStr">
        <is>
          <t>VKM-017</t>
        </is>
      </c>
      <c r="C154" s="33" t="inlineStr">
        <is>
          <t>VKC-017</t>
        </is>
      </c>
      <c r="D154" s="33" t="inlineStr">
        <is>
          <t>VKT-017</t>
        </is>
      </c>
      <c r="E154" s="33" t="inlineStr">
        <is>
          <t>0.1.0-DRAFT</t>
        </is>
      </c>
      <c r="F154" s="33" t="inlineStr">
        <is>
          <t>ING-069</t>
        </is>
      </c>
      <c r="G154" s="33" t="inlineStr">
        <is>
          <t>Сок мясной или бульон</t>
        </is>
      </c>
      <c r="H154" s="33" t="inlineStr">
        <is>
          <t>Соус</t>
        </is>
      </c>
      <c r="I154" s="33" t="inlineStr">
        <is>
          <t>VSF-016</t>
        </is>
      </c>
      <c r="J154" s="33" t="n">
        <v>3</v>
      </c>
      <c r="K154" s="33" t="inlineStr">
        <is>
          <t>г</t>
        </is>
      </c>
      <c r="L154" s="33" t="n">
        <v>3</v>
      </c>
      <c r="M154" s="33" t="n">
        <v>3</v>
      </c>
      <c r="N154" s="33" t="inlineStr">
        <is>
          <t>ASSUMPTION</t>
        </is>
      </c>
      <c r="O154" s="33" t="inlineStr">
        <is>
          <t>EVD-0007;EVD-0008</t>
        </is>
      </c>
      <c r="P154" s="33" t="inlineStr">
        <is>
          <t>GAP-004;GAP-005</t>
        </is>
      </c>
    </row>
    <row r="155">
      <c r="A155" s="33" t="inlineStr">
        <is>
          <t>RCP-0150</t>
        </is>
      </c>
      <c r="B155" s="33" t="inlineStr">
        <is>
          <t>VKM-017</t>
        </is>
      </c>
      <c r="C155" s="33" t="inlineStr">
        <is>
          <t>VKC-017</t>
        </is>
      </c>
      <c r="D155" s="33" t="inlineStr">
        <is>
          <t>VKT-017</t>
        </is>
      </c>
      <c r="E155" s="33" t="inlineStr">
        <is>
          <t>0.1.0-DRAFT</t>
        </is>
      </c>
      <c r="F155" s="33" t="inlineStr">
        <is>
          <t>ING-059</t>
        </is>
      </c>
      <c r="G155" s="33" t="inlineStr">
        <is>
          <t>Зелень</t>
        </is>
      </c>
      <c r="H155" s="33" t="inlineStr">
        <is>
          <t>Финиш</t>
        </is>
      </c>
      <c r="I155" s="33" t="n"/>
      <c r="J155" s="33" t="n">
        <v>2.5</v>
      </c>
      <c r="K155" s="33" t="inlineStr">
        <is>
          <t>г</t>
        </is>
      </c>
      <c r="L155" s="33" t="n">
        <v>2</v>
      </c>
      <c r="M155" s="33" t="n">
        <v>2</v>
      </c>
      <c r="N155" s="33" t="inlineStr">
        <is>
          <t>ASSUMPTION</t>
        </is>
      </c>
      <c r="O155" s="33" t="inlineStr">
        <is>
          <t>EVD-0007;EVD-0008</t>
        </is>
      </c>
      <c r="P155" s="33" t="inlineStr">
        <is>
          <t>GAP-004;GAP-005</t>
        </is>
      </c>
    </row>
    <row r="156">
      <c r="A156" s="33" t="inlineStr">
        <is>
          <t>RCP-0151</t>
        </is>
      </c>
      <c r="B156" s="33" t="inlineStr">
        <is>
          <t>VKM-018</t>
        </is>
      </c>
      <c r="C156" s="33" t="inlineStr">
        <is>
          <t>VKC-018</t>
        </is>
      </c>
      <c r="D156" s="33" t="inlineStr">
        <is>
          <t>VKT-018</t>
        </is>
      </c>
      <c r="E156" s="33" t="inlineStr">
        <is>
          <t>0.1.0-DRAFT</t>
        </is>
      </c>
      <c r="F156" s="33" t="inlineStr">
        <is>
          <t>ING-070</t>
        </is>
      </c>
      <c r="G156" s="33" t="inlineStr">
        <is>
          <t>Бульон мясной</t>
        </is>
      </c>
      <c r="H156" s="33" t="inlineStr">
        <is>
          <t>Основа</t>
        </is>
      </c>
      <c r="I156" s="33" t="inlineStr">
        <is>
          <t>VSF-017</t>
        </is>
      </c>
      <c r="J156" s="33" t="n">
        <v>160</v>
      </c>
      <c r="K156" s="33" t="inlineStr">
        <is>
          <t>г</t>
        </is>
      </c>
      <c r="L156" s="33" t="n">
        <v>160</v>
      </c>
      <c r="M156" s="33" t="n">
        <v>145</v>
      </c>
      <c r="N156" s="33" t="inlineStr">
        <is>
          <t>ASSUMPTION</t>
        </is>
      </c>
      <c r="O156" s="33" t="inlineStr">
        <is>
          <t>EVD-0007;EVD-0008</t>
        </is>
      </c>
      <c r="P156" s="33" t="inlineStr">
        <is>
          <t>GAP-004;GAP-005</t>
        </is>
      </c>
    </row>
    <row r="157">
      <c r="A157" s="33" t="inlineStr">
        <is>
          <t>RCP-0152</t>
        </is>
      </c>
      <c r="B157" s="33" t="inlineStr">
        <is>
          <t>VKM-018</t>
        </is>
      </c>
      <c r="C157" s="33" t="inlineStr">
        <is>
          <t>VKC-018</t>
        </is>
      </c>
      <c r="D157" s="33" t="inlineStr">
        <is>
          <t>VKT-018</t>
        </is>
      </c>
      <c r="E157" s="33" t="inlineStr">
        <is>
          <t>0.1.0-DRAFT</t>
        </is>
      </c>
      <c r="F157" s="33" t="inlineStr">
        <is>
          <t>ING-071</t>
        </is>
      </c>
      <c r="G157" s="33" t="inlineStr">
        <is>
          <t>Свёкла</t>
        </is>
      </c>
      <c r="H157" s="33" t="inlineStr">
        <is>
          <t>Пассеровка</t>
        </is>
      </c>
      <c r="I157" s="33" t="inlineStr">
        <is>
          <t>VSF-018</t>
        </is>
      </c>
      <c r="J157" s="33" t="n">
        <v>78</v>
      </c>
      <c r="K157" s="33" t="inlineStr">
        <is>
          <t>г</t>
        </is>
      </c>
      <c r="L157" s="33" t="n">
        <v>70</v>
      </c>
      <c r="M157" s="33" t="n">
        <v>60</v>
      </c>
      <c r="N157" s="33" t="inlineStr">
        <is>
          <t>ASSUMPTION</t>
        </is>
      </c>
      <c r="O157" s="33" t="inlineStr">
        <is>
          <t>EVD-0007;EVD-0008</t>
        </is>
      </c>
      <c r="P157" s="33" t="inlineStr">
        <is>
          <t>GAP-004;GAP-005</t>
        </is>
      </c>
    </row>
    <row r="158">
      <c r="A158" s="33" t="inlineStr">
        <is>
          <t>RCP-0153</t>
        </is>
      </c>
      <c r="B158" s="33" t="inlineStr">
        <is>
          <t>VKM-018</t>
        </is>
      </c>
      <c r="C158" s="33" t="inlineStr">
        <is>
          <t>VKC-018</t>
        </is>
      </c>
      <c r="D158" s="33" t="inlineStr">
        <is>
          <t>VKT-018</t>
        </is>
      </c>
      <c r="E158" s="33" t="inlineStr">
        <is>
          <t>0.1.0-DRAFT</t>
        </is>
      </c>
      <c r="F158" s="33" t="inlineStr">
        <is>
          <t>ING-064</t>
        </is>
      </c>
      <c r="G158" s="33" t="inlineStr">
        <is>
          <t>Капуста белокочанная</t>
        </is>
      </c>
      <c r="H158" s="33" t="inlineStr">
        <is>
          <t>Суп</t>
        </is>
      </c>
      <c r="I158" s="33" t="n"/>
      <c r="J158" s="33" t="n">
        <v>54</v>
      </c>
      <c r="K158" s="33" t="inlineStr">
        <is>
          <t>г</t>
        </is>
      </c>
      <c r="L158" s="33" t="n">
        <v>48</v>
      </c>
      <c r="M158" s="33" t="n">
        <v>45</v>
      </c>
      <c r="N158" s="33" t="inlineStr">
        <is>
          <t>ASSUMPTION</t>
        </is>
      </c>
      <c r="O158" s="33" t="inlineStr">
        <is>
          <t>EVD-0007;EVD-0008</t>
        </is>
      </c>
      <c r="P158" s="33" t="inlineStr">
        <is>
          <t>GAP-004;GAP-005</t>
        </is>
      </c>
    </row>
    <row r="159">
      <c r="A159" s="33" t="inlineStr">
        <is>
          <t>RCP-0154</t>
        </is>
      </c>
      <c r="B159" s="33" t="inlineStr">
        <is>
          <t>VKM-018</t>
        </is>
      </c>
      <c r="C159" s="33" t="inlineStr">
        <is>
          <t>VKC-018</t>
        </is>
      </c>
      <c r="D159" s="33" t="inlineStr">
        <is>
          <t>VKT-018</t>
        </is>
      </c>
      <c r="E159" s="33" t="inlineStr">
        <is>
          <t>0.1.0-DRAFT</t>
        </is>
      </c>
      <c r="F159" s="33" t="inlineStr">
        <is>
          <t>ING-072</t>
        </is>
      </c>
      <c r="G159" s="33" t="inlineStr">
        <is>
          <t>Картофель</t>
        </is>
      </c>
      <c r="H159" s="33" t="inlineStr">
        <is>
          <t>Суп</t>
        </is>
      </c>
      <c r="I159" s="33" t="n"/>
      <c r="J159" s="33" t="n">
        <v>52</v>
      </c>
      <c r="K159" s="33" t="inlineStr">
        <is>
          <t>г</t>
        </is>
      </c>
      <c r="L159" s="33" t="n">
        <v>46</v>
      </c>
      <c r="M159" s="33" t="n">
        <v>40</v>
      </c>
      <c r="N159" s="33" t="inlineStr">
        <is>
          <t>ASSUMPTION</t>
        </is>
      </c>
      <c r="O159" s="33" t="inlineStr">
        <is>
          <t>EVD-0007;EVD-0008</t>
        </is>
      </c>
      <c r="P159" s="33" t="inlineStr">
        <is>
          <t>GAP-004;GAP-005</t>
        </is>
      </c>
    </row>
    <row r="160">
      <c r="A160" s="33" t="inlineStr">
        <is>
          <t>RCP-0155</t>
        </is>
      </c>
      <c r="B160" s="33" t="inlineStr">
        <is>
          <t>VKM-018</t>
        </is>
      </c>
      <c r="C160" s="33" t="inlineStr">
        <is>
          <t>VKC-018</t>
        </is>
      </c>
      <c r="D160" s="33" t="inlineStr">
        <is>
          <t>VKT-018</t>
        </is>
      </c>
      <c r="E160" s="33" t="inlineStr">
        <is>
          <t>0.1.0-DRAFT</t>
        </is>
      </c>
      <c r="F160" s="33" t="inlineStr">
        <is>
          <t>ING-073</t>
        </is>
      </c>
      <c r="G160" s="33" t="inlineStr">
        <is>
          <t>Говядина отварная</t>
        </is>
      </c>
      <c r="H160" s="33" t="inlineStr">
        <is>
          <t>Подача</t>
        </is>
      </c>
      <c r="I160" s="33" t="n"/>
      <c r="J160" s="33" t="n">
        <v>65</v>
      </c>
      <c r="K160" s="33" t="inlineStr">
        <is>
          <t>г</t>
        </is>
      </c>
      <c r="L160" s="33" t="n">
        <v>55</v>
      </c>
      <c r="M160" s="33" t="n">
        <v>45</v>
      </c>
      <c r="N160" s="33" t="inlineStr">
        <is>
          <t>ASSUMPTION</t>
        </is>
      </c>
      <c r="O160" s="33" t="inlineStr">
        <is>
          <t>EVD-0007;EVD-0008</t>
        </is>
      </c>
      <c r="P160" s="33" t="inlineStr">
        <is>
          <t>GAP-004;GAP-005</t>
        </is>
      </c>
    </row>
    <row r="161">
      <c r="A161" s="33" t="inlineStr">
        <is>
          <t>RCP-0156</t>
        </is>
      </c>
      <c r="B161" s="33" t="inlineStr">
        <is>
          <t>VKM-018</t>
        </is>
      </c>
      <c r="C161" s="33" t="inlineStr">
        <is>
          <t>VKC-018</t>
        </is>
      </c>
      <c r="D161" s="33" t="inlineStr">
        <is>
          <t>VKT-018</t>
        </is>
      </c>
      <c r="E161" s="33" t="inlineStr">
        <is>
          <t>0.1.0-DRAFT</t>
        </is>
      </c>
      <c r="F161" s="33" t="inlineStr">
        <is>
          <t>ING-074</t>
        </is>
      </c>
      <c r="G161" s="33" t="inlineStr">
        <is>
          <t>Морковь</t>
        </is>
      </c>
      <c r="H161" s="33" t="inlineStr">
        <is>
          <t>Пассеровка</t>
        </is>
      </c>
      <c r="I161" s="33" t="inlineStr">
        <is>
          <t>VSF-018</t>
        </is>
      </c>
      <c r="J161" s="33" t="n">
        <v>19</v>
      </c>
      <c r="K161" s="33" t="inlineStr">
        <is>
          <t>г</t>
        </is>
      </c>
      <c r="L161" s="33" t="n">
        <v>17</v>
      </c>
      <c r="M161" s="33" t="n">
        <v>15</v>
      </c>
      <c r="N161" s="33" t="inlineStr">
        <is>
          <t>ASSUMPTION</t>
        </is>
      </c>
      <c r="O161" s="33" t="inlineStr">
        <is>
          <t>EVD-0007;EVD-0008</t>
        </is>
      </c>
      <c r="P161" s="33" t="inlineStr">
        <is>
          <t>GAP-004;GAP-005</t>
        </is>
      </c>
    </row>
    <row r="162">
      <c r="A162" s="33" t="inlineStr">
        <is>
          <t>RCP-0157</t>
        </is>
      </c>
      <c r="B162" s="33" t="inlineStr">
        <is>
          <t>VKM-018</t>
        </is>
      </c>
      <c r="C162" s="33" t="inlineStr">
        <is>
          <t>VKC-018</t>
        </is>
      </c>
      <c r="D162" s="33" t="inlineStr">
        <is>
          <t>VKT-018</t>
        </is>
      </c>
      <c r="E162" s="33" t="inlineStr">
        <is>
          <t>0.1.0-DRAFT</t>
        </is>
      </c>
      <c r="F162" s="33" t="inlineStr">
        <is>
          <t>ING-016</t>
        </is>
      </c>
      <c r="G162" s="33" t="inlineStr">
        <is>
          <t>Лук репчатый</t>
        </is>
      </c>
      <c r="H162" s="33" t="inlineStr">
        <is>
          <t>Пассеровка</t>
        </is>
      </c>
      <c r="I162" s="33" t="inlineStr">
        <is>
          <t>VSF-018</t>
        </is>
      </c>
      <c r="J162" s="33" t="n">
        <v>13</v>
      </c>
      <c r="K162" s="33" t="inlineStr">
        <is>
          <t>г</t>
        </is>
      </c>
      <c r="L162" s="33" t="n">
        <v>11</v>
      </c>
      <c r="M162" s="33" t="n">
        <v>10</v>
      </c>
      <c r="N162" s="33" t="inlineStr">
        <is>
          <t>ASSUMPTION</t>
        </is>
      </c>
      <c r="O162" s="33" t="inlineStr">
        <is>
          <t>EVD-0007;EVD-0008</t>
        </is>
      </c>
      <c r="P162" s="33" t="inlineStr">
        <is>
          <t>GAP-004;GAP-005</t>
        </is>
      </c>
    </row>
    <row r="163">
      <c r="A163" s="33" t="inlineStr">
        <is>
          <t>RCP-0158</t>
        </is>
      </c>
      <c r="B163" s="33" t="inlineStr">
        <is>
          <t>VKM-018</t>
        </is>
      </c>
      <c r="C163" s="33" t="inlineStr">
        <is>
          <t>VKC-018</t>
        </is>
      </c>
      <c r="D163" s="33" t="inlineStr">
        <is>
          <t>VKT-018</t>
        </is>
      </c>
      <c r="E163" s="33" t="inlineStr">
        <is>
          <t>0.1.0-DRAFT</t>
        </is>
      </c>
      <c r="F163" s="33" t="inlineStr">
        <is>
          <t>ING-006</t>
        </is>
      </c>
      <c r="G163" s="33" t="inlineStr">
        <is>
          <t>Томаты протёртые</t>
        </is>
      </c>
      <c r="H163" s="33" t="inlineStr">
        <is>
          <t>Пассеровка</t>
        </is>
      </c>
      <c r="I163" s="33" t="inlineStr">
        <is>
          <t>VSF-018</t>
        </is>
      </c>
      <c r="J163" s="33" t="n">
        <v>16</v>
      </c>
      <c r="K163" s="33" t="inlineStr">
        <is>
          <t>г</t>
        </is>
      </c>
      <c r="L163" s="33" t="n">
        <v>16</v>
      </c>
      <c r="M163" s="33" t="n">
        <v>15</v>
      </c>
      <c r="N163" s="33" t="inlineStr">
        <is>
          <t>ASSUMPTION</t>
        </is>
      </c>
      <c r="O163" s="33" t="inlineStr">
        <is>
          <t>EVD-0007;EVD-0008</t>
        </is>
      </c>
      <c r="P163" s="33" t="inlineStr">
        <is>
          <t>GAP-004;GAP-005</t>
        </is>
      </c>
    </row>
    <row r="164">
      <c r="A164" s="33" t="inlineStr">
        <is>
          <t>RCP-0159</t>
        </is>
      </c>
      <c r="B164" s="33" t="inlineStr">
        <is>
          <t>VKM-018</t>
        </is>
      </c>
      <c r="C164" s="33" t="inlineStr">
        <is>
          <t>VKC-018</t>
        </is>
      </c>
      <c r="D164" s="33" t="inlineStr">
        <is>
          <t>VKT-018</t>
        </is>
      </c>
      <c r="E164" s="33" t="inlineStr">
        <is>
          <t>0.1.0-DRAFT</t>
        </is>
      </c>
      <c r="F164" s="33" t="inlineStr">
        <is>
          <t>ING-024</t>
        </is>
      </c>
      <c r="G164" s="33" t="inlineStr">
        <is>
          <t>Масло растительное</t>
        </is>
      </c>
      <c r="H164" s="33" t="inlineStr">
        <is>
          <t>Пассеровка</t>
        </is>
      </c>
      <c r="I164" s="33" t="inlineStr">
        <is>
          <t>VSF-018</t>
        </is>
      </c>
      <c r="J164" s="33" t="n">
        <v>5</v>
      </c>
      <c r="K164" s="33" t="inlineStr">
        <is>
          <t>г</t>
        </is>
      </c>
      <c r="L164" s="33" t="n">
        <v>5</v>
      </c>
      <c r="M164" s="33" t="n">
        <v>5</v>
      </c>
      <c r="N164" s="33" t="inlineStr">
        <is>
          <t>ASSUMPTION</t>
        </is>
      </c>
      <c r="O164" s="33" t="inlineStr">
        <is>
          <t>EVD-0007;EVD-0008</t>
        </is>
      </c>
      <c r="P164" s="33" t="inlineStr">
        <is>
          <t>GAP-004;GAP-005</t>
        </is>
      </c>
    </row>
    <row r="165">
      <c r="A165" s="33" t="inlineStr">
        <is>
          <t>RCP-0160</t>
        </is>
      </c>
      <c r="B165" s="33" t="inlineStr">
        <is>
          <t>VKM-018</t>
        </is>
      </c>
      <c r="C165" s="33" t="inlineStr">
        <is>
          <t>VKC-018</t>
        </is>
      </c>
      <c r="D165" s="33" t="inlineStr">
        <is>
          <t>VKT-018</t>
        </is>
      </c>
      <c r="E165" s="33" t="inlineStr">
        <is>
          <t>0.1.0-DRAFT</t>
        </is>
      </c>
      <c r="F165" s="33" t="inlineStr">
        <is>
          <t>ING-075</t>
        </is>
      </c>
      <c r="G165" s="33" t="inlineStr">
        <is>
          <t>Сметана</t>
        </is>
      </c>
      <c r="H165" s="33" t="inlineStr">
        <is>
          <t>Подача</t>
        </is>
      </c>
      <c r="I165" s="33" t="n"/>
      <c r="J165" s="33" t="n">
        <v>15</v>
      </c>
      <c r="K165" s="33" t="inlineStr">
        <is>
          <t>г</t>
        </is>
      </c>
      <c r="L165" s="33" t="n">
        <v>15</v>
      </c>
      <c r="M165" s="33" t="n">
        <v>15</v>
      </c>
      <c r="N165" s="33" t="inlineStr">
        <is>
          <t>ASSUMPTION</t>
        </is>
      </c>
      <c r="O165" s="33" t="inlineStr">
        <is>
          <t>EVD-0007;EVD-0008</t>
        </is>
      </c>
      <c r="P165" s="33" t="inlineStr">
        <is>
          <t>GAP-004;GAP-005</t>
        </is>
      </c>
    </row>
    <row r="166">
      <c r="A166" s="33" t="inlineStr">
        <is>
          <t>RCP-0161</t>
        </is>
      </c>
      <c r="B166" s="33" t="inlineStr">
        <is>
          <t>VKM-018</t>
        </is>
      </c>
      <c r="C166" s="33" t="inlineStr">
        <is>
          <t>VKC-018</t>
        </is>
      </c>
      <c r="D166" s="33" t="inlineStr">
        <is>
          <t>VKT-018</t>
        </is>
      </c>
      <c r="E166" s="33" t="inlineStr">
        <is>
          <t>0.1.0-DRAFT</t>
        </is>
      </c>
      <c r="F166" s="33" t="inlineStr">
        <is>
          <t>ING-059</t>
        </is>
      </c>
      <c r="G166" s="33" t="inlineStr">
        <is>
          <t>Зелень</t>
        </is>
      </c>
      <c r="H166" s="33" t="inlineStr">
        <is>
          <t>Подача</t>
        </is>
      </c>
      <c r="I166" s="33" t="n"/>
      <c r="J166" s="33" t="n">
        <v>6</v>
      </c>
      <c r="K166" s="33" t="inlineStr">
        <is>
          <t>г</t>
        </is>
      </c>
      <c r="L166" s="33" t="n">
        <v>5</v>
      </c>
      <c r="M166" s="33" t="n">
        <v>5</v>
      </c>
      <c r="N166" s="33" t="inlineStr">
        <is>
          <t>ASSUMPTION</t>
        </is>
      </c>
      <c r="O166" s="33" t="inlineStr">
        <is>
          <t>EVD-0007;EVD-0008</t>
        </is>
      </c>
      <c r="P166" s="33" t="inlineStr">
        <is>
          <t>GAP-004;GAP-005</t>
        </is>
      </c>
    </row>
    <row r="167">
      <c r="A167" s="33" t="inlineStr">
        <is>
          <t>RCP-0162</t>
        </is>
      </c>
      <c r="B167" s="33" t="inlineStr">
        <is>
          <t>VKM-019</t>
        </is>
      </c>
      <c r="C167" s="33" t="inlineStr">
        <is>
          <t>VKC-019</t>
        </is>
      </c>
      <c r="D167" s="33" t="inlineStr">
        <is>
          <t>VKT-019</t>
        </is>
      </c>
      <c r="E167" s="33" t="inlineStr">
        <is>
          <t>0.1.0-DRAFT</t>
        </is>
      </c>
      <c r="F167" s="33" t="inlineStr">
        <is>
          <t>ING-076</t>
        </is>
      </c>
      <c r="G167" s="33" t="inlineStr">
        <is>
          <t>Треска, филе порционное</t>
        </is>
      </c>
      <c r="H167" s="33" t="inlineStr">
        <is>
          <t>Основной компонент</t>
        </is>
      </c>
      <c r="I167" s="33" t="n"/>
      <c r="J167" s="33" t="n">
        <v>210</v>
      </c>
      <c r="K167" s="33" t="inlineStr">
        <is>
          <t>г</t>
        </is>
      </c>
      <c r="L167" s="33" t="n">
        <v>195</v>
      </c>
      <c r="M167" s="33" t="n">
        <v>180</v>
      </c>
      <c r="N167" s="33" t="inlineStr">
        <is>
          <t>ASSUMPTION</t>
        </is>
      </c>
      <c r="O167" s="33" t="inlineStr">
        <is>
          <t>EVD-0007;EVD-0008</t>
        </is>
      </c>
      <c r="P167" s="33" t="inlineStr">
        <is>
          <t>GAP-004;GAP-005</t>
        </is>
      </c>
    </row>
    <row r="168">
      <c r="A168" s="33" t="inlineStr">
        <is>
          <t>RCP-0163</t>
        </is>
      </c>
      <c r="B168" s="33" t="inlineStr">
        <is>
          <t>VKM-019</t>
        </is>
      </c>
      <c r="C168" s="33" t="inlineStr">
        <is>
          <t>VKC-019</t>
        </is>
      </c>
      <c r="D168" s="33" t="inlineStr">
        <is>
          <t>VKT-019</t>
        </is>
      </c>
      <c r="E168" s="33" t="inlineStr">
        <is>
          <t>0.1.0-DRAFT</t>
        </is>
      </c>
      <c r="F168" s="33" t="inlineStr">
        <is>
          <t>ING-077</t>
        </is>
      </c>
      <c r="G168" s="33" t="inlineStr">
        <is>
          <t>Сливки</t>
        </is>
      </c>
      <c r="H168" s="33" t="inlineStr">
        <is>
          <t>Соус</t>
        </is>
      </c>
      <c r="I168" s="33" t="inlineStr">
        <is>
          <t>VSF-019</t>
        </is>
      </c>
      <c r="J168" s="33" t="n">
        <v>58</v>
      </c>
      <c r="K168" s="33" t="inlineStr">
        <is>
          <t>г</t>
        </is>
      </c>
      <c r="L168" s="33" t="n">
        <v>58</v>
      </c>
      <c r="M168" s="33" t="n">
        <v>55</v>
      </c>
      <c r="N168" s="33" t="inlineStr">
        <is>
          <t>ASSUMPTION</t>
        </is>
      </c>
      <c r="O168" s="33" t="inlineStr">
        <is>
          <t>EVD-0007;EVD-0008</t>
        </is>
      </c>
      <c r="P168" s="33" t="inlineStr">
        <is>
          <t>GAP-004;GAP-005</t>
        </is>
      </c>
    </row>
    <row r="169">
      <c r="A169" s="33" t="inlineStr">
        <is>
          <t>RCP-0164</t>
        </is>
      </c>
      <c r="B169" s="33" t="inlineStr">
        <is>
          <t>VKM-019</t>
        </is>
      </c>
      <c r="C169" s="33" t="inlineStr">
        <is>
          <t>VKC-019</t>
        </is>
      </c>
      <c r="D169" s="33" t="inlineStr">
        <is>
          <t>VKT-019</t>
        </is>
      </c>
      <c r="E169" s="33" t="inlineStr">
        <is>
          <t>0.1.0-DRAFT</t>
        </is>
      </c>
      <c r="F169" s="33" t="inlineStr">
        <is>
          <t>ING-041</t>
        </is>
      </c>
      <c r="G169" s="33" t="inlineStr">
        <is>
          <t>Горчица</t>
        </is>
      </c>
      <c r="H169" s="33" t="inlineStr">
        <is>
          <t>Соус</t>
        </is>
      </c>
      <c r="I169" s="33" t="inlineStr">
        <is>
          <t>VSF-019</t>
        </is>
      </c>
      <c r="J169" s="33" t="n">
        <v>10</v>
      </c>
      <c r="K169" s="33" t="inlineStr">
        <is>
          <t>г</t>
        </is>
      </c>
      <c r="L169" s="33" t="n">
        <v>10</v>
      </c>
      <c r="M169" s="33" t="n">
        <v>10</v>
      </c>
      <c r="N169" s="33" t="inlineStr">
        <is>
          <t>ASSUMPTION</t>
        </is>
      </c>
      <c r="O169" s="33" t="inlineStr">
        <is>
          <t>EVD-0007;EVD-0008</t>
        </is>
      </c>
      <c r="P169" s="33" t="inlineStr">
        <is>
          <t>GAP-004;GAP-005</t>
        </is>
      </c>
    </row>
    <row r="170">
      <c r="A170" s="33" t="inlineStr">
        <is>
          <t>RCP-0165</t>
        </is>
      </c>
      <c r="B170" s="33" t="inlineStr">
        <is>
          <t>VKM-019</t>
        </is>
      </c>
      <c r="C170" s="33" t="inlineStr">
        <is>
          <t>VKC-019</t>
        </is>
      </c>
      <c r="D170" s="33" t="inlineStr">
        <is>
          <t>VKT-019</t>
        </is>
      </c>
      <c r="E170" s="33" t="inlineStr">
        <is>
          <t>0.1.0-DRAFT</t>
        </is>
      </c>
      <c r="F170" s="33" t="inlineStr">
        <is>
          <t>ING-078</t>
        </is>
      </c>
      <c r="G170" s="33" t="inlineStr">
        <is>
          <t>Бульон рыбный или овощной</t>
        </is>
      </c>
      <c r="H170" s="33" t="inlineStr">
        <is>
          <t>Соус</t>
        </is>
      </c>
      <c r="I170" s="33" t="inlineStr">
        <is>
          <t>VSF-019</t>
        </is>
      </c>
      <c r="J170" s="33" t="n">
        <v>12</v>
      </c>
      <c r="K170" s="33" t="inlineStr">
        <is>
          <t>г</t>
        </is>
      </c>
      <c r="L170" s="33" t="n">
        <v>12</v>
      </c>
      <c r="M170" s="33" t="n">
        <v>10</v>
      </c>
      <c r="N170" s="33" t="inlineStr">
        <is>
          <t>ASSUMPTION</t>
        </is>
      </c>
      <c r="O170" s="33" t="inlineStr">
        <is>
          <t>EVD-0007;EVD-0008</t>
        </is>
      </c>
      <c r="P170" s="33" t="inlineStr">
        <is>
          <t>GAP-004;GAP-005</t>
        </is>
      </c>
    </row>
    <row r="171">
      <c r="A171" s="33" t="inlineStr">
        <is>
          <t>RCP-0166</t>
        </is>
      </c>
      <c r="B171" s="33" t="inlineStr">
        <is>
          <t>VKM-019</t>
        </is>
      </c>
      <c r="C171" s="33" t="inlineStr">
        <is>
          <t>VKC-019</t>
        </is>
      </c>
      <c r="D171" s="33" t="inlineStr">
        <is>
          <t>VKT-019</t>
        </is>
      </c>
      <c r="E171" s="33" t="inlineStr">
        <is>
          <t>0.1.0-DRAFT</t>
        </is>
      </c>
      <c r="F171" s="33" t="inlineStr">
        <is>
          <t>ING-027</t>
        </is>
      </c>
      <c r="G171" s="33" t="inlineStr">
        <is>
          <t>Масло сливочное</t>
        </is>
      </c>
      <c r="H171" s="33" t="inlineStr">
        <is>
          <t>Соус</t>
        </is>
      </c>
      <c r="I171" s="33" t="inlineStr">
        <is>
          <t>VSF-019</t>
        </is>
      </c>
      <c r="J171" s="33" t="n">
        <v>10</v>
      </c>
      <c r="K171" s="33" t="inlineStr">
        <is>
          <t>г</t>
        </is>
      </c>
      <c r="L171" s="33" t="n">
        <v>10</v>
      </c>
      <c r="M171" s="33" t="n">
        <v>10</v>
      </c>
      <c r="N171" s="33" t="inlineStr">
        <is>
          <t>ASSUMPTION</t>
        </is>
      </c>
      <c r="O171" s="33" t="inlineStr">
        <is>
          <t>EVD-0007;EVD-0008</t>
        </is>
      </c>
      <c r="P171" s="33" t="inlineStr">
        <is>
          <t>GAP-004;GAP-005</t>
        </is>
      </c>
    </row>
    <row r="172">
      <c r="A172" s="33" t="inlineStr">
        <is>
          <t>RCP-0167</t>
        </is>
      </c>
      <c r="B172" s="33" t="inlineStr">
        <is>
          <t>VKM-019</t>
        </is>
      </c>
      <c r="C172" s="33" t="inlineStr">
        <is>
          <t>VKC-019</t>
        </is>
      </c>
      <c r="D172" s="33" t="inlineStr">
        <is>
          <t>VKT-019</t>
        </is>
      </c>
      <c r="E172" s="33" t="inlineStr">
        <is>
          <t>0.1.0-DRAFT</t>
        </is>
      </c>
      <c r="F172" s="33" t="inlineStr">
        <is>
          <t>ING-079</t>
        </is>
      </c>
      <c r="G172" s="33" t="inlineStr">
        <is>
          <t>Шпинат</t>
        </is>
      </c>
      <c r="H172" s="33" t="inlineStr">
        <is>
          <t>Сборка</t>
        </is>
      </c>
      <c r="I172" s="33" t="n"/>
      <c r="J172" s="33" t="n">
        <v>30</v>
      </c>
      <c r="K172" s="33" t="inlineStr">
        <is>
          <t>г</t>
        </is>
      </c>
      <c r="L172" s="33" t="n">
        <v>27</v>
      </c>
      <c r="M172" s="33" t="n">
        <v>25</v>
      </c>
      <c r="N172" s="33" t="inlineStr">
        <is>
          <t>ASSUMPTION</t>
        </is>
      </c>
      <c r="O172" s="33" t="inlineStr">
        <is>
          <t>EVD-0007;EVD-0008</t>
        </is>
      </c>
      <c r="P172" s="33" t="inlineStr">
        <is>
          <t>GAP-004;GAP-005</t>
        </is>
      </c>
    </row>
    <row r="173">
      <c r="A173" s="33" t="inlineStr">
        <is>
          <t>RCP-0168</t>
        </is>
      </c>
      <c r="B173" s="33" t="inlineStr">
        <is>
          <t>VKM-019</t>
        </is>
      </c>
      <c r="C173" s="33" t="inlineStr">
        <is>
          <t>VKC-019</t>
        </is>
      </c>
      <c r="D173" s="33" t="inlineStr">
        <is>
          <t>VKT-019</t>
        </is>
      </c>
      <c r="E173" s="33" t="inlineStr">
        <is>
          <t>0.1.0-DRAFT</t>
        </is>
      </c>
      <c r="F173" s="33" t="inlineStr">
        <is>
          <t>ING-024</t>
        </is>
      </c>
      <c r="G173" s="33" t="inlineStr">
        <is>
          <t>Масло растительное</t>
        </is>
      </c>
      <c r="H173" s="33" t="inlineStr">
        <is>
          <t>Обработка</t>
        </is>
      </c>
      <c r="I173" s="33" t="n"/>
      <c r="J173" s="33" t="n">
        <v>5</v>
      </c>
      <c r="K173" s="33" t="inlineStr">
        <is>
          <t>г</t>
        </is>
      </c>
      <c r="L173" s="33" t="n">
        <v>5</v>
      </c>
      <c r="M173" s="33" t="n">
        <v>5</v>
      </c>
      <c r="N173" s="33" t="inlineStr">
        <is>
          <t>ASSUMPTION</t>
        </is>
      </c>
      <c r="O173" s="33" t="inlineStr">
        <is>
          <t>EVD-0007;EVD-0008</t>
        </is>
      </c>
      <c r="P173" s="33" t="inlineStr">
        <is>
          <t>GAP-004;GAP-005</t>
        </is>
      </c>
    </row>
    <row r="174">
      <c r="A174" s="33" t="inlineStr">
        <is>
          <t>RCP-0169</t>
        </is>
      </c>
      <c r="B174" s="33" t="inlineStr">
        <is>
          <t>VKM-019</t>
        </is>
      </c>
      <c r="C174" s="33" t="inlineStr">
        <is>
          <t>VKC-019</t>
        </is>
      </c>
      <c r="D174" s="33" t="inlineStr">
        <is>
          <t>VKT-019</t>
        </is>
      </c>
      <c r="E174" s="33" t="inlineStr">
        <is>
          <t>0.1.0-DRAFT</t>
        </is>
      </c>
      <c r="F174" s="33" t="inlineStr">
        <is>
          <t>ING-059</t>
        </is>
      </c>
      <c r="G174" s="33" t="inlineStr">
        <is>
          <t>Зелень</t>
        </is>
      </c>
      <c r="H174" s="33" t="inlineStr">
        <is>
          <t>Финиш</t>
        </is>
      </c>
      <c r="I174" s="33" t="n"/>
      <c r="J174" s="33" t="n">
        <v>6</v>
      </c>
      <c r="K174" s="33" t="inlineStr">
        <is>
          <t>г</t>
        </is>
      </c>
      <c r="L174" s="33" t="n">
        <v>5</v>
      </c>
      <c r="M174" s="33" t="n">
        <v>5</v>
      </c>
      <c r="N174" s="33" t="inlineStr">
        <is>
          <t>ASSUMPTION</t>
        </is>
      </c>
      <c r="O174" s="33" t="inlineStr">
        <is>
          <t>EVD-0007;EVD-0008</t>
        </is>
      </c>
      <c r="P174" s="33" t="inlineStr">
        <is>
          <t>GAP-004;GAP-005</t>
        </is>
      </c>
    </row>
    <row r="175">
      <c r="A175" s="33" t="inlineStr">
        <is>
          <t>RCP-0170</t>
        </is>
      </c>
      <c r="B175" s="33" t="inlineStr">
        <is>
          <t>VKM-020</t>
        </is>
      </c>
      <c r="C175" s="33" t="inlineStr">
        <is>
          <t>VKC-020</t>
        </is>
      </c>
      <c r="D175" s="33" t="inlineStr">
        <is>
          <t>VKT-020</t>
        </is>
      </c>
      <c r="E175" s="33" t="inlineStr">
        <is>
          <t>0.1.0-DRAFT</t>
        </is>
      </c>
      <c r="F175" s="33" t="inlineStr">
        <is>
          <t>ING-036</t>
        </is>
      </c>
      <c r="G175" s="33" t="inlineStr">
        <is>
          <t>Креветки очищенные</t>
        </is>
      </c>
      <c r="H175" s="33" t="inlineStr">
        <is>
          <t>Основной компонент</t>
        </is>
      </c>
      <c r="I175" s="33" t="n"/>
      <c r="J175" s="33" t="n">
        <v>145</v>
      </c>
      <c r="K175" s="33" t="inlineStr">
        <is>
          <t>г</t>
        </is>
      </c>
      <c r="L175" s="33" t="n">
        <v>135</v>
      </c>
      <c r="M175" s="33" t="n">
        <v>120</v>
      </c>
      <c r="N175" s="33" t="inlineStr">
        <is>
          <t>ASSUMPTION</t>
        </is>
      </c>
      <c r="O175" s="33" t="inlineStr">
        <is>
          <t>EVD-0007;EVD-0008</t>
        </is>
      </c>
      <c r="P175" s="33" t="inlineStr">
        <is>
          <t>GAP-004;GAP-005</t>
        </is>
      </c>
    </row>
    <row r="176">
      <c r="A176" s="33" t="inlineStr">
        <is>
          <t>RCP-0171</t>
        </is>
      </c>
      <c r="B176" s="33" t="inlineStr">
        <is>
          <t>VKM-020</t>
        </is>
      </c>
      <c r="C176" s="33" t="inlineStr">
        <is>
          <t>VKC-020</t>
        </is>
      </c>
      <c r="D176" s="33" t="inlineStr">
        <is>
          <t>VKT-020</t>
        </is>
      </c>
      <c r="E176" s="33" t="inlineStr">
        <is>
          <t>0.1.0-DRAFT</t>
        </is>
      </c>
      <c r="F176" s="33" t="inlineStr">
        <is>
          <t>ING-080</t>
        </is>
      </c>
      <c r="G176" s="33" t="inlineStr">
        <is>
          <t>Молоко кокосовое</t>
        </is>
      </c>
      <c r="H176" s="33" t="inlineStr">
        <is>
          <t>Соус</t>
        </is>
      </c>
      <c r="I176" s="33" t="inlineStr">
        <is>
          <t>VSF-020</t>
        </is>
      </c>
      <c r="J176" s="33" t="n">
        <v>84</v>
      </c>
      <c r="K176" s="33" t="inlineStr">
        <is>
          <t>г</t>
        </is>
      </c>
      <c r="L176" s="33" t="n">
        <v>84</v>
      </c>
      <c r="M176" s="33" t="n">
        <v>80</v>
      </c>
      <c r="N176" s="33" t="inlineStr">
        <is>
          <t>ASSUMPTION</t>
        </is>
      </c>
      <c r="O176" s="33" t="inlineStr">
        <is>
          <t>EVD-0007;EVD-0008</t>
        </is>
      </c>
      <c r="P176" s="33" t="inlineStr">
        <is>
          <t>GAP-004;GAP-005</t>
        </is>
      </c>
    </row>
    <row r="177">
      <c r="A177" s="33" t="inlineStr">
        <is>
          <t>RCP-0172</t>
        </is>
      </c>
      <c r="B177" s="33" t="inlineStr">
        <is>
          <t>VKM-020</t>
        </is>
      </c>
      <c r="C177" s="33" t="inlineStr">
        <is>
          <t>VKC-020</t>
        </is>
      </c>
      <c r="D177" s="33" t="inlineStr">
        <is>
          <t>VKT-020</t>
        </is>
      </c>
      <c r="E177" s="33" t="inlineStr">
        <is>
          <t>0.1.0-DRAFT</t>
        </is>
      </c>
      <c r="F177" s="33" t="inlineStr">
        <is>
          <t>ING-081</t>
        </is>
      </c>
      <c r="G177" s="33" t="inlineStr">
        <is>
          <t>Паста карри проектная</t>
        </is>
      </c>
      <c r="H177" s="33" t="inlineStr">
        <is>
          <t>Соус</t>
        </is>
      </c>
      <c r="I177" s="33" t="inlineStr">
        <is>
          <t>VSF-020</t>
        </is>
      </c>
      <c r="J177" s="33" t="n">
        <v>15</v>
      </c>
      <c r="K177" s="33" t="inlineStr">
        <is>
          <t>г</t>
        </is>
      </c>
      <c r="L177" s="33" t="n">
        <v>15</v>
      </c>
      <c r="M177" s="33" t="n">
        <v>15</v>
      </c>
      <c r="N177" s="33" t="inlineStr">
        <is>
          <t>ASSUMPTION</t>
        </is>
      </c>
      <c r="O177" s="33" t="inlineStr">
        <is>
          <t>EVD-0007;EVD-0008</t>
        </is>
      </c>
      <c r="P177" s="33" t="inlineStr">
        <is>
          <t>GAP-004;GAP-005</t>
        </is>
      </c>
    </row>
    <row r="178">
      <c r="A178" s="33" t="inlineStr">
        <is>
          <t>RCP-0173</t>
        </is>
      </c>
      <c r="B178" s="33" t="inlineStr">
        <is>
          <t>VKM-020</t>
        </is>
      </c>
      <c r="C178" s="33" t="inlineStr">
        <is>
          <t>VKC-020</t>
        </is>
      </c>
      <c r="D178" s="33" t="inlineStr">
        <is>
          <t>VKT-020</t>
        </is>
      </c>
      <c r="E178" s="33" t="inlineStr">
        <is>
          <t>0.1.0-DRAFT</t>
        </is>
      </c>
      <c r="F178" s="33" t="inlineStr">
        <is>
          <t>ING-082</t>
        </is>
      </c>
      <c r="G178" s="33" t="inlineStr">
        <is>
          <t>Бульон или вода</t>
        </is>
      </c>
      <c r="H178" s="33" t="inlineStr">
        <is>
          <t>Соус</t>
        </is>
      </c>
      <c r="I178" s="33" t="inlineStr">
        <is>
          <t>VSF-020</t>
        </is>
      </c>
      <c r="J178" s="33" t="n">
        <v>20</v>
      </c>
      <c r="K178" s="33" t="inlineStr">
        <is>
          <t>г</t>
        </is>
      </c>
      <c r="L178" s="33" t="n">
        <v>20</v>
      </c>
      <c r="M178" s="33" t="n">
        <v>15</v>
      </c>
      <c r="N178" s="33" t="inlineStr">
        <is>
          <t>ASSUMPTION</t>
        </is>
      </c>
      <c r="O178" s="33" t="inlineStr">
        <is>
          <t>EVD-0007;EVD-0008</t>
        </is>
      </c>
      <c r="P178" s="33" t="inlineStr">
        <is>
          <t>GAP-004;GAP-005</t>
        </is>
      </c>
    </row>
    <row r="179">
      <c r="A179" s="33" t="inlineStr">
        <is>
          <t>RCP-0174</t>
        </is>
      </c>
      <c r="B179" s="33" t="inlineStr">
        <is>
          <t>VKM-020</t>
        </is>
      </c>
      <c r="C179" s="33" t="inlineStr">
        <is>
          <t>VKC-020</t>
        </is>
      </c>
      <c r="D179" s="33" t="inlineStr">
        <is>
          <t>VKT-020</t>
        </is>
      </c>
      <c r="E179" s="33" t="inlineStr">
        <is>
          <t>0.1.0-DRAFT</t>
        </is>
      </c>
      <c r="F179" s="33" t="inlineStr">
        <is>
          <t>ING-083</t>
        </is>
      </c>
      <c r="G179" s="33" t="inlineStr">
        <is>
          <t>Соус рыбный или соевый</t>
        </is>
      </c>
      <c r="H179" s="33" t="inlineStr">
        <is>
          <t>Соус</t>
        </is>
      </c>
      <c r="I179" s="33" t="inlineStr">
        <is>
          <t>VSF-020</t>
        </is>
      </c>
      <c r="J179" s="33" t="n">
        <v>10</v>
      </c>
      <c r="K179" s="33" t="inlineStr">
        <is>
          <t>г</t>
        </is>
      </c>
      <c r="L179" s="33" t="n">
        <v>10</v>
      </c>
      <c r="M179" s="33" t="n">
        <v>10</v>
      </c>
      <c r="N179" s="33" t="inlineStr">
        <is>
          <t>ASSUMPTION</t>
        </is>
      </c>
      <c r="O179" s="33" t="inlineStr">
        <is>
          <t>EVD-0007;EVD-0008</t>
        </is>
      </c>
      <c r="P179" s="33" t="inlineStr">
        <is>
          <t>GAP-004;GAP-005</t>
        </is>
      </c>
    </row>
    <row r="180">
      <c r="A180" s="33" t="inlineStr">
        <is>
          <t>RCP-0175</t>
        </is>
      </c>
      <c r="B180" s="33" t="inlineStr">
        <is>
          <t>VKM-020</t>
        </is>
      </c>
      <c r="C180" s="33" t="inlineStr">
        <is>
          <t>VKC-020</t>
        </is>
      </c>
      <c r="D180" s="33" t="inlineStr">
        <is>
          <t>VKT-020</t>
        </is>
      </c>
      <c r="E180" s="33" t="inlineStr">
        <is>
          <t>0.1.0-DRAFT</t>
        </is>
      </c>
      <c r="F180" s="33" t="inlineStr">
        <is>
          <t>ING-043</t>
        </is>
      </c>
      <c r="G180" s="33" t="inlineStr">
        <is>
          <t>Перец сладкий</t>
        </is>
      </c>
      <c r="H180" s="33" t="inlineStr">
        <is>
          <t>Овощи</t>
        </is>
      </c>
      <c r="I180" s="33" t="n"/>
      <c r="J180" s="33" t="n">
        <v>36</v>
      </c>
      <c r="K180" s="33" t="inlineStr">
        <is>
          <t>г</t>
        </is>
      </c>
      <c r="L180" s="33" t="n">
        <v>32</v>
      </c>
      <c r="M180" s="33" t="n">
        <v>30</v>
      </c>
      <c r="N180" s="33" t="inlineStr">
        <is>
          <t>ASSUMPTION</t>
        </is>
      </c>
      <c r="O180" s="33" t="inlineStr">
        <is>
          <t>EVD-0007;EVD-0008</t>
        </is>
      </c>
      <c r="P180" s="33" t="inlineStr">
        <is>
          <t>GAP-004;GAP-005</t>
        </is>
      </c>
    </row>
    <row r="181">
      <c r="A181" s="33" t="inlineStr">
        <is>
          <t>RCP-0176</t>
        </is>
      </c>
      <c r="B181" s="33" t="inlineStr">
        <is>
          <t>VKM-020</t>
        </is>
      </c>
      <c r="C181" s="33" t="inlineStr">
        <is>
          <t>VKC-020</t>
        </is>
      </c>
      <c r="D181" s="33" t="inlineStr">
        <is>
          <t>VKT-020</t>
        </is>
      </c>
      <c r="E181" s="33" t="inlineStr">
        <is>
          <t>0.1.0-DRAFT</t>
        </is>
      </c>
      <c r="F181" s="33" t="inlineStr">
        <is>
          <t>ING-084</t>
        </is>
      </c>
      <c r="G181" s="33" t="inlineStr">
        <is>
          <t>Цукини</t>
        </is>
      </c>
      <c r="H181" s="33" t="inlineStr">
        <is>
          <t>Овощи</t>
        </is>
      </c>
      <c r="I181" s="33" t="n"/>
      <c r="J181" s="33" t="n">
        <v>30</v>
      </c>
      <c r="K181" s="33" t="inlineStr">
        <is>
          <t>г</t>
        </is>
      </c>
      <c r="L181" s="33" t="n">
        <v>27</v>
      </c>
      <c r="M181" s="33" t="n">
        <v>25</v>
      </c>
      <c r="N181" s="33" t="inlineStr">
        <is>
          <t>ASSUMPTION</t>
        </is>
      </c>
      <c r="O181" s="33" t="inlineStr">
        <is>
          <t>EVD-0007;EVD-0008</t>
        </is>
      </c>
      <c r="P181" s="33" t="inlineStr">
        <is>
          <t>GAP-004;GAP-005</t>
        </is>
      </c>
    </row>
    <row r="182">
      <c r="A182" s="33" t="inlineStr">
        <is>
          <t>RCP-0177</t>
        </is>
      </c>
      <c r="B182" s="33" t="inlineStr">
        <is>
          <t>VKM-020</t>
        </is>
      </c>
      <c r="C182" s="33" t="inlineStr">
        <is>
          <t>VKC-020</t>
        </is>
      </c>
      <c r="D182" s="33" t="inlineStr">
        <is>
          <t>VKT-020</t>
        </is>
      </c>
      <c r="E182" s="33" t="inlineStr">
        <is>
          <t>0.1.0-DRAFT</t>
        </is>
      </c>
      <c r="F182" s="33" t="inlineStr">
        <is>
          <t>ING-016</t>
        </is>
      </c>
      <c r="G182" s="33" t="inlineStr">
        <is>
          <t>Лук репчатый</t>
        </is>
      </c>
      <c r="H182" s="33" t="inlineStr">
        <is>
          <t>Овощи</t>
        </is>
      </c>
      <c r="I182" s="33" t="n"/>
      <c r="J182" s="33" t="n">
        <v>19</v>
      </c>
      <c r="K182" s="33" t="inlineStr">
        <is>
          <t>г</t>
        </is>
      </c>
      <c r="L182" s="33" t="n">
        <v>17</v>
      </c>
      <c r="M182" s="33" t="n">
        <v>15</v>
      </c>
      <c r="N182" s="33" t="inlineStr">
        <is>
          <t>ASSUMPTION</t>
        </is>
      </c>
      <c r="O182" s="33" t="inlineStr">
        <is>
          <t>EVD-0007;EVD-0008</t>
        </is>
      </c>
      <c r="P182" s="33" t="inlineStr">
        <is>
          <t>GAP-004;GAP-005</t>
        </is>
      </c>
    </row>
    <row r="183">
      <c r="A183" s="33" t="inlineStr">
        <is>
          <t>RCP-0178</t>
        </is>
      </c>
      <c r="B183" s="33" t="inlineStr">
        <is>
          <t>VKM-020</t>
        </is>
      </c>
      <c r="C183" s="33" t="inlineStr">
        <is>
          <t>VKC-020</t>
        </is>
      </c>
      <c r="D183" s="33" t="inlineStr">
        <is>
          <t>VKT-020</t>
        </is>
      </c>
      <c r="E183" s="33" t="inlineStr">
        <is>
          <t>0.1.0-DRAFT</t>
        </is>
      </c>
      <c r="F183" s="33" t="inlineStr">
        <is>
          <t>ING-085</t>
        </is>
      </c>
      <c r="G183" s="33" t="inlineStr">
        <is>
          <t>Лапша рисовая подготовленная</t>
        </is>
      </c>
      <c r="H183" s="33" t="inlineStr">
        <is>
          <t>Сборка</t>
        </is>
      </c>
      <c r="I183" s="33" t="n"/>
      <c r="J183" s="33" t="n">
        <v>45</v>
      </c>
      <c r="K183" s="33" t="inlineStr">
        <is>
          <t>г</t>
        </is>
      </c>
      <c r="L183" s="33" t="n">
        <v>45</v>
      </c>
      <c r="M183" s="33" t="n">
        <v>40</v>
      </c>
      <c r="N183" s="33" t="inlineStr">
        <is>
          <t>ASSUMPTION</t>
        </is>
      </c>
      <c r="O183" s="33" t="inlineStr">
        <is>
          <t>EVD-0007;EVD-0008</t>
        </is>
      </c>
      <c r="P183" s="33" t="inlineStr">
        <is>
          <t>GAP-004;GAP-005</t>
        </is>
      </c>
    </row>
    <row r="184">
      <c r="A184" s="33" t="inlineStr">
        <is>
          <t>RCP-0179</t>
        </is>
      </c>
      <c r="B184" s="33" t="inlineStr">
        <is>
          <t>VKM-020</t>
        </is>
      </c>
      <c r="C184" s="33" t="inlineStr">
        <is>
          <t>VKC-020</t>
        </is>
      </c>
      <c r="D184" s="33" t="inlineStr">
        <is>
          <t>VKT-020</t>
        </is>
      </c>
      <c r="E184" s="33" t="inlineStr">
        <is>
          <t>0.1.0-DRAFT</t>
        </is>
      </c>
      <c r="F184" s="33" t="inlineStr">
        <is>
          <t>ING-086</t>
        </is>
      </c>
      <c r="G184" s="33" t="inlineStr">
        <is>
          <t>Зелень и лайм</t>
        </is>
      </c>
      <c r="H184" s="33" t="inlineStr">
        <is>
          <t>Финиш</t>
        </is>
      </c>
      <c r="I184" s="33" t="n"/>
      <c r="J184" s="33" t="n">
        <v>13</v>
      </c>
      <c r="K184" s="33" t="inlineStr">
        <is>
          <t>г</t>
        </is>
      </c>
      <c r="L184" s="33" t="n">
        <v>10</v>
      </c>
      <c r="M184" s="33" t="n">
        <v>10</v>
      </c>
      <c r="N184" s="33" t="inlineStr">
        <is>
          <t>ASSUMPTION</t>
        </is>
      </c>
      <c r="O184" s="33" t="inlineStr">
        <is>
          <t>EVD-0007;EVD-0008</t>
        </is>
      </c>
      <c r="P184" s="33" t="inlineStr">
        <is>
          <t>GAP-004;GAP-005</t>
        </is>
      </c>
    </row>
    <row r="185">
      <c r="A185" s="33" t="inlineStr">
        <is>
          <t>RCP-0180</t>
        </is>
      </c>
      <c r="B185" s="33" t="inlineStr">
        <is>
          <t>VKM-021</t>
        </is>
      </c>
      <c r="C185" s="33" t="inlineStr">
        <is>
          <t>VKC-021</t>
        </is>
      </c>
      <c r="D185" s="33" t="inlineStr">
        <is>
          <t>VKT-021</t>
        </is>
      </c>
      <c r="E185" s="33" t="inlineStr">
        <is>
          <t>0.1.0-DRAFT</t>
        </is>
      </c>
      <c r="F185" s="33" t="inlineStr">
        <is>
          <t>ING-087</t>
        </is>
      </c>
      <c r="G185" s="33" t="inlineStr">
        <is>
          <t>Бриошь VKM-008</t>
        </is>
      </c>
      <c r="H185" s="33" t="inlineStr">
        <is>
          <t>Сборка</t>
        </is>
      </c>
      <c r="I185" s="33" t="n"/>
      <c r="J185" s="33" t="n">
        <v>85</v>
      </c>
      <c r="K185" s="33" t="inlineStr">
        <is>
          <t>г</t>
        </is>
      </c>
      <c r="L185" s="33" t="n">
        <v>85</v>
      </c>
      <c r="M185" s="33" t="n">
        <v>85</v>
      </c>
      <c r="N185" s="33" t="inlineStr">
        <is>
          <t>ASSUMPTION</t>
        </is>
      </c>
      <c r="O185" s="33" t="inlineStr">
        <is>
          <t>EVD-0007;EVD-0008</t>
        </is>
      </c>
      <c r="P185" s="33" t="inlineStr">
        <is>
          <t>GAP-004;GAP-005</t>
        </is>
      </c>
    </row>
    <row r="186">
      <c r="A186" s="33" t="inlineStr">
        <is>
          <t>RCP-0181</t>
        </is>
      </c>
      <c r="B186" s="33" t="inlineStr">
        <is>
          <t>VKM-021</t>
        </is>
      </c>
      <c r="C186" s="33" t="inlineStr">
        <is>
          <t>VKC-021</t>
        </is>
      </c>
      <c r="D186" s="33" t="inlineStr">
        <is>
          <t>VKT-021</t>
        </is>
      </c>
      <c r="E186" s="33" t="inlineStr">
        <is>
          <t>0.1.0-DRAFT</t>
        </is>
      </c>
      <c r="F186" s="33" t="inlineStr">
        <is>
          <t>ING-088</t>
        </is>
      </c>
      <c r="G186" s="33" t="inlineStr">
        <is>
          <t>Говядина для котлеты</t>
        </is>
      </c>
      <c r="H186" s="33" t="inlineStr">
        <is>
          <t>Котлета</t>
        </is>
      </c>
      <c r="I186" s="33" t="inlineStr">
        <is>
          <t>VSF-021</t>
        </is>
      </c>
      <c r="J186" s="33" t="n">
        <v>175</v>
      </c>
      <c r="K186" s="33" t="inlineStr">
        <is>
          <t>г</t>
        </is>
      </c>
      <c r="L186" s="33" t="n">
        <v>165</v>
      </c>
      <c r="M186" s="33" t="n">
        <v>145</v>
      </c>
      <c r="N186" s="33" t="inlineStr">
        <is>
          <t>ASSUMPTION</t>
        </is>
      </c>
      <c r="O186" s="33" t="inlineStr">
        <is>
          <t>EVD-0007;EVD-0008</t>
        </is>
      </c>
      <c r="P186" s="33" t="inlineStr">
        <is>
          <t>GAP-004;GAP-005</t>
        </is>
      </c>
    </row>
    <row r="187">
      <c r="A187" s="33" t="inlineStr">
        <is>
          <t>RCP-0182</t>
        </is>
      </c>
      <c r="B187" s="33" t="inlineStr">
        <is>
          <t>VKM-021</t>
        </is>
      </c>
      <c r="C187" s="33" t="inlineStr">
        <is>
          <t>VKC-021</t>
        </is>
      </c>
      <c r="D187" s="33" t="inlineStr">
        <is>
          <t>VKT-021</t>
        </is>
      </c>
      <c r="E187" s="33" t="inlineStr">
        <is>
          <t>0.1.0-DRAFT</t>
        </is>
      </c>
      <c r="F187" s="33" t="inlineStr">
        <is>
          <t>ING-089</t>
        </is>
      </c>
      <c r="G187" s="33" t="inlineStr">
        <is>
          <t>Жир говяжий или иной компонент котлеты</t>
        </is>
      </c>
      <c r="H187" s="33" t="inlineStr">
        <is>
          <t>Котлета</t>
        </is>
      </c>
      <c r="I187" s="33" t="inlineStr">
        <is>
          <t>VSF-021</t>
        </is>
      </c>
      <c r="J187" s="33" t="n">
        <v>5</v>
      </c>
      <c r="K187" s="33" t="inlineStr">
        <is>
          <t>г</t>
        </is>
      </c>
      <c r="L187" s="33" t="n">
        <v>5</v>
      </c>
      <c r="M187" s="33" t="n">
        <v>5</v>
      </c>
      <c r="N187" s="33" t="inlineStr">
        <is>
          <t>ASSUMPTION</t>
        </is>
      </c>
      <c r="O187" s="33" t="inlineStr">
        <is>
          <t>EVD-0007;EVD-0008</t>
        </is>
      </c>
      <c r="P187" s="33" t="inlineStr">
        <is>
          <t>GAP-004;GAP-005</t>
        </is>
      </c>
    </row>
    <row r="188">
      <c r="A188" s="33" t="inlineStr">
        <is>
          <t>RCP-0183</t>
        </is>
      </c>
      <c r="B188" s="33" t="inlineStr">
        <is>
          <t>VKM-021</t>
        </is>
      </c>
      <c r="C188" s="33" t="inlineStr">
        <is>
          <t>VKC-021</t>
        </is>
      </c>
      <c r="D188" s="33" t="inlineStr">
        <is>
          <t>VKT-021</t>
        </is>
      </c>
      <c r="E188" s="33" t="inlineStr">
        <is>
          <t>0.1.0-DRAFT</t>
        </is>
      </c>
      <c r="F188" s="33" t="inlineStr">
        <is>
          <t>ING-090</t>
        </is>
      </c>
      <c r="G188" s="33" t="inlineStr">
        <is>
          <t>Сыр ломтиковый</t>
        </is>
      </c>
      <c r="H188" s="33" t="inlineStr">
        <is>
          <t>Сборка</t>
        </is>
      </c>
      <c r="I188" s="33" t="n"/>
      <c r="J188" s="33" t="n">
        <v>20</v>
      </c>
      <c r="K188" s="33" t="inlineStr">
        <is>
          <t>г</t>
        </is>
      </c>
      <c r="L188" s="33" t="n">
        <v>20</v>
      </c>
      <c r="M188" s="33" t="n">
        <v>20</v>
      </c>
      <c r="N188" s="33" t="inlineStr">
        <is>
          <t>ASSUMPTION</t>
        </is>
      </c>
      <c r="O188" s="33" t="inlineStr">
        <is>
          <t>EVD-0007;EVD-0008</t>
        </is>
      </c>
      <c r="P188" s="33" t="inlineStr">
        <is>
          <t>GAP-004;GAP-005</t>
        </is>
      </c>
    </row>
    <row r="189">
      <c r="A189" s="33" t="inlineStr">
        <is>
          <t>RCP-0184</t>
        </is>
      </c>
      <c r="B189" s="33" t="inlineStr">
        <is>
          <t>VKM-021</t>
        </is>
      </c>
      <c r="C189" s="33" t="inlineStr">
        <is>
          <t>VKC-021</t>
        </is>
      </c>
      <c r="D189" s="33" t="inlineStr">
        <is>
          <t>VKT-021</t>
        </is>
      </c>
      <c r="E189" s="33" t="inlineStr">
        <is>
          <t>0.1.0-DRAFT</t>
        </is>
      </c>
      <c r="F189" s="33" t="inlineStr">
        <is>
          <t>ING-091</t>
        </is>
      </c>
      <c r="G189" s="33" t="inlineStr">
        <is>
          <t>Томат</t>
        </is>
      </c>
      <c r="H189" s="33" t="inlineStr">
        <is>
          <t>Сборка</t>
        </is>
      </c>
      <c r="I189" s="33" t="n"/>
      <c r="J189" s="33" t="n">
        <v>34</v>
      </c>
      <c r="K189" s="33" t="inlineStr">
        <is>
          <t>г</t>
        </is>
      </c>
      <c r="L189" s="33" t="n">
        <v>30</v>
      </c>
      <c r="M189" s="33" t="n">
        <v>30</v>
      </c>
      <c r="N189" s="33" t="inlineStr">
        <is>
          <t>ASSUMPTION</t>
        </is>
      </c>
      <c r="O189" s="33" t="inlineStr">
        <is>
          <t>EVD-0007;EVD-0008</t>
        </is>
      </c>
      <c r="P189" s="33" t="inlineStr">
        <is>
          <t>GAP-004;GAP-005</t>
        </is>
      </c>
    </row>
    <row r="190">
      <c r="A190" s="33" t="inlineStr">
        <is>
          <t>RCP-0185</t>
        </is>
      </c>
      <c r="B190" s="33" t="inlineStr">
        <is>
          <t>VKM-021</t>
        </is>
      </c>
      <c r="C190" s="33" t="inlineStr">
        <is>
          <t>VKC-021</t>
        </is>
      </c>
      <c r="D190" s="33" t="inlineStr">
        <is>
          <t>VKT-021</t>
        </is>
      </c>
      <c r="E190" s="33" t="inlineStr">
        <is>
          <t>0.1.0-DRAFT</t>
        </is>
      </c>
      <c r="F190" s="33" t="inlineStr">
        <is>
          <t>ING-092</t>
        </is>
      </c>
      <c r="G190" s="33" t="inlineStr">
        <is>
          <t>Огурец маринованный</t>
        </is>
      </c>
      <c r="H190" s="33" t="inlineStr">
        <is>
          <t>Сборка</t>
        </is>
      </c>
      <c r="I190" s="33" t="n"/>
      <c r="J190" s="33" t="n">
        <v>23</v>
      </c>
      <c r="K190" s="33" t="inlineStr">
        <is>
          <t>г</t>
        </is>
      </c>
      <c r="L190" s="33" t="n">
        <v>20</v>
      </c>
      <c r="M190" s="33" t="n">
        <v>20</v>
      </c>
      <c r="N190" s="33" t="inlineStr">
        <is>
          <t>ASSUMPTION</t>
        </is>
      </c>
      <c r="O190" s="33" t="inlineStr">
        <is>
          <t>EVD-0007;EVD-0008</t>
        </is>
      </c>
      <c r="P190" s="33" t="inlineStr">
        <is>
          <t>GAP-004;GAP-005</t>
        </is>
      </c>
    </row>
    <row r="191">
      <c r="A191" s="33" t="inlineStr">
        <is>
          <t>RCP-0186</t>
        </is>
      </c>
      <c r="B191" s="33" t="inlineStr">
        <is>
          <t>VKM-021</t>
        </is>
      </c>
      <c r="C191" s="33" t="inlineStr">
        <is>
          <t>VKC-021</t>
        </is>
      </c>
      <c r="D191" s="33" t="inlineStr">
        <is>
          <t>VKT-021</t>
        </is>
      </c>
      <c r="E191" s="33" t="inlineStr">
        <is>
          <t>0.1.0-DRAFT</t>
        </is>
      </c>
      <c r="F191" s="33" t="inlineStr">
        <is>
          <t>ING-093</t>
        </is>
      </c>
      <c r="G191" s="33" t="inlineStr">
        <is>
          <t>Лук</t>
        </is>
      </c>
      <c r="H191" s="33" t="inlineStr">
        <is>
          <t>Сборка</t>
        </is>
      </c>
      <c r="I191" s="33" t="n"/>
      <c r="J191" s="33" t="n">
        <v>12</v>
      </c>
      <c r="K191" s="33" t="inlineStr">
        <is>
          <t>г</t>
        </is>
      </c>
      <c r="L191" s="33" t="n">
        <v>10</v>
      </c>
      <c r="M191" s="33" t="n">
        <v>10</v>
      </c>
      <c r="N191" s="33" t="inlineStr">
        <is>
          <t>ASSUMPTION</t>
        </is>
      </c>
      <c r="O191" s="33" t="inlineStr">
        <is>
          <t>EVD-0007;EVD-0008</t>
        </is>
      </c>
      <c r="P191" s="33" t="inlineStr">
        <is>
          <t>GAP-004;GAP-005</t>
        </is>
      </c>
    </row>
    <row r="192">
      <c r="A192" s="33" t="inlineStr">
        <is>
          <t>RCP-0187</t>
        </is>
      </c>
      <c r="B192" s="33" t="inlineStr">
        <is>
          <t>VKM-021</t>
        </is>
      </c>
      <c r="C192" s="33" t="inlineStr">
        <is>
          <t>VKC-021</t>
        </is>
      </c>
      <c r="D192" s="33" t="inlineStr">
        <is>
          <t>VKT-021</t>
        </is>
      </c>
      <c r="E192" s="33" t="inlineStr">
        <is>
          <t>0.1.0-DRAFT</t>
        </is>
      </c>
      <c r="F192" s="33" t="inlineStr">
        <is>
          <t>ING-094</t>
        </is>
      </c>
      <c r="G192" s="33" t="inlineStr">
        <is>
          <t>Соус эмульсионный</t>
        </is>
      </c>
      <c r="H192" s="33" t="inlineStr">
        <is>
          <t>Соус</t>
        </is>
      </c>
      <c r="I192" s="33" t="inlineStr">
        <is>
          <t>VSF-022</t>
        </is>
      </c>
      <c r="J192" s="33" t="n">
        <v>20</v>
      </c>
      <c r="K192" s="33" t="inlineStr">
        <is>
          <t>г</t>
        </is>
      </c>
      <c r="L192" s="33" t="n">
        <v>20</v>
      </c>
      <c r="M192" s="33" t="n">
        <v>20</v>
      </c>
      <c r="N192" s="33" t="inlineStr">
        <is>
          <t>ASSUMPTION</t>
        </is>
      </c>
      <c r="O192" s="33" t="inlineStr">
        <is>
          <t>EVD-0007;EVD-0008</t>
        </is>
      </c>
      <c r="P192" s="33" t="inlineStr">
        <is>
          <t>GAP-004;GAP-005</t>
        </is>
      </c>
    </row>
    <row r="193">
      <c r="A193" s="33" t="inlineStr">
        <is>
          <t>RCP-0188</t>
        </is>
      </c>
      <c r="B193" s="33" t="inlineStr">
        <is>
          <t>VKM-021</t>
        </is>
      </c>
      <c r="C193" s="33" t="inlineStr">
        <is>
          <t>VKC-021</t>
        </is>
      </c>
      <c r="D193" s="33" t="inlineStr">
        <is>
          <t>VKT-021</t>
        </is>
      </c>
      <c r="E193" s="33" t="inlineStr">
        <is>
          <t>0.1.0-DRAFT</t>
        </is>
      </c>
      <c r="F193" s="33" t="inlineStr">
        <is>
          <t>ING-095</t>
        </is>
      </c>
      <c r="G193" s="33" t="inlineStr">
        <is>
          <t>Соус томатный</t>
        </is>
      </c>
      <c r="H193" s="33" t="inlineStr">
        <is>
          <t>Соус</t>
        </is>
      </c>
      <c r="I193" s="33" t="inlineStr">
        <is>
          <t>VSF-022</t>
        </is>
      </c>
      <c r="J193" s="33" t="n">
        <v>5</v>
      </c>
      <c r="K193" s="33" t="inlineStr">
        <is>
          <t>г</t>
        </is>
      </c>
      <c r="L193" s="33" t="n">
        <v>5</v>
      </c>
      <c r="M193" s="33" t="n">
        <v>5</v>
      </c>
      <c r="N193" s="33" t="inlineStr">
        <is>
          <t>ASSUMPTION</t>
        </is>
      </c>
      <c r="O193" s="33" t="inlineStr">
        <is>
          <t>EVD-0007;EVD-0008</t>
        </is>
      </c>
      <c r="P193" s="33" t="inlineStr">
        <is>
          <t>GAP-004;GAP-005</t>
        </is>
      </c>
    </row>
    <row r="194">
      <c r="A194" s="33" t="inlineStr">
        <is>
          <t>RCP-0189</t>
        </is>
      </c>
      <c r="B194" s="33" t="inlineStr">
        <is>
          <t>VKM-021</t>
        </is>
      </c>
      <c r="C194" s="33" t="inlineStr">
        <is>
          <t>VKC-021</t>
        </is>
      </c>
      <c r="D194" s="33" t="inlineStr">
        <is>
          <t>VKT-021</t>
        </is>
      </c>
      <c r="E194" s="33" t="inlineStr">
        <is>
          <t>0.1.0-DRAFT</t>
        </is>
      </c>
      <c r="F194" s="33" t="inlineStr">
        <is>
          <t>ING-096</t>
        </is>
      </c>
      <c r="G194" s="33" t="inlineStr">
        <is>
          <t>Салат листовой</t>
        </is>
      </c>
      <c r="H194" s="33" t="inlineStr">
        <is>
          <t>Сборка</t>
        </is>
      </c>
      <c r="I194" s="33" t="n"/>
      <c r="J194" s="33" t="n">
        <v>12</v>
      </c>
      <c r="K194" s="33" t="inlineStr">
        <is>
          <t>г</t>
        </is>
      </c>
      <c r="L194" s="33" t="n">
        <v>10</v>
      </c>
      <c r="M194" s="33" t="n">
        <v>10</v>
      </c>
      <c r="N194" s="33" t="inlineStr">
        <is>
          <t>ASSUMPTION</t>
        </is>
      </c>
      <c r="O194" s="33" t="inlineStr">
        <is>
          <t>EVD-0007;EVD-0008</t>
        </is>
      </c>
      <c r="P194" s="33" t="inlineStr">
        <is>
          <t>GAP-004;GAP-005</t>
        </is>
      </c>
    </row>
    <row r="195">
      <c r="A195" s="33" t="inlineStr">
        <is>
          <t>RCP-0190</t>
        </is>
      </c>
      <c r="B195" s="33" t="inlineStr">
        <is>
          <t>VKM-022</t>
        </is>
      </c>
      <c r="C195" s="33" t="inlineStr">
        <is>
          <t>VKC-022</t>
        </is>
      </c>
      <c r="D195" s="33" t="inlineStr">
        <is>
          <t>VKT-022</t>
        </is>
      </c>
      <c r="E195" s="33" t="inlineStr">
        <is>
          <t>0.1.0-DRAFT</t>
        </is>
      </c>
      <c r="F195" s="33" t="inlineStr">
        <is>
          <t>ING-097</t>
        </is>
      </c>
      <c r="G195" s="33" t="inlineStr">
        <is>
          <t>Говяжья вырезка</t>
        </is>
      </c>
      <c r="H195" s="33" t="inlineStr">
        <is>
          <t>Миньоны</t>
        </is>
      </c>
      <c r="I195" s="33" t="inlineStr">
        <is>
          <t>VSF-023</t>
        </is>
      </c>
      <c r="J195" s="33" t="n">
        <v>255</v>
      </c>
      <c r="K195" s="33" t="inlineStr">
        <is>
          <t>г</t>
        </is>
      </c>
      <c r="L195" s="33" t="n">
        <v>240</v>
      </c>
      <c r="M195" s="33" t="n">
        <v>220</v>
      </c>
      <c r="N195" s="33" t="inlineStr">
        <is>
          <t>ASSUMPTION</t>
        </is>
      </c>
      <c r="O195" s="33" t="inlineStr">
        <is>
          <t>EVD-0007;EVD-0008</t>
        </is>
      </c>
      <c r="P195" s="33" t="inlineStr">
        <is>
          <t>GAP-004;GAP-005</t>
        </is>
      </c>
    </row>
    <row r="196">
      <c r="A196" s="33" t="inlineStr">
        <is>
          <t>RCP-0191</t>
        </is>
      </c>
      <c r="B196" s="33" t="inlineStr">
        <is>
          <t>VKM-022</t>
        </is>
      </c>
      <c r="C196" s="33" t="inlineStr">
        <is>
          <t>VKC-022</t>
        </is>
      </c>
      <c r="D196" s="33" t="inlineStr">
        <is>
          <t>VKT-022</t>
        </is>
      </c>
      <c r="E196" s="33" t="inlineStr">
        <is>
          <t>0.1.0-DRAFT</t>
        </is>
      </c>
      <c r="F196" s="33" t="inlineStr">
        <is>
          <t>ING-098</t>
        </is>
      </c>
      <c r="G196" s="33" t="inlineStr">
        <is>
          <t>Бульон или мясной сок</t>
        </is>
      </c>
      <c r="H196" s="33" t="inlineStr">
        <is>
          <t>Соус</t>
        </is>
      </c>
      <c r="I196" s="33" t="inlineStr">
        <is>
          <t>VSF-024</t>
        </is>
      </c>
      <c r="J196" s="33" t="n">
        <v>35</v>
      </c>
      <c r="K196" s="33" t="inlineStr">
        <is>
          <t>г</t>
        </is>
      </c>
      <c r="L196" s="33" t="n">
        <v>35</v>
      </c>
      <c r="M196" s="33" t="n">
        <v>30</v>
      </c>
      <c r="N196" s="33" t="inlineStr">
        <is>
          <t>ASSUMPTION</t>
        </is>
      </c>
      <c r="O196" s="33" t="inlineStr">
        <is>
          <t>EVD-0007;EVD-0008</t>
        </is>
      </c>
      <c r="P196" s="33" t="inlineStr">
        <is>
          <t>GAP-004;GAP-005</t>
        </is>
      </c>
    </row>
    <row r="197">
      <c r="A197" s="33" t="inlineStr">
        <is>
          <t>RCP-0192</t>
        </is>
      </c>
      <c r="B197" s="33" t="inlineStr">
        <is>
          <t>VKM-022</t>
        </is>
      </c>
      <c r="C197" s="33" t="inlineStr">
        <is>
          <t>VKC-022</t>
        </is>
      </c>
      <c r="D197" s="33" t="inlineStr">
        <is>
          <t>VKT-022</t>
        </is>
      </c>
      <c r="E197" s="33" t="inlineStr">
        <is>
          <t>0.1.0-DRAFT</t>
        </is>
      </c>
      <c r="F197" s="33" t="inlineStr">
        <is>
          <t>ING-027</t>
        </is>
      </c>
      <c r="G197" s="33" t="inlineStr">
        <is>
          <t>Масло сливочное</t>
        </is>
      </c>
      <c r="H197" s="33" t="inlineStr">
        <is>
          <t>Соус</t>
        </is>
      </c>
      <c r="I197" s="33" t="inlineStr">
        <is>
          <t>VSF-024</t>
        </is>
      </c>
      <c r="J197" s="33" t="n">
        <v>10</v>
      </c>
      <c r="K197" s="33" t="inlineStr">
        <is>
          <t>г</t>
        </is>
      </c>
      <c r="L197" s="33" t="n">
        <v>10</v>
      </c>
      <c r="M197" s="33" t="n">
        <v>10</v>
      </c>
      <c r="N197" s="33" t="inlineStr">
        <is>
          <t>ASSUMPTION</t>
        </is>
      </c>
      <c r="O197" s="33" t="inlineStr">
        <is>
          <t>EVD-0007;EVD-0008</t>
        </is>
      </c>
      <c r="P197" s="33" t="inlineStr">
        <is>
          <t>GAP-004;GAP-005</t>
        </is>
      </c>
    </row>
    <row r="198">
      <c r="A198" s="33" t="inlineStr">
        <is>
          <t>RCP-0193</t>
        </is>
      </c>
      <c r="B198" s="33" t="inlineStr">
        <is>
          <t>VKM-022</t>
        </is>
      </c>
      <c r="C198" s="33" t="inlineStr">
        <is>
          <t>VKC-022</t>
        </is>
      </c>
      <c r="D198" s="33" t="inlineStr">
        <is>
          <t>VKT-022</t>
        </is>
      </c>
      <c r="E198" s="33" t="inlineStr">
        <is>
          <t>0.1.0-DRAFT</t>
        </is>
      </c>
      <c r="F198" s="33" t="inlineStr">
        <is>
          <t>ING-024</t>
        </is>
      </c>
      <c r="G198" s="33" t="inlineStr">
        <is>
          <t>Масло растительное</t>
        </is>
      </c>
      <c r="H198" s="33" t="inlineStr">
        <is>
          <t>Обработка</t>
        </is>
      </c>
      <c r="I198" s="33" t="n"/>
      <c r="J198" s="33" t="n">
        <v>5</v>
      </c>
      <c r="K198" s="33" t="inlineStr">
        <is>
          <t>г</t>
        </is>
      </c>
      <c r="L198" s="33" t="n">
        <v>5</v>
      </c>
      <c r="M198" s="33" t="n">
        <v>5</v>
      </c>
      <c r="N198" s="33" t="inlineStr">
        <is>
          <t>ASSUMPTION</t>
        </is>
      </c>
      <c r="O198" s="33" t="inlineStr">
        <is>
          <t>EVD-0007;EVD-0008</t>
        </is>
      </c>
      <c r="P198" s="33" t="inlineStr">
        <is>
          <t>GAP-004;GAP-005</t>
        </is>
      </c>
    </row>
    <row r="199">
      <c r="A199" s="33" t="inlineStr">
        <is>
          <t>RCP-0194</t>
        </is>
      </c>
      <c r="B199" s="33" t="inlineStr">
        <is>
          <t>VKM-022</t>
        </is>
      </c>
      <c r="C199" s="33" t="inlineStr">
        <is>
          <t>VKC-022</t>
        </is>
      </c>
      <c r="D199" s="33" t="inlineStr">
        <is>
          <t>VKT-022</t>
        </is>
      </c>
      <c r="E199" s="33" t="inlineStr">
        <is>
          <t>0.1.0-DRAFT</t>
        </is>
      </c>
      <c r="F199" s="33" t="inlineStr">
        <is>
          <t>ING-007</t>
        </is>
      </c>
      <c r="G199" s="33" t="inlineStr">
        <is>
          <t>Чеснок</t>
        </is>
      </c>
      <c r="H199" s="33" t="inlineStr">
        <is>
          <t>Ароматика</t>
        </is>
      </c>
      <c r="I199" s="33" t="n"/>
      <c r="J199" s="33" t="n">
        <v>5.5</v>
      </c>
      <c r="K199" s="33" t="inlineStr">
        <is>
          <t>г</t>
        </is>
      </c>
      <c r="L199" s="33" t="n">
        <v>5</v>
      </c>
      <c r="M199" s="33" t="n">
        <v>5</v>
      </c>
      <c r="N199" s="33" t="inlineStr">
        <is>
          <t>ASSUMPTION</t>
        </is>
      </c>
      <c r="O199" s="33" t="inlineStr">
        <is>
          <t>EVD-0007;EVD-0008</t>
        </is>
      </c>
      <c r="P199" s="33" t="inlineStr">
        <is>
          <t>GAP-004;GAP-005</t>
        </is>
      </c>
    </row>
    <row r="200">
      <c r="A200" s="33" t="inlineStr">
        <is>
          <t>RCP-0195</t>
        </is>
      </c>
      <c r="B200" s="33" t="inlineStr">
        <is>
          <t>VKM-022</t>
        </is>
      </c>
      <c r="C200" s="33" t="inlineStr">
        <is>
          <t>VKC-022</t>
        </is>
      </c>
      <c r="D200" s="33" t="inlineStr">
        <is>
          <t>VKT-022</t>
        </is>
      </c>
      <c r="E200" s="33" t="inlineStr">
        <is>
          <t>0.1.0-DRAFT</t>
        </is>
      </c>
      <c r="F200" s="33" t="inlineStr">
        <is>
          <t>ING-063</t>
        </is>
      </c>
      <c r="G200" s="33" t="inlineStr">
        <is>
          <t>Пряные травы</t>
        </is>
      </c>
      <c r="H200" s="33" t="inlineStr">
        <is>
          <t>Ароматика</t>
        </is>
      </c>
      <c r="I200" s="33" t="n"/>
      <c r="J200" s="33" t="n">
        <v>5</v>
      </c>
      <c r="K200" s="33" t="inlineStr">
        <is>
          <t>г</t>
        </is>
      </c>
      <c r="L200" s="33" t="n">
        <v>5</v>
      </c>
      <c r="M200" s="33" t="n">
        <v>5</v>
      </c>
      <c r="N200" s="33" t="inlineStr">
        <is>
          <t>ASSUMPTION</t>
        </is>
      </c>
      <c r="O200" s="33" t="inlineStr">
        <is>
          <t>EVD-0007;EVD-0008</t>
        </is>
      </c>
      <c r="P200" s="33" t="inlineStr">
        <is>
          <t>GAP-004;GAP-005</t>
        </is>
      </c>
    </row>
    <row r="201">
      <c r="A201" s="33" t="inlineStr">
        <is>
          <t>RCP-0196</t>
        </is>
      </c>
      <c r="B201" s="33" t="inlineStr">
        <is>
          <t>VKM-022</t>
        </is>
      </c>
      <c r="C201" s="33" t="inlineStr">
        <is>
          <t>VKC-022</t>
        </is>
      </c>
      <c r="D201" s="33" t="inlineStr">
        <is>
          <t>VKT-022</t>
        </is>
      </c>
      <c r="E201" s="33" t="inlineStr">
        <is>
          <t>0.1.0-DRAFT</t>
        </is>
      </c>
      <c r="F201" s="33" t="inlineStr">
        <is>
          <t>ING-059</t>
        </is>
      </c>
      <c r="G201" s="33" t="inlineStr">
        <is>
          <t>Зелень</t>
        </is>
      </c>
      <c r="H201" s="33" t="inlineStr">
        <is>
          <t>Финиш</t>
        </is>
      </c>
      <c r="I201" s="33" t="n"/>
      <c r="J201" s="33" t="n">
        <v>6</v>
      </c>
      <c r="K201" s="33" t="inlineStr">
        <is>
          <t>г</t>
        </is>
      </c>
      <c r="L201" s="33" t="n">
        <v>5</v>
      </c>
      <c r="M201" s="33" t="n">
        <v>5</v>
      </c>
      <c r="N201" s="33" t="inlineStr">
        <is>
          <t>ASSUMPTION</t>
        </is>
      </c>
      <c r="O201" s="33" t="inlineStr">
        <is>
          <t>EVD-0007;EVD-0008</t>
        </is>
      </c>
      <c r="P201" s="33" t="inlineStr">
        <is>
          <t>GAP-004;GAP-005</t>
        </is>
      </c>
    </row>
    <row r="202">
      <c r="A202" s="33" t="inlineStr">
        <is>
          <t>RCP-0197</t>
        </is>
      </c>
      <c r="B202" s="33" t="inlineStr">
        <is>
          <t>VKM-022</t>
        </is>
      </c>
      <c r="C202" s="33" t="inlineStr">
        <is>
          <t>VKC-022</t>
        </is>
      </c>
      <c r="D202" s="33" t="inlineStr">
        <is>
          <t>VKT-022</t>
        </is>
      </c>
      <c r="E202" s="33" t="inlineStr">
        <is>
          <t>0.1.0-DRAFT</t>
        </is>
      </c>
      <c r="F202" s="33" t="inlineStr">
        <is>
          <t>ING-099</t>
        </is>
      </c>
      <c r="G202" s="33" t="inlineStr">
        <is>
          <t>Маринад нейтральный проектный</t>
        </is>
      </c>
      <c r="H202" s="33" t="inlineStr">
        <is>
          <t>Маринад</t>
        </is>
      </c>
      <c r="I202" s="33" t="n"/>
      <c r="J202" s="33" t="n">
        <v>18</v>
      </c>
      <c r="K202" s="33" t="inlineStr">
        <is>
          <t>г</t>
        </is>
      </c>
      <c r="L202" s="33" t="n">
        <v>18</v>
      </c>
      <c r="M202" s="33" t="n">
        <v>18</v>
      </c>
      <c r="N202" s="33" t="inlineStr">
        <is>
          <t>ASSUMPTION</t>
        </is>
      </c>
      <c r="O202" s="33" t="inlineStr">
        <is>
          <t>EVD-0007;EVD-0008</t>
        </is>
      </c>
      <c r="P202" s="33" t="inlineStr">
        <is>
          <t>GAP-004;GAP-005</t>
        </is>
      </c>
    </row>
    <row r="203">
      <c r="A203" s="33" t="inlineStr">
        <is>
          <t>RCP-0198</t>
        </is>
      </c>
      <c r="B203" s="33" t="inlineStr">
        <is>
          <t>VKM-022</t>
        </is>
      </c>
      <c r="C203" s="33" t="inlineStr">
        <is>
          <t>VKC-022</t>
        </is>
      </c>
      <c r="D203" s="33" t="inlineStr">
        <is>
          <t>VKT-022</t>
        </is>
      </c>
      <c r="E203" s="33" t="inlineStr">
        <is>
          <t>0.1.0-DRAFT</t>
        </is>
      </c>
      <c r="F203" s="33" t="inlineStr">
        <is>
          <t>ING-033</t>
        </is>
      </c>
      <c r="G203" s="33" t="inlineStr">
        <is>
          <t>Соль и специи</t>
        </is>
      </c>
      <c r="H203" s="33" t="inlineStr">
        <is>
          <t>Корректировка вкуса</t>
        </is>
      </c>
      <c r="I203" s="33" t="n"/>
      <c r="J203" s="33" t="n">
        <v>2</v>
      </c>
      <c r="K203" s="33" t="inlineStr">
        <is>
          <t>г</t>
        </is>
      </c>
      <c r="L203" s="33" t="n">
        <v>2</v>
      </c>
      <c r="M203" s="33" t="n">
        <v>2</v>
      </c>
      <c r="N203" s="33" t="inlineStr">
        <is>
          <t>ASSUMPTION</t>
        </is>
      </c>
      <c r="O203" s="33" t="inlineStr">
        <is>
          <t>EVD-0007;EVD-0008</t>
        </is>
      </c>
      <c r="P203" s="33" t="inlineStr">
        <is>
          <t>GAP-004;GAP-005</t>
        </is>
      </c>
    </row>
    <row r="204">
      <c r="A204" s="33" t="inlineStr">
        <is>
          <t>RCP-0199</t>
        </is>
      </c>
      <c r="B204" s="33" t="inlineStr">
        <is>
          <t>VKM-023</t>
        </is>
      </c>
      <c r="C204" s="33" t="inlineStr">
        <is>
          <t>VKC-023</t>
        </is>
      </c>
      <c r="D204" s="33" t="inlineStr">
        <is>
          <t>VKT-023</t>
        </is>
      </c>
      <c r="E204" s="33" t="inlineStr">
        <is>
          <t>0.1.0-DRAFT</t>
        </is>
      </c>
      <c r="F204" s="33" t="inlineStr">
        <is>
          <t>ING-072</t>
        </is>
      </c>
      <c r="G204" s="33" t="inlineStr">
        <is>
          <t>Картофель</t>
        </is>
      </c>
      <c r="H204" s="33" t="inlineStr">
        <is>
          <t>Основная рецептура</t>
        </is>
      </c>
      <c r="I204" s="33" t="n"/>
      <c r="J204" s="33" t="n">
        <v>170</v>
      </c>
      <c r="K204" s="33" t="inlineStr">
        <is>
          <t>г</t>
        </is>
      </c>
      <c r="L204" s="33" t="n">
        <v>150</v>
      </c>
      <c r="M204" s="33" t="n">
        <v>135</v>
      </c>
      <c r="N204" s="33" t="inlineStr">
        <is>
          <t>ASSUMPTION</t>
        </is>
      </c>
      <c r="O204" s="33" t="inlineStr">
        <is>
          <t>EVD-0007;EVD-0008</t>
        </is>
      </c>
      <c r="P204" s="33" t="inlineStr">
        <is>
          <t>GAP-004;GAP-005</t>
        </is>
      </c>
    </row>
    <row r="205">
      <c r="A205" s="33" t="inlineStr">
        <is>
          <t>RCP-0200</t>
        </is>
      </c>
      <c r="B205" s="33" t="inlineStr">
        <is>
          <t>VKM-023</t>
        </is>
      </c>
      <c r="C205" s="33" t="inlineStr">
        <is>
          <t>VKC-023</t>
        </is>
      </c>
      <c r="D205" s="33" t="inlineStr">
        <is>
          <t>VKT-023</t>
        </is>
      </c>
      <c r="E205" s="33" t="inlineStr">
        <is>
          <t>0.1.0-DRAFT</t>
        </is>
      </c>
      <c r="F205" s="33" t="inlineStr">
        <is>
          <t>ING-024</t>
        </is>
      </c>
      <c r="G205" s="33" t="inlineStr">
        <is>
          <t>Масло растительное</t>
        </is>
      </c>
      <c r="H205" s="33" t="inlineStr">
        <is>
          <t>Основная рецептура</t>
        </is>
      </c>
      <c r="I205" s="33" t="n"/>
      <c r="J205" s="33" t="n">
        <v>10</v>
      </c>
      <c r="K205" s="33" t="inlineStr">
        <is>
          <t>г</t>
        </is>
      </c>
      <c r="L205" s="33" t="n">
        <v>10</v>
      </c>
      <c r="M205" s="33" t="n">
        <v>10</v>
      </c>
      <c r="N205" s="33" t="inlineStr">
        <is>
          <t>ASSUMPTION</t>
        </is>
      </c>
      <c r="O205" s="33" t="inlineStr">
        <is>
          <t>EVD-0007;EVD-0008</t>
        </is>
      </c>
      <c r="P205" s="33" t="inlineStr">
        <is>
          <t>GAP-004;GAP-005</t>
        </is>
      </c>
    </row>
    <row r="206">
      <c r="A206" s="33" t="inlineStr">
        <is>
          <t>RCP-0201</t>
        </is>
      </c>
      <c r="B206" s="33" t="inlineStr">
        <is>
          <t>VKM-023</t>
        </is>
      </c>
      <c r="C206" s="33" t="inlineStr">
        <is>
          <t>VKC-023</t>
        </is>
      </c>
      <c r="D206" s="33" t="inlineStr">
        <is>
          <t>VKT-023</t>
        </is>
      </c>
      <c r="E206" s="33" t="inlineStr">
        <is>
          <t>0.1.0-DRAFT</t>
        </is>
      </c>
      <c r="F206" s="33" t="inlineStr">
        <is>
          <t>ING-063</t>
        </is>
      </c>
      <c r="G206" s="33" t="inlineStr">
        <is>
          <t>Пряные травы</t>
        </is>
      </c>
      <c r="H206" s="33" t="inlineStr">
        <is>
          <t>Основная рецептура</t>
        </is>
      </c>
      <c r="I206" s="33" t="n"/>
      <c r="J206" s="33" t="n">
        <v>3</v>
      </c>
      <c r="K206" s="33" t="inlineStr">
        <is>
          <t>г</t>
        </is>
      </c>
      <c r="L206" s="33" t="n">
        <v>3</v>
      </c>
      <c r="M206" s="33" t="n">
        <v>3</v>
      </c>
      <c r="N206" s="33" t="inlineStr">
        <is>
          <t>ASSUMPTION</t>
        </is>
      </c>
      <c r="O206" s="33" t="inlineStr">
        <is>
          <t>EVD-0007;EVD-0008</t>
        </is>
      </c>
      <c r="P206" s="33" t="inlineStr">
        <is>
          <t>GAP-004;GAP-005</t>
        </is>
      </c>
    </row>
    <row r="207">
      <c r="A207" s="33" t="inlineStr">
        <is>
          <t>RCP-0202</t>
        </is>
      </c>
      <c r="B207" s="33" t="inlineStr">
        <is>
          <t>VKM-023</t>
        </is>
      </c>
      <c r="C207" s="33" t="inlineStr">
        <is>
          <t>VKC-023</t>
        </is>
      </c>
      <c r="D207" s="33" t="inlineStr">
        <is>
          <t>VKT-023</t>
        </is>
      </c>
      <c r="E207" s="33" t="inlineStr">
        <is>
          <t>0.1.0-DRAFT</t>
        </is>
      </c>
      <c r="F207" s="33" t="inlineStr">
        <is>
          <t>ING-033</t>
        </is>
      </c>
      <c r="G207" s="33" t="inlineStr">
        <is>
          <t>Соль и специи</t>
        </is>
      </c>
      <c r="H207" s="33" t="inlineStr">
        <is>
          <t>Основная рецептура</t>
        </is>
      </c>
      <c r="I207" s="33" t="n"/>
      <c r="J207" s="33" t="n">
        <v>2</v>
      </c>
      <c r="K207" s="33" t="inlineStr">
        <is>
          <t>г</t>
        </is>
      </c>
      <c r="L207" s="33" t="n">
        <v>2</v>
      </c>
      <c r="M207" s="33" t="n">
        <v>2</v>
      </c>
      <c r="N207" s="33" t="inlineStr">
        <is>
          <t>ASSUMPTION</t>
        </is>
      </c>
      <c r="O207" s="33" t="inlineStr">
        <is>
          <t>EVD-0007;EVD-0008</t>
        </is>
      </c>
      <c r="P207" s="33" t="inlineStr">
        <is>
          <t>GAP-004;GAP-005</t>
        </is>
      </c>
    </row>
    <row r="208">
      <c r="A208" s="33" t="inlineStr">
        <is>
          <t>RCP-0203</t>
        </is>
      </c>
      <c r="B208" s="33" t="inlineStr">
        <is>
          <t>VKM-024</t>
        </is>
      </c>
      <c r="C208" s="33" t="inlineStr">
        <is>
          <t>VKC-024</t>
        </is>
      </c>
      <c r="D208" s="33" t="inlineStr">
        <is>
          <t>VKT-024</t>
        </is>
      </c>
      <c r="E208" s="33" t="inlineStr">
        <is>
          <t>0.1.0-DRAFT</t>
        </is>
      </c>
      <c r="F208" s="33" t="inlineStr">
        <is>
          <t>ING-100</t>
        </is>
      </c>
      <c r="G208" s="33" t="inlineStr">
        <is>
          <t>Рис жасмин сухой</t>
        </is>
      </c>
      <c r="H208" s="33" t="inlineStr">
        <is>
          <t>Варка</t>
        </is>
      </c>
      <c r="I208" s="33" t="inlineStr">
        <is>
          <t>VSF-025</t>
        </is>
      </c>
      <c r="J208" s="33" t="n">
        <v>55</v>
      </c>
      <c r="K208" s="33" t="inlineStr">
        <is>
          <t>г</t>
        </is>
      </c>
      <c r="L208" s="33" t="n">
        <v>55</v>
      </c>
      <c r="M208" s="33" t="n">
        <v>50</v>
      </c>
      <c r="N208" s="33" t="inlineStr">
        <is>
          <t>ASSUMPTION</t>
        </is>
      </c>
      <c r="O208" s="33" t="inlineStr">
        <is>
          <t>EVD-0007;EVD-0008</t>
        </is>
      </c>
      <c r="P208" s="33" t="inlineStr">
        <is>
          <t>GAP-004;GAP-005</t>
        </is>
      </c>
    </row>
    <row r="209">
      <c r="A209" s="33" t="inlineStr">
        <is>
          <t>RCP-0204</t>
        </is>
      </c>
      <c r="B209" s="33" t="inlineStr">
        <is>
          <t>VKM-024</t>
        </is>
      </c>
      <c r="C209" s="33" t="inlineStr">
        <is>
          <t>VKC-024</t>
        </is>
      </c>
      <c r="D209" s="33" t="inlineStr">
        <is>
          <t>VKT-024</t>
        </is>
      </c>
      <c r="E209" s="33" t="inlineStr">
        <is>
          <t>0.1.0-DRAFT</t>
        </is>
      </c>
      <c r="F209" s="33" t="inlineStr">
        <is>
          <t>ING-101</t>
        </is>
      </c>
      <c r="G209" s="33" t="inlineStr">
        <is>
          <t>Вода питьевая, удержанная в продукте</t>
        </is>
      </c>
      <c r="H209" s="33" t="inlineStr">
        <is>
          <t>Варка</t>
        </is>
      </c>
      <c r="I209" s="33" t="inlineStr">
        <is>
          <t>VSF-025</t>
        </is>
      </c>
      <c r="J209" s="33" t="n">
        <v>120</v>
      </c>
      <c r="K209" s="33" t="inlineStr">
        <is>
          <t>г</t>
        </is>
      </c>
      <c r="L209" s="33" t="n">
        <v>120</v>
      </c>
      <c r="M209" s="33" t="n">
        <v>88</v>
      </c>
      <c r="N209" s="33" t="inlineStr">
        <is>
          <t>ASSUMPTION</t>
        </is>
      </c>
      <c r="O209" s="33" t="inlineStr">
        <is>
          <t>EVD-0007;EVD-0008</t>
        </is>
      </c>
      <c r="P209" s="33" t="inlineStr">
        <is>
          <t>GAP-004;GAP-005</t>
        </is>
      </c>
    </row>
    <row r="210">
      <c r="A210" s="33" t="inlineStr">
        <is>
          <t>RCP-0205</t>
        </is>
      </c>
      <c r="B210" s="33" t="inlineStr">
        <is>
          <t>VKM-024</t>
        </is>
      </c>
      <c r="C210" s="33" t="inlineStr">
        <is>
          <t>VKC-024</t>
        </is>
      </c>
      <c r="D210" s="33" t="inlineStr">
        <is>
          <t>VKT-024</t>
        </is>
      </c>
      <c r="E210" s="33" t="inlineStr">
        <is>
          <t>0.1.0-DRAFT</t>
        </is>
      </c>
      <c r="F210" s="33" t="inlineStr">
        <is>
          <t>ING-024</t>
        </is>
      </c>
      <c r="G210" s="33" t="inlineStr">
        <is>
          <t>Масло растительное</t>
        </is>
      </c>
      <c r="H210" s="33" t="inlineStr">
        <is>
          <t>Финиш</t>
        </is>
      </c>
      <c r="I210" s="33" t="n"/>
      <c r="J210" s="33" t="n">
        <v>5</v>
      </c>
      <c r="K210" s="33" t="inlineStr">
        <is>
          <t>г</t>
        </is>
      </c>
      <c r="L210" s="33" t="n">
        <v>5</v>
      </c>
      <c r="M210" s="33" t="n">
        <v>5</v>
      </c>
      <c r="N210" s="33" t="inlineStr">
        <is>
          <t>ASSUMPTION</t>
        </is>
      </c>
      <c r="O210" s="33" t="inlineStr">
        <is>
          <t>EVD-0007;EVD-0008</t>
        </is>
      </c>
      <c r="P210" s="33" t="inlineStr">
        <is>
          <t>GAP-004;GAP-005</t>
        </is>
      </c>
    </row>
    <row r="211">
      <c r="A211" s="33" t="inlineStr">
        <is>
          <t>RCP-0206</t>
        </is>
      </c>
      <c r="B211" s="33" t="inlineStr">
        <is>
          <t>VKM-024</t>
        </is>
      </c>
      <c r="C211" s="33" t="inlineStr">
        <is>
          <t>VKC-024</t>
        </is>
      </c>
      <c r="D211" s="33" t="inlineStr">
        <is>
          <t>VKT-024</t>
        </is>
      </c>
      <c r="E211" s="33" t="inlineStr">
        <is>
          <t>0.1.0-DRAFT</t>
        </is>
      </c>
      <c r="F211" s="33" t="inlineStr">
        <is>
          <t>ING-027</t>
        </is>
      </c>
      <c r="G211" s="33" t="inlineStr">
        <is>
          <t>Масло сливочное</t>
        </is>
      </c>
      <c r="H211" s="33" t="inlineStr">
        <is>
          <t>Финиш</t>
        </is>
      </c>
      <c r="I211" s="33" t="n"/>
      <c r="J211" s="33" t="n">
        <v>5</v>
      </c>
      <c r="K211" s="33" t="inlineStr">
        <is>
          <t>г</t>
        </is>
      </c>
      <c r="L211" s="33" t="n">
        <v>5</v>
      </c>
      <c r="M211" s="33" t="n">
        <v>5</v>
      </c>
      <c r="N211" s="33" t="inlineStr">
        <is>
          <t>ASSUMPTION</t>
        </is>
      </c>
      <c r="O211" s="33" t="inlineStr">
        <is>
          <t>EVD-0007;EVD-0008</t>
        </is>
      </c>
      <c r="P211" s="33" t="inlineStr">
        <is>
          <t>GAP-004;GAP-005</t>
        </is>
      </c>
    </row>
    <row r="212">
      <c r="A212" s="33" t="inlineStr">
        <is>
          <t>RCP-0207</t>
        </is>
      </c>
      <c r="B212" s="33" t="inlineStr">
        <is>
          <t>VKM-024</t>
        </is>
      </c>
      <c r="C212" s="33" t="inlineStr">
        <is>
          <t>VKC-024</t>
        </is>
      </c>
      <c r="D212" s="33" t="inlineStr">
        <is>
          <t>VKT-024</t>
        </is>
      </c>
      <c r="E212" s="33" t="inlineStr">
        <is>
          <t>0.1.0-DRAFT</t>
        </is>
      </c>
      <c r="F212" s="33" t="inlineStr">
        <is>
          <t>ING-004</t>
        </is>
      </c>
      <c r="G212" s="33" t="inlineStr">
        <is>
          <t>Соль пищевая</t>
        </is>
      </c>
      <c r="H212" s="33" t="inlineStr">
        <is>
          <t>Варка</t>
        </is>
      </c>
      <c r="I212" s="33" t="n"/>
      <c r="J212" s="33" t="n">
        <v>2</v>
      </c>
      <c r="K212" s="33" t="inlineStr">
        <is>
          <t>г</t>
        </is>
      </c>
      <c r="L212" s="33" t="n">
        <v>2</v>
      </c>
      <c r="M212" s="33" t="n">
        <v>2</v>
      </c>
      <c r="N212" s="33" t="inlineStr">
        <is>
          <t>ASSUMPTION</t>
        </is>
      </c>
      <c r="O212" s="33" t="inlineStr">
        <is>
          <t>EVD-0007;EVD-0008</t>
        </is>
      </c>
      <c r="P212" s="33" t="inlineStr">
        <is>
          <t>GAP-004;GAP-005</t>
        </is>
      </c>
    </row>
    <row r="213">
      <c r="A213" s="33" t="inlineStr">
        <is>
          <t>RCP-0208</t>
        </is>
      </c>
      <c r="B213" s="33" t="inlineStr">
        <is>
          <t>VKM-025</t>
        </is>
      </c>
      <c r="C213" s="33" t="inlineStr">
        <is>
          <t>VKC-025</t>
        </is>
      </c>
      <c r="D213" s="33" t="inlineStr">
        <is>
          <t>VKT-025</t>
        </is>
      </c>
      <c r="E213" s="33" t="inlineStr">
        <is>
          <t>0.1.0-DRAFT</t>
        </is>
      </c>
      <c r="F213" s="33" t="inlineStr">
        <is>
          <t>ING-084</t>
        </is>
      </c>
      <c r="G213" s="33" t="inlineStr">
        <is>
          <t>Цукини</t>
        </is>
      </c>
      <c r="H213" s="33" t="inlineStr">
        <is>
          <t>Овощная подготовка</t>
        </is>
      </c>
      <c r="I213" s="33" t="inlineStr">
        <is>
          <t>VSF-026</t>
        </is>
      </c>
      <c r="J213" s="33" t="n">
        <v>48</v>
      </c>
      <c r="K213" s="33" t="inlineStr">
        <is>
          <t>г</t>
        </is>
      </c>
      <c r="L213" s="33" t="n">
        <v>43</v>
      </c>
      <c r="M213" s="33" t="n">
        <v>40</v>
      </c>
      <c r="N213" s="33" t="inlineStr">
        <is>
          <t>ASSUMPTION</t>
        </is>
      </c>
      <c r="O213" s="33" t="inlineStr">
        <is>
          <t>EVD-0007;EVD-0008</t>
        </is>
      </c>
      <c r="P213" s="33" t="inlineStr">
        <is>
          <t>GAP-004;GAP-005</t>
        </is>
      </c>
    </row>
    <row r="214">
      <c r="A214" s="33" t="inlineStr">
        <is>
          <t>RCP-0209</t>
        </is>
      </c>
      <c r="B214" s="33" t="inlineStr">
        <is>
          <t>VKM-025</t>
        </is>
      </c>
      <c r="C214" s="33" t="inlineStr">
        <is>
          <t>VKC-025</t>
        </is>
      </c>
      <c r="D214" s="33" t="inlineStr">
        <is>
          <t>VKT-025</t>
        </is>
      </c>
      <c r="E214" s="33" t="inlineStr">
        <is>
          <t>0.1.0-DRAFT</t>
        </is>
      </c>
      <c r="F214" s="33" t="inlineStr">
        <is>
          <t>ING-043</t>
        </is>
      </c>
      <c r="G214" s="33" t="inlineStr">
        <is>
          <t>Перец сладкий</t>
        </is>
      </c>
      <c r="H214" s="33" t="inlineStr">
        <is>
          <t>Овощная подготовка</t>
        </is>
      </c>
      <c r="I214" s="33" t="inlineStr">
        <is>
          <t>VSF-026</t>
        </is>
      </c>
      <c r="J214" s="33" t="n">
        <v>42</v>
      </c>
      <c r="K214" s="33" t="inlineStr">
        <is>
          <t>г</t>
        </is>
      </c>
      <c r="L214" s="33" t="n">
        <v>38</v>
      </c>
      <c r="M214" s="33" t="n">
        <v>35</v>
      </c>
      <c r="N214" s="33" t="inlineStr">
        <is>
          <t>ASSUMPTION</t>
        </is>
      </c>
      <c r="O214" s="33" t="inlineStr">
        <is>
          <t>EVD-0007;EVD-0008</t>
        </is>
      </c>
      <c r="P214" s="33" t="inlineStr">
        <is>
          <t>GAP-004;GAP-005</t>
        </is>
      </c>
    </row>
    <row r="215">
      <c r="A215" s="33" t="inlineStr">
        <is>
          <t>RCP-0210</t>
        </is>
      </c>
      <c r="B215" s="33" t="inlineStr">
        <is>
          <t>VKM-025</t>
        </is>
      </c>
      <c r="C215" s="33" t="inlineStr">
        <is>
          <t>VKC-025</t>
        </is>
      </c>
      <c r="D215" s="33" t="inlineStr">
        <is>
          <t>VKT-025</t>
        </is>
      </c>
      <c r="E215" s="33" t="inlineStr">
        <is>
          <t>0.1.0-DRAFT</t>
        </is>
      </c>
      <c r="F215" s="33" t="inlineStr">
        <is>
          <t>ING-102</t>
        </is>
      </c>
      <c r="G215" s="33" t="inlineStr">
        <is>
          <t>Баклажан</t>
        </is>
      </c>
      <c r="H215" s="33" t="inlineStr">
        <is>
          <t>Овощная подготовка</t>
        </is>
      </c>
      <c r="I215" s="33" t="inlineStr">
        <is>
          <t>VSF-026</t>
        </is>
      </c>
      <c r="J215" s="33" t="n">
        <v>36</v>
      </c>
      <c r="K215" s="33" t="inlineStr">
        <is>
          <t>г</t>
        </is>
      </c>
      <c r="L215" s="33" t="n">
        <v>33</v>
      </c>
      <c r="M215" s="33" t="n">
        <v>30</v>
      </c>
      <c r="N215" s="33" t="inlineStr">
        <is>
          <t>ASSUMPTION</t>
        </is>
      </c>
      <c r="O215" s="33" t="inlineStr">
        <is>
          <t>EVD-0007;EVD-0008</t>
        </is>
      </c>
      <c r="P215" s="33" t="inlineStr">
        <is>
          <t>GAP-004;GAP-005</t>
        </is>
      </c>
    </row>
    <row r="216">
      <c r="A216" s="33" t="inlineStr">
        <is>
          <t>RCP-0211</t>
        </is>
      </c>
      <c r="B216" s="33" t="inlineStr">
        <is>
          <t>VKM-025</t>
        </is>
      </c>
      <c r="C216" s="33" t="inlineStr">
        <is>
          <t>VKC-025</t>
        </is>
      </c>
      <c r="D216" s="33" t="inlineStr">
        <is>
          <t>VKT-025</t>
        </is>
      </c>
      <c r="E216" s="33" t="inlineStr">
        <is>
          <t>0.1.0-DRAFT</t>
        </is>
      </c>
      <c r="F216" s="33" t="inlineStr">
        <is>
          <t>ING-103</t>
        </is>
      </c>
      <c r="G216" s="33" t="inlineStr">
        <is>
          <t>Брокколи</t>
        </is>
      </c>
      <c r="H216" s="33" t="inlineStr">
        <is>
          <t>Овощная подготовка</t>
        </is>
      </c>
      <c r="I216" s="33" t="inlineStr">
        <is>
          <t>VSF-026</t>
        </is>
      </c>
      <c r="J216" s="33" t="n">
        <v>31</v>
      </c>
      <c r="K216" s="33" t="inlineStr">
        <is>
          <t>г</t>
        </is>
      </c>
      <c r="L216" s="33" t="n">
        <v>28</v>
      </c>
      <c r="M216" s="33" t="n">
        <v>25</v>
      </c>
      <c r="N216" s="33" t="inlineStr">
        <is>
          <t>ASSUMPTION</t>
        </is>
      </c>
      <c r="O216" s="33" t="inlineStr">
        <is>
          <t>EVD-0007;EVD-0008</t>
        </is>
      </c>
      <c r="P216" s="33" t="inlineStr">
        <is>
          <t>GAP-004;GAP-005</t>
        </is>
      </c>
    </row>
    <row r="217">
      <c r="A217" s="33" t="inlineStr">
        <is>
          <t>RCP-0212</t>
        </is>
      </c>
      <c r="B217" s="33" t="inlineStr">
        <is>
          <t>VKM-025</t>
        </is>
      </c>
      <c r="C217" s="33" t="inlineStr">
        <is>
          <t>VKC-025</t>
        </is>
      </c>
      <c r="D217" s="33" t="inlineStr">
        <is>
          <t>VKT-025</t>
        </is>
      </c>
      <c r="E217" s="33" t="inlineStr">
        <is>
          <t>0.1.0-DRAFT</t>
        </is>
      </c>
      <c r="F217" s="33" t="inlineStr">
        <is>
          <t>ING-024</t>
        </is>
      </c>
      <c r="G217" s="33" t="inlineStr">
        <is>
          <t>Масло растительное</t>
        </is>
      </c>
      <c r="H217" s="33" t="inlineStr">
        <is>
          <t>Обработка</t>
        </is>
      </c>
      <c r="I217" s="33" t="n"/>
      <c r="J217" s="33" t="n">
        <v>15</v>
      </c>
      <c r="K217" s="33" t="inlineStr">
        <is>
          <t>г</t>
        </is>
      </c>
      <c r="L217" s="33" t="n">
        <v>15</v>
      </c>
      <c r="M217" s="33" t="n">
        <v>15</v>
      </c>
      <c r="N217" s="33" t="inlineStr">
        <is>
          <t>ASSUMPTION</t>
        </is>
      </c>
      <c r="O217" s="33" t="inlineStr">
        <is>
          <t>EVD-0007;EVD-0008</t>
        </is>
      </c>
      <c r="P217" s="33" t="inlineStr">
        <is>
          <t>GAP-004;GAP-005</t>
        </is>
      </c>
    </row>
    <row r="218">
      <c r="A218" s="33" t="inlineStr">
        <is>
          <t>RCP-0213</t>
        </is>
      </c>
      <c r="B218" s="33" t="inlineStr">
        <is>
          <t>VKM-025</t>
        </is>
      </c>
      <c r="C218" s="33" t="inlineStr">
        <is>
          <t>VKC-025</t>
        </is>
      </c>
      <c r="D218" s="33" t="inlineStr">
        <is>
          <t>VKT-025</t>
        </is>
      </c>
      <c r="E218" s="33" t="inlineStr">
        <is>
          <t>0.1.0-DRAFT</t>
        </is>
      </c>
      <c r="F218" s="33" t="inlineStr">
        <is>
          <t>ING-063</t>
        </is>
      </c>
      <c r="G218" s="33" t="inlineStr">
        <is>
          <t>Пряные травы</t>
        </is>
      </c>
      <c r="H218" s="33" t="inlineStr">
        <is>
          <t>Финиш</t>
        </is>
      </c>
      <c r="I218" s="33" t="n"/>
      <c r="J218" s="33" t="n">
        <v>3</v>
      </c>
      <c r="K218" s="33" t="inlineStr">
        <is>
          <t>г</t>
        </is>
      </c>
      <c r="L218" s="33" t="n">
        <v>3</v>
      </c>
      <c r="M218" s="33" t="n">
        <v>3</v>
      </c>
      <c r="N218" s="33" t="inlineStr">
        <is>
          <t>ASSUMPTION</t>
        </is>
      </c>
      <c r="O218" s="33" t="inlineStr">
        <is>
          <t>EVD-0007;EVD-0008</t>
        </is>
      </c>
      <c r="P218" s="33" t="inlineStr">
        <is>
          <t>GAP-004;GAP-005</t>
        </is>
      </c>
    </row>
    <row r="219">
      <c r="A219" s="33" t="inlineStr">
        <is>
          <t>RCP-0214</t>
        </is>
      </c>
      <c r="B219" s="33" t="inlineStr">
        <is>
          <t>VKM-025</t>
        </is>
      </c>
      <c r="C219" s="33" t="inlineStr">
        <is>
          <t>VKC-025</t>
        </is>
      </c>
      <c r="D219" s="33" t="inlineStr">
        <is>
          <t>VKT-025</t>
        </is>
      </c>
      <c r="E219" s="33" t="inlineStr">
        <is>
          <t>0.1.0-DRAFT</t>
        </is>
      </c>
      <c r="F219" s="33" t="inlineStr">
        <is>
          <t>ING-033</t>
        </is>
      </c>
      <c r="G219" s="33" t="inlineStr">
        <is>
          <t>Соль и специи</t>
        </is>
      </c>
      <c r="H219" s="33" t="inlineStr">
        <is>
          <t>Финиш</t>
        </is>
      </c>
      <c r="I219" s="33" t="n"/>
      <c r="J219" s="33" t="n">
        <v>2</v>
      </c>
      <c r="K219" s="33" t="inlineStr">
        <is>
          <t>г</t>
        </is>
      </c>
      <c r="L219" s="33" t="n">
        <v>2</v>
      </c>
      <c r="M219" s="33" t="n">
        <v>2</v>
      </c>
      <c r="N219" s="33" t="inlineStr">
        <is>
          <t>ASSUMPTION</t>
        </is>
      </c>
      <c r="O219" s="33" t="inlineStr">
        <is>
          <t>EVD-0007;EVD-0008</t>
        </is>
      </c>
      <c r="P219" s="33" t="inlineStr">
        <is>
          <t>GAP-004;GAP-005</t>
        </is>
      </c>
    </row>
    <row r="220">
      <c r="A220" s="33" t="inlineStr">
        <is>
          <t>RCP-0215</t>
        </is>
      </c>
      <c r="B220" s="33" t="inlineStr">
        <is>
          <t>VKM-029</t>
        </is>
      </c>
      <c r="C220" s="33" t="inlineStr">
        <is>
          <t>VKC-029</t>
        </is>
      </c>
      <c r="D220" s="33" t="inlineStr">
        <is>
          <t>VKT-029</t>
        </is>
      </c>
      <c r="E220" s="33" t="inlineStr">
        <is>
          <t>0.1.0-DRAFT</t>
        </is>
      </c>
      <c r="F220" s="33" t="inlineStr">
        <is>
          <t>ING-104</t>
        </is>
      </c>
      <c r="G220" s="33" t="inlineStr">
        <is>
          <t>Мука пшеничная кондитерская</t>
        </is>
      </c>
      <c r="H220" s="33" t="inlineStr">
        <is>
          <t>Бисквит</t>
        </is>
      </c>
      <c r="I220" s="33" t="inlineStr">
        <is>
          <t>VSF-027</t>
        </is>
      </c>
      <c r="J220" s="33" t="n">
        <v>190</v>
      </c>
      <c r="K220" s="33" t="inlineStr">
        <is>
          <t>г</t>
        </is>
      </c>
      <c r="L220" s="33" t="n">
        <v>190</v>
      </c>
      <c r="M220" s="33" t="n">
        <v>180</v>
      </c>
      <c r="N220" s="33" t="inlineStr">
        <is>
          <t>ASSUMPTION</t>
        </is>
      </c>
      <c r="O220" s="33" t="inlineStr">
        <is>
          <t>EVD-0007;EVD-0008</t>
        </is>
      </c>
      <c r="P220" s="33" t="inlineStr">
        <is>
          <t>GAP-004;GAP-005</t>
        </is>
      </c>
    </row>
    <row r="221">
      <c r="A221" s="33" t="inlineStr">
        <is>
          <t>RCP-0216</t>
        </is>
      </c>
      <c r="B221" s="33" t="inlineStr">
        <is>
          <t>VKM-029</t>
        </is>
      </c>
      <c r="C221" s="33" t="inlineStr">
        <is>
          <t>VKC-029</t>
        </is>
      </c>
      <c r="D221" s="33" t="inlineStr">
        <is>
          <t>VKT-029</t>
        </is>
      </c>
      <c r="E221" s="33" t="inlineStr">
        <is>
          <t>0.1.0-DRAFT</t>
        </is>
      </c>
      <c r="F221" s="33" t="inlineStr">
        <is>
          <t>ING-026</t>
        </is>
      </c>
      <c r="G221" s="33" t="inlineStr">
        <is>
          <t>Яйцо или меланж</t>
        </is>
      </c>
      <c r="H221" s="33" t="inlineStr">
        <is>
          <t>Бисквит</t>
        </is>
      </c>
      <c r="I221" s="33" t="inlineStr">
        <is>
          <t>VSF-027</t>
        </is>
      </c>
      <c r="J221" s="33" t="n">
        <v>185</v>
      </c>
      <c r="K221" s="33" t="inlineStr">
        <is>
          <t>г</t>
        </is>
      </c>
      <c r="L221" s="33" t="n">
        <v>185</v>
      </c>
      <c r="M221" s="33" t="n">
        <v>180</v>
      </c>
      <c r="N221" s="33" t="inlineStr">
        <is>
          <t>ASSUMPTION</t>
        </is>
      </c>
      <c r="O221" s="33" t="inlineStr">
        <is>
          <t>EVD-0007;EVD-0008</t>
        </is>
      </c>
      <c r="P221" s="33" t="inlineStr">
        <is>
          <t>GAP-004;GAP-005</t>
        </is>
      </c>
    </row>
    <row r="222">
      <c r="A222" s="33" t="inlineStr">
        <is>
          <t>RCP-0217</t>
        </is>
      </c>
      <c r="B222" s="33" t="inlineStr">
        <is>
          <t>VKM-029</t>
        </is>
      </c>
      <c r="C222" s="33" t="inlineStr">
        <is>
          <t>VKC-029</t>
        </is>
      </c>
      <c r="D222" s="33" t="inlineStr">
        <is>
          <t>VKT-029</t>
        </is>
      </c>
      <c r="E222" s="33" t="inlineStr">
        <is>
          <t>0.1.0-DRAFT</t>
        </is>
      </c>
      <c r="F222" s="33" t="inlineStr">
        <is>
          <t>ING-028</t>
        </is>
      </c>
      <c r="G222" s="33" t="inlineStr">
        <is>
          <t>Сахар</t>
        </is>
      </c>
      <c r="H222" s="33" t="inlineStr">
        <is>
          <t>Бисквит</t>
        </is>
      </c>
      <c r="I222" s="33" t="inlineStr">
        <is>
          <t>VSF-027</t>
        </is>
      </c>
      <c r="J222" s="33" t="n">
        <v>150</v>
      </c>
      <c r="K222" s="33" t="inlineStr">
        <is>
          <t>г</t>
        </is>
      </c>
      <c r="L222" s="33" t="n">
        <v>150</v>
      </c>
      <c r="M222" s="33" t="n">
        <v>150</v>
      </c>
      <c r="N222" s="33" t="inlineStr">
        <is>
          <t>ASSUMPTION</t>
        </is>
      </c>
      <c r="O222" s="33" t="inlineStr">
        <is>
          <t>EVD-0007;EVD-0008</t>
        </is>
      </c>
      <c r="P222" s="33" t="inlineStr">
        <is>
          <t>GAP-004;GAP-005</t>
        </is>
      </c>
    </row>
    <row r="223">
      <c r="A223" s="33" t="inlineStr">
        <is>
          <t>RCP-0218</t>
        </is>
      </c>
      <c r="B223" s="33" t="inlineStr">
        <is>
          <t>VKM-029</t>
        </is>
      </c>
      <c r="C223" s="33" t="inlineStr">
        <is>
          <t>VKC-029</t>
        </is>
      </c>
      <c r="D223" s="33" t="inlineStr">
        <is>
          <t>VKT-029</t>
        </is>
      </c>
      <c r="E223" s="33" t="inlineStr">
        <is>
          <t>0.1.0-DRAFT</t>
        </is>
      </c>
      <c r="F223" s="33" t="inlineStr">
        <is>
          <t>ING-027</t>
        </is>
      </c>
      <c r="G223" s="33" t="inlineStr">
        <is>
          <t>Масло сливочное</t>
        </is>
      </c>
      <c r="H223" s="33" t="inlineStr">
        <is>
          <t>Бисквит</t>
        </is>
      </c>
      <c r="I223" s="33" t="inlineStr">
        <is>
          <t>VSF-027</t>
        </is>
      </c>
      <c r="J223" s="33" t="n">
        <v>70</v>
      </c>
      <c r="K223" s="33" t="inlineStr">
        <is>
          <t>г</t>
        </is>
      </c>
      <c r="L223" s="33" t="n">
        <v>70</v>
      </c>
      <c r="M223" s="33" t="n">
        <v>70</v>
      </c>
      <c r="N223" s="33" t="inlineStr">
        <is>
          <t>ASSUMPTION</t>
        </is>
      </c>
      <c r="O223" s="33" t="inlineStr">
        <is>
          <t>EVD-0007;EVD-0008</t>
        </is>
      </c>
      <c r="P223" s="33" t="inlineStr">
        <is>
          <t>GAP-004;GAP-005</t>
        </is>
      </c>
    </row>
    <row r="224">
      <c r="A224" s="33" t="inlineStr">
        <is>
          <t>RCP-0219</t>
        </is>
      </c>
      <c r="B224" s="33" t="inlineStr">
        <is>
          <t>VKM-029</t>
        </is>
      </c>
      <c r="C224" s="33" t="inlineStr">
        <is>
          <t>VKC-029</t>
        </is>
      </c>
      <c r="D224" s="33" t="inlineStr">
        <is>
          <t>VKT-029</t>
        </is>
      </c>
      <c r="E224" s="33" t="inlineStr">
        <is>
          <t>0.1.0-DRAFT</t>
        </is>
      </c>
      <c r="F224" s="33" t="inlineStr">
        <is>
          <t>ING-025</t>
        </is>
      </c>
      <c r="G224" s="33" t="inlineStr">
        <is>
          <t>Молоко</t>
        </is>
      </c>
      <c r="H224" s="33" t="inlineStr">
        <is>
          <t>Бисквит</t>
        </is>
      </c>
      <c r="I224" s="33" t="inlineStr">
        <is>
          <t>VSF-027</t>
        </is>
      </c>
      <c r="J224" s="33" t="n">
        <v>20</v>
      </c>
      <c r="K224" s="33" t="inlineStr">
        <is>
          <t>г</t>
        </is>
      </c>
      <c r="L224" s="33" t="n">
        <v>20</v>
      </c>
      <c r="M224" s="33" t="n">
        <v>20</v>
      </c>
      <c r="N224" s="33" t="inlineStr">
        <is>
          <t>ASSUMPTION</t>
        </is>
      </c>
      <c r="O224" s="33" t="inlineStr">
        <is>
          <t>EVD-0007;EVD-0008</t>
        </is>
      </c>
      <c r="P224" s="33" t="inlineStr">
        <is>
          <t>GAP-004;GAP-005</t>
        </is>
      </c>
    </row>
    <row r="225">
      <c r="A225" s="33" t="inlineStr">
        <is>
          <t>RCP-0220</t>
        </is>
      </c>
      <c r="B225" s="33" t="inlineStr">
        <is>
          <t>VKM-029</t>
        </is>
      </c>
      <c r="C225" s="33" t="inlineStr">
        <is>
          <t>VKC-029</t>
        </is>
      </c>
      <c r="D225" s="33" t="inlineStr">
        <is>
          <t>VKT-029</t>
        </is>
      </c>
      <c r="E225" s="33" t="inlineStr">
        <is>
          <t>0.1.0-DRAFT</t>
        </is>
      </c>
      <c r="F225" s="33" t="inlineStr">
        <is>
          <t>ING-105</t>
        </is>
      </c>
      <c r="G225" s="33" t="inlineStr">
        <is>
          <t>Разрыхлитель</t>
        </is>
      </c>
      <c r="H225" s="33" t="inlineStr">
        <is>
          <t>Бисквит</t>
        </is>
      </c>
      <c r="I225" s="33" t="inlineStr">
        <is>
          <t>VSF-027</t>
        </is>
      </c>
      <c r="J225" s="33" t="n">
        <v>5</v>
      </c>
      <c r="K225" s="33" t="inlineStr">
        <is>
          <t>г</t>
        </is>
      </c>
      <c r="L225" s="33" t="n">
        <v>5</v>
      </c>
      <c r="M225" s="33" t="n">
        <v>5</v>
      </c>
      <c r="N225" s="33" t="inlineStr">
        <is>
          <t>ASSUMPTION</t>
        </is>
      </c>
      <c r="O225" s="33" t="inlineStr">
        <is>
          <t>EVD-0007;EVD-0008</t>
        </is>
      </c>
      <c r="P225" s="33" t="inlineStr">
        <is>
          <t>GAP-004;GAP-005</t>
        </is>
      </c>
    </row>
    <row r="226">
      <c r="A226" s="33" t="inlineStr">
        <is>
          <t>RCP-0221</t>
        </is>
      </c>
      <c r="B226" s="33" t="inlineStr">
        <is>
          <t>VKM-029</t>
        </is>
      </c>
      <c r="C226" s="33" t="inlineStr">
        <is>
          <t>VKC-029</t>
        </is>
      </c>
      <c r="D226" s="33" t="inlineStr">
        <is>
          <t>VKT-029</t>
        </is>
      </c>
      <c r="E226" s="33" t="inlineStr">
        <is>
          <t>0.1.0-DRAFT</t>
        </is>
      </c>
      <c r="F226" s="33" t="inlineStr">
        <is>
          <t>ING-106</t>
        </is>
      </c>
      <c r="G226" s="33" t="inlineStr">
        <is>
          <t>Соль</t>
        </is>
      </c>
      <c r="H226" s="33" t="inlineStr">
        <is>
          <t>Бисквит</t>
        </is>
      </c>
      <c r="I226" s="33" t="inlineStr">
        <is>
          <t>VSF-027</t>
        </is>
      </c>
      <c r="J226" s="33" t="n">
        <v>2</v>
      </c>
      <c r="K226" s="33" t="inlineStr">
        <is>
          <t>г</t>
        </is>
      </c>
      <c r="L226" s="33" t="n">
        <v>2</v>
      </c>
      <c r="M226" s="33" t="n">
        <v>2</v>
      </c>
      <c r="N226" s="33" t="inlineStr">
        <is>
          <t>ASSUMPTION</t>
        </is>
      </c>
      <c r="O226" s="33" t="inlineStr">
        <is>
          <t>EVD-0007;EVD-0008</t>
        </is>
      </c>
      <c r="P226" s="33" t="inlineStr">
        <is>
          <t>GAP-004;GAP-005</t>
        </is>
      </c>
    </row>
    <row r="227">
      <c r="A227" s="33" t="inlineStr">
        <is>
          <t>RCP-0222</t>
        </is>
      </c>
      <c r="B227" s="33" t="inlineStr">
        <is>
          <t>VKM-029</t>
        </is>
      </c>
      <c r="C227" s="33" t="inlineStr">
        <is>
          <t>VKC-029</t>
        </is>
      </c>
      <c r="D227" s="33" t="inlineStr">
        <is>
          <t>VKT-029</t>
        </is>
      </c>
      <c r="E227" s="33" t="inlineStr">
        <is>
          <t>0.1.0-DRAFT</t>
        </is>
      </c>
      <c r="F227" s="33" t="inlineStr">
        <is>
          <t>ING-107</t>
        </is>
      </c>
      <c r="G227" s="33" t="inlineStr">
        <is>
          <t>Черника</t>
        </is>
      </c>
      <c r="H227" s="33" t="inlineStr">
        <is>
          <t>Крем</t>
        </is>
      </c>
      <c r="I227" s="33" t="inlineStr">
        <is>
          <t>VSF-028</t>
        </is>
      </c>
      <c r="J227" s="33" t="n">
        <v>330</v>
      </c>
      <c r="K227" s="33" t="inlineStr">
        <is>
          <t>г</t>
        </is>
      </c>
      <c r="L227" s="33" t="n">
        <v>315</v>
      </c>
      <c r="M227" s="33" t="n">
        <v>300</v>
      </c>
      <c r="N227" s="33" t="inlineStr">
        <is>
          <t>ASSUMPTION</t>
        </is>
      </c>
      <c r="O227" s="33" t="inlineStr">
        <is>
          <t>EVD-0007;EVD-0008</t>
        </is>
      </c>
      <c r="P227" s="33" t="inlineStr">
        <is>
          <t>GAP-004;GAP-005</t>
        </is>
      </c>
    </row>
    <row r="228">
      <c r="A228" s="33" t="inlineStr">
        <is>
          <t>RCP-0223</t>
        </is>
      </c>
      <c r="B228" s="33" t="inlineStr">
        <is>
          <t>VKM-029</t>
        </is>
      </c>
      <c r="C228" s="33" t="inlineStr">
        <is>
          <t>VKC-029</t>
        </is>
      </c>
      <c r="D228" s="33" t="inlineStr">
        <is>
          <t>VKT-029</t>
        </is>
      </c>
      <c r="E228" s="33" t="inlineStr">
        <is>
          <t>0.1.0-DRAFT</t>
        </is>
      </c>
      <c r="F228" s="33" t="inlineStr">
        <is>
          <t>ING-108</t>
        </is>
      </c>
      <c r="G228" s="33" t="inlineStr">
        <is>
          <t>Сыр сливочный</t>
        </is>
      </c>
      <c r="H228" s="33" t="inlineStr">
        <is>
          <t>Крем</t>
        </is>
      </c>
      <c r="I228" s="33" t="inlineStr">
        <is>
          <t>VSF-028</t>
        </is>
      </c>
      <c r="J228" s="33" t="n">
        <v>250</v>
      </c>
      <c r="K228" s="33" t="inlineStr">
        <is>
          <t>г</t>
        </is>
      </c>
      <c r="L228" s="33" t="n">
        <v>250</v>
      </c>
      <c r="M228" s="33" t="n">
        <v>250</v>
      </c>
      <c r="N228" s="33" t="inlineStr">
        <is>
          <t>ASSUMPTION</t>
        </is>
      </c>
      <c r="O228" s="33" t="inlineStr">
        <is>
          <t>EVD-0007;EVD-0008</t>
        </is>
      </c>
      <c r="P228" s="33" t="inlineStr">
        <is>
          <t>GAP-004;GAP-005</t>
        </is>
      </c>
    </row>
    <row r="229">
      <c r="A229" s="33" t="inlineStr">
        <is>
          <t>RCP-0224</t>
        </is>
      </c>
      <c r="B229" s="33" t="inlineStr">
        <is>
          <t>VKM-029</t>
        </is>
      </c>
      <c r="C229" s="33" t="inlineStr">
        <is>
          <t>VKC-029</t>
        </is>
      </c>
      <c r="D229" s="33" t="inlineStr">
        <is>
          <t>VKT-029</t>
        </is>
      </c>
      <c r="E229" s="33" t="inlineStr">
        <is>
          <t>0.1.0-DRAFT</t>
        </is>
      </c>
      <c r="F229" s="33" t="inlineStr">
        <is>
          <t>ING-077</t>
        </is>
      </c>
      <c r="G229" s="33" t="inlineStr">
        <is>
          <t>Сливки</t>
        </is>
      </c>
      <c r="H229" s="33" t="inlineStr">
        <is>
          <t>Крем</t>
        </is>
      </c>
      <c r="I229" s="33" t="inlineStr">
        <is>
          <t>VSF-028</t>
        </is>
      </c>
      <c r="J229" s="33" t="n">
        <v>120</v>
      </c>
      <c r="K229" s="33" t="inlineStr">
        <is>
          <t>г</t>
        </is>
      </c>
      <c r="L229" s="33" t="n">
        <v>120</v>
      </c>
      <c r="M229" s="33" t="n">
        <v>120</v>
      </c>
      <c r="N229" s="33" t="inlineStr">
        <is>
          <t>ASSUMPTION</t>
        </is>
      </c>
      <c r="O229" s="33" t="inlineStr">
        <is>
          <t>EVD-0007;EVD-0008</t>
        </is>
      </c>
      <c r="P229" s="33" t="inlineStr">
        <is>
          <t>GAP-004;GAP-005</t>
        </is>
      </c>
    </row>
    <row r="230">
      <c r="A230" s="33" t="inlineStr">
        <is>
          <t>RCP-0225</t>
        </is>
      </c>
      <c r="B230" s="33" t="inlineStr">
        <is>
          <t>VKM-029</t>
        </is>
      </c>
      <c r="C230" s="33" t="inlineStr">
        <is>
          <t>VKC-029</t>
        </is>
      </c>
      <c r="D230" s="33" t="inlineStr">
        <is>
          <t>VKT-029</t>
        </is>
      </c>
      <c r="E230" s="33" t="inlineStr">
        <is>
          <t>0.1.0-DRAFT</t>
        </is>
      </c>
      <c r="F230" s="33" t="inlineStr">
        <is>
          <t>ING-109</t>
        </is>
      </c>
      <c r="G230" s="33" t="inlineStr">
        <is>
          <t>Сахарная пудра</t>
        </is>
      </c>
      <c r="H230" s="33" t="inlineStr">
        <is>
          <t>Крем</t>
        </is>
      </c>
      <c r="I230" s="33" t="inlineStr">
        <is>
          <t>VSF-028</t>
        </is>
      </c>
      <c r="J230" s="33" t="n">
        <v>30</v>
      </c>
      <c r="K230" s="33" t="inlineStr">
        <is>
          <t>г</t>
        </is>
      </c>
      <c r="L230" s="33" t="n">
        <v>30</v>
      </c>
      <c r="M230" s="33" t="n">
        <v>30</v>
      </c>
      <c r="N230" s="33" t="inlineStr">
        <is>
          <t>ASSUMPTION</t>
        </is>
      </c>
      <c r="O230" s="33" t="inlineStr">
        <is>
          <t>EVD-0007;EVD-0008</t>
        </is>
      </c>
      <c r="P230" s="33" t="inlineStr">
        <is>
          <t>GAP-004;GAP-005</t>
        </is>
      </c>
    </row>
    <row r="231">
      <c r="A231" s="33" t="inlineStr">
        <is>
          <t>RCP-0226</t>
        </is>
      </c>
      <c r="B231" s="33" t="inlineStr">
        <is>
          <t>VKM-029</t>
        </is>
      </c>
      <c r="C231" s="33" t="inlineStr">
        <is>
          <t>VKC-029</t>
        </is>
      </c>
      <c r="D231" s="33" t="inlineStr">
        <is>
          <t>VKT-029</t>
        </is>
      </c>
      <c r="E231" s="33" t="inlineStr">
        <is>
          <t>0.1.0-DRAFT</t>
        </is>
      </c>
      <c r="F231" s="33" t="inlineStr">
        <is>
          <t>ING-107</t>
        </is>
      </c>
      <c r="G231" s="33" t="inlineStr">
        <is>
          <t>Черника</t>
        </is>
      </c>
      <c r="H231" s="33" t="inlineStr">
        <is>
          <t>Компоте</t>
        </is>
      </c>
      <c r="I231" s="33" t="inlineStr">
        <is>
          <t>VSF-029</t>
        </is>
      </c>
      <c r="J231" s="33" t="n">
        <v>200</v>
      </c>
      <c r="K231" s="33" t="inlineStr">
        <is>
          <t>г</t>
        </is>
      </c>
      <c r="L231" s="33" t="n">
        <v>190</v>
      </c>
      <c r="M231" s="33" t="n">
        <v>180</v>
      </c>
      <c r="N231" s="33" t="inlineStr">
        <is>
          <t>ASSUMPTION</t>
        </is>
      </c>
      <c r="O231" s="33" t="inlineStr">
        <is>
          <t>EVD-0007;EVD-0008</t>
        </is>
      </c>
      <c r="P231" s="33" t="inlineStr">
        <is>
          <t>GAP-004;GAP-005</t>
        </is>
      </c>
    </row>
    <row r="232">
      <c r="A232" s="33" t="inlineStr">
        <is>
          <t>RCP-0227</t>
        </is>
      </c>
      <c r="B232" s="33" t="inlineStr">
        <is>
          <t>VKM-029</t>
        </is>
      </c>
      <c r="C232" s="33" t="inlineStr">
        <is>
          <t>VKC-029</t>
        </is>
      </c>
      <c r="D232" s="33" t="inlineStr">
        <is>
          <t>VKT-029</t>
        </is>
      </c>
      <c r="E232" s="33" t="inlineStr">
        <is>
          <t>0.1.0-DRAFT</t>
        </is>
      </c>
      <c r="F232" s="33" t="inlineStr">
        <is>
          <t>ING-028</t>
        </is>
      </c>
      <c r="G232" s="33" t="inlineStr">
        <is>
          <t>Сахар</t>
        </is>
      </c>
      <c r="H232" s="33" t="inlineStr">
        <is>
          <t>Компоте</t>
        </is>
      </c>
      <c r="I232" s="33" t="inlineStr">
        <is>
          <t>VSF-029</t>
        </is>
      </c>
      <c r="J232" s="33" t="n">
        <v>70</v>
      </c>
      <c r="K232" s="33" t="inlineStr">
        <is>
          <t>г</t>
        </is>
      </c>
      <c r="L232" s="33" t="n">
        <v>70</v>
      </c>
      <c r="M232" s="33" t="n">
        <v>70</v>
      </c>
      <c r="N232" s="33" t="inlineStr">
        <is>
          <t>ASSUMPTION</t>
        </is>
      </c>
      <c r="O232" s="33" t="inlineStr">
        <is>
          <t>EVD-0007;EVD-0008</t>
        </is>
      </c>
      <c r="P232" s="33" t="inlineStr">
        <is>
          <t>GAP-004;GAP-005</t>
        </is>
      </c>
    </row>
    <row r="233">
      <c r="A233" s="33" t="inlineStr">
        <is>
          <t>RCP-0228</t>
        </is>
      </c>
      <c r="B233" s="33" t="inlineStr">
        <is>
          <t>VKM-029</t>
        </is>
      </c>
      <c r="C233" s="33" t="inlineStr">
        <is>
          <t>VKC-029</t>
        </is>
      </c>
      <c r="D233" s="33" t="inlineStr">
        <is>
          <t>VKT-029</t>
        </is>
      </c>
      <c r="E233" s="33" t="inlineStr">
        <is>
          <t>0.1.0-DRAFT</t>
        </is>
      </c>
      <c r="F233" s="33" t="inlineStr">
        <is>
          <t>ING-110</t>
        </is>
      </c>
      <c r="G233" s="33" t="inlineStr">
        <is>
          <t>Пектин или крахмал</t>
        </is>
      </c>
      <c r="H233" s="33" t="inlineStr">
        <is>
          <t>Компоте</t>
        </is>
      </c>
      <c r="I233" s="33" t="inlineStr">
        <is>
          <t>VSF-029</t>
        </is>
      </c>
      <c r="J233" s="33" t="n">
        <v>20</v>
      </c>
      <c r="K233" s="33" t="inlineStr">
        <is>
          <t>г</t>
        </is>
      </c>
      <c r="L233" s="33" t="n">
        <v>20</v>
      </c>
      <c r="M233" s="33" t="n">
        <v>20</v>
      </c>
      <c r="N233" s="33" t="inlineStr">
        <is>
          <t>ASSUMPTION</t>
        </is>
      </c>
      <c r="O233" s="33" t="inlineStr">
        <is>
          <t>EVD-0007;EVD-0008</t>
        </is>
      </c>
      <c r="P233" s="33" t="inlineStr">
        <is>
          <t>GAP-004;GAP-005</t>
        </is>
      </c>
    </row>
    <row r="234">
      <c r="A234" s="33" t="inlineStr">
        <is>
          <t>RCP-0229</t>
        </is>
      </c>
      <c r="B234" s="33" t="inlineStr">
        <is>
          <t>VKM-029</t>
        </is>
      </c>
      <c r="C234" s="33" t="inlineStr">
        <is>
          <t>VKC-029</t>
        </is>
      </c>
      <c r="D234" s="33" t="inlineStr">
        <is>
          <t>VKT-029</t>
        </is>
      </c>
      <c r="E234" s="33" t="inlineStr">
        <is>
          <t>0.1.0-DRAFT</t>
        </is>
      </c>
      <c r="F234" s="33" t="inlineStr">
        <is>
          <t>ING-002</t>
        </is>
      </c>
      <c r="G234" s="33" t="inlineStr">
        <is>
          <t>Вода питьевая</t>
        </is>
      </c>
      <c r="H234" s="33" t="inlineStr">
        <is>
          <t>Компоте</t>
        </is>
      </c>
      <c r="I234" s="33" t="inlineStr">
        <is>
          <t>VSF-029</t>
        </is>
      </c>
      <c r="J234" s="33" t="n">
        <v>40</v>
      </c>
      <c r="K234" s="33" t="inlineStr">
        <is>
          <t>г</t>
        </is>
      </c>
      <c r="L234" s="33" t="n">
        <v>40</v>
      </c>
      <c r="M234" s="33" t="n">
        <v>30</v>
      </c>
      <c r="N234" s="33" t="inlineStr">
        <is>
          <t>ASSUMPTION</t>
        </is>
      </c>
      <c r="O234" s="33" t="inlineStr">
        <is>
          <t>EVD-0007;EVD-0008</t>
        </is>
      </c>
      <c r="P234" s="33" t="inlineStr">
        <is>
          <t>GAP-004;GAP-005</t>
        </is>
      </c>
    </row>
    <row r="235">
      <c r="A235" s="33" t="inlineStr">
        <is>
          <t>RCP-0230</t>
        </is>
      </c>
      <c r="B235" s="33" t="inlineStr">
        <is>
          <t>VKM-029</t>
        </is>
      </c>
      <c r="C235" s="33" t="inlineStr">
        <is>
          <t>VKC-029</t>
        </is>
      </c>
      <c r="D235" s="33" t="inlineStr">
        <is>
          <t>VKT-029</t>
        </is>
      </c>
      <c r="E235" s="33" t="inlineStr">
        <is>
          <t>0.1.0-DRAFT</t>
        </is>
      </c>
      <c r="F235" s="33" t="inlineStr">
        <is>
          <t>ING-111</t>
        </is>
      </c>
      <c r="G235" s="33" t="inlineStr">
        <is>
          <t>Глазурь проектная</t>
        </is>
      </c>
      <c r="H235" s="33" t="inlineStr">
        <is>
          <t>Глазурь</t>
        </is>
      </c>
      <c r="I235" s="33" t="inlineStr">
        <is>
          <t>VSF-030</t>
        </is>
      </c>
      <c r="J235" s="33" t="n">
        <v>150</v>
      </c>
      <c r="K235" s="33" t="inlineStr">
        <is>
          <t>г</t>
        </is>
      </c>
      <c r="L235" s="33" t="n">
        <v>150</v>
      </c>
      <c r="M235" s="33" t="n">
        <v>150</v>
      </c>
      <c r="N235" s="33" t="inlineStr">
        <is>
          <t>ASSUMPTION</t>
        </is>
      </c>
      <c r="O235" s="33" t="inlineStr">
        <is>
          <t>EVD-0007;EVD-0008</t>
        </is>
      </c>
      <c r="P235" s="33" t="inlineStr">
        <is>
          <t>GAP-004;GAP-005</t>
        </is>
      </c>
    </row>
    <row r="236">
      <c r="A236" s="33" t="inlineStr">
        <is>
          <t>RCP-0231</t>
        </is>
      </c>
      <c r="B236" s="33" t="inlineStr">
        <is>
          <t>VKM-029</t>
        </is>
      </c>
      <c r="C236" s="33" t="inlineStr">
        <is>
          <t>VKC-029</t>
        </is>
      </c>
      <c r="D236" s="33" t="inlineStr">
        <is>
          <t>VKT-029</t>
        </is>
      </c>
      <c r="E236" s="33" t="inlineStr">
        <is>
          <t>0.1.0-DRAFT</t>
        </is>
      </c>
      <c r="F236" s="33" t="inlineStr">
        <is>
          <t>ING-112</t>
        </is>
      </c>
      <c r="G236" s="33" t="inlineStr">
        <is>
          <t>Декор съедобный</t>
        </is>
      </c>
      <c r="H236" s="33" t="inlineStr">
        <is>
          <t>Декор</t>
        </is>
      </c>
      <c r="I236" s="33" t="n"/>
      <c r="J236" s="33" t="n">
        <v>45</v>
      </c>
      <c r="K236" s="33" t="inlineStr">
        <is>
          <t>г</t>
        </is>
      </c>
      <c r="L236" s="33" t="n">
        <v>43</v>
      </c>
      <c r="M236" s="33" t="n">
        <v>43</v>
      </c>
      <c r="N236" s="33" t="inlineStr">
        <is>
          <t>ASSUMPTION</t>
        </is>
      </c>
      <c r="O236" s="33" t="inlineStr">
        <is>
          <t>EVD-0007;EVD-0008</t>
        </is>
      </c>
      <c r="P236" s="33" t="inlineStr">
        <is>
          <t>GAP-004;GAP-005</t>
        </is>
      </c>
    </row>
    <row r="237">
      <c r="A237" s="33" t="inlineStr">
        <is>
          <t>RCP-0232</t>
        </is>
      </c>
      <c r="B237" s="33" t="inlineStr">
        <is>
          <t>VKM-030</t>
        </is>
      </c>
      <c r="C237" s="33" t="inlineStr">
        <is>
          <t>VKC-030</t>
        </is>
      </c>
      <c r="D237" s="33" t="inlineStr">
        <is>
          <t>VKT-030</t>
        </is>
      </c>
      <c r="E237" s="33" t="inlineStr">
        <is>
          <t>0.1.0-DRAFT</t>
        </is>
      </c>
      <c r="F237" s="33" t="inlineStr">
        <is>
          <t>ING-104</t>
        </is>
      </c>
      <c r="G237" s="33" t="inlineStr">
        <is>
          <t>Мука пшеничная кондитерская</t>
        </is>
      </c>
      <c r="H237" s="33" t="inlineStr">
        <is>
          <t>Песочное тесто</t>
        </is>
      </c>
      <c r="I237" s="33" t="inlineStr">
        <is>
          <t>VSF-031</t>
        </is>
      </c>
      <c r="J237" s="33" t="n">
        <v>310</v>
      </c>
      <c r="K237" s="33" t="inlineStr">
        <is>
          <t>г</t>
        </is>
      </c>
      <c r="L237" s="33" t="n">
        <v>310</v>
      </c>
      <c r="M237" s="33" t="n">
        <v>300</v>
      </c>
      <c r="N237" s="33" t="inlineStr">
        <is>
          <t>ASSUMPTION</t>
        </is>
      </c>
      <c r="O237" s="33" t="inlineStr">
        <is>
          <t>EVD-0007;EVD-0008</t>
        </is>
      </c>
      <c r="P237" s="33" t="inlineStr">
        <is>
          <t>GAP-004;GAP-005</t>
        </is>
      </c>
    </row>
    <row r="238">
      <c r="A238" s="33" t="inlineStr">
        <is>
          <t>RCP-0233</t>
        </is>
      </c>
      <c r="B238" s="33" t="inlineStr">
        <is>
          <t>VKM-030</t>
        </is>
      </c>
      <c r="C238" s="33" t="inlineStr">
        <is>
          <t>VKC-030</t>
        </is>
      </c>
      <c r="D238" s="33" t="inlineStr">
        <is>
          <t>VKT-030</t>
        </is>
      </c>
      <c r="E238" s="33" t="inlineStr">
        <is>
          <t>0.1.0-DRAFT</t>
        </is>
      </c>
      <c r="F238" s="33" t="inlineStr">
        <is>
          <t>ING-027</t>
        </is>
      </c>
      <c r="G238" s="33" t="inlineStr">
        <is>
          <t>Масло сливочное</t>
        </is>
      </c>
      <c r="H238" s="33" t="inlineStr">
        <is>
          <t>Песочное тесто</t>
        </is>
      </c>
      <c r="I238" s="33" t="inlineStr">
        <is>
          <t>VSF-031</t>
        </is>
      </c>
      <c r="J238" s="33" t="n">
        <v>180</v>
      </c>
      <c r="K238" s="33" t="inlineStr">
        <is>
          <t>г</t>
        </is>
      </c>
      <c r="L238" s="33" t="n">
        <v>180</v>
      </c>
      <c r="M238" s="33" t="n">
        <v>180</v>
      </c>
      <c r="N238" s="33" t="inlineStr">
        <is>
          <t>ASSUMPTION</t>
        </is>
      </c>
      <c r="O238" s="33" t="inlineStr">
        <is>
          <t>EVD-0007;EVD-0008</t>
        </is>
      </c>
      <c r="P238" s="33" t="inlineStr">
        <is>
          <t>GAP-004;GAP-005</t>
        </is>
      </c>
    </row>
    <row r="239">
      <c r="A239" s="33" t="inlineStr">
        <is>
          <t>RCP-0234</t>
        </is>
      </c>
      <c r="B239" s="33" t="inlineStr">
        <is>
          <t>VKM-030</t>
        </is>
      </c>
      <c r="C239" s="33" t="inlineStr">
        <is>
          <t>VKC-030</t>
        </is>
      </c>
      <c r="D239" s="33" t="inlineStr">
        <is>
          <t>VKT-030</t>
        </is>
      </c>
      <c r="E239" s="33" t="inlineStr">
        <is>
          <t>0.1.0-DRAFT</t>
        </is>
      </c>
      <c r="F239" s="33" t="inlineStr">
        <is>
          <t>ING-109</t>
        </is>
      </c>
      <c r="G239" s="33" t="inlineStr">
        <is>
          <t>Сахарная пудра</t>
        </is>
      </c>
      <c r="H239" s="33" t="inlineStr">
        <is>
          <t>Песочное тесто</t>
        </is>
      </c>
      <c r="I239" s="33" t="inlineStr">
        <is>
          <t>VSF-031</t>
        </is>
      </c>
      <c r="J239" s="33" t="n">
        <v>70</v>
      </c>
      <c r="K239" s="33" t="inlineStr">
        <is>
          <t>г</t>
        </is>
      </c>
      <c r="L239" s="33" t="n">
        <v>70</v>
      </c>
      <c r="M239" s="33" t="n">
        <v>70</v>
      </c>
      <c r="N239" s="33" t="inlineStr">
        <is>
          <t>ASSUMPTION</t>
        </is>
      </c>
      <c r="O239" s="33" t="inlineStr">
        <is>
          <t>EVD-0007;EVD-0008</t>
        </is>
      </c>
      <c r="P239" s="33" t="inlineStr">
        <is>
          <t>GAP-004;GAP-005</t>
        </is>
      </c>
    </row>
    <row r="240">
      <c r="A240" s="33" t="inlineStr">
        <is>
          <t>RCP-0235</t>
        </is>
      </c>
      <c r="B240" s="33" t="inlineStr">
        <is>
          <t>VKM-030</t>
        </is>
      </c>
      <c r="C240" s="33" t="inlineStr">
        <is>
          <t>VKC-030</t>
        </is>
      </c>
      <c r="D240" s="33" t="inlineStr">
        <is>
          <t>VKT-030</t>
        </is>
      </c>
      <c r="E240" s="33" t="inlineStr">
        <is>
          <t>0.1.0-DRAFT</t>
        </is>
      </c>
      <c r="F240" s="33" t="inlineStr">
        <is>
          <t>ING-026</t>
        </is>
      </c>
      <c r="G240" s="33" t="inlineStr">
        <is>
          <t>Яйцо или меланж</t>
        </is>
      </c>
      <c r="H240" s="33" t="inlineStr">
        <is>
          <t>Песочное тесто</t>
        </is>
      </c>
      <c r="I240" s="33" t="inlineStr">
        <is>
          <t>VSF-031</t>
        </is>
      </c>
      <c r="J240" s="33" t="n">
        <v>45</v>
      </c>
      <c r="K240" s="33" t="inlineStr">
        <is>
          <t>г</t>
        </is>
      </c>
      <c r="L240" s="33" t="n">
        <v>45</v>
      </c>
      <c r="M240" s="33" t="n">
        <v>45</v>
      </c>
      <c r="N240" s="33" t="inlineStr">
        <is>
          <t>ASSUMPTION</t>
        </is>
      </c>
      <c r="O240" s="33" t="inlineStr">
        <is>
          <t>EVD-0007;EVD-0008</t>
        </is>
      </c>
      <c r="P240" s="33" t="inlineStr">
        <is>
          <t>GAP-004;GAP-005</t>
        </is>
      </c>
    </row>
    <row r="241">
      <c r="A241" s="33" t="inlineStr">
        <is>
          <t>RCP-0236</t>
        </is>
      </c>
      <c r="B241" s="33" t="inlineStr">
        <is>
          <t>VKM-030</t>
        </is>
      </c>
      <c r="C241" s="33" t="inlineStr">
        <is>
          <t>VKC-030</t>
        </is>
      </c>
      <c r="D241" s="33" t="inlineStr">
        <is>
          <t>VKT-030</t>
        </is>
      </c>
      <c r="E241" s="33" t="inlineStr">
        <is>
          <t>0.1.0-DRAFT</t>
        </is>
      </c>
      <c r="F241" s="33" t="inlineStr">
        <is>
          <t>ING-106</t>
        </is>
      </c>
      <c r="G241" s="33" t="inlineStr">
        <is>
          <t>Соль</t>
        </is>
      </c>
      <c r="H241" s="33" t="inlineStr">
        <is>
          <t>Песочное тесто</t>
        </is>
      </c>
      <c r="I241" s="33" t="inlineStr">
        <is>
          <t>VSF-031</t>
        </is>
      </c>
      <c r="J241" s="33" t="n">
        <v>5</v>
      </c>
      <c r="K241" s="33" t="inlineStr">
        <is>
          <t>г</t>
        </is>
      </c>
      <c r="L241" s="33" t="n">
        <v>5</v>
      </c>
      <c r="M241" s="33" t="n">
        <v>5</v>
      </c>
      <c r="N241" s="33" t="inlineStr">
        <is>
          <t>ASSUMPTION</t>
        </is>
      </c>
      <c r="O241" s="33" t="inlineStr">
        <is>
          <t>EVD-0007;EVD-0008</t>
        </is>
      </c>
      <c r="P241" s="33" t="inlineStr">
        <is>
          <t>GAP-004;GAP-005</t>
        </is>
      </c>
    </row>
    <row r="242">
      <c r="A242" s="33" t="inlineStr">
        <is>
          <t>RCP-0237</t>
        </is>
      </c>
      <c r="B242" s="33" t="inlineStr">
        <is>
          <t>VKM-030</t>
        </is>
      </c>
      <c r="C242" s="33" t="inlineStr">
        <is>
          <t>VKC-030</t>
        </is>
      </c>
      <c r="D242" s="33" t="inlineStr">
        <is>
          <t>VKT-030</t>
        </is>
      </c>
      <c r="E242" s="33" t="inlineStr">
        <is>
          <t>0.1.0-DRAFT</t>
        </is>
      </c>
      <c r="F242" s="33" t="inlineStr">
        <is>
          <t>ING-028</t>
        </is>
      </c>
      <c r="G242" s="33" t="inlineStr">
        <is>
          <t>Сахар</t>
        </is>
      </c>
      <c r="H242" s="33" t="inlineStr">
        <is>
          <t>Солёная карамель</t>
        </is>
      </c>
      <c r="I242" s="33" t="inlineStr">
        <is>
          <t>VSF-032</t>
        </is>
      </c>
      <c r="J242" s="33" t="n">
        <v>180</v>
      </c>
      <c r="K242" s="33" t="inlineStr">
        <is>
          <t>г</t>
        </is>
      </c>
      <c r="L242" s="33" t="n">
        <v>180</v>
      </c>
      <c r="M242" s="33" t="n">
        <v>180</v>
      </c>
      <c r="N242" s="33" t="inlineStr">
        <is>
          <t>ASSUMPTION</t>
        </is>
      </c>
      <c r="O242" s="33" t="inlineStr">
        <is>
          <t>EVD-0007;EVD-0008</t>
        </is>
      </c>
      <c r="P242" s="33" t="inlineStr">
        <is>
          <t>GAP-004;GAP-005</t>
        </is>
      </c>
    </row>
    <row r="243">
      <c r="A243" s="33" t="inlineStr">
        <is>
          <t>RCP-0238</t>
        </is>
      </c>
      <c r="B243" s="33" t="inlineStr">
        <is>
          <t>VKM-030</t>
        </is>
      </c>
      <c r="C243" s="33" t="inlineStr">
        <is>
          <t>VKC-030</t>
        </is>
      </c>
      <c r="D243" s="33" t="inlineStr">
        <is>
          <t>VKT-030</t>
        </is>
      </c>
      <c r="E243" s="33" t="inlineStr">
        <is>
          <t>0.1.0-DRAFT</t>
        </is>
      </c>
      <c r="F243" s="33" t="inlineStr">
        <is>
          <t>ING-077</t>
        </is>
      </c>
      <c r="G243" s="33" t="inlineStr">
        <is>
          <t>Сливки</t>
        </is>
      </c>
      <c r="H243" s="33" t="inlineStr">
        <is>
          <t>Солёная карамель</t>
        </is>
      </c>
      <c r="I243" s="33" t="inlineStr">
        <is>
          <t>VSF-032</t>
        </is>
      </c>
      <c r="J243" s="33" t="n">
        <v>105</v>
      </c>
      <c r="K243" s="33" t="inlineStr">
        <is>
          <t>г</t>
        </is>
      </c>
      <c r="L243" s="33" t="n">
        <v>105</v>
      </c>
      <c r="M243" s="33" t="n">
        <v>100</v>
      </c>
      <c r="N243" s="33" t="inlineStr">
        <is>
          <t>ASSUMPTION</t>
        </is>
      </c>
      <c r="O243" s="33" t="inlineStr">
        <is>
          <t>EVD-0007;EVD-0008</t>
        </is>
      </c>
      <c r="P243" s="33" t="inlineStr">
        <is>
          <t>GAP-004;GAP-005</t>
        </is>
      </c>
    </row>
    <row r="244">
      <c r="A244" s="33" t="inlineStr">
        <is>
          <t>RCP-0239</t>
        </is>
      </c>
      <c r="B244" s="33" t="inlineStr">
        <is>
          <t>VKM-030</t>
        </is>
      </c>
      <c r="C244" s="33" t="inlineStr">
        <is>
          <t>VKC-030</t>
        </is>
      </c>
      <c r="D244" s="33" t="inlineStr">
        <is>
          <t>VKT-030</t>
        </is>
      </c>
      <c r="E244" s="33" t="inlineStr">
        <is>
          <t>0.1.0-DRAFT</t>
        </is>
      </c>
      <c r="F244" s="33" t="inlineStr">
        <is>
          <t>ING-027</t>
        </is>
      </c>
      <c r="G244" s="33" t="inlineStr">
        <is>
          <t>Масло сливочное</t>
        </is>
      </c>
      <c r="H244" s="33" t="inlineStr">
        <is>
          <t>Солёная карамель</t>
        </is>
      </c>
      <c r="I244" s="33" t="inlineStr">
        <is>
          <t>VSF-032</t>
        </is>
      </c>
      <c r="J244" s="33" t="n">
        <v>60</v>
      </c>
      <c r="K244" s="33" t="inlineStr">
        <is>
          <t>г</t>
        </is>
      </c>
      <c r="L244" s="33" t="n">
        <v>60</v>
      </c>
      <c r="M244" s="33" t="n">
        <v>60</v>
      </c>
      <c r="N244" s="33" t="inlineStr">
        <is>
          <t>ASSUMPTION</t>
        </is>
      </c>
      <c r="O244" s="33" t="inlineStr">
        <is>
          <t>EVD-0007;EVD-0008</t>
        </is>
      </c>
      <c r="P244" s="33" t="inlineStr">
        <is>
          <t>GAP-004;GAP-005</t>
        </is>
      </c>
    </row>
    <row r="245">
      <c r="A245" s="33" t="inlineStr">
        <is>
          <t>RCP-0240</t>
        </is>
      </c>
      <c r="B245" s="33" t="inlineStr">
        <is>
          <t>VKM-030</t>
        </is>
      </c>
      <c r="C245" s="33" t="inlineStr">
        <is>
          <t>VKC-030</t>
        </is>
      </c>
      <c r="D245" s="33" t="inlineStr">
        <is>
          <t>VKT-030</t>
        </is>
      </c>
      <c r="E245" s="33" t="inlineStr">
        <is>
          <t>0.1.0-DRAFT</t>
        </is>
      </c>
      <c r="F245" s="33" t="inlineStr">
        <is>
          <t>ING-106</t>
        </is>
      </c>
      <c r="G245" s="33" t="inlineStr">
        <is>
          <t>Соль</t>
        </is>
      </c>
      <c r="H245" s="33" t="inlineStr">
        <is>
          <t>Солёная карамель</t>
        </is>
      </c>
      <c r="I245" s="33" t="inlineStr">
        <is>
          <t>VSF-032</t>
        </is>
      </c>
      <c r="J245" s="33" t="n">
        <v>10</v>
      </c>
      <c r="K245" s="33" t="inlineStr">
        <is>
          <t>г</t>
        </is>
      </c>
      <c r="L245" s="33" t="n">
        <v>10</v>
      </c>
      <c r="M245" s="33" t="n">
        <v>10</v>
      </c>
      <c r="N245" s="33" t="inlineStr">
        <is>
          <t>ASSUMPTION</t>
        </is>
      </c>
      <c r="O245" s="33" t="inlineStr">
        <is>
          <t>EVD-0007;EVD-0008</t>
        </is>
      </c>
      <c r="P245" s="33" t="inlineStr">
        <is>
          <t>GAP-004;GAP-005</t>
        </is>
      </c>
    </row>
    <row r="246">
      <c r="A246" s="33" t="inlineStr">
        <is>
          <t>RCP-0241</t>
        </is>
      </c>
      <c r="B246" s="33" t="inlineStr">
        <is>
          <t>VKM-030</t>
        </is>
      </c>
      <c r="C246" s="33" t="inlineStr">
        <is>
          <t>VKC-030</t>
        </is>
      </c>
      <c r="D246" s="33" t="inlineStr">
        <is>
          <t>VKT-030</t>
        </is>
      </c>
      <c r="E246" s="33" t="inlineStr">
        <is>
          <t>0.1.0-DRAFT</t>
        </is>
      </c>
      <c r="F246" s="33" t="inlineStr">
        <is>
          <t>ING-108</t>
        </is>
      </c>
      <c r="G246" s="33" t="inlineStr">
        <is>
          <t>Сыр сливочный</t>
        </is>
      </c>
      <c r="H246" s="33" t="inlineStr">
        <is>
          <t>Крем</t>
        </is>
      </c>
      <c r="I246" s="33" t="inlineStr">
        <is>
          <t>VSF-033</t>
        </is>
      </c>
      <c r="J246" s="33" t="n">
        <v>120</v>
      </c>
      <c r="K246" s="33" t="inlineStr">
        <is>
          <t>г</t>
        </is>
      </c>
      <c r="L246" s="33" t="n">
        <v>120</v>
      </c>
      <c r="M246" s="33" t="n">
        <v>120</v>
      </c>
      <c r="N246" s="33" t="inlineStr">
        <is>
          <t>ASSUMPTION</t>
        </is>
      </c>
      <c r="O246" s="33" t="inlineStr">
        <is>
          <t>EVD-0007;EVD-0008</t>
        </is>
      </c>
      <c r="P246" s="33" t="inlineStr">
        <is>
          <t>GAP-004;GAP-005</t>
        </is>
      </c>
    </row>
    <row r="247">
      <c r="A247" s="33" t="inlineStr">
        <is>
          <t>RCP-0242</t>
        </is>
      </c>
      <c r="B247" s="33" t="inlineStr">
        <is>
          <t>VKM-030</t>
        </is>
      </c>
      <c r="C247" s="33" t="inlineStr">
        <is>
          <t>VKC-030</t>
        </is>
      </c>
      <c r="D247" s="33" t="inlineStr">
        <is>
          <t>VKT-030</t>
        </is>
      </c>
      <c r="E247" s="33" t="inlineStr">
        <is>
          <t>0.1.0-DRAFT</t>
        </is>
      </c>
      <c r="F247" s="33" t="inlineStr">
        <is>
          <t>ING-077</t>
        </is>
      </c>
      <c r="G247" s="33" t="inlineStr">
        <is>
          <t>Сливки</t>
        </is>
      </c>
      <c r="H247" s="33" t="inlineStr">
        <is>
          <t>Крем</t>
        </is>
      </c>
      <c r="I247" s="33" t="inlineStr">
        <is>
          <t>VSF-033</t>
        </is>
      </c>
      <c r="J247" s="33" t="n">
        <v>60</v>
      </c>
      <c r="K247" s="33" t="inlineStr">
        <is>
          <t>г</t>
        </is>
      </c>
      <c r="L247" s="33" t="n">
        <v>60</v>
      </c>
      <c r="M247" s="33" t="n">
        <v>60</v>
      </c>
      <c r="N247" s="33" t="inlineStr">
        <is>
          <t>ASSUMPTION</t>
        </is>
      </c>
      <c r="O247" s="33" t="inlineStr">
        <is>
          <t>EVD-0007;EVD-0008</t>
        </is>
      </c>
      <c r="P247" s="33" t="inlineStr">
        <is>
          <t>GAP-004;GAP-005</t>
        </is>
      </c>
    </row>
    <row r="248">
      <c r="A248" s="33" t="inlineStr">
        <is>
          <t>RCP-0243</t>
        </is>
      </c>
      <c r="B248" s="33" t="inlineStr">
        <is>
          <t>VKM-030</t>
        </is>
      </c>
      <c r="C248" s="33" t="inlineStr">
        <is>
          <t>VKC-030</t>
        </is>
      </c>
      <c r="D248" s="33" t="inlineStr">
        <is>
          <t>VKT-030</t>
        </is>
      </c>
      <c r="E248" s="33" t="inlineStr">
        <is>
          <t>0.1.0-DRAFT</t>
        </is>
      </c>
      <c r="F248" s="33" t="inlineStr">
        <is>
          <t>ING-109</t>
        </is>
      </c>
      <c r="G248" s="33" t="inlineStr">
        <is>
          <t>Сахарная пудра</t>
        </is>
      </c>
      <c r="H248" s="33" t="inlineStr">
        <is>
          <t>Крем</t>
        </is>
      </c>
      <c r="I248" s="33" t="inlineStr">
        <is>
          <t>VSF-033</t>
        </is>
      </c>
      <c r="J248" s="33" t="n">
        <v>20</v>
      </c>
      <c r="K248" s="33" t="inlineStr">
        <is>
          <t>г</t>
        </is>
      </c>
      <c r="L248" s="33" t="n">
        <v>20</v>
      </c>
      <c r="M248" s="33" t="n">
        <v>20</v>
      </c>
      <c r="N248" s="33" t="inlineStr">
        <is>
          <t>ASSUMPTION</t>
        </is>
      </c>
      <c r="O248" s="33" t="inlineStr">
        <is>
          <t>EVD-0007;EVD-0008</t>
        </is>
      </c>
      <c r="P248" s="33" t="inlineStr">
        <is>
          <t>GAP-004;GAP-005</t>
        </is>
      </c>
    </row>
    <row r="249">
      <c r="A249" s="33" t="inlineStr">
        <is>
          <t>RCP-0244</t>
        </is>
      </c>
      <c r="B249" s="33" t="inlineStr">
        <is>
          <t>VKM-030</t>
        </is>
      </c>
      <c r="C249" s="33" t="inlineStr">
        <is>
          <t>VKC-030</t>
        </is>
      </c>
      <c r="D249" s="33" t="inlineStr">
        <is>
          <t>VKT-030</t>
        </is>
      </c>
      <c r="E249" s="33" t="inlineStr">
        <is>
          <t>0.1.0-DRAFT</t>
        </is>
      </c>
      <c r="F249" s="33" t="inlineStr">
        <is>
          <t>ING-112</t>
        </is>
      </c>
      <c r="G249" s="33" t="inlineStr">
        <is>
          <t>Декор съедобный</t>
        </is>
      </c>
      <c r="H249" s="33" t="inlineStr">
        <is>
          <t>Декор</t>
        </is>
      </c>
      <c r="I249" s="33" t="n"/>
      <c r="J249" s="33" t="n">
        <v>52</v>
      </c>
      <c r="K249" s="33" t="inlineStr">
        <is>
          <t>г</t>
        </is>
      </c>
      <c r="L249" s="33" t="n">
        <v>50</v>
      </c>
      <c r="M249" s="33" t="n">
        <v>50</v>
      </c>
      <c r="N249" s="33" t="inlineStr">
        <is>
          <t>ASSUMPTION</t>
        </is>
      </c>
      <c r="O249" s="33" t="inlineStr">
        <is>
          <t>EVD-0007;EVD-0008</t>
        </is>
      </c>
      <c r="P249" s="33" t="inlineStr">
        <is>
          <t>GAP-004;GAP-005</t>
        </is>
      </c>
    </row>
    <row r="250">
      <c r="A250" s="33" t="inlineStr">
        <is>
          <t>RCP-0245</t>
        </is>
      </c>
      <c r="B250" s="33" t="inlineStr">
        <is>
          <t>VKM-031</t>
        </is>
      </c>
      <c r="C250" s="33" t="inlineStr">
        <is>
          <t>VKC-031</t>
        </is>
      </c>
      <c r="D250" s="33" t="inlineStr">
        <is>
          <t>VKT-031</t>
        </is>
      </c>
      <c r="E250" s="33" t="inlineStr">
        <is>
          <t>0.1.0-DRAFT</t>
        </is>
      </c>
      <c r="F250" s="33" t="inlineStr">
        <is>
          <t>ING-104</t>
        </is>
      </c>
      <c r="G250" s="33" t="inlineStr">
        <is>
          <t>Мука пшеничная кондитерская</t>
        </is>
      </c>
      <c r="H250" s="33" t="inlineStr">
        <is>
          <t>Тесто</t>
        </is>
      </c>
      <c r="I250" s="33" t="inlineStr">
        <is>
          <t>VSF-034</t>
        </is>
      </c>
      <c r="J250" s="33" t="n">
        <v>145</v>
      </c>
      <c r="K250" s="33" t="inlineStr">
        <is>
          <t>г</t>
        </is>
      </c>
      <c r="L250" s="33" t="n">
        <v>145</v>
      </c>
      <c r="M250" s="33" t="n">
        <v>140</v>
      </c>
      <c r="N250" s="33" t="inlineStr">
        <is>
          <t>ASSUMPTION</t>
        </is>
      </c>
      <c r="O250" s="33" t="inlineStr">
        <is>
          <t>EVD-0007;EVD-0008</t>
        </is>
      </c>
      <c r="P250" s="33" t="inlineStr">
        <is>
          <t>GAP-004;GAP-005</t>
        </is>
      </c>
    </row>
    <row r="251">
      <c r="A251" s="33" t="inlineStr">
        <is>
          <t>RCP-0246</t>
        </is>
      </c>
      <c r="B251" s="33" t="inlineStr">
        <is>
          <t>VKM-031</t>
        </is>
      </c>
      <c r="C251" s="33" t="inlineStr">
        <is>
          <t>VKC-031</t>
        </is>
      </c>
      <c r="D251" s="33" t="inlineStr">
        <is>
          <t>VKT-031</t>
        </is>
      </c>
      <c r="E251" s="33" t="inlineStr">
        <is>
          <t>0.1.0-DRAFT</t>
        </is>
      </c>
      <c r="F251" s="33" t="inlineStr">
        <is>
          <t>ING-026</t>
        </is>
      </c>
      <c r="G251" s="33" t="inlineStr">
        <is>
          <t>Яйцо или меланж</t>
        </is>
      </c>
      <c r="H251" s="33" t="inlineStr">
        <is>
          <t>Тесто</t>
        </is>
      </c>
      <c r="I251" s="33" t="inlineStr">
        <is>
          <t>VSF-034</t>
        </is>
      </c>
      <c r="J251" s="33" t="n">
        <v>145</v>
      </c>
      <c r="K251" s="33" t="inlineStr">
        <is>
          <t>г</t>
        </is>
      </c>
      <c r="L251" s="33" t="n">
        <v>145</v>
      </c>
      <c r="M251" s="33" t="n">
        <v>140</v>
      </c>
      <c r="N251" s="33" t="inlineStr">
        <is>
          <t>ASSUMPTION</t>
        </is>
      </c>
      <c r="O251" s="33" t="inlineStr">
        <is>
          <t>EVD-0007;EVD-0008</t>
        </is>
      </c>
      <c r="P251" s="33" t="inlineStr">
        <is>
          <t>GAP-004;GAP-005</t>
        </is>
      </c>
    </row>
    <row r="252">
      <c r="A252" s="33" t="inlineStr">
        <is>
          <t>RCP-0247</t>
        </is>
      </c>
      <c r="B252" s="33" t="inlineStr">
        <is>
          <t>VKM-031</t>
        </is>
      </c>
      <c r="C252" s="33" t="inlineStr">
        <is>
          <t>VKC-031</t>
        </is>
      </c>
      <c r="D252" s="33" t="inlineStr">
        <is>
          <t>VKT-031</t>
        </is>
      </c>
      <c r="E252" s="33" t="inlineStr">
        <is>
          <t>0.1.0-DRAFT</t>
        </is>
      </c>
      <c r="F252" s="33" t="inlineStr">
        <is>
          <t>ING-028</t>
        </is>
      </c>
      <c r="G252" s="33" t="inlineStr">
        <is>
          <t>Сахар</t>
        </is>
      </c>
      <c r="H252" s="33" t="inlineStr">
        <is>
          <t>Тесто</t>
        </is>
      </c>
      <c r="I252" s="33" t="inlineStr">
        <is>
          <t>VSF-034</t>
        </is>
      </c>
      <c r="J252" s="33" t="n">
        <v>120</v>
      </c>
      <c r="K252" s="33" t="inlineStr">
        <is>
          <t>г</t>
        </is>
      </c>
      <c r="L252" s="33" t="n">
        <v>120</v>
      </c>
      <c r="M252" s="33" t="n">
        <v>120</v>
      </c>
      <c r="N252" s="33" t="inlineStr">
        <is>
          <t>ASSUMPTION</t>
        </is>
      </c>
      <c r="O252" s="33" t="inlineStr">
        <is>
          <t>EVD-0007;EVD-0008</t>
        </is>
      </c>
      <c r="P252" s="33" t="inlineStr">
        <is>
          <t>GAP-004;GAP-005</t>
        </is>
      </c>
    </row>
    <row r="253">
      <c r="A253" s="33" t="inlineStr">
        <is>
          <t>RCP-0248</t>
        </is>
      </c>
      <c r="B253" s="33" t="inlineStr">
        <is>
          <t>VKM-031</t>
        </is>
      </c>
      <c r="C253" s="33" t="inlineStr">
        <is>
          <t>VKC-031</t>
        </is>
      </c>
      <c r="D253" s="33" t="inlineStr">
        <is>
          <t>VKT-031</t>
        </is>
      </c>
      <c r="E253" s="33" t="inlineStr">
        <is>
          <t>0.1.0-DRAFT</t>
        </is>
      </c>
      <c r="F253" s="33" t="inlineStr">
        <is>
          <t>ING-027</t>
        </is>
      </c>
      <c r="G253" s="33" t="inlineStr">
        <is>
          <t>Масло сливочное</t>
        </is>
      </c>
      <c r="H253" s="33" t="inlineStr">
        <is>
          <t>Тесто</t>
        </is>
      </c>
      <c r="I253" s="33" t="inlineStr">
        <is>
          <t>VSF-034</t>
        </is>
      </c>
      <c r="J253" s="33" t="n">
        <v>140</v>
      </c>
      <c r="K253" s="33" t="inlineStr">
        <is>
          <t>г</t>
        </is>
      </c>
      <c r="L253" s="33" t="n">
        <v>140</v>
      </c>
      <c r="M253" s="33" t="n">
        <v>140</v>
      </c>
      <c r="N253" s="33" t="inlineStr">
        <is>
          <t>ASSUMPTION</t>
        </is>
      </c>
      <c r="O253" s="33" t="inlineStr">
        <is>
          <t>EVD-0007;EVD-0008</t>
        </is>
      </c>
      <c r="P253" s="33" t="inlineStr">
        <is>
          <t>GAP-004;GAP-005</t>
        </is>
      </c>
    </row>
    <row r="254">
      <c r="A254" s="33" t="inlineStr">
        <is>
          <t>RCP-0249</t>
        </is>
      </c>
      <c r="B254" s="33" t="inlineStr">
        <is>
          <t>VKM-031</t>
        </is>
      </c>
      <c r="C254" s="33" t="inlineStr">
        <is>
          <t>VKC-031</t>
        </is>
      </c>
      <c r="D254" s="33" t="inlineStr">
        <is>
          <t>VKT-031</t>
        </is>
      </c>
      <c r="E254" s="33" t="inlineStr">
        <is>
          <t>0.1.0-DRAFT</t>
        </is>
      </c>
      <c r="F254" s="33" t="inlineStr">
        <is>
          <t>ING-025</t>
        </is>
      </c>
      <c r="G254" s="33" t="inlineStr">
        <is>
          <t>Молоко</t>
        </is>
      </c>
      <c r="H254" s="33" t="inlineStr">
        <is>
          <t>Тесто</t>
        </is>
      </c>
      <c r="I254" s="33" t="inlineStr">
        <is>
          <t>VSF-034</t>
        </is>
      </c>
      <c r="J254" s="33" t="n">
        <v>30</v>
      </c>
      <c r="K254" s="33" t="inlineStr">
        <is>
          <t>г</t>
        </is>
      </c>
      <c r="L254" s="33" t="n">
        <v>30</v>
      </c>
      <c r="M254" s="33" t="n">
        <v>30</v>
      </c>
      <c r="N254" s="33" t="inlineStr">
        <is>
          <t>ASSUMPTION</t>
        </is>
      </c>
      <c r="O254" s="33" t="inlineStr">
        <is>
          <t>EVD-0007;EVD-0008</t>
        </is>
      </c>
      <c r="P254" s="33" t="inlineStr">
        <is>
          <t>GAP-004;GAP-005</t>
        </is>
      </c>
    </row>
    <row r="255">
      <c r="A255" s="33" t="inlineStr">
        <is>
          <t>RCP-0250</t>
        </is>
      </c>
      <c r="B255" s="33" t="inlineStr">
        <is>
          <t>VKM-031</t>
        </is>
      </c>
      <c r="C255" s="33" t="inlineStr">
        <is>
          <t>VKC-031</t>
        </is>
      </c>
      <c r="D255" s="33" t="inlineStr">
        <is>
          <t>VKT-031</t>
        </is>
      </c>
      <c r="E255" s="33" t="inlineStr">
        <is>
          <t>0.1.0-DRAFT</t>
        </is>
      </c>
      <c r="F255" s="33" t="inlineStr">
        <is>
          <t>ING-040</t>
        </is>
      </c>
      <c r="G255" s="33" t="inlineStr">
        <is>
          <t>Мёд</t>
        </is>
      </c>
      <c r="H255" s="33" t="inlineStr">
        <is>
          <t>Тесто</t>
        </is>
      </c>
      <c r="I255" s="33" t="inlineStr">
        <is>
          <t>VSF-034</t>
        </is>
      </c>
      <c r="J255" s="33" t="n">
        <v>15</v>
      </c>
      <c r="K255" s="33" t="inlineStr">
        <is>
          <t>г</t>
        </is>
      </c>
      <c r="L255" s="33" t="n">
        <v>15</v>
      </c>
      <c r="M255" s="33" t="n">
        <v>15</v>
      </c>
      <c r="N255" s="33" t="inlineStr">
        <is>
          <t>ASSUMPTION</t>
        </is>
      </c>
      <c r="O255" s="33" t="inlineStr">
        <is>
          <t>EVD-0007;EVD-0008</t>
        </is>
      </c>
      <c r="P255" s="33" t="inlineStr">
        <is>
          <t>GAP-004;GAP-005</t>
        </is>
      </c>
    </row>
    <row r="256">
      <c r="A256" s="33" t="inlineStr">
        <is>
          <t>RCP-0251</t>
        </is>
      </c>
      <c r="B256" s="33" t="inlineStr">
        <is>
          <t>VKM-031</t>
        </is>
      </c>
      <c r="C256" s="33" t="inlineStr">
        <is>
          <t>VKC-031</t>
        </is>
      </c>
      <c r="D256" s="33" t="inlineStr">
        <is>
          <t>VKT-031</t>
        </is>
      </c>
      <c r="E256" s="33" t="inlineStr">
        <is>
          <t>0.1.0-DRAFT</t>
        </is>
      </c>
      <c r="F256" s="33" t="inlineStr">
        <is>
          <t>ING-105</t>
        </is>
      </c>
      <c r="G256" s="33" t="inlineStr">
        <is>
          <t>Разрыхлитель</t>
        </is>
      </c>
      <c r="H256" s="33" t="inlineStr">
        <is>
          <t>Тесто</t>
        </is>
      </c>
      <c r="I256" s="33" t="inlineStr">
        <is>
          <t>VSF-034</t>
        </is>
      </c>
      <c r="J256" s="33" t="n">
        <v>5</v>
      </c>
      <c r="K256" s="33" t="inlineStr">
        <is>
          <t>г</t>
        </is>
      </c>
      <c r="L256" s="33" t="n">
        <v>5</v>
      </c>
      <c r="M256" s="33" t="n">
        <v>5</v>
      </c>
      <c r="N256" s="33" t="inlineStr">
        <is>
          <t>ASSUMPTION</t>
        </is>
      </c>
      <c r="O256" s="33" t="inlineStr">
        <is>
          <t>EVD-0007;EVD-0008</t>
        </is>
      </c>
      <c r="P256" s="33" t="inlineStr">
        <is>
          <t>GAP-004;GAP-005</t>
        </is>
      </c>
    </row>
    <row r="257">
      <c r="A257" s="33" t="inlineStr">
        <is>
          <t>RCP-0252</t>
        </is>
      </c>
      <c r="B257" s="33" t="inlineStr">
        <is>
          <t>VKM-031</t>
        </is>
      </c>
      <c r="C257" s="33" t="inlineStr">
        <is>
          <t>VKC-031</t>
        </is>
      </c>
      <c r="D257" s="33" t="inlineStr">
        <is>
          <t>VKT-031</t>
        </is>
      </c>
      <c r="E257" s="33" t="inlineStr">
        <is>
          <t>0.1.0-DRAFT</t>
        </is>
      </c>
      <c r="F257" s="33" t="inlineStr">
        <is>
          <t>ING-113</t>
        </is>
      </c>
      <c r="G257" s="33" t="inlineStr">
        <is>
          <t>Цедра лимона</t>
        </is>
      </c>
      <c r="H257" s="33" t="inlineStr">
        <is>
          <t>Тесто</t>
        </is>
      </c>
      <c r="I257" s="33" t="inlineStr">
        <is>
          <t>VSF-034</t>
        </is>
      </c>
      <c r="J257" s="33" t="n">
        <v>7</v>
      </c>
      <c r="K257" s="33" t="inlineStr">
        <is>
          <t>г</t>
        </is>
      </c>
      <c r="L257" s="33" t="n">
        <v>5</v>
      </c>
      <c r="M257" s="33" t="n">
        <v>5</v>
      </c>
      <c r="N257" s="33" t="inlineStr">
        <is>
          <t>ASSUMPTION</t>
        </is>
      </c>
      <c r="O257" s="33" t="inlineStr">
        <is>
          <t>EVD-0007;EVD-0008</t>
        </is>
      </c>
      <c r="P257" s="33" t="inlineStr">
        <is>
          <t>GAP-004;GAP-005</t>
        </is>
      </c>
    </row>
    <row r="258">
      <c r="A258" s="33" t="inlineStr">
        <is>
          <t>RCP-0253</t>
        </is>
      </c>
      <c r="B258" s="33" t="inlineStr">
        <is>
          <t>VKM-031</t>
        </is>
      </c>
      <c r="C258" s="33" t="inlineStr">
        <is>
          <t>VKC-031</t>
        </is>
      </c>
      <c r="D258" s="33" t="inlineStr">
        <is>
          <t>VKT-031</t>
        </is>
      </c>
      <c r="E258" s="33" t="inlineStr">
        <is>
          <t>0.1.0-DRAFT</t>
        </is>
      </c>
      <c r="F258" s="33" t="inlineStr">
        <is>
          <t>ING-106</t>
        </is>
      </c>
      <c r="G258" s="33" t="inlineStr">
        <is>
          <t>Соль</t>
        </is>
      </c>
      <c r="H258" s="33" t="inlineStr">
        <is>
          <t>Тесто</t>
        </is>
      </c>
      <c r="I258" s="33" t="inlineStr">
        <is>
          <t>VSF-034</t>
        </is>
      </c>
      <c r="J258" s="33" t="n">
        <v>5</v>
      </c>
      <c r="K258" s="33" t="inlineStr">
        <is>
          <t>г</t>
        </is>
      </c>
      <c r="L258" s="33" t="n">
        <v>5</v>
      </c>
      <c r="M258" s="33" t="n">
        <v>5</v>
      </c>
      <c r="N258" s="33" t="inlineStr">
        <is>
          <t>ASSUMPTION</t>
        </is>
      </c>
      <c r="O258" s="33" t="inlineStr">
        <is>
          <t>EVD-0007;EVD-0008</t>
        </is>
      </c>
      <c r="P258" s="33" t="inlineStr">
        <is>
          <t>GAP-004;GAP-005</t>
        </is>
      </c>
    </row>
  </sheetData>
  <mergeCells count="2">
    <mergeCell ref="A1:P1"/>
    <mergeCell ref="A2:P2"/>
  </mergeCells>
  <conditionalFormatting sqref="N6:N258">
    <cfRule type="containsText" priority="1" operator="containsText" dxfId="0" text="BLOCK"/>
    <cfRule type="containsText" priority="2" operator="containsText" dxfId="1" text="PASS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8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8" customWidth="1" min="3" max="3"/>
    <col width="20" customWidth="1" min="4" max="4"/>
    <col width="10" customWidth="1" min="5" max="5"/>
    <col width="11" customWidth="1" min="6" max="6"/>
    <col width="11" customWidth="1" min="7" max="7"/>
    <col width="11" customWidth="1" min="8" max="8"/>
    <col width="8" customWidth="1" min="9" max="9"/>
    <col width="42" customWidth="1" min="10" max="10"/>
    <col width="16" customWidth="1" min="11" max="11"/>
    <col width="24" customWidth="1" min="12" max="12"/>
    <col width="22" customWidth="1" min="13" max="13"/>
    <col width="24" customWidth="1" min="14" max="14"/>
    <col width="44" customWidth="1" min="15" max="15"/>
  </cols>
  <sheetData>
    <row r="1" ht="30" customHeight="1">
      <c r="A1" s="27" t="inlineStr">
        <is>
          <t>03 — Полуфабрикаты и DAG</t>
        </is>
      </c>
    </row>
    <row r="2" ht="27" customHeight="1">
      <c r="A2" s="29" t="inlineStr">
        <is>
          <t>34 VSF; 42 edges; topology accepted, variants/yields/safety remain blocked.</t>
        </is>
      </c>
    </row>
    <row r="3">
      <c r="A3" s="28" t="n"/>
      <c r="B3" s="28" t="n"/>
      <c r="C3" s="28" t="n"/>
      <c r="D3" s="28" t="n"/>
      <c r="E3" s="28" t="n"/>
      <c r="F3" s="28" t="n"/>
      <c r="G3" s="28" t="n"/>
      <c r="H3" s="28" t="n"/>
      <c r="I3" s="28" t="n"/>
      <c r="J3" s="28" t="n"/>
      <c r="K3" s="28" t="n"/>
      <c r="L3" s="28" t="n"/>
      <c r="M3" s="28" t="n"/>
      <c r="N3" s="28" t="n"/>
      <c r="O3" s="28" t="n"/>
    </row>
    <row r="4">
      <c r="A4" s="28" t="n"/>
      <c r="B4" s="28" t="n"/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</row>
    <row r="5" ht="34" customHeight="1">
      <c r="A5" s="32" t="inlineStr">
        <is>
          <t>VSF</t>
        </is>
      </c>
      <c r="B5" s="32" t="inlineStr">
        <is>
          <t>Наименование</t>
        </is>
      </c>
      <c r="C5" s="32" t="inlineStr">
        <is>
          <t>Версия</t>
        </is>
      </c>
      <c r="D5" s="32" t="inlineStr">
        <is>
          <t>Variant</t>
        </is>
      </c>
      <c r="E5" s="32" t="inlineStr">
        <is>
          <t>Variants</t>
        </is>
      </c>
      <c r="F5" s="32" t="inlineStr">
        <is>
          <t>Брутто</t>
        </is>
      </c>
      <c r="G5" s="32" t="inlineStr">
        <is>
          <t>Нетто</t>
        </is>
      </c>
      <c r="H5" s="32" t="inlineStr">
        <is>
          <t>Выход</t>
        </is>
      </c>
      <c r="I5" s="32" t="inlineStr">
        <is>
          <t>Ед.</t>
        </is>
      </c>
      <c r="J5" s="32" t="inlineStr">
        <is>
          <t>Блюда</t>
        </is>
      </c>
      <c r="K5" s="32" t="inlineStr">
        <is>
          <t>Child VSF</t>
        </is>
      </c>
      <c r="L5" s="32" t="inlineStr">
        <is>
          <t>Статус</t>
        </is>
      </c>
      <c r="M5" s="32" t="inlineStr">
        <is>
          <t>Evidence</t>
        </is>
      </c>
      <c r="N5" s="32" t="inlineStr">
        <is>
          <t>Blockers</t>
        </is>
      </c>
      <c r="O5" s="32" t="inlineStr">
        <is>
          <t>Анти-double-counting</t>
        </is>
      </c>
    </row>
    <row r="6">
      <c r="A6" s="33" t="inlineStr">
        <is>
          <t>VSF-001</t>
        </is>
      </c>
      <c r="B6" s="33" t="inlineStr">
        <is>
          <t>Тесто для пиццы базовое</t>
        </is>
      </c>
      <c r="C6" s="33" t="inlineStr">
        <is>
          <t>0.1.0-DRAFT</t>
        </is>
      </c>
      <c r="D6" s="33" t="inlineStr">
        <is>
          <t>VSF-001@VKM-001</t>
        </is>
      </c>
      <c r="E6" s="33" t="n">
        <v>4</v>
      </c>
      <c r="F6" s="33" t="n">
        <v>238</v>
      </c>
      <c r="G6" s="33" t="n">
        <v>238</v>
      </c>
      <c r="H6" s="33" t="n">
        <v>213</v>
      </c>
      <c r="I6" s="33" t="inlineStr">
        <is>
          <t>г</t>
        </is>
      </c>
      <c r="J6" s="33" t="inlineStr">
        <is>
          <t>VKM-001;VKM-002;VKM-003;VKM-004</t>
        </is>
      </c>
      <c r="K6" s="33" t="n"/>
      <c r="L6" s="33" t="inlineStr">
        <is>
          <t>BLOCKED_PENDING_VALIDATION</t>
        </is>
      </c>
      <c r="M6" s="33" t="inlineStr">
        <is>
          <t>EVD-0009;EVD-0007;EVD-0008</t>
        </is>
      </c>
      <c r="N6" s="33" t="inlineStr">
        <is>
          <t>GAP-006;GAP-010;GAP-011;GAP-SF-001</t>
        </is>
      </c>
      <c r="O6" s="33" t="inlineStr">
        <is>
          <t>At each parent include either CHILD_VSF cost or that child's raw lines, never both; top-level dish excludes flattened lines reassigned to a VSF</t>
        </is>
      </c>
    </row>
    <row r="7">
      <c r="A7" s="33" t="inlineStr">
        <is>
          <t>VSF-002</t>
        </is>
      </c>
      <c r="B7" s="33" t="inlineStr">
        <is>
          <t>Соус томатный для пиццы</t>
        </is>
      </c>
      <c r="C7" s="33" t="inlineStr">
        <is>
          <t>0.1.0-DRAFT</t>
        </is>
      </c>
      <c r="D7" s="33" t="inlineStr">
        <is>
          <t>VSF-002@VKM-001</t>
        </is>
      </c>
      <c r="E7" s="33" t="n">
        <v>4</v>
      </c>
      <c r="F7" s="33" t="n">
        <v>83.2</v>
      </c>
      <c r="G7" s="33" t="n">
        <v>83</v>
      </c>
      <c r="H7" s="33" t="n">
        <v>80</v>
      </c>
      <c r="I7" s="33" t="inlineStr">
        <is>
          <t>г</t>
        </is>
      </c>
      <c r="J7" s="33" t="inlineStr">
        <is>
          <t>VKM-001;VKM-002;VKM-003;VKM-004</t>
        </is>
      </c>
      <c r="K7" s="33" t="n"/>
      <c r="L7" s="33" t="inlineStr">
        <is>
          <t>BLOCKED_PENDING_VALIDATION</t>
        </is>
      </c>
      <c r="M7" s="33" t="inlineStr">
        <is>
          <t>EVD-0009;EVD-0007;EVD-0008</t>
        </is>
      </c>
      <c r="N7" s="33" t="inlineStr">
        <is>
          <t>GAP-006;GAP-010;GAP-011;GAP-SF-001</t>
        </is>
      </c>
      <c r="O7" s="33" t="inlineStr">
        <is>
          <t>At each parent include either CHILD_VSF cost or that child's raw lines, never both; top-level dish excludes flattened lines reassigned to a VSF</t>
        </is>
      </c>
    </row>
    <row r="8">
      <c r="A8" s="33" t="inlineStr">
        <is>
          <t>VSF-003</t>
        </is>
      </c>
      <c r="B8" s="33" t="inlineStr">
        <is>
          <t>Тесто чиабатты белой</t>
        </is>
      </c>
      <c r="C8" s="33" t="inlineStr">
        <is>
          <t>0.1.0-DRAFT</t>
        </is>
      </c>
      <c r="D8" s="33" t="inlineStr">
        <is>
          <t>VSF-003@BASE</t>
        </is>
      </c>
      <c r="E8" s="33" t="n">
        <v>1</v>
      </c>
      <c r="F8" s="33" t="n">
        <v>111</v>
      </c>
      <c r="G8" s="33" t="n">
        <v>111</v>
      </c>
      <c r="H8" s="33" t="n">
        <v>100</v>
      </c>
      <c r="I8" s="33" t="inlineStr">
        <is>
          <t>г</t>
        </is>
      </c>
      <c r="J8" s="33" t="inlineStr">
        <is>
          <t>VKM-005</t>
        </is>
      </c>
      <c r="K8" s="33" t="n"/>
      <c r="L8" s="33" t="inlineStr">
        <is>
          <t>DRAFT_WITH_ASSUMPTIONS</t>
        </is>
      </c>
      <c r="M8" s="33" t="inlineStr">
        <is>
          <t>EVD-0009;EVD-0007;EVD-0008</t>
        </is>
      </c>
      <c r="N8" s="33" t="inlineStr">
        <is>
          <t>GAP-006;GAP-010;GAP-011</t>
        </is>
      </c>
      <c r="O8" s="33" t="inlineStr">
        <is>
          <t>At each parent include either CHILD_VSF cost or that child's raw lines, never both; top-level dish excludes flattened lines reassigned to a VSF</t>
        </is>
      </c>
    </row>
    <row r="9">
      <c r="A9" s="33" t="inlineStr">
        <is>
          <t>VSF-004</t>
        </is>
      </c>
      <c r="B9" s="33" t="inlineStr">
        <is>
          <t>Тесто чиабатты томатной</t>
        </is>
      </c>
      <c r="C9" s="33" t="inlineStr">
        <is>
          <t>0.1.0-DRAFT</t>
        </is>
      </c>
      <c r="D9" s="33" t="inlineStr">
        <is>
          <t>VSF-004@BASE</t>
        </is>
      </c>
      <c r="E9" s="33" t="n">
        <v>1</v>
      </c>
      <c r="F9" s="33" t="n">
        <v>112</v>
      </c>
      <c r="G9" s="33" t="n">
        <v>112</v>
      </c>
      <c r="H9" s="33" t="n">
        <v>100</v>
      </c>
      <c r="I9" s="33" t="inlineStr">
        <is>
          <t>г</t>
        </is>
      </c>
      <c r="J9" s="33" t="inlineStr">
        <is>
          <t>VKM-006</t>
        </is>
      </c>
      <c r="K9" s="33" t="n"/>
      <c r="L9" s="33" t="inlineStr">
        <is>
          <t>DRAFT_WITH_ASSUMPTIONS</t>
        </is>
      </c>
      <c r="M9" s="33" t="inlineStr">
        <is>
          <t>EVD-0009;EVD-0007;EVD-0008</t>
        </is>
      </c>
      <c r="N9" s="33" t="inlineStr">
        <is>
          <t>GAP-006;GAP-010;GAP-011</t>
        </is>
      </c>
      <c r="O9" s="33" t="inlineStr">
        <is>
          <t>At each parent include either CHILD_VSF cost or that child's raw lines, never both; top-level dish excludes flattened lines reassigned to a VSF</t>
        </is>
      </c>
    </row>
    <row r="10">
      <c r="A10" s="33" t="inlineStr">
        <is>
          <t>VSF-005</t>
        </is>
      </c>
      <c r="B10" s="33" t="inlineStr">
        <is>
          <t>Тесто/заварка бородинского хлеба</t>
        </is>
      </c>
      <c r="C10" s="33" t="inlineStr">
        <is>
          <t>0.1.0-DRAFT</t>
        </is>
      </c>
      <c r="D10" s="33" t="inlineStr">
        <is>
          <t>VSF-005@BASE</t>
        </is>
      </c>
      <c r="E10" s="33" t="n">
        <v>1</v>
      </c>
      <c r="F10" s="33" t="n">
        <v>395</v>
      </c>
      <c r="G10" s="33" t="n">
        <v>395</v>
      </c>
      <c r="H10" s="33" t="n">
        <v>350</v>
      </c>
      <c r="I10" s="33" t="inlineStr">
        <is>
          <t>г</t>
        </is>
      </c>
      <c r="J10" s="33" t="inlineStr">
        <is>
          <t>VKM-007</t>
        </is>
      </c>
      <c r="K10" s="33" t="n"/>
      <c r="L10" s="33" t="inlineStr">
        <is>
          <t>DRAFT_WITH_ASSUMPTIONS</t>
        </is>
      </c>
      <c r="M10" s="33" t="inlineStr">
        <is>
          <t>EVD-0009;EVD-0007;EVD-0008</t>
        </is>
      </c>
      <c r="N10" s="33" t="inlineStr">
        <is>
          <t>GAP-006;GAP-010;GAP-011</t>
        </is>
      </c>
      <c r="O10" s="33" t="inlineStr">
        <is>
          <t>At each parent include either CHILD_VSF cost or that child's raw lines, never both; top-level dish excludes flattened lines reassigned to a VSF</t>
        </is>
      </c>
    </row>
    <row r="11">
      <c r="A11" s="33" t="inlineStr">
        <is>
          <t>VSF-006</t>
        </is>
      </c>
      <c r="B11" s="33" t="inlineStr">
        <is>
          <t>Тесто бриоши</t>
        </is>
      </c>
      <c r="C11" s="33" t="inlineStr">
        <is>
          <t>0.1.0-DRAFT</t>
        </is>
      </c>
      <c r="D11" s="33" t="inlineStr">
        <is>
          <t>VSF-006@BASE</t>
        </is>
      </c>
      <c r="E11" s="33" t="n">
        <v>1</v>
      </c>
      <c r="F11" s="33" t="n">
        <v>90</v>
      </c>
      <c r="G11" s="33" t="n">
        <v>90</v>
      </c>
      <c r="H11" s="33" t="n">
        <v>85</v>
      </c>
      <c r="I11" s="33" t="inlineStr">
        <is>
          <t>г</t>
        </is>
      </c>
      <c r="J11" s="33" t="inlineStr">
        <is>
          <t>VKM-008;VKM-021</t>
        </is>
      </c>
      <c r="K11" s="33" t="n"/>
      <c r="L11" s="33" t="inlineStr">
        <is>
          <t>DRAFT_WITH_ASSUMPTIONS</t>
        </is>
      </c>
      <c r="M11" s="33" t="inlineStr">
        <is>
          <t>EVD-0009;EVD-0007;EVD-0008</t>
        </is>
      </c>
      <c r="N11" s="33" t="inlineStr">
        <is>
          <t>GAP-006;GAP-010;GAP-011</t>
        </is>
      </c>
      <c r="O11" s="33" t="inlineStr">
        <is>
          <t>At each parent include either CHILD_VSF cost or that child's raw lines, never both; top-level dish excludes flattened lines reassigned to a VSF</t>
        </is>
      </c>
    </row>
    <row r="12">
      <c r="A12" s="33" t="inlineStr">
        <is>
          <t>VSF-007</t>
        </is>
      </c>
      <c r="B12" s="33" t="inlineStr">
        <is>
          <t>Заправка к буррате</t>
        </is>
      </c>
      <c r="C12" s="33" t="inlineStr">
        <is>
          <t>0.1.0-DRAFT</t>
        </is>
      </c>
      <c r="D12" s="33" t="inlineStr">
        <is>
          <t>VSF-007@BASE</t>
        </is>
      </c>
      <c r="E12" s="33" t="n">
        <v>1</v>
      </c>
      <c r="F12" s="33" t="n">
        <v>30</v>
      </c>
      <c r="G12" s="33" t="n">
        <v>30</v>
      </c>
      <c r="H12" s="33" t="n">
        <v>30</v>
      </c>
      <c r="I12" s="33" t="inlineStr">
        <is>
          <t>г</t>
        </is>
      </c>
      <c r="J12" s="33" t="inlineStr">
        <is>
          <t>VKM-009</t>
        </is>
      </c>
      <c r="K12" s="33" t="n"/>
      <c r="L12" s="33" t="inlineStr">
        <is>
          <t>DRAFT_WITH_ASSUMPTIONS</t>
        </is>
      </c>
      <c r="M12" s="33" t="inlineStr">
        <is>
          <t>EVD-0009;EVD-0007;EVD-0008</t>
        </is>
      </c>
      <c r="N12" s="33" t="inlineStr">
        <is>
          <t>GAP-006;GAP-010;GAP-011</t>
        </is>
      </c>
      <c r="O12" s="33" t="inlineStr">
        <is>
          <t>At each parent include either CHILD_VSF cost or that child's raw lines, never both; top-level dish excludes flattened lines reassigned to a VSF</t>
        </is>
      </c>
    </row>
    <row r="13">
      <c r="A13" s="33" t="inlineStr">
        <is>
          <t>VSF-008</t>
        </is>
      </c>
      <c r="B13" s="33" t="inlineStr">
        <is>
          <t>Заправка к салату с креветками</t>
        </is>
      </c>
      <c r="C13" s="33" t="inlineStr">
        <is>
          <t>0.1.0-DRAFT</t>
        </is>
      </c>
      <c r="D13" s="33" t="inlineStr">
        <is>
          <t>VSF-008@BASE</t>
        </is>
      </c>
      <c r="E13" s="33" t="n">
        <v>1</v>
      </c>
      <c r="F13" s="33" t="n">
        <v>22</v>
      </c>
      <c r="G13" s="33" t="n">
        <v>20</v>
      </c>
      <c r="H13" s="33" t="n">
        <v>20</v>
      </c>
      <c r="I13" s="33" t="inlineStr">
        <is>
          <t>г</t>
        </is>
      </c>
      <c r="J13" s="33" t="inlineStr">
        <is>
          <t>VKM-010</t>
        </is>
      </c>
      <c r="K13" s="33" t="n"/>
      <c r="L13" s="33" t="inlineStr">
        <is>
          <t>DRAFT_WITH_ASSUMPTIONS</t>
        </is>
      </c>
      <c r="M13" s="33" t="inlineStr">
        <is>
          <t>EVD-0009;EVD-0007;EVD-0008</t>
        </is>
      </c>
      <c r="N13" s="33" t="inlineStr">
        <is>
          <t>GAP-006;GAP-010;GAP-011</t>
        </is>
      </c>
      <c r="O13" s="33" t="inlineStr">
        <is>
          <t>At each parent include either CHILD_VSF cost or that child's raw lines, never both; top-level dish excludes flattened lines reassigned to a VSF</t>
        </is>
      </c>
    </row>
    <row r="14">
      <c r="A14" s="33" t="inlineStr">
        <is>
          <t>VSF-009</t>
        </is>
      </c>
      <c r="B14" s="33" t="inlineStr">
        <is>
          <t>Заправка греческая</t>
        </is>
      </c>
      <c r="C14" s="33" t="inlineStr">
        <is>
          <t>0.1.0-DRAFT</t>
        </is>
      </c>
      <c r="D14" s="33" t="inlineStr">
        <is>
          <t>VSF-009@BASE</t>
        </is>
      </c>
      <c r="E14" s="33" t="n">
        <v>1</v>
      </c>
      <c r="F14" s="33" t="n">
        <v>11</v>
      </c>
      <c r="G14" s="33" t="n">
        <v>10</v>
      </c>
      <c r="H14" s="33" t="n">
        <v>10</v>
      </c>
      <c r="I14" s="33" t="inlineStr">
        <is>
          <t>г</t>
        </is>
      </c>
      <c r="J14" s="33" t="inlineStr">
        <is>
          <t>VKM-011</t>
        </is>
      </c>
      <c r="K14" s="33" t="n"/>
      <c r="L14" s="33" t="inlineStr">
        <is>
          <t>DRAFT_WITH_ASSUMPTIONS</t>
        </is>
      </c>
      <c r="M14" s="33" t="inlineStr">
        <is>
          <t>EVD-0009;EVD-0007;EVD-0008</t>
        </is>
      </c>
      <c r="N14" s="33" t="inlineStr">
        <is>
          <t>GAP-006;GAP-010;GAP-011</t>
        </is>
      </c>
      <c r="O14" s="33" t="inlineStr">
        <is>
          <t>At each parent include either CHILD_VSF cost or that child's raw lines, never both; top-level dish excludes flattened lines reassigned to a VSF</t>
        </is>
      </c>
    </row>
    <row r="15">
      <c r="A15" s="33" t="inlineStr">
        <is>
          <t>VSF-010</t>
        </is>
      </c>
      <c r="B15" s="33" t="inlineStr">
        <is>
          <t>Отварные овощи для винегрета</t>
        </is>
      </c>
      <c r="C15" s="33" t="inlineStr">
        <is>
          <t>0.1.0-DRAFT</t>
        </is>
      </c>
      <c r="D15" s="33" t="inlineStr">
        <is>
          <t>VSF-010@BASE</t>
        </is>
      </c>
      <c r="E15" s="33" t="n">
        <v>1</v>
      </c>
      <c r="F15" s="33" t="n">
        <v>198</v>
      </c>
      <c r="G15" s="33" t="n">
        <v>180</v>
      </c>
      <c r="H15" s="33" t="n">
        <v>160</v>
      </c>
      <c r="I15" s="33" t="inlineStr">
        <is>
          <t>г</t>
        </is>
      </c>
      <c r="J15" s="33" t="inlineStr">
        <is>
          <t>VKM-012</t>
        </is>
      </c>
      <c r="K15" s="33" t="n"/>
      <c r="L15" s="33" t="inlineStr">
        <is>
          <t>DRAFT_WITH_ASSUMPTIONS</t>
        </is>
      </c>
      <c r="M15" s="33" t="inlineStr">
        <is>
          <t>EVD-0009;EVD-0007;EVD-0008</t>
        </is>
      </c>
      <c r="N15" s="33" t="inlineStr">
        <is>
          <t>GAP-006;GAP-010;GAP-011</t>
        </is>
      </c>
      <c r="O15" s="33" t="inlineStr">
        <is>
          <t>At each parent include either CHILD_VSF cost or that child's raw lines, never both; top-level dish excludes flattened lines reassigned to a VSF</t>
        </is>
      </c>
    </row>
    <row r="16">
      <c r="A16" s="33" t="inlineStr">
        <is>
          <t>VSF-011</t>
        </is>
      </c>
      <c r="B16" s="33" t="inlineStr">
        <is>
          <t>Картофель запечённый для закуски</t>
        </is>
      </c>
      <c r="C16" s="33" t="inlineStr">
        <is>
          <t>0.1.0-DRAFT</t>
        </is>
      </c>
      <c r="D16" s="33" t="inlineStr">
        <is>
          <t>VSF-011@VKM-023</t>
        </is>
      </c>
      <c r="E16" s="33" t="n">
        <v>1</v>
      </c>
      <c r="F16" s="33" t="n">
        <v>185</v>
      </c>
      <c r="G16" s="33" t="n">
        <v>165</v>
      </c>
      <c r="H16" s="33" t="n">
        <v>150</v>
      </c>
      <c r="I16" s="33" t="inlineStr">
        <is>
          <t>г</t>
        </is>
      </c>
      <c r="J16" s="33" t="inlineStr">
        <is>
          <t>VKM-014;VKM-023</t>
        </is>
      </c>
      <c r="K16" s="33" t="n"/>
      <c r="L16" s="33" t="inlineStr">
        <is>
          <t>DRAFT_WITH_ASSUMPTIONS</t>
        </is>
      </c>
      <c r="M16" s="33" t="inlineStr">
        <is>
          <t>EVD-0009;EVD-0007;EVD-0008</t>
        </is>
      </c>
      <c r="N16" s="33" t="inlineStr">
        <is>
          <t>GAP-006;GAP-010;GAP-011</t>
        </is>
      </c>
      <c r="O16" s="33" t="inlineStr">
        <is>
          <t>At each parent include either CHILD_VSF cost or that child's raw lines, never both; top-level dish excludes flattened lines reassigned to a VSF</t>
        </is>
      </c>
    </row>
    <row r="17">
      <c r="A17" s="33" t="inlineStr">
        <is>
          <t>VSF-012</t>
        </is>
      </c>
      <c r="B17" s="33" t="inlineStr">
        <is>
          <t>Маринад оливок</t>
        </is>
      </c>
      <c r="C17" s="33" t="inlineStr">
        <is>
          <t>0.1.0-DRAFT</t>
        </is>
      </c>
      <c r="D17" s="33" t="inlineStr">
        <is>
          <t>VSF-012@BASE</t>
        </is>
      </c>
      <c r="E17" s="33" t="n">
        <v>1</v>
      </c>
      <c r="F17" s="33" t="n">
        <v>22.3</v>
      </c>
      <c r="G17" s="33" t="n">
        <v>20</v>
      </c>
      <c r="H17" s="33" t="n">
        <v>20</v>
      </c>
      <c r="I17" s="33" t="inlineStr">
        <is>
          <t>г</t>
        </is>
      </c>
      <c r="J17" s="33" t="inlineStr">
        <is>
          <t>VKM-015</t>
        </is>
      </c>
      <c r="K17" s="33" t="n"/>
      <c r="L17" s="33" t="inlineStr">
        <is>
          <t>DRAFT_WITH_ASSUMPTIONS</t>
        </is>
      </c>
      <c r="M17" s="33" t="inlineStr">
        <is>
          <t>EVD-0009;EVD-0007;EVD-0008</t>
        </is>
      </c>
      <c r="N17" s="33" t="inlineStr">
        <is>
          <t>GAP-006;GAP-010;GAP-011</t>
        </is>
      </c>
      <c r="O17" s="33" t="inlineStr">
        <is>
          <t>At each parent include either CHILD_VSF cost or that child's raw lines, never both; top-level dish excludes flattened lines reassigned to a VSF</t>
        </is>
      </c>
    </row>
    <row r="18">
      <c r="A18" s="33" t="inlineStr">
        <is>
          <t>VSF-013</t>
        </is>
      </c>
      <c r="B18" s="33" t="inlineStr">
        <is>
          <t>Быстрый маринад для солений</t>
        </is>
      </c>
      <c r="C18" s="33" t="inlineStr">
        <is>
          <t>0.1.0-DRAFT</t>
        </is>
      </c>
      <c r="D18" s="33" t="inlineStr">
        <is>
          <t>VSF-013@BASE</t>
        </is>
      </c>
      <c r="E18" s="33" t="n">
        <v>1</v>
      </c>
      <c r="F18" s="33" t="n">
        <v>20</v>
      </c>
      <c r="G18" s="33" t="n">
        <v>20</v>
      </c>
      <c r="H18" s="33" t="n">
        <v>20</v>
      </c>
      <c r="I18" s="33" t="inlineStr">
        <is>
          <t>г</t>
        </is>
      </c>
      <c r="J18" s="33" t="inlineStr">
        <is>
          <t>VKM-016</t>
        </is>
      </c>
      <c r="K18" s="33" t="n"/>
      <c r="L18" s="33" t="inlineStr">
        <is>
          <t>DRAFT_WITH_ASSUMPTIONS</t>
        </is>
      </c>
      <c r="M18" s="33" t="inlineStr">
        <is>
          <t>EVD-0009;EVD-0007;EVD-0008</t>
        </is>
      </c>
      <c r="N18" s="33" t="inlineStr">
        <is>
          <t>GAP-006;GAP-010;GAP-011</t>
        </is>
      </c>
      <c r="O18" s="33" t="inlineStr">
        <is>
          <t>At each parent include either CHILD_VSF cost or that child's raw lines, never both; top-level dish excludes flattened lines reassigned to a VSF</t>
        </is>
      </c>
    </row>
    <row r="19">
      <c r="A19" s="33" t="inlineStr">
        <is>
          <t>VSF-014</t>
        </is>
      </c>
      <c r="B19" s="33" t="inlineStr">
        <is>
          <t>Ассорти быстрых солений</t>
        </is>
      </c>
      <c r="C19" s="33" t="inlineStr">
        <is>
          <t>0.1.0-DRAFT</t>
        </is>
      </c>
      <c r="D19" s="33" t="inlineStr">
        <is>
          <t>VSF-014@BASE</t>
        </is>
      </c>
      <c r="E19" s="33" t="n">
        <v>1</v>
      </c>
      <c r="F19" s="33" t="n">
        <v>206</v>
      </c>
      <c r="G19" s="33" t="n">
        <v>185</v>
      </c>
      <c r="H19" s="33" t="n">
        <v>180</v>
      </c>
      <c r="I19" s="33" t="inlineStr">
        <is>
          <t>г</t>
        </is>
      </c>
      <c r="J19" s="33" t="inlineStr">
        <is>
          <t>VKM-016</t>
        </is>
      </c>
      <c r="K19" s="33" t="inlineStr">
        <is>
          <t>VSF-013</t>
        </is>
      </c>
      <c r="L19" s="33" t="inlineStr">
        <is>
          <t>DRAFT_WITH_ASSUMPTIONS</t>
        </is>
      </c>
      <c r="M19" s="33" t="inlineStr">
        <is>
          <t>EVD-0009;EVD-0007;EVD-0008</t>
        </is>
      </c>
      <c r="N19" s="33" t="inlineStr">
        <is>
          <t>GAP-006;GAP-010;GAP-011</t>
        </is>
      </c>
      <c r="O19" s="33" t="inlineStr">
        <is>
          <t>At each parent include either CHILD_VSF cost or that child's raw lines, never both; top-level dish excludes flattened lines reassigned to a VSF</t>
        </is>
      </c>
    </row>
    <row r="20">
      <c r="A20" s="33" t="inlineStr">
        <is>
          <t>VSF-015</t>
        </is>
      </c>
      <c r="B20" s="33" t="inlineStr">
        <is>
          <t>Гренка</t>
        </is>
      </c>
      <c r="C20" s="33" t="inlineStr">
        <is>
          <t>0.1.0-DRAFT</t>
        </is>
      </c>
      <c r="D20" s="33" t="inlineStr">
        <is>
          <t>VSF-015@BASE</t>
        </is>
      </c>
      <c r="E20" s="33" t="n">
        <v>1</v>
      </c>
      <c r="F20" s="33" t="n">
        <v>37</v>
      </c>
      <c r="G20" s="33" t="n">
        <v>35</v>
      </c>
      <c r="H20" s="33" t="n">
        <v>33</v>
      </c>
      <c r="I20" s="33" t="inlineStr">
        <is>
          <t>г</t>
        </is>
      </c>
      <c r="J20" s="33" t="inlineStr">
        <is>
          <t>VKM-017</t>
        </is>
      </c>
      <c r="K20" s="33" t="n"/>
      <c r="L20" s="33" t="inlineStr">
        <is>
          <t>DRAFT_WITH_ASSUMPTIONS</t>
        </is>
      </c>
      <c r="M20" s="33" t="inlineStr">
        <is>
          <t>EVD-0009;EVD-0007;EVD-0008</t>
        </is>
      </c>
      <c r="N20" s="33" t="inlineStr">
        <is>
          <t>GAP-006;GAP-010;GAP-011</t>
        </is>
      </c>
      <c r="O20" s="33" t="inlineStr">
        <is>
          <t>At each parent include either CHILD_VSF cost or that child's raw lines, never both; top-level dish excludes flattened lines reassigned to a VSF</t>
        </is>
      </c>
    </row>
    <row r="21">
      <c r="A21" s="33" t="inlineStr">
        <is>
          <t>VSF-016</t>
        </is>
      </c>
      <c r="B21" s="33" t="inlineStr">
        <is>
          <t>Соус к ростбифу</t>
        </is>
      </c>
      <c r="C21" s="33" t="inlineStr">
        <is>
          <t>0.1.0-DRAFT</t>
        </is>
      </c>
      <c r="D21" s="33" t="inlineStr">
        <is>
          <t>VSF-016@BASE</t>
        </is>
      </c>
      <c r="E21" s="33" t="n">
        <v>1</v>
      </c>
      <c r="F21" s="33" t="n">
        <v>15</v>
      </c>
      <c r="G21" s="33" t="n">
        <v>15</v>
      </c>
      <c r="H21" s="33" t="n">
        <v>15</v>
      </c>
      <c r="I21" s="33" t="inlineStr">
        <is>
          <t>г</t>
        </is>
      </c>
      <c r="J21" s="33" t="inlineStr">
        <is>
          <t>VKM-017</t>
        </is>
      </c>
      <c r="K21" s="33" t="n"/>
      <c r="L21" s="33" t="inlineStr">
        <is>
          <t>DRAFT_WITH_ASSUMPTIONS</t>
        </is>
      </c>
      <c r="M21" s="33" t="inlineStr">
        <is>
          <t>EVD-0009;EVD-0007;EVD-0008</t>
        </is>
      </c>
      <c r="N21" s="33" t="inlineStr">
        <is>
          <t>GAP-006;GAP-010;GAP-011</t>
        </is>
      </c>
      <c r="O21" s="33" t="inlineStr">
        <is>
          <t>At each parent include either CHILD_VSF cost or that child's raw lines, never both; top-level dish excludes flattened lines reassigned to a VSF</t>
        </is>
      </c>
    </row>
    <row r="22">
      <c r="A22" s="33" t="inlineStr">
        <is>
          <t>VSF-017</t>
        </is>
      </c>
      <c r="B22" s="33" t="inlineStr">
        <is>
          <t>Бульон мясной</t>
        </is>
      </c>
      <c r="C22" s="33" t="inlineStr">
        <is>
          <t>0.1.0-DRAFT</t>
        </is>
      </c>
      <c r="D22" s="33" t="inlineStr">
        <is>
          <t>VSF-017@BASE</t>
        </is>
      </c>
      <c r="E22" s="33" t="n">
        <v>1</v>
      </c>
      <c r="F22" s="33" t="n">
        <v>160</v>
      </c>
      <c r="G22" s="33" t="n">
        <v>160</v>
      </c>
      <c r="H22" s="33" t="n">
        <v>145</v>
      </c>
      <c r="I22" s="33" t="inlineStr">
        <is>
          <t>г</t>
        </is>
      </c>
      <c r="J22" s="33" t="inlineStr">
        <is>
          <t>VKM-018</t>
        </is>
      </c>
      <c r="K22" s="33" t="n"/>
      <c r="L22" s="33" t="inlineStr">
        <is>
          <t>BLOCKED_PENDING_VALIDATION</t>
        </is>
      </c>
      <c r="M22" s="33" t="inlineStr">
        <is>
          <t>EVD-0009;EVD-0007;EVD-0008</t>
        </is>
      </c>
      <c r="N22" s="33" t="inlineStr">
        <is>
          <t>GAP-006;GAP-010;GAP-011;GAP-SF-002</t>
        </is>
      </c>
      <c r="O22" s="33" t="inlineStr">
        <is>
          <t>At each parent include either CHILD_VSF cost or that child's raw lines, never both; top-level dish excludes flattened lines reassigned to a VSF</t>
        </is>
      </c>
    </row>
    <row r="23">
      <c r="A23" s="33" t="inlineStr">
        <is>
          <t>VSF-018</t>
        </is>
      </c>
      <c r="B23" s="33" t="inlineStr">
        <is>
          <t>Пассеровка свекольная</t>
        </is>
      </c>
      <c r="C23" s="33" t="inlineStr">
        <is>
          <t>0.1.0-DRAFT</t>
        </is>
      </c>
      <c r="D23" s="33" t="inlineStr">
        <is>
          <t>VSF-018@BASE</t>
        </is>
      </c>
      <c r="E23" s="33" t="n">
        <v>1</v>
      </c>
      <c r="F23" s="33" t="n">
        <v>131</v>
      </c>
      <c r="G23" s="33" t="n">
        <v>119</v>
      </c>
      <c r="H23" s="33" t="n">
        <v>105</v>
      </c>
      <c r="I23" s="33" t="inlineStr">
        <is>
          <t>г</t>
        </is>
      </c>
      <c r="J23" s="33" t="inlineStr">
        <is>
          <t>VKM-018</t>
        </is>
      </c>
      <c r="K23" s="33" t="n"/>
      <c r="L23" s="33" t="inlineStr">
        <is>
          <t>DRAFT_WITH_ASSUMPTIONS</t>
        </is>
      </c>
      <c r="M23" s="33" t="inlineStr">
        <is>
          <t>EVD-0009;EVD-0007;EVD-0008</t>
        </is>
      </c>
      <c r="N23" s="33" t="inlineStr">
        <is>
          <t>GAP-006;GAP-010;GAP-011</t>
        </is>
      </c>
      <c r="O23" s="33" t="inlineStr">
        <is>
          <t>At each parent include either CHILD_VSF cost or that child's raw lines, never both; top-level dish excludes flattened lines reassigned to a VSF</t>
        </is>
      </c>
    </row>
    <row r="24">
      <c r="A24" s="33" t="inlineStr">
        <is>
          <t>VSF-019</t>
        </is>
      </c>
      <c r="B24" s="33" t="inlineStr">
        <is>
          <t>Соус сливочно-горчичный</t>
        </is>
      </c>
      <c r="C24" s="33" t="inlineStr">
        <is>
          <t>0.1.0-DRAFT</t>
        </is>
      </c>
      <c r="D24" s="33" t="inlineStr">
        <is>
          <t>VSF-019@BASE</t>
        </is>
      </c>
      <c r="E24" s="33" t="n">
        <v>1</v>
      </c>
      <c r="F24" s="33" t="n">
        <v>90</v>
      </c>
      <c r="G24" s="33" t="n">
        <v>90</v>
      </c>
      <c r="H24" s="33" t="n">
        <v>85</v>
      </c>
      <c r="I24" s="33" t="inlineStr">
        <is>
          <t>г</t>
        </is>
      </c>
      <c r="J24" s="33" t="inlineStr">
        <is>
          <t>VKM-019</t>
        </is>
      </c>
      <c r="K24" s="33" t="n"/>
      <c r="L24" s="33" t="inlineStr">
        <is>
          <t>DRAFT_WITH_ASSUMPTIONS</t>
        </is>
      </c>
      <c r="M24" s="33" t="inlineStr">
        <is>
          <t>EVD-0009;EVD-0007;EVD-0008</t>
        </is>
      </c>
      <c r="N24" s="33" t="inlineStr">
        <is>
          <t>GAP-006;GAP-010;GAP-011</t>
        </is>
      </c>
      <c r="O24" s="33" t="inlineStr">
        <is>
          <t>At each parent include either CHILD_VSF cost or that child's raw lines, never both; top-level dish excludes flattened lines reassigned to a VSF</t>
        </is>
      </c>
    </row>
    <row r="25">
      <c r="A25" s="33" t="inlineStr">
        <is>
          <t>VSF-020</t>
        </is>
      </c>
      <c r="B25" s="33" t="inlineStr">
        <is>
          <t>Соус кокосовый тайский</t>
        </is>
      </c>
      <c r="C25" s="33" t="inlineStr">
        <is>
          <t>0.1.0-DRAFT</t>
        </is>
      </c>
      <c r="D25" s="33" t="inlineStr">
        <is>
          <t>VSF-020@BASE</t>
        </is>
      </c>
      <c r="E25" s="33" t="n">
        <v>1</v>
      </c>
      <c r="F25" s="33" t="n">
        <v>129</v>
      </c>
      <c r="G25" s="33" t="n">
        <v>129</v>
      </c>
      <c r="H25" s="33" t="n">
        <v>120</v>
      </c>
      <c r="I25" s="33" t="inlineStr">
        <is>
          <t>г</t>
        </is>
      </c>
      <c r="J25" s="33" t="inlineStr">
        <is>
          <t>VKM-020</t>
        </is>
      </c>
      <c r="K25" s="33" t="n"/>
      <c r="L25" s="33" t="inlineStr">
        <is>
          <t>DRAFT_WITH_ASSUMPTIONS</t>
        </is>
      </c>
      <c r="M25" s="33" t="inlineStr">
        <is>
          <t>EVD-0009;EVD-0007;EVD-0008</t>
        </is>
      </c>
      <c r="N25" s="33" t="inlineStr">
        <is>
          <t>GAP-006;GAP-010;GAP-011</t>
        </is>
      </c>
      <c r="O25" s="33" t="inlineStr">
        <is>
          <t>At each parent include either CHILD_VSF cost or that child's raw lines, never both; top-level dish excludes flattened lines reassigned to a VSF</t>
        </is>
      </c>
    </row>
    <row r="26">
      <c r="A26" s="33" t="inlineStr">
        <is>
          <t>VSF-021</t>
        </is>
      </c>
      <c r="B26" s="33" t="inlineStr">
        <is>
          <t>Котлета для бургера</t>
        </is>
      </c>
      <c r="C26" s="33" t="inlineStr">
        <is>
          <t>0.1.0-DRAFT</t>
        </is>
      </c>
      <c r="D26" s="33" t="inlineStr">
        <is>
          <t>VSF-021@BASE</t>
        </is>
      </c>
      <c r="E26" s="33" t="n">
        <v>1</v>
      </c>
      <c r="F26" s="33" t="n">
        <v>180</v>
      </c>
      <c r="G26" s="33" t="n">
        <v>170</v>
      </c>
      <c r="H26" s="33" t="n">
        <v>150</v>
      </c>
      <c r="I26" s="33" t="inlineStr">
        <is>
          <t>г</t>
        </is>
      </c>
      <c r="J26" s="33" t="inlineStr">
        <is>
          <t>VKM-021</t>
        </is>
      </c>
      <c r="K26" s="33" t="n"/>
      <c r="L26" s="33" t="inlineStr">
        <is>
          <t>DRAFT_WITH_ASSUMPTIONS</t>
        </is>
      </c>
      <c r="M26" s="33" t="inlineStr">
        <is>
          <t>EVD-0009;EVD-0007;EVD-0008</t>
        </is>
      </c>
      <c r="N26" s="33" t="inlineStr">
        <is>
          <t>GAP-006;GAP-010;GAP-011</t>
        </is>
      </c>
      <c r="O26" s="33" t="inlineStr">
        <is>
          <t>At each parent include either CHILD_VSF cost or that child's raw lines, never both; top-level dish excludes flattened lines reassigned to a VSF</t>
        </is>
      </c>
    </row>
    <row r="27">
      <c r="A27" s="33" t="inlineStr">
        <is>
          <t>VSF-022</t>
        </is>
      </c>
      <c r="B27" s="33" t="inlineStr">
        <is>
          <t>Соус для бургера</t>
        </is>
      </c>
      <c r="C27" s="33" t="inlineStr">
        <is>
          <t>0.1.0-DRAFT</t>
        </is>
      </c>
      <c r="D27" s="33" t="inlineStr">
        <is>
          <t>VSF-022@BASE</t>
        </is>
      </c>
      <c r="E27" s="33" t="n">
        <v>1</v>
      </c>
      <c r="F27" s="33" t="n">
        <v>25</v>
      </c>
      <c r="G27" s="33" t="n">
        <v>25</v>
      </c>
      <c r="H27" s="33" t="n">
        <v>25</v>
      </c>
      <c r="I27" s="33" t="inlineStr">
        <is>
          <t>г</t>
        </is>
      </c>
      <c r="J27" s="33" t="inlineStr">
        <is>
          <t>VKM-021</t>
        </is>
      </c>
      <c r="K27" s="33" t="n"/>
      <c r="L27" s="33" t="inlineStr">
        <is>
          <t>DRAFT_WITH_ASSUMPTIONS</t>
        </is>
      </c>
      <c r="M27" s="33" t="inlineStr">
        <is>
          <t>EVD-0009;EVD-0007;EVD-0008</t>
        </is>
      </c>
      <c r="N27" s="33" t="inlineStr">
        <is>
          <t>GAP-006;GAP-010;GAP-011</t>
        </is>
      </c>
      <c r="O27" s="33" t="inlineStr">
        <is>
          <t>At each parent include either CHILD_VSF cost or that child's raw lines, never both; top-level dish excludes flattened lines reassigned to a VSF</t>
        </is>
      </c>
    </row>
    <row r="28">
      <c r="A28" s="33" t="inlineStr">
        <is>
          <t>VSF-023</t>
        </is>
      </c>
      <c r="B28" s="33" t="inlineStr">
        <is>
          <t>Миньоны порционные</t>
        </is>
      </c>
      <c r="C28" s="33" t="inlineStr">
        <is>
          <t>0.1.0-DRAFT</t>
        </is>
      </c>
      <c r="D28" s="33" t="inlineStr">
        <is>
          <t>VSF-023@BASE</t>
        </is>
      </c>
      <c r="E28" s="33" t="n">
        <v>1</v>
      </c>
      <c r="F28" s="33" t="n">
        <v>255</v>
      </c>
      <c r="G28" s="33" t="n">
        <v>240</v>
      </c>
      <c r="H28" s="33" t="n">
        <v>220</v>
      </c>
      <c r="I28" s="33" t="inlineStr">
        <is>
          <t>г</t>
        </is>
      </c>
      <c r="J28" s="33" t="inlineStr">
        <is>
          <t>VKM-022</t>
        </is>
      </c>
      <c r="K28" s="33" t="n"/>
      <c r="L28" s="33" t="inlineStr">
        <is>
          <t>DRAFT_WITH_ASSUMPTIONS</t>
        </is>
      </c>
      <c r="M28" s="33" t="inlineStr">
        <is>
          <t>EVD-0009;EVD-0007;EVD-0008</t>
        </is>
      </c>
      <c r="N28" s="33" t="inlineStr">
        <is>
          <t>GAP-006;GAP-010;GAP-011</t>
        </is>
      </c>
      <c r="O28" s="33" t="inlineStr">
        <is>
          <t>At each parent include either CHILD_VSF cost or that child's raw lines, never both; top-level dish excludes flattened lines reassigned to a VSF</t>
        </is>
      </c>
    </row>
    <row r="29">
      <c r="A29" s="33" t="inlineStr">
        <is>
          <t>VSF-024</t>
        </is>
      </c>
      <c r="B29" s="33" t="inlineStr">
        <is>
          <t>Соус к миньонам</t>
        </is>
      </c>
      <c r="C29" s="33" t="inlineStr">
        <is>
          <t>0.1.0-DRAFT</t>
        </is>
      </c>
      <c r="D29" s="33" t="inlineStr">
        <is>
          <t>VSF-024@BASE</t>
        </is>
      </c>
      <c r="E29" s="33" t="n">
        <v>1</v>
      </c>
      <c r="F29" s="33" t="n">
        <v>45</v>
      </c>
      <c r="G29" s="33" t="n">
        <v>45</v>
      </c>
      <c r="H29" s="33" t="n">
        <v>40</v>
      </c>
      <c r="I29" s="33" t="inlineStr">
        <is>
          <t>г</t>
        </is>
      </c>
      <c r="J29" s="33" t="inlineStr">
        <is>
          <t>VKM-022</t>
        </is>
      </c>
      <c r="K29" s="33" t="n"/>
      <c r="L29" s="33" t="inlineStr">
        <is>
          <t>DRAFT_WITH_ASSUMPTIONS</t>
        </is>
      </c>
      <c r="M29" s="33" t="inlineStr">
        <is>
          <t>EVD-0009;EVD-0007;EVD-0008</t>
        </is>
      </c>
      <c r="N29" s="33" t="inlineStr">
        <is>
          <t>GAP-006;GAP-010;GAP-011</t>
        </is>
      </c>
      <c r="O29" s="33" t="inlineStr">
        <is>
          <t>At each parent include either CHILD_VSF cost or that child's raw lines, never both; top-level dish excludes flattened lines reassigned to a VSF</t>
        </is>
      </c>
    </row>
    <row r="30">
      <c r="A30" s="33" t="inlineStr">
        <is>
          <t>VSF-025</t>
        </is>
      </c>
      <c r="B30" s="33" t="inlineStr">
        <is>
          <t>Рис жасмин варёный</t>
        </is>
      </c>
      <c r="C30" s="33" t="inlineStr">
        <is>
          <t>0.1.0-DRAFT</t>
        </is>
      </c>
      <c r="D30" s="33" t="inlineStr">
        <is>
          <t>VSF-025@BASE</t>
        </is>
      </c>
      <c r="E30" s="33" t="n">
        <v>1</v>
      </c>
      <c r="F30" s="33" t="n">
        <v>175</v>
      </c>
      <c r="G30" s="33" t="n">
        <v>175</v>
      </c>
      <c r="H30" s="33" t="n">
        <v>138</v>
      </c>
      <c r="I30" s="33" t="inlineStr">
        <is>
          <t>г</t>
        </is>
      </c>
      <c r="J30" s="33" t="inlineStr">
        <is>
          <t>VKM-024</t>
        </is>
      </c>
      <c r="K30" s="33" t="n"/>
      <c r="L30" s="33" t="inlineStr">
        <is>
          <t>DRAFT_WITH_ASSUMPTIONS</t>
        </is>
      </c>
      <c r="M30" s="33" t="inlineStr">
        <is>
          <t>EVD-0009;EVD-0007;EVD-0008</t>
        </is>
      </c>
      <c r="N30" s="33" t="inlineStr">
        <is>
          <t>GAP-006;GAP-010;GAP-011</t>
        </is>
      </c>
      <c r="O30" s="33" t="inlineStr">
        <is>
          <t>At each parent include either CHILD_VSF cost or that child's raw lines, never both; top-level dish excludes flattened lines reassigned to a VSF</t>
        </is>
      </c>
    </row>
    <row r="31">
      <c r="A31" s="33" t="inlineStr">
        <is>
          <t>VSF-026</t>
        </is>
      </c>
      <c r="B31" s="33" t="inlineStr">
        <is>
          <t>Овощная смесь подготовленная</t>
        </is>
      </c>
      <c r="C31" s="33" t="inlineStr">
        <is>
          <t>0.1.0-DRAFT</t>
        </is>
      </c>
      <c r="D31" s="33" t="inlineStr">
        <is>
          <t>VSF-026@BASE</t>
        </is>
      </c>
      <c r="E31" s="33" t="n">
        <v>1</v>
      </c>
      <c r="F31" s="33" t="n">
        <v>157</v>
      </c>
      <c r="G31" s="33" t="n">
        <v>142</v>
      </c>
      <c r="H31" s="33" t="n">
        <v>130</v>
      </c>
      <c r="I31" s="33" t="inlineStr">
        <is>
          <t>г</t>
        </is>
      </c>
      <c r="J31" s="33" t="inlineStr">
        <is>
          <t>VKM-025</t>
        </is>
      </c>
      <c r="K31" s="33" t="n"/>
      <c r="L31" s="33" t="inlineStr">
        <is>
          <t>DRAFT_WITH_ASSUMPTIONS</t>
        </is>
      </c>
      <c r="M31" s="33" t="inlineStr">
        <is>
          <t>EVD-0009;EVD-0007;EVD-0008</t>
        </is>
      </c>
      <c r="N31" s="33" t="inlineStr">
        <is>
          <t>GAP-006;GAP-010;GAP-011</t>
        </is>
      </c>
      <c r="O31" s="33" t="inlineStr">
        <is>
          <t>At each parent include either CHILD_VSF cost or that child's raw lines, never both; top-level dish excludes flattened lines reassigned to a VSF</t>
        </is>
      </c>
    </row>
    <row r="32">
      <c r="A32" s="33" t="inlineStr">
        <is>
          <t>VSF-027</t>
        </is>
      </c>
      <c r="B32" s="33" t="inlineStr">
        <is>
          <t>Бисквит черничного торта</t>
        </is>
      </c>
      <c r="C32" s="33" t="inlineStr">
        <is>
          <t>0.1.0-DRAFT</t>
        </is>
      </c>
      <c r="D32" s="33" t="inlineStr">
        <is>
          <t>VSF-027@BASE</t>
        </is>
      </c>
      <c r="E32" s="33" t="n">
        <v>1</v>
      </c>
      <c r="F32" s="33" t="n">
        <v>622</v>
      </c>
      <c r="G32" s="33" t="n">
        <v>622</v>
      </c>
      <c r="H32" s="33" t="n">
        <v>607</v>
      </c>
      <c r="I32" s="33" t="inlineStr">
        <is>
          <t>г</t>
        </is>
      </c>
      <c r="J32" s="33" t="inlineStr">
        <is>
          <t>VKM-029</t>
        </is>
      </c>
      <c r="K32" s="33" t="n"/>
      <c r="L32" s="33" t="inlineStr">
        <is>
          <t>DRAFT_WITH_ASSUMPTIONS</t>
        </is>
      </c>
      <c r="M32" s="33" t="inlineStr">
        <is>
          <t>EVD-0009;EVD-0007;EVD-0008</t>
        </is>
      </c>
      <c r="N32" s="33" t="inlineStr">
        <is>
          <t>GAP-006;GAP-010;GAP-011</t>
        </is>
      </c>
      <c r="O32" s="33" t="inlineStr">
        <is>
          <t>At each parent include either CHILD_VSF cost or that child's raw lines, never both; top-level dish excludes flattened lines reassigned to a VSF</t>
        </is>
      </c>
    </row>
    <row r="33">
      <c r="A33" s="33" t="inlineStr">
        <is>
          <t>VSF-028</t>
        </is>
      </c>
      <c r="B33" s="33" t="inlineStr">
        <is>
          <t>Черничный крем</t>
        </is>
      </c>
      <c r="C33" s="33" t="inlineStr">
        <is>
          <t>0.1.0-DRAFT</t>
        </is>
      </c>
      <c r="D33" s="33" t="inlineStr">
        <is>
          <t>VSF-028@BASE</t>
        </is>
      </c>
      <c r="E33" s="33" t="n">
        <v>1</v>
      </c>
      <c r="F33" s="33" t="n">
        <v>730</v>
      </c>
      <c r="G33" s="33" t="n">
        <v>715</v>
      </c>
      <c r="H33" s="33" t="n">
        <v>700</v>
      </c>
      <c r="I33" s="33" t="inlineStr">
        <is>
          <t>г</t>
        </is>
      </c>
      <c r="J33" s="33" t="inlineStr">
        <is>
          <t>VKM-029</t>
        </is>
      </c>
      <c r="K33" s="33" t="n"/>
      <c r="L33" s="33" t="inlineStr">
        <is>
          <t>DRAFT_WITH_ASSUMPTIONS</t>
        </is>
      </c>
      <c r="M33" s="33" t="inlineStr">
        <is>
          <t>EVD-0009;EVD-0007;EVD-0008</t>
        </is>
      </c>
      <c r="N33" s="33" t="inlineStr">
        <is>
          <t>GAP-006;GAP-010;GAP-011</t>
        </is>
      </c>
      <c r="O33" s="33" t="inlineStr">
        <is>
          <t>At each parent include either CHILD_VSF cost or that child's raw lines, never both; top-level dish excludes flattened lines reassigned to a VSF</t>
        </is>
      </c>
    </row>
    <row r="34">
      <c r="A34" s="33" t="inlineStr">
        <is>
          <t>VSF-029</t>
        </is>
      </c>
      <c r="B34" s="33" t="inlineStr">
        <is>
          <t>Черничное компоте</t>
        </is>
      </c>
      <c r="C34" s="33" t="inlineStr">
        <is>
          <t>0.1.0-DRAFT</t>
        </is>
      </c>
      <c r="D34" s="33" t="inlineStr">
        <is>
          <t>VSF-029@BASE</t>
        </is>
      </c>
      <c r="E34" s="33" t="n">
        <v>1</v>
      </c>
      <c r="F34" s="33" t="n">
        <v>330</v>
      </c>
      <c r="G34" s="33" t="n">
        <v>320</v>
      </c>
      <c r="H34" s="33" t="n">
        <v>300</v>
      </c>
      <c r="I34" s="33" t="inlineStr">
        <is>
          <t>г</t>
        </is>
      </c>
      <c r="J34" s="33" t="inlineStr">
        <is>
          <t>VKM-029</t>
        </is>
      </c>
      <c r="K34" s="33" t="n"/>
      <c r="L34" s="33" t="inlineStr">
        <is>
          <t>DRAFT_WITH_ASSUMPTIONS</t>
        </is>
      </c>
      <c r="M34" s="33" t="inlineStr">
        <is>
          <t>EVD-0009;EVD-0007;EVD-0008</t>
        </is>
      </c>
      <c r="N34" s="33" t="inlineStr">
        <is>
          <t>GAP-006;GAP-010;GAP-011</t>
        </is>
      </c>
      <c r="O34" s="33" t="inlineStr">
        <is>
          <t>At each parent include either CHILD_VSF cost or that child's raw lines, never both; top-level dish excludes flattened lines reassigned to a VSF</t>
        </is>
      </c>
    </row>
    <row r="35">
      <c r="A35" s="33" t="inlineStr">
        <is>
          <t>VSF-030</t>
        </is>
      </c>
      <c r="B35" s="33" t="inlineStr">
        <is>
          <t>Глазурь торта</t>
        </is>
      </c>
      <c r="C35" s="33" t="inlineStr">
        <is>
          <t>0.1.0-DRAFT</t>
        </is>
      </c>
      <c r="D35" s="33" t="inlineStr">
        <is>
          <t>VSF-030@BASE</t>
        </is>
      </c>
      <c r="E35" s="33" t="n">
        <v>1</v>
      </c>
      <c r="F35" s="33" t="n">
        <v>150</v>
      </c>
      <c r="G35" s="33" t="n">
        <v>150</v>
      </c>
      <c r="H35" s="33" t="n">
        <v>150</v>
      </c>
      <c r="I35" s="33" t="inlineStr">
        <is>
          <t>г</t>
        </is>
      </c>
      <c r="J35" s="33" t="inlineStr">
        <is>
          <t>VKM-029</t>
        </is>
      </c>
      <c r="K35" s="33" t="n"/>
      <c r="L35" s="33" t="inlineStr">
        <is>
          <t>BLOCKED_PENDING_VALIDATION</t>
        </is>
      </c>
      <c r="M35" s="33" t="inlineStr">
        <is>
          <t>EVD-0009;EVD-0007;EVD-0008</t>
        </is>
      </c>
      <c r="N35" s="33" t="inlineStr">
        <is>
          <t>GAP-006;GAP-010;GAP-011;GAP-SF-002</t>
        </is>
      </c>
      <c r="O35" s="33" t="inlineStr">
        <is>
          <t>At each parent include either CHILD_VSF cost or that child's raw lines, never both; top-level dish excludes flattened lines reassigned to a VSF</t>
        </is>
      </c>
    </row>
    <row r="36">
      <c r="A36" s="33" t="inlineStr">
        <is>
          <t>VSF-031</t>
        </is>
      </c>
      <c r="B36" s="33" t="inlineStr">
        <is>
          <t>Песочное тесто кростаты</t>
        </is>
      </c>
      <c r="C36" s="33" t="inlineStr">
        <is>
          <t>0.1.0-DRAFT</t>
        </is>
      </c>
      <c r="D36" s="33" t="inlineStr">
        <is>
          <t>VSF-031@BASE</t>
        </is>
      </c>
      <c r="E36" s="33" t="n">
        <v>1</v>
      </c>
      <c r="F36" s="33" t="n">
        <v>610</v>
      </c>
      <c r="G36" s="33" t="n">
        <v>610</v>
      </c>
      <c r="H36" s="33" t="n">
        <v>600</v>
      </c>
      <c r="I36" s="33" t="inlineStr">
        <is>
          <t>г</t>
        </is>
      </c>
      <c r="J36" s="33" t="inlineStr">
        <is>
          <t>VKM-030</t>
        </is>
      </c>
      <c r="K36" s="33" t="n"/>
      <c r="L36" s="33" t="inlineStr">
        <is>
          <t>DRAFT_WITH_ASSUMPTIONS</t>
        </is>
      </c>
      <c r="M36" s="33" t="inlineStr">
        <is>
          <t>EVD-0009;EVD-0007;EVD-0008</t>
        </is>
      </c>
      <c r="N36" s="33" t="inlineStr">
        <is>
          <t>GAP-006;GAP-010;GAP-011</t>
        </is>
      </c>
      <c r="O36" s="33" t="inlineStr">
        <is>
          <t>At each parent include either CHILD_VSF cost or that child's raw lines, never both; top-level dish excludes flattened lines reassigned to a VSF</t>
        </is>
      </c>
    </row>
    <row r="37">
      <c r="A37" s="33" t="inlineStr">
        <is>
          <t>VSF-032</t>
        </is>
      </c>
      <c r="B37" s="33" t="inlineStr">
        <is>
          <t>Солёная карамель</t>
        </is>
      </c>
      <c r="C37" s="33" t="inlineStr">
        <is>
          <t>0.1.0-DRAFT</t>
        </is>
      </c>
      <c r="D37" s="33" t="inlineStr">
        <is>
          <t>VSF-032@BASE</t>
        </is>
      </c>
      <c r="E37" s="33" t="n">
        <v>1</v>
      </c>
      <c r="F37" s="33" t="n">
        <v>355</v>
      </c>
      <c r="G37" s="33" t="n">
        <v>355</v>
      </c>
      <c r="H37" s="33" t="n">
        <v>350</v>
      </c>
      <c r="I37" s="33" t="inlineStr">
        <is>
          <t>г</t>
        </is>
      </c>
      <c r="J37" s="33" t="inlineStr">
        <is>
          <t>VKM-030</t>
        </is>
      </c>
      <c r="K37" s="33" t="n"/>
      <c r="L37" s="33" t="inlineStr">
        <is>
          <t>DRAFT_WITH_ASSUMPTIONS</t>
        </is>
      </c>
      <c r="M37" s="33" t="inlineStr">
        <is>
          <t>EVD-0009;EVD-0007;EVD-0008</t>
        </is>
      </c>
      <c r="N37" s="33" t="inlineStr">
        <is>
          <t>GAP-006;GAP-010;GAP-011</t>
        </is>
      </c>
      <c r="O37" s="33" t="inlineStr">
        <is>
          <t>At each parent include either CHILD_VSF cost or that child's raw lines, never both; top-level dish excludes flattened lines reassigned to a VSF</t>
        </is>
      </c>
    </row>
    <row r="38">
      <c r="A38" s="33" t="inlineStr">
        <is>
          <t>VSF-033</t>
        </is>
      </c>
      <c r="B38" s="33" t="inlineStr">
        <is>
          <t>Крем кростаты</t>
        </is>
      </c>
      <c r="C38" s="33" t="inlineStr">
        <is>
          <t>0.1.0-DRAFT</t>
        </is>
      </c>
      <c r="D38" s="33" t="inlineStr">
        <is>
          <t>VSF-033@BASE</t>
        </is>
      </c>
      <c r="E38" s="33" t="n">
        <v>1</v>
      </c>
      <c r="F38" s="33" t="n">
        <v>200</v>
      </c>
      <c r="G38" s="33" t="n">
        <v>200</v>
      </c>
      <c r="H38" s="33" t="n">
        <v>200</v>
      </c>
      <c r="I38" s="33" t="inlineStr">
        <is>
          <t>г</t>
        </is>
      </c>
      <c r="J38" s="33" t="inlineStr">
        <is>
          <t>VKM-030</t>
        </is>
      </c>
      <c r="K38" s="33" t="n"/>
      <c r="L38" s="33" t="inlineStr">
        <is>
          <t>DRAFT_WITH_ASSUMPTIONS</t>
        </is>
      </c>
      <c r="M38" s="33" t="inlineStr">
        <is>
          <t>EVD-0009;EVD-0007;EVD-0008</t>
        </is>
      </c>
      <c r="N38" s="33" t="inlineStr">
        <is>
          <t>GAP-006;GAP-010;GAP-011</t>
        </is>
      </c>
      <c r="O38" s="33" t="inlineStr">
        <is>
          <t>At each parent include either CHILD_VSF cost or that child's raw lines, never both; top-level dish excludes flattened lines reassigned to a VSF</t>
        </is>
      </c>
    </row>
    <row r="39">
      <c r="A39" s="33" t="inlineStr">
        <is>
          <t>VSF-034</t>
        </is>
      </c>
      <c r="B39" s="33" t="inlineStr">
        <is>
          <t>Тесто мадлен</t>
        </is>
      </c>
      <c r="C39" s="33" t="inlineStr">
        <is>
          <t>0.1.0-DRAFT</t>
        </is>
      </c>
      <c r="D39" s="33" t="inlineStr">
        <is>
          <t>VSF-034@BASE</t>
        </is>
      </c>
      <c r="E39" s="33" t="n">
        <v>1</v>
      </c>
      <c r="F39" s="33" t="n">
        <v>612</v>
      </c>
      <c r="G39" s="33" t="n">
        <v>610</v>
      </c>
      <c r="H39" s="33" t="n">
        <v>600</v>
      </c>
      <c r="I39" s="33" t="inlineStr">
        <is>
          <t>г</t>
        </is>
      </c>
      <c r="J39" s="33" t="inlineStr">
        <is>
          <t>VKM-031</t>
        </is>
      </c>
      <c r="K39" s="33" t="n"/>
      <c r="L39" s="33" t="inlineStr">
        <is>
          <t>DRAFT_WITH_ASSUMPTIONS</t>
        </is>
      </c>
      <c r="M39" s="33" t="inlineStr">
        <is>
          <t>EVD-0009;EVD-0007;EVD-0008</t>
        </is>
      </c>
      <c r="N39" s="33" t="inlineStr">
        <is>
          <t>GAP-006;GAP-010;GAP-011</t>
        </is>
      </c>
      <c r="O39" s="33" t="inlineStr">
        <is>
          <t>At each parent include either CHILD_VSF cost or that child's raw lines, never both; top-level dish excludes flattened lines reassigned to a VSF</t>
        </is>
      </c>
    </row>
    <row r="40">
      <c r="A40" s="28" t="n"/>
      <c r="B40" s="28" t="n"/>
      <c r="C40" s="28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  <c r="O40" s="28" t="n"/>
    </row>
    <row r="41">
      <c r="A41" s="28" t="n"/>
      <c r="B41" s="28" t="n"/>
      <c r="C41" s="28" t="n"/>
      <c r="D41" s="28" t="n"/>
      <c r="E41" s="28" t="n"/>
      <c r="F41" s="28" t="n"/>
      <c r="G41" s="28" t="n"/>
      <c r="H41" s="28" t="n"/>
      <c r="I41" s="28" t="n"/>
      <c r="J41" s="28" t="n"/>
      <c r="K41" s="28" t="n"/>
      <c r="L41" s="28" t="n"/>
      <c r="M41" s="28" t="n"/>
      <c r="N41" s="28" t="n"/>
      <c r="O41" s="28" t="n"/>
    </row>
    <row r="42">
      <c r="A42" s="35" t="inlineStr">
        <is>
          <t>DAG edges (audit)</t>
        </is>
      </c>
      <c r="K42" s="28" t="n"/>
      <c r="L42" s="28" t="n"/>
      <c r="M42" s="28" t="n"/>
      <c r="N42" s="28" t="n"/>
      <c r="O42" s="28" t="n"/>
    </row>
    <row r="43" ht="34" customHeight="1">
      <c r="A43" s="32" t="inlineStr">
        <is>
          <t>Edge</t>
        </is>
      </c>
      <c r="B43" s="32" t="inlineStr">
        <is>
          <t>Parent type</t>
        </is>
      </c>
      <c r="C43" s="32" t="inlineStr">
        <is>
          <t>Parent</t>
        </is>
      </c>
      <c r="D43" s="32" t="inlineStr">
        <is>
          <t>Child</t>
        </is>
      </c>
      <c r="E43" s="32" t="inlineStr">
        <is>
          <t>Variant</t>
        </is>
      </c>
      <c r="F43" s="32" t="inlineStr">
        <is>
          <t>Qty</t>
        </is>
      </c>
      <c r="G43" s="32" t="inlineStr">
        <is>
          <t>Unit</t>
        </is>
      </c>
      <c r="H43" s="32" t="inlineStr">
        <is>
          <t>Mapping</t>
        </is>
      </c>
      <c r="I43" s="32" t="inlineStr">
        <is>
          <t>Status</t>
        </is>
      </c>
      <c r="J43" s="32" t="inlineStr">
        <is>
          <t>Cycle control</t>
        </is>
      </c>
      <c r="K43" s="28" t="n"/>
      <c r="L43" s="28" t="n"/>
      <c r="M43" s="28" t="n"/>
      <c r="N43" s="28" t="n"/>
      <c r="O43" s="28" t="n"/>
    </row>
    <row r="44">
      <c r="A44" s="33" t="inlineStr">
        <is>
          <t>SFD-001</t>
        </is>
      </c>
      <c r="B44" s="33" t="inlineStr">
        <is>
          <t>DISH</t>
        </is>
      </c>
      <c r="C44" s="33" t="inlineStr">
        <is>
          <t>VKM-001</t>
        </is>
      </c>
      <c r="D44" s="33" t="inlineStr">
        <is>
          <t>VSF-001</t>
        </is>
      </c>
      <c r="E44" s="33" t="inlineStr">
        <is>
          <t>VSF-001@VKM-001</t>
        </is>
      </c>
      <c r="F44" s="33" t="n">
        <v>213</v>
      </c>
      <c r="G44" s="33" t="inlineStr">
        <is>
          <t>г</t>
        </is>
      </c>
      <c r="H44" s="33" t="inlineStr">
        <is>
          <t>SFM-001</t>
        </is>
      </c>
      <c r="I44" s="33" t="inlineStr">
        <is>
          <t>DRAFT_WITH_ASSUMPTIONS</t>
        </is>
      </c>
      <c r="J44" s="33" t="inlineStr">
        <is>
          <t>Directed parent-to-child edge; validated by topological sort over VSF subgraph</t>
        </is>
      </c>
      <c r="K44" s="28" t="n"/>
      <c r="L44" s="28" t="n"/>
      <c r="M44" s="28" t="n"/>
      <c r="N44" s="28" t="n"/>
      <c r="O44" s="28" t="n"/>
    </row>
    <row r="45">
      <c r="A45" s="33" t="inlineStr">
        <is>
          <t>SFD-002</t>
        </is>
      </c>
      <c r="B45" s="33" t="inlineStr">
        <is>
          <t>DISH</t>
        </is>
      </c>
      <c r="C45" s="33" t="inlineStr">
        <is>
          <t>VKM-002</t>
        </is>
      </c>
      <c r="D45" s="33" t="inlineStr">
        <is>
          <t>VSF-001</t>
        </is>
      </c>
      <c r="E45" s="33" t="inlineStr">
        <is>
          <t>VSF-001@VKM-002</t>
        </is>
      </c>
      <c r="F45" s="33" t="n">
        <v>220</v>
      </c>
      <c r="G45" s="33" t="inlineStr">
        <is>
          <t>г</t>
        </is>
      </c>
      <c r="H45" s="33" t="inlineStr">
        <is>
          <t>SFM-002</t>
        </is>
      </c>
      <c r="I45" s="33" t="inlineStr">
        <is>
          <t>DRAFT_WITH_ASSUMPTIONS</t>
        </is>
      </c>
      <c r="J45" s="33" t="inlineStr">
        <is>
          <t>Directed parent-to-child edge; validated by topological sort over VSF subgraph</t>
        </is>
      </c>
      <c r="K45" s="28" t="n"/>
      <c r="L45" s="28" t="n"/>
      <c r="M45" s="28" t="n"/>
      <c r="N45" s="28" t="n"/>
      <c r="O45" s="28" t="n"/>
    </row>
    <row r="46">
      <c r="A46" s="33" t="inlineStr">
        <is>
          <t>SFD-003</t>
        </is>
      </c>
      <c r="B46" s="33" t="inlineStr">
        <is>
          <t>DISH</t>
        </is>
      </c>
      <c r="C46" s="33" t="inlineStr">
        <is>
          <t>VKM-003</t>
        </is>
      </c>
      <c r="D46" s="33" t="inlineStr">
        <is>
          <t>VSF-001</t>
        </is>
      </c>
      <c r="E46" s="33" t="inlineStr">
        <is>
          <t>VSF-001@VKM-003</t>
        </is>
      </c>
      <c r="F46" s="33" t="n">
        <v>220</v>
      </c>
      <c r="G46" s="33" t="inlineStr">
        <is>
          <t>г</t>
        </is>
      </c>
      <c r="H46" s="33" t="inlineStr">
        <is>
          <t>SFM-003</t>
        </is>
      </c>
      <c r="I46" s="33" t="inlineStr">
        <is>
          <t>DRAFT_WITH_ASSUMPTIONS</t>
        </is>
      </c>
      <c r="J46" s="33" t="inlineStr">
        <is>
          <t>Directed parent-to-child edge; validated by topological sort over VSF subgraph</t>
        </is>
      </c>
      <c r="K46" s="28" t="n"/>
      <c r="L46" s="28" t="n"/>
      <c r="M46" s="28" t="n"/>
      <c r="N46" s="28" t="n"/>
      <c r="O46" s="28" t="n"/>
    </row>
    <row r="47">
      <c r="A47" s="33" t="inlineStr">
        <is>
          <t>SFD-004</t>
        </is>
      </c>
      <c r="B47" s="33" t="inlineStr">
        <is>
          <t>DISH</t>
        </is>
      </c>
      <c r="C47" s="33" t="inlineStr">
        <is>
          <t>VKM-004</t>
        </is>
      </c>
      <c r="D47" s="33" t="inlineStr">
        <is>
          <t>VSF-001</t>
        </is>
      </c>
      <c r="E47" s="33" t="inlineStr">
        <is>
          <t>VSF-001@VKM-004</t>
        </is>
      </c>
      <c r="F47" s="33" t="n">
        <v>220</v>
      </c>
      <c r="G47" s="33" t="inlineStr">
        <is>
          <t>г</t>
        </is>
      </c>
      <c r="H47" s="33" t="inlineStr">
        <is>
          <t>SFM-004</t>
        </is>
      </c>
      <c r="I47" s="33" t="inlineStr">
        <is>
          <t>DRAFT_WITH_ASSUMPTIONS</t>
        </is>
      </c>
      <c r="J47" s="33" t="inlineStr">
        <is>
          <t>Directed parent-to-child edge; validated by topological sort over VSF subgraph</t>
        </is>
      </c>
      <c r="K47" s="28" t="n"/>
      <c r="L47" s="28" t="n"/>
      <c r="M47" s="28" t="n"/>
      <c r="N47" s="28" t="n"/>
      <c r="O47" s="28" t="n"/>
    </row>
    <row r="48">
      <c r="A48" s="33" t="inlineStr">
        <is>
          <t>SFD-005</t>
        </is>
      </c>
      <c r="B48" s="33" t="inlineStr">
        <is>
          <t>DISH</t>
        </is>
      </c>
      <c r="C48" s="33" t="inlineStr">
        <is>
          <t>VKM-001</t>
        </is>
      </c>
      <c r="D48" s="33" t="inlineStr">
        <is>
          <t>VSF-002</t>
        </is>
      </c>
      <c r="E48" s="33" t="inlineStr">
        <is>
          <t>VSF-002@VKM-001</t>
        </is>
      </c>
      <c r="F48" s="33" t="n">
        <v>80</v>
      </c>
      <c r="G48" s="33" t="inlineStr">
        <is>
          <t>г</t>
        </is>
      </c>
      <c r="H48" s="33" t="inlineStr">
        <is>
          <t>SFM-005</t>
        </is>
      </c>
      <c r="I48" s="33" t="inlineStr">
        <is>
          <t>DRAFT_WITH_ASSUMPTIONS</t>
        </is>
      </c>
      <c r="J48" s="33" t="inlineStr">
        <is>
          <t>Directed parent-to-child edge; validated by topological sort over VSF subgraph</t>
        </is>
      </c>
      <c r="K48" s="28" t="n"/>
      <c r="L48" s="28" t="n"/>
      <c r="M48" s="28" t="n"/>
      <c r="N48" s="28" t="n"/>
      <c r="O48" s="28" t="n"/>
    </row>
    <row r="49">
      <c r="A49" s="33" t="inlineStr">
        <is>
          <t>SFD-006</t>
        </is>
      </c>
      <c r="B49" s="33" t="inlineStr">
        <is>
          <t>DISH</t>
        </is>
      </c>
      <c r="C49" s="33" t="inlineStr">
        <is>
          <t>VKM-002</t>
        </is>
      </c>
      <c r="D49" s="33" t="inlineStr">
        <is>
          <t>VSF-002</t>
        </is>
      </c>
      <c r="E49" s="33" t="inlineStr">
        <is>
          <t>VSF-002@VKM-002</t>
        </is>
      </c>
      <c r="F49" s="33" t="n">
        <v>50</v>
      </c>
      <c r="G49" s="33" t="inlineStr">
        <is>
          <t>г</t>
        </is>
      </c>
      <c r="H49" s="33" t="inlineStr">
        <is>
          <t>SFM-006</t>
        </is>
      </c>
      <c r="I49" s="33" t="inlineStr">
        <is>
          <t>DRAFT_WITH_ASSUMPTIONS</t>
        </is>
      </c>
      <c r="J49" s="33" t="inlineStr">
        <is>
          <t>Directed parent-to-child edge; validated by topological sort over VSF subgraph</t>
        </is>
      </c>
      <c r="K49" s="28" t="n"/>
      <c r="L49" s="28" t="n"/>
      <c r="M49" s="28" t="n"/>
      <c r="N49" s="28" t="n"/>
      <c r="O49" s="28" t="n"/>
    </row>
    <row r="50">
      <c r="A50" s="33" t="inlineStr">
        <is>
          <t>SFD-007</t>
        </is>
      </c>
      <c r="B50" s="33" t="inlineStr">
        <is>
          <t>DISH</t>
        </is>
      </c>
      <c r="C50" s="33" t="inlineStr">
        <is>
          <t>VKM-003</t>
        </is>
      </c>
      <c r="D50" s="33" t="inlineStr">
        <is>
          <t>VSF-002</t>
        </is>
      </c>
      <c r="E50" s="33" t="inlineStr">
        <is>
          <t>VSF-002@VKM-003</t>
        </is>
      </c>
      <c r="F50" s="33" t="n">
        <v>70</v>
      </c>
      <c r="G50" s="33" t="inlineStr">
        <is>
          <t>г</t>
        </is>
      </c>
      <c r="H50" s="33" t="inlineStr">
        <is>
          <t>SFM-007</t>
        </is>
      </c>
      <c r="I50" s="33" t="inlineStr">
        <is>
          <t>DRAFT_WITH_ASSUMPTIONS</t>
        </is>
      </c>
      <c r="J50" s="33" t="inlineStr">
        <is>
          <t>Directed parent-to-child edge; validated by topological sort over VSF subgraph</t>
        </is>
      </c>
      <c r="K50" s="28" t="n"/>
      <c r="L50" s="28" t="n"/>
      <c r="M50" s="28" t="n"/>
      <c r="N50" s="28" t="n"/>
      <c r="O50" s="28" t="n"/>
    </row>
    <row r="51">
      <c r="A51" s="33" t="inlineStr">
        <is>
          <t>SFD-008</t>
        </is>
      </c>
      <c r="B51" s="33" t="inlineStr">
        <is>
          <t>DISH</t>
        </is>
      </c>
      <c r="C51" s="33" t="inlineStr">
        <is>
          <t>VKM-004</t>
        </is>
      </c>
      <c r="D51" s="33" t="inlineStr">
        <is>
          <t>VSF-002</t>
        </is>
      </c>
      <c r="E51" s="33" t="inlineStr">
        <is>
          <t>VSF-002@VKM-004</t>
        </is>
      </c>
      <c r="F51" s="33" t="n">
        <v>70</v>
      </c>
      <c r="G51" s="33" t="inlineStr">
        <is>
          <t>г</t>
        </is>
      </c>
      <c r="H51" s="33" t="inlineStr">
        <is>
          <t>SFM-008</t>
        </is>
      </c>
      <c r="I51" s="33" t="inlineStr">
        <is>
          <t>DRAFT_WITH_ASSUMPTIONS</t>
        </is>
      </c>
      <c r="J51" s="33" t="inlineStr">
        <is>
          <t>Directed parent-to-child edge; validated by topological sort over VSF subgraph</t>
        </is>
      </c>
      <c r="K51" s="28" t="n"/>
      <c r="L51" s="28" t="n"/>
      <c r="M51" s="28" t="n"/>
      <c r="N51" s="28" t="n"/>
      <c r="O51" s="28" t="n"/>
    </row>
    <row r="52">
      <c r="A52" s="33" t="inlineStr">
        <is>
          <t>SFD-009</t>
        </is>
      </c>
      <c r="B52" s="33" t="inlineStr">
        <is>
          <t>DISH</t>
        </is>
      </c>
      <c r="C52" s="33" t="inlineStr">
        <is>
          <t>VKM-005</t>
        </is>
      </c>
      <c r="D52" s="33" t="inlineStr">
        <is>
          <t>VSF-003</t>
        </is>
      </c>
      <c r="E52" s="33" t="inlineStr">
        <is>
          <t>VSF-003@BASE</t>
        </is>
      </c>
      <c r="F52" s="33" t="n">
        <v>100</v>
      </c>
      <c r="G52" s="33" t="inlineStr">
        <is>
          <t>г</t>
        </is>
      </c>
      <c r="H52" s="33" t="inlineStr">
        <is>
          <t>SFM-009</t>
        </is>
      </c>
      <c r="I52" s="33" t="inlineStr">
        <is>
          <t>DRAFT_WITH_ASSUMPTIONS</t>
        </is>
      </c>
      <c r="J52" s="33" t="inlineStr">
        <is>
          <t>Directed parent-to-child edge; validated by topological sort over VSF subgraph</t>
        </is>
      </c>
      <c r="K52" s="28" t="n"/>
      <c r="L52" s="28" t="n"/>
      <c r="M52" s="28" t="n"/>
      <c r="N52" s="28" t="n"/>
      <c r="O52" s="28" t="n"/>
    </row>
    <row r="53">
      <c r="A53" s="33" t="inlineStr">
        <is>
          <t>SFD-010</t>
        </is>
      </c>
      <c r="B53" s="33" t="inlineStr">
        <is>
          <t>DISH</t>
        </is>
      </c>
      <c r="C53" s="33" t="inlineStr">
        <is>
          <t>VKM-006</t>
        </is>
      </c>
      <c r="D53" s="33" t="inlineStr">
        <is>
          <t>VSF-004</t>
        </is>
      </c>
      <c r="E53" s="33" t="inlineStr">
        <is>
          <t>VSF-004@BASE</t>
        </is>
      </c>
      <c r="F53" s="33" t="n">
        <v>100</v>
      </c>
      <c r="G53" s="33" t="inlineStr">
        <is>
          <t>г</t>
        </is>
      </c>
      <c r="H53" s="33" t="inlineStr">
        <is>
          <t>SFM-010</t>
        </is>
      </c>
      <c r="I53" s="33" t="inlineStr">
        <is>
          <t>DRAFT_WITH_ASSUMPTIONS</t>
        </is>
      </c>
      <c r="J53" s="33" t="inlineStr">
        <is>
          <t>Directed parent-to-child edge; validated by topological sort over VSF subgraph</t>
        </is>
      </c>
      <c r="K53" s="28" t="n"/>
      <c r="L53" s="28" t="n"/>
      <c r="M53" s="28" t="n"/>
      <c r="N53" s="28" t="n"/>
      <c r="O53" s="28" t="n"/>
    </row>
    <row r="54">
      <c r="A54" s="33" t="inlineStr">
        <is>
          <t>SFD-011</t>
        </is>
      </c>
      <c r="B54" s="33" t="inlineStr">
        <is>
          <t>DISH</t>
        </is>
      </c>
      <c r="C54" s="33" t="inlineStr">
        <is>
          <t>VKM-007</t>
        </is>
      </c>
      <c r="D54" s="33" t="inlineStr">
        <is>
          <t>VSF-005</t>
        </is>
      </c>
      <c r="E54" s="33" t="inlineStr">
        <is>
          <t>VSF-005@BASE</t>
        </is>
      </c>
      <c r="F54" s="33" t="n">
        <v>350</v>
      </c>
      <c r="G54" s="33" t="inlineStr">
        <is>
          <t>г</t>
        </is>
      </c>
      <c r="H54" s="33" t="inlineStr">
        <is>
          <t>SFM-011</t>
        </is>
      </c>
      <c r="I54" s="33" t="inlineStr">
        <is>
          <t>DRAFT_WITH_ASSUMPTIONS</t>
        </is>
      </c>
      <c r="J54" s="33" t="inlineStr">
        <is>
          <t>Directed parent-to-child edge; validated by topological sort over VSF subgraph</t>
        </is>
      </c>
      <c r="K54" s="28" t="n"/>
      <c r="L54" s="28" t="n"/>
      <c r="M54" s="28" t="n"/>
      <c r="N54" s="28" t="n"/>
      <c r="O54" s="28" t="n"/>
    </row>
    <row r="55">
      <c r="A55" s="33" t="inlineStr">
        <is>
          <t>SFD-012</t>
        </is>
      </c>
      <c r="B55" s="33" t="inlineStr">
        <is>
          <t>DISH</t>
        </is>
      </c>
      <c r="C55" s="33" t="inlineStr">
        <is>
          <t>VKM-008</t>
        </is>
      </c>
      <c r="D55" s="33" t="inlineStr">
        <is>
          <t>VSF-006</t>
        </is>
      </c>
      <c r="E55" s="33" t="inlineStr">
        <is>
          <t>VSF-006@BASE</t>
        </is>
      </c>
      <c r="F55" s="33" t="n">
        <v>85</v>
      </c>
      <c r="G55" s="33" t="inlineStr">
        <is>
          <t>г</t>
        </is>
      </c>
      <c r="H55" s="33" t="inlineStr">
        <is>
          <t>SFM-012</t>
        </is>
      </c>
      <c r="I55" s="33" t="inlineStr">
        <is>
          <t>DRAFT_WITH_ASSUMPTIONS</t>
        </is>
      </c>
      <c r="J55" s="33" t="inlineStr">
        <is>
          <t>Directed parent-to-child edge; validated by topological sort over VSF subgraph</t>
        </is>
      </c>
      <c r="K55" s="28" t="n"/>
      <c r="L55" s="28" t="n"/>
      <c r="M55" s="28" t="n"/>
      <c r="N55" s="28" t="n"/>
      <c r="O55" s="28" t="n"/>
    </row>
    <row r="56">
      <c r="A56" s="33" t="inlineStr">
        <is>
          <t>SFD-013</t>
        </is>
      </c>
      <c r="B56" s="33" t="inlineStr">
        <is>
          <t>DISH</t>
        </is>
      </c>
      <c r="C56" s="33" t="inlineStr">
        <is>
          <t>VKM-021</t>
        </is>
      </c>
      <c r="D56" s="33" t="inlineStr">
        <is>
          <t>VSF-006</t>
        </is>
      </c>
      <c r="E56" s="33" t="inlineStr">
        <is>
          <t>VSF-006@BASE</t>
        </is>
      </c>
      <c r="F56" s="33" t="n">
        <v>85</v>
      </c>
      <c r="G56" s="33" t="inlineStr">
        <is>
          <t>г</t>
        </is>
      </c>
      <c r="H56" s="33" t="inlineStr">
        <is>
          <t>SFM-013</t>
        </is>
      </c>
      <c r="I56" s="33" t="inlineStr">
        <is>
          <t>DRAFT_WITH_ASSUMPTIONS</t>
        </is>
      </c>
      <c r="J56" s="33" t="inlineStr">
        <is>
          <t>Directed parent-to-child edge; validated by topological sort over VSF subgraph</t>
        </is>
      </c>
      <c r="K56" s="28" t="n"/>
      <c r="L56" s="28" t="n"/>
      <c r="M56" s="28" t="n"/>
      <c r="N56" s="28" t="n"/>
      <c r="O56" s="28" t="n"/>
    </row>
    <row r="57">
      <c r="A57" s="33" t="inlineStr">
        <is>
          <t>SFD-014</t>
        </is>
      </c>
      <c r="B57" s="33" t="inlineStr">
        <is>
          <t>DISH</t>
        </is>
      </c>
      <c r="C57" s="33" t="inlineStr">
        <is>
          <t>VKM-009</t>
        </is>
      </c>
      <c r="D57" s="33" t="inlineStr">
        <is>
          <t>VSF-007</t>
        </is>
      </c>
      <c r="E57" s="33" t="inlineStr">
        <is>
          <t>VSF-007@BASE</t>
        </is>
      </c>
      <c r="F57" s="33" t="n">
        <v>30</v>
      </c>
      <c r="G57" s="33" t="inlineStr">
        <is>
          <t>г</t>
        </is>
      </c>
      <c r="H57" s="33" t="inlineStr">
        <is>
          <t>SFM-014</t>
        </is>
      </c>
      <c r="I57" s="33" t="inlineStr">
        <is>
          <t>DRAFT_WITH_ASSUMPTIONS</t>
        </is>
      </c>
      <c r="J57" s="33" t="inlineStr">
        <is>
          <t>Directed parent-to-child edge; validated by topological sort over VSF subgraph</t>
        </is>
      </c>
      <c r="K57" s="28" t="n"/>
      <c r="L57" s="28" t="n"/>
      <c r="M57" s="28" t="n"/>
      <c r="N57" s="28" t="n"/>
      <c r="O57" s="28" t="n"/>
    </row>
    <row r="58">
      <c r="A58" s="33" t="inlineStr">
        <is>
          <t>SFD-015</t>
        </is>
      </c>
      <c r="B58" s="33" t="inlineStr">
        <is>
          <t>DISH</t>
        </is>
      </c>
      <c r="C58" s="33" t="inlineStr">
        <is>
          <t>VKM-010</t>
        </is>
      </c>
      <c r="D58" s="33" t="inlineStr">
        <is>
          <t>VSF-008</t>
        </is>
      </c>
      <c r="E58" s="33" t="inlineStr">
        <is>
          <t>VSF-008@BASE</t>
        </is>
      </c>
      <c r="F58" s="33" t="n">
        <v>20</v>
      </c>
      <c r="G58" s="33" t="inlineStr">
        <is>
          <t>г</t>
        </is>
      </c>
      <c r="H58" s="33" t="inlineStr">
        <is>
          <t>SFM-015</t>
        </is>
      </c>
      <c r="I58" s="33" t="inlineStr">
        <is>
          <t>DRAFT_WITH_ASSUMPTIONS</t>
        </is>
      </c>
      <c r="J58" s="33" t="inlineStr">
        <is>
          <t>Directed parent-to-child edge; validated by topological sort over VSF subgraph</t>
        </is>
      </c>
      <c r="K58" s="28" t="n"/>
      <c r="L58" s="28" t="n"/>
      <c r="M58" s="28" t="n"/>
      <c r="N58" s="28" t="n"/>
      <c r="O58" s="28" t="n"/>
    </row>
    <row r="59">
      <c r="A59" s="33" t="inlineStr">
        <is>
          <t>SFD-016</t>
        </is>
      </c>
      <c r="B59" s="33" t="inlineStr">
        <is>
          <t>DISH</t>
        </is>
      </c>
      <c r="C59" s="33" t="inlineStr">
        <is>
          <t>VKM-011</t>
        </is>
      </c>
      <c r="D59" s="33" t="inlineStr">
        <is>
          <t>VSF-009</t>
        </is>
      </c>
      <c r="E59" s="33" t="inlineStr">
        <is>
          <t>VSF-009@BASE</t>
        </is>
      </c>
      <c r="F59" s="33" t="n">
        <v>10</v>
      </c>
      <c r="G59" s="33" t="inlineStr">
        <is>
          <t>г</t>
        </is>
      </c>
      <c r="H59" s="33" t="inlineStr">
        <is>
          <t>SFM-016</t>
        </is>
      </c>
      <c r="I59" s="33" t="inlineStr">
        <is>
          <t>DRAFT_WITH_ASSUMPTIONS</t>
        </is>
      </c>
      <c r="J59" s="33" t="inlineStr">
        <is>
          <t>Directed parent-to-child edge; validated by topological sort over VSF subgraph</t>
        </is>
      </c>
      <c r="K59" s="28" t="n"/>
      <c r="L59" s="28" t="n"/>
      <c r="M59" s="28" t="n"/>
      <c r="N59" s="28" t="n"/>
      <c r="O59" s="28" t="n"/>
    </row>
    <row r="60">
      <c r="A60" s="33" t="inlineStr">
        <is>
          <t>SFD-017</t>
        </is>
      </c>
      <c r="B60" s="33" t="inlineStr">
        <is>
          <t>DISH</t>
        </is>
      </c>
      <c r="C60" s="33" t="inlineStr">
        <is>
          <t>VKM-012</t>
        </is>
      </c>
      <c r="D60" s="33" t="inlineStr">
        <is>
          <t>VSF-010</t>
        </is>
      </c>
      <c r="E60" s="33" t="inlineStr">
        <is>
          <t>VSF-010@BASE</t>
        </is>
      </c>
      <c r="F60" s="33" t="n">
        <v>160</v>
      </c>
      <c r="G60" s="33" t="inlineStr">
        <is>
          <t>г</t>
        </is>
      </c>
      <c r="H60" s="33" t="inlineStr">
        <is>
          <t>SFM-017</t>
        </is>
      </c>
      <c r="I60" s="33" t="inlineStr">
        <is>
          <t>DRAFT_WITH_ASSUMPTIONS</t>
        </is>
      </c>
      <c r="J60" s="33" t="inlineStr">
        <is>
          <t>Directed parent-to-child edge; validated by topological sort over VSF subgraph</t>
        </is>
      </c>
      <c r="K60" s="28" t="n"/>
      <c r="L60" s="28" t="n"/>
      <c r="M60" s="28" t="n"/>
      <c r="N60" s="28" t="n"/>
      <c r="O60" s="28" t="n"/>
    </row>
    <row r="61">
      <c r="A61" s="33" t="inlineStr">
        <is>
          <t>SFD-018</t>
        </is>
      </c>
      <c r="B61" s="33" t="inlineStr">
        <is>
          <t>DISH</t>
        </is>
      </c>
      <c r="C61" s="33" t="inlineStr">
        <is>
          <t>VKM-014</t>
        </is>
      </c>
      <c r="D61" s="33" t="inlineStr">
        <is>
          <t>VSF-011</t>
        </is>
      </c>
      <c r="E61" s="33" t="inlineStr">
        <is>
          <t>VSF-011@VKM-023</t>
        </is>
      </c>
      <c r="F61" s="33" t="n">
        <v>110</v>
      </c>
      <c r="G61" s="33" t="inlineStr">
        <is>
          <t>г</t>
        </is>
      </c>
      <c r="H61" s="33" t="inlineStr">
        <is>
          <t>SFM-018</t>
        </is>
      </c>
      <c r="I61" s="33" t="inlineStr">
        <is>
          <t>DRAFT_WITH_ASSUMPTIONS</t>
        </is>
      </c>
      <c r="J61" s="33" t="inlineStr">
        <is>
          <t>Directed parent-to-child edge; validated by topological sort over VSF subgraph</t>
        </is>
      </c>
      <c r="K61" s="28" t="n"/>
      <c r="L61" s="28" t="n"/>
      <c r="M61" s="28" t="n"/>
      <c r="N61" s="28" t="n"/>
      <c r="O61" s="28" t="n"/>
    </row>
    <row r="62">
      <c r="A62" s="33" t="inlineStr">
        <is>
          <t>SFD-019</t>
        </is>
      </c>
      <c r="B62" s="33" t="inlineStr">
        <is>
          <t>DISH</t>
        </is>
      </c>
      <c r="C62" s="33" t="inlineStr">
        <is>
          <t>VKM-023</t>
        </is>
      </c>
      <c r="D62" s="33" t="inlineStr">
        <is>
          <t>VSF-011</t>
        </is>
      </c>
      <c r="E62" s="33" t="inlineStr">
        <is>
          <t>VSF-011@VKM-023</t>
        </is>
      </c>
      <c r="F62" s="33" t="n">
        <v>150</v>
      </c>
      <c r="G62" s="33" t="inlineStr">
        <is>
          <t>г</t>
        </is>
      </c>
      <c r="H62" s="33" t="inlineStr">
        <is>
          <t>SFM-019</t>
        </is>
      </c>
      <c r="I62" s="33" t="inlineStr">
        <is>
          <t>DRAFT_WITH_ASSUMPTIONS</t>
        </is>
      </c>
      <c r="J62" s="33" t="inlineStr">
        <is>
          <t>Directed parent-to-child edge; validated by topological sort over VSF subgraph</t>
        </is>
      </c>
      <c r="K62" s="28" t="n"/>
      <c r="L62" s="28" t="n"/>
      <c r="M62" s="28" t="n"/>
      <c r="N62" s="28" t="n"/>
      <c r="O62" s="28" t="n"/>
    </row>
    <row r="63">
      <c r="A63" s="33" t="inlineStr">
        <is>
          <t>SFD-020</t>
        </is>
      </c>
      <c r="B63" s="33" t="inlineStr">
        <is>
          <t>DISH</t>
        </is>
      </c>
      <c r="C63" s="33" t="inlineStr">
        <is>
          <t>VKM-015</t>
        </is>
      </c>
      <c r="D63" s="33" t="inlineStr">
        <is>
          <t>VSF-012</t>
        </is>
      </c>
      <c r="E63" s="33" t="inlineStr">
        <is>
          <t>VSF-012@BASE</t>
        </is>
      </c>
      <c r="F63" s="33" t="n">
        <v>20</v>
      </c>
      <c r="G63" s="33" t="inlineStr">
        <is>
          <t>г</t>
        </is>
      </c>
      <c r="H63" s="33" t="inlineStr">
        <is>
          <t>SFM-020</t>
        </is>
      </c>
      <c r="I63" s="33" t="inlineStr">
        <is>
          <t>DRAFT_WITH_ASSUMPTIONS</t>
        </is>
      </c>
      <c r="J63" s="33" t="inlineStr">
        <is>
          <t>Directed parent-to-child edge; validated by topological sort over VSF subgraph</t>
        </is>
      </c>
      <c r="K63" s="28" t="n"/>
      <c r="L63" s="28" t="n"/>
      <c r="M63" s="28" t="n"/>
      <c r="N63" s="28" t="n"/>
      <c r="O63" s="28" t="n"/>
    </row>
    <row r="64">
      <c r="A64" s="33" t="inlineStr">
        <is>
          <t>SFD-021</t>
        </is>
      </c>
      <c r="B64" s="33" t="inlineStr">
        <is>
          <t>VSF</t>
        </is>
      </c>
      <c r="C64" s="33" t="inlineStr">
        <is>
          <t>VSF-014</t>
        </is>
      </c>
      <c r="D64" s="33" t="inlineStr">
        <is>
          <t>VSF-013</t>
        </is>
      </c>
      <c r="E64" s="33" t="inlineStr">
        <is>
          <t>VSF-013@BASE</t>
        </is>
      </c>
      <c r="F64" s="33" t="n">
        <v>20</v>
      </c>
      <c r="G64" s="33" t="inlineStr">
        <is>
          <t>г</t>
        </is>
      </c>
      <c r="H64" s="33" t="inlineStr">
        <is>
          <t>SFM-021</t>
        </is>
      </c>
      <c r="I64" s="33" t="inlineStr">
        <is>
          <t>DRAFT_WITH_ASSUMPTIONS</t>
        </is>
      </c>
      <c r="J64" s="33" t="inlineStr">
        <is>
          <t>Directed parent-to-child edge; validated by topological sort over VSF subgraph</t>
        </is>
      </c>
      <c r="K64" s="28" t="n"/>
      <c r="L64" s="28" t="n"/>
      <c r="M64" s="28" t="n"/>
      <c r="N64" s="28" t="n"/>
      <c r="O64" s="28" t="n"/>
    </row>
    <row r="65">
      <c r="A65" s="33" t="inlineStr">
        <is>
          <t>SFD-022</t>
        </is>
      </c>
      <c r="B65" s="33" t="inlineStr">
        <is>
          <t>DISH</t>
        </is>
      </c>
      <c r="C65" s="33" t="inlineStr">
        <is>
          <t>VKM-016</t>
        </is>
      </c>
      <c r="D65" s="33" t="inlineStr">
        <is>
          <t>VSF-014</t>
        </is>
      </c>
      <c r="E65" s="33" t="inlineStr">
        <is>
          <t>VSF-014@BASE</t>
        </is>
      </c>
      <c r="F65" s="33" t="n">
        <v>180</v>
      </c>
      <c r="G65" s="33" t="inlineStr">
        <is>
          <t>г</t>
        </is>
      </c>
      <c r="H65" s="33" t="inlineStr">
        <is>
          <t>SFM-022</t>
        </is>
      </c>
      <c r="I65" s="33" t="inlineStr">
        <is>
          <t>DRAFT_WITH_ASSUMPTIONS</t>
        </is>
      </c>
      <c r="J65" s="33" t="inlineStr">
        <is>
          <t>Directed parent-to-child edge; validated by topological sort over VSF subgraph</t>
        </is>
      </c>
      <c r="K65" s="28" t="n"/>
      <c r="L65" s="28" t="n"/>
      <c r="M65" s="28" t="n"/>
      <c r="N65" s="28" t="n"/>
      <c r="O65" s="28" t="n"/>
    </row>
    <row r="66">
      <c r="A66" s="33" t="inlineStr">
        <is>
          <t>SFD-023</t>
        </is>
      </c>
      <c r="B66" s="33" t="inlineStr">
        <is>
          <t>DISH</t>
        </is>
      </c>
      <c r="C66" s="33" t="inlineStr">
        <is>
          <t>VKM-017</t>
        </is>
      </c>
      <c r="D66" s="33" t="inlineStr">
        <is>
          <t>VSF-015</t>
        </is>
      </c>
      <c r="E66" s="33" t="inlineStr">
        <is>
          <t>VSF-015@BASE</t>
        </is>
      </c>
      <c r="F66" s="33" t="n">
        <v>33</v>
      </c>
      <c r="G66" s="33" t="inlineStr">
        <is>
          <t>г</t>
        </is>
      </c>
      <c r="H66" s="33" t="inlineStr">
        <is>
          <t>SFM-023</t>
        </is>
      </c>
      <c r="I66" s="33" t="inlineStr">
        <is>
          <t>DRAFT_WITH_ASSUMPTIONS</t>
        </is>
      </c>
      <c r="J66" s="33" t="inlineStr">
        <is>
          <t>Directed parent-to-child edge; validated by topological sort over VSF subgraph</t>
        </is>
      </c>
      <c r="K66" s="28" t="n"/>
      <c r="L66" s="28" t="n"/>
      <c r="M66" s="28" t="n"/>
      <c r="N66" s="28" t="n"/>
      <c r="O66" s="28" t="n"/>
    </row>
    <row r="67">
      <c r="A67" s="33" t="inlineStr">
        <is>
          <t>SFD-024</t>
        </is>
      </c>
      <c r="B67" s="33" t="inlineStr">
        <is>
          <t>DISH</t>
        </is>
      </c>
      <c r="C67" s="33" t="inlineStr">
        <is>
          <t>VKM-017</t>
        </is>
      </c>
      <c r="D67" s="33" t="inlineStr">
        <is>
          <t>VSF-016</t>
        </is>
      </c>
      <c r="E67" s="33" t="inlineStr">
        <is>
          <t>VSF-016@BASE</t>
        </is>
      </c>
      <c r="F67" s="33" t="n">
        <v>15</v>
      </c>
      <c r="G67" s="33" t="inlineStr">
        <is>
          <t>г</t>
        </is>
      </c>
      <c r="H67" s="33" t="inlineStr">
        <is>
          <t>SFM-024</t>
        </is>
      </c>
      <c r="I67" s="33" t="inlineStr">
        <is>
          <t>DRAFT_WITH_ASSUMPTIONS</t>
        </is>
      </c>
      <c r="J67" s="33" t="inlineStr">
        <is>
          <t>Directed parent-to-child edge; validated by topological sort over VSF subgraph</t>
        </is>
      </c>
      <c r="K67" s="28" t="n"/>
      <c r="L67" s="28" t="n"/>
      <c r="M67" s="28" t="n"/>
      <c r="N67" s="28" t="n"/>
      <c r="O67" s="28" t="n"/>
    </row>
    <row r="68">
      <c r="A68" s="33" t="inlineStr">
        <is>
          <t>SFD-025</t>
        </is>
      </c>
      <c r="B68" s="33" t="inlineStr">
        <is>
          <t>DISH</t>
        </is>
      </c>
      <c r="C68" s="33" t="inlineStr">
        <is>
          <t>VKM-018</t>
        </is>
      </c>
      <c r="D68" s="33" t="inlineStr">
        <is>
          <t>VSF-017</t>
        </is>
      </c>
      <c r="E68" s="33" t="inlineStr">
        <is>
          <t>VSF-017@BASE</t>
        </is>
      </c>
      <c r="F68" s="33" t="n">
        <v>145</v>
      </c>
      <c r="G68" s="33" t="inlineStr">
        <is>
          <t>г</t>
        </is>
      </c>
      <c r="H68" s="33" t="inlineStr">
        <is>
          <t>SFM-025</t>
        </is>
      </c>
      <c r="I68" s="33" t="inlineStr">
        <is>
          <t>DRAFT_WITH_ASSUMPTIONS</t>
        </is>
      </c>
      <c r="J68" s="33" t="inlineStr">
        <is>
          <t>Directed parent-to-child edge; validated by topological sort over VSF subgraph</t>
        </is>
      </c>
      <c r="K68" s="28" t="n"/>
      <c r="L68" s="28" t="n"/>
      <c r="M68" s="28" t="n"/>
      <c r="N68" s="28" t="n"/>
      <c r="O68" s="28" t="n"/>
    </row>
    <row r="69">
      <c r="A69" s="33" t="inlineStr">
        <is>
          <t>SFD-026</t>
        </is>
      </c>
      <c r="B69" s="33" t="inlineStr">
        <is>
          <t>DISH</t>
        </is>
      </c>
      <c r="C69" s="33" t="inlineStr">
        <is>
          <t>VKM-018</t>
        </is>
      </c>
      <c r="D69" s="33" t="inlineStr">
        <is>
          <t>VSF-018</t>
        </is>
      </c>
      <c r="E69" s="33" t="inlineStr">
        <is>
          <t>VSF-018@BASE</t>
        </is>
      </c>
      <c r="F69" s="33" t="n">
        <v>105</v>
      </c>
      <c r="G69" s="33" t="inlineStr">
        <is>
          <t>г</t>
        </is>
      </c>
      <c r="H69" s="33" t="inlineStr">
        <is>
          <t>SFM-026</t>
        </is>
      </c>
      <c r="I69" s="33" t="inlineStr">
        <is>
          <t>DRAFT_WITH_ASSUMPTIONS</t>
        </is>
      </c>
      <c r="J69" s="33" t="inlineStr">
        <is>
          <t>Directed parent-to-child edge; validated by topological sort over VSF subgraph</t>
        </is>
      </c>
      <c r="K69" s="28" t="n"/>
      <c r="L69" s="28" t="n"/>
      <c r="M69" s="28" t="n"/>
      <c r="N69" s="28" t="n"/>
      <c r="O69" s="28" t="n"/>
    </row>
    <row r="70">
      <c r="A70" s="33" t="inlineStr">
        <is>
          <t>SFD-027</t>
        </is>
      </c>
      <c r="B70" s="33" t="inlineStr">
        <is>
          <t>DISH</t>
        </is>
      </c>
      <c r="C70" s="33" t="inlineStr">
        <is>
          <t>VKM-019</t>
        </is>
      </c>
      <c r="D70" s="33" t="inlineStr">
        <is>
          <t>VSF-019</t>
        </is>
      </c>
      <c r="E70" s="33" t="inlineStr">
        <is>
          <t>VSF-019@BASE</t>
        </is>
      </c>
      <c r="F70" s="33" t="n">
        <v>85</v>
      </c>
      <c r="G70" s="33" t="inlineStr">
        <is>
          <t>г</t>
        </is>
      </c>
      <c r="H70" s="33" t="inlineStr">
        <is>
          <t>SFM-027</t>
        </is>
      </c>
      <c r="I70" s="33" t="inlineStr">
        <is>
          <t>DRAFT_WITH_ASSUMPTIONS</t>
        </is>
      </c>
      <c r="J70" s="33" t="inlineStr">
        <is>
          <t>Directed parent-to-child edge; validated by topological sort over VSF subgraph</t>
        </is>
      </c>
      <c r="K70" s="28" t="n"/>
      <c r="L70" s="28" t="n"/>
      <c r="M70" s="28" t="n"/>
      <c r="N70" s="28" t="n"/>
      <c r="O70" s="28" t="n"/>
    </row>
    <row r="71">
      <c r="A71" s="33" t="inlineStr">
        <is>
          <t>SFD-028</t>
        </is>
      </c>
      <c r="B71" s="33" t="inlineStr">
        <is>
          <t>DISH</t>
        </is>
      </c>
      <c r="C71" s="33" t="inlineStr">
        <is>
          <t>VKM-020</t>
        </is>
      </c>
      <c r="D71" s="33" t="inlineStr">
        <is>
          <t>VSF-020</t>
        </is>
      </c>
      <c r="E71" s="33" t="inlineStr">
        <is>
          <t>VSF-020@BASE</t>
        </is>
      </c>
      <c r="F71" s="33" t="n">
        <v>120</v>
      </c>
      <c r="G71" s="33" t="inlineStr">
        <is>
          <t>г</t>
        </is>
      </c>
      <c r="H71" s="33" t="inlineStr">
        <is>
          <t>SFM-028</t>
        </is>
      </c>
      <c r="I71" s="33" t="inlineStr">
        <is>
          <t>DRAFT_WITH_ASSUMPTIONS</t>
        </is>
      </c>
      <c r="J71" s="33" t="inlineStr">
        <is>
          <t>Directed parent-to-child edge; validated by topological sort over VSF subgraph</t>
        </is>
      </c>
      <c r="K71" s="28" t="n"/>
      <c r="L71" s="28" t="n"/>
      <c r="M71" s="28" t="n"/>
      <c r="N71" s="28" t="n"/>
      <c r="O71" s="28" t="n"/>
    </row>
    <row r="72">
      <c r="A72" s="33" t="inlineStr">
        <is>
          <t>SFD-029</t>
        </is>
      </c>
      <c r="B72" s="33" t="inlineStr">
        <is>
          <t>DISH</t>
        </is>
      </c>
      <c r="C72" s="33" t="inlineStr">
        <is>
          <t>VKM-021</t>
        </is>
      </c>
      <c r="D72" s="33" t="inlineStr">
        <is>
          <t>VSF-021</t>
        </is>
      </c>
      <c r="E72" s="33" t="inlineStr">
        <is>
          <t>VSF-021@BASE</t>
        </is>
      </c>
      <c r="F72" s="33" t="n">
        <v>150</v>
      </c>
      <c r="G72" s="33" t="inlineStr">
        <is>
          <t>г</t>
        </is>
      </c>
      <c r="H72" s="33" t="inlineStr">
        <is>
          <t>SFM-029</t>
        </is>
      </c>
      <c r="I72" s="33" t="inlineStr">
        <is>
          <t>DRAFT_WITH_ASSUMPTIONS</t>
        </is>
      </c>
      <c r="J72" s="33" t="inlineStr">
        <is>
          <t>Directed parent-to-child edge; validated by topological sort over VSF subgraph</t>
        </is>
      </c>
      <c r="K72" s="28" t="n"/>
      <c r="L72" s="28" t="n"/>
      <c r="M72" s="28" t="n"/>
      <c r="N72" s="28" t="n"/>
      <c r="O72" s="28" t="n"/>
    </row>
    <row r="73">
      <c r="A73" s="33" t="inlineStr">
        <is>
          <t>SFD-030</t>
        </is>
      </c>
      <c r="B73" s="33" t="inlineStr">
        <is>
          <t>DISH</t>
        </is>
      </c>
      <c r="C73" s="33" t="inlineStr">
        <is>
          <t>VKM-021</t>
        </is>
      </c>
      <c r="D73" s="33" t="inlineStr">
        <is>
          <t>VSF-022</t>
        </is>
      </c>
      <c r="E73" s="33" t="inlineStr">
        <is>
          <t>VSF-022@BASE</t>
        </is>
      </c>
      <c r="F73" s="33" t="n">
        <v>25</v>
      </c>
      <c r="G73" s="33" t="inlineStr">
        <is>
          <t>г</t>
        </is>
      </c>
      <c r="H73" s="33" t="inlineStr">
        <is>
          <t>SFM-030</t>
        </is>
      </c>
      <c r="I73" s="33" t="inlineStr">
        <is>
          <t>DRAFT_WITH_ASSUMPTIONS</t>
        </is>
      </c>
      <c r="J73" s="33" t="inlineStr">
        <is>
          <t>Directed parent-to-child edge; validated by topological sort over VSF subgraph</t>
        </is>
      </c>
      <c r="K73" s="28" t="n"/>
      <c r="L73" s="28" t="n"/>
      <c r="M73" s="28" t="n"/>
      <c r="N73" s="28" t="n"/>
      <c r="O73" s="28" t="n"/>
    </row>
    <row r="74">
      <c r="A74" s="33" t="inlineStr">
        <is>
          <t>SFD-031</t>
        </is>
      </c>
      <c r="B74" s="33" t="inlineStr">
        <is>
          <t>DISH</t>
        </is>
      </c>
      <c r="C74" s="33" t="inlineStr">
        <is>
          <t>VKM-022</t>
        </is>
      </c>
      <c r="D74" s="33" t="inlineStr">
        <is>
          <t>VSF-023</t>
        </is>
      </c>
      <c r="E74" s="33" t="inlineStr">
        <is>
          <t>VSF-023@BASE</t>
        </is>
      </c>
      <c r="F74" s="33" t="n">
        <v>220</v>
      </c>
      <c r="G74" s="33" t="inlineStr">
        <is>
          <t>г</t>
        </is>
      </c>
      <c r="H74" s="33" t="inlineStr">
        <is>
          <t>SFM-031</t>
        </is>
      </c>
      <c r="I74" s="33" t="inlineStr">
        <is>
          <t>DRAFT_WITH_ASSUMPTIONS</t>
        </is>
      </c>
      <c r="J74" s="33" t="inlineStr">
        <is>
          <t>Directed parent-to-child edge; validated by topological sort over VSF subgraph</t>
        </is>
      </c>
      <c r="K74" s="28" t="n"/>
      <c r="L74" s="28" t="n"/>
      <c r="M74" s="28" t="n"/>
      <c r="N74" s="28" t="n"/>
      <c r="O74" s="28" t="n"/>
    </row>
    <row r="75">
      <c r="A75" s="33" t="inlineStr">
        <is>
          <t>SFD-032</t>
        </is>
      </c>
      <c r="B75" s="33" t="inlineStr">
        <is>
          <t>DISH</t>
        </is>
      </c>
      <c r="C75" s="33" t="inlineStr">
        <is>
          <t>VKM-022</t>
        </is>
      </c>
      <c r="D75" s="33" t="inlineStr">
        <is>
          <t>VSF-024</t>
        </is>
      </c>
      <c r="E75" s="33" t="inlineStr">
        <is>
          <t>VSF-024@BASE</t>
        </is>
      </c>
      <c r="F75" s="33" t="n">
        <v>40</v>
      </c>
      <c r="G75" s="33" t="inlineStr">
        <is>
          <t>г</t>
        </is>
      </c>
      <c r="H75" s="33" t="inlineStr">
        <is>
          <t>SFM-032</t>
        </is>
      </c>
      <c r="I75" s="33" t="inlineStr">
        <is>
          <t>DRAFT_WITH_ASSUMPTIONS</t>
        </is>
      </c>
      <c r="J75" s="33" t="inlineStr">
        <is>
          <t>Directed parent-to-child edge; validated by topological sort over VSF subgraph</t>
        </is>
      </c>
      <c r="K75" s="28" t="n"/>
      <c r="L75" s="28" t="n"/>
      <c r="M75" s="28" t="n"/>
      <c r="N75" s="28" t="n"/>
      <c r="O75" s="28" t="n"/>
    </row>
    <row r="76">
      <c r="A76" s="33" t="inlineStr">
        <is>
          <t>SFD-033</t>
        </is>
      </c>
      <c r="B76" s="33" t="inlineStr">
        <is>
          <t>DISH</t>
        </is>
      </c>
      <c r="C76" s="33" t="inlineStr">
        <is>
          <t>VKM-024</t>
        </is>
      </c>
      <c r="D76" s="33" t="inlineStr">
        <is>
          <t>VSF-025</t>
        </is>
      </c>
      <c r="E76" s="33" t="inlineStr">
        <is>
          <t>VSF-025@BASE</t>
        </is>
      </c>
      <c r="F76" s="33" t="n">
        <v>138</v>
      </c>
      <c r="G76" s="33" t="inlineStr">
        <is>
          <t>г</t>
        </is>
      </c>
      <c r="H76" s="33" t="inlineStr">
        <is>
          <t>SFM-033</t>
        </is>
      </c>
      <c r="I76" s="33" t="inlineStr">
        <is>
          <t>DRAFT_WITH_ASSUMPTIONS</t>
        </is>
      </c>
      <c r="J76" s="33" t="inlineStr">
        <is>
          <t>Directed parent-to-child edge; validated by topological sort over VSF subgraph</t>
        </is>
      </c>
      <c r="K76" s="28" t="n"/>
      <c r="L76" s="28" t="n"/>
      <c r="M76" s="28" t="n"/>
      <c r="N76" s="28" t="n"/>
      <c r="O76" s="28" t="n"/>
    </row>
    <row r="77">
      <c r="A77" s="33" t="inlineStr">
        <is>
          <t>SFD-034</t>
        </is>
      </c>
      <c r="B77" s="33" t="inlineStr">
        <is>
          <t>DISH</t>
        </is>
      </c>
      <c r="C77" s="33" t="inlineStr">
        <is>
          <t>VKM-025</t>
        </is>
      </c>
      <c r="D77" s="33" t="inlineStr">
        <is>
          <t>VSF-026</t>
        </is>
      </c>
      <c r="E77" s="33" t="inlineStr">
        <is>
          <t>VSF-026@BASE</t>
        </is>
      </c>
      <c r="F77" s="33" t="n">
        <v>130</v>
      </c>
      <c r="G77" s="33" t="inlineStr">
        <is>
          <t>г</t>
        </is>
      </c>
      <c r="H77" s="33" t="inlineStr">
        <is>
          <t>SFM-034</t>
        </is>
      </c>
      <c r="I77" s="33" t="inlineStr">
        <is>
          <t>DRAFT_WITH_ASSUMPTIONS</t>
        </is>
      </c>
      <c r="J77" s="33" t="inlineStr">
        <is>
          <t>Directed parent-to-child edge; validated by topological sort over VSF subgraph</t>
        </is>
      </c>
      <c r="K77" s="28" t="n"/>
      <c r="L77" s="28" t="n"/>
      <c r="M77" s="28" t="n"/>
      <c r="N77" s="28" t="n"/>
      <c r="O77" s="28" t="n"/>
    </row>
    <row r="78">
      <c r="A78" s="33" t="inlineStr">
        <is>
          <t>SFD-035</t>
        </is>
      </c>
      <c r="B78" s="33" t="inlineStr">
        <is>
          <t>DISH</t>
        </is>
      </c>
      <c r="C78" s="33" t="inlineStr">
        <is>
          <t>VKM-029</t>
        </is>
      </c>
      <c r="D78" s="33" t="inlineStr">
        <is>
          <t>VSF-027</t>
        </is>
      </c>
      <c r="E78" s="33" t="inlineStr">
        <is>
          <t>VSF-027@BASE</t>
        </is>
      </c>
      <c r="F78" s="33" t="n">
        <v>607</v>
      </c>
      <c r="G78" s="33" t="inlineStr">
        <is>
          <t>г</t>
        </is>
      </c>
      <c r="H78" s="33" t="inlineStr">
        <is>
          <t>SFM-035</t>
        </is>
      </c>
      <c r="I78" s="33" t="inlineStr">
        <is>
          <t>DRAFT_WITH_ASSUMPTIONS</t>
        </is>
      </c>
      <c r="J78" s="33" t="inlineStr">
        <is>
          <t>Directed parent-to-child edge; validated by topological sort over VSF subgraph</t>
        </is>
      </c>
      <c r="K78" s="28" t="n"/>
      <c r="L78" s="28" t="n"/>
      <c r="M78" s="28" t="n"/>
      <c r="N78" s="28" t="n"/>
      <c r="O78" s="28" t="n"/>
    </row>
    <row r="79">
      <c r="A79" s="33" t="inlineStr">
        <is>
          <t>SFD-036</t>
        </is>
      </c>
      <c r="B79" s="33" t="inlineStr">
        <is>
          <t>DISH</t>
        </is>
      </c>
      <c r="C79" s="33" t="inlineStr">
        <is>
          <t>VKM-029</t>
        </is>
      </c>
      <c r="D79" s="33" t="inlineStr">
        <is>
          <t>VSF-028</t>
        </is>
      </c>
      <c r="E79" s="33" t="inlineStr">
        <is>
          <t>VSF-028@BASE</t>
        </is>
      </c>
      <c r="F79" s="33" t="n">
        <v>700</v>
      </c>
      <c r="G79" s="33" t="inlineStr">
        <is>
          <t>г</t>
        </is>
      </c>
      <c r="H79" s="33" t="inlineStr">
        <is>
          <t>SFM-036</t>
        </is>
      </c>
      <c r="I79" s="33" t="inlineStr">
        <is>
          <t>DRAFT_WITH_ASSUMPTIONS</t>
        </is>
      </c>
      <c r="J79" s="33" t="inlineStr">
        <is>
          <t>Directed parent-to-child edge; validated by topological sort over VSF subgraph</t>
        </is>
      </c>
      <c r="K79" s="28" t="n"/>
      <c r="L79" s="28" t="n"/>
      <c r="M79" s="28" t="n"/>
      <c r="N79" s="28" t="n"/>
      <c r="O79" s="28" t="n"/>
    </row>
    <row r="80">
      <c r="A80" s="33" t="inlineStr">
        <is>
          <t>SFD-037</t>
        </is>
      </c>
      <c r="B80" s="33" t="inlineStr">
        <is>
          <t>DISH</t>
        </is>
      </c>
      <c r="C80" s="33" t="inlineStr">
        <is>
          <t>VKM-029</t>
        </is>
      </c>
      <c r="D80" s="33" t="inlineStr">
        <is>
          <t>VSF-029</t>
        </is>
      </c>
      <c r="E80" s="33" t="inlineStr">
        <is>
          <t>VSF-029@BASE</t>
        </is>
      </c>
      <c r="F80" s="33" t="n">
        <v>300</v>
      </c>
      <c r="G80" s="33" t="inlineStr">
        <is>
          <t>г</t>
        </is>
      </c>
      <c r="H80" s="33" t="inlineStr">
        <is>
          <t>SFM-037</t>
        </is>
      </c>
      <c r="I80" s="33" t="inlineStr">
        <is>
          <t>DRAFT_WITH_ASSUMPTIONS</t>
        </is>
      </c>
      <c r="J80" s="33" t="inlineStr">
        <is>
          <t>Directed parent-to-child edge; validated by topological sort over VSF subgraph</t>
        </is>
      </c>
      <c r="K80" s="28" t="n"/>
      <c r="L80" s="28" t="n"/>
      <c r="M80" s="28" t="n"/>
      <c r="N80" s="28" t="n"/>
      <c r="O80" s="28" t="n"/>
    </row>
    <row r="81">
      <c r="A81" s="33" t="inlineStr">
        <is>
          <t>SFD-038</t>
        </is>
      </c>
      <c r="B81" s="33" t="inlineStr">
        <is>
          <t>DISH</t>
        </is>
      </c>
      <c r="C81" s="33" t="inlineStr">
        <is>
          <t>VKM-029</t>
        </is>
      </c>
      <c r="D81" s="33" t="inlineStr">
        <is>
          <t>VSF-030</t>
        </is>
      </c>
      <c r="E81" s="33" t="inlineStr">
        <is>
          <t>VSF-030@BASE</t>
        </is>
      </c>
      <c r="F81" s="33" t="n">
        <v>150</v>
      </c>
      <c r="G81" s="33" t="inlineStr">
        <is>
          <t>г</t>
        </is>
      </c>
      <c r="H81" s="33" t="inlineStr">
        <is>
          <t>SFM-038</t>
        </is>
      </c>
      <c r="I81" s="33" t="inlineStr">
        <is>
          <t>DRAFT_WITH_ASSUMPTIONS</t>
        </is>
      </c>
      <c r="J81" s="33" t="inlineStr">
        <is>
          <t>Directed parent-to-child edge; validated by topological sort over VSF subgraph</t>
        </is>
      </c>
      <c r="K81" s="28" t="n"/>
      <c r="L81" s="28" t="n"/>
      <c r="M81" s="28" t="n"/>
      <c r="N81" s="28" t="n"/>
      <c r="O81" s="28" t="n"/>
    </row>
    <row r="82">
      <c r="A82" s="33" t="inlineStr">
        <is>
          <t>SFD-039</t>
        </is>
      </c>
      <c r="B82" s="33" t="inlineStr">
        <is>
          <t>DISH</t>
        </is>
      </c>
      <c r="C82" s="33" t="inlineStr">
        <is>
          <t>VKM-030</t>
        </is>
      </c>
      <c r="D82" s="33" t="inlineStr">
        <is>
          <t>VSF-031</t>
        </is>
      </c>
      <c r="E82" s="33" t="inlineStr">
        <is>
          <t>VSF-031@BASE</t>
        </is>
      </c>
      <c r="F82" s="33" t="n">
        <v>600</v>
      </c>
      <c r="G82" s="33" t="inlineStr">
        <is>
          <t>г</t>
        </is>
      </c>
      <c r="H82" s="33" t="inlineStr">
        <is>
          <t>SFM-039</t>
        </is>
      </c>
      <c r="I82" s="33" t="inlineStr">
        <is>
          <t>DRAFT_WITH_ASSUMPTIONS</t>
        </is>
      </c>
      <c r="J82" s="33" t="inlineStr">
        <is>
          <t>Directed parent-to-child edge; validated by topological sort over VSF subgraph</t>
        </is>
      </c>
      <c r="K82" s="28" t="n"/>
      <c r="L82" s="28" t="n"/>
      <c r="M82" s="28" t="n"/>
      <c r="N82" s="28" t="n"/>
      <c r="O82" s="28" t="n"/>
    </row>
    <row r="83">
      <c r="A83" s="33" t="inlineStr">
        <is>
          <t>SFD-040</t>
        </is>
      </c>
      <c r="B83" s="33" t="inlineStr">
        <is>
          <t>DISH</t>
        </is>
      </c>
      <c r="C83" s="33" t="inlineStr">
        <is>
          <t>VKM-030</t>
        </is>
      </c>
      <c r="D83" s="33" t="inlineStr">
        <is>
          <t>VSF-032</t>
        </is>
      </c>
      <c r="E83" s="33" t="inlineStr">
        <is>
          <t>VSF-032@BASE</t>
        </is>
      </c>
      <c r="F83" s="33" t="n">
        <v>350</v>
      </c>
      <c r="G83" s="33" t="inlineStr">
        <is>
          <t>г</t>
        </is>
      </c>
      <c r="H83" s="33" t="inlineStr">
        <is>
          <t>SFM-040</t>
        </is>
      </c>
      <c r="I83" s="33" t="inlineStr">
        <is>
          <t>DRAFT_WITH_ASSUMPTIONS</t>
        </is>
      </c>
      <c r="J83" s="33" t="inlineStr">
        <is>
          <t>Directed parent-to-child edge; validated by topological sort over VSF subgraph</t>
        </is>
      </c>
      <c r="K83" s="28" t="n"/>
      <c r="L83" s="28" t="n"/>
      <c r="M83" s="28" t="n"/>
      <c r="N83" s="28" t="n"/>
      <c r="O83" s="28" t="n"/>
    </row>
    <row r="84">
      <c r="A84" s="33" t="inlineStr">
        <is>
          <t>SFD-041</t>
        </is>
      </c>
      <c r="B84" s="33" t="inlineStr">
        <is>
          <t>DISH</t>
        </is>
      </c>
      <c r="C84" s="33" t="inlineStr">
        <is>
          <t>VKM-030</t>
        </is>
      </c>
      <c r="D84" s="33" t="inlineStr">
        <is>
          <t>VSF-033</t>
        </is>
      </c>
      <c r="E84" s="33" t="inlineStr">
        <is>
          <t>VSF-033@BASE</t>
        </is>
      </c>
      <c r="F84" s="33" t="n">
        <v>200</v>
      </c>
      <c r="G84" s="33" t="inlineStr">
        <is>
          <t>г</t>
        </is>
      </c>
      <c r="H84" s="33" t="inlineStr">
        <is>
          <t>SFM-041</t>
        </is>
      </c>
      <c r="I84" s="33" t="inlineStr">
        <is>
          <t>DRAFT_WITH_ASSUMPTIONS</t>
        </is>
      </c>
      <c r="J84" s="33" t="inlineStr">
        <is>
          <t>Directed parent-to-child edge; validated by topological sort over VSF subgraph</t>
        </is>
      </c>
      <c r="K84" s="28" t="n"/>
      <c r="L84" s="28" t="n"/>
      <c r="M84" s="28" t="n"/>
      <c r="N84" s="28" t="n"/>
      <c r="O84" s="28" t="n"/>
    </row>
    <row r="85">
      <c r="A85" s="33" t="inlineStr">
        <is>
          <t>SFD-042</t>
        </is>
      </c>
      <c r="B85" s="33" t="inlineStr">
        <is>
          <t>DISH</t>
        </is>
      </c>
      <c r="C85" s="33" t="inlineStr">
        <is>
          <t>VKM-031</t>
        </is>
      </c>
      <c r="D85" s="33" t="inlineStr">
        <is>
          <t>VSF-034</t>
        </is>
      </c>
      <c r="E85" s="33" t="inlineStr">
        <is>
          <t>VSF-034@BASE</t>
        </is>
      </c>
      <c r="F85" s="33" t="n">
        <v>600</v>
      </c>
      <c r="G85" s="33" t="inlineStr">
        <is>
          <t>г</t>
        </is>
      </c>
      <c r="H85" s="33" t="inlineStr">
        <is>
          <t>SFM-042</t>
        </is>
      </c>
      <c r="I85" s="33" t="inlineStr">
        <is>
          <t>DRAFT_WITH_ASSUMPTIONS</t>
        </is>
      </c>
      <c r="J85" s="33" t="inlineStr">
        <is>
          <t>Directed parent-to-child edge; validated by topological sort over VSF subgraph</t>
        </is>
      </c>
      <c r="K85" s="28" t="n"/>
      <c r="L85" s="28" t="n"/>
      <c r="M85" s="28" t="n"/>
      <c r="N85" s="28" t="n"/>
      <c r="O85" s="28" t="n"/>
    </row>
  </sheetData>
  <mergeCells count="3">
    <mergeCell ref="A1:O1"/>
    <mergeCell ref="A42:J42"/>
    <mergeCell ref="A2:O2"/>
  </mergeCell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6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8" customWidth="1" min="3" max="3"/>
    <col width="15" customWidth="1" min="4" max="4"/>
    <col width="15" customWidth="1" min="5" max="5"/>
    <col width="15" customWidth="1" min="6" max="6"/>
    <col width="12" customWidth="1" min="7" max="7"/>
    <col width="15" customWidth="1" min="8" max="8"/>
    <col width="31" customWidth="1" min="9" max="9"/>
    <col width="15" customWidth="1" min="10" max="10"/>
    <col width="15" customWidth="1" min="11" max="11"/>
    <col width="48" customWidth="1" min="12" max="12"/>
    <col width="58" customWidth="1" min="13" max="13"/>
    <col width="18" customWidth="1" min="14" max="14"/>
    <col width="34" customWidth="1" min="15" max="15"/>
    <col width="25" customWidth="1" min="16" max="16"/>
    <col width="30" customWidth="1" min="17" max="17"/>
  </cols>
  <sheetData>
    <row r="1" ht="30" customHeight="1">
      <c r="A1" s="27" t="inlineStr">
        <is>
          <t>04 — Калькуляции</t>
        </is>
      </c>
    </row>
    <row r="2" ht="27" customHeight="1">
      <c r="A2" s="29" t="inlineStr">
        <is>
          <t>Доказательный слой отделён от LOW_CONFIDENCE proxy-сценария HOF-0014. Proxy не заполняет approved/evidence blanks.</t>
        </is>
      </c>
    </row>
    <row r="3">
      <c r="A3" s="28" t="n"/>
      <c r="B3" s="28" t="n"/>
      <c r="C3" s="28" t="n"/>
      <c r="D3" s="28" t="n"/>
      <c r="E3" s="28" t="n"/>
      <c r="F3" s="28" t="n"/>
      <c r="G3" s="28" t="n"/>
      <c r="H3" s="28" t="n"/>
      <c r="I3" s="28" t="n"/>
      <c r="J3" s="28" t="n"/>
      <c r="K3" s="28" t="n"/>
      <c r="L3" s="28" t="n"/>
      <c r="M3" s="28" t="n"/>
      <c r="N3" s="28" t="n"/>
      <c r="O3" s="28" t="n"/>
      <c r="P3" s="30" t="inlineStr">
        <is>
          <t>Потери (assumption)</t>
        </is>
      </c>
      <c r="Q3" s="44" t="n">
        <v>0.015</v>
      </c>
    </row>
    <row r="4">
      <c r="A4" s="28" t="n"/>
      <c r="B4" s="28" t="n"/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  <c r="P4" s="28" t="n"/>
      <c r="Q4" s="28" t="n"/>
    </row>
    <row r="5" ht="34" customHeight="1">
      <c r="A5" s="32" t="inlineStr">
        <is>
          <t>Cost card</t>
        </is>
      </c>
      <c r="B5" s="32" t="inlineStr">
        <is>
          <t>Dish ID</t>
        </is>
      </c>
      <c r="C5" s="32" t="inlineStr">
        <is>
          <t>Блюдо</t>
        </is>
      </c>
      <c r="D5" s="32" t="inlineStr">
        <is>
          <t>Выход</t>
        </is>
      </c>
      <c r="E5" s="32" t="inlineStr">
        <is>
          <t>Ед.</t>
        </is>
      </c>
      <c r="F5" s="32" t="inlineStr">
        <is>
          <t>Partial input</t>
        </is>
      </c>
      <c r="G5" s="32" t="inlineStr">
        <is>
          <t>Partial formula</t>
        </is>
      </c>
      <c r="H5" s="32" t="inlineStr">
        <is>
          <t>Complete food input</t>
        </is>
      </c>
      <c r="I5" s="32" t="inlineStr">
        <is>
          <t>Complete food formula</t>
        </is>
      </c>
      <c r="J5" s="32" t="inlineStr">
        <is>
          <t>Spoilage</t>
        </is>
      </c>
      <c r="K5" s="32" t="inlineStr">
        <is>
          <t>Kitchen COGS</t>
        </is>
      </c>
      <c r="L5" s="32" t="inlineStr">
        <is>
          <t>Packaging</t>
        </is>
      </c>
      <c r="M5" s="32" t="inlineStr">
        <is>
          <t>Other variable</t>
        </is>
      </c>
      <c r="N5" s="32" t="inlineStr">
        <is>
          <t>Complete portion COGS</t>
        </is>
      </c>
      <c r="O5" s="32" t="inlineStr">
        <is>
          <t>Missing IDs</t>
        </is>
      </c>
      <c r="P5" s="32" t="inlineStr">
        <is>
          <t>Status</t>
        </is>
      </c>
      <c r="Q5" s="32" t="inlineStr">
        <is>
          <t>Evidence</t>
        </is>
      </c>
    </row>
    <row r="6">
      <c r="A6" s="33" t="inlineStr">
        <is>
          <t>VKC-001</t>
        </is>
      </c>
      <c r="B6" s="33" t="inlineStr">
        <is>
          <t>VKM-001</t>
        </is>
      </c>
      <c r="C6" s="33" t="inlineStr">
        <is>
          <t>Маргарита</t>
        </is>
      </c>
      <c r="D6" s="33" t="n">
        <v>450</v>
      </c>
      <c r="E6" s="33" t="inlineStr">
        <is>
          <t>г</t>
        </is>
      </c>
      <c r="F6" s="45" t="n">
        <v>168.17102</v>
      </c>
      <c r="G6" s="46">
        <f>IF(F6="","",F6)</f>
        <v/>
      </c>
      <c r="H6" s="45" t="n"/>
      <c r="I6" s="46">
        <f>IF(H6="","",H6)</f>
        <v/>
      </c>
      <c r="J6" s="46">
        <f>IF(I6="","",I6*$Q$3)</f>
        <v/>
      </c>
      <c r="K6" s="46">
        <f>IF(OR(I6="",J6=""),"",I6+J6)</f>
        <v/>
      </c>
      <c r="L6" s="39" t="n"/>
      <c r="M6" s="39" t="n"/>
      <c r="N6" s="43">
        <f>IF(OR(K6="",L6="",M6=""),"",K6+L6+M6)</f>
        <v/>
      </c>
      <c r="O6" s="33" t="inlineStr">
        <is>
          <t>ING-005;ING-011;VSF-001;VSF-002</t>
        </is>
      </c>
      <c r="P6" s="33" t="inlineStr">
        <is>
          <t>BLOCKED_PENDING_VALIDATION</t>
        </is>
      </c>
      <c r="Q6" s="33" t="inlineStr">
        <is>
          <t>HOF-0002;HOF-0004;PRICE_SOURCE_REGISTER;docs/03-methodology/COGS.md</t>
        </is>
      </c>
    </row>
    <row r="7">
      <c r="A7" s="33" t="inlineStr">
        <is>
          <t>VKC-002</t>
        </is>
      </c>
      <c r="B7" s="33" t="inlineStr">
        <is>
          <t>VKM-002</t>
        </is>
      </c>
      <c r="C7" s="33" t="inlineStr">
        <is>
          <t>Четыре сыра</t>
        </is>
      </c>
      <c r="D7" s="33" t="n">
        <v>480</v>
      </c>
      <c r="E7" s="33" t="inlineStr">
        <is>
          <t>г</t>
        </is>
      </c>
      <c r="F7" s="45" t="n">
        <v>253.04802</v>
      </c>
      <c r="G7" s="46">
        <f>IF(F7="","",F7)</f>
        <v/>
      </c>
      <c r="H7" s="45" t="n"/>
      <c r="I7" s="46">
        <f>IF(H7="","",H7)</f>
        <v/>
      </c>
      <c r="J7" s="46">
        <f>IF(I7="","",I7*$Q$3)</f>
        <v/>
      </c>
      <c r="K7" s="46">
        <f>IF(OR(I7="",J7=""),"",I7+J7)</f>
        <v/>
      </c>
      <c r="L7" s="39" t="n"/>
      <c r="M7" s="39" t="n"/>
      <c r="N7" s="43">
        <f>IF(OR(K7="",L7="",M7=""),"",K7+L7+M7)</f>
        <v/>
      </c>
      <c r="O7" s="33" t="inlineStr">
        <is>
          <t>ING-005;ING-013;VSF-001;VSF-002</t>
        </is>
      </c>
      <c r="P7" s="33" t="inlineStr">
        <is>
          <t>BLOCKED_PENDING_VALIDATION</t>
        </is>
      </c>
      <c r="Q7" s="33" t="inlineStr">
        <is>
          <t>HOF-0002;HOF-0004;PRICE_SOURCE_REGISTER;docs/03-methodology/COGS.md</t>
        </is>
      </c>
    </row>
    <row r="8">
      <c r="A8" s="33" t="inlineStr">
        <is>
          <t>VKC-003</t>
        </is>
      </c>
      <c r="B8" s="33" t="inlineStr">
        <is>
          <t>VKM-003</t>
        </is>
      </c>
      <c r="C8" s="33" t="inlineStr">
        <is>
          <t>Грибная с ветчиной</t>
        </is>
      </c>
      <c r="D8" s="33" t="n">
        <v>500</v>
      </c>
      <c r="E8" s="33" t="inlineStr">
        <is>
          <t>г</t>
        </is>
      </c>
      <c r="F8" s="45" t="n">
        <v>134.80496</v>
      </c>
      <c r="G8" s="46">
        <f>IF(F8="","",F8)</f>
        <v/>
      </c>
      <c r="H8" s="45" t="n"/>
      <c r="I8" s="46">
        <f>IF(H8="","",H8)</f>
        <v/>
      </c>
      <c r="J8" s="46">
        <f>IF(I8="","",I8*$Q$3)</f>
        <v/>
      </c>
      <c r="K8" s="46">
        <f>IF(OR(I8="",J8=""),"",I8+J8)</f>
        <v/>
      </c>
      <c r="L8" s="39" t="n"/>
      <c r="M8" s="39" t="n"/>
      <c r="N8" s="43">
        <f>IF(OR(K8="",L8="",M8=""),"",K8+L8+M8)</f>
        <v/>
      </c>
      <c r="O8" s="33" t="inlineStr">
        <is>
          <t>ING-005;ING-014;VSF-001;VSF-002</t>
        </is>
      </c>
      <c r="P8" s="33" t="inlineStr">
        <is>
          <t>BLOCKED_PENDING_VALIDATION</t>
        </is>
      </c>
      <c r="Q8" s="33" t="inlineStr">
        <is>
          <t>HOF-0002;HOF-0004;PRICE_SOURCE_REGISTER;docs/03-methodology/COGS.md</t>
        </is>
      </c>
    </row>
    <row r="9">
      <c r="A9" s="33" t="inlineStr">
        <is>
          <t>VKC-004</t>
        </is>
      </c>
      <c r="B9" s="33" t="inlineStr">
        <is>
          <t>VKM-004</t>
        </is>
      </c>
      <c r="C9" s="33" t="inlineStr">
        <is>
          <t>Пепперони</t>
        </is>
      </c>
      <c r="D9" s="33" t="n">
        <v>500</v>
      </c>
      <c r="E9" s="33" t="inlineStr">
        <is>
          <t>г</t>
        </is>
      </c>
      <c r="F9" s="45" t="n">
        <v>258.40966</v>
      </c>
      <c r="G9" s="46">
        <f>IF(F9="","",F9)</f>
        <v/>
      </c>
      <c r="H9" s="45" t="n"/>
      <c r="I9" s="46">
        <f>IF(H9="","",H9)</f>
        <v/>
      </c>
      <c r="J9" s="46">
        <f>IF(I9="","",I9*$Q$3)</f>
        <v/>
      </c>
      <c r="K9" s="46">
        <f>IF(OR(I9="",J9=""),"",I9+J9)</f>
        <v/>
      </c>
      <c r="L9" s="39" t="n"/>
      <c r="M9" s="39" t="n"/>
      <c r="N9" s="43">
        <f>IF(OR(K9="",L9="",M9=""),"",K9+L9+M9)</f>
        <v/>
      </c>
      <c r="O9" s="33" t="inlineStr">
        <is>
          <t>ING-005;VSF-001;VSF-002</t>
        </is>
      </c>
      <c r="P9" s="33" t="inlineStr">
        <is>
          <t>BLOCKED_PENDING_VALIDATION</t>
        </is>
      </c>
      <c r="Q9" s="33" t="inlineStr">
        <is>
          <t>HOF-0002;HOF-0004;PRICE_SOURCE_REGISTER;docs/03-methodology/COGS.md</t>
        </is>
      </c>
    </row>
    <row r="10">
      <c r="A10" s="33" t="inlineStr">
        <is>
          <t>VKC-005</t>
        </is>
      </c>
      <c r="B10" s="33" t="inlineStr">
        <is>
          <t>VKM-005</t>
        </is>
      </c>
      <c r="C10" s="33" t="inlineStr">
        <is>
          <t>Белая чиабатта</t>
        </is>
      </c>
      <c r="D10" s="33" t="n">
        <v>100</v>
      </c>
      <c r="E10" s="33" t="inlineStr">
        <is>
          <t>г</t>
        </is>
      </c>
      <c r="F10" s="45" t="n">
        <v>3.260405</v>
      </c>
      <c r="G10" s="46">
        <f>IF(F10="","",F10)</f>
        <v/>
      </c>
      <c r="H10" s="45" t="n"/>
      <c r="I10" s="46">
        <f>IF(H10="","",H10)</f>
        <v/>
      </c>
      <c r="J10" s="46">
        <f>IF(I10="","",I10*$Q$3)</f>
        <v/>
      </c>
      <c r="K10" s="46">
        <f>IF(OR(I10="",J10=""),"",I10+J10)</f>
        <v/>
      </c>
      <c r="L10" s="39" t="n"/>
      <c r="M10" s="39" t="n"/>
      <c r="N10" s="43">
        <f>IF(OR(K10="",L10="",M10=""),"",K10+L10+M10)</f>
        <v/>
      </c>
      <c r="O10" s="33" t="inlineStr">
        <is>
          <t>VSF-003</t>
        </is>
      </c>
      <c r="P10" s="33" t="inlineStr">
        <is>
          <t>BLOCKED_PENDING_VALIDATION</t>
        </is>
      </c>
      <c r="Q10" s="33" t="inlineStr">
        <is>
          <t>HOF-0002;HOF-0004;PRICE_SOURCE_REGISTER;docs/03-methodology/COGS.md</t>
        </is>
      </c>
    </row>
    <row r="11">
      <c r="A11" s="33" t="inlineStr">
        <is>
          <t>VKC-006</t>
        </is>
      </c>
      <c r="B11" s="33" t="inlineStr">
        <is>
          <t>VKM-006</t>
        </is>
      </c>
      <c r="C11" s="33" t="inlineStr">
        <is>
          <t>Томатная чиабатта</t>
        </is>
      </c>
      <c r="D11" s="33" t="n">
        <v>100</v>
      </c>
      <c r="E11" s="33" t="inlineStr">
        <is>
          <t>г</t>
        </is>
      </c>
      <c r="F11" s="45" t="n">
        <v>3.004952</v>
      </c>
      <c r="G11" s="46">
        <f>IF(F11="","",F11)</f>
        <v/>
      </c>
      <c r="H11" s="45" t="n"/>
      <c r="I11" s="46">
        <f>IF(H11="","",H11)</f>
        <v/>
      </c>
      <c r="J11" s="46">
        <f>IF(I11="","",I11*$Q$3)</f>
        <v/>
      </c>
      <c r="K11" s="46">
        <f>IF(OR(I11="",J11=""),"",I11+J11)</f>
        <v/>
      </c>
      <c r="L11" s="39" t="n"/>
      <c r="M11" s="39" t="n"/>
      <c r="N11" s="43">
        <f>IF(OR(K11="",L11="",M11=""),"",K11+L11+M11)</f>
        <v/>
      </c>
      <c r="O11" s="33" t="inlineStr">
        <is>
          <t>VSF-004</t>
        </is>
      </c>
      <c r="P11" s="33" t="inlineStr">
        <is>
          <t>BLOCKED_PENDING_VALIDATION</t>
        </is>
      </c>
      <c r="Q11" s="33" t="inlineStr">
        <is>
          <t>HOF-0002;HOF-0004;PRICE_SOURCE_REGISTER;docs/03-methodology/COGS.md</t>
        </is>
      </c>
    </row>
    <row r="12">
      <c r="A12" s="33" t="inlineStr">
        <is>
          <t>VKC-007</t>
        </is>
      </c>
      <c r="B12" s="33" t="inlineStr">
        <is>
          <t>VKM-007</t>
        </is>
      </c>
      <c r="C12" s="33" t="inlineStr">
        <is>
          <t>Бородинский хлеб</t>
        </is>
      </c>
      <c r="D12" s="33" t="n">
        <v>350</v>
      </c>
      <c r="E12" s="33" t="inlineStr">
        <is>
          <t>г</t>
        </is>
      </c>
      <c r="F12" s="45" t="n">
        <v>15.775012</v>
      </c>
      <c r="G12" s="46">
        <f>IF(F12="","",F12)</f>
        <v/>
      </c>
      <c r="H12" s="45" t="n"/>
      <c r="I12" s="46">
        <f>IF(H12="","",H12)</f>
        <v/>
      </c>
      <c r="J12" s="46">
        <f>IF(I12="","",I12*$Q$3)</f>
        <v/>
      </c>
      <c r="K12" s="46">
        <f>IF(OR(I12="",J12=""),"",I12+J12)</f>
        <v/>
      </c>
      <c r="L12" s="39" t="n"/>
      <c r="M12" s="39" t="n"/>
      <c r="N12" s="43">
        <f>IF(OR(K12="",L12="",M12=""),"",K12+L12+M12)</f>
        <v/>
      </c>
      <c r="O12" s="33" t="inlineStr">
        <is>
          <t>VSF-005</t>
        </is>
      </c>
      <c r="P12" s="33" t="inlineStr">
        <is>
          <t>BLOCKED_PENDING_VALIDATION</t>
        </is>
      </c>
      <c r="Q12" s="33" t="inlineStr">
        <is>
          <t>HOF-0002;HOF-0004;PRICE_SOURCE_REGISTER;docs/03-methodology/COGS.md</t>
        </is>
      </c>
    </row>
    <row r="13">
      <c r="A13" s="33" t="inlineStr">
        <is>
          <t>VKC-008</t>
        </is>
      </c>
      <c r="B13" s="33" t="inlineStr">
        <is>
          <t>VKM-008</t>
        </is>
      </c>
      <c r="C13" s="33" t="inlineStr">
        <is>
          <t>Бриошь</t>
        </is>
      </c>
      <c r="D13" s="33" t="n">
        <v>85</v>
      </c>
      <c r="E13" s="33" t="inlineStr">
        <is>
          <t>г</t>
        </is>
      </c>
      <c r="F13" s="45" t="n">
        <v>25.87503</v>
      </c>
      <c r="G13" s="46">
        <f>IF(F13="","",F13)</f>
        <v/>
      </c>
      <c r="H13" s="45" t="n"/>
      <c r="I13" s="46">
        <f>IF(H13="","",H13)</f>
        <v/>
      </c>
      <c r="J13" s="46">
        <f>IF(I13="","",I13*$Q$3)</f>
        <v/>
      </c>
      <c r="K13" s="46">
        <f>IF(OR(I13="",J13=""),"",I13+J13)</f>
        <v/>
      </c>
      <c r="L13" s="39" t="n"/>
      <c r="M13" s="39" t="n"/>
      <c r="N13" s="43">
        <f>IF(OR(K13="",L13="",M13=""),"",K13+L13+M13)</f>
        <v/>
      </c>
      <c r="O13" s="33" t="inlineStr">
        <is>
          <t>VSF-006</t>
        </is>
      </c>
      <c r="P13" s="33" t="inlineStr">
        <is>
          <t>BLOCKED_PENDING_VALIDATION</t>
        </is>
      </c>
      <c r="Q13" s="33" t="inlineStr">
        <is>
          <t>HOF-0002;HOF-0004;PRICE_SOURCE_REGISTER;docs/03-methodology/COGS.md</t>
        </is>
      </c>
    </row>
    <row r="14">
      <c r="A14" s="33" t="inlineStr">
        <is>
          <t>VKC-009</t>
        </is>
      </c>
      <c r="B14" s="33" t="inlineStr">
        <is>
          <t>VKM-009</t>
        </is>
      </c>
      <c r="C14" s="33" t="inlineStr">
        <is>
          <t>Буррата с томатами</t>
        </is>
      </c>
      <c r="D14" s="33" t="n">
        <v>300</v>
      </c>
      <c r="E14" s="33" t="inlineStr">
        <is>
          <t>г</t>
        </is>
      </c>
      <c r="F14" s="45" t="n">
        <v>196.873867</v>
      </c>
      <c r="G14" s="46">
        <f>IF(F14="","",F14)</f>
        <v/>
      </c>
      <c r="H14" s="45" t="n"/>
      <c r="I14" s="46">
        <f>IF(H14="","",H14)</f>
        <v/>
      </c>
      <c r="J14" s="46">
        <f>IF(I14="","",I14*$Q$3)</f>
        <v/>
      </c>
      <c r="K14" s="46">
        <f>IF(OR(I14="",J14=""),"",I14+J14)</f>
        <v/>
      </c>
      <c r="L14" s="39" t="n"/>
      <c r="M14" s="39" t="n"/>
      <c r="N14" s="43">
        <f>IF(OR(K14="",L14="",M14=""),"",K14+L14+M14)</f>
        <v/>
      </c>
      <c r="O14" s="33" t="inlineStr">
        <is>
          <t>ING-005;ING-031;ING-034;VSF-007</t>
        </is>
      </c>
      <c r="P14" s="33" t="inlineStr">
        <is>
          <t>BLOCKED_PENDING_VALIDATION</t>
        </is>
      </c>
      <c r="Q14" s="33" t="inlineStr">
        <is>
          <t>HOF-0002;HOF-0004;PRICE_SOURCE_REGISTER;docs/03-methodology/COGS.md</t>
        </is>
      </c>
    </row>
    <row r="15">
      <c r="A15" s="33" t="inlineStr">
        <is>
          <t>VKC-010</t>
        </is>
      </c>
      <c r="B15" s="33" t="inlineStr">
        <is>
          <t>VKM-010</t>
        </is>
      </c>
      <c r="C15" s="33" t="inlineStr">
        <is>
          <t>Микс-салат с креветками и яблоком</t>
        </is>
      </c>
      <c r="D15" s="33" t="n">
        <v>280</v>
      </c>
      <c r="E15" s="33" t="inlineStr">
        <is>
          <t>г</t>
        </is>
      </c>
      <c r="F15" s="45" t="n">
        <v>179.2279</v>
      </c>
      <c r="G15" s="46">
        <f>IF(F15="","",F15)</f>
        <v/>
      </c>
      <c r="H15" s="45" t="n"/>
      <c r="I15" s="46">
        <f>IF(H15="","",H15)</f>
        <v/>
      </c>
      <c r="J15" s="46">
        <f>IF(I15="","",I15*$Q$3)</f>
        <v/>
      </c>
      <c r="K15" s="46">
        <f>IF(OR(I15="",J15=""),"",I15+J15)</f>
        <v/>
      </c>
      <c r="L15" s="39" t="n"/>
      <c r="M15" s="39" t="n"/>
      <c r="N15" s="43">
        <f>IF(OR(K15="",L15="",M15=""),"",K15+L15+M15)</f>
        <v/>
      </c>
      <c r="O15" s="33" t="inlineStr">
        <is>
          <t>ING-035;ING-037;ING-042;VSF-008</t>
        </is>
      </c>
      <c r="P15" s="33" t="inlineStr">
        <is>
          <t>BLOCKED_PENDING_VALIDATION</t>
        </is>
      </c>
      <c r="Q15" s="33" t="inlineStr">
        <is>
          <t>HOF-0002;HOF-0004;PRICE_SOURCE_REGISTER;docs/03-methodology/COGS.md</t>
        </is>
      </c>
    </row>
    <row r="16">
      <c r="A16" s="33" t="inlineStr">
        <is>
          <t>VKC-011</t>
        </is>
      </c>
      <c r="B16" s="33" t="inlineStr">
        <is>
          <t>VKM-011</t>
        </is>
      </c>
      <c r="C16" s="33" t="inlineStr">
        <is>
          <t>Греческий</t>
        </is>
      </c>
      <c r="D16" s="33" t="n">
        <v>270</v>
      </c>
      <c r="E16" s="33" t="inlineStr">
        <is>
          <t>г</t>
        </is>
      </c>
      <c r="F16" s="45" t="n">
        <v>26.06</v>
      </c>
      <c r="G16" s="46">
        <f>IF(F16="","",F16)</f>
        <v/>
      </c>
      <c r="H16" s="45" t="n"/>
      <c r="I16" s="46">
        <f>IF(H16="","",H16)</f>
        <v/>
      </c>
      <c r="J16" s="46">
        <f>IF(I16="","",I16*$Q$3)</f>
        <v/>
      </c>
      <c r="K16" s="46">
        <f>IF(OR(I16="",J16=""),"",I16+J16)</f>
        <v/>
      </c>
      <c r="L16" s="39" t="n"/>
      <c r="M16" s="39" t="n"/>
      <c r="N16" s="43">
        <f>IF(OR(K16="",L16="",M16=""),"",K16+L16+M16)</f>
        <v/>
      </c>
      <c r="O16" s="33" t="inlineStr">
        <is>
          <t>ING-031;ING-044;ING-045;VSF-009</t>
        </is>
      </c>
      <c r="P16" s="33" t="inlineStr">
        <is>
          <t>BLOCKED_PENDING_VALIDATION</t>
        </is>
      </c>
      <c r="Q16" s="33" t="inlineStr">
        <is>
          <t>HOF-0002;HOF-0004;PRICE_SOURCE_REGISTER;docs/03-methodology/COGS.md</t>
        </is>
      </c>
    </row>
    <row r="17">
      <c r="A17" s="33" t="inlineStr">
        <is>
          <t>VKC-012</t>
        </is>
      </c>
      <c r="B17" s="33" t="inlineStr">
        <is>
          <t>VKM-012</t>
        </is>
      </c>
      <c r="C17" s="33" t="inlineStr">
        <is>
          <t>Винегрет</t>
        </is>
      </c>
      <c r="D17" s="33" t="n">
        <v>240</v>
      </c>
      <c r="E17" s="33" t="inlineStr">
        <is>
          <t>г</t>
        </is>
      </c>
      <c r="F17" s="45" t="n">
        <v>0.2934</v>
      </c>
      <c r="G17" s="46">
        <f>IF(F17="","",F17)</f>
        <v/>
      </c>
      <c r="H17" s="45" t="n"/>
      <c r="I17" s="46">
        <f>IF(H17="","",H17)</f>
        <v/>
      </c>
      <c r="J17" s="46">
        <f>IF(I17="","",I17*$Q$3)</f>
        <v/>
      </c>
      <c r="K17" s="46">
        <f>IF(OR(I17="",J17=""),"",I17+J17)</f>
        <v/>
      </c>
      <c r="L17" s="39" t="n"/>
      <c r="M17" s="39" t="n"/>
      <c r="N17" s="43">
        <f>IF(OR(K17="",L17="",M17=""),"",K17+L17+M17)</f>
        <v/>
      </c>
      <c r="O17" s="33" t="inlineStr">
        <is>
          <t>ING-024;ING-051;ING-052;ING-053;VSF-010</t>
        </is>
      </c>
      <c r="P17" s="33" t="inlineStr">
        <is>
          <t>BLOCKED_PENDING_VALIDATION</t>
        </is>
      </c>
      <c r="Q17" s="33" t="inlineStr">
        <is>
          <t>HOF-0002;HOF-0004;PRICE_SOURCE_REGISTER;docs/03-methodology/COGS.md</t>
        </is>
      </c>
    </row>
    <row r="18">
      <c r="A18" s="33" t="inlineStr">
        <is>
          <t>VKC-013</t>
        </is>
      </c>
      <c r="B18" s="33" t="inlineStr">
        <is>
          <t>VKM-013</t>
        </is>
      </c>
      <c r="C18" s="33" t="inlineStr">
        <is>
          <t>Слабосолёный лосось</t>
        </is>
      </c>
      <c r="D18" s="33" t="n">
        <v>130</v>
      </c>
      <c r="E18" s="33" t="inlineStr">
        <is>
          <t>г</t>
        </is>
      </c>
      <c r="F18" s="45" t="n">
        <v>442.076333</v>
      </c>
      <c r="G18" s="46">
        <f>IF(F18="","",F18)</f>
        <v/>
      </c>
      <c r="H18" s="45" t="n"/>
      <c r="I18" s="46">
        <f>IF(H18="","",H18)</f>
        <v/>
      </c>
      <c r="J18" s="46">
        <f>IF(I18="","",I18*$Q$3)</f>
        <v/>
      </c>
      <c r="K18" s="46">
        <f>IF(OR(I18="",J18=""),"",I18+J18)</f>
        <v/>
      </c>
      <c r="L18" s="39" t="n"/>
      <c r="M18" s="39" t="n"/>
      <c r="N18" s="43">
        <f>IF(OR(K18="",L18="",M18=""),"",K18+L18+M18)</f>
        <v/>
      </c>
      <c r="O18" s="33" t="inlineStr">
        <is>
          <t>ING-024;ING-034;ING-056</t>
        </is>
      </c>
      <c r="P18" s="33" t="inlineStr">
        <is>
          <t>BLOCKED_PENDING_VALIDATION</t>
        </is>
      </c>
      <c r="Q18" s="33" t="inlineStr">
        <is>
          <t>HOF-0002;HOF-0004;PRICE_SOURCE_REGISTER;docs/03-methodology/COGS.md</t>
        </is>
      </c>
    </row>
    <row r="19">
      <c r="A19" s="33" t="inlineStr">
        <is>
          <t>VKC-014</t>
        </is>
      </c>
      <c r="B19" s="33" t="inlineStr">
        <is>
          <t>VKM-014</t>
        </is>
      </c>
      <c r="C19" s="33" t="inlineStr">
        <is>
          <t>Сельдь с запечённым картофелем</t>
        </is>
      </c>
      <c r="D19" s="33" t="n">
        <v>250</v>
      </c>
      <c r="E19" s="33" t="inlineStr">
        <is>
          <t>г</t>
        </is>
      </c>
      <c r="F19" s="45" t="n">
        <v>72.78102</v>
      </c>
      <c r="G19" s="46">
        <f>IF(F19="","",F19)</f>
        <v/>
      </c>
      <c r="H19" s="45" t="n"/>
      <c r="I19" s="46">
        <f>IF(H19="","",H19)</f>
        <v/>
      </c>
      <c r="J19" s="46">
        <f>IF(I19="","",I19*$Q$3)</f>
        <v/>
      </c>
      <c r="K19" s="46">
        <f>IF(OR(I19="",J19=""),"",I19+J19)</f>
        <v/>
      </c>
      <c r="L19" s="39" t="n"/>
      <c r="M19" s="39" t="n"/>
      <c r="N19" s="43">
        <f>IF(OR(K19="",L19="",M19=""),"",K19+L19+M19)</f>
        <v/>
      </c>
      <c r="O19" s="33" t="inlineStr">
        <is>
          <t>ING-024;ING-051;ING-059;VSF-011</t>
        </is>
      </c>
      <c r="P19" s="33" t="inlineStr">
        <is>
          <t>BLOCKED_PENDING_VALIDATION</t>
        </is>
      </c>
      <c r="Q19" s="33" t="inlineStr">
        <is>
          <t>HOF-0002;HOF-0004;PRICE_SOURCE_REGISTER;docs/03-methodology/COGS.md</t>
        </is>
      </c>
    </row>
    <row r="20">
      <c r="A20" s="33" t="inlineStr">
        <is>
          <t>VKC-015</t>
        </is>
      </c>
      <c r="B20" s="33" t="inlineStr">
        <is>
          <t>VKM-015</t>
        </is>
      </c>
      <c r="C20" s="33" t="inlineStr">
        <is>
          <t>Оливки и маслины</t>
        </is>
      </c>
      <c r="D20" s="33" t="n">
        <v>120</v>
      </c>
      <c r="E20" s="33" t="inlineStr">
        <is>
          <t>г</t>
        </is>
      </c>
      <c r="F20" s="45" t="n">
        <v>0.874</v>
      </c>
      <c r="G20" s="46">
        <f>IF(F20="","",F20)</f>
        <v/>
      </c>
      <c r="H20" s="45" t="n"/>
      <c r="I20" s="46">
        <f>IF(H20="","",H20)</f>
        <v/>
      </c>
      <c r="J20" s="46">
        <f>IF(I20="","",I20*$Q$3)</f>
        <v/>
      </c>
      <c r="K20" s="46">
        <f>IF(OR(I20="",J20=""),"",I20+J20)</f>
        <v/>
      </c>
      <c r="L20" s="39" t="n"/>
      <c r="M20" s="39" t="n"/>
      <c r="N20" s="43">
        <f>IF(OR(K20="",L20="",M20=""),"",K20+L20+M20)</f>
        <v/>
      </c>
      <c r="O20" s="33" t="inlineStr">
        <is>
          <t>ING-060;ING-061;VSF-012</t>
        </is>
      </c>
      <c r="P20" s="33" t="inlineStr">
        <is>
          <t>BLOCKED_PENDING_VALIDATION</t>
        </is>
      </c>
      <c r="Q20" s="33" t="inlineStr">
        <is>
          <t>HOF-0002;HOF-0004;PRICE_SOURCE_REGISTER;docs/03-methodology/COGS.md</t>
        </is>
      </c>
    </row>
    <row r="21">
      <c r="A21" s="33" t="inlineStr">
        <is>
          <t>VKC-016</t>
        </is>
      </c>
      <c r="B21" s="33" t="inlineStr">
        <is>
          <t>VKM-016</t>
        </is>
      </c>
      <c r="C21" s="33" t="inlineStr">
        <is>
          <t>Ассорти фирменных солений</t>
        </is>
      </c>
      <c r="D21" s="33" t="n">
        <v>180</v>
      </c>
      <c r="E21" s="33" t="inlineStr">
        <is>
          <t>г</t>
        </is>
      </c>
      <c r="F21" s="45" t="n">
        <v>22.27546</v>
      </c>
      <c r="G21" s="46">
        <f>IF(F21="","",F21)</f>
        <v/>
      </c>
      <c r="H21" s="45" t="n"/>
      <c r="I21" s="46">
        <f>IF(H21="","",H21)</f>
        <v/>
      </c>
      <c r="J21" s="46">
        <f>IF(I21="","",I21*$Q$3)</f>
        <v/>
      </c>
      <c r="K21" s="46">
        <f>IF(OR(I21="",J21=""),"",I21+J21)</f>
        <v/>
      </c>
      <c r="L21" s="39" t="n"/>
      <c r="M21" s="39" t="n"/>
      <c r="N21" s="43">
        <f>IF(OR(K21="",L21="",M21=""),"",K21+L21+M21)</f>
        <v/>
      </c>
      <c r="O21" s="33" t="inlineStr">
        <is>
          <t>VSF-014</t>
        </is>
      </c>
      <c r="P21" s="33" t="inlineStr">
        <is>
          <t>BLOCKED_PENDING_VALIDATION</t>
        </is>
      </c>
      <c r="Q21" s="33" t="inlineStr">
        <is>
          <t>HOF-0002;HOF-0004;PRICE_SOURCE_REGISTER;docs/03-methodology/COGS.md</t>
        </is>
      </c>
    </row>
    <row r="22">
      <c r="A22" s="33" t="inlineStr">
        <is>
          <t>VKC-017</t>
        </is>
      </c>
      <c r="B22" s="33" t="inlineStr">
        <is>
          <t>VKM-017</t>
        </is>
      </c>
      <c r="C22" s="33" t="inlineStr">
        <is>
          <t>Ростбиф с луком и гренкой</t>
        </is>
      </c>
      <c r="D22" s="33" t="n">
        <v>180</v>
      </c>
      <c r="E22" s="33" t="inlineStr">
        <is>
          <t>г</t>
        </is>
      </c>
      <c r="F22" s="45" t="n">
        <v>3.12</v>
      </c>
      <c r="G22" s="46">
        <f>IF(F22="","",F22)</f>
        <v/>
      </c>
      <c r="H22" s="45" t="n"/>
      <c r="I22" s="46">
        <f>IF(H22="","",H22)</f>
        <v/>
      </c>
      <c r="J22" s="46">
        <f>IF(I22="","",I22*$Q$3)</f>
        <v/>
      </c>
      <c r="K22" s="46">
        <f>IF(OR(I22="",J22=""),"",I22+J22)</f>
        <v/>
      </c>
      <c r="L22" s="39" t="n"/>
      <c r="M22" s="39" t="n"/>
      <c r="N22" s="43">
        <f>IF(OR(K22="",L22="",M22=""),"",K22+L22+M22)</f>
        <v/>
      </c>
      <c r="O22" s="33" t="inlineStr">
        <is>
          <t>ING-059;ING-066;VSF-015;VSF-016</t>
        </is>
      </c>
      <c r="P22" s="33" t="inlineStr">
        <is>
          <t>BLOCKED_PENDING_VALIDATION</t>
        </is>
      </c>
      <c r="Q22" s="33" t="inlineStr">
        <is>
          <t>HOF-0002;HOF-0004;PRICE_SOURCE_REGISTER;docs/03-methodology/COGS.md</t>
        </is>
      </c>
    </row>
    <row r="23">
      <c r="A23" s="33" t="inlineStr">
        <is>
          <t>VKC-018</t>
        </is>
      </c>
      <c r="B23" s="33" t="inlineStr">
        <is>
          <t>VKM-018</t>
        </is>
      </c>
      <c r="C23" s="33" t="inlineStr">
        <is>
          <t>Традиционный красный борщ</t>
        </is>
      </c>
      <c r="D23" s="33" t="n">
        <v>400</v>
      </c>
      <c r="E23" s="33" t="inlineStr">
        <is>
          <t>г</t>
        </is>
      </c>
      <c r="F23" s="45" t="n">
        <v>17.693725</v>
      </c>
      <c r="G23" s="46">
        <f>IF(F23="","",F23)</f>
        <v/>
      </c>
      <c r="H23" s="45" t="n"/>
      <c r="I23" s="46">
        <f>IF(H23="","",H23)</f>
        <v/>
      </c>
      <c r="J23" s="46">
        <f>IF(I23="","",I23*$Q$3)</f>
        <v/>
      </c>
      <c r="K23" s="46">
        <f>IF(OR(I23="",J23=""),"",I23+J23)</f>
        <v/>
      </c>
      <c r="L23" s="39" t="n"/>
      <c r="M23" s="39" t="n"/>
      <c r="N23" s="43">
        <f>IF(OR(K23="",L23="",M23=""),"",K23+L23+M23)</f>
        <v/>
      </c>
      <c r="O23" s="33" t="inlineStr">
        <is>
          <t>ING-059;ING-073;ING-075;VSF-017;VSF-018</t>
        </is>
      </c>
      <c r="P23" s="33" t="inlineStr">
        <is>
          <t>BLOCKED_PENDING_VALIDATION</t>
        </is>
      </c>
      <c r="Q23" s="33" t="inlineStr">
        <is>
          <t>HOF-0002;HOF-0004;PRICE_SOURCE_REGISTER;docs/03-methodology/COGS.md</t>
        </is>
      </c>
    </row>
    <row r="24">
      <c r="A24" s="33" t="inlineStr">
        <is>
          <t>VKC-019</t>
        </is>
      </c>
      <c r="B24" s="33" t="inlineStr">
        <is>
          <t>VKM-019</t>
        </is>
      </c>
      <c r="C24" s="33" t="inlineStr">
        <is>
          <t>Мурманская треска со сливочно-горчичным соусом</t>
        </is>
      </c>
      <c r="D24" s="33" t="n">
        <v>300</v>
      </c>
      <c r="E24" s="33" t="inlineStr">
        <is>
          <t>г</t>
        </is>
      </c>
      <c r="F24" s="45" t="n">
        <v>303.757296</v>
      </c>
      <c r="G24" s="46">
        <f>IF(F24="","",F24)</f>
        <v/>
      </c>
      <c r="H24" s="45" t="n"/>
      <c r="I24" s="46">
        <f>IF(H24="","",H24)</f>
        <v/>
      </c>
      <c r="J24" s="46">
        <f>IF(I24="","",I24*$Q$3)</f>
        <v/>
      </c>
      <c r="K24" s="46">
        <f>IF(OR(I24="",J24=""),"",I24+J24)</f>
        <v/>
      </c>
      <c r="L24" s="39" t="n"/>
      <c r="M24" s="39" t="n"/>
      <c r="N24" s="43">
        <f>IF(OR(K24="",L24="",M24=""),"",K24+L24+M24)</f>
        <v/>
      </c>
      <c r="O24" s="33" t="inlineStr">
        <is>
          <t>ING-024;ING-059;ING-079;VSF-019</t>
        </is>
      </c>
      <c r="P24" s="33" t="inlineStr">
        <is>
          <t>BLOCKED_PENDING_VALIDATION</t>
        </is>
      </c>
      <c r="Q24" s="33" t="inlineStr">
        <is>
          <t>HOF-0002;HOF-0004;PRICE_SOURCE_REGISTER;docs/03-methodology/COGS.md</t>
        </is>
      </c>
    </row>
    <row r="25">
      <c r="A25" s="33" t="inlineStr">
        <is>
          <t>VKC-020</t>
        </is>
      </c>
      <c r="B25" s="33" t="inlineStr">
        <is>
          <t>VKM-020</t>
        </is>
      </c>
      <c r="C25" s="33" t="inlineStr">
        <is>
          <t>Креветки по-тайски</t>
        </is>
      </c>
      <c r="D25" s="33" t="n">
        <v>360</v>
      </c>
      <c r="E25" s="33" t="inlineStr">
        <is>
          <t>г</t>
        </is>
      </c>
      <c r="F25" s="45" t="n">
        <v>252.6062</v>
      </c>
      <c r="G25" s="46">
        <f>IF(F25="","",F25)</f>
        <v/>
      </c>
      <c r="H25" s="45" t="n"/>
      <c r="I25" s="46">
        <f>IF(H25="","",H25)</f>
        <v/>
      </c>
      <c r="J25" s="46">
        <f>IF(I25="","",I25*$Q$3)</f>
        <v/>
      </c>
      <c r="K25" s="46">
        <f>IF(OR(I25="",J25=""),"",I25+J25)</f>
        <v/>
      </c>
      <c r="L25" s="39" t="n"/>
      <c r="M25" s="39" t="n"/>
      <c r="N25" s="43">
        <f>IF(OR(K25="",L25="",M25=""),"",K25+L25+M25)</f>
        <v/>
      </c>
      <c r="O25" s="33" t="inlineStr">
        <is>
          <t>ING-084;ING-085;ING-086;VSF-020</t>
        </is>
      </c>
      <c r="P25" s="33" t="inlineStr">
        <is>
          <t>BLOCKED_PENDING_VALIDATION</t>
        </is>
      </c>
      <c r="Q25" s="33" t="inlineStr">
        <is>
          <t>HOF-0002;HOF-0004;PRICE_SOURCE_REGISTER;docs/03-methodology/COGS.md</t>
        </is>
      </c>
    </row>
    <row r="26">
      <c r="A26" s="33" t="inlineStr">
        <is>
          <t>VKC-021</t>
        </is>
      </c>
      <c r="B26" s="33" t="inlineStr">
        <is>
          <t>VKM-021</t>
        </is>
      </c>
      <c r="C26" s="33" t="inlineStr">
        <is>
          <t>Бургер VARSHAVKA</t>
        </is>
      </c>
      <c r="D26" s="33" t="n">
        <v>350</v>
      </c>
      <c r="E26" s="33" t="inlineStr">
        <is>
          <t>г</t>
        </is>
      </c>
      <c r="F26" s="45" t="n">
        <v>164.12328</v>
      </c>
      <c r="G26" s="46">
        <f>IF(F26="","",F26)</f>
        <v/>
      </c>
      <c r="H26" s="45" t="n"/>
      <c r="I26" s="46">
        <f>IF(H26="","",H26)</f>
        <v/>
      </c>
      <c r="J26" s="46">
        <f>IF(I26="","",I26*$Q$3)</f>
        <v/>
      </c>
      <c r="K26" s="46">
        <f>IF(OR(I26="",J26=""),"",I26+J26)</f>
        <v/>
      </c>
      <c r="L26" s="39" t="n"/>
      <c r="M26" s="39" t="n"/>
      <c r="N26" s="43">
        <f>IF(OR(K26="",L26="",M26=""),"",K26+L26+M26)</f>
        <v/>
      </c>
      <c r="O26" s="33" t="inlineStr">
        <is>
          <t>ING-090;ING-091;ING-092;ING-093;ING-096;VSF-006;VSF-021;VSF-022</t>
        </is>
      </c>
      <c r="P26" s="33" t="inlineStr">
        <is>
          <t>BLOCKED_PENDING_VALIDATION</t>
        </is>
      </c>
      <c r="Q26" s="33" t="inlineStr">
        <is>
          <t>HOF-0002;HOF-0004;PRICE_SOURCE_REGISTER;docs/03-methodology/COGS.md</t>
        </is>
      </c>
    </row>
    <row r="27">
      <c r="A27" s="33" t="inlineStr">
        <is>
          <t>VKC-022</t>
        </is>
      </c>
      <c r="B27" s="33" t="inlineStr">
        <is>
          <t>VKM-022</t>
        </is>
      </c>
      <c r="C27" s="33" t="inlineStr">
        <is>
          <t>Миньоны из говяжьей вырезки</t>
        </is>
      </c>
      <c r="D27" s="33" t="n">
        <v>300</v>
      </c>
      <c r="E27" s="33" t="inlineStr">
        <is>
          <t>г</t>
        </is>
      </c>
      <c r="F27" s="45" t="n">
        <v>303.133006</v>
      </c>
      <c r="G27" s="46">
        <f>IF(F27="","",F27)</f>
        <v/>
      </c>
      <c r="H27" s="45" t="n"/>
      <c r="I27" s="46">
        <f>IF(H27="","",H27)</f>
        <v/>
      </c>
      <c r="J27" s="46">
        <f>IF(I27="","",I27*$Q$3)</f>
        <v/>
      </c>
      <c r="K27" s="46">
        <f>IF(OR(I27="",J27=""),"",I27+J27)</f>
        <v/>
      </c>
      <c r="L27" s="39" t="n"/>
      <c r="M27" s="39" t="n"/>
      <c r="N27" s="43">
        <f>IF(OR(K27="",L27="",M27=""),"",K27+L27+M27)</f>
        <v/>
      </c>
      <c r="O27" s="33" t="inlineStr">
        <is>
          <t>ING-024;ING-033;ING-059;ING-063;ING-099;VSF-024</t>
        </is>
      </c>
      <c r="P27" s="33" t="inlineStr">
        <is>
          <t>BLOCKED_PENDING_VALIDATION</t>
        </is>
      </c>
      <c r="Q27" s="33" t="inlineStr">
        <is>
          <t>HOF-0002;HOF-0004;PRICE_SOURCE_REGISTER;docs/03-methodology/COGS.md</t>
        </is>
      </c>
    </row>
    <row r="28">
      <c r="A28" s="33" t="inlineStr">
        <is>
          <t>VKC-023</t>
        </is>
      </c>
      <c r="B28" s="33" t="inlineStr">
        <is>
          <t>VKM-023</t>
        </is>
      </c>
      <c r="C28" s="33" t="inlineStr">
        <is>
          <t>Запечённый картофель</t>
        </is>
      </c>
      <c r="D28" s="33" t="n">
        <v>150</v>
      </c>
      <c r="E28" s="33" t="inlineStr">
        <is>
          <t>г</t>
        </is>
      </c>
      <c r="F28" s="45" t="n">
        <v>16.9983</v>
      </c>
      <c r="G28" s="46">
        <f>IF(F28="","",F28)</f>
        <v/>
      </c>
      <c r="H28" s="45" t="n"/>
      <c r="I28" s="46">
        <f>IF(H28="","",H28)</f>
        <v/>
      </c>
      <c r="J28" s="46">
        <f>IF(I28="","",I28*$Q$3)</f>
        <v/>
      </c>
      <c r="K28" s="46">
        <f>IF(OR(I28="",J28=""),"",I28+J28)</f>
        <v/>
      </c>
      <c r="L28" s="39" t="n"/>
      <c r="M28" s="39" t="n"/>
      <c r="N28" s="43">
        <f>IF(OR(K28="",L28="",M28=""),"",K28+L28+M28)</f>
        <v/>
      </c>
      <c r="O28" s="33" t="inlineStr">
        <is>
          <t>VSF-011</t>
        </is>
      </c>
      <c r="P28" s="33" t="inlineStr">
        <is>
          <t>BLOCKED_PENDING_VALIDATION</t>
        </is>
      </c>
      <c r="Q28" s="33" t="inlineStr">
        <is>
          <t>HOF-0002;HOF-0004;PRICE_SOURCE_REGISTER;docs/03-methodology/COGS.md</t>
        </is>
      </c>
    </row>
    <row r="29">
      <c r="A29" s="33" t="inlineStr">
        <is>
          <t>VKC-024</t>
        </is>
      </c>
      <c r="B29" s="33" t="inlineStr">
        <is>
          <t>VKM-024</t>
        </is>
      </c>
      <c r="C29" s="33" t="inlineStr">
        <is>
          <t>Рис жасмин</t>
        </is>
      </c>
      <c r="D29" s="33" t="n">
        <v>150</v>
      </c>
      <c r="E29" s="33" t="inlineStr">
        <is>
          <t>г</t>
        </is>
      </c>
      <c r="F29" s="45" t="n">
        <v>5.641258</v>
      </c>
      <c r="G29" s="46">
        <f>IF(F29="","",F29)</f>
        <v/>
      </c>
      <c r="H29" s="45" t="n"/>
      <c r="I29" s="46">
        <f>IF(H29="","",H29)</f>
        <v/>
      </c>
      <c r="J29" s="46">
        <f>IF(I29="","",I29*$Q$3)</f>
        <v/>
      </c>
      <c r="K29" s="46">
        <f>IF(OR(I29="",J29=""),"",I29+J29)</f>
        <v/>
      </c>
      <c r="L29" s="39" t="n"/>
      <c r="M29" s="39" t="n"/>
      <c r="N29" s="43">
        <f>IF(OR(K29="",L29="",M29=""),"",K29+L29+M29)</f>
        <v/>
      </c>
      <c r="O29" s="33" t="inlineStr">
        <is>
          <t>ING-024;VSF-025</t>
        </is>
      </c>
      <c r="P29" s="33" t="inlineStr">
        <is>
          <t>BLOCKED_PENDING_VALIDATION</t>
        </is>
      </c>
      <c r="Q29" s="33" t="inlineStr">
        <is>
          <t>HOF-0002;HOF-0004;PRICE_SOURCE_REGISTER;docs/03-methodology/COGS.md</t>
        </is>
      </c>
    </row>
    <row r="30">
      <c r="A30" s="33" t="inlineStr">
        <is>
          <t>VKC-025</t>
        </is>
      </c>
      <c r="B30" s="33" t="inlineStr">
        <is>
          <t>VKM-025</t>
        </is>
      </c>
      <c r="C30" s="33" t="inlineStr">
        <is>
          <t>Горячие овощи</t>
        </is>
      </c>
      <c r="D30" s="33" t="n">
        <v>150</v>
      </c>
      <c r="E30" s="33" t="inlineStr">
        <is>
          <t>г</t>
        </is>
      </c>
      <c r="F30" s="45" t="n">
        <v>31.829613</v>
      </c>
      <c r="G30" s="46">
        <f>IF(F30="","",F30)</f>
        <v/>
      </c>
      <c r="H30" s="45" t="n"/>
      <c r="I30" s="46">
        <f>IF(H30="","",H30)</f>
        <v/>
      </c>
      <c r="J30" s="46">
        <f>IF(I30="","",I30*$Q$3)</f>
        <v/>
      </c>
      <c r="K30" s="46">
        <f>IF(OR(I30="",J30=""),"",I30+J30)</f>
        <v/>
      </c>
      <c r="L30" s="39" t="n"/>
      <c r="M30" s="39" t="n"/>
      <c r="N30" s="43">
        <f>IF(OR(K30="",L30="",M30=""),"",K30+L30+M30)</f>
        <v/>
      </c>
      <c r="O30" s="33" t="inlineStr">
        <is>
          <t>ING-024;ING-033;ING-063;VSF-026</t>
        </is>
      </c>
      <c r="P30" s="33" t="inlineStr">
        <is>
          <t>BLOCKED_PENDING_VALIDATION</t>
        </is>
      </c>
      <c r="Q30" s="33" t="inlineStr">
        <is>
          <t>HOF-0002;HOF-0004;PRICE_SOURCE_REGISTER;docs/03-methodology/COGS.md</t>
        </is>
      </c>
    </row>
    <row r="31">
      <c r="A31" s="33" t="inlineStr">
        <is>
          <t>VKC-029</t>
        </is>
      </c>
      <c r="B31" s="33" t="inlineStr">
        <is>
          <t>VKM-029</t>
        </is>
      </c>
      <c r="C31" s="33" t="inlineStr">
        <is>
          <t>Черничный торт VARSHAVKA</t>
        </is>
      </c>
      <c r="D31" s="33" t="n">
        <v>1800</v>
      </c>
      <c r="E31" s="33" t="inlineStr">
        <is>
          <t>г</t>
        </is>
      </c>
      <c r="F31" s="45" t="n">
        <v>861.862722</v>
      </c>
      <c r="G31" s="46">
        <f>IF(F31="","",F31)</f>
        <v/>
      </c>
      <c r="H31" s="45" t="n"/>
      <c r="I31" s="46">
        <f>IF(H31="","",H31)</f>
        <v/>
      </c>
      <c r="J31" s="46">
        <f>IF(I31="","",I31*$Q$3)</f>
        <v/>
      </c>
      <c r="K31" s="46">
        <f>IF(OR(I31="",J31=""),"",I31+J31)</f>
        <v/>
      </c>
      <c r="L31" s="39" t="n"/>
      <c r="M31" s="39" t="n"/>
      <c r="N31" s="43">
        <f>IF(OR(K31="",L31="",M31=""),"",K31+L31+M31)</f>
        <v/>
      </c>
      <c r="O31" s="33" t="inlineStr">
        <is>
          <t>ING-112;VSF-027;VSF-029;VSF-030</t>
        </is>
      </c>
      <c r="P31" s="33" t="inlineStr">
        <is>
          <t>BLOCKED_PENDING_VALIDATION</t>
        </is>
      </c>
      <c r="Q31" s="33" t="inlineStr">
        <is>
          <t>HOF-0002;HOF-0004;PRICE_SOURCE_REGISTER;docs/03-methodology/COGS.md</t>
        </is>
      </c>
    </row>
    <row r="32">
      <c r="A32" s="33" t="inlineStr">
        <is>
          <t>VKC-030</t>
        </is>
      </c>
      <c r="B32" s="33" t="inlineStr">
        <is>
          <t>VKM-030</t>
        </is>
      </c>
      <c r="C32" s="33" t="inlineStr">
        <is>
          <t>Кростата с солёной карамелью</t>
        </is>
      </c>
      <c r="D32" s="33" t="n">
        <v>1200</v>
      </c>
      <c r="E32" s="33" t="inlineStr">
        <is>
          <t>г</t>
        </is>
      </c>
      <c r="F32" s="45" t="n">
        <v>551.765083</v>
      </c>
      <c r="G32" s="46">
        <f>IF(F32="","",F32)</f>
        <v/>
      </c>
      <c r="H32" s="45" t="n"/>
      <c r="I32" s="46">
        <f>IF(H32="","",H32)</f>
        <v/>
      </c>
      <c r="J32" s="46">
        <f>IF(I32="","",I32*$Q$3)</f>
        <v/>
      </c>
      <c r="K32" s="46">
        <f>IF(OR(I32="",J32=""),"",I32+J32)</f>
        <v/>
      </c>
      <c r="L32" s="39" t="n"/>
      <c r="M32" s="39" t="n"/>
      <c r="N32" s="43">
        <f>IF(OR(K32="",L32="",M32=""),"",K32+L32+M32)</f>
        <v/>
      </c>
      <c r="O32" s="33" t="inlineStr">
        <is>
          <t>ING-112;VSF-031;VSF-032</t>
        </is>
      </c>
      <c r="P32" s="33" t="inlineStr">
        <is>
          <t>BLOCKED_PENDING_VALIDATION</t>
        </is>
      </c>
      <c r="Q32" s="33" t="inlineStr">
        <is>
          <t>HOF-0002;HOF-0004;PRICE_SOURCE_REGISTER;docs/03-methodology/COGS.md</t>
        </is>
      </c>
    </row>
    <row r="33">
      <c r="A33" s="33" t="inlineStr">
        <is>
          <t>VKC-031</t>
        </is>
      </c>
      <c r="B33" s="33" t="inlineStr">
        <is>
          <t>VKM-031</t>
        </is>
      </c>
      <c r="C33" s="33" t="inlineStr">
        <is>
          <t>Мадлен</t>
        </is>
      </c>
      <c r="D33" s="33" t="n">
        <v>600</v>
      </c>
      <c r="E33" s="33" t="inlineStr">
        <is>
          <t>г</t>
        </is>
      </c>
      <c r="F33" s="45" t="n">
        <v>241.707519</v>
      </c>
      <c r="G33" s="46">
        <f>IF(F33="","",F33)</f>
        <v/>
      </c>
      <c r="H33" s="45" t="n"/>
      <c r="I33" s="46">
        <f>IF(H33="","",H33)</f>
        <v/>
      </c>
      <c r="J33" s="46">
        <f>IF(I33="","",I33*$Q$3)</f>
        <v/>
      </c>
      <c r="K33" s="46">
        <f>IF(OR(I33="",J33=""),"",I33+J33)</f>
        <v/>
      </c>
      <c r="L33" s="39" t="n"/>
      <c r="M33" s="39" t="n"/>
      <c r="N33" s="43">
        <f>IF(OR(K33="",L33="",M33=""),"",K33+L33+M33)</f>
        <v/>
      </c>
      <c r="O33" s="33" t="inlineStr">
        <is>
          <t>VSF-034</t>
        </is>
      </c>
      <c r="P33" s="33" t="inlineStr">
        <is>
          <t>BLOCKED_PENDING_VALIDATION</t>
        </is>
      </c>
      <c r="Q33" s="33" t="inlineStr">
        <is>
          <t>HOF-0002;HOF-0004;PRICE_SOURCE_REGISTER;docs/03-methodology/COGS.md</t>
        </is>
      </c>
    </row>
    <row r="34">
      <c r="A34" s="28" t="n"/>
      <c r="B34" s="28" t="n"/>
      <c r="C34" s="28" t="n"/>
      <c r="D34" s="28" t="n"/>
      <c r="E34" s="28" t="n"/>
      <c r="F34" s="28" t="n"/>
      <c r="G34" s="28" t="n"/>
      <c r="H34" s="28" t="n"/>
      <c r="I34" s="28" t="n"/>
      <c r="J34" s="28" t="n"/>
      <c r="K34" s="28" t="n"/>
      <c r="L34" s="28" t="n"/>
      <c r="M34" s="28" t="n"/>
      <c r="N34" s="28" t="n"/>
      <c r="O34" s="28" t="n"/>
      <c r="P34" s="28" t="n"/>
      <c r="Q34" s="28" t="n"/>
    </row>
    <row r="35">
      <c r="A35" s="28" t="n"/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28" t="n"/>
      <c r="O35" s="28" t="n"/>
      <c r="P35" s="28" t="n"/>
      <c r="Q35" s="28" t="n"/>
    </row>
    <row r="36">
      <c r="A36" s="35" t="inlineStr">
        <is>
          <t>Отдельный proxy-сценарий — НЕ доказательная себестоимость / НЕ утверждённая цена</t>
        </is>
      </c>
    </row>
    <row r="37" ht="34" customHeight="1">
      <c r="A37" s="32" t="inlineStr">
        <is>
          <t>Dish ID</t>
        </is>
      </c>
      <c r="B37" s="32" t="inlineStr">
        <is>
          <t>Блюдо</t>
        </is>
      </c>
      <c r="C37" s="32" t="inlineStr">
        <is>
          <t>Версия</t>
        </is>
      </c>
      <c r="D37" s="32" t="inlineStr">
        <is>
          <t>Scenario food</t>
        </is>
      </c>
      <c r="E37" s="32" t="inlineStr">
        <is>
          <t>Proxy component</t>
        </is>
      </c>
      <c r="F37" s="32" t="inlineStr">
        <is>
          <t>Evidence floor</t>
        </is>
      </c>
      <c r="G37" s="32" t="inlineStr">
        <is>
          <t>Spoilage</t>
        </is>
      </c>
      <c r="H37" s="32" t="inlineStr">
        <is>
          <t>Scenario COGS</t>
        </is>
      </c>
      <c r="I37" s="32" t="inlineStr">
        <is>
          <t>Scenario status</t>
        </is>
      </c>
      <c r="J37" s="32" t="inlineStr">
        <is>
          <t>Confidence</t>
        </is>
      </c>
      <c r="K37" s="32" t="inlineStr">
        <is>
          <t>Procurement</t>
        </is>
      </c>
      <c r="L37" s="32" t="inlineStr">
        <is>
          <t>Method</t>
        </is>
      </c>
      <c r="M37" s="32" t="inlineStr">
        <is>
          <t>Limitations</t>
        </is>
      </c>
      <c r="N37" s="28" t="n"/>
      <c r="O37" s="28" t="n"/>
      <c r="P37" s="28" t="n"/>
      <c r="Q37" s="28" t="n"/>
    </row>
    <row r="38">
      <c r="A38" s="33" t="inlineStr">
        <is>
          <t>VKM-001</t>
        </is>
      </c>
      <c r="B38" s="33" t="inlineStr">
        <is>
          <t>Маргарита</t>
        </is>
      </c>
      <c r="C38" s="33" t="inlineStr">
        <is>
          <t>0.1.0-DRAFT</t>
        </is>
      </c>
      <c r="D38" s="46" t="n">
        <v>226.667812</v>
      </c>
      <c r="E38" s="46" t="n">
        <v>58.496792</v>
      </c>
      <c r="F38" s="46" t="n">
        <v>168.17102</v>
      </c>
      <c r="G38" s="46" t="n">
        <v>3.400017</v>
      </c>
      <c r="H38" s="46" t="n">
        <v>230.067829</v>
      </c>
      <c r="I38" s="33" t="inlineStr">
        <is>
          <t>ASSUMPTION_BLOCKED_PENDING_VALIDATION</t>
        </is>
      </c>
      <c r="J38" s="33" t="inlineStr">
        <is>
          <t>LOW_CONFIDENCE</t>
        </is>
      </c>
      <c r="K38" s="33" t="inlineStr">
        <is>
          <t>OPEN</t>
        </is>
      </c>
      <c r="L38" s="33" t="inlineStr">
        <is>
          <t>Same no-double-count DAG as evidence layer; all 74 missing prices supplied only by explicit public category proxies</t>
        </is>
      </c>
      <c r="M38" s="33" t="inlineStr">
        <is>
          <t>Not complete evidence-backed COGS; exact SKU, make/buy, yields, quotations, VAT, delivery and MOQ remain open</t>
        </is>
      </c>
      <c r="N38" s="28" t="n"/>
      <c r="O38" s="28" t="n"/>
      <c r="P38" s="28" t="n"/>
      <c r="Q38" s="28" t="n"/>
    </row>
    <row r="39">
      <c r="A39" s="33" t="inlineStr">
        <is>
          <t>VKM-002</t>
        </is>
      </c>
      <c r="B39" s="33" t="inlineStr">
        <is>
          <t>Четыре сыра</t>
        </is>
      </c>
      <c r="C39" s="33" t="inlineStr">
        <is>
          <t>0.1.0-DRAFT</t>
        </is>
      </c>
      <c r="D39" s="46" t="n">
        <v>329.244542</v>
      </c>
      <c r="E39" s="46" t="n">
        <v>76.196522</v>
      </c>
      <c r="F39" s="46" t="n">
        <v>253.04802</v>
      </c>
      <c r="G39" s="46" t="n">
        <v>4.938668</v>
      </c>
      <c r="H39" s="46" t="n">
        <v>334.18321</v>
      </c>
      <c r="I39" s="33" t="inlineStr">
        <is>
          <t>ASSUMPTION_BLOCKED_PENDING_VALIDATION</t>
        </is>
      </c>
      <c r="J39" s="33" t="inlineStr">
        <is>
          <t>LOW_CONFIDENCE</t>
        </is>
      </c>
      <c r="K39" s="33" t="inlineStr">
        <is>
          <t>OPEN</t>
        </is>
      </c>
      <c r="L39" s="33" t="inlineStr">
        <is>
          <t>Same no-double-count DAG as evidence layer; all 74 missing prices supplied only by explicit public category proxies</t>
        </is>
      </c>
      <c r="M39" s="33" t="inlineStr">
        <is>
          <t>Not complete evidence-backed COGS; exact SKU, make/buy, yields, quotations, VAT, delivery and MOQ remain open</t>
        </is>
      </c>
      <c r="N39" s="28" t="n"/>
      <c r="O39" s="28" t="n"/>
      <c r="P39" s="28" t="n"/>
      <c r="Q39" s="28" t="n"/>
    </row>
    <row r="40">
      <c r="A40" s="33" t="inlineStr">
        <is>
          <t>VKM-003</t>
        </is>
      </c>
      <c r="B40" s="33" t="inlineStr">
        <is>
          <t>Грибная с ветчиной</t>
        </is>
      </c>
      <c r="C40" s="33" t="inlineStr">
        <is>
          <t>0.1.0-DRAFT</t>
        </is>
      </c>
      <c r="D40" s="46" t="n">
        <v>265.878782</v>
      </c>
      <c r="E40" s="46" t="n">
        <v>131.073822</v>
      </c>
      <c r="F40" s="46" t="n">
        <v>134.80496</v>
      </c>
      <c r="G40" s="46" t="n">
        <v>3.988182</v>
      </c>
      <c r="H40" s="46" t="n">
        <v>269.866963</v>
      </c>
      <c r="I40" s="33" t="inlineStr">
        <is>
          <t>ASSUMPTION_BLOCKED_PENDING_VALIDATION</t>
        </is>
      </c>
      <c r="J40" s="33" t="inlineStr">
        <is>
          <t>LOW_CONFIDENCE</t>
        </is>
      </c>
      <c r="K40" s="33" t="inlineStr">
        <is>
          <t>OPEN</t>
        </is>
      </c>
      <c r="L40" s="33" t="inlineStr">
        <is>
          <t>Same no-double-count DAG as evidence layer; all 74 missing prices supplied only by explicit public category proxies</t>
        </is>
      </c>
      <c r="M40" s="33" t="inlineStr">
        <is>
          <t>Not complete evidence-backed COGS; exact SKU, make/buy, yields, quotations, VAT, delivery and MOQ remain open</t>
        </is>
      </c>
      <c r="N40" s="28" t="n"/>
      <c r="O40" s="28" t="n"/>
      <c r="P40" s="28" t="n"/>
      <c r="Q40" s="28" t="n"/>
    </row>
    <row r="41">
      <c r="A41" s="33" t="inlineStr">
        <is>
          <t>VKM-004</t>
        </is>
      </c>
      <c r="B41" s="33" t="inlineStr">
        <is>
          <t>Пепперони</t>
        </is>
      </c>
      <c r="C41" s="33" t="inlineStr">
        <is>
          <t>0.1.0-DRAFT</t>
        </is>
      </c>
      <c r="D41" s="46" t="n">
        <v>310.295899</v>
      </c>
      <c r="E41" s="46" t="n">
        <v>51.886239</v>
      </c>
      <c r="F41" s="46" t="n">
        <v>258.40966</v>
      </c>
      <c r="G41" s="46" t="n">
        <v>4.654438</v>
      </c>
      <c r="H41" s="46" t="n">
        <v>314.950338</v>
      </c>
      <c r="I41" s="33" t="inlineStr">
        <is>
          <t>ASSUMPTION_BLOCKED_PENDING_VALIDATION</t>
        </is>
      </c>
      <c r="J41" s="33" t="inlineStr">
        <is>
          <t>LOW_CONFIDENCE</t>
        </is>
      </c>
      <c r="K41" s="33" t="inlineStr">
        <is>
          <t>OPEN</t>
        </is>
      </c>
      <c r="L41" s="33" t="inlineStr">
        <is>
          <t>Same no-double-count DAG as evidence layer; all 74 missing prices supplied only by explicit public category proxies</t>
        </is>
      </c>
      <c r="M41" s="33" t="inlineStr">
        <is>
          <t>Not complete evidence-backed COGS; exact SKU, make/buy, yields, quotations, VAT, delivery and MOQ remain open</t>
        </is>
      </c>
      <c r="N41" s="28" t="n"/>
      <c r="O41" s="28" t="n"/>
      <c r="P41" s="28" t="n"/>
      <c r="Q41" s="28" t="n"/>
    </row>
    <row r="42">
      <c r="A42" s="33" t="inlineStr">
        <is>
          <t>VKM-005</t>
        </is>
      </c>
      <c r="B42" s="33" t="inlineStr">
        <is>
          <t>Белая чиабатта</t>
        </is>
      </c>
      <c r="C42" s="33" t="inlineStr">
        <is>
          <t>0.1.0-DRAFT</t>
        </is>
      </c>
      <c r="D42" s="46" t="n">
        <v>16.94934</v>
      </c>
      <c r="E42" s="46" t="n">
        <v>13.688935</v>
      </c>
      <c r="F42" s="46" t="n">
        <v>3.260405</v>
      </c>
      <c r="G42" s="46" t="n">
        <v>0.25424</v>
      </c>
      <c r="H42" s="46" t="n">
        <v>17.20358</v>
      </c>
      <c r="I42" s="33" t="inlineStr">
        <is>
          <t>ASSUMPTION_BLOCKED_PENDING_VALIDATION</t>
        </is>
      </c>
      <c r="J42" s="33" t="inlineStr">
        <is>
          <t>LOW_CONFIDENCE</t>
        </is>
      </c>
      <c r="K42" s="33" t="inlineStr">
        <is>
          <t>OPEN</t>
        </is>
      </c>
      <c r="L42" s="33" t="inlineStr">
        <is>
          <t>Same no-double-count DAG as evidence layer; all 74 missing prices supplied only by explicit public category proxies</t>
        </is>
      </c>
      <c r="M42" s="33" t="inlineStr">
        <is>
          <t>Not complete evidence-backed COGS; exact SKU, make/buy, yields, quotations, VAT, delivery and MOQ remain open</t>
        </is>
      </c>
      <c r="N42" s="28" t="n"/>
      <c r="O42" s="28" t="n"/>
      <c r="P42" s="28" t="n"/>
      <c r="Q42" s="28" t="n"/>
    </row>
    <row r="43">
      <c r="A43" s="33" t="inlineStr">
        <is>
          <t>VKM-006</t>
        </is>
      </c>
      <c r="B43" s="33" t="inlineStr">
        <is>
          <t>Томатная чиабатта</t>
        </is>
      </c>
      <c r="C43" s="33" t="inlineStr">
        <is>
          <t>0.1.0-DRAFT</t>
        </is>
      </c>
      <c r="D43" s="46" t="n">
        <v>15.55111</v>
      </c>
      <c r="E43" s="46" t="n">
        <v>12.546157</v>
      </c>
      <c r="F43" s="46" t="n">
        <v>3.004952</v>
      </c>
      <c r="G43" s="46" t="n">
        <v>0.233267</v>
      </c>
      <c r="H43" s="46" t="n">
        <v>15.784376</v>
      </c>
      <c r="I43" s="33" t="inlineStr">
        <is>
          <t>ASSUMPTION_BLOCKED_PENDING_VALIDATION</t>
        </is>
      </c>
      <c r="J43" s="33" t="inlineStr">
        <is>
          <t>LOW_CONFIDENCE</t>
        </is>
      </c>
      <c r="K43" s="33" t="inlineStr">
        <is>
          <t>OPEN</t>
        </is>
      </c>
      <c r="L43" s="33" t="inlineStr">
        <is>
          <t>Same no-double-count DAG as evidence layer; all 74 missing prices supplied only by explicit public category proxies</t>
        </is>
      </c>
      <c r="M43" s="33" t="inlineStr">
        <is>
          <t>Not complete evidence-backed COGS; exact SKU, make/buy, yields, quotations, VAT, delivery and MOQ remain open</t>
        </is>
      </c>
      <c r="N43" s="28" t="n"/>
      <c r="O43" s="28" t="n"/>
      <c r="P43" s="28" t="n"/>
      <c r="Q43" s="28" t="n"/>
    </row>
    <row r="44">
      <c r="A44" s="33" t="inlineStr">
        <is>
          <t>VKM-007</t>
        </is>
      </c>
      <c r="B44" s="33" t="inlineStr">
        <is>
          <t>Бородинский хлеб</t>
        </is>
      </c>
      <c r="C44" s="33" t="inlineStr">
        <is>
          <t>0.1.0-DRAFT</t>
        </is>
      </c>
      <c r="D44" s="46" t="n">
        <v>25.539084</v>
      </c>
      <c r="E44" s="46" t="n">
        <v>9.764072000000001</v>
      </c>
      <c r="F44" s="46" t="n">
        <v>15.775013</v>
      </c>
      <c r="G44" s="46" t="n">
        <v>0.383086</v>
      </c>
      <c r="H44" s="46" t="n">
        <v>25.922171</v>
      </c>
      <c r="I44" s="33" t="inlineStr">
        <is>
          <t>ASSUMPTION_BLOCKED_PENDING_VALIDATION</t>
        </is>
      </c>
      <c r="J44" s="33" t="inlineStr">
        <is>
          <t>LOW_CONFIDENCE</t>
        </is>
      </c>
      <c r="K44" s="33" t="inlineStr">
        <is>
          <t>OPEN</t>
        </is>
      </c>
      <c r="L44" s="33" t="inlineStr">
        <is>
          <t>Same no-double-count DAG as evidence layer; all 74 missing prices supplied only by explicit public category proxies</t>
        </is>
      </c>
      <c r="M44" s="33" t="inlineStr">
        <is>
          <t>Not complete evidence-backed COGS; exact SKU, make/buy, yields, quotations, VAT, delivery and MOQ remain open</t>
        </is>
      </c>
      <c r="N44" s="28" t="n"/>
      <c r="O44" s="28" t="n"/>
      <c r="P44" s="28" t="n"/>
      <c r="Q44" s="28" t="n"/>
    </row>
    <row r="45">
      <c r="A45" s="33" t="inlineStr">
        <is>
          <t>VKM-008</t>
        </is>
      </c>
      <c r="B45" s="33" t="inlineStr">
        <is>
          <t>Бриошь</t>
        </is>
      </c>
      <c r="C45" s="33" t="inlineStr">
        <is>
          <t>0.1.0-DRAFT</t>
        </is>
      </c>
      <c r="D45" s="46" t="n">
        <v>27.160066</v>
      </c>
      <c r="E45" s="46" t="n">
        <v>1.285036</v>
      </c>
      <c r="F45" s="46" t="n">
        <v>25.87503</v>
      </c>
      <c r="G45" s="46" t="n">
        <v>0.407401</v>
      </c>
      <c r="H45" s="46" t="n">
        <v>27.567467</v>
      </c>
      <c r="I45" s="33" t="inlineStr">
        <is>
          <t>ASSUMPTION_BLOCKED_PENDING_VALIDATION</t>
        </is>
      </c>
      <c r="J45" s="33" t="inlineStr">
        <is>
          <t>LOW_CONFIDENCE</t>
        </is>
      </c>
      <c r="K45" s="33" t="inlineStr">
        <is>
          <t>OPEN</t>
        </is>
      </c>
      <c r="L45" s="33" t="inlineStr">
        <is>
          <t>Same no-double-count DAG as evidence layer; all 74 missing prices supplied only by explicit public category proxies</t>
        </is>
      </c>
      <c r="M45" s="33" t="inlineStr">
        <is>
          <t>Not complete evidence-backed COGS; exact SKU, make/buy, yields, quotations, VAT, delivery and MOQ remain open</t>
        </is>
      </c>
      <c r="N45" s="28" t="n"/>
      <c r="O45" s="28" t="n"/>
      <c r="P45" s="28" t="n"/>
      <c r="Q45" s="28" t="n"/>
    </row>
    <row r="46">
      <c r="A46" s="33" t="inlineStr">
        <is>
          <t>VKM-009</t>
        </is>
      </c>
      <c r="B46" s="33" t="inlineStr">
        <is>
          <t>Буррата с томатами</t>
        </is>
      </c>
      <c r="C46" s="33" t="inlineStr">
        <is>
          <t>0.1.0-DRAFT</t>
        </is>
      </c>
      <c r="D46" s="46" t="n">
        <v>297.117141</v>
      </c>
      <c r="E46" s="46" t="n">
        <v>100.243274</v>
      </c>
      <c r="F46" s="46" t="n">
        <v>196.873867</v>
      </c>
      <c r="G46" s="46" t="n">
        <v>4.456757</v>
      </c>
      <c r="H46" s="46" t="n">
        <v>301.573898</v>
      </c>
      <c r="I46" s="33" t="inlineStr">
        <is>
          <t>ASSUMPTION_BLOCKED_PENDING_VALIDATION</t>
        </is>
      </c>
      <c r="J46" s="33" t="inlineStr">
        <is>
          <t>LOW_CONFIDENCE</t>
        </is>
      </c>
      <c r="K46" s="33" t="inlineStr">
        <is>
          <t>OPEN</t>
        </is>
      </c>
      <c r="L46" s="33" t="inlineStr">
        <is>
          <t>Same no-double-count DAG as evidence layer; all 74 missing prices supplied only by explicit public category proxies</t>
        </is>
      </c>
      <c r="M46" s="33" t="inlineStr">
        <is>
          <t>Not complete evidence-backed COGS; exact SKU, make/buy, yields, quotations, VAT, delivery and MOQ remain open</t>
        </is>
      </c>
      <c r="N46" s="28" t="n"/>
      <c r="O46" s="28" t="n"/>
      <c r="P46" s="28" t="n"/>
      <c r="Q46" s="28" t="n"/>
    </row>
    <row r="47">
      <c r="A47" s="33" t="inlineStr">
        <is>
          <t>VKM-010</t>
        </is>
      </c>
      <c r="B47" s="33" t="inlineStr">
        <is>
          <t>Микс-салат с креветками и яблоком</t>
        </is>
      </c>
      <c r="C47" s="33" t="inlineStr">
        <is>
          <t>0.1.0-DRAFT</t>
        </is>
      </c>
      <c r="D47" s="46" t="n">
        <v>334.669062</v>
      </c>
      <c r="E47" s="46" t="n">
        <v>155.441162</v>
      </c>
      <c r="F47" s="46" t="n">
        <v>179.2279</v>
      </c>
      <c r="G47" s="46" t="n">
        <v>5.020036</v>
      </c>
      <c r="H47" s="46" t="n">
        <v>339.689098</v>
      </c>
      <c r="I47" s="33" t="inlineStr">
        <is>
          <t>ASSUMPTION_BLOCKED_PENDING_VALIDATION</t>
        </is>
      </c>
      <c r="J47" s="33" t="inlineStr">
        <is>
          <t>LOW_CONFIDENCE</t>
        </is>
      </c>
      <c r="K47" s="33" t="inlineStr">
        <is>
          <t>OPEN</t>
        </is>
      </c>
      <c r="L47" s="33" t="inlineStr">
        <is>
          <t>Same no-double-count DAG as evidence layer; all 74 missing prices supplied only by explicit public category proxies</t>
        </is>
      </c>
      <c r="M47" s="33" t="inlineStr">
        <is>
          <t>Not complete evidence-backed COGS; exact SKU, make/buy, yields, quotations, VAT, delivery and MOQ remain open</t>
        </is>
      </c>
      <c r="N47" s="28" t="n"/>
      <c r="O47" s="28" t="n"/>
      <c r="P47" s="28" t="n"/>
      <c r="Q47" s="28" t="n"/>
    </row>
    <row r="48">
      <c r="A48" s="33" t="inlineStr">
        <is>
          <t>VKM-011</t>
        </is>
      </c>
      <c r="B48" s="33" t="inlineStr">
        <is>
          <t>Греческий</t>
        </is>
      </c>
      <c r="C48" s="33" t="inlineStr">
        <is>
          <t>0.1.0-DRAFT</t>
        </is>
      </c>
      <c r="D48" s="46" t="n">
        <v>128.900665</v>
      </c>
      <c r="E48" s="46" t="n">
        <v>102.840665</v>
      </c>
      <c r="F48" s="46" t="n">
        <v>26.06</v>
      </c>
      <c r="G48" s="46" t="n">
        <v>1.93351</v>
      </c>
      <c r="H48" s="46" t="n">
        <v>130.834175</v>
      </c>
      <c r="I48" s="33" t="inlineStr">
        <is>
          <t>ASSUMPTION_BLOCKED_PENDING_VALIDATION</t>
        </is>
      </c>
      <c r="J48" s="33" t="inlineStr">
        <is>
          <t>LOW_CONFIDENCE</t>
        </is>
      </c>
      <c r="K48" s="33" t="inlineStr">
        <is>
          <t>OPEN</t>
        </is>
      </c>
      <c r="L48" s="33" t="inlineStr">
        <is>
          <t>Same no-double-count DAG as evidence layer; all 74 missing prices supplied only by explicit public category proxies</t>
        </is>
      </c>
      <c r="M48" s="33" t="inlineStr">
        <is>
          <t>Not complete evidence-backed COGS; exact SKU, make/buy, yields, quotations, VAT, delivery and MOQ remain open</t>
        </is>
      </c>
      <c r="N48" s="28" t="n"/>
      <c r="O48" s="28" t="n"/>
      <c r="P48" s="28" t="n"/>
      <c r="Q48" s="28" t="n"/>
    </row>
    <row r="49">
      <c r="A49" s="33" t="inlineStr">
        <is>
          <t>VKM-012</t>
        </is>
      </c>
      <c r="B49" s="33" t="inlineStr">
        <is>
          <t>Винегрет</t>
        </is>
      </c>
      <c r="C49" s="33" t="inlineStr">
        <is>
          <t>0.1.0-DRAFT</t>
        </is>
      </c>
      <c r="D49" s="46" t="n">
        <v>25.206111</v>
      </c>
      <c r="E49" s="46" t="n">
        <v>24.912711</v>
      </c>
      <c r="F49" s="46" t="n">
        <v>0.2934</v>
      </c>
      <c r="G49" s="46" t="n">
        <v>0.378092</v>
      </c>
      <c r="H49" s="46" t="n">
        <v>25.584202</v>
      </c>
      <c r="I49" s="33" t="inlineStr">
        <is>
          <t>ASSUMPTION_BLOCKED_PENDING_VALIDATION</t>
        </is>
      </c>
      <c r="J49" s="33" t="inlineStr">
        <is>
          <t>LOW_CONFIDENCE</t>
        </is>
      </c>
      <c r="K49" s="33" t="inlineStr">
        <is>
          <t>OPEN</t>
        </is>
      </c>
      <c r="L49" s="33" t="inlineStr">
        <is>
          <t>Same no-double-count DAG as evidence layer; all 74 missing prices supplied only by explicit public category proxies</t>
        </is>
      </c>
      <c r="M49" s="33" t="inlineStr">
        <is>
          <t>Not complete evidence-backed COGS; exact SKU, make/buy, yields, quotations, VAT, delivery and MOQ remain open</t>
        </is>
      </c>
      <c r="N49" s="28" t="n"/>
      <c r="O49" s="28" t="n"/>
      <c r="P49" s="28" t="n"/>
      <c r="Q49" s="28" t="n"/>
    </row>
    <row r="50">
      <c r="A50" s="33" t="inlineStr">
        <is>
          <t>VKM-013</t>
        </is>
      </c>
      <c r="B50" s="33" t="inlineStr">
        <is>
          <t>Слабосолёный лосось</t>
        </is>
      </c>
      <c r="C50" s="33" t="inlineStr">
        <is>
          <t>0.1.0-DRAFT</t>
        </is>
      </c>
      <c r="D50" s="46" t="n">
        <v>467.189404</v>
      </c>
      <c r="E50" s="46" t="n">
        <v>25.113071</v>
      </c>
      <c r="F50" s="46" t="n">
        <v>442.076333</v>
      </c>
      <c r="G50" s="46" t="n">
        <v>7.007841</v>
      </c>
      <c r="H50" s="46" t="n">
        <v>474.197245</v>
      </c>
      <c r="I50" s="33" t="inlineStr">
        <is>
          <t>ASSUMPTION_BLOCKED_PENDING_VALIDATION</t>
        </is>
      </c>
      <c r="J50" s="33" t="inlineStr">
        <is>
          <t>LOW_CONFIDENCE</t>
        </is>
      </c>
      <c r="K50" s="33" t="inlineStr">
        <is>
          <t>OPEN</t>
        </is>
      </c>
      <c r="L50" s="33" t="inlineStr">
        <is>
          <t>Same no-double-count DAG as evidence layer; all 74 missing prices supplied only by explicit public category proxies</t>
        </is>
      </c>
      <c r="M50" s="33" t="inlineStr">
        <is>
          <t>Not complete evidence-backed COGS; exact SKU, make/buy, yields, quotations, VAT, delivery and MOQ remain open</t>
        </is>
      </c>
      <c r="N50" s="28" t="n"/>
      <c r="O50" s="28" t="n"/>
      <c r="P50" s="28" t="n"/>
      <c r="Q50" s="28" t="n"/>
    </row>
    <row r="51">
      <c r="A51" s="33" t="inlineStr">
        <is>
          <t>VKM-014</t>
        </is>
      </c>
      <c r="B51" s="33" t="inlineStr">
        <is>
          <t>Сельдь с запечённым картофелем</t>
        </is>
      </c>
      <c r="C51" s="33" t="inlineStr">
        <is>
          <t>0.1.0-DRAFT</t>
        </is>
      </c>
      <c r="D51" s="46" t="n">
        <v>88.220592</v>
      </c>
      <c r="E51" s="46" t="n">
        <v>15.439572</v>
      </c>
      <c r="F51" s="46" t="n">
        <v>72.78102</v>
      </c>
      <c r="G51" s="46" t="n">
        <v>1.323309</v>
      </c>
      <c r="H51" s="46" t="n">
        <v>89.54390100000001</v>
      </c>
      <c r="I51" s="33" t="inlineStr">
        <is>
          <t>ASSUMPTION_BLOCKED_PENDING_VALIDATION</t>
        </is>
      </c>
      <c r="J51" s="33" t="inlineStr">
        <is>
          <t>LOW_CONFIDENCE</t>
        </is>
      </c>
      <c r="K51" s="33" t="inlineStr">
        <is>
          <t>OPEN</t>
        </is>
      </c>
      <c r="L51" s="33" t="inlineStr">
        <is>
          <t>Same no-double-count DAG as evidence layer; all 74 missing prices supplied only by explicit public category proxies</t>
        </is>
      </c>
      <c r="M51" s="33" t="inlineStr">
        <is>
          <t>Not complete evidence-backed COGS; exact SKU, make/buy, yields, quotations, VAT, delivery and MOQ remain open</t>
        </is>
      </c>
      <c r="N51" s="28" t="n"/>
      <c r="O51" s="28" t="n"/>
      <c r="P51" s="28" t="n"/>
      <c r="Q51" s="28" t="n"/>
    </row>
    <row r="52">
      <c r="A52" s="33" t="inlineStr">
        <is>
          <t>VKM-015</t>
        </is>
      </c>
      <c r="B52" s="33" t="inlineStr">
        <is>
          <t>Оливки и маслины</t>
        </is>
      </c>
      <c r="C52" s="33" t="inlineStr">
        <is>
          <t>0.1.0-DRAFT</t>
        </is>
      </c>
      <c r="D52" s="46" t="n">
        <v>131.181168</v>
      </c>
      <c r="E52" s="46" t="n">
        <v>130.307168</v>
      </c>
      <c r="F52" s="46" t="n">
        <v>0.874</v>
      </c>
      <c r="G52" s="46" t="n">
        <v>1.967718</v>
      </c>
      <c r="H52" s="46" t="n">
        <v>133.148886</v>
      </c>
      <c r="I52" s="33" t="inlineStr">
        <is>
          <t>ASSUMPTION_BLOCKED_PENDING_VALIDATION</t>
        </is>
      </c>
      <c r="J52" s="33" t="inlineStr">
        <is>
          <t>LOW_CONFIDENCE</t>
        </is>
      </c>
      <c r="K52" s="33" t="inlineStr">
        <is>
          <t>OPEN</t>
        </is>
      </c>
      <c r="L52" s="33" t="inlineStr">
        <is>
          <t>Same no-double-count DAG as evidence layer; all 74 missing prices supplied only by explicit public category proxies</t>
        </is>
      </c>
      <c r="M52" s="33" t="inlineStr">
        <is>
          <t>Not complete evidence-backed COGS; exact SKU, make/buy, yields, quotations, VAT, delivery and MOQ remain open</t>
        </is>
      </c>
      <c r="N52" s="28" t="n"/>
      <c r="O52" s="28" t="n"/>
      <c r="P52" s="28" t="n"/>
      <c r="Q52" s="28" t="n"/>
    </row>
    <row r="53">
      <c r="A53" s="33" t="inlineStr">
        <is>
          <t>VKM-016</t>
        </is>
      </c>
      <c r="B53" s="33" t="inlineStr">
        <is>
          <t>Ассорти фирменных солений</t>
        </is>
      </c>
      <c r="C53" s="33" t="inlineStr">
        <is>
          <t>0.1.0-DRAFT</t>
        </is>
      </c>
      <c r="D53" s="46" t="n">
        <v>38.628157</v>
      </c>
      <c r="E53" s="46" t="n">
        <v>16.352697</v>
      </c>
      <c r="F53" s="46" t="n">
        <v>22.27546</v>
      </c>
      <c r="G53" s="46" t="n">
        <v>0.579422</v>
      </c>
      <c r="H53" s="46" t="n">
        <v>39.207579</v>
      </c>
      <c r="I53" s="33" t="inlineStr">
        <is>
          <t>ASSUMPTION_BLOCKED_PENDING_VALIDATION</t>
        </is>
      </c>
      <c r="J53" s="33" t="inlineStr">
        <is>
          <t>LOW_CONFIDENCE</t>
        </is>
      </c>
      <c r="K53" s="33" t="inlineStr">
        <is>
          <t>OPEN</t>
        </is>
      </c>
      <c r="L53" s="33" t="inlineStr">
        <is>
          <t>Same no-double-count DAG as evidence layer; all 74 missing prices supplied only by explicit public category proxies</t>
        </is>
      </c>
      <c r="M53" s="33" t="inlineStr">
        <is>
          <t>Not complete evidence-backed COGS; exact SKU, make/buy, yields, quotations, VAT, delivery and MOQ remain open</t>
        </is>
      </c>
      <c r="N53" s="28" t="n"/>
      <c r="O53" s="28" t="n"/>
      <c r="P53" s="28" t="n"/>
      <c r="Q53" s="28" t="n"/>
    </row>
    <row r="54">
      <c r="A54" s="33" t="inlineStr">
        <is>
          <t>VKM-017</t>
        </is>
      </c>
      <c r="B54" s="33" t="inlineStr">
        <is>
          <t>Ростбиф с луком и гренкой</t>
        </is>
      </c>
      <c r="C54" s="33" t="inlineStr">
        <is>
          <t>0.1.0-DRAFT</t>
        </is>
      </c>
      <c r="D54" s="46" t="n">
        <v>151.567144</v>
      </c>
      <c r="E54" s="46" t="n">
        <v>148.447144</v>
      </c>
      <c r="F54" s="46" t="n">
        <v>3.12</v>
      </c>
      <c r="G54" s="46" t="n">
        <v>2.273507</v>
      </c>
      <c r="H54" s="46" t="n">
        <v>153.840651</v>
      </c>
      <c r="I54" s="33" t="inlineStr">
        <is>
          <t>ASSUMPTION_BLOCKED_PENDING_VALIDATION</t>
        </is>
      </c>
      <c r="J54" s="33" t="inlineStr">
        <is>
          <t>LOW_CONFIDENCE</t>
        </is>
      </c>
      <c r="K54" s="33" t="inlineStr">
        <is>
          <t>OPEN</t>
        </is>
      </c>
      <c r="L54" s="33" t="inlineStr">
        <is>
          <t>Same no-double-count DAG as evidence layer; all 74 missing prices supplied only by explicit public category proxies</t>
        </is>
      </c>
      <c r="M54" s="33" t="inlineStr">
        <is>
          <t>Not complete evidence-backed COGS; exact SKU, make/buy, yields, quotations, VAT, delivery and MOQ remain open</t>
        </is>
      </c>
      <c r="N54" s="28" t="n"/>
      <c r="O54" s="28" t="n"/>
      <c r="P54" s="28" t="n"/>
      <c r="Q54" s="28" t="n"/>
    </row>
    <row r="55">
      <c r="A55" s="33" t="inlineStr">
        <is>
          <t>VKM-018</t>
        </is>
      </c>
      <c r="B55" s="33" t="inlineStr">
        <is>
          <t>Традиционный красный борщ</t>
        </is>
      </c>
      <c r="C55" s="33" t="inlineStr">
        <is>
          <t>0.1.0-DRAFT</t>
        </is>
      </c>
      <c r="D55" s="46" t="n">
        <v>99.788792</v>
      </c>
      <c r="E55" s="46" t="n">
        <v>82.095067</v>
      </c>
      <c r="F55" s="46" t="n">
        <v>17.693725</v>
      </c>
      <c r="G55" s="46" t="n">
        <v>1.496832</v>
      </c>
      <c r="H55" s="46" t="n">
        <v>101.285624</v>
      </c>
      <c r="I55" s="33" t="inlineStr">
        <is>
          <t>ASSUMPTION_BLOCKED_PENDING_VALIDATION</t>
        </is>
      </c>
      <c r="J55" s="33" t="inlineStr">
        <is>
          <t>LOW_CONFIDENCE</t>
        </is>
      </c>
      <c r="K55" s="33" t="inlineStr">
        <is>
          <t>OPEN</t>
        </is>
      </c>
      <c r="L55" s="33" t="inlineStr">
        <is>
          <t>Same no-double-count DAG as evidence layer; all 74 missing prices supplied only by explicit public category proxies</t>
        </is>
      </c>
      <c r="M55" s="33" t="inlineStr">
        <is>
          <t>Not complete evidence-backed COGS; exact SKU, make/buy, yields, quotations, VAT, delivery and MOQ remain open</t>
        </is>
      </c>
      <c r="N55" s="28" t="n"/>
      <c r="O55" s="28" t="n"/>
      <c r="P55" s="28" t="n"/>
      <c r="Q55" s="28" t="n"/>
    </row>
    <row r="56">
      <c r="A56" s="33" t="inlineStr">
        <is>
          <t>VKM-019</t>
        </is>
      </c>
      <c r="B56" s="33" t="inlineStr">
        <is>
          <t>Мурманская треска со сливочно-горчичным соусом</t>
        </is>
      </c>
      <c r="C56" s="33" t="inlineStr">
        <is>
          <t>0.1.0-DRAFT</t>
        </is>
      </c>
      <c r="D56" s="46" t="n">
        <v>365.944995</v>
      </c>
      <c r="E56" s="46" t="n">
        <v>62.187699</v>
      </c>
      <c r="F56" s="46" t="n">
        <v>303.757296</v>
      </c>
      <c r="G56" s="46" t="n">
        <v>5.489175</v>
      </c>
      <c r="H56" s="46" t="n">
        <v>371.43417</v>
      </c>
      <c r="I56" s="33" t="inlineStr">
        <is>
          <t>ASSUMPTION_BLOCKED_PENDING_VALIDATION</t>
        </is>
      </c>
      <c r="J56" s="33" t="inlineStr">
        <is>
          <t>LOW_CONFIDENCE</t>
        </is>
      </c>
      <c r="K56" s="33" t="inlineStr">
        <is>
          <t>OPEN</t>
        </is>
      </c>
      <c r="L56" s="33" t="inlineStr">
        <is>
          <t>Same no-double-count DAG as evidence layer; all 74 missing prices supplied only by explicit public category proxies</t>
        </is>
      </c>
      <c r="M56" s="33" t="inlineStr">
        <is>
          <t>Not complete evidence-backed COGS; exact SKU, make/buy, yields, quotations, VAT, delivery and MOQ remain open</t>
        </is>
      </c>
      <c r="N56" s="28" t="n"/>
      <c r="O56" s="28" t="n"/>
      <c r="P56" s="28" t="n"/>
      <c r="Q56" s="28" t="n"/>
    </row>
    <row r="57">
      <c r="A57" s="33" t="inlineStr">
        <is>
          <t>VKM-020</t>
        </is>
      </c>
      <c r="B57" s="33" t="inlineStr">
        <is>
          <t>Креветки по-тайски</t>
        </is>
      </c>
      <c r="C57" s="33" t="inlineStr">
        <is>
          <t>0.1.0-DRAFT</t>
        </is>
      </c>
      <c r="D57" s="46" t="n">
        <v>352.071676</v>
      </c>
      <c r="E57" s="46" t="n">
        <v>99.465476</v>
      </c>
      <c r="F57" s="46" t="n">
        <v>252.6062</v>
      </c>
      <c r="G57" s="46" t="n">
        <v>5.281075</v>
      </c>
      <c r="H57" s="46" t="n">
        <v>357.352751</v>
      </c>
      <c r="I57" s="33" t="inlineStr">
        <is>
          <t>ASSUMPTION_BLOCKED_PENDING_VALIDATION</t>
        </is>
      </c>
      <c r="J57" s="33" t="inlineStr">
        <is>
          <t>LOW_CONFIDENCE</t>
        </is>
      </c>
      <c r="K57" s="33" t="inlineStr">
        <is>
          <t>OPEN</t>
        </is>
      </c>
      <c r="L57" s="33" t="inlineStr">
        <is>
          <t>Same no-double-count DAG as evidence layer; all 74 missing prices supplied only by explicit public category proxies</t>
        </is>
      </c>
      <c r="M57" s="33" t="inlineStr">
        <is>
          <t>Not complete evidence-backed COGS; exact SKU, make/buy, yields, quotations, VAT, delivery and MOQ remain open</t>
        </is>
      </c>
      <c r="N57" s="28" t="n"/>
      <c r="O57" s="28" t="n"/>
      <c r="P57" s="28" t="n"/>
      <c r="Q57" s="28" t="n"/>
    </row>
    <row r="58">
      <c r="A58" s="33" t="inlineStr">
        <is>
          <t>VKM-021</t>
        </is>
      </c>
      <c r="B58" s="33" t="inlineStr">
        <is>
          <t>Бургер VARSHAVKA</t>
        </is>
      </c>
      <c r="C58" s="33" t="inlineStr">
        <is>
          <t>0.1.0-DRAFT</t>
        </is>
      </c>
      <c r="D58" s="46" t="n">
        <v>226.957326</v>
      </c>
      <c r="E58" s="46" t="n">
        <v>62.834046</v>
      </c>
      <c r="F58" s="46" t="n">
        <v>164.12328</v>
      </c>
      <c r="G58" s="46" t="n">
        <v>3.40436</v>
      </c>
      <c r="H58" s="46" t="n">
        <v>230.361685</v>
      </c>
      <c r="I58" s="33" t="inlineStr">
        <is>
          <t>ASSUMPTION_BLOCKED_PENDING_VALIDATION</t>
        </is>
      </c>
      <c r="J58" s="33" t="inlineStr">
        <is>
          <t>LOW_CONFIDENCE</t>
        </is>
      </c>
      <c r="K58" s="33" t="inlineStr">
        <is>
          <t>OPEN</t>
        </is>
      </c>
      <c r="L58" s="33" t="inlineStr">
        <is>
          <t>Same no-double-count DAG as evidence layer; all 74 missing prices supplied only by explicit public category proxies</t>
        </is>
      </c>
      <c r="M58" s="33" t="inlineStr">
        <is>
          <t>Not complete evidence-backed COGS; exact SKU, make/buy, yields, quotations, VAT, delivery and MOQ remain open</t>
        </is>
      </c>
      <c r="N58" s="28" t="n"/>
      <c r="O58" s="28" t="n"/>
      <c r="P58" s="28" t="n"/>
      <c r="Q58" s="28" t="n"/>
    </row>
    <row r="59">
      <c r="A59" s="33" t="inlineStr">
        <is>
          <t>VKM-022</t>
        </is>
      </c>
      <c r="B59" s="33" t="inlineStr">
        <is>
          <t>Миньоны из говяжьей вырезки</t>
        </is>
      </c>
      <c r="C59" s="33" t="inlineStr">
        <is>
          <t>0.1.0-DRAFT</t>
        </is>
      </c>
      <c r="D59" s="46" t="n">
        <v>321.938912</v>
      </c>
      <c r="E59" s="46" t="n">
        <v>18.805907</v>
      </c>
      <c r="F59" s="46" t="n">
        <v>303.133006</v>
      </c>
      <c r="G59" s="46" t="n">
        <v>4.829084</v>
      </c>
      <c r="H59" s="46" t="n">
        <v>326.767996</v>
      </c>
      <c r="I59" s="33" t="inlineStr">
        <is>
          <t>ASSUMPTION_BLOCKED_PENDING_VALIDATION</t>
        </is>
      </c>
      <c r="J59" s="33" t="inlineStr">
        <is>
          <t>LOW_CONFIDENCE</t>
        </is>
      </c>
      <c r="K59" s="33" t="inlineStr">
        <is>
          <t>OPEN</t>
        </is>
      </c>
      <c r="L59" s="33" t="inlineStr">
        <is>
          <t>Same no-double-count DAG as evidence layer; all 74 missing prices supplied only by explicit public category proxies</t>
        </is>
      </c>
      <c r="M59" s="33" t="inlineStr">
        <is>
          <t>Not complete evidence-backed COGS; exact SKU, make/buy, yields, quotations, VAT, delivery and MOQ remain open</t>
        </is>
      </c>
      <c r="N59" s="28" t="n"/>
      <c r="O59" s="28" t="n"/>
      <c r="P59" s="28" t="n"/>
      <c r="Q59" s="28" t="n"/>
    </row>
    <row r="60">
      <c r="A60" s="33" t="inlineStr">
        <is>
          <t>VKM-023</t>
        </is>
      </c>
      <c r="B60" s="33" t="inlineStr">
        <is>
          <t>Запечённый картофель</t>
        </is>
      </c>
      <c r="C60" s="33" t="inlineStr">
        <is>
          <t>0.1.0-DRAFT</t>
        </is>
      </c>
      <c r="D60" s="46" t="n">
        <v>19.652742</v>
      </c>
      <c r="E60" s="46" t="n">
        <v>2.654442</v>
      </c>
      <c r="F60" s="46" t="n">
        <v>16.9983</v>
      </c>
      <c r="G60" s="46" t="n">
        <v>0.294791</v>
      </c>
      <c r="H60" s="46" t="n">
        <v>19.947533</v>
      </c>
      <c r="I60" s="33" t="inlineStr">
        <is>
          <t>ASSUMPTION_BLOCKED_PENDING_VALIDATION</t>
        </is>
      </c>
      <c r="J60" s="33" t="inlineStr">
        <is>
          <t>LOW_CONFIDENCE</t>
        </is>
      </c>
      <c r="K60" s="33" t="inlineStr">
        <is>
          <t>OPEN</t>
        </is>
      </c>
      <c r="L60" s="33" t="inlineStr">
        <is>
          <t>Same no-double-count DAG as evidence layer; all 74 missing prices supplied only by explicit public category proxies</t>
        </is>
      </c>
      <c r="M60" s="33" t="inlineStr">
        <is>
          <t>Not complete evidence-backed COGS; exact SKU, make/buy, yields, quotations, VAT, delivery and MOQ remain open</t>
        </is>
      </c>
      <c r="N60" s="28" t="n"/>
      <c r="O60" s="28" t="n"/>
      <c r="P60" s="28" t="n"/>
      <c r="Q60" s="28" t="n"/>
    </row>
    <row r="61">
      <c r="A61" s="33" t="inlineStr">
        <is>
          <t>VKM-024</t>
        </is>
      </c>
      <c r="B61" s="33" t="inlineStr">
        <is>
          <t>Рис жасмин</t>
        </is>
      </c>
      <c r="C61" s="33" t="inlineStr">
        <is>
          <t>0.1.0-DRAFT</t>
        </is>
      </c>
      <c r="D61" s="46" t="n">
        <v>24.203589</v>
      </c>
      <c r="E61" s="46" t="n">
        <v>18.562331</v>
      </c>
      <c r="F61" s="46" t="n">
        <v>5.641258</v>
      </c>
      <c r="G61" s="46" t="n">
        <v>0.363054</v>
      </c>
      <c r="H61" s="46" t="n">
        <v>24.566642</v>
      </c>
      <c r="I61" s="33" t="inlineStr">
        <is>
          <t>ASSUMPTION_BLOCKED_PENDING_VALIDATION</t>
        </is>
      </c>
      <c r="J61" s="33" t="inlineStr">
        <is>
          <t>LOW_CONFIDENCE</t>
        </is>
      </c>
      <c r="K61" s="33" t="inlineStr">
        <is>
          <t>OPEN</t>
        </is>
      </c>
      <c r="L61" s="33" t="inlineStr">
        <is>
          <t>Same no-double-count DAG as evidence layer; all 74 missing prices supplied only by explicit public category proxies</t>
        </is>
      </c>
      <c r="M61" s="33" t="inlineStr">
        <is>
          <t>Not complete evidence-backed COGS; exact SKU, make/buy, yields, quotations, VAT, delivery and MOQ remain open</t>
        </is>
      </c>
      <c r="N61" s="28" t="n"/>
      <c r="O61" s="28" t="n"/>
      <c r="P61" s="28" t="n"/>
      <c r="Q61" s="28" t="n"/>
    </row>
    <row r="62">
      <c r="A62" s="33" t="inlineStr">
        <is>
          <t>VKM-025</t>
        </is>
      </c>
      <c r="B62" s="33" t="inlineStr">
        <is>
          <t>Горячие овощи</t>
        </is>
      </c>
      <c r="C62" s="33" t="inlineStr">
        <is>
          <t>0.1.0-DRAFT</t>
        </is>
      </c>
      <c r="D62" s="46" t="n">
        <v>48.158285</v>
      </c>
      <c r="E62" s="46" t="n">
        <v>16.328672</v>
      </c>
      <c r="F62" s="46" t="n">
        <v>31.829613</v>
      </c>
      <c r="G62" s="46" t="n">
        <v>0.722374</v>
      </c>
      <c r="H62" s="46" t="n">
        <v>48.880659</v>
      </c>
      <c r="I62" s="33" t="inlineStr">
        <is>
          <t>ASSUMPTION_BLOCKED_PENDING_VALIDATION</t>
        </is>
      </c>
      <c r="J62" s="33" t="inlineStr">
        <is>
          <t>LOW_CONFIDENCE</t>
        </is>
      </c>
      <c r="K62" s="33" t="inlineStr">
        <is>
          <t>OPEN</t>
        </is>
      </c>
      <c r="L62" s="33" t="inlineStr">
        <is>
          <t>Same no-double-count DAG as evidence layer; all 74 missing prices supplied only by explicit public category proxies</t>
        </is>
      </c>
      <c r="M62" s="33" t="inlineStr">
        <is>
          <t>Not complete evidence-backed COGS; exact SKU, make/buy, yields, quotations, VAT, delivery and MOQ remain open</t>
        </is>
      </c>
      <c r="N62" s="28" t="n"/>
      <c r="O62" s="28" t="n"/>
      <c r="P62" s="28" t="n"/>
      <c r="Q62" s="28" t="n"/>
    </row>
    <row r="63">
      <c r="A63" s="33" t="inlineStr">
        <is>
          <t>VKM-029</t>
        </is>
      </c>
      <c r="B63" s="33" t="inlineStr">
        <is>
          <t>Черничный торт VARSHAVKA</t>
        </is>
      </c>
      <c r="C63" s="33" t="inlineStr">
        <is>
          <t>0.1.0-DRAFT</t>
        </is>
      </c>
      <c r="D63" s="46" t="n">
        <v>896.232998</v>
      </c>
      <c r="E63" s="46" t="n">
        <v>34.370276</v>
      </c>
      <c r="F63" s="46" t="n">
        <v>861.862722</v>
      </c>
      <c r="G63" s="46" t="n">
        <v>13.443495</v>
      </c>
      <c r="H63" s="46" t="n">
        <v>909.6764930000001</v>
      </c>
      <c r="I63" s="33" t="inlineStr">
        <is>
          <t>ASSUMPTION_BLOCKED_PENDING_VALIDATION</t>
        </is>
      </c>
      <c r="J63" s="33" t="inlineStr">
        <is>
          <t>LOW_CONFIDENCE</t>
        </is>
      </c>
      <c r="K63" s="33" t="inlineStr">
        <is>
          <t>OPEN</t>
        </is>
      </c>
      <c r="L63" s="33" t="inlineStr">
        <is>
          <t>Same no-double-count DAG as evidence layer; all 74 missing prices supplied only by explicit public category proxies</t>
        </is>
      </c>
      <c r="M63" s="33" t="inlineStr">
        <is>
          <t>Not complete evidence-backed COGS; exact SKU, make/buy, yields, quotations, VAT, delivery and MOQ remain open</t>
        </is>
      </c>
      <c r="N63" s="28" t="n"/>
      <c r="O63" s="28" t="n"/>
      <c r="P63" s="28" t="n"/>
      <c r="Q63" s="28" t="n"/>
    </row>
    <row r="64">
      <c r="A64" s="33" t="inlineStr">
        <is>
          <t>VKM-030</t>
        </is>
      </c>
      <c r="B64" s="33" t="inlineStr">
        <is>
          <t>Кростата с солёной карамелью</t>
        </is>
      </c>
      <c r="C64" s="33" t="inlineStr">
        <is>
          <t>0.1.0-DRAFT</t>
        </is>
      </c>
      <c r="D64" s="46" t="n">
        <v>560.727853</v>
      </c>
      <c r="E64" s="46" t="n">
        <v>8.962770000000001</v>
      </c>
      <c r="F64" s="46" t="n">
        <v>551.765083</v>
      </c>
      <c r="G64" s="46" t="n">
        <v>8.410918000000001</v>
      </c>
      <c r="H64" s="46" t="n">
        <v>569.138771</v>
      </c>
      <c r="I64" s="33" t="inlineStr">
        <is>
          <t>ASSUMPTION_BLOCKED_PENDING_VALIDATION</t>
        </is>
      </c>
      <c r="J64" s="33" t="inlineStr">
        <is>
          <t>LOW_CONFIDENCE</t>
        </is>
      </c>
      <c r="K64" s="33" t="inlineStr">
        <is>
          <t>OPEN</t>
        </is>
      </c>
      <c r="L64" s="33" t="inlineStr">
        <is>
          <t>Same no-double-count DAG as evidence layer; all 74 missing prices supplied only by explicit public category proxies</t>
        </is>
      </c>
      <c r="M64" s="33" t="inlineStr">
        <is>
          <t>Not complete evidence-backed COGS; exact SKU, make/buy, yields, quotations, VAT, delivery and MOQ remain open</t>
        </is>
      </c>
      <c r="N64" s="28" t="n"/>
      <c r="O64" s="28" t="n"/>
      <c r="P64" s="28" t="n"/>
      <c r="Q64" s="28" t="n"/>
    </row>
    <row r="65">
      <c r="A65" s="33" t="inlineStr">
        <is>
          <t>VKM-031</t>
        </is>
      </c>
      <c r="B65" s="33" t="inlineStr">
        <is>
          <t>Мадлен</t>
        </is>
      </c>
      <c r="C65" s="33" t="inlineStr">
        <is>
          <t>0.1.0-DRAFT</t>
        </is>
      </c>
      <c r="D65" s="46" t="n">
        <v>249.580713</v>
      </c>
      <c r="E65" s="46" t="n">
        <v>7.873194</v>
      </c>
      <c r="F65" s="46" t="n">
        <v>241.707519</v>
      </c>
      <c r="G65" s="46" t="n">
        <v>3.743711</v>
      </c>
      <c r="H65" s="46" t="n">
        <v>253.324424</v>
      </c>
      <c r="I65" s="33" t="inlineStr">
        <is>
          <t>ASSUMPTION_BLOCKED_PENDING_VALIDATION</t>
        </is>
      </c>
      <c r="J65" s="33" t="inlineStr">
        <is>
          <t>LOW_CONFIDENCE</t>
        </is>
      </c>
      <c r="K65" s="33" t="inlineStr">
        <is>
          <t>OPEN</t>
        </is>
      </c>
      <c r="L65" s="33" t="inlineStr">
        <is>
          <t>Same no-double-count DAG as evidence layer; all 74 missing prices supplied only by explicit public category proxies</t>
        </is>
      </c>
      <c r="M65" s="33" t="inlineStr">
        <is>
          <t>Not complete evidence-backed COGS; exact SKU, make/buy, yields, quotations, VAT, delivery and MOQ remain open</t>
        </is>
      </c>
      <c r="N65" s="28" t="n"/>
      <c r="O65" s="28" t="n"/>
      <c r="P65" s="28" t="n"/>
      <c r="Q65" s="28" t="n"/>
    </row>
  </sheetData>
  <mergeCells count="3">
    <mergeCell ref="A2:Q2"/>
    <mergeCell ref="A1:Q1"/>
    <mergeCell ref="A36:Q36"/>
  </mergeCells>
  <conditionalFormatting sqref="P6:P33">
    <cfRule type="containsText" priority="1" operator="containsText" dxfId="0" text="BLOCK"/>
    <cfRule type="containsText" priority="2" operator="containsText" dxfId="1" text="PASS"/>
  </conditionalFormatting>
  <conditionalFormatting sqref="I38:K65">
    <cfRule type="containsText" priority="3" operator="containsText" dxfId="0" text="BLOCK"/>
    <cfRule type="containsText" priority="4" operator="containsText" dxfId="1" text="PASS"/>
  </conditionalFormatting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18" customWidth="1" min="4" max="4"/>
    <col width="48" customWidth="1" min="5" max="5"/>
    <col width="15" customWidth="1" min="6" max="6"/>
    <col width="52" customWidth="1" min="7" max="7"/>
    <col width="15" customWidth="1" min="8" max="8"/>
    <col width="52" customWidth="1" min="9" max="9"/>
    <col width="15" customWidth="1" min="10" max="10"/>
    <col width="48" customWidth="1" min="11" max="11"/>
    <col width="15" customWidth="1" min="12" max="12"/>
    <col width="52" customWidth="1" min="13" max="13"/>
    <col width="15" customWidth="1" min="14" max="14"/>
    <col width="52" customWidth="1" min="15" max="15"/>
    <col width="15" customWidth="1" min="16" max="16"/>
    <col width="55" customWidth="1" min="17" max="17"/>
    <col width="12" customWidth="1" min="18" max="18"/>
    <col width="8" customWidth="1" min="19" max="19"/>
    <col width="12" customWidth="1" min="20" max="20"/>
    <col width="8" customWidth="1" min="21" max="21"/>
    <col width="45" customWidth="1" min="22" max="22"/>
    <col width="11" customWidth="1" min="23" max="23"/>
    <col width="8" customWidth="1" min="24" max="24"/>
    <col width="16" customWidth="1" min="25" max="25"/>
    <col width="24" customWidth="1" min="26" max="26"/>
    <col width="16" customWidth="1" min="27" max="27"/>
    <col width="24" customWidth="1" min="28" max="28"/>
    <col width="28" customWidth="1" min="29" max="29"/>
    <col width="24" customWidth="1" min="30" max="30"/>
    <col width="24" customWidth="1" min="31" max="31"/>
    <col width="20" customWidth="1" min="32" max="32"/>
    <col width="48" customWidth="1" min="33" max="33"/>
  </cols>
  <sheetData>
    <row r="1" ht="30" customHeight="1">
      <c r="A1" s="27" t="inlineStr">
        <is>
          <t>05 — Технологические карты</t>
        </is>
      </c>
    </row>
    <row r="2" ht="27" customHeight="1">
      <c r="A2" s="29" t="inlineStr">
        <is>
          <t>Шесть обязательных полей HOF-0011 показаны отдельно со статусом. DRAFT/BLOCKED не означает готовность.</t>
        </is>
      </c>
    </row>
    <row r="3">
      <c r="A3" s="28" t="n"/>
      <c r="B3" s="28" t="n"/>
      <c r="C3" s="28" t="n"/>
      <c r="D3" s="28" t="n"/>
      <c r="E3" s="28" t="n"/>
      <c r="F3" s="28" t="n"/>
      <c r="G3" s="28" t="n"/>
      <c r="H3" s="28" t="n"/>
      <c r="I3" s="28" t="n"/>
      <c r="J3" s="28" t="n"/>
      <c r="K3" s="28" t="n"/>
      <c r="L3" s="28" t="n"/>
      <c r="M3" s="28" t="n"/>
      <c r="N3" s="28" t="n"/>
      <c r="O3" s="28" t="n"/>
      <c r="P3" s="28" t="n"/>
      <c r="Q3" s="28" t="n"/>
      <c r="R3" s="28" t="n"/>
      <c r="S3" s="28" t="n"/>
      <c r="T3" s="28" t="n"/>
      <c r="U3" s="28" t="n"/>
      <c r="V3" s="28" t="n"/>
      <c r="W3" s="28" t="n"/>
      <c r="X3" s="28" t="n"/>
      <c r="Y3" s="28" t="n"/>
      <c r="Z3" s="28" t="n"/>
      <c r="AA3" s="28" t="n"/>
      <c r="AB3" s="28" t="n"/>
      <c r="AC3" s="28" t="n"/>
      <c r="AD3" s="28" t="n"/>
      <c r="AE3" s="28" t="n"/>
      <c r="AF3" s="28" t="n"/>
      <c r="AG3" s="28" t="n"/>
    </row>
    <row r="4">
      <c r="A4" s="28" t="n"/>
      <c r="B4" s="28" t="n"/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  <c r="P4" s="28" t="n"/>
      <c r="Q4" s="28" t="n"/>
      <c r="R4" s="28" t="n"/>
      <c r="S4" s="28" t="n"/>
      <c r="T4" s="28" t="n"/>
      <c r="U4" s="28" t="n"/>
      <c r="V4" s="28" t="n"/>
      <c r="W4" s="28" t="n"/>
      <c r="X4" s="28" t="n"/>
      <c r="Y4" s="28" t="n"/>
      <c r="Z4" s="28" t="n"/>
      <c r="AA4" s="28" t="n"/>
      <c r="AB4" s="28" t="n"/>
      <c r="AC4" s="28" t="n"/>
      <c r="AD4" s="28" t="n"/>
      <c r="AE4" s="28" t="n"/>
      <c r="AF4" s="28" t="n"/>
      <c r="AG4" s="28" t="n"/>
    </row>
    <row r="5" ht="34" customHeight="1">
      <c r="A5" s="32" t="inlineStr">
        <is>
          <t>Tech card</t>
        </is>
      </c>
      <c r="B5" s="32" t="inlineStr">
        <is>
          <t>Dish ID</t>
        </is>
      </c>
      <c r="C5" s="32" t="inlineStr">
        <is>
          <t>Блюдо</t>
        </is>
      </c>
      <c r="D5" s="32" t="inlineStr">
        <is>
          <t>Версия</t>
        </is>
      </c>
      <c r="E5" s="32" t="inlineStr">
        <is>
          <t>Область применения</t>
        </is>
      </c>
      <c r="F5" s="32" t="inlineStr">
        <is>
          <t>Scope status</t>
        </is>
      </c>
      <c r="G5" s="32" t="inlineStr">
        <is>
          <t>Требования к сырью</t>
        </is>
      </c>
      <c r="H5" s="32" t="inlineStr">
        <is>
          <t>Raw status</t>
        </is>
      </c>
      <c r="I5" s="32" t="inlineStr">
        <is>
          <t>Подготовка сырья</t>
        </is>
      </c>
      <c r="J5" s="32" t="inlineStr">
        <is>
          <t>Prep status</t>
        </is>
      </c>
      <c r="K5" s="32" t="inlineStr">
        <is>
          <t>Допустимые отклонения</t>
        </is>
      </c>
      <c r="L5" s="32" t="inlineStr">
        <is>
          <t>Tolerance status</t>
        </is>
      </c>
      <c r="M5" s="32" t="inlineStr">
        <is>
          <t>Органолептика</t>
        </is>
      </c>
      <c r="N5" s="32" t="inlineStr">
        <is>
          <t>Sensory status</t>
        </is>
      </c>
      <c r="O5" s="32" t="inlineStr">
        <is>
          <t>Хранение и реализация</t>
        </is>
      </c>
      <c r="P5" s="32" t="inlineStr">
        <is>
          <t>Storage status</t>
        </is>
      </c>
      <c r="Q5" s="32" t="inlineStr">
        <is>
          <t>Операции</t>
        </is>
      </c>
      <c r="R5" s="32" t="inlineStr">
        <is>
          <t>Активное время</t>
        </is>
      </c>
      <c r="S5" s="32" t="inlineStr">
        <is>
          <t>Ед.</t>
        </is>
      </c>
      <c r="T5" s="32" t="inlineStr">
        <is>
          <t>Полное время</t>
        </is>
      </c>
      <c r="U5" s="32" t="inlineStr">
        <is>
          <t>Ед.</t>
        </is>
      </c>
      <c r="V5" s="32" t="inlineStr">
        <is>
          <t>Подача</t>
        </is>
      </c>
      <c r="W5" s="32" t="inlineStr">
        <is>
          <t>Выход</t>
        </is>
      </c>
      <c r="X5" s="32" t="inlineStr">
        <is>
          <t>Ед.</t>
        </is>
      </c>
      <c r="Y5" s="32" t="inlineStr">
        <is>
          <t>Safety limits</t>
        </is>
      </c>
      <c r="Z5" s="32" t="inlineStr">
        <is>
          <t>Safety status</t>
        </is>
      </c>
      <c r="AA5" s="32" t="inlineStr">
        <is>
          <t>Статус</t>
        </is>
      </c>
      <c r="AB5" s="32" t="inlineStr">
        <is>
          <t>Evidence</t>
        </is>
      </c>
      <c r="AC5" s="32" t="inlineStr">
        <is>
          <t>Safety evidence</t>
        </is>
      </c>
      <c r="AD5" s="32" t="inlineStr">
        <is>
          <t>Safety blockers</t>
        </is>
      </c>
      <c r="AE5" s="32" t="inlineStr">
        <is>
          <t>Blockers</t>
        </is>
      </c>
      <c r="AF5" s="32" t="inlineStr">
        <is>
          <t>Owner</t>
        </is>
      </c>
      <c r="AG5" s="32" t="inlineStr">
        <is>
          <t>Validation</t>
        </is>
      </c>
    </row>
    <row r="6">
      <c r="A6" s="33" t="inlineStr">
        <is>
          <t>VKT-001</t>
        </is>
      </c>
      <c r="B6" s="33" t="inlineStr">
        <is>
          <t>VKM-001</t>
        </is>
      </c>
      <c r="C6" s="33" t="inlineStr">
        <is>
          <t>Маргарита</t>
        </is>
      </c>
      <c r="D6" s="33" t="inlineStr">
        <is>
          <t>0.1.0-DRAFT</t>
        </is>
      </c>
      <c r="E6" s="33" t="inlineStr">
        <is>
          <t>Изготовление и отпуск позиции VKM-001 «Маргарита» в рамках проектного меню Issue #82; каналы и формат отпуска применяются после сверки с паспортом позиции и Owner/Chef Gate.</t>
        </is>
      </c>
      <c r="F6" s="33" t="inlineStr">
        <is>
          <t>DRAFT</t>
        </is>
      </c>
      <c r="G6" s="33" t="inlineStr">
        <is>
          <t>Использовать сырьё только после фиксации точных SKU/спецификаций, подтверждения сопроводительных документов и входного контроля; конкретные показатели качества не установлены без данных поставщика.</t>
        </is>
      </c>
      <c r="H6" s="33" t="inlineStr">
        <is>
          <t>BLOCKED</t>
        </is>
      </c>
      <c r="I6" s="33" t="inlineStr">
        <is>
          <t>Подготовка по проектной последовательности операций; фактические способы подготовки, мойки/очистки/размораживания (если применимо) и потери подтвердить контрольной проработкой.</t>
        </is>
      </c>
      <c r="J6" s="33" t="inlineStr">
        <is>
          <t>DRAFT</t>
        </is>
      </c>
      <c r="K6" s="33" t="inlineStr">
        <is>
          <t>Числовые допуски массы, выхода, времени и органолептики не установлены; определить и утвердить по документированной контрольной серии.</t>
        </is>
      </c>
      <c r="L6" s="33" t="inlineStr">
        <is>
          <t>BLOCKED</t>
        </is>
      </c>
      <c r="M6" s="33" t="inlineStr">
        <is>
          <t>На контрольной проработке оценить внешний вид, цвет, запах, вкус, консистенцию/текстуру и соответствие проекту подачи «Целая пицца на подложке/тарелке; равномерный борт; базилик после выпечки»; критерии приёмки и решение Chef не заполнены.</t>
        </is>
      </c>
      <c r="N6" s="33" t="inlineStr">
        <is>
          <t>DRAFT</t>
        </is>
      </c>
      <c r="O6" s="33" t="inlineStr">
        <is>
          <t>Режим и срок хранения/реализации не устанавливаются ChefTechnologyAgent; применить только version-locked решение FoodSafetyAgent/ППК после фиксации SKU, процесса и контрольных измерений.</t>
        </is>
      </c>
      <c r="P6" s="33" t="inlineStr">
        <is>
          <t>BLOCKED</t>
        </is>
      </c>
      <c r="Q6" s="33" t="inlineStr">
        <is>
          <t>Подготовить тесто и соус; выдержать тесто; сформовать основу; нанести соус и сыр; выпечь; добавить базилик и масло</t>
        </is>
      </c>
      <c r="R6" s="33" t="n">
        <v>19</v>
      </c>
      <c r="S6" s="33" t="inlineStr">
        <is>
          <t>мин</t>
        </is>
      </c>
      <c r="T6" s="33" t="n">
        <v>90</v>
      </c>
      <c r="U6" s="33" t="inlineStr">
        <is>
          <t>мин</t>
        </is>
      </c>
      <c r="V6" s="33" t="inlineStr">
        <is>
          <t>Целая пицца на подложке/тарелке; равномерный борт; базилик после выпечки</t>
        </is>
      </c>
      <c r="W6" s="33" t="n">
        <v>450</v>
      </c>
      <c r="X6" s="33" t="inlineStr">
        <is>
          <t>г</t>
        </is>
      </c>
      <c r="Y6" s="33" t="n"/>
      <c r="Z6" s="33" t="inlineStr">
        <is>
          <t>BLOCKED_PENDING_VALIDATION</t>
        </is>
      </c>
      <c r="AA6" s="33" t="inlineStr">
        <is>
          <t>ASSUMPTION</t>
        </is>
      </c>
      <c r="AB6" s="33" t="inlineStr">
        <is>
          <t>EVD-0010;EVD-0011</t>
        </is>
      </c>
      <c r="AC6" s="33" t="inlineStr">
        <is>
          <t>EVD-0013;EVD-0014;EVD-FS-001;EVD-FS-002;EVD-FS-003</t>
        </is>
      </c>
      <c r="AD6" s="33" t="inlineStr">
        <is>
          <t>GAP-010;GAP-011</t>
        </is>
      </c>
      <c r="AE6" s="33" t="inlineStr">
        <is>
          <t>GAP-007;GAP-008</t>
        </is>
      </c>
      <c r="AF6" s="33" t="inlineStr">
        <is>
          <t>Chef</t>
        </is>
      </c>
      <c r="AG6" s="33" t="inlineStr">
        <is>
          <t>Наблюдать операции и время; отдельно подтвердить safety-critical параметры</t>
        </is>
      </c>
    </row>
    <row r="7">
      <c r="A7" s="33" t="inlineStr">
        <is>
          <t>VKT-002</t>
        </is>
      </c>
      <c r="B7" s="33" t="inlineStr">
        <is>
          <t>VKM-002</t>
        </is>
      </c>
      <c r="C7" s="33" t="inlineStr">
        <is>
          <t>Четыре сыра</t>
        </is>
      </c>
      <c r="D7" s="33" t="inlineStr">
        <is>
          <t>0.1.0-DRAFT</t>
        </is>
      </c>
      <c r="E7" s="33" t="inlineStr">
        <is>
          <t>Изготовление и отпуск позиции VKM-002 «Четыре сыра» в рамках проектного меню Issue #82; каналы и формат отпуска применяются после сверки с паспортом позиции и Owner/Chef Gate.</t>
        </is>
      </c>
      <c r="F7" s="33" t="inlineStr">
        <is>
          <t>DRAFT</t>
        </is>
      </c>
      <c r="G7" s="33" t="inlineStr">
        <is>
          <t>Использовать сырьё только после фиксации точных SKU/спецификаций, подтверждения сопроводительных документов и входного контроля; конкретные показатели качества не установлены без данных поставщика.</t>
        </is>
      </c>
      <c r="H7" s="33" t="inlineStr">
        <is>
          <t>BLOCKED</t>
        </is>
      </c>
      <c r="I7" s="33" t="inlineStr">
        <is>
          <t>Подготовка по проектной последовательности операций; фактические способы подготовки, мойки/очистки/размораживания (если применимо) и потери подтвердить контрольной проработкой.</t>
        </is>
      </c>
      <c r="J7" s="33" t="inlineStr">
        <is>
          <t>DRAFT</t>
        </is>
      </c>
      <c r="K7" s="33" t="inlineStr">
        <is>
          <t>Числовые допуски массы, выхода, времени и органолептики не установлены; определить и утвердить по документированной контрольной серии.</t>
        </is>
      </c>
      <c r="L7" s="33" t="inlineStr">
        <is>
          <t>BLOCKED</t>
        </is>
      </c>
      <c r="M7" s="33" t="inlineStr">
        <is>
          <t>На контрольной проработке оценить внешний вид, цвет, запах, вкус, консистенцию/текстуру и соответствие проекту подачи «Целая пицца; четыре сыра распределены равномерно, без перегруженного центра»; критерии приёмки и решение Chef не заполнены.</t>
        </is>
      </c>
      <c r="N7" s="33" t="inlineStr">
        <is>
          <t>DRAFT</t>
        </is>
      </c>
      <c r="O7" s="33" t="inlineStr">
        <is>
          <t>Режим и срок хранения/реализации не устанавливаются ChefTechnologyAgent; применить только version-locked решение FoodSafetyAgent/ППК после фиксации SKU, процесса и контрольных измерений.</t>
        </is>
      </c>
      <c r="P7" s="33" t="inlineStr">
        <is>
          <t>BLOCKED</t>
        </is>
      </c>
      <c r="Q7" s="33" t="inlineStr">
        <is>
          <t>Подготовить тесто и соус; сформовать; распределить четыре сыра; выпечь; финишировать маслом</t>
        </is>
      </c>
      <c r="R7" s="33" t="n">
        <v>20</v>
      </c>
      <c r="S7" s="33" t="inlineStr">
        <is>
          <t>мин</t>
        </is>
      </c>
      <c r="T7" s="33" t="n">
        <v>92</v>
      </c>
      <c r="U7" s="33" t="inlineStr">
        <is>
          <t>мин</t>
        </is>
      </c>
      <c r="V7" s="33" t="inlineStr">
        <is>
          <t>Целая пицца; четыре сыра распределены равномерно, без перегруженного центра</t>
        </is>
      </c>
      <c r="W7" s="33" t="n">
        <v>480</v>
      </c>
      <c r="X7" s="33" t="inlineStr">
        <is>
          <t>г</t>
        </is>
      </c>
      <c r="Y7" s="33" t="n"/>
      <c r="Z7" s="33" t="inlineStr">
        <is>
          <t>BLOCKED_PENDING_VALIDATION</t>
        </is>
      </c>
      <c r="AA7" s="33" t="inlineStr">
        <is>
          <t>ASSUMPTION</t>
        </is>
      </c>
      <c r="AB7" s="33" t="inlineStr">
        <is>
          <t>EVD-0010;EVD-0011</t>
        </is>
      </c>
      <c r="AC7" s="33" t="inlineStr">
        <is>
          <t>EVD-0013;EVD-0014;EVD-FS-001;EVD-FS-002;EVD-FS-003</t>
        </is>
      </c>
      <c r="AD7" s="33" t="inlineStr">
        <is>
          <t>GAP-010;GAP-011</t>
        </is>
      </c>
      <c r="AE7" s="33" t="inlineStr">
        <is>
          <t>GAP-007;GAP-008</t>
        </is>
      </c>
      <c r="AF7" s="33" t="inlineStr">
        <is>
          <t>Chef</t>
        </is>
      </c>
      <c r="AG7" s="33" t="inlineStr">
        <is>
          <t>Наблюдать операции и время; отдельно подтвердить safety-critical параметры</t>
        </is>
      </c>
    </row>
    <row r="8">
      <c r="A8" s="33" t="inlineStr">
        <is>
          <t>VKT-003</t>
        </is>
      </c>
      <c r="B8" s="33" t="inlineStr">
        <is>
          <t>VKM-003</t>
        </is>
      </c>
      <c r="C8" s="33" t="inlineStr">
        <is>
          <t>Грибная с ветчиной</t>
        </is>
      </c>
      <c r="D8" s="33" t="inlineStr">
        <is>
          <t>0.1.0-DRAFT</t>
        </is>
      </c>
      <c r="E8" s="33" t="inlineStr">
        <is>
          <t>Изготовление и отпуск позиции VKM-003 «Грибная с ветчиной» в рамках проектного меню Issue #82; каналы и формат отпуска применяются после сверки с паспортом позиции и Owner/Chef Gate.</t>
        </is>
      </c>
      <c r="F8" s="33" t="inlineStr">
        <is>
          <t>DRAFT</t>
        </is>
      </c>
      <c r="G8" s="33" t="inlineStr">
        <is>
          <t>Использовать сырьё только после фиксации точных SKU/спецификаций, подтверждения сопроводительных документов и входного контроля; конкретные показатели качества не установлены без данных поставщика.</t>
        </is>
      </c>
      <c r="H8" s="33" t="inlineStr">
        <is>
          <t>BLOCKED</t>
        </is>
      </c>
      <c r="I8" s="33" t="inlineStr">
        <is>
          <t>Подготовка по проектной последовательности операций; фактические способы подготовки, мойки/очистки/размораживания (если применимо) и потери подтвердить контрольной проработкой.</t>
        </is>
      </c>
      <c r="J8" s="33" t="inlineStr">
        <is>
          <t>DRAFT</t>
        </is>
      </c>
      <c r="K8" s="33" t="inlineStr">
        <is>
          <t>Числовые допуски массы, выхода, времени и органолептики не установлены; определить и утвердить по документированной контрольной серии.</t>
        </is>
      </c>
      <c r="L8" s="33" t="inlineStr">
        <is>
          <t>BLOCKED</t>
        </is>
      </c>
      <c r="M8" s="33" t="inlineStr">
        <is>
          <t>На контрольной проработке оценить внешний вид, цвет, запах, вкус, консистенцию/текстуру и соответствие проекту подачи «Целая пицца; видимая равномерная раскладка ветчины и грибов»; критерии приёмки и решение Chef не заполнены.</t>
        </is>
      </c>
      <c r="N8" s="33" t="inlineStr">
        <is>
          <t>DRAFT</t>
        </is>
      </c>
      <c r="O8" s="33" t="inlineStr">
        <is>
          <t>Режим и срок хранения/реализации не устанавливаются ChefTechnologyAgent; применить только version-locked решение FoodSafetyAgent/ППК после фиксации SKU, процесса и контрольных измерений.</t>
        </is>
      </c>
      <c r="P8" s="33" t="inlineStr">
        <is>
          <t>BLOCKED</t>
        </is>
      </c>
      <c r="Q8" s="33" t="inlineStr">
        <is>
          <t>Подготовить тесто и соус; подготовить грибы и лук; сформовать; собрать с ветчиной; выпечь</t>
        </is>
      </c>
      <c r="R8" s="33" t="n">
        <v>22</v>
      </c>
      <c r="S8" s="33" t="inlineStr">
        <is>
          <t>мин</t>
        </is>
      </c>
      <c r="T8" s="33" t="n">
        <v>95</v>
      </c>
      <c r="U8" s="33" t="inlineStr">
        <is>
          <t>мин</t>
        </is>
      </c>
      <c r="V8" s="33" t="inlineStr">
        <is>
          <t>Целая пицца; видимая равномерная раскладка ветчины и грибов</t>
        </is>
      </c>
      <c r="W8" s="33" t="n">
        <v>500</v>
      </c>
      <c r="X8" s="33" t="inlineStr">
        <is>
          <t>г</t>
        </is>
      </c>
      <c r="Y8" s="33" t="n"/>
      <c r="Z8" s="33" t="inlineStr">
        <is>
          <t>BLOCKED_PENDING_VALIDATION</t>
        </is>
      </c>
      <c r="AA8" s="33" t="inlineStr">
        <is>
          <t>ASSUMPTION</t>
        </is>
      </c>
      <c r="AB8" s="33" t="inlineStr">
        <is>
          <t>EVD-0010;EVD-0011</t>
        </is>
      </c>
      <c r="AC8" s="33" t="inlineStr">
        <is>
          <t>EVD-0013;EVD-0014;EVD-FS-001;EVD-FS-002;EVD-FS-003</t>
        </is>
      </c>
      <c r="AD8" s="33" t="inlineStr">
        <is>
          <t>GAP-010;GAP-011</t>
        </is>
      </c>
      <c r="AE8" s="33" t="inlineStr">
        <is>
          <t>GAP-007;GAP-008</t>
        </is>
      </c>
      <c r="AF8" s="33" t="inlineStr">
        <is>
          <t>Chef</t>
        </is>
      </c>
      <c r="AG8" s="33" t="inlineStr">
        <is>
          <t>Наблюдать операции и время; отдельно подтвердить safety-critical параметры</t>
        </is>
      </c>
    </row>
    <row r="9">
      <c r="A9" s="33" t="inlineStr">
        <is>
          <t>VKT-004</t>
        </is>
      </c>
      <c r="B9" s="33" t="inlineStr">
        <is>
          <t>VKM-004</t>
        </is>
      </c>
      <c r="C9" s="33" t="inlineStr">
        <is>
          <t>Пепперони</t>
        </is>
      </c>
      <c r="D9" s="33" t="inlineStr">
        <is>
          <t>0.1.0-DRAFT</t>
        </is>
      </c>
      <c r="E9" s="33" t="inlineStr">
        <is>
          <t>Изготовление и отпуск позиции VKM-004 «Пепперони» в рамках проектного меню Issue #82; каналы и формат отпуска применяются после сверки с паспортом позиции и Owner/Chef Gate.</t>
        </is>
      </c>
      <c r="F9" s="33" t="inlineStr">
        <is>
          <t>DRAFT</t>
        </is>
      </c>
      <c r="G9" s="33" t="inlineStr">
        <is>
          <t>Использовать сырьё только после фиксации точных SKU/спецификаций, подтверждения сопроводительных документов и входного контроля; конкретные показатели качества не установлены без данных поставщика.</t>
        </is>
      </c>
      <c r="H9" s="33" t="inlineStr">
        <is>
          <t>BLOCKED</t>
        </is>
      </c>
      <c r="I9" s="33" t="inlineStr">
        <is>
          <t>Подготовка по проектной последовательности операций; фактические способы подготовки, мойки/очистки/размораживания (если применимо) и потери подтвердить контрольной проработкой.</t>
        </is>
      </c>
      <c r="J9" s="33" t="inlineStr">
        <is>
          <t>DRAFT</t>
        </is>
      </c>
      <c r="K9" s="33" t="inlineStr">
        <is>
          <t>Числовые допуски массы, выхода, времени и органолептики не установлены; определить и утвердить по документированной контрольной серии.</t>
        </is>
      </c>
      <c r="L9" s="33" t="inlineStr">
        <is>
          <t>BLOCKED</t>
        </is>
      </c>
      <c r="M9" s="33" t="inlineStr">
        <is>
          <t>На контрольной проработке оценить внешний вид, цвет, запах, вкус, консистенцию/текстуру и соответствие проекту подачи «Целая пицца; пепперони равномерно распределена»; критерии приёмки и решение Chef не заполнены.</t>
        </is>
      </c>
      <c r="N9" s="33" t="inlineStr">
        <is>
          <t>DRAFT</t>
        </is>
      </c>
      <c r="O9" s="33" t="inlineStr">
        <is>
          <t>Режим и срок хранения/реализации не устанавливаются ChefTechnologyAgent; применить только version-locked решение FoodSafetyAgent/ППК после фиксации SKU, процесса и контрольных измерений.</t>
        </is>
      </c>
      <c r="P9" s="33" t="inlineStr">
        <is>
          <t>BLOCKED</t>
        </is>
      </c>
      <c r="Q9" s="33" t="inlineStr">
        <is>
          <t>Подготовить тесто и соус; сформовать; собрать с моцареллой и пепперони; выпечь; финишировать</t>
        </is>
      </c>
      <c r="R9" s="33" t="n">
        <v>20</v>
      </c>
      <c r="S9" s="33" t="inlineStr">
        <is>
          <t>мин</t>
        </is>
      </c>
      <c r="T9" s="33" t="n">
        <v>92</v>
      </c>
      <c r="U9" s="33" t="inlineStr">
        <is>
          <t>мин</t>
        </is>
      </c>
      <c r="V9" s="33" t="inlineStr">
        <is>
          <t>Целая пицца; пепперони равномерно распределена</t>
        </is>
      </c>
      <c r="W9" s="33" t="n">
        <v>500</v>
      </c>
      <c r="X9" s="33" t="inlineStr">
        <is>
          <t>г</t>
        </is>
      </c>
      <c r="Y9" s="33" t="n"/>
      <c r="Z9" s="33" t="inlineStr">
        <is>
          <t>BLOCKED_PENDING_VALIDATION</t>
        </is>
      </c>
      <c r="AA9" s="33" t="inlineStr">
        <is>
          <t>ASSUMPTION</t>
        </is>
      </c>
      <c r="AB9" s="33" t="inlineStr">
        <is>
          <t>EVD-0010;EVD-0011</t>
        </is>
      </c>
      <c r="AC9" s="33" t="inlineStr">
        <is>
          <t>EVD-0013;EVD-0014;EVD-FS-001;EVD-FS-002;EVD-FS-003</t>
        </is>
      </c>
      <c r="AD9" s="33" t="inlineStr">
        <is>
          <t>GAP-010;GAP-011</t>
        </is>
      </c>
      <c r="AE9" s="33" t="inlineStr">
        <is>
          <t>GAP-007;GAP-008</t>
        </is>
      </c>
      <c r="AF9" s="33" t="inlineStr">
        <is>
          <t>Chef</t>
        </is>
      </c>
      <c r="AG9" s="33" t="inlineStr">
        <is>
          <t>Наблюдать операции и время; отдельно подтвердить safety-critical параметры</t>
        </is>
      </c>
    </row>
    <row r="10">
      <c r="A10" s="33" t="inlineStr">
        <is>
          <t>VKT-005</t>
        </is>
      </c>
      <c r="B10" s="33" t="inlineStr">
        <is>
          <t>VKM-005</t>
        </is>
      </c>
      <c r="C10" s="33" t="inlineStr">
        <is>
          <t>Белая чиабатта</t>
        </is>
      </c>
      <c r="D10" s="33" t="inlineStr">
        <is>
          <t>0.1.0-DRAFT</t>
        </is>
      </c>
      <c r="E10" s="33" t="inlineStr">
        <is>
          <t>Изготовление и отпуск позиции VKM-005 «Белая чиабатта» в рамках проектного меню Issue #82; каналы и формат отпуска применяются после сверки с паспортом позиции и Owner/Chef Gate.</t>
        </is>
      </c>
      <c r="F10" s="33" t="inlineStr">
        <is>
          <t>DRAFT</t>
        </is>
      </c>
      <c r="G10" s="33" t="inlineStr">
        <is>
          <t>Использовать сырьё только после фиксации точных SKU/спецификаций, подтверждения сопроводительных документов и входного контроля; конкретные показатели качества не установлены без данных поставщика.</t>
        </is>
      </c>
      <c r="H10" s="33" t="inlineStr">
        <is>
          <t>BLOCKED</t>
        </is>
      </c>
      <c r="I10" s="33" t="inlineStr">
        <is>
          <t>Подготовка по проектной последовательности операций; фактические способы подготовки, мойки/очистки/размораживания (если применимо) и потери подтвердить контрольной проработкой.</t>
        </is>
      </c>
      <c r="J10" s="33" t="inlineStr">
        <is>
          <t>DRAFT</t>
        </is>
      </c>
      <c r="K10" s="33" t="inlineStr">
        <is>
          <t>Числовые допуски массы, выхода, времени и органолептики не установлены; определить и утвердить по документированной контрольной серии.</t>
        </is>
      </c>
      <c r="L10" s="33" t="inlineStr">
        <is>
          <t>BLOCKED</t>
        </is>
      </c>
      <c r="M10" s="33" t="inlineStr">
        <is>
          <t>На контрольной проработке оценить внешний вид, цвет, запах, вкус, консистенцию/текстуру и соответствие проекту подачи «Изделие 100 г; открытый пористый мякиш проверяется после контрольной выпечки»; критерии приёмки и решение Chef не заполнены.</t>
        </is>
      </c>
      <c r="N10" s="33" t="inlineStr">
        <is>
          <t>DRAFT</t>
        </is>
      </c>
      <c r="O10" s="33" t="inlineStr">
        <is>
          <t>Режим и срок хранения/реализации не устанавливаются ChefTechnologyAgent; применить только version-locked решение FoodSafetyAgent/ППК после фиксации SKU, процесса и контрольных измерений.</t>
        </is>
      </c>
      <c r="P10" s="33" t="inlineStr">
        <is>
          <t>BLOCKED</t>
        </is>
      </c>
      <c r="Q10" s="33" t="inlineStr">
        <is>
          <t>Смешать компоненты; замесить; провести брожение и складывания; сформовать; расстоять; выпечь; охладить</t>
        </is>
      </c>
      <c r="R10" s="33" t="n">
        <v>18</v>
      </c>
      <c r="S10" s="33" t="inlineStr">
        <is>
          <t>мин</t>
        </is>
      </c>
      <c r="T10" s="33" t="n">
        <v>150</v>
      </c>
      <c r="U10" s="33" t="inlineStr">
        <is>
          <t>мин</t>
        </is>
      </c>
      <c r="V10" s="33" t="inlineStr">
        <is>
          <t>Изделие 100 г; открытый пористый мякиш проверяется после контрольной выпечки</t>
        </is>
      </c>
      <c r="W10" s="33" t="n">
        <v>100</v>
      </c>
      <c r="X10" s="33" t="inlineStr">
        <is>
          <t>г</t>
        </is>
      </c>
      <c r="Y10" s="33" t="n"/>
      <c r="Z10" s="33" t="inlineStr">
        <is>
          <t>BLOCKED_PENDING_VALIDATION</t>
        </is>
      </c>
      <c r="AA10" s="33" t="inlineStr">
        <is>
          <t>ASSUMPTION</t>
        </is>
      </c>
      <c r="AB10" s="33" t="inlineStr">
        <is>
          <t>EVD-0010;EVD-0011</t>
        </is>
      </c>
      <c r="AC10" s="33" t="inlineStr">
        <is>
          <t>EVD-0013;EVD-0014;EVD-FS-001;EVD-FS-002;EVD-FS-003</t>
        </is>
      </c>
      <c r="AD10" s="33" t="inlineStr">
        <is>
          <t>GAP-010;GAP-011</t>
        </is>
      </c>
      <c r="AE10" s="33" t="inlineStr">
        <is>
          <t>GAP-007;GAP-008</t>
        </is>
      </c>
      <c r="AF10" s="33" t="inlineStr">
        <is>
          <t>Chef</t>
        </is>
      </c>
      <c r="AG10" s="33" t="inlineStr">
        <is>
          <t>Наблюдать операции и время; отдельно подтвердить safety-critical параметры</t>
        </is>
      </c>
    </row>
    <row r="11">
      <c r="A11" s="33" t="inlineStr">
        <is>
          <t>VKT-006</t>
        </is>
      </c>
      <c r="B11" s="33" t="inlineStr">
        <is>
          <t>VKM-006</t>
        </is>
      </c>
      <c r="C11" s="33" t="inlineStr">
        <is>
          <t>Томатная чиабатта</t>
        </is>
      </c>
      <c r="D11" s="33" t="inlineStr">
        <is>
          <t>0.1.0-DRAFT</t>
        </is>
      </c>
      <c r="E11" s="33" t="inlineStr">
        <is>
          <t>Изготовление и отпуск позиции VKM-006 «Томатная чиабатта» в рамках проектного меню Issue #82; каналы и формат отпуска применяются после сверки с паспортом позиции и Owner/Chef Gate.</t>
        </is>
      </c>
      <c r="F11" s="33" t="inlineStr">
        <is>
          <t>DRAFT</t>
        </is>
      </c>
      <c r="G11" s="33" t="inlineStr">
        <is>
          <t>Использовать сырьё только после фиксации точных SKU/спецификаций, подтверждения сопроводительных документов и входного контроля; конкретные показатели качества не установлены без данных поставщика.</t>
        </is>
      </c>
      <c r="H11" s="33" t="inlineStr">
        <is>
          <t>BLOCKED</t>
        </is>
      </c>
      <c r="I11" s="33" t="inlineStr">
        <is>
          <t>Подготовка по проектной последовательности операций; фактические способы подготовки, мойки/очистки/размораживания (если применимо) и потери подтвердить контрольной проработкой.</t>
        </is>
      </c>
      <c r="J11" s="33" t="inlineStr">
        <is>
          <t>DRAFT</t>
        </is>
      </c>
      <c r="K11" s="33" t="inlineStr">
        <is>
          <t>Числовые допуски массы, выхода, времени и органолептики не установлены; определить и утвердить по документированной контрольной серии.</t>
        </is>
      </c>
      <c r="L11" s="33" t="inlineStr">
        <is>
          <t>BLOCKED</t>
        </is>
      </c>
      <c r="M11" s="33" t="inlineStr">
        <is>
          <t>На контрольной проработке оценить внешний вид, цвет, запах, вкус, консистенцию/текстуру и соответствие проекту подачи «Изделие 100 г; равномерное распределение томатных включений»; критерии приёмки и решение Chef не заполнены.</t>
        </is>
      </c>
      <c r="N11" s="33" t="inlineStr">
        <is>
          <t>DRAFT</t>
        </is>
      </c>
      <c r="O11" s="33" t="inlineStr">
        <is>
          <t>Режим и срок хранения/реализации не устанавливаются ChefTechnologyAgent; применить только version-locked решение FoodSafetyAgent/ППК после фиксации SKU, процесса и контрольных измерений.</t>
        </is>
      </c>
      <c r="P11" s="33" t="inlineStr">
        <is>
          <t>BLOCKED</t>
        </is>
      </c>
      <c r="Q11" s="33" t="inlineStr">
        <is>
          <t>Смешать тесто с томатными компонентами; замесить; провести брожение; сформовать; расстоять; выпечь; охладить</t>
        </is>
      </c>
      <c r="R11" s="33" t="n">
        <v>18</v>
      </c>
      <c r="S11" s="33" t="inlineStr">
        <is>
          <t>мин</t>
        </is>
      </c>
      <c r="T11" s="33" t="n">
        <v>150</v>
      </c>
      <c r="U11" s="33" t="inlineStr">
        <is>
          <t>мин</t>
        </is>
      </c>
      <c r="V11" s="33" t="inlineStr">
        <is>
          <t>Изделие 100 г; равномерное распределение томатных включений</t>
        </is>
      </c>
      <c r="W11" s="33" t="n">
        <v>100</v>
      </c>
      <c r="X11" s="33" t="inlineStr">
        <is>
          <t>г</t>
        </is>
      </c>
      <c r="Y11" s="33" t="n"/>
      <c r="Z11" s="33" t="inlineStr">
        <is>
          <t>BLOCKED_PENDING_VALIDATION</t>
        </is>
      </c>
      <c r="AA11" s="33" t="inlineStr">
        <is>
          <t>ASSUMPTION</t>
        </is>
      </c>
      <c r="AB11" s="33" t="inlineStr">
        <is>
          <t>EVD-0010;EVD-0011</t>
        </is>
      </c>
      <c r="AC11" s="33" t="inlineStr">
        <is>
          <t>EVD-0013;EVD-0014;EVD-FS-001;EVD-FS-002;EVD-FS-003</t>
        </is>
      </c>
      <c r="AD11" s="33" t="inlineStr">
        <is>
          <t>GAP-010;GAP-011</t>
        </is>
      </c>
      <c r="AE11" s="33" t="inlineStr">
        <is>
          <t>GAP-007;GAP-008</t>
        </is>
      </c>
      <c r="AF11" s="33" t="inlineStr">
        <is>
          <t>Chef</t>
        </is>
      </c>
      <c r="AG11" s="33" t="inlineStr">
        <is>
          <t>Наблюдать операции и время; отдельно подтвердить safety-critical параметры</t>
        </is>
      </c>
    </row>
    <row r="12">
      <c r="A12" s="33" t="inlineStr">
        <is>
          <t>VKT-007</t>
        </is>
      </c>
      <c r="B12" s="33" t="inlineStr">
        <is>
          <t>VKM-007</t>
        </is>
      </c>
      <c r="C12" s="33" t="inlineStr">
        <is>
          <t>Бородинский хлеб</t>
        </is>
      </c>
      <c r="D12" s="33" t="inlineStr">
        <is>
          <t>0.1.0-DRAFT</t>
        </is>
      </c>
      <c r="E12" s="33" t="inlineStr">
        <is>
          <t>Изготовление и отпуск позиции VKM-007 «Бородинский хлеб» в рамках проектного меню Issue #82; каналы и формат отпуска применяются после сверки с паспортом позиции и Owner/Chef Gate.</t>
        </is>
      </c>
      <c r="F12" s="33" t="inlineStr">
        <is>
          <t>DRAFT</t>
        </is>
      </c>
      <c r="G12" s="33" t="inlineStr">
        <is>
          <t>Использовать сырьё только после фиксации точных SKU/спецификаций, подтверждения сопроводительных документов и входного контроля; конкретные показатели качества не установлены без данных поставщика.</t>
        </is>
      </c>
      <c r="H12" s="33" t="inlineStr">
        <is>
          <t>BLOCKED</t>
        </is>
      </c>
      <c r="I12" s="33" t="inlineStr">
        <is>
          <t>Подготовка по проектной последовательности операций; фактические способы подготовки, мойки/очистки/размораживания (если применимо) и потери подтвердить контрольной проработкой.</t>
        </is>
      </c>
      <c r="J12" s="33" t="inlineStr">
        <is>
          <t>DRAFT</t>
        </is>
      </c>
      <c r="K12" s="33" t="inlineStr">
        <is>
          <t>Числовые допуски массы, выхода, времени и органолептики не установлены; определить и утвердить по документированной контрольной серии.</t>
        </is>
      </c>
      <c r="L12" s="33" t="inlineStr">
        <is>
          <t>BLOCKED</t>
        </is>
      </c>
      <c r="M12" s="33" t="inlineStr">
        <is>
          <t>На контрольной проработке оценить внешний вид, цвет, запах, вкус, консистенцию/текстуру и соответствие проекту подачи «Буханка 350 г; целая корка, равномерный мякиш после полного охлаждения»; критерии приёмки и решение Chef не заполнены.</t>
        </is>
      </c>
      <c r="N12" s="33" t="inlineStr">
        <is>
          <t>DRAFT</t>
        </is>
      </c>
      <c r="O12" s="33" t="inlineStr">
        <is>
          <t>Режим и срок хранения/реализации не устанавливаются ChefTechnologyAgent; применить только version-locked решение FoodSafetyAgent/ППК после фиксации SKU, процесса и контрольных измерений.</t>
        </is>
      </c>
      <c r="P12" s="33" t="inlineStr">
        <is>
          <t>BLOCKED</t>
        </is>
      </c>
      <c r="Q12" s="33" t="inlineStr">
        <is>
          <t>Приготовить заварку; замесить тесто; провести брожение; уложить в форму; расстоять; выпечь; стабилизировать и охладить</t>
        </is>
      </c>
      <c r="R12" s="33" t="n">
        <v>25</v>
      </c>
      <c r="S12" s="33" t="inlineStr">
        <is>
          <t>мин</t>
        </is>
      </c>
      <c r="T12" s="33" t="n">
        <v>300</v>
      </c>
      <c r="U12" s="33" t="inlineStr">
        <is>
          <t>мин</t>
        </is>
      </c>
      <c r="V12" s="33" t="inlineStr">
        <is>
          <t>Буханка 350 г; целая корка, равномерный мякиш после полного охлаждения</t>
        </is>
      </c>
      <c r="W12" s="33" t="n">
        <v>350</v>
      </c>
      <c r="X12" s="33" t="inlineStr">
        <is>
          <t>г</t>
        </is>
      </c>
      <c r="Y12" s="33" t="n"/>
      <c r="Z12" s="33" t="inlineStr">
        <is>
          <t>BLOCKED_PENDING_VALIDATION</t>
        </is>
      </c>
      <c r="AA12" s="33" t="inlineStr">
        <is>
          <t>ASSUMPTION</t>
        </is>
      </c>
      <c r="AB12" s="33" t="inlineStr">
        <is>
          <t>EVD-0010;EVD-0011</t>
        </is>
      </c>
      <c r="AC12" s="33" t="inlineStr">
        <is>
          <t>EVD-0013;EVD-0014;EVD-FS-001;EVD-FS-002;EVD-FS-003</t>
        </is>
      </c>
      <c r="AD12" s="33" t="inlineStr">
        <is>
          <t>GAP-010;GAP-011</t>
        </is>
      </c>
      <c r="AE12" s="33" t="inlineStr">
        <is>
          <t>GAP-007;GAP-008</t>
        </is>
      </c>
      <c r="AF12" s="33" t="inlineStr">
        <is>
          <t>Chef</t>
        </is>
      </c>
      <c r="AG12" s="33" t="inlineStr">
        <is>
          <t>Наблюдать операции и время; отдельно подтвердить safety-critical параметры</t>
        </is>
      </c>
    </row>
    <row r="13">
      <c r="A13" s="33" t="inlineStr">
        <is>
          <t>VKT-008</t>
        </is>
      </c>
      <c r="B13" s="33" t="inlineStr">
        <is>
          <t>VKM-008</t>
        </is>
      </c>
      <c r="C13" s="33" t="inlineStr">
        <is>
          <t>Бриошь</t>
        </is>
      </c>
      <c r="D13" s="33" t="inlineStr">
        <is>
          <t>0.1.0-DRAFT</t>
        </is>
      </c>
      <c r="E13" s="33" t="inlineStr">
        <is>
          <t>Изготовление и отпуск позиции VKM-008 «Бриошь» в рамках проектного меню Issue #82; каналы и формат отпуска применяются после сверки с паспортом позиции и Owner/Chef Gate.</t>
        </is>
      </c>
      <c r="F13" s="33" t="inlineStr">
        <is>
          <t>DRAFT</t>
        </is>
      </c>
      <c r="G13" s="33" t="inlineStr">
        <is>
          <t>Использовать сырьё только после фиксации точных SKU/спецификаций, подтверждения сопроводительных документов и входного контроля; конкретные показатели качества не установлены без данных поставщика.</t>
        </is>
      </c>
      <c r="H13" s="33" t="inlineStr">
        <is>
          <t>BLOCKED</t>
        </is>
      </c>
      <c r="I13" s="33" t="inlineStr">
        <is>
          <t>Подготовка по проектной последовательности операций; фактические способы подготовки, мойки/очистки/размораживания (если применимо) и потери подтвердить контрольной проработкой.</t>
        </is>
      </c>
      <c r="J13" s="33" t="inlineStr">
        <is>
          <t>DRAFT</t>
        </is>
      </c>
      <c r="K13" s="33" t="inlineStr">
        <is>
          <t>Числовые допуски массы, выхода, времени и органолептики не установлены; определить и утвердить по документированной контрольной серии.</t>
        </is>
      </c>
      <c r="L13" s="33" t="inlineStr">
        <is>
          <t>BLOCKED</t>
        </is>
      </c>
      <c r="M13" s="33" t="inlineStr">
        <is>
          <t>На контрольной проработке оценить внешний вид, цвет, запах, вкус, консистенцию/текстуру и соответствие проекту подачи «Изделие 85 г; ровная форма и глянцевая поверхность»; критерии приёмки и решение Chef не заполнены.</t>
        </is>
      </c>
      <c r="N13" s="33" t="inlineStr">
        <is>
          <t>DRAFT</t>
        </is>
      </c>
      <c r="O13" s="33" t="inlineStr">
        <is>
          <t>Режим и срок хранения/реализации не устанавливаются ChefTechnologyAgent; применить только version-locked решение FoodSafetyAgent/ППК после фиксации SKU, процесса и контрольных измерений.</t>
        </is>
      </c>
      <c r="P13" s="33" t="inlineStr">
        <is>
          <t>BLOCKED</t>
        </is>
      </c>
      <c r="Q13" s="33" t="inlineStr">
        <is>
          <t>Замесить сдобное тесто; ввести масло; провести брожение; сформовать; расстоять; смазать; выпечь; охладить</t>
        </is>
      </c>
      <c r="R13" s="33" t="n">
        <v>22</v>
      </c>
      <c r="S13" s="33" t="inlineStr">
        <is>
          <t>мин</t>
        </is>
      </c>
      <c r="T13" s="33" t="n">
        <v>180</v>
      </c>
      <c r="U13" s="33" t="inlineStr">
        <is>
          <t>мин</t>
        </is>
      </c>
      <c r="V13" s="33" t="inlineStr">
        <is>
          <t>Изделие 85 г; ровная форма и глянцевая поверхность</t>
        </is>
      </c>
      <c r="W13" s="33" t="n">
        <v>85</v>
      </c>
      <c r="X13" s="33" t="inlineStr">
        <is>
          <t>г</t>
        </is>
      </c>
      <c r="Y13" s="33" t="n"/>
      <c r="Z13" s="33" t="inlineStr">
        <is>
          <t>BLOCKED_PENDING_VALIDATION</t>
        </is>
      </c>
      <c r="AA13" s="33" t="inlineStr">
        <is>
          <t>ASSUMPTION</t>
        </is>
      </c>
      <c r="AB13" s="33" t="inlineStr">
        <is>
          <t>EVD-0010;EVD-0011</t>
        </is>
      </c>
      <c r="AC13" s="33" t="inlineStr">
        <is>
          <t>EVD-0013;EVD-0014;EVD-FS-001;EVD-FS-002;EVD-FS-003</t>
        </is>
      </c>
      <c r="AD13" s="33" t="inlineStr">
        <is>
          <t>GAP-010;GAP-011</t>
        </is>
      </c>
      <c r="AE13" s="33" t="inlineStr">
        <is>
          <t>GAP-007;GAP-008</t>
        </is>
      </c>
      <c r="AF13" s="33" t="inlineStr">
        <is>
          <t>Chef</t>
        </is>
      </c>
      <c r="AG13" s="33" t="inlineStr">
        <is>
          <t>Наблюдать операции и время; отдельно подтвердить safety-critical параметры</t>
        </is>
      </c>
    </row>
    <row r="14">
      <c r="A14" s="33" t="inlineStr">
        <is>
          <t>VKT-009</t>
        </is>
      </c>
      <c r="B14" s="33" t="inlineStr">
        <is>
          <t>VKM-009</t>
        </is>
      </c>
      <c r="C14" s="33" t="inlineStr">
        <is>
          <t>Буррата с томатами</t>
        </is>
      </c>
      <c r="D14" s="33" t="inlineStr">
        <is>
          <t>0.1.0-DRAFT</t>
        </is>
      </c>
      <c r="E14" s="33" t="inlineStr">
        <is>
          <t>Изготовление и отпуск позиции VKM-009 «Буррата с томатами» в рамках проектного меню Issue #82; каналы и формат отпуска применяются после сверки с паспортом позиции и Owner/Chef Gate.</t>
        </is>
      </c>
      <c r="F14" s="33" t="inlineStr">
        <is>
          <t>DRAFT</t>
        </is>
      </c>
      <c r="G14" s="33" t="inlineStr">
        <is>
          <t>Использовать сырьё только после фиксации точных SKU/спецификаций, подтверждения сопроводительных документов и входного контроля; конкретные показатели качества не установлены без данных поставщика.</t>
        </is>
      </c>
      <c r="H14" s="33" t="inlineStr">
        <is>
          <t>BLOCKED</t>
        </is>
      </c>
      <c r="I14" s="33" t="inlineStr">
        <is>
          <t>Подготовка по проектной последовательности операций; фактические способы подготовки, мойки/очистки/размораживания (если применимо) и потери подтвердить контрольной проработкой.</t>
        </is>
      </c>
      <c r="J14" s="33" t="inlineStr">
        <is>
          <t>DRAFT</t>
        </is>
      </c>
      <c r="K14" s="33" t="inlineStr">
        <is>
          <t>Числовые допуски массы, выхода, времени и органолептики не установлены; определить и утвердить по документированной контрольной серии.</t>
        </is>
      </c>
      <c r="L14" s="33" t="inlineStr">
        <is>
          <t>BLOCKED</t>
        </is>
      </c>
      <c r="M14" s="33" t="inlineStr">
        <is>
          <t>На контрольной проработке оценить внешний вид, цвет, запах, вкус, консистенцию/текстуру и соответствие проекту подачи «Буррата в центре; томаты и зелень по периметру; заправка непосредственно перед подачей»; критерии приёмки и решение Chef не заполнены.</t>
        </is>
      </c>
      <c r="N14" s="33" t="inlineStr">
        <is>
          <t>DRAFT</t>
        </is>
      </c>
      <c r="O14" s="33" t="inlineStr">
        <is>
          <t>Режим и срок хранения/реализации не устанавливаются ChefTechnologyAgent; применить только version-locked решение FoodSafetyAgent/ППК после фиксации SKU, процесса и контрольных измерений.</t>
        </is>
      </c>
      <c r="P14" s="33" t="inlineStr">
        <is>
          <t>BLOCKED</t>
        </is>
      </c>
      <c r="Q14" s="33" t="inlineStr">
        <is>
          <t>Подготовить томаты и зелень; смешать заправку; разместить буррату; собрать и финишировать</t>
        </is>
      </c>
      <c r="R14" s="33" t="n">
        <v>8</v>
      </c>
      <c r="S14" s="33" t="inlineStr">
        <is>
          <t>мин</t>
        </is>
      </c>
      <c r="T14" s="33" t="n">
        <v>10</v>
      </c>
      <c r="U14" s="33" t="inlineStr">
        <is>
          <t>мин</t>
        </is>
      </c>
      <c r="V14" s="33" t="inlineStr">
        <is>
          <t>Буррата в центре; томаты и зелень по периметру; заправка непосредственно перед подачей</t>
        </is>
      </c>
      <c r="W14" s="33" t="n">
        <v>300</v>
      </c>
      <c r="X14" s="33" t="inlineStr">
        <is>
          <t>г</t>
        </is>
      </c>
      <c r="Y14" s="33" t="n"/>
      <c r="Z14" s="33" t="inlineStr">
        <is>
          <t>BLOCKED_PENDING_VALIDATION</t>
        </is>
      </c>
      <c r="AA14" s="33" t="inlineStr">
        <is>
          <t>ASSUMPTION</t>
        </is>
      </c>
      <c r="AB14" s="33" t="inlineStr">
        <is>
          <t>EVD-0010;EVD-0011</t>
        </is>
      </c>
      <c r="AC14" s="33" t="inlineStr">
        <is>
          <t>EVD-0013;EVD-0014;EVD-FS-001;EVD-FS-002;EVD-FS-003</t>
        </is>
      </c>
      <c r="AD14" s="33" t="inlineStr">
        <is>
          <t>GAP-010;GAP-011</t>
        </is>
      </c>
      <c r="AE14" s="33" t="inlineStr">
        <is>
          <t>GAP-007;GAP-008</t>
        </is>
      </c>
      <c r="AF14" s="33" t="inlineStr">
        <is>
          <t>Chef</t>
        </is>
      </c>
      <c r="AG14" s="33" t="inlineStr">
        <is>
          <t>Наблюдать операции и время; отдельно подтвердить safety-critical параметры</t>
        </is>
      </c>
    </row>
    <row r="15">
      <c r="A15" s="33" t="inlineStr">
        <is>
          <t>VKT-010</t>
        </is>
      </c>
      <c r="B15" s="33" t="inlineStr">
        <is>
          <t>VKM-010</t>
        </is>
      </c>
      <c r="C15" s="33" t="inlineStr">
        <is>
          <t>Микс-салат с креветками и яблоком</t>
        </is>
      </c>
      <c r="D15" s="33" t="inlineStr">
        <is>
          <t>0.1.0-DRAFT</t>
        </is>
      </c>
      <c r="E15" s="33" t="inlineStr">
        <is>
          <t>Изготовление и отпуск позиции VKM-010 «Микс-салат с креветками и яблоком» в рамках проектного меню Issue #82; каналы и формат отпуска применяются после сверки с паспортом позиции и Owner/Chef Gate.</t>
        </is>
      </c>
      <c r="F15" s="33" t="inlineStr">
        <is>
          <t>DRAFT</t>
        </is>
      </c>
      <c r="G15" s="33" t="inlineStr">
        <is>
          <t>Использовать сырьё только после фиксации точных SKU/спецификаций, подтверждения сопроводительных документов и входного контроля; конкретные показатели качества не установлены без данных поставщика.</t>
        </is>
      </c>
      <c r="H15" s="33" t="inlineStr">
        <is>
          <t>BLOCKED</t>
        </is>
      </c>
      <c r="I15" s="33" t="inlineStr">
        <is>
          <t>Подготовка по проектной последовательности операций; фактические способы подготовки, мойки/очистки/размораживания (если применимо) и потери подтвердить контрольной проработкой.</t>
        </is>
      </c>
      <c r="J15" s="33" t="inlineStr">
        <is>
          <t>DRAFT</t>
        </is>
      </c>
      <c r="K15" s="33" t="inlineStr">
        <is>
          <t>Числовые допуски массы, выхода, времени и органолептики не установлены; определить и утвердить по документированной контрольной серии.</t>
        </is>
      </c>
      <c r="L15" s="33" t="inlineStr">
        <is>
          <t>BLOCKED</t>
        </is>
      </c>
      <c r="M15" s="33" t="inlineStr">
        <is>
          <t>На контрольной проработке оценить внешний вид, цвет, запах, вкус, консистенцию/текстуру и соответствие проекту подачи «Воздушная укладка микса; креветки видимы; яблоко без потемнения»; критерии приёмки и решение Chef не заполнены.</t>
        </is>
      </c>
      <c r="N15" s="33" t="inlineStr">
        <is>
          <t>DRAFT</t>
        </is>
      </c>
      <c r="O15" s="33" t="inlineStr">
        <is>
          <t>Режим и срок хранения/реализации не устанавливаются ChefTechnologyAgent; применить только version-locked решение FoodSafetyAgent/ППК после фиксации SKU, процесса и контрольных измерений.</t>
        </is>
      </c>
      <c r="P15" s="33" t="inlineStr">
        <is>
          <t>BLOCKED</t>
        </is>
      </c>
      <c r="Q15" s="33" t="inlineStr">
        <is>
          <t>Подготовить зелень, яблоко и огурец; подготовить креветки; смешать заправку; аккуратно собрать; добавить финиш</t>
        </is>
      </c>
      <c r="R15" s="33" t="n">
        <v>12</v>
      </c>
      <c r="S15" s="33" t="inlineStr">
        <is>
          <t>мин</t>
        </is>
      </c>
      <c r="T15" s="33" t="n">
        <v>18</v>
      </c>
      <c r="U15" s="33" t="inlineStr">
        <is>
          <t>мин</t>
        </is>
      </c>
      <c r="V15" s="33" t="inlineStr">
        <is>
          <t>Воздушная укладка микса; креветки видимы; яблоко без потемнения</t>
        </is>
      </c>
      <c r="W15" s="33" t="n">
        <v>280</v>
      </c>
      <c r="X15" s="33" t="inlineStr">
        <is>
          <t>г</t>
        </is>
      </c>
      <c r="Y15" s="33" t="n"/>
      <c r="Z15" s="33" t="inlineStr">
        <is>
          <t>BLOCKED_PENDING_VALIDATION</t>
        </is>
      </c>
      <c r="AA15" s="33" t="inlineStr">
        <is>
          <t>ASSUMPTION</t>
        </is>
      </c>
      <c r="AB15" s="33" t="inlineStr">
        <is>
          <t>EVD-0010;EVD-0011</t>
        </is>
      </c>
      <c r="AC15" s="33" t="inlineStr">
        <is>
          <t>EVD-0013;EVD-0014;EVD-FS-001;EVD-FS-002;EVD-FS-003</t>
        </is>
      </c>
      <c r="AD15" s="33" t="inlineStr">
        <is>
          <t>GAP-010;GAP-011</t>
        </is>
      </c>
      <c r="AE15" s="33" t="inlineStr">
        <is>
          <t>GAP-007;GAP-008</t>
        </is>
      </c>
      <c r="AF15" s="33" t="inlineStr">
        <is>
          <t>Chef</t>
        </is>
      </c>
      <c r="AG15" s="33" t="inlineStr">
        <is>
          <t>Наблюдать операции и время; отдельно подтвердить safety-critical параметры</t>
        </is>
      </c>
    </row>
    <row r="16">
      <c r="A16" s="33" t="inlineStr">
        <is>
          <t>VKT-011</t>
        </is>
      </c>
      <c r="B16" s="33" t="inlineStr">
        <is>
          <t>VKM-011</t>
        </is>
      </c>
      <c r="C16" s="33" t="inlineStr">
        <is>
          <t>Греческий</t>
        </is>
      </c>
      <c r="D16" s="33" t="inlineStr">
        <is>
          <t>0.1.0-DRAFT</t>
        </is>
      </c>
      <c r="E16" s="33" t="inlineStr">
        <is>
          <t>Изготовление и отпуск позиции VKM-011 «Греческий» в рамках проектного меню Issue #82; каналы и формат отпуска применяются после сверки с паспортом позиции и Owner/Chef Gate.</t>
        </is>
      </c>
      <c r="F16" s="33" t="inlineStr">
        <is>
          <t>DRAFT</t>
        </is>
      </c>
      <c r="G16" s="33" t="inlineStr">
        <is>
          <t>Использовать сырьё только после фиксации точных SKU/спецификаций, подтверждения сопроводительных документов и входного контроля; конкретные показатели качества не установлены без данных поставщика.</t>
        </is>
      </c>
      <c r="H16" s="33" t="inlineStr">
        <is>
          <t>BLOCKED</t>
        </is>
      </c>
      <c r="I16" s="33" t="inlineStr">
        <is>
          <t>Подготовка по проектной последовательности операций; фактические способы подготовки, мойки/очистки/размораживания (если применимо) и потери подтвердить контрольной проработкой.</t>
        </is>
      </c>
      <c r="J16" s="33" t="inlineStr">
        <is>
          <t>DRAFT</t>
        </is>
      </c>
      <c r="K16" s="33" t="inlineStr">
        <is>
          <t>Числовые допуски массы, выхода, времени и органолептики не установлены; определить и утвердить по документированной контрольной серии.</t>
        </is>
      </c>
      <c r="L16" s="33" t="inlineStr">
        <is>
          <t>BLOCKED</t>
        </is>
      </c>
      <c r="M16" s="33" t="inlineStr">
        <is>
          <t>На контрольной проработке оценить внешний вид, цвет, запах, вкус, консистенцию/текстуру и соответствие проекту подачи «Крупная одинаковая нарезка; фета и оливки визуально распределены»; критерии приёмки и решение Chef не заполнены.</t>
        </is>
      </c>
      <c r="N16" s="33" t="inlineStr">
        <is>
          <t>DRAFT</t>
        </is>
      </c>
      <c r="O16" s="33" t="inlineStr">
        <is>
          <t>Режим и срок хранения/реализации не устанавливаются ChefTechnologyAgent; применить только version-locked решение FoodSafetyAgent/ППК после фиксации SKU, процесса и контрольных измерений.</t>
        </is>
      </c>
      <c r="P16" s="33" t="inlineStr">
        <is>
          <t>BLOCKED</t>
        </is>
      </c>
      <c r="Q16" s="33" t="inlineStr">
        <is>
          <t>Нарезать овощи; подготовить фету и оливки; смешать заправку; собрать без излишнего перемешивания</t>
        </is>
      </c>
      <c r="R16" s="33" t="n">
        <v>10</v>
      </c>
      <c r="S16" s="33" t="inlineStr">
        <is>
          <t>мин</t>
        </is>
      </c>
      <c r="T16" s="33" t="n">
        <v>12</v>
      </c>
      <c r="U16" s="33" t="inlineStr">
        <is>
          <t>мин</t>
        </is>
      </c>
      <c r="V16" s="33" t="inlineStr">
        <is>
          <t>Крупная одинаковая нарезка; фета и оливки визуально распределены</t>
        </is>
      </c>
      <c r="W16" s="33" t="n">
        <v>270</v>
      </c>
      <c r="X16" s="33" t="inlineStr">
        <is>
          <t>г</t>
        </is>
      </c>
      <c r="Y16" s="33" t="n"/>
      <c r="Z16" s="33" t="inlineStr">
        <is>
          <t>BLOCKED_PENDING_VALIDATION</t>
        </is>
      </c>
      <c r="AA16" s="33" t="inlineStr">
        <is>
          <t>ASSUMPTION</t>
        </is>
      </c>
      <c r="AB16" s="33" t="inlineStr">
        <is>
          <t>EVD-0010;EVD-0011</t>
        </is>
      </c>
      <c r="AC16" s="33" t="inlineStr">
        <is>
          <t>EVD-0013;EVD-0014;EVD-FS-001;EVD-FS-002;EVD-FS-003</t>
        </is>
      </c>
      <c r="AD16" s="33" t="inlineStr">
        <is>
          <t>GAP-010;GAP-011</t>
        </is>
      </c>
      <c r="AE16" s="33" t="inlineStr">
        <is>
          <t>GAP-007;GAP-008</t>
        </is>
      </c>
      <c r="AF16" s="33" t="inlineStr">
        <is>
          <t>Chef</t>
        </is>
      </c>
      <c r="AG16" s="33" t="inlineStr">
        <is>
          <t>Наблюдать операции и время; отдельно подтвердить safety-critical параметры</t>
        </is>
      </c>
    </row>
    <row r="17">
      <c r="A17" s="33" t="inlineStr">
        <is>
          <t>VKT-012</t>
        </is>
      </c>
      <c r="B17" s="33" t="inlineStr">
        <is>
          <t>VKM-012</t>
        </is>
      </c>
      <c r="C17" s="33" t="inlineStr">
        <is>
          <t>Винегрет</t>
        </is>
      </c>
      <c r="D17" s="33" t="inlineStr">
        <is>
          <t>0.1.0-DRAFT</t>
        </is>
      </c>
      <c r="E17" s="33" t="inlineStr">
        <is>
          <t>Изготовление и отпуск позиции VKM-012 «Винегрет» в рамках проектного меню Issue #82; каналы и формат отпуска применяются после сверки с паспортом позиции и Owner/Chef Gate.</t>
        </is>
      </c>
      <c r="F17" s="33" t="inlineStr">
        <is>
          <t>DRAFT</t>
        </is>
      </c>
      <c r="G17" s="33" t="inlineStr">
        <is>
          <t>Использовать сырьё только после фиксации точных SKU/спецификаций, подтверждения сопроводительных документов и входного контроля; конкретные показатели качества не установлены без данных поставщика.</t>
        </is>
      </c>
      <c r="H17" s="33" t="inlineStr">
        <is>
          <t>BLOCKED</t>
        </is>
      </c>
      <c r="I17" s="33" t="inlineStr">
        <is>
          <t>Подготовка по проектной последовательности операций; фактические способы подготовки, мойки/очистки/размораживания (если применимо) и потери подтвердить контрольной проработкой.</t>
        </is>
      </c>
      <c r="J17" s="33" t="inlineStr">
        <is>
          <t>DRAFT</t>
        </is>
      </c>
      <c r="K17" s="33" t="inlineStr">
        <is>
          <t>Числовые допуски массы, выхода, времени и органолептики не установлены; определить и утвердить по документированной контрольной серии.</t>
        </is>
      </c>
      <c r="L17" s="33" t="inlineStr">
        <is>
          <t>BLOCKED</t>
        </is>
      </c>
      <c r="M17" s="33" t="inlineStr">
        <is>
          <t>На контрольной проработке оценить внешний вид, цвет, запах, вкус, консистенцию/текстуру и соответствие проекту подачи «Порционная выкладка; одинаковая нарезка, без избыточной жидкости»; критерии приёмки и решение Chef не заполнены.</t>
        </is>
      </c>
      <c r="N17" s="33" t="inlineStr">
        <is>
          <t>DRAFT</t>
        </is>
      </c>
      <c r="O17" s="33" t="inlineStr">
        <is>
          <t>Режим и срок хранения/реализации не устанавливаются ChefTechnologyAgent; применить только version-locked решение FoodSafetyAgent/ППК после фиксации SKU, процесса и контрольных измерений.</t>
        </is>
      </c>
      <c r="P17" s="33" t="inlineStr">
        <is>
          <t>BLOCKED</t>
        </is>
      </c>
      <c r="Q17" s="33" t="inlineStr">
        <is>
          <t>Подготовить варёные овощи; охладить; нарезать одинаковым кубиком; подготовить прочие компоненты; смешать и заправить</t>
        </is>
      </c>
      <c r="R17" s="33" t="n">
        <v>18</v>
      </c>
      <c r="S17" s="33" t="inlineStr">
        <is>
          <t>мин</t>
        </is>
      </c>
      <c r="T17" s="33" t="n">
        <v>90</v>
      </c>
      <c r="U17" s="33" t="inlineStr">
        <is>
          <t>мин</t>
        </is>
      </c>
      <c r="V17" s="33" t="inlineStr">
        <is>
          <t>Порционная выкладка; одинаковая нарезка, без избыточной жидкости</t>
        </is>
      </c>
      <c r="W17" s="33" t="n">
        <v>240</v>
      </c>
      <c r="X17" s="33" t="inlineStr">
        <is>
          <t>г</t>
        </is>
      </c>
      <c r="Y17" s="33" t="n"/>
      <c r="Z17" s="33" t="inlineStr">
        <is>
          <t>BLOCKED_PENDING_VALIDATION</t>
        </is>
      </c>
      <c r="AA17" s="33" t="inlineStr">
        <is>
          <t>ASSUMPTION</t>
        </is>
      </c>
      <c r="AB17" s="33" t="inlineStr">
        <is>
          <t>EVD-0010;EVD-0011</t>
        </is>
      </c>
      <c r="AC17" s="33" t="inlineStr">
        <is>
          <t>EVD-0013;EVD-0014;EVD-FS-001;EVD-FS-002;EVD-FS-003</t>
        </is>
      </c>
      <c r="AD17" s="33" t="inlineStr">
        <is>
          <t>GAP-010;GAP-011</t>
        </is>
      </c>
      <c r="AE17" s="33" t="inlineStr">
        <is>
          <t>GAP-007;GAP-008</t>
        </is>
      </c>
      <c r="AF17" s="33" t="inlineStr">
        <is>
          <t>Chef</t>
        </is>
      </c>
      <c r="AG17" s="33" t="inlineStr">
        <is>
          <t>Наблюдать операции и время; отдельно подтвердить safety-critical параметры</t>
        </is>
      </c>
    </row>
    <row r="18">
      <c r="A18" s="33" t="inlineStr">
        <is>
          <t>VKT-013</t>
        </is>
      </c>
      <c r="B18" s="33" t="inlineStr">
        <is>
          <t>VKM-013</t>
        </is>
      </c>
      <c r="C18" s="33" t="inlineStr">
        <is>
          <t>Слабосолёный лосось</t>
        </is>
      </c>
      <c r="D18" s="33" t="inlineStr">
        <is>
          <t>0.1.0-DRAFT</t>
        </is>
      </c>
      <c r="E18" s="33" t="inlineStr">
        <is>
          <t>Изготовление и отпуск позиции VKM-013 «Слабосолёный лосось» в рамках проектного меню Issue #82; каналы и формат отпуска применяются после сверки с паспортом позиции и Owner/Chef Gate.</t>
        </is>
      </c>
      <c r="F18" s="33" t="inlineStr">
        <is>
          <t>DRAFT</t>
        </is>
      </c>
      <c r="G18" s="33" t="inlineStr">
        <is>
          <t>Использовать сырьё только после фиксации точных SKU/спецификаций, подтверждения сопроводительных документов и входного контроля; конкретные показатели качества не установлены без данных поставщика.</t>
        </is>
      </c>
      <c r="H18" s="33" t="inlineStr">
        <is>
          <t>BLOCKED</t>
        </is>
      </c>
      <c r="I18" s="33" t="inlineStr">
        <is>
          <t>Подготовка по проектной последовательности операций; фактические способы подготовки, мойки/очистки/размораживания (если применимо) и потери подтвердить контрольной проработкой.</t>
        </is>
      </c>
      <c r="J18" s="33" t="inlineStr">
        <is>
          <t>DRAFT</t>
        </is>
      </c>
      <c r="K18" s="33" t="inlineStr">
        <is>
          <t>Числовые допуски массы, выхода, времени и органолептики не установлены; определить и утвердить по документированной контрольной серии.</t>
        </is>
      </c>
      <c r="L18" s="33" t="inlineStr">
        <is>
          <t>BLOCKED</t>
        </is>
      </c>
      <c r="M18" s="33" t="inlineStr">
        <is>
          <t>На контрольной проработке оценить внешний вид, цвет, запах, вкус, консистенцию/текстуру и соответствие проекту подачи «Ломтики лосося уложены веером; лимон и каперсы отделены»; критерии приёмки и решение Chef не заполнены.</t>
        </is>
      </c>
      <c r="N18" s="33" t="inlineStr">
        <is>
          <t>DRAFT</t>
        </is>
      </c>
      <c r="O18" s="33" t="inlineStr">
        <is>
          <t>Режим и срок хранения/реализации не устанавливаются ChefTechnologyAgent; применить только version-locked решение FoodSafetyAgent/ППК после фиксации SKU, процесса и контрольных измерений.</t>
        </is>
      </c>
      <c r="P18" s="33" t="inlineStr">
        <is>
          <t>BLOCKED</t>
        </is>
      </c>
      <c r="Q18" s="33" t="inlineStr">
        <is>
          <t>Проверить готовое филе; удалить упаковочную жидкость; порционировать; подготовить лимон и гарниры; собрать</t>
        </is>
      </c>
      <c r="R18" s="33" t="n">
        <v>7</v>
      </c>
      <c r="S18" s="33" t="inlineStr">
        <is>
          <t>мин</t>
        </is>
      </c>
      <c r="T18" s="33" t="n">
        <v>10</v>
      </c>
      <c r="U18" s="33" t="inlineStr">
        <is>
          <t>мин</t>
        </is>
      </c>
      <c r="V18" s="33" t="inlineStr">
        <is>
          <t>Ломтики лосося уложены веером; лимон и каперсы отделены</t>
        </is>
      </c>
      <c r="W18" s="33" t="n">
        <v>130</v>
      </c>
      <c r="X18" s="33" t="inlineStr">
        <is>
          <t>г</t>
        </is>
      </c>
      <c r="Y18" s="33" t="n"/>
      <c r="Z18" s="33" t="inlineStr">
        <is>
          <t>BLOCKED_PENDING_VALIDATION</t>
        </is>
      </c>
      <c r="AA18" s="33" t="inlineStr">
        <is>
          <t>ASSUMPTION</t>
        </is>
      </c>
      <c r="AB18" s="33" t="inlineStr">
        <is>
          <t>EVD-0010;EVD-0011</t>
        </is>
      </c>
      <c r="AC18" s="33" t="inlineStr">
        <is>
          <t>EVD-0013;EVD-0014;EVD-FS-001;EVD-FS-002;EVD-FS-003</t>
        </is>
      </c>
      <c r="AD18" s="33" t="inlineStr">
        <is>
          <t>GAP-010;GAP-011</t>
        </is>
      </c>
      <c r="AE18" s="33" t="inlineStr">
        <is>
          <t>GAP-007;GAP-008</t>
        </is>
      </c>
      <c r="AF18" s="33" t="inlineStr">
        <is>
          <t>Chef</t>
        </is>
      </c>
      <c r="AG18" s="33" t="inlineStr">
        <is>
          <t>Наблюдать операции и время; отдельно подтвердить safety-critical параметры</t>
        </is>
      </c>
    </row>
    <row r="19">
      <c r="A19" s="33" t="inlineStr">
        <is>
          <t>VKT-014</t>
        </is>
      </c>
      <c r="B19" s="33" t="inlineStr">
        <is>
          <t>VKM-014</t>
        </is>
      </c>
      <c r="C19" s="33" t="inlineStr">
        <is>
          <t>Сельдь с запечённым картофелем</t>
        </is>
      </c>
      <c r="D19" s="33" t="inlineStr">
        <is>
          <t>0.1.0-DRAFT</t>
        </is>
      </c>
      <c r="E19" s="33" t="inlineStr">
        <is>
          <t>Изготовление и отпуск позиции VKM-014 «Сельдь с запечённым картофелем» в рамках проектного меню Issue #82; каналы и формат отпуска применяются после сверки с паспортом позиции и Owner/Chef Gate.</t>
        </is>
      </c>
      <c r="F19" s="33" t="inlineStr">
        <is>
          <t>DRAFT</t>
        </is>
      </c>
      <c r="G19" s="33" t="inlineStr">
        <is>
          <t>Использовать сырьё только после фиксации точных SKU/спецификаций, подтверждения сопроводительных документов и входного контроля; конкретные показатели качества не установлены без данных поставщика.</t>
        </is>
      </c>
      <c r="H19" s="33" t="inlineStr">
        <is>
          <t>BLOCKED</t>
        </is>
      </c>
      <c r="I19" s="33" t="inlineStr">
        <is>
          <t>Подготовка по проектной последовательности операций; фактические способы подготовки, мойки/очистки/размораживания (если применимо) и потери подтвердить контрольной проработкой.</t>
        </is>
      </c>
      <c r="J19" s="33" t="inlineStr">
        <is>
          <t>DRAFT</t>
        </is>
      </c>
      <c r="K19" s="33" t="inlineStr">
        <is>
          <t>Числовые допуски массы, выхода, времени и органолептики не установлены; определить и утвердить по документированной контрольной серии.</t>
        </is>
      </c>
      <c r="L19" s="33" t="inlineStr">
        <is>
          <t>BLOCKED</t>
        </is>
      </c>
      <c r="M19" s="33" t="inlineStr">
        <is>
          <t>На контрольной проработке оценить внешний вид, цвет, запах, вкус, консистенцию/текстуру и соответствие проекту подачи «Сельдь и картофель разделены визуально; лук и зелень финишем»; критерии приёмки и решение Chef не заполнены.</t>
        </is>
      </c>
      <c r="N19" s="33" t="inlineStr">
        <is>
          <t>DRAFT</t>
        </is>
      </c>
      <c r="O19" s="33" t="inlineStr">
        <is>
          <t>Режим и срок хранения/реализации не устанавливаются ChefTechnologyAgent; применить только version-locked решение FoodSafetyAgent/ППК после фиксации SKU, процесса и контрольных измерений.</t>
        </is>
      </c>
      <c r="P19" s="33" t="inlineStr">
        <is>
          <t>BLOCKED</t>
        </is>
      </c>
      <c r="Q19" s="33" t="inlineStr">
        <is>
          <t>Подготовить и запечь картофель; подготовить сельдь и лук; охладить компоненты по процессу; собрать и заправить</t>
        </is>
      </c>
      <c r="R19" s="33" t="n">
        <v>14</v>
      </c>
      <c r="S19" s="33" t="inlineStr">
        <is>
          <t>мин</t>
        </is>
      </c>
      <c r="T19" s="33" t="n">
        <v>55</v>
      </c>
      <c r="U19" s="33" t="inlineStr">
        <is>
          <t>мин</t>
        </is>
      </c>
      <c r="V19" s="33" t="inlineStr">
        <is>
          <t>Сельдь и картофель разделены визуально; лук и зелень финишем</t>
        </is>
      </c>
      <c r="W19" s="33" t="n">
        <v>250</v>
      </c>
      <c r="X19" s="33" t="inlineStr">
        <is>
          <t>г</t>
        </is>
      </c>
      <c r="Y19" s="33" t="n"/>
      <c r="Z19" s="33" t="inlineStr">
        <is>
          <t>BLOCKED_PENDING_VALIDATION</t>
        </is>
      </c>
      <c r="AA19" s="33" t="inlineStr">
        <is>
          <t>ASSUMPTION</t>
        </is>
      </c>
      <c r="AB19" s="33" t="inlineStr">
        <is>
          <t>EVD-0010;EVD-0011</t>
        </is>
      </c>
      <c r="AC19" s="33" t="inlineStr">
        <is>
          <t>EVD-0013;EVD-0014;EVD-FS-001;EVD-FS-002;EVD-FS-003</t>
        </is>
      </c>
      <c r="AD19" s="33" t="inlineStr">
        <is>
          <t>GAP-010;GAP-011</t>
        </is>
      </c>
      <c r="AE19" s="33" t="inlineStr">
        <is>
          <t>GAP-007;GAP-008</t>
        </is>
      </c>
      <c r="AF19" s="33" t="inlineStr">
        <is>
          <t>Chef</t>
        </is>
      </c>
      <c r="AG19" s="33" t="inlineStr">
        <is>
          <t>Наблюдать операции и время; отдельно подтвердить safety-critical параметры</t>
        </is>
      </c>
    </row>
    <row r="20">
      <c r="A20" s="33" t="inlineStr">
        <is>
          <t>VKT-015</t>
        </is>
      </c>
      <c r="B20" s="33" t="inlineStr">
        <is>
          <t>VKM-015</t>
        </is>
      </c>
      <c r="C20" s="33" t="inlineStr">
        <is>
          <t>Оливки и маслины</t>
        </is>
      </c>
      <c r="D20" s="33" t="inlineStr">
        <is>
          <t>0.1.0-DRAFT</t>
        </is>
      </c>
      <c r="E20" s="33" t="inlineStr">
        <is>
          <t>Изготовление и отпуск позиции VKM-015 «Оливки и маслины» в рамках проектного меню Issue #82; каналы и формат отпуска применяются после сверки с паспортом позиции и Owner/Chef Gate.</t>
        </is>
      </c>
      <c r="F20" s="33" t="inlineStr">
        <is>
          <t>DRAFT</t>
        </is>
      </c>
      <c r="G20" s="33" t="inlineStr">
        <is>
          <t>Использовать сырьё только после фиксации точных SKU/спецификаций, подтверждения сопроводительных документов и входного контроля; конкретные показатели качества не установлены без данных поставщика.</t>
        </is>
      </c>
      <c r="H20" s="33" t="inlineStr">
        <is>
          <t>BLOCKED</t>
        </is>
      </c>
      <c r="I20" s="33" t="inlineStr">
        <is>
          <t>Подготовка по проектной последовательности операций; фактические способы подготовки, мойки/очистки/размораживания (если применимо) и потери подтвердить контрольной проработкой.</t>
        </is>
      </c>
      <c r="J20" s="33" t="inlineStr">
        <is>
          <t>DRAFT</t>
        </is>
      </c>
      <c r="K20" s="33" t="inlineStr">
        <is>
          <t>Числовые допуски массы, выхода, времени и органолептики не установлены; определить и утвердить по документированной контрольной серии.</t>
        </is>
      </c>
      <c r="L20" s="33" t="inlineStr">
        <is>
          <t>BLOCKED</t>
        </is>
      </c>
      <c r="M20" s="33" t="inlineStr">
        <is>
          <t>На контрольной проработке оценить внешний вид, цвет, запах, вкус, консистенцию/текстуру и соответствие проекту подачи «Смесь двух цветов; минимальное количество свободного маринада»; критерии приёмки и решение Chef не заполнены.</t>
        </is>
      </c>
      <c r="N20" s="33" t="inlineStr">
        <is>
          <t>DRAFT</t>
        </is>
      </c>
      <c r="O20" s="33" t="inlineStr">
        <is>
          <t>Режим и срок хранения/реализации не устанавливаются ChefTechnologyAgent; применить только version-locked решение FoodSafetyAgent/ППК после фиксации SKU, процесса и контрольных измерений.</t>
        </is>
      </c>
      <c r="P20" s="33" t="inlineStr">
        <is>
          <t>BLOCKED</t>
        </is>
      </c>
      <c r="Q20" s="33" t="inlineStr">
        <is>
          <t>Освободить оливки и маслины от заливки; подготовить ароматический маринад; смешать; выдержать; порционировать</t>
        </is>
      </c>
      <c r="R20" s="33" t="n">
        <v>8</v>
      </c>
      <c r="S20" s="33" t="inlineStr">
        <is>
          <t>мин</t>
        </is>
      </c>
      <c r="T20" s="33" t="n">
        <v>40</v>
      </c>
      <c r="U20" s="33" t="inlineStr">
        <is>
          <t>мин</t>
        </is>
      </c>
      <c r="V20" s="33" t="inlineStr">
        <is>
          <t>Смесь двух цветов; минимальное количество свободного маринада</t>
        </is>
      </c>
      <c r="W20" s="33" t="n">
        <v>120</v>
      </c>
      <c r="X20" s="33" t="inlineStr">
        <is>
          <t>г</t>
        </is>
      </c>
      <c r="Y20" s="33" t="n"/>
      <c r="Z20" s="33" t="inlineStr">
        <is>
          <t>BLOCKED_PENDING_VALIDATION</t>
        </is>
      </c>
      <c r="AA20" s="33" t="inlineStr">
        <is>
          <t>ASSUMPTION</t>
        </is>
      </c>
      <c r="AB20" s="33" t="inlineStr">
        <is>
          <t>EVD-0010;EVD-0011</t>
        </is>
      </c>
      <c r="AC20" s="33" t="inlineStr">
        <is>
          <t>EVD-0013;EVD-0014;EVD-FS-001;EVD-FS-002;EVD-FS-003</t>
        </is>
      </c>
      <c r="AD20" s="33" t="inlineStr">
        <is>
          <t>GAP-010;GAP-011</t>
        </is>
      </c>
      <c r="AE20" s="33" t="inlineStr">
        <is>
          <t>GAP-007;GAP-008</t>
        </is>
      </c>
      <c r="AF20" s="33" t="inlineStr">
        <is>
          <t>Chef</t>
        </is>
      </c>
      <c r="AG20" s="33" t="inlineStr">
        <is>
          <t>Наблюдать операции и время; отдельно подтвердить safety-critical параметры</t>
        </is>
      </c>
    </row>
    <row r="21">
      <c r="A21" s="33" t="inlineStr">
        <is>
          <t>VKT-016</t>
        </is>
      </c>
      <c r="B21" s="33" t="inlineStr">
        <is>
          <t>VKM-016</t>
        </is>
      </c>
      <c r="C21" s="33" t="inlineStr">
        <is>
          <t>Ассорти фирменных солений</t>
        </is>
      </c>
      <c r="D21" s="33" t="inlineStr">
        <is>
          <t>0.1.0-DRAFT</t>
        </is>
      </c>
      <c r="E21" s="33" t="inlineStr">
        <is>
          <t>Изготовление и отпуск позиции VKM-016 «Ассорти фирменных солений» в рамках проектного меню Issue #82; каналы и формат отпуска применяются после сверки с паспортом позиции и Owner/Chef Gate.</t>
        </is>
      </c>
      <c r="F21" s="33" t="inlineStr">
        <is>
          <t>DRAFT</t>
        </is>
      </c>
      <c r="G21" s="33" t="inlineStr">
        <is>
          <t>Использовать сырьё только после фиксации точных SKU/спецификаций, подтверждения сопроводительных документов и входного контроля; конкретные показатели качества не установлены без данных поставщика.</t>
        </is>
      </c>
      <c r="H21" s="33" t="inlineStr">
        <is>
          <t>BLOCKED</t>
        </is>
      </c>
      <c r="I21" s="33" t="inlineStr">
        <is>
          <t>Подготовка по проектной последовательности операций; фактические способы подготовки, мойки/очистки/размораживания (если применимо) и потери подтвердить контрольной проработкой.</t>
        </is>
      </c>
      <c r="J21" s="33" t="inlineStr">
        <is>
          <t>DRAFT</t>
        </is>
      </c>
      <c r="K21" s="33" t="inlineStr">
        <is>
          <t>Числовые допуски массы, выхода, времени и органолептики не установлены; определить и утвердить по документированной контрольной серии.</t>
        </is>
      </c>
      <c r="L21" s="33" t="inlineStr">
        <is>
          <t>BLOCKED</t>
        </is>
      </c>
      <c r="M21" s="33" t="inlineStr">
        <is>
          <t>На контрольной проработке оценить внешний вид, цвет, запах, вкус, консистенцию/текстуру и соответствие проекту подачи «Контрастная раскладка отдельных овощей; без избыточной жидкости»; критерии приёмки и решение Chef не заполнены.</t>
        </is>
      </c>
      <c r="N21" s="33" t="inlineStr">
        <is>
          <t>DRAFT</t>
        </is>
      </c>
      <c r="O21" s="33" t="inlineStr">
        <is>
          <t>Режим и срок хранения/реализации не устанавливаются ChefTechnologyAgent; применить только version-locked решение FoodSafetyAgent/ППК после фиксации SKU, процесса и контрольных измерений.</t>
        </is>
      </c>
      <c r="P21" s="33" t="inlineStr">
        <is>
          <t>BLOCKED</t>
        </is>
      </c>
      <c r="Q21" s="33" t="inlineStr">
        <is>
          <t>Подготовить и нарезать овощи; приготовить маринад; мариновать компоненты раздельно; объединить при подаче</t>
        </is>
      </c>
      <c r="R21" s="33" t="n">
        <v>23</v>
      </c>
      <c r="S21" s="33" t="inlineStr">
        <is>
          <t>мин</t>
        </is>
      </c>
      <c r="T21" s="33" t="n">
        <v>70</v>
      </c>
      <c r="U21" s="33" t="inlineStr">
        <is>
          <t>мин</t>
        </is>
      </c>
      <c r="V21" s="33" t="inlineStr">
        <is>
          <t>Контрастная раскладка отдельных овощей; без избыточной жидкости</t>
        </is>
      </c>
      <c r="W21" s="33" t="n">
        <v>180</v>
      </c>
      <c r="X21" s="33" t="inlineStr">
        <is>
          <t>г</t>
        </is>
      </c>
      <c r="Y21" s="33" t="n"/>
      <c r="Z21" s="33" t="inlineStr">
        <is>
          <t>BLOCKED_PENDING_VALIDATION</t>
        </is>
      </c>
      <c r="AA21" s="33" t="inlineStr">
        <is>
          <t>ASSUMPTION</t>
        </is>
      </c>
      <c r="AB21" s="33" t="inlineStr">
        <is>
          <t>EVD-0010;EVD-0011</t>
        </is>
      </c>
      <c r="AC21" s="33" t="inlineStr">
        <is>
          <t>EVD-0013;EVD-0014;EVD-FS-001;EVD-FS-002;EVD-FS-003</t>
        </is>
      </c>
      <c r="AD21" s="33" t="inlineStr">
        <is>
          <t>GAP-010;GAP-011</t>
        </is>
      </c>
      <c r="AE21" s="33" t="inlineStr">
        <is>
          <t>GAP-007;GAP-008</t>
        </is>
      </c>
      <c r="AF21" s="33" t="inlineStr">
        <is>
          <t>Chef</t>
        </is>
      </c>
      <c r="AG21" s="33" t="inlineStr">
        <is>
          <t>Наблюдать операции и время; отдельно подтвердить safety-critical параметры</t>
        </is>
      </c>
    </row>
    <row r="22">
      <c r="A22" s="33" t="inlineStr">
        <is>
          <t>VKT-017</t>
        </is>
      </c>
      <c r="B22" s="33" t="inlineStr">
        <is>
          <t>VKM-017</t>
        </is>
      </c>
      <c r="C22" s="33" t="inlineStr">
        <is>
          <t>Ростбиф с луком и гренкой</t>
        </is>
      </c>
      <c r="D22" s="33" t="inlineStr">
        <is>
          <t>0.1.0-DRAFT</t>
        </is>
      </c>
      <c r="E22" s="33" t="inlineStr">
        <is>
          <t>Изготовление и отпуск позиции VKM-017 «Ростбиф с луком и гренкой» в рамках проектного меню Issue #82; каналы и формат отпуска применяются после сверки с паспортом позиции и Owner/Chef Gate.</t>
        </is>
      </c>
      <c r="F22" s="33" t="inlineStr">
        <is>
          <t>DRAFT</t>
        </is>
      </c>
      <c r="G22" s="33" t="inlineStr">
        <is>
          <t>Использовать сырьё только после фиксации точных SKU/спецификаций, подтверждения сопроводительных документов и входного контроля; конкретные показатели качества не установлены без данных поставщика.</t>
        </is>
      </c>
      <c r="H22" s="33" t="inlineStr">
        <is>
          <t>BLOCKED</t>
        </is>
      </c>
      <c r="I22" s="33" t="inlineStr">
        <is>
          <t>Подготовка по проектной последовательности операций; фактические способы подготовки, мойки/очистки/размораживания (если применимо) и потери подтвердить контрольной проработкой.</t>
        </is>
      </c>
      <c r="J22" s="33" t="inlineStr">
        <is>
          <t>DRAFT</t>
        </is>
      </c>
      <c r="K22" s="33" t="inlineStr">
        <is>
          <t>Числовые допуски массы, выхода, времени и органолептики не установлены; определить и утвердить по документированной контрольной серии.</t>
        </is>
      </c>
      <c r="L22" s="33" t="inlineStr">
        <is>
          <t>BLOCKED</t>
        </is>
      </c>
      <c r="M22" s="33" t="inlineStr">
        <is>
          <t>На контрольной проработке оценить внешний вид, цвет, запах, вкус, консистенцию/текстуру и соответствие проекту подачи «Ростбиф уложен свободно; гренка сохраняет хруст; соус дозирован»; критерии приёмки и решение Chef не заполнены.</t>
        </is>
      </c>
      <c r="N22" s="33" t="inlineStr">
        <is>
          <t>DRAFT</t>
        </is>
      </c>
      <c r="O22" s="33" t="inlineStr">
        <is>
          <t>Режим и срок хранения/реализации не устанавливаются ChefTechnologyAgent; применить только version-locked решение FoodSafetyAgent/ППК после фиксации SKU, процесса и контрольных измерений.</t>
        </is>
      </c>
      <c r="P22" s="33" t="inlineStr">
        <is>
          <t>BLOCKED</t>
        </is>
      </c>
      <c r="Q22" s="33" t="inlineStr">
        <is>
          <t>Порционировать ростбиф; подготовить лук; подсушить гренку; смешать соус; собрать непосредственно перед подачей</t>
        </is>
      </c>
      <c r="R22" s="33" t="n">
        <v>12</v>
      </c>
      <c r="S22" s="33" t="inlineStr">
        <is>
          <t>мин</t>
        </is>
      </c>
      <c r="T22" s="33" t="n">
        <v>18</v>
      </c>
      <c r="U22" s="33" t="inlineStr">
        <is>
          <t>мин</t>
        </is>
      </c>
      <c r="V22" s="33" t="inlineStr">
        <is>
          <t>Ростбиф уложен свободно; гренка сохраняет хруст; соус дозирован</t>
        </is>
      </c>
      <c r="W22" s="33" t="n">
        <v>180</v>
      </c>
      <c r="X22" s="33" t="inlineStr">
        <is>
          <t>г</t>
        </is>
      </c>
      <c r="Y22" s="33" t="n"/>
      <c r="Z22" s="33" t="inlineStr">
        <is>
          <t>BLOCKED_PENDING_VALIDATION</t>
        </is>
      </c>
      <c r="AA22" s="33" t="inlineStr">
        <is>
          <t>ASSUMPTION</t>
        </is>
      </c>
      <c r="AB22" s="33" t="inlineStr">
        <is>
          <t>EVD-0010;EVD-0011</t>
        </is>
      </c>
      <c r="AC22" s="33" t="inlineStr">
        <is>
          <t>EVD-0013;EVD-0014;EVD-FS-001;EVD-FS-002;EVD-FS-003</t>
        </is>
      </c>
      <c r="AD22" s="33" t="inlineStr">
        <is>
          <t>GAP-010;GAP-011</t>
        </is>
      </c>
      <c r="AE22" s="33" t="inlineStr">
        <is>
          <t>GAP-007;GAP-008</t>
        </is>
      </c>
      <c r="AF22" s="33" t="inlineStr">
        <is>
          <t>Chef</t>
        </is>
      </c>
      <c r="AG22" s="33" t="inlineStr">
        <is>
          <t>Наблюдать операции и время; отдельно подтвердить safety-critical параметры</t>
        </is>
      </c>
    </row>
    <row r="23">
      <c r="A23" s="33" t="inlineStr">
        <is>
          <t>VKT-018</t>
        </is>
      </c>
      <c r="B23" s="33" t="inlineStr">
        <is>
          <t>VKM-018</t>
        </is>
      </c>
      <c r="C23" s="33" t="inlineStr">
        <is>
          <t>Традиционный красный борщ</t>
        </is>
      </c>
      <c r="D23" s="33" t="inlineStr">
        <is>
          <t>0.1.0-DRAFT</t>
        </is>
      </c>
      <c r="E23" s="33" t="inlineStr">
        <is>
          <t>Изготовление и отпуск позиции VKM-018 «Традиционный красный борщ» в рамках проектного меню Issue #82; каналы и формат отпуска применяются после сверки с паспортом позиции и Owner/Chef Gate.</t>
        </is>
      </c>
      <c r="F23" s="33" t="inlineStr">
        <is>
          <t>DRAFT</t>
        </is>
      </c>
      <c r="G23" s="33" t="inlineStr">
        <is>
          <t>Использовать сырьё только после фиксации точных SKU/спецификаций, подтверждения сопроводительных документов и входного контроля; конкретные показатели качества не установлены без данных поставщика.</t>
        </is>
      </c>
      <c r="H23" s="33" t="inlineStr">
        <is>
          <t>BLOCKED</t>
        </is>
      </c>
      <c r="I23" s="33" t="inlineStr">
        <is>
          <t>Подготовка по проектной последовательности операций; фактические способы подготовки, мойки/очистки/размораживания (если применимо) и потери подтвердить контрольной проработкой.</t>
        </is>
      </c>
      <c r="J23" s="33" t="inlineStr">
        <is>
          <t>DRAFT</t>
        </is>
      </c>
      <c r="K23" s="33" t="inlineStr">
        <is>
          <t>Числовые допуски массы, выхода, времени и органолептики не установлены; определить и утвердить по документированной контрольной серии.</t>
        </is>
      </c>
      <c r="L23" s="33" t="inlineStr">
        <is>
          <t>BLOCKED</t>
        </is>
      </c>
      <c r="M23" s="33" t="inlineStr">
        <is>
          <t>На контрольной проработке оценить внешний вид, цвет, запах, вкус, консистенцию/текстуру и соответствие проекту подачи «Глубокая тарелка; мясо в порции; сметана и зелень финишем»; критерии приёмки и решение Chef не заполнены.</t>
        </is>
      </c>
      <c r="N23" s="33" t="inlineStr">
        <is>
          <t>DRAFT</t>
        </is>
      </c>
      <c r="O23" s="33" t="inlineStr">
        <is>
          <t>Режим и срок хранения/реализации не устанавливаются ChefTechnologyAgent; применить только version-locked решение FoodSafetyAgent/ППК после фиксации SKU, процесса и контрольных измерений.</t>
        </is>
      </c>
      <c r="P23" s="33" t="inlineStr">
        <is>
          <t>BLOCKED</t>
        </is>
      </c>
      <c r="Q23" s="33" t="inlineStr">
        <is>
          <t>Приготовить бульон; подготовить овощи; выполнить пассеровку свёклы; соединить компоненты; довести вкус; порционировать с мясом, сметаной и зеленью</t>
        </is>
      </c>
      <c r="R23" s="33" t="n">
        <v>35</v>
      </c>
      <c r="S23" s="33" t="inlineStr">
        <is>
          <t>мин</t>
        </is>
      </c>
      <c r="T23" s="33" t="n">
        <v>180</v>
      </c>
      <c r="U23" s="33" t="inlineStr">
        <is>
          <t>мин</t>
        </is>
      </c>
      <c r="V23" s="33" t="inlineStr">
        <is>
          <t>Глубокая тарелка; мясо в порции; сметана и зелень финишем</t>
        </is>
      </c>
      <c r="W23" s="33" t="n">
        <v>400</v>
      </c>
      <c r="X23" s="33" t="inlineStr">
        <is>
          <t>г</t>
        </is>
      </c>
      <c r="Y23" s="33" t="n"/>
      <c r="Z23" s="33" t="inlineStr">
        <is>
          <t>BLOCKED_PENDING_VALIDATION</t>
        </is>
      </c>
      <c r="AA23" s="33" t="inlineStr">
        <is>
          <t>ASSUMPTION</t>
        </is>
      </c>
      <c r="AB23" s="33" t="inlineStr">
        <is>
          <t>EVD-0010;EVD-0011</t>
        </is>
      </c>
      <c r="AC23" s="33" t="inlineStr">
        <is>
          <t>EVD-0013;EVD-0014;EVD-FS-001;EVD-FS-002;EVD-FS-003</t>
        </is>
      </c>
      <c r="AD23" s="33" t="inlineStr">
        <is>
          <t>GAP-010;GAP-011</t>
        </is>
      </c>
      <c r="AE23" s="33" t="inlineStr">
        <is>
          <t>GAP-007;GAP-008</t>
        </is>
      </c>
      <c r="AF23" s="33" t="inlineStr">
        <is>
          <t>Chef</t>
        </is>
      </c>
      <c r="AG23" s="33" t="inlineStr">
        <is>
          <t>Наблюдать операции и время; отдельно подтвердить safety-critical параметры</t>
        </is>
      </c>
    </row>
    <row r="24">
      <c r="A24" s="33" t="inlineStr">
        <is>
          <t>VKT-019</t>
        </is>
      </c>
      <c r="B24" s="33" t="inlineStr">
        <is>
          <t>VKM-019</t>
        </is>
      </c>
      <c r="C24" s="33" t="inlineStr">
        <is>
          <t>Мурманская треска со сливочно-горчичным соусом</t>
        </is>
      </c>
      <c r="D24" s="33" t="inlineStr">
        <is>
          <t>0.1.0-DRAFT</t>
        </is>
      </c>
      <c r="E24" s="33" t="inlineStr">
        <is>
          <t>Изготовление и отпуск позиции VKM-019 «Мурманская треска со сливочно-горчичным соусом» в рамках проектного меню Issue #82; каналы и формат отпуска применяются после сверки с паспортом позиции и Owner/Chef Gate.</t>
        </is>
      </c>
      <c r="F24" s="33" t="inlineStr">
        <is>
          <t>DRAFT</t>
        </is>
      </c>
      <c r="G24" s="33" t="inlineStr">
        <is>
          <t>Использовать сырьё только после фиксации точных SKU/спецификаций, подтверждения сопроводительных документов и входного контроля; конкретные показатели качества не установлены без данных поставщика.</t>
        </is>
      </c>
      <c r="H24" s="33" t="inlineStr">
        <is>
          <t>BLOCKED</t>
        </is>
      </c>
      <c r="I24" s="33" t="inlineStr">
        <is>
          <t>Подготовка по проектной последовательности операций; фактические способы подготовки, мойки/очистки/размораживания (если применимо) и потери подтвердить контрольной проработкой.</t>
        </is>
      </c>
      <c r="J24" s="33" t="inlineStr">
        <is>
          <t>DRAFT</t>
        </is>
      </c>
      <c r="K24" s="33" t="inlineStr">
        <is>
          <t>Числовые допуски массы, выхода, времени и органолептики не установлены; определить и утвердить по документированной контрольной серии.</t>
        </is>
      </c>
      <c r="L24" s="33" t="inlineStr">
        <is>
          <t>BLOCKED</t>
        </is>
      </c>
      <c r="M24" s="33" t="inlineStr">
        <is>
          <t>На контрольной проработке оценить внешний вид, цвет, запах, вкус, консистенцию/текстуру и соответствие проекту подачи «Рыба как главный элемент; соус нанесён дозированно; зелень финишем»; критерии приёмки и решение Chef не заполнены.</t>
        </is>
      </c>
      <c r="N24" s="33" t="inlineStr">
        <is>
          <t>DRAFT</t>
        </is>
      </c>
      <c r="O24" s="33" t="inlineStr">
        <is>
          <t>Режим и срок хранения/реализации не устанавливаются ChefTechnologyAgent; применить только version-locked решение FoodSafetyAgent/ППК после фиксации SKU, процесса и контрольных измерений.</t>
        </is>
      </c>
      <c r="P24" s="33" t="inlineStr">
        <is>
          <t>BLOCKED</t>
        </is>
      </c>
      <c r="Q24" s="33" t="inlineStr">
        <is>
          <t>Порционировать треску; подготовить соус; обработать рыбу и шпинат; довести соус; собрать и финишировать</t>
        </is>
      </c>
      <c r="R24" s="33" t="n">
        <v>18</v>
      </c>
      <c r="S24" s="33" t="inlineStr">
        <is>
          <t>мин</t>
        </is>
      </c>
      <c r="T24" s="33" t="n">
        <v>28</v>
      </c>
      <c r="U24" s="33" t="inlineStr">
        <is>
          <t>мин</t>
        </is>
      </c>
      <c r="V24" s="33" t="inlineStr">
        <is>
          <t>Рыба как главный элемент; соус нанесён дозированно; зелень финишем</t>
        </is>
      </c>
      <c r="W24" s="33" t="n">
        <v>300</v>
      </c>
      <c r="X24" s="33" t="inlineStr">
        <is>
          <t>г</t>
        </is>
      </c>
      <c r="Y24" s="33" t="n"/>
      <c r="Z24" s="33" t="inlineStr">
        <is>
          <t>BLOCKED_PENDING_VALIDATION</t>
        </is>
      </c>
      <c r="AA24" s="33" t="inlineStr">
        <is>
          <t>ASSUMPTION</t>
        </is>
      </c>
      <c r="AB24" s="33" t="inlineStr">
        <is>
          <t>EVD-0010;EVD-0011</t>
        </is>
      </c>
      <c r="AC24" s="33" t="inlineStr">
        <is>
          <t>EVD-0013;EVD-0014;EVD-FS-001;EVD-FS-002;EVD-FS-003</t>
        </is>
      </c>
      <c r="AD24" s="33" t="inlineStr">
        <is>
          <t>GAP-010;GAP-011</t>
        </is>
      </c>
      <c r="AE24" s="33" t="inlineStr">
        <is>
          <t>GAP-007;GAP-008</t>
        </is>
      </c>
      <c r="AF24" s="33" t="inlineStr">
        <is>
          <t>Chef</t>
        </is>
      </c>
      <c r="AG24" s="33" t="inlineStr">
        <is>
          <t>Наблюдать операции и время; отдельно подтвердить safety-critical параметры</t>
        </is>
      </c>
    </row>
    <row r="25">
      <c r="A25" s="33" t="inlineStr">
        <is>
          <t>VKT-020</t>
        </is>
      </c>
      <c r="B25" s="33" t="inlineStr">
        <is>
          <t>VKM-020</t>
        </is>
      </c>
      <c r="C25" s="33" t="inlineStr">
        <is>
          <t>Креветки по-тайски</t>
        </is>
      </c>
      <c r="D25" s="33" t="inlineStr">
        <is>
          <t>0.1.0-DRAFT</t>
        </is>
      </c>
      <c r="E25" s="33" t="inlineStr">
        <is>
          <t>Изготовление и отпуск позиции VKM-020 «Креветки по-тайски» в рамках проектного меню Issue #82; каналы и формат отпуска применяются после сверки с паспортом позиции и Owner/Chef Gate.</t>
        </is>
      </c>
      <c r="F25" s="33" t="inlineStr">
        <is>
          <t>DRAFT</t>
        </is>
      </c>
      <c r="G25" s="33" t="inlineStr">
        <is>
          <t>Использовать сырьё только после фиксации точных SKU/спецификаций, подтверждения сопроводительных документов и входного контроля; конкретные показатели качества не установлены без данных поставщика.</t>
        </is>
      </c>
      <c r="H25" s="33" t="inlineStr">
        <is>
          <t>BLOCKED</t>
        </is>
      </c>
      <c r="I25" s="33" t="inlineStr">
        <is>
          <t>Подготовка по проектной последовательности операций; фактические способы подготовки, мойки/очистки/размораживания (если применимо) и потери подтвердить контрольной проработкой.</t>
        </is>
      </c>
      <c r="J25" s="33" t="inlineStr">
        <is>
          <t>DRAFT</t>
        </is>
      </c>
      <c r="K25" s="33" t="inlineStr">
        <is>
          <t>Числовые допуски массы, выхода, времени и органолептики не установлены; определить и утвердить по документированной контрольной серии.</t>
        </is>
      </c>
      <c r="L25" s="33" t="inlineStr">
        <is>
          <t>BLOCKED</t>
        </is>
      </c>
      <c r="M25" s="33" t="inlineStr">
        <is>
          <t>На контрольной проработке оценить внешний вид, цвет, запах, вкус, консистенцию/текстуру и соответствие проекту подачи «Глубокая тарелка; креветки сверху; зелень и лайм финишем»; критерии приёмки и решение Chef не заполнены.</t>
        </is>
      </c>
      <c r="N25" s="33" t="inlineStr">
        <is>
          <t>DRAFT</t>
        </is>
      </c>
      <c r="O25" s="33" t="inlineStr">
        <is>
          <t>Режим и срок хранения/реализации не устанавливаются ChefTechnologyAgent; применить только version-locked решение FoodSafetyAgent/ППК после фиксации SKU, процесса и контрольных измерений.</t>
        </is>
      </c>
      <c r="P25" s="33" t="inlineStr">
        <is>
          <t>BLOCKED</t>
        </is>
      </c>
      <c r="Q25" s="33" t="inlineStr">
        <is>
          <t>Подготовить креветки и овощи; приготовить кокосовый соус; последовательно обработать компоненты; добавить лапшу; довести и финишировать</t>
        </is>
      </c>
      <c r="R25" s="33" t="n">
        <v>20</v>
      </c>
      <c r="S25" s="33" t="inlineStr">
        <is>
          <t>мин</t>
        </is>
      </c>
      <c r="T25" s="33" t="n">
        <v>30</v>
      </c>
      <c r="U25" s="33" t="inlineStr">
        <is>
          <t>мин</t>
        </is>
      </c>
      <c r="V25" s="33" t="inlineStr">
        <is>
          <t>Глубокая тарелка; креветки сверху; зелень и лайм финишем</t>
        </is>
      </c>
      <c r="W25" s="33" t="n">
        <v>360</v>
      </c>
      <c r="X25" s="33" t="inlineStr">
        <is>
          <t>г</t>
        </is>
      </c>
      <c r="Y25" s="33" t="n"/>
      <c r="Z25" s="33" t="inlineStr">
        <is>
          <t>BLOCKED_PENDING_VALIDATION</t>
        </is>
      </c>
      <c r="AA25" s="33" t="inlineStr">
        <is>
          <t>ASSUMPTION</t>
        </is>
      </c>
      <c r="AB25" s="33" t="inlineStr">
        <is>
          <t>EVD-0010;EVD-0011</t>
        </is>
      </c>
      <c r="AC25" s="33" t="inlineStr">
        <is>
          <t>EVD-0013;EVD-0014;EVD-FS-001;EVD-FS-002;EVD-FS-003</t>
        </is>
      </c>
      <c r="AD25" s="33" t="inlineStr">
        <is>
          <t>GAP-010;GAP-011</t>
        </is>
      </c>
      <c r="AE25" s="33" t="inlineStr">
        <is>
          <t>GAP-007;GAP-008</t>
        </is>
      </c>
      <c r="AF25" s="33" t="inlineStr">
        <is>
          <t>Chef</t>
        </is>
      </c>
      <c r="AG25" s="33" t="inlineStr">
        <is>
          <t>Наблюдать операции и время; отдельно подтвердить safety-critical параметры</t>
        </is>
      </c>
    </row>
    <row r="26">
      <c r="A26" s="33" t="inlineStr">
        <is>
          <t>VKT-021</t>
        </is>
      </c>
      <c r="B26" s="33" t="inlineStr">
        <is>
          <t>VKM-021</t>
        </is>
      </c>
      <c r="C26" s="33" t="inlineStr">
        <is>
          <t>Бургер VARSHAVKA</t>
        </is>
      </c>
      <c r="D26" s="33" t="inlineStr">
        <is>
          <t>0.1.0-DRAFT</t>
        </is>
      </c>
      <c r="E26" s="33" t="inlineStr">
        <is>
          <t>Изготовление и отпуск позиции VKM-021 «Бургер VARSHAVKA» в рамках проектного меню Issue #82; каналы и формат отпуска применяются после сверки с паспортом позиции и Owner/Chef Gate.</t>
        </is>
      </c>
      <c r="F26" s="33" t="inlineStr">
        <is>
          <t>DRAFT</t>
        </is>
      </c>
      <c r="G26" s="33" t="inlineStr">
        <is>
          <t>Использовать сырьё только после фиксации точных SKU/спецификаций, подтверждения сопроводительных документов и входного контроля; конкретные показатели качества не установлены без данных поставщика.</t>
        </is>
      </c>
      <c r="H26" s="33" t="inlineStr">
        <is>
          <t>BLOCKED</t>
        </is>
      </c>
      <c r="I26" s="33" t="inlineStr">
        <is>
          <t>Подготовка по проектной последовательности операций; фактические способы подготовки, мойки/очистки/размораживания (если применимо) и потери подтвердить контрольной проработкой.</t>
        </is>
      </c>
      <c r="J26" s="33" t="inlineStr">
        <is>
          <t>DRAFT</t>
        </is>
      </c>
      <c r="K26" s="33" t="inlineStr">
        <is>
          <t>Числовые допуски массы, выхода, времени и органолептики не установлены; определить и утвердить по документированной контрольной серии.</t>
        </is>
      </c>
      <c r="L26" s="33" t="inlineStr">
        <is>
          <t>BLOCKED</t>
        </is>
      </c>
      <c r="M26" s="33" t="inlineStr">
        <is>
          <t>На контрольной проработке оценить внешний вид, цвет, запах, вкус, консистенцию/текстуру и соответствие проекту подачи «Целый бургер; устойчивые слои; соус без стекания; подача без отдельного гарнира»; критерии приёмки и решение Chef не заполнены.</t>
        </is>
      </c>
      <c r="N26" s="33" t="inlineStr">
        <is>
          <t>DRAFT</t>
        </is>
      </c>
      <c r="O26" s="33" t="inlineStr">
        <is>
          <t>Режим и срок хранения/реализации не устанавливаются ChefTechnologyAgent; применить только version-locked решение FoodSafetyAgent/ППК после фиксации SKU, процесса и контрольных измерений.</t>
        </is>
      </c>
      <c r="P26" s="33" t="inlineStr">
        <is>
          <t>BLOCKED</t>
        </is>
      </c>
      <c r="Q26" s="33" t="inlineStr">
        <is>
          <t>Подготовить котлету и соус; разрезать и подготовить бриошь; обработать котлету; расплавить сыр; собрать в заданном порядке</t>
        </is>
      </c>
      <c r="R26" s="33" t="n">
        <v>15</v>
      </c>
      <c r="S26" s="33" t="inlineStr">
        <is>
          <t>мин</t>
        </is>
      </c>
      <c r="T26" s="33" t="n">
        <v>25</v>
      </c>
      <c r="U26" s="33" t="inlineStr">
        <is>
          <t>мин</t>
        </is>
      </c>
      <c r="V26" s="33" t="inlineStr">
        <is>
          <t>Целый бургер; устойчивые слои; соус без стекания; подача без отдельного гарнира</t>
        </is>
      </c>
      <c r="W26" s="33" t="n">
        <v>350</v>
      </c>
      <c r="X26" s="33" t="inlineStr">
        <is>
          <t>г</t>
        </is>
      </c>
      <c r="Y26" s="33" t="n"/>
      <c r="Z26" s="33" t="inlineStr">
        <is>
          <t>BLOCKED_PENDING_VALIDATION</t>
        </is>
      </c>
      <c r="AA26" s="33" t="inlineStr">
        <is>
          <t>ASSUMPTION</t>
        </is>
      </c>
      <c r="AB26" s="33" t="inlineStr">
        <is>
          <t>EVD-0010;EVD-0011</t>
        </is>
      </c>
      <c r="AC26" s="33" t="inlineStr">
        <is>
          <t>EVD-0013;EVD-0014;EVD-FS-001;EVD-FS-002;EVD-FS-003</t>
        </is>
      </c>
      <c r="AD26" s="33" t="inlineStr">
        <is>
          <t>GAP-010;GAP-011</t>
        </is>
      </c>
      <c r="AE26" s="33" t="inlineStr">
        <is>
          <t>GAP-007;GAP-008</t>
        </is>
      </c>
      <c r="AF26" s="33" t="inlineStr">
        <is>
          <t>Chef</t>
        </is>
      </c>
      <c r="AG26" s="33" t="inlineStr">
        <is>
          <t>Наблюдать операции и время; отдельно подтвердить safety-critical параметры</t>
        </is>
      </c>
    </row>
    <row r="27">
      <c r="A27" s="33" t="inlineStr">
        <is>
          <t>VKT-022</t>
        </is>
      </c>
      <c r="B27" s="33" t="inlineStr">
        <is>
          <t>VKM-022</t>
        </is>
      </c>
      <c r="C27" s="33" t="inlineStr">
        <is>
          <t>Миньоны из говяжьей вырезки</t>
        </is>
      </c>
      <c r="D27" s="33" t="inlineStr">
        <is>
          <t>0.1.0-DRAFT</t>
        </is>
      </c>
      <c r="E27" s="33" t="inlineStr">
        <is>
          <t>Изготовление и отпуск позиции VKM-022 «Миньоны из говяжьей вырезки» в рамках проектного меню Issue #82; каналы и формат отпуска применяются после сверки с паспортом позиции и Owner/Chef Gate.</t>
        </is>
      </c>
      <c r="F27" s="33" t="inlineStr">
        <is>
          <t>DRAFT</t>
        </is>
      </c>
      <c r="G27" s="33" t="inlineStr">
        <is>
          <t>Использовать сырьё только после фиксации точных SKU/спецификаций, подтверждения сопроводительных документов и входного контроля; конкретные показатели качества не установлены без данных поставщика.</t>
        </is>
      </c>
      <c r="H27" s="33" t="inlineStr">
        <is>
          <t>BLOCKED</t>
        </is>
      </c>
      <c r="I27" s="33" t="inlineStr">
        <is>
          <t>Подготовка по проектной последовательности операций; фактические способы подготовки, мойки/очистки/размораживания (если применимо) и потери подтвердить контрольной проработкой.</t>
        </is>
      </c>
      <c r="J27" s="33" t="inlineStr">
        <is>
          <t>DRAFT</t>
        </is>
      </c>
      <c r="K27" s="33" t="inlineStr">
        <is>
          <t>Числовые допуски массы, выхода, времени и органолептики не установлены; определить и утвердить по документированной контрольной серии.</t>
        </is>
      </c>
      <c r="L27" s="33" t="inlineStr">
        <is>
          <t>BLOCKED</t>
        </is>
      </c>
      <c r="M27" s="33" t="inlineStr">
        <is>
          <t>На контрольной проработке оценить внешний вид, цвет, запах, вкус, консистенцию/текстуру и соответствие проекту подачи «Два миньона одинакового размера; соус отдельно/под мясом по решению шефа»; критерии приёмки и решение Chef не заполнены.</t>
        </is>
      </c>
      <c r="N27" s="33" t="inlineStr">
        <is>
          <t>DRAFT</t>
        </is>
      </c>
      <c r="O27" s="33" t="inlineStr">
        <is>
          <t>Режим и срок хранения/реализации не устанавливаются ChefTechnologyAgent; применить только version-locked решение FoodSafetyAgent/ППК после фиксации SKU, процесса и контрольных измерений.</t>
        </is>
      </c>
      <c r="P27" s="33" t="inlineStr">
        <is>
          <t>BLOCKED</t>
        </is>
      </c>
      <c r="Q27" s="33" t="inlineStr">
        <is>
          <t>Зачистить и порционировать вырезку на два миньона; подготовить ароматику; обработать; приготовить соус; дать продукту стабилизироваться; собрать</t>
        </is>
      </c>
      <c r="R27" s="33" t="n">
        <v>22</v>
      </c>
      <c r="S27" s="33" t="inlineStr">
        <is>
          <t>мин</t>
        </is>
      </c>
      <c r="T27" s="33" t="n">
        <v>35</v>
      </c>
      <c r="U27" s="33" t="inlineStr">
        <is>
          <t>мин</t>
        </is>
      </c>
      <c r="V27" s="33" t="inlineStr">
        <is>
          <t>Два миньона одинакового размера; соус отдельно/под мясом по решению шефа</t>
        </is>
      </c>
      <c r="W27" s="33" t="n">
        <v>300</v>
      </c>
      <c r="X27" s="33" t="inlineStr">
        <is>
          <t>г</t>
        </is>
      </c>
      <c r="Y27" s="33" t="n"/>
      <c r="Z27" s="33" t="inlineStr">
        <is>
          <t>BLOCKED_PENDING_VALIDATION</t>
        </is>
      </c>
      <c r="AA27" s="33" t="inlineStr">
        <is>
          <t>ASSUMPTION</t>
        </is>
      </c>
      <c r="AB27" s="33" t="inlineStr">
        <is>
          <t>EVD-0010;EVD-0011</t>
        </is>
      </c>
      <c r="AC27" s="33" t="inlineStr">
        <is>
          <t>EVD-0013;EVD-0014;EVD-FS-001;EVD-FS-002;EVD-FS-003</t>
        </is>
      </c>
      <c r="AD27" s="33" t="inlineStr">
        <is>
          <t>GAP-010;GAP-011</t>
        </is>
      </c>
      <c r="AE27" s="33" t="inlineStr">
        <is>
          <t>GAP-007;GAP-008</t>
        </is>
      </c>
      <c r="AF27" s="33" t="inlineStr">
        <is>
          <t>Chef</t>
        </is>
      </c>
      <c r="AG27" s="33" t="inlineStr">
        <is>
          <t>Наблюдать операции и время; отдельно подтвердить safety-critical параметры</t>
        </is>
      </c>
    </row>
    <row r="28">
      <c r="A28" s="33" t="inlineStr">
        <is>
          <t>VKT-023</t>
        </is>
      </c>
      <c r="B28" s="33" t="inlineStr">
        <is>
          <t>VKM-023</t>
        </is>
      </c>
      <c r="C28" s="33" t="inlineStr">
        <is>
          <t>Запечённый картофель</t>
        </is>
      </c>
      <c r="D28" s="33" t="inlineStr">
        <is>
          <t>0.1.0-DRAFT</t>
        </is>
      </c>
      <c r="E28" s="33" t="inlineStr">
        <is>
          <t>Изготовление и отпуск позиции VKM-023 «Запечённый картофель» в рамках проектного меню Issue #82; каналы и формат отпуска применяются после сверки с паспортом позиции и Owner/Chef Gate.</t>
        </is>
      </c>
      <c r="F28" s="33" t="inlineStr">
        <is>
          <t>DRAFT</t>
        </is>
      </c>
      <c r="G28" s="33" t="inlineStr">
        <is>
          <t>Использовать сырьё только после фиксации точных SKU/спецификаций, подтверждения сопроводительных документов и входного контроля; конкретные показатели качества не установлены без данных поставщика.</t>
        </is>
      </c>
      <c r="H28" s="33" t="inlineStr">
        <is>
          <t>BLOCKED</t>
        </is>
      </c>
      <c r="I28" s="33" t="inlineStr">
        <is>
          <t>Подготовка по проектной последовательности операций; фактические способы подготовки, мойки/очистки/размораживания (если применимо) и потери подтвердить контрольной проработкой.</t>
        </is>
      </c>
      <c r="J28" s="33" t="inlineStr">
        <is>
          <t>DRAFT</t>
        </is>
      </c>
      <c r="K28" s="33" t="inlineStr">
        <is>
          <t>Числовые допуски массы, выхода, времени и органолептики не установлены; определить и утвердить по документированной контрольной серии.</t>
        </is>
      </c>
      <c r="L28" s="33" t="inlineStr">
        <is>
          <t>BLOCKED</t>
        </is>
      </c>
      <c r="M28" s="33" t="inlineStr">
        <is>
          <t>На контрольной проработке оценить внешний вид, цвет, запах, вкус, консистенцию/текстуру и соответствие проекту подачи «Порция 150 г; одинаковая нарезка; равномерная поверхность»; критерии приёмки и решение Chef не заполнены.</t>
        </is>
      </c>
      <c r="N28" s="33" t="inlineStr">
        <is>
          <t>DRAFT</t>
        </is>
      </c>
      <c r="O28" s="33" t="inlineStr">
        <is>
          <t>Режим и срок хранения/реализации не устанавливаются ChefTechnologyAgent; применить только version-locked решение FoodSafetyAgent/ППК после фиксации SKU, процесса и контрольных измерений.</t>
        </is>
      </c>
      <c r="P28" s="33" t="inlineStr">
        <is>
          <t>BLOCKED</t>
        </is>
      </c>
      <c r="Q28" s="33" t="inlineStr">
        <is>
          <t>Вымыть и подготовить картофель; нарезать; смешать с маслом и травами; запечь; порционировать</t>
        </is>
      </c>
      <c r="R28" s="33" t="n">
        <v>13</v>
      </c>
      <c r="S28" s="33" t="inlineStr">
        <is>
          <t>мин</t>
        </is>
      </c>
      <c r="T28" s="33" t="n">
        <v>45</v>
      </c>
      <c r="U28" s="33" t="inlineStr">
        <is>
          <t>мин</t>
        </is>
      </c>
      <c r="V28" s="33" t="inlineStr">
        <is>
          <t>Порция 150 г; одинаковая нарезка; равномерная поверхность</t>
        </is>
      </c>
      <c r="W28" s="33" t="n">
        <v>150</v>
      </c>
      <c r="X28" s="33" t="inlineStr">
        <is>
          <t>г</t>
        </is>
      </c>
      <c r="Y28" s="33" t="n"/>
      <c r="Z28" s="33" t="inlineStr">
        <is>
          <t>BLOCKED_PENDING_VALIDATION</t>
        </is>
      </c>
      <c r="AA28" s="33" t="inlineStr">
        <is>
          <t>ASSUMPTION</t>
        </is>
      </c>
      <c r="AB28" s="33" t="inlineStr">
        <is>
          <t>EVD-0010;EVD-0011</t>
        </is>
      </c>
      <c r="AC28" s="33" t="inlineStr">
        <is>
          <t>EVD-0013;EVD-0014;EVD-FS-001;EVD-FS-002;EVD-FS-003</t>
        </is>
      </c>
      <c r="AD28" s="33" t="inlineStr">
        <is>
          <t>GAP-010;GAP-011</t>
        </is>
      </c>
      <c r="AE28" s="33" t="inlineStr">
        <is>
          <t>GAP-007;GAP-008</t>
        </is>
      </c>
      <c r="AF28" s="33" t="inlineStr">
        <is>
          <t>Chef</t>
        </is>
      </c>
      <c r="AG28" s="33" t="inlineStr">
        <is>
          <t>Наблюдать операции и время; отдельно подтвердить safety-critical параметры</t>
        </is>
      </c>
    </row>
    <row r="29">
      <c r="A29" s="33" t="inlineStr">
        <is>
          <t>VKT-024</t>
        </is>
      </c>
      <c r="B29" s="33" t="inlineStr">
        <is>
          <t>VKM-024</t>
        </is>
      </c>
      <c r="C29" s="33" t="inlineStr">
        <is>
          <t>Рис жасмин</t>
        </is>
      </c>
      <c r="D29" s="33" t="inlineStr">
        <is>
          <t>0.1.0-DRAFT</t>
        </is>
      </c>
      <c r="E29" s="33" t="inlineStr">
        <is>
          <t>Изготовление и отпуск позиции VKM-024 «Рис жасмин» в рамках проектного меню Issue #82; каналы и формат отпуска применяются после сверки с паспортом позиции и Owner/Chef Gate.</t>
        </is>
      </c>
      <c r="F29" s="33" t="inlineStr">
        <is>
          <t>DRAFT</t>
        </is>
      </c>
      <c r="G29" s="33" t="inlineStr">
        <is>
          <t>Использовать сырьё только после фиксации точных SKU/спецификаций, подтверждения сопроводительных документов и входного контроля; конкретные показатели качества не установлены без данных поставщика.</t>
        </is>
      </c>
      <c r="H29" s="33" t="inlineStr">
        <is>
          <t>BLOCKED</t>
        </is>
      </c>
      <c r="I29" s="33" t="inlineStr">
        <is>
          <t>Подготовка по проектной последовательности операций; фактические способы подготовки, мойки/очистки/размораживания (если применимо) и потери подтвердить контрольной проработкой.</t>
        </is>
      </c>
      <c r="J29" s="33" t="inlineStr">
        <is>
          <t>DRAFT</t>
        </is>
      </c>
      <c r="K29" s="33" t="inlineStr">
        <is>
          <t>Числовые допуски массы, выхода, времени и органолептики не установлены; определить и утвердить по документированной контрольной серии.</t>
        </is>
      </c>
      <c r="L29" s="33" t="inlineStr">
        <is>
          <t>BLOCKED</t>
        </is>
      </c>
      <c r="M29" s="33" t="inlineStr">
        <is>
          <t>На контрольной проработке оценить внешний вид, цвет, запах, вкус, консистенцию/текстуру и соответствие проекту подачи «Порция 150 г; рассыпчатая структура без свободной жидкости»; критерии приёмки и решение Chef не заполнены.</t>
        </is>
      </c>
      <c r="N29" s="33" t="inlineStr">
        <is>
          <t>DRAFT</t>
        </is>
      </c>
      <c r="O29" s="33" t="inlineStr">
        <is>
          <t>Режим и срок хранения/реализации не устанавливаются ChefTechnologyAgent; применить только version-locked решение FoodSafetyAgent/ППК после фиксации SKU, процесса и контрольных измерений.</t>
        </is>
      </c>
      <c r="P29" s="33" t="inlineStr">
        <is>
          <t>BLOCKED</t>
        </is>
      </c>
      <c r="Q29" s="33" t="inlineStr">
        <is>
          <t>Промыть рис; соединить с водой; сварить; дать стабилизироваться; внести масла и соль; разрыхлить и порционировать</t>
        </is>
      </c>
      <c r="R29" s="33" t="n">
        <v>8</v>
      </c>
      <c r="S29" s="33" t="inlineStr">
        <is>
          <t>мин</t>
        </is>
      </c>
      <c r="T29" s="33" t="n">
        <v>35</v>
      </c>
      <c r="U29" s="33" t="inlineStr">
        <is>
          <t>мин</t>
        </is>
      </c>
      <c r="V29" s="33" t="inlineStr">
        <is>
          <t>Порция 150 г; рассыпчатая структура без свободной жидкости</t>
        </is>
      </c>
      <c r="W29" s="33" t="n">
        <v>150</v>
      </c>
      <c r="X29" s="33" t="inlineStr">
        <is>
          <t>г</t>
        </is>
      </c>
      <c r="Y29" s="33" t="n"/>
      <c r="Z29" s="33" t="inlineStr">
        <is>
          <t>BLOCKED_PENDING_VALIDATION</t>
        </is>
      </c>
      <c r="AA29" s="33" t="inlineStr">
        <is>
          <t>ASSUMPTION</t>
        </is>
      </c>
      <c r="AB29" s="33" t="inlineStr">
        <is>
          <t>EVD-0010;EVD-0011</t>
        </is>
      </c>
      <c r="AC29" s="33" t="inlineStr">
        <is>
          <t>EVD-0013;EVD-0014;EVD-FS-001;EVD-FS-002;EVD-FS-003</t>
        </is>
      </c>
      <c r="AD29" s="33" t="inlineStr">
        <is>
          <t>GAP-010;GAP-011</t>
        </is>
      </c>
      <c r="AE29" s="33" t="inlineStr">
        <is>
          <t>GAP-007;GAP-008</t>
        </is>
      </c>
      <c r="AF29" s="33" t="inlineStr">
        <is>
          <t>Chef</t>
        </is>
      </c>
      <c r="AG29" s="33" t="inlineStr">
        <is>
          <t>Наблюдать операции и время; отдельно подтвердить safety-critical параметры</t>
        </is>
      </c>
    </row>
    <row r="30">
      <c r="A30" s="33" t="inlineStr">
        <is>
          <t>VKT-025</t>
        </is>
      </c>
      <c r="B30" s="33" t="inlineStr">
        <is>
          <t>VKM-025</t>
        </is>
      </c>
      <c r="C30" s="33" t="inlineStr">
        <is>
          <t>Горячие овощи</t>
        </is>
      </c>
      <c r="D30" s="33" t="inlineStr">
        <is>
          <t>0.1.0-DRAFT</t>
        </is>
      </c>
      <c r="E30" s="33" t="inlineStr">
        <is>
          <t>Изготовление и отпуск позиции VKM-025 «Горячие овощи» в рамках проектного меню Issue #82; каналы и формат отпуска применяются после сверки с паспортом позиции и Owner/Chef Gate.</t>
        </is>
      </c>
      <c r="F30" s="33" t="inlineStr">
        <is>
          <t>DRAFT</t>
        </is>
      </c>
      <c r="G30" s="33" t="inlineStr">
        <is>
          <t>Использовать сырьё только после фиксации точных SKU/спецификаций, подтверждения сопроводительных документов и входного контроля; конкретные показатели качества не установлены без данных поставщика.</t>
        </is>
      </c>
      <c r="H30" s="33" t="inlineStr">
        <is>
          <t>BLOCKED</t>
        </is>
      </c>
      <c r="I30" s="33" t="inlineStr">
        <is>
          <t>Подготовка по проектной последовательности операций; фактические способы подготовки, мойки/очистки/размораживания (если применимо) и потери подтвердить контрольной проработкой.</t>
        </is>
      </c>
      <c r="J30" s="33" t="inlineStr">
        <is>
          <t>DRAFT</t>
        </is>
      </c>
      <c r="K30" s="33" t="inlineStr">
        <is>
          <t>Числовые допуски массы, выхода, времени и органолептики не установлены; определить и утвердить по документированной контрольной серии.</t>
        </is>
      </c>
      <c r="L30" s="33" t="inlineStr">
        <is>
          <t>BLOCKED</t>
        </is>
      </c>
      <c r="M30" s="33" t="inlineStr">
        <is>
          <t>На контрольной проработке оценить внешний вид, цвет, запах, вкус, консистенцию/текстуру и соответствие проекту подачи «Яркие отдельные овощи; сохранённая форма; без свободной жидкости»; критерии приёмки и решение Chef не заполнены.</t>
        </is>
      </c>
      <c r="N30" s="33" t="inlineStr">
        <is>
          <t>DRAFT</t>
        </is>
      </c>
      <c r="O30" s="33" t="inlineStr">
        <is>
          <t>Режим и срок хранения/реализации не устанавливаются ChefTechnologyAgent; применить только version-locked решение FoodSafetyAgent/ППК после фиксации SKU, процесса и контрольных измерений.</t>
        </is>
      </c>
      <c r="P30" s="33" t="inlineStr">
        <is>
          <t>BLOCKED</t>
        </is>
      </c>
      <c r="Q30" s="33" t="inlineStr">
        <is>
          <t>Подготовить и одинаково нарезать овощи; обрабатывать партиями; соединить; приправить; порционировать</t>
        </is>
      </c>
      <c r="R30" s="33" t="n">
        <v>15</v>
      </c>
      <c r="S30" s="33" t="inlineStr">
        <is>
          <t>мин</t>
        </is>
      </c>
      <c r="T30" s="33" t="n">
        <v>22</v>
      </c>
      <c r="U30" s="33" t="inlineStr">
        <is>
          <t>мин</t>
        </is>
      </c>
      <c r="V30" s="33" t="inlineStr">
        <is>
          <t>Яркие отдельные овощи; сохранённая форма; без свободной жидкости</t>
        </is>
      </c>
      <c r="W30" s="33" t="n">
        <v>150</v>
      </c>
      <c r="X30" s="33" t="inlineStr">
        <is>
          <t>г</t>
        </is>
      </c>
      <c r="Y30" s="33" t="n"/>
      <c r="Z30" s="33" t="inlineStr">
        <is>
          <t>BLOCKED_PENDING_VALIDATION</t>
        </is>
      </c>
      <c r="AA30" s="33" t="inlineStr">
        <is>
          <t>ASSUMPTION</t>
        </is>
      </c>
      <c r="AB30" s="33" t="inlineStr">
        <is>
          <t>EVD-0010;EVD-0011</t>
        </is>
      </c>
      <c r="AC30" s="33" t="inlineStr">
        <is>
          <t>EVD-0013;EVD-0014;EVD-FS-001;EVD-FS-002;EVD-FS-003</t>
        </is>
      </c>
      <c r="AD30" s="33" t="inlineStr">
        <is>
          <t>GAP-010;GAP-011</t>
        </is>
      </c>
      <c r="AE30" s="33" t="inlineStr">
        <is>
          <t>GAP-007;GAP-008</t>
        </is>
      </c>
      <c r="AF30" s="33" t="inlineStr">
        <is>
          <t>Chef</t>
        </is>
      </c>
      <c r="AG30" s="33" t="inlineStr">
        <is>
          <t>Наблюдать операции и время; отдельно подтвердить safety-critical параметры</t>
        </is>
      </c>
    </row>
    <row r="31">
      <c r="A31" s="33" t="inlineStr">
        <is>
          <t>VKT-029</t>
        </is>
      </c>
      <c r="B31" s="33" t="inlineStr">
        <is>
          <t>VKM-029</t>
        </is>
      </c>
      <c r="C31" s="33" t="inlineStr">
        <is>
          <t>Черничный торт VARSHAVKA</t>
        </is>
      </c>
      <c r="D31" s="33" t="inlineStr">
        <is>
          <t>0.1.0-DRAFT</t>
        </is>
      </c>
      <c r="E31" s="33" t="inlineStr">
        <is>
          <t>Изготовление и отпуск позиции VKM-029 «Черничный торт VARSHAVKA» в рамках проектного меню Issue #82; каналы и формат отпуска применяются после сверки с паспортом позиции и Owner/Chef Gate.</t>
        </is>
      </c>
      <c r="F31" s="33" t="inlineStr">
        <is>
          <t>DRAFT</t>
        </is>
      </c>
      <c r="G31" s="33" t="inlineStr">
        <is>
          <t>Использовать сырьё только после фиксации точных SKU/спецификаций, подтверждения сопроводительных документов и входного контроля; конкретные показатели качества не установлены без данных поставщика.</t>
        </is>
      </c>
      <c r="H31" s="33" t="inlineStr">
        <is>
          <t>BLOCKED</t>
        </is>
      </c>
      <c r="I31" s="33" t="inlineStr">
        <is>
          <t>Подготовка по проектной последовательности операций; фактические способы подготовки, мойки/очистки/размораживания (если применимо) и потери подтвердить контрольной проработкой.</t>
        </is>
      </c>
      <c r="J31" s="33" t="inlineStr">
        <is>
          <t>DRAFT</t>
        </is>
      </c>
      <c r="K31" s="33" t="inlineStr">
        <is>
          <t>Числовые допуски массы, выхода, времени и органолептики не установлены; определить и утвердить по документированной контрольной серии.</t>
        </is>
      </c>
      <c r="L31" s="33" t="inlineStr">
        <is>
          <t>BLOCKED</t>
        </is>
      </c>
      <c r="M31" s="33" t="inlineStr">
        <is>
          <t>На контрольной проработке оценить внешний вид, цвет, запах, вкус, консистенцию/текстуру и соответствие проекту подачи «Целый торт 1800 г и 12 равных порций по 150 г; видимые ровные слои»; критерии приёмки и решение Chef не заполнены.</t>
        </is>
      </c>
      <c r="N31" s="33" t="inlineStr">
        <is>
          <t>DRAFT</t>
        </is>
      </c>
      <c r="O31" s="33" t="inlineStr">
        <is>
          <t>Режим и срок хранения/реализации не устанавливаются ChefTechnologyAgent; применить только version-locked решение FoodSafetyAgent/ППК после фиксации SKU, процесса и контрольных измерений.</t>
        </is>
      </c>
      <c r="P31" s="33" t="inlineStr">
        <is>
          <t>BLOCKED</t>
        </is>
      </c>
      <c r="Q31" s="33" t="inlineStr">
        <is>
          <t>Приготовить и выпечь бисквит; охладить; приготовить крем, компоте и глазурь; собрать слоями; стабилизировать; покрыть и декорировать; разделить на 12 порций</t>
        </is>
      </c>
      <c r="R31" s="33" t="n">
        <v>120</v>
      </c>
      <c r="S31" s="33" t="inlineStr">
        <is>
          <t>мин</t>
        </is>
      </c>
      <c r="T31" s="33" t="n">
        <v>600</v>
      </c>
      <c r="U31" s="33" t="inlineStr">
        <is>
          <t>мин</t>
        </is>
      </c>
      <c r="V31" s="33" t="inlineStr">
        <is>
          <t>Целый торт 1800 г и 12 равных порций по 150 г; видимые ровные слои</t>
        </is>
      </c>
      <c r="W31" s="33" t="n">
        <v>1800</v>
      </c>
      <c r="X31" s="33" t="inlineStr">
        <is>
          <t>г</t>
        </is>
      </c>
      <c r="Y31" s="33" t="n"/>
      <c r="Z31" s="33" t="inlineStr">
        <is>
          <t>BLOCKED_PENDING_VALIDATION</t>
        </is>
      </c>
      <c r="AA31" s="33" t="inlineStr">
        <is>
          <t>ASSUMPTION</t>
        </is>
      </c>
      <c r="AB31" s="33" t="inlineStr">
        <is>
          <t>EVD-0010;EVD-0011</t>
        </is>
      </c>
      <c r="AC31" s="33" t="inlineStr">
        <is>
          <t>EVD-0013;EVD-0014;EVD-FS-001;EVD-FS-002;EVD-FS-003</t>
        </is>
      </c>
      <c r="AD31" s="33" t="inlineStr">
        <is>
          <t>GAP-010;GAP-011</t>
        </is>
      </c>
      <c r="AE31" s="33" t="inlineStr">
        <is>
          <t>GAP-007;GAP-008</t>
        </is>
      </c>
      <c r="AF31" s="33" t="inlineStr">
        <is>
          <t>Chef</t>
        </is>
      </c>
      <c r="AG31" s="33" t="inlineStr">
        <is>
          <t>Наблюдать операции и время; отдельно подтвердить safety-critical параметры</t>
        </is>
      </c>
    </row>
    <row r="32">
      <c r="A32" s="33" t="inlineStr">
        <is>
          <t>VKT-030</t>
        </is>
      </c>
      <c r="B32" s="33" t="inlineStr">
        <is>
          <t>VKM-030</t>
        </is>
      </c>
      <c r="C32" s="33" t="inlineStr">
        <is>
          <t>Кростата с солёной карамелью</t>
        </is>
      </c>
      <c r="D32" s="33" t="inlineStr">
        <is>
          <t>0.1.0-DRAFT</t>
        </is>
      </c>
      <c r="E32" s="33" t="inlineStr">
        <is>
          <t>Изготовление и отпуск позиции VKM-030 «Кростата с солёной карамелью» в рамках проектного меню Issue #82; каналы и формат отпуска применяются после сверки с паспортом позиции и Owner/Chef Gate.</t>
        </is>
      </c>
      <c r="F32" s="33" t="inlineStr">
        <is>
          <t>DRAFT</t>
        </is>
      </c>
      <c r="G32" s="33" t="inlineStr">
        <is>
          <t>Использовать сырьё только после фиксации точных SKU/спецификаций, подтверждения сопроводительных документов и входного контроля; конкретные показатели качества не установлены без данных поставщика.</t>
        </is>
      </c>
      <c r="H32" s="33" t="inlineStr">
        <is>
          <t>BLOCKED</t>
        </is>
      </c>
      <c r="I32" s="33" t="inlineStr">
        <is>
          <t>Подготовка по проектной последовательности операций; фактические способы подготовки, мойки/очистки/размораживания (если применимо) и потери подтвердить контрольной проработкой.</t>
        </is>
      </c>
      <c r="J32" s="33" t="inlineStr">
        <is>
          <t>DRAFT</t>
        </is>
      </c>
      <c r="K32" s="33" t="inlineStr">
        <is>
          <t>Числовые допуски массы, выхода, времени и органолептики не установлены; определить и утвердить по документированной контрольной серии.</t>
        </is>
      </c>
      <c r="L32" s="33" t="inlineStr">
        <is>
          <t>BLOCKED</t>
        </is>
      </c>
      <c r="M32" s="33" t="inlineStr">
        <is>
          <t>На контрольной проработке оценить внешний вид, цвет, запах, вкус, консистенцию/текстуру и соответствие проекту подачи «Целая кростата 1200 г и 10 равных порций по 120 г; чистый срез»; критерии приёмки и решение Chef не заполнены.</t>
        </is>
      </c>
      <c r="N32" s="33" t="inlineStr">
        <is>
          <t>DRAFT</t>
        </is>
      </c>
      <c r="O32" s="33" t="inlineStr">
        <is>
          <t>Режим и срок хранения/реализации не устанавливаются ChefTechnologyAgent; применить только version-locked решение FoodSafetyAgent/ППК после фиксации SKU, процесса и контрольных измерений.</t>
        </is>
      </c>
      <c r="P32" s="33" t="inlineStr">
        <is>
          <t>BLOCKED</t>
        </is>
      </c>
      <c r="Q32" s="33" t="inlineStr">
        <is>
          <t>Замесить песочное тесто; охладить; сформовать и выпечь основу; приготовить карамель и крем; наполнить; стабилизировать; декорировать; разделить на 10 порций</t>
        </is>
      </c>
      <c r="R32" s="33" t="n">
        <v>90</v>
      </c>
      <c r="S32" s="33" t="inlineStr">
        <is>
          <t>мин</t>
        </is>
      </c>
      <c r="T32" s="33" t="n">
        <v>420</v>
      </c>
      <c r="U32" s="33" t="inlineStr">
        <is>
          <t>мин</t>
        </is>
      </c>
      <c r="V32" s="33" t="inlineStr">
        <is>
          <t>Целая кростата 1200 г и 10 равных порций по 120 г; чистый срез</t>
        </is>
      </c>
      <c r="W32" s="33" t="n">
        <v>1200</v>
      </c>
      <c r="X32" s="33" t="inlineStr">
        <is>
          <t>г</t>
        </is>
      </c>
      <c r="Y32" s="33" t="n"/>
      <c r="Z32" s="33" t="inlineStr">
        <is>
          <t>BLOCKED_PENDING_VALIDATION</t>
        </is>
      </c>
      <c r="AA32" s="33" t="inlineStr">
        <is>
          <t>ASSUMPTION</t>
        </is>
      </c>
      <c r="AB32" s="33" t="inlineStr">
        <is>
          <t>EVD-0010;EVD-0011</t>
        </is>
      </c>
      <c r="AC32" s="33" t="inlineStr">
        <is>
          <t>EVD-0013;EVD-0014;EVD-FS-001;EVD-FS-002;EVD-FS-003</t>
        </is>
      </c>
      <c r="AD32" s="33" t="inlineStr">
        <is>
          <t>GAP-010;GAP-011</t>
        </is>
      </c>
      <c r="AE32" s="33" t="inlineStr">
        <is>
          <t>GAP-007;GAP-008</t>
        </is>
      </c>
      <c r="AF32" s="33" t="inlineStr">
        <is>
          <t>Chef</t>
        </is>
      </c>
      <c r="AG32" s="33" t="inlineStr">
        <is>
          <t>Наблюдать операции и время; отдельно подтвердить safety-critical параметры</t>
        </is>
      </c>
    </row>
    <row r="33">
      <c r="A33" s="33" t="inlineStr">
        <is>
          <t>VKT-031</t>
        </is>
      </c>
      <c r="B33" s="33" t="inlineStr">
        <is>
          <t>VKM-031</t>
        </is>
      </c>
      <c r="C33" s="33" t="inlineStr">
        <is>
          <t>Мадлен</t>
        </is>
      </c>
      <c r="D33" s="33" t="inlineStr">
        <is>
          <t>0.1.0-DRAFT</t>
        </is>
      </c>
      <c r="E33" s="33" t="inlineStr">
        <is>
          <t>Изготовление и отпуск позиции VKM-031 «Мадлен» в рамках проектного меню Issue #82; каналы и формат отпуска применяются после сверки с паспортом позиции и Owner/Chef Gate.</t>
        </is>
      </c>
      <c r="F33" s="33" t="inlineStr">
        <is>
          <t>DRAFT</t>
        </is>
      </c>
      <c r="G33" s="33" t="inlineStr">
        <is>
          <t>Использовать сырьё только после фиксации точных SKU/спецификаций, подтверждения сопроводительных документов и входного контроля; конкретные показатели качества не установлены без данных поставщика.</t>
        </is>
      </c>
      <c r="H33" s="33" t="inlineStr">
        <is>
          <t>BLOCKED</t>
        </is>
      </c>
      <c r="I33" s="33" t="inlineStr">
        <is>
          <t>Подготовка по проектной последовательности операций; фактические способы подготовки, мойки/очистки/размораживания (если применимо) и потери подтвердить контрольной проработкой.</t>
        </is>
      </c>
      <c r="J33" s="33" t="inlineStr">
        <is>
          <t>DRAFT</t>
        </is>
      </c>
      <c r="K33" s="33" t="inlineStr">
        <is>
          <t>Числовые допуски массы, выхода, времени и органолептики не установлены; определить и утвердить по документированной контрольной серии.</t>
        </is>
      </c>
      <c r="L33" s="33" t="inlineStr">
        <is>
          <t>BLOCKED</t>
        </is>
      </c>
      <c r="M33" s="33" t="inlineStr">
        <is>
          <t>На контрольной проработке оценить внешний вид, цвет, запах, вкус, консистенцию/текстуру и соответствие проекту подачи «Партия 20 шт. общим выходом 600 г; продажа 2 шт. по 60 г»; критерии приёмки и решение Chef не заполнены.</t>
        </is>
      </c>
      <c r="N33" s="33" t="inlineStr">
        <is>
          <t>DRAFT</t>
        </is>
      </c>
      <c r="O33" s="33" t="inlineStr">
        <is>
          <t>Режим и срок хранения/реализации не устанавливаются ChefTechnologyAgent; применить только version-locked решение FoodSafetyAgent/ППК после фиксации SKU, процесса и контрольных измерений.</t>
        </is>
      </c>
      <c r="P33" s="33" t="inlineStr">
        <is>
          <t>BLOCKED</t>
        </is>
      </c>
      <c r="Q33" s="33" t="inlineStr">
        <is>
          <t>Смешать тесто; дать ему стабилизироваться; дозировать в формы; выпечь; охладить; сформировать 20 одинаковых изделий</t>
        </is>
      </c>
      <c r="R33" s="33" t="n">
        <v>30</v>
      </c>
      <c r="S33" s="33" t="inlineStr">
        <is>
          <t>мин</t>
        </is>
      </c>
      <c r="T33" s="33" t="n">
        <v>120</v>
      </c>
      <c r="U33" s="33" t="inlineStr">
        <is>
          <t>мин</t>
        </is>
      </c>
      <c r="V33" s="33" t="inlineStr">
        <is>
          <t>Партия 20 шт. общим выходом 600 г; продажа 2 шт. по 60 г</t>
        </is>
      </c>
      <c r="W33" s="33" t="n">
        <v>600</v>
      </c>
      <c r="X33" s="33" t="inlineStr">
        <is>
          <t>г</t>
        </is>
      </c>
      <c r="Y33" s="33" t="n"/>
      <c r="Z33" s="33" t="inlineStr">
        <is>
          <t>BLOCKED_PENDING_VALIDATION</t>
        </is>
      </c>
      <c r="AA33" s="33" t="inlineStr">
        <is>
          <t>ASSUMPTION</t>
        </is>
      </c>
      <c r="AB33" s="33" t="inlineStr">
        <is>
          <t>EVD-0010;EVD-0011</t>
        </is>
      </c>
      <c r="AC33" s="33" t="inlineStr">
        <is>
          <t>EVD-0013;EVD-0014;EVD-FS-001;EVD-FS-002;EVD-FS-003</t>
        </is>
      </c>
      <c r="AD33" s="33" t="inlineStr">
        <is>
          <t>GAP-010;GAP-011</t>
        </is>
      </c>
      <c r="AE33" s="33" t="inlineStr">
        <is>
          <t>GAP-007;GAP-008</t>
        </is>
      </c>
      <c r="AF33" s="33" t="inlineStr">
        <is>
          <t>Chef</t>
        </is>
      </c>
      <c r="AG33" s="33" t="inlineStr">
        <is>
          <t>Наблюдать операции и время; отдельно подтвердить safety-critical параметры</t>
        </is>
      </c>
    </row>
  </sheetData>
  <mergeCells count="2">
    <mergeCell ref="A2:AG2"/>
    <mergeCell ref="A1:AG1"/>
  </mergeCells>
  <conditionalFormatting sqref="F6:P33">
    <cfRule type="containsText" priority="1" operator="containsText" dxfId="0" text="BLOCK"/>
    <cfRule type="containsText" priority="2" operator="containsText" dxfId="1" text="PASS"/>
  </conditionalFormatting>
  <conditionalFormatting sqref="Z6:AA33">
    <cfRule type="containsText" priority="3" operator="containsText" dxfId="0" text="BLOCK"/>
    <cfRule type="containsText" priority="4" operator="containsText" dxfId="1" text="PASS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9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34" customWidth="1" min="2" max="2"/>
    <col width="12" customWidth="1" min="3" max="3"/>
    <col width="35" customWidth="1" min="4" max="4"/>
    <col width="18" customWidth="1" min="5" max="5"/>
    <col width="22" customWidth="1" min="6" max="6"/>
    <col width="8" customWidth="1" min="7" max="7"/>
    <col width="22" customWidth="1" min="8" max="8"/>
    <col width="12" customWidth="1" min="9" max="9"/>
    <col width="15" customWidth="1" min="10" max="10"/>
    <col width="60" customWidth="1" min="11" max="11"/>
    <col width="22" customWidth="1" min="12" max="12"/>
    <col width="24" customWidth="1" min="13" max="13"/>
  </cols>
  <sheetData>
    <row r="1" ht="30" customHeight="1">
      <c r="A1" s="27" t="inlineStr">
        <is>
          <t>06 — Сырьё и цены</t>
        </is>
      </c>
    </row>
    <row r="2" ht="27" customHeight="1">
      <c r="A2" s="29" t="inlineStr">
        <is>
          <t>113 ингредиентов; 68 accepted direct-card observations. 22 rejected records are excluded; proxy scenario prices are isolated from this evidence layer.</t>
        </is>
      </c>
    </row>
    <row r="3">
      <c r="A3" s="28" t="n"/>
      <c r="B3" s="28" t="n"/>
      <c r="C3" s="28" t="n"/>
      <c r="D3" s="28" t="n"/>
      <c r="E3" s="28" t="n"/>
      <c r="F3" s="28" t="n"/>
      <c r="G3" s="28" t="n"/>
      <c r="H3" s="28" t="n"/>
      <c r="I3" s="28" t="n"/>
      <c r="J3" s="28" t="n"/>
      <c r="K3" s="28" t="n"/>
      <c r="L3" s="28" t="n"/>
      <c r="M3" s="28" t="n"/>
    </row>
    <row r="4">
      <c r="A4" s="28" t="n"/>
      <c r="B4" s="28" t="n"/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</row>
    <row r="5" ht="34" customHeight="1">
      <c r="A5" s="32" t="inlineStr">
        <is>
          <t>Ingredient ID</t>
        </is>
      </c>
      <c r="B5" s="32" t="inlineStr">
        <is>
          <t>Ингредиент</t>
        </is>
      </c>
      <c r="C5" s="32" t="inlineStr">
        <is>
          <t>Usage g</t>
        </is>
      </c>
      <c r="D5" s="32" t="inlineStr">
        <is>
          <t>SKU critical</t>
        </is>
      </c>
      <c r="E5" s="32" t="inlineStr">
        <is>
          <t>Selected RUB/kg</t>
        </is>
      </c>
      <c r="F5" s="32" t="inlineStr">
        <is>
          <t>Basis</t>
        </is>
      </c>
      <c r="G5" s="32" t="inlineStr">
        <is>
          <t>Obs.</t>
        </is>
      </c>
      <c r="H5" s="32" t="inlineStr">
        <is>
          <t>Source IDs</t>
        </is>
      </c>
      <c r="I5" s="32" t="inlineStr">
        <is>
          <t>As of</t>
        </is>
      </c>
      <c r="J5" s="32" t="inlineStr">
        <is>
          <t>Status</t>
        </is>
      </c>
      <c r="K5" s="32" t="inlineStr">
        <is>
          <t>Confidence</t>
        </is>
      </c>
      <c r="L5" s="32" t="inlineStr">
        <is>
          <t>Owner</t>
        </is>
      </c>
      <c r="M5" s="32" t="inlineStr">
        <is>
          <t>Next action</t>
        </is>
      </c>
    </row>
    <row r="6">
      <c r="A6" s="33" t="inlineStr">
        <is>
          <t>ING-001</t>
        </is>
      </c>
      <c r="B6" s="33" t="inlineStr">
        <is>
          <t>Мука пшеничная хлебопекарная</t>
        </is>
      </c>
      <c r="C6" s="33" t="n">
        <v>788</v>
      </c>
      <c r="D6" s="33" t="inlineStr">
        <is>
          <t>YES</t>
        </is>
      </c>
      <c r="E6" s="47" t="n">
        <v>42.4925</v>
      </c>
      <c r="F6" s="33" t="inlineStr">
        <is>
          <t>median_public_observation</t>
        </is>
      </c>
      <c r="G6" s="33" t="n">
        <v>2</v>
      </c>
      <c r="H6" s="33" t="inlineStr">
        <is>
          <t>PSR-0001;PSR-0003</t>
        </is>
      </c>
      <c r="I6" s="33" t="inlineStr">
        <is>
          <t>2026-08-03</t>
        </is>
      </c>
      <c r="J6" s="33" t="inlineStr">
        <is>
          <t>ESTIMATE</t>
        </is>
      </c>
      <c r="K6" s="33" t="inlineStr">
        <is>
          <t>LOW_CONFIDENCE</t>
        </is>
      </c>
      <c r="L6" s="33" t="inlineStr">
        <is>
          <t>Owner / Procurement</t>
        </is>
      </c>
      <c r="M6" s="33" t="inlineStr">
        <is>
          <t>Получить минимум 3 КП HoReCa с фасовкой, доставкой, MOQ и НДС</t>
        </is>
      </c>
    </row>
    <row r="7">
      <c r="A7" s="33" t="inlineStr">
        <is>
          <t>ING-002</t>
        </is>
      </c>
      <c r="B7" s="33" t="inlineStr">
        <is>
          <t>Вода питьевая</t>
        </is>
      </c>
      <c r="C7" s="33" t="n">
        <v>580</v>
      </c>
      <c r="D7" s="33" t="inlineStr">
        <is>
          <t>NO</t>
        </is>
      </c>
      <c r="E7" s="47" t="n"/>
      <c r="F7" s="33" t="n"/>
      <c r="G7" s="33" t="n">
        <v>0</v>
      </c>
      <c r="H7" s="33" t="n"/>
      <c r="I7" s="33" t="n"/>
      <c r="J7" s="33" t="inlineStr">
        <is>
          <t>BLOCKED</t>
        </is>
      </c>
      <c r="K7" s="33" t="inlineStr">
        <is>
          <t>BLOCKED</t>
        </is>
      </c>
      <c r="L7" s="33" t="inlineStr">
        <is>
          <t>Owner / Procurement</t>
        </is>
      </c>
      <c r="M7" s="33" t="inlineStr">
        <is>
          <t>Получить минимум 3 КП HoReCa с фасовкой, доставкой, MOQ и НДС</t>
        </is>
      </c>
    </row>
    <row r="8">
      <c r="A8" s="33" t="inlineStr">
        <is>
          <t>ING-003</t>
        </is>
      </c>
      <c r="B8" s="33" t="inlineStr">
        <is>
          <t>Дрожжи хлебопекарные</t>
        </is>
      </c>
      <c r="C8" s="33" t="n">
        <v>14</v>
      </c>
      <c r="D8" s="33" t="inlineStr">
        <is>
          <t>NO</t>
        </is>
      </c>
      <c r="E8" s="47" t="n">
        <v>624.875</v>
      </c>
      <c r="F8" s="33" t="inlineStr">
        <is>
          <t>median_public_observation</t>
        </is>
      </c>
      <c r="G8" s="33" t="n">
        <v>3</v>
      </c>
      <c r="H8" s="33" t="inlineStr">
        <is>
          <t>PSR-0004;PSR-0005;PSR-0006</t>
        </is>
      </c>
      <c r="I8" s="33" t="inlineStr">
        <is>
          <t>2026-08-03</t>
        </is>
      </c>
      <c r="J8" s="33" t="inlineStr">
        <is>
          <t>ESTIMATE</t>
        </is>
      </c>
      <c r="K8" s="33" t="inlineStr">
        <is>
          <t>MEDIUM</t>
        </is>
      </c>
      <c r="L8" s="33" t="inlineStr">
        <is>
          <t>Owner / Procurement</t>
        </is>
      </c>
      <c r="M8" s="33" t="inlineStr">
        <is>
          <t>Сверить с КП и выбрать поставщика</t>
        </is>
      </c>
    </row>
    <row r="9">
      <c r="A9" s="33" t="inlineStr">
        <is>
          <t>ING-004</t>
        </is>
      </c>
      <c r="B9" s="33" t="inlineStr">
        <is>
          <t>Соль пищевая</t>
        </is>
      </c>
      <c r="C9" s="33" t="n">
        <v>25</v>
      </c>
      <c r="D9" s="33" t="inlineStr">
        <is>
          <t>NO</t>
        </is>
      </c>
      <c r="E9" s="47" t="n">
        <v>42.99</v>
      </c>
      <c r="F9" s="33" t="inlineStr">
        <is>
          <t>median_public_observation</t>
        </is>
      </c>
      <c r="G9" s="33" t="n">
        <v>1</v>
      </c>
      <c r="H9" s="33" t="inlineStr">
        <is>
          <t>PSR-0007</t>
        </is>
      </c>
      <c r="I9" s="33" t="inlineStr">
        <is>
          <t>2026-08-03</t>
        </is>
      </c>
      <c r="J9" s="33" t="inlineStr">
        <is>
          <t>ESTIMATE</t>
        </is>
      </c>
      <c r="K9" s="33" t="inlineStr">
        <is>
          <t>LOW_CONFIDENCE</t>
        </is>
      </c>
      <c r="L9" s="33" t="inlineStr">
        <is>
          <t>Owner / Procurement</t>
        </is>
      </c>
      <c r="M9" s="33" t="inlineStr">
        <is>
          <t>Получить минимум 3 КП HoReCa с фасовкой, доставкой, MOQ и НДС</t>
        </is>
      </c>
    </row>
    <row r="10">
      <c r="A10" s="33" t="inlineStr">
        <is>
          <t>ING-005</t>
        </is>
      </c>
      <c r="B10" s="33" t="inlineStr">
        <is>
          <t>Масло оливковое</t>
        </is>
      </c>
      <c r="C10" s="33" t="n">
        <v>167</v>
      </c>
      <c r="D10" s="33" t="inlineStr">
        <is>
          <t>NO</t>
        </is>
      </c>
      <c r="E10" s="47" t="n"/>
      <c r="F10" s="33" t="n"/>
      <c r="G10" s="33" t="n">
        <v>0</v>
      </c>
      <c r="H10" s="33" t="n"/>
      <c r="I10" s="33" t="n"/>
      <c r="J10" s="33" t="inlineStr">
        <is>
          <t>BLOCKED</t>
        </is>
      </c>
      <c r="K10" s="33" t="inlineStr">
        <is>
          <t>BLOCKED</t>
        </is>
      </c>
      <c r="L10" s="33" t="inlineStr">
        <is>
          <t>Owner / Procurement</t>
        </is>
      </c>
      <c r="M10" s="33" t="inlineStr">
        <is>
          <t>Получить минимум 3 КП HoReCa с фасовкой, доставкой, MOQ и НДС</t>
        </is>
      </c>
    </row>
    <row r="11">
      <c r="A11" s="33" t="inlineStr">
        <is>
          <t>ING-006</t>
        </is>
      </c>
      <c r="B11" s="33" t="inlineStr">
        <is>
          <t>Томаты протёртые</t>
        </is>
      </c>
      <c r="C11" s="33" t="n">
        <v>272</v>
      </c>
      <c r="D11" s="33" t="inlineStr">
        <is>
          <t>NO</t>
        </is>
      </c>
      <c r="E11" s="47" t="n">
        <v>319.98</v>
      </c>
      <c r="F11" s="33" t="inlineStr">
        <is>
          <t>median_public_observation</t>
        </is>
      </c>
      <c r="G11" s="33" t="n">
        <v>2</v>
      </c>
      <c r="H11" s="33" t="inlineStr">
        <is>
          <t>PSR-0069;PSR-0088</t>
        </is>
      </c>
      <c r="I11" s="33" t="inlineStr">
        <is>
          <t>2026-08-03</t>
        </is>
      </c>
      <c r="J11" s="33" t="inlineStr">
        <is>
          <t>ESTIMATE</t>
        </is>
      </c>
      <c r="K11" s="33" t="inlineStr">
        <is>
          <t>LOW_CONFIDENCE</t>
        </is>
      </c>
      <c r="L11" s="33" t="inlineStr">
        <is>
          <t>Owner / Procurement</t>
        </is>
      </c>
      <c r="M11" s="33" t="inlineStr">
        <is>
          <t>Получить минимум 3 КП HoReCa с фасовкой, доставкой, MOQ и НДС</t>
        </is>
      </c>
    </row>
    <row r="12">
      <c r="A12" s="33" t="inlineStr">
        <is>
          <t>ING-007</t>
        </is>
      </c>
      <c r="B12" s="33" t="inlineStr">
        <is>
          <t>Чеснок</t>
        </is>
      </c>
      <c r="C12" s="33" t="n">
        <v>16.6</v>
      </c>
      <c r="D12" s="33" t="inlineStr">
        <is>
          <t>NO</t>
        </is>
      </c>
      <c r="E12" s="47" t="n">
        <v>380</v>
      </c>
      <c r="F12" s="33" t="inlineStr">
        <is>
          <t>median_public_observation</t>
        </is>
      </c>
      <c r="G12" s="33" t="n">
        <v>1</v>
      </c>
      <c r="H12" s="33" t="inlineStr">
        <is>
          <t>PSR-0089</t>
        </is>
      </c>
      <c r="I12" s="33" t="inlineStr">
        <is>
          <t>2026-08-03</t>
        </is>
      </c>
      <c r="J12" s="33" t="inlineStr">
        <is>
          <t>ESTIMATE</t>
        </is>
      </c>
      <c r="K12" s="33" t="inlineStr">
        <is>
          <t>LOW_CONFIDENCE</t>
        </is>
      </c>
      <c r="L12" s="33" t="inlineStr">
        <is>
          <t>Owner / Procurement</t>
        </is>
      </c>
      <c r="M12" s="33" t="inlineStr">
        <is>
          <t>Получить минимум 3 КП HoReCa с фасовкой, доставкой, MOQ и НДС</t>
        </is>
      </c>
    </row>
    <row r="13">
      <c r="A13" s="33" t="inlineStr">
        <is>
          <t>ING-008</t>
        </is>
      </c>
      <c r="B13" s="33" t="inlineStr">
        <is>
          <t>Орегано</t>
        </is>
      </c>
      <c r="C13" s="33" t="n">
        <v>4</v>
      </c>
      <c r="D13" s="33" t="inlineStr">
        <is>
          <t>NO</t>
        </is>
      </c>
      <c r="E13" s="47" t="n"/>
      <c r="F13" s="33" t="n"/>
      <c r="G13" s="33" t="n">
        <v>0</v>
      </c>
      <c r="H13" s="33" t="n"/>
      <c r="I13" s="33" t="n"/>
      <c r="J13" s="33" t="inlineStr">
        <is>
          <t>BLOCKED</t>
        </is>
      </c>
      <c r="K13" s="33" t="inlineStr">
        <is>
          <t>BLOCKED</t>
        </is>
      </c>
      <c r="L13" s="33" t="inlineStr">
        <is>
          <t>Owner / Procurement</t>
        </is>
      </c>
      <c r="M13" s="33" t="inlineStr">
        <is>
          <t>Получить минимум 3 КП HoReCa с фасовкой, доставкой, MOQ и НДС</t>
        </is>
      </c>
    </row>
    <row r="14">
      <c r="A14" s="33" t="inlineStr">
        <is>
          <t>ING-009</t>
        </is>
      </c>
      <c r="B14" s="33" t="inlineStr">
        <is>
          <t>Моцарелла</t>
        </is>
      </c>
      <c r="C14" s="33" t="n">
        <v>420</v>
      </c>
      <c r="D14" s="33" t="inlineStr">
        <is>
          <t>YES</t>
        </is>
      </c>
      <c r="E14" s="47" t="n">
        <v>909.975</v>
      </c>
      <c r="F14" s="33" t="inlineStr">
        <is>
          <t>median_public_observation</t>
        </is>
      </c>
      <c r="G14" s="33" t="n">
        <v>2</v>
      </c>
      <c r="H14" s="33" t="inlineStr">
        <is>
          <t>PSR-0014;PSR-0015</t>
        </is>
      </c>
      <c r="I14" s="33" t="inlineStr">
        <is>
          <t>2026-08-03</t>
        </is>
      </c>
      <c r="J14" s="33" t="inlineStr">
        <is>
          <t>ESTIMATE</t>
        </is>
      </c>
      <c r="K14" s="33" t="inlineStr">
        <is>
          <t>LOW_CONFIDENCE</t>
        </is>
      </c>
      <c r="L14" s="33" t="inlineStr">
        <is>
          <t>Owner / Procurement</t>
        </is>
      </c>
      <c r="M14" s="33" t="inlineStr">
        <is>
          <t>Получить минимум 3 КП HoReCa с фасовкой, доставкой, MOQ и НДС</t>
        </is>
      </c>
    </row>
    <row r="15">
      <c r="A15" s="33" t="inlineStr">
        <is>
          <t>ING-010</t>
        </is>
      </c>
      <c r="B15" s="33" t="inlineStr">
        <is>
          <t>Пармезан</t>
        </is>
      </c>
      <c r="C15" s="33" t="n">
        <v>45</v>
      </c>
      <c r="D15" s="33" t="inlineStr">
        <is>
          <t>YES</t>
        </is>
      </c>
      <c r="E15" s="47" t="n">
        <v>1931.2</v>
      </c>
      <c r="F15" s="33" t="inlineStr">
        <is>
          <t>median_public_observation</t>
        </is>
      </c>
      <c r="G15" s="33" t="n">
        <v>4</v>
      </c>
      <c r="H15" s="33" t="inlineStr">
        <is>
          <t>PSR-0017;PSR-0018;PSR-0019;PSR-0020</t>
        </is>
      </c>
      <c r="I15" s="33" t="inlineStr">
        <is>
          <t>2026-08-03</t>
        </is>
      </c>
      <c r="J15" s="33" t="inlineStr">
        <is>
          <t>ESTIMATE</t>
        </is>
      </c>
      <c r="K15" s="33" t="inlineStr">
        <is>
          <t>MEDIUM</t>
        </is>
      </c>
      <c r="L15" s="33" t="inlineStr">
        <is>
          <t>Owner / Procurement</t>
        </is>
      </c>
      <c r="M15" s="33" t="inlineStr">
        <is>
          <t>Сверить с КП и выбрать поставщика</t>
        </is>
      </c>
    </row>
    <row r="16">
      <c r="A16" s="33" t="inlineStr">
        <is>
          <t>ING-011</t>
        </is>
      </c>
      <c r="B16" s="33" t="inlineStr">
        <is>
          <t>Базилик свежий</t>
        </is>
      </c>
      <c r="C16" s="33" t="n">
        <v>6</v>
      </c>
      <c r="D16" s="33" t="inlineStr">
        <is>
          <t>NO</t>
        </is>
      </c>
      <c r="E16" s="47" t="n"/>
      <c r="F16" s="33" t="n"/>
      <c r="G16" s="33" t="n">
        <v>0</v>
      </c>
      <c r="H16" s="33" t="n"/>
      <c r="I16" s="33" t="n"/>
      <c r="J16" s="33" t="inlineStr">
        <is>
          <t>BLOCKED</t>
        </is>
      </c>
      <c r="K16" s="33" t="inlineStr">
        <is>
          <t>BLOCKED</t>
        </is>
      </c>
      <c r="L16" s="33" t="inlineStr">
        <is>
          <t>Owner / Procurement</t>
        </is>
      </c>
      <c r="M16" s="33" t="inlineStr">
        <is>
          <t>Получить минимум 3 КП HoReCa с фасовкой, доставкой, MOQ и НДС</t>
        </is>
      </c>
    </row>
    <row r="17">
      <c r="A17" s="33" t="inlineStr">
        <is>
          <t>ING-012</t>
        </is>
      </c>
      <c r="B17" s="33" t="inlineStr">
        <is>
          <t>Горгонзола</t>
        </is>
      </c>
      <c r="C17" s="33" t="n">
        <v>45</v>
      </c>
      <c r="D17" s="33" t="inlineStr">
        <is>
          <t>YES</t>
        </is>
      </c>
      <c r="E17" s="47" t="n">
        <v>1799.9</v>
      </c>
      <c r="F17" s="33" t="inlineStr">
        <is>
          <t>median_public_observation</t>
        </is>
      </c>
      <c r="G17" s="33" t="n">
        <v>2</v>
      </c>
      <c r="H17" s="33" t="inlineStr">
        <is>
          <t>PSR-0021;PSR-0023</t>
        </is>
      </c>
      <c r="I17" s="33" t="inlineStr">
        <is>
          <t>2026-08-03</t>
        </is>
      </c>
      <c r="J17" s="33" t="inlineStr">
        <is>
          <t>ESTIMATE</t>
        </is>
      </c>
      <c r="K17" s="33" t="inlineStr">
        <is>
          <t>LOW_CONFIDENCE</t>
        </is>
      </c>
      <c r="L17" s="33" t="inlineStr">
        <is>
          <t>Owner / Procurement</t>
        </is>
      </c>
      <c r="M17" s="33" t="inlineStr">
        <is>
          <t>Получить минимум 3 КП HoReCa с фасовкой, доставкой, MOQ и НДС</t>
        </is>
      </c>
    </row>
    <row r="18">
      <c r="A18" s="33" t="inlineStr">
        <is>
          <t>ING-013</t>
        </is>
      </c>
      <c r="B18" s="33" t="inlineStr">
        <is>
          <t>Фонтина или иной четвёртый сыр</t>
        </is>
      </c>
      <c r="C18" s="33" t="n">
        <v>30</v>
      </c>
      <c r="D18" s="33" t="inlineStr">
        <is>
          <t>NO</t>
        </is>
      </c>
      <c r="E18" s="47" t="n"/>
      <c r="F18" s="33" t="n"/>
      <c r="G18" s="33" t="n">
        <v>0</v>
      </c>
      <c r="H18" s="33" t="n"/>
      <c r="I18" s="33" t="n"/>
      <c r="J18" s="33" t="inlineStr">
        <is>
          <t>BLOCKED</t>
        </is>
      </c>
      <c r="K18" s="33" t="inlineStr">
        <is>
          <t>BLOCKED</t>
        </is>
      </c>
      <c r="L18" s="33" t="inlineStr">
        <is>
          <t>Owner / Procurement</t>
        </is>
      </c>
      <c r="M18" s="33" t="inlineStr">
        <is>
          <t>Получить минимум 3 КП HoReCa с фасовкой, доставкой, MOQ и НДС</t>
        </is>
      </c>
    </row>
    <row r="19">
      <c r="A19" s="33" t="inlineStr">
        <is>
          <t>ING-014</t>
        </is>
      </c>
      <c r="B19" s="33" t="inlineStr">
        <is>
          <t>Ветчина</t>
        </is>
      </c>
      <c r="C19" s="33" t="n">
        <v>60</v>
      </c>
      <c r="D19" s="33" t="inlineStr">
        <is>
          <t>NO</t>
        </is>
      </c>
      <c r="E19" s="47" t="n"/>
      <c r="F19" s="33" t="n"/>
      <c r="G19" s="33" t="n">
        <v>0</v>
      </c>
      <c r="H19" s="33" t="n"/>
      <c r="I19" s="33" t="n"/>
      <c r="J19" s="33" t="inlineStr">
        <is>
          <t>BLOCKED</t>
        </is>
      </c>
      <c r="K19" s="33" t="inlineStr">
        <is>
          <t>BLOCKED</t>
        </is>
      </c>
      <c r="L19" s="33" t="inlineStr">
        <is>
          <t>Owner / Procurement</t>
        </is>
      </c>
      <c r="M19" s="33" t="inlineStr">
        <is>
          <t>Получить минимум 3 КП HoReCa с фасовкой, доставкой, MOQ и НДС</t>
        </is>
      </c>
    </row>
    <row r="20">
      <c r="A20" s="33" t="inlineStr">
        <is>
          <t>ING-015</t>
        </is>
      </c>
      <c r="B20" s="33" t="inlineStr">
        <is>
          <t>Шампиньоны</t>
        </is>
      </c>
      <c r="C20" s="33" t="n">
        <v>50</v>
      </c>
      <c r="D20" s="33" t="inlineStr">
        <is>
          <t>NO</t>
        </is>
      </c>
      <c r="E20" s="47" t="n">
        <v>479.96</v>
      </c>
      <c r="F20" s="33" t="inlineStr">
        <is>
          <t>median_public_observation</t>
        </is>
      </c>
      <c r="G20" s="33" t="n">
        <v>1</v>
      </c>
      <c r="H20" s="33" t="inlineStr">
        <is>
          <t>PSR-0074</t>
        </is>
      </c>
      <c r="I20" s="33" t="inlineStr">
        <is>
          <t>2026-08-03</t>
        </is>
      </c>
      <c r="J20" s="33" t="inlineStr">
        <is>
          <t>ESTIMATE</t>
        </is>
      </c>
      <c r="K20" s="33" t="inlineStr">
        <is>
          <t>LOW_CONFIDENCE</t>
        </is>
      </c>
      <c r="L20" s="33" t="inlineStr">
        <is>
          <t>Owner / Procurement</t>
        </is>
      </c>
      <c r="M20" s="33" t="inlineStr">
        <is>
          <t>Получить минимум 3 КП HoReCa с фасовкой, доставкой, MOQ и НДС</t>
        </is>
      </c>
    </row>
    <row r="21">
      <c r="A21" s="33" t="inlineStr">
        <is>
          <t>ING-016</t>
        </is>
      </c>
      <c r="B21" s="33" t="inlineStr">
        <is>
          <t>Лук репчатый</t>
        </is>
      </c>
      <c r="C21" s="33" t="n">
        <v>50</v>
      </c>
      <c r="D21" s="33" t="inlineStr">
        <is>
          <t>NO</t>
        </is>
      </c>
      <c r="E21" s="47" t="n">
        <v>48.9</v>
      </c>
      <c r="F21" s="33" t="inlineStr">
        <is>
          <t>median_public_observation</t>
        </is>
      </c>
      <c r="G21" s="33" t="n">
        <v>1</v>
      </c>
      <c r="H21" s="33" t="inlineStr">
        <is>
          <t>PSR-0071</t>
        </is>
      </c>
      <c r="I21" s="33" t="inlineStr">
        <is>
          <t>2026-08-03</t>
        </is>
      </c>
      <c r="J21" s="33" t="inlineStr">
        <is>
          <t>ESTIMATE</t>
        </is>
      </c>
      <c r="K21" s="33" t="inlineStr">
        <is>
          <t>LOW_CONFIDENCE</t>
        </is>
      </c>
      <c r="L21" s="33" t="inlineStr">
        <is>
          <t>Owner / Procurement</t>
        </is>
      </c>
      <c r="M21" s="33" t="inlineStr">
        <is>
          <t>Получить минимум 3 КП HoReCa с фасовкой, доставкой, MOQ и НДС</t>
        </is>
      </c>
    </row>
    <row r="22">
      <c r="A22" s="33" t="inlineStr">
        <is>
          <t>ING-017</t>
        </is>
      </c>
      <c r="B22" s="33" t="inlineStr">
        <is>
          <t>Пепперони</t>
        </is>
      </c>
      <c r="C22" s="33" t="n">
        <v>90</v>
      </c>
      <c r="D22" s="33" t="inlineStr">
        <is>
          <t>NO</t>
        </is>
      </c>
      <c r="E22" s="47" t="n">
        <v>1444.333333</v>
      </c>
      <c r="F22" s="33" t="inlineStr">
        <is>
          <t>median_public_observation</t>
        </is>
      </c>
      <c r="G22" s="33" t="n">
        <v>1</v>
      </c>
      <c r="H22" s="33" t="inlineStr">
        <is>
          <t>PSR-0075</t>
        </is>
      </c>
      <c r="I22" s="33" t="inlineStr">
        <is>
          <t>2026-08-03</t>
        </is>
      </c>
      <c r="J22" s="33" t="inlineStr">
        <is>
          <t>ESTIMATE</t>
        </is>
      </c>
      <c r="K22" s="33" t="inlineStr">
        <is>
          <t>LOW_CONFIDENCE</t>
        </is>
      </c>
      <c r="L22" s="33" t="inlineStr">
        <is>
          <t>Owner / Procurement</t>
        </is>
      </c>
      <c r="M22" s="33" t="inlineStr">
        <is>
          <t>Получить минимум 3 КП HoReCa с фасовкой, доставкой, MOQ и НДС</t>
        </is>
      </c>
    </row>
    <row r="23">
      <c r="A23" s="33" t="inlineStr">
        <is>
          <t>ING-018</t>
        </is>
      </c>
      <c r="B23" s="33" t="inlineStr">
        <is>
          <t>Пюре томатное</t>
        </is>
      </c>
      <c r="C23" s="33" t="n">
        <v>13</v>
      </c>
      <c r="D23" s="33" t="inlineStr">
        <is>
          <t>NO</t>
        </is>
      </c>
      <c r="E23" s="47" t="n"/>
      <c r="F23" s="33" t="n"/>
      <c r="G23" s="33" t="n">
        <v>0</v>
      </c>
      <c r="H23" s="33" t="n"/>
      <c r="I23" s="33" t="n"/>
      <c r="J23" s="33" t="inlineStr">
        <is>
          <t>BLOCKED</t>
        </is>
      </c>
      <c r="K23" s="33" t="inlineStr">
        <is>
          <t>BLOCKED</t>
        </is>
      </c>
      <c r="L23" s="33" t="inlineStr">
        <is>
          <t>Owner / Procurement</t>
        </is>
      </c>
      <c r="M23" s="33" t="inlineStr">
        <is>
          <t>Получить минимум 3 КП HoReCa с фасовкой, доставкой, MOQ и НДС</t>
        </is>
      </c>
    </row>
    <row r="24">
      <c r="A24" s="33" t="inlineStr">
        <is>
          <t>ING-019</t>
        </is>
      </c>
      <c r="B24" s="33" t="inlineStr">
        <is>
          <t>Томаты вяленые</t>
        </is>
      </c>
      <c r="C24" s="33" t="n">
        <v>8</v>
      </c>
      <c r="D24" s="33" t="inlineStr">
        <is>
          <t>NO</t>
        </is>
      </c>
      <c r="E24" s="47" t="n"/>
      <c r="F24" s="33" t="n"/>
      <c r="G24" s="33" t="n">
        <v>0</v>
      </c>
      <c r="H24" s="33" t="n"/>
      <c r="I24" s="33" t="n"/>
      <c r="J24" s="33" t="inlineStr">
        <is>
          <t>BLOCKED</t>
        </is>
      </c>
      <c r="K24" s="33" t="inlineStr">
        <is>
          <t>BLOCKED</t>
        </is>
      </c>
      <c r="L24" s="33" t="inlineStr">
        <is>
          <t>Owner / Procurement</t>
        </is>
      </c>
      <c r="M24" s="33" t="inlineStr">
        <is>
          <t>Получить минимум 3 КП HoReCa с фасовкой, доставкой, MOQ и НДС</t>
        </is>
      </c>
    </row>
    <row r="25">
      <c r="A25" s="33" t="inlineStr">
        <is>
          <t>ING-020</t>
        </is>
      </c>
      <c r="B25" s="33" t="inlineStr">
        <is>
          <t>Мука ржаная</t>
        </is>
      </c>
      <c r="C25" s="33" t="n">
        <v>150</v>
      </c>
      <c r="D25" s="33" t="inlineStr">
        <is>
          <t>NO</t>
        </is>
      </c>
      <c r="E25" s="47" t="n">
        <v>69.98999999999999</v>
      </c>
      <c r="F25" s="33" t="inlineStr">
        <is>
          <t>median_public_observation</t>
        </is>
      </c>
      <c r="G25" s="33" t="n">
        <v>1</v>
      </c>
      <c r="H25" s="33" t="inlineStr">
        <is>
          <t>PSR-0070</t>
        </is>
      </c>
      <c r="I25" s="33" t="inlineStr">
        <is>
          <t>2026-08-03</t>
        </is>
      </c>
      <c r="J25" s="33" t="inlineStr">
        <is>
          <t>ESTIMATE</t>
        </is>
      </c>
      <c r="K25" s="33" t="inlineStr">
        <is>
          <t>LOW_CONFIDENCE</t>
        </is>
      </c>
      <c r="L25" s="33" t="inlineStr">
        <is>
          <t>Owner / Procurement</t>
        </is>
      </c>
      <c r="M25" s="33" t="inlineStr">
        <is>
          <t>Получить минимум 3 КП HoReCa с фасовкой, доставкой, MOQ и НДС</t>
        </is>
      </c>
    </row>
    <row r="26">
      <c r="A26" s="33" t="inlineStr">
        <is>
          <t>ING-021</t>
        </is>
      </c>
      <c r="B26" s="33" t="inlineStr">
        <is>
          <t>Солод ржаной</t>
        </is>
      </c>
      <c r="C26" s="33" t="n">
        <v>20</v>
      </c>
      <c r="D26" s="33" t="inlineStr">
        <is>
          <t>NO</t>
        </is>
      </c>
      <c r="E26" s="47" t="n"/>
      <c r="F26" s="33" t="n"/>
      <c r="G26" s="33" t="n">
        <v>0</v>
      </c>
      <c r="H26" s="33" t="n"/>
      <c r="I26" s="33" t="n"/>
      <c r="J26" s="33" t="inlineStr">
        <is>
          <t>BLOCKED</t>
        </is>
      </c>
      <c r="K26" s="33" t="inlineStr">
        <is>
          <t>BLOCKED</t>
        </is>
      </c>
      <c r="L26" s="33" t="inlineStr">
        <is>
          <t>Owner / Procurement</t>
        </is>
      </c>
      <c r="M26" s="33" t="inlineStr">
        <is>
          <t>Получить минимум 3 КП HoReCa с фасовкой, доставкой, MOQ и НДС</t>
        </is>
      </c>
    </row>
    <row r="27">
      <c r="A27" s="33" t="inlineStr">
        <is>
          <t>ING-022</t>
        </is>
      </c>
      <c r="B27" s="33" t="inlineStr">
        <is>
          <t>Патока</t>
        </is>
      </c>
      <c r="C27" s="33" t="n">
        <v>10</v>
      </c>
      <c r="D27" s="33" t="inlineStr">
        <is>
          <t>NO</t>
        </is>
      </c>
      <c r="E27" s="47" t="n"/>
      <c r="F27" s="33" t="n"/>
      <c r="G27" s="33" t="n">
        <v>0</v>
      </c>
      <c r="H27" s="33" t="n"/>
      <c r="I27" s="33" t="n"/>
      <c r="J27" s="33" t="inlineStr">
        <is>
          <t>BLOCKED</t>
        </is>
      </c>
      <c r="K27" s="33" t="inlineStr">
        <is>
          <t>BLOCKED</t>
        </is>
      </c>
      <c r="L27" s="33" t="inlineStr">
        <is>
          <t>Owner / Procurement</t>
        </is>
      </c>
      <c r="M27" s="33" t="inlineStr">
        <is>
          <t>Получить минимум 3 КП HoReCa с фасовкой, доставкой, MOQ и НДС</t>
        </is>
      </c>
    </row>
    <row r="28">
      <c r="A28" s="33" t="inlineStr">
        <is>
          <t>ING-023</t>
        </is>
      </c>
      <c r="B28" s="33" t="inlineStr">
        <is>
          <t>Кориандр</t>
        </is>
      </c>
      <c r="C28" s="33" t="n">
        <v>4</v>
      </c>
      <c r="D28" s="33" t="inlineStr">
        <is>
          <t>NO</t>
        </is>
      </c>
      <c r="E28" s="47" t="n"/>
      <c r="F28" s="33" t="n"/>
      <c r="G28" s="33" t="n">
        <v>0</v>
      </c>
      <c r="H28" s="33" t="n"/>
      <c r="I28" s="33" t="n"/>
      <c r="J28" s="33" t="inlineStr">
        <is>
          <t>BLOCKED</t>
        </is>
      </c>
      <c r="K28" s="33" t="inlineStr">
        <is>
          <t>BLOCKED</t>
        </is>
      </c>
      <c r="L28" s="33" t="inlineStr">
        <is>
          <t>Owner / Procurement</t>
        </is>
      </c>
      <c r="M28" s="33" t="inlineStr">
        <is>
          <t>Получить минимум 3 КП HoReCa с фасовкой, доставкой, MOQ и НДС</t>
        </is>
      </c>
    </row>
    <row r="29">
      <c r="A29" s="33" t="inlineStr">
        <is>
          <t>ING-024</t>
        </is>
      </c>
      <c r="B29" s="33" t="inlineStr">
        <is>
          <t>Масло растительное</t>
        </is>
      </c>
      <c r="C29" s="33" t="n">
        <v>86</v>
      </c>
      <c r="D29" s="33" t="inlineStr">
        <is>
          <t>NO</t>
        </is>
      </c>
      <c r="E29" s="47" t="n"/>
      <c r="F29" s="33" t="n"/>
      <c r="G29" s="33" t="n">
        <v>0</v>
      </c>
      <c r="H29" s="33" t="n"/>
      <c r="I29" s="33" t="n"/>
      <c r="J29" s="33" t="inlineStr">
        <is>
          <t>BLOCKED</t>
        </is>
      </c>
      <c r="K29" s="33" t="inlineStr">
        <is>
          <t>BLOCKED</t>
        </is>
      </c>
      <c r="L29" s="33" t="inlineStr">
        <is>
          <t>Owner / Procurement</t>
        </is>
      </c>
      <c r="M29" s="33" t="inlineStr">
        <is>
          <t>Получить минимум 3 КП HoReCa с фасовкой, доставкой, MOQ и НДС</t>
        </is>
      </c>
    </row>
    <row r="30">
      <c r="A30" s="33" t="inlineStr">
        <is>
          <t>ING-025</t>
        </is>
      </c>
      <c r="B30" s="33" t="inlineStr">
        <is>
          <t>Молоко</t>
        </is>
      </c>
      <c r="C30" s="33" t="n">
        <v>63</v>
      </c>
      <c r="D30" s="33" t="inlineStr">
        <is>
          <t>NO</t>
        </is>
      </c>
      <c r="E30" s="47" t="n"/>
      <c r="F30" s="33" t="n"/>
      <c r="G30" s="33" t="n">
        <v>0</v>
      </c>
      <c r="H30" s="33" t="n"/>
      <c r="I30" s="33" t="n"/>
      <c r="J30" s="33" t="inlineStr">
        <is>
          <t>BLOCKED</t>
        </is>
      </c>
      <c r="K30" s="33" t="inlineStr">
        <is>
          <t>BLOCKED</t>
        </is>
      </c>
      <c r="L30" s="33" t="inlineStr">
        <is>
          <t>Owner / Procurement</t>
        </is>
      </c>
      <c r="M30" s="33" t="inlineStr">
        <is>
          <t>Получить минимум 3 КП HoReCa с фасовкой, доставкой, MOQ и НДС</t>
        </is>
      </c>
    </row>
    <row r="31">
      <c r="A31" s="33" t="inlineStr">
        <is>
          <t>ING-026</t>
        </is>
      </c>
      <c r="B31" s="33" t="inlineStr">
        <is>
          <t>Яйцо или меланж</t>
        </is>
      </c>
      <c r="C31" s="33" t="n">
        <v>391</v>
      </c>
      <c r="D31" s="33" t="inlineStr">
        <is>
          <t>NO</t>
        </is>
      </c>
      <c r="E31" s="47" t="n">
        <v>401.666667</v>
      </c>
      <c r="F31" s="33" t="inlineStr">
        <is>
          <t>median_public_observation</t>
        </is>
      </c>
      <c r="G31" s="33" t="n">
        <v>1</v>
      </c>
      <c r="H31" s="33" t="inlineStr">
        <is>
          <t>PSR-0009</t>
        </is>
      </c>
      <c r="I31" s="33" t="inlineStr">
        <is>
          <t>2026-08-03</t>
        </is>
      </c>
      <c r="J31" s="33" t="inlineStr">
        <is>
          <t>ESTIMATE</t>
        </is>
      </c>
      <c r="K31" s="33" t="inlineStr">
        <is>
          <t>LOW_CONFIDENCE</t>
        </is>
      </c>
      <c r="L31" s="33" t="inlineStr">
        <is>
          <t>Owner / Procurement</t>
        </is>
      </c>
      <c r="M31" s="33" t="inlineStr">
        <is>
          <t>Получить минимум 3 КП HoReCa с фасовкой, доставкой, MOQ и НДС</t>
        </is>
      </c>
    </row>
    <row r="32">
      <c r="A32" s="33" t="inlineStr">
        <is>
          <t>ING-027</t>
        </is>
      </c>
      <c r="B32" s="33" t="inlineStr">
        <is>
          <t>Масло сливочное</t>
        </is>
      </c>
      <c r="C32" s="33" t="n">
        <v>490</v>
      </c>
      <c r="D32" s="33" t="inlineStr">
        <is>
          <t>YES</t>
        </is>
      </c>
      <c r="E32" s="47" t="n">
        <v>1111.055556</v>
      </c>
      <c r="F32" s="33" t="inlineStr">
        <is>
          <t>median_public_observation</t>
        </is>
      </c>
      <c r="G32" s="33" t="n">
        <v>1</v>
      </c>
      <c r="H32" s="33" t="inlineStr">
        <is>
          <t>PSR-0010</t>
        </is>
      </c>
      <c r="I32" s="33" t="inlineStr">
        <is>
          <t>2026-08-03</t>
        </is>
      </c>
      <c r="J32" s="33" t="inlineStr">
        <is>
          <t>ESTIMATE</t>
        </is>
      </c>
      <c r="K32" s="33" t="inlineStr">
        <is>
          <t>LOW_CONFIDENCE</t>
        </is>
      </c>
      <c r="L32" s="33" t="inlineStr">
        <is>
          <t>Owner / Procurement</t>
        </is>
      </c>
      <c r="M32" s="33" t="inlineStr">
        <is>
          <t>Получить минимум 3 КП HoReCa с фасовкой, доставкой, MOQ и НДС</t>
        </is>
      </c>
    </row>
    <row r="33">
      <c r="A33" s="33" t="inlineStr">
        <is>
          <t>ING-028</t>
        </is>
      </c>
      <c r="B33" s="33" t="inlineStr">
        <is>
          <t>Сахар</t>
        </is>
      </c>
      <c r="C33" s="33" t="n">
        <v>529</v>
      </c>
      <c r="D33" s="33" t="inlineStr">
        <is>
          <t>NO</t>
        </is>
      </c>
      <c r="E33" s="47" t="n">
        <v>99.98999999999999</v>
      </c>
      <c r="F33" s="33" t="inlineStr">
        <is>
          <t>median_public_observation</t>
        </is>
      </c>
      <c r="G33" s="33" t="n">
        <v>1</v>
      </c>
      <c r="H33" s="33" t="inlineStr">
        <is>
          <t>PSR-0013</t>
        </is>
      </c>
      <c r="I33" s="33" t="inlineStr">
        <is>
          <t>2026-08-03</t>
        </is>
      </c>
      <c r="J33" s="33" t="inlineStr">
        <is>
          <t>ESTIMATE</t>
        </is>
      </c>
      <c r="K33" s="33" t="inlineStr">
        <is>
          <t>LOW_CONFIDENCE</t>
        </is>
      </c>
      <c r="L33" s="33" t="inlineStr">
        <is>
          <t>Owner / Procurement</t>
        </is>
      </c>
      <c r="M33" s="33" t="inlineStr">
        <is>
          <t>Получить минимум 3 КП HoReCa с фасовкой, доставкой, MOQ и НДС</t>
        </is>
      </c>
    </row>
    <row r="34">
      <c r="A34" s="33" t="inlineStr">
        <is>
          <t>ING-029</t>
        </is>
      </c>
      <c r="B34" s="33" t="inlineStr">
        <is>
          <t>Меланж для смазки</t>
        </is>
      </c>
      <c r="C34" s="33" t="n">
        <v>1</v>
      </c>
      <c r="D34" s="33" t="inlineStr">
        <is>
          <t>NO</t>
        </is>
      </c>
      <c r="E34" s="47" t="n"/>
      <c r="F34" s="33" t="n"/>
      <c r="G34" s="33" t="n">
        <v>0</v>
      </c>
      <c r="H34" s="33" t="n"/>
      <c r="I34" s="33" t="n"/>
      <c r="J34" s="33" t="inlineStr">
        <is>
          <t>BLOCKED</t>
        </is>
      </c>
      <c r="K34" s="33" t="inlineStr">
        <is>
          <t>BLOCKED</t>
        </is>
      </c>
      <c r="L34" s="33" t="inlineStr">
        <is>
          <t>Owner / Procurement</t>
        </is>
      </c>
      <c r="M34" s="33" t="inlineStr">
        <is>
          <t>Получить минимум 3 КП HoReCa с фасовкой, доставкой, MOQ и НДС</t>
        </is>
      </c>
    </row>
    <row r="35">
      <c r="A35" s="33" t="inlineStr">
        <is>
          <t>ING-030</t>
        </is>
      </c>
      <c r="B35" s="33" t="inlineStr">
        <is>
          <t>Буррата</t>
        </is>
      </c>
      <c r="C35" s="33" t="n">
        <v>125</v>
      </c>
      <c r="D35" s="33" t="inlineStr">
        <is>
          <t>YES</t>
        </is>
      </c>
      <c r="E35" s="47" t="n">
        <v>1536.593333</v>
      </c>
      <c r="F35" s="33" t="inlineStr">
        <is>
          <t>median_public_observation</t>
        </is>
      </c>
      <c r="G35" s="33" t="n">
        <v>4</v>
      </c>
      <c r="H35" s="33" t="inlineStr">
        <is>
          <t>PSR-0025;PSR-0026;PSR-0027;PSR-0028</t>
        </is>
      </c>
      <c r="I35" s="33" t="inlineStr">
        <is>
          <t>2026-08-03</t>
        </is>
      </c>
      <c r="J35" s="33" t="inlineStr">
        <is>
          <t>ESTIMATE</t>
        </is>
      </c>
      <c r="K35" s="33" t="inlineStr">
        <is>
          <t>MEDIUM</t>
        </is>
      </c>
      <c r="L35" s="33" t="inlineStr">
        <is>
          <t>Owner / Procurement</t>
        </is>
      </c>
      <c r="M35" s="33" t="inlineStr">
        <is>
          <t>Сверить с КП и выбрать поставщика</t>
        </is>
      </c>
    </row>
    <row r="36">
      <c r="A36" s="33" t="inlineStr">
        <is>
          <t>ING-031</t>
        </is>
      </c>
      <c r="B36" s="33" t="inlineStr">
        <is>
          <t>Томаты свежие</t>
        </is>
      </c>
      <c r="C36" s="33" t="n">
        <v>264</v>
      </c>
      <c r="D36" s="33" t="inlineStr">
        <is>
          <t>NO</t>
        </is>
      </c>
      <c r="E36" s="47" t="n"/>
      <c r="F36" s="33" t="n"/>
      <c r="G36" s="33" t="n">
        <v>0</v>
      </c>
      <c r="H36" s="33" t="n"/>
      <c r="I36" s="33" t="n"/>
      <c r="J36" s="33" t="inlineStr">
        <is>
          <t>BLOCKED</t>
        </is>
      </c>
      <c r="K36" s="33" t="inlineStr">
        <is>
          <t>BLOCKED</t>
        </is>
      </c>
      <c r="L36" s="33" t="inlineStr">
        <is>
          <t>Owner / Procurement</t>
        </is>
      </c>
      <c r="M36" s="33" t="inlineStr">
        <is>
          <t>Получить минимум 3 КП HoReCa с фасовкой, доставкой, MOQ и НДС</t>
        </is>
      </c>
    </row>
    <row r="37">
      <c r="A37" s="33" t="inlineStr">
        <is>
          <t>ING-032</t>
        </is>
      </c>
      <c r="B37" s="33" t="inlineStr">
        <is>
          <t>Уксус бальзамический</t>
        </is>
      </c>
      <c r="C37" s="33" t="n">
        <v>3</v>
      </c>
      <c r="D37" s="33" t="inlineStr">
        <is>
          <t>NO</t>
        </is>
      </c>
      <c r="E37" s="47" t="n"/>
      <c r="F37" s="33" t="n"/>
      <c r="G37" s="33" t="n">
        <v>0</v>
      </c>
      <c r="H37" s="33" t="n"/>
      <c r="I37" s="33" t="n"/>
      <c r="J37" s="33" t="inlineStr">
        <is>
          <t>BLOCKED</t>
        </is>
      </c>
      <c r="K37" s="33" t="inlineStr">
        <is>
          <t>BLOCKED</t>
        </is>
      </c>
      <c r="L37" s="33" t="inlineStr">
        <is>
          <t>Owner / Procurement</t>
        </is>
      </c>
      <c r="M37" s="33" t="inlineStr">
        <is>
          <t>Получить минимум 3 КП HoReCa с фасовкой, доставкой, MOQ и НДС</t>
        </is>
      </c>
    </row>
    <row r="38">
      <c r="A38" s="33" t="inlineStr">
        <is>
          <t>ING-033</t>
        </is>
      </c>
      <c r="B38" s="33" t="inlineStr">
        <is>
          <t>Соль и специи</t>
        </is>
      </c>
      <c r="C38" s="33" t="n">
        <v>8</v>
      </c>
      <c r="D38" s="33" t="inlineStr">
        <is>
          <t>NO</t>
        </is>
      </c>
      <c r="E38" s="47" t="n"/>
      <c r="F38" s="33" t="n"/>
      <c r="G38" s="33" t="n">
        <v>0</v>
      </c>
      <c r="H38" s="33" t="n"/>
      <c r="I38" s="33" t="n"/>
      <c r="J38" s="33" t="inlineStr">
        <is>
          <t>BLOCKED</t>
        </is>
      </c>
      <c r="K38" s="33" t="inlineStr">
        <is>
          <t>BLOCKED</t>
        </is>
      </c>
      <c r="L38" s="33" t="inlineStr">
        <is>
          <t>Owner / Procurement</t>
        </is>
      </c>
      <c r="M38" s="33" t="inlineStr">
        <is>
          <t>Получить минимум 3 КП HoReCa с фасовкой, доставкой, MOQ и НДС</t>
        </is>
      </c>
    </row>
    <row r="39">
      <c r="A39" s="33" t="inlineStr">
        <is>
          <t>ING-034</t>
        </is>
      </c>
      <c r="B39" s="33" t="inlineStr">
        <is>
          <t>Салатная зелень</t>
        </is>
      </c>
      <c r="C39" s="33" t="n">
        <v>29</v>
      </c>
      <c r="D39" s="33" t="inlineStr">
        <is>
          <t>NO</t>
        </is>
      </c>
      <c r="E39" s="47" t="n"/>
      <c r="F39" s="33" t="n"/>
      <c r="G39" s="33" t="n">
        <v>0</v>
      </c>
      <c r="H39" s="33" t="n"/>
      <c r="I39" s="33" t="n"/>
      <c r="J39" s="33" t="inlineStr">
        <is>
          <t>BLOCKED</t>
        </is>
      </c>
      <c r="K39" s="33" t="inlineStr">
        <is>
          <t>BLOCKED</t>
        </is>
      </c>
      <c r="L39" s="33" t="inlineStr">
        <is>
          <t>Owner / Procurement</t>
        </is>
      </c>
      <c r="M39" s="33" t="inlineStr">
        <is>
          <t>Получить минимум 3 КП HoReCa с фасовкой, доставкой, MOQ и НДС</t>
        </is>
      </c>
    </row>
    <row r="40">
      <c r="A40" s="33" t="inlineStr">
        <is>
          <t>ING-035</t>
        </is>
      </c>
      <c r="B40" s="33" t="inlineStr">
        <is>
          <t>Салатный микс</t>
        </is>
      </c>
      <c r="C40" s="33" t="n">
        <v>90</v>
      </c>
      <c r="D40" s="33" t="inlineStr">
        <is>
          <t>NO</t>
        </is>
      </c>
      <c r="E40" s="47" t="n"/>
      <c r="F40" s="33" t="n"/>
      <c r="G40" s="33" t="n">
        <v>0</v>
      </c>
      <c r="H40" s="33" t="n"/>
      <c r="I40" s="33" t="n"/>
      <c r="J40" s="33" t="inlineStr">
        <is>
          <t>BLOCKED</t>
        </is>
      </c>
      <c r="K40" s="33" t="inlineStr">
        <is>
          <t>BLOCKED</t>
        </is>
      </c>
      <c r="L40" s="33" t="inlineStr">
        <is>
          <t>Owner / Procurement</t>
        </is>
      </c>
      <c r="M40" s="33" t="inlineStr">
        <is>
          <t>Получить минимум 3 КП HoReCa с фасовкой, доставкой, MOQ и НДС</t>
        </is>
      </c>
    </row>
    <row r="41">
      <c r="A41" s="33" t="inlineStr">
        <is>
          <t>ING-036</t>
        </is>
      </c>
      <c r="B41" s="33" t="inlineStr">
        <is>
          <t>Креветки очищенные</t>
        </is>
      </c>
      <c r="C41" s="33" t="n">
        <v>250</v>
      </c>
      <c r="D41" s="33" t="inlineStr">
        <is>
          <t>YES</t>
        </is>
      </c>
      <c r="E41" s="47" t="n">
        <v>1659.98</v>
      </c>
      <c r="F41" s="33" t="inlineStr">
        <is>
          <t>median_public_observation</t>
        </is>
      </c>
      <c r="G41" s="33" t="n">
        <v>5</v>
      </c>
      <c r="H41" s="33" t="inlineStr">
        <is>
          <t>PSR-0031;PSR-0032;PSR-0033;PSR-0034;PSR-0035</t>
        </is>
      </c>
      <c r="I41" s="33" t="inlineStr">
        <is>
          <t>2026-08-03</t>
        </is>
      </c>
      <c r="J41" s="33" t="inlineStr">
        <is>
          <t>ESTIMATE</t>
        </is>
      </c>
      <c r="K41" s="33" t="inlineStr">
        <is>
          <t>MEDIUM</t>
        </is>
      </c>
      <c r="L41" s="33" t="inlineStr">
        <is>
          <t>Owner / Procurement</t>
        </is>
      </c>
      <c r="M41" s="33" t="inlineStr">
        <is>
          <t>Сверить с КП и выбрать поставщика</t>
        </is>
      </c>
    </row>
    <row r="42">
      <c r="A42" s="33" t="inlineStr">
        <is>
          <t>ING-037</t>
        </is>
      </c>
      <c r="B42" s="33" t="inlineStr">
        <is>
          <t>Яблоко</t>
        </is>
      </c>
      <c r="C42" s="33" t="n">
        <v>65</v>
      </c>
      <c r="D42" s="33" t="inlineStr">
        <is>
          <t>NO</t>
        </is>
      </c>
      <c r="E42" s="47" t="n"/>
      <c r="F42" s="33" t="n"/>
      <c r="G42" s="33" t="n">
        <v>0</v>
      </c>
      <c r="H42" s="33" t="n"/>
      <c r="I42" s="33" t="n"/>
      <c r="J42" s="33" t="inlineStr">
        <is>
          <t>BLOCKED</t>
        </is>
      </c>
      <c r="K42" s="33" t="inlineStr">
        <is>
          <t>BLOCKED</t>
        </is>
      </c>
      <c r="L42" s="33" t="inlineStr">
        <is>
          <t>Owner / Procurement</t>
        </is>
      </c>
      <c r="M42" s="33" t="inlineStr">
        <is>
          <t>Получить минимум 3 КП HoReCa с фасовкой, доставкой, MOQ и НДС</t>
        </is>
      </c>
    </row>
    <row r="43">
      <c r="A43" s="33" t="inlineStr">
        <is>
          <t>ING-038</t>
        </is>
      </c>
      <c r="B43" s="33" t="inlineStr">
        <is>
          <t>Огурец свежий</t>
        </is>
      </c>
      <c r="C43" s="33" t="n">
        <v>160</v>
      </c>
      <c r="D43" s="33" t="inlineStr">
        <is>
          <t>NO</t>
        </is>
      </c>
      <c r="E43" s="47" t="n">
        <v>145</v>
      </c>
      <c r="F43" s="33" t="inlineStr">
        <is>
          <t>median_public_observation</t>
        </is>
      </c>
      <c r="G43" s="33" t="n">
        <v>1</v>
      </c>
      <c r="H43" s="33" t="inlineStr">
        <is>
          <t>PSR-0072</t>
        </is>
      </c>
      <c r="I43" s="33" t="inlineStr">
        <is>
          <t>2026-08-03</t>
        </is>
      </c>
      <c r="J43" s="33" t="inlineStr">
        <is>
          <t>ESTIMATE</t>
        </is>
      </c>
      <c r="K43" s="33" t="inlineStr">
        <is>
          <t>LOW_CONFIDENCE</t>
        </is>
      </c>
      <c r="L43" s="33" t="inlineStr">
        <is>
          <t>Owner / Procurement</t>
        </is>
      </c>
      <c r="M43" s="33" t="inlineStr">
        <is>
          <t>Получить минимум 3 КП HoReCa с фасовкой, доставкой, MOQ и НДС</t>
        </is>
      </c>
    </row>
    <row r="44">
      <c r="A44" s="33" t="inlineStr">
        <is>
          <t>ING-039</t>
        </is>
      </c>
      <c r="B44" s="33" t="inlineStr">
        <is>
          <t>Сок лимона</t>
        </is>
      </c>
      <c r="C44" s="33" t="n">
        <v>10</v>
      </c>
      <c r="D44" s="33" t="inlineStr">
        <is>
          <t>NO</t>
        </is>
      </c>
      <c r="E44" s="47" t="n"/>
      <c r="F44" s="33" t="n"/>
      <c r="G44" s="33" t="n">
        <v>0</v>
      </c>
      <c r="H44" s="33" t="n"/>
      <c r="I44" s="33" t="n"/>
      <c r="J44" s="33" t="inlineStr">
        <is>
          <t>BLOCKED</t>
        </is>
      </c>
      <c r="K44" s="33" t="inlineStr">
        <is>
          <t>BLOCKED</t>
        </is>
      </c>
      <c r="L44" s="33" t="inlineStr">
        <is>
          <t>Owner / Procurement</t>
        </is>
      </c>
      <c r="M44" s="33" t="inlineStr">
        <is>
          <t>Получить минимум 3 КП HoReCa с фасовкой, доставкой, MOQ и НДС</t>
        </is>
      </c>
    </row>
    <row r="45">
      <c r="A45" s="33" t="inlineStr">
        <is>
          <t>ING-040</t>
        </is>
      </c>
      <c r="B45" s="33" t="inlineStr">
        <is>
          <t>Мёд</t>
        </is>
      </c>
      <c r="C45" s="33" t="n">
        <v>18</v>
      </c>
      <c r="D45" s="33" t="inlineStr">
        <is>
          <t>NO</t>
        </is>
      </c>
      <c r="E45" s="47" t="n"/>
      <c r="F45" s="33" t="n"/>
      <c r="G45" s="33" t="n">
        <v>0</v>
      </c>
      <c r="H45" s="33" t="n"/>
      <c r="I45" s="33" t="n"/>
      <c r="J45" s="33" t="inlineStr">
        <is>
          <t>BLOCKED</t>
        </is>
      </c>
      <c r="K45" s="33" t="inlineStr">
        <is>
          <t>BLOCKED</t>
        </is>
      </c>
      <c r="L45" s="33" t="inlineStr">
        <is>
          <t>Owner / Procurement</t>
        </is>
      </c>
      <c r="M45" s="33" t="inlineStr">
        <is>
          <t>Получить минимум 3 КП HoReCa с фасовкой, доставкой, MOQ и НДС</t>
        </is>
      </c>
    </row>
    <row r="46">
      <c r="A46" s="33" t="inlineStr">
        <is>
          <t>ING-041</t>
        </is>
      </c>
      <c r="B46" s="33" t="inlineStr">
        <is>
          <t>Горчица</t>
        </is>
      </c>
      <c r="C46" s="33" t="n">
        <v>17</v>
      </c>
      <c r="D46" s="33" t="inlineStr">
        <is>
          <t>NO</t>
        </is>
      </c>
      <c r="E46" s="47" t="n"/>
      <c r="F46" s="33" t="n"/>
      <c r="G46" s="33" t="n">
        <v>0</v>
      </c>
      <c r="H46" s="33" t="n"/>
      <c r="I46" s="33" t="n"/>
      <c r="J46" s="33" t="inlineStr">
        <is>
          <t>BLOCKED</t>
        </is>
      </c>
      <c r="K46" s="33" t="inlineStr">
        <is>
          <t>BLOCKED</t>
        </is>
      </c>
      <c r="L46" s="33" t="inlineStr">
        <is>
          <t>Owner / Procurement</t>
        </is>
      </c>
      <c r="M46" s="33" t="inlineStr">
        <is>
          <t>Получить минимум 3 КП HoReCa с фасовкой, доставкой, MOQ и НДС</t>
        </is>
      </c>
    </row>
    <row r="47">
      <c r="A47" s="33" t="inlineStr">
        <is>
          <t>ING-042</t>
        </is>
      </c>
      <c r="B47" s="33" t="inlineStr">
        <is>
          <t>Семена или ореховая крошка</t>
        </is>
      </c>
      <c r="C47" s="33" t="n">
        <v>5</v>
      </c>
      <c r="D47" s="33" t="inlineStr">
        <is>
          <t>NO</t>
        </is>
      </c>
      <c r="E47" s="47" t="n"/>
      <c r="F47" s="33" t="n"/>
      <c r="G47" s="33" t="n">
        <v>0</v>
      </c>
      <c r="H47" s="33" t="n"/>
      <c r="I47" s="33" t="n"/>
      <c r="J47" s="33" t="inlineStr">
        <is>
          <t>BLOCKED</t>
        </is>
      </c>
      <c r="K47" s="33" t="inlineStr">
        <is>
          <t>BLOCKED</t>
        </is>
      </c>
      <c r="L47" s="33" t="inlineStr">
        <is>
          <t>Owner / Procurement</t>
        </is>
      </c>
      <c r="M47" s="33" t="inlineStr">
        <is>
          <t>Получить минимум 3 КП HoReCa с фасовкой, доставкой, MOQ и НДС</t>
        </is>
      </c>
    </row>
    <row r="48">
      <c r="A48" s="33" t="inlineStr">
        <is>
          <t>ING-043</t>
        </is>
      </c>
      <c r="B48" s="33" t="inlineStr">
        <is>
          <t>Перец сладкий</t>
        </is>
      </c>
      <c r="C48" s="33" t="n">
        <v>162</v>
      </c>
      <c r="D48" s="33" t="inlineStr">
        <is>
          <t>NO</t>
        </is>
      </c>
      <c r="E48" s="47" t="n">
        <v>305</v>
      </c>
      <c r="F48" s="33" t="inlineStr">
        <is>
          <t>median_public_observation</t>
        </is>
      </c>
      <c r="G48" s="33" t="n">
        <v>1</v>
      </c>
      <c r="H48" s="33" t="inlineStr">
        <is>
          <t>PSR-0073</t>
        </is>
      </c>
      <c r="I48" s="33" t="inlineStr">
        <is>
          <t>2026-08-03</t>
        </is>
      </c>
      <c r="J48" s="33" t="inlineStr">
        <is>
          <t>ESTIMATE</t>
        </is>
      </c>
      <c r="K48" s="33" t="inlineStr">
        <is>
          <t>LOW_CONFIDENCE</t>
        </is>
      </c>
      <c r="L48" s="33" t="inlineStr">
        <is>
          <t>Owner / Procurement</t>
        </is>
      </c>
      <c r="M48" s="33" t="inlineStr">
        <is>
          <t>Получить минимум 3 КП HoReCa с фасовкой, доставкой, MOQ и НДС</t>
        </is>
      </c>
    </row>
    <row r="49">
      <c r="A49" s="33" t="inlineStr">
        <is>
          <t>ING-044</t>
        </is>
      </c>
      <c r="B49" s="33" t="inlineStr">
        <is>
          <t>Сыр фета</t>
        </is>
      </c>
      <c r="C49" s="33" t="n">
        <v>50</v>
      </c>
      <c r="D49" s="33" t="inlineStr">
        <is>
          <t>NO</t>
        </is>
      </c>
      <c r="E49" s="47" t="n"/>
      <c r="F49" s="33" t="n"/>
      <c r="G49" s="33" t="n">
        <v>0</v>
      </c>
      <c r="H49" s="33" t="n"/>
      <c r="I49" s="33" t="n"/>
      <c r="J49" s="33" t="inlineStr">
        <is>
          <t>BLOCKED</t>
        </is>
      </c>
      <c r="K49" s="33" t="inlineStr">
        <is>
          <t>BLOCKED</t>
        </is>
      </c>
      <c r="L49" s="33" t="inlineStr">
        <is>
          <t>Owner / Procurement</t>
        </is>
      </c>
      <c r="M49" s="33" t="inlineStr">
        <is>
          <t>Получить минимум 3 КП HoReCa с фасовкой, доставкой, MOQ и НДС</t>
        </is>
      </c>
    </row>
    <row r="50">
      <c r="A50" s="33" t="inlineStr">
        <is>
          <t>ING-045</t>
        </is>
      </c>
      <c r="B50" s="33" t="inlineStr">
        <is>
          <t>Оливки</t>
        </is>
      </c>
      <c r="C50" s="33" t="n">
        <v>21</v>
      </c>
      <c r="D50" s="33" t="inlineStr">
        <is>
          <t>NO</t>
        </is>
      </c>
      <c r="E50" s="47" t="n"/>
      <c r="F50" s="33" t="n"/>
      <c r="G50" s="33" t="n">
        <v>0</v>
      </c>
      <c r="H50" s="33" t="n"/>
      <c r="I50" s="33" t="n"/>
      <c r="J50" s="33" t="inlineStr">
        <is>
          <t>BLOCKED</t>
        </is>
      </c>
      <c r="K50" s="33" t="inlineStr">
        <is>
          <t>BLOCKED</t>
        </is>
      </c>
      <c r="L50" s="33" t="inlineStr">
        <is>
          <t>Owner / Procurement</t>
        </is>
      </c>
      <c r="M50" s="33" t="inlineStr">
        <is>
          <t>Получить минимум 3 КП HoReCa с фасовкой, доставкой, MOQ и НДС</t>
        </is>
      </c>
    </row>
    <row r="51">
      <c r="A51" s="33" t="inlineStr">
        <is>
          <t>ING-046</t>
        </is>
      </c>
      <c r="B51" s="33" t="inlineStr">
        <is>
          <t>Лук красный</t>
        </is>
      </c>
      <c r="C51" s="33" t="n">
        <v>60</v>
      </c>
      <c r="D51" s="33" t="inlineStr">
        <is>
          <t>NO</t>
        </is>
      </c>
      <c r="E51" s="47" t="n">
        <v>130</v>
      </c>
      <c r="F51" s="33" t="inlineStr">
        <is>
          <t>median_public_observation</t>
        </is>
      </c>
      <c r="G51" s="33" t="n">
        <v>1</v>
      </c>
      <c r="H51" s="33" t="inlineStr">
        <is>
          <t>PSR-0077</t>
        </is>
      </c>
      <c r="I51" s="33" t="inlineStr">
        <is>
          <t>2026-08-03</t>
        </is>
      </c>
      <c r="J51" s="33" t="inlineStr">
        <is>
          <t>ESTIMATE</t>
        </is>
      </c>
      <c r="K51" s="33" t="inlineStr">
        <is>
          <t>LOW_CONFIDENCE</t>
        </is>
      </c>
      <c r="L51" s="33" t="inlineStr">
        <is>
          <t>Owner / Procurement</t>
        </is>
      </c>
      <c r="M51" s="33" t="inlineStr">
        <is>
          <t>Получить минимум 3 КП HoReCa с фасовкой, доставкой, MOQ и НДС</t>
        </is>
      </c>
    </row>
    <row r="52">
      <c r="A52" s="33" t="inlineStr">
        <is>
          <t>ING-047</t>
        </is>
      </c>
      <c r="B52" s="33" t="inlineStr">
        <is>
          <t>Орегано и соль</t>
        </is>
      </c>
      <c r="C52" s="33" t="n">
        <v>1</v>
      </c>
      <c r="D52" s="33" t="inlineStr">
        <is>
          <t>NO</t>
        </is>
      </c>
      <c r="E52" s="47" t="n"/>
      <c r="F52" s="33" t="n"/>
      <c r="G52" s="33" t="n">
        <v>0</v>
      </c>
      <c r="H52" s="33" t="n"/>
      <c r="I52" s="33" t="n"/>
      <c r="J52" s="33" t="inlineStr">
        <is>
          <t>BLOCKED</t>
        </is>
      </c>
      <c r="K52" s="33" t="inlineStr">
        <is>
          <t>BLOCKED</t>
        </is>
      </c>
      <c r="L52" s="33" t="inlineStr">
        <is>
          <t>Owner / Procurement</t>
        </is>
      </c>
      <c r="M52" s="33" t="inlineStr">
        <is>
          <t>Получить минимум 3 КП HoReCa с фасовкой, доставкой, MOQ и НДС</t>
        </is>
      </c>
    </row>
    <row r="53">
      <c r="A53" s="33" t="inlineStr">
        <is>
          <t>ING-048</t>
        </is>
      </c>
      <c r="B53" s="33" t="inlineStr">
        <is>
          <t>Свёкла отварная</t>
        </is>
      </c>
      <c r="C53" s="33" t="n">
        <v>95</v>
      </c>
      <c r="D53" s="33" t="inlineStr">
        <is>
          <t>NO</t>
        </is>
      </c>
      <c r="E53" s="47" t="n"/>
      <c r="F53" s="33" t="n"/>
      <c r="G53" s="33" t="n">
        <v>0</v>
      </c>
      <c r="H53" s="33" t="n"/>
      <c r="I53" s="33" t="n"/>
      <c r="J53" s="33" t="inlineStr">
        <is>
          <t>BLOCKED</t>
        </is>
      </c>
      <c r="K53" s="33" t="inlineStr">
        <is>
          <t>BLOCKED</t>
        </is>
      </c>
      <c r="L53" s="33" t="inlineStr">
        <is>
          <t>Owner / Procurement</t>
        </is>
      </c>
      <c r="M53" s="33" t="inlineStr">
        <is>
          <t>Получить минимум 3 КП HoReCa с фасовкой, доставкой, MOQ и НДС</t>
        </is>
      </c>
    </row>
    <row r="54">
      <c r="A54" s="33" t="inlineStr">
        <is>
          <t>ING-049</t>
        </is>
      </c>
      <c r="B54" s="33" t="inlineStr">
        <is>
          <t>Картофель отварной</t>
        </is>
      </c>
      <c r="C54" s="33" t="n">
        <v>65</v>
      </c>
      <c r="D54" s="33" t="inlineStr">
        <is>
          <t>NO</t>
        </is>
      </c>
      <c r="E54" s="47" t="n"/>
      <c r="F54" s="33" t="n"/>
      <c r="G54" s="33" t="n">
        <v>0</v>
      </c>
      <c r="H54" s="33" t="n"/>
      <c r="I54" s="33" t="n"/>
      <c r="J54" s="33" t="inlineStr">
        <is>
          <t>BLOCKED</t>
        </is>
      </c>
      <c r="K54" s="33" t="inlineStr">
        <is>
          <t>BLOCKED</t>
        </is>
      </c>
      <c r="L54" s="33" t="inlineStr">
        <is>
          <t>Owner / Procurement</t>
        </is>
      </c>
      <c r="M54" s="33" t="inlineStr">
        <is>
          <t>Получить минимум 3 КП HoReCa с фасовкой, доставкой, MOQ и НДС</t>
        </is>
      </c>
    </row>
    <row r="55">
      <c r="A55" s="33" t="inlineStr">
        <is>
          <t>ING-050</t>
        </is>
      </c>
      <c r="B55" s="33" t="inlineStr">
        <is>
          <t>Морковь отварная</t>
        </is>
      </c>
      <c r="C55" s="33" t="n">
        <v>38</v>
      </c>
      <c r="D55" s="33" t="inlineStr">
        <is>
          <t>NO</t>
        </is>
      </c>
      <c r="E55" s="47" t="n"/>
      <c r="F55" s="33" t="n"/>
      <c r="G55" s="33" t="n">
        <v>0</v>
      </c>
      <c r="H55" s="33" t="n"/>
      <c r="I55" s="33" t="n"/>
      <c r="J55" s="33" t="inlineStr">
        <is>
          <t>BLOCKED</t>
        </is>
      </c>
      <c r="K55" s="33" t="inlineStr">
        <is>
          <t>BLOCKED</t>
        </is>
      </c>
      <c r="L55" s="33" t="inlineStr">
        <is>
          <t>Owner / Procurement</t>
        </is>
      </c>
      <c r="M55" s="33" t="inlineStr">
        <is>
          <t>Получить минимум 3 КП HoReCa с фасовкой, доставкой, MOQ и НДС</t>
        </is>
      </c>
    </row>
    <row r="56">
      <c r="A56" s="33" t="inlineStr">
        <is>
          <t>ING-051</t>
        </is>
      </c>
      <c r="B56" s="33" t="inlineStr">
        <is>
          <t>Огурец солёный</t>
        </is>
      </c>
      <c r="C56" s="33" t="n">
        <v>57</v>
      </c>
      <c r="D56" s="33" t="inlineStr">
        <is>
          <t>NO</t>
        </is>
      </c>
      <c r="E56" s="47" t="n"/>
      <c r="F56" s="33" t="n"/>
      <c r="G56" s="33" t="n">
        <v>0</v>
      </c>
      <c r="H56" s="33" t="n"/>
      <c r="I56" s="33" t="n"/>
      <c r="J56" s="33" t="inlineStr">
        <is>
          <t>BLOCKED</t>
        </is>
      </c>
      <c r="K56" s="33" t="inlineStr">
        <is>
          <t>BLOCKED</t>
        </is>
      </c>
      <c r="L56" s="33" t="inlineStr">
        <is>
          <t>Owner / Procurement</t>
        </is>
      </c>
      <c r="M56" s="33" t="inlineStr">
        <is>
          <t>Получить минимум 3 КП HoReCa с фасовкой, доставкой, MOQ и НДС</t>
        </is>
      </c>
    </row>
    <row r="57">
      <c r="A57" s="33" t="inlineStr">
        <is>
          <t>ING-052</t>
        </is>
      </c>
      <c r="B57" s="33" t="inlineStr">
        <is>
          <t>Капуста квашеная</t>
        </is>
      </c>
      <c r="C57" s="33" t="n">
        <v>28</v>
      </c>
      <c r="D57" s="33" t="inlineStr">
        <is>
          <t>NO</t>
        </is>
      </c>
      <c r="E57" s="47" t="n"/>
      <c r="F57" s="33" t="n"/>
      <c r="G57" s="33" t="n">
        <v>0</v>
      </c>
      <c r="H57" s="33" t="n"/>
      <c r="I57" s="33" t="n"/>
      <c r="J57" s="33" t="inlineStr">
        <is>
          <t>BLOCKED</t>
        </is>
      </c>
      <c r="K57" s="33" t="inlineStr">
        <is>
          <t>BLOCKED</t>
        </is>
      </c>
      <c r="L57" s="33" t="inlineStr">
        <is>
          <t>Owner / Procurement</t>
        </is>
      </c>
      <c r="M57" s="33" t="inlineStr">
        <is>
          <t>Получить минимум 3 КП HoReCa с фасовкой, доставкой, MOQ и НДС</t>
        </is>
      </c>
    </row>
    <row r="58">
      <c r="A58" s="33" t="inlineStr">
        <is>
          <t>ING-053</t>
        </is>
      </c>
      <c r="B58" s="33" t="inlineStr">
        <is>
          <t>Горошек консервированный без заливки</t>
        </is>
      </c>
      <c r="C58" s="33" t="n">
        <v>16</v>
      </c>
      <c r="D58" s="33" t="inlineStr">
        <is>
          <t>NO</t>
        </is>
      </c>
      <c r="E58" s="47" t="n"/>
      <c r="F58" s="33" t="n"/>
      <c r="G58" s="33" t="n">
        <v>0</v>
      </c>
      <c r="H58" s="33" t="n"/>
      <c r="I58" s="33" t="n"/>
      <c r="J58" s="33" t="inlineStr">
        <is>
          <t>BLOCKED</t>
        </is>
      </c>
      <c r="K58" s="33" t="inlineStr">
        <is>
          <t>BLOCKED</t>
        </is>
      </c>
      <c r="L58" s="33" t="inlineStr">
        <is>
          <t>Owner / Procurement</t>
        </is>
      </c>
      <c r="M58" s="33" t="inlineStr">
        <is>
          <t>Получить минимум 3 КП HoReCa с фасовкой, доставкой, MOQ и НДС</t>
        </is>
      </c>
    </row>
    <row r="59">
      <c r="A59" s="33" t="inlineStr">
        <is>
          <t>ING-054</t>
        </is>
      </c>
      <c r="B59" s="33" t="inlineStr">
        <is>
          <t>Лосось слабосолёный, готовое филе</t>
        </is>
      </c>
      <c r="C59" s="33" t="n">
        <v>110</v>
      </c>
      <c r="D59" s="33" t="inlineStr">
        <is>
          <t>YES</t>
        </is>
      </c>
      <c r="E59" s="47" t="n">
        <v>3999.966667</v>
      </c>
      <c r="F59" s="33" t="inlineStr">
        <is>
          <t>median_public_observation</t>
        </is>
      </c>
      <c r="G59" s="33" t="n">
        <v>3</v>
      </c>
      <c r="H59" s="33" t="inlineStr">
        <is>
          <t>PSR-0038;PSR-0040;PSR-0041</t>
        </is>
      </c>
      <c r="I59" s="33" t="inlineStr">
        <is>
          <t>2026-08-03</t>
        </is>
      </c>
      <c r="J59" s="33" t="inlineStr">
        <is>
          <t>ESTIMATE</t>
        </is>
      </c>
      <c r="K59" s="33" t="inlineStr">
        <is>
          <t>MEDIUM</t>
        </is>
      </c>
      <c r="L59" s="33" t="inlineStr">
        <is>
          <t>Owner / Procurement</t>
        </is>
      </c>
      <c r="M59" s="33" t="inlineStr">
        <is>
          <t>Сверить с КП и выбрать поставщика</t>
        </is>
      </c>
    </row>
    <row r="60">
      <c r="A60" s="33" t="inlineStr">
        <is>
          <t>ING-055</t>
        </is>
      </c>
      <c r="B60" s="33" t="inlineStr">
        <is>
          <t>Лимон</t>
        </is>
      </c>
      <c r="C60" s="33" t="n">
        <v>13</v>
      </c>
      <c r="D60" s="33" t="inlineStr">
        <is>
          <t>NO</t>
        </is>
      </c>
      <c r="E60" s="47" t="n">
        <v>160</v>
      </c>
      <c r="F60" s="33" t="inlineStr">
        <is>
          <t>median_public_observation</t>
        </is>
      </c>
      <c r="G60" s="33" t="n">
        <v>1</v>
      </c>
      <c r="H60" s="33" t="inlineStr">
        <is>
          <t>PSR-0081</t>
        </is>
      </c>
      <c r="I60" s="33" t="inlineStr">
        <is>
          <t>2026-08-03</t>
        </is>
      </c>
      <c r="J60" s="33" t="inlineStr">
        <is>
          <t>ESTIMATE</t>
        </is>
      </c>
      <c r="K60" s="33" t="inlineStr">
        <is>
          <t>LOW_CONFIDENCE</t>
        </is>
      </c>
      <c r="L60" s="33" t="inlineStr">
        <is>
          <t>Owner / Procurement</t>
        </is>
      </c>
      <c r="M60" s="33" t="inlineStr">
        <is>
          <t>Получить минимум 3 КП HoReCa с фасовкой, доставкой, MOQ и НДС</t>
        </is>
      </c>
    </row>
    <row r="61">
      <c r="A61" s="33" t="inlineStr">
        <is>
          <t>ING-056</t>
        </is>
      </c>
      <c r="B61" s="33" t="inlineStr">
        <is>
          <t>Каперсы</t>
        </is>
      </c>
      <c r="C61" s="33" t="n">
        <v>6</v>
      </c>
      <c r="D61" s="33" t="inlineStr">
        <is>
          <t>NO</t>
        </is>
      </c>
      <c r="E61" s="47" t="n"/>
      <c r="F61" s="33" t="n"/>
      <c r="G61" s="33" t="n">
        <v>0</v>
      </c>
      <c r="H61" s="33" t="n"/>
      <c r="I61" s="33" t="n"/>
      <c r="J61" s="33" t="inlineStr">
        <is>
          <t>BLOCKED</t>
        </is>
      </c>
      <c r="K61" s="33" t="inlineStr">
        <is>
          <t>BLOCKED</t>
        </is>
      </c>
      <c r="L61" s="33" t="inlineStr">
        <is>
          <t>Owner / Procurement</t>
        </is>
      </c>
      <c r="M61" s="33" t="inlineStr">
        <is>
          <t>Получить минимум 3 КП HoReCa с фасовкой, доставкой, MOQ и НДС</t>
        </is>
      </c>
    </row>
    <row r="62">
      <c r="A62" s="33" t="inlineStr">
        <is>
          <t>ING-057</t>
        </is>
      </c>
      <c r="B62" s="33" t="inlineStr">
        <is>
          <t>Сельдь, филе</t>
        </is>
      </c>
      <c r="C62" s="33" t="n">
        <v>110</v>
      </c>
      <c r="D62" s="33" t="inlineStr">
        <is>
          <t>NO</t>
        </is>
      </c>
      <c r="E62" s="47" t="n">
        <v>519.96</v>
      </c>
      <c r="F62" s="33" t="inlineStr">
        <is>
          <t>median_public_observation</t>
        </is>
      </c>
      <c r="G62" s="33" t="n">
        <v>1</v>
      </c>
      <c r="H62" s="33" t="inlineStr">
        <is>
          <t>PSR-0076</t>
        </is>
      </c>
      <c r="I62" s="33" t="inlineStr">
        <is>
          <t>2026-08-03</t>
        </is>
      </c>
      <c r="J62" s="33" t="inlineStr">
        <is>
          <t>ESTIMATE</t>
        </is>
      </c>
      <c r="K62" s="33" t="inlineStr">
        <is>
          <t>LOW_CONFIDENCE</t>
        </is>
      </c>
      <c r="L62" s="33" t="inlineStr">
        <is>
          <t>Owner / Procurement</t>
        </is>
      </c>
      <c r="M62" s="33" t="inlineStr">
        <is>
          <t>Получить минимум 3 КП HoReCa с фасовкой, доставкой, MOQ и НДС</t>
        </is>
      </c>
    </row>
    <row r="63">
      <c r="A63" s="33" t="inlineStr">
        <is>
          <t>ING-058</t>
        </is>
      </c>
      <c r="B63" s="33" t="inlineStr">
        <is>
          <t>Картофель запечённый</t>
        </is>
      </c>
      <c r="C63" s="33" t="n">
        <v>135</v>
      </c>
      <c r="D63" s="33" t="inlineStr">
        <is>
          <t>NO</t>
        </is>
      </c>
      <c r="E63" s="47" t="n"/>
      <c r="F63" s="33" t="n"/>
      <c r="G63" s="33" t="n">
        <v>0</v>
      </c>
      <c r="H63" s="33" t="n"/>
      <c r="I63" s="33" t="n"/>
      <c r="J63" s="33" t="inlineStr">
        <is>
          <t>BLOCKED</t>
        </is>
      </c>
      <c r="K63" s="33" t="inlineStr">
        <is>
          <t>BLOCKED</t>
        </is>
      </c>
      <c r="L63" s="33" t="inlineStr">
        <is>
          <t>Owner / Procurement</t>
        </is>
      </c>
      <c r="M63" s="33" t="inlineStr">
        <is>
          <t>Получить минимум 3 КП HoReCa с фасовкой, доставкой, MOQ и НДС</t>
        </is>
      </c>
    </row>
    <row r="64">
      <c r="A64" s="33" t="inlineStr">
        <is>
          <t>ING-059</t>
        </is>
      </c>
      <c r="B64" s="33" t="inlineStr">
        <is>
          <t>Зелень</t>
        </is>
      </c>
      <c r="C64" s="33" t="n">
        <v>26.5</v>
      </c>
      <c r="D64" s="33" t="inlineStr">
        <is>
          <t>NO</t>
        </is>
      </c>
      <c r="E64" s="47" t="n"/>
      <c r="F64" s="33" t="n"/>
      <c r="G64" s="33" t="n">
        <v>0</v>
      </c>
      <c r="H64" s="33" t="n"/>
      <c r="I64" s="33" t="n"/>
      <c r="J64" s="33" t="inlineStr">
        <is>
          <t>BLOCKED</t>
        </is>
      </c>
      <c r="K64" s="33" t="inlineStr">
        <is>
          <t>BLOCKED</t>
        </is>
      </c>
      <c r="L64" s="33" t="inlineStr">
        <is>
          <t>Owner / Procurement</t>
        </is>
      </c>
      <c r="M64" s="33" t="inlineStr">
        <is>
          <t>Получить минимум 3 КП HoReCa с фасовкой, доставкой, MOQ и НДС</t>
        </is>
      </c>
    </row>
    <row r="65">
      <c r="A65" s="33" t="inlineStr">
        <is>
          <t>ING-060</t>
        </is>
      </c>
      <c r="B65" s="33" t="inlineStr">
        <is>
          <t>Оливки зелёные без заливки</t>
        </is>
      </c>
      <c r="C65" s="33" t="n">
        <v>65</v>
      </c>
      <c r="D65" s="33" t="inlineStr">
        <is>
          <t>NO</t>
        </is>
      </c>
      <c r="E65" s="47" t="n"/>
      <c r="F65" s="33" t="n"/>
      <c r="G65" s="33" t="n">
        <v>0</v>
      </c>
      <c r="H65" s="33" t="n"/>
      <c r="I65" s="33" t="n"/>
      <c r="J65" s="33" t="inlineStr">
        <is>
          <t>BLOCKED</t>
        </is>
      </c>
      <c r="K65" s="33" t="inlineStr">
        <is>
          <t>BLOCKED</t>
        </is>
      </c>
      <c r="L65" s="33" t="inlineStr">
        <is>
          <t>Owner / Procurement</t>
        </is>
      </c>
      <c r="M65" s="33" t="inlineStr">
        <is>
          <t>Получить минимум 3 КП HoReCa с фасовкой, доставкой, MOQ и НДС</t>
        </is>
      </c>
    </row>
    <row r="66">
      <c r="A66" s="33" t="inlineStr">
        <is>
          <t>ING-061</t>
        </is>
      </c>
      <c r="B66" s="33" t="inlineStr">
        <is>
          <t>Маслины без заливки</t>
        </is>
      </c>
      <c r="C66" s="33" t="n">
        <v>65</v>
      </c>
      <c r="D66" s="33" t="inlineStr">
        <is>
          <t>NO</t>
        </is>
      </c>
      <c r="E66" s="47" t="n"/>
      <c r="F66" s="33" t="n"/>
      <c r="G66" s="33" t="n">
        <v>0</v>
      </c>
      <c r="H66" s="33" t="n"/>
      <c r="I66" s="33" t="n"/>
      <c r="J66" s="33" t="inlineStr">
        <is>
          <t>BLOCKED</t>
        </is>
      </c>
      <c r="K66" s="33" t="inlineStr">
        <is>
          <t>BLOCKED</t>
        </is>
      </c>
      <c r="L66" s="33" t="inlineStr">
        <is>
          <t>Owner / Procurement</t>
        </is>
      </c>
      <c r="M66" s="33" t="inlineStr">
        <is>
          <t>Получить минимум 3 КП HoReCa с фасовкой, доставкой, MOQ и НДС</t>
        </is>
      </c>
    </row>
    <row r="67">
      <c r="A67" s="33" t="inlineStr">
        <is>
          <t>ING-062</t>
        </is>
      </c>
      <c r="B67" s="33" t="inlineStr">
        <is>
          <t>Цедра цитрусовая</t>
        </is>
      </c>
      <c r="C67" s="33" t="n">
        <v>5</v>
      </c>
      <c r="D67" s="33" t="inlineStr">
        <is>
          <t>NO</t>
        </is>
      </c>
      <c r="E67" s="47" t="n"/>
      <c r="F67" s="33" t="n"/>
      <c r="G67" s="33" t="n">
        <v>0</v>
      </c>
      <c r="H67" s="33" t="n"/>
      <c r="I67" s="33" t="n"/>
      <c r="J67" s="33" t="inlineStr">
        <is>
          <t>BLOCKED</t>
        </is>
      </c>
      <c r="K67" s="33" t="inlineStr">
        <is>
          <t>BLOCKED</t>
        </is>
      </c>
      <c r="L67" s="33" t="inlineStr">
        <is>
          <t>Owner / Procurement</t>
        </is>
      </c>
      <c r="M67" s="33" t="inlineStr">
        <is>
          <t>Получить минимум 3 КП HoReCa с фасовкой, доставкой, MOQ и НДС</t>
        </is>
      </c>
    </row>
    <row r="68">
      <c r="A68" s="33" t="inlineStr">
        <is>
          <t>ING-063</t>
        </is>
      </c>
      <c r="B68" s="33" t="inlineStr">
        <is>
          <t>Пряные травы</t>
        </is>
      </c>
      <c r="C68" s="33" t="n">
        <v>16</v>
      </c>
      <c r="D68" s="33" t="inlineStr">
        <is>
          <t>NO</t>
        </is>
      </c>
      <c r="E68" s="47" t="n"/>
      <c r="F68" s="33" t="n"/>
      <c r="G68" s="33" t="n">
        <v>0</v>
      </c>
      <c r="H68" s="33" t="n"/>
      <c r="I68" s="33" t="n"/>
      <c r="J68" s="33" t="inlineStr">
        <is>
          <t>BLOCKED</t>
        </is>
      </c>
      <c r="K68" s="33" t="inlineStr">
        <is>
          <t>BLOCKED</t>
        </is>
      </c>
      <c r="L68" s="33" t="inlineStr">
        <is>
          <t>Owner / Procurement</t>
        </is>
      </c>
      <c r="M68" s="33" t="inlineStr">
        <is>
          <t>Получить минимум 3 КП HoReCa с фасовкой, доставкой, MOQ и НДС</t>
        </is>
      </c>
    </row>
    <row r="69">
      <c r="A69" s="33" t="inlineStr">
        <is>
          <t>ING-064</t>
        </is>
      </c>
      <c r="B69" s="33" t="inlineStr">
        <is>
          <t>Капуста белокочанная</t>
        </is>
      </c>
      <c r="C69" s="33" t="n">
        <v>102</v>
      </c>
      <c r="D69" s="33" t="inlineStr">
        <is>
          <t>NO</t>
        </is>
      </c>
      <c r="E69" s="47" t="n">
        <v>49.99</v>
      </c>
      <c r="F69" s="33" t="inlineStr">
        <is>
          <t>median_public_observation</t>
        </is>
      </c>
      <c r="G69" s="33" t="n">
        <v>1</v>
      </c>
      <c r="H69" s="33" t="inlineStr">
        <is>
          <t>PSR-0078</t>
        </is>
      </c>
      <c r="I69" s="33" t="inlineStr">
        <is>
          <t>2026-08-03</t>
        </is>
      </c>
      <c r="J69" s="33" t="inlineStr">
        <is>
          <t>ESTIMATE</t>
        </is>
      </c>
      <c r="K69" s="33" t="inlineStr">
        <is>
          <t>LOW_CONFIDENCE</t>
        </is>
      </c>
      <c r="L69" s="33" t="inlineStr">
        <is>
          <t>Owner / Procurement</t>
        </is>
      </c>
      <c r="M69" s="33" t="inlineStr">
        <is>
          <t>Получить минимум 3 КП HoReCa с фасовкой, доставкой, MOQ и НДС</t>
        </is>
      </c>
    </row>
    <row r="70">
      <c r="A70" s="33" t="inlineStr">
        <is>
          <t>ING-065</t>
        </is>
      </c>
      <c r="B70" s="33" t="inlineStr">
        <is>
          <t>Уксус пищевой</t>
        </is>
      </c>
      <c r="C70" s="33" t="n">
        <v>5</v>
      </c>
      <c r="D70" s="33" t="inlineStr">
        <is>
          <t>NO</t>
        </is>
      </c>
      <c r="E70" s="47" t="n"/>
      <c r="F70" s="33" t="n"/>
      <c r="G70" s="33" t="n">
        <v>0</v>
      </c>
      <c r="H70" s="33" t="n"/>
      <c r="I70" s="33" t="n"/>
      <c r="J70" s="33" t="inlineStr">
        <is>
          <t>BLOCKED</t>
        </is>
      </c>
      <c r="K70" s="33" t="inlineStr">
        <is>
          <t>BLOCKED</t>
        </is>
      </c>
      <c r="L70" s="33" t="inlineStr">
        <is>
          <t>Owner / Procurement</t>
        </is>
      </c>
      <c r="M70" s="33" t="inlineStr">
        <is>
          <t>Получить минимум 3 КП HoReCa с фасовкой, доставкой, MOQ и НДС</t>
        </is>
      </c>
    </row>
    <row r="71">
      <c r="A71" s="33" t="inlineStr">
        <is>
          <t>ING-066</t>
        </is>
      </c>
      <c r="B71" s="33" t="inlineStr">
        <is>
          <t>Ростбиф охлаждённый готовый</t>
        </is>
      </c>
      <c r="C71" s="33" t="n">
        <v>115</v>
      </c>
      <c r="D71" s="33" t="inlineStr">
        <is>
          <t>NO</t>
        </is>
      </c>
      <c r="E71" s="47" t="n"/>
      <c r="F71" s="33" t="n"/>
      <c r="G71" s="33" t="n">
        <v>0</v>
      </c>
      <c r="H71" s="33" t="n"/>
      <c r="I71" s="33" t="n"/>
      <c r="J71" s="33" t="inlineStr">
        <is>
          <t>BLOCKED</t>
        </is>
      </c>
      <c r="K71" s="33" t="inlineStr">
        <is>
          <t>BLOCKED</t>
        </is>
      </c>
      <c r="L71" s="33" t="inlineStr">
        <is>
          <t>Owner / Procurement</t>
        </is>
      </c>
      <c r="M71" s="33" t="inlineStr">
        <is>
          <t>Получить минимум 3 КП HoReCa с фасовкой, доставкой, MOQ и НДС</t>
        </is>
      </c>
    </row>
    <row r="72">
      <c r="A72" s="33" t="inlineStr">
        <is>
          <t>ING-067</t>
        </is>
      </c>
      <c r="B72" s="33" t="inlineStr">
        <is>
          <t>Хлеб для гренки</t>
        </is>
      </c>
      <c r="C72" s="33" t="n">
        <v>34</v>
      </c>
      <c r="D72" s="33" t="inlineStr">
        <is>
          <t>NO</t>
        </is>
      </c>
      <c r="E72" s="47" t="n"/>
      <c r="F72" s="33" t="n"/>
      <c r="G72" s="33" t="n">
        <v>0</v>
      </c>
      <c r="H72" s="33" t="n"/>
      <c r="I72" s="33" t="n"/>
      <c r="J72" s="33" t="inlineStr">
        <is>
          <t>BLOCKED</t>
        </is>
      </c>
      <c r="K72" s="33" t="inlineStr">
        <is>
          <t>BLOCKED</t>
        </is>
      </c>
      <c r="L72" s="33" t="inlineStr">
        <is>
          <t>Owner / Procurement</t>
        </is>
      </c>
      <c r="M72" s="33" t="inlineStr">
        <is>
          <t>Получить минимум 3 КП HoReCa с фасовкой, доставкой, MOQ и НДС</t>
        </is>
      </c>
    </row>
    <row r="73">
      <c r="A73" s="33" t="inlineStr">
        <is>
          <t>ING-068</t>
        </is>
      </c>
      <c r="B73" s="33" t="inlineStr">
        <is>
          <t>Майонез или эмульсионный соус</t>
        </is>
      </c>
      <c r="C73" s="33" t="n">
        <v>7</v>
      </c>
      <c r="D73" s="33" t="inlineStr">
        <is>
          <t>NO</t>
        </is>
      </c>
      <c r="E73" s="47" t="n"/>
      <c r="F73" s="33" t="n"/>
      <c r="G73" s="33" t="n">
        <v>0</v>
      </c>
      <c r="H73" s="33" t="n"/>
      <c r="I73" s="33" t="n"/>
      <c r="J73" s="33" t="inlineStr">
        <is>
          <t>BLOCKED</t>
        </is>
      </c>
      <c r="K73" s="33" t="inlineStr">
        <is>
          <t>BLOCKED</t>
        </is>
      </c>
      <c r="L73" s="33" t="inlineStr">
        <is>
          <t>Owner / Procurement</t>
        </is>
      </c>
      <c r="M73" s="33" t="inlineStr">
        <is>
          <t>Получить минимум 3 КП HoReCa с фасовкой, доставкой, MOQ и НДС</t>
        </is>
      </c>
    </row>
    <row r="74">
      <c r="A74" s="33" t="inlineStr">
        <is>
          <t>ING-069</t>
        </is>
      </c>
      <c r="B74" s="33" t="inlineStr">
        <is>
          <t>Сок мясной или бульон</t>
        </is>
      </c>
      <c r="C74" s="33" t="n">
        <v>3</v>
      </c>
      <c r="D74" s="33" t="inlineStr">
        <is>
          <t>NO</t>
        </is>
      </c>
      <c r="E74" s="47" t="n"/>
      <c r="F74" s="33" t="n"/>
      <c r="G74" s="33" t="n">
        <v>0</v>
      </c>
      <c r="H74" s="33" t="n"/>
      <c r="I74" s="33" t="n"/>
      <c r="J74" s="33" t="inlineStr">
        <is>
          <t>BLOCKED</t>
        </is>
      </c>
      <c r="K74" s="33" t="inlineStr">
        <is>
          <t>BLOCKED</t>
        </is>
      </c>
      <c r="L74" s="33" t="inlineStr">
        <is>
          <t>Owner / Procurement</t>
        </is>
      </c>
      <c r="M74" s="33" t="inlineStr">
        <is>
          <t>Получить минимум 3 КП HoReCa с фасовкой, доставкой, MOQ и НДС</t>
        </is>
      </c>
    </row>
    <row r="75">
      <c r="A75" s="33" t="inlineStr">
        <is>
          <t>ING-070</t>
        </is>
      </c>
      <c r="B75" s="33" t="inlineStr">
        <is>
          <t>Бульон мясной</t>
        </is>
      </c>
      <c r="C75" s="33" t="n">
        <v>160</v>
      </c>
      <c r="D75" s="33" t="inlineStr">
        <is>
          <t>NO</t>
        </is>
      </c>
      <c r="E75" s="47" t="n"/>
      <c r="F75" s="33" t="n"/>
      <c r="G75" s="33" t="n">
        <v>0</v>
      </c>
      <c r="H75" s="33" t="n"/>
      <c r="I75" s="33" t="n"/>
      <c r="J75" s="33" t="inlineStr">
        <is>
          <t>BLOCKED</t>
        </is>
      </c>
      <c r="K75" s="33" t="inlineStr">
        <is>
          <t>BLOCKED</t>
        </is>
      </c>
      <c r="L75" s="33" t="inlineStr">
        <is>
          <t>Owner / Procurement</t>
        </is>
      </c>
      <c r="M75" s="33" t="inlineStr">
        <is>
          <t>Получить минимум 3 КП HoReCa с фасовкой, доставкой, MOQ и НДС</t>
        </is>
      </c>
    </row>
    <row r="76">
      <c r="A76" s="33" t="inlineStr">
        <is>
          <t>ING-071</t>
        </is>
      </c>
      <c r="B76" s="33" t="inlineStr">
        <is>
          <t>Свёкла</t>
        </is>
      </c>
      <c r="C76" s="33" t="n">
        <v>78</v>
      </c>
      <c r="D76" s="33" t="inlineStr">
        <is>
          <t>NO</t>
        </is>
      </c>
      <c r="E76" s="47" t="n">
        <v>39</v>
      </c>
      <c r="F76" s="33" t="inlineStr">
        <is>
          <t>median_public_observation</t>
        </is>
      </c>
      <c r="G76" s="33" t="n">
        <v>1</v>
      </c>
      <c r="H76" s="33" t="inlineStr">
        <is>
          <t>PSR-0079</t>
        </is>
      </c>
      <c r="I76" s="33" t="inlineStr">
        <is>
          <t>2026-08-03</t>
        </is>
      </c>
      <c r="J76" s="33" t="inlineStr">
        <is>
          <t>ESTIMATE</t>
        </is>
      </c>
      <c r="K76" s="33" t="inlineStr">
        <is>
          <t>LOW_CONFIDENCE</t>
        </is>
      </c>
      <c r="L76" s="33" t="inlineStr">
        <is>
          <t>Owner / Procurement</t>
        </is>
      </c>
      <c r="M76" s="33" t="inlineStr">
        <is>
          <t>Получить минимум 3 КП HoReCa с фасовкой, доставкой, MOQ и НДС</t>
        </is>
      </c>
    </row>
    <row r="77">
      <c r="A77" s="33" t="inlineStr">
        <is>
          <t>ING-072</t>
        </is>
      </c>
      <c r="B77" s="33" t="inlineStr">
        <is>
          <t>Картофель</t>
        </is>
      </c>
      <c r="C77" s="33" t="n">
        <v>222</v>
      </c>
      <c r="D77" s="33" t="inlineStr">
        <is>
          <t>NO</t>
        </is>
      </c>
      <c r="E77" s="47" t="n">
        <v>99.98999999999999</v>
      </c>
      <c r="F77" s="33" t="inlineStr">
        <is>
          <t>median_public_observation</t>
        </is>
      </c>
      <c r="G77" s="33" t="n">
        <v>1</v>
      </c>
      <c r="H77" s="33" t="inlineStr">
        <is>
          <t>PSR-0090</t>
        </is>
      </c>
      <c r="I77" s="33" t="inlineStr">
        <is>
          <t>2026-08-03</t>
        </is>
      </c>
      <c r="J77" s="33" t="inlineStr">
        <is>
          <t>ESTIMATE</t>
        </is>
      </c>
      <c r="K77" s="33" t="inlineStr">
        <is>
          <t>LOW_CONFIDENCE</t>
        </is>
      </c>
      <c r="L77" s="33" t="inlineStr">
        <is>
          <t>Owner / Procurement</t>
        </is>
      </c>
      <c r="M77" s="33" t="inlineStr">
        <is>
          <t>Получить минимум 3 КП HoReCa с фасовкой, доставкой, MOQ и НДС</t>
        </is>
      </c>
    </row>
    <row r="78">
      <c r="A78" s="33" t="inlineStr">
        <is>
          <t>ING-073</t>
        </is>
      </c>
      <c r="B78" s="33" t="inlineStr">
        <is>
          <t>Говядина отварная</t>
        </is>
      </c>
      <c r="C78" s="33" t="n">
        <v>65</v>
      </c>
      <c r="D78" s="33" t="inlineStr">
        <is>
          <t>NO</t>
        </is>
      </c>
      <c r="E78" s="47" t="n"/>
      <c r="F78" s="33" t="n"/>
      <c r="G78" s="33" t="n">
        <v>0</v>
      </c>
      <c r="H78" s="33" t="n"/>
      <c r="I78" s="33" t="n"/>
      <c r="J78" s="33" t="inlineStr">
        <is>
          <t>BLOCKED</t>
        </is>
      </c>
      <c r="K78" s="33" t="inlineStr">
        <is>
          <t>BLOCKED</t>
        </is>
      </c>
      <c r="L78" s="33" t="inlineStr">
        <is>
          <t>Owner / Procurement</t>
        </is>
      </c>
      <c r="M78" s="33" t="inlineStr">
        <is>
          <t>Получить минимум 3 КП HoReCa с фасовкой, доставкой, MOQ и НДС</t>
        </is>
      </c>
    </row>
    <row r="79">
      <c r="A79" s="33" t="inlineStr">
        <is>
          <t>ING-074</t>
        </is>
      </c>
      <c r="B79" s="33" t="inlineStr">
        <is>
          <t>Морковь</t>
        </is>
      </c>
      <c r="C79" s="33" t="n">
        <v>19</v>
      </c>
      <c r="D79" s="33" t="inlineStr">
        <is>
          <t>NO</t>
        </is>
      </c>
      <c r="E79" s="47" t="n">
        <v>52.495</v>
      </c>
      <c r="F79" s="33" t="inlineStr">
        <is>
          <t>median_public_observation</t>
        </is>
      </c>
      <c r="G79" s="33" t="n">
        <v>2</v>
      </c>
      <c r="H79" s="33" t="inlineStr">
        <is>
          <t>PSR-0044;PSR-0080</t>
        </is>
      </c>
      <c r="I79" s="33" t="inlineStr">
        <is>
          <t>2026-08-03</t>
        </is>
      </c>
      <c r="J79" s="33" t="inlineStr">
        <is>
          <t>ESTIMATE</t>
        </is>
      </c>
      <c r="K79" s="33" t="inlineStr">
        <is>
          <t>LOW_CONFIDENCE</t>
        </is>
      </c>
      <c r="L79" s="33" t="inlineStr">
        <is>
          <t>Owner / Procurement</t>
        </is>
      </c>
      <c r="M79" s="33" t="inlineStr">
        <is>
          <t>Получить минимум 3 КП HoReCa с фасовкой, доставкой, MOQ и НДС</t>
        </is>
      </c>
    </row>
    <row r="80">
      <c r="A80" s="33" t="inlineStr">
        <is>
          <t>ING-075</t>
        </is>
      </c>
      <c r="B80" s="33" t="inlineStr">
        <is>
          <t>Сметана</t>
        </is>
      </c>
      <c r="C80" s="33" t="n">
        <v>15</v>
      </c>
      <c r="D80" s="33" t="inlineStr">
        <is>
          <t>NO</t>
        </is>
      </c>
      <c r="E80" s="47" t="n"/>
      <c r="F80" s="33" t="n"/>
      <c r="G80" s="33" t="n">
        <v>0</v>
      </c>
      <c r="H80" s="33" t="n"/>
      <c r="I80" s="33" t="n"/>
      <c r="J80" s="33" t="inlineStr">
        <is>
          <t>BLOCKED</t>
        </is>
      </c>
      <c r="K80" s="33" t="inlineStr">
        <is>
          <t>BLOCKED</t>
        </is>
      </c>
      <c r="L80" s="33" t="inlineStr">
        <is>
          <t>Owner / Procurement</t>
        </is>
      </c>
      <c r="M80" s="33" t="inlineStr">
        <is>
          <t>Получить минимум 3 КП HoReCa с фасовкой, доставкой, MOQ и НДС</t>
        </is>
      </c>
    </row>
    <row r="81">
      <c r="A81" s="33" t="inlineStr">
        <is>
          <t>ING-076</t>
        </is>
      </c>
      <c r="B81" s="33" t="inlineStr">
        <is>
          <t>Треска, филе порционное</t>
        </is>
      </c>
      <c r="C81" s="33" t="n">
        <v>210</v>
      </c>
      <c r="D81" s="33" t="inlineStr">
        <is>
          <t>YES</t>
        </is>
      </c>
      <c r="E81" s="47" t="n">
        <v>1144.99</v>
      </c>
      <c r="F81" s="33" t="inlineStr">
        <is>
          <t>median_public_observation</t>
        </is>
      </c>
      <c r="G81" s="33" t="n">
        <v>4</v>
      </c>
      <c r="H81" s="33" t="inlineStr">
        <is>
          <t>PSR-0046;PSR-0047;PSR-0048;PSR-0049</t>
        </is>
      </c>
      <c r="I81" s="33" t="inlineStr">
        <is>
          <t>2026-08-03</t>
        </is>
      </c>
      <c r="J81" s="33" t="inlineStr">
        <is>
          <t>ESTIMATE</t>
        </is>
      </c>
      <c r="K81" s="33" t="inlineStr">
        <is>
          <t>MEDIUM</t>
        </is>
      </c>
      <c r="L81" s="33" t="inlineStr">
        <is>
          <t>Owner / Procurement</t>
        </is>
      </c>
      <c r="M81" s="33" t="inlineStr">
        <is>
          <t>Сверить с КП и выбрать поставщика</t>
        </is>
      </c>
    </row>
    <row r="82">
      <c r="A82" s="33" t="inlineStr">
        <is>
          <t>ING-077</t>
        </is>
      </c>
      <c r="B82" s="33" t="inlineStr">
        <is>
          <t>Сливки</t>
        </is>
      </c>
      <c r="C82" s="33" t="n">
        <v>343</v>
      </c>
      <c r="D82" s="33" t="inlineStr">
        <is>
          <t>YES</t>
        </is>
      </c>
      <c r="E82" s="47" t="n">
        <v>899.98</v>
      </c>
      <c r="F82" s="33" t="inlineStr">
        <is>
          <t>median_public_observation</t>
        </is>
      </c>
      <c r="G82" s="33" t="n">
        <v>3</v>
      </c>
      <c r="H82" s="33" t="inlineStr">
        <is>
          <t>PSR-0050;PSR-0051;PSR-0052</t>
        </is>
      </c>
      <c r="I82" s="33" t="inlineStr">
        <is>
          <t>2026-08-03</t>
        </is>
      </c>
      <c r="J82" s="33" t="inlineStr">
        <is>
          <t>ESTIMATE</t>
        </is>
      </c>
      <c r="K82" s="33" t="inlineStr">
        <is>
          <t>MEDIUM</t>
        </is>
      </c>
      <c r="L82" s="33" t="inlineStr">
        <is>
          <t>Owner / Procurement</t>
        </is>
      </c>
      <c r="M82" s="33" t="inlineStr">
        <is>
          <t>Сверить с КП и выбрать поставщика</t>
        </is>
      </c>
    </row>
    <row r="83">
      <c r="A83" s="33" t="inlineStr">
        <is>
          <t>ING-078</t>
        </is>
      </c>
      <c r="B83" s="33" t="inlineStr">
        <is>
          <t>Бульон рыбный или овощной</t>
        </is>
      </c>
      <c r="C83" s="33" t="n">
        <v>12</v>
      </c>
      <c r="D83" s="33" t="inlineStr">
        <is>
          <t>NO</t>
        </is>
      </c>
      <c r="E83" s="47" t="n"/>
      <c r="F83" s="33" t="n"/>
      <c r="G83" s="33" t="n">
        <v>0</v>
      </c>
      <c r="H83" s="33" t="n"/>
      <c r="I83" s="33" t="n"/>
      <c r="J83" s="33" t="inlineStr">
        <is>
          <t>BLOCKED</t>
        </is>
      </c>
      <c r="K83" s="33" t="inlineStr">
        <is>
          <t>BLOCKED</t>
        </is>
      </c>
      <c r="L83" s="33" t="inlineStr">
        <is>
          <t>Owner / Procurement</t>
        </is>
      </c>
      <c r="M83" s="33" t="inlineStr">
        <is>
          <t>Получить минимум 3 КП HoReCa с фасовкой, доставкой, MOQ и НДС</t>
        </is>
      </c>
    </row>
    <row r="84">
      <c r="A84" s="33" t="inlineStr">
        <is>
          <t>ING-079</t>
        </is>
      </c>
      <c r="B84" s="33" t="inlineStr">
        <is>
          <t>Шпинат</t>
        </is>
      </c>
      <c r="C84" s="33" t="n">
        <v>30</v>
      </c>
      <c r="D84" s="33" t="inlineStr">
        <is>
          <t>NO</t>
        </is>
      </c>
      <c r="E84" s="47" t="n"/>
      <c r="F84" s="33" t="n"/>
      <c r="G84" s="33" t="n">
        <v>0</v>
      </c>
      <c r="H84" s="33" t="n"/>
      <c r="I84" s="33" t="n"/>
      <c r="J84" s="33" t="inlineStr">
        <is>
          <t>BLOCKED</t>
        </is>
      </c>
      <c r="K84" s="33" t="inlineStr">
        <is>
          <t>BLOCKED</t>
        </is>
      </c>
      <c r="L84" s="33" t="inlineStr">
        <is>
          <t>Owner / Procurement</t>
        </is>
      </c>
      <c r="M84" s="33" t="inlineStr">
        <is>
          <t>Получить минимум 3 КП HoReCa с фасовкой, доставкой, MOQ и НДС</t>
        </is>
      </c>
    </row>
    <row r="85">
      <c r="A85" s="33" t="inlineStr">
        <is>
          <t>ING-080</t>
        </is>
      </c>
      <c r="B85" s="33" t="inlineStr">
        <is>
          <t>Молоко кокосовое</t>
        </is>
      </c>
      <c r="C85" s="33" t="n">
        <v>84</v>
      </c>
      <c r="D85" s="33" t="inlineStr">
        <is>
          <t>NO</t>
        </is>
      </c>
      <c r="E85" s="47" t="n"/>
      <c r="F85" s="33" t="n"/>
      <c r="G85" s="33" t="n">
        <v>0</v>
      </c>
      <c r="H85" s="33" t="n"/>
      <c r="I85" s="33" t="n"/>
      <c r="J85" s="33" t="inlineStr">
        <is>
          <t>BLOCKED</t>
        </is>
      </c>
      <c r="K85" s="33" t="inlineStr">
        <is>
          <t>BLOCKED</t>
        </is>
      </c>
      <c r="L85" s="33" t="inlineStr">
        <is>
          <t>Owner / Procurement</t>
        </is>
      </c>
      <c r="M85" s="33" t="inlineStr">
        <is>
          <t>Получить минимум 3 КП HoReCa с фасовкой, доставкой, MOQ и НДС</t>
        </is>
      </c>
    </row>
    <row r="86">
      <c r="A86" s="33" t="inlineStr">
        <is>
          <t>ING-081</t>
        </is>
      </c>
      <c r="B86" s="33" t="inlineStr">
        <is>
          <t>Паста карри проектная</t>
        </is>
      </c>
      <c r="C86" s="33" t="n">
        <v>15</v>
      </c>
      <c r="D86" s="33" t="inlineStr">
        <is>
          <t>NO</t>
        </is>
      </c>
      <c r="E86" s="47" t="n"/>
      <c r="F86" s="33" t="n"/>
      <c r="G86" s="33" t="n">
        <v>0</v>
      </c>
      <c r="H86" s="33" t="n"/>
      <c r="I86" s="33" t="n"/>
      <c r="J86" s="33" t="inlineStr">
        <is>
          <t>BLOCKED</t>
        </is>
      </c>
      <c r="K86" s="33" t="inlineStr">
        <is>
          <t>BLOCKED</t>
        </is>
      </c>
      <c r="L86" s="33" t="inlineStr">
        <is>
          <t>Owner / Procurement</t>
        </is>
      </c>
      <c r="M86" s="33" t="inlineStr">
        <is>
          <t>Получить минимум 3 КП HoReCa с фасовкой, доставкой, MOQ и НДС</t>
        </is>
      </c>
    </row>
    <row r="87">
      <c r="A87" s="33" t="inlineStr">
        <is>
          <t>ING-082</t>
        </is>
      </c>
      <c r="B87" s="33" t="inlineStr">
        <is>
          <t>Бульон или вода</t>
        </is>
      </c>
      <c r="C87" s="33" t="n">
        <v>20</v>
      </c>
      <c r="D87" s="33" t="inlineStr">
        <is>
          <t>NO</t>
        </is>
      </c>
      <c r="E87" s="47" t="n"/>
      <c r="F87" s="33" t="n"/>
      <c r="G87" s="33" t="n">
        <v>0</v>
      </c>
      <c r="H87" s="33" t="n"/>
      <c r="I87" s="33" t="n"/>
      <c r="J87" s="33" t="inlineStr">
        <is>
          <t>BLOCKED</t>
        </is>
      </c>
      <c r="K87" s="33" t="inlineStr">
        <is>
          <t>BLOCKED</t>
        </is>
      </c>
      <c r="L87" s="33" t="inlineStr">
        <is>
          <t>Owner / Procurement</t>
        </is>
      </c>
      <c r="M87" s="33" t="inlineStr">
        <is>
          <t>Получить минимум 3 КП HoReCa с фасовкой, доставкой, MOQ и НДС</t>
        </is>
      </c>
    </row>
    <row r="88">
      <c r="A88" s="33" t="inlineStr">
        <is>
          <t>ING-083</t>
        </is>
      </c>
      <c r="B88" s="33" t="inlineStr">
        <is>
          <t>Соус рыбный или соевый</t>
        </is>
      </c>
      <c r="C88" s="33" t="n">
        <v>10</v>
      </c>
      <c r="D88" s="33" t="inlineStr">
        <is>
          <t>NO</t>
        </is>
      </c>
      <c r="E88" s="47" t="n"/>
      <c r="F88" s="33" t="n"/>
      <c r="G88" s="33" t="n">
        <v>0</v>
      </c>
      <c r="H88" s="33" t="n"/>
      <c r="I88" s="33" t="n"/>
      <c r="J88" s="33" t="inlineStr">
        <is>
          <t>BLOCKED</t>
        </is>
      </c>
      <c r="K88" s="33" t="inlineStr">
        <is>
          <t>BLOCKED</t>
        </is>
      </c>
      <c r="L88" s="33" t="inlineStr">
        <is>
          <t>Owner / Procurement</t>
        </is>
      </c>
      <c r="M88" s="33" t="inlineStr">
        <is>
          <t>Получить минимум 3 КП HoReCa с фасовкой, доставкой, MOQ и НДС</t>
        </is>
      </c>
    </row>
    <row r="89">
      <c r="A89" s="33" t="inlineStr">
        <is>
          <t>ING-084</t>
        </is>
      </c>
      <c r="B89" s="33" t="inlineStr">
        <is>
          <t>Цукини</t>
        </is>
      </c>
      <c r="C89" s="33" t="n">
        <v>78</v>
      </c>
      <c r="D89" s="33" t="inlineStr">
        <is>
          <t>NO</t>
        </is>
      </c>
      <c r="E89" s="47" t="n"/>
      <c r="F89" s="33" t="n"/>
      <c r="G89" s="33" t="n">
        <v>0</v>
      </c>
      <c r="H89" s="33" t="n"/>
      <c r="I89" s="33" t="n"/>
      <c r="J89" s="33" t="inlineStr">
        <is>
          <t>BLOCKED</t>
        </is>
      </c>
      <c r="K89" s="33" t="inlineStr">
        <is>
          <t>BLOCKED</t>
        </is>
      </c>
      <c r="L89" s="33" t="inlineStr">
        <is>
          <t>Owner / Procurement</t>
        </is>
      </c>
      <c r="M89" s="33" t="inlineStr">
        <is>
          <t>Получить минимум 3 КП HoReCa с фасовкой, доставкой, MOQ и НДС</t>
        </is>
      </c>
    </row>
    <row r="90">
      <c r="A90" s="33" t="inlineStr">
        <is>
          <t>ING-085</t>
        </is>
      </c>
      <c r="B90" s="33" t="inlineStr">
        <is>
          <t>Лапша рисовая подготовленная</t>
        </is>
      </c>
      <c r="C90" s="33" t="n">
        <v>45</v>
      </c>
      <c r="D90" s="33" t="inlineStr">
        <is>
          <t>NO</t>
        </is>
      </c>
      <c r="E90" s="47" t="n"/>
      <c r="F90" s="33" t="n"/>
      <c r="G90" s="33" t="n">
        <v>0</v>
      </c>
      <c r="H90" s="33" t="n"/>
      <c r="I90" s="33" t="n"/>
      <c r="J90" s="33" t="inlineStr">
        <is>
          <t>BLOCKED</t>
        </is>
      </c>
      <c r="K90" s="33" t="inlineStr">
        <is>
          <t>BLOCKED</t>
        </is>
      </c>
      <c r="L90" s="33" t="inlineStr">
        <is>
          <t>Owner / Procurement</t>
        </is>
      </c>
      <c r="M90" s="33" t="inlineStr">
        <is>
          <t>Получить минимум 3 КП HoReCa с фасовкой, доставкой, MOQ и НДС</t>
        </is>
      </c>
    </row>
    <row r="91">
      <c r="A91" s="33" t="inlineStr">
        <is>
          <t>ING-086</t>
        </is>
      </c>
      <c r="B91" s="33" t="inlineStr">
        <is>
          <t>Зелень и лайм</t>
        </is>
      </c>
      <c r="C91" s="33" t="n">
        <v>13</v>
      </c>
      <c r="D91" s="33" t="inlineStr">
        <is>
          <t>NO</t>
        </is>
      </c>
      <c r="E91" s="47" t="n"/>
      <c r="F91" s="33" t="n"/>
      <c r="G91" s="33" t="n">
        <v>0</v>
      </c>
      <c r="H91" s="33" t="n"/>
      <c r="I91" s="33" t="n"/>
      <c r="J91" s="33" t="inlineStr">
        <is>
          <t>BLOCKED</t>
        </is>
      </c>
      <c r="K91" s="33" t="inlineStr">
        <is>
          <t>BLOCKED</t>
        </is>
      </c>
      <c r="L91" s="33" t="inlineStr">
        <is>
          <t>Owner / Procurement</t>
        </is>
      </c>
      <c r="M91" s="33" t="inlineStr">
        <is>
          <t>Получить минимум 3 КП HoReCa с фасовкой, доставкой, MOQ и НДС</t>
        </is>
      </c>
    </row>
    <row r="92">
      <c r="A92" s="33" t="inlineStr">
        <is>
          <t>ING-087</t>
        </is>
      </c>
      <c r="B92" s="33" t="inlineStr">
        <is>
          <t>Бриошь VKM-008</t>
        </is>
      </c>
      <c r="C92" s="33" t="n">
        <v>85</v>
      </c>
      <c r="D92" s="33" t="inlineStr">
        <is>
          <t>NO</t>
        </is>
      </c>
      <c r="E92" s="47" t="n"/>
      <c r="F92" s="33" t="n"/>
      <c r="G92" s="33" t="n">
        <v>0</v>
      </c>
      <c r="H92" s="33" t="n"/>
      <c r="I92" s="33" t="n"/>
      <c r="J92" s="33" t="inlineStr">
        <is>
          <t>BLOCKED</t>
        </is>
      </c>
      <c r="K92" s="33" t="inlineStr">
        <is>
          <t>BLOCKED</t>
        </is>
      </c>
      <c r="L92" s="33" t="inlineStr">
        <is>
          <t>Owner / Procurement</t>
        </is>
      </c>
      <c r="M92" s="33" t="inlineStr">
        <is>
          <t>Получить минимум 3 КП HoReCa с фасовкой, доставкой, MOQ и НДС</t>
        </is>
      </c>
    </row>
    <row r="93">
      <c r="A93" s="33" t="inlineStr">
        <is>
          <t>ING-088</t>
        </is>
      </c>
      <c r="B93" s="33" t="inlineStr">
        <is>
          <t>Говядина для котлеты</t>
        </is>
      </c>
      <c r="C93" s="33" t="n">
        <v>175</v>
      </c>
      <c r="D93" s="33" t="inlineStr">
        <is>
          <t>NO</t>
        </is>
      </c>
      <c r="E93" s="47" t="n">
        <v>789.99</v>
      </c>
      <c r="F93" s="33" t="inlineStr">
        <is>
          <t>median_public_observation</t>
        </is>
      </c>
      <c r="G93" s="33" t="n">
        <v>1</v>
      </c>
      <c r="H93" s="33" t="inlineStr">
        <is>
          <t>PSR-0054</t>
        </is>
      </c>
      <c r="I93" s="33" t="inlineStr">
        <is>
          <t>2026-08-03</t>
        </is>
      </c>
      <c r="J93" s="33" t="inlineStr">
        <is>
          <t>ESTIMATE</t>
        </is>
      </c>
      <c r="K93" s="33" t="inlineStr">
        <is>
          <t>LOW_CONFIDENCE</t>
        </is>
      </c>
      <c r="L93" s="33" t="inlineStr">
        <is>
          <t>Owner / Procurement</t>
        </is>
      </c>
      <c r="M93" s="33" t="inlineStr">
        <is>
          <t>Получить минимум 3 КП HoReCa с фасовкой, доставкой, MOQ и НДС</t>
        </is>
      </c>
    </row>
    <row r="94">
      <c r="A94" s="33" t="inlineStr">
        <is>
          <t>ING-089</t>
        </is>
      </c>
      <c r="B94" s="33" t="inlineStr">
        <is>
          <t>Жир говяжий или иной компонент котлеты</t>
        </is>
      </c>
      <c r="C94" s="33" t="n">
        <v>5</v>
      </c>
      <c r="D94" s="33" t="inlineStr">
        <is>
          <t>NO</t>
        </is>
      </c>
      <c r="E94" s="47" t="n"/>
      <c r="F94" s="33" t="n"/>
      <c r="G94" s="33" t="n">
        <v>0</v>
      </c>
      <c r="H94" s="33" t="n"/>
      <c r="I94" s="33" t="n"/>
      <c r="J94" s="33" t="inlineStr">
        <is>
          <t>BLOCKED</t>
        </is>
      </c>
      <c r="K94" s="33" t="inlineStr">
        <is>
          <t>BLOCKED</t>
        </is>
      </c>
      <c r="L94" s="33" t="inlineStr">
        <is>
          <t>Owner / Procurement</t>
        </is>
      </c>
      <c r="M94" s="33" t="inlineStr">
        <is>
          <t>Получить минимум 3 КП HoReCa с фасовкой, доставкой, MOQ и НДС</t>
        </is>
      </c>
    </row>
    <row r="95">
      <c r="A95" s="33" t="inlineStr">
        <is>
          <t>ING-090</t>
        </is>
      </c>
      <c r="B95" s="33" t="inlineStr">
        <is>
          <t>Сыр ломтиковый</t>
        </is>
      </c>
      <c r="C95" s="33" t="n">
        <v>20</v>
      </c>
      <c r="D95" s="33" t="inlineStr">
        <is>
          <t>NO</t>
        </is>
      </c>
      <c r="E95" s="47" t="n"/>
      <c r="F95" s="33" t="n"/>
      <c r="G95" s="33" t="n">
        <v>0</v>
      </c>
      <c r="H95" s="33" t="n"/>
      <c r="I95" s="33" t="n"/>
      <c r="J95" s="33" t="inlineStr">
        <is>
          <t>BLOCKED</t>
        </is>
      </c>
      <c r="K95" s="33" t="inlineStr">
        <is>
          <t>BLOCKED</t>
        </is>
      </c>
      <c r="L95" s="33" t="inlineStr">
        <is>
          <t>Owner / Procurement</t>
        </is>
      </c>
      <c r="M95" s="33" t="inlineStr">
        <is>
          <t>Получить минимум 3 КП HoReCa с фасовкой, доставкой, MOQ и НДС</t>
        </is>
      </c>
    </row>
    <row r="96">
      <c r="A96" s="33" t="inlineStr">
        <is>
          <t>ING-091</t>
        </is>
      </c>
      <c r="B96" s="33" t="inlineStr">
        <is>
          <t>Томат</t>
        </is>
      </c>
      <c r="C96" s="33" t="n">
        <v>34</v>
      </c>
      <c r="D96" s="33" t="inlineStr">
        <is>
          <t>NO</t>
        </is>
      </c>
      <c r="E96" s="47" t="n"/>
      <c r="F96" s="33" t="n"/>
      <c r="G96" s="33" t="n">
        <v>0</v>
      </c>
      <c r="H96" s="33" t="n"/>
      <c r="I96" s="33" t="n"/>
      <c r="J96" s="33" t="inlineStr">
        <is>
          <t>BLOCKED</t>
        </is>
      </c>
      <c r="K96" s="33" t="inlineStr">
        <is>
          <t>BLOCKED</t>
        </is>
      </c>
      <c r="L96" s="33" t="inlineStr">
        <is>
          <t>Owner / Procurement</t>
        </is>
      </c>
      <c r="M96" s="33" t="inlineStr">
        <is>
          <t>Получить минимум 3 КП HoReCa с фасовкой, доставкой, MOQ и НДС</t>
        </is>
      </c>
    </row>
    <row r="97">
      <c r="A97" s="33" t="inlineStr">
        <is>
          <t>ING-092</t>
        </is>
      </c>
      <c r="B97" s="33" t="inlineStr">
        <is>
          <t>Огурец маринованный</t>
        </is>
      </c>
      <c r="C97" s="33" t="n">
        <v>23</v>
      </c>
      <c r="D97" s="33" t="inlineStr">
        <is>
          <t>NO</t>
        </is>
      </c>
      <c r="E97" s="47" t="n"/>
      <c r="F97" s="33" t="n"/>
      <c r="G97" s="33" t="n">
        <v>0</v>
      </c>
      <c r="H97" s="33" t="n"/>
      <c r="I97" s="33" t="n"/>
      <c r="J97" s="33" t="inlineStr">
        <is>
          <t>BLOCKED</t>
        </is>
      </c>
      <c r="K97" s="33" t="inlineStr">
        <is>
          <t>BLOCKED</t>
        </is>
      </c>
      <c r="L97" s="33" t="inlineStr">
        <is>
          <t>Owner / Procurement</t>
        </is>
      </c>
      <c r="M97" s="33" t="inlineStr">
        <is>
          <t>Получить минимум 3 КП HoReCa с фасовкой, доставкой, MOQ и НДС</t>
        </is>
      </c>
    </row>
    <row r="98">
      <c r="A98" s="33" t="inlineStr">
        <is>
          <t>ING-093</t>
        </is>
      </c>
      <c r="B98" s="33" t="inlineStr">
        <is>
          <t>Лук</t>
        </is>
      </c>
      <c r="C98" s="33" t="n">
        <v>12</v>
      </c>
      <c r="D98" s="33" t="inlineStr">
        <is>
          <t>NO</t>
        </is>
      </c>
      <c r="E98" s="47" t="n"/>
      <c r="F98" s="33" t="n"/>
      <c r="G98" s="33" t="n">
        <v>0</v>
      </c>
      <c r="H98" s="33" t="n"/>
      <c r="I98" s="33" t="n"/>
      <c r="J98" s="33" t="inlineStr">
        <is>
          <t>BLOCKED</t>
        </is>
      </c>
      <c r="K98" s="33" t="inlineStr">
        <is>
          <t>BLOCKED</t>
        </is>
      </c>
      <c r="L98" s="33" t="inlineStr">
        <is>
          <t>Owner / Procurement</t>
        </is>
      </c>
      <c r="M98" s="33" t="inlineStr">
        <is>
          <t>Получить минимум 3 КП HoReCa с фасовкой, доставкой, MOQ и НДС</t>
        </is>
      </c>
    </row>
    <row r="99">
      <c r="A99" s="33" t="inlineStr">
        <is>
          <t>ING-094</t>
        </is>
      </c>
      <c r="B99" s="33" t="inlineStr">
        <is>
          <t>Соус эмульсионный</t>
        </is>
      </c>
      <c r="C99" s="33" t="n">
        <v>20</v>
      </c>
      <c r="D99" s="33" t="inlineStr">
        <is>
          <t>NO</t>
        </is>
      </c>
      <c r="E99" s="47" t="n"/>
      <c r="F99" s="33" t="n"/>
      <c r="G99" s="33" t="n">
        <v>0</v>
      </c>
      <c r="H99" s="33" t="n"/>
      <c r="I99" s="33" t="n"/>
      <c r="J99" s="33" t="inlineStr">
        <is>
          <t>BLOCKED</t>
        </is>
      </c>
      <c r="K99" s="33" t="inlineStr">
        <is>
          <t>BLOCKED</t>
        </is>
      </c>
      <c r="L99" s="33" t="inlineStr">
        <is>
          <t>Owner / Procurement</t>
        </is>
      </c>
      <c r="M99" s="33" t="inlineStr">
        <is>
          <t>Получить минимум 3 КП HoReCa с фасовкой, доставкой, MOQ и НДС</t>
        </is>
      </c>
    </row>
    <row r="100">
      <c r="A100" s="33" t="inlineStr">
        <is>
          <t>ING-095</t>
        </is>
      </c>
      <c r="B100" s="33" t="inlineStr">
        <is>
          <t>Соус томатный</t>
        </is>
      </c>
      <c r="C100" s="33" t="n">
        <v>5</v>
      </c>
      <c r="D100" s="33" t="inlineStr">
        <is>
          <t>NO</t>
        </is>
      </c>
      <c r="E100" s="47" t="n"/>
      <c r="F100" s="33" t="n"/>
      <c r="G100" s="33" t="n">
        <v>0</v>
      </c>
      <c r="H100" s="33" t="n"/>
      <c r="I100" s="33" t="n"/>
      <c r="J100" s="33" t="inlineStr">
        <is>
          <t>BLOCKED</t>
        </is>
      </c>
      <c r="K100" s="33" t="inlineStr">
        <is>
          <t>BLOCKED</t>
        </is>
      </c>
      <c r="L100" s="33" t="inlineStr">
        <is>
          <t>Owner / Procurement</t>
        </is>
      </c>
      <c r="M100" s="33" t="inlineStr">
        <is>
          <t>Получить минимум 3 КП HoReCa с фасовкой, доставкой, MOQ и НДС</t>
        </is>
      </c>
    </row>
    <row r="101">
      <c r="A101" s="33" t="inlineStr">
        <is>
          <t>ING-096</t>
        </is>
      </c>
      <c r="B101" s="33" t="inlineStr">
        <is>
          <t>Салат листовой</t>
        </is>
      </c>
      <c r="C101" s="33" t="n">
        <v>12</v>
      </c>
      <c r="D101" s="33" t="inlineStr">
        <is>
          <t>NO</t>
        </is>
      </c>
      <c r="E101" s="47" t="n"/>
      <c r="F101" s="33" t="n"/>
      <c r="G101" s="33" t="n">
        <v>0</v>
      </c>
      <c r="H101" s="33" t="n"/>
      <c r="I101" s="33" t="n"/>
      <c r="J101" s="33" t="inlineStr">
        <is>
          <t>BLOCKED</t>
        </is>
      </c>
      <c r="K101" s="33" t="inlineStr">
        <is>
          <t>BLOCKED</t>
        </is>
      </c>
      <c r="L101" s="33" t="inlineStr">
        <is>
          <t>Owner / Procurement</t>
        </is>
      </c>
      <c r="M101" s="33" t="inlineStr">
        <is>
          <t>Получить минимум 3 КП HoReCa с фасовкой, доставкой, MOQ и НДС</t>
        </is>
      </c>
    </row>
    <row r="102">
      <c r="A102" s="33" t="inlineStr">
        <is>
          <t>ING-097</t>
        </is>
      </c>
      <c r="B102" s="33" t="inlineStr">
        <is>
          <t>Говяжья вырезка</t>
        </is>
      </c>
      <c r="C102" s="33" t="n">
        <v>255</v>
      </c>
      <c r="D102" s="33" t="inlineStr">
        <is>
          <t>YES</t>
        </is>
      </c>
      <c r="E102" s="47" t="n">
        <v>1136.99</v>
      </c>
      <c r="F102" s="33" t="inlineStr">
        <is>
          <t>median_public_observation</t>
        </is>
      </c>
      <c r="G102" s="33" t="n">
        <v>4</v>
      </c>
      <c r="H102" s="33" t="inlineStr">
        <is>
          <t>PSR-0055;PSR-0056;PSR-0057;PSR-0058</t>
        </is>
      </c>
      <c r="I102" s="33" t="inlineStr">
        <is>
          <t>2026-08-03</t>
        </is>
      </c>
      <c r="J102" s="33" t="inlineStr">
        <is>
          <t>ESTIMATE</t>
        </is>
      </c>
      <c r="K102" s="33" t="inlineStr">
        <is>
          <t>MEDIUM</t>
        </is>
      </c>
      <c r="L102" s="33" t="inlineStr">
        <is>
          <t>Owner / Procurement</t>
        </is>
      </c>
      <c r="M102" s="33" t="inlineStr">
        <is>
          <t>Сверить с КП и выбрать поставщика</t>
        </is>
      </c>
    </row>
    <row r="103">
      <c r="A103" s="33" t="inlineStr">
        <is>
          <t>ING-098</t>
        </is>
      </c>
      <c r="B103" s="33" t="inlineStr">
        <is>
          <t>Бульон или мясной сок</t>
        </is>
      </c>
      <c r="C103" s="33" t="n">
        <v>35</v>
      </c>
      <c r="D103" s="33" t="inlineStr">
        <is>
          <t>NO</t>
        </is>
      </c>
      <c r="E103" s="47" t="n"/>
      <c r="F103" s="33" t="n"/>
      <c r="G103" s="33" t="n">
        <v>0</v>
      </c>
      <c r="H103" s="33" t="n"/>
      <c r="I103" s="33" t="n"/>
      <c r="J103" s="33" t="inlineStr">
        <is>
          <t>BLOCKED</t>
        </is>
      </c>
      <c r="K103" s="33" t="inlineStr">
        <is>
          <t>BLOCKED</t>
        </is>
      </c>
      <c r="L103" s="33" t="inlineStr">
        <is>
          <t>Owner / Procurement</t>
        </is>
      </c>
      <c r="M103" s="33" t="inlineStr">
        <is>
          <t>Получить минимум 3 КП HoReCa с фасовкой, доставкой, MOQ и НДС</t>
        </is>
      </c>
    </row>
    <row r="104">
      <c r="A104" s="33" t="inlineStr">
        <is>
          <t>ING-099</t>
        </is>
      </c>
      <c r="B104" s="33" t="inlineStr">
        <is>
          <t>Маринад нейтральный проектный</t>
        </is>
      </c>
      <c r="C104" s="33" t="n">
        <v>18</v>
      </c>
      <c r="D104" s="33" t="inlineStr">
        <is>
          <t>NO</t>
        </is>
      </c>
      <c r="E104" s="47" t="n"/>
      <c r="F104" s="33" t="n"/>
      <c r="G104" s="33" t="n">
        <v>0</v>
      </c>
      <c r="H104" s="33" t="n"/>
      <c r="I104" s="33" t="n"/>
      <c r="J104" s="33" t="inlineStr">
        <is>
          <t>BLOCKED</t>
        </is>
      </c>
      <c r="K104" s="33" t="inlineStr">
        <is>
          <t>BLOCKED</t>
        </is>
      </c>
      <c r="L104" s="33" t="inlineStr">
        <is>
          <t>Owner / Procurement</t>
        </is>
      </c>
      <c r="M104" s="33" t="inlineStr">
        <is>
          <t>Получить минимум 3 КП HoReCa с фасовкой, доставкой, MOQ и НДС</t>
        </is>
      </c>
    </row>
    <row r="105">
      <c r="A105" s="33" t="inlineStr">
        <is>
          <t>ING-100</t>
        </is>
      </c>
      <c r="B105" s="33" t="inlineStr">
        <is>
          <t>Рис жасмин сухой</t>
        </is>
      </c>
      <c r="C105" s="33" t="n">
        <v>55</v>
      </c>
      <c r="D105" s="33" t="inlineStr">
        <is>
          <t>NO</t>
        </is>
      </c>
      <c r="E105" s="47" t="n"/>
      <c r="F105" s="33" t="n"/>
      <c r="G105" s="33" t="n">
        <v>0</v>
      </c>
      <c r="H105" s="33" t="n"/>
      <c r="I105" s="33" t="n"/>
      <c r="J105" s="33" t="inlineStr">
        <is>
          <t>BLOCKED</t>
        </is>
      </c>
      <c r="K105" s="33" t="inlineStr">
        <is>
          <t>BLOCKED</t>
        </is>
      </c>
      <c r="L105" s="33" t="inlineStr">
        <is>
          <t>Owner / Procurement</t>
        </is>
      </c>
      <c r="M105" s="33" t="inlineStr">
        <is>
          <t>Получить минимум 3 КП HoReCa с фасовкой, доставкой, MOQ и НДС</t>
        </is>
      </c>
    </row>
    <row r="106">
      <c r="A106" s="33" t="inlineStr">
        <is>
          <t>ING-101</t>
        </is>
      </c>
      <c r="B106" s="33" t="inlineStr">
        <is>
          <t>Вода питьевая, удержанная в продукте</t>
        </is>
      </c>
      <c r="C106" s="33" t="n">
        <v>120</v>
      </c>
      <c r="D106" s="33" t="inlineStr">
        <is>
          <t>NO</t>
        </is>
      </c>
      <c r="E106" s="47" t="n"/>
      <c r="F106" s="33" t="n"/>
      <c r="G106" s="33" t="n">
        <v>0</v>
      </c>
      <c r="H106" s="33" t="n"/>
      <c r="I106" s="33" t="n"/>
      <c r="J106" s="33" t="inlineStr">
        <is>
          <t>BLOCKED</t>
        </is>
      </c>
      <c r="K106" s="33" t="inlineStr">
        <is>
          <t>BLOCKED</t>
        </is>
      </c>
      <c r="L106" s="33" t="inlineStr">
        <is>
          <t>Owner / Procurement</t>
        </is>
      </c>
      <c r="M106" s="33" t="inlineStr">
        <is>
          <t>Получить минимум 3 КП HoReCa с фасовкой, доставкой, MOQ и НДС</t>
        </is>
      </c>
    </row>
    <row r="107">
      <c r="A107" s="33" t="inlineStr">
        <is>
          <t>ING-102</t>
        </is>
      </c>
      <c r="B107" s="33" t="inlineStr">
        <is>
          <t>Баклажан</t>
        </is>
      </c>
      <c r="C107" s="33" t="n">
        <v>36</v>
      </c>
      <c r="D107" s="33" t="inlineStr">
        <is>
          <t>NO</t>
        </is>
      </c>
      <c r="E107" s="47" t="n">
        <v>270</v>
      </c>
      <c r="F107" s="33" t="inlineStr">
        <is>
          <t>median_public_observation</t>
        </is>
      </c>
      <c r="G107" s="33" t="n">
        <v>1</v>
      </c>
      <c r="H107" s="33" t="inlineStr">
        <is>
          <t>PSR-0082</t>
        </is>
      </c>
      <c r="I107" s="33" t="inlineStr">
        <is>
          <t>2026-08-03</t>
        </is>
      </c>
      <c r="J107" s="33" t="inlineStr">
        <is>
          <t>ESTIMATE</t>
        </is>
      </c>
      <c r="K107" s="33" t="inlineStr">
        <is>
          <t>LOW_CONFIDENCE</t>
        </is>
      </c>
      <c r="L107" s="33" t="inlineStr">
        <is>
          <t>Owner / Procurement</t>
        </is>
      </c>
      <c r="M107" s="33" t="inlineStr">
        <is>
          <t>Получить минимум 3 КП HoReCa с фасовкой, доставкой, MOQ и НДС</t>
        </is>
      </c>
    </row>
    <row r="108">
      <c r="A108" s="33" t="inlineStr">
        <is>
          <t>ING-103</t>
        </is>
      </c>
      <c r="B108" s="33" t="inlineStr">
        <is>
          <t>Брокколи</t>
        </is>
      </c>
      <c r="C108" s="33" t="n">
        <v>31</v>
      </c>
      <c r="D108" s="33" t="inlineStr">
        <is>
          <t>NO</t>
        </is>
      </c>
      <c r="E108" s="47" t="n">
        <v>299.9875</v>
      </c>
      <c r="F108" s="33" t="inlineStr">
        <is>
          <t>median_public_observation</t>
        </is>
      </c>
      <c r="G108" s="33" t="n">
        <v>1</v>
      </c>
      <c r="H108" s="33" t="inlineStr">
        <is>
          <t>PSR-0083</t>
        </is>
      </c>
      <c r="I108" s="33" t="inlineStr">
        <is>
          <t>2026-08-03</t>
        </is>
      </c>
      <c r="J108" s="33" t="inlineStr">
        <is>
          <t>ESTIMATE</t>
        </is>
      </c>
      <c r="K108" s="33" t="inlineStr">
        <is>
          <t>LOW_CONFIDENCE</t>
        </is>
      </c>
      <c r="L108" s="33" t="inlineStr">
        <is>
          <t>Owner / Procurement</t>
        </is>
      </c>
      <c r="M108" s="33" t="inlineStr">
        <is>
          <t>Получить минимум 3 КП HoReCa с фасовкой, доставкой, MOQ и НДС</t>
        </is>
      </c>
    </row>
    <row r="109">
      <c r="A109" s="33" t="inlineStr">
        <is>
          <t>ING-104</t>
        </is>
      </c>
      <c r="B109" s="33" t="inlineStr">
        <is>
          <t>Мука пшеничная кондитерская</t>
        </is>
      </c>
      <c r="C109" s="33" t="n">
        <v>645</v>
      </c>
      <c r="D109" s="33" t="inlineStr">
        <is>
          <t>NO</t>
        </is>
      </c>
      <c r="E109" s="47" t="n">
        <v>64.995</v>
      </c>
      <c r="F109" s="33" t="inlineStr">
        <is>
          <t>median_public_observation</t>
        </is>
      </c>
      <c r="G109" s="33" t="n">
        <v>1</v>
      </c>
      <c r="H109" s="33" t="inlineStr">
        <is>
          <t>PSR-0084</t>
        </is>
      </c>
      <c r="I109" s="33" t="inlineStr">
        <is>
          <t>2026-08-03</t>
        </is>
      </c>
      <c r="J109" s="33" t="inlineStr">
        <is>
          <t>ESTIMATE</t>
        </is>
      </c>
      <c r="K109" s="33" t="inlineStr">
        <is>
          <t>LOW_CONFIDENCE</t>
        </is>
      </c>
      <c r="L109" s="33" t="inlineStr">
        <is>
          <t>Owner / Procurement</t>
        </is>
      </c>
      <c r="M109" s="33" t="inlineStr">
        <is>
          <t>Получить минимум 3 КП HoReCa с фасовкой, доставкой, MOQ и НДС</t>
        </is>
      </c>
    </row>
    <row r="110">
      <c r="A110" s="33" t="inlineStr">
        <is>
          <t>ING-105</t>
        </is>
      </c>
      <c r="B110" s="33" t="inlineStr">
        <is>
          <t>Разрыхлитель</t>
        </is>
      </c>
      <c r="C110" s="33" t="n">
        <v>10</v>
      </c>
      <c r="D110" s="33" t="inlineStr">
        <is>
          <t>NO</t>
        </is>
      </c>
      <c r="E110" s="47" t="n">
        <v>1299</v>
      </c>
      <c r="F110" s="33" t="inlineStr">
        <is>
          <t>median_public_observation</t>
        </is>
      </c>
      <c r="G110" s="33" t="n">
        <v>1</v>
      </c>
      <c r="H110" s="33" t="inlineStr">
        <is>
          <t>PSR-0085</t>
        </is>
      </c>
      <c r="I110" s="33" t="inlineStr">
        <is>
          <t>2026-08-03</t>
        </is>
      </c>
      <c r="J110" s="33" t="inlineStr">
        <is>
          <t>ESTIMATE</t>
        </is>
      </c>
      <c r="K110" s="33" t="inlineStr">
        <is>
          <t>LOW_CONFIDENCE</t>
        </is>
      </c>
      <c r="L110" s="33" t="inlineStr">
        <is>
          <t>Owner / Procurement</t>
        </is>
      </c>
      <c r="M110" s="33" t="inlineStr">
        <is>
          <t>Получить минимум 3 КП HoReCa с фасовкой, доставкой, MOQ и НДС</t>
        </is>
      </c>
    </row>
    <row r="111">
      <c r="A111" s="33" t="inlineStr">
        <is>
          <t>ING-106</t>
        </is>
      </c>
      <c r="B111" s="33" t="inlineStr">
        <is>
          <t>Соль</t>
        </is>
      </c>
      <c r="C111" s="33" t="n">
        <v>22</v>
      </c>
      <c r="D111" s="33" t="inlineStr">
        <is>
          <t>NO</t>
        </is>
      </c>
      <c r="E111" s="47" t="n"/>
      <c r="F111" s="33" t="n"/>
      <c r="G111" s="33" t="n">
        <v>0</v>
      </c>
      <c r="H111" s="33" t="n"/>
      <c r="I111" s="33" t="n"/>
      <c r="J111" s="33" t="inlineStr">
        <is>
          <t>BLOCKED</t>
        </is>
      </c>
      <c r="K111" s="33" t="inlineStr">
        <is>
          <t>BLOCKED</t>
        </is>
      </c>
      <c r="L111" s="33" t="inlineStr">
        <is>
          <t>Owner / Procurement</t>
        </is>
      </c>
      <c r="M111" s="33" t="inlineStr">
        <is>
          <t>Получить минимум 3 КП HoReCa с фасовкой, доставкой, MOQ и НДС</t>
        </is>
      </c>
    </row>
    <row r="112">
      <c r="A112" s="33" t="inlineStr">
        <is>
          <t>ING-107</t>
        </is>
      </c>
      <c r="B112" s="33" t="inlineStr">
        <is>
          <t>Черника</t>
        </is>
      </c>
      <c r="C112" s="33" t="n">
        <v>530</v>
      </c>
      <c r="D112" s="33" t="inlineStr">
        <is>
          <t>YES</t>
        </is>
      </c>
      <c r="E112" s="47" t="n">
        <v>783.3</v>
      </c>
      <c r="F112" s="33" t="inlineStr">
        <is>
          <t>median_public_observation</t>
        </is>
      </c>
      <c r="G112" s="33" t="n">
        <v>3</v>
      </c>
      <c r="H112" s="33" t="inlineStr">
        <is>
          <t>PSR-0061;PSR-0062;PSR-0063</t>
        </is>
      </c>
      <c r="I112" s="33" t="inlineStr">
        <is>
          <t>2026-08-03</t>
        </is>
      </c>
      <c r="J112" s="33" t="inlineStr">
        <is>
          <t>ESTIMATE</t>
        </is>
      </c>
      <c r="K112" s="33" t="inlineStr">
        <is>
          <t>MEDIUM</t>
        </is>
      </c>
      <c r="L112" s="33" t="inlineStr">
        <is>
          <t>Owner / Procurement</t>
        </is>
      </c>
      <c r="M112" s="33" t="inlineStr">
        <is>
          <t>Сверить с КП и выбрать поставщика</t>
        </is>
      </c>
    </row>
    <row r="113">
      <c r="A113" s="33" t="inlineStr">
        <is>
          <t>ING-108</t>
        </is>
      </c>
      <c r="B113" s="33" t="inlineStr">
        <is>
          <t>Сыр сливочный</t>
        </is>
      </c>
      <c r="C113" s="33" t="n">
        <v>370</v>
      </c>
      <c r="D113" s="33" t="inlineStr">
        <is>
          <t>YES</t>
        </is>
      </c>
      <c r="E113" s="47" t="n">
        <v>549.975</v>
      </c>
      <c r="F113" s="33" t="inlineStr">
        <is>
          <t>median_public_observation</t>
        </is>
      </c>
      <c r="G113" s="33" t="n">
        <v>1</v>
      </c>
      <c r="H113" s="33" t="inlineStr">
        <is>
          <t>PSR-0064</t>
        </is>
      </c>
      <c r="I113" s="33" t="inlineStr">
        <is>
          <t>2026-08-03</t>
        </is>
      </c>
      <c r="J113" s="33" t="inlineStr">
        <is>
          <t>ESTIMATE</t>
        </is>
      </c>
      <c r="K113" s="33" t="inlineStr">
        <is>
          <t>LOW_CONFIDENCE</t>
        </is>
      </c>
      <c r="L113" s="33" t="inlineStr">
        <is>
          <t>Owner / Procurement</t>
        </is>
      </c>
      <c r="M113" s="33" t="inlineStr">
        <is>
          <t>Получить минимум 3 КП HoReCa с фасовкой, доставкой, MOQ и НДС</t>
        </is>
      </c>
    </row>
    <row r="114">
      <c r="A114" s="33" t="inlineStr">
        <is>
          <t>ING-109</t>
        </is>
      </c>
      <c r="B114" s="33" t="inlineStr">
        <is>
          <t>Сахарная пудра</t>
        </is>
      </c>
      <c r="C114" s="33" t="n">
        <v>120</v>
      </c>
      <c r="D114" s="33" t="inlineStr">
        <is>
          <t>NO</t>
        </is>
      </c>
      <c r="E114" s="47" t="n">
        <v>159.96</v>
      </c>
      <c r="F114" s="33" t="inlineStr">
        <is>
          <t>median_public_observation</t>
        </is>
      </c>
      <c r="G114" s="33" t="n">
        <v>1</v>
      </c>
      <c r="H114" s="33" t="inlineStr">
        <is>
          <t>PSR-0086</t>
        </is>
      </c>
      <c r="I114" s="33" t="inlineStr">
        <is>
          <t>2026-08-03</t>
        </is>
      </c>
      <c r="J114" s="33" t="inlineStr">
        <is>
          <t>ESTIMATE</t>
        </is>
      </c>
      <c r="K114" s="33" t="inlineStr">
        <is>
          <t>LOW_CONFIDENCE</t>
        </is>
      </c>
      <c r="L114" s="33" t="inlineStr">
        <is>
          <t>Owner / Procurement</t>
        </is>
      </c>
      <c r="M114" s="33" t="inlineStr">
        <is>
          <t>Получить минимум 3 КП HoReCa с фасовкой, доставкой, MOQ и НДС</t>
        </is>
      </c>
    </row>
    <row r="115">
      <c r="A115" s="33" t="inlineStr">
        <is>
          <t>ING-110</t>
        </is>
      </c>
      <c r="B115" s="33" t="inlineStr">
        <is>
          <t>Пектин или крахмал</t>
        </is>
      </c>
      <c r="C115" s="33" t="n">
        <v>20</v>
      </c>
      <c r="D115" s="33" t="inlineStr">
        <is>
          <t>NO</t>
        </is>
      </c>
      <c r="E115" s="47" t="n">
        <v>174.975</v>
      </c>
      <c r="F115" s="33" t="inlineStr">
        <is>
          <t>median_public_observation</t>
        </is>
      </c>
      <c r="G115" s="33" t="n">
        <v>1</v>
      </c>
      <c r="H115" s="33" t="inlineStr">
        <is>
          <t>PSR-0087</t>
        </is>
      </c>
      <c r="I115" s="33" t="inlineStr">
        <is>
          <t>2026-08-03</t>
        </is>
      </c>
      <c r="J115" s="33" t="inlineStr">
        <is>
          <t>ESTIMATE</t>
        </is>
      </c>
      <c r="K115" s="33" t="inlineStr">
        <is>
          <t>LOW_CONFIDENCE</t>
        </is>
      </c>
      <c r="L115" s="33" t="inlineStr">
        <is>
          <t>Owner / Procurement</t>
        </is>
      </c>
      <c r="M115" s="33" t="inlineStr">
        <is>
          <t>Получить минимум 3 КП HoReCa с фасовкой, доставкой, MOQ и НДС</t>
        </is>
      </c>
    </row>
    <row r="116">
      <c r="A116" s="33" t="inlineStr">
        <is>
          <t>ING-111</t>
        </is>
      </c>
      <c r="B116" s="33" t="inlineStr">
        <is>
          <t>Глазурь проектная</t>
        </is>
      </c>
      <c r="C116" s="33" t="n">
        <v>150</v>
      </c>
      <c r="D116" s="33" t="inlineStr">
        <is>
          <t>NO</t>
        </is>
      </c>
      <c r="E116" s="47" t="n"/>
      <c r="F116" s="33" t="n"/>
      <c r="G116" s="33" t="n">
        <v>0</v>
      </c>
      <c r="H116" s="33" t="n"/>
      <c r="I116" s="33" t="n"/>
      <c r="J116" s="33" t="inlineStr">
        <is>
          <t>BLOCKED</t>
        </is>
      </c>
      <c r="K116" s="33" t="inlineStr">
        <is>
          <t>BLOCKED</t>
        </is>
      </c>
      <c r="L116" s="33" t="inlineStr">
        <is>
          <t>Owner / Procurement</t>
        </is>
      </c>
      <c r="M116" s="33" t="inlineStr">
        <is>
          <t>Получить минимум 3 КП HoReCa с фасовкой, доставкой, MOQ и НДС</t>
        </is>
      </c>
    </row>
    <row r="117">
      <c r="A117" s="33" t="inlineStr">
        <is>
          <t>ING-112</t>
        </is>
      </c>
      <c r="B117" s="33" t="inlineStr">
        <is>
          <t>Декор съедобный</t>
        </is>
      </c>
      <c r="C117" s="33" t="n">
        <v>97</v>
      </c>
      <c r="D117" s="33" t="inlineStr">
        <is>
          <t>NO</t>
        </is>
      </c>
      <c r="E117" s="47" t="n"/>
      <c r="F117" s="33" t="n"/>
      <c r="G117" s="33" t="n">
        <v>0</v>
      </c>
      <c r="H117" s="33" t="n"/>
      <c r="I117" s="33" t="n"/>
      <c r="J117" s="33" t="inlineStr">
        <is>
          <t>BLOCKED</t>
        </is>
      </c>
      <c r="K117" s="33" t="inlineStr">
        <is>
          <t>BLOCKED</t>
        </is>
      </c>
      <c r="L117" s="33" t="inlineStr">
        <is>
          <t>Owner / Procurement</t>
        </is>
      </c>
      <c r="M117" s="33" t="inlineStr">
        <is>
          <t>Получить минимум 3 КП HoReCa с фасовкой, доставкой, MOQ и НДС</t>
        </is>
      </c>
    </row>
    <row r="118">
      <c r="A118" s="33" t="inlineStr">
        <is>
          <t>ING-113</t>
        </is>
      </c>
      <c r="B118" s="33" t="inlineStr">
        <is>
          <t>Цедра лимона</t>
        </is>
      </c>
      <c r="C118" s="33" t="n">
        <v>7</v>
      </c>
      <c r="D118" s="33" t="inlineStr">
        <is>
          <t>NO</t>
        </is>
      </c>
      <c r="E118" s="47" t="n"/>
      <c r="F118" s="33" t="n"/>
      <c r="G118" s="33" t="n">
        <v>0</v>
      </c>
      <c r="H118" s="33" t="n"/>
      <c r="I118" s="33" t="n"/>
      <c r="J118" s="33" t="inlineStr">
        <is>
          <t>BLOCKED</t>
        </is>
      </c>
      <c r="K118" s="33" t="inlineStr">
        <is>
          <t>BLOCKED</t>
        </is>
      </c>
      <c r="L118" s="33" t="inlineStr">
        <is>
          <t>Owner / Procurement</t>
        </is>
      </c>
      <c r="M118" s="33" t="inlineStr">
        <is>
          <t>Получить минимум 3 КП HoReCa с фасовкой, доставкой, MOQ и НДС</t>
        </is>
      </c>
    </row>
    <row r="119">
      <c r="A119" s="28" t="n"/>
      <c r="B119" s="28" t="n"/>
      <c r="C119" s="28" t="n"/>
      <c r="D119" s="28" t="n"/>
      <c r="E119" s="28" t="n"/>
      <c r="F119" s="28" t="n"/>
      <c r="G119" s="28" t="n"/>
      <c r="H119" s="28" t="n"/>
      <c r="I119" s="28" t="n"/>
      <c r="J119" s="28" t="n"/>
      <c r="K119" s="28" t="n"/>
      <c r="L119" s="28" t="n"/>
      <c r="M119" s="28" t="n"/>
    </row>
    <row r="120">
      <c r="A120" s="28" t="n"/>
      <c r="B120" s="28" t="n"/>
      <c r="C120" s="28" t="n"/>
      <c r="D120" s="28" t="n"/>
      <c r="E120" s="28" t="n"/>
      <c r="F120" s="28" t="n"/>
      <c r="G120" s="28" t="n"/>
      <c r="H120" s="28" t="n"/>
      <c r="I120" s="28" t="n"/>
      <c r="J120" s="28" t="n"/>
      <c r="K120" s="28" t="n"/>
      <c r="L120" s="28" t="n"/>
      <c r="M120" s="28" t="n"/>
    </row>
    <row r="121">
      <c r="A121" s="35" t="inlineStr">
        <is>
          <t>Accepted HOF-0014 evidence price sources (68)</t>
        </is>
      </c>
    </row>
    <row r="122" ht="34" customHeight="1">
      <c r="A122" s="32" t="inlineStr">
        <is>
          <t>Source ID</t>
        </is>
      </c>
      <c r="B122" s="32" t="inlineStr">
        <is>
          <t>Ingredient ID</t>
        </is>
      </c>
      <c r="C122" s="32" t="inlineStr">
        <is>
          <t>Ингредиент</t>
        </is>
      </c>
      <c r="D122" s="32" t="inlineStr">
        <is>
          <t>Продукт</t>
        </is>
      </c>
      <c r="E122" s="32" t="inlineStr">
        <is>
          <t>Поставщик</t>
        </is>
      </c>
      <c r="F122" s="32" t="inlineStr">
        <is>
          <t>Pack qty</t>
        </is>
      </c>
      <c r="G122" s="32" t="inlineStr">
        <is>
          <t>Unit</t>
        </is>
      </c>
      <c r="H122" s="32" t="inlineStr">
        <is>
          <t>Pack RUB</t>
        </is>
      </c>
      <c r="I122" s="32" t="inlineStr">
        <is>
          <t>RUB/kg</t>
        </is>
      </c>
      <c r="J122" s="32" t="inlineStr">
        <is>
          <t>Date</t>
        </is>
      </c>
      <c r="K122" s="32" t="inlineStr">
        <is>
          <t>URL</t>
        </is>
      </c>
      <c r="L122" s="32" t="inlineStr">
        <is>
          <t>Selected</t>
        </is>
      </c>
      <c r="M122" s="32" t="inlineStr">
        <is>
          <t>Review</t>
        </is>
      </c>
    </row>
    <row r="123">
      <c r="A123" s="33" t="inlineStr">
        <is>
          <t>PSR-0001</t>
        </is>
      </c>
      <c r="B123" s="33" t="inlineStr">
        <is>
          <t>ING-001</t>
        </is>
      </c>
      <c r="C123" s="33" t="inlineStr">
        <is>
          <t>Мука пшеничная хлебопекарная</t>
        </is>
      </c>
      <c r="D123" s="33" t="inlineStr">
        <is>
          <t>Мука ЛЕНТА высший сорт</t>
        </is>
      </c>
      <c r="E123" s="33" t="inlineStr">
        <is>
          <t>Лента</t>
        </is>
      </c>
      <c r="F123" s="33" t="n">
        <v>1</v>
      </c>
      <c r="G123" s="33" t="inlineStr">
        <is>
          <t>кг</t>
        </is>
      </c>
      <c r="H123" s="33" t="n">
        <v>54.99</v>
      </c>
      <c r="I123" s="33" t="n">
        <v>54.99</v>
      </c>
      <c r="J123" s="33" t="inlineStr">
        <is>
          <t>2026-08-03</t>
        </is>
      </c>
      <c r="K123" s="33" t="inlineStr">
        <is>
          <t>https://lenta.com/product/muka-pshenichnaya-vs-rossiya-1kg-30854/</t>
        </is>
      </c>
      <c r="L123" s="33" t="n">
        <v>1</v>
      </c>
      <c r="M123" s="33" t="inlineStr">
        <is>
          <t>VERIFIED_DIRECT_CARD</t>
        </is>
      </c>
    </row>
    <row r="124">
      <c r="A124" s="33" t="inlineStr">
        <is>
          <t>PSR-0003</t>
        </is>
      </c>
      <c r="B124" s="33" t="inlineStr">
        <is>
          <t>ING-001</t>
        </is>
      </c>
      <c r="C124" s="33" t="inlineStr">
        <is>
          <t>Мука пшеничная хлебопекарная</t>
        </is>
      </c>
      <c r="D124" s="33" t="inlineStr">
        <is>
          <t>Мука 365 ДНЕЙ хлебопекарная</t>
        </is>
      </c>
      <c r="E124" s="33" t="inlineStr">
        <is>
          <t>Лента</t>
        </is>
      </c>
      <c r="F124" s="33" t="n">
        <v>2</v>
      </c>
      <c r="G124" s="33" t="inlineStr">
        <is>
          <t>кг</t>
        </is>
      </c>
      <c r="H124" s="33" t="n">
        <v>59.99</v>
      </c>
      <c r="I124" s="33" t="n">
        <v>29.995</v>
      </c>
      <c r="J124" s="33" t="inlineStr">
        <is>
          <t>2026-08-03</t>
        </is>
      </c>
      <c r="K124" s="33" t="inlineStr">
        <is>
          <t>https://lenta.com/product/muka-pshenichnaya-hlebopekarnaya-1s-rossiya-2kg-295803/</t>
        </is>
      </c>
      <c r="L124" s="33" t="n">
        <v>1</v>
      </c>
      <c r="M124" s="33" t="inlineStr">
        <is>
          <t>VERIFIED_DIRECT_CARD</t>
        </is>
      </c>
    </row>
    <row r="125">
      <c r="A125" s="33" t="inlineStr">
        <is>
          <t>PSR-0004</t>
        </is>
      </c>
      <c r="B125" s="33" t="inlineStr">
        <is>
          <t>ING-003</t>
        </is>
      </c>
      <c r="C125" s="33" t="inlineStr">
        <is>
          <t>Дрожжи хлебопекарные</t>
        </is>
      </c>
      <c r="D125" s="33" t="inlineStr">
        <is>
          <t>Дрожжи САФ Левюр активные</t>
        </is>
      </c>
      <c r="E125" s="33" t="inlineStr">
        <is>
          <t>Лента</t>
        </is>
      </c>
      <c r="F125" s="33" t="n">
        <v>0.1</v>
      </c>
      <c r="G125" s="33" t="inlineStr">
        <is>
          <t>кг</t>
        </is>
      </c>
      <c r="H125" s="33" t="n">
        <v>94.98999999999999</v>
      </c>
      <c r="I125" s="33" t="n">
        <v>949.9</v>
      </c>
      <c r="J125" s="33" t="inlineStr">
        <is>
          <t>2026-08-03</t>
        </is>
      </c>
      <c r="K125" s="33" t="inlineStr">
        <is>
          <t>https://lenta.com/product/drozhzhi-levyur-hlebopekarnye-suhie-aktivnye-rossiya-100g-86736/</t>
        </is>
      </c>
      <c r="L125" s="33" t="n">
        <v>1</v>
      </c>
      <c r="M125" s="33" t="inlineStr">
        <is>
          <t>VERIFIED_DIRECT_CARD</t>
        </is>
      </c>
    </row>
    <row r="126">
      <c r="A126" s="33" t="inlineStr">
        <is>
          <t>PSR-0005</t>
        </is>
      </c>
      <c r="B126" s="33" t="inlineStr">
        <is>
          <t>ING-003</t>
        </is>
      </c>
      <c r="C126" s="33" t="inlineStr">
        <is>
          <t>Дрожжи хлебопекарные</t>
        </is>
      </c>
      <c r="D126" s="33" t="inlineStr">
        <is>
          <t>Дрожжи ANGEL активные</t>
        </is>
      </c>
      <c r="E126" s="33" t="inlineStr">
        <is>
          <t>Лента</t>
        </is>
      </c>
      <c r="F126" s="33" t="n">
        <v>0.1</v>
      </c>
      <c r="G126" s="33" t="inlineStr">
        <is>
          <t>кг</t>
        </is>
      </c>
      <c r="H126" s="33" t="n">
        <v>59.99</v>
      </c>
      <c r="I126" s="33" t="n">
        <v>599.9</v>
      </c>
      <c r="J126" s="33" t="inlineStr">
        <is>
          <t>2026-08-03</t>
        </is>
      </c>
      <c r="K126" s="33" t="inlineStr">
        <is>
          <t>https://lenta.com/product/drozhzhi-suhie-aktivnye-dvypechki-i-napitkov-rossiya-100g-650540/</t>
        </is>
      </c>
      <c r="L126" s="33" t="n">
        <v>1</v>
      </c>
      <c r="M126" s="33" t="inlineStr">
        <is>
          <t>VERIFIED_DIRECT_CARD</t>
        </is>
      </c>
    </row>
    <row r="127">
      <c r="A127" s="33" t="inlineStr">
        <is>
          <t>PSR-0006</t>
        </is>
      </c>
      <c r="B127" s="33" t="inlineStr">
        <is>
          <t>ING-003</t>
        </is>
      </c>
      <c r="C127" s="33" t="inlineStr">
        <is>
          <t>Дрожжи хлебопекарные</t>
        </is>
      </c>
      <c r="D127" s="33" t="inlineStr">
        <is>
          <t>Дрожжи SUPER сухие</t>
        </is>
      </c>
      <c r="E127" s="33" t="inlineStr">
        <is>
          <t>Лента</t>
        </is>
      </c>
      <c r="F127" s="33" t="n">
        <v>0.08</v>
      </c>
      <c r="G127" s="33" t="inlineStr">
        <is>
          <t>кг</t>
        </is>
      </c>
      <c r="H127" s="33" t="n">
        <v>49.99</v>
      </c>
      <c r="I127" s="33" t="n">
        <v>624.875</v>
      </c>
      <c r="J127" s="33" t="inlineStr">
        <is>
          <t>2026-08-03</t>
        </is>
      </c>
      <c r="K127" s="33" t="inlineStr">
        <is>
          <t>https://lenta.com/product/drozhzhi-hlebopekarnye-suhie-rossiya-80g-727787/</t>
        </is>
      </c>
      <c r="L127" s="33" t="n">
        <v>1</v>
      </c>
      <c r="M127" s="33" t="inlineStr">
        <is>
          <t>VERIFIED_DIRECT_CARD</t>
        </is>
      </c>
    </row>
    <row r="128">
      <c r="A128" s="33" t="inlineStr">
        <is>
          <t>PSR-0007</t>
        </is>
      </c>
      <c r="B128" s="33" t="inlineStr">
        <is>
          <t>ING-004</t>
        </is>
      </c>
      <c r="C128" s="33" t="inlineStr">
        <is>
          <t>Соль пищевая</t>
        </is>
      </c>
      <c r="D128" s="33" t="inlineStr">
        <is>
          <t>Соль Усольская</t>
        </is>
      </c>
      <c r="E128" s="33" t="inlineStr">
        <is>
          <t>Лента</t>
        </is>
      </c>
      <c r="F128" s="33" t="n">
        <v>1</v>
      </c>
      <c r="G128" s="33" t="inlineStr">
        <is>
          <t>кг</t>
        </is>
      </c>
      <c r="H128" s="33" t="n">
        <v>42.99</v>
      </c>
      <c r="I128" s="33" t="n">
        <v>42.99</v>
      </c>
      <c r="J128" s="33" t="inlineStr">
        <is>
          <t>2026-08-03</t>
        </is>
      </c>
      <c r="K128" s="33" t="inlineStr">
        <is>
          <t>https://lenta.com/product/sol-usolskaya-pishhevaya-vyvarochnaya-jodirovannaya-rossiya-1kg-214838/</t>
        </is>
      </c>
      <c r="L128" s="33" t="n">
        <v>1</v>
      </c>
      <c r="M128" s="33" t="inlineStr">
        <is>
          <t>VERIFIED_DIRECT_CARD</t>
        </is>
      </c>
    </row>
    <row r="129">
      <c r="A129" s="33" t="inlineStr">
        <is>
          <t>PSR-0009</t>
        </is>
      </c>
      <c r="B129" s="33" t="inlineStr">
        <is>
          <t>ING-026</t>
        </is>
      </c>
      <c r="C129" s="33" t="inlineStr">
        <is>
          <t>Яйцо или меланж</t>
        </is>
      </c>
      <c r="D129" s="33" t="inlineStr">
        <is>
          <t>Меланж пастеризованный GROVO</t>
        </is>
      </c>
      <c r="E129" s="33" t="inlineStr">
        <is>
          <t>DA-Mart / GROVO</t>
        </is>
      </c>
      <c r="F129" s="33" t="n">
        <v>0.9</v>
      </c>
      <c r="G129" s="33" t="inlineStr">
        <is>
          <t>кг</t>
        </is>
      </c>
      <c r="H129" s="33" t="n">
        <v>361.5</v>
      </c>
      <c r="I129" s="33" t="n">
        <v>401.666667</v>
      </c>
      <c r="J129" s="33" t="inlineStr">
        <is>
          <t>2026-08-03</t>
        </is>
      </c>
      <c r="K129" s="33" t="inlineStr">
        <is>
          <t>https://da-mart.ru/catalog/goods/296776/</t>
        </is>
      </c>
      <c r="L129" s="33" t="n">
        <v>1</v>
      </c>
      <c r="M129" s="33" t="inlineStr">
        <is>
          <t>VERIFIED_DIRECT_CARD</t>
        </is>
      </c>
    </row>
    <row r="130">
      <c r="A130" s="33" t="inlineStr">
        <is>
          <t>PSR-0010</t>
        </is>
      </c>
      <c r="B130" s="33" t="inlineStr">
        <is>
          <t>ING-027</t>
        </is>
      </c>
      <c r="C130" s="33" t="inlineStr">
        <is>
          <t>Масло сливочное</t>
        </is>
      </c>
      <c r="D130" s="33" t="inlineStr">
        <is>
          <t>Масло Вкуснотеево 82.5%</t>
        </is>
      </c>
      <c r="E130" s="33" t="inlineStr">
        <is>
          <t>Лента</t>
        </is>
      </c>
      <c r="F130" s="33" t="n">
        <v>0.18</v>
      </c>
      <c r="G130" s="33" t="inlineStr">
        <is>
          <t>кг</t>
        </is>
      </c>
      <c r="H130" s="33" t="n">
        <v>199.99</v>
      </c>
      <c r="I130" s="33" t="n">
        <v>1111.055556</v>
      </c>
      <c r="J130" s="33" t="inlineStr">
        <is>
          <t>2026-08-03</t>
        </is>
      </c>
      <c r="K130" s="33" t="inlineStr">
        <is>
          <t>https://lenta.com/product/maslo-slivochnoe-vkusnoteevo-tradicionnoe-825-rossiya-180g-743324/</t>
        </is>
      </c>
      <c r="L130" s="33" t="n">
        <v>1</v>
      </c>
      <c r="M130" s="33" t="inlineStr">
        <is>
          <t>VERIFIED_DIRECT_CARD</t>
        </is>
      </c>
    </row>
    <row r="131">
      <c r="A131" s="33" t="inlineStr">
        <is>
          <t>PSR-0013</t>
        </is>
      </c>
      <c r="B131" s="33" t="inlineStr">
        <is>
          <t>ING-028</t>
        </is>
      </c>
      <c r="C131" s="33" t="inlineStr">
        <is>
          <t>Сахар</t>
        </is>
      </c>
      <c r="D131" s="33" t="inlineStr">
        <is>
          <t>Сахар ЛЕНТА</t>
        </is>
      </c>
      <c r="E131" s="33" t="inlineStr">
        <is>
          <t>Лента</t>
        </is>
      </c>
      <c r="F131" s="33" t="n">
        <v>1</v>
      </c>
      <c r="G131" s="33" t="inlineStr">
        <is>
          <t>кг</t>
        </is>
      </c>
      <c r="H131" s="33" t="n">
        <v>99.98999999999999</v>
      </c>
      <c r="I131" s="33" t="n">
        <v>99.98999999999999</v>
      </c>
      <c r="J131" s="33" t="inlineStr">
        <is>
          <t>2026-08-03</t>
        </is>
      </c>
      <c r="K131" s="33" t="inlineStr">
        <is>
          <t>https://lenta.com/product/sakhar-pesok-lenta-rossiya-1kg-717070/</t>
        </is>
      </c>
      <c r="L131" s="33" t="n">
        <v>1</v>
      </c>
      <c r="M131" s="33" t="inlineStr">
        <is>
          <t>VERIFIED_DIRECT_CARD</t>
        </is>
      </c>
    </row>
    <row r="132">
      <c r="A132" s="33" t="inlineStr">
        <is>
          <t>PSR-0014</t>
        </is>
      </c>
      <c r="B132" s="33" t="inlineStr">
        <is>
          <t>ING-009</t>
        </is>
      </c>
      <c r="C132" s="33" t="inlineStr">
        <is>
          <t>Моцарелла</t>
        </is>
      </c>
      <c r="D132" s="33" t="inlineStr">
        <is>
          <t>Моцарелла Bonfesto Пицца</t>
        </is>
      </c>
      <c r="E132" s="33" t="inlineStr">
        <is>
          <t>Ашан</t>
        </is>
      </c>
      <c r="F132" s="33" t="n">
        <v>1</v>
      </c>
      <c r="G132" s="33" t="inlineStr">
        <is>
          <t>кг</t>
        </is>
      </c>
      <c r="H132" s="33" t="n">
        <v>899.99</v>
      </c>
      <c r="I132" s="33" t="n">
        <v>899.99</v>
      </c>
      <c r="J132" s="33" t="inlineStr">
        <is>
          <t>2026-08-03</t>
        </is>
      </c>
      <c r="K132" s="33" t="inlineStr">
        <is>
          <t>https://www.auchan.ru/product/syr-mocarella-picca-40-bonf/</t>
        </is>
      </c>
      <c r="L132" s="33" t="n">
        <v>1</v>
      </c>
      <c r="M132" s="33" t="inlineStr">
        <is>
          <t>VERIFIED_DIRECT_CARD</t>
        </is>
      </c>
    </row>
    <row r="133">
      <c r="A133" s="33" t="inlineStr">
        <is>
          <t>PSR-0015</t>
        </is>
      </c>
      <c r="B133" s="33" t="inlineStr">
        <is>
          <t>ING-009</t>
        </is>
      </c>
      <c r="C133" s="33" t="inlineStr">
        <is>
          <t>Моцарелла</t>
        </is>
      </c>
      <c r="D133" s="33" t="inlineStr">
        <is>
          <t>Моцарелла Primolatto</t>
        </is>
      </c>
      <c r="E133" s="33" t="inlineStr">
        <is>
          <t>Ашан</t>
        </is>
      </c>
      <c r="F133" s="33" t="n">
        <v>0.25</v>
      </c>
      <c r="G133" s="33" t="inlineStr">
        <is>
          <t>кг</t>
        </is>
      </c>
      <c r="H133" s="33" t="n">
        <v>229.99</v>
      </c>
      <c r="I133" s="33" t="n">
        <v>919.96</v>
      </c>
      <c r="J133" s="33" t="inlineStr">
        <is>
          <t>2026-08-03</t>
        </is>
      </c>
      <c r="K133" s="33" t="inlineStr">
        <is>
          <t>https://www.auchan.ru/product/mocarella-250g-primolatto-bzmzh/</t>
        </is>
      </c>
      <c r="L133" s="33" t="n">
        <v>1</v>
      </c>
      <c r="M133" s="33" t="inlineStr">
        <is>
          <t>VERIFIED_DIRECT_CARD</t>
        </is>
      </c>
    </row>
    <row r="134">
      <c r="A134" s="33" t="inlineStr">
        <is>
          <t>PSR-0017</t>
        </is>
      </c>
      <c r="B134" s="33" t="inlineStr">
        <is>
          <t>ING-010</t>
        </is>
      </c>
      <c r="C134" s="33" t="inlineStr">
        <is>
          <t>Пармезан</t>
        </is>
      </c>
      <c r="D134" s="33" t="inlineStr">
        <is>
          <t>Пармезан Dolce Granto</t>
        </is>
      </c>
      <c r="E134" s="33" t="inlineStr">
        <is>
          <t>Ашан</t>
        </is>
      </c>
      <c r="F134" s="33" t="n">
        <v>0.2</v>
      </c>
      <c r="G134" s="33" t="inlineStr">
        <is>
          <t>кг</t>
        </is>
      </c>
      <c r="H134" s="33" t="n">
        <v>419.99</v>
      </c>
      <c r="I134" s="33" t="n">
        <v>2099.95</v>
      </c>
      <c r="J134" s="33" t="inlineStr">
        <is>
          <t>2026-08-03</t>
        </is>
      </c>
      <c r="K134" s="33" t="inlineStr">
        <is>
          <t>https://www.auchan.ru/product/syr-parmezan-dolce-fasov-200g/</t>
        </is>
      </c>
      <c r="L134" s="33" t="n">
        <v>1</v>
      </c>
      <c r="M134" s="33" t="inlineStr">
        <is>
          <t>VERIFIED_DIRECT_CARD</t>
        </is>
      </c>
    </row>
    <row r="135">
      <c r="A135" s="33" t="inlineStr">
        <is>
          <t>PSR-0018</t>
        </is>
      </c>
      <c r="B135" s="33" t="inlineStr">
        <is>
          <t>ING-010</t>
        </is>
      </c>
      <c r="C135" s="33" t="inlineStr">
        <is>
          <t>Пармезан</t>
        </is>
      </c>
      <c r="D135" s="33" t="inlineStr">
        <is>
          <t>Пармезан Поставы городок</t>
        </is>
      </c>
      <c r="E135" s="33" t="inlineStr">
        <is>
          <t>Ашан</t>
        </is>
      </c>
      <c r="F135" s="33" t="n">
        <v>0.2</v>
      </c>
      <c r="G135" s="33" t="inlineStr">
        <is>
          <t>кг</t>
        </is>
      </c>
      <c r="H135" s="33" t="n">
        <v>189.99</v>
      </c>
      <c r="I135" s="33" t="n">
        <v>949.95</v>
      </c>
      <c r="J135" s="33" t="inlineStr">
        <is>
          <t>2026-08-03</t>
        </is>
      </c>
      <c r="K135" s="33" t="inlineStr">
        <is>
          <t>https://www.auchan.ru/product/syr-parmezan-postavy-45-200g/</t>
        </is>
      </c>
      <c r="L135" s="33" t="n">
        <v>1</v>
      </c>
      <c r="M135" s="33" t="inlineStr">
        <is>
          <t>VERIFIED_DIRECT_CARD</t>
        </is>
      </c>
    </row>
    <row r="136">
      <c r="A136" s="33" t="inlineStr">
        <is>
          <t>PSR-0019</t>
        </is>
      </c>
      <c r="B136" s="33" t="inlineStr">
        <is>
          <t>ING-010</t>
        </is>
      </c>
      <c r="C136" s="33" t="inlineStr">
        <is>
          <t>Пармезан</t>
        </is>
      </c>
      <c r="D136" s="33" t="inlineStr">
        <is>
          <t>Пармезан Сыробогатов</t>
        </is>
      </c>
      <c r="E136" s="33" t="inlineStr">
        <is>
          <t>Ашан</t>
        </is>
      </c>
      <c r="F136" s="33" t="n">
        <v>0.2</v>
      </c>
      <c r="G136" s="33" t="inlineStr">
        <is>
          <t>кг</t>
        </is>
      </c>
      <c r="H136" s="33" t="n">
        <v>353.99</v>
      </c>
      <c r="I136" s="33" t="n">
        <v>1769.95</v>
      </c>
      <c r="J136" s="33" t="inlineStr">
        <is>
          <t>2026-08-03</t>
        </is>
      </c>
      <c r="K136" s="33" t="inlineStr">
        <is>
          <t>https://www.auchan.ru/product/cyr-tverdyy-syrobogatov-parmezan-40-200-g/</t>
        </is>
      </c>
      <c r="L136" s="33" t="n">
        <v>1</v>
      </c>
      <c r="M136" s="33" t="inlineStr">
        <is>
          <t>VERIFIED_DIRECT_CARD</t>
        </is>
      </c>
    </row>
    <row r="137">
      <c r="A137" s="33" t="inlineStr">
        <is>
          <t>PSR-0020</t>
        </is>
      </c>
      <c r="B137" s="33" t="inlineStr">
        <is>
          <t>ING-010</t>
        </is>
      </c>
      <c r="C137" s="33" t="inlineStr">
        <is>
          <t>Пармезан</t>
        </is>
      </c>
      <c r="D137" s="33" t="inlineStr">
        <is>
          <t>Пармезан Laime</t>
        </is>
      </c>
      <c r="E137" s="33" t="inlineStr">
        <is>
          <t>Ашан</t>
        </is>
      </c>
      <c r="F137" s="33" t="n">
        <v>0.2</v>
      </c>
      <c r="G137" s="33" t="inlineStr">
        <is>
          <t>кг</t>
        </is>
      </c>
      <c r="H137" s="33" t="n">
        <v>418.49</v>
      </c>
      <c r="I137" s="33" t="n">
        <v>2092.45</v>
      </c>
      <c r="J137" s="33" t="inlineStr">
        <is>
          <t>2026-08-03</t>
        </is>
      </c>
      <c r="K137" s="33" t="inlineStr">
        <is>
          <t>https://www.auchan.ru/product/syr-tverdyy-laime-parmezan-200-g/</t>
        </is>
      </c>
      <c r="L137" s="33" t="n">
        <v>1</v>
      </c>
      <c r="M137" s="33" t="inlineStr">
        <is>
          <t>VERIFIED_DIRECT_CARD</t>
        </is>
      </c>
    </row>
    <row r="138">
      <c r="A138" s="33" t="inlineStr">
        <is>
          <t>PSR-0021</t>
        </is>
      </c>
      <c r="B138" s="33" t="inlineStr">
        <is>
          <t>ING-012</t>
        </is>
      </c>
      <c r="C138" s="33" t="inlineStr">
        <is>
          <t>Горгонзола</t>
        </is>
      </c>
      <c r="D138" s="33" t="inlineStr">
        <is>
          <t>Горгонзола Botticello</t>
        </is>
      </c>
      <c r="E138" s="33" t="inlineStr">
        <is>
          <t>Лента</t>
        </is>
      </c>
      <c r="F138" s="33" t="n">
        <v>0.1</v>
      </c>
      <c r="G138" s="33" t="inlineStr">
        <is>
          <t>кг</t>
        </is>
      </c>
      <c r="H138" s="33" t="n">
        <v>189.99</v>
      </c>
      <c r="I138" s="33" t="n">
        <v>1899.9</v>
      </c>
      <c r="J138" s="33" t="inlineStr">
        <is>
          <t>2026-08-03</t>
        </is>
      </c>
      <c r="K138" s="33" t="inlineStr">
        <is>
          <t>https://lenta.com/product/syr-s-golubojj-plesenyu-gorgonzola-50-bez-zmzh-rossiya-100g-909826/</t>
        </is>
      </c>
      <c r="L138" s="33" t="n">
        <v>1</v>
      </c>
      <c r="M138" s="33" t="inlineStr">
        <is>
          <t>VERIFIED_DIRECT_CARD</t>
        </is>
      </c>
    </row>
    <row r="139">
      <c r="A139" s="33" t="inlineStr">
        <is>
          <t>PSR-0023</t>
        </is>
      </c>
      <c r="B139" s="33" t="inlineStr">
        <is>
          <t>ING-012</t>
        </is>
      </c>
      <c r="C139" s="33" t="inlineStr">
        <is>
          <t>Горгонзола</t>
        </is>
      </c>
      <c r="D139" s="33" t="inlineStr">
        <is>
          <t>Горгонзола Ненашево</t>
        </is>
      </c>
      <c r="E139" s="33" t="inlineStr">
        <is>
          <t>Лента</t>
        </is>
      </c>
      <c r="F139" s="33" t="n">
        <v>0.1</v>
      </c>
      <c r="G139" s="33" t="inlineStr">
        <is>
          <t>кг</t>
        </is>
      </c>
      <c r="H139" s="33" t="n">
        <v>169.99</v>
      </c>
      <c r="I139" s="33" t="n">
        <v>1699.9</v>
      </c>
      <c r="J139" s="33" t="inlineStr">
        <is>
          <t>2026-08-03</t>
        </is>
      </c>
      <c r="K139" s="33" t="inlineStr">
        <is>
          <t>https://lenta.com/product/syr-gorgonzola-55-bez-zmzh-rossiya-100g-703203/</t>
        </is>
      </c>
      <c r="L139" s="33" t="n">
        <v>1</v>
      </c>
      <c r="M139" s="33" t="inlineStr">
        <is>
          <t>VERIFIED_DIRECT_CARD</t>
        </is>
      </c>
    </row>
    <row r="140">
      <c r="A140" s="33" t="inlineStr">
        <is>
          <t>PSR-0025</t>
        </is>
      </c>
      <c r="B140" s="33" t="inlineStr">
        <is>
          <t>ING-030</t>
        </is>
      </c>
      <c r="C140" s="33" t="inlineStr">
        <is>
          <t>Буррата</t>
        </is>
      </c>
      <c r="D140" s="33" t="inlineStr">
        <is>
          <t>Буррата Galbani mini</t>
        </is>
      </c>
      <c r="E140" s="33" t="inlineStr">
        <is>
          <t>Ашан</t>
        </is>
      </c>
      <c r="F140" s="33" t="n">
        <v>0.125</v>
      </c>
      <c r="G140" s="33" t="inlineStr">
        <is>
          <t>кг</t>
        </is>
      </c>
      <c r="H140" s="33" t="n">
        <v>399.99</v>
      </c>
      <c r="I140" s="33" t="n">
        <v>3199.92</v>
      </c>
      <c r="J140" s="33" t="inlineStr">
        <is>
          <t>2026-08-03</t>
        </is>
      </c>
      <c r="K140" s="33" t="inlineStr">
        <is>
          <t>https://www.auchan.ru/product/syr-galbani-burrata-50-125-g/</t>
        </is>
      </c>
      <c r="L140" s="33" t="n">
        <v>1</v>
      </c>
      <c r="M140" s="33" t="inlineStr">
        <is>
          <t>VERIFIED_DIRECT_CARD</t>
        </is>
      </c>
    </row>
    <row r="141">
      <c r="A141" s="33" t="inlineStr">
        <is>
          <t>PSR-0026</t>
        </is>
      </c>
      <c r="B141" s="33" t="inlineStr">
        <is>
          <t>ING-030</t>
        </is>
      </c>
      <c r="C141" s="33" t="inlineStr">
        <is>
          <t>Буррата</t>
        </is>
      </c>
      <c r="D141" s="33" t="inlineStr">
        <is>
          <t>Буррата Калачево</t>
        </is>
      </c>
      <c r="E141" s="33" t="inlineStr">
        <is>
          <t>Ашан</t>
        </is>
      </c>
      <c r="F141" s="33" t="n">
        <v>0.125</v>
      </c>
      <c r="G141" s="33" t="inlineStr">
        <is>
          <t>кг</t>
        </is>
      </c>
      <c r="H141" s="33" t="n">
        <v>204.99</v>
      </c>
      <c r="I141" s="33" t="n">
        <v>1639.92</v>
      </c>
      <c r="J141" s="33" t="inlineStr">
        <is>
          <t>2026-08-03</t>
        </is>
      </c>
      <c r="K141" s="33" t="inlineStr">
        <is>
          <t>https://www.auchan.ru/product/syr-buratta-kalachevo-125g/</t>
        </is>
      </c>
      <c r="L141" s="33" t="n">
        <v>1</v>
      </c>
      <c r="M141" s="33" t="inlineStr">
        <is>
          <t>VERIFIED_DIRECT_CARD</t>
        </is>
      </c>
    </row>
    <row r="142">
      <c r="A142" s="33" t="inlineStr">
        <is>
          <t>PSR-0027</t>
        </is>
      </c>
      <c r="B142" s="33" t="inlineStr">
        <is>
          <t>ING-030</t>
        </is>
      </c>
      <c r="C142" s="33" t="inlineStr">
        <is>
          <t>Буррата</t>
        </is>
      </c>
      <c r="D142" s="33" t="inlineStr">
        <is>
          <t>Буррата Калачево</t>
        </is>
      </c>
      <c r="E142" s="33" t="inlineStr">
        <is>
          <t>Ашан</t>
        </is>
      </c>
      <c r="F142" s="33" t="n">
        <v>0.125</v>
      </c>
      <c r="G142" s="33" t="inlineStr">
        <is>
          <t>кг</t>
        </is>
      </c>
      <c r="H142" s="33" t="n">
        <v>179</v>
      </c>
      <c r="I142" s="33" t="n">
        <v>1432</v>
      </c>
      <c r="J142" s="33" t="inlineStr">
        <is>
          <t>2026-08-03</t>
        </is>
      </c>
      <c r="K142" s="33" t="inlineStr">
        <is>
          <t>https://www.auchan.ru/product/syr-buratta-premium-125g/</t>
        </is>
      </c>
      <c r="L142" s="33" t="n">
        <v>1</v>
      </c>
      <c r="M142" s="33" t="inlineStr">
        <is>
          <t>VERIFIED_DIRECT_CARD</t>
        </is>
      </c>
    </row>
    <row r="143">
      <c r="A143" s="33" t="inlineStr">
        <is>
          <t>PSR-0028</t>
        </is>
      </c>
      <c r="B143" s="33" t="inlineStr">
        <is>
          <t>ING-030</t>
        </is>
      </c>
      <c r="C143" s="33" t="inlineStr">
        <is>
          <t>Буррата</t>
        </is>
      </c>
      <c r="D143" s="33" t="inlineStr">
        <is>
          <t>Буррата ЛЕНТА FRESH</t>
        </is>
      </c>
      <c r="E143" s="33" t="inlineStr">
        <is>
          <t>Лента</t>
        </is>
      </c>
      <c r="F143" s="33" t="n">
        <v>0.15</v>
      </c>
      <c r="G143" s="33" t="inlineStr">
        <is>
          <t>кг</t>
        </is>
      </c>
      <c r="H143" s="33" t="n">
        <v>214.99</v>
      </c>
      <c r="I143" s="33" t="n">
        <v>1433.266667</v>
      </c>
      <c r="J143" s="33" t="inlineStr">
        <is>
          <t>2026-08-03</t>
        </is>
      </c>
      <c r="K143" s="33" t="inlineStr">
        <is>
          <t>https://lenta.com/product/syr-myagkijj-burrata-bez-zmzh-rossiya-150g-712603/</t>
        </is>
      </c>
      <c r="L143" s="33" t="n">
        <v>1</v>
      </c>
      <c r="M143" s="33" t="inlineStr">
        <is>
          <t>VERIFIED_DIRECT_CARD</t>
        </is>
      </c>
    </row>
    <row r="144">
      <c r="A144" s="33" t="inlineStr">
        <is>
          <t>PSR-0031</t>
        </is>
      </c>
      <c r="B144" s="33" t="inlineStr">
        <is>
          <t>ING-036</t>
        </is>
      </c>
      <c r="C144" s="33" t="inlineStr">
        <is>
          <t>Креветки очищенные</t>
        </is>
      </c>
      <c r="D144" s="33" t="inlineStr">
        <is>
          <t>Креветки Fish&amp;More очищенные</t>
        </is>
      </c>
      <c r="E144" s="33" t="inlineStr">
        <is>
          <t>Ашан</t>
        </is>
      </c>
      <c r="F144" s="33" t="n">
        <v>0.5</v>
      </c>
      <c r="G144" s="33" t="inlineStr">
        <is>
          <t>кг</t>
        </is>
      </c>
      <c r="H144" s="33" t="n">
        <v>899.99</v>
      </c>
      <c r="I144" s="33" t="n">
        <v>1799.98</v>
      </c>
      <c r="J144" s="33" t="inlineStr">
        <is>
          <t>2026-08-03</t>
        </is>
      </c>
      <c r="K144" s="33" t="inlineStr">
        <is>
          <t>https://www.auchan.ru/product/krevetka-s-m-26-30-och-s-hv-0-5/</t>
        </is>
      </c>
      <c r="L144" s="33" t="n">
        <v>1</v>
      </c>
      <c r="M144" s="33" t="inlineStr">
        <is>
          <t>VERIFIED_DIRECT_CARD</t>
        </is>
      </c>
    </row>
    <row r="145">
      <c r="A145" s="33" t="inlineStr">
        <is>
          <t>PSR-0032</t>
        </is>
      </c>
      <c r="B145" s="33" t="inlineStr">
        <is>
          <t>ING-036</t>
        </is>
      </c>
      <c r="C145" s="33" t="inlineStr">
        <is>
          <t>Креветки очищенные</t>
        </is>
      </c>
      <c r="D145" s="33" t="inlineStr">
        <is>
          <t>Креветки Polar очищенные</t>
        </is>
      </c>
      <c r="E145" s="33" t="inlineStr">
        <is>
          <t>Ашан</t>
        </is>
      </c>
      <c r="F145" s="33" t="n">
        <v>0.5</v>
      </c>
      <c r="G145" s="33" t="inlineStr">
        <is>
          <t>кг</t>
        </is>
      </c>
      <c r="H145" s="33" t="n">
        <v>769.99</v>
      </c>
      <c r="I145" s="33" t="n">
        <v>1539.98</v>
      </c>
      <c r="J145" s="33" t="inlineStr">
        <is>
          <t>2026-08-03</t>
        </is>
      </c>
      <c r="K145" s="33" t="inlineStr">
        <is>
          <t>https://www.auchan.ru/product/krevetki-ochishchennye-polar-vareno-morozhenye-200-300-500-g/</t>
        </is>
      </c>
      <c r="L145" s="33" t="n">
        <v>1</v>
      </c>
      <c r="M145" s="33" t="inlineStr">
        <is>
          <t>VERIFIED_DIRECT_CARD</t>
        </is>
      </c>
    </row>
    <row r="146">
      <c r="A146" s="33" t="inlineStr">
        <is>
          <t>PSR-0033</t>
        </is>
      </c>
      <c r="B146" s="33" t="inlineStr">
        <is>
          <t>ING-036</t>
        </is>
      </c>
      <c r="C146" s="33" t="inlineStr">
        <is>
          <t>Креветки очищенные</t>
        </is>
      </c>
      <c r="D146" s="33" t="inlineStr">
        <is>
          <t>Креветки Океан Вкуса 41/50</t>
        </is>
      </c>
      <c r="E146" s="33" t="inlineStr">
        <is>
          <t>Ашан</t>
        </is>
      </c>
      <c r="F146" s="33" t="n">
        <v>0.5</v>
      </c>
      <c r="G146" s="33" t="inlineStr">
        <is>
          <t>кг</t>
        </is>
      </c>
      <c r="H146" s="33" t="n">
        <v>829.99</v>
      </c>
      <c r="I146" s="33" t="n">
        <v>1659.98</v>
      </c>
      <c r="J146" s="33" t="inlineStr">
        <is>
          <t>2026-08-03</t>
        </is>
      </c>
      <c r="K146" s="33" t="inlineStr">
        <is>
          <t>https://www.auchan.ru/product/krevetki-korolevskie-okean-vkusa-ochishchennye-s-hvostom-41-50-500-g/</t>
        </is>
      </c>
      <c r="L146" s="33" t="n">
        <v>1</v>
      </c>
      <c r="M146" s="33" t="inlineStr">
        <is>
          <t>VERIFIED_DIRECT_CARD</t>
        </is>
      </c>
    </row>
    <row r="147">
      <c r="A147" s="33" t="inlineStr">
        <is>
          <t>PSR-0034</t>
        </is>
      </c>
      <c r="B147" s="33" t="inlineStr">
        <is>
          <t>ING-036</t>
        </is>
      </c>
      <c r="C147" s="33" t="inlineStr">
        <is>
          <t>Креветки очищенные</t>
        </is>
      </c>
      <c r="D147" s="33" t="inlineStr">
        <is>
          <t>Креветки Вкус Арт</t>
        </is>
      </c>
      <c r="E147" s="33" t="inlineStr">
        <is>
          <t>Ашан</t>
        </is>
      </c>
      <c r="F147" s="33" t="n">
        <v>0.5</v>
      </c>
      <c r="G147" s="33" t="inlineStr">
        <is>
          <t>кг</t>
        </is>
      </c>
      <c r="H147" s="33" t="n">
        <v>909.99</v>
      </c>
      <c r="I147" s="33" t="n">
        <v>1819.98</v>
      </c>
      <c r="J147" s="33" t="inlineStr">
        <is>
          <t>2026-08-03</t>
        </is>
      </c>
      <c r="K147" s="33" t="inlineStr">
        <is>
          <t>https://www.auchan.ru/product/krevetka-korol-sm-ochishch-vkusart/</t>
        </is>
      </c>
      <c r="L147" s="33" t="n">
        <v>1</v>
      </c>
      <c r="M147" s="33" t="inlineStr">
        <is>
          <t>VERIFIED_DIRECT_CARD</t>
        </is>
      </c>
    </row>
    <row r="148">
      <c r="A148" s="33" t="inlineStr">
        <is>
          <t>PSR-0035</t>
        </is>
      </c>
      <c r="B148" s="33" t="inlineStr">
        <is>
          <t>ING-036</t>
        </is>
      </c>
      <c r="C148" s="33" t="inlineStr">
        <is>
          <t>Креветки очищенные</t>
        </is>
      </c>
      <c r="D148" s="33" t="inlineStr">
        <is>
          <t>Креветки ЛЕНТА очищенные</t>
        </is>
      </c>
      <c r="E148" s="33" t="inlineStr">
        <is>
          <t>Лента</t>
        </is>
      </c>
      <c r="F148" s="33" t="n">
        <v>0.5</v>
      </c>
      <c r="G148" s="33" t="inlineStr">
        <is>
          <t>кг</t>
        </is>
      </c>
      <c r="H148" s="33" t="n">
        <v>749.99</v>
      </c>
      <c r="I148" s="33" t="n">
        <v>1499.98</v>
      </c>
      <c r="J148" s="33" t="inlineStr">
        <is>
          <t>2026-08-03</t>
        </is>
      </c>
      <c r="K148" s="33" t="inlineStr">
        <is>
          <t>https://lenta.com/product/krevetki-ochishchennye-vm-200300-rossiya-500g-227076/</t>
        </is>
      </c>
      <c r="L148" s="33" t="n">
        <v>1</v>
      </c>
      <c r="M148" s="33" t="inlineStr">
        <is>
          <t>VERIFIED_DIRECT_CARD</t>
        </is>
      </c>
    </row>
    <row r="149">
      <c r="A149" s="33" t="inlineStr">
        <is>
          <t>PSR-0038</t>
        </is>
      </c>
      <c r="B149" s="33" t="inlineStr">
        <is>
          <t>ING-054</t>
        </is>
      </c>
      <c r="C149" s="33" t="inlineStr">
        <is>
          <t>Лосось слабосолёный, готовое филе</t>
        </is>
      </c>
      <c r="D149" s="33" t="inlineStr">
        <is>
          <t>Лосось слабосоленый филе</t>
        </is>
      </c>
      <c r="E149" s="33" t="inlineStr">
        <is>
          <t>Лента</t>
        </is>
      </c>
      <c r="F149" s="33" t="n">
        <v>1</v>
      </c>
      <c r="G149" s="33" t="inlineStr">
        <is>
          <t>кг</t>
        </is>
      </c>
      <c r="H149" s="33" t="n">
        <v>3899.99</v>
      </c>
      <c r="I149" s="33" t="n">
        <v>3899.99</v>
      </c>
      <c r="J149" s="33" t="inlineStr">
        <is>
          <t>2026-08-03</t>
        </is>
      </c>
      <c r="K149" s="33" t="inlineStr">
        <is>
          <t>https://lenta.com/product/losos-atlanticheskijj-file-slabosolenoe-rossiya-14426/</t>
        </is>
      </c>
      <c r="L149" s="33" t="n">
        <v>1</v>
      </c>
      <c r="M149" s="33" t="inlineStr">
        <is>
          <t>VERIFIED_DIRECT_CARD</t>
        </is>
      </c>
    </row>
    <row r="150">
      <c r="A150" s="33" t="inlineStr">
        <is>
          <t>PSR-0040</t>
        </is>
      </c>
      <c r="B150" s="33" t="inlineStr">
        <is>
          <t>ING-054</t>
        </is>
      </c>
      <c r="C150" s="33" t="inlineStr">
        <is>
          <t>Лосось слабосолёный, готовое филе</t>
        </is>
      </c>
      <c r="D150" s="33" t="inlineStr">
        <is>
          <t>Семга Русское море</t>
        </is>
      </c>
      <c r="E150" s="33" t="inlineStr">
        <is>
          <t>Ашан</t>
        </is>
      </c>
      <c r="F150" s="33" t="n">
        <v>0.3</v>
      </c>
      <c r="G150" s="33" t="inlineStr">
        <is>
          <t>кг</t>
        </is>
      </c>
      <c r="H150" s="33" t="n">
        <v>1199.99</v>
      </c>
      <c r="I150" s="33" t="n">
        <v>3999.966667</v>
      </c>
      <c r="J150" s="33" t="inlineStr">
        <is>
          <t>2026-08-03</t>
        </is>
      </c>
      <c r="K150" s="33" t="inlineStr">
        <is>
          <t>https://www.auchan.ru/product/semga-russkoe-more-slabosolenaya-file-kusok-300-g/</t>
        </is>
      </c>
      <c r="L150" s="33" t="n">
        <v>1</v>
      </c>
      <c r="M150" s="33" t="inlineStr">
        <is>
          <t>VERIFIED_DIRECT_CARD</t>
        </is>
      </c>
    </row>
    <row r="151">
      <c r="A151" s="33" t="inlineStr">
        <is>
          <t>PSR-0041</t>
        </is>
      </c>
      <c r="B151" s="33" t="inlineStr">
        <is>
          <t>ING-054</t>
        </is>
      </c>
      <c r="C151" s="33" t="inlineStr">
        <is>
          <t>Лосось слабосолёный, готовое филе</t>
        </is>
      </c>
      <c r="D151" s="33" t="inlineStr">
        <is>
          <t>Семга Русское море</t>
        </is>
      </c>
      <c r="E151" s="33" t="inlineStr">
        <is>
          <t>Ашан</t>
        </is>
      </c>
      <c r="F151" s="33" t="n">
        <v>0.2</v>
      </c>
      <c r="G151" s="33" t="inlineStr">
        <is>
          <t>кг</t>
        </is>
      </c>
      <c r="H151" s="33" t="n">
        <v>849.99</v>
      </c>
      <c r="I151" s="33" t="n">
        <v>4249.95</v>
      </c>
      <c r="J151" s="33" t="inlineStr">
        <is>
          <t>2026-08-03</t>
        </is>
      </c>
      <c r="K151" s="33" t="inlineStr">
        <is>
          <t>https://www.auchan.ru/product/semga-russkoe-more-slabosolenaya-file-kusok-200-g/</t>
        </is>
      </c>
      <c r="L151" s="33" t="n">
        <v>1</v>
      </c>
      <c r="M151" s="33" t="inlineStr">
        <is>
          <t>VERIFIED_DIRECT_CARD</t>
        </is>
      </c>
    </row>
    <row r="152">
      <c r="A152" s="33" t="inlineStr">
        <is>
          <t>PSR-0044</t>
        </is>
      </c>
      <c r="B152" s="33" t="inlineStr">
        <is>
          <t>ING-074</t>
        </is>
      </c>
      <c r="C152" s="33" t="inlineStr">
        <is>
          <t>Морковь</t>
        </is>
      </c>
      <c r="D152" s="33" t="inlineStr">
        <is>
          <t>Морковь весовая</t>
        </is>
      </c>
      <c r="E152" s="33" t="inlineStr">
        <is>
          <t>Лента</t>
        </is>
      </c>
      <c r="F152" s="33" t="n">
        <v>1</v>
      </c>
      <c r="G152" s="33" t="inlineStr">
        <is>
          <t>кг</t>
        </is>
      </c>
      <c r="H152" s="33" t="n">
        <v>49.99</v>
      </c>
      <c r="I152" s="33" t="n">
        <v>49.99</v>
      </c>
      <c r="J152" s="33" t="inlineStr">
        <is>
          <t>2026-08-03</t>
        </is>
      </c>
      <c r="K152" s="33" t="inlineStr">
        <is>
          <t>https://lenta.com/product/morkov-ves-1kg-303639/</t>
        </is>
      </c>
      <c r="L152" s="33" t="n">
        <v>1</v>
      </c>
      <c r="M152" s="33" t="inlineStr">
        <is>
          <t>VERIFIED_DIRECT_CARD</t>
        </is>
      </c>
    </row>
    <row r="153">
      <c r="A153" s="33" t="inlineStr">
        <is>
          <t>PSR-0046</t>
        </is>
      </c>
      <c r="B153" s="33" t="inlineStr">
        <is>
          <t>ING-076</t>
        </is>
      </c>
      <c r="C153" s="33" t="inlineStr">
        <is>
          <t>Треска, филе порционное</t>
        </is>
      </c>
      <c r="D153" s="33" t="inlineStr">
        <is>
          <t>Треска Borealis филе</t>
        </is>
      </c>
      <c r="E153" s="33" t="inlineStr">
        <is>
          <t>Ашан</t>
        </is>
      </c>
      <c r="F153" s="33" t="n">
        <v>0.6</v>
      </c>
      <c r="G153" s="33" t="inlineStr">
        <is>
          <t>кг</t>
        </is>
      </c>
      <c r="H153" s="33" t="n">
        <v>1249.99</v>
      </c>
      <c r="I153" s="33" t="n">
        <v>2083.316667</v>
      </c>
      <c r="J153" s="33" t="inlineStr">
        <is>
          <t>2026-08-03</t>
        </is>
      </c>
      <c r="K153" s="33" t="inlineStr">
        <is>
          <t>https://www.auchan.ru/product/treska-borealis-file-bez-shkury-600-g/</t>
        </is>
      </c>
      <c r="L153" s="33" t="n">
        <v>1</v>
      </c>
      <c r="M153" s="33" t="inlineStr">
        <is>
          <t>VERIFIED_DIRECT_CARD</t>
        </is>
      </c>
    </row>
    <row r="154">
      <c r="A154" s="33" t="inlineStr">
        <is>
          <t>PSR-0047</t>
        </is>
      </c>
      <c r="B154" s="33" t="inlineStr">
        <is>
          <t>ING-076</t>
        </is>
      </c>
      <c r="C154" s="33" t="inlineStr">
        <is>
          <t>Треска, филе порционное</t>
        </is>
      </c>
      <c r="D154" s="33" t="inlineStr">
        <is>
          <t>Треска охлажденная Мурманская</t>
        </is>
      </c>
      <c r="E154" s="33" t="inlineStr">
        <is>
          <t>Ашан</t>
        </is>
      </c>
      <c r="F154" s="33" t="n">
        <v>1</v>
      </c>
      <c r="G154" s="33" t="inlineStr">
        <is>
          <t>кг</t>
        </is>
      </c>
      <c r="H154" s="33" t="n">
        <v>1289.99</v>
      </c>
      <c r="I154" s="33" t="n">
        <v>1289.99</v>
      </c>
      <c r="J154" s="33" t="inlineStr">
        <is>
          <t>2026-08-03</t>
        </is>
      </c>
      <c r="K154" s="33" t="inlineStr">
        <is>
          <t>https://www.auchan.ru/product/treska_file_murm_bk_05_12/</t>
        </is>
      </c>
      <c r="L154" s="33" t="n">
        <v>1</v>
      </c>
      <c r="M154" s="33" t="inlineStr">
        <is>
          <t>VERIFIED_DIRECT_CARD</t>
        </is>
      </c>
    </row>
    <row r="155">
      <c r="A155" s="33" t="inlineStr">
        <is>
          <t>PSR-0048</t>
        </is>
      </c>
      <c r="B155" s="33" t="inlineStr">
        <is>
          <t>ING-076</t>
        </is>
      </c>
      <c r="C155" s="33" t="inlineStr">
        <is>
          <t>Треска, филе порционное</t>
        </is>
      </c>
      <c r="D155" s="33" t="inlineStr">
        <is>
          <t>Треска Красная птица филе</t>
        </is>
      </c>
      <c r="E155" s="33" t="inlineStr">
        <is>
          <t>Ашан</t>
        </is>
      </c>
      <c r="F155" s="33" t="n">
        <v>1</v>
      </c>
      <c r="G155" s="33" t="inlineStr">
        <is>
          <t>кг</t>
        </is>
      </c>
      <c r="H155" s="33" t="n">
        <v>999.99</v>
      </c>
      <c r="I155" s="33" t="n">
        <v>999.99</v>
      </c>
      <c r="J155" s="33" t="inlineStr">
        <is>
          <t>2026-08-03</t>
        </is>
      </c>
      <c r="K155" s="33" t="inlineStr">
        <is>
          <t>https://www.auchan.ru/product/kp-file-treski-b-k-ves/</t>
        </is>
      </c>
      <c r="L155" s="33" t="n">
        <v>1</v>
      </c>
      <c r="M155" s="33" t="inlineStr">
        <is>
          <t>VERIFIED_DIRECT_CARD</t>
        </is>
      </c>
    </row>
    <row r="156">
      <c r="A156" s="33" t="inlineStr">
        <is>
          <t>PSR-0049</t>
        </is>
      </c>
      <c r="B156" s="33" t="inlineStr">
        <is>
          <t>ING-076</t>
        </is>
      </c>
      <c r="C156" s="33" t="inlineStr">
        <is>
          <t>Треска, филе порционное</t>
        </is>
      </c>
      <c r="D156" s="33" t="inlineStr">
        <is>
          <t>Треска Вкус Арт филе</t>
        </is>
      </c>
      <c r="E156" s="33" t="inlineStr">
        <is>
          <t>Ашан</t>
        </is>
      </c>
      <c r="F156" s="33" t="n">
        <v>0.6</v>
      </c>
      <c r="G156" s="33" t="inlineStr">
        <is>
          <t>кг</t>
        </is>
      </c>
      <c r="H156" s="33" t="n">
        <v>539.99</v>
      </c>
      <c r="I156" s="33" t="n">
        <v>899.983333</v>
      </c>
      <c r="J156" s="33" t="inlineStr">
        <is>
          <t>2026-08-03</t>
        </is>
      </c>
      <c r="K156" s="33" t="inlineStr">
        <is>
          <t>https://www.auchan.ru/product/treska-file-vkus-art-600-gr/</t>
        </is>
      </c>
      <c r="L156" s="33" t="n">
        <v>1</v>
      </c>
      <c r="M156" s="33" t="inlineStr">
        <is>
          <t>VERIFIED_DIRECT_CARD</t>
        </is>
      </c>
    </row>
    <row r="157">
      <c r="A157" s="33" t="inlineStr">
        <is>
          <t>PSR-0050</t>
        </is>
      </c>
      <c r="B157" s="33" t="inlineStr">
        <is>
          <t>ING-077</t>
        </is>
      </c>
      <c r="C157" s="33" t="inlineStr">
        <is>
          <t>Сливки</t>
        </is>
      </c>
      <c r="D157" s="33" t="inlineStr">
        <is>
          <t>Сливки ЛЕНТА 33%</t>
        </is>
      </c>
      <c r="E157" s="33" t="inlineStr">
        <is>
          <t>Лента</t>
        </is>
      </c>
      <c r="F157" s="33" t="n">
        <v>0.5</v>
      </c>
      <c r="G157" s="33" t="inlineStr">
        <is>
          <t>кг</t>
        </is>
      </c>
      <c r="H157" s="33" t="n">
        <v>189.99</v>
      </c>
      <c r="I157" s="33" t="n">
        <v>379.98</v>
      </c>
      <c r="J157" s="33" t="inlineStr">
        <is>
          <t>2026-08-03</t>
        </is>
      </c>
      <c r="K157" s="33" t="inlineStr">
        <is>
          <t>https://lenta.com/product/slivki-upast-dlya-vzbivaniya-33-bez-zmzh-rossiya-500g-669483/</t>
        </is>
      </c>
      <c r="L157" s="33" t="n">
        <v>1</v>
      </c>
      <c r="M157" s="33" t="inlineStr">
        <is>
          <t>VERIFIED_DIRECT_CARD</t>
        </is>
      </c>
    </row>
    <row r="158">
      <c r="A158" s="33" t="inlineStr">
        <is>
          <t>PSR-0051</t>
        </is>
      </c>
      <c r="B158" s="33" t="inlineStr">
        <is>
          <t>ING-077</t>
        </is>
      </c>
      <c r="C158" s="33" t="inlineStr">
        <is>
          <t>Сливки</t>
        </is>
      </c>
      <c r="D158" s="33" t="inlineStr">
        <is>
          <t>Сливки БМК 33%</t>
        </is>
      </c>
      <c r="E158" s="33" t="inlineStr">
        <is>
          <t>Лента</t>
        </is>
      </c>
      <c r="F158" s="33" t="n">
        <v>0.5</v>
      </c>
      <c r="G158" s="33" t="inlineStr">
        <is>
          <t>кг</t>
        </is>
      </c>
      <c r="H158" s="33" t="n">
        <v>449.99</v>
      </c>
      <c r="I158" s="33" t="n">
        <v>899.98</v>
      </c>
      <c r="J158" s="33" t="inlineStr">
        <is>
          <t>2026-08-03</t>
        </is>
      </c>
      <c r="K158" s="33" t="inlineStr">
        <is>
          <t>https://lenta.com/product/slivki-upast-tva-33-bez-zmzh-rossiya-500g-564506/</t>
        </is>
      </c>
      <c r="L158" s="33" t="n">
        <v>1</v>
      </c>
      <c r="M158" s="33" t="inlineStr">
        <is>
          <t>VERIFIED_DIRECT_CARD</t>
        </is>
      </c>
    </row>
    <row r="159">
      <c r="A159" s="33" t="inlineStr">
        <is>
          <t>PSR-0052</t>
        </is>
      </c>
      <c r="B159" s="33" t="inlineStr">
        <is>
          <t>ING-077</t>
        </is>
      </c>
      <c r="C159" s="33" t="inlineStr">
        <is>
          <t>Сливки</t>
        </is>
      </c>
      <c r="D159" s="33" t="inlineStr">
        <is>
          <t>Сливки Село Зеленое 33%</t>
        </is>
      </c>
      <c r="E159" s="33" t="inlineStr">
        <is>
          <t>Лента</t>
        </is>
      </c>
      <c r="F159" s="33" t="n">
        <v>0.5</v>
      </c>
      <c r="G159" s="33" t="inlineStr">
        <is>
          <t>кг</t>
        </is>
      </c>
      <c r="H159" s="33" t="n">
        <v>449.99</v>
      </c>
      <c r="I159" s="33" t="n">
        <v>899.98</v>
      </c>
      <c r="J159" s="33" t="inlineStr">
        <is>
          <t>2026-08-03</t>
        </is>
      </c>
      <c r="K159" s="33" t="inlineStr">
        <is>
          <t>https://lenta.com/product/slivki-upast-dlya-vzbivaniya-33-bez-zmzh-rossiya-500g-440469/</t>
        </is>
      </c>
      <c r="L159" s="33" t="n">
        <v>1</v>
      </c>
      <c r="M159" s="33" t="inlineStr">
        <is>
          <t>VERIFIED_DIRECT_CARD</t>
        </is>
      </c>
    </row>
    <row r="160">
      <c r="A160" s="33" t="inlineStr">
        <is>
          <t>PSR-0054</t>
        </is>
      </c>
      <c r="B160" s="33" t="inlineStr">
        <is>
          <t>ING-088</t>
        </is>
      </c>
      <c r="C160" s="33" t="inlineStr">
        <is>
          <t>Говядина для котлеты</t>
        </is>
      </c>
      <c r="D160" s="33" t="inlineStr">
        <is>
          <t>Мякоть говяжья</t>
        </is>
      </c>
      <c r="E160" s="33" t="inlineStr">
        <is>
          <t>Лента</t>
        </is>
      </c>
      <c r="F160" s="33" t="n">
        <v>1</v>
      </c>
      <c r="G160" s="33" t="inlineStr">
        <is>
          <t>кг</t>
        </is>
      </c>
      <c r="H160" s="33" t="n">
        <v>789.99</v>
      </c>
      <c r="I160" s="33" t="n">
        <v>789.99</v>
      </c>
      <c r="J160" s="33" t="inlineStr">
        <is>
          <t>2026-08-03</t>
        </is>
      </c>
      <c r="K160" s="33" t="inlineStr">
        <is>
          <t>https://lenta.com/product/govyadina-myakot-ohlazhdennaya-ves-rossiya-471055/</t>
        </is>
      </c>
      <c r="L160" s="33" t="n">
        <v>1</v>
      </c>
      <c r="M160" s="33" t="inlineStr">
        <is>
          <t>VERIFIED_DIRECT_CARD</t>
        </is>
      </c>
    </row>
    <row r="161">
      <c r="A161" s="33" t="inlineStr">
        <is>
          <t>PSR-0055</t>
        </is>
      </c>
      <c r="B161" s="33" t="inlineStr">
        <is>
          <t>ING-097</t>
        </is>
      </c>
      <c r="C161" s="33" t="inlineStr">
        <is>
          <t>Говяжья вырезка</t>
        </is>
      </c>
      <c r="D161" s="33" t="inlineStr">
        <is>
          <t>Вырезка говяжья</t>
        </is>
      </c>
      <c r="E161" s="33" t="inlineStr">
        <is>
          <t>Ашан</t>
        </is>
      </c>
      <c r="F161" s="33" t="n">
        <v>1</v>
      </c>
      <c r="G161" s="33" t="inlineStr">
        <is>
          <t>кг</t>
        </is>
      </c>
      <c r="H161" s="33" t="n">
        <v>1999.99</v>
      </c>
      <c r="I161" s="33" t="n">
        <v>1999.99</v>
      </c>
      <c r="J161" s="33" t="inlineStr">
        <is>
          <t>2026-08-03</t>
        </is>
      </c>
      <c r="K161" s="33" t="inlineStr">
        <is>
          <t>https://www.auchan.ru/product/vyrezka-govyazhya-1kg/</t>
        </is>
      </c>
      <c r="L161" s="33" t="n">
        <v>1</v>
      </c>
      <c r="M161" s="33" t="inlineStr">
        <is>
          <t>VERIFIED_DIRECT_CARD</t>
        </is>
      </c>
    </row>
    <row r="162">
      <c r="A162" s="33" t="inlineStr">
        <is>
          <t>PSR-0056</t>
        </is>
      </c>
      <c r="B162" s="33" t="inlineStr">
        <is>
          <t>ING-097</t>
        </is>
      </c>
      <c r="C162" s="33" t="inlineStr">
        <is>
          <t>Говяжья вырезка</t>
        </is>
      </c>
      <c r="D162" s="33" t="inlineStr">
        <is>
          <t>Вырезка говяжья Tenderloin</t>
        </is>
      </c>
      <c r="E162" s="33" t="inlineStr">
        <is>
          <t>Ашан</t>
        </is>
      </c>
      <c r="F162" s="33" t="n">
        <v>1</v>
      </c>
      <c r="G162" s="33" t="inlineStr">
        <is>
          <t>кг</t>
        </is>
      </c>
      <c r="H162" s="33" t="n">
        <v>1463.99</v>
      </c>
      <c r="I162" s="33" t="n">
        <v>1463.99</v>
      </c>
      <c r="J162" s="33" t="inlineStr">
        <is>
          <t>2026-08-03</t>
        </is>
      </c>
      <c r="K162" s="33" t="inlineStr">
        <is>
          <t>https://www.auchan.ru/product/vyrezka_zachischennaya_mramor/</t>
        </is>
      </c>
      <c r="L162" s="33" t="n">
        <v>1</v>
      </c>
      <c r="M162" s="33" t="inlineStr">
        <is>
          <t>VERIFIED_DIRECT_CARD</t>
        </is>
      </c>
    </row>
    <row r="163">
      <c r="A163" s="33" t="inlineStr">
        <is>
          <t>PSR-0057</t>
        </is>
      </c>
      <c r="B163" s="33" t="inlineStr">
        <is>
          <t>ING-097</t>
        </is>
      </c>
      <c r="C163" s="33" t="inlineStr">
        <is>
          <t>Говяжья вырезка</t>
        </is>
      </c>
      <c r="D163" s="33" t="inlineStr">
        <is>
          <t>Вырезка говяжья Родные места</t>
        </is>
      </c>
      <c r="E163" s="33" t="inlineStr">
        <is>
          <t>Лента</t>
        </is>
      </c>
      <c r="F163" s="33" t="n">
        <v>1</v>
      </c>
      <c r="G163" s="33" t="inlineStr">
        <is>
          <t>кг</t>
        </is>
      </c>
      <c r="H163" s="33" t="n">
        <v>809.99</v>
      </c>
      <c r="I163" s="33" t="n">
        <v>809.99</v>
      </c>
      <c r="J163" s="33" t="inlineStr">
        <is>
          <t>2026-08-03</t>
        </is>
      </c>
      <c r="K163" s="33" t="inlineStr">
        <is>
          <t>https://lenta.com/product/vyrezka-govyazhya-ves-rossiya-494615/</t>
        </is>
      </c>
      <c r="L163" s="33" t="n">
        <v>1</v>
      </c>
      <c r="M163" s="33" t="inlineStr">
        <is>
          <t>VERIFIED_DIRECT_CARD</t>
        </is>
      </c>
    </row>
    <row r="164">
      <c r="A164" s="33" t="inlineStr">
        <is>
          <t>PSR-0058</t>
        </is>
      </c>
      <c r="B164" s="33" t="inlineStr">
        <is>
          <t>ING-097</t>
        </is>
      </c>
      <c r="C164" s="33" t="inlineStr">
        <is>
          <t>Говяжья вырезка</t>
        </is>
      </c>
      <c r="D164" s="33" t="inlineStr">
        <is>
          <t>Вырезка говяжья фермерская</t>
        </is>
      </c>
      <c r="E164" s="33" t="inlineStr">
        <is>
          <t>Лента</t>
        </is>
      </c>
      <c r="F164" s="33" t="n">
        <v>1</v>
      </c>
      <c r="G164" s="33" t="inlineStr">
        <is>
          <t>кг</t>
        </is>
      </c>
      <c r="H164" s="33" t="n">
        <v>579.99</v>
      </c>
      <c r="I164" s="33" t="n">
        <v>579.99</v>
      </c>
      <c r="J164" s="33" t="inlineStr">
        <is>
          <t>2026-08-03</t>
        </is>
      </c>
      <c r="K164" s="33" t="inlineStr">
        <is>
          <t>https://lenta.com/product/govyadina--fermerskaya-vyrezka-polufabrikat-ohlazhdennyjj-ves-rossiya-655814/</t>
        </is>
      </c>
      <c r="L164" s="33" t="n">
        <v>1</v>
      </c>
      <c r="M164" s="33" t="inlineStr">
        <is>
          <t>VERIFIED_DIRECT_CARD</t>
        </is>
      </c>
    </row>
    <row r="165">
      <c r="A165" s="33" t="inlineStr">
        <is>
          <t>PSR-0061</t>
        </is>
      </c>
      <c r="B165" s="33" t="inlineStr">
        <is>
          <t>ING-107</t>
        </is>
      </c>
      <c r="C165" s="33" t="inlineStr">
        <is>
          <t>Черника</t>
        </is>
      </c>
      <c r="D165" s="33" t="inlineStr">
        <is>
          <t>Черника Свой урожай</t>
        </is>
      </c>
      <c r="E165" s="33" t="inlineStr">
        <is>
          <t>Лента</t>
        </is>
      </c>
      <c r="F165" s="33" t="n">
        <v>0.3</v>
      </c>
      <c r="G165" s="33" t="inlineStr">
        <is>
          <t>кг</t>
        </is>
      </c>
      <c r="H165" s="33" t="n">
        <v>199.99</v>
      </c>
      <c r="I165" s="33" t="n">
        <v>666.633333</v>
      </c>
      <c r="J165" s="33" t="inlineStr">
        <is>
          <t>2026-08-03</t>
        </is>
      </c>
      <c r="K165" s="33" t="inlineStr">
        <is>
          <t>https://lenta.com/product/chernika-rossiya-300g-402638/</t>
        </is>
      </c>
      <c r="L165" s="33" t="n">
        <v>1</v>
      </c>
      <c r="M165" s="33" t="inlineStr">
        <is>
          <t>VERIFIED_DIRECT_CARD</t>
        </is>
      </c>
    </row>
    <row r="166">
      <c r="A166" s="33" t="inlineStr">
        <is>
          <t>PSR-0062</t>
        </is>
      </c>
      <c r="B166" s="33" t="inlineStr">
        <is>
          <t>ING-107</t>
        </is>
      </c>
      <c r="C166" s="33" t="inlineStr">
        <is>
          <t>Черника</t>
        </is>
      </c>
      <c r="D166" s="33" t="inlineStr">
        <is>
          <t>Черника И зимой и летом</t>
        </is>
      </c>
      <c r="E166" s="33" t="inlineStr">
        <is>
          <t>Лента</t>
        </is>
      </c>
      <c r="F166" s="33" t="n">
        <v>0.3</v>
      </c>
      <c r="G166" s="33" t="inlineStr">
        <is>
          <t>кг</t>
        </is>
      </c>
      <c r="H166" s="33" t="n">
        <v>269.99</v>
      </c>
      <c r="I166" s="33" t="n">
        <v>899.966667</v>
      </c>
      <c r="J166" s="33" t="inlineStr">
        <is>
          <t>2026-08-03</t>
        </is>
      </c>
      <c r="K166" s="33" t="inlineStr">
        <is>
          <t>https://lenta.com/product/chernika-rossiya-300g-698086/</t>
        </is>
      </c>
      <c r="L166" s="33" t="n">
        <v>1</v>
      </c>
      <c r="M166" s="33" t="inlineStr">
        <is>
          <t>VERIFIED_DIRECT_CARD</t>
        </is>
      </c>
    </row>
    <row r="167">
      <c r="A167" s="33" t="inlineStr">
        <is>
          <t>PSR-0063</t>
        </is>
      </c>
      <c r="B167" s="33" t="inlineStr">
        <is>
          <t>ING-107</t>
        </is>
      </c>
      <c r="C167" s="33" t="inlineStr">
        <is>
          <t>Черника</t>
        </is>
      </c>
      <c r="D167" s="33" t="inlineStr">
        <is>
          <t>Черника МариАйс</t>
        </is>
      </c>
      <c r="E167" s="33" t="inlineStr">
        <is>
          <t>Лента</t>
        </is>
      </c>
      <c r="F167" s="33" t="n">
        <v>0.3</v>
      </c>
      <c r="G167" s="33" t="inlineStr">
        <is>
          <t>кг</t>
        </is>
      </c>
      <c r="H167" s="33" t="n">
        <v>234.99</v>
      </c>
      <c r="I167" s="33" t="n">
        <v>783.3</v>
      </c>
      <c r="J167" s="33" t="inlineStr">
        <is>
          <t>2026-08-03</t>
        </is>
      </c>
      <c r="K167" s="33" t="inlineStr">
        <is>
          <t>https://lenta.com/product/chernika-bzam-pu-rossiya-300g-629698/</t>
        </is>
      </c>
      <c r="L167" s="33" t="n">
        <v>1</v>
      </c>
      <c r="M167" s="33" t="inlineStr">
        <is>
          <t>VERIFIED_DIRECT_CARD</t>
        </is>
      </c>
    </row>
    <row r="168">
      <c r="A168" s="33" t="inlineStr">
        <is>
          <t>PSR-0064</t>
        </is>
      </c>
      <c r="B168" s="33" t="inlineStr">
        <is>
          <t>ING-108</t>
        </is>
      </c>
      <c r="C168" s="33" t="inlineStr">
        <is>
          <t>Сыр сливочный</t>
        </is>
      </c>
      <c r="D168" s="33" t="inlineStr">
        <is>
          <t>Кремчиз Bonfesto</t>
        </is>
      </c>
      <c r="E168" s="33" t="inlineStr">
        <is>
          <t>Лента</t>
        </is>
      </c>
      <c r="F168" s="33" t="n">
        <v>0.4</v>
      </c>
      <c r="G168" s="33" t="inlineStr">
        <is>
          <t>кг</t>
        </is>
      </c>
      <c r="H168" s="33" t="n">
        <v>219.99</v>
      </c>
      <c r="I168" s="33" t="n">
        <v>549.975</v>
      </c>
      <c r="J168" s="33" t="inlineStr">
        <is>
          <t>2026-08-03</t>
        </is>
      </c>
      <c r="K168" s="33" t="inlineStr">
        <is>
          <t>https://lenta.com/product/syr-tvorozhnyjj-kremchiz-slivochnyjj-70-bez-zmzh-belarus-400g-665842/</t>
        </is>
      </c>
      <c r="L168" s="33" t="n">
        <v>1</v>
      </c>
      <c r="M168" s="33" t="inlineStr">
        <is>
          <t>VERIFIED_DIRECT_CARD</t>
        </is>
      </c>
    </row>
    <row r="169">
      <c r="A169" s="33" t="inlineStr">
        <is>
          <t>PSR-0069</t>
        </is>
      </c>
      <c r="B169" s="33" t="inlineStr">
        <is>
          <t>ING-006</t>
        </is>
      </c>
      <c r="C169" s="33" t="inlineStr">
        <is>
          <t>Томаты протёртые</t>
        </is>
      </c>
      <c r="D169" s="33" t="inlineStr">
        <is>
          <t>Томаты протертые POMI</t>
        </is>
      </c>
      <c r="E169" s="33" t="inlineStr">
        <is>
          <t>Лента</t>
        </is>
      </c>
      <c r="F169" s="33" t="n">
        <v>0.5</v>
      </c>
      <c r="G169" s="33" t="inlineStr">
        <is>
          <t>кг</t>
        </is>
      </c>
      <c r="H169" s="33" t="n">
        <v>109.99</v>
      </c>
      <c r="I169" s="33" t="n">
        <v>219.98</v>
      </c>
      <c r="J169" s="33" t="inlineStr">
        <is>
          <t>2026-08-03</t>
        </is>
      </c>
      <c r="K169" s="33" t="inlineStr">
        <is>
          <t>https://lenta.com/product/pomidory-protjrtye-italiya-500g-608376/</t>
        </is>
      </c>
      <c r="L169" s="33" t="n">
        <v>1</v>
      </c>
      <c r="M169" s="33" t="inlineStr">
        <is>
          <t>VERIFIED_DIRECT_CARD</t>
        </is>
      </c>
    </row>
    <row r="170">
      <c r="A170" s="33" t="inlineStr">
        <is>
          <t>PSR-0070</t>
        </is>
      </c>
      <c r="B170" s="33" t="inlineStr">
        <is>
          <t>ING-020</t>
        </is>
      </c>
      <c r="C170" s="33" t="inlineStr">
        <is>
          <t>Мука ржаная</t>
        </is>
      </c>
      <c r="D170" s="33" t="inlineStr">
        <is>
          <t>Мука ржаная MAKFA хлебопекарная обдирная</t>
        </is>
      </c>
      <c r="E170" s="33" t="inlineStr">
        <is>
          <t>Лента</t>
        </is>
      </c>
      <c r="F170" s="33" t="n">
        <v>1</v>
      </c>
      <c r="G170" s="33" t="inlineStr">
        <is>
          <t>кг</t>
        </is>
      </c>
      <c r="H170" s="33" t="n">
        <v>69.98999999999999</v>
      </c>
      <c r="I170" s="33" t="n">
        <v>69.98999999999999</v>
      </c>
      <c r="J170" s="33" t="inlineStr">
        <is>
          <t>2026-08-03</t>
        </is>
      </c>
      <c r="K170" s="33" t="inlineStr">
        <is>
          <t>https://lenta.com/product/muka-rzhanaya-rossiya-1kg-525888/</t>
        </is>
      </c>
      <c r="L170" s="33" t="n">
        <v>1</v>
      </c>
      <c r="M170" s="33" t="inlineStr">
        <is>
          <t>VERIFIED_DIRECT_CARD</t>
        </is>
      </c>
    </row>
    <row r="171">
      <c r="A171" s="33" t="inlineStr">
        <is>
          <t>PSR-0071</t>
        </is>
      </c>
      <c r="B171" s="33" t="inlineStr">
        <is>
          <t>ING-016</t>
        </is>
      </c>
      <c r="C171" s="33" t="inlineStr">
        <is>
          <t>Лук репчатый</t>
        </is>
      </c>
      <c r="D171" s="33" t="inlineStr">
        <is>
          <t>Лук репчатый весовой</t>
        </is>
      </c>
      <c r="E171" s="33" t="inlineStr">
        <is>
          <t>Лента</t>
        </is>
      </c>
      <c r="F171" s="33" t="n">
        <v>0.5</v>
      </c>
      <c r="G171" s="33" t="inlineStr">
        <is>
          <t>кг</t>
        </is>
      </c>
      <c r="H171" s="33" t="n">
        <v>24.45</v>
      </c>
      <c r="I171" s="33" t="n">
        <v>48.9</v>
      </c>
      <c r="J171" s="33" t="inlineStr">
        <is>
          <t>2026-08-03</t>
        </is>
      </c>
      <c r="K171" s="33" t="inlineStr">
        <is>
          <t>https://lenta.com/product/luk-repchatyjj-ves-1kg-303640/</t>
        </is>
      </c>
      <c r="L171" s="33" t="n">
        <v>1</v>
      </c>
      <c r="M171" s="33" t="inlineStr">
        <is>
          <t>VERIFIED_DIRECT_CARD</t>
        </is>
      </c>
    </row>
    <row r="172">
      <c r="A172" s="33" t="inlineStr">
        <is>
          <t>PSR-0072</t>
        </is>
      </c>
      <c r="B172" s="33" t="inlineStr">
        <is>
          <t>ING-038</t>
        </is>
      </c>
      <c r="C172" s="33" t="inlineStr">
        <is>
          <t>Огурец свежий</t>
        </is>
      </c>
      <c r="D172" s="33" t="inlineStr">
        <is>
          <t>Огурцы среднеплодные гладкие весовые</t>
        </is>
      </c>
      <c r="E172" s="33" t="inlineStr">
        <is>
          <t>Лента</t>
        </is>
      </c>
      <c r="F172" s="33" t="n">
        <v>0.5</v>
      </c>
      <c r="G172" s="33" t="inlineStr">
        <is>
          <t>кг</t>
        </is>
      </c>
      <c r="H172" s="33" t="n">
        <v>72.5</v>
      </c>
      <c r="I172" s="33" t="n">
        <v>145</v>
      </c>
      <c r="J172" s="33" t="inlineStr">
        <is>
          <t>2026-08-03</t>
        </is>
      </c>
      <c r="K172" s="33" t="inlineStr">
        <is>
          <t>https://lenta.com/product/ogurcy-sredneplodnye-gladkie-ves-162743/</t>
        </is>
      </c>
      <c r="L172" s="33" t="n">
        <v>1</v>
      </c>
      <c r="M172" s="33" t="inlineStr">
        <is>
          <t>VERIFIED_DIRECT_CARD</t>
        </is>
      </c>
    </row>
    <row r="173">
      <c r="A173" s="33" t="inlineStr">
        <is>
          <t>PSR-0073</t>
        </is>
      </c>
      <c r="B173" s="33" t="inlineStr">
        <is>
          <t>ING-043</t>
        </is>
      </c>
      <c r="C173" s="33" t="inlineStr">
        <is>
          <t>Перец сладкий</t>
        </is>
      </c>
      <c r="D173" s="33" t="inlineStr">
        <is>
          <t>Перец красный весовой</t>
        </is>
      </c>
      <c r="E173" s="33" t="inlineStr">
        <is>
          <t>Лента</t>
        </is>
      </c>
      <c r="F173" s="33" t="n">
        <v>0.35</v>
      </c>
      <c r="G173" s="33" t="inlineStr">
        <is>
          <t>кг</t>
        </is>
      </c>
      <c r="H173" s="33" t="n">
        <v>106.75</v>
      </c>
      <c r="I173" s="33" t="n">
        <v>305</v>
      </c>
      <c r="J173" s="33" t="inlineStr">
        <is>
          <t>2026-08-03</t>
        </is>
      </c>
      <c r="K173" s="33" t="inlineStr">
        <is>
          <t>https://lenta.com/product/perec-krasnyjj-ves-41203/</t>
        </is>
      </c>
      <c r="L173" s="33" t="n">
        <v>1</v>
      </c>
      <c r="M173" s="33" t="inlineStr">
        <is>
          <t>VERIFIED_DIRECT_CARD</t>
        </is>
      </c>
    </row>
    <row r="174">
      <c r="A174" s="33" t="inlineStr">
        <is>
          <t>PSR-0074</t>
        </is>
      </c>
      <c r="B174" s="33" t="inlineStr">
        <is>
          <t>ING-015</t>
        </is>
      </c>
      <c r="C174" s="33" t="inlineStr">
        <is>
          <t>Шампиньоны</t>
        </is>
      </c>
      <c r="D174" s="33" t="inlineStr">
        <is>
          <t>Шампиньоны ЛЕНТА FRESH</t>
        </is>
      </c>
      <c r="E174" s="33" t="inlineStr">
        <is>
          <t>Лента</t>
        </is>
      </c>
      <c r="F174" s="33" t="n">
        <v>0.25</v>
      </c>
      <c r="G174" s="33" t="inlineStr">
        <is>
          <t>кг</t>
        </is>
      </c>
      <c r="H174" s="33" t="n">
        <v>119.99</v>
      </c>
      <c r="I174" s="33" t="n">
        <v>479.96</v>
      </c>
      <c r="J174" s="33" t="inlineStr">
        <is>
          <t>2026-08-03</t>
        </is>
      </c>
      <c r="K174" s="33" t="inlineStr">
        <is>
          <t>https://lenta.com/product/griby-shampinony-250g-558639/</t>
        </is>
      </c>
      <c r="L174" s="33" t="n">
        <v>1</v>
      </c>
      <c r="M174" s="33" t="inlineStr">
        <is>
          <t>VERIFIED_DIRECT_CARD</t>
        </is>
      </c>
    </row>
    <row r="175">
      <c r="A175" s="33" t="inlineStr">
        <is>
          <t>PSR-0075</t>
        </is>
      </c>
      <c r="B175" s="33" t="inlineStr">
        <is>
          <t>ING-017</t>
        </is>
      </c>
      <c r="C175" s="33" t="inlineStr">
        <is>
          <t>Пепперони</t>
        </is>
      </c>
      <c r="D175" s="33" t="inlineStr">
        <is>
          <t>Колбаса сырокопченая РЕМИТ Пепперони нарезка</t>
        </is>
      </c>
      <c r="E175" s="33" t="inlineStr">
        <is>
          <t>Лента</t>
        </is>
      </c>
      <c r="F175" s="33" t="n">
        <v>0.09</v>
      </c>
      <c r="G175" s="33" t="inlineStr">
        <is>
          <t>кг</t>
        </is>
      </c>
      <c r="H175" s="33" t="n">
        <v>129.99</v>
      </c>
      <c r="I175" s="33" t="n">
        <v>1444.333333</v>
      </c>
      <c r="J175" s="33" t="inlineStr">
        <is>
          <t>2026-08-03</t>
        </is>
      </c>
      <c r="K175" s="33" t="inlineStr">
        <is>
          <t>https://lenta.com/product/kolbasa-pepperoni-sk-vu-nar-rossiya-90g-696658/</t>
        </is>
      </c>
      <c r="L175" s="33" t="n">
        <v>1</v>
      </c>
      <c r="M175" s="33" t="inlineStr">
        <is>
          <t>VERIFIED_DIRECT_CARD</t>
        </is>
      </c>
    </row>
    <row r="176">
      <c r="A176" s="33" t="inlineStr">
        <is>
          <t>PSR-0076</t>
        </is>
      </c>
      <c r="B176" s="33" t="inlineStr">
        <is>
          <t>ING-057</t>
        </is>
      </c>
      <c r="C176" s="33" t="inlineStr">
        <is>
          <t>Сельдь, филе</t>
        </is>
      </c>
      <c r="D176" s="33" t="inlineStr">
        <is>
          <t>Сельдь ЛЕНТА филе в масле</t>
        </is>
      </c>
      <c r="E176" s="33" t="inlineStr">
        <is>
          <t>Лента</t>
        </is>
      </c>
      <c r="F176" s="33" t="n">
        <v>0.25</v>
      </c>
      <c r="G176" s="33" t="inlineStr">
        <is>
          <t>кг</t>
        </is>
      </c>
      <c r="H176" s="33" t="n">
        <v>129.99</v>
      </c>
      <c r="I176" s="33" t="n">
        <v>519.96</v>
      </c>
      <c r="J176" s="33" t="inlineStr">
        <is>
          <t>2026-08-03</t>
        </is>
      </c>
      <c r="K176" s="33" t="inlineStr">
        <is>
          <t>https://lenta.com/product/seld-file-v-masle-rossiya-250g-440268/</t>
        </is>
      </c>
      <c r="L176" s="33" t="n">
        <v>1</v>
      </c>
      <c r="M176" s="33" t="inlineStr">
        <is>
          <t>VERIFIED_DIRECT_CARD</t>
        </is>
      </c>
    </row>
    <row r="177">
      <c r="A177" s="33" t="inlineStr">
        <is>
          <t>PSR-0077</t>
        </is>
      </c>
      <c r="B177" s="33" t="inlineStr">
        <is>
          <t>ING-046</t>
        </is>
      </c>
      <c r="C177" s="33" t="inlineStr">
        <is>
          <t>Лук красный</t>
        </is>
      </c>
      <c r="D177" s="33" t="inlineStr">
        <is>
          <t>Лук красный весовой</t>
        </is>
      </c>
      <c r="E177" s="33" t="inlineStr">
        <is>
          <t>Лента</t>
        </is>
      </c>
      <c r="F177" s="33" t="n">
        <v>0.5</v>
      </c>
      <c r="G177" s="33" t="inlineStr">
        <is>
          <t>кг</t>
        </is>
      </c>
      <c r="H177" s="33" t="n">
        <v>65</v>
      </c>
      <c r="I177" s="33" t="n">
        <v>130</v>
      </c>
      <c r="J177" s="33" t="inlineStr">
        <is>
          <t>2026-08-03</t>
        </is>
      </c>
      <c r="K177" s="33" t="inlineStr">
        <is>
          <t>https://lenta.com/product/luk-krasnyjj-ves-52603/</t>
        </is>
      </c>
      <c r="L177" s="33" t="n">
        <v>1</v>
      </c>
      <c r="M177" s="33" t="inlineStr">
        <is>
          <t>VERIFIED_DIRECT_CARD</t>
        </is>
      </c>
    </row>
    <row r="178">
      <c r="A178" s="33" t="inlineStr">
        <is>
          <t>PSR-0078</t>
        </is>
      </c>
      <c r="B178" s="33" t="inlineStr">
        <is>
          <t>ING-064</t>
        </is>
      </c>
      <c r="C178" s="33" t="inlineStr">
        <is>
          <t>Капуста белокочанная</t>
        </is>
      </c>
      <c r="D178" s="33" t="inlineStr">
        <is>
          <t>Капуста белокочанная весовая</t>
        </is>
      </c>
      <c r="E178" s="33" t="inlineStr">
        <is>
          <t>Лента</t>
        </is>
      </c>
      <c r="F178" s="33" t="n">
        <v>1</v>
      </c>
      <c r="G178" s="33" t="inlineStr">
        <is>
          <t>кг</t>
        </is>
      </c>
      <c r="H178" s="33" t="n">
        <v>49.99</v>
      </c>
      <c r="I178" s="33" t="n">
        <v>49.99</v>
      </c>
      <c r="J178" s="33" t="inlineStr">
        <is>
          <t>2026-08-03</t>
        </is>
      </c>
      <c r="K178" s="33" t="inlineStr">
        <is>
          <t>https://lenta.com/product/kapusta-belokochannaya-ves-11189/</t>
        </is>
      </c>
      <c r="L178" s="33" t="n">
        <v>1</v>
      </c>
      <c r="M178" s="33" t="inlineStr">
        <is>
          <t>VERIFIED_DIRECT_CARD</t>
        </is>
      </c>
    </row>
    <row r="179">
      <c r="A179" s="33" t="inlineStr">
        <is>
          <t>PSR-0079</t>
        </is>
      </c>
      <c r="B179" s="33" t="inlineStr">
        <is>
          <t>ING-071</t>
        </is>
      </c>
      <c r="C179" s="33" t="inlineStr">
        <is>
          <t>Свёкла</t>
        </is>
      </c>
      <c r="D179" s="33" t="inlineStr">
        <is>
          <t>Свекла весовая</t>
        </is>
      </c>
      <c r="E179" s="33" t="inlineStr">
        <is>
          <t>Лента</t>
        </is>
      </c>
      <c r="F179" s="33" t="n">
        <v>0.5</v>
      </c>
      <c r="G179" s="33" t="inlineStr">
        <is>
          <t>кг</t>
        </is>
      </c>
      <c r="H179" s="33" t="n">
        <v>19.5</v>
      </c>
      <c r="I179" s="33" t="n">
        <v>39</v>
      </c>
      <c r="J179" s="33" t="inlineStr">
        <is>
          <t>2026-08-03</t>
        </is>
      </c>
      <c r="K179" s="33" t="inlineStr">
        <is>
          <t>https://lenta.com/product/svekla-ves-1kg-300884/</t>
        </is>
      </c>
      <c r="L179" s="33" t="n">
        <v>1</v>
      </c>
      <c r="M179" s="33" t="inlineStr">
        <is>
          <t>VERIFIED_DIRECT_CARD</t>
        </is>
      </c>
    </row>
    <row r="180">
      <c r="A180" s="33" t="inlineStr">
        <is>
          <t>PSR-0080</t>
        </is>
      </c>
      <c r="B180" s="33" t="inlineStr">
        <is>
          <t>ING-074</t>
        </is>
      </c>
      <c r="C180" s="33" t="inlineStr">
        <is>
          <t>Морковь</t>
        </is>
      </c>
      <c r="D180" s="33" t="inlineStr">
        <is>
          <t>Морковь весовая</t>
        </is>
      </c>
      <c r="E180" s="33" t="inlineStr">
        <is>
          <t>Лента</t>
        </is>
      </c>
      <c r="F180" s="33" t="n">
        <v>0.5</v>
      </c>
      <c r="G180" s="33" t="inlineStr">
        <is>
          <t>кг</t>
        </is>
      </c>
      <c r="H180" s="33" t="n">
        <v>27.5</v>
      </c>
      <c r="I180" s="33" t="n">
        <v>55</v>
      </c>
      <c r="J180" s="33" t="inlineStr">
        <is>
          <t>2026-08-03</t>
        </is>
      </c>
      <c r="K180" s="33" t="inlineStr">
        <is>
          <t>https://lenta.com/product/morkov-ves-1kg-303639/</t>
        </is>
      </c>
      <c r="L180" s="33" t="n">
        <v>1</v>
      </c>
      <c r="M180" s="33" t="inlineStr">
        <is>
          <t>VERIFIED_DIRECT_CARD</t>
        </is>
      </c>
    </row>
    <row r="181">
      <c r="A181" s="33" t="inlineStr">
        <is>
          <t>PSR-0081</t>
        </is>
      </c>
      <c r="B181" s="33" t="inlineStr">
        <is>
          <t>ING-055</t>
        </is>
      </c>
      <c r="C181" s="33" t="inlineStr">
        <is>
          <t>Лимон</t>
        </is>
      </c>
      <c r="D181" s="33" t="inlineStr">
        <is>
          <t>Лимоны весовые</t>
        </is>
      </c>
      <c r="E181" s="33" t="inlineStr">
        <is>
          <t>Лента</t>
        </is>
      </c>
      <c r="F181" s="33" t="n">
        <v>0.2</v>
      </c>
      <c r="G181" s="33" t="inlineStr">
        <is>
          <t>кг</t>
        </is>
      </c>
      <c r="H181" s="33" t="n">
        <v>32</v>
      </c>
      <c r="I181" s="33" t="n">
        <v>160</v>
      </c>
      <c r="J181" s="33" t="inlineStr">
        <is>
          <t>2026-08-03</t>
        </is>
      </c>
      <c r="K181" s="33" t="inlineStr">
        <is>
          <t>https://lenta.com/product/limony-ves-94429/</t>
        </is>
      </c>
      <c r="L181" s="33" t="n">
        <v>1</v>
      </c>
      <c r="M181" s="33" t="inlineStr">
        <is>
          <t>VERIFIED_DIRECT_CARD</t>
        </is>
      </c>
    </row>
    <row r="182">
      <c r="A182" s="33" t="inlineStr">
        <is>
          <t>PSR-0082</t>
        </is>
      </c>
      <c r="B182" s="33" t="inlineStr">
        <is>
          <t>ING-102</t>
        </is>
      </c>
      <c r="C182" s="33" t="inlineStr">
        <is>
          <t>Баклажан</t>
        </is>
      </c>
      <c r="D182" s="33" t="inlineStr">
        <is>
          <t>Баклажаны весовые</t>
        </is>
      </c>
      <c r="E182" s="33" t="inlineStr">
        <is>
          <t>Лента</t>
        </is>
      </c>
      <c r="F182" s="33" t="n">
        <v>0.5</v>
      </c>
      <c r="G182" s="33" t="inlineStr">
        <is>
          <t>кг</t>
        </is>
      </c>
      <c r="H182" s="33" t="n">
        <v>135</v>
      </c>
      <c r="I182" s="33" t="n">
        <v>270</v>
      </c>
      <c r="J182" s="33" t="inlineStr">
        <is>
          <t>2026-08-03</t>
        </is>
      </c>
      <c r="K182" s="33" t="inlineStr">
        <is>
          <t>https://lenta.com/product/baklazhany-ves-380001/</t>
        </is>
      </c>
      <c r="L182" s="33" t="n">
        <v>1</v>
      </c>
      <c r="M182" s="33" t="inlineStr">
        <is>
          <t>VERIFIED_DIRECT_CARD</t>
        </is>
      </c>
    </row>
    <row r="183">
      <c r="A183" s="33" t="inlineStr">
        <is>
          <t>PSR-0083</t>
        </is>
      </c>
      <c r="B183" s="33" t="inlineStr">
        <is>
          <t>ING-103</t>
        </is>
      </c>
      <c r="C183" s="33" t="inlineStr">
        <is>
          <t>Брокколи</t>
        </is>
      </c>
      <c r="D183" s="33" t="inlineStr">
        <is>
          <t>Капуста брокколи весовая</t>
        </is>
      </c>
      <c r="E183" s="33" t="inlineStr">
        <is>
          <t>Лента</t>
        </is>
      </c>
      <c r="F183" s="33" t="n">
        <v>0.8</v>
      </c>
      <c r="G183" s="33" t="inlineStr">
        <is>
          <t>кг</t>
        </is>
      </c>
      <c r="H183" s="33" t="n">
        <v>239.99</v>
      </c>
      <c r="I183" s="33" t="n">
        <v>299.9875</v>
      </c>
      <c r="J183" s="33" t="inlineStr">
        <is>
          <t>2026-08-03</t>
        </is>
      </c>
      <c r="K183" s="33" t="inlineStr">
        <is>
          <t>https://lenta.com/product/kapusta-brokkoli-ves-55648/</t>
        </is>
      </c>
      <c r="L183" s="33" t="n">
        <v>1</v>
      </c>
      <c r="M183" s="33" t="inlineStr">
        <is>
          <t>VERIFIED_DIRECT_CARD</t>
        </is>
      </c>
    </row>
    <row r="184">
      <c r="A184" s="33" t="inlineStr">
        <is>
          <t>PSR-0084</t>
        </is>
      </c>
      <c r="B184" s="33" t="inlineStr">
        <is>
          <t>ING-104</t>
        </is>
      </c>
      <c r="C184" s="33" t="inlineStr">
        <is>
          <t>Мука пшеничная кондитерская</t>
        </is>
      </c>
      <c r="D184" s="33" t="inlineStr">
        <is>
          <t>Мука пшеничная ФРАНЦУЗСКАЯ ШТУЧКА сорт экстра</t>
        </is>
      </c>
      <c r="E184" s="33" t="inlineStr">
        <is>
          <t>Лента</t>
        </is>
      </c>
      <c r="F184" s="33" t="n">
        <v>2</v>
      </c>
      <c r="G184" s="33" t="inlineStr">
        <is>
          <t>кг</t>
        </is>
      </c>
      <c r="H184" s="33" t="n">
        <v>129.99</v>
      </c>
      <c r="I184" s="33" t="n">
        <v>64.995</v>
      </c>
      <c r="J184" s="33" t="inlineStr">
        <is>
          <t>2026-08-03</t>
        </is>
      </c>
      <c r="K184" s="33" t="inlineStr">
        <is>
          <t>https://lenta.com/product/muka-ekstra-pshenichnaya-hlebopekarnaya-gost-rossiya-2kg-390152/</t>
        </is>
      </c>
      <c r="L184" s="33" t="n">
        <v>1</v>
      </c>
      <c r="M184" s="33" t="inlineStr">
        <is>
          <t>VERIFIED_DIRECT_CARD</t>
        </is>
      </c>
    </row>
    <row r="185">
      <c r="A185" s="33" t="inlineStr">
        <is>
          <t>PSR-0085</t>
        </is>
      </c>
      <c r="B185" s="33" t="inlineStr">
        <is>
          <t>ING-105</t>
        </is>
      </c>
      <c r="C185" s="33" t="inlineStr">
        <is>
          <t>Разрыхлитель</t>
        </is>
      </c>
      <c r="D185" s="33" t="inlineStr">
        <is>
          <t>Разрыхлитель теста DR.BAKERS</t>
        </is>
      </c>
      <c r="E185" s="33" t="inlineStr">
        <is>
          <t>Лента</t>
        </is>
      </c>
      <c r="F185" s="33" t="n">
        <v>0.01</v>
      </c>
      <c r="G185" s="33" t="inlineStr">
        <is>
          <t>кг</t>
        </is>
      </c>
      <c r="H185" s="33" t="n">
        <v>12.99</v>
      </c>
      <c r="I185" s="33" t="n">
        <v>1299</v>
      </c>
      <c r="J185" s="33" t="inlineStr">
        <is>
          <t>2026-08-03</t>
        </is>
      </c>
      <c r="K185" s="33" t="inlineStr">
        <is>
          <t>https://lenta.com/product/razryhlitel-testa-rossiya-10g-26531/</t>
        </is>
      </c>
      <c r="L185" s="33" t="n">
        <v>1</v>
      </c>
      <c r="M185" s="33" t="inlineStr">
        <is>
          <t>VERIFIED_DIRECT_CARD</t>
        </is>
      </c>
    </row>
    <row r="186">
      <c r="A186" s="33" t="inlineStr">
        <is>
          <t>PSR-0086</t>
        </is>
      </c>
      <c r="B186" s="33" t="inlineStr">
        <is>
          <t>ING-109</t>
        </is>
      </c>
      <c r="C186" s="33" t="inlineStr">
        <is>
          <t>Сахарная пудра</t>
        </is>
      </c>
      <c r="D186" s="33" t="inlineStr">
        <is>
          <t>Сахарная пудра ЛЕНТА</t>
        </is>
      </c>
      <c r="E186" s="33" t="inlineStr">
        <is>
          <t>Лента</t>
        </is>
      </c>
      <c r="F186" s="33" t="n">
        <v>0.25</v>
      </c>
      <c r="G186" s="33" t="inlineStr">
        <is>
          <t>кг</t>
        </is>
      </c>
      <c r="H186" s="33" t="n">
        <v>39.99</v>
      </c>
      <c r="I186" s="33" t="n">
        <v>159.96</v>
      </c>
      <c r="J186" s="33" t="inlineStr">
        <is>
          <t>2026-08-03</t>
        </is>
      </c>
      <c r="K186" s="33" t="inlineStr">
        <is>
          <t>https://lenta.com/product/saharnaya-pudra-rossiya-250g-548047/</t>
        </is>
      </c>
      <c r="L186" s="33" t="n">
        <v>1</v>
      </c>
      <c r="M186" s="33" t="inlineStr">
        <is>
          <t>VERIFIED_DIRECT_CARD</t>
        </is>
      </c>
    </row>
    <row r="187">
      <c r="A187" s="33" t="inlineStr">
        <is>
          <t>PSR-0087</t>
        </is>
      </c>
      <c r="B187" s="33" t="inlineStr">
        <is>
          <t>ING-110</t>
        </is>
      </c>
      <c r="C187" s="33" t="inlineStr">
        <is>
          <t>Пектин или крахмал</t>
        </is>
      </c>
      <c r="D187" s="33" t="inlineStr">
        <is>
          <t>Крахмал кукурузный ЛЕНТА</t>
        </is>
      </c>
      <c r="E187" s="33" t="inlineStr">
        <is>
          <t>Лента</t>
        </is>
      </c>
      <c r="F187" s="33" t="n">
        <v>0.4</v>
      </c>
      <c r="G187" s="33" t="inlineStr">
        <is>
          <t>кг</t>
        </is>
      </c>
      <c r="H187" s="33" t="n">
        <v>69.98999999999999</v>
      </c>
      <c r="I187" s="33" t="n">
        <v>174.975</v>
      </c>
      <c r="J187" s="33" t="inlineStr">
        <is>
          <t>2026-08-03</t>
        </is>
      </c>
      <c r="K187" s="33" t="inlineStr">
        <is>
          <t>https://lenta.com/product/krahmal-kukuruznyjj-rossiya-400g-557859/</t>
        </is>
      </c>
      <c r="L187" s="33" t="n">
        <v>1</v>
      </c>
      <c r="M187" s="33" t="inlineStr">
        <is>
          <t>VERIFIED_DIRECT_CARD</t>
        </is>
      </c>
    </row>
    <row r="188">
      <c r="A188" s="33" t="inlineStr">
        <is>
          <t>PSR-0088</t>
        </is>
      </c>
      <c r="B188" s="33" t="inlineStr">
        <is>
          <t>ING-006</t>
        </is>
      </c>
      <c r="C188" s="33" t="inlineStr">
        <is>
          <t>Томаты протёртые</t>
        </is>
      </c>
      <c r="D188" s="33" t="inlineStr">
        <is>
          <t>Томаты протертые VALFRUTTA</t>
        </is>
      </c>
      <c r="E188" s="33" t="inlineStr">
        <is>
          <t>Лента</t>
        </is>
      </c>
      <c r="F188" s="33" t="n">
        <v>0.5</v>
      </c>
      <c r="G188" s="33" t="inlineStr">
        <is>
          <t>кг</t>
        </is>
      </c>
      <c r="H188" s="33" t="n">
        <v>209.99</v>
      </c>
      <c r="I188" s="33" t="n">
        <v>419.98</v>
      </c>
      <c r="J188" s="33" t="inlineStr">
        <is>
          <t>2026-08-03</t>
        </is>
      </c>
      <c r="K188" s="33" t="inlineStr">
        <is>
          <t>https://lenta.com/product/tomaty-protertye-tpak-italiya-500g-449490/</t>
        </is>
      </c>
      <c r="L188" s="33" t="n">
        <v>1</v>
      </c>
      <c r="M188" s="33" t="inlineStr">
        <is>
          <t>VERIFIED_DIRECT_CARD</t>
        </is>
      </c>
    </row>
    <row r="189">
      <c r="A189" s="33" t="inlineStr">
        <is>
          <t>PSR-0089</t>
        </is>
      </c>
      <c r="B189" s="33" t="inlineStr">
        <is>
          <t>ING-007</t>
        </is>
      </c>
      <c r="C189" s="33" t="inlineStr">
        <is>
          <t>Чеснок</t>
        </is>
      </c>
      <c r="D189" s="33" t="inlineStr">
        <is>
          <t>Чеснок новый урожай весовой</t>
        </is>
      </c>
      <c r="E189" s="33" t="inlineStr">
        <is>
          <t>Лента</t>
        </is>
      </c>
      <c r="F189" s="33" t="n">
        <v>0.1</v>
      </c>
      <c r="G189" s="33" t="inlineStr">
        <is>
          <t>кг</t>
        </is>
      </c>
      <c r="H189" s="33" t="n">
        <v>38</v>
      </c>
      <c r="I189" s="33" t="n">
        <v>380</v>
      </c>
      <c r="J189" s="33" t="inlineStr">
        <is>
          <t>2026-08-03</t>
        </is>
      </c>
      <c r="K189" s="33" t="inlineStr">
        <is>
          <t>https://lenta.com/product/chesnok-novyjj-urozhajj-ves-50739/</t>
        </is>
      </c>
      <c r="L189" s="33" t="n">
        <v>1</v>
      </c>
      <c r="M189" s="33" t="inlineStr">
        <is>
          <t>VERIFIED_DIRECT_CARD</t>
        </is>
      </c>
    </row>
    <row r="190">
      <c r="A190" s="33" t="inlineStr">
        <is>
          <t>PSR-0090</t>
        </is>
      </c>
      <c r="B190" s="33" t="inlineStr">
        <is>
          <t>ING-072</t>
        </is>
      </c>
      <c r="C190" s="33" t="inlineStr">
        <is>
          <t>Картофель</t>
        </is>
      </c>
      <c r="D190" s="33" t="inlineStr">
        <is>
          <t>Картофель новый урожай весовой</t>
        </is>
      </c>
      <c r="E190" s="33" t="inlineStr">
        <is>
          <t>Лента</t>
        </is>
      </c>
      <c r="F190" s="33" t="n">
        <v>1</v>
      </c>
      <c r="G190" s="33" t="inlineStr">
        <is>
          <t>кг</t>
        </is>
      </c>
      <c r="H190" s="33" t="n">
        <v>99.98999999999999</v>
      </c>
      <c r="I190" s="33" t="n">
        <v>99.98999999999999</v>
      </c>
      <c r="J190" s="33" t="inlineStr">
        <is>
          <t>2026-08-03</t>
        </is>
      </c>
      <c r="K190" s="33" t="inlineStr">
        <is>
          <t>https://lenta.com/product/kartofel-novyjj-urozhajj-ves-egipet-674938/</t>
        </is>
      </c>
      <c r="L190" s="33" t="n">
        <v>1</v>
      </c>
      <c r="M190" s="33" t="inlineStr">
        <is>
          <t>VERIFIED_DIRECT_CARD</t>
        </is>
      </c>
    </row>
  </sheetData>
  <mergeCells count="3">
    <mergeCell ref="A2:M2"/>
    <mergeCell ref="A121:M121"/>
    <mergeCell ref="A1:M1"/>
  </mergeCells>
  <conditionalFormatting sqref="J6:K118">
    <cfRule type="containsText" priority="1" operator="containsText" dxfId="0" text="BLOCK"/>
    <cfRule type="containsText" priority="2" operator="containsText" dxfId="1" text="PASS"/>
  </conditionalFormatting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21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20" customWidth="1" min="3" max="3"/>
    <col width="12" customWidth="1" min="4" max="4"/>
    <col width="15" customWidth="1" min="5" max="5"/>
    <col width="16" customWidth="1" min="6" max="6"/>
    <col width="15" customWidth="1" min="7" max="7"/>
    <col width="13" customWidth="1" min="8" max="8"/>
    <col width="15" customWidth="1" min="9" max="9"/>
    <col width="15" customWidth="1" min="10" max="10"/>
    <col width="11" customWidth="1" min="11" max="11"/>
    <col width="13" customWidth="1" min="12" max="12"/>
    <col width="31" customWidth="1" min="13" max="13"/>
    <col width="15" customWidth="1" min="14" max="14"/>
    <col width="15" customWidth="1" min="15" max="15"/>
    <col width="58" customWidth="1" min="16" max="16"/>
  </cols>
  <sheetData>
    <row r="1" ht="30" customHeight="1">
      <c r="A1" s="27" t="inlineStr">
        <is>
          <t>07 — Ценообразование</t>
        </is>
      </c>
    </row>
    <row r="2" ht="27" customHeight="1">
      <c r="A2" s="29" t="inlineStr">
        <is>
          <t>101 evidence-layer rows remain blocked; separate 101-row proxy scenario is planning-only and LOW_CONFIDENCE.</t>
        </is>
      </c>
    </row>
    <row r="3">
      <c r="A3" s="28" t="n"/>
      <c r="B3" s="28" t="n"/>
      <c r="C3" s="28" t="n"/>
      <c r="D3" s="28" t="n"/>
      <c r="E3" s="28" t="n"/>
      <c r="F3" s="28" t="n"/>
      <c r="G3" s="28" t="n"/>
      <c r="H3" s="28" t="n"/>
      <c r="I3" s="28" t="n"/>
      <c r="J3" s="28" t="n"/>
      <c r="K3" s="28" t="n"/>
      <c r="L3" s="28" t="n"/>
      <c r="M3" s="28" t="n"/>
      <c r="N3" s="28" t="n"/>
      <c r="O3" s="28" t="n"/>
      <c r="P3" s="28" t="n"/>
    </row>
    <row r="4">
      <c r="A4" s="28" t="n"/>
      <c r="B4" s="28" t="n"/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  <c r="P4" s="28" t="n"/>
    </row>
    <row r="5" ht="34" customHeight="1">
      <c r="A5" s="32" t="inlineStr">
        <is>
          <t>Dish ID</t>
        </is>
      </c>
      <c r="B5" s="32" t="inlineStr">
        <is>
          <t>Блюдо</t>
        </is>
      </c>
      <c r="C5" s="32" t="inlineStr">
        <is>
          <t>Канал</t>
        </is>
      </c>
      <c r="D5" s="32" t="inlineStr">
        <is>
          <t>Target COGS</t>
        </is>
      </c>
      <c r="E5" s="32" t="inlineStr">
        <is>
          <t>Kitchen COGS</t>
        </is>
      </c>
      <c r="F5" s="32" t="inlineStr">
        <is>
          <t>Packaging</t>
        </is>
      </c>
      <c r="G5" s="32" t="inlineStr">
        <is>
          <t>Commission</t>
        </is>
      </c>
      <c r="H5" s="32" t="inlineStr">
        <is>
          <t>Tax</t>
        </is>
      </c>
      <c r="I5" s="32" t="inlineStr">
        <is>
          <t>Project price</t>
        </is>
      </c>
      <c r="J5" s="32" t="inlineStr">
        <is>
          <t>Food cost</t>
        </is>
      </c>
      <c r="K5" s="32" t="inlineStr">
        <is>
          <t>Gross margin</t>
        </is>
      </c>
      <c r="L5" s="32" t="inlineStr">
        <is>
          <t>Contribution</t>
        </is>
      </c>
      <c r="M5" s="32" t="inlineStr">
        <is>
          <t>Status</t>
        </is>
      </c>
      <c r="N5" s="32" t="inlineStr">
        <is>
          <t>Method</t>
        </is>
      </c>
      <c r="O5" s="32" t="inlineStr">
        <is>
          <t>Source</t>
        </is>
      </c>
      <c r="P5" s="32" t="inlineStr">
        <is>
          <t>Blockers</t>
        </is>
      </c>
    </row>
    <row r="6">
      <c r="A6" s="33" t="inlineStr">
        <is>
          <t>VKM-001</t>
        </is>
      </c>
      <c r="B6" s="33" t="inlineStr">
        <is>
          <t>Маргарита</t>
        </is>
      </c>
      <c r="C6" s="33" t="inlineStr">
        <is>
          <t>À la carte</t>
        </is>
      </c>
      <c r="D6" s="48" t="n">
        <v>0.3</v>
      </c>
      <c r="E6" s="46">
        <f>IFERROR(INDEX('04_КАЛЬКУЛЯЦИИ'!$N$6:$N$33,MATCH(A6,'04_КАЛЬКУЛЯЦИИ'!$B$6:$B$33,0)),"")</f>
        <v/>
      </c>
      <c r="F6" s="45" t="n"/>
      <c r="G6" s="45" t="n"/>
      <c r="H6" s="45" t="n"/>
      <c r="I6" s="46">
        <f>IF(OR(E6="",F6="",D6=""),"",(E6+F6)/D6)</f>
        <v/>
      </c>
      <c r="J6" s="46">
        <f>IF(OR(E6="",F6="",I6=""),"",(E6+F6)/I6)</f>
        <v/>
      </c>
      <c r="K6" s="46">
        <f>IF(OR(I6="",E6="",F6=""),"",I6-E6-F6)</f>
        <v/>
      </c>
      <c r="L6" s="46">
        <f>IF(OR(K6="",G6="",H6=""),"",K6-I6*G6-I6*H6)</f>
        <v/>
      </c>
      <c r="M6" s="33" t="inlineStr">
        <is>
          <t>BLOCKED_PENDING_VALIDATION</t>
        </is>
      </c>
      <c r="N6" s="33" t="inlineStr">
        <is>
          <t>Complete price=(complete kitchen COGS+packaging)/target; lower bound=(known partial food cost*1.015+packaging)/target; tax and commission excluded and explicitly blocked</t>
        </is>
      </c>
      <c r="O6" s="33" t="inlineStr">
        <is>
          <t>Public dated retail price cards + S04 target/packaging project inputs + docs/03-methodology/COGS.md</t>
        </is>
      </c>
      <c r="P6" s="33" t="inlineStr">
        <is>
          <t>ING-005;ING-011;VSF-001;VSF-002</t>
        </is>
      </c>
    </row>
    <row r="7">
      <c r="A7" s="33" t="inlineStr">
        <is>
          <t>VKM-001</t>
        </is>
      </c>
      <c r="B7" s="33" t="inlineStr">
        <is>
          <t>Маргарита</t>
        </is>
      </c>
      <c r="C7" s="33" t="inlineStr">
        <is>
          <t>Бизнес-ланч</t>
        </is>
      </c>
      <c r="D7" s="48" t="n">
        <v>0.4</v>
      </c>
      <c r="E7" s="46">
        <f>IFERROR(INDEX('04_КАЛЬКУЛЯЦИИ'!$N$6:$N$33,MATCH(A7,'04_КАЛЬКУЛЯЦИИ'!$B$6:$B$33,0)),"")</f>
        <v/>
      </c>
      <c r="F7" s="45" t="n"/>
      <c r="G7" s="45" t="n"/>
      <c r="H7" s="45" t="n"/>
      <c r="I7" s="46">
        <f>IF(OR(E7="",F7="",D7=""),"",(E7+F7)/D7)</f>
        <v/>
      </c>
      <c r="J7" s="46">
        <f>IF(OR(E7="",F7="",I7=""),"",(E7+F7)/I7)</f>
        <v/>
      </c>
      <c r="K7" s="46">
        <f>IF(OR(I7="",E7="",F7=""),"",I7-E7-F7)</f>
        <v/>
      </c>
      <c r="L7" s="46">
        <f>IF(OR(K7="",G7="",H7=""),"",K7-I7*G7-I7*H7)</f>
        <v/>
      </c>
      <c r="M7" s="33" t="inlineStr">
        <is>
          <t>BLOCKED_PENDING_VALIDATION</t>
        </is>
      </c>
      <c r="N7" s="33" t="inlineStr">
        <is>
          <t>Complete price=(complete kitchen COGS+packaging)/target; lower bound=(known partial food cost*1.015+packaging)/target; tax and commission excluded and explicitly blocked</t>
        </is>
      </c>
      <c r="O7" s="33" t="inlineStr">
        <is>
          <t>Public dated retail price cards + S04 target/packaging project inputs + docs/03-methodology/COGS.md</t>
        </is>
      </c>
      <c r="P7" s="33" t="inlineStr">
        <is>
          <t>ING-005;ING-011;VSF-001;VSF-002</t>
        </is>
      </c>
    </row>
    <row r="8">
      <c r="A8" s="33" t="inlineStr">
        <is>
          <t>VKM-001</t>
        </is>
      </c>
      <c r="B8" s="33" t="inlineStr">
        <is>
          <t>Маргарита</t>
        </is>
      </c>
      <c r="C8" s="33" t="inlineStr">
        <is>
          <t>Гостиничные ужины</t>
        </is>
      </c>
      <c r="D8" s="48" t="n">
        <v>0.3</v>
      </c>
      <c r="E8" s="46">
        <f>IFERROR(INDEX('04_КАЛЬКУЛЯЦИИ'!$N$6:$N$33,MATCH(A8,'04_КАЛЬКУЛЯЦИИ'!$B$6:$B$33,0)),"")</f>
        <v/>
      </c>
      <c r="F8" s="45" t="n"/>
      <c r="G8" s="45" t="n"/>
      <c r="H8" s="45" t="n"/>
      <c r="I8" s="46">
        <f>IF(OR(E8="",F8="",D8=""),"",(E8+F8)/D8)</f>
        <v/>
      </c>
      <c r="J8" s="46">
        <f>IF(OR(E8="",F8="",I8=""),"",(E8+F8)/I8)</f>
        <v/>
      </c>
      <c r="K8" s="46">
        <f>IF(OR(I8="",E8="",F8=""),"",I8-E8-F8)</f>
        <v/>
      </c>
      <c r="L8" s="46">
        <f>IF(OR(K8="",G8="",H8=""),"",K8-I8*G8-I8*H8)</f>
        <v/>
      </c>
      <c r="M8" s="33" t="inlineStr">
        <is>
          <t>BLOCKED_PENDING_VALIDATION</t>
        </is>
      </c>
      <c r="N8" s="33" t="inlineStr">
        <is>
          <t>Complete price=(complete kitchen COGS+packaging)/target; lower bound=(known partial food cost*1.015+packaging)/target; tax and commission excluded and explicitly blocked</t>
        </is>
      </c>
      <c r="O8" s="33" t="inlineStr">
        <is>
          <t>Public dated retail price cards + S04 target/packaging project inputs + docs/03-methodology/COGS.md</t>
        </is>
      </c>
      <c r="P8" s="33" t="inlineStr">
        <is>
          <t>ING-005;ING-011;VSF-001;VSF-002</t>
        </is>
      </c>
    </row>
    <row r="9">
      <c r="A9" s="33" t="inlineStr">
        <is>
          <t>VKM-001</t>
        </is>
      </c>
      <c r="B9" s="33" t="inlineStr">
        <is>
          <t>Маргарита</t>
        </is>
      </c>
      <c r="C9" s="33" t="inlineStr">
        <is>
          <t>Доставка</t>
        </is>
      </c>
      <c r="D9" s="48" t="n">
        <v>0.3</v>
      </c>
      <c r="E9" s="46">
        <f>IFERROR(INDEX('04_КАЛЬКУЛЯЦИИ'!$N$6:$N$33,MATCH(A9,'04_КАЛЬКУЛЯЦИИ'!$B$6:$B$33,0)),"")</f>
        <v/>
      </c>
      <c r="F9" s="45" t="n"/>
      <c r="G9" s="45" t="n"/>
      <c r="H9" s="45" t="n"/>
      <c r="I9" s="46">
        <f>IF(OR(E9="",F9="",D9=""),"",(E9+F9)/D9)</f>
        <v/>
      </c>
      <c r="J9" s="46">
        <f>IF(OR(E9="",F9="",I9=""),"",(E9+F9)/I9)</f>
        <v/>
      </c>
      <c r="K9" s="46">
        <f>IF(OR(I9="",E9="",F9=""),"",I9-E9-F9)</f>
        <v/>
      </c>
      <c r="L9" s="46">
        <f>IF(OR(K9="",G9="",H9=""),"",K9-I9*G9-I9*H9)</f>
        <v/>
      </c>
      <c r="M9" s="33" t="inlineStr">
        <is>
          <t>BLOCKED_PENDING_VALIDATION</t>
        </is>
      </c>
      <c r="N9" s="33" t="inlineStr">
        <is>
          <t>Complete price=(complete kitchen COGS+packaging)/target; lower bound=(known partial food cost*1.015+packaging)/target; tax and commission excluded and explicitly blocked</t>
        </is>
      </c>
      <c r="O9" s="33" t="inlineStr">
        <is>
          <t>Public dated retail price cards + S04 target/packaging project inputs + docs/03-methodology/COGS.md</t>
        </is>
      </c>
      <c r="P9" s="33" t="inlineStr">
        <is>
          <t>ING-005;ING-011;VSF-001;VSF-002</t>
        </is>
      </c>
    </row>
    <row r="10">
      <c r="A10" s="33" t="inlineStr">
        <is>
          <t>VKM-002</t>
        </is>
      </c>
      <c r="B10" s="33" t="inlineStr">
        <is>
          <t>Четыре сыра</t>
        </is>
      </c>
      <c r="C10" s="33" t="inlineStr">
        <is>
          <t>À la carte</t>
        </is>
      </c>
      <c r="D10" s="48" t="n">
        <v>0.3</v>
      </c>
      <c r="E10" s="46">
        <f>IFERROR(INDEX('04_КАЛЬКУЛЯЦИИ'!$N$6:$N$33,MATCH(A10,'04_КАЛЬКУЛЯЦИИ'!$B$6:$B$33,0)),"")</f>
        <v/>
      </c>
      <c r="F10" s="45" t="n"/>
      <c r="G10" s="45" t="n"/>
      <c r="H10" s="45" t="n"/>
      <c r="I10" s="46">
        <f>IF(OR(E10="",F10="",D10=""),"",(E10+F10)/D10)</f>
        <v/>
      </c>
      <c r="J10" s="46">
        <f>IF(OR(E10="",F10="",I10=""),"",(E10+F10)/I10)</f>
        <v/>
      </c>
      <c r="K10" s="46">
        <f>IF(OR(I10="",E10="",F10=""),"",I10-E10-F10)</f>
        <v/>
      </c>
      <c r="L10" s="46">
        <f>IF(OR(K10="",G10="",H10=""),"",K10-I10*G10-I10*H10)</f>
        <v/>
      </c>
      <c r="M10" s="33" t="inlineStr">
        <is>
          <t>BLOCKED_PENDING_VALIDATION</t>
        </is>
      </c>
      <c r="N10" s="33" t="inlineStr">
        <is>
          <t>Complete price=(complete kitchen COGS+packaging)/target; lower bound=(known partial food cost*1.015+packaging)/target; tax and commission excluded and explicitly blocked</t>
        </is>
      </c>
      <c r="O10" s="33" t="inlineStr">
        <is>
          <t>Public dated retail price cards + S04 target/packaging project inputs + docs/03-methodology/COGS.md</t>
        </is>
      </c>
      <c r="P10" s="33" t="inlineStr">
        <is>
          <t>ING-005;ING-013;VSF-001;VSF-002</t>
        </is>
      </c>
    </row>
    <row r="11">
      <c r="A11" s="33" t="inlineStr">
        <is>
          <t>VKM-002</t>
        </is>
      </c>
      <c r="B11" s="33" t="inlineStr">
        <is>
          <t>Четыре сыра</t>
        </is>
      </c>
      <c r="C11" s="33" t="inlineStr">
        <is>
          <t>Бизнес-ланч</t>
        </is>
      </c>
      <c r="D11" s="48" t="n">
        <v>0.4</v>
      </c>
      <c r="E11" s="46">
        <f>IFERROR(INDEX('04_КАЛЬКУЛЯЦИИ'!$N$6:$N$33,MATCH(A11,'04_КАЛЬКУЛЯЦИИ'!$B$6:$B$33,0)),"")</f>
        <v/>
      </c>
      <c r="F11" s="45" t="n"/>
      <c r="G11" s="45" t="n"/>
      <c r="H11" s="45" t="n"/>
      <c r="I11" s="46">
        <f>IF(OR(E11="",F11="",D11=""),"",(E11+F11)/D11)</f>
        <v/>
      </c>
      <c r="J11" s="46">
        <f>IF(OR(E11="",F11="",I11=""),"",(E11+F11)/I11)</f>
        <v/>
      </c>
      <c r="K11" s="46">
        <f>IF(OR(I11="",E11="",F11=""),"",I11-E11-F11)</f>
        <v/>
      </c>
      <c r="L11" s="46">
        <f>IF(OR(K11="",G11="",H11=""),"",K11-I11*G11-I11*H11)</f>
        <v/>
      </c>
      <c r="M11" s="33" t="inlineStr">
        <is>
          <t>BLOCKED_PENDING_VALIDATION</t>
        </is>
      </c>
      <c r="N11" s="33" t="inlineStr">
        <is>
          <t>Complete price=(complete kitchen COGS+packaging)/target; lower bound=(known partial food cost*1.015+packaging)/target; tax and commission excluded and explicitly blocked</t>
        </is>
      </c>
      <c r="O11" s="33" t="inlineStr">
        <is>
          <t>Public dated retail price cards + S04 target/packaging project inputs + docs/03-methodology/COGS.md</t>
        </is>
      </c>
      <c r="P11" s="33" t="inlineStr">
        <is>
          <t>ING-005;ING-013;VSF-001;VSF-002</t>
        </is>
      </c>
    </row>
    <row r="12">
      <c r="A12" s="33" t="inlineStr">
        <is>
          <t>VKM-002</t>
        </is>
      </c>
      <c r="B12" s="33" t="inlineStr">
        <is>
          <t>Четыре сыра</t>
        </is>
      </c>
      <c r="C12" s="33" t="inlineStr">
        <is>
          <t>Гостиничные ужины</t>
        </is>
      </c>
      <c r="D12" s="48" t="n">
        <v>0.3</v>
      </c>
      <c r="E12" s="46">
        <f>IFERROR(INDEX('04_КАЛЬКУЛЯЦИИ'!$N$6:$N$33,MATCH(A12,'04_КАЛЬКУЛЯЦИИ'!$B$6:$B$33,0)),"")</f>
        <v/>
      </c>
      <c r="F12" s="45" t="n"/>
      <c r="G12" s="45" t="n"/>
      <c r="H12" s="45" t="n"/>
      <c r="I12" s="46">
        <f>IF(OR(E12="",F12="",D12=""),"",(E12+F12)/D12)</f>
        <v/>
      </c>
      <c r="J12" s="46">
        <f>IF(OR(E12="",F12="",I12=""),"",(E12+F12)/I12)</f>
        <v/>
      </c>
      <c r="K12" s="46">
        <f>IF(OR(I12="",E12="",F12=""),"",I12-E12-F12)</f>
        <v/>
      </c>
      <c r="L12" s="46">
        <f>IF(OR(K12="",G12="",H12=""),"",K12-I12*G12-I12*H12)</f>
        <v/>
      </c>
      <c r="M12" s="33" t="inlineStr">
        <is>
          <t>BLOCKED_PENDING_VALIDATION</t>
        </is>
      </c>
      <c r="N12" s="33" t="inlineStr">
        <is>
          <t>Complete price=(complete kitchen COGS+packaging)/target; lower bound=(known partial food cost*1.015+packaging)/target; tax and commission excluded and explicitly blocked</t>
        </is>
      </c>
      <c r="O12" s="33" t="inlineStr">
        <is>
          <t>Public dated retail price cards + S04 target/packaging project inputs + docs/03-methodology/COGS.md</t>
        </is>
      </c>
      <c r="P12" s="33" t="inlineStr">
        <is>
          <t>ING-005;ING-013;VSF-001;VSF-002</t>
        </is>
      </c>
    </row>
    <row r="13">
      <c r="A13" s="33" t="inlineStr">
        <is>
          <t>VKM-002</t>
        </is>
      </c>
      <c r="B13" s="33" t="inlineStr">
        <is>
          <t>Четыре сыра</t>
        </is>
      </c>
      <c r="C13" s="33" t="inlineStr">
        <is>
          <t>Доставка</t>
        </is>
      </c>
      <c r="D13" s="48" t="n">
        <v>0.3</v>
      </c>
      <c r="E13" s="46">
        <f>IFERROR(INDEX('04_КАЛЬКУЛЯЦИИ'!$N$6:$N$33,MATCH(A13,'04_КАЛЬКУЛЯЦИИ'!$B$6:$B$33,0)),"")</f>
        <v/>
      </c>
      <c r="F13" s="45" t="n"/>
      <c r="G13" s="45" t="n"/>
      <c r="H13" s="45" t="n"/>
      <c r="I13" s="46">
        <f>IF(OR(E13="",F13="",D13=""),"",(E13+F13)/D13)</f>
        <v/>
      </c>
      <c r="J13" s="46">
        <f>IF(OR(E13="",F13="",I13=""),"",(E13+F13)/I13)</f>
        <v/>
      </c>
      <c r="K13" s="46">
        <f>IF(OR(I13="",E13="",F13=""),"",I13-E13-F13)</f>
        <v/>
      </c>
      <c r="L13" s="46">
        <f>IF(OR(K13="",G13="",H13=""),"",K13-I13*G13-I13*H13)</f>
        <v/>
      </c>
      <c r="M13" s="33" t="inlineStr">
        <is>
          <t>BLOCKED_PENDING_VALIDATION</t>
        </is>
      </c>
      <c r="N13" s="33" t="inlineStr">
        <is>
          <t>Complete price=(complete kitchen COGS+packaging)/target; lower bound=(known partial food cost*1.015+packaging)/target; tax and commission excluded and explicitly blocked</t>
        </is>
      </c>
      <c r="O13" s="33" t="inlineStr">
        <is>
          <t>Public dated retail price cards + S04 target/packaging project inputs + docs/03-methodology/COGS.md</t>
        </is>
      </c>
      <c r="P13" s="33" t="inlineStr">
        <is>
          <t>ING-005;ING-013;VSF-001;VSF-002</t>
        </is>
      </c>
    </row>
    <row r="14">
      <c r="A14" s="33" t="inlineStr">
        <is>
          <t>VKM-003</t>
        </is>
      </c>
      <c r="B14" s="33" t="inlineStr">
        <is>
          <t>Грибная с ветчиной</t>
        </is>
      </c>
      <c r="C14" s="33" t="inlineStr">
        <is>
          <t>À la carte</t>
        </is>
      </c>
      <c r="D14" s="48" t="n">
        <v>0.3</v>
      </c>
      <c r="E14" s="46">
        <f>IFERROR(INDEX('04_КАЛЬКУЛЯЦИИ'!$N$6:$N$33,MATCH(A14,'04_КАЛЬКУЛЯЦИИ'!$B$6:$B$33,0)),"")</f>
        <v/>
      </c>
      <c r="F14" s="45" t="n"/>
      <c r="G14" s="45" t="n"/>
      <c r="H14" s="45" t="n"/>
      <c r="I14" s="46">
        <f>IF(OR(E14="",F14="",D14=""),"",(E14+F14)/D14)</f>
        <v/>
      </c>
      <c r="J14" s="46">
        <f>IF(OR(E14="",F14="",I14=""),"",(E14+F14)/I14)</f>
        <v/>
      </c>
      <c r="K14" s="46">
        <f>IF(OR(I14="",E14="",F14=""),"",I14-E14-F14)</f>
        <v/>
      </c>
      <c r="L14" s="46">
        <f>IF(OR(K14="",G14="",H14=""),"",K14-I14*G14-I14*H14)</f>
        <v/>
      </c>
      <c r="M14" s="33" t="inlineStr">
        <is>
          <t>BLOCKED_PENDING_VALIDATION</t>
        </is>
      </c>
      <c r="N14" s="33" t="inlineStr">
        <is>
          <t>Complete price=(complete kitchen COGS+packaging)/target; lower bound=(known partial food cost*1.015+packaging)/target; tax and commission excluded and explicitly blocked</t>
        </is>
      </c>
      <c r="O14" s="33" t="inlineStr">
        <is>
          <t>Public dated retail price cards + S04 target/packaging project inputs + docs/03-methodology/COGS.md</t>
        </is>
      </c>
      <c r="P14" s="33" t="inlineStr">
        <is>
          <t>ING-005;ING-014;VSF-001;VSF-002</t>
        </is>
      </c>
    </row>
    <row r="15">
      <c r="A15" s="33" t="inlineStr">
        <is>
          <t>VKM-003</t>
        </is>
      </c>
      <c r="B15" s="33" t="inlineStr">
        <is>
          <t>Грибная с ветчиной</t>
        </is>
      </c>
      <c r="C15" s="33" t="inlineStr">
        <is>
          <t>Бизнес-ланч</t>
        </is>
      </c>
      <c r="D15" s="48" t="n">
        <v>0.4</v>
      </c>
      <c r="E15" s="46">
        <f>IFERROR(INDEX('04_КАЛЬКУЛЯЦИИ'!$N$6:$N$33,MATCH(A15,'04_КАЛЬКУЛЯЦИИ'!$B$6:$B$33,0)),"")</f>
        <v/>
      </c>
      <c r="F15" s="45" t="n"/>
      <c r="G15" s="45" t="n"/>
      <c r="H15" s="45" t="n"/>
      <c r="I15" s="46">
        <f>IF(OR(E15="",F15="",D15=""),"",(E15+F15)/D15)</f>
        <v/>
      </c>
      <c r="J15" s="46">
        <f>IF(OR(E15="",F15="",I15=""),"",(E15+F15)/I15)</f>
        <v/>
      </c>
      <c r="K15" s="46">
        <f>IF(OR(I15="",E15="",F15=""),"",I15-E15-F15)</f>
        <v/>
      </c>
      <c r="L15" s="46">
        <f>IF(OR(K15="",G15="",H15=""),"",K15-I15*G15-I15*H15)</f>
        <v/>
      </c>
      <c r="M15" s="33" t="inlineStr">
        <is>
          <t>BLOCKED_PENDING_VALIDATION</t>
        </is>
      </c>
      <c r="N15" s="33" t="inlineStr">
        <is>
          <t>Complete price=(complete kitchen COGS+packaging)/target; lower bound=(known partial food cost*1.015+packaging)/target; tax and commission excluded and explicitly blocked</t>
        </is>
      </c>
      <c r="O15" s="33" t="inlineStr">
        <is>
          <t>Public dated retail price cards + S04 target/packaging project inputs + docs/03-methodology/COGS.md</t>
        </is>
      </c>
      <c r="P15" s="33" t="inlineStr">
        <is>
          <t>ING-005;ING-014;VSF-001;VSF-002</t>
        </is>
      </c>
    </row>
    <row r="16">
      <c r="A16" s="33" t="inlineStr">
        <is>
          <t>VKM-003</t>
        </is>
      </c>
      <c r="B16" s="33" t="inlineStr">
        <is>
          <t>Грибная с ветчиной</t>
        </is>
      </c>
      <c r="C16" s="33" t="inlineStr">
        <is>
          <t>Гостиничные ужины</t>
        </is>
      </c>
      <c r="D16" s="48" t="n">
        <v>0.3</v>
      </c>
      <c r="E16" s="46">
        <f>IFERROR(INDEX('04_КАЛЬКУЛЯЦИИ'!$N$6:$N$33,MATCH(A16,'04_КАЛЬКУЛЯЦИИ'!$B$6:$B$33,0)),"")</f>
        <v/>
      </c>
      <c r="F16" s="45" t="n"/>
      <c r="G16" s="45" t="n"/>
      <c r="H16" s="45" t="n"/>
      <c r="I16" s="46">
        <f>IF(OR(E16="",F16="",D16=""),"",(E16+F16)/D16)</f>
        <v/>
      </c>
      <c r="J16" s="46">
        <f>IF(OR(E16="",F16="",I16=""),"",(E16+F16)/I16)</f>
        <v/>
      </c>
      <c r="K16" s="46">
        <f>IF(OR(I16="",E16="",F16=""),"",I16-E16-F16)</f>
        <v/>
      </c>
      <c r="L16" s="46">
        <f>IF(OR(K16="",G16="",H16=""),"",K16-I16*G16-I16*H16)</f>
        <v/>
      </c>
      <c r="M16" s="33" t="inlineStr">
        <is>
          <t>BLOCKED_PENDING_VALIDATION</t>
        </is>
      </c>
      <c r="N16" s="33" t="inlineStr">
        <is>
          <t>Complete price=(complete kitchen COGS+packaging)/target; lower bound=(known partial food cost*1.015+packaging)/target; tax and commission excluded and explicitly blocked</t>
        </is>
      </c>
      <c r="O16" s="33" t="inlineStr">
        <is>
          <t>Public dated retail price cards + S04 target/packaging project inputs + docs/03-methodology/COGS.md</t>
        </is>
      </c>
      <c r="P16" s="33" t="inlineStr">
        <is>
          <t>ING-005;ING-014;VSF-001;VSF-002</t>
        </is>
      </c>
    </row>
    <row r="17">
      <c r="A17" s="33" t="inlineStr">
        <is>
          <t>VKM-003</t>
        </is>
      </c>
      <c r="B17" s="33" t="inlineStr">
        <is>
          <t>Грибная с ветчиной</t>
        </is>
      </c>
      <c r="C17" s="33" t="inlineStr">
        <is>
          <t>Доставка</t>
        </is>
      </c>
      <c r="D17" s="48" t="n">
        <v>0.3</v>
      </c>
      <c r="E17" s="46">
        <f>IFERROR(INDEX('04_КАЛЬКУЛЯЦИИ'!$N$6:$N$33,MATCH(A17,'04_КАЛЬКУЛЯЦИИ'!$B$6:$B$33,0)),"")</f>
        <v/>
      </c>
      <c r="F17" s="45" t="n"/>
      <c r="G17" s="45" t="n"/>
      <c r="H17" s="45" t="n"/>
      <c r="I17" s="46">
        <f>IF(OR(E17="",F17="",D17=""),"",(E17+F17)/D17)</f>
        <v/>
      </c>
      <c r="J17" s="46">
        <f>IF(OR(E17="",F17="",I17=""),"",(E17+F17)/I17)</f>
        <v/>
      </c>
      <c r="K17" s="46">
        <f>IF(OR(I17="",E17="",F17=""),"",I17-E17-F17)</f>
        <v/>
      </c>
      <c r="L17" s="46">
        <f>IF(OR(K17="",G17="",H17=""),"",K17-I17*G17-I17*H17)</f>
        <v/>
      </c>
      <c r="M17" s="33" t="inlineStr">
        <is>
          <t>BLOCKED_PENDING_VALIDATION</t>
        </is>
      </c>
      <c r="N17" s="33" t="inlineStr">
        <is>
          <t>Complete price=(complete kitchen COGS+packaging)/target; lower bound=(known partial food cost*1.015+packaging)/target; tax and commission excluded and explicitly blocked</t>
        </is>
      </c>
      <c r="O17" s="33" t="inlineStr">
        <is>
          <t>Public dated retail price cards + S04 target/packaging project inputs + docs/03-methodology/COGS.md</t>
        </is>
      </c>
      <c r="P17" s="33" t="inlineStr">
        <is>
          <t>ING-005;ING-014;VSF-001;VSF-002</t>
        </is>
      </c>
    </row>
    <row r="18">
      <c r="A18" s="33" t="inlineStr">
        <is>
          <t>VKM-004</t>
        </is>
      </c>
      <c r="B18" s="33" t="inlineStr">
        <is>
          <t>Пепперони</t>
        </is>
      </c>
      <c r="C18" s="33" t="inlineStr">
        <is>
          <t>À la carte</t>
        </is>
      </c>
      <c r="D18" s="48" t="n">
        <v>0.3</v>
      </c>
      <c r="E18" s="46">
        <f>IFERROR(INDEX('04_КАЛЬКУЛЯЦИИ'!$N$6:$N$33,MATCH(A18,'04_КАЛЬКУЛЯЦИИ'!$B$6:$B$33,0)),"")</f>
        <v/>
      </c>
      <c r="F18" s="45" t="n"/>
      <c r="G18" s="45" t="n"/>
      <c r="H18" s="45" t="n"/>
      <c r="I18" s="46">
        <f>IF(OR(E18="",F18="",D18=""),"",(E18+F18)/D18)</f>
        <v/>
      </c>
      <c r="J18" s="46">
        <f>IF(OR(E18="",F18="",I18=""),"",(E18+F18)/I18)</f>
        <v/>
      </c>
      <c r="K18" s="46">
        <f>IF(OR(I18="",E18="",F18=""),"",I18-E18-F18)</f>
        <v/>
      </c>
      <c r="L18" s="46">
        <f>IF(OR(K18="",G18="",H18=""),"",K18-I18*G18-I18*H18)</f>
        <v/>
      </c>
      <c r="M18" s="33" t="inlineStr">
        <is>
          <t>BLOCKED_PENDING_VALIDATION</t>
        </is>
      </c>
      <c r="N18" s="33" t="inlineStr">
        <is>
          <t>Complete price=(complete kitchen COGS+packaging)/target; lower bound=(known partial food cost*1.015+packaging)/target; tax and commission excluded and explicitly blocked</t>
        </is>
      </c>
      <c r="O18" s="33" t="inlineStr">
        <is>
          <t>Public dated retail price cards + S04 target/packaging project inputs + docs/03-methodology/COGS.md</t>
        </is>
      </c>
      <c r="P18" s="33" t="inlineStr">
        <is>
          <t>ING-005;VSF-001;VSF-002</t>
        </is>
      </c>
    </row>
    <row r="19">
      <c r="A19" s="33" t="inlineStr">
        <is>
          <t>VKM-004</t>
        </is>
      </c>
      <c r="B19" s="33" t="inlineStr">
        <is>
          <t>Пепперони</t>
        </is>
      </c>
      <c r="C19" s="33" t="inlineStr">
        <is>
          <t>Бизнес-ланч</t>
        </is>
      </c>
      <c r="D19" s="48" t="n">
        <v>0.4</v>
      </c>
      <c r="E19" s="46">
        <f>IFERROR(INDEX('04_КАЛЬКУЛЯЦИИ'!$N$6:$N$33,MATCH(A19,'04_КАЛЬКУЛЯЦИИ'!$B$6:$B$33,0)),"")</f>
        <v/>
      </c>
      <c r="F19" s="45" t="n"/>
      <c r="G19" s="45" t="n"/>
      <c r="H19" s="45" t="n"/>
      <c r="I19" s="46">
        <f>IF(OR(E19="",F19="",D19=""),"",(E19+F19)/D19)</f>
        <v/>
      </c>
      <c r="J19" s="46">
        <f>IF(OR(E19="",F19="",I19=""),"",(E19+F19)/I19)</f>
        <v/>
      </c>
      <c r="K19" s="46">
        <f>IF(OR(I19="",E19="",F19=""),"",I19-E19-F19)</f>
        <v/>
      </c>
      <c r="L19" s="46">
        <f>IF(OR(K19="",G19="",H19=""),"",K19-I19*G19-I19*H19)</f>
        <v/>
      </c>
      <c r="M19" s="33" t="inlineStr">
        <is>
          <t>BLOCKED_PENDING_VALIDATION</t>
        </is>
      </c>
      <c r="N19" s="33" t="inlineStr">
        <is>
          <t>Complete price=(complete kitchen COGS+packaging)/target; lower bound=(known partial food cost*1.015+packaging)/target; tax and commission excluded and explicitly blocked</t>
        </is>
      </c>
      <c r="O19" s="33" t="inlineStr">
        <is>
          <t>Public dated retail price cards + S04 target/packaging project inputs + docs/03-methodology/COGS.md</t>
        </is>
      </c>
      <c r="P19" s="33" t="inlineStr">
        <is>
          <t>ING-005;VSF-001;VSF-002</t>
        </is>
      </c>
    </row>
    <row r="20">
      <c r="A20" s="33" t="inlineStr">
        <is>
          <t>VKM-004</t>
        </is>
      </c>
      <c r="B20" s="33" t="inlineStr">
        <is>
          <t>Пепперони</t>
        </is>
      </c>
      <c r="C20" s="33" t="inlineStr">
        <is>
          <t>Гостиничные ужины</t>
        </is>
      </c>
      <c r="D20" s="48" t="n">
        <v>0.3</v>
      </c>
      <c r="E20" s="46">
        <f>IFERROR(INDEX('04_КАЛЬКУЛЯЦИИ'!$N$6:$N$33,MATCH(A20,'04_КАЛЬКУЛЯЦИИ'!$B$6:$B$33,0)),"")</f>
        <v/>
      </c>
      <c r="F20" s="45" t="n"/>
      <c r="G20" s="45" t="n"/>
      <c r="H20" s="45" t="n"/>
      <c r="I20" s="46">
        <f>IF(OR(E20="",F20="",D20=""),"",(E20+F20)/D20)</f>
        <v/>
      </c>
      <c r="J20" s="46">
        <f>IF(OR(E20="",F20="",I20=""),"",(E20+F20)/I20)</f>
        <v/>
      </c>
      <c r="K20" s="46">
        <f>IF(OR(I20="",E20="",F20=""),"",I20-E20-F20)</f>
        <v/>
      </c>
      <c r="L20" s="46">
        <f>IF(OR(K20="",G20="",H20=""),"",K20-I20*G20-I20*H20)</f>
        <v/>
      </c>
      <c r="M20" s="33" t="inlineStr">
        <is>
          <t>BLOCKED_PENDING_VALIDATION</t>
        </is>
      </c>
      <c r="N20" s="33" t="inlineStr">
        <is>
          <t>Complete price=(complete kitchen COGS+packaging)/target; lower bound=(known partial food cost*1.015+packaging)/target; tax and commission excluded and explicitly blocked</t>
        </is>
      </c>
      <c r="O20" s="33" t="inlineStr">
        <is>
          <t>Public dated retail price cards + S04 target/packaging project inputs + docs/03-methodology/COGS.md</t>
        </is>
      </c>
      <c r="P20" s="33" t="inlineStr">
        <is>
          <t>ING-005;VSF-001;VSF-002</t>
        </is>
      </c>
    </row>
    <row r="21">
      <c r="A21" s="33" t="inlineStr">
        <is>
          <t>VKM-004</t>
        </is>
      </c>
      <c r="B21" s="33" t="inlineStr">
        <is>
          <t>Пепперони</t>
        </is>
      </c>
      <c r="C21" s="33" t="inlineStr">
        <is>
          <t>Доставка</t>
        </is>
      </c>
      <c r="D21" s="48" t="n">
        <v>0.3</v>
      </c>
      <c r="E21" s="46">
        <f>IFERROR(INDEX('04_КАЛЬКУЛЯЦИИ'!$N$6:$N$33,MATCH(A21,'04_КАЛЬКУЛЯЦИИ'!$B$6:$B$33,0)),"")</f>
        <v/>
      </c>
      <c r="F21" s="45" t="n"/>
      <c r="G21" s="45" t="n"/>
      <c r="H21" s="45" t="n"/>
      <c r="I21" s="46">
        <f>IF(OR(E21="",F21="",D21=""),"",(E21+F21)/D21)</f>
        <v/>
      </c>
      <c r="J21" s="46">
        <f>IF(OR(E21="",F21="",I21=""),"",(E21+F21)/I21)</f>
        <v/>
      </c>
      <c r="K21" s="46">
        <f>IF(OR(I21="",E21="",F21=""),"",I21-E21-F21)</f>
        <v/>
      </c>
      <c r="L21" s="46">
        <f>IF(OR(K21="",G21="",H21=""),"",K21-I21*G21-I21*H21)</f>
        <v/>
      </c>
      <c r="M21" s="33" t="inlineStr">
        <is>
          <t>BLOCKED_PENDING_VALIDATION</t>
        </is>
      </c>
      <c r="N21" s="33" t="inlineStr">
        <is>
          <t>Complete price=(complete kitchen COGS+packaging)/target; lower bound=(known partial food cost*1.015+packaging)/target; tax and commission excluded and explicitly blocked</t>
        </is>
      </c>
      <c r="O21" s="33" t="inlineStr">
        <is>
          <t>Public dated retail price cards + S04 target/packaging project inputs + docs/03-methodology/COGS.md</t>
        </is>
      </c>
      <c r="P21" s="33" t="inlineStr">
        <is>
          <t>ING-005;VSF-001;VSF-002</t>
        </is>
      </c>
    </row>
    <row r="22">
      <c r="A22" s="33" t="inlineStr">
        <is>
          <t>VKM-005</t>
        </is>
      </c>
      <c r="B22" s="33" t="inlineStr">
        <is>
          <t>Белая чиабатта</t>
        </is>
      </c>
      <c r="C22" s="33" t="inlineStr">
        <is>
          <t>À la carte</t>
        </is>
      </c>
      <c r="D22" s="48" t="n">
        <v>0.3</v>
      </c>
      <c r="E22" s="46">
        <f>IFERROR(INDEX('04_КАЛЬКУЛЯЦИИ'!$N$6:$N$33,MATCH(A22,'04_КАЛЬКУЛЯЦИИ'!$B$6:$B$33,0)),"")</f>
        <v/>
      </c>
      <c r="F22" s="45" t="n"/>
      <c r="G22" s="45" t="n"/>
      <c r="H22" s="45" t="n"/>
      <c r="I22" s="46">
        <f>IF(OR(E22="",F22="",D22=""),"",(E22+F22)/D22)</f>
        <v/>
      </c>
      <c r="J22" s="46">
        <f>IF(OR(E22="",F22="",I22=""),"",(E22+F22)/I22)</f>
        <v/>
      </c>
      <c r="K22" s="46">
        <f>IF(OR(I22="",E22="",F22=""),"",I22-E22-F22)</f>
        <v/>
      </c>
      <c r="L22" s="46">
        <f>IF(OR(K22="",G22="",H22=""),"",K22-I22*G22-I22*H22)</f>
        <v/>
      </c>
      <c r="M22" s="33" t="inlineStr">
        <is>
          <t>BLOCKED_PENDING_VALIDATION</t>
        </is>
      </c>
      <c r="N22" s="33" t="inlineStr">
        <is>
          <t>Complete price=(complete kitchen COGS+packaging)/target; lower bound=(known partial food cost*1.015+packaging)/target; tax and commission excluded and explicitly blocked</t>
        </is>
      </c>
      <c r="O22" s="33" t="inlineStr">
        <is>
          <t>Public dated retail price cards + S04 target/packaging project inputs + docs/03-methodology/COGS.md</t>
        </is>
      </c>
      <c r="P22" s="33" t="inlineStr">
        <is>
          <t>VSF-003</t>
        </is>
      </c>
    </row>
    <row r="23">
      <c r="A23" s="33" t="inlineStr">
        <is>
          <t>VKM-005</t>
        </is>
      </c>
      <c r="B23" s="33" t="inlineStr">
        <is>
          <t>Белая чиабатта</t>
        </is>
      </c>
      <c r="C23" s="33" t="inlineStr">
        <is>
          <t>Бизнес-ланч</t>
        </is>
      </c>
      <c r="D23" s="48" t="n">
        <v>0.4</v>
      </c>
      <c r="E23" s="46">
        <f>IFERROR(INDEX('04_КАЛЬКУЛЯЦИИ'!$N$6:$N$33,MATCH(A23,'04_КАЛЬКУЛЯЦИИ'!$B$6:$B$33,0)),"")</f>
        <v/>
      </c>
      <c r="F23" s="45" t="n"/>
      <c r="G23" s="45" t="n"/>
      <c r="H23" s="45" t="n"/>
      <c r="I23" s="46">
        <f>IF(OR(E23="",F23="",D23=""),"",(E23+F23)/D23)</f>
        <v/>
      </c>
      <c r="J23" s="46">
        <f>IF(OR(E23="",F23="",I23=""),"",(E23+F23)/I23)</f>
        <v/>
      </c>
      <c r="K23" s="46">
        <f>IF(OR(I23="",E23="",F23=""),"",I23-E23-F23)</f>
        <v/>
      </c>
      <c r="L23" s="46">
        <f>IF(OR(K23="",G23="",H23=""),"",K23-I23*G23-I23*H23)</f>
        <v/>
      </c>
      <c r="M23" s="33" t="inlineStr">
        <is>
          <t>BLOCKED_PENDING_VALIDATION</t>
        </is>
      </c>
      <c r="N23" s="33" t="inlineStr">
        <is>
          <t>Complete price=(complete kitchen COGS+packaging)/target; lower bound=(known partial food cost*1.015+packaging)/target; tax and commission excluded and explicitly blocked</t>
        </is>
      </c>
      <c r="O23" s="33" t="inlineStr">
        <is>
          <t>Public dated retail price cards + S04 target/packaging project inputs + docs/03-methodology/COGS.md</t>
        </is>
      </c>
      <c r="P23" s="33" t="inlineStr">
        <is>
          <t>VSF-003</t>
        </is>
      </c>
    </row>
    <row r="24">
      <c r="A24" s="33" t="inlineStr">
        <is>
          <t>VKM-005</t>
        </is>
      </c>
      <c r="B24" s="33" t="inlineStr">
        <is>
          <t>Белая чиабатта</t>
        </is>
      </c>
      <c r="C24" s="33" t="inlineStr">
        <is>
          <t>Гостиничные ужины</t>
        </is>
      </c>
      <c r="D24" s="48" t="n">
        <v>0.3</v>
      </c>
      <c r="E24" s="46">
        <f>IFERROR(INDEX('04_КАЛЬКУЛЯЦИИ'!$N$6:$N$33,MATCH(A24,'04_КАЛЬКУЛЯЦИИ'!$B$6:$B$33,0)),"")</f>
        <v/>
      </c>
      <c r="F24" s="45" t="n"/>
      <c r="G24" s="45" t="n"/>
      <c r="H24" s="45" t="n"/>
      <c r="I24" s="46">
        <f>IF(OR(E24="",F24="",D24=""),"",(E24+F24)/D24)</f>
        <v/>
      </c>
      <c r="J24" s="46">
        <f>IF(OR(E24="",F24="",I24=""),"",(E24+F24)/I24)</f>
        <v/>
      </c>
      <c r="K24" s="46">
        <f>IF(OR(I24="",E24="",F24=""),"",I24-E24-F24)</f>
        <v/>
      </c>
      <c r="L24" s="46">
        <f>IF(OR(K24="",G24="",H24=""),"",K24-I24*G24-I24*H24)</f>
        <v/>
      </c>
      <c r="M24" s="33" t="inlineStr">
        <is>
          <t>BLOCKED_PENDING_VALIDATION</t>
        </is>
      </c>
      <c r="N24" s="33" t="inlineStr">
        <is>
          <t>Complete price=(complete kitchen COGS+packaging)/target; lower bound=(known partial food cost*1.015+packaging)/target; tax and commission excluded and explicitly blocked</t>
        </is>
      </c>
      <c r="O24" s="33" t="inlineStr">
        <is>
          <t>Public dated retail price cards + S04 target/packaging project inputs + docs/03-methodology/COGS.md</t>
        </is>
      </c>
      <c r="P24" s="33" t="inlineStr">
        <is>
          <t>VSF-003</t>
        </is>
      </c>
    </row>
    <row r="25">
      <c r="A25" s="33" t="inlineStr">
        <is>
          <t>VKM-005</t>
        </is>
      </c>
      <c r="B25" s="33" t="inlineStr">
        <is>
          <t>Белая чиабатта</t>
        </is>
      </c>
      <c r="C25" s="33" t="inlineStr">
        <is>
          <t>Доставка</t>
        </is>
      </c>
      <c r="D25" s="48" t="n">
        <v>0.3</v>
      </c>
      <c r="E25" s="46">
        <f>IFERROR(INDEX('04_КАЛЬКУЛЯЦИИ'!$N$6:$N$33,MATCH(A25,'04_КАЛЬКУЛЯЦИИ'!$B$6:$B$33,0)),"")</f>
        <v/>
      </c>
      <c r="F25" s="45" t="n"/>
      <c r="G25" s="45" t="n"/>
      <c r="H25" s="45" t="n"/>
      <c r="I25" s="46">
        <f>IF(OR(E25="",F25="",D25=""),"",(E25+F25)/D25)</f>
        <v/>
      </c>
      <c r="J25" s="46">
        <f>IF(OR(E25="",F25="",I25=""),"",(E25+F25)/I25)</f>
        <v/>
      </c>
      <c r="K25" s="46">
        <f>IF(OR(I25="",E25="",F25=""),"",I25-E25-F25)</f>
        <v/>
      </c>
      <c r="L25" s="46">
        <f>IF(OR(K25="",G25="",H25=""),"",K25-I25*G25-I25*H25)</f>
        <v/>
      </c>
      <c r="M25" s="33" t="inlineStr">
        <is>
          <t>BLOCKED_PENDING_VALIDATION</t>
        </is>
      </c>
      <c r="N25" s="33" t="inlineStr">
        <is>
          <t>Complete price=(complete kitchen COGS+packaging)/target; lower bound=(known partial food cost*1.015+packaging)/target; tax and commission excluded and explicitly blocked</t>
        </is>
      </c>
      <c r="O25" s="33" t="inlineStr">
        <is>
          <t>Public dated retail price cards + S04 target/packaging project inputs + docs/03-methodology/COGS.md</t>
        </is>
      </c>
      <c r="P25" s="33" t="inlineStr">
        <is>
          <t>VSF-003</t>
        </is>
      </c>
    </row>
    <row r="26">
      <c r="A26" s="33" t="inlineStr">
        <is>
          <t>VKM-005</t>
        </is>
      </c>
      <c r="B26" s="33" t="inlineStr">
        <is>
          <t>Белая чиабатта</t>
        </is>
      </c>
      <c r="C26" s="33" t="inlineStr">
        <is>
          <t>Навынос</t>
        </is>
      </c>
      <c r="D26" s="48" t="n">
        <v>0.428571</v>
      </c>
      <c r="E26" s="46">
        <f>IFERROR(INDEX('04_КАЛЬКУЛЯЦИИ'!$N$6:$N$33,MATCH(A26,'04_КАЛЬКУЛЯЦИИ'!$B$6:$B$33,0)),"")</f>
        <v/>
      </c>
      <c r="F26" s="45" t="n"/>
      <c r="G26" s="45" t="n"/>
      <c r="H26" s="45" t="n"/>
      <c r="I26" s="46">
        <f>IF(OR(E26="",F26="",D26=""),"",(E26+F26)/D26)</f>
        <v/>
      </c>
      <c r="J26" s="46">
        <f>IF(OR(E26="",F26="",I26=""),"",(E26+F26)/I26)</f>
        <v/>
      </c>
      <c r="K26" s="46">
        <f>IF(OR(I26="",E26="",F26=""),"",I26-E26-F26)</f>
        <v/>
      </c>
      <c r="L26" s="46">
        <f>IF(OR(K26="",G26="",H26=""),"",K26-I26*G26-I26*H26)</f>
        <v/>
      </c>
      <c r="M26" s="33" t="inlineStr">
        <is>
          <t>BLOCKED_PENDING_VALIDATION</t>
        </is>
      </c>
      <c r="N26" s="33" t="inlineStr">
        <is>
          <t>Complete price=(complete kitchen COGS+packaging)/target; lower bound=(known partial food cost*1.015+packaging)/target; tax and commission excluded and explicitly blocked</t>
        </is>
      </c>
      <c r="O26" s="33" t="inlineStr">
        <is>
          <t>Public dated retail price cards + S04 target/packaging project inputs + docs/03-methodology/COGS.md</t>
        </is>
      </c>
      <c r="P26" s="33" t="inlineStr">
        <is>
          <t>VSF-003</t>
        </is>
      </c>
    </row>
    <row r="27">
      <c r="A27" s="33" t="inlineStr">
        <is>
          <t>VKM-006</t>
        </is>
      </c>
      <c r="B27" s="33" t="inlineStr">
        <is>
          <t>Томатная чиабатта</t>
        </is>
      </c>
      <c r="C27" s="33" t="inlineStr">
        <is>
          <t>À la carte</t>
        </is>
      </c>
      <c r="D27" s="48" t="n">
        <v>0.3</v>
      </c>
      <c r="E27" s="46">
        <f>IFERROR(INDEX('04_КАЛЬКУЛЯЦИИ'!$N$6:$N$33,MATCH(A27,'04_КАЛЬКУЛЯЦИИ'!$B$6:$B$33,0)),"")</f>
        <v/>
      </c>
      <c r="F27" s="45" t="n"/>
      <c r="G27" s="45" t="n"/>
      <c r="H27" s="45" t="n"/>
      <c r="I27" s="46">
        <f>IF(OR(E27="",F27="",D27=""),"",(E27+F27)/D27)</f>
        <v/>
      </c>
      <c r="J27" s="46">
        <f>IF(OR(E27="",F27="",I27=""),"",(E27+F27)/I27)</f>
        <v/>
      </c>
      <c r="K27" s="46">
        <f>IF(OR(I27="",E27="",F27=""),"",I27-E27-F27)</f>
        <v/>
      </c>
      <c r="L27" s="46">
        <f>IF(OR(K27="",G27="",H27=""),"",K27-I27*G27-I27*H27)</f>
        <v/>
      </c>
      <c r="M27" s="33" t="inlineStr">
        <is>
          <t>BLOCKED_PENDING_VALIDATION</t>
        </is>
      </c>
      <c r="N27" s="33" t="inlineStr">
        <is>
          <t>Complete price=(complete kitchen COGS+packaging)/target; lower bound=(known partial food cost*1.015+packaging)/target; tax and commission excluded and explicitly blocked</t>
        </is>
      </c>
      <c r="O27" s="33" t="inlineStr">
        <is>
          <t>Public dated retail price cards + S04 target/packaging project inputs + docs/03-methodology/COGS.md</t>
        </is>
      </c>
      <c r="P27" s="33" t="inlineStr">
        <is>
          <t>VSF-004</t>
        </is>
      </c>
    </row>
    <row r="28">
      <c r="A28" s="33" t="inlineStr">
        <is>
          <t>VKM-006</t>
        </is>
      </c>
      <c r="B28" s="33" t="inlineStr">
        <is>
          <t>Томатная чиабатта</t>
        </is>
      </c>
      <c r="C28" s="33" t="inlineStr">
        <is>
          <t>Бизнес-ланч</t>
        </is>
      </c>
      <c r="D28" s="48" t="n">
        <v>0.4</v>
      </c>
      <c r="E28" s="46">
        <f>IFERROR(INDEX('04_КАЛЬКУЛЯЦИИ'!$N$6:$N$33,MATCH(A28,'04_КАЛЬКУЛЯЦИИ'!$B$6:$B$33,0)),"")</f>
        <v/>
      </c>
      <c r="F28" s="45" t="n"/>
      <c r="G28" s="45" t="n"/>
      <c r="H28" s="45" t="n"/>
      <c r="I28" s="46">
        <f>IF(OR(E28="",F28="",D28=""),"",(E28+F28)/D28)</f>
        <v/>
      </c>
      <c r="J28" s="46">
        <f>IF(OR(E28="",F28="",I28=""),"",(E28+F28)/I28)</f>
        <v/>
      </c>
      <c r="K28" s="46">
        <f>IF(OR(I28="",E28="",F28=""),"",I28-E28-F28)</f>
        <v/>
      </c>
      <c r="L28" s="46">
        <f>IF(OR(K28="",G28="",H28=""),"",K28-I28*G28-I28*H28)</f>
        <v/>
      </c>
      <c r="M28" s="33" t="inlineStr">
        <is>
          <t>BLOCKED_PENDING_VALIDATION</t>
        </is>
      </c>
      <c r="N28" s="33" t="inlineStr">
        <is>
          <t>Complete price=(complete kitchen COGS+packaging)/target; lower bound=(known partial food cost*1.015+packaging)/target; tax and commission excluded and explicitly blocked</t>
        </is>
      </c>
      <c r="O28" s="33" t="inlineStr">
        <is>
          <t>Public dated retail price cards + S04 target/packaging project inputs + docs/03-methodology/COGS.md</t>
        </is>
      </c>
      <c r="P28" s="33" t="inlineStr">
        <is>
          <t>VSF-004</t>
        </is>
      </c>
    </row>
    <row r="29">
      <c r="A29" s="33" t="inlineStr">
        <is>
          <t>VKM-006</t>
        </is>
      </c>
      <c r="B29" s="33" t="inlineStr">
        <is>
          <t>Томатная чиабатта</t>
        </is>
      </c>
      <c r="C29" s="33" t="inlineStr">
        <is>
          <t>Гостиничные ужины</t>
        </is>
      </c>
      <c r="D29" s="48" t="n">
        <v>0.3</v>
      </c>
      <c r="E29" s="46">
        <f>IFERROR(INDEX('04_КАЛЬКУЛЯЦИИ'!$N$6:$N$33,MATCH(A29,'04_КАЛЬКУЛЯЦИИ'!$B$6:$B$33,0)),"")</f>
        <v/>
      </c>
      <c r="F29" s="45" t="n"/>
      <c r="G29" s="45" t="n"/>
      <c r="H29" s="45" t="n"/>
      <c r="I29" s="46">
        <f>IF(OR(E29="",F29="",D29=""),"",(E29+F29)/D29)</f>
        <v/>
      </c>
      <c r="J29" s="46">
        <f>IF(OR(E29="",F29="",I29=""),"",(E29+F29)/I29)</f>
        <v/>
      </c>
      <c r="K29" s="46">
        <f>IF(OR(I29="",E29="",F29=""),"",I29-E29-F29)</f>
        <v/>
      </c>
      <c r="L29" s="46">
        <f>IF(OR(K29="",G29="",H29=""),"",K29-I29*G29-I29*H29)</f>
        <v/>
      </c>
      <c r="M29" s="33" t="inlineStr">
        <is>
          <t>BLOCKED_PENDING_VALIDATION</t>
        </is>
      </c>
      <c r="N29" s="33" t="inlineStr">
        <is>
          <t>Complete price=(complete kitchen COGS+packaging)/target; lower bound=(known partial food cost*1.015+packaging)/target; tax and commission excluded and explicitly blocked</t>
        </is>
      </c>
      <c r="O29" s="33" t="inlineStr">
        <is>
          <t>Public dated retail price cards + S04 target/packaging project inputs + docs/03-methodology/COGS.md</t>
        </is>
      </c>
      <c r="P29" s="33" t="inlineStr">
        <is>
          <t>VSF-004</t>
        </is>
      </c>
    </row>
    <row r="30">
      <c r="A30" s="33" t="inlineStr">
        <is>
          <t>VKM-006</t>
        </is>
      </c>
      <c r="B30" s="33" t="inlineStr">
        <is>
          <t>Томатная чиабатта</t>
        </is>
      </c>
      <c r="C30" s="33" t="inlineStr">
        <is>
          <t>Доставка</t>
        </is>
      </c>
      <c r="D30" s="48" t="n">
        <v>0.3</v>
      </c>
      <c r="E30" s="46">
        <f>IFERROR(INDEX('04_КАЛЬКУЛЯЦИИ'!$N$6:$N$33,MATCH(A30,'04_КАЛЬКУЛЯЦИИ'!$B$6:$B$33,0)),"")</f>
        <v/>
      </c>
      <c r="F30" s="45" t="n"/>
      <c r="G30" s="45" t="n"/>
      <c r="H30" s="45" t="n"/>
      <c r="I30" s="46">
        <f>IF(OR(E30="",F30="",D30=""),"",(E30+F30)/D30)</f>
        <v/>
      </c>
      <c r="J30" s="46">
        <f>IF(OR(E30="",F30="",I30=""),"",(E30+F30)/I30)</f>
        <v/>
      </c>
      <c r="K30" s="46">
        <f>IF(OR(I30="",E30="",F30=""),"",I30-E30-F30)</f>
        <v/>
      </c>
      <c r="L30" s="46">
        <f>IF(OR(K30="",G30="",H30=""),"",K30-I30*G30-I30*H30)</f>
        <v/>
      </c>
      <c r="M30" s="33" t="inlineStr">
        <is>
          <t>BLOCKED_PENDING_VALIDATION</t>
        </is>
      </c>
      <c r="N30" s="33" t="inlineStr">
        <is>
          <t>Complete price=(complete kitchen COGS+packaging)/target; lower bound=(known partial food cost*1.015+packaging)/target; tax and commission excluded and explicitly blocked</t>
        </is>
      </c>
      <c r="O30" s="33" t="inlineStr">
        <is>
          <t>Public dated retail price cards + S04 target/packaging project inputs + docs/03-methodology/COGS.md</t>
        </is>
      </c>
      <c r="P30" s="33" t="inlineStr">
        <is>
          <t>VSF-004</t>
        </is>
      </c>
    </row>
    <row r="31">
      <c r="A31" s="33" t="inlineStr">
        <is>
          <t>VKM-006</t>
        </is>
      </c>
      <c r="B31" s="33" t="inlineStr">
        <is>
          <t>Томатная чиабатта</t>
        </is>
      </c>
      <c r="C31" s="33" t="inlineStr">
        <is>
          <t>Навынос</t>
        </is>
      </c>
      <c r="D31" s="48" t="n">
        <v>0.428571</v>
      </c>
      <c r="E31" s="46">
        <f>IFERROR(INDEX('04_КАЛЬКУЛЯЦИИ'!$N$6:$N$33,MATCH(A31,'04_КАЛЬКУЛЯЦИИ'!$B$6:$B$33,0)),"")</f>
        <v/>
      </c>
      <c r="F31" s="45" t="n"/>
      <c r="G31" s="45" t="n"/>
      <c r="H31" s="45" t="n"/>
      <c r="I31" s="46">
        <f>IF(OR(E31="",F31="",D31=""),"",(E31+F31)/D31)</f>
        <v/>
      </c>
      <c r="J31" s="46">
        <f>IF(OR(E31="",F31="",I31=""),"",(E31+F31)/I31)</f>
        <v/>
      </c>
      <c r="K31" s="46">
        <f>IF(OR(I31="",E31="",F31=""),"",I31-E31-F31)</f>
        <v/>
      </c>
      <c r="L31" s="46">
        <f>IF(OR(K31="",G31="",H31=""),"",K31-I31*G31-I31*H31)</f>
        <v/>
      </c>
      <c r="M31" s="33" t="inlineStr">
        <is>
          <t>BLOCKED_PENDING_VALIDATION</t>
        </is>
      </c>
      <c r="N31" s="33" t="inlineStr">
        <is>
          <t>Complete price=(complete kitchen COGS+packaging)/target; lower bound=(known partial food cost*1.015+packaging)/target; tax and commission excluded and explicitly blocked</t>
        </is>
      </c>
      <c r="O31" s="33" t="inlineStr">
        <is>
          <t>Public dated retail price cards + S04 target/packaging project inputs + docs/03-methodology/COGS.md</t>
        </is>
      </c>
      <c r="P31" s="33" t="inlineStr">
        <is>
          <t>VSF-004</t>
        </is>
      </c>
    </row>
    <row r="32">
      <c r="A32" s="33" t="inlineStr">
        <is>
          <t>VKM-007</t>
        </is>
      </c>
      <c r="B32" s="33" t="inlineStr">
        <is>
          <t>Бородинский хлеб</t>
        </is>
      </c>
      <c r="C32" s="33" t="inlineStr">
        <is>
          <t>À la carte</t>
        </is>
      </c>
      <c r="D32" s="48" t="n">
        <v>0.3</v>
      </c>
      <c r="E32" s="46">
        <f>IFERROR(INDEX('04_КАЛЬКУЛЯЦИИ'!$N$6:$N$33,MATCH(A32,'04_КАЛЬКУЛЯЦИИ'!$B$6:$B$33,0)),"")</f>
        <v/>
      </c>
      <c r="F32" s="45" t="n"/>
      <c r="G32" s="45" t="n"/>
      <c r="H32" s="45" t="n"/>
      <c r="I32" s="46">
        <f>IF(OR(E32="",F32="",D32=""),"",(E32+F32)/D32)</f>
        <v/>
      </c>
      <c r="J32" s="46">
        <f>IF(OR(E32="",F32="",I32=""),"",(E32+F32)/I32)</f>
        <v/>
      </c>
      <c r="K32" s="46">
        <f>IF(OR(I32="",E32="",F32=""),"",I32-E32-F32)</f>
        <v/>
      </c>
      <c r="L32" s="46">
        <f>IF(OR(K32="",G32="",H32=""),"",K32-I32*G32-I32*H32)</f>
        <v/>
      </c>
      <c r="M32" s="33" t="inlineStr">
        <is>
          <t>BLOCKED_PENDING_VALIDATION</t>
        </is>
      </c>
      <c r="N32" s="33" t="inlineStr">
        <is>
          <t>Complete price=(complete kitchen COGS+packaging)/target; lower bound=(known partial food cost*1.015+packaging)/target; tax and commission excluded and explicitly blocked</t>
        </is>
      </c>
      <c r="O32" s="33" t="inlineStr">
        <is>
          <t>Public dated retail price cards + S04 target/packaging project inputs + docs/03-methodology/COGS.md</t>
        </is>
      </c>
      <c r="P32" s="33" t="inlineStr">
        <is>
          <t>VSF-005</t>
        </is>
      </c>
    </row>
    <row r="33">
      <c r="A33" s="33" t="inlineStr">
        <is>
          <t>VKM-007</t>
        </is>
      </c>
      <c r="B33" s="33" t="inlineStr">
        <is>
          <t>Бородинский хлеб</t>
        </is>
      </c>
      <c r="C33" s="33" t="inlineStr">
        <is>
          <t>Бизнес-ланч</t>
        </is>
      </c>
      <c r="D33" s="48" t="n">
        <v>0.4</v>
      </c>
      <c r="E33" s="46">
        <f>IFERROR(INDEX('04_КАЛЬКУЛЯЦИИ'!$N$6:$N$33,MATCH(A33,'04_КАЛЬКУЛЯЦИИ'!$B$6:$B$33,0)),"")</f>
        <v/>
      </c>
      <c r="F33" s="45" t="n"/>
      <c r="G33" s="45" t="n"/>
      <c r="H33" s="45" t="n"/>
      <c r="I33" s="46">
        <f>IF(OR(E33="",F33="",D33=""),"",(E33+F33)/D33)</f>
        <v/>
      </c>
      <c r="J33" s="46">
        <f>IF(OR(E33="",F33="",I33=""),"",(E33+F33)/I33)</f>
        <v/>
      </c>
      <c r="K33" s="46">
        <f>IF(OR(I33="",E33="",F33=""),"",I33-E33-F33)</f>
        <v/>
      </c>
      <c r="L33" s="46">
        <f>IF(OR(K33="",G33="",H33=""),"",K33-I33*G33-I33*H33)</f>
        <v/>
      </c>
      <c r="M33" s="33" t="inlineStr">
        <is>
          <t>BLOCKED_PENDING_VALIDATION</t>
        </is>
      </c>
      <c r="N33" s="33" t="inlineStr">
        <is>
          <t>Complete price=(complete kitchen COGS+packaging)/target; lower bound=(known partial food cost*1.015+packaging)/target; tax and commission excluded and explicitly blocked</t>
        </is>
      </c>
      <c r="O33" s="33" t="inlineStr">
        <is>
          <t>Public dated retail price cards + S04 target/packaging project inputs + docs/03-methodology/COGS.md</t>
        </is>
      </c>
      <c r="P33" s="33" t="inlineStr">
        <is>
          <t>VSF-005</t>
        </is>
      </c>
    </row>
    <row r="34">
      <c r="A34" s="33" t="inlineStr">
        <is>
          <t>VKM-007</t>
        </is>
      </c>
      <c r="B34" s="33" t="inlineStr">
        <is>
          <t>Бородинский хлеб</t>
        </is>
      </c>
      <c r="C34" s="33" t="inlineStr">
        <is>
          <t>Гостиничные ужины</t>
        </is>
      </c>
      <c r="D34" s="48" t="n">
        <v>0.3</v>
      </c>
      <c r="E34" s="46">
        <f>IFERROR(INDEX('04_КАЛЬКУЛЯЦИИ'!$N$6:$N$33,MATCH(A34,'04_КАЛЬКУЛЯЦИИ'!$B$6:$B$33,0)),"")</f>
        <v/>
      </c>
      <c r="F34" s="45" t="n"/>
      <c r="G34" s="45" t="n"/>
      <c r="H34" s="45" t="n"/>
      <c r="I34" s="46">
        <f>IF(OR(E34="",F34="",D34=""),"",(E34+F34)/D34)</f>
        <v/>
      </c>
      <c r="J34" s="46">
        <f>IF(OR(E34="",F34="",I34=""),"",(E34+F34)/I34)</f>
        <v/>
      </c>
      <c r="K34" s="46">
        <f>IF(OR(I34="",E34="",F34=""),"",I34-E34-F34)</f>
        <v/>
      </c>
      <c r="L34" s="46">
        <f>IF(OR(K34="",G34="",H34=""),"",K34-I34*G34-I34*H34)</f>
        <v/>
      </c>
      <c r="M34" s="33" t="inlineStr">
        <is>
          <t>BLOCKED_PENDING_VALIDATION</t>
        </is>
      </c>
      <c r="N34" s="33" t="inlineStr">
        <is>
          <t>Complete price=(complete kitchen COGS+packaging)/target; lower bound=(known partial food cost*1.015+packaging)/target; tax and commission excluded and explicitly blocked</t>
        </is>
      </c>
      <c r="O34" s="33" t="inlineStr">
        <is>
          <t>Public dated retail price cards + S04 target/packaging project inputs + docs/03-methodology/COGS.md</t>
        </is>
      </c>
      <c r="P34" s="33" t="inlineStr">
        <is>
          <t>VSF-005</t>
        </is>
      </c>
    </row>
    <row r="35">
      <c r="A35" s="33" t="inlineStr">
        <is>
          <t>VKM-007</t>
        </is>
      </c>
      <c r="B35" s="33" t="inlineStr">
        <is>
          <t>Бородинский хлеб</t>
        </is>
      </c>
      <c r="C35" s="33" t="inlineStr">
        <is>
          <t>Доставка</t>
        </is>
      </c>
      <c r="D35" s="48" t="n">
        <v>0.3</v>
      </c>
      <c r="E35" s="46">
        <f>IFERROR(INDEX('04_КАЛЬКУЛЯЦИИ'!$N$6:$N$33,MATCH(A35,'04_КАЛЬКУЛЯЦИИ'!$B$6:$B$33,0)),"")</f>
        <v/>
      </c>
      <c r="F35" s="45" t="n"/>
      <c r="G35" s="45" t="n"/>
      <c r="H35" s="45" t="n"/>
      <c r="I35" s="46">
        <f>IF(OR(E35="",F35="",D35=""),"",(E35+F35)/D35)</f>
        <v/>
      </c>
      <c r="J35" s="46">
        <f>IF(OR(E35="",F35="",I35=""),"",(E35+F35)/I35)</f>
        <v/>
      </c>
      <c r="K35" s="46">
        <f>IF(OR(I35="",E35="",F35=""),"",I35-E35-F35)</f>
        <v/>
      </c>
      <c r="L35" s="46">
        <f>IF(OR(K35="",G35="",H35=""),"",K35-I35*G35-I35*H35)</f>
        <v/>
      </c>
      <c r="M35" s="33" t="inlineStr">
        <is>
          <t>BLOCKED_PENDING_VALIDATION</t>
        </is>
      </c>
      <c r="N35" s="33" t="inlineStr">
        <is>
          <t>Complete price=(complete kitchen COGS+packaging)/target; lower bound=(known partial food cost*1.015+packaging)/target; tax and commission excluded and explicitly blocked</t>
        </is>
      </c>
      <c r="O35" s="33" t="inlineStr">
        <is>
          <t>Public dated retail price cards + S04 target/packaging project inputs + docs/03-methodology/COGS.md</t>
        </is>
      </c>
      <c r="P35" s="33" t="inlineStr">
        <is>
          <t>VSF-005</t>
        </is>
      </c>
    </row>
    <row r="36">
      <c r="A36" s="33" t="inlineStr">
        <is>
          <t>VKM-007</t>
        </is>
      </c>
      <c r="B36" s="33" t="inlineStr">
        <is>
          <t>Бородинский хлеб</t>
        </is>
      </c>
      <c r="C36" s="33" t="inlineStr">
        <is>
          <t>Навынос</t>
        </is>
      </c>
      <c r="D36" s="48" t="n">
        <v>0.428571</v>
      </c>
      <c r="E36" s="46">
        <f>IFERROR(INDEX('04_КАЛЬКУЛЯЦИИ'!$N$6:$N$33,MATCH(A36,'04_КАЛЬКУЛЯЦИИ'!$B$6:$B$33,0)),"")</f>
        <v/>
      </c>
      <c r="F36" s="45" t="n"/>
      <c r="G36" s="45" t="n"/>
      <c r="H36" s="45" t="n"/>
      <c r="I36" s="46">
        <f>IF(OR(E36="",F36="",D36=""),"",(E36+F36)/D36)</f>
        <v/>
      </c>
      <c r="J36" s="46">
        <f>IF(OR(E36="",F36="",I36=""),"",(E36+F36)/I36)</f>
        <v/>
      </c>
      <c r="K36" s="46">
        <f>IF(OR(I36="",E36="",F36=""),"",I36-E36-F36)</f>
        <v/>
      </c>
      <c r="L36" s="46">
        <f>IF(OR(K36="",G36="",H36=""),"",K36-I36*G36-I36*H36)</f>
        <v/>
      </c>
      <c r="M36" s="33" t="inlineStr">
        <is>
          <t>BLOCKED_PENDING_VALIDATION</t>
        </is>
      </c>
      <c r="N36" s="33" t="inlineStr">
        <is>
          <t>Complete price=(complete kitchen COGS+packaging)/target; lower bound=(known partial food cost*1.015+packaging)/target; tax and commission excluded and explicitly blocked</t>
        </is>
      </c>
      <c r="O36" s="33" t="inlineStr">
        <is>
          <t>Public dated retail price cards + S04 target/packaging project inputs + docs/03-methodology/COGS.md</t>
        </is>
      </c>
      <c r="P36" s="33" t="inlineStr">
        <is>
          <t>VSF-005</t>
        </is>
      </c>
    </row>
    <row r="37">
      <c r="A37" s="33" t="inlineStr">
        <is>
          <t>VKM-008</t>
        </is>
      </c>
      <c r="B37" s="33" t="inlineStr">
        <is>
          <t>Бриошь</t>
        </is>
      </c>
      <c r="C37" s="33" t="inlineStr">
        <is>
          <t>À la carte</t>
        </is>
      </c>
      <c r="D37" s="48" t="n">
        <v>0.3</v>
      </c>
      <c r="E37" s="46">
        <f>IFERROR(INDEX('04_КАЛЬКУЛЯЦИИ'!$N$6:$N$33,MATCH(A37,'04_КАЛЬКУЛЯЦИИ'!$B$6:$B$33,0)),"")</f>
        <v/>
      </c>
      <c r="F37" s="45" t="n"/>
      <c r="G37" s="45" t="n"/>
      <c r="H37" s="45" t="n"/>
      <c r="I37" s="46">
        <f>IF(OR(E37="",F37="",D37=""),"",(E37+F37)/D37)</f>
        <v/>
      </c>
      <c r="J37" s="46">
        <f>IF(OR(E37="",F37="",I37=""),"",(E37+F37)/I37)</f>
        <v/>
      </c>
      <c r="K37" s="46">
        <f>IF(OR(I37="",E37="",F37=""),"",I37-E37-F37)</f>
        <v/>
      </c>
      <c r="L37" s="46">
        <f>IF(OR(K37="",G37="",H37=""),"",K37-I37*G37-I37*H37)</f>
        <v/>
      </c>
      <c r="M37" s="33" t="inlineStr">
        <is>
          <t>BLOCKED_PENDING_VALIDATION</t>
        </is>
      </c>
      <c r="N37" s="33" t="inlineStr">
        <is>
          <t>Complete price=(complete kitchen COGS+packaging)/target; lower bound=(known partial food cost*1.015+packaging)/target; tax and commission excluded and explicitly blocked</t>
        </is>
      </c>
      <c r="O37" s="33" t="inlineStr">
        <is>
          <t>Public dated retail price cards + S04 target/packaging project inputs + docs/03-methodology/COGS.md</t>
        </is>
      </c>
      <c r="P37" s="33" t="inlineStr">
        <is>
          <t>VSF-006</t>
        </is>
      </c>
    </row>
    <row r="38">
      <c r="A38" s="33" t="inlineStr">
        <is>
          <t>VKM-008</t>
        </is>
      </c>
      <c r="B38" s="33" t="inlineStr">
        <is>
          <t>Бриошь</t>
        </is>
      </c>
      <c r="C38" s="33" t="inlineStr">
        <is>
          <t>Бизнес-ланч</t>
        </is>
      </c>
      <c r="D38" s="48" t="n">
        <v>0.4</v>
      </c>
      <c r="E38" s="46">
        <f>IFERROR(INDEX('04_КАЛЬКУЛЯЦИИ'!$N$6:$N$33,MATCH(A38,'04_КАЛЬКУЛЯЦИИ'!$B$6:$B$33,0)),"")</f>
        <v/>
      </c>
      <c r="F38" s="45" t="n"/>
      <c r="G38" s="45" t="n"/>
      <c r="H38" s="45" t="n"/>
      <c r="I38" s="46">
        <f>IF(OR(E38="",F38="",D38=""),"",(E38+F38)/D38)</f>
        <v/>
      </c>
      <c r="J38" s="46">
        <f>IF(OR(E38="",F38="",I38=""),"",(E38+F38)/I38)</f>
        <v/>
      </c>
      <c r="K38" s="46">
        <f>IF(OR(I38="",E38="",F38=""),"",I38-E38-F38)</f>
        <v/>
      </c>
      <c r="L38" s="46">
        <f>IF(OR(K38="",G38="",H38=""),"",K38-I38*G38-I38*H38)</f>
        <v/>
      </c>
      <c r="M38" s="33" t="inlineStr">
        <is>
          <t>BLOCKED_PENDING_VALIDATION</t>
        </is>
      </c>
      <c r="N38" s="33" t="inlineStr">
        <is>
          <t>Complete price=(complete kitchen COGS+packaging)/target; lower bound=(known partial food cost*1.015+packaging)/target; tax and commission excluded and explicitly blocked</t>
        </is>
      </c>
      <c r="O38" s="33" t="inlineStr">
        <is>
          <t>Public dated retail price cards + S04 target/packaging project inputs + docs/03-methodology/COGS.md</t>
        </is>
      </c>
      <c r="P38" s="33" t="inlineStr">
        <is>
          <t>VSF-006</t>
        </is>
      </c>
    </row>
    <row r="39">
      <c r="A39" s="33" t="inlineStr">
        <is>
          <t>VKM-008</t>
        </is>
      </c>
      <c r="B39" s="33" t="inlineStr">
        <is>
          <t>Бриошь</t>
        </is>
      </c>
      <c r="C39" s="33" t="inlineStr">
        <is>
          <t>Гостиничные ужины</t>
        </is>
      </c>
      <c r="D39" s="48" t="n">
        <v>0.3</v>
      </c>
      <c r="E39" s="46">
        <f>IFERROR(INDEX('04_КАЛЬКУЛЯЦИИ'!$N$6:$N$33,MATCH(A39,'04_КАЛЬКУЛЯЦИИ'!$B$6:$B$33,0)),"")</f>
        <v/>
      </c>
      <c r="F39" s="45" t="n"/>
      <c r="G39" s="45" t="n"/>
      <c r="H39" s="45" t="n"/>
      <c r="I39" s="46">
        <f>IF(OR(E39="",F39="",D39=""),"",(E39+F39)/D39)</f>
        <v/>
      </c>
      <c r="J39" s="46">
        <f>IF(OR(E39="",F39="",I39=""),"",(E39+F39)/I39)</f>
        <v/>
      </c>
      <c r="K39" s="46">
        <f>IF(OR(I39="",E39="",F39=""),"",I39-E39-F39)</f>
        <v/>
      </c>
      <c r="L39" s="46">
        <f>IF(OR(K39="",G39="",H39=""),"",K39-I39*G39-I39*H39)</f>
        <v/>
      </c>
      <c r="M39" s="33" t="inlineStr">
        <is>
          <t>BLOCKED_PENDING_VALIDATION</t>
        </is>
      </c>
      <c r="N39" s="33" t="inlineStr">
        <is>
          <t>Complete price=(complete kitchen COGS+packaging)/target; lower bound=(known partial food cost*1.015+packaging)/target; tax and commission excluded and explicitly blocked</t>
        </is>
      </c>
      <c r="O39" s="33" t="inlineStr">
        <is>
          <t>Public dated retail price cards + S04 target/packaging project inputs + docs/03-methodology/COGS.md</t>
        </is>
      </c>
      <c r="P39" s="33" t="inlineStr">
        <is>
          <t>VSF-006</t>
        </is>
      </c>
    </row>
    <row r="40">
      <c r="A40" s="33" t="inlineStr">
        <is>
          <t>VKM-008</t>
        </is>
      </c>
      <c r="B40" s="33" t="inlineStr">
        <is>
          <t>Бриошь</t>
        </is>
      </c>
      <c r="C40" s="33" t="inlineStr">
        <is>
          <t>Доставка</t>
        </is>
      </c>
      <c r="D40" s="48" t="n">
        <v>0.3</v>
      </c>
      <c r="E40" s="46">
        <f>IFERROR(INDEX('04_КАЛЬКУЛЯЦИИ'!$N$6:$N$33,MATCH(A40,'04_КАЛЬКУЛЯЦИИ'!$B$6:$B$33,0)),"")</f>
        <v/>
      </c>
      <c r="F40" s="45" t="n"/>
      <c r="G40" s="45" t="n"/>
      <c r="H40" s="45" t="n"/>
      <c r="I40" s="46">
        <f>IF(OR(E40="",F40="",D40=""),"",(E40+F40)/D40)</f>
        <v/>
      </c>
      <c r="J40" s="46">
        <f>IF(OR(E40="",F40="",I40=""),"",(E40+F40)/I40)</f>
        <v/>
      </c>
      <c r="K40" s="46">
        <f>IF(OR(I40="",E40="",F40=""),"",I40-E40-F40)</f>
        <v/>
      </c>
      <c r="L40" s="46">
        <f>IF(OR(K40="",G40="",H40=""),"",K40-I40*G40-I40*H40)</f>
        <v/>
      </c>
      <c r="M40" s="33" t="inlineStr">
        <is>
          <t>BLOCKED_PENDING_VALIDATION</t>
        </is>
      </c>
      <c r="N40" s="33" t="inlineStr">
        <is>
          <t>Complete price=(complete kitchen COGS+packaging)/target; lower bound=(known partial food cost*1.015+packaging)/target; tax and commission excluded and explicitly blocked</t>
        </is>
      </c>
      <c r="O40" s="33" t="inlineStr">
        <is>
          <t>Public dated retail price cards + S04 target/packaging project inputs + docs/03-methodology/COGS.md</t>
        </is>
      </c>
      <c r="P40" s="33" t="inlineStr">
        <is>
          <t>VSF-006</t>
        </is>
      </c>
    </row>
    <row r="41">
      <c r="A41" s="33" t="inlineStr">
        <is>
          <t>VKM-008</t>
        </is>
      </c>
      <c r="B41" s="33" t="inlineStr">
        <is>
          <t>Бриошь</t>
        </is>
      </c>
      <c r="C41" s="33" t="inlineStr">
        <is>
          <t>Навынос</t>
        </is>
      </c>
      <c r="D41" s="48" t="n">
        <v>0.428571</v>
      </c>
      <c r="E41" s="46">
        <f>IFERROR(INDEX('04_КАЛЬКУЛЯЦИИ'!$N$6:$N$33,MATCH(A41,'04_КАЛЬКУЛЯЦИИ'!$B$6:$B$33,0)),"")</f>
        <v/>
      </c>
      <c r="F41" s="45" t="n"/>
      <c r="G41" s="45" t="n"/>
      <c r="H41" s="45" t="n"/>
      <c r="I41" s="46">
        <f>IF(OR(E41="",F41="",D41=""),"",(E41+F41)/D41)</f>
        <v/>
      </c>
      <c r="J41" s="46">
        <f>IF(OR(E41="",F41="",I41=""),"",(E41+F41)/I41)</f>
        <v/>
      </c>
      <c r="K41" s="46">
        <f>IF(OR(I41="",E41="",F41=""),"",I41-E41-F41)</f>
        <v/>
      </c>
      <c r="L41" s="46">
        <f>IF(OR(K41="",G41="",H41=""),"",K41-I41*G41-I41*H41)</f>
        <v/>
      </c>
      <c r="M41" s="33" t="inlineStr">
        <is>
          <t>BLOCKED_PENDING_VALIDATION</t>
        </is>
      </c>
      <c r="N41" s="33" t="inlineStr">
        <is>
          <t>Complete price=(complete kitchen COGS+packaging)/target; lower bound=(known partial food cost*1.015+packaging)/target; tax and commission excluded and explicitly blocked</t>
        </is>
      </c>
      <c r="O41" s="33" t="inlineStr">
        <is>
          <t>Public dated retail price cards + S04 target/packaging project inputs + docs/03-methodology/COGS.md</t>
        </is>
      </c>
      <c r="P41" s="33" t="inlineStr">
        <is>
          <t>VSF-006</t>
        </is>
      </c>
    </row>
    <row r="42">
      <c r="A42" s="33" t="inlineStr">
        <is>
          <t>VKM-009</t>
        </is>
      </c>
      <c r="B42" s="33" t="inlineStr">
        <is>
          <t>Буррата с томатами</t>
        </is>
      </c>
      <c r="C42" s="33" t="inlineStr">
        <is>
          <t>À la carte</t>
        </is>
      </c>
      <c r="D42" s="48" t="n">
        <v>0.3</v>
      </c>
      <c r="E42" s="46">
        <f>IFERROR(INDEX('04_КАЛЬКУЛЯЦИИ'!$N$6:$N$33,MATCH(A42,'04_КАЛЬКУЛЯЦИИ'!$B$6:$B$33,0)),"")</f>
        <v/>
      </c>
      <c r="F42" s="45" t="n"/>
      <c r="G42" s="45" t="n"/>
      <c r="H42" s="45" t="n"/>
      <c r="I42" s="46">
        <f>IF(OR(E42="",F42="",D42=""),"",(E42+F42)/D42)</f>
        <v/>
      </c>
      <c r="J42" s="46">
        <f>IF(OR(E42="",F42="",I42=""),"",(E42+F42)/I42)</f>
        <v/>
      </c>
      <c r="K42" s="46">
        <f>IF(OR(I42="",E42="",F42=""),"",I42-E42-F42)</f>
        <v/>
      </c>
      <c r="L42" s="46">
        <f>IF(OR(K42="",G42="",H42=""),"",K42-I42*G42-I42*H42)</f>
        <v/>
      </c>
      <c r="M42" s="33" t="inlineStr">
        <is>
          <t>BLOCKED_PENDING_VALIDATION</t>
        </is>
      </c>
      <c r="N42" s="33" t="inlineStr">
        <is>
          <t>Complete price=(complete kitchen COGS+packaging)/target; lower bound=(known partial food cost*1.015+packaging)/target; tax and commission excluded and explicitly blocked</t>
        </is>
      </c>
      <c r="O42" s="33" t="inlineStr">
        <is>
          <t>Public dated retail price cards + S04 target/packaging project inputs + docs/03-methodology/COGS.md</t>
        </is>
      </c>
      <c r="P42" s="33" t="inlineStr">
        <is>
          <t>ING-005;ING-031;ING-034;VSF-007</t>
        </is>
      </c>
    </row>
    <row r="43">
      <c r="A43" s="33" t="inlineStr">
        <is>
          <t>VKM-009</t>
        </is>
      </c>
      <c r="B43" s="33" t="inlineStr">
        <is>
          <t>Буррата с томатами</t>
        </is>
      </c>
      <c r="C43" s="33" t="inlineStr">
        <is>
          <t>Бизнес-ланч</t>
        </is>
      </c>
      <c r="D43" s="48" t="n">
        <v>0.4</v>
      </c>
      <c r="E43" s="46">
        <f>IFERROR(INDEX('04_КАЛЬКУЛЯЦИИ'!$N$6:$N$33,MATCH(A43,'04_КАЛЬКУЛЯЦИИ'!$B$6:$B$33,0)),"")</f>
        <v/>
      </c>
      <c r="F43" s="45" t="n"/>
      <c r="G43" s="45" t="n"/>
      <c r="H43" s="45" t="n"/>
      <c r="I43" s="46">
        <f>IF(OR(E43="",F43="",D43=""),"",(E43+F43)/D43)</f>
        <v/>
      </c>
      <c r="J43" s="46">
        <f>IF(OR(E43="",F43="",I43=""),"",(E43+F43)/I43)</f>
        <v/>
      </c>
      <c r="K43" s="46">
        <f>IF(OR(I43="",E43="",F43=""),"",I43-E43-F43)</f>
        <v/>
      </c>
      <c r="L43" s="46">
        <f>IF(OR(K43="",G43="",H43=""),"",K43-I43*G43-I43*H43)</f>
        <v/>
      </c>
      <c r="M43" s="33" t="inlineStr">
        <is>
          <t>BLOCKED_PENDING_VALIDATION</t>
        </is>
      </c>
      <c r="N43" s="33" t="inlineStr">
        <is>
          <t>Complete price=(complete kitchen COGS+packaging)/target; lower bound=(known partial food cost*1.015+packaging)/target; tax and commission excluded and explicitly blocked</t>
        </is>
      </c>
      <c r="O43" s="33" t="inlineStr">
        <is>
          <t>Public dated retail price cards + S04 target/packaging project inputs + docs/03-methodology/COGS.md</t>
        </is>
      </c>
      <c r="P43" s="33" t="inlineStr">
        <is>
          <t>ING-005;ING-031;ING-034;VSF-007</t>
        </is>
      </c>
    </row>
    <row r="44">
      <c r="A44" s="33" t="inlineStr">
        <is>
          <t>VKM-009</t>
        </is>
      </c>
      <c r="B44" s="33" t="inlineStr">
        <is>
          <t>Буррата с томатами</t>
        </is>
      </c>
      <c r="C44" s="33" t="inlineStr">
        <is>
          <t>Гостиничные ужины</t>
        </is>
      </c>
      <c r="D44" s="48" t="n">
        <v>0.3</v>
      </c>
      <c r="E44" s="46">
        <f>IFERROR(INDEX('04_КАЛЬКУЛЯЦИИ'!$N$6:$N$33,MATCH(A44,'04_КАЛЬКУЛЯЦИИ'!$B$6:$B$33,0)),"")</f>
        <v/>
      </c>
      <c r="F44" s="45" t="n"/>
      <c r="G44" s="45" t="n"/>
      <c r="H44" s="45" t="n"/>
      <c r="I44" s="46">
        <f>IF(OR(E44="",F44="",D44=""),"",(E44+F44)/D44)</f>
        <v/>
      </c>
      <c r="J44" s="46">
        <f>IF(OR(E44="",F44="",I44=""),"",(E44+F44)/I44)</f>
        <v/>
      </c>
      <c r="K44" s="46">
        <f>IF(OR(I44="",E44="",F44=""),"",I44-E44-F44)</f>
        <v/>
      </c>
      <c r="L44" s="46">
        <f>IF(OR(K44="",G44="",H44=""),"",K44-I44*G44-I44*H44)</f>
        <v/>
      </c>
      <c r="M44" s="33" t="inlineStr">
        <is>
          <t>BLOCKED_PENDING_VALIDATION</t>
        </is>
      </c>
      <c r="N44" s="33" t="inlineStr">
        <is>
          <t>Complete price=(complete kitchen COGS+packaging)/target; lower bound=(known partial food cost*1.015+packaging)/target; tax and commission excluded and explicitly blocked</t>
        </is>
      </c>
      <c r="O44" s="33" t="inlineStr">
        <is>
          <t>Public dated retail price cards + S04 target/packaging project inputs + docs/03-methodology/COGS.md</t>
        </is>
      </c>
      <c r="P44" s="33" t="inlineStr">
        <is>
          <t>ING-005;ING-031;ING-034;VSF-007</t>
        </is>
      </c>
    </row>
    <row r="45">
      <c r="A45" s="33" t="inlineStr">
        <is>
          <t>VKM-009</t>
        </is>
      </c>
      <c r="B45" s="33" t="inlineStr">
        <is>
          <t>Буррата с томатами</t>
        </is>
      </c>
      <c r="C45" s="33" t="inlineStr">
        <is>
          <t>Доставка</t>
        </is>
      </c>
      <c r="D45" s="48" t="n">
        <v>0.3</v>
      </c>
      <c r="E45" s="46">
        <f>IFERROR(INDEX('04_КАЛЬКУЛЯЦИИ'!$N$6:$N$33,MATCH(A45,'04_КАЛЬКУЛЯЦИИ'!$B$6:$B$33,0)),"")</f>
        <v/>
      </c>
      <c r="F45" s="45" t="n"/>
      <c r="G45" s="45" t="n"/>
      <c r="H45" s="45" t="n"/>
      <c r="I45" s="46">
        <f>IF(OR(E45="",F45="",D45=""),"",(E45+F45)/D45)</f>
        <v/>
      </c>
      <c r="J45" s="46">
        <f>IF(OR(E45="",F45="",I45=""),"",(E45+F45)/I45)</f>
        <v/>
      </c>
      <c r="K45" s="46">
        <f>IF(OR(I45="",E45="",F45=""),"",I45-E45-F45)</f>
        <v/>
      </c>
      <c r="L45" s="46">
        <f>IF(OR(K45="",G45="",H45=""),"",K45-I45*G45-I45*H45)</f>
        <v/>
      </c>
      <c r="M45" s="33" t="inlineStr">
        <is>
          <t>BLOCKED_PENDING_VALIDATION</t>
        </is>
      </c>
      <c r="N45" s="33" t="inlineStr">
        <is>
          <t>Complete price=(complete kitchen COGS+packaging)/target; lower bound=(known partial food cost*1.015+packaging)/target; tax and commission excluded and explicitly blocked</t>
        </is>
      </c>
      <c r="O45" s="33" t="inlineStr">
        <is>
          <t>Public dated retail price cards + S04 target/packaging project inputs + docs/03-methodology/COGS.md</t>
        </is>
      </c>
      <c r="P45" s="33" t="inlineStr">
        <is>
          <t>ING-005;ING-031;ING-034;VSF-007</t>
        </is>
      </c>
    </row>
    <row r="46">
      <c r="A46" s="33" t="inlineStr">
        <is>
          <t>VKM-010</t>
        </is>
      </c>
      <c r="B46" s="33" t="inlineStr">
        <is>
          <t>Микс-салат с креветками и яблоком</t>
        </is>
      </c>
      <c r="C46" s="33" t="inlineStr">
        <is>
          <t>À la carte</t>
        </is>
      </c>
      <c r="D46" s="48" t="n">
        <v>0.3</v>
      </c>
      <c r="E46" s="46">
        <f>IFERROR(INDEX('04_КАЛЬКУЛЯЦИИ'!$N$6:$N$33,MATCH(A46,'04_КАЛЬКУЛЯЦИИ'!$B$6:$B$33,0)),"")</f>
        <v/>
      </c>
      <c r="F46" s="45" t="n"/>
      <c r="G46" s="45" t="n"/>
      <c r="H46" s="45" t="n"/>
      <c r="I46" s="46">
        <f>IF(OR(E46="",F46="",D46=""),"",(E46+F46)/D46)</f>
        <v/>
      </c>
      <c r="J46" s="46">
        <f>IF(OR(E46="",F46="",I46=""),"",(E46+F46)/I46)</f>
        <v/>
      </c>
      <c r="K46" s="46">
        <f>IF(OR(I46="",E46="",F46=""),"",I46-E46-F46)</f>
        <v/>
      </c>
      <c r="L46" s="46">
        <f>IF(OR(K46="",G46="",H46=""),"",K46-I46*G46-I46*H46)</f>
        <v/>
      </c>
      <c r="M46" s="33" t="inlineStr">
        <is>
          <t>BLOCKED_PENDING_VALIDATION</t>
        </is>
      </c>
      <c r="N46" s="33" t="inlineStr">
        <is>
          <t>Complete price=(complete kitchen COGS+packaging)/target; lower bound=(known partial food cost*1.015+packaging)/target; tax and commission excluded and explicitly blocked</t>
        </is>
      </c>
      <c r="O46" s="33" t="inlineStr">
        <is>
          <t>Public dated retail price cards + S04 target/packaging project inputs + docs/03-methodology/COGS.md</t>
        </is>
      </c>
      <c r="P46" s="33" t="inlineStr">
        <is>
          <t>ING-035;ING-037;ING-042;VSF-008</t>
        </is>
      </c>
    </row>
    <row r="47">
      <c r="A47" s="33" t="inlineStr">
        <is>
          <t>VKM-010</t>
        </is>
      </c>
      <c r="B47" s="33" t="inlineStr">
        <is>
          <t>Микс-салат с креветками и яблоком</t>
        </is>
      </c>
      <c r="C47" s="33" t="inlineStr">
        <is>
          <t>Бизнес-ланч</t>
        </is>
      </c>
      <c r="D47" s="48" t="n">
        <v>0.4</v>
      </c>
      <c r="E47" s="46">
        <f>IFERROR(INDEX('04_КАЛЬКУЛЯЦИИ'!$N$6:$N$33,MATCH(A47,'04_КАЛЬКУЛЯЦИИ'!$B$6:$B$33,0)),"")</f>
        <v/>
      </c>
      <c r="F47" s="45" t="n"/>
      <c r="G47" s="45" t="n"/>
      <c r="H47" s="45" t="n"/>
      <c r="I47" s="46">
        <f>IF(OR(E47="",F47="",D47=""),"",(E47+F47)/D47)</f>
        <v/>
      </c>
      <c r="J47" s="46">
        <f>IF(OR(E47="",F47="",I47=""),"",(E47+F47)/I47)</f>
        <v/>
      </c>
      <c r="K47" s="46">
        <f>IF(OR(I47="",E47="",F47=""),"",I47-E47-F47)</f>
        <v/>
      </c>
      <c r="L47" s="46">
        <f>IF(OR(K47="",G47="",H47=""),"",K47-I47*G47-I47*H47)</f>
        <v/>
      </c>
      <c r="M47" s="33" t="inlineStr">
        <is>
          <t>BLOCKED_PENDING_VALIDATION</t>
        </is>
      </c>
      <c r="N47" s="33" t="inlineStr">
        <is>
          <t>Complete price=(complete kitchen COGS+packaging)/target; lower bound=(known partial food cost*1.015+packaging)/target; tax and commission excluded and explicitly blocked</t>
        </is>
      </c>
      <c r="O47" s="33" t="inlineStr">
        <is>
          <t>Public dated retail price cards + S04 target/packaging project inputs + docs/03-methodology/COGS.md</t>
        </is>
      </c>
      <c r="P47" s="33" t="inlineStr">
        <is>
          <t>ING-035;ING-037;ING-042;VSF-008</t>
        </is>
      </c>
    </row>
    <row r="48">
      <c r="A48" s="33" t="inlineStr">
        <is>
          <t>VKM-010</t>
        </is>
      </c>
      <c r="B48" s="33" t="inlineStr">
        <is>
          <t>Микс-салат с креветками и яблоком</t>
        </is>
      </c>
      <c r="C48" s="33" t="inlineStr">
        <is>
          <t>Гостиничные ужины</t>
        </is>
      </c>
      <c r="D48" s="48" t="n">
        <v>0.3</v>
      </c>
      <c r="E48" s="46">
        <f>IFERROR(INDEX('04_КАЛЬКУЛЯЦИИ'!$N$6:$N$33,MATCH(A48,'04_КАЛЬКУЛЯЦИИ'!$B$6:$B$33,0)),"")</f>
        <v/>
      </c>
      <c r="F48" s="45" t="n"/>
      <c r="G48" s="45" t="n"/>
      <c r="H48" s="45" t="n"/>
      <c r="I48" s="46">
        <f>IF(OR(E48="",F48="",D48=""),"",(E48+F48)/D48)</f>
        <v/>
      </c>
      <c r="J48" s="46">
        <f>IF(OR(E48="",F48="",I48=""),"",(E48+F48)/I48)</f>
        <v/>
      </c>
      <c r="K48" s="46">
        <f>IF(OR(I48="",E48="",F48=""),"",I48-E48-F48)</f>
        <v/>
      </c>
      <c r="L48" s="46">
        <f>IF(OR(K48="",G48="",H48=""),"",K48-I48*G48-I48*H48)</f>
        <v/>
      </c>
      <c r="M48" s="33" t="inlineStr">
        <is>
          <t>BLOCKED_PENDING_VALIDATION</t>
        </is>
      </c>
      <c r="N48" s="33" t="inlineStr">
        <is>
          <t>Complete price=(complete kitchen COGS+packaging)/target; lower bound=(known partial food cost*1.015+packaging)/target; tax and commission excluded and explicitly blocked</t>
        </is>
      </c>
      <c r="O48" s="33" t="inlineStr">
        <is>
          <t>Public dated retail price cards + S04 target/packaging project inputs + docs/03-methodology/COGS.md</t>
        </is>
      </c>
      <c r="P48" s="33" t="inlineStr">
        <is>
          <t>ING-035;ING-037;ING-042;VSF-008</t>
        </is>
      </c>
    </row>
    <row r="49">
      <c r="A49" s="33" t="inlineStr">
        <is>
          <t>VKM-010</t>
        </is>
      </c>
      <c r="B49" s="33" t="inlineStr">
        <is>
          <t>Микс-салат с креветками и яблоком</t>
        </is>
      </c>
      <c r="C49" s="33" t="inlineStr">
        <is>
          <t>Доставка</t>
        </is>
      </c>
      <c r="D49" s="48" t="n">
        <v>0.3</v>
      </c>
      <c r="E49" s="46">
        <f>IFERROR(INDEX('04_КАЛЬКУЛЯЦИИ'!$N$6:$N$33,MATCH(A49,'04_КАЛЬКУЛЯЦИИ'!$B$6:$B$33,0)),"")</f>
        <v/>
      </c>
      <c r="F49" s="45" t="n"/>
      <c r="G49" s="45" t="n"/>
      <c r="H49" s="45" t="n"/>
      <c r="I49" s="46">
        <f>IF(OR(E49="",F49="",D49=""),"",(E49+F49)/D49)</f>
        <v/>
      </c>
      <c r="J49" s="46">
        <f>IF(OR(E49="",F49="",I49=""),"",(E49+F49)/I49)</f>
        <v/>
      </c>
      <c r="K49" s="46">
        <f>IF(OR(I49="",E49="",F49=""),"",I49-E49-F49)</f>
        <v/>
      </c>
      <c r="L49" s="46">
        <f>IF(OR(K49="",G49="",H49=""),"",K49-I49*G49-I49*H49)</f>
        <v/>
      </c>
      <c r="M49" s="33" t="inlineStr">
        <is>
          <t>BLOCKED_PENDING_VALIDATION</t>
        </is>
      </c>
      <c r="N49" s="33" t="inlineStr">
        <is>
          <t>Complete price=(complete kitchen COGS+packaging)/target; lower bound=(known partial food cost*1.015+packaging)/target; tax and commission excluded and explicitly blocked</t>
        </is>
      </c>
      <c r="O49" s="33" t="inlineStr">
        <is>
          <t>Public dated retail price cards + S04 target/packaging project inputs + docs/03-methodology/COGS.md</t>
        </is>
      </c>
      <c r="P49" s="33" t="inlineStr">
        <is>
          <t>ING-035;ING-037;ING-042;VSF-008</t>
        </is>
      </c>
    </row>
    <row r="50">
      <c r="A50" s="33" t="inlineStr">
        <is>
          <t>VKM-011</t>
        </is>
      </c>
      <c r="B50" s="33" t="inlineStr">
        <is>
          <t>Греческий</t>
        </is>
      </c>
      <c r="C50" s="33" t="inlineStr">
        <is>
          <t>À la carte</t>
        </is>
      </c>
      <c r="D50" s="48" t="n">
        <v>0.3</v>
      </c>
      <c r="E50" s="46">
        <f>IFERROR(INDEX('04_КАЛЬКУЛЯЦИИ'!$N$6:$N$33,MATCH(A50,'04_КАЛЬКУЛЯЦИИ'!$B$6:$B$33,0)),"")</f>
        <v/>
      </c>
      <c r="F50" s="45" t="n"/>
      <c r="G50" s="45" t="n"/>
      <c r="H50" s="45" t="n"/>
      <c r="I50" s="46">
        <f>IF(OR(E50="",F50="",D50=""),"",(E50+F50)/D50)</f>
        <v/>
      </c>
      <c r="J50" s="46">
        <f>IF(OR(E50="",F50="",I50=""),"",(E50+F50)/I50)</f>
        <v/>
      </c>
      <c r="K50" s="46">
        <f>IF(OR(I50="",E50="",F50=""),"",I50-E50-F50)</f>
        <v/>
      </c>
      <c r="L50" s="46">
        <f>IF(OR(K50="",G50="",H50=""),"",K50-I50*G50-I50*H50)</f>
        <v/>
      </c>
      <c r="M50" s="33" t="inlineStr">
        <is>
          <t>BLOCKED_PENDING_VALIDATION</t>
        </is>
      </c>
      <c r="N50" s="33" t="inlineStr">
        <is>
          <t>Complete price=(complete kitchen COGS+packaging)/target; lower bound=(known partial food cost*1.015+packaging)/target; tax and commission excluded and explicitly blocked</t>
        </is>
      </c>
      <c r="O50" s="33" t="inlineStr">
        <is>
          <t>Public dated retail price cards + S04 target/packaging project inputs + docs/03-methodology/COGS.md</t>
        </is>
      </c>
      <c r="P50" s="33" t="inlineStr">
        <is>
          <t>ING-031;ING-044;ING-045;VSF-009</t>
        </is>
      </c>
    </row>
    <row r="51">
      <c r="A51" s="33" t="inlineStr">
        <is>
          <t>VKM-011</t>
        </is>
      </c>
      <c r="B51" s="33" t="inlineStr">
        <is>
          <t>Греческий</t>
        </is>
      </c>
      <c r="C51" s="33" t="inlineStr">
        <is>
          <t>Бизнес-ланч</t>
        </is>
      </c>
      <c r="D51" s="48" t="n">
        <v>0.4</v>
      </c>
      <c r="E51" s="46">
        <f>IFERROR(INDEX('04_КАЛЬКУЛЯЦИИ'!$N$6:$N$33,MATCH(A51,'04_КАЛЬКУЛЯЦИИ'!$B$6:$B$33,0)),"")</f>
        <v/>
      </c>
      <c r="F51" s="45" t="n"/>
      <c r="G51" s="45" t="n"/>
      <c r="H51" s="45" t="n"/>
      <c r="I51" s="46">
        <f>IF(OR(E51="",F51="",D51=""),"",(E51+F51)/D51)</f>
        <v/>
      </c>
      <c r="J51" s="46">
        <f>IF(OR(E51="",F51="",I51=""),"",(E51+F51)/I51)</f>
        <v/>
      </c>
      <c r="K51" s="46">
        <f>IF(OR(I51="",E51="",F51=""),"",I51-E51-F51)</f>
        <v/>
      </c>
      <c r="L51" s="46">
        <f>IF(OR(K51="",G51="",H51=""),"",K51-I51*G51-I51*H51)</f>
        <v/>
      </c>
      <c r="M51" s="33" t="inlineStr">
        <is>
          <t>BLOCKED_PENDING_VALIDATION</t>
        </is>
      </c>
      <c r="N51" s="33" t="inlineStr">
        <is>
          <t>Complete price=(complete kitchen COGS+packaging)/target; lower bound=(known partial food cost*1.015+packaging)/target; tax and commission excluded and explicitly blocked</t>
        </is>
      </c>
      <c r="O51" s="33" t="inlineStr">
        <is>
          <t>Public dated retail price cards + S04 target/packaging project inputs + docs/03-methodology/COGS.md</t>
        </is>
      </c>
      <c r="P51" s="33" t="inlineStr">
        <is>
          <t>ING-031;ING-044;ING-045;VSF-009</t>
        </is>
      </c>
    </row>
    <row r="52">
      <c r="A52" s="33" t="inlineStr">
        <is>
          <t>VKM-011</t>
        </is>
      </c>
      <c r="B52" s="33" t="inlineStr">
        <is>
          <t>Греческий</t>
        </is>
      </c>
      <c r="C52" s="33" t="inlineStr">
        <is>
          <t>Гостиничные ужины</t>
        </is>
      </c>
      <c r="D52" s="48" t="n">
        <v>0.3</v>
      </c>
      <c r="E52" s="46">
        <f>IFERROR(INDEX('04_КАЛЬКУЛЯЦИИ'!$N$6:$N$33,MATCH(A52,'04_КАЛЬКУЛЯЦИИ'!$B$6:$B$33,0)),"")</f>
        <v/>
      </c>
      <c r="F52" s="45" t="n"/>
      <c r="G52" s="45" t="n"/>
      <c r="H52" s="45" t="n"/>
      <c r="I52" s="46">
        <f>IF(OR(E52="",F52="",D52=""),"",(E52+F52)/D52)</f>
        <v/>
      </c>
      <c r="J52" s="46">
        <f>IF(OR(E52="",F52="",I52=""),"",(E52+F52)/I52)</f>
        <v/>
      </c>
      <c r="K52" s="46">
        <f>IF(OR(I52="",E52="",F52=""),"",I52-E52-F52)</f>
        <v/>
      </c>
      <c r="L52" s="46">
        <f>IF(OR(K52="",G52="",H52=""),"",K52-I52*G52-I52*H52)</f>
        <v/>
      </c>
      <c r="M52" s="33" t="inlineStr">
        <is>
          <t>BLOCKED_PENDING_VALIDATION</t>
        </is>
      </c>
      <c r="N52" s="33" t="inlineStr">
        <is>
          <t>Complete price=(complete kitchen COGS+packaging)/target; lower bound=(known partial food cost*1.015+packaging)/target; tax and commission excluded and explicitly blocked</t>
        </is>
      </c>
      <c r="O52" s="33" t="inlineStr">
        <is>
          <t>Public dated retail price cards + S04 target/packaging project inputs + docs/03-methodology/COGS.md</t>
        </is>
      </c>
      <c r="P52" s="33" t="inlineStr">
        <is>
          <t>ING-031;ING-044;ING-045;VSF-009</t>
        </is>
      </c>
    </row>
    <row r="53">
      <c r="A53" s="33" t="inlineStr">
        <is>
          <t>VKM-011</t>
        </is>
      </c>
      <c r="B53" s="33" t="inlineStr">
        <is>
          <t>Греческий</t>
        </is>
      </c>
      <c r="C53" s="33" t="inlineStr">
        <is>
          <t>Доставка</t>
        </is>
      </c>
      <c r="D53" s="48" t="n">
        <v>0.3</v>
      </c>
      <c r="E53" s="46">
        <f>IFERROR(INDEX('04_КАЛЬКУЛЯЦИИ'!$N$6:$N$33,MATCH(A53,'04_КАЛЬКУЛЯЦИИ'!$B$6:$B$33,0)),"")</f>
        <v/>
      </c>
      <c r="F53" s="45" t="n"/>
      <c r="G53" s="45" t="n"/>
      <c r="H53" s="45" t="n"/>
      <c r="I53" s="46">
        <f>IF(OR(E53="",F53="",D53=""),"",(E53+F53)/D53)</f>
        <v/>
      </c>
      <c r="J53" s="46">
        <f>IF(OR(E53="",F53="",I53=""),"",(E53+F53)/I53)</f>
        <v/>
      </c>
      <c r="K53" s="46">
        <f>IF(OR(I53="",E53="",F53=""),"",I53-E53-F53)</f>
        <v/>
      </c>
      <c r="L53" s="46">
        <f>IF(OR(K53="",G53="",H53=""),"",K53-I53*G53-I53*H53)</f>
        <v/>
      </c>
      <c r="M53" s="33" t="inlineStr">
        <is>
          <t>BLOCKED_PENDING_VALIDATION</t>
        </is>
      </c>
      <c r="N53" s="33" t="inlineStr">
        <is>
          <t>Complete price=(complete kitchen COGS+packaging)/target; lower bound=(known partial food cost*1.015+packaging)/target; tax and commission excluded and explicitly blocked</t>
        </is>
      </c>
      <c r="O53" s="33" t="inlineStr">
        <is>
          <t>Public dated retail price cards + S04 target/packaging project inputs + docs/03-methodology/COGS.md</t>
        </is>
      </c>
      <c r="P53" s="33" t="inlineStr">
        <is>
          <t>ING-031;ING-044;ING-045;VSF-009</t>
        </is>
      </c>
    </row>
    <row r="54">
      <c r="A54" s="33" t="inlineStr">
        <is>
          <t>VKM-012</t>
        </is>
      </c>
      <c r="B54" s="33" t="inlineStr">
        <is>
          <t>Винегрет</t>
        </is>
      </c>
      <c r="C54" s="33" t="inlineStr">
        <is>
          <t>À la carte</t>
        </is>
      </c>
      <c r="D54" s="48" t="n">
        <v>0.3</v>
      </c>
      <c r="E54" s="46">
        <f>IFERROR(INDEX('04_КАЛЬКУЛЯЦИИ'!$N$6:$N$33,MATCH(A54,'04_КАЛЬКУЛЯЦИИ'!$B$6:$B$33,0)),"")</f>
        <v/>
      </c>
      <c r="F54" s="45" t="n"/>
      <c r="G54" s="45" t="n"/>
      <c r="H54" s="45" t="n"/>
      <c r="I54" s="46">
        <f>IF(OR(E54="",F54="",D54=""),"",(E54+F54)/D54)</f>
        <v/>
      </c>
      <c r="J54" s="46">
        <f>IF(OR(E54="",F54="",I54=""),"",(E54+F54)/I54)</f>
        <v/>
      </c>
      <c r="K54" s="46">
        <f>IF(OR(I54="",E54="",F54=""),"",I54-E54-F54)</f>
        <v/>
      </c>
      <c r="L54" s="46">
        <f>IF(OR(K54="",G54="",H54=""),"",K54-I54*G54-I54*H54)</f>
        <v/>
      </c>
      <c r="M54" s="33" t="inlineStr">
        <is>
          <t>BLOCKED_PENDING_VALIDATION</t>
        </is>
      </c>
      <c r="N54" s="33" t="inlineStr">
        <is>
          <t>Complete price=(complete kitchen COGS+packaging)/target; lower bound=(known partial food cost*1.015+packaging)/target; tax and commission excluded and explicitly blocked</t>
        </is>
      </c>
      <c r="O54" s="33" t="inlineStr">
        <is>
          <t>Public dated retail price cards + S04 target/packaging project inputs + docs/03-methodology/COGS.md</t>
        </is>
      </c>
      <c r="P54" s="33" t="inlineStr">
        <is>
          <t>ING-024;ING-051;ING-052;ING-053;VSF-010</t>
        </is>
      </c>
    </row>
    <row r="55">
      <c r="A55" s="33" t="inlineStr">
        <is>
          <t>VKM-012</t>
        </is>
      </c>
      <c r="B55" s="33" t="inlineStr">
        <is>
          <t>Винегрет</t>
        </is>
      </c>
      <c r="C55" s="33" t="inlineStr">
        <is>
          <t>Бизнес-ланч</t>
        </is>
      </c>
      <c r="D55" s="48" t="n">
        <v>0.4</v>
      </c>
      <c r="E55" s="46">
        <f>IFERROR(INDEX('04_КАЛЬКУЛЯЦИИ'!$N$6:$N$33,MATCH(A55,'04_КАЛЬКУЛЯЦИИ'!$B$6:$B$33,0)),"")</f>
        <v/>
      </c>
      <c r="F55" s="45" t="n"/>
      <c r="G55" s="45" t="n"/>
      <c r="H55" s="45" t="n"/>
      <c r="I55" s="46">
        <f>IF(OR(E55="",F55="",D55=""),"",(E55+F55)/D55)</f>
        <v/>
      </c>
      <c r="J55" s="46">
        <f>IF(OR(E55="",F55="",I55=""),"",(E55+F55)/I55)</f>
        <v/>
      </c>
      <c r="K55" s="46">
        <f>IF(OR(I55="",E55="",F55=""),"",I55-E55-F55)</f>
        <v/>
      </c>
      <c r="L55" s="46">
        <f>IF(OR(K55="",G55="",H55=""),"",K55-I55*G55-I55*H55)</f>
        <v/>
      </c>
      <c r="M55" s="33" t="inlineStr">
        <is>
          <t>BLOCKED_PENDING_VALIDATION</t>
        </is>
      </c>
      <c r="N55" s="33" t="inlineStr">
        <is>
          <t>Complete price=(complete kitchen COGS+packaging)/target; lower bound=(known partial food cost*1.015+packaging)/target; tax and commission excluded and explicitly blocked</t>
        </is>
      </c>
      <c r="O55" s="33" t="inlineStr">
        <is>
          <t>Public dated retail price cards + S04 target/packaging project inputs + docs/03-methodology/COGS.md</t>
        </is>
      </c>
      <c r="P55" s="33" t="inlineStr">
        <is>
          <t>ING-024;ING-051;ING-052;ING-053;VSF-010</t>
        </is>
      </c>
    </row>
    <row r="56">
      <c r="A56" s="33" t="inlineStr">
        <is>
          <t>VKM-012</t>
        </is>
      </c>
      <c r="B56" s="33" t="inlineStr">
        <is>
          <t>Винегрет</t>
        </is>
      </c>
      <c r="C56" s="33" t="inlineStr">
        <is>
          <t>Гостиничные ужины</t>
        </is>
      </c>
      <c r="D56" s="48" t="n">
        <v>0.3</v>
      </c>
      <c r="E56" s="46">
        <f>IFERROR(INDEX('04_КАЛЬКУЛЯЦИИ'!$N$6:$N$33,MATCH(A56,'04_КАЛЬКУЛЯЦИИ'!$B$6:$B$33,0)),"")</f>
        <v/>
      </c>
      <c r="F56" s="45" t="n"/>
      <c r="G56" s="45" t="n"/>
      <c r="H56" s="45" t="n"/>
      <c r="I56" s="46">
        <f>IF(OR(E56="",F56="",D56=""),"",(E56+F56)/D56)</f>
        <v/>
      </c>
      <c r="J56" s="46">
        <f>IF(OR(E56="",F56="",I56=""),"",(E56+F56)/I56)</f>
        <v/>
      </c>
      <c r="K56" s="46">
        <f>IF(OR(I56="",E56="",F56=""),"",I56-E56-F56)</f>
        <v/>
      </c>
      <c r="L56" s="46">
        <f>IF(OR(K56="",G56="",H56=""),"",K56-I56*G56-I56*H56)</f>
        <v/>
      </c>
      <c r="M56" s="33" t="inlineStr">
        <is>
          <t>BLOCKED_PENDING_VALIDATION</t>
        </is>
      </c>
      <c r="N56" s="33" t="inlineStr">
        <is>
          <t>Complete price=(complete kitchen COGS+packaging)/target; lower bound=(known partial food cost*1.015+packaging)/target; tax and commission excluded and explicitly blocked</t>
        </is>
      </c>
      <c r="O56" s="33" t="inlineStr">
        <is>
          <t>Public dated retail price cards + S04 target/packaging project inputs + docs/03-methodology/COGS.md</t>
        </is>
      </c>
      <c r="P56" s="33" t="inlineStr">
        <is>
          <t>ING-024;ING-051;ING-052;ING-053;VSF-010</t>
        </is>
      </c>
    </row>
    <row r="57">
      <c r="A57" s="33" t="inlineStr">
        <is>
          <t>VKM-012</t>
        </is>
      </c>
      <c r="B57" s="33" t="inlineStr">
        <is>
          <t>Винегрет</t>
        </is>
      </c>
      <c r="C57" s="33" t="inlineStr">
        <is>
          <t>Доставка</t>
        </is>
      </c>
      <c r="D57" s="48" t="n">
        <v>0.3</v>
      </c>
      <c r="E57" s="46">
        <f>IFERROR(INDEX('04_КАЛЬКУЛЯЦИИ'!$N$6:$N$33,MATCH(A57,'04_КАЛЬКУЛЯЦИИ'!$B$6:$B$33,0)),"")</f>
        <v/>
      </c>
      <c r="F57" s="45" t="n"/>
      <c r="G57" s="45" t="n"/>
      <c r="H57" s="45" t="n"/>
      <c r="I57" s="46">
        <f>IF(OR(E57="",F57="",D57=""),"",(E57+F57)/D57)</f>
        <v/>
      </c>
      <c r="J57" s="46">
        <f>IF(OR(E57="",F57="",I57=""),"",(E57+F57)/I57)</f>
        <v/>
      </c>
      <c r="K57" s="46">
        <f>IF(OR(I57="",E57="",F57=""),"",I57-E57-F57)</f>
        <v/>
      </c>
      <c r="L57" s="46">
        <f>IF(OR(K57="",G57="",H57=""),"",K57-I57*G57-I57*H57)</f>
        <v/>
      </c>
      <c r="M57" s="33" t="inlineStr">
        <is>
          <t>BLOCKED_PENDING_VALIDATION</t>
        </is>
      </c>
      <c r="N57" s="33" t="inlineStr">
        <is>
          <t>Complete price=(complete kitchen COGS+packaging)/target; lower bound=(known partial food cost*1.015+packaging)/target; tax and commission excluded and explicitly blocked</t>
        </is>
      </c>
      <c r="O57" s="33" t="inlineStr">
        <is>
          <t>Public dated retail price cards + S04 target/packaging project inputs + docs/03-methodology/COGS.md</t>
        </is>
      </c>
      <c r="P57" s="33" t="inlineStr">
        <is>
          <t>ING-024;ING-051;ING-052;ING-053;VSF-010</t>
        </is>
      </c>
    </row>
    <row r="58">
      <c r="A58" s="33" t="inlineStr">
        <is>
          <t>VKM-013</t>
        </is>
      </c>
      <c r="B58" s="33" t="inlineStr">
        <is>
          <t>Слабосолёный лосось</t>
        </is>
      </c>
      <c r="C58" s="33" t="inlineStr">
        <is>
          <t>À la carte</t>
        </is>
      </c>
      <c r="D58" s="48" t="n">
        <v>0.3</v>
      </c>
      <c r="E58" s="46">
        <f>IFERROR(INDEX('04_КАЛЬКУЛЯЦИИ'!$N$6:$N$33,MATCH(A58,'04_КАЛЬКУЛЯЦИИ'!$B$6:$B$33,0)),"")</f>
        <v/>
      </c>
      <c r="F58" s="45" t="n"/>
      <c r="G58" s="45" t="n"/>
      <c r="H58" s="45" t="n"/>
      <c r="I58" s="46">
        <f>IF(OR(E58="",F58="",D58=""),"",(E58+F58)/D58)</f>
        <v/>
      </c>
      <c r="J58" s="46">
        <f>IF(OR(E58="",F58="",I58=""),"",(E58+F58)/I58)</f>
        <v/>
      </c>
      <c r="K58" s="46">
        <f>IF(OR(I58="",E58="",F58=""),"",I58-E58-F58)</f>
        <v/>
      </c>
      <c r="L58" s="46">
        <f>IF(OR(K58="",G58="",H58=""),"",K58-I58*G58-I58*H58)</f>
        <v/>
      </c>
      <c r="M58" s="33" t="inlineStr">
        <is>
          <t>BLOCKED_PENDING_VALIDATION</t>
        </is>
      </c>
      <c r="N58" s="33" t="inlineStr">
        <is>
          <t>Complete price=(complete kitchen COGS+packaging)/target; lower bound=(known partial food cost*1.015+packaging)/target; tax and commission excluded and explicitly blocked</t>
        </is>
      </c>
      <c r="O58" s="33" t="inlineStr">
        <is>
          <t>Public dated retail price cards + S04 target/packaging project inputs + docs/03-methodology/COGS.md</t>
        </is>
      </c>
      <c r="P58" s="33" t="inlineStr">
        <is>
          <t>ING-024;ING-034;ING-056</t>
        </is>
      </c>
    </row>
    <row r="59">
      <c r="A59" s="33" t="inlineStr">
        <is>
          <t>VKM-013</t>
        </is>
      </c>
      <c r="B59" s="33" t="inlineStr">
        <is>
          <t>Слабосолёный лосось</t>
        </is>
      </c>
      <c r="C59" s="33" t="inlineStr">
        <is>
          <t>Бизнес-ланч</t>
        </is>
      </c>
      <c r="D59" s="48" t="n">
        <v>0.4</v>
      </c>
      <c r="E59" s="46">
        <f>IFERROR(INDEX('04_КАЛЬКУЛЯЦИИ'!$N$6:$N$33,MATCH(A59,'04_КАЛЬКУЛЯЦИИ'!$B$6:$B$33,0)),"")</f>
        <v/>
      </c>
      <c r="F59" s="45" t="n"/>
      <c r="G59" s="45" t="n"/>
      <c r="H59" s="45" t="n"/>
      <c r="I59" s="46">
        <f>IF(OR(E59="",F59="",D59=""),"",(E59+F59)/D59)</f>
        <v/>
      </c>
      <c r="J59" s="46">
        <f>IF(OR(E59="",F59="",I59=""),"",(E59+F59)/I59)</f>
        <v/>
      </c>
      <c r="K59" s="46">
        <f>IF(OR(I59="",E59="",F59=""),"",I59-E59-F59)</f>
        <v/>
      </c>
      <c r="L59" s="46">
        <f>IF(OR(K59="",G59="",H59=""),"",K59-I59*G59-I59*H59)</f>
        <v/>
      </c>
      <c r="M59" s="33" t="inlineStr">
        <is>
          <t>BLOCKED_PENDING_VALIDATION</t>
        </is>
      </c>
      <c r="N59" s="33" t="inlineStr">
        <is>
          <t>Complete price=(complete kitchen COGS+packaging)/target; lower bound=(known partial food cost*1.015+packaging)/target; tax and commission excluded and explicitly blocked</t>
        </is>
      </c>
      <c r="O59" s="33" t="inlineStr">
        <is>
          <t>Public dated retail price cards + S04 target/packaging project inputs + docs/03-methodology/COGS.md</t>
        </is>
      </c>
      <c r="P59" s="33" t="inlineStr">
        <is>
          <t>ING-024;ING-034;ING-056</t>
        </is>
      </c>
    </row>
    <row r="60">
      <c r="A60" s="33" t="inlineStr">
        <is>
          <t>VKM-013</t>
        </is>
      </c>
      <c r="B60" s="33" t="inlineStr">
        <is>
          <t>Слабосолёный лосось</t>
        </is>
      </c>
      <c r="C60" s="33" t="inlineStr">
        <is>
          <t>Гостиничные ужины</t>
        </is>
      </c>
      <c r="D60" s="48" t="n">
        <v>0.3</v>
      </c>
      <c r="E60" s="46">
        <f>IFERROR(INDEX('04_КАЛЬКУЛЯЦИИ'!$N$6:$N$33,MATCH(A60,'04_КАЛЬКУЛЯЦИИ'!$B$6:$B$33,0)),"")</f>
        <v/>
      </c>
      <c r="F60" s="45" t="n"/>
      <c r="G60" s="45" t="n"/>
      <c r="H60" s="45" t="n"/>
      <c r="I60" s="46">
        <f>IF(OR(E60="",F60="",D60=""),"",(E60+F60)/D60)</f>
        <v/>
      </c>
      <c r="J60" s="46">
        <f>IF(OR(E60="",F60="",I60=""),"",(E60+F60)/I60)</f>
        <v/>
      </c>
      <c r="K60" s="46">
        <f>IF(OR(I60="",E60="",F60=""),"",I60-E60-F60)</f>
        <v/>
      </c>
      <c r="L60" s="46">
        <f>IF(OR(K60="",G60="",H60=""),"",K60-I60*G60-I60*H60)</f>
        <v/>
      </c>
      <c r="M60" s="33" t="inlineStr">
        <is>
          <t>BLOCKED_PENDING_VALIDATION</t>
        </is>
      </c>
      <c r="N60" s="33" t="inlineStr">
        <is>
          <t>Complete price=(complete kitchen COGS+packaging)/target; lower bound=(known partial food cost*1.015+packaging)/target; tax and commission excluded and explicitly blocked</t>
        </is>
      </c>
      <c r="O60" s="33" t="inlineStr">
        <is>
          <t>Public dated retail price cards + S04 target/packaging project inputs + docs/03-methodology/COGS.md</t>
        </is>
      </c>
      <c r="P60" s="33" t="inlineStr">
        <is>
          <t>ING-024;ING-034;ING-056</t>
        </is>
      </c>
    </row>
    <row r="61">
      <c r="A61" s="33" t="inlineStr">
        <is>
          <t>VKM-014</t>
        </is>
      </c>
      <c r="B61" s="33" t="inlineStr">
        <is>
          <t>Сельдь с запечённым картофелем</t>
        </is>
      </c>
      <c r="C61" s="33" t="inlineStr">
        <is>
          <t>À la carte</t>
        </is>
      </c>
      <c r="D61" s="48" t="n">
        <v>0.3</v>
      </c>
      <c r="E61" s="46">
        <f>IFERROR(INDEX('04_КАЛЬКУЛЯЦИИ'!$N$6:$N$33,MATCH(A61,'04_КАЛЬКУЛЯЦИИ'!$B$6:$B$33,0)),"")</f>
        <v/>
      </c>
      <c r="F61" s="45" t="n"/>
      <c r="G61" s="45" t="n"/>
      <c r="H61" s="45" t="n"/>
      <c r="I61" s="46">
        <f>IF(OR(E61="",F61="",D61=""),"",(E61+F61)/D61)</f>
        <v/>
      </c>
      <c r="J61" s="46">
        <f>IF(OR(E61="",F61="",I61=""),"",(E61+F61)/I61)</f>
        <v/>
      </c>
      <c r="K61" s="46">
        <f>IF(OR(I61="",E61="",F61=""),"",I61-E61-F61)</f>
        <v/>
      </c>
      <c r="L61" s="46">
        <f>IF(OR(K61="",G61="",H61=""),"",K61-I61*G61-I61*H61)</f>
        <v/>
      </c>
      <c r="M61" s="33" t="inlineStr">
        <is>
          <t>BLOCKED_PENDING_VALIDATION</t>
        </is>
      </c>
      <c r="N61" s="33" t="inlineStr">
        <is>
          <t>Complete price=(complete kitchen COGS+packaging)/target; lower bound=(known partial food cost*1.015+packaging)/target; tax and commission excluded and explicitly blocked</t>
        </is>
      </c>
      <c r="O61" s="33" t="inlineStr">
        <is>
          <t>Public dated retail price cards + S04 target/packaging project inputs + docs/03-methodology/COGS.md</t>
        </is>
      </c>
      <c r="P61" s="33" t="inlineStr">
        <is>
          <t>ING-024;ING-051;ING-059;VSF-011</t>
        </is>
      </c>
    </row>
    <row r="62">
      <c r="A62" s="33" t="inlineStr">
        <is>
          <t>VKM-014</t>
        </is>
      </c>
      <c r="B62" s="33" t="inlineStr">
        <is>
          <t>Сельдь с запечённым картофелем</t>
        </is>
      </c>
      <c r="C62" s="33" t="inlineStr">
        <is>
          <t>Бизнес-ланч</t>
        </is>
      </c>
      <c r="D62" s="48" t="n">
        <v>0.4</v>
      </c>
      <c r="E62" s="46">
        <f>IFERROR(INDEX('04_КАЛЬКУЛЯЦИИ'!$N$6:$N$33,MATCH(A62,'04_КАЛЬКУЛЯЦИИ'!$B$6:$B$33,0)),"")</f>
        <v/>
      </c>
      <c r="F62" s="45" t="n"/>
      <c r="G62" s="45" t="n"/>
      <c r="H62" s="45" t="n"/>
      <c r="I62" s="46">
        <f>IF(OR(E62="",F62="",D62=""),"",(E62+F62)/D62)</f>
        <v/>
      </c>
      <c r="J62" s="46">
        <f>IF(OR(E62="",F62="",I62=""),"",(E62+F62)/I62)</f>
        <v/>
      </c>
      <c r="K62" s="46">
        <f>IF(OR(I62="",E62="",F62=""),"",I62-E62-F62)</f>
        <v/>
      </c>
      <c r="L62" s="46">
        <f>IF(OR(K62="",G62="",H62=""),"",K62-I62*G62-I62*H62)</f>
        <v/>
      </c>
      <c r="M62" s="33" t="inlineStr">
        <is>
          <t>BLOCKED_PENDING_VALIDATION</t>
        </is>
      </c>
      <c r="N62" s="33" t="inlineStr">
        <is>
          <t>Complete price=(complete kitchen COGS+packaging)/target; lower bound=(known partial food cost*1.015+packaging)/target; tax and commission excluded and explicitly blocked</t>
        </is>
      </c>
      <c r="O62" s="33" t="inlineStr">
        <is>
          <t>Public dated retail price cards + S04 target/packaging project inputs + docs/03-methodology/COGS.md</t>
        </is>
      </c>
      <c r="P62" s="33" t="inlineStr">
        <is>
          <t>ING-024;ING-051;ING-059;VSF-011</t>
        </is>
      </c>
    </row>
    <row r="63">
      <c r="A63" s="33" t="inlineStr">
        <is>
          <t>VKM-014</t>
        </is>
      </c>
      <c r="B63" s="33" t="inlineStr">
        <is>
          <t>Сельдь с запечённым картофелем</t>
        </is>
      </c>
      <c r="C63" s="33" t="inlineStr">
        <is>
          <t>Гостиничные ужины</t>
        </is>
      </c>
      <c r="D63" s="48" t="n">
        <v>0.3</v>
      </c>
      <c r="E63" s="46">
        <f>IFERROR(INDEX('04_КАЛЬКУЛЯЦИИ'!$N$6:$N$33,MATCH(A63,'04_КАЛЬКУЛЯЦИИ'!$B$6:$B$33,0)),"")</f>
        <v/>
      </c>
      <c r="F63" s="45" t="n"/>
      <c r="G63" s="45" t="n"/>
      <c r="H63" s="45" t="n"/>
      <c r="I63" s="46">
        <f>IF(OR(E63="",F63="",D63=""),"",(E63+F63)/D63)</f>
        <v/>
      </c>
      <c r="J63" s="46">
        <f>IF(OR(E63="",F63="",I63=""),"",(E63+F63)/I63)</f>
        <v/>
      </c>
      <c r="K63" s="46">
        <f>IF(OR(I63="",E63="",F63=""),"",I63-E63-F63)</f>
        <v/>
      </c>
      <c r="L63" s="46">
        <f>IF(OR(K63="",G63="",H63=""),"",K63-I63*G63-I63*H63)</f>
        <v/>
      </c>
      <c r="M63" s="33" t="inlineStr">
        <is>
          <t>BLOCKED_PENDING_VALIDATION</t>
        </is>
      </c>
      <c r="N63" s="33" t="inlineStr">
        <is>
          <t>Complete price=(complete kitchen COGS+packaging)/target; lower bound=(known partial food cost*1.015+packaging)/target; tax and commission excluded and explicitly blocked</t>
        </is>
      </c>
      <c r="O63" s="33" t="inlineStr">
        <is>
          <t>Public dated retail price cards + S04 target/packaging project inputs + docs/03-methodology/COGS.md</t>
        </is>
      </c>
      <c r="P63" s="33" t="inlineStr">
        <is>
          <t>ING-024;ING-051;ING-059;VSF-011</t>
        </is>
      </c>
    </row>
    <row r="64">
      <c r="A64" s="33" t="inlineStr">
        <is>
          <t>VKM-015</t>
        </is>
      </c>
      <c r="B64" s="33" t="inlineStr">
        <is>
          <t>Оливки и маслины</t>
        </is>
      </c>
      <c r="C64" s="33" t="inlineStr">
        <is>
          <t>À la carte</t>
        </is>
      </c>
      <c r="D64" s="48" t="n">
        <v>0.3</v>
      </c>
      <c r="E64" s="46">
        <f>IFERROR(INDEX('04_КАЛЬКУЛЯЦИИ'!$N$6:$N$33,MATCH(A64,'04_КАЛЬКУЛЯЦИИ'!$B$6:$B$33,0)),"")</f>
        <v/>
      </c>
      <c r="F64" s="45" t="n"/>
      <c r="G64" s="45" t="n"/>
      <c r="H64" s="45" t="n"/>
      <c r="I64" s="46">
        <f>IF(OR(E64="",F64="",D64=""),"",(E64+F64)/D64)</f>
        <v/>
      </c>
      <c r="J64" s="46">
        <f>IF(OR(E64="",F64="",I64=""),"",(E64+F64)/I64)</f>
        <v/>
      </c>
      <c r="K64" s="46">
        <f>IF(OR(I64="",E64="",F64=""),"",I64-E64-F64)</f>
        <v/>
      </c>
      <c r="L64" s="46">
        <f>IF(OR(K64="",G64="",H64=""),"",K64-I64*G64-I64*H64)</f>
        <v/>
      </c>
      <c r="M64" s="33" t="inlineStr">
        <is>
          <t>BLOCKED_PENDING_VALIDATION</t>
        </is>
      </c>
      <c r="N64" s="33" t="inlineStr">
        <is>
          <t>Complete price=(complete kitchen COGS+packaging)/target; lower bound=(known partial food cost*1.015+packaging)/target; tax and commission excluded and explicitly blocked</t>
        </is>
      </c>
      <c r="O64" s="33" t="inlineStr">
        <is>
          <t>Public dated retail price cards + S04 target/packaging project inputs + docs/03-methodology/COGS.md</t>
        </is>
      </c>
      <c r="P64" s="33" t="inlineStr">
        <is>
          <t>ING-060;ING-061;VSF-012</t>
        </is>
      </c>
    </row>
    <row r="65">
      <c r="A65" s="33" t="inlineStr">
        <is>
          <t>VKM-015</t>
        </is>
      </c>
      <c r="B65" s="33" t="inlineStr">
        <is>
          <t>Оливки и маслины</t>
        </is>
      </c>
      <c r="C65" s="33" t="inlineStr">
        <is>
          <t>Бизнес-ланч</t>
        </is>
      </c>
      <c r="D65" s="48" t="n">
        <v>0.4</v>
      </c>
      <c r="E65" s="46">
        <f>IFERROR(INDEX('04_КАЛЬКУЛЯЦИИ'!$N$6:$N$33,MATCH(A65,'04_КАЛЬКУЛЯЦИИ'!$B$6:$B$33,0)),"")</f>
        <v/>
      </c>
      <c r="F65" s="45" t="n"/>
      <c r="G65" s="45" t="n"/>
      <c r="H65" s="45" t="n"/>
      <c r="I65" s="46">
        <f>IF(OR(E65="",F65="",D65=""),"",(E65+F65)/D65)</f>
        <v/>
      </c>
      <c r="J65" s="46">
        <f>IF(OR(E65="",F65="",I65=""),"",(E65+F65)/I65)</f>
        <v/>
      </c>
      <c r="K65" s="46">
        <f>IF(OR(I65="",E65="",F65=""),"",I65-E65-F65)</f>
        <v/>
      </c>
      <c r="L65" s="46">
        <f>IF(OR(K65="",G65="",H65=""),"",K65-I65*G65-I65*H65)</f>
        <v/>
      </c>
      <c r="M65" s="33" t="inlineStr">
        <is>
          <t>BLOCKED_PENDING_VALIDATION</t>
        </is>
      </c>
      <c r="N65" s="33" t="inlineStr">
        <is>
          <t>Complete price=(complete kitchen COGS+packaging)/target; lower bound=(known partial food cost*1.015+packaging)/target; tax and commission excluded and explicitly blocked</t>
        </is>
      </c>
      <c r="O65" s="33" t="inlineStr">
        <is>
          <t>Public dated retail price cards + S04 target/packaging project inputs + docs/03-methodology/COGS.md</t>
        </is>
      </c>
      <c r="P65" s="33" t="inlineStr">
        <is>
          <t>ING-060;ING-061;VSF-012</t>
        </is>
      </c>
    </row>
    <row r="66">
      <c r="A66" s="33" t="inlineStr">
        <is>
          <t>VKM-015</t>
        </is>
      </c>
      <c r="B66" s="33" t="inlineStr">
        <is>
          <t>Оливки и маслины</t>
        </is>
      </c>
      <c r="C66" s="33" t="inlineStr">
        <is>
          <t>Гостиничные ужины</t>
        </is>
      </c>
      <c r="D66" s="48" t="n">
        <v>0.3</v>
      </c>
      <c r="E66" s="46">
        <f>IFERROR(INDEX('04_КАЛЬКУЛЯЦИИ'!$N$6:$N$33,MATCH(A66,'04_КАЛЬКУЛЯЦИИ'!$B$6:$B$33,0)),"")</f>
        <v/>
      </c>
      <c r="F66" s="45" t="n"/>
      <c r="G66" s="45" t="n"/>
      <c r="H66" s="45" t="n"/>
      <c r="I66" s="46">
        <f>IF(OR(E66="",F66="",D66=""),"",(E66+F66)/D66)</f>
        <v/>
      </c>
      <c r="J66" s="46">
        <f>IF(OR(E66="",F66="",I66=""),"",(E66+F66)/I66)</f>
        <v/>
      </c>
      <c r="K66" s="46">
        <f>IF(OR(I66="",E66="",F66=""),"",I66-E66-F66)</f>
        <v/>
      </c>
      <c r="L66" s="46">
        <f>IF(OR(K66="",G66="",H66=""),"",K66-I66*G66-I66*H66)</f>
        <v/>
      </c>
      <c r="M66" s="33" t="inlineStr">
        <is>
          <t>BLOCKED_PENDING_VALIDATION</t>
        </is>
      </c>
      <c r="N66" s="33" t="inlineStr">
        <is>
          <t>Complete price=(complete kitchen COGS+packaging)/target; lower bound=(known partial food cost*1.015+packaging)/target; tax and commission excluded and explicitly blocked</t>
        </is>
      </c>
      <c r="O66" s="33" t="inlineStr">
        <is>
          <t>Public dated retail price cards + S04 target/packaging project inputs + docs/03-methodology/COGS.md</t>
        </is>
      </c>
      <c r="P66" s="33" t="inlineStr">
        <is>
          <t>ING-060;ING-061;VSF-012</t>
        </is>
      </c>
    </row>
    <row r="67">
      <c r="A67" s="33" t="inlineStr">
        <is>
          <t>VKM-016</t>
        </is>
      </c>
      <c r="B67" s="33" t="inlineStr">
        <is>
          <t>Ассорти фирменных солений</t>
        </is>
      </c>
      <c r="C67" s="33" t="inlineStr">
        <is>
          <t>À la carte</t>
        </is>
      </c>
      <c r="D67" s="48" t="n">
        <v>0.3</v>
      </c>
      <c r="E67" s="46">
        <f>IFERROR(INDEX('04_КАЛЬКУЛЯЦИИ'!$N$6:$N$33,MATCH(A67,'04_КАЛЬКУЛЯЦИИ'!$B$6:$B$33,0)),"")</f>
        <v/>
      </c>
      <c r="F67" s="45" t="n"/>
      <c r="G67" s="45" t="n"/>
      <c r="H67" s="45" t="n"/>
      <c r="I67" s="46">
        <f>IF(OR(E67="",F67="",D67=""),"",(E67+F67)/D67)</f>
        <v/>
      </c>
      <c r="J67" s="46">
        <f>IF(OR(E67="",F67="",I67=""),"",(E67+F67)/I67)</f>
        <v/>
      </c>
      <c r="K67" s="46">
        <f>IF(OR(I67="",E67="",F67=""),"",I67-E67-F67)</f>
        <v/>
      </c>
      <c r="L67" s="46">
        <f>IF(OR(K67="",G67="",H67=""),"",K67-I67*G67-I67*H67)</f>
        <v/>
      </c>
      <c r="M67" s="33" t="inlineStr">
        <is>
          <t>BLOCKED_PENDING_VALIDATION</t>
        </is>
      </c>
      <c r="N67" s="33" t="inlineStr">
        <is>
          <t>Complete price=(complete kitchen COGS+packaging)/target; lower bound=(known partial food cost*1.015+packaging)/target; tax and commission excluded and explicitly blocked</t>
        </is>
      </c>
      <c r="O67" s="33" t="inlineStr">
        <is>
          <t>Public dated retail price cards + S04 target/packaging project inputs + docs/03-methodology/COGS.md</t>
        </is>
      </c>
      <c r="P67" s="33" t="inlineStr">
        <is>
          <t>VSF-014</t>
        </is>
      </c>
    </row>
    <row r="68">
      <c r="A68" s="33" t="inlineStr">
        <is>
          <t>VKM-016</t>
        </is>
      </c>
      <c r="B68" s="33" t="inlineStr">
        <is>
          <t>Ассорти фирменных солений</t>
        </is>
      </c>
      <c r="C68" s="33" t="inlineStr">
        <is>
          <t>Бизнес-ланч</t>
        </is>
      </c>
      <c r="D68" s="48" t="n">
        <v>0.4</v>
      </c>
      <c r="E68" s="46">
        <f>IFERROR(INDEX('04_КАЛЬКУЛЯЦИИ'!$N$6:$N$33,MATCH(A68,'04_КАЛЬКУЛЯЦИИ'!$B$6:$B$33,0)),"")</f>
        <v/>
      </c>
      <c r="F68" s="45" t="n"/>
      <c r="G68" s="45" t="n"/>
      <c r="H68" s="45" t="n"/>
      <c r="I68" s="46">
        <f>IF(OR(E68="",F68="",D68=""),"",(E68+F68)/D68)</f>
        <v/>
      </c>
      <c r="J68" s="46">
        <f>IF(OR(E68="",F68="",I68=""),"",(E68+F68)/I68)</f>
        <v/>
      </c>
      <c r="K68" s="46">
        <f>IF(OR(I68="",E68="",F68=""),"",I68-E68-F68)</f>
        <v/>
      </c>
      <c r="L68" s="46">
        <f>IF(OR(K68="",G68="",H68=""),"",K68-I68*G68-I68*H68)</f>
        <v/>
      </c>
      <c r="M68" s="33" t="inlineStr">
        <is>
          <t>BLOCKED_PENDING_VALIDATION</t>
        </is>
      </c>
      <c r="N68" s="33" t="inlineStr">
        <is>
          <t>Complete price=(complete kitchen COGS+packaging)/target; lower bound=(known partial food cost*1.015+packaging)/target; tax and commission excluded and explicitly blocked</t>
        </is>
      </c>
      <c r="O68" s="33" t="inlineStr">
        <is>
          <t>Public dated retail price cards + S04 target/packaging project inputs + docs/03-methodology/COGS.md</t>
        </is>
      </c>
      <c r="P68" s="33" t="inlineStr">
        <is>
          <t>VSF-014</t>
        </is>
      </c>
    </row>
    <row r="69">
      <c r="A69" s="33" t="inlineStr">
        <is>
          <t>VKM-016</t>
        </is>
      </c>
      <c r="B69" s="33" t="inlineStr">
        <is>
          <t>Ассорти фирменных солений</t>
        </is>
      </c>
      <c r="C69" s="33" t="inlineStr">
        <is>
          <t>Гостиничные ужины</t>
        </is>
      </c>
      <c r="D69" s="48" t="n">
        <v>0.3</v>
      </c>
      <c r="E69" s="46">
        <f>IFERROR(INDEX('04_КАЛЬКУЛЯЦИИ'!$N$6:$N$33,MATCH(A69,'04_КАЛЬКУЛЯЦИИ'!$B$6:$B$33,0)),"")</f>
        <v/>
      </c>
      <c r="F69" s="45" t="n"/>
      <c r="G69" s="45" t="n"/>
      <c r="H69" s="45" t="n"/>
      <c r="I69" s="46">
        <f>IF(OR(E69="",F69="",D69=""),"",(E69+F69)/D69)</f>
        <v/>
      </c>
      <c r="J69" s="46">
        <f>IF(OR(E69="",F69="",I69=""),"",(E69+F69)/I69)</f>
        <v/>
      </c>
      <c r="K69" s="46">
        <f>IF(OR(I69="",E69="",F69=""),"",I69-E69-F69)</f>
        <v/>
      </c>
      <c r="L69" s="46">
        <f>IF(OR(K69="",G69="",H69=""),"",K69-I69*G69-I69*H69)</f>
        <v/>
      </c>
      <c r="M69" s="33" t="inlineStr">
        <is>
          <t>BLOCKED_PENDING_VALIDATION</t>
        </is>
      </c>
      <c r="N69" s="33" t="inlineStr">
        <is>
          <t>Complete price=(complete kitchen COGS+packaging)/target; lower bound=(known partial food cost*1.015+packaging)/target; tax and commission excluded and explicitly blocked</t>
        </is>
      </c>
      <c r="O69" s="33" t="inlineStr">
        <is>
          <t>Public dated retail price cards + S04 target/packaging project inputs + docs/03-methodology/COGS.md</t>
        </is>
      </c>
      <c r="P69" s="33" t="inlineStr">
        <is>
          <t>VSF-014</t>
        </is>
      </c>
    </row>
    <row r="70">
      <c r="A70" s="33" t="inlineStr">
        <is>
          <t>VKM-017</t>
        </is>
      </c>
      <c r="B70" s="33" t="inlineStr">
        <is>
          <t>Ростбиф с луком и гренкой</t>
        </is>
      </c>
      <c r="C70" s="33" t="inlineStr">
        <is>
          <t>À la carte</t>
        </is>
      </c>
      <c r="D70" s="48" t="n">
        <v>0.3</v>
      </c>
      <c r="E70" s="46">
        <f>IFERROR(INDEX('04_КАЛЬКУЛЯЦИИ'!$N$6:$N$33,MATCH(A70,'04_КАЛЬКУЛЯЦИИ'!$B$6:$B$33,0)),"")</f>
        <v/>
      </c>
      <c r="F70" s="45" t="n"/>
      <c r="G70" s="45" t="n"/>
      <c r="H70" s="45" t="n"/>
      <c r="I70" s="46">
        <f>IF(OR(E70="",F70="",D70=""),"",(E70+F70)/D70)</f>
        <v/>
      </c>
      <c r="J70" s="46">
        <f>IF(OR(E70="",F70="",I70=""),"",(E70+F70)/I70)</f>
        <v/>
      </c>
      <c r="K70" s="46">
        <f>IF(OR(I70="",E70="",F70=""),"",I70-E70-F70)</f>
        <v/>
      </c>
      <c r="L70" s="46">
        <f>IF(OR(K70="",G70="",H70=""),"",K70-I70*G70-I70*H70)</f>
        <v/>
      </c>
      <c r="M70" s="33" t="inlineStr">
        <is>
          <t>BLOCKED_PENDING_VALIDATION</t>
        </is>
      </c>
      <c r="N70" s="33" t="inlineStr">
        <is>
          <t>Complete price=(complete kitchen COGS+packaging)/target; lower bound=(known partial food cost*1.015+packaging)/target; tax and commission excluded and explicitly blocked</t>
        </is>
      </c>
      <c r="O70" s="33" t="inlineStr">
        <is>
          <t>Public dated retail price cards + S04 target/packaging project inputs + docs/03-methodology/COGS.md</t>
        </is>
      </c>
      <c r="P70" s="33" t="inlineStr">
        <is>
          <t>ING-059;ING-066;VSF-015;VSF-016</t>
        </is>
      </c>
    </row>
    <row r="71">
      <c r="A71" s="33" t="inlineStr">
        <is>
          <t>VKM-017</t>
        </is>
      </c>
      <c r="B71" s="33" t="inlineStr">
        <is>
          <t>Ростбиф с луком и гренкой</t>
        </is>
      </c>
      <c r="C71" s="33" t="inlineStr">
        <is>
          <t>Бизнес-ланч</t>
        </is>
      </c>
      <c r="D71" s="48" t="n">
        <v>0.4</v>
      </c>
      <c r="E71" s="46">
        <f>IFERROR(INDEX('04_КАЛЬКУЛЯЦИИ'!$N$6:$N$33,MATCH(A71,'04_КАЛЬКУЛЯЦИИ'!$B$6:$B$33,0)),"")</f>
        <v/>
      </c>
      <c r="F71" s="45" t="n"/>
      <c r="G71" s="45" t="n"/>
      <c r="H71" s="45" t="n"/>
      <c r="I71" s="46">
        <f>IF(OR(E71="",F71="",D71=""),"",(E71+F71)/D71)</f>
        <v/>
      </c>
      <c r="J71" s="46">
        <f>IF(OR(E71="",F71="",I71=""),"",(E71+F71)/I71)</f>
        <v/>
      </c>
      <c r="K71" s="46">
        <f>IF(OR(I71="",E71="",F71=""),"",I71-E71-F71)</f>
        <v/>
      </c>
      <c r="L71" s="46">
        <f>IF(OR(K71="",G71="",H71=""),"",K71-I71*G71-I71*H71)</f>
        <v/>
      </c>
      <c r="M71" s="33" t="inlineStr">
        <is>
          <t>BLOCKED_PENDING_VALIDATION</t>
        </is>
      </c>
      <c r="N71" s="33" t="inlineStr">
        <is>
          <t>Complete price=(complete kitchen COGS+packaging)/target; lower bound=(known partial food cost*1.015+packaging)/target; tax and commission excluded and explicitly blocked</t>
        </is>
      </c>
      <c r="O71" s="33" t="inlineStr">
        <is>
          <t>Public dated retail price cards + S04 target/packaging project inputs + docs/03-methodology/COGS.md</t>
        </is>
      </c>
      <c r="P71" s="33" t="inlineStr">
        <is>
          <t>ING-059;ING-066;VSF-015;VSF-016</t>
        </is>
      </c>
    </row>
    <row r="72">
      <c r="A72" s="33" t="inlineStr">
        <is>
          <t>VKM-017</t>
        </is>
      </c>
      <c r="B72" s="33" t="inlineStr">
        <is>
          <t>Ростбиф с луком и гренкой</t>
        </is>
      </c>
      <c r="C72" s="33" t="inlineStr">
        <is>
          <t>Гостиничные ужины</t>
        </is>
      </c>
      <c r="D72" s="48" t="n">
        <v>0.3</v>
      </c>
      <c r="E72" s="46">
        <f>IFERROR(INDEX('04_КАЛЬКУЛЯЦИИ'!$N$6:$N$33,MATCH(A72,'04_КАЛЬКУЛЯЦИИ'!$B$6:$B$33,0)),"")</f>
        <v/>
      </c>
      <c r="F72" s="45" t="n"/>
      <c r="G72" s="45" t="n"/>
      <c r="H72" s="45" t="n"/>
      <c r="I72" s="46">
        <f>IF(OR(E72="",F72="",D72=""),"",(E72+F72)/D72)</f>
        <v/>
      </c>
      <c r="J72" s="46">
        <f>IF(OR(E72="",F72="",I72=""),"",(E72+F72)/I72)</f>
        <v/>
      </c>
      <c r="K72" s="46">
        <f>IF(OR(I72="",E72="",F72=""),"",I72-E72-F72)</f>
        <v/>
      </c>
      <c r="L72" s="46">
        <f>IF(OR(K72="",G72="",H72=""),"",K72-I72*G72-I72*H72)</f>
        <v/>
      </c>
      <c r="M72" s="33" t="inlineStr">
        <is>
          <t>BLOCKED_PENDING_VALIDATION</t>
        </is>
      </c>
      <c r="N72" s="33" t="inlineStr">
        <is>
          <t>Complete price=(complete kitchen COGS+packaging)/target; lower bound=(known partial food cost*1.015+packaging)/target; tax and commission excluded and explicitly blocked</t>
        </is>
      </c>
      <c r="O72" s="33" t="inlineStr">
        <is>
          <t>Public dated retail price cards + S04 target/packaging project inputs + docs/03-methodology/COGS.md</t>
        </is>
      </c>
      <c r="P72" s="33" t="inlineStr">
        <is>
          <t>ING-059;ING-066;VSF-015;VSF-016</t>
        </is>
      </c>
    </row>
    <row r="73">
      <c r="A73" s="33" t="inlineStr">
        <is>
          <t>VKM-018</t>
        </is>
      </c>
      <c r="B73" s="33" t="inlineStr">
        <is>
          <t>Традиционный красный борщ</t>
        </is>
      </c>
      <c r="C73" s="33" t="inlineStr">
        <is>
          <t>À la carte</t>
        </is>
      </c>
      <c r="D73" s="48" t="n">
        <v>0.3</v>
      </c>
      <c r="E73" s="46">
        <f>IFERROR(INDEX('04_КАЛЬКУЛЯЦИИ'!$N$6:$N$33,MATCH(A73,'04_КАЛЬКУЛЯЦИИ'!$B$6:$B$33,0)),"")</f>
        <v/>
      </c>
      <c r="F73" s="45" t="n"/>
      <c r="G73" s="45" t="n"/>
      <c r="H73" s="45" t="n"/>
      <c r="I73" s="46">
        <f>IF(OR(E73="",F73="",D73=""),"",(E73+F73)/D73)</f>
        <v/>
      </c>
      <c r="J73" s="46">
        <f>IF(OR(E73="",F73="",I73=""),"",(E73+F73)/I73)</f>
        <v/>
      </c>
      <c r="K73" s="46">
        <f>IF(OR(I73="",E73="",F73=""),"",I73-E73-F73)</f>
        <v/>
      </c>
      <c r="L73" s="46">
        <f>IF(OR(K73="",G73="",H73=""),"",K73-I73*G73-I73*H73)</f>
        <v/>
      </c>
      <c r="M73" s="33" t="inlineStr">
        <is>
          <t>BLOCKED_PENDING_VALIDATION</t>
        </is>
      </c>
      <c r="N73" s="33" t="inlineStr">
        <is>
          <t>Complete price=(complete kitchen COGS+packaging)/target; lower bound=(known partial food cost*1.015+packaging)/target; tax and commission excluded and explicitly blocked</t>
        </is>
      </c>
      <c r="O73" s="33" t="inlineStr">
        <is>
          <t>Public dated retail price cards + S04 target/packaging project inputs + docs/03-methodology/COGS.md</t>
        </is>
      </c>
      <c r="P73" s="33" t="inlineStr">
        <is>
          <t>ING-059;ING-073;ING-075;VSF-017;VSF-018</t>
        </is>
      </c>
    </row>
    <row r="74">
      <c r="A74" s="33" t="inlineStr">
        <is>
          <t>VKM-018</t>
        </is>
      </c>
      <c r="B74" s="33" t="inlineStr">
        <is>
          <t>Традиционный красный борщ</t>
        </is>
      </c>
      <c r="C74" s="33" t="inlineStr">
        <is>
          <t>Бизнес-ланч</t>
        </is>
      </c>
      <c r="D74" s="48" t="n">
        <v>0.4</v>
      </c>
      <c r="E74" s="46">
        <f>IFERROR(INDEX('04_КАЛЬКУЛЯЦИИ'!$N$6:$N$33,MATCH(A74,'04_КАЛЬКУЛЯЦИИ'!$B$6:$B$33,0)),"")</f>
        <v/>
      </c>
      <c r="F74" s="45" t="n"/>
      <c r="G74" s="45" t="n"/>
      <c r="H74" s="45" t="n"/>
      <c r="I74" s="46">
        <f>IF(OR(E74="",F74="",D74=""),"",(E74+F74)/D74)</f>
        <v/>
      </c>
      <c r="J74" s="46">
        <f>IF(OR(E74="",F74="",I74=""),"",(E74+F74)/I74)</f>
        <v/>
      </c>
      <c r="K74" s="46">
        <f>IF(OR(I74="",E74="",F74=""),"",I74-E74-F74)</f>
        <v/>
      </c>
      <c r="L74" s="46">
        <f>IF(OR(K74="",G74="",H74=""),"",K74-I74*G74-I74*H74)</f>
        <v/>
      </c>
      <c r="M74" s="33" t="inlineStr">
        <is>
          <t>BLOCKED_PENDING_VALIDATION</t>
        </is>
      </c>
      <c r="N74" s="33" t="inlineStr">
        <is>
          <t>Complete price=(complete kitchen COGS+packaging)/target; lower bound=(known partial food cost*1.015+packaging)/target; tax and commission excluded and explicitly blocked</t>
        </is>
      </c>
      <c r="O74" s="33" t="inlineStr">
        <is>
          <t>Public dated retail price cards + S04 target/packaging project inputs + docs/03-methodology/COGS.md</t>
        </is>
      </c>
      <c r="P74" s="33" t="inlineStr">
        <is>
          <t>ING-059;ING-073;ING-075;VSF-017;VSF-018</t>
        </is>
      </c>
    </row>
    <row r="75">
      <c r="A75" s="33" t="inlineStr">
        <is>
          <t>VKM-019</t>
        </is>
      </c>
      <c r="B75" s="33" t="inlineStr">
        <is>
          <t>Мурманская треска со сливочно-горчичным соусом</t>
        </is>
      </c>
      <c r="C75" s="33" t="inlineStr">
        <is>
          <t>À la carte</t>
        </is>
      </c>
      <c r="D75" s="48" t="n">
        <v>0.3</v>
      </c>
      <c r="E75" s="46">
        <f>IFERROR(INDEX('04_КАЛЬКУЛЯЦИИ'!$N$6:$N$33,MATCH(A75,'04_КАЛЬКУЛЯЦИИ'!$B$6:$B$33,0)),"")</f>
        <v/>
      </c>
      <c r="F75" s="45" t="n"/>
      <c r="G75" s="45" t="n"/>
      <c r="H75" s="45" t="n"/>
      <c r="I75" s="46">
        <f>IF(OR(E75="",F75="",D75=""),"",(E75+F75)/D75)</f>
        <v/>
      </c>
      <c r="J75" s="46">
        <f>IF(OR(E75="",F75="",I75=""),"",(E75+F75)/I75)</f>
        <v/>
      </c>
      <c r="K75" s="46">
        <f>IF(OR(I75="",E75="",F75=""),"",I75-E75-F75)</f>
        <v/>
      </c>
      <c r="L75" s="46">
        <f>IF(OR(K75="",G75="",H75=""),"",K75-I75*G75-I75*H75)</f>
        <v/>
      </c>
      <c r="M75" s="33" t="inlineStr">
        <is>
          <t>BLOCKED_PENDING_VALIDATION</t>
        </is>
      </c>
      <c r="N75" s="33" t="inlineStr">
        <is>
          <t>Complete price=(complete kitchen COGS+packaging)/target; lower bound=(known partial food cost*1.015+packaging)/target; tax and commission excluded and explicitly blocked</t>
        </is>
      </c>
      <c r="O75" s="33" t="inlineStr">
        <is>
          <t>Public dated retail price cards + S04 target/packaging project inputs + docs/03-methodology/COGS.md</t>
        </is>
      </c>
      <c r="P75" s="33" t="inlineStr">
        <is>
          <t>ING-024;ING-059;ING-079;VSF-019</t>
        </is>
      </c>
    </row>
    <row r="76">
      <c r="A76" s="33" t="inlineStr">
        <is>
          <t>VKM-019</t>
        </is>
      </c>
      <c r="B76" s="33" t="inlineStr">
        <is>
          <t>Мурманская треска со сливочно-горчичным соусом</t>
        </is>
      </c>
      <c r="C76" s="33" t="inlineStr">
        <is>
          <t>Бизнес-ланч</t>
        </is>
      </c>
      <c r="D76" s="48" t="n">
        <v>0.4</v>
      </c>
      <c r="E76" s="46">
        <f>IFERROR(INDEX('04_КАЛЬКУЛЯЦИИ'!$N$6:$N$33,MATCH(A76,'04_КАЛЬКУЛЯЦИИ'!$B$6:$B$33,0)),"")</f>
        <v/>
      </c>
      <c r="F76" s="45" t="n"/>
      <c r="G76" s="45" t="n"/>
      <c r="H76" s="45" t="n"/>
      <c r="I76" s="46">
        <f>IF(OR(E76="",F76="",D76=""),"",(E76+F76)/D76)</f>
        <v/>
      </c>
      <c r="J76" s="46">
        <f>IF(OR(E76="",F76="",I76=""),"",(E76+F76)/I76)</f>
        <v/>
      </c>
      <c r="K76" s="46">
        <f>IF(OR(I76="",E76="",F76=""),"",I76-E76-F76)</f>
        <v/>
      </c>
      <c r="L76" s="46">
        <f>IF(OR(K76="",G76="",H76=""),"",K76-I76*G76-I76*H76)</f>
        <v/>
      </c>
      <c r="M76" s="33" t="inlineStr">
        <is>
          <t>BLOCKED_PENDING_VALIDATION</t>
        </is>
      </c>
      <c r="N76" s="33" t="inlineStr">
        <is>
          <t>Complete price=(complete kitchen COGS+packaging)/target; lower bound=(known partial food cost*1.015+packaging)/target; tax and commission excluded and explicitly blocked</t>
        </is>
      </c>
      <c r="O76" s="33" t="inlineStr">
        <is>
          <t>Public dated retail price cards + S04 target/packaging project inputs + docs/03-methodology/COGS.md</t>
        </is>
      </c>
      <c r="P76" s="33" t="inlineStr">
        <is>
          <t>ING-024;ING-059;ING-079;VSF-019</t>
        </is>
      </c>
    </row>
    <row r="77">
      <c r="A77" s="33" t="inlineStr">
        <is>
          <t>VKM-019</t>
        </is>
      </c>
      <c r="B77" s="33" t="inlineStr">
        <is>
          <t>Мурманская треска со сливочно-горчичным соусом</t>
        </is>
      </c>
      <c r="C77" s="33" t="inlineStr">
        <is>
          <t>Гостиничные ужины</t>
        </is>
      </c>
      <c r="D77" s="48" t="n">
        <v>0.3</v>
      </c>
      <c r="E77" s="46">
        <f>IFERROR(INDEX('04_КАЛЬКУЛЯЦИИ'!$N$6:$N$33,MATCH(A77,'04_КАЛЬКУЛЯЦИИ'!$B$6:$B$33,0)),"")</f>
        <v/>
      </c>
      <c r="F77" s="45" t="n"/>
      <c r="G77" s="45" t="n"/>
      <c r="H77" s="45" t="n"/>
      <c r="I77" s="46">
        <f>IF(OR(E77="",F77="",D77=""),"",(E77+F77)/D77)</f>
        <v/>
      </c>
      <c r="J77" s="46">
        <f>IF(OR(E77="",F77="",I77=""),"",(E77+F77)/I77)</f>
        <v/>
      </c>
      <c r="K77" s="46">
        <f>IF(OR(I77="",E77="",F77=""),"",I77-E77-F77)</f>
        <v/>
      </c>
      <c r="L77" s="46">
        <f>IF(OR(K77="",G77="",H77=""),"",K77-I77*G77-I77*H77)</f>
        <v/>
      </c>
      <c r="M77" s="33" t="inlineStr">
        <is>
          <t>BLOCKED_PENDING_VALIDATION</t>
        </is>
      </c>
      <c r="N77" s="33" t="inlineStr">
        <is>
          <t>Complete price=(complete kitchen COGS+packaging)/target; lower bound=(known partial food cost*1.015+packaging)/target; tax and commission excluded and explicitly blocked</t>
        </is>
      </c>
      <c r="O77" s="33" t="inlineStr">
        <is>
          <t>Public dated retail price cards + S04 target/packaging project inputs + docs/03-methodology/COGS.md</t>
        </is>
      </c>
      <c r="P77" s="33" t="inlineStr">
        <is>
          <t>ING-024;ING-059;ING-079;VSF-019</t>
        </is>
      </c>
    </row>
    <row r="78">
      <c r="A78" s="33" t="inlineStr">
        <is>
          <t>VKM-019</t>
        </is>
      </c>
      <c r="B78" s="33" t="inlineStr">
        <is>
          <t>Мурманская треска со сливочно-горчичным соусом</t>
        </is>
      </c>
      <c r="C78" s="33" t="inlineStr">
        <is>
          <t>Доставка</t>
        </is>
      </c>
      <c r="D78" s="48" t="n">
        <v>0.3</v>
      </c>
      <c r="E78" s="46">
        <f>IFERROR(INDEX('04_КАЛЬКУЛЯЦИИ'!$N$6:$N$33,MATCH(A78,'04_КАЛЬКУЛЯЦИИ'!$B$6:$B$33,0)),"")</f>
        <v/>
      </c>
      <c r="F78" s="45" t="n"/>
      <c r="G78" s="45" t="n"/>
      <c r="H78" s="45" t="n"/>
      <c r="I78" s="46">
        <f>IF(OR(E78="",F78="",D78=""),"",(E78+F78)/D78)</f>
        <v/>
      </c>
      <c r="J78" s="46">
        <f>IF(OR(E78="",F78="",I78=""),"",(E78+F78)/I78)</f>
        <v/>
      </c>
      <c r="K78" s="46">
        <f>IF(OR(I78="",E78="",F78=""),"",I78-E78-F78)</f>
        <v/>
      </c>
      <c r="L78" s="46">
        <f>IF(OR(K78="",G78="",H78=""),"",K78-I78*G78-I78*H78)</f>
        <v/>
      </c>
      <c r="M78" s="33" t="inlineStr">
        <is>
          <t>BLOCKED_PENDING_VALIDATION</t>
        </is>
      </c>
      <c r="N78" s="33" t="inlineStr">
        <is>
          <t>Complete price=(complete kitchen COGS+packaging)/target; lower bound=(known partial food cost*1.015+packaging)/target; tax and commission excluded and explicitly blocked</t>
        </is>
      </c>
      <c r="O78" s="33" t="inlineStr">
        <is>
          <t>Public dated retail price cards + S04 target/packaging project inputs + docs/03-methodology/COGS.md</t>
        </is>
      </c>
      <c r="P78" s="33" t="inlineStr">
        <is>
          <t>ING-024;ING-059;ING-079;VSF-019</t>
        </is>
      </c>
    </row>
    <row r="79">
      <c r="A79" s="33" t="inlineStr">
        <is>
          <t>VKM-020</t>
        </is>
      </c>
      <c r="B79" s="33" t="inlineStr">
        <is>
          <t>Креветки по-тайски</t>
        </is>
      </c>
      <c r="C79" s="33" t="inlineStr">
        <is>
          <t>À la carte</t>
        </is>
      </c>
      <c r="D79" s="48" t="n">
        <v>0.3</v>
      </c>
      <c r="E79" s="46">
        <f>IFERROR(INDEX('04_КАЛЬКУЛЯЦИИ'!$N$6:$N$33,MATCH(A79,'04_КАЛЬКУЛЯЦИИ'!$B$6:$B$33,0)),"")</f>
        <v/>
      </c>
      <c r="F79" s="45" t="n"/>
      <c r="G79" s="45" t="n"/>
      <c r="H79" s="45" t="n"/>
      <c r="I79" s="46">
        <f>IF(OR(E79="",F79="",D79=""),"",(E79+F79)/D79)</f>
        <v/>
      </c>
      <c r="J79" s="46">
        <f>IF(OR(E79="",F79="",I79=""),"",(E79+F79)/I79)</f>
        <v/>
      </c>
      <c r="K79" s="46">
        <f>IF(OR(I79="",E79="",F79=""),"",I79-E79-F79)</f>
        <v/>
      </c>
      <c r="L79" s="46">
        <f>IF(OR(K79="",G79="",H79=""),"",K79-I79*G79-I79*H79)</f>
        <v/>
      </c>
      <c r="M79" s="33" t="inlineStr">
        <is>
          <t>BLOCKED_PENDING_VALIDATION</t>
        </is>
      </c>
      <c r="N79" s="33" t="inlineStr">
        <is>
          <t>Complete price=(complete kitchen COGS+packaging)/target; lower bound=(known partial food cost*1.015+packaging)/target; tax and commission excluded and explicitly blocked</t>
        </is>
      </c>
      <c r="O79" s="33" t="inlineStr">
        <is>
          <t>Public dated retail price cards + S04 target/packaging project inputs + docs/03-methodology/COGS.md</t>
        </is>
      </c>
      <c r="P79" s="33" t="inlineStr">
        <is>
          <t>ING-084;ING-085;ING-086;VSF-020</t>
        </is>
      </c>
    </row>
    <row r="80">
      <c r="A80" s="33" t="inlineStr">
        <is>
          <t>VKM-020</t>
        </is>
      </c>
      <c r="B80" s="33" t="inlineStr">
        <is>
          <t>Креветки по-тайски</t>
        </is>
      </c>
      <c r="C80" s="33" t="inlineStr">
        <is>
          <t>Бизнес-ланч</t>
        </is>
      </c>
      <c r="D80" s="48" t="n">
        <v>0.4</v>
      </c>
      <c r="E80" s="46">
        <f>IFERROR(INDEX('04_КАЛЬКУЛЯЦИИ'!$N$6:$N$33,MATCH(A80,'04_КАЛЬКУЛЯЦИИ'!$B$6:$B$33,0)),"")</f>
        <v/>
      </c>
      <c r="F80" s="45" t="n"/>
      <c r="G80" s="45" t="n"/>
      <c r="H80" s="45" t="n"/>
      <c r="I80" s="46">
        <f>IF(OR(E80="",F80="",D80=""),"",(E80+F80)/D80)</f>
        <v/>
      </c>
      <c r="J80" s="46">
        <f>IF(OR(E80="",F80="",I80=""),"",(E80+F80)/I80)</f>
        <v/>
      </c>
      <c r="K80" s="46">
        <f>IF(OR(I80="",E80="",F80=""),"",I80-E80-F80)</f>
        <v/>
      </c>
      <c r="L80" s="46">
        <f>IF(OR(K80="",G80="",H80=""),"",K80-I80*G80-I80*H80)</f>
        <v/>
      </c>
      <c r="M80" s="33" t="inlineStr">
        <is>
          <t>BLOCKED_PENDING_VALIDATION</t>
        </is>
      </c>
      <c r="N80" s="33" t="inlineStr">
        <is>
          <t>Complete price=(complete kitchen COGS+packaging)/target; lower bound=(known partial food cost*1.015+packaging)/target; tax and commission excluded and explicitly blocked</t>
        </is>
      </c>
      <c r="O80" s="33" t="inlineStr">
        <is>
          <t>Public dated retail price cards + S04 target/packaging project inputs + docs/03-methodology/COGS.md</t>
        </is>
      </c>
      <c r="P80" s="33" t="inlineStr">
        <is>
          <t>ING-084;ING-085;ING-086;VSF-020</t>
        </is>
      </c>
    </row>
    <row r="81">
      <c r="A81" s="33" t="inlineStr">
        <is>
          <t>VKM-020</t>
        </is>
      </c>
      <c r="B81" s="33" t="inlineStr">
        <is>
          <t>Креветки по-тайски</t>
        </is>
      </c>
      <c r="C81" s="33" t="inlineStr">
        <is>
          <t>Гостиничные ужины</t>
        </is>
      </c>
      <c r="D81" s="48" t="n">
        <v>0.3</v>
      </c>
      <c r="E81" s="46">
        <f>IFERROR(INDEX('04_КАЛЬКУЛЯЦИИ'!$N$6:$N$33,MATCH(A81,'04_КАЛЬКУЛЯЦИИ'!$B$6:$B$33,0)),"")</f>
        <v/>
      </c>
      <c r="F81" s="45" t="n"/>
      <c r="G81" s="45" t="n"/>
      <c r="H81" s="45" t="n"/>
      <c r="I81" s="46">
        <f>IF(OR(E81="",F81="",D81=""),"",(E81+F81)/D81)</f>
        <v/>
      </c>
      <c r="J81" s="46">
        <f>IF(OR(E81="",F81="",I81=""),"",(E81+F81)/I81)</f>
        <v/>
      </c>
      <c r="K81" s="46">
        <f>IF(OR(I81="",E81="",F81=""),"",I81-E81-F81)</f>
        <v/>
      </c>
      <c r="L81" s="46">
        <f>IF(OR(K81="",G81="",H81=""),"",K81-I81*G81-I81*H81)</f>
        <v/>
      </c>
      <c r="M81" s="33" t="inlineStr">
        <is>
          <t>BLOCKED_PENDING_VALIDATION</t>
        </is>
      </c>
      <c r="N81" s="33" t="inlineStr">
        <is>
          <t>Complete price=(complete kitchen COGS+packaging)/target; lower bound=(known partial food cost*1.015+packaging)/target; tax and commission excluded and explicitly blocked</t>
        </is>
      </c>
      <c r="O81" s="33" t="inlineStr">
        <is>
          <t>Public dated retail price cards + S04 target/packaging project inputs + docs/03-methodology/COGS.md</t>
        </is>
      </c>
      <c r="P81" s="33" t="inlineStr">
        <is>
          <t>ING-084;ING-085;ING-086;VSF-020</t>
        </is>
      </c>
    </row>
    <row r="82">
      <c r="A82" s="33" t="inlineStr">
        <is>
          <t>VKM-020</t>
        </is>
      </c>
      <c r="B82" s="33" t="inlineStr">
        <is>
          <t>Креветки по-тайски</t>
        </is>
      </c>
      <c r="C82" s="33" t="inlineStr">
        <is>
          <t>Доставка</t>
        </is>
      </c>
      <c r="D82" s="48" t="n">
        <v>0.3</v>
      </c>
      <c r="E82" s="46">
        <f>IFERROR(INDEX('04_КАЛЬКУЛЯЦИИ'!$N$6:$N$33,MATCH(A82,'04_КАЛЬКУЛЯЦИИ'!$B$6:$B$33,0)),"")</f>
        <v/>
      </c>
      <c r="F82" s="45" t="n"/>
      <c r="G82" s="45" t="n"/>
      <c r="H82" s="45" t="n"/>
      <c r="I82" s="46">
        <f>IF(OR(E82="",F82="",D82=""),"",(E82+F82)/D82)</f>
        <v/>
      </c>
      <c r="J82" s="46">
        <f>IF(OR(E82="",F82="",I82=""),"",(E82+F82)/I82)</f>
        <v/>
      </c>
      <c r="K82" s="46">
        <f>IF(OR(I82="",E82="",F82=""),"",I82-E82-F82)</f>
        <v/>
      </c>
      <c r="L82" s="46">
        <f>IF(OR(K82="",G82="",H82=""),"",K82-I82*G82-I82*H82)</f>
        <v/>
      </c>
      <c r="M82" s="33" t="inlineStr">
        <is>
          <t>BLOCKED_PENDING_VALIDATION</t>
        </is>
      </c>
      <c r="N82" s="33" t="inlineStr">
        <is>
          <t>Complete price=(complete kitchen COGS+packaging)/target; lower bound=(known partial food cost*1.015+packaging)/target; tax and commission excluded and explicitly blocked</t>
        </is>
      </c>
      <c r="O82" s="33" t="inlineStr">
        <is>
          <t>Public dated retail price cards + S04 target/packaging project inputs + docs/03-methodology/COGS.md</t>
        </is>
      </c>
      <c r="P82" s="33" t="inlineStr">
        <is>
          <t>ING-084;ING-085;ING-086;VSF-020</t>
        </is>
      </c>
    </row>
    <row r="83">
      <c r="A83" s="33" t="inlineStr">
        <is>
          <t>VKM-021</t>
        </is>
      </c>
      <c r="B83" s="33" t="inlineStr">
        <is>
          <t>Бургер VARSHAVKA</t>
        </is>
      </c>
      <c r="C83" s="33" t="inlineStr">
        <is>
          <t>À la carte</t>
        </is>
      </c>
      <c r="D83" s="48" t="n">
        <v>0.3</v>
      </c>
      <c r="E83" s="46">
        <f>IFERROR(INDEX('04_КАЛЬКУЛЯЦИИ'!$N$6:$N$33,MATCH(A83,'04_КАЛЬКУЛЯЦИИ'!$B$6:$B$33,0)),"")</f>
        <v/>
      </c>
      <c r="F83" s="45" t="n"/>
      <c r="G83" s="45" t="n"/>
      <c r="H83" s="45" t="n"/>
      <c r="I83" s="46">
        <f>IF(OR(E83="",F83="",D83=""),"",(E83+F83)/D83)</f>
        <v/>
      </c>
      <c r="J83" s="46">
        <f>IF(OR(E83="",F83="",I83=""),"",(E83+F83)/I83)</f>
        <v/>
      </c>
      <c r="K83" s="46">
        <f>IF(OR(I83="",E83="",F83=""),"",I83-E83-F83)</f>
        <v/>
      </c>
      <c r="L83" s="46">
        <f>IF(OR(K83="",G83="",H83=""),"",K83-I83*G83-I83*H83)</f>
        <v/>
      </c>
      <c r="M83" s="33" t="inlineStr">
        <is>
          <t>BLOCKED_PENDING_VALIDATION</t>
        </is>
      </c>
      <c r="N83" s="33" t="inlineStr">
        <is>
          <t>Complete price=(complete kitchen COGS+packaging)/target; lower bound=(known partial food cost*1.015+packaging)/target; tax and commission excluded and explicitly blocked</t>
        </is>
      </c>
      <c r="O83" s="33" t="inlineStr">
        <is>
          <t>Public dated retail price cards + S04 target/packaging project inputs + docs/03-methodology/COGS.md</t>
        </is>
      </c>
      <c r="P83" s="33" t="inlineStr">
        <is>
          <t>ING-090;ING-091;ING-092;ING-093;ING-096;VSF-006;VSF-021;VSF-022</t>
        </is>
      </c>
    </row>
    <row r="84">
      <c r="A84" s="33" t="inlineStr">
        <is>
          <t>VKM-021</t>
        </is>
      </c>
      <c r="B84" s="33" t="inlineStr">
        <is>
          <t>Бургер VARSHAVKA</t>
        </is>
      </c>
      <c r="C84" s="33" t="inlineStr">
        <is>
          <t>Бизнес-ланч</t>
        </is>
      </c>
      <c r="D84" s="48" t="n">
        <v>0.4</v>
      </c>
      <c r="E84" s="46">
        <f>IFERROR(INDEX('04_КАЛЬКУЛЯЦИИ'!$N$6:$N$33,MATCH(A84,'04_КАЛЬКУЛЯЦИИ'!$B$6:$B$33,0)),"")</f>
        <v/>
      </c>
      <c r="F84" s="45" t="n"/>
      <c r="G84" s="45" t="n"/>
      <c r="H84" s="45" t="n"/>
      <c r="I84" s="46">
        <f>IF(OR(E84="",F84="",D84=""),"",(E84+F84)/D84)</f>
        <v/>
      </c>
      <c r="J84" s="46">
        <f>IF(OR(E84="",F84="",I84=""),"",(E84+F84)/I84)</f>
        <v/>
      </c>
      <c r="K84" s="46">
        <f>IF(OR(I84="",E84="",F84=""),"",I84-E84-F84)</f>
        <v/>
      </c>
      <c r="L84" s="46">
        <f>IF(OR(K84="",G84="",H84=""),"",K84-I84*G84-I84*H84)</f>
        <v/>
      </c>
      <c r="M84" s="33" t="inlineStr">
        <is>
          <t>BLOCKED_PENDING_VALIDATION</t>
        </is>
      </c>
      <c r="N84" s="33" t="inlineStr">
        <is>
          <t>Complete price=(complete kitchen COGS+packaging)/target; lower bound=(known partial food cost*1.015+packaging)/target; tax and commission excluded and explicitly blocked</t>
        </is>
      </c>
      <c r="O84" s="33" t="inlineStr">
        <is>
          <t>Public dated retail price cards + S04 target/packaging project inputs + docs/03-methodology/COGS.md</t>
        </is>
      </c>
      <c r="P84" s="33" t="inlineStr">
        <is>
          <t>ING-090;ING-091;ING-092;ING-093;ING-096;VSF-006;VSF-021;VSF-022</t>
        </is>
      </c>
    </row>
    <row r="85">
      <c r="A85" s="33" t="inlineStr">
        <is>
          <t>VKM-021</t>
        </is>
      </c>
      <c r="B85" s="33" t="inlineStr">
        <is>
          <t>Бургер VARSHAVKA</t>
        </is>
      </c>
      <c r="C85" s="33" t="inlineStr">
        <is>
          <t>Гостиничные ужины</t>
        </is>
      </c>
      <c r="D85" s="48" t="n">
        <v>0.3</v>
      </c>
      <c r="E85" s="46">
        <f>IFERROR(INDEX('04_КАЛЬКУЛЯЦИИ'!$N$6:$N$33,MATCH(A85,'04_КАЛЬКУЛЯЦИИ'!$B$6:$B$33,0)),"")</f>
        <v/>
      </c>
      <c r="F85" s="45" t="n"/>
      <c r="G85" s="45" t="n"/>
      <c r="H85" s="45" t="n"/>
      <c r="I85" s="46">
        <f>IF(OR(E85="",F85="",D85=""),"",(E85+F85)/D85)</f>
        <v/>
      </c>
      <c r="J85" s="46">
        <f>IF(OR(E85="",F85="",I85=""),"",(E85+F85)/I85)</f>
        <v/>
      </c>
      <c r="K85" s="46">
        <f>IF(OR(I85="",E85="",F85=""),"",I85-E85-F85)</f>
        <v/>
      </c>
      <c r="L85" s="46">
        <f>IF(OR(K85="",G85="",H85=""),"",K85-I85*G85-I85*H85)</f>
        <v/>
      </c>
      <c r="M85" s="33" t="inlineStr">
        <is>
          <t>BLOCKED_PENDING_VALIDATION</t>
        </is>
      </c>
      <c r="N85" s="33" t="inlineStr">
        <is>
          <t>Complete price=(complete kitchen COGS+packaging)/target; lower bound=(known partial food cost*1.015+packaging)/target; tax and commission excluded and explicitly blocked</t>
        </is>
      </c>
      <c r="O85" s="33" t="inlineStr">
        <is>
          <t>Public dated retail price cards + S04 target/packaging project inputs + docs/03-methodology/COGS.md</t>
        </is>
      </c>
      <c r="P85" s="33" t="inlineStr">
        <is>
          <t>ING-090;ING-091;ING-092;ING-093;ING-096;VSF-006;VSF-021;VSF-022</t>
        </is>
      </c>
    </row>
    <row r="86">
      <c r="A86" s="33" t="inlineStr">
        <is>
          <t>VKM-021</t>
        </is>
      </c>
      <c r="B86" s="33" t="inlineStr">
        <is>
          <t>Бургер VARSHAVKA</t>
        </is>
      </c>
      <c r="C86" s="33" t="inlineStr">
        <is>
          <t>Доставка</t>
        </is>
      </c>
      <c r="D86" s="48" t="n">
        <v>0.3</v>
      </c>
      <c r="E86" s="46">
        <f>IFERROR(INDEX('04_КАЛЬКУЛЯЦИИ'!$N$6:$N$33,MATCH(A86,'04_КАЛЬКУЛЯЦИИ'!$B$6:$B$33,0)),"")</f>
        <v/>
      </c>
      <c r="F86" s="45" t="n"/>
      <c r="G86" s="45" t="n"/>
      <c r="H86" s="45" t="n"/>
      <c r="I86" s="46">
        <f>IF(OR(E86="",F86="",D86=""),"",(E86+F86)/D86)</f>
        <v/>
      </c>
      <c r="J86" s="46">
        <f>IF(OR(E86="",F86="",I86=""),"",(E86+F86)/I86)</f>
        <v/>
      </c>
      <c r="K86" s="46">
        <f>IF(OR(I86="",E86="",F86=""),"",I86-E86-F86)</f>
        <v/>
      </c>
      <c r="L86" s="46">
        <f>IF(OR(K86="",G86="",H86=""),"",K86-I86*G86-I86*H86)</f>
        <v/>
      </c>
      <c r="M86" s="33" t="inlineStr">
        <is>
          <t>BLOCKED_PENDING_VALIDATION</t>
        </is>
      </c>
      <c r="N86" s="33" t="inlineStr">
        <is>
          <t>Complete price=(complete kitchen COGS+packaging)/target; lower bound=(known partial food cost*1.015+packaging)/target; tax and commission excluded and explicitly blocked</t>
        </is>
      </c>
      <c r="O86" s="33" t="inlineStr">
        <is>
          <t>Public dated retail price cards + S04 target/packaging project inputs + docs/03-methodology/COGS.md</t>
        </is>
      </c>
      <c r="P86" s="33" t="inlineStr">
        <is>
          <t>ING-090;ING-091;ING-092;ING-093;ING-096;VSF-006;VSF-021;VSF-022</t>
        </is>
      </c>
    </row>
    <row r="87">
      <c r="A87" s="33" t="inlineStr">
        <is>
          <t>VKM-022</t>
        </is>
      </c>
      <c r="B87" s="33" t="inlineStr">
        <is>
          <t>Миньоны из говяжьей вырезки</t>
        </is>
      </c>
      <c r="C87" s="33" t="inlineStr">
        <is>
          <t>À la carte</t>
        </is>
      </c>
      <c r="D87" s="48" t="n">
        <v>0.3</v>
      </c>
      <c r="E87" s="46">
        <f>IFERROR(INDEX('04_КАЛЬКУЛЯЦИИ'!$N$6:$N$33,MATCH(A87,'04_КАЛЬКУЛЯЦИИ'!$B$6:$B$33,0)),"")</f>
        <v/>
      </c>
      <c r="F87" s="45" t="n"/>
      <c r="G87" s="45" t="n"/>
      <c r="H87" s="45" t="n"/>
      <c r="I87" s="46">
        <f>IF(OR(E87="",F87="",D87=""),"",(E87+F87)/D87)</f>
        <v/>
      </c>
      <c r="J87" s="46">
        <f>IF(OR(E87="",F87="",I87=""),"",(E87+F87)/I87)</f>
        <v/>
      </c>
      <c r="K87" s="46">
        <f>IF(OR(I87="",E87="",F87=""),"",I87-E87-F87)</f>
        <v/>
      </c>
      <c r="L87" s="46">
        <f>IF(OR(K87="",G87="",H87=""),"",K87-I87*G87-I87*H87)</f>
        <v/>
      </c>
      <c r="M87" s="33" t="inlineStr">
        <is>
          <t>BLOCKED_PENDING_VALIDATION</t>
        </is>
      </c>
      <c r="N87" s="33" t="inlineStr">
        <is>
          <t>Complete price=(complete kitchen COGS+packaging)/target; lower bound=(known partial food cost*1.015+packaging)/target; tax and commission excluded and explicitly blocked</t>
        </is>
      </c>
      <c r="O87" s="33" t="inlineStr">
        <is>
          <t>Public dated retail price cards + S04 target/packaging project inputs + docs/03-methodology/COGS.md</t>
        </is>
      </c>
      <c r="P87" s="33" t="inlineStr">
        <is>
          <t>ING-024;ING-033;ING-059;ING-063;ING-099;VSF-024</t>
        </is>
      </c>
    </row>
    <row r="88">
      <c r="A88" s="33" t="inlineStr">
        <is>
          <t>VKM-022</t>
        </is>
      </c>
      <c r="B88" s="33" t="inlineStr">
        <is>
          <t>Миньоны из говяжьей вырезки</t>
        </is>
      </c>
      <c r="C88" s="33" t="inlineStr">
        <is>
          <t>Бизнес-ланч</t>
        </is>
      </c>
      <c r="D88" s="48" t="n">
        <v>0.4</v>
      </c>
      <c r="E88" s="46">
        <f>IFERROR(INDEX('04_КАЛЬКУЛЯЦИИ'!$N$6:$N$33,MATCH(A88,'04_КАЛЬКУЛЯЦИИ'!$B$6:$B$33,0)),"")</f>
        <v/>
      </c>
      <c r="F88" s="45" t="n"/>
      <c r="G88" s="45" t="n"/>
      <c r="H88" s="45" t="n"/>
      <c r="I88" s="46">
        <f>IF(OR(E88="",F88="",D88=""),"",(E88+F88)/D88)</f>
        <v/>
      </c>
      <c r="J88" s="46">
        <f>IF(OR(E88="",F88="",I88=""),"",(E88+F88)/I88)</f>
        <v/>
      </c>
      <c r="K88" s="46">
        <f>IF(OR(I88="",E88="",F88=""),"",I88-E88-F88)</f>
        <v/>
      </c>
      <c r="L88" s="46">
        <f>IF(OR(K88="",G88="",H88=""),"",K88-I88*G88-I88*H88)</f>
        <v/>
      </c>
      <c r="M88" s="33" t="inlineStr">
        <is>
          <t>BLOCKED_PENDING_VALIDATION</t>
        </is>
      </c>
      <c r="N88" s="33" t="inlineStr">
        <is>
          <t>Complete price=(complete kitchen COGS+packaging)/target; lower bound=(known partial food cost*1.015+packaging)/target; tax and commission excluded and explicitly blocked</t>
        </is>
      </c>
      <c r="O88" s="33" t="inlineStr">
        <is>
          <t>Public dated retail price cards + S04 target/packaging project inputs + docs/03-methodology/COGS.md</t>
        </is>
      </c>
      <c r="P88" s="33" t="inlineStr">
        <is>
          <t>ING-024;ING-033;ING-059;ING-063;ING-099;VSF-024</t>
        </is>
      </c>
    </row>
    <row r="89">
      <c r="A89" s="33" t="inlineStr">
        <is>
          <t>VKM-022</t>
        </is>
      </c>
      <c r="B89" s="33" t="inlineStr">
        <is>
          <t>Миньоны из говяжьей вырезки</t>
        </is>
      </c>
      <c r="C89" s="33" t="inlineStr">
        <is>
          <t>Гостиничные ужины</t>
        </is>
      </c>
      <c r="D89" s="48" t="n">
        <v>0.3</v>
      </c>
      <c r="E89" s="46">
        <f>IFERROR(INDEX('04_КАЛЬКУЛЯЦИИ'!$N$6:$N$33,MATCH(A89,'04_КАЛЬКУЛЯЦИИ'!$B$6:$B$33,0)),"")</f>
        <v/>
      </c>
      <c r="F89" s="45" t="n"/>
      <c r="G89" s="45" t="n"/>
      <c r="H89" s="45" t="n"/>
      <c r="I89" s="46">
        <f>IF(OR(E89="",F89="",D89=""),"",(E89+F89)/D89)</f>
        <v/>
      </c>
      <c r="J89" s="46">
        <f>IF(OR(E89="",F89="",I89=""),"",(E89+F89)/I89)</f>
        <v/>
      </c>
      <c r="K89" s="46">
        <f>IF(OR(I89="",E89="",F89=""),"",I89-E89-F89)</f>
        <v/>
      </c>
      <c r="L89" s="46">
        <f>IF(OR(K89="",G89="",H89=""),"",K89-I89*G89-I89*H89)</f>
        <v/>
      </c>
      <c r="M89" s="33" t="inlineStr">
        <is>
          <t>BLOCKED_PENDING_VALIDATION</t>
        </is>
      </c>
      <c r="N89" s="33" t="inlineStr">
        <is>
          <t>Complete price=(complete kitchen COGS+packaging)/target; lower bound=(known partial food cost*1.015+packaging)/target; tax and commission excluded and explicitly blocked</t>
        </is>
      </c>
      <c r="O89" s="33" t="inlineStr">
        <is>
          <t>Public dated retail price cards + S04 target/packaging project inputs + docs/03-methodology/COGS.md</t>
        </is>
      </c>
      <c r="P89" s="33" t="inlineStr">
        <is>
          <t>ING-024;ING-033;ING-059;ING-063;ING-099;VSF-024</t>
        </is>
      </c>
    </row>
    <row r="90">
      <c r="A90" s="33" t="inlineStr">
        <is>
          <t>VKM-022</t>
        </is>
      </c>
      <c r="B90" s="33" t="inlineStr">
        <is>
          <t>Миньоны из говяжьей вырезки</t>
        </is>
      </c>
      <c r="C90" s="33" t="inlineStr">
        <is>
          <t>Доставка</t>
        </is>
      </c>
      <c r="D90" s="48" t="n">
        <v>0.3</v>
      </c>
      <c r="E90" s="46">
        <f>IFERROR(INDEX('04_КАЛЬКУЛЯЦИИ'!$N$6:$N$33,MATCH(A90,'04_КАЛЬКУЛЯЦИИ'!$B$6:$B$33,0)),"")</f>
        <v/>
      </c>
      <c r="F90" s="45" t="n"/>
      <c r="G90" s="45" t="n"/>
      <c r="H90" s="45" t="n"/>
      <c r="I90" s="46">
        <f>IF(OR(E90="",F90="",D90=""),"",(E90+F90)/D90)</f>
        <v/>
      </c>
      <c r="J90" s="46">
        <f>IF(OR(E90="",F90="",I90=""),"",(E90+F90)/I90)</f>
        <v/>
      </c>
      <c r="K90" s="46">
        <f>IF(OR(I90="",E90="",F90=""),"",I90-E90-F90)</f>
        <v/>
      </c>
      <c r="L90" s="46">
        <f>IF(OR(K90="",G90="",H90=""),"",K90-I90*G90-I90*H90)</f>
        <v/>
      </c>
      <c r="M90" s="33" t="inlineStr">
        <is>
          <t>BLOCKED_PENDING_VALIDATION</t>
        </is>
      </c>
      <c r="N90" s="33" t="inlineStr">
        <is>
          <t>Complete price=(complete kitchen COGS+packaging)/target; lower bound=(known partial food cost*1.015+packaging)/target; tax and commission excluded and explicitly blocked</t>
        </is>
      </c>
      <c r="O90" s="33" t="inlineStr">
        <is>
          <t>Public dated retail price cards + S04 target/packaging project inputs + docs/03-methodology/COGS.md</t>
        </is>
      </c>
      <c r="P90" s="33" t="inlineStr">
        <is>
          <t>ING-024;ING-033;ING-059;ING-063;ING-099;VSF-024</t>
        </is>
      </c>
    </row>
    <row r="91">
      <c r="A91" s="33" t="inlineStr">
        <is>
          <t>VKM-023</t>
        </is>
      </c>
      <c r="B91" s="33" t="inlineStr">
        <is>
          <t>Запечённый картофель</t>
        </is>
      </c>
      <c r="C91" s="33" t="inlineStr">
        <is>
          <t>À la carte</t>
        </is>
      </c>
      <c r="D91" s="48" t="n">
        <v>0.3</v>
      </c>
      <c r="E91" s="46">
        <f>IFERROR(INDEX('04_КАЛЬКУЛЯЦИИ'!$N$6:$N$33,MATCH(A91,'04_КАЛЬКУЛЯЦИИ'!$B$6:$B$33,0)),"")</f>
        <v/>
      </c>
      <c r="F91" s="45" t="n"/>
      <c r="G91" s="45" t="n"/>
      <c r="H91" s="45" t="n"/>
      <c r="I91" s="46">
        <f>IF(OR(E91="",F91="",D91=""),"",(E91+F91)/D91)</f>
        <v/>
      </c>
      <c r="J91" s="46">
        <f>IF(OR(E91="",F91="",I91=""),"",(E91+F91)/I91)</f>
        <v/>
      </c>
      <c r="K91" s="46">
        <f>IF(OR(I91="",E91="",F91=""),"",I91-E91-F91)</f>
        <v/>
      </c>
      <c r="L91" s="46">
        <f>IF(OR(K91="",G91="",H91=""),"",K91-I91*G91-I91*H91)</f>
        <v/>
      </c>
      <c r="M91" s="33" t="inlineStr">
        <is>
          <t>BLOCKED_PENDING_VALIDATION</t>
        </is>
      </c>
      <c r="N91" s="33" t="inlineStr">
        <is>
          <t>Complete price=(complete kitchen COGS+packaging)/target; lower bound=(known partial food cost*1.015+packaging)/target; tax and commission excluded and explicitly blocked</t>
        </is>
      </c>
      <c r="O91" s="33" t="inlineStr">
        <is>
          <t>Public dated retail price cards + S04 target/packaging project inputs + docs/03-methodology/COGS.md</t>
        </is>
      </c>
      <c r="P91" s="33" t="inlineStr">
        <is>
          <t>VSF-011</t>
        </is>
      </c>
    </row>
    <row r="92">
      <c r="A92" s="33" t="inlineStr">
        <is>
          <t>VKM-023</t>
        </is>
      </c>
      <c r="B92" s="33" t="inlineStr">
        <is>
          <t>Запечённый картофель</t>
        </is>
      </c>
      <c r="C92" s="33" t="inlineStr">
        <is>
          <t>Бизнес-ланч</t>
        </is>
      </c>
      <c r="D92" s="48" t="n">
        <v>0.4</v>
      </c>
      <c r="E92" s="46">
        <f>IFERROR(INDEX('04_КАЛЬКУЛЯЦИИ'!$N$6:$N$33,MATCH(A92,'04_КАЛЬКУЛЯЦИИ'!$B$6:$B$33,0)),"")</f>
        <v/>
      </c>
      <c r="F92" s="45" t="n"/>
      <c r="G92" s="45" t="n"/>
      <c r="H92" s="45" t="n"/>
      <c r="I92" s="46">
        <f>IF(OR(E92="",F92="",D92=""),"",(E92+F92)/D92)</f>
        <v/>
      </c>
      <c r="J92" s="46">
        <f>IF(OR(E92="",F92="",I92=""),"",(E92+F92)/I92)</f>
        <v/>
      </c>
      <c r="K92" s="46">
        <f>IF(OR(I92="",E92="",F92=""),"",I92-E92-F92)</f>
        <v/>
      </c>
      <c r="L92" s="46">
        <f>IF(OR(K92="",G92="",H92=""),"",K92-I92*G92-I92*H92)</f>
        <v/>
      </c>
      <c r="M92" s="33" t="inlineStr">
        <is>
          <t>BLOCKED_PENDING_VALIDATION</t>
        </is>
      </c>
      <c r="N92" s="33" t="inlineStr">
        <is>
          <t>Complete price=(complete kitchen COGS+packaging)/target; lower bound=(known partial food cost*1.015+packaging)/target; tax and commission excluded and explicitly blocked</t>
        </is>
      </c>
      <c r="O92" s="33" t="inlineStr">
        <is>
          <t>Public dated retail price cards + S04 target/packaging project inputs + docs/03-methodology/COGS.md</t>
        </is>
      </c>
      <c r="P92" s="33" t="inlineStr">
        <is>
          <t>VSF-011</t>
        </is>
      </c>
    </row>
    <row r="93">
      <c r="A93" s="33" t="inlineStr">
        <is>
          <t>VKM-023</t>
        </is>
      </c>
      <c r="B93" s="33" t="inlineStr">
        <is>
          <t>Запечённый картофель</t>
        </is>
      </c>
      <c r="C93" s="33" t="inlineStr">
        <is>
          <t>Гостиничные ужины</t>
        </is>
      </c>
      <c r="D93" s="48" t="n">
        <v>0.3</v>
      </c>
      <c r="E93" s="46">
        <f>IFERROR(INDEX('04_КАЛЬКУЛЯЦИИ'!$N$6:$N$33,MATCH(A93,'04_КАЛЬКУЛЯЦИИ'!$B$6:$B$33,0)),"")</f>
        <v/>
      </c>
      <c r="F93" s="45" t="n"/>
      <c r="G93" s="45" t="n"/>
      <c r="H93" s="45" t="n"/>
      <c r="I93" s="46">
        <f>IF(OR(E93="",F93="",D93=""),"",(E93+F93)/D93)</f>
        <v/>
      </c>
      <c r="J93" s="46">
        <f>IF(OR(E93="",F93="",I93=""),"",(E93+F93)/I93)</f>
        <v/>
      </c>
      <c r="K93" s="46">
        <f>IF(OR(I93="",E93="",F93=""),"",I93-E93-F93)</f>
        <v/>
      </c>
      <c r="L93" s="46">
        <f>IF(OR(K93="",G93="",H93=""),"",K93-I93*G93-I93*H93)</f>
        <v/>
      </c>
      <c r="M93" s="33" t="inlineStr">
        <is>
          <t>BLOCKED_PENDING_VALIDATION</t>
        </is>
      </c>
      <c r="N93" s="33" t="inlineStr">
        <is>
          <t>Complete price=(complete kitchen COGS+packaging)/target; lower bound=(known partial food cost*1.015+packaging)/target; tax and commission excluded and explicitly blocked</t>
        </is>
      </c>
      <c r="O93" s="33" t="inlineStr">
        <is>
          <t>Public dated retail price cards + S04 target/packaging project inputs + docs/03-methodology/COGS.md</t>
        </is>
      </c>
      <c r="P93" s="33" t="inlineStr">
        <is>
          <t>VSF-011</t>
        </is>
      </c>
    </row>
    <row r="94">
      <c r="A94" s="33" t="inlineStr">
        <is>
          <t>VKM-024</t>
        </is>
      </c>
      <c r="B94" s="33" t="inlineStr">
        <is>
          <t>Рис жасмин</t>
        </is>
      </c>
      <c r="C94" s="33" t="inlineStr">
        <is>
          <t>À la carte</t>
        </is>
      </c>
      <c r="D94" s="48" t="n">
        <v>0.3</v>
      </c>
      <c r="E94" s="46">
        <f>IFERROR(INDEX('04_КАЛЬКУЛЯЦИИ'!$N$6:$N$33,MATCH(A94,'04_КАЛЬКУЛЯЦИИ'!$B$6:$B$33,0)),"")</f>
        <v/>
      </c>
      <c r="F94" s="45" t="n"/>
      <c r="G94" s="45" t="n"/>
      <c r="H94" s="45" t="n"/>
      <c r="I94" s="46">
        <f>IF(OR(E94="",F94="",D94=""),"",(E94+F94)/D94)</f>
        <v/>
      </c>
      <c r="J94" s="46">
        <f>IF(OR(E94="",F94="",I94=""),"",(E94+F94)/I94)</f>
        <v/>
      </c>
      <c r="K94" s="46">
        <f>IF(OR(I94="",E94="",F94=""),"",I94-E94-F94)</f>
        <v/>
      </c>
      <c r="L94" s="46">
        <f>IF(OR(K94="",G94="",H94=""),"",K94-I94*G94-I94*H94)</f>
        <v/>
      </c>
      <c r="M94" s="33" t="inlineStr">
        <is>
          <t>BLOCKED_PENDING_VALIDATION</t>
        </is>
      </c>
      <c r="N94" s="33" t="inlineStr">
        <is>
          <t>Complete price=(complete kitchen COGS+packaging)/target; lower bound=(known partial food cost*1.015+packaging)/target; tax and commission excluded and explicitly blocked</t>
        </is>
      </c>
      <c r="O94" s="33" t="inlineStr">
        <is>
          <t>Public dated retail price cards + S04 target/packaging project inputs + docs/03-methodology/COGS.md</t>
        </is>
      </c>
      <c r="P94" s="33" t="inlineStr">
        <is>
          <t>ING-024;VSF-025</t>
        </is>
      </c>
    </row>
    <row r="95">
      <c r="A95" s="33" t="inlineStr">
        <is>
          <t>VKM-024</t>
        </is>
      </c>
      <c r="B95" s="33" t="inlineStr">
        <is>
          <t>Рис жасмин</t>
        </is>
      </c>
      <c r="C95" s="33" t="inlineStr">
        <is>
          <t>Бизнес-ланч</t>
        </is>
      </c>
      <c r="D95" s="48" t="n">
        <v>0.4</v>
      </c>
      <c r="E95" s="46">
        <f>IFERROR(INDEX('04_КАЛЬКУЛЯЦИИ'!$N$6:$N$33,MATCH(A95,'04_КАЛЬКУЛЯЦИИ'!$B$6:$B$33,0)),"")</f>
        <v/>
      </c>
      <c r="F95" s="45" t="n"/>
      <c r="G95" s="45" t="n"/>
      <c r="H95" s="45" t="n"/>
      <c r="I95" s="46">
        <f>IF(OR(E95="",F95="",D95=""),"",(E95+F95)/D95)</f>
        <v/>
      </c>
      <c r="J95" s="46">
        <f>IF(OR(E95="",F95="",I95=""),"",(E95+F95)/I95)</f>
        <v/>
      </c>
      <c r="K95" s="46">
        <f>IF(OR(I95="",E95="",F95=""),"",I95-E95-F95)</f>
        <v/>
      </c>
      <c r="L95" s="46">
        <f>IF(OR(K95="",G95="",H95=""),"",K95-I95*G95-I95*H95)</f>
        <v/>
      </c>
      <c r="M95" s="33" t="inlineStr">
        <is>
          <t>BLOCKED_PENDING_VALIDATION</t>
        </is>
      </c>
      <c r="N95" s="33" t="inlineStr">
        <is>
          <t>Complete price=(complete kitchen COGS+packaging)/target; lower bound=(known partial food cost*1.015+packaging)/target; tax and commission excluded and explicitly blocked</t>
        </is>
      </c>
      <c r="O95" s="33" t="inlineStr">
        <is>
          <t>Public dated retail price cards + S04 target/packaging project inputs + docs/03-methodology/COGS.md</t>
        </is>
      </c>
      <c r="P95" s="33" t="inlineStr">
        <is>
          <t>ING-024;VSF-025</t>
        </is>
      </c>
    </row>
    <row r="96">
      <c r="A96" s="33" t="inlineStr">
        <is>
          <t>VKM-024</t>
        </is>
      </c>
      <c r="B96" s="33" t="inlineStr">
        <is>
          <t>Рис жасмин</t>
        </is>
      </c>
      <c r="C96" s="33" t="inlineStr">
        <is>
          <t>Гостиничные ужины</t>
        </is>
      </c>
      <c r="D96" s="48" t="n">
        <v>0.3</v>
      </c>
      <c r="E96" s="46">
        <f>IFERROR(INDEX('04_КАЛЬКУЛЯЦИИ'!$N$6:$N$33,MATCH(A96,'04_КАЛЬКУЛЯЦИИ'!$B$6:$B$33,0)),"")</f>
        <v/>
      </c>
      <c r="F96" s="45" t="n"/>
      <c r="G96" s="45" t="n"/>
      <c r="H96" s="45" t="n"/>
      <c r="I96" s="46">
        <f>IF(OR(E96="",F96="",D96=""),"",(E96+F96)/D96)</f>
        <v/>
      </c>
      <c r="J96" s="46">
        <f>IF(OR(E96="",F96="",I96=""),"",(E96+F96)/I96)</f>
        <v/>
      </c>
      <c r="K96" s="46">
        <f>IF(OR(I96="",E96="",F96=""),"",I96-E96-F96)</f>
        <v/>
      </c>
      <c r="L96" s="46">
        <f>IF(OR(K96="",G96="",H96=""),"",K96-I96*G96-I96*H96)</f>
        <v/>
      </c>
      <c r="M96" s="33" t="inlineStr">
        <is>
          <t>BLOCKED_PENDING_VALIDATION</t>
        </is>
      </c>
      <c r="N96" s="33" t="inlineStr">
        <is>
          <t>Complete price=(complete kitchen COGS+packaging)/target; lower bound=(known partial food cost*1.015+packaging)/target; tax and commission excluded and explicitly blocked</t>
        </is>
      </c>
      <c r="O96" s="33" t="inlineStr">
        <is>
          <t>Public dated retail price cards + S04 target/packaging project inputs + docs/03-methodology/COGS.md</t>
        </is>
      </c>
      <c r="P96" s="33" t="inlineStr">
        <is>
          <t>ING-024;VSF-025</t>
        </is>
      </c>
    </row>
    <row r="97">
      <c r="A97" s="33" t="inlineStr">
        <is>
          <t>VKM-025</t>
        </is>
      </c>
      <c r="B97" s="33" t="inlineStr">
        <is>
          <t>Горячие овощи</t>
        </is>
      </c>
      <c r="C97" s="33" t="inlineStr">
        <is>
          <t>À la carte</t>
        </is>
      </c>
      <c r="D97" s="48" t="n">
        <v>0.3</v>
      </c>
      <c r="E97" s="46">
        <f>IFERROR(INDEX('04_КАЛЬКУЛЯЦИИ'!$N$6:$N$33,MATCH(A97,'04_КАЛЬКУЛЯЦИИ'!$B$6:$B$33,0)),"")</f>
        <v/>
      </c>
      <c r="F97" s="45" t="n"/>
      <c r="G97" s="45" t="n"/>
      <c r="H97" s="45" t="n"/>
      <c r="I97" s="46">
        <f>IF(OR(E97="",F97="",D97=""),"",(E97+F97)/D97)</f>
        <v/>
      </c>
      <c r="J97" s="46">
        <f>IF(OR(E97="",F97="",I97=""),"",(E97+F97)/I97)</f>
        <v/>
      </c>
      <c r="K97" s="46">
        <f>IF(OR(I97="",E97="",F97=""),"",I97-E97-F97)</f>
        <v/>
      </c>
      <c r="L97" s="46">
        <f>IF(OR(K97="",G97="",H97=""),"",K97-I97*G97-I97*H97)</f>
        <v/>
      </c>
      <c r="M97" s="33" t="inlineStr">
        <is>
          <t>BLOCKED_PENDING_VALIDATION</t>
        </is>
      </c>
      <c r="N97" s="33" t="inlineStr">
        <is>
          <t>Complete price=(complete kitchen COGS+packaging)/target; lower bound=(known partial food cost*1.015+packaging)/target; tax and commission excluded and explicitly blocked</t>
        </is>
      </c>
      <c r="O97" s="33" t="inlineStr">
        <is>
          <t>Public dated retail price cards + S04 target/packaging project inputs + docs/03-methodology/COGS.md</t>
        </is>
      </c>
      <c r="P97" s="33" t="inlineStr">
        <is>
          <t>ING-024;ING-033;ING-063;VSF-026</t>
        </is>
      </c>
    </row>
    <row r="98">
      <c r="A98" s="33" t="inlineStr">
        <is>
          <t>VKM-025</t>
        </is>
      </c>
      <c r="B98" s="33" t="inlineStr">
        <is>
          <t>Горячие овощи</t>
        </is>
      </c>
      <c r="C98" s="33" t="inlineStr">
        <is>
          <t>Бизнес-ланч</t>
        </is>
      </c>
      <c r="D98" s="48" t="n">
        <v>0.4</v>
      </c>
      <c r="E98" s="46">
        <f>IFERROR(INDEX('04_КАЛЬКУЛЯЦИИ'!$N$6:$N$33,MATCH(A98,'04_КАЛЬКУЛЯЦИИ'!$B$6:$B$33,0)),"")</f>
        <v/>
      </c>
      <c r="F98" s="45" t="n"/>
      <c r="G98" s="45" t="n"/>
      <c r="H98" s="45" t="n"/>
      <c r="I98" s="46">
        <f>IF(OR(E98="",F98="",D98=""),"",(E98+F98)/D98)</f>
        <v/>
      </c>
      <c r="J98" s="46">
        <f>IF(OR(E98="",F98="",I98=""),"",(E98+F98)/I98)</f>
        <v/>
      </c>
      <c r="K98" s="46">
        <f>IF(OR(I98="",E98="",F98=""),"",I98-E98-F98)</f>
        <v/>
      </c>
      <c r="L98" s="46">
        <f>IF(OR(K98="",G98="",H98=""),"",K98-I98*G98-I98*H98)</f>
        <v/>
      </c>
      <c r="M98" s="33" t="inlineStr">
        <is>
          <t>BLOCKED_PENDING_VALIDATION</t>
        </is>
      </c>
      <c r="N98" s="33" t="inlineStr">
        <is>
          <t>Complete price=(complete kitchen COGS+packaging)/target; lower bound=(known partial food cost*1.015+packaging)/target; tax and commission excluded and explicitly blocked</t>
        </is>
      </c>
      <c r="O98" s="33" t="inlineStr">
        <is>
          <t>Public dated retail price cards + S04 target/packaging project inputs + docs/03-methodology/COGS.md</t>
        </is>
      </c>
      <c r="P98" s="33" t="inlineStr">
        <is>
          <t>ING-024;ING-033;ING-063;VSF-026</t>
        </is>
      </c>
    </row>
    <row r="99">
      <c r="A99" s="33" t="inlineStr">
        <is>
          <t>VKM-025</t>
        </is>
      </c>
      <c r="B99" s="33" t="inlineStr">
        <is>
          <t>Горячие овощи</t>
        </is>
      </c>
      <c r="C99" s="33" t="inlineStr">
        <is>
          <t>Гостиничные ужины</t>
        </is>
      </c>
      <c r="D99" s="48" t="n">
        <v>0.3</v>
      </c>
      <c r="E99" s="46">
        <f>IFERROR(INDEX('04_КАЛЬКУЛЯЦИИ'!$N$6:$N$33,MATCH(A99,'04_КАЛЬКУЛЯЦИИ'!$B$6:$B$33,0)),"")</f>
        <v/>
      </c>
      <c r="F99" s="45" t="n"/>
      <c r="G99" s="45" t="n"/>
      <c r="H99" s="45" t="n"/>
      <c r="I99" s="46">
        <f>IF(OR(E99="",F99="",D99=""),"",(E99+F99)/D99)</f>
        <v/>
      </c>
      <c r="J99" s="46">
        <f>IF(OR(E99="",F99="",I99=""),"",(E99+F99)/I99)</f>
        <v/>
      </c>
      <c r="K99" s="46">
        <f>IF(OR(I99="",E99="",F99=""),"",I99-E99-F99)</f>
        <v/>
      </c>
      <c r="L99" s="46">
        <f>IF(OR(K99="",G99="",H99=""),"",K99-I99*G99-I99*H99)</f>
        <v/>
      </c>
      <c r="M99" s="33" t="inlineStr">
        <is>
          <t>BLOCKED_PENDING_VALIDATION</t>
        </is>
      </c>
      <c r="N99" s="33" t="inlineStr">
        <is>
          <t>Complete price=(complete kitchen COGS+packaging)/target; lower bound=(known partial food cost*1.015+packaging)/target; tax and commission excluded and explicitly blocked</t>
        </is>
      </c>
      <c r="O99" s="33" t="inlineStr">
        <is>
          <t>Public dated retail price cards + S04 target/packaging project inputs + docs/03-methodology/COGS.md</t>
        </is>
      </c>
      <c r="P99" s="33" t="inlineStr">
        <is>
          <t>ING-024;ING-033;ING-063;VSF-026</t>
        </is>
      </c>
    </row>
    <row r="100">
      <c r="A100" s="33" t="inlineStr">
        <is>
          <t>VKM-029</t>
        </is>
      </c>
      <c r="B100" s="33" t="inlineStr">
        <is>
          <t>Черничный торт VARSHAVKA</t>
        </is>
      </c>
      <c r="C100" s="33" t="inlineStr">
        <is>
          <t>À la carte</t>
        </is>
      </c>
      <c r="D100" s="48" t="n">
        <v>0.3</v>
      </c>
      <c r="E100" s="46">
        <f>IFERROR(INDEX('04_КАЛЬКУЛЯЦИИ'!$N$6:$N$33,MATCH(A100,'04_КАЛЬКУЛЯЦИИ'!$B$6:$B$33,0)),"")</f>
        <v/>
      </c>
      <c r="F100" s="45" t="n"/>
      <c r="G100" s="45" t="n"/>
      <c r="H100" s="45" t="n"/>
      <c r="I100" s="46">
        <f>IF(OR(E100="",F100="",D100=""),"",(E100+F100)/D100)</f>
        <v/>
      </c>
      <c r="J100" s="46">
        <f>IF(OR(E100="",F100="",I100=""),"",(E100+F100)/I100)</f>
        <v/>
      </c>
      <c r="K100" s="46">
        <f>IF(OR(I100="",E100="",F100=""),"",I100-E100-F100)</f>
        <v/>
      </c>
      <c r="L100" s="46">
        <f>IF(OR(K100="",G100="",H100=""),"",K100-I100*G100-I100*H100)</f>
        <v/>
      </c>
      <c r="M100" s="33" t="inlineStr">
        <is>
          <t>BLOCKED_PENDING_VALIDATION</t>
        </is>
      </c>
      <c r="N100" s="33" t="inlineStr">
        <is>
          <t>Complete price=(complete kitchen COGS+packaging)/target; lower bound=(known partial food cost*1.015+packaging)/target; tax and commission excluded and explicitly blocked</t>
        </is>
      </c>
      <c r="O100" s="33" t="inlineStr">
        <is>
          <t>Public dated retail price cards + S04 target/packaging project inputs + docs/03-methodology/COGS.md</t>
        </is>
      </c>
      <c r="P100" s="33" t="inlineStr">
        <is>
          <t>ING-112;VSF-027;VSF-029;VSF-030</t>
        </is>
      </c>
    </row>
    <row r="101">
      <c r="A101" s="33" t="inlineStr">
        <is>
          <t>VKM-029</t>
        </is>
      </c>
      <c r="B101" s="33" t="inlineStr">
        <is>
          <t>Черничный торт VARSHAVKA</t>
        </is>
      </c>
      <c r="C101" s="33" t="inlineStr">
        <is>
          <t>Навынос</t>
        </is>
      </c>
      <c r="D101" s="48" t="n">
        <v>0.428571</v>
      </c>
      <c r="E101" s="46">
        <f>IFERROR(INDEX('04_КАЛЬКУЛЯЦИИ'!$N$6:$N$33,MATCH(A101,'04_КАЛЬКУЛЯЦИИ'!$B$6:$B$33,0)),"")</f>
        <v/>
      </c>
      <c r="F101" s="45" t="n"/>
      <c r="G101" s="45" t="n"/>
      <c r="H101" s="45" t="n"/>
      <c r="I101" s="46">
        <f>IF(OR(E101="",F101="",D101=""),"",(E101+F101)/D101)</f>
        <v/>
      </c>
      <c r="J101" s="46">
        <f>IF(OR(E101="",F101="",I101=""),"",(E101+F101)/I101)</f>
        <v/>
      </c>
      <c r="K101" s="46">
        <f>IF(OR(I101="",E101="",F101=""),"",I101-E101-F101)</f>
        <v/>
      </c>
      <c r="L101" s="46">
        <f>IF(OR(K101="",G101="",H101=""),"",K101-I101*G101-I101*H101)</f>
        <v/>
      </c>
      <c r="M101" s="33" t="inlineStr">
        <is>
          <t>BLOCKED_PENDING_VALIDATION</t>
        </is>
      </c>
      <c r="N101" s="33" t="inlineStr">
        <is>
          <t>Complete price=(complete kitchen COGS+packaging)/target; lower bound=(known partial food cost*1.015+packaging)/target; tax and commission excluded and explicitly blocked</t>
        </is>
      </c>
      <c r="O101" s="33" t="inlineStr">
        <is>
          <t>Public dated retail price cards + S04 target/packaging project inputs + docs/03-methodology/COGS.md</t>
        </is>
      </c>
      <c r="P101" s="33" t="inlineStr">
        <is>
          <t>ING-112;VSF-027;VSF-029;VSF-030</t>
        </is>
      </c>
    </row>
    <row r="102">
      <c r="A102" s="33" t="inlineStr">
        <is>
          <t>VKM-030</t>
        </is>
      </c>
      <c r="B102" s="33" t="inlineStr">
        <is>
          <t>Кростата с солёной карамелью</t>
        </is>
      </c>
      <c r="C102" s="33" t="inlineStr">
        <is>
          <t>À la carte</t>
        </is>
      </c>
      <c r="D102" s="48" t="n">
        <v>0.3</v>
      </c>
      <c r="E102" s="46">
        <f>IFERROR(INDEX('04_КАЛЬКУЛЯЦИИ'!$N$6:$N$33,MATCH(A102,'04_КАЛЬКУЛЯЦИИ'!$B$6:$B$33,0)),"")</f>
        <v/>
      </c>
      <c r="F102" s="45" t="n"/>
      <c r="G102" s="45" t="n"/>
      <c r="H102" s="45" t="n"/>
      <c r="I102" s="46">
        <f>IF(OR(E102="",F102="",D102=""),"",(E102+F102)/D102)</f>
        <v/>
      </c>
      <c r="J102" s="46">
        <f>IF(OR(E102="",F102="",I102=""),"",(E102+F102)/I102)</f>
        <v/>
      </c>
      <c r="K102" s="46">
        <f>IF(OR(I102="",E102="",F102=""),"",I102-E102-F102)</f>
        <v/>
      </c>
      <c r="L102" s="46">
        <f>IF(OR(K102="",G102="",H102=""),"",K102-I102*G102-I102*H102)</f>
        <v/>
      </c>
      <c r="M102" s="33" t="inlineStr">
        <is>
          <t>BLOCKED_PENDING_VALIDATION</t>
        </is>
      </c>
      <c r="N102" s="33" t="inlineStr">
        <is>
          <t>Complete price=(complete kitchen COGS+packaging)/target; lower bound=(known partial food cost*1.015+packaging)/target; tax and commission excluded and explicitly blocked</t>
        </is>
      </c>
      <c r="O102" s="33" t="inlineStr">
        <is>
          <t>Public dated retail price cards + S04 target/packaging project inputs + docs/03-methodology/COGS.md</t>
        </is>
      </c>
      <c r="P102" s="33" t="inlineStr">
        <is>
          <t>ING-112;VSF-031;VSF-032</t>
        </is>
      </c>
    </row>
    <row r="103">
      <c r="A103" s="33" t="inlineStr">
        <is>
          <t>VKM-030</t>
        </is>
      </c>
      <c r="B103" s="33" t="inlineStr">
        <is>
          <t>Кростата с солёной карамелью</t>
        </is>
      </c>
      <c r="C103" s="33" t="inlineStr">
        <is>
          <t>Гостиничные ужины</t>
        </is>
      </c>
      <c r="D103" s="48" t="n">
        <v>0.3</v>
      </c>
      <c r="E103" s="46">
        <f>IFERROR(INDEX('04_КАЛЬКУЛЯЦИИ'!$N$6:$N$33,MATCH(A103,'04_КАЛЬКУЛЯЦИИ'!$B$6:$B$33,0)),"")</f>
        <v/>
      </c>
      <c r="F103" s="45" t="n"/>
      <c r="G103" s="45" t="n"/>
      <c r="H103" s="45" t="n"/>
      <c r="I103" s="46">
        <f>IF(OR(E103="",F103="",D103=""),"",(E103+F103)/D103)</f>
        <v/>
      </c>
      <c r="J103" s="46">
        <f>IF(OR(E103="",F103="",I103=""),"",(E103+F103)/I103)</f>
        <v/>
      </c>
      <c r="K103" s="46">
        <f>IF(OR(I103="",E103="",F103=""),"",I103-E103-F103)</f>
        <v/>
      </c>
      <c r="L103" s="46">
        <f>IF(OR(K103="",G103="",H103=""),"",K103-I103*G103-I103*H103)</f>
        <v/>
      </c>
      <c r="M103" s="33" t="inlineStr">
        <is>
          <t>BLOCKED_PENDING_VALIDATION</t>
        </is>
      </c>
      <c r="N103" s="33" t="inlineStr">
        <is>
          <t>Complete price=(complete kitchen COGS+packaging)/target; lower bound=(known partial food cost*1.015+packaging)/target; tax and commission excluded and explicitly blocked</t>
        </is>
      </c>
      <c r="O103" s="33" t="inlineStr">
        <is>
          <t>Public dated retail price cards + S04 target/packaging project inputs + docs/03-methodology/COGS.md</t>
        </is>
      </c>
      <c r="P103" s="33" t="inlineStr">
        <is>
          <t>ING-112;VSF-031;VSF-032</t>
        </is>
      </c>
    </row>
    <row r="104">
      <c r="A104" s="33" t="inlineStr">
        <is>
          <t>VKM-030</t>
        </is>
      </c>
      <c r="B104" s="33" t="inlineStr">
        <is>
          <t>Кростата с солёной карамелью</t>
        </is>
      </c>
      <c r="C104" s="33" t="inlineStr">
        <is>
          <t>Навынос</t>
        </is>
      </c>
      <c r="D104" s="48" t="n">
        <v>0.428571</v>
      </c>
      <c r="E104" s="46">
        <f>IFERROR(INDEX('04_КАЛЬКУЛЯЦИИ'!$N$6:$N$33,MATCH(A104,'04_КАЛЬКУЛЯЦИИ'!$B$6:$B$33,0)),"")</f>
        <v/>
      </c>
      <c r="F104" s="45" t="n"/>
      <c r="G104" s="45" t="n"/>
      <c r="H104" s="45" t="n"/>
      <c r="I104" s="46">
        <f>IF(OR(E104="",F104="",D104=""),"",(E104+F104)/D104)</f>
        <v/>
      </c>
      <c r="J104" s="46">
        <f>IF(OR(E104="",F104="",I104=""),"",(E104+F104)/I104)</f>
        <v/>
      </c>
      <c r="K104" s="46">
        <f>IF(OR(I104="",E104="",F104=""),"",I104-E104-F104)</f>
        <v/>
      </c>
      <c r="L104" s="46">
        <f>IF(OR(K104="",G104="",H104=""),"",K104-I104*G104-I104*H104)</f>
        <v/>
      </c>
      <c r="M104" s="33" t="inlineStr">
        <is>
          <t>BLOCKED_PENDING_VALIDATION</t>
        </is>
      </c>
      <c r="N104" s="33" t="inlineStr">
        <is>
          <t>Complete price=(complete kitchen COGS+packaging)/target; lower bound=(known partial food cost*1.015+packaging)/target; tax and commission excluded and explicitly blocked</t>
        </is>
      </c>
      <c r="O104" s="33" t="inlineStr">
        <is>
          <t>Public dated retail price cards + S04 target/packaging project inputs + docs/03-methodology/COGS.md</t>
        </is>
      </c>
      <c r="P104" s="33" t="inlineStr">
        <is>
          <t>ING-112;VSF-031;VSF-032</t>
        </is>
      </c>
    </row>
    <row r="105">
      <c r="A105" s="33" t="inlineStr">
        <is>
          <t>VKM-031</t>
        </is>
      </c>
      <c r="B105" s="33" t="inlineStr">
        <is>
          <t>Мадлен</t>
        </is>
      </c>
      <c r="C105" s="33" t="inlineStr">
        <is>
          <t>À la carte</t>
        </is>
      </c>
      <c r="D105" s="48" t="n">
        <v>0.3</v>
      </c>
      <c r="E105" s="46">
        <f>IFERROR(INDEX('04_КАЛЬКУЛЯЦИИ'!$N$6:$N$33,MATCH(A105,'04_КАЛЬКУЛЯЦИИ'!$B$6:$B$33,0)),"")</f>
        <v/>
      </c>
      <c r="F105" s="45" t="n"/>
      <c r="G105" s="45" t="n"/>
      <c r="H105" s="45" t="n"/>
      <c r="I105" s="46">
        <f>IF(OR(E105="",F105="",D105=""),"",(E105+F105)/D105)</f>
        <v/>
      </c>
      <c r="J105" s="46">
        <f>IF(OR(E105="",F105="",I105=""),"",(E105+F105)/I105)</f>
        <v/>
      </c>
      <c r="K105" s="46">
        <f>IF(OR(I105="",E105="",F105=""),"",I105-E105-F105)</f>
        <v/>
      </c>
      <c r="L105" s="46">
        <f>IF(OR(K105="",G105="",H105=""),"",K105-I105*G105-I105*H105)</f>
        <v/>
      </c>
      <c r="M105" s="33" t="inlineStr">
        <is>
          <t>BLOCKED_PENDING_VALIDATION</t>
        </is>
      </c>
      <c r="N105" s="33" t="inlineStr">
        <is>
          <t>Complete price=(complete kitchen COGS+packaging)/target; lower bound=(known partial food cost*1.015+packaging)/target; tax and commission excluded and explicitly blocked</t>
        </is>
      </c>
      <c r="O105" s="33" t="inlineStr">
        <is>
          <t>Public dated retail price cards + S04 target/packaging project inputs + docs/03-methodology/COGS.md</t>
        </is>
      </c>
      <c r="P105" s="33" t="inlineStr">
        <is>
          <t>VSF-034</t>
        </is>
      </c>
    </row>
    <row r="106">
      <c r="A106" s="33" t="inlineStr">
        <is>
          <t>VKM-031</t>
        </is>
      </c>
      <c r="B106" s="33" t="inlineStr">
        <is>
          <t>Мадлен</t>
        </is>
      </c>
      <c r="C106" s="33" t="inlineStr">
        <is>
          <t>Навынос</t>
        </is>
      </c>
      <c r="D106" s="48" t="n">
        <v>0.428571</v>
      </c>
      <c r="E106" s="46">
        <f>IFERROR(INDEX('04_КАЛЬКУЛЯЦИИ'!$N$6:$N$33,MATCH(A106,'04_КАЛЬКУЛЯЦИИ'!$B$6:$B$33,0)),"")</f>
        <v/>
      </c>
      <c r="F106" s="45" t="n"/>
      <c r="G106" s="45" t="n"/>
      <c r="H106" s="45" t="n"/>
      <c r="I106" s="46">
        <f>IF(OR(E106="",F106="",D106=""),"",(E106+F106)/D106)</f>
        <v/>
      </c>
      <c r="J106" s="46">
        <f>IF(OR(E106="",F106="",I106=""),"",(E106+F106)/I106)</f>
        <v/>
      </c>
      <c r="K106" s="46">
        <f>IF(OR(I106="",E106="",F106=""),"",I106-E106-F106)</f>
        <v/>
      </c>
      <c r="L106" s="46">
        <f>IF(OR(K106="",G106="",H106=""),"",K106-I106*G106-I106*H106)</f>
        <v/>
      </c>
      <c r="M106" s="33" t="inlineStr">
        <is>
          <t>BLOCKED_PENDING_VALIDATION</t>
        </is>
      </c>
      <c r="N106" s="33" t="inlineStr">
        <is>
          <t>Complete price=(complete kitchen COGS+packaging)/target; lower bound=(known partial food cost*1.015+packaging)/target; tax and commission excluded and explicitly blocked</t>
        </is>
      </c>
      <c r="O106" s="33" t="inlineStr">
        <is>
          <t>Public dated retail price cards + S04 target/packaging project inputs + docs/03-methodology/COGS.md</t>
        </is>
      </c>
      <c r="P106" s="33" t="inlineStr">
        <is>
          <t>VSF-034</t>
        </is>
      </c>
    </row>
    <row r="107">
      <c r="A107" s="28" t="n"/>
      <c r="B107" s="28" t="n"/>
      <c r="C107" s="28" t="n"/>
      <c r="D107" s="28" t="n"/>
      <c r="E107" s="28" t="n"/>
      <c r="F107" s="28" t="n"/>
      <c r="G107" s="28" t="n"/>
      <c r="H107" s="28" t="n"/>
      <c r="I107" s="28" t="n"/>
      <c r="J107" s="28" t="n"/>
      <c r="K107" s="28" t="n"/>
      <c r="L107" s="28" t="n"/>
      <c r="M107" s="28" t="n"/>
      <c r="N107" s="28" t="n"/>
      <c r="O107" s="28" t="n"/>
      <c r="P107" s="28" t="n"/>
    </row>
    <row r="108">
      <c r="A108" s="28" t="n"/>
      <c r="B108" s="28" t="n"/>
      <c r="C108" s="28" t="n"/>
      <c r="D108" s="28" t="n"/>
      <c r="E108" s="28" t="n"/>
      <c r="F108" s="28" t="n"/>
      <c r="G108" s="28" t="n"/>
      <c r="H108" s="28" t="n"/>
      <c r="I108" s="28" t="n"/>
      <c r="J108" s="28" t="n"/>
      <c r="K108" s="28" t="n"/>
      <c r="L108" s="28" t="n"/>
      <c r="M108" s="28" t="n"/>
      <c r="N108" s="28" t="n"/>
      <c r="O108" s="28" t="n"/>
      <c r="P108" s="28" t="n"/>
    </row>
    <row r="109">
      <c r="A109" s="35" t="inlineStr">
        <is>
          <t>Proxy-сценарий HOF-0014 — 101/101, только для планирования, не project price</t>
        </is>
      </c>
    </row>
    <row r="110" ht="34" customHeight="1">
      <c r="A110" s="32" t="inlineStr">
        <is>
          <t>Dish ID</t>
        </is>
      </c>
      <c r="B110" s="32" t="inlineStr">
        <is>
          <t>Блюдо</t>
        </is>
      </c>
      <c r="C110" s="32" t="inlineStr">
        <is>
          <t>Канал</t>
        </is>
      </c>
      <c r="D110" s="32" t="inlineStr">
        <is>
          <t>Target</t>
        </is>
      </c>
      <c r="E110" s="32" t="inlineStr">
        <is>
          <t>Scenario COGS</t>
        </is>
      </c>
      <c r="F110" s="32" t="inlineStr">
        <is>
          <t>Packaging assumption</t>
        </is>
      </c>
      <c r="G110" s="32" t="inlineStr">
        <is>
          <t>Scenario price</t>
        </is>
      </c>
      <c r="H110" s="32" t="inlineStr">
        <is>
          <t>Food cost</t>
        </is>
      </c>
      <c r="I110" s="32" t="inlineStr">
        <is>
          <t>Margin</t>
        </is>
      </c>
      <c r="J110" s="32" t="inlineStr">
        <is>
          <t>Contribution</t>
        </is>
      </c>
      <c r="K110" s="32" t="inlineStr">
        <is>
          <t>Tax</t>
        </is>
      </c>
      <c r="L110" s="32" t="inlineStr">
        <is>
          <t>Commission</t>
        </is>
      </c>
      <c r="M110" s="32" t="inlineStr">
        <is>
          <t>Status</t>
        </is>
      </c>
      <c r="N110" s="32" t="inlineStr">
        <is>
          <t>Confidence</t>
        </is>
      </c>
      <c r="O110" s="32" t="inlineStr">
        <is>
          <t>Procurement</t>
        </is>
      </c>
      <c r="P110" s="32" t="inlineStr">
        <is>
          <t>Limitations</t>
        </is>
      </c>
    </row>
    <row r="111">
      <c r="A111" s="33" t="inlineStr">
        <is>
          <t>VKM-001</t>
        </is>
      </c>
      <c r="B111" s="33" t="inlineStr">
        <is>
          <t>Маргарита</t>
        </is>
      </c>
      <c r="C111" s="33" t="inlineStr">
        <is>
          <t>À la carte</t>
        </is>
      </c>
      <c r="D111" s="46" t="n">
        <v>0.3</v>
      </c>
      <c r="E111" s="46" t="n">
        <v>230.067829</v>
      </c>
      <c r="F111" s="46" t="n">
        <v>0</v>
      </c>
      <c r="G111" s="46" t="n">
        <v>766.8927640000001</v>
      </c>
      <c r="H111" s="46" t="n">
        <v>0.3</v>
      </c>
      <c r="I111" s="46" t="n">
        <v>536.824935</v>
      </c>
      <c r="J111" s="46" t="n">
        <v>536.824935</v>
      </c>
      <c r="K111" s="46" t="n"/>
      <c r="L111" s="46" t="n"/>
      <c r="M111" s="33" t="inlineStr">
        <is>
          <t>ASSUMPTION_BLOCKED_PENDING_VALIDATION</t>
        </is>
      </c>
      <c r="N111" s="33" t="inlineStr">
        <is>
          <t>LOW_CONFIDENCE</t>
        </is>
      </c>
      <c r="O111" s="33" t="inlineStr">
        <is>
          <t>OPEN</t>
        </is>
      </c>
      <c r="P111" s="33" t="inlineStr">
        <is>
          <t>Planning scenario, not approved project price; tax, commission and quoted packaging remain excluded/blocked</t>
        </is>
      </c>
    </row>
    <row r="112">
      <c r="A112" s="33" t="inlineStr">
        <is>
          <t>VKM-001</t>
        </is>
      </c>
      <c r="B112" s="33" t="inlineStr">
        <is>
          <t>Маргарита</t>
        </is>
      </c>
      <c r="C112" s="33" t="inlineStr">
        <is>
          <t>Бизнес-ланч</t>
        </is>
      </c>
      <c r="D112" s="46" t="n">
        <v>0.4</v>
      </c>
      <c r="E112" s="46" t="n">
        <v>230.067829</v>
      </c>
      <c r="F112" s="46" t="n">
        <v>0</v>
      </c>
      <c r="G112" s="46" t="n">
        <v>575.169573</v>
      </c>
      <c r="H112" s="46" t="n">
        <v>0.4</v>
      </c>
      <c r="I112" s="46" t="n">
        <v>345.101744</v>
      </c>
      <c r="J112" s="46" t="n">
        <v>345.101744</v>
      </c>
      <c r="K112" s="46" t="n"/>
      <c r="L112" s="46" t="n"/>
      <c r="M112" s="33" t="inlineStr">
        <is>
          <t>ASSUMPTION_BLOCKED_PENDING_VALIDATION</t>
        </is>
      </c>
      <c r="N112" s="33" t="inlineStr">
        <is>
          <t>LOW_CONFIDENCE</t>
        </is>
      </c>
      <c r="O112" s="33" t="inlineStr">
        <is>
          <t>OPEN</t>
        </is>
      </c>
      <c r="P112" s="33" t="inlineStr">
        <is>
          <t>Planning scenario, not approved project price; tax, commission and quoted packaging remain excluded/blocked</t>
        </is>
      </c>
    </row>
    <row r="113">
      <c r="A113" s="33" t="inlineStr">
        <is>
          <t>VKM-001</t>
        </is>
      </c>
      <c r="B113" s="33" t="inlineStr">
        <is>
          <t>Маргарита</t>
        </is>
      </c>
      <c r="C113" s="33" t="inlineStr">
        <is>
          <t>Гостиничные ужины</t>
        </is>
      </c>
      <c r="D113" s="46" t="n">
        <v>0.3</v>
      </c>
      <c r="E113" s="46" t="n">
        <v>230.067829</v>
      </c>
      <c r="F113" s="46" t="n">
        <v>0</v>
      </c>
      <c r="G113" s="46" t="n">
        <v>766.8927640000001</v>
      </c>
      <c r="H113" s="46" t="n">
        <v>0.3</v>
      </c>
      <c r="I113" s="46" t="n">
        <v>536.824935</v>
      </c>
      <c r="J113" s="46" t="n">
        <v>536.824935</v>
      </c>
      <c r="K113" s="46" t="n"/>
      <c r="L113" s="46" t="n"/>
      <c r="M113" s="33" t="inlineStr">
        <is>
          <t>ASSUMPTION_BLOCKED_PENDING_VALIDATION</t>
        </is>
      </c>
      <c r="N113" s="33" t="inlineStr">
        <is>
          <t>LOW_CONFIDENCE</t>
        </is>
      </c>
      <c r="O113" s="33" t="inlineStr">
        <is>
          <t>OPEN</t>
        </is>
      </c>
      <c r="P113" s="33" t="inlineStr">
        <is>
          <t>Planning scenario, not approved project price; tax, commission and quoted packaging remain excluded/blocked</t>
        </is>
      </c>
    </row>
    <row r="114">
      <c r="A114" s="33" t="inlineStr">
        <is>
          <t>VKM-001</t>
        </is>
      </c>
      <c r="B114" s="33" t="inlineStr">
        <is>
          <t>Маргарита</t>
        </is>
      </c>
      <c r="C114" s="33" t="inlineStr">
        <is>
          <t>Доставка</t>
        </is>
      </c>
      <c r="D114" s="46" t="n">
        <v>0.3</v>
      </c>
      <c r="E114" s="46" t="n">
        <v>230.067829</v>
      </c>
      <c r="F114" s="46" t="n">
        <v>65</v>
      </c>
      <c r="G114" s="46" t="n">
        <v>983.559431</v>
      </c>
      <c r="H114" s="46" t="n">
        <v>0.233914</v>
      </c>
      <c r="I114" s="46" t="n">
        <v>753.4916019999999</v>
      </c>
      <c r="J114" s="46" t="n">
        <v>688.4916019999999</v>
      </c>
      <c r="K114" s="46" t="n"/>
      <c r="L114" s="46" t="n"/>
      <c r="M114" s="33" t="inlineStr">
        <is>
          <t>ASSUMPTION_BLOCKED_PENDING_VALIDATION</t>
        </is>
      </c>
      <c r="N114" s="33" t="inlineStr">
        <is>
          <t>LOW_CONFIDENCE</t>
        </is>
      </c>
      <c r="O114" s="33" t="inlineStr">
        <is>
          <t>OPEN</t>
        </is>
      </c>
      <c r="P114" s="33" t="inlineStr">
        <is>
          <t>Planning scenario, not approved project price; tax, commission and quoted packaging remain excluded/blocked</t>
        </is>
      </c>
    </row>
    <row r="115">
      <c r="A115" s="33" t="inlineStr">
        <is>
          <t>VKM-002</t>
        </is>
      </c>
      <c r="B115" s="33" t="inlineStr">
        <is>
          <t>Четыре сыра</t>
        </is>
      </c>
      <c r="C115" s="33" t="inlineStr">
        <is>
          <t>À la carte</t>
        </is>
      </c>
      <c r="D115" s="46" t="n">
        <v>0.3</v>
      </c>
      <c r="E115" s="46" t="n">
        <v>334.18321</v>
      </c>
      <c r="F115" s="46" t="n">
        <v>0</v>
      </c>
      <c r="G115" s="46" t="n">
        <v>1113.944034</v>
      </c>
      <c r="H115" s="46" t="n">
        <v>0.3</v>
      </c>
      <c r="I115" s="46" t="n">
        <v>779.760824</v>
      </c>
      <c r="J115" s="46" t="n">
        <v>779.760824</v>
      </c>
      <c r="K115" s="46" t="n"/>
      <c r="L115" s="46" t="n"/>
      <c r="M115" s="33" t="inlineStr">
        <is>
          <t>ASSUMPTION_BLOCKED_PENDING_VALIDATION</t>
        </is>
      </c>
      <c r="N115" s="33" t="inlineStr">
        <is>
          <t>LOW_CONFIDENCE</t>
        </is>
      </c>
      <c r="O115" s="33" t="inlineStr">
        <is>
          <t>OPEN</t>
        </is>
      </c>
      <c r="P115" s="33" t="inlineStr">
        <is>
          <t>Planning scenario, not approved project price; tax, commission and quoted packaging remain excluded/blocked</t>
        </is>
      </c>
    </row>
    <row r="116">
      <c r="A116" s="33" t="inlineStr">
        <is>
          <t>VKM-002</t>
        </is>
      </c>
      <c r="B116" s="33" t="inlineStr">
        <is>
          <t>Четыре сыра</t>
        </is>
      </c>
      <c r="C116" s="33" t="inlineStr">
        <is>
          <t>Бизнес-ланч</t>
        </is>
      </c>
      <c r="D116" s="46" t="n">
        <v>0.4</v>
      </c>
      <c r="E116" s="46" t="n">
        <v>334.18321</v>
      </c>
      <c r="F116" s="46" t="n">
        <v>0</v>
      </c>
      <c r="G116" s="46" t="n">
        <v>835.458026</v>
      </c>
      <c r="H116" s="46" t="n">
        <v>0.4</v>
      </c>
      <c r="I116" s="46" t="n">
        <v>501.274815</v>
      </c>
      <c r="J116" s="46" t="n">
        <v>501.274815</v>
      </c>
      <c r="K116" s="46" t="n"/>
      <c r="L116" s="46" t="n"/>
      <c r="M116" s="33" t="inlineStr">
        <is>
          <t>ASSUMPTION_BLOCKED_PENDING_VALIDATION</t>
        </is>
      </c>
      <c r="N116" s="33" t="inlineStr">
        <is>
          <t>LOW_CONFIDENCE</t>
        </is>
      </c>
      <c r="O116" s="33" t="inlineStr">
        <is>
          <t>OPEN</t>
        </is>
      </c>
      <c r="P116" s="33" t="inlineStr">
        <is>
          <t>Planning scenario, not approved project price; tax, commission and quoted packaging remain excluded/blocked</t>
        </is>
      </c>
    </row>
    <row r="117">
      <c r="A117" s="33" t="inlineStr">
        <is>
          <t>VKM-002</t>
        </is>
      </c>
      <c r="B117" s="33" t="inlineStr">
        <is>
          <t>Четыре сыра</t>
        </is>
      </c>
      <c r="C117" s="33" t="inlineStr">
        <is>
          <t>Гостиничные ужины</t>
        </is>
      </c>
      <c r="D117" s="46" t="n">
        <v>0.3</v>
      </c>
      <c r="E117" s="46" t="n">
        <v>334.18321</v>
      </c>
      <c r="F117" s="46" t="n">
        <v>0</v>
      </c>
      <c r="G117" s="46" t="n">
        <v>1113.944034</v>
      </c>
      <c r="H117" s="46" t="n">
        <v>0.3</v>
      </c>
      <c r="I117" s="46" t="n">
        <v>779.760824</v>
      </c>
      <c r="J117" s="46" t="n">
        <v>779.760824</v>
      </c>
      <c r="K117" s="46" t="n"/>
      <c r="L117" s="46" t="n"/>
      <c r="M117" s="33" t="inlineStr">
        <is>
          <t>ASSUMPTION_BLOCKED_PENDING_VALIDATION</t>
        </is>
      </c>
      <c r="N117" s="33" t="inlineStr">
        <is>
          <t>LOW_CONFIDENCE</t>
        </is>
      </c>
      <c r="O117" s="33" t="inlineStr">
        <is>
          <t>OPEN</t>
        </is>
      </c>
      <c r="P117" s="33" t="inlineStr">
        <is>
          <t>Planning scenario, not approved project price; tax, commission and quoted packaging remain excluded/blocked</t>
        </is>
      </c>
    </row>
    <row r="118">
      <c r="A118" s="33" t="inlineStr">
        <is>
          <t>VKM-002</t>
        </is>
      </c>
      <c r="B118" s="33" t="inlineStr">
        <is>
          <t>Четыре сыра</t>
        </is>
      </c>
      <c r="C118" s="33" t="inlineStr">
        <is>
          <t>Доставка</t>
        </is>
      </c>
      <c r="D118" s="46" t="n">
        <v>0.3</v>
      </c>
      <c r="E118" s="46" t="n">
        <v>334.18321</v>
      </c>
      <c r="F118" s="46" t="n">
        <v>65</v>
      </c>
      <c r="G118" s="46" t="n">
        <v>1330.610701</v>
      </c>
      <c r="H118" s="46" t="n">
        <v>0.25115</v>
      </c>
      <c r="I118" s="46" t="n">
        <v>996.427491</v>
      </c>
      <c r="J118" s="46" t="n">
        <v>931.427491</v>
      </c>
      <c r="K118" s="46" t="n"/>
      <c r="L118" s="46" t="n"/>
      <c r="M118" s="33" t="inlineStr">
        <is>
          <t>ASSUMPTION_BLOCKED_PENDING_VALIDATION</t>
        </is>
      </c>
      <c r="N118" s="33" t="inlineStr">
        <is>
          <t>LOW_CONFIDENCE</t>
        </is>
      </c>
      <c r="O118" s="33" t="inlineStr">
        <is>
          <t>OPEN</t>
        </is>
      </c>
      <c r="P118" s="33" t="inlineStr">
        <is>
          <t>Planning scenario, not approved project price; tax, commission and quoted packaging remain excluded/blocked</t>
        </is>
      </c>
    </row>
    <row r="119">
      <c r="A119" s="33" t="inlineStr">
        <is>
          <t>VKM-003</t>
        </is>
      </c>
      <c r="B119" s="33" t="inlineStr">
        <is>
          <t>Грибная с ветчиной</t>
        </is>
      </c>
      <c r="C119" s="33" t="inlineStr">
        <is>
          <t>À la carte</t>
        </is>
      </c>
      <c r="D119" s="46" t="n">
        <v>0.3</v>
      </c>
      <c r="E119" s="46" t="n">
        <v>269.866963</v>
      </c>
      <c r="F119" s="46" t="n">
        <v>0</v>
      </c>
      <c r="G119" s="46" t="n">
        <v>899.556544</v>
      </c>
      <c r="H119" s="46" t="n">
        <v>0.3</v>
      </c>
      <c r="I119" s="46" t="n">
        <v>629.689581</v>
      </c>
      <c r="J119" s="46" t="n">
        <v>629.689581</v>
      </c>
      <c r="K119" s="46" t="n"/>
      <c r="L119" s="46" t="n"/>
      <c r="M119" s="33" t="inlineStr">
        <is>
          <t>ASSUMPTION_BLOCKED_PENDING_VALIDATION</t>
        </is>
      </c>
      <c r="N119" s="33" t="inlineStr">
        <is>
          <t>LOW_CONFIDENCE</t>
        </is>
      </c>
      <c r="O119" s="33" t="inlineStr">
        <is>
          <t>OPEN</t>
        </is>
      </c>
      <c r="P119" s="33" t="inlineStr">
        <is>
          <t>Planning scenario, not approved project price; tax, commission and quoted packaging remain excluded/blocked</t>
        </is>
      </c>
    </row>
    <row r="120">
      <c r="A120" s="33" t="inlineStr">
        <is>
          <t>VKM-003</t>
        </is>
      </c>
      <c r="B120" s="33" t="inlineStr">
        <is>
          <t>Грибная с ветчиной</t>
        </is>
      </c>
      <c r="C120" s="33" t="inlineStr">
        <is>
          <t>Бизнес-ланч</t>
        </is>
      </c>
      <c r="D120" s="46" t="n">
        <v>0.4</v>
      </c>
      <c r="E120" s="46" t="n">
        <v>269.866963</v>
      </c>
      <c r="F120" s="46" t="n">
        <v>0</v>
      </c>
      <c r="G120" s="46" t="n">
        <v>674.667408</v>
      </c>
      <c r="H120" s="46" t="n">
        <v>0.4</v>
      </c>
      <c r="I120" s="46" t="n">
        <v>404.800445</v>
      </c>
      <c r="J120" s="46" t="n">
        <v>404.800445</v>
      </c>
      <c r="K120" s="46" t="n"/>
      <c r="L120" s="46" t="n"/>
      <c r="M120" s="33" t="inlineStr">
        <is>
          <t>ASSUMPTION_BLOCKED_PENDING_VALIDATION</t>
        </is>
      </c>
      <c r="N120" s="33" t="inlineStr">
        <is>
          <t>LOW_CONFIDENCE</t>
        </is>
      </c>
      <c r="O120" s="33" t="inlineStr">
        <is>
          <t>OPEN</t>
        </is>
      </c>
      <c r="P120" s="33" t="inlineStr">
        <is>
          <t>Planning scenario, not approved project price; tax, commission and quoted packaging remain excluded/blocked</t>
        </is>
      </c>
    </row>
    <row r="121">
      <c r="A121" s="33" t="inlineStr">
        <is>
          <t>VKM-003</t>
        </is>
      </c>
      <c r="B121" s="33" t="inlineStr">
        <is>
          <t>Грибная с ветчиной</t>
        </is>
      </c>
      <c r="C121" s="33" t="inlineStr">
        <is>
          <t>Гостиничные ужины</t>
        </is>
      </c>
      <c r="D121" s="46" t="n">
        <v>0.3</v>
      </c>
      <c r="E121" s="46" t="n">
        <v>269.866963</v>
      </c>
      <c r="F121" s="46" t="n">
        <v>0</v>
      </c>
      <c r="G121" s="46" t="n">
        <v>899.556544</v>
      </c>
      <c r="H121" s="46" t="n">
        <v>0.3</v>
      </c>
      <c r="I121" s="46" t="n">
        <v>629.689581</v>
      </c>
      <c r="J121" s="46" t="n">
        <v>629.689581</v>
      </c>
      <c r="K121" s="46" t="n"/>
      <c r="L121" s="46" t="n"/>
      <c r="M121" s="33" t="inlineStr">
        <is>
          <t>ASSUMPTION_BLOCKED_PENDING_VALIDATION</t>
        </is>
      </c>
      <c r="N121" s="33" t="inlineStr">
        <is>
          <t>LOW_CONFIDENCE</t>
        </is>
      </c>
      <c r="O121" s="33" t="inlineStr">
        <is>
          <t>OPEN</t>
        </is>
      </c>
      <c r="P121" s="33" t="inlineStr">
        <is>
          <t>Planning scenario, not approved project price; tax, commission and quoted packaging remain excluded/blocked</t>
        </is>
      </c>
    </row>
    <row r="122">
      <c r="A122" s="33" t="inlineStr">
        <is>
          <t>VKM-003</t>
        </is>
      </c>
      <c r="B122" s="33" t="inlineStr">
        <is>
          <t>Грибная с ветчиной</t>
        </is>
      </c>
      <c r="C122" s="33" t="inlineStr">
        <is>
          <t>Доставка</t>
        </is>
      </c>
      <c r="D122" s="46" t="n">
        <v>0.3</v>
      </c>
      <c r="E122" s="46" t="n">
        <v>269.866963</v>
      </c>
      <c r="F122" s="46" t="n">
        <v>65</v>
      </c>
      <c r="G122" s="46" t="n">
        <v>1116.223211</v>
      </c>
      <c r="H122" s="46" t="n">
        <v>0.241768</v>
      </c>
      <c r="I122" s="46" t="n">
        <v>846.3562480000001</v>
      </c>
      <c r="J122" s="46" t="n">
        <v>781.3562480000001</v>
      </c>
      <c r="K122" s="46" t="n"/>
      <c r="L122" s="46" t="n"/>
      <c r="M122" s="33" t="inlineStr">
        <is>
          <t>ASSUMPTION_BLOCKED_PENDING_VALIDATION</t>
        </is>
      </c>
      <c r="N122" s="33" t="inlineStr">
        <is>
          <t>LOW_CONFIDENCE</t>
        </is>
      </c>
      <c r="O122" s="33" t="inlineStr">
        <is>
          <t>OPEN</t>
        </is>
      </c>
      <c r="P122" s="33" t="inlineStr">
        <is>
          <t>Planning scenario, not approved project price; tax, commission and quoted packaging remain excluded/blocked</t>
        </is>
      </c>
    </row>
    <row r="123">
      <c r="A123" s="33" t="inlineStr">
        <is>
          <t>VKM-004</t>
        </is>
      </c>
      <c r="B123" s="33" t="inlineStr">
        <is>
          <t>Пепперони</t>
        </is>
      </c>
      <c r="C123" s="33" t="inlineStr">
        <is>
          <t>À la carte</t>
        </is>
      </c>
      <c r="D123" s="46" t="n">
        <v>0.3</v>
      </c>
      <c r="E123" s="46" t="n">
        <v>314.950338</v>
      </c>
      <c r="F123" s="46" t="n">
        <v>0</v>
      </c>
      <c r="G123" s="46" t="n">
        <v>1049.834459</v>
      </c>
      <c r="H123" s="46" t="n">
        <v>0.3</v>
      </c>
      <c r="I123" s="46" t="n">
        <v>734.8841210000001</v>
      </c>
      <c r="J123" s="46" t="n">
        <v>734.8841210000001</v>
      </c>
      <c r="K123" s="46" t="n"/>
      <c r="L123" s="46" t="n"/>
      <c r="M123" s="33" t="inlineStr">
        <is>
          <t>ASSUMPTION_BLOCKED_PENDING_VALIDATION</t>
        </is>
      </c>
      <c r="N123" s="33" t="inlineStr">
        <is>
          <t>LOW_CONFIDENCE</t>
        </is>
      </c>
      <c r="O123" s="33" t="inlineStr">
        <is>
          <t>OPEN</t>
        </is>
      </c>
      <c r="P123" s="33" t="inlineStr">
        <is>
          <t>Planning scenario, not approved project price; tax, commission and quoted packaging remain excluded/blocked</t>
        </is>
      </c>
    </row>
    <row r="124">
      <c r="A124" s="33" t="inlineStr">
        <is>
          <t>VKM-004</t>
        </is>
      </c>
      <c r="B124" s="33" t="inlineStr">
        <is>
          <t>Пепперони</t>
        </is>
      </c>
      <c r="C124" s="33" t="inlineStr">
        <is>
          <t>Бизнес-ланч</t>
        </is>
      </c>
      <c r="D124" s="46" t="n">
        <v>0.4</v>
      </c>
      <c r="E124" s="46" t="n">
        <v>314.950338</v>
      </c>
      <c r="F124" s="46" t="n">
        <v>0</v>
      </c>
      <c r="G124" s="46" t="n">
        <v>787.375844</v>
      </c>
      <c r="H124" s="46" t="n">
        <v>0.4</v>
      </c>
      <c r="I124" s="46" t="n">
        <v>472.425507</v>
      </c>
      <c r="J124" s="46" t="n">
        <v>472.425507</v>
      </c>
      <c r="K124" s="46" t="n"/>
      <c r="L124" s="46" t="n"/>
      <c r="M124" s="33" t="inlineStr">
        <is>
          <t>ASSUMPTION_BLOCKED_PENDING_VALIDATION</t>
        </is>
      </c>
      <c r="N124" s="33" t="inlineStr">
        <is>
          <t>LOW_CONFIDENCE</t>
        </is>
      </c>
      <c r="O124" s="33" t="inlineStr">
        <is>
          <t>OPEN</t>
        </is>
      </c>
      <c r="P124" s="33" t="inlineStr">
        <is>
          <t>Planning scenario, not approved project price; tax, commission and quoted packaging remain excluded/blocked</t>
        </is>
      </c>
    </row>
    <row r="125">
      <c r="A125" s="33" t="inlineStr">
        <is>
          <t>VKM-004</t>
        </is>
      </c>
      <c r="B125" s="33" t="inlineStr">
        <is>
          <t>Пепперони</t>
        </is>
      </c>
      <c r="C125" s="33" t="inlineStr">
        <is>
          <t>Гостиничные ужины</t>
        </is>
      </c>
      <c r="D125" s="46" t="n">
        <v>0.3</v>
      </c>
      <c r="E125" s="46" t="n">
        <v>314.950338</v>
      </c>
      <c r="F125" s="46" t="n">
        <v>0</v>
      </c>
      <c r="G125" s="46" t="n">
        <v>1049.834459</v>
      </c>
      <c r="H125" s="46" t="n">
        <v>0.3</v>
      </c>
      <c r="I125" s="46" t="n">
        <v>734.8841210000001</v>
      </c>
      <c r="J125" s="46" t="n">
        <v>734.8841210000001</v>
      </c>
      <c r="K125" s="46" t="n"/>
      <c r="L125" s="46" t="n"/>
      <c r="M125" s="33" t="inlineStr">
        <is>
          <t>ASSUMPTION_BLOCKED_PENDING_VALIDATION</t>
        </is>
      </c>
      <c r="N125" s="33" t="inlineStr">
        <is>
          <t>LOW_CONFIDENCE</t>
        </is>
      </c>
      <c r="O125" s="33" t="inlineStr">
        <is>
          <t>OPEN</t>
        </is>
      </c>
      <c r="P125" s="33" t="inlineStr">
        <is>
          <t>Planning scenario, not approved project price; tax, commission and quoted packaging remain excluded/blocked</t>
        </is>
      </c>
    </row>
    <row r="126">
      <c r="A126" s="33" t="inlineStr">
        <is>
          <t>VKM-004</t>
        </is>
      </c>
      <c r="B126" s="33" t="inlineStr">
        <is>
          <t>Пепперони</t>
        </is>
      </c>
      <c r="C126" s="33" t="inlineStr">
        <is>
          <t>Доставка</t>
        </is>
      </c>
      <c r="D126" s="46" t="n">
        <v>0.3</v>
      </c>
      <c r="E126" s="46" t="n">
        <v>314.950338</v>
      </c>
      <c r="F126" s="46" t="n">
        <v>65</v>
      </c>
      <c r="G126" s="46" t="n">
        <v>1266.501126</v>
      </c>
      <c r="H126" s="46" t="n">
        <v>0.248678</v>
      </c>
      <c r="I126" s="46" t="n">
        <v>951.550788</v>
      </c>
      <c r="J126" s="46" t="n">
        <v>886.550788</v>
      </c>
      <c r="K126" s="46" t="n"/>
      <c r="L126" s="46" t="n"/>
      <c r="M126" s="33" t="inlineStr">
        <is>
          <t>ASSUMPTION_BLOCKED_PENDING_VALIDATION</t>
        </is>
      </c>
      <c r="N126" s="33" t="inlineStr">
        <is>
          <t>LOW_CONFIDENCE</t>
        </is>
      </c>
      <c r="O126" s="33" t="inlineStr">
        <is>
          <t>OPEN</t>
        </is>
      </c>
      <c r="P126" s="33" t="inlineStr">
        <is>
          <t>Planning scenario, not approved project price; tax, commission and quoted packaging remain excluded/blocked</t>
        </is>
      </c>
    </row>
    <row r="127">
      <c r="A127" s="33" t="inlineStr">
        <is>
          <t>VKM-005</t>
        </is>
      </c>
      <c r="B127" s="33" t="inlineStr">
        <is>
          <t>Белая чиабатта</t>
        </is>
      </c>
      <c r="C127" s="33" t="inlineStr">
        <is>
          <t>À la carte</t>
        </is>
      </c>
      <c r="D127" s="46" t="n">
        <v>0.3</v>
      </c>
      <c r="E127" s="46" t="n">
        <v>17.20358</v>
      </c>
      <c r="F127" s="46" t="n">
        <v>0</v>
      </c>
      <c r="G127" s="46" t="n">
        <v>57.345266</v>
      </c>
      <c r="H127" s="46" t="n">
        <v>0.3</v>
      </c>
      <c r="I127" s="46" t="n">
        <v>40.141686</v>
      </c>
      <c r="J127" s="46" t="n">
        <v>40.141686</v>
      </c>
      <c r="K127" s="46" t="n"/>
      <c r="L127" s="46" t="n"/>
      <c r="M127" s="33" t="inlineStr">
        <is>
          <t>ASSUMPTION_BLOCKED_PENDING_VALIDATION</t>
        </is>
      </c>
      <c r="N127" s="33" t="inlineStr">
        <is>
          <t>LOW_CONFIDENCE</t>
        </is>
      </c>
      <c r="O127" s="33" t="inlineStr">
        <is>
          <t>OPEN</t>
        </is>
      </c>
      <c r="P127" s="33" t="inlineStr">
        <is>
          <t>Planning scenario, not approved project price; tax, commission and quoted packaging remain excluded/blocked</t>
        </is>
      </c>
    </row>
    <row r="128">
      <c r="A128" s="33" t="inlineStr">
        <is>
          <t>VKM-005</t>
        </is>
      </c>
      <c r="B128" s="33" t="inlineStr">
        <is>
          <t>Белая чиабатта</t>
        </is>
      </c>
      <c r="C128" s="33" t="inlineStr">
        <is>
          <t>Бизнес-ланч</t>
        </is>
      </c>
      <c r="D128" s="46" t="n">
        <v>0.4</v>
      </c>
      <c r="E128" s="46" t="n">
        <v>17.20358</v>
      </c>
      <c r="F128" s="46" t="n">
        <v>0</v>
      </c>
      <c r="G128" s="46" t="n">
        <v>43.00895</v>
      </c>
      <c r="H128" s="46" t="n">
        <v>0.4</v>
      </c>
      <c r="I128" s="46" t="n">
        <v>25.80537</v>
      </c>
      <c r="J128" s="46" t="n">
        <v>25.80537</v>
      </c>
      <c r="K128" s="46" t="n"/>
      <c r="L128" s="46" t="n"/>
      <c r="M128" s="33" t="inlineStr">
        <is>
          <t>ASSUMPTION_BLOCKED_PENDING_VALIDATION</t>
        </is>
      </c>
      <c r="N128" s="33" t="inlineStr">
        <is>
          <t>LOW_CONFIDENCE</t>
        </is>
      </c>
      <c r="O128" s="33" t="inlineStr">
        <is>
          <t>OPEN</t>
        </is>
      </c>
      <c r="P128" s="33" t="inlineStr">
        <is>
          <t>Planning scenario, not approved project price; tax, commission and quoted packaging remain excluded/blocked</t>
        </is>
      </c>
    </row>
    <row r="129">
      <c r="A129" s="33" t="inlineStr">
        <is>
          <t>VKM-005</t>
        </is>
      </c>
      <c r="B129" s="33" t="inlineStr">
        <is>
          <t>Белая чиабатта</t>
        </is>
      </c>
      <c r="C129" s="33" t="inlineStr">
        <is>
          <t>Гостиничные ужины</t>
        </is>
      </c>
      <c r="D129" s="46" t="n">
        <v>0.3</v>
      </c>
      <c r="E129" s="46" t="n">
        <v>17.20358</v>
      </c>
      <c r="F129" s="46" t="n">
        <v>0</v>
      </c>
      <c r="G129" s="46" t="n">
        <v>57.345266</v>
      </c>
      <c r="H129" s="46" t="n">
        <v>0.3</v>
      </c>
      <c r="I129" s="46" t="n">
        <v>40.141686</v>
      </c>
      <c r="J129" s="46" t="n">
        <v>40.141686</v>
      </c>
      <c r="K129" s="46" t="n"/>
      <c r="L129" s="46" t="n"/>
      <c r="M129" s="33" t="inlineStr">
        <is>
          <t>ASSUMPTION_BLOCKED_PENDING_VALIDATION</t>
        </is>
      </c>
      <c r="N129" s="33" t="inlineStr">
        <is>
          <t>LOW_CONFIDENCE</t>
        </is>
      </c>
      <c r="O129" s="33" t="inlineStr">
        <is>
          <t>OPEN</t>
        </is>
      </c>
      <c r="P129" s="33" t="inlineStr">
        <is>
          <t>Planning scenario, not approved project price; tax, commission and quoted packaging remain excluded/blocked</t>
        </is>
      </c>
    </row>
    <row r="130">
      <c r="A130" s="33" t="inlineStr">
        <is>
          <t>VKM-005</t>
        </is>
      </c>
      <c r="B130" s="33" t="inlineStr">
        <is>
          <t>Белая чиабатта</t>
        </is>
      </c>
      <c r="C130" s="33" t="inlineStr">
        <is>
          <t>Доставка</t>
        </is>
      </c>
      <c r="D130" s="46" t="n">
        <v>0.3</v>
      </c>
      <c r="E130" s="46" t="n">
        <v>17.20358</v>
      </c>
      <c r="F130" s="46" t="n">
        <v>65</v>
      </c>
      <c r="G130" s="46" t="n">
        <v>274.011933</v>
      </c>
      <c r="H130" s="46" t="n">
        <v>0.06278400000000001</v>
      </c>
      <c r="I130" s="46" t="n">
        <v>256.808353</v>
      </c>
      <c r="J130" s="46" t="n">
        <v>191.808353</v>
      </c>
      <c r="K130" s="46" t="n"/>
      <c r="L130" s="46" t="n"/>
      <c r="M130" s="33" t="inlineStr">
        <is>
          <t>ASSUMPTION_BLOCKED_PENDING_VALIDATION</t>
        </is>
      </c>
      <c r="N130" s="33" t="inlineStr">
        <is>
          <t>LOW_CONFIDENCE</t>
        </is>
      </c>
      <c r="O130" s="33" t="inlineStr">
        <is>
          <t>OPEN</t>
        </is>
      </c>
      <c r="P130" s="33" t="inlineStr">
        <is>
          <t>Planning scenario, not approved project price; tax, commission and quoted packaging remain excluded/blocked</t>
        </is>
      </c>
    </row>
    <row r="131">
      <c r="A131" s="33" t="inlineStr">
        <is>
          <t>VKM-005</t>
        </is>
      </c>
      <c r="B131" s="33" t="inlineStr">
        <is>
          <t>Белая чиабатта</t>
        </is>
      </c>
      <c r="C131" s="33" t="inlineStr">
        <is>
          <t>Навынос</t>
        </is>
      </c>
      <c r="D131" s="46" t="n">
        <v>0.428571</v>
      </c>
      <c r="E131" s="46" t="n">
        <v>17.20358</v>
      </c>
      <c r="F131" s="46" t="n">
        <v>40</v>
      </c>
      <c r="G131" s="46" t="n">
        <v>133.475153</v>
      </c>
      <c r="H131" s="46" t="n">
        <v>0.12889</v>
      </c>
      <c r="I131" s="46" t="n">
        <v>116.271573</v>
      </c>
      <c r="J131" s="46" t="n">
        <v>76.271573</v>
      </c>
      <c r="K131" s="46" t="n"/>
      <c r="L131" s="46" t="n"/>
      <c r="M131" s="33" t="inlineStr">
        <is>
          <t>ASSUMPTION_BLOCKED_PENDING_VALIDATION</t>
        </is>
      </c>
      <c r="N131" s="33" t="inlineStr">
        <is>
          <t>LOW_CONFIDENCE</t>
        </is>
      </c>
      <c r="O131" s="33" t="inlineStr">
        <is>
          <t>OPEN</t>
        </is>
      </c>
      <c r="P131" s="33" t="inlineStr">
        <is>
          <t>Planning scenario, not approved project price; tax, commission and quoted packaging remain excluded/blocked</t>
        </is>
      </c>
    </row>
    <row r="132">
      <c r="A132" s="33" t="inlineStr">
        <is>
          <t>VKM-006</t>
        </is>
      </c>
      <c r="B132" s="33" t="inlineStr">
        <is>
          <t>Томатная чиабатта</t>
        </is>
      </c>
      <c r="C132" s="33" t="inlineStr">
        <is>
          <t>À la carte</t>
        </is>
      </c>
      <c r="D132" s="46" t="n">
        <v>0.3</v>
      </c>
      <c r="E132" s="46" t="n">
        <v>15.784376</v>
      </c>
      <c r="F132" s="46" t="n">
        <v>0</v>
      </c>
      <c r="G132" s="46" t="n">
        <v>52.614588</v>
      </c>
      <c r="H132" s="46" t="n">
        <v>0.3</v>
      </c>
      <c r="I132" s="46" t="n">
        <v>36.830212</v>
      </c>
      <c r="J132" s="46" t="n">
        <v>36.830212</v>
      </c>
      <c r="K132" s="46" t="n"/>
      <c r="L132" s="46" t="n"/>
      <c r="M132" s="33" t="inlineStr">
        <is>
          <t>ASSUMPTION_BLOCKED_PENDING_VALIDATION</t>
        </is>
      </c>
      <c r="N132" s="33" t="inlineStr">
        <is>
          <t>LOW_CONFIDENCE</t>
        </is>
      </c>
      <c r="O132" s="33" t="inlineStr">
        <is>
          <t>OPEN</t>
        </is>
      </c>
      <c r="P132" s="33" t="inlineStr">
        <is>
          <t>Planning scenario, not approved project price; tax, commission and quoted packaging remain excluded/blocked</t>
        </is>
      </c>
    </row>
    <row r="133">
      <c r="A133" s="33" t="inlineStr">
        <is>
          <t>VKM-006</t>
        </is>
      </c>
      <c r="B133" s="33" t="inlineStr">
        <is>
          <t>Томатная чиабатта</t>
        </is>
      </c>
      <c r="C133" s="33" t="inlineStr">
        <is>
          <t>Бизнес-ланч</t>
        </is>
      </c>
      <c r="D133" s="46" t="n">
        <v>0.4</v>
      </c>
      <c r="E133" s="46" t="n">
        <v>15.784376</v>
      </c>
      <c r="F133" s="46" t="n">
        <v>0</v>
      </c>
      <c r="G133" s="46" t="n">
        <v>39.460941</v>
      </c>
      <c r="H133" s="46" t="n">
        <v>0.4</v>
      </c>
      <c r="I133" s="46" t="n">
        <v>23.676565</v>
      </c>
      <c r="J133" s="46" t="n">
        <v>23.676565</v>
      </c>
      <c r="K133" s="46" t="n"/>
      <c r="L133" s="46" t="n"/>
      <c r="M133" s="33" t="inlineStr">
        <is>
          <t>ASSUMPTION_BLOCKED_PENDING_VALIDATION</t>
        </is>
      </c>
      <c r="N133" s="33" t="inlineStr">
        <is>
          <t>LOW_CONFIDENCE</t>
        </is>
      </c>
      <c r="O133" s="33" t="inlineStr">
        <is>
          <t>OPEN</t>
        </is>
      </c>
      <c r="P133" s="33" t="inlineStr">
        <is>
          <t>Planning scenario, not approved project price; tax, commission and quoted packaging remain excluded/blocked</t>
        </is>
      </c>
    </row>
    <row r="134">
      <c r="A134" s="33" t="inlineStr">
        <is>
          <t>VKM-006</t>
        </is>
      </c>
      <c r="B134" s="33" t="inlineStr">
        <is>
          <t>Томатная чиабатта</t>
        </is>
      </c>
      <c r="C134" s="33" t="inlineStr">
        <is>
          <t>Гостиничные ужины</t>
        </is>
      </c>
      <c r="D134" s="46" t="n">
        <v>0.3</v>
      </c>
      <c r="E134" s="46" t="n">
        <v>15.784376</v>
      </c>
      <c r="F134" s="46" t="n">
        <v>0</v>
      </c>
      <c r="G134" s="46" t="n">
        <v>52.614588</v>
      </c>
      <c r="H134" s="46" t="n">
        <v>0.3</v>
      </c>
      <c r="I134" s="46" t="n">
        <v>36.830212</v>
      </c>
      <c r="J134" s="46" t="n">
        <v>36.830212</v>
      </c>
      <c r="K134" s="46" t="n"/>
      <c r="L134" s="46" t="n"/>
      <c r="M134" s="33" t="inlineStr">
        <is>
          <t>ASSUMPTION_BLOCKED_PENDING_VALIDATION</t>
        </is>
      </c>
      <c r="N134" s="33" t="inlineStr">
        <is>
          <t>LOW_CONFIDENCE</t>
        </is>
      </c>
      <c r="O134" s="33" t="inlineStr">
        <is>
          <t>OPEN</t>
        </is>
      </c>
      <c r="P134" s="33" t="inlineStr">
        <is>
          <t>Planning scenario, not approved project price; tax, commission and quoted packaging remain excluded/blocked</t>
        </is>
      </c>
    </row>
    <row r="135">
      <c r="A135" s="33" t="inlineStr">
        <is>
          <t>VKM-006</t>
        </is>
      </c>
      <c r="B135" s="33" t="inlineStr">
        <is>
          <t>Томатная чиабатта</t>
        </is>
      </c>
      <c r="C135" s="33" t="inlineStr">
        <is>
          <t>Доставка</t>
        </is>
      </c>
      <c r="D135" s="46" t="n">
        <v>0.3</v>
      </c>
      <c r="E135" s="46" t="n">
        <v>15.784376</v>
      </c>
      <c r="F135" s="46" t="n">
        <v>65</v>
      </c>
      <c r="G135" s="46" t="n">
        <v>269.281255</v>
      </c>
      <c r="H135" s="46" t="n">
        <v>0.058617</v>
      </c>
      <c r="I135" s="46" t="n">
        <v>253.496878</v>
      </c>
      <c r="J135" s="46" t="n">
        <v>188.496878</v>
      </c>
      <c r="K135" s="46" t="n"/>
      <c r="L135" s="46" t="n"/>
      <c r="M135" s="33" t="inlineStr">
        <is>
          <t>ASSUMPTION_BLOCKED_PENDING_VALIDATION</t>
        </is>
      </c>
      <c r="N135" s="33" t="inlineStr">
        <is>
          <t>LOW_CONFIDENCE</t>
        </is>
      </c>
      <c r="O135" s="33" t="inlineStr">
        <is>
          <t>OPEN</t>
        </is>
      </c>
      <c r="P135" s="33" t="inlineStr">
        <is>
          <t>Planning scenario, not approved project price; tax, commission and quoted packaging remain excluded/blocked</t>
        </is>
      </c>
    </row>
    <row r="136">
      <c r="A136" s="33" t="inlineStr">
        <is>
          <t>VKM-006</t>
        </is>
      </c>
      <c r="B136" s="33" t="inlineStr">
        <is>
          <t>Томатная чиабатта</t>
        </is>
      </c>
      <c r="C136" s="33" t="inlineStr">
        <is>
          <t>Навынос</t>
        </is>
      </c>
      <c r="D136" s="46" t="n">
        <v>0.428571</v>
      </c>
      <c r="E136" s="46" t="n">
        <v>15.784376</v>
      </c>
      <c r="F136" s="46" t="n">
        <v>40</v>
      </c>
      <c r="G136" s="46" t="n">
        <v>130.163675</v>
      </c>
      <c r="H136" s="46" t="n">
        <v>0.121266</v>
      </c>
      <c r="I136" s="46" t="n">
        <v>114.379299</v>
      </c>
      <c r="J136" s="46" t="n">
        <v>74.379299</v>
      </c>
      <c r="K136" s="46" t="n"/>
      <c r="L136" s="46" t="n"/>
      <c r="M136" s="33" t="inlineStr">
        <is>
          <t>ASSUMPTION_BLOCKED_PENDING_VALIDATION</t>
        </is>
      </c>
      <c r="N136" s="33" t="inlineStr">
        <is>
          <t>LOW_CONFIDENCE</t>
        </is>
      </c>
      <c r="O136" s="33" t="inlineStr">
        <is>
          <t>OPEN</t>
        </is>
      </c>
      <c r="P136" s="33" t="inlineStr">
        <is>
          <t>Planning scenario, not approved project price; tax, commission and quoted packaging remain excluded/blocked</t>
        </is>
      </c>
    </row>
    <row r="137">
      <c r="A137" s="33" t="inlineStr">
        <is>
          <t>VKM-007</t>
        </is>
      </c>
      <c r="B137" s="33" t="inlineStr">
        <is>
          <t>Бородинский хлеб</t>
        </is>
      </c>
      <c r="C137" s="33" t="inlineStr">
        <is>
          <t>À la carte</t>
        </is>
      </c>
      <c r="D137" s="46" t="n">
        <v>0.3</v>
      </c>
      <c r="E137" s="46" t="n">
        <v>25.922171</v>
      </c>
      <c r="F137" s="46" t="n">
        <v>0</v>
      </c>
      <c r="G137" s="46" t="n">
        <v>86.407235</v>
      </c>
      <c r="H137" s="46" t="n">
        <v>0.3</v>
      </c>
      <c r="I137" s="46" t="n">
        <v>60.485065</v>
      </c>
      <c r="J137" s="46" t="n">
        <v>60.485065</v>
      </c>
      <c r="K137" s="46" t="n"/>
      <c r="L137" s="46" t="n"/>
      <c r="M137" s="33" t="inlineStr">
        <is>
          <t>ASSUMPTION_BLOCKED_PENDING_VALIDATION</t>
        </is>
      </c>
      <c r="N137" s="33" t="inlineStr">
        <is>
          <t>LOW_CONFIDENCE</t>
        </is>
      </c>
      <c r="O137" s="33" t="inlineStr">
        <is>
          <t>OPEN</t>
        </is>
      </c>
      <c r="P137" s="33" t="inlineStr">
        <is>
          <t>Planning scenario, not approved project price; tax, commission and quoted packaging remain excluded/blocked</t>
        </is>
      </c>
    </row>
    <row r="138">
      <c r="A138" s="33" t="inlineStr">
        <is>
          <t>VKM-007</t>
        </is>
      </c>
      <c r="B138" s="33" t="inlineStr">
        <is>
          <t>Бородинский хлеб</t>
        </is>
      </c>
      <c r="C138" s="33" t="inlineStr">
        <is>
          <t>Бизнес-ланч</t>
        </is>
      </c>
      <c r="D138" s="46" t="n">
        <v>0.4</v>
      </c>
      <c r="E138" s="46" t="n">
        <v>25.922171</v>
      </c>
      <c r="F138" s="46" t="n">
        <v>0</v>
      </c>
      <c r="G138" s="46" t="n">
        <v>64.805426</v>
      </c>
      <c r="H138" s="46" t="n">
        <v>0.4</v>
      </c>
      <c r="I138" s="46" t="n">
        <v>38.883256</v>
      </c>
      <c r="J138" s="46" t="n">
        <v>38.883256</v>
      </c>
      <c r="K138" s="46" t="n"/>
      <c r="L138" s="46" t="n"/>
      <c r="M138" s="33" t="inlineStr">
        <is>
          <t>ASSUMPTION_BLOCKED_PENDING_VALIDATION</t>
        </is>
      </c>
      <c r="N138" s="33" t="inlineStr">
        <is>
          <t>LOW_CONFIDENCE</t>
        </is>
      </c>
      <c r="O138" s="33" t="inlineStr">
        <is>
          <t>OPEN</t>
        </is>
      </c>
      <c r="P138" s="33" t="inlineStr">
        <is>
          <t>Planning scenario, not approved project price; tax, commission and quoted packaging remain excluded/blocked</t>
        </is>
      </c>
    </row>
    <row r="139">
      <c r="A139" s="33" t="inlineStr">
        <is>
          <t>VKM-007</t>
        </is>
      </c>
      <c r="B139" s="33" t="inlineStr">
        <is>
          <t>Бородинский хлеб</t>
        </is>
      </c>
      <c r="C139" s="33" t="inlineStr">
        <is>
          <t>Гостиничные ужины</t>
        </is>
      </c>
      <c r="D139" s="46" t="n">
        <v>0.3</v>
      </c>
      <c r="E139" s="46" t="n">
        <v>25.922171</v>
      </c>
      <c r="F139" s="46" t="n">
        <v>0</v>
      </c>
      <c r="G139" s="46" t="n">
        <v>86.407235</v>
      </c>
      <c r="H139" s="46" t="n">
        <v>0.3</v>
      </c>
      <c r="I139" s="46" t="n">
        <v>60.485065</v>
      </c>
      <c r="J139" s="46" t="n">
        <v>60.485065</v>
      </c>
      <c r="K139" s="46" t="n"/>
      <c r="L139" s="46" t="n"/>
      <c r="M139" s="33" t="inlineStr">
        <is>
          <t>ASSUMPTION_BLOCKED_PENDING_VALIDATION</t>
        </is>
      </c>
      <c r="N139" s="33" t="inlineStr">
        <is>
          <t>LOW_CONFIDENCE</t>
        </is>
      </c>
      <c r="O139" s="33" t="inlineStr">
        <is>
          <t>OPEN</t>
        </is>
      </c>
      <c r="P139" s="33" t="inlineStr">
        <is>
          <t>Planning scenario, not approved project price; tax, commission and quoted packaging remain excluded/blocked</t>
        </is>
      </c>
    </row>
    <row r="140">
      <c r="A140" s="33" t="inlineStr">
        <is>
          <t>VKM-007</t>
        </is>
      </c>
      <c r="B140" s="33" t="inlineStr">
        <is>
          <t>Бородинский хлеб</t>
        </is>
      </c>
      <c r="C140" s="33" t="inlineStr">
        <is>
          <t>Доставка</t>
        </is>
      </c>
      <c r="D140" s="46" t="n">
        <v>0.3</v>
      </c>
      <c r="E140" s="46" t="n">
        <v>25.922171</v>
      </c>
      <c r="F140" s="46" t="n">
        <v>65</v>
      </c>
      <c r="G140" s="46" t="n">
        <v>303.073902</v>
      </c>
      <c r="H140" s="46" t="n">
        <v>0.085531</v>
      </c>
      <c r="I140" s="46" t="n">
        <v>277.151731</v>
      </c>
      <c r="J140" s="46" t="n">
        <v>212.151731</v>
      </c>
      <c r="K140" s="46" t="n"/>
      <c r="L140" s="46" t="n"/>
      <c r="M140" s="33" t="inlineStr">
        <is>
          <t>ASSUMPTION_BLOCKED_PENDING_VALIDATION</t>
        </is>
      </c>
      <c r="N140" s="33" t="inlineStr">
        <is>
          <t>LOW_CONFIDENCE</t>
        </is>
      </c>
      <c r="O140" s="33" t="inlineStr">
        <is>
          <t>OPEN</t>
        </is>
      </c>
      <c r="P140" s="33" t="inlineStr">
        <is>
          <t>Planning scenario, not approved project price; tax, commission and quoted packaging remain excluded/blocked</t>
        </is>
      </c>
    </row>
    <row r="141">
      <c r="A141" s="33" t="inlineStr">
        <is>
          <t>VKM-007</t>
        </is>
      </c>
      <c r="B141" s="33" t="inlineStr">
        <is>
          <t>Бородинский хлеб</t>
        </is>
      </c>
      <c r="C141" s="33" t="inlineStr">
        <is>
          <t>Навынос</t>
        </is>
      </c>
      <c r="D141" s="46" t="n">
        <v>0.428571</v>
      </c>
      <c r="E141" s="46" t="n">
        <v>25.922171</v>
      </c>
      <c r="F141" s="46" t="n">
        <v>40</v>
      </c>
      <c r="G141" s="46" t="n">
        <v>153.818552</v>
      </c>
      <c r="H141" s="46" t="n">
        <v>0.168524</v>
      </c>
      <c r="I141" s="46" t="n">
        <v>127.896381</v>
      </c>
      <c r="J141" s="46" t="n">
        <v>87.89638100000001</v>
      </c>
      <c r="K141" s="46" t="n"/>
      <c r="L141" s="46" t="n"/>
      <c r="M141" s="33" t="inlineStr">
        <is>
          <t>ASSUMPTION_BLOCKED_PENDING_VALIDATION</t>
        </is>
      </c>
      <c r="N141" s="33" t="inlineStr">
        <is>
          <t>LOW_CONFIDENCE</t>
        </is>
      </c>
      <c r="O141" s="33" t="inlineStr">
        <is>
          <t>OPEN</t>
        </is>
      </c>
      <c r="P141" s="33" t="inlineStr">
        <is>
          <t>Planning scenario, not approved project price; tax, commission and quoted packaging remain excluded/blocked</t>
        </is>
      </c>
    </row>
    <row r="142">
      <c r="A142" s="33" t="inlineStr">
        <is>
          <t>VKM-008</t>
        </is>
      </c>
      <c r="B142" s="33" t="inlineStr">
        <is>
          <t>Бриошь</t>
        </is>
      </c>
      <c r="C142" s="33" t="inlineStr">
        <is>
          <t>À la carte</t>
        </is>
      </c>
      <c r="D142" s="46" t="n">
        <v>0.3</v>
      </c>
      <c r="E142" s="46" t="n">
        <v>27.567467</v>
      </c>
      <c r="F142" s="46" t="n">
        <v>0</v>
      </c>
      <c r="G142" s="46" t="n">
        <v>91.891555</v>
      </c>
      <c r="H142" s="46" t="n">
        <v>0.3</v>
      </c>
      <c r="I142" s="46" t="n">
        <v>64.324089</v>
      </c>
      <c r="J142" s="46" t="n">
        <v>64.324089</v>
      </c>
      <c r="K142" s="46" t="n"/>
      <c r="L142" s="46" t="n"/>
      <c r="M142" s="33" t="inlineStr">
        <is>
          <t>ASSUMPTION_BLOCKED_PENDING_VALIDATION</t>
        </is>
      </c>
      <c r="N142" s="33" t="inlineStr">
        <is>
          <t>LOW_CONFIDENCE</t>
        </is>
      </c>
      <c r="O142" s="33" t="inlineStr">
        <is>
          <t>OPEN</t>
        </is>
      </c>
      <c r="P142" s="33" t="inlineStr">
        <is>
          <t>Planning scenario, not approved project price; tax, commission and quoted packaging remain excluded/blocked</t>
        </is>
      </c>
    </row>
    <row r="143">
      <c r="A143" s="33" t="inlineStr">
        <is>
          <t>VKM-008</t>
        </is>
      </c>
      <c r="B143" s="33" t="inlineStr">
        <is>
          <t>Бриошь</t>
        </is>
      </c>
      <c r="C143" s="33" t="inlineStr">
        <is>
          <t>Бизнес-ланч</t>
        </is>
      </c>
      <c r="D143" s="46" t="n">
        <v>0.4</v>
      </c>
      <c r="E143" s="46" t="n">
        <v>27.567467</v>
      </c>
      <c r="F143" s="46" t="n">
        <v>0</v>
      </c>
      <c r="G143" s="46" t="n">
        <v>68.918666</v>
      </c>
      <c r="H143" s="46" t="n">
        <v>0.4</v>
      </c>
      <c r="I143" s="46" t="n">
        <v>41.3512</v>
      </c>
      <c r="J143" s="46" t="n">
        <v>41.3512</v>
      </c>
      <c r="K143" s="46" t="n"/>
      <c r="L143" s="46" t="n"/>
      <c r="M143" s="33" t="inlineStr">
        <is>
          <t>ASSUMPTION_BLOCKED_PENDING_VALIDATION</t>
        </is>
      </c>
      <c r="N143" s="33" t="inlineStr">
        <is>
          <t>LOW_CONFIDENCE</t>
        </is>
      </c>
      <c r="O143" s="33" t="inlineStr">
        <is>
          <t>OPEN</t>
        </is>
      </c>
      <c r="P143" s="33" t="inlineStr">
        <is>
          <t>Planning scenario, not approved project price; tax, commission and quoted packaging remain excluded/blocked</t>
        </is>
      </c>
    </row>
    <row r="144">
      <c r="A144" s="33" t="inlineStr">
        <is>
          <t>VKM-008</t>
        </is>
      </c>
      <c r="B144" s="33" t="inlineStr">
        <is>
          <t>Бриошь</t>
        </is>
      </c>
      <c r="C144" s="33" t="inlineStr">
        <is>
          <t>Гостиничные ужины</t>
        </is>
      </c>
      <c r="D144" s="46" t="n">
        <v>0.3</v>
      </c>
      <c r="E144" s="46" t="n">
        <v>27.567467</v>
      </c>
      <c r="F144" s="46" t="n">
        <v>0</v>
      </c>
      <c r="G144" s="46" t="n">
        <v>91.891555</v>
      </c>
      <c r="H144" s="46" t="n">
        <v>0.3</v>
      </c>
      <c r="I144" s="46" t="n">
        <v>64.324089</v>
      </c>
      <c r="J144" s="46" t="n">
        <v>64.324089</v>
      </c>
      <c r="K144" s="46" t="n"/>
      <c r="L144" s="46" t="n"/>
      <c r="M144" s="33" t="inlineStr">
        <is>
          <t>ASSUMPTION_BLOCKED_PENDING_VALIDATION</t>
        </is>
      </c>
      <c r="N144" s="33" t="inlineStr">
        <is>
          <t>LOW_CONFIDENCE</t>
        </is>
      </c>
      <c r="O144" s="33" t="inlineStr">
        <is>
          <t>OPEN</t>
        </is>
      </c>
      <c r="P144" s="33" t="inlineStr">
        <is>
          <t>Planning scenario, not approved project price; tax, commission and quoted packaging remain excluded/blocked</t>
        </is>
      </c>
    </row>
    <row r="145">
      <c r="A145" s="33" t="inlineStr">
        <is>
          <t>VKM-008</t>
        </is>
      </c>
      <c r="B145" s="33" t="inlineStr">
        <is>
          <t>Бриошь</t>
        </is>
      </c>
      <c r="C145" s="33" t="inlineStr">
        <is>
          <t>Доставка</t>
        </is>
      </c>
      <c r="D145" s="46" t="n">
        <v>0.3</v>
      </c>
      <c r="E145" s="46" t="n">
        <v>27.567467</v>
      </c>
      <c r="F145" s="46" t="n">
        <v>65</v>
      </c>
      <c r="G145" s="46" t="n">
        <v>308.558222</v>
      </c>
      <c r="H145" s="46" t="n">
        <v>0.08934300000000001</v>
      </c>
      <c r="I145" s="46" t="n">
        <v>280.990755</v>
      </c>
      <c r="J145" s="46" t="n">
        <v>215.990755</v>
      </c>
      <c r="K145" s="46" t="n"/>
      <c r="L145" s="46" t="n"/>
      <c r="M145" s="33" t="inlineStr">
        <is>
          <t>ASSUMPTION_BLOCKED_PENDING_VALIDATION</t>
        </is>
      </c>
      <c r="N145" s="33" t="inlineStr">
        <is>
          <t>LOW_CONFIDENCE</t>
        </is>
      </c>
      <c r="O145" s="33" t="inlineStr">
        <is>
          <t>OPEN</t>
        </is>
      </c>
      <c r="P145" s="33" t="inlineStr">
        <is>
          <t>Planning scenario, not approved project price; tax, commission and quoted packaging remain excluded/blocked</t>
        </is>
      </c>
    </row>
    <row r="146">
      <c r="A146" s="33" t="inlineStr">
        <is>
          <t>VKM-008</t>
        </is>
      </c>
      <c r="B146" s="33" t="inlineStr">
        <is>
          <t>Бриошь</t>
        </is>
      </c>
      <c r="C146" s="33" t="inlineStr">
        <is>
          <t>Навынос</t>
        </is>
      </c>
      <c r="D146" s="46" t="n">
        <v>0.428571</v>
      </c>
      <c r="E146" s="46" t="n">
        <v>27.567467</v>
      </c>
      <c r="F146" s="46" t="n">
        <v>40</v>
      </c>
      <c r="G146" s="46" t="n">
        <v>157.65758</v>
      </c>
      <c r="H146" s="46" t="n">
        <v>0.174857</v>
      </c>
      <c r="I146" s="46" t="n">
        <v>130.090113</v>
      </c>
      <c r="J146" s="46" t="n">
        <v>90.090113</v>
      </c>
      <c r="K146" s="46" t="n"/>
      <c r="L146" s="46" t="n"/>
      <c r="M146" s="33" t="inlineStr">
        <is>
          <t>ASSUMPTION_BLOCKED_PENDING_VALIDATION</t>
        </is>
      </c>
      <c r="N146" s="33" t="inlineStr">
        <is>
          <t>LOW_CONFIDENCE</t>
        </is>
      </c>
      <c r="O146" s="33" t="inlineStr">
        <is>
          <t>OPEN</t>
        </is>
      </c>
      <c r="P146" s="33" t="inlineStr">
        <is>
          <t>Planning scenario, not approved project price; tax, commission and quoted packaging remain excluded/blocked</t>
        </is>
      </c>
    </row>
    <row r="147">
      <c r="A147" s="33" t="inlineStr">
        <is>
          <t>VKM-009</t>
        </is>
      </c>
      <c r="B147" s="33" t="inlineStr">
        <is>
          <t>Буррата с томатами</t>
        </is>
      </c>
      <c r="C147" s="33" t="inlineStr">
        <is>
          <t>À la carte</t>
        </is>
      </c>
      <c r="D147" s="46" t="n">
        <v>0.3</v>
      </c>
      <c r="E147" s="46" t="n">
        <v>301.573898</v>
      </c>
      <c r="F147" s="46" t="n">
        <v>0</v>
      </c>
      <c r="G147" s="46" t="n">
        <v>1005.246326</v>
      </c>
      <c r="H147" s="46" t="n">
        <v>0.3</v>
      </c>
      <c r="I147" s="46" t="n">
        <v>703.672428</v>
      </c>
      <c r="J147" s="46" t="n">
        <v>703.672428</v>
      </c>
      <c r="K147" s="46" t="n"/>
      <c r="L147" s="46" t="n"/>
      <c r="M147" s="33" t="inlineStr">
        <is>
          <t>ASSUMPTION_BLOCKED_PENDING_VALIDATION</t>
        </is>
      </c>
      <c r="N147" s="33" t="inlineStr">
        <is>
          <t>LOW_CONFIDENCE</t>
        </is>
      </c>
      <c r="O147" s="33" t="inlineStr">
        <is>
          <t>OPEN</t>
        </is>
      </c>
      <c r="P147" s="33" t="inlineStr">
        <is>
          <t>Planning scenario, not approved project price; tax, commission and quoted packaging remain excluded/blocked</t>
        </is>
      </c>
    </row>
    <row r="148">
      <c r="A148" s="33" t="inlineStr">
        <is>
          <t>VKM-009</t>
        </is>
      </c>
      <c r="B148" s="33" t="inlineStr">
        <is>
          <t>Буррата с томатами</t>
        </is>
      </c>
      <c r="C148" s="33" t="inlineStr">
        <is>
          <t>Бизнес-ланч</t>
        </is>
      </c>
      <c r="D148" s="46" t="n">
        <v>0.4</v>
      </c>
      <c r="E148" s="46" t="n">
        <v>301.573898</v>
      </c>
      <c r="F148" s="46" t="n">
        <v>0</v>
      </c>
      <c r="G148" s="46" t="n">
        <v>753.934745</v>
      </c>
      <c r="H148" s="46" t="n">
        <v>0.4</v>
      </c>
      <c r="I148" s="46" t="n">
        <v>452.360847</v>
      </c>
      <c r="J148" s="46" t="n">
        <v>452.360847</v>
      </c>
      <c r="K148" s="46" t="n"/>
      <c r="L148" s="46" t="n"/>
      <c r="M148" s="33" t="inlineStr">
        <is>
          <t>ASSUMPTION_BLOCKED_PENDING_VALIDATION</t>
        </is>
      </c>
      <c r="N148" s="33" t="inlineStr">
        <is>
          <t>LOW_CONFIDENCE</t>
        </is>
      </c>
      <c r="O148" s="33" t="inlineStr">
        <is>
          <t>OPEN</t>
        </is>
      </c>
      <c r="P148" s="33" t="inlineStr">
        <is>
          <t>Planning scenario, not approved project price; tax, commission and quoted packaging remain excluded/blocked</t>
        </is>
      </c>
    </row>
    <row r="149">
      <c r="A149" s="33" t="inlineStr">
        <is>
          <t>VKM-009</t>
        </is>
      </c>
      <c r="B149" s="33" t="inlineStr">
        <is>
          <t>Буррата с томатами</t>
        </is>
      </c>
      <c r="C149" s="33" t="inlineStr">
        <is>
          <t>Гостиничные ужины</t>
        </is>
      </c>
      <c r="D149" s="46" t="n">
        <v>0.3</v>
      </c>
      <c r="E149" s="46" t="n">
        <v>301.573898</v>
      </c>
      <c r="F149" s="46" t="n">
        <v>0</v>
      </c>
      <c r="G149" s="46" t="n">
        <v>1005.246326</v>
      </c>
      <c r="H149" s="46" t="n">
        <v>0.3</v>
      </c>
      <c r="I149" s="46" t="n">
        <v>703.672428</v>
      </c>
      <c r="J149" s="46" t="n">
        <v>703.672428</v>
      </c>
      <c r="K149" s="46" t="n"/>
      <c r="L149" s="46" t="n"/>
      <c r="M149" s="33" t="inlineStr">
        <is>
          <t>ASSUMPTION_BLOCKED_PENDING_VALIDATION</t>
        </is>
      </c>
      <c r="N149" s="33" t="inlineStr">
        <is>
          <t>LOW_CONFIDENCE</t>
        </is>
      </c>
      <c r="O149" s="33" t="inlineStr">
        <is>
          <t>OPEN</t>
        </is>
      </c>
      <c r="P149" s="33" t="inlineStr">
        <is>
          <t>Planning scenario, not approved project price; tax, commission and quoted packaging remain excluded/blocked</t>
        </is>
      </c>
    </row>
    <row r="150">
      <c r="A150" s="33" t="inlineStr">
        <is>
          <t>VKM-009</t>
        </is>
      </c>
      <c r="B150" s="33" t="inlineStr">
        <is>
          <t>Буррата с томатами</t>
        </is>
      </c>
      <c r="C150" s="33" t="inlineStr">
        <is>
          <t>Доставка</t>
        </is>
      </c>
      <c r="D150" s="46" t="n">
        <v>0.3</v>
      </c>
      <c r="E150" s="46" t="n">
        <v>301.573898</v>
      </c>
      <c r="F150" s="46" t="n">
        <v>65</v>
      </c>
      <c r="G150" s="46" t="n">
        <v>1221.912993</v>
      </c>
      <c r="H150" s="46" t="n">
        <v>0.246805</v>
      </c>
      <c r="I150" s="46" t="n">
        <v>920.339095</v>
      </c>
      <c r="J150" s="46" t="n">
        <v>855.339095</v>
      </c>
      <c r="K150" s="46" t="n"/>
      <c r="L150" s="46" t="n"/>
      <c r="M150" s="33" t="inlineStr">
        <is>
          <t>ASSUMPTION_BLOCKED_PENDING_VALIDATION</t>
        </is>
      </c>
      <c r="N150" s="33" t="inlineStr">
        <is>
          <t>LOW_CONFIDENCE</t>
        </is>
      </c>
      <c r="O150" s="33" t="inlineStr">
        <is>
          <t>OPEN</t>
        </is>
      </c>
      <c r="P150" s="33" t="inlineStr">
        <is>
          <t>Planning scenario, not approved project price; tax, commission and quoted packaging remain excluded/blocked</t>
        </is>
      </c>
    </row>
    <row r="151">
      <c r="A151" s="33" t="inlineStr">
        <is>
          <t>VKM-010</t>
        </is>
      </c>
      <c r="B151" s="33" t="inlineStr">
        <is>
          <t>Микс-салат с креветками и яблоком</t>
        </is>
      </c>
      <c r="C151" s="33" t="inlineStr">
        <is>
          <t>À la carte</t>
        </is>
      </c>
      <c r="D151" s="46" t="n">
        <v>0.3</v>
      </c>
      <c r="E151" s="46" t="n">
        <v>339.689098</v>
      </c>
      <c r="F151" s="46" t="n">
        <v>0</v>
      </c>
      <c r="G151" s="46" t="n">
        <v>1132.296994</v>
      </c>
      <c r="H151" s="46" t="n">
        <v>0.3</v>
      </c>
      <c r="I151" s="46" t="n">
        <v>792.607896</v>
      </c>
      <c r="J151" s="46" t="n">
        <v>792.607896</v>
      </c>
      <c r="K151" s="46" t="n"/>
      <c r="L151" s="46" t="n"/>
      <c r="M151" s="33" t="inlineStr">
        <is>
          <t>ASSUMPTION_BLOCKED_PENDING_VALIDATION</t>
        </is>
      </c>
      <c r="N151" s="33" t="inlineStr">
        <is>
          <t>LOW_CONFIDENCE</t>
        </is>
      </c>
      <c r="O151" s="33" t="inlineStr">
        <is>
          <t>OPEN</t>
        </is>
      </c>
      <c r="P151" s="33" t="inlineStr">
        <is>
          <t>Planning scenario, not approved project price; tax, commission and quoted packaging remain excluded/blocked</t>
        </is>
      </c>
    </row>
    <row r="152">
      <c r="A152" s="33" t="inlineStr">
        <is>
          <t>VKM-010</t>
        </is>
      </c>
      <c r="B152" s="33" t="inlineStr">
        <is>
          <t>Микс-салат с креветками и яблоком</t>
        </is>
      </c>
      <c r="C152" s="33" t="inlineStr">
        <is>
          <t>Бизнес-ланч</t>
        </is>
      </c>
      <c r="D152" s="46" t="n">
        <v>0.4</v>
      </c>
      <c r="E152" s="46" t="n">
        <v>339.689098</v>
      </c>
      <c r="F152" s="46" t="n">
        <v>0</v>
      </c>
      <c r="G152" s="46" t="n">
        <v>849.222745</v>
      </c>
      <c r="H152" s="46" t="n">
        <v>0.4</v>
      </c>
      <c r="I152" s="46" t="n">
        <v>509.533647</v>
      </c>
      <c r="J152" s="46" t="n">
        <v>509.533647</v>
      </c>
      <c r="K152" s="46" t="n"/>
      <c r="L152" s="46" t="n"/>
      <c r="M152" s="33" t="inlineStr">
        <is>
          <t>ASSUMPTION_BLOCKED_PENDING_VALIDATION</t>
        </is>
      </c>
      <c r="N152" s="33" t="inlineStr">
        <is>
          <t>LOW_CONFIDENCE</t>
        </is>
      </c>
      <c r="O152" s="33" t="inlineStr">
        <is>
          <t>OPEN</t>
        </is>
      </c>
      <c r="P152" s="33" t="inlineStr">
        <is>
          <t>Planning scenario, not approved project price; tax, commission and quoted packaging remain excluded/blocked</t>
        </is>
      </c>
    </row>
    <row r="153">
      <c r="A153" s="33" t="inlineStr">
        <is>
          <t>VKM-010</t>
        </is>
      </c>
      <c r="B153" s="33" t="inlineStr">
        <is>
          <t>Микс-салат с креветками и яблоком</t>
        </is>
      </c>
      <c r="C153" s="33" t="inlineStr">
        <is>
          <t>Гостиничные ужины</t>
        </is>
      </c>
      <c r="D153" s="46" t="n">
        <v>0.3</v>
      </c>
      <c r="E153" s="46" t="n">
        <v>339.689098</v>
      </c>
      <c r="F153" s="46" t="n">
        <v>0</v>
      </c>
      <c r="G153" s="46" t="n">
        <v>1132.296994</v>
      </c>
      <c r="H153" s="46" t="n">
        <v>0.3</v>
      </c>
      <c r="I153" s="46" t="n">
        <v>792.607896</v>
      </c>
      <c r="J153" s="46" t="n">
        <v>792.607896</v>
      </c>
      <c r="K153" s="46" t="n"/>
      <c r="L153" s="46" t="n"/>
      <c r="M153" s="33" t="inlineStr">
        <is>
          <t>ASSUMPTION_BLOCKED_PENDING_VALIDATION</t>
        </is>
      </c>
      <c r="N153" s="33" t="inlineStr">
        <is>
          <t>LOW_CONFIDENCE</t>
        </is>
      </c>
      <c r="O153" s="33" t="inlineStr">
        <is>
          <t>OPEN</t>
        </is>
      </c>
      <c r="P153" s="33" t="inlineStr">
        <is>
          <t>Planning scenario, not approved project price; tax, commission and quoted packaging remain excluded/blocked</t>
        </is>
      </c>
    </row>
    <row r="154">
      <c r="A154" s="33" t="inlineStr">
        <is>
          <t>VKM-010</t>
        </is>
      </c>
      <c r="B154" s="33" t="inlineStr">
        <is>
          <t>Микс-салат с креветками и яблоком</t>
        </is>
      </c>
      <c r="C154" s="33" t="inlineStr">
        <is>
          <t>Доставка</t>
        </is>
      </c>
      <c r="D154" s="46" t="n">
        <v>0.3</v>
      </c>
      <c r="E154" s="46" t="n">
        <v>339.689098</v>
      </c>
      <c r="F154" s="46" t="n">
        <v>65</v>
      </c>
      <c r="G154" s="46" t="n">
        <v>1348.963661</v>
      </c>
      <c r="H154" s="46" t="n">
        <v>0.251815</v>
      </c>
      <c r="I154" s="46" t="n">
        <v>1009.274562</v>
      </c>
      <c r="J154" s="46" t="n">
        <v>944.2745619999999</v>
      </c>
      <c r="K154" s="46" t="n"/>
      <c r="L154" s="46" t="n"/>
      <c r="M154" s="33" t="inlineStr">
        <is>
          <t>ASSUMPTION_BLOCKED_PENDING_VALIDATION</t>
        </is>
      </c>
      <c r="N154" s="33" t="inlineStr">
        <is>
          <t>LOW_CONFIDENCE</t>
        </is>
      </c>
      <c r="O154" s="33" t="inlineStr">
        <is>
          <t>OPEN</t>
        </is>
      </c>
      <c r="P154" s="33" t="inlineStr">
        <is>
          <t>Planning scenario, not approved project price; tax, commission and quoted packaging remain excluded/blocked</t>
        </is>
      </c>
    </row>
    <row r="155">
      <c r="A155" s="33" t="inlineStr">
        <is>
          <t>VKM-011</t>
        </is>
      </c>
      <c r="B155" s="33" t="inlineStr">
        <is>
          <t>Греческий</t>
        </is>
      </c>
      <c r="C155" s="33" t="inlineStr">
        <is>
          <t>À la carte</t>
        </is>
      </c>
      <c r="D155" s="46" t="n">
        <v>0.3</v>
      </c>
      <c r="E155" s="46" t="n">
        <v>130.834175</v>
      </c>
      <c r="F155" s="46" t="n">
        <v>0</v>
      </c>
      <c r="G155" s="46" t="n">
        <v>436.113915</v>
      </c>
      <c r="H155" s="46" t="n">
        <v>0.3</v>
      </c>
      <c r="I155" s="46" t="n">
        <v>305.279741</v>
      </c>
      <c r="J155" s="46" t="n">
        <v>305.279741</v>
      </c>
      <c r="K155" s="46" t="n"/>
      <c r="L155" s="46" t="n"/>
      <c r="M155" s="33" t="inlineStr">
        <is>
          <t>ASSUMPTION_BLOCKED_PENDING_VALIDATION</t>
        </is>
      </c>
      <c r="N155" s="33" t="inlineStr">
        <is>
          <t>LOW_CONFIDENCE</t>
        </is>
      </c>
      <c r="O155" s="33" t="inlineStr">
        <is>
          <t>OPEN</t>
        </is>
      </c>
      <c r="P155" s="33" t="inlineStr">
        <is>
          <t>Planning scenario, not approved project price; tax, commission and quoted packaging remain excluded/blocked</t>
        </is>
      </c>
    </row>
    <row r="156">
      <c r="A156" s="33" t="inlineStr">
        <is>
          <t>VKM-011</t>
        </is>
      </c>
      <c r="B156" s="33" t="inlineStr">
        <is>
          <t>Греческий</t>
        </is>
      </c>
      <c r="C156" s="33" t="inlineStr">
        <is>
          <t>Бизнес-ланч</t>
        </is>
      </c>
      <c r="D156" s="46" t="n">
        <v>0.4</v>
      </c>
      <c r="E156" s="46" t="n">
        <v>130.834175</v>
      </c>
      <c r="F156" s="46" t="n">
        <v>0</v>
      </c>
      <c r="G156" s="46" t="n">
        <v>327.085436</v>
      </c>
      <c r="H156" s="46" t="n">
        <v>0.4</v>
      </c>
      <c r="I156" s="46" t="n">
        <v>196.251262</v>
      </c>
      <c r="J156" s="46" t="n">
        <v>196.251262</v>
      </c>
      <c r="K156" s="46" t="n"/>
      <c r="L156" s="46" t="n"/>
      <c r="M156" s="33" t="inlineStr">
        <is>
          <t>ASSUMPTION_BLOCKED_PENDING_VALIDATION</t>
        </is>
      </c>
      <c r="N156" s="33" t="inlineStr">
        <is>
          <t>LOW_CONFIDENCE</t>
        </is>
      </c>
      <c r="O156" s="33" t="inlineStr">
        <is>
          <t>OPEN</t>
        </is>
      </c>
      <c r="P156" s="33" t="inlineStr">
        <is>
          <t>Planning scenario, not approved project price; tax, commission and quoted packaging remain excluded/blocked</t>
        </is>
      </c>
    </row>
    <row r="157">
      <c r="A157" s="33" t="inlineStr">
        <is>
          <t>VKM-011</t>
        </is>
      </c>
      <c r="B157" s="33" t="inlineStr">
        <is>
          <t>Греческий</t>
        </is>
      </c>
      <c r="C157" s="33" t="inlineStr">
        <is>
          <t>Гостиничные ужины</t>
        </is>
      </c>
      <c r="D157" s="46" t="n">
        <v>0.3</v>
      </c>
      <c r="E157" s="46" t="n">
        <v>130.834175</v>
      </c>
      <c r="F157" s="46" t="n">
        <v>0</v>
      </c>
      <c r="G157" s="46" t="n">
        <v>436.113915</v>
      </c>
      <c r="H157" s="46" t="n">
        <v>0.3</v>
      </c>
      <c r="I157" s="46" t="n">
        <v>305.279741</v>
      </c>
      <c r="J157" s="46" t="n">
        <v>305.279741</v>
      </c>
      <c r="K157" s="46" t="n"/>
      <c r="L157" s="46" t="n"/>
      <c r="M157" s="33" t="inlineStr">
        <is>
          <t>ASSUMPTION_BLOCKED_PENDING_VALIDATION</t>
        </is>
      </c>
      <c r="N157" s="33" t="inlineStr">
        <is>
          <t>LOW_CONFIDENCE</t>
        </is>
      </c>
      <c r="O157" s="33" t="inlineStr">
        <is>
          <t>OPEN</t>
        </is>
      </c>
      <c r="P157" s="33" t="inlineStr">
        <is>
          <t>Planning scenario, not approved project price; tax, commission and quoted packaging remain excluded/blocked</t>
        </is>
      </c>
    </row>
    <row r="158">
      <c r="A158" s="33" t="inlineStr">
        <is>
          <t>VKM-011</t>
        </is>
      </c>
      <c r="B158" s="33" t="inlineStr">
        <is>
          <t>Греческий</t>
        </is>
      </c>
      <c r="C158" s="33" t="inlineStr">
        <is>
          <t>Доставка</t>
        </is>
      </c>
      <c r="D158" s="46" t="n">
        <v>0.3</v>
      </c>
      <c r="E158" s="46" t="n">
        <v>130.834175</v>
      </c>
      <c r="F158" s="46" t="n">
        <v>65</v>
      </c>
      <c r="G158" s="46" t="n">
        <v>652.780582</v>
      </c>
      <c r="H158" s="46" t="n">
        <v>0.200426</v>
      </c>
      <c r="I158" s="46" t="n">
        <v>521.946407</v>
      </c>
      <c r="J158" s="46" t="n">
        <v>456.946407</v>
      </c>
      <c r="K158" s="46" t="n"/>
      <c r="L158" s="46" t="n"/>
      <c r="M158" s="33" t="inlineStr">
        <is>
          <t>ASSUMPTION_BLOCKED_PENDING_VALIDATION</t>
        </is>
      </c>
      <c r="N158" s="33" t="inlineStr">
        <is>
          <t>LOW_CONFIDENCE</t>
        </is>
      </c>
      <c r="O158" s="33" t="inlineStr">
        <is>
          <t>OPEN</t>
        </is>
      </c>
      <c r="P158" s="33" t="inlineStr">
        <is>
          <t>Planning scenario, not approved project price; tax, commission and quoted packaging remain excluded/blocked</t>
        </is>
      </c>
    </row>
    <row r="159">
      <c r="A159" s="33" t="inlineStr">
        <is>
          <t>VKM-012</t>
        </is>
      </c>
      <c r="B159" s="33" t="inlineStr">
        <is>
          <t>Винегрет</t>
        </is>
      </c>
      <c r="C159" s="33" t="inlineStr">
        <is>
          <t>À la carte</t>
        </is>
      </c>
      <c r="D159" s="46" t="n">
        <v>0.3</v>
      </c>
      <c r="E159" s="46" t="n">
        <v>25.584202</v>
      </c>
      <c r="F159" s="46" t="n">
        <v>0</v>
      </c>
      <c r="G159" s="46" t="n">
        <v>85.280675</v>
      </c>
      <c r="H159" s="46" t="n">
        <v>0.3</v>
      </c>
      <c r="I159" s="46" t="n">
        <v>59.696472</v>
      </c>
      <c r="J159" s="46" t="n">
        <v>59.696472</v>
      </c>
      <c r="K159" s="46" t="n"/>
      <c r="L159" s="46" t="n"/>
      <c r="M159" s="33" t="inlineStr">
        <is>
          <t>ASSUMPTION_BLOCKED_PENDING_VALIDATION</t>
        </is>
      </c>
      <c r="N159" s="33" t="inlineStr">
        <is>
          <t>LOW_CONFIDENCE</t>
        </is>
      </c>
      <c r="O159" s="33" t="inlineStr">
        <is>
          <t>OPEN</t>
        </is>
      </c>
      <c r="P159" s="33" t="inlineStr">
        <is>
          <t>Planning scenario, not approved project price; tax, commission and quoted packaging remain excluded/blocked</t>
        </is>
      </c>
    </row>
    <row r="160">
      <c r="A160" s="33" t="inlineStr">
        <is>
          <t>VKM-012</t>
        </is>
      </c>
      <c r="B160" s="33" t="inlineStr">
        <is>
          <t>Винегрет</t>
        </is>
      </c>
      <c r="C160" s="33" t="inlineStr">
        <is>
          <t>Бизнес-ланч</t>
        </is>
      </c>
      <c r="D160" s="46" t="n">
        <v>0.4</v>
      </c>
      <c r="E160" s="46" t="n">
        <v>25.584202</v>
      </c>
      <c r="F160" s="46" t="n">
        <v>0</v>
      </c>
      <c r="G160" s="46" t="n">
        <v>63.960506</v>
      </c>
      <c r="H160" s="46" t="n">
        <v>0.4</v>
      </c>
      <c r="I160" s="46" t="n">
        <v>38.376304</v>
      </c>
      <c r="J160" s="46" t="n">
        <v>38.376304</v>
      </c>
      <c r="K160" s="46" t="n"/>
      <c r="L160" s="46" t="n"/>
      <c r="M160" s="33" t="inlineStr">
        <is>
          <t>ASSUMPTION_BLOCKED_PENDING_VALIDATION</t>
        </is>
      </c>
      <c r="N160" s="33" t="inlineStr">
        <is>
          <t>LOW_CONFIDENCE</t>
        </is>
      </c>
      <c r="O160" s="33" t="inlineStr">
        <is>
          <t>OPEN</t>
        </is>
      </c>
      <c r="P160" s="33" t="inlineStr">
        <is>
          <t>Planning scenario, not approved project price; tax, commission and quoted packaging remain excluded/blocked</t>
        </is>
      </c>
    </row>
    <row r="161">
      <c r="A161" s="33" t="inlineStr">
        <is>
          <t>VKM-012</t>
        </is>
      </c>
      <c r="B161" s="33" t="inlineStr">
        <is>
          <t>Винегрет</t>
        </is>
      </c>
      <c r="C161" s="33" t="inlineStr">
        <is>
          <t>Гостиничные ужины</t>
        </is>
      </c>
      <c r="D161" s="46" t="n">
        <v>0.3</v>
      </c>
      <c r="E161" s="46" t="n">
        <v>25.584202</v>
      </c>
      <c r="F161" s="46" t="n">
        <v>0</v>
      </c>
      <c r="G161" s="46" t="n">
        <v>85.280675</v>
      </c>
      <c r="H161" s="46" t="n">
        <v>0.3</v>
      </c>
      <c r="I161" s="46" t="n">
        <v>59.696472</v>
      </c>
      <c r="J161" s="46" t="n">
        <v>59.696472</v>
      </c>
      <c r="K161" s="46" t="n"/>
      <c r="L161" s="46" t="n"/>
      <c r="M161" s="33" t="inlineStr">
        <is>
          <t>ASSUMPTION_BLOCKED_PENDING_VALIDATION</t>
        </is>
      </c>
      <c r="N161" s="33" t="inlineStr">
        <is>
          <t>LOW_CONFIDENCE</t>
        </is>
      </c>
      <c r="O161" s="33" t="inlineStr">
        <is>
          <t>OPEN</t>
        </is>
      </c>
      <c r="P161" s="33" t="inlineStr">
        <is>
          <t>Planning scenario, not approved project price; tax, commission and quoted packaging remain excluded/blocked</t>
        </is>
      </c>
    </row>
    <row r="162">
      <c r="A162" s="33" t="inlineStr">
        <is>
          <t>VKM-012</t>
        </is>
      </c>
      <c r="B162" s="33" t="inlineStr">
        <is>
          <t>Винегрет</t>
        </is>
      </c>
      <c r="C162" s="33" t="inlineStr">
        <is>
          <t>Доставка</t>
        </is>
      </c>
      <c r="D162" s="46" t="n">
        <v>0.3</v>
      </c>
      <c r="E162" s="46" t="n">
        <v>25.584202</v>
      </c>
      <c r="F162" s="46" t="n">
        <v>65</v>
      </c>
      <c r="G162" s="46" t="n">
        <v>301.947341</v>
      </c>
      <c r="H162" s="46" t="n">
        <v>0.084731</v>
      </c>
      <c r="I162" s="46" t="n">
        <v>276.363139</v>
      </c>
      <c r="J162" s="46" t="n">
        <v>211.363139</v>
      </c>
      <c r="K162" s="46" t="n"/>
      <c r="L162" s="46" t="n"/>
      <c r="M162" s="33" t="inlineStr">
        <is>
          <t>ASSUMPTION_BLOCKED_PENDING_VALIDATION</t>
        </is>
      </c>
      <c r="N162" s="33" t="inlineStr">
        <is>
          <t>LOW_CONFIDENCE</t>
        </is>
      </c>
      <c r="O162" s="33" t="inlineStr">
        <is>
          <t>OPEN</t>
        </is>
      </c>
      <c r="P162" s="33" t="inlineStr">
        <is>
          <t>Planning scenario, not approved project price; tax, commission and quoted packaging remain excluded/blocked</t>
        </is>
      </c>
    </row>
    <row r="163">
      <c r="A163" s="33" t="inlineStr">
        <is>
          <t>VKM-013</t>
        </is>
      </c>
      <c r="B163" s="33" t="inlineStr">
        <is>
          <t>Слабосолёный лосось</t>
        </is>
      </c>
      <c r="C163" s="33" t="inlineStr">
        <is>
          <t>À la carte</t>
        </is>
      </c>
      <c r="D163" s="46" t="n">
        <v>0.3</v>
      </c>
      <c r="E163" s="46" t="n">
        <v>474.197245</v>
      </c>
      <c r="F163" s="46" t="n">
        <v>0</v>
      </c>
      <c r="G163" s="46" t="n">
        <v>1580.657484</v>
      </c>
      <c r="H163" s="46" t="n">
        <v>0.3</v>
      </c>
      <c r="I163" s="46" t="n">
        <v>1106.460239</v>
      </c>
      <c r="J163" s="46" t="n">
        <v>1106.460239</v>
      </c>
      <c r="K163" s="46" t="n"/>
      <c r="L163" s="46" t="n"/>
      <c r="M163" s="33" t="inlineStr">
        <is>
          <t>ASSUMPTION_BLOCKED_PENDING_VALIDATION</t>
        </is>
      </c>
      <c r="N163" s="33" t="inlineStr">
        <is>
          <t>LOW_CONFIDENCE</t>
        </is>
      </c>
      <c r="O163" s="33" t="inlineStr">
        <is>
          <t>OPEN</t>
        </is>
      </c>
      <c r="P163" s="33" t="inlineStr">
        <is>
          <t>Planning scenario, not approved project price; tax, commission and quoted packaging remain excluded/blocked</t>
        </is>
      </c>
    </row>
    <row r="164">
      <c r="A164" s="33" t="inlineStr">
        <is>
          <t>VKM-013</t>
        </is>
      </c>
      <c r="B164" s="33" t="inlineStr">
        <is>
          <t>Слабосолёный лосось</t>
        </is>
      </c>
      <c r="C164" s="33" t="inlineStr">
        <is>
          <t>Бизнес-ланч</t>
        </is>
      </c>
      <c r="D164" s="46" t="n">
        <v>0.4</v>
      </c>
      <c r="E164" s="46" t="n">
        <v>474.197245</v>
      </c>
      <c r="F164" s="46" t="n">
        <v>0</v>
      </c>
      <c r="G164" s="46" t="n">
        <v>1185.493113</v>
      </c>
      <c r="H164" s="46" t="n">
        <v>0.4</v>
      </c>
      <c r="I164" s="46" t="n">
        <v>711.295868</v>
      </c>
      <c r="J164" s="46" t="n">
        <v>711.295868</v>
      </c>
      <c r="K164" s="46" t="n"/>
      <c r="L164" s="46" t="n"/>
      <c r="M164" s="33" t="inlineStr">
        <is>
          <t>ASSUMPTION_BLOCKED_PENDING_VALIDATION</t>
        </is>
      </c>
      <c r="N164" s="33" t="inlineStr">
        <is>
          <t>LOW_CONFIDENCE</t>
        </is>
      </c>
      <c r="O164" s="33" t="inlineStr">
        <is>
          <t>OPEN</t>
        </is>
      </c>
      <c r="P164" s="33" t="inlineStr">
        <is>
          <t>Planning scenario, not approved project price; tax, commission and quoted packaging remain excluded/blocked</t>
        </is>
      </c>
    </row>
    <row r="165">
      <c r="A165" s="33" t="inlineStr">
        <is>
          <t>VKM-013</t>
        </is>
      </c>
      <c r="B165" s="33" t="inlineStr">
        <is>
          <t>Слабосолёный лосось</t>
        </is>
      </c>
      <c r="C165" s="33" t="inlineStr">
        <is>
          <t>Гостиничные ужины</t>
        </is>
      </c>
      <c r="D165" s="46" t="n">
        <v>0.3</v>
      </c>
      <c r="E165" s="46" t="n">
        <v>474.197245</v>
      </c>
      <c r="F165" s="46" t="n">
        <v>0</v>
      </c>
      <c r="G165" s="46" t="n">
        <v>1580.657484</v>
      </c>
      <c r="H165" s="46" t="n">
        <v>0.3</v>
      </c>
      <c r="I165" s="46" t="n">
        <v>1106.460239</v>
      </c>
      <c r="J165" s="46" t="n">
        <v>1106.460239</v>
      </c>
      <c r="K165" s="46" t="n"/>
      <c r="L165" s="46" t="n"/>
      <c r="M165" s="33" t="inlineStr">
        <is>
          <t>ASSUMPTION_BLOCKED_PENDING_VALIDATION</t>
        </is>
      </c>
      <c r="N165" s="33" t="inlineStr">
        <is>
          <t>LOW_CONFIDENCE</t>
        </is>
      </c>
      <c r="O165" s="33" t="inlineStr">
        <is>
          <t>OPEN</t>
        </is>
      </c>
      <c r="P165" s="33" t="inlineStr">
        <is>
          <t>Planning scenario, not approved project price; tax, commission and quoted packaging remain excluded/blocked</t>
        </is>
      </c>
    </row>
    <row r="166">
      <c r="A166" s="33" t="inlineStr">
        <is>
          <t>VKM-014</t>
        </is>
      </c>
      <c r="B166" s="33" t="inlineStr">
        <is>
          <t>Сельдь с запечённым картофелем</t>
        </is>
      </c>
      <c r="C166" s="33" t="inlineStr">
        <is>
          <t>À la carte</t>
        </is>
      </c>
      <c r="D166" s="46" t="n">
        <v>0.3</v>
      </c>
      <c r="E166" s="46" t="n">
        <v>89.54390100000001</v>
      </c>
      <c r="F166" s="46" t="n">
        <v>0</v>
      </c>
      <c r="G166" s="46" t="n">
        <v>298.47967</v>
      </c>
      <c r="H166" s="46" t="n">
        <v>0.3</v>
      </c>
      <c r="I166" s="46" t="n">
        <v>208.935769</v>
      </c>
      <c r="J166" s="46" t="n">
        <v>208.935769</v>
      </c>
      <c r="K166" s="46" t="n"/>
      <c r="L166" s="46" t="n"/>
      <c r="M166" s="33" t="inlineStr">
        <is>
          <t>ASSUMPTION_BLOCKED_PENDING_VALIDATION</t>
        </is>
      </c>
      <c r="N166" s="33" t="inlineStr">
        <is>
          <t>LOW_CONFIDENCE</t>
        </is>
      </c>
      <c r="O166" s="33" t="inlineStr">
        <is>
          <t>OPEN</t>
        </is>
      </c>
      <c r="P166" s="33" t="inlineStr">
        <is>
          <t>Planning scenario, not approved project price; tax, commission and quoted packaging remain excluded/blocked</t>
        </is>
      </c>
    </row>
    <row r="167">
      <c r="A167" s="33" t="inlineStr">
        <is>
          <t>VKM-014</t>
        </is>
      </c>
      <c r="B167" s="33" t="inlineStr">
        <is>
          <t>Сельдь с запечённым картофелем</t>
        </is>
      </c>
      <c r="C167" s="33" t="inlineStr">
        <is>
          <t>Бизнес-ланч</t>
        </is>
      </c>
      <c r="D167" s="46" t="n">
        <v>0.4</v>
      </c>
      <c r="E167" s="46" t="n">
        <v>89.54390100000001</v>
      </c>
      <c r="F167" s="46" t="n">
        <v>0</v>
      </c>
      <c r="G167" s="46" t="n">
        <v>223.859752</v>
      </c>
      <c r="H167" s="46" t="n">
        <v>0.4</v>
      </c>
      <c r="I167" s="46" t="n">
        <v>134.315851</v>
      </c>
      <c r="J167" s="46" t="n">
        <v>134.315851</v>
      </c>
      <c r="K167" s="46" t="n"/>
      <c r="L167" s="46" t="n"/>
      <c r="M167" s="33" t="inlineStr">
        <is>
          <t>ASSUMPTION_BLOCKED_PENDING_VALIDATION</t>
        </is>
      </c>
      <c r="N167" s="33" t="inlineStr">
        <is>
          <t>LOW_CONFIDENCE</t>
        </is>
      </c>
      <c r="O167" s="33" t="inlineStr">
        <is>
          <t>OPEN</t>
        </is>
      </c>
      <c r="P167" s="33" t="inlineStr">
        <is>
          <t>Planning scenario, not approved project price; tax, commission and quoted packaging remain excluded/blocked</t>
        </is>
      </c>
    </row>
    <row r="168">
      <c r="A168" s="33" t="inlineStr">
        <is>
          <t>VKM-014</t>
        </is>
      </c>
      <c r="B168" s="33" t="inlineStr">
        <is>
          <t>Сельдь с запечённым картофелем</t>
        </is>
      </c>
      <c r="C168" s="33" t="inlineStr">
        <is>
          <t>Гостиничные ужины</t>
        </is>
      </c>
      <c r="D168" s="46" t="n">
        <v>0.3</v>
      </c>
      <c r="E168" s="46" t="n">
        <v>89.54390100000001</v>
      </c>
      <c r="F168" s="46" t="n">
        <v>0</v>
      </c>
      <c r="G168" s="46" t="n">
        <v>298.47967</v>
      </c>
      <c r="H168" s="46" t="n">
        <v>0.3</v>
      </c>
      <c r="I168" s="46" t="n">
        <v>208.935769</v>
      </c>
      <c r="J168" s="46" t="n">
        <v>208.935769</v>
      </c>
      <c r="K168" s="46" t="n"/>
      <c r="L168" s="46" t="n"/>
      <c r="M168" s="33" t="inlineStr">
        <is>
          <t>ASSUMPTION_BLOCKED_PENDING_VALIDATION</t>
        </is>
      </c>
      <c r="N168" s="33" t="inlineStr">
        <is>
          <t>LOW_CONFIDENCE</t>
        </is>
      </c>
      <c r="O168" s="33" t="inlineStr">
        <is>
          <t>OPEN</t>
        </is>
      </c>
      <c r="P168" s="33" t="inlineStr">
        <is>
          <t>Planning scenario, not approved project price; tax, commission and quoted packaging remain excluded/blocked</t>
        </is>
      </c>
    </row>
    <row r="169">
      <c r="A169" s="33" t="inlineStr">
        <is>
          <t>VKM-015</t>
        </is>
      </c>
      <c r="B169" s="33" t="inlineStr">
        <is>
          <t>Оливки и маслины</t>
        </is>
      </c>
      <c r="C169" s="33" t="inlineStr">
        <is>
          <t>À la carte</t>
        </is>
      </c>
      <c r="D169" s="46" t="n">
        <v>0.3</v>
      </c>
      <c r="E169" s="46" t="n">
        <v>133.148886</v>
      </c>
      <c r="F169" s="46" t="n">
        <v>0</v>
      </c>
      <c r="G169" s="46" t="n">
        <v>443.82962</v>
      </c>
      <c r="H169" s="46" t="n">
        <v>0.3</v>
      </c>
      <c r="I169" s="46" t="n">
        <v>310.680734</v>
      </c>
      <c r="J169" s="46" t="n">
        <v>310.680734</v>
      </c>
      <c r="K169" s="46" t="n"/>
      <c r="L169" s="46" t="n"/>
      <c r="M169" s="33" t="inlineStr">
        <is>
          <t>ASSUMPTION_BLOCKED_PENDING_VALIDATION</t>
        </is>
      </c>
      <c r="N169" s="33" t="inlineStr">
        <is>
          <t>LOW_CONFIDENCE</t>
        </is>
      </c>
      <c r="O169" s="33" t="inlineStr">
        <is>
          <t>OPEN</t>
        </is>
      </c>
      <c r="P169" s="33" t="inlineStr">
        <is>
          <t>Planning scenario, not approved project price; tax, commission and quoted packaging remain excluded/blocked</t>
        </is>
      </c>
    </row>
    <row r="170">
      <c r="A170" s="33" t="inlineStr">
        <is>
          <t>VKM-015</t>
        </is>
      </c>
      <c r="B170" s="33" t="inlineStr">
        <is>
          <t>Оливки и маслины</t>
        </is>
      </c>
      <c r="C170" s="33" t="inlineStr">
        <is>
          <t>Бизнес-ланч</t>
        </is>
      </c>
      <c r="D170" s="46" t="n">
        <v>0.4</v>
      </c>
      <c r="E170" s="46" t="n">
        <v>133.148886</v>
      </c>
      <c r="F170" s="46" t="n">
        <v>0</v>
      </c>
      <c r="G170" s="46" t="n">
        <v>332.872215</v>
      </c>
      <c r="H170" s="46" t="n">
        <v>0.4</v>
      </c>
      <c r="I170" s="46" t="n">
        <v>199.723329</v>
      </c>
      <c r="J170" s="46" t="n">
        <v>199.723329</v>
      </c>
      <c r="K170" s="46" t="n"/>
      <c r="L170" s="46" t="n"/>
      <c r="M170" s="33" t="inlineStr">
        <is>
          <t>ASSUMPTION_BLOCKED_PENDING_VALIDATION</t>
        </is>
      </c>
      <c r="N170" s="33" t="inlineStr">
        <is>
          <t>LOW_CONFIDENCE</t>
        </is>
      </c>
      <c r="O170" s="33" t="inlineStr">
        <is>
          <t>OPEN</t>
        </is>
      </c>
      <c r="P170" s="33" t="inlineStr">
        <is>
          <t>Planning scenario, not approved project price; tax, commission and quoted packaging remain excluded/blocked</t>
        </is>
      </c>
    </row>
    <row r="171">
      <c r="A171" s="33" t="inlineStr">
        <is>
          <t>VKM-015</t>
        </is>
      </c>
      <c r="B171" s="33" t="inlineStr">
        <is>
          <t>Оливки и маслины</t>
        </is>
      </c>
      <c r="C171" s="33" t="inlineStr">
        <is>
          <t>Гостиничные ужины</t>
        </is>
      </c>
      <c r="D171" s="46" t="n">
        <v>0.3</v>
      </c>
      <c r="E171" s="46" t="n">
        <v>133.148886</v>
      </c>
      <c r="F171" s="46" t="n">
        <v>0</v>
      </c>
      <c r="G171" s="46" t="n">
        <v>443.82962</v>
      </c>
      <c r="H171" s="46" t="n">
        <v>0.3</v>
      </c>
      <c r="I171" s="46" t="n">
        <v>310.680734</v>
      </c>
      <c r="J171" s="46" t="n">
        <v>310.680734</v>
      </c>
      <c r="K171" s="46" t="n"/>
      <c r="L171" s="46" t="n"/>
      <c r="M171" s="33" t="inlineStr">
        <is>
          <t>ASSUMPTION_BLOCKED_PENDING_VALIDATION</t>
        </is>
      </c>
      <c r="N171" s="33" t="inlineStr">
        <is>
          <t>LOW_CONFIDENCE</t>
        </is>
      </c>
      <c r="O171" s="33" t="inlineStr">
        <is>
          <t>OPEN</t>
        </is>
      </c>
      <c r="P171" s="33" t="inlineStr">
        <is>
          <t>Planning scenario, not approved project price; tax, commission and quoted packaging remain excluded/blocked</t>
        </is>
      </c>
    </row>
    <row r="172">
      <c r="A172" s="33" t="inlineStr">
        <is>
          <t>VKM-016</t>
        </is>
      </c>
      <c r="B172" s="33" t="inlineStr">
        <is>
          <t>Ассорти фирменных солений</t>
        </is>
      </c>
      <c r="C172" s="33" t="inlineStr">
        <is>
          <t>À la carte</t>
        </is>
      </c>
      <c r="D172" s="46" t="n">
        <v>0.3</v>
      </c>
      <c r="E172" s="46" t="n">
        <v>39.207579</v>
      </c>
      <c r="F172" s="46" t="n">
        <v>0</v>
      </c>
      <c r="G172" s="46" t="n">
        <v>130.691931</v>
      </c>
      <c r="H172" s="46" t="n">
        <v>0.3</v>
      </c>
      <c r="I172" s="46" t="n">
        <v>91.484352</v>
      </c>
      <c r="J172" s="46" t="n">
        <v>91.484352</v>
      </c>
      <c r="K172" s="46" t="n"/>
      <c r="L172" s="46" t="n"/>
      <c r="M172" s="33" t="inlineStr">
        <is>
          <t>ASSUMPTION_BLOCKED_PENDING_VALIDATION</t>
        </is>
      </c>
      <c r="N172" s="33" t="inlineStr">
        <is>
          <t>LOW_CONFIDENCE</t>
        </is>
      </c>
      <c r="O172" s="33" t="inlineStr">
        <is>
          <t>OPEN</t>
        </is>
      </c>
      <c r="P172" s="33" t="inlineStr">
        <is>
          <t>Planning scenario, not approved project price; tax, commission and quoted packaging remain excluded/blocked</t>
        </is>
      </c>
    </row>
    <row r="173">
      <c r="A173" s="33" t="inlineStr">
        <is>
          <t>VKM-016</t>
        </is>
      </c>
      <c r="B173" s="33" t="inlineStr">
        <is>
          <t>Ассорти фирменных солений</t>
        </is>
      </c>
      <c r="C173" s="33" t="inlineStr">
        <is>
          <t>Бизнес-ланч</t>
        </is>
      </c>
      <c r="D173" s="46" t="n">
        <v>0.4</v>
      </c>
      <c r="E173" s="46" t="n">
        <v>39.207579</v>
      </c>
      <c r="F173" s="46" t="n">
        <v>0</v>
      </c>
      <c r="G173" s="46" t="n">
        <v>98.01894799999999</v>
      </c>
      <c r="H173" s="46" t="n">
        <v>0.4</v>
      </c>
      <c r="I173" s="46" t="n">
        <v>58.811369</v>
      </c>
      <c r="J173" s="46" t="n">
        <v>58.811369</v>
      </c>
      <c r="K173" s="46" t="n"/>
      <c r="L173" s="46" t="n"/>
      <c r="M173" s="33" t="inlineStr">
        <is>
          <t>ASSUMPTION_BLOCKED_PENDING_VALIDATION</t>
        </is>
      </c>
      <c r="N173" s="33" t="inlineStr">
        <is>
          <t>LOW_CONFIDENCE</t>
        </is>
      </c>
      <c r="O173" s="33" t="inlineStr">
        <is>
          <t>OPEN</t>
        </is>
      </c>
      <c r="P173" s="33" t="inlineStr">
        <is>
          <t>Planning scenario, not approved project price; tax, commission and quoted packaging remain excluded/blocked</t>
        </is>
      </c>
    </row>
    <row r="174">
      <c r="A174" s="33" t="inlineStr">
        <is>
          <t>VKM-016</t>
        </is>
      </c>
      <c r="B174" s="33" t="inlineStr">
        <is>
          <t>Ассорти фирменных солений</t>
        </is>
      </c>
      <c r="C174" s="33" t="inlineStr">
        <is>
          <t>Гостиничные ужины</t>
        </is>
      </c>
      <c r="D174" s="46" t="n">
        <v>0.3</v>
      </c>
      <c r="E174" s="46" t="n">
        <v>39.207579</v>
      </c>
      <c r="F174" s="46" t="n">
        <v>0</v>
      </c>
      <c r="G174" s="46" t="n">
        <v>130.691931</v>
      </c>
      <c r="H174" s="46" t="n">
        <v>0.3</v>
      </c>
      <c r="I174" s="46" t="n">
        <v>91.484352</v>
      </c>
      <c r="J174" s="46" t="n">
        <v>91.484352</v>
      </c>
      <c r="K174" s="46" t="n"/>
      <c r="L174" s="46" t="n"/>
      <c r="M174" s="33" t="inlineStr">
        <is>
          <t>ASSUMPTION_BLOCKED_PENDING_VALIDATION</t>
        </is>
      </c>
      <c r="N174" s="33" t="inlineStr">
        <is>
          <t>LOW_CONFIDENCE</t>
        </is>
      </c>
      <c r="O174" s="33" t="inlineStr">
        <is>
          <t>OPEN</t>
        </is>
      </c>
      <c r="P174" s="33" t="inlineStr">
        <is>
          <t>Planning scenario, not approved project price; tax, commission and quoted packaging remain excluded/blocked</t>
        </is>
      </c>
    </row>
    <row r="175">
      <c r="A175" s="33" t="inlineStr">
        <is>
          <t>VKM-017</t>
        </is>
      </c>
      <c r="B175" s="33" t="inlineStr">
        <is>
          <t>Ростбиф с луком и гренкой</t>
        </is>
      </c>
      <c r="C175" s="33" t="inlineStr">
        <is>
          <t>À la carte</t>
        </is>
      </c>
      <c r="D175" s="46" t="n">
        <v>0.3</v>
      </c>
      <c r="E175" s="46" t="n">
        <v>153.840651</v>
      </c>
      <c r="F175" s="46" t="n">
        <v>0</v>
      </c>
      <c r="G175" s="46" t="n">
        <v>512.80217</v>
      </c>
      <c r="H175" s="46" t="n">
        <v>0.3</v>
      </c>
      <c r="I175" s="46" t="n">
        <v>358.961519</v>
      </c>
      <c r="J175" s="46" t="n">
        <v>358.961519</v>
      </c>
      <c r="K175" s="46" t="n"/>
      <c r="L175" s="46" t="n"/>
      <c r="M175" s="33" t="inlineStr">
        <is>
          <t>ASSUMPTION_BLOCKED_PENDING_VALIDATION</t>
        </is>
      </c>
      <c r="N175" s="33" t="inlineStr">
        <is>
          <t>LOW_CONFIDENCE</t>
        </is>
      </c>
      <c r="O175" s="33" t="inlineStr">
        <is>
          <t>OPEN</t>
        </is>
      </c>
      <c r="P175" s="33" t="inlineStr">
        <is>
          <t>Planning scenario, not approved project price; tax, commission and quoted packaging remain excluded/blocked</t>
        </is>
      </c>
    </row>
    <row r="176">
      <c r="A176" s="33" t="inlineStr">
        <is>
          <t>VKM-017</t>
        </is>
      </c>
      <c r="B176" s="33" t="inlineStr">
        <is>
          <t>Ростбиф с луком и гренкой</t>
        </is>
      </c>
      <c r="C176" s="33" t="inlineStr">
        <is>
          <t>Бизнес-ланч</t>
        </is>
      </c>
      <c r="D176" s="46" t="n">
        <v>0.4</v>
      </c>
      <c r="E176" s="46" t="n">
        <v>153.840651</v>
      </c>
      <c r="F176" s="46" t="n">
        <v>0</v>
      </c>
      <c r="G176" s="46" t="n">
        <v>384.601628</v>
      </c>
      <c r="H176" s="46" t="n">
        <v>0.4</v>
      </c>
      <c r="I176" s="46" t="n">
        <v>230.760977</v>
      </c>
      <c r="J176" s="46" t="n">
        <v>230.760977</v>
      </c>
      <c r="K176" s="46" t="n"/>
      <c r="L176" s="46" t="n"/>
      <c r="M176" s="33" t="inlineStr">
        <is>
          <t>ASSUMPTION_BLOCKED_PENDING_VALIDATION</t>
        </is>
      </c>
      <c r="N176" s="33" t="inlineStr">
        <is>
          <t>LOW_CONFIDENCE</t>
        </is>
      </c>
      <c r="O176" s="33" t="inlineStr">
        <is>
          <t>OPEN</t>
        </is>
      </c>
      <c r="P176" s="33" t="inlineStr">
        <is>
          <t>Planning scenario, not approved project price; tax, commission and quoted packaging remain excluded/blocked</t>
        </is>
      </c>
    </row>
    <row r="177">
      <c r="A177" s="33" t="inlineStr">
        <is>
          <t>VKM-017</t>
        </is>
      </c>
      <c r="B177" s="33" t="inlineStr">
        <is>
          <t>Ростбиф с луком и гренкой</t>
        </is>
      </c>
      <c r="C177" s="33" t="inlineStr">
        <is>
          <t>Гостиничные ужины</t>
        </is>
      </c>
      <c r="D177" s="46" t="n">
        <v>0.3</v>
      </c>
      <c r="E177" s="46" t="n">
        <v>153.840651</v>
      </c>
      <c r="F177" s="46" t="n">
        <v>0</v>
      </c>
      <c r="G177" s="46" t="n">
        <v>512.80217</v>
      </c>
      <c r="H177" s="46" t="n">
        <v>0.3</v>
      </c>
      <c r="I177" s="46" t="n">
        <v>358.961519</v>
      </c>
      <c r="J177" s="46" t="n">
        <v>358.961519</v>
      </c>
      <c r="K177" s="46" t="n"/>
      <c r="L177" s="46" t="n"/>
      <c r="M177" s="33" t="inlineStr">
        <is>
          <t>ASSUMPTION_BLOCKED_PENDING_VALIDATION</t>
        </is>
      </c>
      <c r="N177" s="33" t="inlineStr">
        <is>
          <t>LOW_CONFIDENCE</t>
        </is>
      </c>
      <c r="O177" s="33" t="inlineStr">
        <is>
          <t>OPEN</t>
        </is>
      </c>
      <c r="P177" s="33" t="inlineStr">
        <is>
          <t>Planning scenario, not approved project price; tax, commission and quoted packaging remain excluded/blocked</t>
        </is>
      </c>
    </row>
    <row r="178">
      <c r="A178" s="33" t="inlineStr">
        <is>
          <t>VKM-018</t>
        </is>
      </c>
      <c r="B178" s="33" t="inlineStr">
        <is>
          <t>Традиционный красный борщ</t>
        </is>
      </c>
      <c r="C178" s="33" t="inlineStr">
        <is>
          <t>À la carte</t>
        </is>
      </c>
      <c r="D178" s="46" t="n">
        <v>0.3</v>
      </c>
      <c r="E178" s="46" t="n">
        <v>101.285624</v>
      </c>
      <c r="F178" s="46" t="n">
        <v>0</v>
      </c>
      <c r="G178" s="46" t="n">
        <v>337.618748</v>
      </c>
      <c r="H178" s="46" t="n">
        <v>0.3</v>
      </c>
      <c r="I178" s="46" t="n">
        <v>236.333123</v>
      </c>
      <c r="J178" s="46" t="n">
        <v>236.333123</v>
      </c>
      <c r="K178" s="46" t="n"/>
      <c r="L178" s="46" t="n"/>
      <c r="M178" s="33" t="inlineStr">
        <is>
          <t>ASSUMPTION_BLOCKED_PENDING_VALIDATION</t>
        </is>
      </c>
      <c r="N178" s="33" t="inlineStr">
        <is>
          <t>LOW_CONFIDENCE</t>
        </is>
      </c>
      <c r="O178" s="33" t="inlineStr">
        <is>
          <t>OPEN</t>
        </is>
      </c>
      <c r="P178" s="33" t="inlineStr">
        <is>
          <t>Planning scenario, not approved project price; tax, commission and quoted packaging remain excluded/blocked</t>
        </is>
      </c>
    </row>
    <row r="179">
      <c r="A179" s="33" t="inlineStr">
        <is>
          <t>VKM-018</t>
        </is>
      </c>
      <c r="B179" s="33" t="inlineStr">
        <is>
          <t>Традиционный красный борщ</t>
        </is>
      </c>
      <c r="C179" s="33" t="inlineStr">
        <is>
          <t>Бизнес-ланч</t>
        </is>
      </c>
      <c r="D179" s="46" t="n">
        <v>0.4</v>
      </c>
      <c r="E179" s="46" t="n">
        <v>101.285624</v>
      </c>
      <c r="F179" s="46" t="n">
        <v>0</v>
      </c>
      <c r="G179" s="46" t="n">
        <v>253.214061</v>
      </c>
      <c r="H179" s="46" t="n">
        <v>0.4</v>
      </c>
      <c r="I179" s="46" t="n">
        <v>151.928436</v>
      </c>
      <c r="J179" s="46" t="n">
        <v>151.928436</v>
      </c>
      <c r="K179" s="46" t="n"/>
      <c r="L179" s="46" t="n"/>
      <c r="M179" s="33" t="inlineStr">
        <is>
          <t>ASSUMPTION_BLOCKED_PENDING_VALIDATION</t>
        </is>
      </c>
      <c r="N179" s="33" t="inlineStr">
        <is>
          <t>LOW_CONFIDENCE</t>
        </is>
      </c>
      <c r="O179" s="33" t="inlineStr">
        <is>
          <t>OPEN</t>
        </is>
      </c>
      <c r="P179" s="33" t="inlineStr">
        <is>
          <t>Planning scenario, not approved project price; tax, commission and quoted packaging remain excluded/blocked</t>
        </is>
      </c>
    </row>
    <row r="180">
      <c r="A180" s="33" t="inlineStr">
        <is>
          <t>VKM-019</t>
        </is>
      </c>
      <c r="B180" s="33" t="inlineStr">
        <is>
          <t>Мурманская треска со сливочно-горчичным соусом</t>
        </is>
      </c>
      <c r="C180" s="33" t="inlineStr">
        <is>
          <t>À la carte</t>
        </is>
      </c>
      <c r="D180" s="46" t="n">
        <v>0.3</v>
      </c>
      <c r="E180" s="46" t="n">
        <v>371.43417</v>
      </c>
      <c r="F180" s="46" t="n">
        <v>0</v>
      </c>
      <c r="G180" s="46" t="n">
        <v>1238.113899</v>
      </c>
      <c r="H180" s="46" t="n">
        <v>0.3</v>
      </c>
      <c r="I180" s="46" t="n">
        <v>866.6797299999999</v>
      </c>
      <c r="J180" s="46" t="n">
        <v>866.6797299999999</v>
      </c>
      <c r="K180" s="46" t="n"/>
      <c r="L180" s="46" t="n"/>
      <c r="M180" s="33" t="inlineStr">
        <is>
          <t>ASSUMPTION_BLOCKED_PENDING_VALIDATION</t>
        </is>
      </c>
      <c r="N180" s="33" t="inlineStr">
        <is>
          <t>LOW_CONFIDENCE</t>
        </is>
      </c>
      <c r="O180" s="33" t="inlineStr">
        <is>
          <t>OPEN</t>
        </is>
      </c>
      <c r="P180" s="33" t="inlineStr">
        <is>
          <t>Planning scenario, not approved project price; tax, commission and quoted packaging remain excluded/blocked</t>
        </is>
      </c>
    </row>
    <row r="181">
      <c r="A181" s="33" t="inlineStr">
        <is>
          <t>VKM-019</t>
        </is>
      </c>
      <c r="B181" s="33" t="inlineStr">
        <is>
          <t>Мурманская треска со сливочно-горчичным соусом</t>
        </is>
      </c>
      <c r="C181" s="33" t="inlineStr">
        <is>
          <t>Бизнес-ланч</t>
        </is>
      </c>
      <c r="D181" s="46" t="n">
        <v>0.4</v>
      </c>
      <c r="E181" s="46" t="n">
        <v>371.43417</v>
      </c>
      <c r="F181" s="46" t="n">
        <v>0</v>
      </c>
      <c r="G181" s="46" t="n">
        <v>928.585425</v>
      </c>
      <c r="H181" s="46" t="n">
        <v>0.4</v>
      </c>
      <c r="I181" s="46" t="n">
        <v>557.151255</v>
      </c>
      <c r="J181" s="46" t="n">
        <v>557.151255</v>
      </c>
      <c r="K181" s="46" t="n"/>
      <c r="L181" s="46" t="n"/>
      <c r="M181" s="33" t="inlineStr">
        <is>
          <t>ASSUMPTION_BLOCKED_PENDING_VALIDATION</t>
        </is>
      </c>
      <c r="N181" s="33" t="inlineStr">
        <is>
          <t>LOW_CONFIDENCE</t>
        </is>
      </c>
      <c r="O181" s="33" t="inlineStr">
        <is>
          <t>OPEN</t>
        </is>
      </c>
      <c r="P181" s="33" t="inlineStr">
        <is>
          <t>Planning scenario, not approved project price; tax, commission and quoted packaging remain excluded/blocked</t>
        </is>
      </c>
    </row>
    <row r="182">
      <c r="A182" s="33" t="inlineStr">
        <is>
          <t>VKM-019</t>
        </is>
      </c>
      <c r="B182" s="33" t="inlineStr">
        <is>
          <t>Мурманская треска со сливочно-горчичным соусом</t>
        </is>
      </c>
      <c r="C182" s="33" t="inlineStr">
        <is>
          <t>Гостиничные ужины</t>
        </is>
      </c>
      <c r="D182" s="46" t="n">
        <v>0.3</v>
      </c>
      <c r="E182" s="46" t="n">
        <v>371.43417</v>
      </c>
      <c r="F182" s="46" t="n">
        <v>0</v>
      </c>
      <c r="G182" s="46" t="n">
        <v>1238.113899</v>
      </c>
      <c r="H182" s="46" t="n">
        <v>0.3</v>
      </c>
      <c r="I182" s="46" t="n">
        <v>866.6797299999999</v>
      </c>
      <c r="J182" s="46" t="n">
        <v>866.6797299999999</v>
      </c>
      <c r="K182" s="46" t="n"/>
      <c r="L182" s="46" t="n"/>
      <c r="M182" s="33" t="inlineStr">
        <is>
          <t>ASSUMPTION_BLOCKED_PENDING_VALIDATION</t>
        </is>
      </c>
      <c r="N182" s="33" t="inlineStr">
        <is>
          <t>LOW_CONFIDENCE</t>
        </is>
      </c>
      <c r="O182" s="33" t="inlineStr">
        <is>
          <t>OPEN</t>
        </is>
      </c>
      <c r="P182" s="33" t="inlineStr">
        <is>
          <t>Planning scenario, not approved project price; tax, commission and quoted packaging remain excluded/blocked</t>
        </is>
      </c>
    </row>
    <row r="183">
      <c r="A183" s="33" t="inlineStr">
        <is>
          <t>VKM-019</t>
        </is>
      </c>
      <c r="B183" s="33" t="inlineStr">
        <is>
          <t>Мурманская треска со сливочно-горчичным соусом</t>
        </is>
      </c>
      <c r="C183" s="33" t="inlineStr">
        <is>
          <t>Доставка</t>
        </is>
      </c>
      <c r="D183" s="46" t="n">
        <v>0.3</v>
      </c>
      <c r="E183" s="46" t="n">
        <v>371.43417</v>
      </c>
      <c r="F183" s="46" t="n">
        <v>65</v>
      </c>
      <c r="G183" s="46" t="n">
        <v>1454.780566</v>
      </c>
      <c r="H183" s="46" t="n">
        <v>0.25532</v>
      </c>
      <c r="I183" s="46" t="n">
        <v>1083.346396</v>
      </c>
      <c r="J183" s="46" t="n">
        <v>1018.346396</v>
      </c>
      <c r="K183" s="46" t="n"/>
      <c r="L183" s="46" t="n"/>
      <c r="M183" s="33" t="inlineStr">
        <is>
          <t>ASSUMPTION_BLOCKED_PENDING_VALIDATION</t>
        </is>
      </c>
      <c r="N183" s="33" t="inlineStr">
        <is>
          <t>LOW_CONFIDENCE</t>
        </is>
      </c>
      <c r="O183" s="33" t="inlineStr">
        <is>
          <t>OPEN</t>
        </is>
      </c>
      <c r="P183" s="33" t="inlineStr">
        <is>
          <t>Planning scenario, not approved project price; tax, commission and quoted packaging remain excluded/blocked</t>
        </is>
      </c>
    </row>
    <row r="184">
      <c r="A184" s="33" t="inlineStr">
        <is>
          <t>VKM-020</t>
        </is>
      </c>
      <c r="B184" s="33" t="inlineStr">
        <is>
          <t>Креветки по-тайски</t>
        </is>
      </c>
      <c r="C184" s="33" t="inlineStr">
        <is>
          <t>À la carte</t>
        </is>
      </c>
      <c r="D184" s="46" t="n">
        <v>0.3</v>
      </c>
      <c r="E184" s="46" t="n">
        <v>357.352751</v>
      </c>
      <c r="F184" s="46" t="n">
        <v>0</v>
      </c>
      <c r="G184" s="46" t="n">
        <v>1191.175838</v>
      </c>
      <c r="H184" s="46" t="n">
        <v>0.3</v>
      </c>
      <c r="I184" s="46" t="n">
        <v>833.823086</v>
      </c>
      <c r="J184" s="46" t="n">
        <v>833.823086</v>
      </c>
      <c r="K184" s="46" t="n"/>
      <c r="L184" s="46" t="n"/>
      <c r="M184" s="33" t="inlineStr">
        <is>
          <t>ASSUMPTION_BLOCKED_PENDING_VALIDATION</t>
        </is>
      </c>
      <c r="N184" s="33" t="inlineStr">
        <is>
          <t>LOW_CONFIDENCE</t>
        </is>
      </c>
      <c r="O184" s="33" t="inlineStr">
        <is>
          <t>OPEN</t>
        </is>
      </c>
      <c r="P184" s="33" t="inlineStr">
        <is>
          <t>Planning scenario, not approved project price; tax, commission and quoted packaging remain excluded/blocked</t>
        </is>
      </c>
    </row>
    <row r="185">
      <c r="A185" s="33" t="inlineStr">
        <is>
          <t>VKM-020</t>
        </is>
      </c>
      <c r="B185" s="33" t="inlineStr">
        <is>
          <t>Креветки по-тайски</t>
        </is>
      </c>
      <c r="C185" s="33" t="inlineStr">
        <is>
          <t>Бизнес-ланч</t>
        </is>
      </c>
      <c r="D185" s="46" t="n">
        <v>0.4</v>
      </c>
      <c r="E185" s="46" t="n">
        <v>357.352751</v>
      </c>
      <c r="F185" s="46" t="n">
        <v>0</v>
      </c>
      <c r="G185" s="46" t="n">
        <v>893.381878</v>
      </c>
      <c r="H185" s="46" t="n">
        <v>0.4</v>
      </c>
      <c r="I185" s="46" t="n">
        <v>536.029127</v>
      </c>
      <c r="J185" s="46" t="n">
        <v>536.029127</v>
      </c>
      <c r="K185" s="46" t="n"/>
      <c r="L185" s="46" t="n"/>
      <c r="M185" s="33" t="inlineStr">
        <is>
          <t>ASSUMPTION_BLOCKED_PENDING_VALIDATION</t>
        </is>
      </c>
      <c r="N185" s="33" t="inlineStr">
        <is>
          <t>LOW_CONFIDENCE</t>
        </is>
      </c>
      <c r="O185" s="33" t="inlineStr">
        <is>
          <t>OPEN</t>
        </is>
      </c>
      <c r="P185" s="33" t="inlineStr">
        <is>
          <t>Planning scenario, not approved project price; tax, commission and quoted packaging remain excluded/blocked</t>
        </is>
      </c>
    </row>
    <row r="186">
      <c r="A186" s="33" t="inlineStr">
        <is>
          <t>VKM-020</t>
        </is>
      </c>
      <c r="B186" s="33" t="inlineStr">
        <is>
          <t>Креветки по-тайски</t>
        </is>
      </c>
      <c r="C186" s="33" t="inlineStr">
        <is>
          <t>Гостиничные ужины</t>
        </is>
      </c>
      <c r="D186" s="46" t="n">
        <v>0.3</v>
      </c>
      <c r="E186" s="46" t="n">
        <v>357.352751</v>
      </c>
      <c r="F186" s="46" t="n">
        <v>0</v>
      </c>
      <c r="G186" s="46" t="n">
        <v>1191.175838</v>
      </c>
      <c r="H186" s="46" t="n">
        <v>0.3</v>
      </c>
      <c r="I186" s="46" t="n">
        <v>833.823086</v>
      </c>
      <c r="J186" s="46" t="n">
        <v>833.823086</v>
      </c>
      <c r="K186" s="46" t="n"/>
      <c r="L186" s="46" t="n"/>
      <c r="M186" s="33" t="inlineStr">
        <is>
          <t>ASSUMPTION_BLOCKED_PENDING_VALIDATION</t>
        </is>
      </c>
      <c r="N186" s="33" t="inlineStr">
        <is>
          <t>LOW_CONFIDENCE</t>
        </is>
      </c>
      <c r="O186" s="33" t="inlineStr">
        <is>
          <t>OPEN</t>
        </is>
      </c>
      <c r="P186" s="33" t="inlineStr">
        <is>
          <t>Planning scenario, not approved project price; tax, commission and quoted packaging remain excluded/blocked</t>
        </is>
      </c>
    </row>
    <row r="187">
      <c r="A187" s="33" t="inlineStr">
        <is>
          <t>VKM-020</t>
        </is>
      </c>
      <c r="B187" s="33" t="inlineStr">
        <is>
          <t>Креветки по-тайски</t>
        </is>
      </c>
      <c r="C187" s="33" t="inlineStr">
        <is>
          <t>Доставка</t>
        </is>
      </c>
      <c r="D187" s="46" t="n">
        <v>0.3</v>
      </c>
      <c r="E187" s="46" t="n">
        <v>357.352751</v>
      </c>
      <c r="F187" s="46" t="n">
        <v>65</v>
      </c>
      <c r="G187" s="46" t="n">
        <v>1407.842504</v>
      </c>
      <c r="H187" s="46" t="n">
        <v>0.25383</v>
      </c>
      <c r="I187" s="46" t="n">
        <v>1050.489753</v>
      </c>
      <c r="J187" s="46" t="n">
        <v>985.489753</v>
      </c>
      <c r="K187" s="46" t="n"/>
      <c r="L187" s="46" t="n"/>
      <c r="M187" s="33" t="inlineStr">
        <is>
          <t>ASSUMPTION_BLOCKED_PENDING_VALIDATION</t>
        </is>
      </c>
      <c r="N187" s="33" t="inlineStr">
        <is>
          <t>LOW_CONFIDENCE</t>
        </is>
      </c>
      <c r="O187" s="33" t="inlineStr">
        <is>
          <t>OPEN</t>
        </is>
      </c>
      <c r="P187" s="33" t="inlineStr">
        <is>
          <t>Planning scenario, not approved project price; tax, commission and quoted packaging remain excluded/blocked</t>
        </is>
      </c>
    </row>
    <row r="188">
      <c r="A188" s="33" t="inlineStr">
        <is>
          <t>VKM-021</t>
        </is>
      </c>
      <c r="B188" s="33" t="inlineStr">
        <is>
          <t>Бургер VARSHAVKA</t>
        </is>
      </c>
      <c r="C188" s="33" t="inlineStr">
        <is>
          <t>À la carte</t>
        </is>
      </c>
      <c r="D188" s="46" t="n">
        <v>0.3</v>
      </c>
      <c r="E188" s="46" t="n">
        <v>230.361685</v>
      </c>
      <c r="F188" s="46" t="n">
        <v>0</v>
      </c>
      <c r="G188" s="46" t="n">
        <v>767.872285</v>
      </c>
      <c r="H188" s="46" t="n">
        <v>0.3</v>
      </c>
      <c r="I188" s="46" t="n">
        <v>537.510599</v>
      </c>
      <c r="J188" s="46" t="n">
        <v>537.510599</v>
      </c>
      <c r="K188" s="46" t="n"/>
      <c r="L188" s="46" t="n"/>
      <c r="M188" s="33" t="inlineStr">
        <is>
          <t>ASSUMPTION_BLOCKED_PENDING_VALIDATION</t>
        </is>
      </c>
      <c r="N188" s="33" t="inlineStr">
        <is>
          <t>LOW_CONFIDENCE</t>
        </is>
      </c>
      <c r="O188" s="33" t="inlineStr">
        <is>
          <t>OPEN</t>
        </is>
      </c>
      <c r="P188" s="33" t="inlineStr">
        <is>
          <t>Planning scenario, not approved project price; tax, commission and quoted packaging remain excluded/blocked</t>
        </is>
      </c>
    </row>
    <row r="189">
      <c r="A189" s="33" t="inlineStr">
        <is>
          <t>VKM-021</t>
        </is>
      </c>
      <c r="B189" s="33" t="inlineStr">
        <is>
          <t>Бургер VARSHAVKA</t>
        </is>
      </c>
      <c r="C189" s="33" t="inlineStr">
        <is>
          <t>Бизнес-ланч</t>
        </is>
      </c>
      <c r="D189" s="46" t="n">
        <v>0.4</v>
      </c>
      <c r="E189" s="46" t="n">
        <v>230.361685</v>
      </c>
      <c r="F189" s="46" t="n">
        <v>0</v>
      </c>
      <c r="G189" s="46" t="n">
        <v>575.904214</v>
      </c>
      <c r="H189" s="46" t="n">
        <v>0.4</v>
      </c>
      <c r="I189" s="46" t="n">
        <v>345.542528</v>
      </c>
      <c r="J189" s="46" t="n">
        <v>345.542528</v>
      </c>
      <c r="K189" s="46" t="n"/>
      <c r="L189" s="46" t="n"/>
      <c r="M189" s="33" t="inlineStr">
        <is>
          <t>ASSUMPTION_BLOCKED_PENDING_VALIDATION</t>
        </is>
      </c>
      <c r="N189" s="33" t="inlineStr">
        <is>
          <t>LOW_CONFIDENCE</t>
        </is>
      </c>
      <c r="O189" s="33" t="inlineStr">
        <is>
          <t>OPEN</t>
        </is>
      </c>
      <c r="P189" s="33" t="inlineStr">
        <is>
          <t>Planning scenario, not approved project price; tax, commission and quoted packaging remain excluded/blocked</t>
        </is>
      </c>
    </row>
    <row r="190">
      <c r="A190" s="33" t="inlineStr">
        <is>
          <t>VKM-021</t>
        </is>
      </c>
      <c r="B190" s="33" t="inlineStr">
        <is>
          <t>Бургер VARSHAVKA</t>
        </is>
      </c>
      <c r="C190" s="33" t="inlineStr">
        <is>
          <t>Гостиничные ужины</t>
        </is>
      </c>
      <c r="D190" s="46" t="n">
        <v>0.3</v>
      </c>
      <c r="E190" s="46" t="n">
        <v>230.361685</v>
      </c>
      <c r="F190" s="46" t="n">
        <v>0</v>
      </c>
      <c r="G190" s="46" t="n">
        <v>767.872285</v>
      </c>
      <c r="H190" s="46" t="n">
        <v>0.3</v>
      </c>
      <c r="I190" s="46" t="n">
        <v>537.510599</v>
      </c>
      <c r="J190" s="46" t="n">
        <v>537.510599</v>
      </c>
      <c r="K190" s="46" t="n"/>
      <c r="L190" s="46" t="n"/>
      <c r="M190" s="33" t="inlineStr">
        <is>
          <t>ASSUMPTION_BLOCKED_PENDING_VALIDATION</t>
        </is>
      </c>
      <c r="N190" s="33" t="inlineStr">
        <is>
          <t>LOW_CONFIDENCE</t>
        </is>
      </c>
      <c r="O190" s="33" t="inlineStr">
        <is>
          <t>OPEN</t>
        </is>
      </c>
      <c r="P190" s="33" t="inlineStr">
        <is>
          <t>Planning scenario, not approved project price; tax, commission and quoted packaging remain excluded/blocked</t>
        </is>
      </c>
    </row>
    <row r="191">
      <c r="A191" s="33" t="inlineStr">
        <is>
          <t>VKM-021</t>
        </is>
      </c>
      <c r="B191" s="33" t="inlineStr">
        <is>
          <t>Бургер VARSHAVKA</t>
        </is>
      </c>
      <c r="C191" s="33" t="inlineStr">
        <is>
          <t>Доставка</t>
        </is>
      </c>
      <c r="D191" s="46" t="n">
        <v>0.3</v>
      </c>
      <c r="E191" s="46" t="n">
        <v>230.361685</v>
      </c>
      <c r="F191" s="46" t="n">
        <v>65</v>
      </c>
      <c r="G191" s="46" t="n">
        <v>984.538952</v>
      </c>
      <c r="H191" s="46" t="n">
        <v>0.233979</v>
      </c>
      <c r="I191" s="46" t="n">
        <v>754.177266</v>
      </c>
      <c r="J191" s="46" t="n">
        <v>689.177266</v>
      </c>
      <c r="K191" s="46" t="n"/>
      <c r="L191" s="46" t="n"/>
      <c r="M191" s="33" t="inlineStr">
        <is>
          <t>ASSUMPTION_BLOCKED_PENDING_VALIDATION</t>
        </is>
      </c>
      <c r="N191" s="33" t="inlineStr">
        <is>
          <t>LOW_CONFIDENCE</t>
        </is>
      </c>
      <c r="O191" s="33" t="inlineStr">
        <is>
          <t>OPEN</t>
        </is>
      </c>
      <c r="P191" s="33" t="inlineStr">
        <is>
          <t>Planning scenario, not approved project price; tax, commission and quoted packaging remain excluded/blocked</t>
        </is>
      </c>
    </row>
    <row r="192">
      <c r="A192" s="33" t="inlineStr">
        <is>
          <t>VKM-022</t>
        </is>
      </c>
      <c r="B192" s="33" t="inlineStr">
        <is>
          <t>Миньоны из говяжьей вырезки</t>
        </is>
      </c>
      <c r="C192" s="33" t="inlineStr">
        <is>
          <t>À la carte</t>
        </is>
      </c>
      <c r="D192" s="46" t="n">
        <v>0.3</v>
      </c>
      <c r="E192" s="46" t="n">
        <v>326.767996</v>
      </c>
      <c r="F192" s="46" t="n">
        <v>0</v>
      </c>
      <c r="G192" s="46" t="n">
        <v>1089.226653</v>
      </c>
      <c r="H192" s="46" t="n">
        <v>0.3</v>
      </c>
      <c r="I192" s="46" t="n">
        <v>762.458657</v>
      </c>
      <c r="J192" s="46" t="n">
        <v>762.458657</v>
      </c>
      <c r="K192" s="46" t="n"/>
      <c r="L192" s="46" t="n"/>
      <c r="M192" s="33" t="inlineStr">
        <is>
          <t>ASSUMPTION_BLOCKED_PENDING_VALIDATION</t>
        </is>
      </c>
      <c r="N192" s="33" t="inlineStr">
        <is>
          <t>LOW_CONFIDENCE</t>
        </is>
      </c>
      <c r="O192" s="33" t="inlineStr">
        <is>
          <t>OPEN</t>
        </is>
      </c>
      <c r="P192" s="33" t="inlineStr">
        <is>
          <t>Planning scenario, not approved project price; tax, commission and quoted packaging remain excluded/blocked</t>
        </is>
      </c>
    </row>
    <row r="193">
      <c r="A193" s="33" t="inlineStr">
        <is>
          <t>VKM-022</t>
        </is>
      </c>
      <c r="B193" s="33" t="inlineStr">
        <is>
          <t>Миньоны из говяжьей вырезки</t>
        </is>
      </c>
      <c r="C193" s="33" t="inlineStr">
        <is>
          <t>Бизнес-ланч</t>
        </is>
      </c>
      <c r="D193" s="46" t="n">
        <v>0.4</v>
      </c>
      <c r="E193" s="46" t="n">
        <v>326.767996</v>
      </c>
      <c r="F193" s="46" t="n">
        <v>0</v>
      </c>
      <c r="G193" s="46" t="n">
        <v>816.91999</v>
      </c>
      <c r="H193" s="46" t="n">
        <v>0.4</v>
      </c>
      <c r="I193" s="46" t="n">
        <v>490.151994</v>
      </c>
      <c r="J193" s="46" t="n">
        <v>490.151994</v>
      </c>
      <c r="K193" s="46" t="n"/>
      <c r="L193" s="46" t="n"/>
      <c r="M193" s="33" t="inlineStr">
        <is>
          <t>ASSUMPTION_BLOCKED_PENDING_VALIDATION</t>
        </is>
      </c>
      <c r="N193" s="33" t="inlineStr">
        <is>
          <t>LOW_CONFIDENCE</t>
        </is>
      </c>
      <c r="O193" s="33" t="inlineStr">
        <is>
          <t>OPEN</t>
        </is>
      </c>
      <c r="P193" s="33" t="inlineStr">
        <is>
          <t>Planning scenario, not approved project price; tax, commission and quoted packaging remain excluded/blocked</t>
        </is>
      </c>
    </row>
    <row r="194">
      <c r="A194" s="33" t="inlineStr">
        <is>
          <t>VKM-022</t>
        </is>
      </c>
      <c r="B194" s="33" t="inlineStr">
        <is>
          <t>Миньоны из говяжьей вырезки</t>
        </is>
      </c>
      <c r="C194" s="33" t="inlineStr">
        <is>
          <t>Гостиничные ужины</t>
        </is>
      </c>
      <c r="D194" s="46" t="n">
        <v>0.3</v>
      </c>
      <c r="E194" s="46" t="n">
        <v>326.767996</v>
      </c>
      <c r="F194" s="46" t="n">
        <v>0</v>
      </c>
      <c r="G194" s="46" t="n">
        <v>1089.226653</v>
      </c>
      <c r="H194" s="46" t="n">
        <v>0.3</v>
      </c>
      <c r="I194" s="46" t="n">
        <v>762.458657</v>
      </c>
      <c r="J194" s="46" t="n">
        <v>762.458657</v>
      </c>
      <c r="K194" s="46" t="n"/>
      <c r="L194" s="46" t="n"/>
      <c r="M194" s="33" t="inlineStr">
        <is>
          <t>ASSUMPTION_BLOCKED_PENDING_VALIDATION</t>
        </is>
      </c>
      <c r="N194" s="33" t="inlineStr">
        <is>
          <t>LOW_CONFIDENCE</t>
        </is>
      </c>
      <c r="O194" s="33" t="inlineStr">
        <is>
          <t>OPEN</t>
        </is>
      </c>
      <c r="P194" s="33" t="inlineStr">
        <is>
          <t>Planning scenario, not approved project price; tax, commission and quoted packaging remain excluded/blocked</t>
        </is>
      </c>
    </row>
    <row r="195">
      <c r="A195" s="33" t="inlineStr">
        <is>
          <t>VKM-022</t>
        </is>
      </c>
      <c r="B195" s="33" t="inlineStr">
        <is>
          <t>Миньоны из говяжьей вырезки</t>
        </is>
      </c>
      <c r="C195" s="33" t="inlineStr">
        <is>
          <t>Доставка</t>
        </is>
      </c>
      <c r="D195" s="46" t="n">
        <v>0.3</v>
      </c>
      <c r="E195" s="46" t="n">
        <v>326.767996</v>
      </c>
      <c r="F195" s="46" t="n">
        <v>65</v>
      </c>
      <c r="G195" s="46" t="n">
        <v>1305.89332</v>
      </c>
      <c r="H195" s="46" t="n">
        <v>0.250226</v>
      </c>
      <c r="I195" s="46" t="n">
        <v>979.125324</v>
      </c>
      <c r="J195" s="46" t="n">
        <v>914.125324</v>
      </c>
      <c r="K195" s="46" t="n"/>
      <c r="L195" s="46" t="n"/>
      <c r="M195" s="33" t="inlineStr">
        <is>
          <t>ASSUMPTION_BLOCKED_PENDING_VALIDATION</t>
        </is>
      </c>
      <c r="N195" s="33" t="inlineStr">
        <is>
          <t>LOW_CONFIDENCE</t>
        </is>
      </c>
      <c r="O195" s="33" t="inlineStr">
        <is>
          <t>OPEN</t>
        </is>
      </c>
      <c r="P195" s="33" t="inlineStr">
        <is>
          <t>Planning scenario, not approved project price; tax, commission and quoted packaging remain excluded/blocked</t>
        </is>
      </c>
    </row>
    <row r="196">
      <c r="A196" s="33" t="inlineStr">
        <is>
          <t>VKM-023</t>
        </is>
      </c>
      <c r="B196" s="33" t="inlineStr">
        <is>
          <t>Запечённый картофель</t>
        </is>
      </c>
      <c r="C196" s="33" t="inlineStr">
        <is>
          <t>À la carte</t>
        </is>
      </c>
      <c r="D196" s="46" t="n">
        <v>0.3</v>
      </c>
      <c r="E196" s="46" t="n">
        <v>19.947533</v>
      </c>
      <c r="F196" s="46" t="n">
        <v>0</v>
      </c>
      <c r="G196" s="46" t="n">
        <v>66.491776</v>
      </c>
      <c r="H196" s="46" t="n">
        <v>0.3</v>
      </c>
      <c r="I196" s="46" t="n">
        <v>46.544243</v>
      </c>
      <c r="J196" s="46" t="n">
        <v>46.544243</v>
      </c>
      <c r="K196" s="46" t="n"/>
      <c r="L196" s="46" t="n"/>
      <c r="M196" s="33" t="inlineStr">
        <is>
          <t>ASSUMPTION_BLOCKED_PENDING_VALIDATION</t>
        </is>
      </c>
      <c r="N196" s="33" t="inlineStr">
        <is>
          <t>LOW_CONFIDENCE</t>
        </is>
      </c>
      <c r="O196" s="33" t="inlineStr">
        <is>
          <t>OPEN</t>
        </is>
      </c>
      <c r="P196" s="33" t="inlineStr">
        <is>
          <t>Planning scenario, not approved project price; tax, commission and quoted packaging remain excluded/blocked</t>
        </is>
      </c>
    </row>
    <row r="197">
      <c r="A197" s="33" t="inlineStr">
        <is>
          <t>VKM-023</t>
        </is>
      </c>
      <c r="B197" s="33" t="inlineStr">
        <is>
          <t>Запечённый картофель</t>
        </is>
      </c>
      <c r="C197" s="33" t="inlineStr">
        <is>
          <t>Бизнес-ланч</t>
        </is>
      </c>
      <c r="D197" s="46" t="n">
        <v>0.4</v>
      </c>
      <c r="E197" s="46" t="n">
        <v>19.947533</v>
      </c>
      <c r="F197" s="46" t="n">
        <v>0</v>
      </c>
      <c r="G197" s="46" t="n">
        <v>49.868832</v>
      </c>
      <c r="H197" s="46" t="n">
        <v>0.4</v>
      </c>
      <c r="I197" s="46" t="n">
        <v>29.921299</v>
      </c>
      <c r="J197" s="46" t="n">
        <v>29.921299</v>
      </c>
      <c r="K197" s="46" t="n"/>
      <c r="L197" s="46" t="n"/>
      <c r="M197" s="33" t="inlineStr">
        <is>
          <t>ASSUMPTION_BLOCKED_PENDING_VALIDATION</t>
        </is>
      </c>
      <c r="N197" s="33" t="inlineStr">
        <is>
          <t>LOW_CONFIDENCE</t>
        </is>
      </c>
      <c r="O197" s="33" t="inlineStr">
        <is>
          <t>OPEN</t>
        </is>
      </c>
      <c r="P197" s="33" t="inlineStr">
        <is>
          <t>Planning scenario, not approved project price; tax, commission and quoted packaging remain excluded/blocked</t>
        </is>
      </c>
    </row>
    <row r="198">
      <c r="A198" s="33" t="inlineStr">
        <is>
          <t>VKM-023</t>
        </is>
      </c>
      <c r="B198" s="33" t="inlineStr">
        <is>
          <t>Запечённый картофель</t>
        </is>
      </c>
      <c r="C198" s="33" t="inlineStr">
        <is>
          <t>Гостиничные ужины</t>
        </is>
      </c>
      <c r="D198" s="46" t="n">
        <v>0.3</v>
      </c>
      <c r="E198" s="46" t="n">
        <v>19.947533</v>
      </c>
      <c r="F198" s="46" t="n">
        <v>0</v>
      </c>
      <c r="G198" s="46" t="n">
        <v>66.491776</v>
      </c>
      <c r="H198" s="46" t="n">
        <v>0.3</v>
      </c>
      <c r="I198" s="46" t="n">
        <v>46.544243</v>
      </c>
      <c r="J198" s="46" t="n">
        <v>46.544243</v>
      </c>
      <c r="K198" s="46" t="n"/>
      <c r="L198" s="46" t="n"/>
      <c r="M198" s="33" t="inlineStr">
        <is>
          <t>ASSUMPTION_BLOCKED_PENDING_VALIDATION</t>
        </is>
      </c>
      <c r="N198" s="33" t="inlineStr">
        <is>
          <t>LOW_CONFIDENCE</t>
        </is>
      </c>
      <c r="O198" s="33" t="inlineStr">
        <is>
          <t>OPEN</t>
        </is>
      </c>
      <c r="P198" s="33" t="inlineStr">
        <is>
          <t>Planning scenario, not approved project price; tax, commission and quoted packaging remain excluded/blocked</t>
        </is>
      </c>
    </row>
    <row r="199">
      <c r="A199" s="33" t="inlineStr">
        <is>
          <t>VKM-024</t>
        </is>
      </c>
      <c r="B199" s="33" t="inlineStr">
        <is>
          <t>Рис жасмин</t>
        </is>
      </c>
      <c r="C199" s="33" t="inlineStr">
        <is>
          <t>À la carte</t>
        </is>
      </c>
      <c r="D199" s="46" t="n">
        <v>0.3</v>
      </c>
      <c r="E199" s="46" t="n">
        <v>24.566642</v>
      </c>
      <c r="F199" s="46" t="n">
        <v>0</v>
      </c>
      <c r="G199" s="46" t="n">
        <v>81.888808</v>
      </c>
      <c r="H199" s="46" t="n">
        <v>0.3</v>
      </c>
      <c r="I199" s="46" t="n">
        <v>57.322166</v>
      </c>
      <c r="J199" s="46" t="n">
        <v>57.322166</v>
      </c>
      <c r="K199" s="46" t="n"/>
      <c r="L199" s="46" t="n"/>
      <c r="M199" s="33" t="inlineStr">
        <is>
          <t>ASSUMPTION_BLOCKED_PENDING_VALIDATION</t>
        </is>
      </c>
      <c r="N199" s="33" t="inlineStr">
        <is>
          <t>LOW_CONFIDENCE</t>
        </is>
      </c>
      <c r="O199" s="33" t="inlineStr">
        <is>
          <t>OPEN</t>
        </is>
      </c>
      <c r="P199" s="33" t="inlineStr">
        <is>
          <t>Planning scenario, not approved project price; tax, commission and quoted packaging remain excluded/blocked</t>
        </is>
      </c>
    </row>
    <row r="200">
      <c r="A200" s="33" t="inlineStr">
        <is>
          <t>VKM-024</t>
        </is>
      </c>
      <c r="B200" s="33" t="inlineStr">
        <is>
          <t>Рис жасмин</t>
        </is>
      </c>
      <c r="C200" s="33" t="inlineStr">
        <is>
          <t>Бизнес-ланч</t>
        </is>
      </c>
      <c r="D200" s="46" t="n">
        <v>0.4</v>
      </c>
      <c r="E200" s="46" t="n">
        <v>24.566642</v>
      </c>
      <c r="F200" s="46" t="n">
        <v>0</v>
      </c>
      <c r="G200" s="46" t="n">
        <v>61.416606</v>
      </c>
      <c r="H200" s="46" t="n">
        <v>0.4</v>
      </c>
      <c r="I200" s="46" t="n">
        <v>36.849964</v>
      </c>
      <c r="J200" s="46" t="n">
        <v>36.849964</v>
      </c>
      <c r="K200" s="46" t="n"/>
      <c r="L200" s="46" t="n"/>
      <c r="M200" s="33" t="inlineStr">
        <is>
          <t>ASSUMPTION_BLOCKED_PENDING_VALIDATION</t>
        </is>
      </c>
      <c r="N200" s="33" t="inlineStr">
        <is>
          <t>LOW_CONFIDENCE</t>
        </is>
      </c>
      <c r="O200" s="33" t="inlineStr">
        <is>
          <t>OPEN</t>
        </is>
      </c>
      <c r="P200" s="33" t="inlineStr">
        <is>
          <t>Planning scenario, not approved project price; tax, commission and quoted packaging remain excluded/blocked</t>
        </is>
      </c>
    </row>
    <row r="201">
      <c r="A201" s="33" t="inlineStr">
        <is>
          <t>VKM-024</t>
        </is>
      </c>
      <c r="B201" s="33" t="inlineStr">
        <is>
          <t>Рис жасмин</t>
        </is>
      </c>
      <c r="C201" s="33" t="inlineStr">
        <is>
          <t>Гостиничные ужины</t>
        </is>
      </c>
      <c r="D201" s="46" t="n">
        <v>0.3</v>
      </c>
      <c r="E201" s="46" t="n">
        <v>24.566642</v>
      </c>
      <c r="F201" s="46" t="n">
        <v>0</v>
      </c>
      <c r="G201" s="46" t="n">
        <v>81.888808</v>
      </c>
      <c r="H201" s="46" t="n">
        <v>0.3</v>
      </c>
      <c r="I201" s="46" t="n">
        <v>57.322166</v>
      </c>
      <c r="J201" s="46" t="n">
        <v>57.322166</v>
      </c>
      <c r="K201" s="46" t="n"/>
      <c r="L201" s="46" t="n"/>
      <c r="M201" s="33" t="inlineStr">
        <is>
          <t>ASSUMPTION_BLOCKED_PENDING_VALIDATION</t>
        </is>
      </c>
      <c r="N201" s="33" t="inlineStr">
        <is>
          <t>LOW_CONFIDENCE</t>
        </is>
      </c>
      <c r="O201" s="33" t="inlineStr">
        <is>
          <t>OPEN</t>
        </is>
      </c>
      <c r="P201" s="33" t="inlineStr">
        <is>
          <t>Planning scenario, not approved project price; tax, commission and quoted packaging remain excluded/blocked</t>
        </is>
      </c>
    </row>
    <row r="202">
      <c r="A202" s="33" t="inlineStr">
        <is>
          <t>VKM-025</t>
        </is>
      </c>
      <c r="B202" s="33" t="inlineStr">
        <is>
          <t>Горячие овощи</t>
        </is>
      </c>
      <c r="C202" s="33" t="inlineStr">
        <is>
          <t>À la carte</t>
        </is>
      </c>
      <c r="D202" s="46" t="n">
        <v>0.3</v>
      </c>
      <c r="E202" s="46" t="n">
        <v>48.880659</v>
      </c>
      <c r="F202" s="46" t="n">
        <v>0</v>
      </c>
      <c r="G202" s="46" t="n">
        <v>162.93553</v>
      </c>
      <c r="H202" s="46" t="n">
        <v>0.3</v>
      </c>
      <c r="I202" s="46" t="n">
        <v>114.054871</v>
      </c>
      <c r="J202" s="46" t="n">
        <v>114.054871</v>
      </c>
      <c r="K202" s="46" t="n"/>
      <c r="L202" s="46" t="n"/>
      <c r="M202" s="33" t="inlineStr">
        <is>
          <t>ASSUMPTION_BLOCKED_PENDING_VALIDATION</t>
        </is>
      </c>
      <c r="N202" s="33" t="inlineStr">
        <is>
          <t>LOW_CONFIDENCE</t>
        </is>
      </c>
      <c r="O202" s="33" t="inlineStr">
        <is>
          <t>OPEN</t>
        </is>
      </c>
      <c r="P202" s="33" t="inlineStr">
        <is>
          <t>Planning scenario, not approved project price; tax, commission and quoted packaging remain excluded/blocked</t>
        </is>
      </c>
    </row>
    <row r="203">
      <c r="A203" s="33" t="inlineStr">
        <is>
          <t>VKM-025</t>
        </is>
      </c>
      <c r="B203" s="33" t="inlineStr">
        <is>
          <t>Горячие овощи</t>
        </is>
      </c>
      <c r="C203" s="33" t="inlineStr">
        <is>
          <t>Бизнес-ланч</t>
        </is>
      </c>
      <c r="D203" s="46" t="n">
        <v>0.4</v>
      </c>
      <c r="E203" s="46" t="n">
        <v>48.880659</v>
      </c>
      <c r="F203" s="46" t="n">
        <v>0</v>
      </c>
      <c r="G203" s="46" t="n">
        <v>122.201648</v>
      </c>
      <c r="H203" s="46" t="n">
        <v>0.4</v>
      </c>
      <c r="I203" s="46" t="n">
        <v>73.320989</v>
      </c>
      <c r="J203" s="46" t="n">
        <v>73.320989</v>
      </c>
      <c r="K203" s="46" t="n"/>
      <c r="L203" s="46" t="n"/>
      <c r="M203" s="33" t="inlineStr">
        <is>
          <t>ASSUMPTION_BLOCKED_PENDING_VALIDATION</t>
        </is>
      </c>
      <c r="N203" s="33" t="inlineStr">
        <is>
          <t>LOW_CONFIDENCE</t>
        </is>
      </c>
      <c r="O203" s="33" t="inlineStr">
        <is>
          <t>OPEN</t>
        </is>
      </c>
      <c r="P203" s="33" t="inlineStr">
        <is>
          <t>Planning scenario, not approved project price; tax, commission and quoted packaging remain excluded/blocked</t>
        </is>
      </c>
    </row>
    <row r="204">
      <c r="A204" s="33" t="inlineStr">
        <is>
          <t>VKM-025</t>
        </is>
      </c>
      <c r="B204" s="33" t="inlineStr">
        <is>
          <t>Горячие овощи</t>
        </is>
      </c>
      <c r="C204" s="33" t="inlineStr">
        <is>
          <t>Гостиничные ужины</t>
        </is>
      </c>
      <c r="D204" s="46" t="n">
        <v>0.3</v>
      </c>
      <c r="E204" s="46" t="n">
        <v>48.880659</v>
      </c>
      <c r="F204" s="46" t="n">
        <v>0</v>
      </c>
      <c r="G204" s="46" t="n">
        <v>162.93553</v>
      </c>
      <c r="H204" s="46" t="n">
        <v>0.3</v>
      </c>
      <c r="I204" s="46" t="n">
        <v>114.054871</v>
      </c>
      <c r="J204" s="46" t="n">
        <v>114.054871</v>
      </c>
      <c r="K204" s="46" t="n"/>
      <c r="L204" s="46" t="n"/>
      <c r="M204" s="33" t="inlineStr">
        <is>
          <t>ASSUMPTION_BLOCKED_PENDING_VALIDATION</t>
        </is>
      </c>
      <c r="N204" s="33" t="inlineStr">
        <is>
          <t>LOW_CONFIDENCE</t>
        </is>
      </c>
      <c r="O204" s="33" t="inlineStr">
        <is>
          <t>OPEN</t>
        </is>
      </c>
      <c r="P204" s="33" t="inlineStr">
        <is>
          <t>Planning scenario, not approved project price; tax, commission and quoted packaging remain excluded/blocked</t>
        </is>
      </c>
    </row>
    <row r="205">
      <c r="A205" s="33" t="inlineStr">
        <is>
          <t>VKM-029</t>
        </is>
      </c>
      <c r="B205" s="33" t="inlineStr">
        <is>
          <t>Черничный торт VARSHAVKA</t>
        </is>
      </c>
      <c r="C205" s="33" t="inlineStr">
        <is>
          <t>À la carte</t>
        </is>
      </c>
      <c r="D205" s="46" t="n">
        <v>0.3</v>
      </c>
      <c r="E205" s="46" t="n">
        <v>909.6764930000001</v>
      </c>
      <c r="F205" s="46" t="n">
        <v>0</v>
      </c>
      <c r="G205" s="46" t="n">
        <v>3032.254977</v>
      </c>
      <c r="H205" s="46" t="n">
        <v>0.3</v>
      </c>
      <c r="I205" s="46" t="n">
        <v>2122.578484</v>
      </c>
      <c r="J205" s="46" t="n">
        <v>2122.578484</v>
      </c>
      <c r="K205" s="46" t="n"/>
      <c r="L205" s="46" t="n"/>
      <c r="M205" s="33" t="inlineStr">
        <is>
          <t>ASSUMPTION_BLOCKED_PENDING_VALIDATION</t>
        </is>
      </c>
      <c r="N205" s="33" t="inlineStr">
        <is>
          <t>LOW_CONFIDENCE</t>
        </is>
      </c>
      <c r="O205" s="33" t="inlineStr">
        <is>
          <t>OPEN</t>
        </is>
      </c>
      <c r="P205" s="33" t="inlineStr">
        <is>
          <t>Planning scenario, not approved project price; tax, commission and quoted packaging remain excluded/blocked</t>
        </is>
      </c>
    </row>
    <row r="206">
      <c r="A206" s="33" t="inlineStr">
        <is>
          <t>VKM-029</t>
        </is>
      </c>
      <c r="B206" s="33" t="inlineStr">
        <is>
          <t>Черничный торт VARSHAVKA</t>
        </is>
      </c>
      <c r="C206" s="33" t="inlineStr">
        <is>
          <t>Навынос</t>
        </is>
      </c>
      <c r="D206" s="46" t="n">
        <v>0.428571</v>
      </c>
      <c r="E206" s="46" t="n">
        <v>909.6764930000001</v>
      </c>
      <c r="F206" s="46" t="n">
        <v>40</v>
      </c>
      <c r="G206" s="46" t="n">
        <v>2215.914033</v>
      </c>
      <c r="H206" s="46" t="n">
        <v>0.41052</v>
      </c>
      <c r="I206" s="46" t="n">
        <v>1306.23754</v>
      </c>
      <c r="J206" s="46" t="n">
        <v>1266.23754</v>
      </c>
      <c r="K206" s="46" t="n"/>
      <c r="L206" s="46" t="n"/>
      <c r="M206" s="33" t="inlineStr">
        <is>
          <t>ASSUMPTION_BLOCKED_PENDING_VALIDATION</t>
        </is>
      </c>
      <c r="N206" s="33" t="inlineStr">
        <is>
          <t>LOW_CONFIDENCE</t>
        </is>
      </c>
      <c r="O206" s="33" t="inlineStr">
        <is>
          <t>OPEN</t>
        </is>
      </c>
      <c r="P206" s="33" t="inlineStr">
        <is>
          <t>Planning scenario, not approved project price; tax, commission and quoted packaging remain excluded/blocked</t>
        </is>
      </c>
    </row>
    <row r="207">
      <c r="A207" s="33" t="inlineStr">
        <is>
          <t>VKM-030</t>
        </is>
      </c>
      <c r="B207" s="33" t="inlineStr">
        <is>
          <t>Кростата с солёной карамелью</t>
        </is>
      </c>
      <c r="C207" s="33" t="inlineStr">
        <is>
          <t>À la carte</t>
        </is>
      </c>
      <c r="D207" s="46" t="n">
        <v>0.3</v>
      </c>
      <c r="E207" s="46" t="n">
        <v>569.138771</v>
      </c>
      <c r="F207" s="46" t="n">
        <v>0</v>
      </c>
      <c r="G207" s="46" t="n">
        <v>1897.129237</v>
      </c>
      <c r="H207" s="46" t="n">
        <v>0.3</v>
      </c>
      <c r="I207" s="46" t="n">
        <v>1327.990466</v>
      </c>
      <c r="J207" s="46" t="n">
        <v>1327.990466</v>
      </c>
      <c r="K207" s="46" t="n"/>
      <c r="L207" s="46" t="n"/>
      <c r="M207" s="33" t="inlineStr">
        <is>
          <t>ASSUMPTION_BLOCKED_PENDING_VALIDATION</t>
        </is>
      </c>
      <c r="N207" s="33" t="inlineStr">
        <is>
          <t>LOW_CONFIDENCE</t>
        </is>
      </c>
      <c r="O207" s="33" t="inlineStr">
        <is>
          <t>OPEN</t>
        </is>
      </c>
      <c r="P207" s="33" t="inlineStr">
        <is>
          <t>Planning scenario, not approved project price; tax, commission and quoted packaging remain excluded/blocked</t>
        </is>
      </c>
    </row>
    <row r="208">
      <c r="A208" s="33" t="inlineStr">
        <is>
          <t>VKM-030</t>
        </is>
      </c>
      <c r="B208" s="33" t="inlineStr">
        <is>
          <t>Кростата с солёной карамелью</t>
        </is>
      </c>
      <c r="C208" s="33" t="inlineStr">
        <is>
          <t>Гостиничные ужины</t>
        </is>
      </c>
      <c r="D208" s="46" t="n">
        <v>0.3</v>
      </c>
      <c r="E208" s="46" t="n">
        <v>569.138771</v>
      </c>
      <c r="F208" s="46" t="n">
        <v>0</v>
      </c>
      <c r="G208" s="46" t="n">
        <v>1897.129237</v>
      </c>
      <c r="H208" s="46" t="n">
        <v>0.3</v>
      </c>
      <c r="I208" s="46" t="n">
        <v>1327.990466</v>
      </c>
      <c r="J208" s="46" t="n">
        <v>1327.990466</v>
      </c>
      <c r="K208" s="46" t="n"/>
      <c r="L208" s="46" t="n"/>
      <c r="M208" s="33" t="inlineStr">
        <is>
          <t>ASSUMPTION_BLOCKED_PENDING_VALIDATION</t>
        </is>
      </c>
      <c r="N208" s="33" t="inlineStr">
        <is>
          <t>LOW_CONFIDENCE</t>
        </is>
      </c>
      <c r="O208" s="33" t="inlineStr">
        <is>
          <t>OPEN</t>
        </is>
      </c>
      <c r="P208" s="33" t="inlineStr">
        <is>
          <t>Planning scenario, not approved project price; tax, commission and quoted packaging remain excluded/blocked</t>
        </is>
      </c>
    </row>
    <row r="209">
      <c r="A209" s="33" t="inlineStr">
        <is>
          <t>VKM-030</t>
        </is>
      </c>
      <c r="B209" s="33" t="inlineStr">
        <is>
          <t>Кростата с солёной карамелью</t>
        </is>
      </c>
      <c r="C209" s="33" t="inlineStr">
        <is>
          <t>Навынос</t>
        </is>
      </c>
      <c r="D209" s="46" t="n">
        <v>0.428571</v>
      </c>
      <c r="E209" s="46" t="n">
        <v>569.138771</v>
      </c>
      <c r="F209" s="46" t="n">
        <v>40</v>
      </c>
      <c r="G209" s="46" t="n">
        <v>1421.325221</v>
      </c>
      <c r="H209" s="46" t="n">
        <v>0.400428</v>
      </c>
      <c r="I209" s="46" t="n">
        <v>852.18645</v>
      </c>
      <c r="J209" s="46" t="n">
        <v>812.18645</v>
      </c>
      <c r="K209" s="46" t="n"/>
      <c r="L209" s="46" t="n"/>
      <c r="M209" s="33" t="inlineStr">
        <is>
          <t>ASSUMPTION_BLOCKED_PENDING_VALIDATION</t>
        </is>
      </c>
      <c r="N209" s="33" t="inlineStr">
        <is>
          <t>LOW_CONFIDENCE</t>
        </is>
      </c>
      <c r="O209" s="33" t="inlineStr">
        <is>
          <t>OPEN</t>
        </is>
      </c>
      <c r="P209" s="33" t="inlineStr">
        <is>
          <t>Planning scenario, not approved project price; tax, commission and quoted packaging remain excluded/blocked</t>
        </is>
      </c>
    </row>
    <row r="210">
      <c r="A210" s="33" t="inlineStr">
        <is>
          <t>VKM-031</t>
        </is>
      </c>
      <c r="B210" s="33" t="inlineStr">
        <is>
          <t>Мадлен</t>
        </is>
      </c>
      <c r="C210" s="33" t="inlineStr">
        <is>
          <t>À la carte</t>
        </is>
      </c>
      <c r="D210" s="46" t="n">
        <v>0.3</v>
      </c>
      <c r="E210" s="46" t="n">
        <v>253.324424</v>
      </c>
      <c r="F210" s="46" t="n">
        <v>0</v>
      </c>
      <c r="G210" s="46" t="n">
        <v>844.414746</v>
      </c>
      <c r="H210" s="46" t="n">
        <v>0.3</v>
      </c>
      <c r="I210" s="46" t="n">
        <v>591.090322</v>
      </c>
      <c r="J210" s="46" t="n">
        <v>591.090322</v>
      </c>
      <c r="K210" s="46" t="n"/>
      <c r="L210" s="46" t="n"/>
      <c r="M210" s="33" t="inlineStr">
        <is>
          <t>ASSUMPTION_BLOCKED_PENDING_VALIDATION</t>
        </is>
      </c>
      <c r="N210" s="33" t="inlineStr">
        <is>
          <t>LOW_CONFIDENCE</t>
        </is>
      </c>
      <c r="O210" s="33" t="inlineStr">
        <is>
          <t>OPEN</t>
        </is>
      </c>
      <c r="P210" s="33" t="inlineStr">
        <is>
          <t>Planning scenario, not approved project price; tax, commission and quoted packaging remain excluded/blocked</t>
        </is>
      </c>
    </row>
    <row r="211">
      <c r="A211" s="33" t="inlineStr">
        <is>
          <t>VKM-031</t>
        </is>
      </c>
      <c r="B211" s="33" t="inlineStr">
        <is>
          <t>Мадлен</t>
        </is>
      </c>
      <c r="C211" s="33" t="inlineStr">
        <is>
          <t>Навынос</t>
        </is>
      </c>
      <c r="D211" s="46" t="n">
        <v>0.428571</v>
      </c>
      <c r="E211" s="46" t="n">
        <v>253.324424</v>
      </c>
      <c r="F211" s="46" t="n">
        <v>40</v>
      </c>
      <c r="G211" s="46" t="n">
        <v>684.42434</v>
      </c>
      <c r="H211" s="46" t="n">
        <v>0.370128</v>
      </c>
      <c r="I211" s="46" t="n">
        <v>431.099916</v>
      </c>
      <c r="J211" s="46" t="n">
        <v>391.099916</v>
      </c>
      <c r="K211" s="46" t="n"/>
      <c r="L211" s="46" t="n"/>
      <c r="M211" s="33" t="inlineStr">
        <is>
          <t>ASSUMPTION_BLOCKED_PENDING_VALIDATION</t>
        </is>
      </c>
      <c r="N211" s="33" t="inlineStr">
        <is>
          <t>LOW_CONFIDENCE</t>
        </is>
      </c>
      <c r="O211" s="33" t="inlineStr">
        <is>
          <t>OPEN</t>
        </is>
      </c>
      <c r="P211" s="33" t="inlineStr">
        <is>
          <t>Planning scenario, not approved project price; tax, commission and quoted packaging remain excluded/blocked</t>
        </is>
      </c>
    </row>
  </sheetData>
  <mergeCells count="3">
    <mergeCell ref="A1:P1"/>
    <mergeCell ref="A109:P109"/>
    <mergeCell ref="A2:P2"/>
  </mergeCells>
  <conditionalFormatting sqref="M6:M106">
    <cfRule type="containsText" priority="1" operator="containsText" dxfId="0" text="BLOCK"/>
    <cfRule type="containsText" priority="2" operator="containsText" dxfId="1" text="PASS"/>
  </conditionalFormatting>
  <conditionalFormatting sqref="M111:O211">
    <cfRule type="containsText" priority="3" operator="containsText" dxfId="0" text="BLOCK"/>
    <cfRule type="containsText" priority="4" operator="containsText" dxfId="1" text="PASS"/>
  </conditionalFormatting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2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7" customWidth="1" min="3" max="3"/>
    <col width="14" customWidth="1" min="4" max="4"/>
    <col width="24" customWidth="1" min="5" max="5"/>
    <col width="11" customWidth="1" min="6" max="6"/>
    <col width="11" customWidth="1" min="7" max="7"/>
    <col width="14" customWidth="1" min="8" max="8"/>
    <col width="16" customWidth="1" min="9" max="9"/>
    <col width="14" customWidth="1" min="10" max="10"/>
    <col width="17" customWidth="1" min="11" max="11"/>
    <col width="12" customWidth="1" min="12" max="12"/>
    <col width="18" customWidth="1" min="13" max="13"/>
    <col width="16" customWidth="1" min="14" max="14"/>
    <col width="26" customWidth="1" min="15" max="15"/>
    <col width="12" customWidth="1" min="16" max="16"/>
    <col width="15" customWidth="1" min="17" max="17"/>
    <col width="15" customWidth="1" min="18" max="18"/>
    <col width="42" customWidth="1" min="19" max="19"/>
    <col width="25" customWidth="1" min="20" max="20"/>
    <col width="30" customWidth="1" min="21" max="21"/>
    <col width="50" customWidth="1" min="22" max="22"/>
    <col width="28" customWidth="1" min="23" max="23"/>
  </cols>
  <sheetData>
    <row r="1" ht="30" customHeight="1">
      <c r="A1" s="27" t="inlineStr">
        <is>
          <t>08 — Оборудование и мощность</t>
        </is>
      </c>
    </row>
    <row r="2" ht="27" customHeight="1">
      <c r="A2" s="29" t="inlineStr">
        <is>
          <t>HOF-0015: planning scenarios shown separately; selected model/passport, availability, connections and demonstrated suitability remain blocked.</t>
        </is>
      </c>
    </row>
    <row r="3">
      <c r="A3" s="28" t="n"/>
      <c r="B3" s="28" t="n"/>
      <c r="C3" s="28" t="n"/>
      <c r="D3" s="28" t="n"/>
      <c r="E3" s="28" t="n"/>
      <c r="F3" s="28" t="n"/>
      <c r="G3" s="28" t="n"/>
      <c r="H3" s="28" t="n"/>
      <c r="I3" s="28" t="n"/>
      <c r="J3" s="28" t="n"/>
      <c r="K3" s="28" t="n"/>
      <c r="L3" s="28" t="n"/>
      <c r="M3" s="28" t="n"/>
      <c r="N3" s="28" t="n"/>
      <c r="O3" s="28" t="n"/>
      <c r="P3" s="28" t="n"/>
      <c r="Q3" s="28" t="n"/>
      <c r="R3" s="28" t="n"/>
      <c r="S3" s="28" t="n"/>
      <c r="T3" s="28" t="n"/>
      <c r="U3" s="28" t="n"/>
      <c r="V3" s="28" t="n"/>
      <c r="W3" s="28" t="n"/>
    </row>
    <row r="4">
      <c r="A4" s="28" t="n"/>
      <c r="B4" s="28" t="n"/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  <c r="P4" s="28" t="n"/>
      <c r="Q4" s="28" t="n"/>
      <c r="R4" s="28" t="n"/>
      <c r="S4" s="28" t="n"/>
      <c r="T4" s="28" t="n"/>
      <c r="U4" s="28" t="n"/>
      <c r="V4" s="28" t="n"/>
      <c r="W4" s="28" t="n"/>
    </row>
    <row r="5" ht="34" customHeight="1">
      <c r="A5" s="32" t="inlineStr">
        <is>
          <t>Resource ID</t>
        </is>
      </c>
      <c r="B5" s="32" t="inlineStr">
        <is>
          <t>Dish ID</t>
        </is>
      </c>
      <c r="C5" s="32" t="inlineStr">
        <is>
          <t>Блюдо</t>
        </is>
      </c>
      <c r="D5" s="32" t="inlineStr">
        <is>
          <t>Зона</t>
        </is>
      </c>
      <c r="E5" s="32" t="inlineStr">
        <is>
          <t>Ops</t>
        </is>
      </c>
      <c r="F5" s="32" t="inlineStr">
        <is>
          <t>Mapped</t>
        </is>
      </c>
      <c r="G5" s="32" t="inlineStr">
        <is>
          <t>Functions</t>
        </is>
      </c>
      <c r="H5" s="32" t="inlineStr">
        <is>
          <t>Conditional</t>
        </is>
      </c>
      <c r="I5" s="32" t="inlineStr">
        <is>
          <t>Active min</t>
        </is>
      </c>
      <c r="J5" s="32" t="inlineStr">
        <is>
          <t>Total min</t>
        </is>
      </c>
      <c r="K5" s="32" t="inlineStr">
        <is>
          <t>Capacity</t>
        </is>
      </c>
      <c r="L5" s="32" t="inlineStr">
        <is>
          <t>Availability</t>
        </is>
      </c>
      <c r="M5" s="32" t="inlineStr">
        <is>
          <t>Connections</t>
        </is>
      </c>
      <c r="N5" s="32" t="inlineStr">
        <is>
          <t>Blockers</t>
        </is>
      </c>
      <c r="O5" s="28" t="n"/>
      <c r="P5" s="28" t="n"/>
      <c r="Q5" s="28" t="n"/>
      <c r="R5" s="28" t="n"/>
      <c r="S5" s="28" t="n"/>
      <c r="T5" s="28" t="n"/>
      <c r="U5" s="28" t="n"/>
      <c r="V5" s="28" t="n"/>
      <c r="W5" s="28" t="n"/>
    </row>
    <row r="6">
      <c r="A6" s="33" t="inlineStr">
        <is>
          <t>RSC-001</t>
        </is>
      </c>
      <c r="B6" s="33" t="inlineStr">
        <is>
          <t>VKM-001</t>
        </is>
      </c>
      <c r="C6" s="33" t="inlineStr">
        <is>
          <t>Маргарита</t>
        </is>
      </c>
      <c r="D6" s="33" t="inlineStr">
        <is>
          <t>Пицца, хлеб, десерты</t>
        </is>
      </c>
      <c r="E6" s="33" t="n">
        <v>6</v>
      </c>
      <c r="F6" s="33" t="n">
        <v>6</v>
      </c>
      <c r="G6" s="33" t="inlineStr">
        <is>
          <t>BAK-03;BAK-12;HOT-05B;STO-08;BAK-01</t>
        </is>
      </c>
      <c r="H6" s="33" t="n"/>
      <c r="I6" s="33" t="n">
        <v>19</v>
      </c>
      <c r="J6" s="33" t="n">
        <v>90</v>
      </c>
      <c r="K6" s="33" t="inlineStr">
        <is>
          <t>BLOCKED_NO_APPROVED_DEMAND_OR_PASSPORT</t>
        </is>
      </c>
      <c r="L6" s="33" t="inlineStr">
        <is>
          <t>BLOCKED</t>
        </is>
      </c>
      <c r="M6" s="33" t="inlineStr">
        <is>
          <t>BLOCKED</t>
        </is>
      </c>
      <c r="N6" s="33" t="inlineStr">
        <is>
          <t>GAP-007;GAP-017;GAP-018;GAP-019;GAP-020;GAP-021;GAP-022</t>
        </is>
      </c>
      <c r="O6" s="28" t="n"/>
      <c r="P6" s="28" t="n"/>
      <c r="Q6" s="28" t="n"/>
      <c r="R6" s="28" t="n"/>
      <c r="S6" s="28" t="n"/>
      <c r="T6" s="28" t="n"/>
      <c r="U6" s="28" t="n"/>
      <c r="V6" s="28" t="n"/>
      <c r="W6" s="28" t="n"/>
    </row>
    <row r="7">
      <c r="A7" s="33" t="inlineStr">
        <is>
          <t>RSC-002</t>
        </is>
      </c>
      <c r="B7" s="33" t="inlineStr">
        <is>
          <t>VKM-002</t>
        </is>
      </c>
      <c r="C7" s="33" t="inlineStr">
        <is>
          <t>Четыре сыра</t>
        </is>
      </c>
      <c r="D7" s="33" t="inlineStr">
        <is>
          <t>Пицца, хлеб, десерты</t>
        </is>
      </c>
      <c r="E7" s="33" t="n">
        <v>5</v>
      </c>
      <c r="F7" s="33" t="n">
        <v>5</v>
      </c>
      <c r="G7" s="33" t="inlineStr">
        <is>
          <t>BAK-03;BAK-12;HOT-05B;BAK-01</t>
        </is>
      </c>
      <c r="H7" s="33" t="n"/>
      <c r="I7" s="33" t="n">
        <v>20</v>
      </c>
      <c r="J7" s="33" t="n">
        <v>92</v>
      </c>
      <c r="K7" s="33" t="inlineStr">
        <is>
          <t>BLOCKED_NO_APPROVED_DEMAND_OR_PASSPORT</t>
        </is>
      </c>
      <c r="L7" s="33" t="inlineStr">
        <is>
          <t>BLOCKED</t>
        </is>
      </c>
      <c r="M7" s="33" t="inlineStr">
        <is>
          <t>BLOCKED</t>
        </is>
      </c>
      <c r="N7" s="33" t="inlineStr">
        <is>
          <t>GAP-007;GAP-017;GAP-018;GAP-019;GAP-020;GAP-021;GAP-022</t>
        </is>
      </c>
      <c r="O7" s="28" t="n"/>
      <c r="P7" s="28" t="n"/>
      <c r="Q7" s="28" t="n"/>
      <c r="R7" s="28" t="n"/>
      <c r="S7" s="28" t="n"/>
      <c r="T7" s="28" t="n"/>
      <c r="U7" s="28" t="n"/>
      <c r="V7" s="28" t="n"/>
      <c r="W7" s="28" t="n"/>
    </row>
    <row r="8">
      <c r="A8" s="33" t="inlineStr">
        <is>
          <t>RSC-003</t>
        </is>
      </c>
      <c r="B8" s="33" t="inlineStr">
        <is>
          <t>VKM-003</t>
        </is>
      </c>
      <c r="C8" s="33" t="inlineStr">
        <is>
          <t>Грибная с ветчиной</t>
        </is>
      </c>
      <c r="D8" s="33" t="inlineStr">
        <is>
          <t>Пицца, хлеб, десерты</t>
        </is>
      </c>
      <c r="E8" s="33" t="n">
        <v>5</v>
      </c>
      <c r="F8" s="33" t="n">
        <v>5</v>
      </c>
      <c r="G8" s="33" t="inlineStr">
        <is>
          <t>BAK-03;BAK-12;HOT-05B;BAK-01</t>
        </is>
      </c>
      <c r="H8" s="33" t="n"/>
      <c r="I8" s="33" t="n">
        <v>22</v>
      </c>
      <c r="J8" s="33" t="n">
        <v>95</v>
      </c>
      <c r="K8" s="33" t="inlineStr">
        <is>
          <t>BLOCKED_NO_APPROVED_DEMAND_OR_PASSPORT</t>
        </is>
      </c>
      <c r="L8" s="33" t="inlineStr">
        <is>
          <t>BLOCKED</t>
        </is>
      </c>
      <c r="M8" s="33" t="inlineStr">
        <is>
          <t>BLOCKED</t>
        </is>
      </c>
      <c r="N8" s="33" t="inlineStr">
        <is>
          <t>GAP-007;GAP-017;GAP-018;GAP-019;GAP-020;GAP-021;GAP-022</t>
        </is>
      </c>
      <c r="O8" s="28" t="n"/>
      <c r="P8" s="28" t="n"/>
      <c r="Q8" s="28" t="n"/>
      <c r="R8" s="28" t="n"/>
      <c r="S8" s="28" t="n"/>
      <c r="T8" s="28" t="n"/>
      <c r="U8" s="28" t="n"/>
      <c r="V8" s="28" t="n"/>
      <c r="W8" s="28" t="n"/>
    </row>
    <row r="9">
      <c r="A9" s="33" t="inlineStr">
        <is>
          <t>RSC-004</t>
        </is>
      </c>
      <c r="B9" s="33" t="inlineStr">
        <is>
          <t>VKM-004</t>
        </is>
      </c>
      <c r="C9" s="33" t="inlineStr">
        <is>
          <t>Пепперони</t>
        </is>
      </c>
      <c r="D9" s="33" t="inlineStr">
        <is>
          <t>Пицца, хлеб, десерты</t>
        </is>
      </c>
      <c r="E9" s="33" t="n">
        <v>5</v>
      </c>
      <c r="F9" s="33" t="n">
        <v>5</v>
      </c>
      <c r="G9" s="33" t="inlineStr">
        <is>
          <t>BAK-03;BAK-12;HOT-05B;BAK-01</t>
        </is>
      </c>
      <c r="H9" s="33" t="n"/>
      <c r="I9" s="33" t="n">
        <v>20</v>
      </c>
      <c r="J9" s="33" t="n">
        <v>92</v>
      </c>
      <c r="K9" s="33" t="inlineStr">
        <is>
          <t>BLOCKED_NO_APPROVED_DEMAND_OR_PASSPORT</t>
        </is>
      </c>
      <c r="L9" s="33" t="inlineStr">
        <is>
          <t>BLOCKED</t>
        </is>
      </c>
      <c r="M9" s="33" t="inlineStr">
        <is>
          <t>BLOCKED</t>
        </is>
      </c>
      <c r="N9" s="33" t="inlineStr">
        <is>
          <t>GAP-007;GAP-017;GAP-018;GAP-019;GAP-020;GAP-021;GAP-022</t>
        </is>
      </c>
      <c r="O9" s="28" t="n"/>
      <c r="P9" s="28" t="n"/>
      <c r="Q9" s="28" t="n"/>
      <c r="R9" s="28" t="n"/>
      <c r="S9" s="28" t="n"/>
      <c r="T9" s="28" t="n"/>
      <c r="U9" s="28" t="n"/>
      <c r="V9" s="28" t="n"/>
      <c r="W9" s="28" t="n"/>
    </row>
    <row r="10">
      <c r="A10" s="33" t="inlineStr">
        <is>
          <t>RSC-005</t>
        </is>
      </c>
      <c r="B10" s="33" t="inlineStr">
        <is>
          <t>VKM-005</t>
        </is>
      </c>
      <c r="C10" s="33" t="inlineStr">
        <is>
          <t>Белая чиабатта</t>
        </is>
      </c>
      <c r="D10" s="33" t="inlineStr">
        <is>
          <t>Пицца, хлеб, десерты</t>
        </is>
      </c>
      <c r="E10" s="33" t="n">
        <v>7</v>
      </c>
      <c r="F10" s="33" t="n">
        <v>7</v>
      </c>
      <c r="G10" s="33" t="inlineStr">
        <is>
          <t>BAK-03;STO-08;REQ-BAK-PREP;BAK-05;BAK-02;BAK-06</t>
        </is>
      </c>
      <c r="H10" s="33" t="n"/>
      <c r="I10" s="33" t="n">
        <v>18</v>
      </c>
      <c r="J10" s="33" t="n">
        <v>150</v>
      </c>
      <c r="K10" s="33" t="inlineStr">
        <is>
          <t>BLOCKED_NO_APPROVED_DEMAND_OR_PASSPORT</t>
        </is>
      </c>
      <c r="L10" s="33" t="inlineStr">
        <is>
          <t>BLOCKED</t>
        </is>
      </c>
      <c r="M10" s="33" t="inlineStr">
        <is>
          <t>BLOCKED</t>
        </is>
      </c>
      <c r="N10" s="33" t="inlineStr">
        <is>
          <t>GAP-007;GAP-017;GAP-018;GAP-019;GAP-020;GAP-021;GAP-022</t>
        </is>
      </c>
      <c r="O10" s="28" t="n"/>
      <c r="P10" s="28" t="n"/>
      <c r="Q10" s="28" t="n"/>
      <c r="R10" s="28" t="n"/>
      <c r="S10" s="28" t="n"/>
      <c r="T10" s="28" t="n"/>
      <c r="U10" s="28" t="n"/>
      <c r="V10" s="28" t="n"/>
      <c r="W10" s="28" t="n"/>
    </row>
    <row r="11">
      <c r="A11" s="33" t="inlineStr">
        <is>
          <t>RSC-006</t>
        </is>
      </c>
      <c r="B11" s="33" t="inlineStr">
        <is>
          <t>VKM-006</t>
        </is>
      </c>
      <c r="C11" s="33" t="inlineStr">
        <is>
          <t>Томатная чиабатта</t>
        </is>
      </c>
      <c r="D11" s="33" t="inlineStr">
        <is>
          <t>Пицца, хлеб, десерты</t>
        </is>
      </c>
      <c r="E11" s="33" t="n">
        <v>7</v>
      </c>
      <c r="F11" s="33" t="n">
        <v>7</v>
      </c>
      <c r="G11" s="33" t="inlineStr">
        <is>
          <t>BAK-03;STO-08;REQ-BAK-PREP;BAK-05;BAK-02;BAK-06</t>
        </is>
      </c>
      <c r="H11" s="33" t="n"/>
      <c r="I11" s="33" t="n">
        <v>18</v>
      </c>
      <c r="J11" s="33" t="n">
        <v>150</v>
      </c>
      <c r="K11" s="33" t="inlineStr">
        <is>
          <t>BLOCKED_NO_APPROVED_DEMAND_OR_PASSPORT</t>
        </is>
      </c>
      <c r="L11" s="33" t="inlineStr">
        <is>
          <t>BLOCKED</t>
        </is>
      </c>
      <c r="M11" s="33" t="inlineStr">
        <is>
          <t>BLOCKED</t>
        </is>
      </c>
      <c r="N11" s="33" t="inlineStr">
        <is>
          <t>GAP-007;GAP-017;GAP-018;GAP-019;GAP-020;GAP-021;GAP-022</t>
        </is>
      </c>
      <c r="O11" s="28" t="n"/>
      <c r="P11" s="28" t="n"/>
      <c r="Q11" s="28" t="n"/>
      <c r="R11" s="28" t="n"/>
      <c r="S11" s="28" t="n"/>
      <c r="T11" s="28" t="n"/>
      <c r="U11" s="28" t="n"/>
      <c r="V11" s="28" t="n"/>
      <c r="W11" s="28" t="n"/>
    </row>
    <row r="12">
      <c r="A12" s="33" t="inlineStr">
        <is>
          <t>RSC-007</t>
        </is>
      </c>
      <c r="B12" s="33" t="inlineStr">
        <is>
          <t>VKM-007</t>
        </is>
      </c>
      <c r="C12" s="33" t="inlineStr">
        <is>
          <t>Бородинский хлеб</t>
        </is>
      </c>
      <c r="D12" s="33" t="inlineStr">
        <is>
          <t>Пицца, хлеб, десерты</t>
        </is>
      </c>
      <c r="E12" s="33" t="n">
        <v>7</v>
      </c>
      <c r="F12" s="33" t="n">
        <v>7</v>
      </c>
      <c r="G12" s="33" t="inlineStr">
        <is>
          <t>HOT-05B;HOT-13;BAK-03;STO-08;REQ-BAK-PREP;BAK-05;BAK-02;BAK-06</t>
        </is>
      </c>
      <c r="H12" s="33" t="n"/>
      <c r="I12" s="33" t="n">
        <v>25</v>
      </c>
      <c r="J12" s="33" t="n">
        <v>300</v>
      </c>
      <c r="K12" s="33" t="inlineStr">
        <is>
          <t>BLOCKED_NO_APPROVED_DEMAND_OR_PASSPORT</t>
        </is>
      </c>
      <c r="L12" s="33" t="inlineStr">
        <is>
          <t>BLOCKED</t>
        </is>
      </c>
      <c r="M12" s="33" t="inlineStr">
        <is>
          <t>BLOCKED</t>
        </is>
      </c>
      <c r="N12" s="33" t="inlineStr">
        <is>
          <t>GAP-007;GAP-017;GAP-018;GAP-019;GAP-020;GAP-021;GAP-022</t>
        </is>
      </c>
      <c r="O12" s="28" t="n"/>
      <c r="P12" s="28" t="n"/>
      <c r="Q12" s="28" t="n"/>
      <c r="R12" s="28" t="n"/>
      <c r="S12" s="28" t="n"/>
      <c r="T12" s="28" t="n"/>
      <c r="U12" s="28" t="n"/>
      <c r="V12" s="28" t="n"/>
      <c r="W12" s="28" t="n"/>
    </row>
    <row r="13">
      <c r="A13" s="33" t="inlineStr">
        <is>
          <t>RSC-008</t>
        </is>
      </c>
      <c r="B13" s="33" t="inlineStr">
        <is>
          <t>VKM-008</t>
        </is>
      </c>
      <c r="C13" s="33" t="inlineStr">
        <is>
          <t>Бриошь</t>
        </is>
      </c>
      <c r="D13" s="33" t="inlineStr">
        <is>
          <t>Пицца, хлеб, десерты</t>
        </is>
      </c>
      <c r="E13" s="33" t="n">
        <v>8</v>
      </c>
      <c r="F13" s="33" t="n">
        <v>8</v>
      </c>
      <c r="G13" s="33" t="inlineStr">
        <is>
          <t>BAK-03;STO-08;REQ-BAK-PREP;BAK-05;BAK-07;BAK-02;BAK-06</t>
        </is>
      </c>
      <c r="H13" s="33" t="n"/>
      <c r="I13" s="33" t="n">
        <v>22</v>
      </c>
      <c r="J13" s="33" t="n">
        <v>180</v>
      </c>
      <c r="K13" s="33" t="inlineStr">
        <is>
          <t>BLOCKED_NO_APPROVED_DEMAND_OR_PASSPORT</t>
        </is>
      </c>
      <c r="L13" s="33" t="inlineStr">
        <is>
          <t>BLOCKED</t>
        </is>
      </c>
      <c r="M13" s="33" t="inlineStr">
        <is>
          <t>BLOCKED</t>
        </is>
      </c>
      <c r="N13" s="33" t="inlineStr">
        <is>
          <t>GAP-007;GAP-017;GAP-018;GAP-019;GAP-020;GAP-021;GAP-022</t>
        </is>
      </c>
      <c r="O13" s="28" t="n"/>
      <c r="P13" s="28" t="n"/>
      <c r="Q13" s="28" t="n"/>
      <c r="R13" s="28" t="n"/>
      <c r="S13" s="28" t="n"/>
      <c r="T13" s="28" t="n"/>
      <c r="U13" s="28" t="n"/>
      <c r="V13" s="28" t="n"/>
      <c r="W13" s="28" t="n"/>
    </row>
    <row r="14">
      <c r="A14" s="33" t="inlineStr">
        <is>
          <t>RSC-009</t>
        </is>
      </c>
      <c r="B14" s="33" t="inlineStr">
        <is>
          <t>VKM-009</t>
        </is>
      </c>
      <c r="C14" s="33" t="inlineStr">
        <is>
          <t>Буррата с томатами</t>
        </is>
      </c>
      <c r="D14" s="33" t="inlineStr">
        <is>
          <t>Холодный участок</t>
        </is>
      </c>
      <c r="E14" s="33" t="n">
        <v>4</v>
      </c>
      <c r="F14" s="33" t="n">
        <v>4</v>
      </c>
      <c r="G14" s="33" t="inlineStr">
        <is>
          <t>CLD-03;CLD-07</t>
        </is>
      </c>
      <c r="H14" s="33" t="n"/>
      <c r="I14" s="33" t="n">
        <v>8</v>
      </c>
      <c r="J14" s="33" t="n">
        <v>10</v>
      </c>
      <c r="K14" s="33" t="inlineStr">
        <is>
          <t>BLOCKED_NO_APPROVED_DEMAND_OR_PASSPORT</t>
        </is>
      </c>
      <c r="L14" s="33" t="inlineStr">
        <is>
          <t>BLOCKED</t>
        </is>
      </c>
      <c r="M14" s="33" t="inlineStr">
        <is>
          <t>BLOCKED</t>
        </is>
      </c>
      <c r="N14" s="33" t="inlineStr">
        <is>
          <t>GAP-007;GAP-017;GAP-018;GAP-019;GAP-020;GAP-021;GAP-022</t>
        </is>
      </c>
      <c r="O14" s="28" t="n"/>
      <c r="P14" s="28" t="n"/>
      <c r="Q14" s="28" t="n"/>
      <c r="R14" s="28" t="n"/>
      <c r="S14" s="28" t="n"/>
      <c r="T14" s="28" t="n"/>
      <c r="U14" s="28" t="n"/>
      <c r="V14" s="28" t="n"/>
      <c r="W14" s="28" t="n"/>
    </row>
    <row r="15">
      <c r="A15" s="33" t="inlineStr">
        <is>
          <t>RSC-010</t>
        </is>
      </c>
      <c r="B15" s="33" t="inlineStr">
        <is>
          <t>VKM-010</t>
        </is>
      </c>
      <c r="C15" s="33" t="inlineStr">
        <is>
          <t>Микс-салат с креветками и яблоком</t>
        </is>
      </c>
      <c r="D15" s="33" t="inlineStr">
        <is>
          <t>Холодный участок</t>
        </is>
      </c>
      <c r="E15" s="33" t="n">
        <v>5</v>
      </c>
      <c r="F15" s="33" t="n">
        <v>5</v>
      </c>
      <c r="G15" s="33" t="inlineStr">
        <is>
          <t>CLD-03;CLD-07</t>
        </is>
      </c>
      <c r="H15" s="33" t="n"/>
      <c r="I15" s="33" t="n">
        <v>12</v>
      </c>
      <c r="J15" s="33" t="n">
        <v>18</v>
      </c>
      <c r="K15" s="33" t="inlineStr">
        <is>
          <t>BLOCKED_NO_APPROVED_DEMAND_OR_PASSPORT</t>
        </is>
      </c>
      <c r="L15" s="33" t="inlineStr">
        <is>
          <t>BLOCKED</t>
        </is>
      </c>
      <c r="M15" s="33" t="inlineStr">
        <is>
          <t>BLOCKED</t>
        </is>
      </c>
      <c r="N15" s="33" t="inlineStr">
        <is>
          <t>GAP-007;GAP-017;GAP-018;GAP-019;GAP-020;GAP-021;GAP-022</t>
        </is>
      </c>
      <c r="O15" s="28" t="n"/>
      <c r="P15" s="28" t="n"/>
      <c r="Q15" s="28" t="n"/>
      <c r="R15" s="28" t="n"/>
      <c r="S15" s="28" t="n"/>
      <c r="T15" s="28" t="n"/>
      <c r="U15" s="28" t="n"/>
      <c r="V15" s="28" t="n"/>
      <c r="W15" s="28" t="n"/>
    </row>
    <row r="16">
      <c r="A16" s="33" t="inlineStr">
        <is>
          <t>RSC-011</t>
        </is>
      </c>
      <c r="B16" s="33" t="inlineStr">
        <is>
          <t>VKM-011</t>
        </is>
      </c>
      <c r="C16" s="33" t="inlineStr">
        <is>
          <t>Греческий</t>
        </is>
      </c>
      <c r="D16" s="33" t="inlineStr">
        <is>
          <t>Холодный участок</t>
        </is>
      </c>
      <c r="E16" s="33" t="n">
        <v>4</v>
      </c>
      <c r="F16" s="33" t="n">
        <v>4</v>
      </c>
      <c r="G16" s="33" t="inlineStr">
        <is>
          <t>CLD-03;CLD-07</t>
        </is>
      </c>
      <c r="H16" s="33" t="inlineStr">
        <is>
          <t>CLD-09</t>
        </is>
      </c>
      <c r="I16" s="33" t="n">
        <v>10</v>
      </c>
      <c r="J16" s="33" t="n">
        <v>12</v>
      </c>
      <c r="K16" s="33" t="inlineStr">
        <is>
          <t>BLOCKED_NO_APPROVED_DEMAND_OR_PASSPORT</t>
        </is>
      </c>
      <c r="L16" s="33" t="inlineStr">
        <is>
          <t>BLOCKED</t>
        </is>
      </c>
      <c r="M16" s="33" t="inlineStr">
        <is>
          <t>BLOCKED</t>
        </is>
      </c>
      <c r="N16" s="33" t="inlineStr">
        <is>
          <t>GAP-007;GAP-017;GAP-018;GAP-019;GAP-020;GAP-021;GAP-022</t>
        </is>
      </c>
      <c r="O16" s="28" t="n"/>
      <c r="P16" s="28" t="n"/>
      <c r="Q16" s="28" t="n"/>
      <c r="R16" s="28" t="n"/>
      <c r="S16" s="28" t="n"/>
      <c r="T16" s="28" t="n"/>
      <c r="U16" s="28" t="n"/>
      <c r="V16" s="28" t="n"/>
      <c r="W16" s="28" t="n"/>
    </row>
    <row r="17">
      <c r="A17" s="33" t="inlineStr">
        <is>
          <t>RSC-012</t>
        </is>
      </c>
      <c r="B17" s="33" t="inlineStr">
        <is>
          <t>VKM-012</t>
        </is>
      </c>
      <c r="C17" s="33" t="inlineStr">
        <is>
          <t>Винегрет</t>
        </is>
      </c>
      <c r="D17" s="33" t="inlineStr">
        <is>
          <t>Холодный участок</t>
        </is>
      </c>
      <c r="E17" s="33" t="n">
        <v>5</v>
      </c>
      <c r="F17" s="33" t="n">
        <v>5</v>
      </c>
      <c r="G17" s="33" t="inlineStr">
        <is>
          <t>CLD-03;CLD-07;HOT-09;STO-10</t>
        </is>
      </c>
      <c r="H17" s="33" t="inlineStr">
        <is>
          <t>CLD-09</t>
        </is>
      </c>
      <c r="I17" s="33" t="n">
        <v>18</v>
      </c>
      <c r="J17" s="33" t="n">
        <v>90</v>
      </c>
      <c r="K17" s="33" t="inlineStr">
        <is>
          <t>BLOCKED_NO_APPROVED_DEMAND_OR_PASSPORT</t>
        </is>
      </c>
      <c r="L17" s="33" t="inlineStr">
        <is>
          <t>BLOCKED</t>
        </is>
      </c>
      <c r="M17" s="33" t="inlineStr">
        <is>
          <t>BLOCKED</t>
        </is>
      </c>
      <c r="N17" s="33" t="inlineStr">
        <is>
          <t>GAP-007;GAP-017;GAP-018;GAP-019;GAP-020;GAP-021;GAP-022</t>
        </is>
      </c>
      <c r="O17" s="28" t="n"/>
      <c r="P17" s="28" t="n"/>
      <c r="Q17" s="28" t="n"/>
      <c r="R17" s="28" t="n"/>
      <c r="S17" s="28" t="n"/>
      <c r="T17" s="28" t="n"/>
      <c r="U17" s="28" t="n"/>
      <c r="V17" s="28" t="n"/>
      <c r="W17" s="28" t="n"/>
    </row>
    <row r="18">
      <c r="A18" s="33" t="inlineStr">
        <is>
          <t>RSC-013</t>
        </is>
      </c>
      <c r="B18" s="33" t="inlineStr">
        <is>
          <t>VKM-013</t>
        </is>
      </c>
      <c r="C18" s="33" t="inlineStr">
        <is>
          <t>Слабосолёный лосось</t>
        </is>
      </c>
      <c r="D18" s="33" t="inlineStr">
        <is>
          <t>Холодный участок</t>
        </is>
      </c>
      <c r="E18" s="33" t="n">
        <v>5</v>
      </c>
      <c r="F18" s="33" t="n">
        <v>5</v>
      </c>
      <c r="G18" s="33" t="inlineStr">
        <is>
          <t>CLD-03;CLD-07</t>
        </is>
      </c>
      <c r="H18" s="33" t="inlineStr">
        <is>
          <t>CLD-09</t>
        </is>
      </c>
      <c r="I18" s="33" t="n">
        <v>7</v>
      </c>
      <c r="J18" s="33" t="n">
        <v>10</v>
      </c>
      <c r="K18" s="33" t="inlineStr">
        <is>
          <t>BLOCKED_NO_APPROVED_DEMAND_OR_PASSPORT</t>
        </is>
      </c>
      <c r="L18" s="33" t="inlineStr">
        <is>
          <t>BLOCKED</t>
        </is>
      </c>
      <c r="M18" s="33" t="inlineStr">
        <is>
          <t>BLOCKED</t>
        </is>
      </c>
      <c r="N18" s="33" t="inlineStr">
        <is>
          <t>GAP-007;GAP-017;GAP-018;GAP-019;GAP-020;GAP-021;GAP-022</t>
        </is>
      </c>
      <c r="O18" s="28" t="n"/>
      <c r="P18" s="28" t="n"/>
      <c r="Q18" s="28" t="n"/>
      <c r="R18" s="28" t="n"/>
      <c r="S18" s="28" t="n"/>
      <c r="T18" s="28" t="n"/>
      <c r="U18" s="28" t="n"/>
      <c r="V18" s="28" t="n"/>
      <c r="W18" s="28" t="n"/>
    </row>
    <row r="19">
      <c r="A19" s="33" t="inlineStr">
        <is>
          <t>RSC-014</t>
        </is>
      </c>
      <c r="B19" s="33" t="inlineStr">
        <is>
          <t>VKM-014</t>
        </is>
      </c>
      <c r="C19" s="33" t="inlineStr">
        <is>
          <t>Сельдь с запечённым картофелем</t>
        </is>
      </c>
      <c r="D19" s="33" t="inlineStr">
        <is>
          <t>Холодный участок</t>
        </is>
      </c>
      <c r="E19" s="33" t="n">
        <v>4</v>
      </c>
      <c r="F19" s="33" t="n">
        <v>4</v>
      </c>
      <c r="G19" s="33" t="inlineStr">
        <is>
          <t>HOT-01;CLD-03;CLD-07;HOT-09;STO-10</t>
        </is>
      </c>
      <c r="H19" s="33" t="n"/>
      <c r="I19" s="33" t="n">
        <v>14</v>
      </c>
      <c r="J19" s="33" t="n">
        <v>55</v>
      </c>
      <c r="K19" s="33" t="inlineStr">
        <is>
          <t>BLOCKED_NO_APPROVED_DEMAND_OR_PASSPORT</t>
        </is>
      </c>
      <c r="L19" s="33" t="inlineStr">
        <is>
          <t>BLOCKED</t>
        </is>
      </c>
      <c r="M19" s="33" t="inlineStr">
        <is>
          <t>BLOCKED</t>
        </is>
      </c>
      <c r="N19" s="33" t="inlineStr">
        <is>
          <t>GAP-007;GAP-017;GAP-018;GAP-019;GAP-020;GAP-021;GAP-022</t>
        </is>
      </c>
      <c r="O19" s="28" t="n"/>
      <c r="P19" s="28" t="n"/>
      <c r="Q19" s="28" t="n"/>
      <c r="R19" s="28" t="n"/>
      <c r="S19" s="28" t="n"/>
      <c r="T19" s="28" t="n"/>
      <c r="U19" s="28" t="n"/>
      <c r="V19" s="28" t="n"/>
      <c r="W19" s="28" t="n"/>
    </row>
    <row r="20">
      <c r="A20" s="33" t="inlineStr">
        <is>
          <t>RSC-015</t>
        </is>
      </c>
      <c r="B20" s="33" t="inlineStr">
        <is>
          <t>VKM-015</t>
        </is>
      </c>
      <c r="C20" s="33" t="inlineStr">
        <is>
          <t>Оливки и маслины</t>
        </is>
      </c>
      <c r="D20" s="33" t="inlineStr">
        <is>
          <t>Холодный участок</t>
        </is>
      </c>
      <c r="E20" s="33" t="n">
        <v>5</v>
      </c>
      <c r="F20" s="33" t="n">
        <v>5</v>
      </c>
      <c r="G20" s="33" t="inlineStr">
        <is>
          <t>CLD-03;CLD-07</t>
        </is>
      </c>
      <c r="H20" s="33" t="inlineStr">
        <is>
          <t>CLD-09</t>
        </is>
      </c>
      <c r="I20" s="33" t="n">
        <v>8</v>
      </c>
      <c r="J20" s="33" t="n">
        <v>40</v>
      </c>
      <c r="K20" s="33" t="inlineStr">
        <is>
          <t>BLOCKED_NO_APPROVED_DEMAND_OR_PASSPORT</t>
        </is>
      </c>
      <c r="L20" s="33" t="inlineStr">
        <is>
          <t>BLOCKED</t>
        </is>
      </c>
      <c r="M20" s="33" t="inlineStr">
        <is>
          <t>BLOCKED</t>
        </is>
      </c>
      <c r="N20" s="33" t="inlineStr">
        <is>
          <t>GAP-007;GAP-017;GAP-018;GAP-019;GAP-020;GAP-021;GAP-022</t>
        </is>
      </c>
      <c r="O20" s="28" t="n"/>
      <c r="P20" s="28" t="n"/>
      <c r="Q20" s="28" t="n"/>
      <c r="R20" s="28" t="n"/>
      <c r="S20" s="28" t="n"/>
      <c r="T20" s="28" t="n"/>
      <c r="U20" s="28" t="n"/>
      <c r="V20" s="28" t="n"/>
      <c r="W20" s="28" t="n"/>
    </row>
    <row r="21">
      <c r="A21" s="33" t="inlineStr">
        <is>
          <t>RSC-016</t>
        </is>
      </c>
      <c r="B21" s="33" t="inlineStr">
        <is>
          <t>VKM-016</t>
        </is>
      </c>
      <c r="C21" s="33" t="inlineStr">
        <is>
          <t>Ассорти фирменных солений</t>
        </is>
      </c>
      <c r="D21" s="33" t="inlineStr">
        <is>
          <t>Холодный участок</t>
        </is>
      </c>
      <c r="E21" s="33" t="n">
        <v>4</v>
      </c>
      <c r="F21" s="33" t="n">
        <v>4</v>
      </c>
      <c r="G21" s="33" t="inlineStr">
        <is>
          <t>CLD-03;CLD-07</t>
        </is>
      </c>
      <c r="H21" s="33" t="inlineStr">
        <is>
          <t>CLD-09</t>
        </is>
      </c>
      <c r="I21" s="33" t="n">
        <v>23</v>
      </c>
      <c r="J21" s="33" t="n">
        <v>70</v>
      </c>
      <c r="K21" s="33" t="inlineStr">
        <is>
          <t>BLOCKED_NO_APPROVED_DEMAND_OR_PASSPORT</t>
        </is>
      </c>
      <c r="L21" s="33" t="inlineStr">
        <is>
          <t>BLOCKED</t>
        </is>
      </c>
      <c r="M21" s="33" t="inlineStr">
        <is>
          <t>BLOCKED</t>
        </is>
      </c>
      <c r="N21" s="33" t="inlineStr">
        <is>
          <t>GAP-007;GAP-017;GAP-018;GAP-019;GAP-020;GAP-021;GAP-022</t>
        </is>
      </c>
      <c r="O21" s="28" t="n"/>
      <c r="P21" s="28" t="n"/>
      <c r="Q21" s="28" t="n"/>
      <c r="R21" s="28" t="n"/>
      <c r="S21" s="28" t="n"/>
      <c r="T21" s="28" t="n"/>
      <c r="U21" s="28" t="n"/>
      <c r="V21" s="28" t="n"/>
      <c r="W21" s="28" t="n"/>
    </row>
    <row r="22">
      <c r="A22" s="33" t="inlineStr">
        <is>
          <t>RSC-017</t>
        </is>
      </c>
      <c r="B22" s="33" t="inlineStr">
        <is>
          <t>VKM-017</t>
        </is>
      </c>
      <c r="C22" s="33" t="inlineStr">
        <is>
          <t>Ростбиф с луком и гренкой</t>
        </is>
      </c>
      <c r="D22" s="33" t="inlineStr">
        <is>
          <t>Холодный участок</t>
        </is>
      </c>
      <c r="E22" s="33" t="n">
        <v>5</v>
      </c>
      <c r="F22" s="33" t="n">
        <v>5</v>
      </c>
      <c r="G22" s="33" t="inlineStr">
        <is>
          <t>CLD-03;CLD-07;BAK-02</t>
        </is>
      </c>
      <c r="H22" s="33" t="inlineStr">
        <is>
          <t>CLD-09;CLD-08</t>
        </is>
      </c>
      <c r="I22" s="33" t="n">
        <v>12</v>
      </c>
      <c r="J22" s="33" t="n">
        <v>18</v>
      </c>
      <c r="K22" s="33" t="inlineStr">
        <is>
          <t>BLOCKED_NO_APPROVED_DEMAND_OR_PASSPORT</t>
        </is>
      </c>
      <c r="L22" s="33" t="inlineStr">
        <is>
          <t>BLOCKED</t>
        </is>
      </c>
      <c r="M22" s="33" t="inlineStr">
        <is>
          <t>BLOCKED</t>
        </is>
      </c>
      <c r="N22" s="33" t="inlineStr">
        <is>
          <t>GAP-007;GAP-017;GAP-018;GAP-019;GAP-020;GAP-021;GAP-022</t>
        </is>
      </c>
      <c r="O22" s="28" t="n"/>
      <c r="P22" s="28" t="n"/>
      <c r="Q22" s="28" t="n"/>
      <c r="R22" s="28" t="n"/>
      <c r="S22" s="28" t="n"/>
      <c r="T22" s="28" t="n"/>
      <c r="U22" s="28" t="n"/>
      <c r="V22" s="28" t="n"/>
      <c r="W22" s="28" t="n"/>
    </row>
    <row r="23">
      <c r="A23" s="33" t="inlineStr">
        <is>
          <t>RSC-018</t>
        </is>
      </c>
      <c r="B23" s="33" t="inlineStr">
        <is>
          <t>VKM-018</t>
        </is>
      </c>
      <c r="C23" s="33" t="inlineStr">
        <is>
          <t>Традиционный красный борщ</t>
        </is>
      </c>
      <c r="D23" s="33" t="inlineStr">
        <is>
          <t>Горячий участок</t>
        </is>
      </c>
      <c r="E23" s="33" t="n">
        <v>6</v>
      </c>
      <c r="F23" s="33" t="n">
        <v>6</v>
      </c>
      <c r="G23" s="33" t="inlineStr">
        <is>
          <t>HOT-05A;HOT-13;HOT-12</t>
        </is>
      </c>
      <c r="H23" s="33" t="inlineStr">
        <is>
          <t>CLD-09</t>
        </is>
      </c>
      <c r="I23" s="33" t="n">
        <v>35</v>
      </c>
      <c r="J23" s="33" t="n">
        <v>180</v>
      </c>
      <c r="K23" s="33" t="inlineStr">
        <is>
          <t>BLOCKED_NO_APPROVED_DEMAND_OR_PASSPORT</t>
        </is>
      </c>
      <c r="L23" s="33" t="inlineStr">
        <is>
          <t>BLOCKED</t>
        </is>
      </c>
      <c r="M23" s="33" t="inlineStr">
        <is>
          <t>BLOCKED</t>
        </is>
      </c>
      <c r="N23" s="33" t="inlineStr">
        <is>
          <t>GAP-007;GAP-017;GAP-018;GAP-019;GAP-020;GAP-021;GAP-022</t>
        </is>
      </c>
      <c r="O23" s="28" t="n"/>
      <c r="P23" s="28" t="n"/>
      <c r="Q23" s="28" t="n"/>
      <c r="R23" s="28" t="n"/>
      <c r="S23" s="28" t="n"/>
      <c r="T23" s="28" t="n"/>
      <c r="U23" s="28" t="n"/>
      <c r="V23" s="28" t="n"/>
      <c r="W23" s="28" t="n"/>
    </row>
    <row r="24">
      <c r="A24" s="33" t="inlineStr">
        <is>
          <t>RSC-019</t>
        </is>
      </c>
      <c r="B24" s="33" t="inlineStr">
        <is>
          <t>VKM-019</t>
        </is>
      </c>
      <c r="C24" s="33" t="inlineStr">
        <is>
          <t>Мурманская треска со сливочно-горчичным соусом</t>
        </is>
      </c>
      <c r="D24" s="33" t="inlineStr">
        <is>
          <t>Горячий участок</t>
        </is>
      </c>
      <c r="E24" s="33" t="n">
        <v>5</v>
      </c>
      <c r="F24" s="33" t="n">
        <v>5</v>
      </c>
      <c r="G24" s="33" t="inlineStr">
        <is>
          <t>HOT-12;HOT-13;HOT-05B;HOT-01</t>
        </is>
      </c>
      <c r="H24" s="33" t="n"/>
      <c r="I24" s="33" t="n">
        <v>18</v>
      </c>
      <c r="J24" s="33" t="n">
        <v>28</v>
      </c>
      <c r="K24" s="33" t="inlineStr">
        <is>
          <t>BLOCKED_NO_APPROVED_DEMAND_OR_PASSPORT</t>
        </is>
      </c>
      <c r="L24" s="33" t="inlineStr">
        <is>
          <t>BLOCKED</t>
        </is>
      </c>
      <c r="M24" s="33" t="inlineStr">
        <is>
          <t>BLOCKED</t>
        </is>
      </c>
      <c r="N24" s="33" t="inlineStr">
        <is>
          <t>GAP-007;GAP-017;GAP-018;GAP-019;GAP-020;GAP-021;GAP-022</t>
        </is>
      </c>
      <c r="O24" s="28" t="n"/>
      <c r="P24" s="28" t="n"/>
      <c r="Q24" s="28" t="n"/>
      <c r="R24" s="28" t="n"/>
      <c r="S24" s="28" t="n"/>
      <c r="T24" s="28" t="n"/>
      <c r="U24" s="28" t="n"/>
      <c r="V24" s="28" t="n"/>
      <c r="W24" s="28" t="n"/>
    </row>
    <row r="25">
      <c r="A25" s="33" t="inlineStr">
        <is>
          <t>RSC-020</t>
        </is>
      </c>
      <c r="B25" s="33" t="inlineStr">
        <is>
          <t>VKM-020</t>
        </is>
      </c>
      <c r="C25" s="33" t="inlineStr">
        <is>
          <t>Креветки по-тайски</t>
        </is>
      </c>
      <c r="D25" s="33" t="inlineStr">
        <is>
          <t>Горячий участок</t>
        </is>
      </c>
      <c r="E25" s="33" t="n">
        <v>5</v>
      </c>
      <c r="F25" s="33" t="n">
        <v>5</v>
      </c>
      <c r="G25" s="33" t="inlineStr">
        <is>
          <t>HOT-12;HOT-13;HOT-03</t>
        </is>
      </c>
      <c r="H25" s="33" t="n"/>
      <c r="I25" s="33" t="n">
        <v>20</v>
      </c>
      <c r="J25" s="33" t="n">
        <v>30</v>
      </c>
      <c r="K25" s="33" t="inlineStr">
        <is>
          <t>BLOCKED_NO_APPROVED_DEMAND_OR_PASSPORT</t>
        </is>
      </c>
      <c r="L25" s="33" t="inlineStr">
        <is>
          <t>BLOCKED</t>
        </is>
      </c>
      <c r="M25" s="33" t="inlineStr">
        <is>
          <t>BLOCKED</t>
        </is>
      </c>
      <c r="N25" s="33" t="inlineStr">
        <is>
          <t>GAP-007;GAP-017;GAP-018;GAP-019;GAP-020;GAP-021;GAP-022</t>
        </is>
      </c>
      <c r="O25" s="28" t="n"/>
      <c r="P25" s="28" t="n"/>
      <c r="Q25" s="28" t="n"/>
      <c r="R25" s="28" t="n"/>
      <c r="S25" s="28" t="n"/>
      <c r="T25" s="28" t="n"/>
      <c r="U25" s="28" t="n"/>
      <c r="V25" s="28" t="n"/>
      <c r="W25" s="28" t="n"/>
    </row>
    <row r="26">
      <c r="A26" s="33" t="inlineStr">
        <is>
          <t>RSC-021</t>
        </is>
      </c>
      <c r="B26" s="33" t="inlineStr">
        <is>
          <t>VKM-021</t>
        </is>
      </c>
      <c r="C26" s="33" t="inlineStr">
        <is>
          <t>Бургер VARSHAVKA</t>
        </is>
      </c>
      <c r="D26" s="33" t="inlineStr">
        <is>
          <t>Горячий участок</t>
        </is>
      </c>
      <c r="E26" s="33" t="n">
        <v>5</v>
      </c>
      <c r="F26" s="33" t="n">
        <v>5</v>
      </c>
      <c r="G26" s="33" t="inlineStr">
        <is>
          <t>HOT-12;HOT-13;HOT-02</t>
        </is>
      </c>
      <c r="H26" s="33" t="n"/>
      <c r="I26" s="33" t="n">
        <v>15</v>
      </c>
      <c r="J26" s="33" t="n">
        <v>25</v>
      </c>
      <c r="K26" s="33" t="inlineStr">
        <is>
          <t>BLOCKED_NO_APPROVED_DEMAND_OR_PASSPORT</t>
        </is>
      </c>
      <c r="L26" s="33" t="inlineStr">
        <is>
          <t>BLOCKED</t>
        </is>
      </c>
      <c r="M26" s="33" t="inlineStr">
        <is>
          <t>BLOCKED</t>
        </is>
      </c>
      <c r="N26" s="33" t="inlineStr">
        <is>
          <t>GAP-007;GAP-017;GAP-018;GAP-019;GAP-020;GAP-021;GAP-022</t>
        </is>
      </c>
      <c r="O26" s="28" t="n"/>
      <c r="P26" s="28" t="n"/>
      <c r="Q26" s="28" t="n"/>
      <c r="R26" s="28" t="n"/>
      <c r="S26" s="28" t="n"/>
      <c r="T26" s="28" t="n"/>
      <c r="U26" s="28" t="n"/>
      <c r="V26" s="28" t="n"/>
      <c r="W26" s="28" t="n"/>
    </row>
    <row r="27">
      <c r="A27" s="33" t="inlineStr">
        <is>
          <t>RSC-022</t>
        </is>
      </c>
      <c r="B27" s="33" t="inlineStr">
        <is>
          <t>VKM-022</t>
        </is>
      </c>
      <c r="C27" s="33" t="inlineStr">
        <is>
          <t>Миньоны из говяжьей вырезки</t>
        </is>
      </c>
      <c r="D27" s="33" t="inlineStr">
        <is>
          <t>Горячий участок</t>
        </is>
      </c>
      <c r="E27" s="33" t="n">
        <v>6</v>
      </c>
      <c r="F27" s="33" t="n">
        <v>6</v>
      </c>
      <c r="G27" s="33" t="inlineStr">
        <is>
          <t>HOT-12;HOT-13;HOT-05B</t>
        </is>
      </c>
      <c r="H27" s="33" t="inlineStr">
        <is>
          <t>CLD-08</t>
        </is>
      </c>
      <c r="I27" s="33" t="n">
        <v>22</v>
      </c>
      <c r="J27" s="33" t="n">
        <v>35</v>
      </c>
      <c r="K27" s="33" t="inlineStr">
        <is>
          <t>BLOCKED_NO_APPROVED_DEMAND_OR_PASSPORT</t>
        </is>
      </c>
      <c r="L27" s="33" t="inlineStr">
        <is>
          <t>BLOCKED</t>
        </is>
      </c>
      <c r="M27" s="33" t="inlineStr">
        <is>
          <t>BLOCKED</t>
        </is>
      </c>
      <c r="N27" s="33" t="inlineStr">
        <is>
          <t>GAP-007;GAP-017;GAP-018;GAP-019;GAP-020;GAP-021;GAP-022</t>
        </is>
      </c>
      <c r="O27" s="28" t="n"/>
      <c r="P27" s="28" t="n"/>
      <c r="Q27" s="28" t="n"/>
      <c r="R27" s="28" t="n"/>
      <c r="S27" s="28" t="n"/>
      <c r="T27" s="28" t="n"/>
      <c r="U27" s="28" t="n"/>
      <c r="V27" s="28" t="n"/>
      <c r="W27" s="28" t="n"/>
    </row>
    <row r="28">
      <c r="A28" s="33" t="inlineStr">
        <is>
          <t>RSC-023</t>
        </is>
      </c>
      <c r="B28" s="33" t="inlineStr">
        <is>
          <t>VKM-023</t>
        </is>
      </c>
      <c r="C28" s="33" t="inlineStr">
        <is>
          <t>Запечённый картофель</t>
        </is>
      </c>
      <c r="D28" s="33" t="inlineStr">
        <is>
          <t>Горячий участок</t>
        </is>
      </c>
      <c r="E28" s="33" t="n">
        <v>5</v>
      </c>
      <c r="F28" s="33" t="n">
        <v>5</v>
      </c>
      <c r="G28" s="33" t="inlineStr">
        <is>
          <t>HOT-12;HOT-13;HOT-01</t>
        </is>
      </c>
      <c r="H28" s="33" t="inlineStr">
        <is>
          <t>CLD-09</t>
        </is>
      </c>
      <c r="I28" s="33" t="n">
        <v>13</v>
      </c>
      <c r="J28" s="33" t="n">
        <v>45</v>
      </c>
      <c r="K28" s="33" t="inlineStr">
        <is>
          <t>BLOCKED_NO_APPROVED_DEMAND_OR_PASSPORT</t>
        </is>
      </c>
      <c r="L28" s="33" t="inlineStr">
        <is>
          <t>BLOCKED</t>
        </is>
      </c>
      <c r="M28" s="33" t="inlineStr">
        <is>
          <t>BLOCKED</t>
        </is>
      </c>
      <c r="N28" s="33" t="inlineStr">
        <is>
          <t>GAP-007;GAP-017;GAP-018;GAP-019;GAP-020;GAP-021;GAP-022</t>
        </is>
      </c>
      <c r="O28" s="28" t="n"/>
      <c r="P28" s="28" t="n"/>
      <c r="Q28" s="28" t="n"/>
      <c r="R28" s="28" t="n"/>
      <c r="S28" s="28" t="n"/>
      <c r="T28" s="28" t="n"/>
      <c r="U28" s="28" t="n"/>
      <c r="V28" s="28" t="n"/>
      <c r="W28" s="28" t="n"/>
    </row>
    <row r="29">
      <c r="A29" s="33" t="inlineStr">
        <is>
          <t>RSC-024</t>
        </is>
      </c>
      <c r="B29" s="33" t="inlineStr">
        <is>
          <t>VKM-024</t>
        </is>
      </c>
      <c r="C29" s="33" t="inlineStr">
        <is>
          <t>Рис жасмин</t>
        </is>
      </c>
      <c r="D29" s="33" t="inlineStr">
        <is>
          <t>Горячий участок</t>
        </is>
      </c>
      <c r="E29" s="33" t="n">
        <v>6</v>
      </c>
      <c r="F29" s="33" t="n">
        <v>6</v>
      </c>
      <c r="G29" s="33" t="inlineStr">
        <is>
          <t>HOT-06;HOT-13;HOT-12</t>
        </is>
      </c>
      <c r="H29" s="33" t="inlineStr">
        <is>
          <t>CLD-09</t>
        </is>
      </c>
      <c r="I29" s="33" t="n">
        <v>8</v>
      </c>
      <c r="J29" s="33" t="n">
        <v>35</v>
      </c>
      <c r="K29" s="33" t="inlineStr">
        <is>
          <t>BLOCKED_NO_APPROVED_DEMAND_OR_PASSPORT</t>
        </is>
      </c>
      <c r="L29" s="33" t="inlineStr">
        <is>
          <t>BLOCKED</t>
        </is>
      </c>
      <c r="M29" s="33" t="inlineStr">
        <is>
          <t>BLOCKED</t>
        </is>
      </c>
      <c r="N29" s="33" t="inlineStr">
        <is>
          <t>GAP-007;GAP-017;GAP-018;GAP-019;GAP-020;GAP-021;GAP-022</t>
        </is>
      </c>
      <c r="O29" s="28" t="n"/>
      <c r="P29" s="28" t="n"/>
      <c r="Q29" s="28" t="n"/>
      <c r="R29" s="28" t="n"/>
      <c r="S29" s="28" t="n"/>
      <c r="T29" s="28" t="n"/>
      <c r="U29" s="28" t="n"/>
      <c r="V29" s="28" t="n"/>
      <c r="W29" s="28" t="n"/>
    </row>
    <row r="30">
      <c r="A30" s="33" t="inlineStr">
        <is>
          <t>RSC-025</t>
        </is>
      </c>
      <c r="B30" s="33" t="inlineStr">
        <is>
          <t>VKM-025</t>
        </is>
      </c>
      <c r="C30" s="33" t="inlineStr">
        <is>
          <t>Горячие овощи</t>
        </is>
      </c>
      <c r="D30" s="33" t="inlineStr">
        <is>
          <t>Горячий участок</t>
        </is>
      </c>
      <c r="E30" s="33" t="n">
        <v>5</v>
      </c>
      <c r="F30" s="33" t="n">
        <v>5</v>
      </c>
      <c r="G30" s="33" t="inlineStr">
        <is>
          <t>HOT-12;HOT-13;HOT-03</t>
        </is>
      </c>
      <c r="H30" s="33" t="inlineStr">
        <is>
          <t>CLD-09</t>
        </is>
      </c>
      <c r="I30" s="33" t="n">
        <v>15</v>
      </c>
      <c r="J30" s="33" t="n">
        <v>22</v>
      </c>
      <c r="K30" s="33" t="inlineStr">
        <is>
          <t>BLOCKED_NO_APPROVED_DEMAND_OR_PASSPORT</t>
        </is>
      </c>
      <c r="L30" s="33" t="inlineStr">
        <is>
          <t>BLOCKED</t>
        </is>
      </c>
      <c r="M30" s="33" t="inlineStr">
        <is>
          <t>BLOCKED</t>
        </is>
      </c>
      <c r="N30" s="33" t="inlineStr">
        <is>
          <t>GAP-007;GAP-017;GAP-018;GAP-019;GAP-020;GAP-021;GAP-022</t>
        </is>
      </c>
      <c r="O30" s="28" t="n"/>
      <c r="P30" s="28" t="n"/>
      <c r="Q30" s="28" t="n"/>
      <c r="R30" s="28" t="n"/>
      <c r="S30" s="28" t="n"/>
      <c r="T30" s="28" t="n"/>
      <c r="U30" s="28" t="n"/>
      <c r="V30" s="28" t="n"/>
      <c r="W30" s="28" t="n"/>
    </row>
    <row r="31">
      <c r="A31" s="33" t="inlineStr">
        <is>
          <t>RSC-026</t>
        </is>
      </c>
      <c r="B31" s="33" t="inlineStr">
        <is>
          <t>VKM-029</t>
        </is>
      </c>
      <c r="C31" s="33" t="inlineStr">
        <is>
          <t>Черничный торт VARSHAVKA</t>
        </is>
      </c>
      <c r="D31" s="33" t="inlineStr">
        <is>
          <t>Пицца, хлеб, десерты</t>
        </is>
      </c>
      <c r="E31" s="33" t="n">
        <v>7</v>
      </c>
      <c r="F31" s="33" t="n">
        <v>7</v>
      </c>
      <c r="G31" s="33" t="inlineStr">
        <is>
          <t>BAK-04;BAK-02;BAK-07;BAK-06;STO-09;HOT-05B</t>
        </is>
      </c>
      <c r="H31" s="33" t="n"/>
      <c r="I31" s="33" t="n">
        <v>120</v>
      </c>
      <c r="J31" s="33" t="n">
        <v>600</v>
      </c>
      <c r="K31" s="33" t="inlineStr">
        <is>
          <t>BLOCKED_NO_APPROVED_DEMAND_OR_PASSPORT</t>
        </is>
      </c>
      <c r="L31" s="33" t="inlineStr">
        <is>
          <t>BLOCKED</t>
        </is>
      </c>
      <c r="M31" s="33" t="inlineStr">
        <is>
          <t>BLOCKED</t>
        </is>
      </c>
      <c r="N31" s="33" t="inlineStr">
        <is>
          <t>GAP-007;GAP-017;GAP-018;GAP-019;GAP-020;GAP-021;GAP-022</t>
        </is>
      </c>
      <c r="O31" s="28" t="n"/>
      <c r="P31" s="28" t="n"/>
      <c r="Q31" s="28" t="n"/>
      <c r="R31" s="28" t="n"/>
      <c r="S31" s="28" t="n"/>
      <c r="T31" s="28" t="n"/>
      <c r="U31" s="28" t="n"/>
      <c r="V31" s="28" t="n"/>
      <c r="W31" s="28" t="n"/>
    </row>
    <row r="32">
      <c r="A32" s="33" t="inlineStr">
        <is>
          <t>RSC-027</t>
        </is>
      </c>
      <c r="B32" s="33" t="inlineStr">
        <is>
          <t>VKM-030</t>
        </is>
      </c>
      <c r="C32" s="33" t="inlineStr">
        <is>
          <t>Кростата с солёной карамелью</t>
        </is>
      </c>
      <c r="D32" s="33" t="inlineStr">
        <is>
          <t>Пицца, хлеб, десерты</t>
        </is>
      </c>
      <c r="E32" s="33" t="n">
        <v>8</v>
      </c>
      <c r="F32" s="33" t="n">
        <v>8</v>
      </c>
      <c r="G32" s="33" t="inlineStr">
        <is>
          <t>BAK-04;BAK-07;BAK-06;STO-09;BAK-02;HOT-05B</t>
        </is>
      </c>
      <c r="H32" s="33" t="n"/>
      <c r="I32" s="33" t="n">
        <v>90</v>
      </c>
      <c r="J32" s="33" t="n">
        <v>420</v>
      </c>
      <c r="K32" s="33" t="inlineStr">
        <is>
          <t>BLOCKED_NO_APPROVED_DEMAND_OR_PASSPORT</t>
        </is>
      </c>
      <c r="L32" s="33" t="inlineStr">
        <is>
          <t>BLOCKED</t>
        </is>
      </c>
      <c r="M32" s="33" t="inlineStr">
        <is>
          <t>BLOCKED</t>
        </is>
      </c>
      <c r="N32" s="33" t="inlineStr">
        <is>
          <t>GAP-007;GAP-017;GAP-018;GAP-019;GAP-020;GAP-021;GAP-022</t>
        </is>
      </c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</row>
    <row r="33">
      <c r="A33" s="33" t="inlineStr">
        <is>
          <t>RSC-028</t>
        </is>
      </c>
      <c r="B33" s="33" t="inlineStr">
        <is>
          <t>VKM-031</t>
        </is>
      </c>
      <c r="C33" s="33" t="inlineStr">
        <is>
          <t>Мадлен</t>
        </is>
      </c>
      <c r="D33" s="33" t="inlineStr">
        <is>
          <t>Пицца, хлеб, десерты</t>
        </is>
      </c>
      <c r="E33" s="33" t="n">
        <v>6</v>
      </c>
      <c r="F33" s="33" t="n">
        <v>6</v>
      </c>
      <c r="G33" s="33" t="inlineStr">
        <is>
          <t>BAK-04;BAK-07;STO-09;BAK-02;BAK-06</t>
        </is>
      </c>
      <c r="H33" s="33" t="n"/>
      <c r="I33" s="33" t="n">
        <v>30</v>
      </c>
      <c r="J33" s="33" t="n">
        <v>120</v>
      </c>
      <c r="K33" s="33" t="inlineStr">
        <is>
          <t>BLOCKED_NO_APPROVED_DEMAND_OR_PASSPORT</t>
        </is>
      </c>
      <c r="L33" s="33" t="inlineStr">
        <is>
          <t>BLOCKED</t>
        </is>
      </c>
      <c r="M33" s="33" t="inlineStr">
        <is>
          <t>BLOCKED</t>
        </is>
      </c>
      <c r="N33" s="33" t="inlineStr">
        <is>
          <t>GAP-007;GAP-017;GAP-018;GAP-019;GAP-020;GAP-021;GAP-022</t>
        </is>
      </c>
      <c r="O33" s="28" t="n"/>
      <c r="P33" s="28" t="n"/>
      <c r="Q33" s="28" t="n"/>
      <c r="R33" s="28" t="n"/>
      <c r="S33" s="28" t="n"/>
      <c r="T33" s="28" t="n"/>
      <c r="U33" s="28" t="n"/>
      <c r="V33" s="28" t="n"/>
      <c r="W33" s="28" t="n"/>
    </row>
    <row r="34">
      <c r="A34" s="28" t="n"/>
      <c r="B34" s="28" t="n"/>
      <c r="C34" s="28" t="n"/>
      <c r="D34" s="28" t="n"/>
      <c r="E34" s="28" t="n"/>
      <c r="F34" s="28" t="n"/>
      <c r="G34" s="28" t="n"/>
      <c r="H34" s="28" t="n"/>
      <c r="I34" s="28" t="n"/>
      <c r="J34" s="28" t="n"/>
      <c r="K34" s="28" t="n"/>
      <c r="L34" s="28" t="n"/>
      <c r="M34" s="28" t="n"/>
      <c r="N34" s="28" t="n"/>
      <c r="O34" s="28" t="n"/>
      <c r="P34" s="28" t="n"/>
      <c r="Q34" s="28" t="n"/>
      <c r="R34" s="28" t="n"/>
      <c r="S34" s="28" t="n"/>
      <c r="T34" s="28" t="n"/>
      <c r="U34" s="28" t="n"/>
      <c r="V34" s="28" t="n"/>
      <c r="W34" s="28" t="n"/>
    </row>
    <row r="35">
      <c r="A35" s="28" t="n"/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28" t="n"/>
      <c r="O35" s="28" t="n"/>
      <c r="P35" s="28" t="n"/>
      <c r="Q35" s="28" t="n"/>
      <c r="R35" s="28" t="n"/>
      <c r="S35" s="28" t="n"/>
      <c r="T35" s="28" t="n"/>
      <c r="U35" s="28" t="n"/>
      <c r="V35" s="28" t="n"/>
      <c r="W35" s="28" t="n"/>
    </row>
    <row r="36">
      <c r="A36" s="35" t="inlineStr">
        <is>
          <t>Operation-to-function mapping (155)</t>
        </is>
      </c>
      <c r="O36" s="28" t="n"/>
      <c r="P36" s="28" t="n"/>
      <c r="Q36" s="28" t="n"/>
      <c r="R36" s="28" t="n"/>
      <c r="S36" s="28" t="n"/>
      <c r="T36" s="28" t="n"/>
      <c r="U36" s="28" t="n"/>
      <c r="V36" s="28" t="n"/>
      <c r="W36" s="28" t="n"/>
    </row>
    <row r="37" ht="34" customHeight="1">
      <c r="A37" s="32" t="inlineStr">
        <is>
          <t>Mapping</t>
        </is>
      </c>
      <c r="B37" s="32" t="inlineStr">
        <is>
          <t>Dish ID</t>
        </is>
      </c>
      <c r="C37" s="32" t="inlineStr">
        <is>
          <t>Блюдо</t>
        </is>
      </c>
      <c r="D37" s="32" t="inlineStr">
        <is>
          <t>Op</t>
        </is>
      </c>
      <c r="E37" s="32" t="inlineStr">
        <is>
          <t>Операция</t>
        </is>
      </c>
      <c r="F37" s="32" t="inlineStr">
        <is>
          <t>Functions</t>
        </is>
      </c>
      <c r="G37" s="32" t="inlineStr">
        <is>
          <t>Equipment/function</t>
        </is>
      </c>
      <c r="H37" s="32" t="inlineStr">
        <is>
          <t>CAPEX</t>
        </is>
      </c>
      <c r="I37" s="32" t="inlineStr">
        <is>
          <t>Role</t>
        </is>
      </c>
      <c r="J37" s="32" t="inlineStr">
        <is>
          <t>Min</t>
        </is>
      </c>
      <c r="K37" s="32" t="inlineStr">
        <is>
          <t>Project requirement</t>
        </is>
      </c>
      <c r="L37" s="32" t="inlineStr">
        <is>
          <t>Req status</t>
        </is>
      </c>
      <c r="M37" s="32" t="inlineStr">
        <is>
          <t>Recipe load</t>
        </is>
      </c>
      <c r="N37" s="32" t="inlineStr">
        <is>
          <t>Manufacturer</t>
        </is>
      </c>
      <c r="O37" s="32" t="inlineStr">
        <is>
          <t>Model/article</t>
        </is>
      </c>
      <c r="P37" s="32" t="inlineStr">
        <is>
          <t>Passport</t>
        </is>
      </c>
      <c r="Q37" s="32" t="inlineStr">
        <is>
          <t>Passport cap.</t>
        </is>
      </c>
      <c r="R37" s="32" t="inlineStr">
        <is>
          <t>Capacity</t>
        </is>
      </c>
      <c r="S37" s="32" t="inlineStr">
        <is>
          <t>Availability</t>
        </is>
      </c>
      <c r="T37" s="32" t="inlineStr">
        <is>
          <t>Connections</t>
        </is>
      </c>
      <c r="U37" s="32" t="inlineStr">
        <is>
          <t>Suitability</t>
        </is>
      </c>
      <c r="V37" s="32" t="inlineStr">
        <is>
          <t>Status</t>
        </is>
      </c>
      <c r="W37" s="32" t="inlineStr">
        <is>
          <t>Blockers</t>
        </is>
      </c>
    </row>
    <row r="38">
      <c r="A38" s="33" t="inlineStr">
        <is>
          <t>EQM-0001</t>
        </is>
      </c>
      <c r="B38" s="33" t="inlineStr">
        <is>
          <t>VKM-001</t>
        </is>
      </c>
      <c r="C38" s="33" t="inlineStr">
        <is>
          <t>Маргарита</t>
        </is>
      </c>
      <c r="D38" s="33" t="n">
        <v>1</v>
      </c>
      <c r="E38" s="33" t="inlineStr">
        <is>
          <t>Подготовить тесто и соус</t>
        </is>
      </c>
      <c r="F38" s="33" t="inlineStr">
        <is>
          <t>BAK-03;BAK-12;HOT-05B</t>
        </is>
      </c>
      <c r="G38" s="33" t="inlineStr">
        <is>
          <t>Спиральный тестомес;Холодильный пицца-стол;Индукционная плита 2 зоны</t>
        </is>
      </c>
      <c r="H38" s="33" t="inlineStr">
        <is>
          <t>CAPEX.BAK.003;CAPEX.BAK.012;CAPEX.HOT.006</t>
        </is>
      </c>
      <c r="I38" s="33" t="inlineStr">
        <is>
          <t>MIXING_SAUCE_AND_PREP</t>
        </is>
      </c>
      <c r="J38" s="33" t="n"/>
      <c r="K38" s="33" t="inlineStr">
        <is>
          <t>BAK-03: Рабочий диапазон 2–25 кг; BAK-12: Стол и надстройка ингредиентов; HOT-05B: 2 зоны</t>
        </is>
      </c>
      <c r="L38" s="33" t="inlineStr">
        <is>
          <t>PLANNED</t>
        </is>
      </c>
      <c r="M38" s="33" t="n"/>
      <c r="N38" s="33" t="n"/>
      <c r="O38" s="33" t="n"/>
      <c r="P38" s="33" t="n"/>
      <c r="Q38" s="33" t="n"/>
      <c r="R38" s="33" t="inlineStr">
        <is>
          <t>BLOCKED_NO_SELECTED_MODEL_PASSPORT</t>
        </is>
      </c>
      <c r="S38" s="33" t="inlineStr">
        <is>
          <t>BLOCKED</t>
        </is>
      </c>
      <c r="T38" s="33" t="inlineStr">
        <is>
          <t>BLOCKED</t>
        </is>
      </c>
      <c r="U38" s="33" t="inlineStr">
        <is>
          <t>BLOCKED_SELECTED_MODEL_AND_SITE_VALIDATION</t>
        </is>
      </c>
      <c r="V38" s="33" t="inlineStr">
        <is>
          <t>ESTIMATE</t>
        </is>
      </c>
      <c r="W38" s="33" t="inlineStr">
        <is>
          <t>GAP-007;GAP-017;GAP-018;GAP-019</t>
        </is>
      </c>
    </row>
    <row r="39">
      <c r="A39" s="33" t="inlineStr">
        <is>
          <t>EQM-0002</t>
        </is>
      </c>
      <c r="B39" s="33" t="inlineStr">
        <is>
          <t>VKM-001</t>
        </is>
      </c>
      <c r="C39" s="33" t="inlineStr">
        <is>
          <t>Маргарита</t>
        </is>
      </c>
      <c r="D39" s="33" t="n">
        <v>2</v>
      </c>
      <c r="E39" s="33" t="inlineStr">
        <is>
          <t>выдержать тесто</t>
        </is>
      </c>
      <c r="F39" s="33" t="inlineStr">
        <is>
          <t>STO-08</t>
        </is>
      </c>
      <c r="G39" s="33" t="inlineStr">
        <is>
          <t>Холодная ферментация теста</t>
        </is>
      </c>
      <c r="H39" s="33" t="inlineStr">
        <is>
          <t>CAPEX.STO.008</t>
        </is>
      </c>
      <c r="I39" s="33" t="inlineStr">
        <is>
          <t>CONTROLLED_HOLDING</t>
        </is>
      </c>
      <c r="J39" s="33" t="n"/>
      <c r="K39" s="33" t="inlineStr">
        <is>
          <t>STO-08: Всего ≥30 позиций 600×400</t>
        </is>
      </c>
      <c r="L39" s="33" t="inlineStr">
        <is>
          <t>PLANNED</t>
        </is>
      </c>
      <c r="M39" s="33" t="n"/>
      <c r="N39" s="33" t="n"/>
      <c r="O39" s="33" t="n"/>
      <c r="P39" s="33" t="n"/>
      <c r="Q39" s="33" t="n"/>
      <c r="R39" s="33" t="inlineStr">
        <is>
          <t>BLOCKED_NO_SELECTED_MODEL_PASSPORT</t>
        </is>
      </c>
      <c r="S39" s="33" t="inlineStr">
        <is>
          <t>BLOCKED</t>
        </is>
      </c>
      <c r="T39" s="33" t="inlineStr">
        <is>
          <t>BLOCKED</t>
        </is>
      </c>
      <c r="U39" s="33" t="inlineStr">
        <is>
          <t>BLOCKED_SELECTED_MODEL_AND_SITE_VALIDATION</t>
        </is>
      </c>
      <c r="V39" s="33" t="inlineStr">
        <is>
          <t>ESTIMATE</t>
        </is>
      </c>
      <c r="W39" s="33" t="inlineStr">
        <is>
          <t>GAP-007;GAP-017;GAP-018;GAP-019</t>
        </is>
      </c>
    </row>
    <row r="40">
      <c r="A40" s="33" t="inlineStr">
        <is>
          <t>EQM-0003</t>
        </is>
      </c>
      <c r="B40" s="33" t="inlineStr">
        <is>
          <t>VKM-001</t>
        </is>
      </c>
      <c r="C40" s="33" t="inlineStr">
        <is>
          <t>Маргарита</t>
        </is>
      </c>
      <c r="D40" s="33" t="n">
        <v>3</v>
      </c>
      <c r="E40" s="33" t="inlineStr">
        <is>
          <t>сформовать основу</t>
        </is>
      </c>
      <c r="F40" s="33" t="inlineStr">
        <is>
          <t>BAK-12</t>
        </is>
      </c>
      <c r="G40" s="33" t="inlineStr">
        <is>
          <t>Холодильный пицца-стол</t>
        </is>
      </c>
      <c r="H40" s="33" t="inlineStr">
        <is>
          <t>CAPEX.BAK.012</t>
        </is>
      </c>
      <c r="I40" s="33" t="inlineStr">
        <is>
          <t>FORMING_ASSEMBLY_FINISH</t>
        </is>
      </c>
      <c r="J40" s="33" t="n"/>
      <c r="K40" s="33" t="inlineStr">
        <is>
          <t>BAK-12: Стол и надстройка ингредиентов</t>
        </is>
      </c>
      <c r="L40" s="33" t="inlineStr">
        <is>
          <t>PLANNED</t>
        </is>
      </c>
      <c r="M40" s="33" t="n"/>
      <c r="N40" s="33" t="n"/>
      <c r="O40" s="33" t="n"/>
      <c r="P40" s="33" t="n"/>
      <c r="Q40" s="33" t="n"/>
      <c r="R40" s="33" t="inlineStr">
        <is>
          <t>BLOCKED_NO_SELECTED_MODEL_PASSPORT</t>
        </is>
      </c>
      <c r="S40" s="33" t="inlineStr">
        <is>
          <t>BLOCKED</t>
        </is>
      </c>
      <c r="T40" s="33" t="inlineStr">
        <is>
          <t>BLOCKED</t>
        </is>
      </c>
      <c r="U40" s="33" t="inlineStr">
        <is>
          <t>BLOCKED_SELECTED_MODEL_AND_SITE_VALIDATION</t>
        </is>
      </c>
      <c r="V40" s="33" t="inlineStr">
        <is>
          <t>ESTIMATE</t>
        </is>
      </c>
      <c r="W40" s="33" t="inlineStr">
        <is>
          <t>GAP-007;GAP-017;GAP-018;GAP-019</t>
        </is>
      </c>
    </row>
    <row r="41">
      <c r="A41" s="33" t="inlineStr">
        <is>
          <t>EQM-0004</t>
        </is>
      </c>
      <c r="B41" s="33" t="inlineStr">
        <is>
          <t>VKM-001</t>
        </is>
      </c>
      <c r="C41" s="33" t="inlineStr">
        <is>
          <t>Маргарита</t>
        </is>
      </c>
      <c r="D41" s="33" t="n">
        <v>4</v>
      </c>
      <c r="E41" s="33" t="inlineStr">
        <is>
          <t>нанести соус и сыр</t>
        </is>
      </c>
      <c r="F41" s="33" t="inlineStr">
        <is>
          <t>HOT-05B;BAK-12</t>
        </is>
      </c>
      <c r="G41" s="33" t="inlineStr">
        <is>
          <t>Индукционная плита 2 зоны;Холодильный пицца-стол</t>
        </is>
      </c>
      <c r="H41" s="33" t="inlineStr">
        <is>
          <t>CAPEX.HOT.006;CAPEX.BAK.012</t>
        </is>
      </c>
      <c r="I41" s="33" t="inlineStr">
        <is>
          <t>SAUCE_PREP_AND_ASSEMBLY</t>
        </is>
      </c>
      <c r="J41" s="33" t="n"/>
      <c r="K41" s="33" t="inlineStr">
        <is>
          <t>HOT-05B: 2 зоны; BAK-12: Стол и надстройка ингредиентов</t>
        </is>
      </c>
      <c r="L41" s="33" t="inlineStr">
        <is>
          <t>PLANNED</t>
        </is>
      </c>
      <c r="M41" s="33" t="n"/>
      <c r="N41" s="33" t="n"/>
      <c r="O41" s="33" t="n"/>
      <c r="P41" s="33" t="n"/>
      <c r="Q41" s="33" t="n"/>
      <c r="R41" s="33" t="inlineStr">
        <is>
          <t>BLOCKED_NO_SELECTED_MODEL_PASSPORT</t>
        </is>
      </c>
      <c r="S41" s="33" t="inlineStr">
        <is>
          <t>BLOCKED</t>
        </is>
      </c>
      <c r="T41" s="33" t="inlineStr">
        <is>
          <t>BLOCKED</t>
        </is>
      </c>
      <c r="U41" s="33" t="inlineStr">
        <is>
          <t>BLOCKED_SELECTED_MODEL_AND_SITE_VALIDATION</t>
        </is>
      </c>
      <c r="V41" s="33" t="inlineStr">
        <is>
          <t>ESTIMATE</t>
        </is>
      </c>
      <c r="W41" s="33" t="inlineStr">
        <is>
          <t>GAP-007;GAP-017;GAP-018;GAP-019</t>
        </is>
      </c>
    </row>
    <row r="42">
      <c r="A42" s="33" t="inlineStr">
        <is>
          <t>EQM-0005</t>
        </is>
      </c>
      <c r="B42" s="33" t="inlineStr">
        <is>
          <t>VKM-001</t>
        </is>
      </c>
      <c r="C42" s="33" t="inlineStr">
        <is>
          <t>Маргарита</t>
        </is>
      </c>
      <c r="D42" s="33" t="n">
        <v>5</v>
      </c>
      <c r="E42" s="33" t="inlineStr">
        <is>
          <t>выпечь</t>
        </is>
      </c>
      <c r="F42" s="33" t="inlineStr">
        <is>
          <t>BAK-01</t>
        </is>
      </c>
      <c r="G42" s="33" t="inlineStr">
        <is>
          <t>Печь для пиццы</t>
        </is>
      </c>
      <c r="H42" s="33" t="inlineStr">
        <is>
          <t>CAPEX.BAK.001</t>
        </is>
      </c>
      <c r="I42" s="33" t="inlineStr">
        <is>
          <t>THERMAL_PROCESS</t>
        </is>
      </c>
      <c r="J42" s="33" t="n"/>
      <c r="K42" s="33" t="inlineStr">
        <is>
          <t>BAK-01: 4–6 пицц до 33 см; ≥400°C; 20–25/час</t>
        </is>
      </c>
      <c r="L42" s="33" t="inlineStr">
        <is>
          <t>PLANNED</t>
        </is>
      </c>
      <c r="M42" s="33" t="n">
        <v>1</v>
      </c>
      <c r="N42" s="33" t="n"/>
      <c r="O42" s="33" t="n"/>
      <c r="P42" s="33" t="n"/>
      <c r="Q42" s="33" t="n"/>
      <c r="R42" s="33" t="inlineStr">
        <is>
          <t>BLOCKED_NO_SELECTED_MODEL_PASSPORT</t>
        </is>
      </c>
      <c r="S42" s="33" t="inlineStr">
        <is>
          <t>BLOCKED</t>
        </is>
      </c>
      <c r="T42" s="33" t="inlineStr">
        <is>
          <t>BLOCKED</t>
        </is>
      </c>
      <c r="U42" s="33" t="inlineStr">
        <is>
          <t>BLOCKED_SELECTED_MODEL_AND_SITE_VALIDATION</t>
        </is>
      </c>
      <c r="V42" s="33" t="inlineStr">
        <is>
          <t>ESTIMATE</t>
        </is>
      </c>
      <c r="W42" s="33" t="inlineStr">
        <is>
          <t>GAP-007;GAP-017;GAP-018;GAP-019</t>
        </is>
      </c>
    </row>
    <row r="43">
      <c r="A43" s="33" t="inlineStr">
        <is>
          <t>EQM-0006</t>
        </is>
      </c>
      <c r="B43" s="33" t="inlineStr">
        <is>
          <t>VKM-001</t>
        </is>
      </c>
      <c r="C43" s="33" t="inlineStr">
        <is>
          <t>Маргарита</t>
        </is>
      </c>
      <c r="D43" s="33" t="n">
        <v>6</v>
      </c>
      <c r="E43" s="33" t="inlineStr">
        <is>
          <t>добавить базилик и масло</t>
        </is>
      </c>
      <c r="F43" s="33" t="inlineStr">
        <is>
          <t>BAK-12</t>
        </is>
      </c>
      <c r="G43" s="33" t="inlineStr">
        <is>
          <t>Холодильный пицца-стол</t>
        </is>
      </c>
      <c r="H43" s="33" t="inlineStr">
        <is>
          <t>CAPEX.BAK.012</t>
        </is>
      </c>
      <c r="I43" s="33" t="inlineStr">
        <is>
          <t>FORMING_ASSEMBLY_FINISH</t>
        </is>
      </c>
      <c r="J43" s="33" t="n"/>
      <c r="K43" s="33" t="inlineStr">
        <is>
          <t>BAK-12: Стол и надстройка ингредиентов</t>
        </is>
      </c>
      <c r="L43" s="33" t="inlineStr">
        <is>
          <t>PLANNED</t>
        </is>
      </c>
      <c r="M43" s="33" t="n"/>
      <c r="N43" s="33" t="n"/>
      <c r="O43" s="33" t="n"/>
      <c r="P43" s="33" t="n"/>
      <c r="Q43" s="33" t="n"/>
      <c r="R43" s="33" t="inlineStr">
        <is>
          <t>BLOCKED_NO_SELECTED_MODEL_PASSPORT</t>
        </is>
      </c>
      <c r="S43" s="33" t="inlineStr">
        <is>
          <t>BLOCKED</t>
        </is>
      </c>
      <c r="T43" s="33" t="inlineStr">
        <is>
          <t>BLOCKED</t>
        </is>
      </c>
      <c r="U43" s="33" t="inlineStr">
        <is>
          <t>BLOCKED_SELECTED_MODEL_AND_SITE_VALIDATION</t>
        </is>
      </c>
      <c r="V43" s="33" t="inlineStr">
        <is>
          <t>ESTIMATE</t>
        </is>
      </c>
      <c r="W43" s="33" t="inlineStr">
        <is>
          <t>GAP-007;GAP-017;GAP-018;GAP-019</t>
        </is>
      </c>
    </row>
    <row r="44">
      <c r="A44" s="33" t="inlineStr">
        <is>
          <t>EQM-0007</t>
        </is>
      </c>
      <c r="B44" s="33" t="inlineStr">
        <is>
          <t>VKM-002</t>
        </is>
      </c>
      <c r="C44" s="33" t="inlineStr">
        <is>
          <t>Четыре сыра</t>
        </is>
      </c>
      <c r="D44" s="33" t="n">
        <v>1</v>
      </c>
      <c r="E44" s="33" t="inlineStr">
        <is>
          <t>Подготовить тесто и соус</t>
        </is>
      </c>
      <c r="F44" s="33" t="inlineStr">
        <is>
          <t>BAK-03;BAK-12;HOT-05B</t>
        </is>
      </c>
      <c r="G44" s="33" t="inlineStr">
        <is>
          <t>Спиральный тестомес;Холодильный пицца-стол;Индукционная плита 2 зоны</t>
        </is>
      </c>
      <c r="H44" s="33" t="inlineStr">
        <is>
          <t>CAPEX.BAK.003;CAPEX.BAK.012;CAPEX.HOT.006</t>
        </is>
      </c>
      <c r="I44" s="33" t="inlineStr">
        <is>
          <t>MIXING_SAUCE_AND_PREP</t>
        </is>
      </c>
      <c r="J44" s="33" t="n"/>
      <c r="K44" s="33" t="inlineStr">
        <is>
          <t>BAK-03: Рабочий диапазон 2–25 кг; BAK-12: Стол и надстройка ингредиентов; HOT-05B: 2 зоны</t>
        </is>
      </c>
      <c r="L44" s="33" t="inlineStr">
        <is>
          <t>PLANNED</t>
        </is>
      </c>
      <c r="M44" s="33" t="n"/>
      <c r="N44" s="33" t="n"/>
      <c r="O44" s="33" t="n"/>
      <c r="P44" s="33" t="n"/>
      <c r="Q44" s="33" t="n"/>
      <c r="R44" s="33" t="inlineStr">
        <is>
          <t>BLOCKED_NO_SELECTED_MODEL_PASSPORT</t>
        </is>
      </c>
      <c r="S44" s="33" t="inlineStr">
        <is>
          <t>BLOCKED</t>
        </is>
      </c>
      <c r="T44" s="33" t="inlineStr">
        <is>
          <t>BLOCKED</t>
        </is>
      </c>
      <c r="U44" s="33" t="inlineStr">
        <is>
          <t>BLOCKED_SELECTED_MODEL_AND_SITE_VALIDATION</t>
        </is>
      </c>
      <c r="V44" s="33" t="inlineStr">
        <is>
          <t>ESTIMATE</t>
        </is>
      </c>
      <c r="W44" s="33" t="inlineStr">
        <is>
          <t>GAP-007;GAP-017;GAP-018;GAP-019</t>
        </is>
      </c>
    </row>
    <row r="45">
      <c r="A45" s="33" t="inlineStr">
        <is>
          <t>EQM-0008</t>
        </is>
      </c>
      <c r="B45" s="33" t="inlineStr">
        <is>
          <t>VKM-002</t>
        </is>
      </c>
      <c r="C45" s="33" t="inlineStr">
        <is>
          <t>Четыре сыра</t>
        </is>
      </c>
      <c r="D45" s="33" t="n">
        <v>2</v>
      </c>
      <c r="E45" s="33" t="inlineStr">
        <is>
          <t>сформовать</t>
        </is>
      </c>
      <c r="F45" s="33" t="inlineStr">
        <is>
          <t>BAK-12</t>
        </is>
      </c>
      <c r="G45" s="33" t="inlineStr">
        <is>
          <t>Холодильный пицца-стол</t>
        </is>
      </c>
      <c r="H45" s="33" t="inlineStr">
        <is>
          <t>CAPEX.BAK.012</t>
        </is>
      </c>
      <c r="I45" s="33" t="inlineStr">
        <is>
          <t>FORMING_ASSEMBLY_FINISH</t>
        </is>
      </c>
      <c r="J45" s="33" t="n"/>
      <c r="K45" s="33" t="inlineStr">
        <is>
          <t>BAK-12: Стол и надстройка ингредиентов</t>
        </is>
      </c>
      <c r="L45" s="33" t="inlineStr">
        <is>
          <t>PLANNED</t>
        </is>
      </c>
      <c r="M45" s="33" t="n"/>
      <c r="N45" s="33" t="n"/>
      <c r="O45" s="33" t="n"/>
      <c r="P45" s="33" t="n"/>
      <c r="Q45" s="33" t="n"/>
      <c r="R45" s="33" t="inlineStr">
        <is>
          <t>BLOCKED_NO_SELECTED_MODEL_PASSPORT</t>
        </is>
      </c>
      <c r="S45" s="33" t="inlineStr">
        <is>
          <t>BLOCKED</t>
        </is>
      </c>
      <c r="T45" s="33" t="inlineStr">
        <is>
          <t>BLOCKED</t>
        </is>
      </c>
      <c r="U45" s="33" t="inlineStr">
        <is>
          <t>BLOCKED_SELECTED_MODEL_AND_SITE_VALIDATION</t>
        </is>
      </c>
      <c r="V45" s="33" t="inlineStr">
        <is>
          <t>ESTIMATE</t>
        </is>
      </c>
      <c r="W45" s="33" t="inlineStr">
        <is>
          <t>GAP-007;GAP-017;GAP-018;GAP-019</t>
        </is>
      </c>
    </row>
    <row r="46">
      <c r="A46" s="33" t="inlineStr">
        <is>
          <t>EQM-0009</t>
        </is>
      </c>
      <c r="B46" s="33" t="inlineStr">
        <is>
          <t>VKM-002</t>
        </is>
      </c>
      <c r="C46" s="33" t="inlineStr">
        <is>
          <t>Четыре сыра</t>
        </is>
      </c>
      <c r="D46" s="33" t="n">
        <v>3</v>
      </c>
      <c r="E46" s="33" t="inlineStr">
        <is>
          <t>распределить четыре сыра</t>
        </is>
      </c>
      <c r="F46" s="33" t="inlineStr">
        <is>
          <t>BAK-12</t>
        </is>
      </c>
      <c r="G46" s="33" t="inlineStr">
        <is>
          <t>Холодильный пицца-стол</t>
        </is>
      </c>
      <c r="H46" s="33" t="inlineStr">
        <is>
          <t>CAPEX.BAK.012</t>
        </is>
      </c>
      <c r="I46" s="33" t="inlineStr">
        <is>
          <t>FORMING_ASSEMBLY_FINISH</t>
        </is>
      </c>
      <c r="J46" s="33" t="n"/>
      <c r="K46" s="33" t="inlineStr">
        <is>
          <t>BAK-12: Стол и надстройка ингредиентов</t>
        </is>
      </c>
      <c r="L46" s="33" t="inlineStr">
        <is>
          <t>PLANNED</t>
        </is>
      </c>
      <c r="M46" s="33" t="n"/>
      <c r="N46" s="33" t="n"/>
      <c r="O46" s="33" t="n"/>
      <c r="P46" s="33" t="n"/>
      <c r="Q46" s="33" t="n"/>
      <c r="R46" s="33" t="inlineStr">
        <is>
          <t>BLOCKED_NO_SELECTED_MODEL_PASSPORT</t>
        </is>
      </c>
      <c r="S46" s="33" t="inlineStr">
        <is>
          <t>BLOCKED</t>
        </is>
      </c>
      <c r="T46" s="33" t="inlineStr">
        <is>
          <t>BLOCKED</t>
        </is>
      </c>
      <c r="U46" s="33" t="inlineStr">
        <is>
          <t>BLOCKED_SELECTED_MODEL_AND_SITE_VALIDATION</t>
        </is>
      </c>
      <c r="V46" s="33" t="inlineStr">
        <is>
          <t>ESTIMATE</t>
        </is>
      </c>
      <c r="W46" s="33" t="inlineStr">
        <is>
          <t>GAP-007;GAP-017;GAP-018;GAP-019</t>
        </is>
      </c>
    </row>
    <row r="47">
      <c r="A47" s="33" t="inlineStr">
        <is>
          <t>EQM-0010</t>
        </is>
      </c>
      <c r="B47" s="33" t="inlineStr">
        <is>
          <t>VKM-002</t>
        </is>
      </c>
      <c r="C47" s="33" t="inlineStr">
        <is>
          <t>Четыре сыра</t>
        </is>
      </c>
      <c r="D47" s="33" t="n">
        <v>4</v>
      </c>
      <c r="E47" s="33" t="inlineStr">
        <is>
          <t>выпечь</t>
        </is>
      </c>
      <c r="F47" s="33" t="inlineStr">
        <is>
          <t>BAK-01</t>
        </is>
      </c>
      <c r="G47" s="33" t="inlineStr">
        <is>
          <t>Печь для пиццы</t>
        </is>
      </c>
      <c r="H47" s="33" t="inlineStr">
        <is>
          <t>CAPEX.BAK.001</t>
        </is>
      </c>
      <c r="I47" s="33" t="inlineStr">
        <is>
          <t>THERMAL_PROCESS</t>
        </is>
      </c>
      <c r="J47" s="33" t="n"/>
      <c r="K47" s="33" t="inlineStr">
        <is>
          <t>BAK-01: 4–6 пицц до 33 см; ≥400°C; 20–25/час</t>
        </is>
      </c>
      <c r="L47" s="33" t="inlineStr">
        <is>
          <t>PLANNED</t>
        </is>
      </c>
      <c r="M47" s="33" t="n">
        <v>1</v>
      </c>
      <c r="N47" s="33" t="n"/>
      <c r="O47" s="33" t="n"/>
      <c r="P47" s="33" t="n"/>
      <c r="Q47" s="33" t="n"/>
      <c r="R47" s="33" t="inlineStr">
        <is>
          <t>BLOCKED_NO_SELECTED_MODEL_PASSPORT</t>
        </is>
      </c>
      <c r="S47" s="33" t="inlineStr">
        <is>
          <t>BLOCKED</t>
        </is>
      </c>
      <c r="T47" s="33" t="inlineStr">
        <is>
          <t>BLOCKED</t>
        </is>
      </c>
      <c r="U47" s="33" t="inlineStr">
        <is>
          <t>BLOCKED_SELECTED_MODEL_AND_SITE_VALIDATION</t>
        </is>
      </c>
      <c r="V47" s="33" t="inlineStr">
        <is>
          <t>ESTIMATE</t>
        </is>
      </c>
      <c r="W47" s="33" t="inlineStr">
        <is>
          <t>GAP-007;GAP-017;GAP-018;GAP-019</t>
        </is>
      </c>
    </row>
    <row r="48">
      <c r="A48" s="33" t="inlineStr">
        <is>
          <t>EQM-0011</t>
        </is>
      </c>
      <c r="B48" s="33" t="inlineStr">
        <is>
          <t>VKM-002</t>
        </is>
      </c>
      <c r="C48" s="33" t="inlineStr">
        <is>
          <t>Четыре сыра</t>
        </is>
      </c>
      <c r="D48" s="33" t="n">
        <v>5</v>
      </c>
      <c r="E48" s="33" t="inlineStr">
        <is>
          <t>финишировать маслом</t>
        </is>
      </c>
      <c r="F48" s="33" t="inlineStr">
        <is>
          <t>BAK-12</t>
        </is>
      </c>
      <c r="G48" s="33" t="inlineStr">
        <is>
          <t>Холодильный пицца-стол</t>
        </is>
      </c>
      <c r="H48" s="33" t="inlineStr">
        <is>
          <t>CAPEX.BAK.012</t>
        </is>
      </c>
      <c r="I48" s="33" t="inlineStr">
        <is>
          <t>FORMING_ASSEMBLY_FINISH</t>
        </is>
      </c>
      <c r="J48" s="33" t="n"/>
      <c r="K48" s="33" t="inlineStr">
        <is>
          <t>BAK-12: Стол и надстройка ингредиентов</t>
        </is>
      </c>
      <c r="L48" s="33" t="inlineStr">
        <is>
          <t>PLANNED</t>
        </is>
      </c>
      <c r="M48" s="33" t="n"/>
      <c r="N48" s="33" t="n"/>
      <c r="O48" s="33" t="n"/>
      <c r="P48" s="33" t="n"/>
      <c r="Q48" s="33" t="n"/>
      <c r="R48" s="33" t="inlineStr">
        <is>
          <t>BLOCKED_NO_SELECTED_MODEL_PASSPORT</t>
        </is>
      </c>
      <c r="S48" s="33" t="inlineStr">
        <is>
          <t>BLOCKED</t>
        </is>
      </c>
      <c r="T48" s="33" t="inlineStr">
        <is>
          <t>BLOCKED</t>
        </is>
      </c>
      <c r="U48" s="33" t="inlineStr">
        <is>
          <t>BLOCKED_SELECTED_MODEL_AND_SITE_VALIDATION</t>
        </is>
      </c>
      <c r="V48" s="33" t="inlineStr">
        <is>
          <t>ESTIMATE</t>
        </is>
      </c>
      <c r="W48" s="33" t="inlineStr">
        <is>
          <t>GAP-007;GAP-017;GAP-018;GAP-019</t>
        </is>
      </c>
    </row>
    <row r="49">
      <c r="A49" s="33" t="inlineStr">
        <is>
          <t>EQM-0012</t>
        </is>
      </c>
      <c r="B49" s="33" t="inlineStr">
        <is>
          <t>VKM-003</t>
        </is>
      </c>
      <c r="C49" s="33" t="inlineStr">
        <is>
          <t>Грибная с ветчиной</t>
        </is>
      </c>
      <c r="D49" s="33" t="n">
        <v>1</v>
      </c>
      <c r="E49" s="33" t="inlineStr">
        <is>
          <t>Подготовить тесто и соус</t>
        </is>
      </c>
      <c r="F49" s="33" t="inlineStr">
        <is>
          <t>BAK-03;BAK-12;HOT-05B</t>
        </is>
      </c>
      <c r="G49" s="33" t="inlineStr">
        <is>
          <t>Спиральный тестомес;Холодильный пицца-стол;Индукционная плита 2 зоны</t>
        </is>
      </c>
      <c r="H49" s="33" t="inlineStr">
        <is>
          <t>CAPEX.BAK.003;CAPEX.BAK.012;CAPEX.HOT.006</t>
        </is>
      </c>
      <c r="I49" s="33" t="inlineStr">
        <is>
          <t>MIXING_SAUCE_AND_PREP</t>
        </is>
      </c>
      <c r="J49" s="33" t="n"/>
      <c r="K49" s="33" t="inlineStr">
        <is>
          <t>BAK-03: Рабочий диапазон 2–25 кг; BAK-12: Стол и надстройка ингредиентов; HOT-05B: 2 зоны</t>
        </is>
      </c>
      <c r="L49" s="33" t="inlineStr">
        <is>
          <t>PLANNED</t>
        </is>
      </c>
      <c r="M49" s="33" t="n"/>
      <c r="N49" s="33" t="n"/>
      <c r="O49" s="33" t="n"/>
      <c r="P49" s="33" t="n"/>
      <c r="Q49" s="33" t="n"/>
      <c r="R49" s="33" t="inlineStr">
        <is>
          <t>BLOCKED_NO_SELECTED_MODEL_PASSPORT</t>
        </is>
      </c>
      <c r="S49" s="33" t="inlineStr">
        <is>
          <t>BLOCKED</t>
        </is>
      </c>
      <c r="T49" s="33" t="inlineStr">
        <is>
          <t>BLOCKED</t>
        </is>
      </c>
      <c r="U49" s="33" t="inlineStr">
        <is>
          <t>BLOCKED_SELECTED_MODEL_AND_SITE_VALIDATION</t>
        </is>
      </c>
      <c r="V49" s="33" t="inlineStr">
        <is>
          <t>ESTIMATE</t>
        </is>
      </c>
      <c r="W49" s="33" t="inlineStr">
        <is>
          <t>GAP-007;GAP-017;GAP-018;GAP-019</t>
        </is>
      </c>
    </row>
    <row r="50">
      <c r="A50" s="33" t="inlineStr">
        <is>
          <t>EQM-0013</t>
        </is>
      </c>
      <c r="B50" s="33" t="inlineStr">
        <is>
          <t>VKM-003</t>
        </is>
      </c>
      <c r="C50" s="33" t="inlineStr">
        <is>
          <t>Грибная с ветчиной</t>
        </is>
      </c>
      <c r="D50" s="33" t="n">
        <v>2</v>
      </c>
      <c r="E50" s="33" t="inlineStr">
        <is>
          <t>подготовить грибы и лук</t>
        </is>
      </c>
      <c r="F50" s="33" t="inlineStr">
        <is>
          <t>BAK-12</t>
        </is>
      </c>
      <c r="G50" s="33" t="inlineStr">
        <is>
          <t>Холодильный пицца-стол</t>
        </is>
      </c>
      <c r="H50" s="33" t="inlineStr">
        <is>
          <t>CAPEX.BAK.012</t>
        </is>
      </c>
      <c r="I50" s="33" t="inlineStr">
        <is>
          <t>FORMING_ASSEMBLY_FINISH</t>
        </is>
      </c>
      <c r="J50" s="33" t="n"/>
      <c r="K50" s="33" t="inlineStr">
        <is>
          <t>BAK-12: Стол и надстройка ингредиентов</t>
        </is>
      </c>
      <c r="L50" s="33" t="inlineStr">
        <is>
          <t>PLANNED</t>
        </is>
      </c>
      <c r="M50" s="33" t="n"/>
      <c r="N50" s="33" t="n"/>
      <c r="O50" s="33" t="n"/>
      <c r="P50" s="33" t="n"/>
      <c r="Q50" s="33" t="n"/>
      <c r="R50" s="33" t="inlineStr">
        <is>
          <t>BLOCKED_NO_SELECTED_MODEL_PASSPORT</t>
        </is>
      </c>
      <c r="S50" s="33" t="inlineStr">
        <is>
          <t>BLOCKED</t>
        </is>
      </c>
      <c r="T50" s="33" t="inlineStr">
        <is>
          <t>BLOCKED</t>
        </is>
      </c>
      <c r="U50" s="33" t="inlineStr">
        <is>
          <t>BLOCKED_SELECTED_MODEL_AND_SITE_VALIDATION</t>
        </is>
      </c>
      <c r="V50" s="33" t="inlineStr">
        <is>
          <t>ESTIMATE</t>
        </is>
      </c>
      <c r="W50" s="33" t="inlineStr">
        <is>
          <t>GAP-007;GAP-017;GAP-018;GAP-019</t>
        </is>
      </c>
    </row>
    <row r="51">
      <c r="A51" s="33" t="inlineStr">
        <is>
          <t>EQM-0014</t>
        </is>
      </c>
      <c r="B51" s="33" t="inlineStr">
        <is>
          <t>VKM-003</t>
        </is>
      </c>
      <c r="C51" s="33" t="inlineStr">
        <is>
          <t>Грибная с ветчиной</t>
        </is>
      </c>
      <c r="D51" s="33" t="n">
        <v>3</v>
      </c>
      <c r="E51" s="33" t="inlineStr">
        <is>
          <t>сформовать</t>
        </is>
      </c>
      <c r="F51" s="33" t="inlineStr">
        <is>
          <t>BAK-12</t>
        </is>
      </c>
      <c r="G51" s="33" t="inlineStr">
        <is>
          <t>Холодильный пицца-стол</t>
        </is>
      </c>
      <c r="H51" s="33" t="inlineStr">
        <is>
          <t>CAPEX.BAK.012</t>
        </is>
      </c>
      <c r="I51" s="33" t="inlineStr">
        <is>
          <t>FORMING_ASSEMBLY_FINISH</t>
        </is>
      </c>
      <c r="J51" s="33" t="n"/>
      <c r="K51" s="33" t="inlineStr">
        <is>
          <t>BAK-12: Стол и надстройка ингредиентов</t>
        </is>
      </c>
      <c r="L51" s="33" t="inlineStr">
        <is>
          <t>PLANNED</t>
        </is>
      </c>
      <c r="M51" s="33" t="n"/>
      <c r="N51" s="33" t="n"/>
      <c r="O51" s="33" t="n"/>
      <c r="P51" s="33" t="n"/>
      <c r="Q51" s="33" t="n"/>
      <c r="R51" s="33" t="inlineStr">
        <is>
          <t>BLOCKED_NO_SELECTED_MODEL_PASSPORT</t>
        </is>
      </c>
      <c r="S51" s="33" t="inlineStr">
        <is>
          <t>BLOCKED</t>
        </is>
      </c>
      <c r="T51" s="33" t="inlineStr">
        <is>
          <t>BLOCKED</t>
        </is>
      </c>
      <c r="U51" s="33" t="inlineStr">
        <is>
          <t>BLOCKED_SELECTED_MODEL_AND_SITE_VALIDATION</t>
        </is>
      </c>
      <c r="V51" s="33" t="inlineStr">
        <is>
          <t>ESTIMATE</t>
        </is>
      </c>
      <c r="W51" s="33" t="inlineStr">
        <is>
          <t>GAP-007;GAP-017;GAP-018;GAP-019</t>
        </is>
      </c>
    </row>
    <row r="52">
      <c r="A52" s="33" t="inlineStr">
        <is>
          <t>EQM-0015</t>
        </is>
      </c>
      <c r="B52" s="33" t="inlineStr">
        <is>
          <t>VKM-003</t>
        </is>
      </c>
      <c r="C52" s="33" t="inlineStr">
        <is>
          <t>Грибная с ветчиной</t>
        </is>
      </c>
      <c r="D52" s="33" t="n">
        <v>4</v>
      </c>
      <c r="E52" s="33" t="inlineStr">
        <is>
          <t>собрать с ветчиной</t>
        </is>
      </c>
      <c r="F52" s="33" t="inlineStr">
        <is>
          <t>BAK-12</t>
        </is>
      </c>
      <c r="G52" s="33" t="inlineStr">
        <is>
          <t>Холодильный пицца-стол</t>
        </is>
      </c>
      <c r="H52" s="33" t="inlineStr">
        <is>
          <t>CAPEX.BAK.012</t>
        </is>
      </c>
      <c r="I52" s="33" t="inlineStr">
        <is>
          <t>FORMING_ASSEMBLY_FINISH</t>
        </is>
      </c>
      <c r="J52" s="33" t="n"/>
      <c r="K52" s="33" t="inlineStr">
        <is>
          <t>BAK-12: Стол и надстройка ингредиентов</t>
        </is>
      </c>
      <c r="L52" s="33" t="inlineStr">
        <is>
          <t>PLANNED</t>
        </is>
      </c>
      <c r="M52" s="33" t="n"/>
      <c r="N52" s="33" t="n"/>
      <c r="O52" s="33" t="n"/>
      <c r="P52" s="33" t="n"/>
      <c r="Q52" s="33" t="n"/>
      <c r="R52" s="33" t="inlineStr">
        <is>
          <t>BLOCKED_NO_SELECTED_MODEL_PASSPORT</t>
        </is>
      </c>
      <c r="S52" s="33" t="inlineStr">
        <is>
          <t>BLOCKED</t>
        </is>
      </c>
      <c r="T52" s="33" t="inlineStr">
        <is>
          <t>BLOCKED</t>
        </is>
      </c>
      <c r="U52" s="33" t="inlineStr">
        <is>
          <t>BLOCKED_SELECTED_MODEL_AND_SITE_VALIDATION</t>
        </is>
      </c>
      <c r="V52" s="33" t="inlineStr">
        <is>
          <t>ESTIMATE</t>
        </is>
      </c>
      <c r="W52" s="33" t="inlineStr">
        <is>
          <t>GAP-007;GAP-017;GAP-018;GAP-019</t>
        </is>
      </c>
    </row>
    <row r="53">
      <c r="A53" s="33" t="inlineStr">
        <is>
          <t>EQM-0016</t>
        </is>
      </c>
      <c r="B53" s="33" t="inlineStr">
        <is>
          <t>VKM-003</t>
        </is>
      </c>
      <c r="C53" s="33" t="inlineStr">
        <is>
          <t>Грибная с ветчиной</t>
        </is>
      </c>
      <c r="D53" s="33" t="n">
        <v>5</v>
      </c>
      <c r="E53" s="33" t="inlineStr">
        <is>
          <t>выпечь</t>
        </is>
      </c>
      <c r="F53" s="33" t="inlineStr">
        <is>
          <t>BAK-01</t>
        </is>
      </c>
      <c r="G53" s="33" t="inlineStr">
        <is>
          <t>Печь для пиццы</t>
        </is>
      </c>
      <c r="H53" s="33" t="inlineStr">
        <is>
          <t>CAPEX.BAK.001</t>
        </is>
      </c>
      <c r="I53" s="33" t="inlineStr">
        <is>
          <t>THERMAL_PROCESS</t>
        </is>
      </c>
      <c r="J53" s="33" t="n"/>
      <c r="K53" s="33" t="inlineStr">
        <is>
          <t>BAK-01: 4–6 пицц до 33 см; ≥400°C; 20–25/час</t>
        </is>
      </c>
      <c r="L53" s="33" t="inlineStr">
        <is>
          <t>PLANNED</t>
        </is>
      </c>
      <c r="M53" s="33" t="n">
        <v>1</v>
      </c>
      <c r="N53" s="33" t="n"/>
      <c r="O53" s="33" t="n"/>
      <c r="P53" s="33" t="n"/>
      <c r="Q53" s="33" t="n"/>
      <c r="R53" s="33" t="inlineStr">
        <is>
          <t>BLOCKED_NO_SELECTED_MODEL_PASSPORT</t>
        </is>
      </c>
      <c r="S53" s="33" t="inlineStr">
        <is>
          <t>BLOCKED</t>
        </is>
      </c>
      <c r="T53" s="33" t="inlineStr">
        <is>
          <t>BLOCKED</t>
        </is>
      </c>
      <c r="U53" s="33" t="inlineStr">
        <is>
          <t>BLOCKED_SELECTED_MODEL_AND_SITE_VALIDATION</t>
        </is>
      </c>
      <c r="V53" s="33" t="inlineStr">
        <is>
          <t>ESTIMATE</t>
        </is>
      </c>
      <c r="W53" s="33" t="inlineStr">
        <is>
          <t>GAP-007;GAP-017;GAP-018;GAP-019</t>
        </is>
      </c>
    </row>
    <row r="54">
      <c r="A54" s="33" t="inlineStr">
        <is>
          <t>EQM-0017</t>
        </is>
      </c>
      <c r="B54" s="33" t="inlineStr">
        <is>
          <t>VKM-004</t>
        </is>
      </c>
      <c r="C54" s="33" t="inlineStr">
        <is>
          <t>Пепперони</t>
        </is>
      </c>
      <c r="D54" s="33" t="n">
        <v>1</v>
      </c>
      <c r="E54" s="33" t="inlineStr">
        <is>
          <t>Подготовить тесто и соус</t>
        </is>
      </c>
      <c r="F54" s="33" t="inlineStr">
        <is>
          <t>BAK-03;BAK-12;HOT-05B</t>
        </is>
      </c>
      <c r="G54" s="33" t="inlineStr">
        <is>
          <t>Спиральный тестомес;Холодильный пицца-стол;Индукционная плита 2 зоны</t>
        </is>
      </c>
      <c r="H54" s="33" t="inlineStr">
        <is>
          <t>CAPEX.BAK.003;CAPEX.BAK.012;CAPEX.HOT.006</t>
        </is>
      </c>
      <c r="I54" s="33" t="inlineStr">
        <is>
          <t>MIXING_SAUCE_AND_PREP</t>
        </is>
      </c>
      <c r="J54" s="33" t="n"/>
      <c r="K54" s="33" t="inlineStr">
        <is>
          <t>BAK-03: Рабочий диапазон 2–25 кг; BAK-12: Стол и надстройка ингредиентов; HOT-05B: 2 зоны</t>
        </is>
      </c>
      <c r="L54" s="33" t="inlineStr">
        <is>
          <t>PLANNED</t>
        </is>
      </c>
      <c r="M54" s="33" t="n"/>
      <c r="N54" s="33" t="n"/>
      <c r="O54" s="33" t="n"/>
      <c r="P54" s="33" t="n"/>
      <c r="Q54" s="33" t="n"/>
      <c r="R54" s="33" t="inlineStr">
        <is>
          <t>BLOCKED_NO_SELECTED_MODEL_PASSPORT</t>
        </is>
      </c>
      <c r="S54" s="33" t="inlineStr">
        <is>
          <t>BLOCKED</t>
        </is>
      </c>
      <c r="T54" s="33" t="inlineStr">
        <is>
          <t>BLOCKED</t>
        </is>
      </c>
      <c r="U54" s="33" t="inlineStr">
        <is>
          <t>BLOCKED_SELECTED_MODEL_AND_SITE_VALIDATION</t>
        </is>
      </c>
      <c r="V54" s="33" t="inlineStr">
        <is>
          <t>ESTIMATE</t>
        </is>
      </c>
      <c r="W54" s="33" t="inlineStr">
        <is>
          <t>GAP-007;GAP-017;GAP-018;GAP-019</t>
        </is>
      </c>
    </row>
    <row r="55">
      <c r="A55" s="33" t="inlineStr">
        <is>
          <t>EQM-0018</t>
        </is>
      </c>
      <c r="B55" s="33" t="inlineStr">
        <is>
          <t>VKM-004</t>
        </is>
      </c>
      <c r="C55" s="33" t="inlineStr">
        <is>
          <t>Пепперони</t>
        </is>
      </c>
      <c r="D55" s="33" t="n">
        <v>2</v>
      </c>
      <c r="E55" s="33" t="inlineStr">
        <is>
          <t>сформовать</t>
        </is>
      </c>
      <c r="F55" s="33" t="inlineStr">
        <is>
          <t>BAK-12</t>
        </is>
      </c>
      <c r="G55" s="33" t="inlineStr">
        <is>
          <t>Холодильный пицца-стол</t>
        </is>
      </c>
      <c r="H55" s="33" t="inlineStr">
        <is>
          <t>CAPEX.BAK.012</t>
        </is>
      </c>
      <c r="I55" s="33" t="inlineStr">
        <is>
          <t>FORMING_ASSEMBLY_FINISH</t>
        </is>
      </c>
      <c r="J55" s="33" t="n"/>
      <c r="K55" s="33" t="inlineStr">
        <is>
          <t>BAK-12: Стол и надстройка ингредиентов</t>
        </is>
      </c>
      <c r="L55" s="33" t="inlineStr">
        <is>
          <t>PLANNED</t>
        </is>
      </c>
      <c r="M55" s="33" t="n"/>
      <c r="N55" s="33" t="n"/>
      <c r="O55" s="33" t="n"/>
      <c r="P55" s="33" t="n"/>
      <c r="Q55" s="33" t="n"/>
      <c r="R55" s="33" t="inlineStr">
        <is>
          <t>BLOCKED_NO_SELECTED_MODEL_PASSPORT</t>
        </is>
      </c>
      <c r="S55" s="33" t="inlineStr">
        <is>
          <t>BLOCKED</t>
        </is>
      </c>
      <c r="T55" s="33" t="inlineStr">
        <is>
          <t>BLOCKED</t>
        </is>
      </c>
      <c r="U55" s="33" t="inlineStr">
        <is>
          <t>BLOCKED_SELECTED_MODEL_AND_SITE_VALIDATION</t>
        </is>
      </c>
      <c r="V55" s="33" t="inlineStr">
        <is>
          <t>ESTIMATE</t>
        </is>
      </c>
      <c r="W55" s="33" t="inlineStr">
        <is>
          <t>GAP-007;GAP-017;GAP-018;GAP-019</t>
        </is>
      </c>
    </row>
    <row r="56">
      <c r="A56" s="33" t="inlineStr">
        <is>
          <t>EQM-0019</t>
        </is>
      </c>
      <c r="B56" s="33" t="inlineStr">
        <is>
          <t>VKM-004</t>
        </is>
      </c>
      <c r="C56" s="33" t="inlineStr">
        <is>
          <t>Пепперони</t>
        </is>
      </c>
      <c r="D56" s="33" t="n">
        <v>3</v>
      </c>
      <c r="E56" s="33" t="inlineStr">
        <is>
          <t>собрать с моцареллой и пепперони</t>
        </is>
      </c>
      <c r="F56" s="33" t="inlineStr">
        <is>
          <t>BAK-12</t>
        </is>
      </c>
      <c r="G56" s="33" t="inlineStr">
        <is>
          <t>Холодильный пицца-стол</t>
        </is>
      </c>
      <c r="H56" s="33" t="inlineStr">
        <is>
          <t>CAPEX.BAK.012</t>
        </is>
      </c>
      <c r="I56" s="33" t="inlineStr">
        <is>
          <t>FORMING_ASSEMBLY_FINISH</t>
        </is>
      </c>
      <c r="J56" s="33" t="n"/>
      <c r="K56" s="33" t="inlineStr">
        <is>
          <t>BAK-12: Стол и надстройка ингредиентов</t>
        </is>
      </c>
      <c r="L56" s="33" t="inlineStr">
        <is>
          <t>PLANNED</t>
        </is>
      </c>
      <c r="M56" s="33" t="n"/>
      <c r="N56" s="33" t="n"/>
      <c r="O56" s="33" t="n"/>
      <c r="P56" s="33" t="n"/>
      <c r="Q56" s="33" t="n"/>
      <c r="R56" s="33" t="inlineStr">
        <is>
          <t>BLOCKED_NO_SELECTED_MODEL_PASSPORT</t>
        </is>
      </c>
      <c r="S56" s="33" t="inlineStr">
        <is>
          <t>BLOCKED</t>
        </is>
      </c>
      <c r="T56" s="33" t="inlineStr">
        <is>
          <t>BLOCKED</t>
        </is>
      </c>
      <c r="U56" s="33" t="inlineStr">
        <is>
          <t>BLOCKED_SELECTED_MODEL_AND_SITE_VALIDATION</t>
        </is>
      </c>
      <c r="V56" s="33" t="inlineStr">
        <is>
          <t>ESTIMATE</t>
        </is>
      </c>
      <c r="W56" s="33" t="inlineStr">
        <is>
          <t>GAP-007;GAP-017;GAP-018;GAP-019</t>
        </is>
      </c>
    </row>
    <row r="57">
      <c r="A57" s="33" t="inlineStr">
        <is>
          <t>EQM-0020</t>
        </is>
      </c>
      <c r="B57" s="33" t="inlineStr">
        <is>
          <t>VKM-004</t>
        </is>
      </c>
      <c r="C57" s="33" t="inlineStr">
        <is>
          <t>Пепперони</t>
        </is>
      </c>
      <c r="D57" s="33" t="n">
        <v>4</v>
      </c>
      <c r="E57" s="33" t="inlineStr">
        <is>
          <t>выпечь</t>
        </is>
      </c>
      <c r="F57" s="33" t="inlineStr">
        <is>
          <t>BAK-01</t>
        </is>
      </c>
      <c r="G57" s="33" t="inlineStr">
        <is>
          <t>Печь для пиццы</t>
        </is>
      </c>
      <c r="H57" s="33" t="inlineStr">
        <is>
          <t>CAPEX.BAK.001</t>
        </is>
      </c>
      <c r="I57" s="33" t="inlineStr">
        <is>
          <t>THERMAL_PROCESS</t>
        </is>
      </c>
      <c r="J57" s="33" t="n"/>
      <c r="K57" s="33" t="inlineStr">
        <is>
          <t>BAK-01: 4–6 пицц до 33 см; ≥400°C; 20–25/час</t>
        </is>
      </c>
      <c r="L57" s="33" t="inlineStr">
        <is>
          <t>PLANNED</t>
        </is>
      </c>
      <c r="M57" s="33" t="n">
        <v>1</v>
      </c>
      <c r="N57" s="33" t="n"/>
      <c r="O57" s="33" t="n"/>
      <c r="P57" s="33" t="n"/>
      <c r="Q57" s="33" t="n"/>
      <c r="R57" s="33" t="inlineStr">
        <is>
          <t>BLOCKED_NO_SELECTED_MODEL_PASSPORT</t>
        </is>
      </c>
      <c r="S57" s="33" t="inlineStr">
        <is>
          <t>BLOCKED</t>
        </is>
      </c>
      <c r="T57" s="33" t="inlineStr">
        <is>
          <t>BLOCKED</t>
        </is>
      </c>
      <c r="U57" s="33" t="inlineStr">
        <is>
          <t>BLOCKED_SELECTED_MODEL_AND_SITE_VALIDATION</t>
        </is>
      </c>
      <c r="V57" s="33" t="inlineStr">
        <is>
          <t>ESTIMATE</t>
        </is>
      </c>
      <c r="W57" s="33" t="inlineStr">
        <is>
          <t>GAP-007;GAP-017;GAP-018;GAP-019</t>
        </is>
      </c>
    </row>
    <row r="58">
      <c r="A58" s="33" t="inlineStr">
        <is>
          <t>EQM-0021</t>
        </is>
      </c>
      <c r="B58" s="33" t="inlineStr">
        <is>
          <t>VKM-004</t>
        </is>
      </c>
      <c r="C58" s="33" t="inlineStr">
        <is>
          <t>Пепперони</t>
        </is>
      </c>
      <c r="D58" s="33" t="n">
        <v>5</v>
      </c>
      <c r="E58" s="33" t="inlineStr">
        <is>
          <t>финишировать</t>
        </is>
      </c>
      <c r="F58" s="33" t="inlineStr">
        <is>
          <t>BAK-12</t>
        </is>
      </c>
      <c r="G58" s="33" t="inlineStr">
        <is>
          <t>Холодильный пицца-стол</t>
        </is>
      </c>
      <c r="H58" s="33" t="inlineStr">
        <is>
          <t>CAPEX.BAK.012</t>
        </is>
      </c>
      <c r="I58" s="33" t="inlineStr">
        <is>
          <t>FORMING_ASSEMBLY_FINISH</t>
        </is>
      </c>
      <c r="J58" s="33" t="n"/>
      <c r="K58" s="33" t="inlineStr">
        <is>
          <t>BAK-12: Стол и надстройка ингредиентов</t>
        </is>
      </c>
      <c r="L58" s="33" t="inlineStr">
        <is>
          <t>PLANNED</t>
        </is>
      </c>
      <c r="M58" s="33" t="n"/>
      <c r="N58" s="33" t="n"/>
      <c r="O58" s="33" t="n"/>
      <c r="P58" s="33" t="n"/>
      <c r="Q58" s="33" t="n"/>
      <c r="R58" s="33" t="inlineStr">
        <is>
          <t>BLOCKED_NO_SELECTED_MODEL_PASSPORT</t>
        </is>
      </c>
      <c r="S58" s="33" t="inlineStr">
        <is>
          <t>BLOCKED</t>
        </is>
      </c>
      <c r="T58" s="33" t="inlineStr">
        <is>
          <t>BLOCKED</t>
        </is>
      </c>
      <c r="U58" s="33" t="inlineStr">
        <is>
          <t>BLOCKED_SELECTED_MODEL_AND_SITE_VALIDATION</t>
        </is>
      </c>
      <c r="V58" s="33" t="inlineStr">
        <is>
          <t>ESTIMATE</t>
        </is>
      </c>
      <c r="W58" s="33" t="inlineStr">
        <is>
          <t>GAP-007;GAP-017;GAP-018;GAP-019</t>
        </is>
      </c>
    </row>
    <row r="59">
      <c r="A59" s="33" t="inlineStr">
        <is>
          <t>EQM-0022</t>
        </is>
      </c>
      <c r="B59" s="33" t="inlineStr">
        <is>
          <t>VKM-005</t>
        </is>
      </c>
      <c r="C59" s="33" t="inlineStr">
        <is>
          <t>Белая чиабатта</t>
        </is>
      </c>
      <c r="D59" s="33" t="n">
        <v>1</v>
      </c>
      <c r="E59" s="33" t="inlineStr">
        <is>
          <t>Смешать компоненты</t>
        </is>
      </c>
      <c r="F59" s="33" t="inlineStr">
        <is>
          <t>BAK-03</t>
        </is>
      </c>
      <c r="G59" s="33" t="inlineStr">
        <is>
          <t>Спиральный тестомес</t>
        </is>
      </c>
      <c r="H59" s="33" t="inlineStr">
        <is>
          <t>CAPEX.BAK.003</t>
        </is>
      </c>
      <c r="I59" s="33" t="inlineStr">
        <is>
          <t>MIXING</t>
        </is>
      </c>
      <c r="J59" s="33" t="n"/>
      <c r="K59" s="33" t="inlineStr">
        <is>
          <t>BAK-03: Рабочий диапазон 2–25 кг</t>
        </is>
      </c>
      <c r="L59" s="33" t="inlineStr">
        <is>
          <t>PLANNED</t>
        </is>
      </c>
      <c r="M59" s="33" t="n"/>
      <c r="N59" s="33" t="n"/>
      <c r="O59" s="33" t="n"/>
      <c r="P59" s="33" t="n"/>
      <c r="Q59" s="33" t="n"/>
      <c r="R59" s="33" t="inlineStr">
        <is>
          <t>BLOCKED_NO_SELECTED_MODEL_PASSPORT</t>
        </is>
      </c>
      <c r="S59" s="33" t="inlineStr">
        <is>
          <t>BLOCKED</t>
        </is>
      </c>
      <c r="T59" s="33" t="inlineStr">
        <is>
          <t>BLOCKED</t>
        </is>
      </c>
      <c r="U59" s="33" t="inlineStr">
        <is>
          <t>BLOCKED_SELECTED_MODEL_AND_SITE_VALIDATION</t>
        </is>
      </c>
      <c r="V59" s="33" t="inlineStr">
        <is>
          <t>ESTIMATE</t>
        </is>
      </c>
      <c r="W59" s="33" t="inlineStr">
        <is>
          <t>GAP-007;GAP-017;GAP-018;GAP-019</t>
        </is>
      </c>
    </row>
    <row r="60">
      <c r="A60" s="33" t="inlineStr">
        <is>
          <t>EQM-0023</t>
        </is>
      </c>
      <c r="B60" s="33" t="inlineStr">
        <is>
          <t>VKM-005</t>
        </is>
      </c>
      <c r="C60" s="33" t="inlineStr">
        <is>
          <t>Белая чиабатта</t>
        </is>
      </c>
      <c r="D60" s="33" t="n">
        <v>2</v>
      </c>
      <c r="E60" s="33" t="inlineStr">
        <is>
          <t>замесить</t>
        </is>
      </c>
      <c r="F60" s="33" t="inlineStr">
        <is>
          <t>BAK-03</t>
        </is>
      </c>
      <c r="G60" s="33" t="inlineStr">
        <is>
          <t>Спиральный тестомес</t>
        </is>
      </c>
      <c r="H60" s="33" t="inlineStr">
        <is>
          <t>CAPEX.BAK.003</t>
        </is>
      </c>
      <c r="I60" s="33" t="inlineStr">
        <is>
          <t>MIXING</t>
        </is>
      </c>
      <c r="J60" s="33" t="n"/>
      <c r="K60" s="33" t="inlineStr">
        <is>
          <t>BAK-03: Рабочий диапазон 2–25 кг</t>
        </is>
      </c>
      <c r="L60" s="33" t="inlineStr">
        <is>
          <t>PLANNED</t>
        </is>
      </c>
      <c r="M60" s="33" t="n"/>
      <c r="N60" s="33" t="n"/>
      <c r="O60" s="33" t="n"/>
      <c r="P60" s="33" t="n"/>
      <c r="Q60" s="33" t="n"/>
      <c r="R60" s="33" t="inlineStr">
        <is>
          <t>BLOCKED_NO_SELECTED_MODEL_PASSPORT</t>
        </is>
      </c>
      <c r="S60" s="33" t="inlineStr">
        <is>
          <t>BLOCKED</t>
        </is>
      </c>
      <c r="T60" s="33" t="inlineStr">
        <is>
          <t>BLOCKED</t>
        </is>
      </c>
      <c r="U60" s="33" t="inlineStr">
        <is>
          <t>BLOCKED_SELECTED_MODEL_AND_SITE_VALIDATION</t>
        </is>
      </c>
      <c r="V60" s="33" t="inlineStr">
        <is>
          <t>ESTIMATE</t>
        </is>
      </c>
      <c r="W60" s="33" t="inlineStr">
        <is>
          <t>GAP-007;GAP-017;GAP-018;GAP-019</t>
        </is>
      </c>
    </row>
    <row r="61">
      <c r="A61" s="33" t="inlineStr">
        <is>
          <t>EQM-0024</t>
        </is>
      </c>
      <c r="B61" s="33" t="inlineStr">
        <is>
          <t>VKM-005</t>
        </is>
      </c>
      <c r="C61" s="33" t="inlineStr">
        <is>
          <t>Белая чиабатта</t>
        </is>
      </c>
      <c r="D61" s="33" t="n">
        <v>3</v>
      </c>
      <c r="E61" s="33" t="inlineStr">
        <is>
          <t>провести брожение и складывания</t>
        </is>
      </c>
      <c r="F61" s="33" t="inlineStr">
        <is>
          <t>STO-08</t>
        </is>
      </c>
      <c r="G61" s="33" t="inlineStr">
        <is>
          <t>Холодная ферментация теста</t>
        </is>
      </c>
      <c r="H61" s="33" t="inlineStr">
        <is>
          <t>CAPEX.STO.008</t>
        </is>
      </c>
      <c r="I61" s="33" t="inlineStr">
        <is>
          <t>FERMENTATION</t>
        </is>
      </c>
      <c r="J61" s="33" t="n"/>
      <c r="K61" s="33" t="inlineStr">
        <is>
          <t>STO-08: Всего ≥30 позиций 600×400</t>
        </is>
      </c>
      <c r="L61" s="33" t="inlineStr">
        <is>
          <t>PLANNED</t>
        </is>
      </c>
      <c r="M61" s="33" t="n"/>
      <c r="N61" s="33" t="n"/>
      <c r="O61" s="33" t="n"/>
      <c r="P61" s="33" t="n"/>
      <c r="Q61" s="33" t="n"/>
      <c r="R61" s="33" t="inlineStr">
        <is>
          <t>BLOCKED_NO_SELECTED_MODEL_PASSPORT</t>
        </is>
      </c>
      <c r="S61" s="33" t="inlineStr">
        <is>
          <t>BLOCKED</t>
        </is>
      </c>
      <c r="T61" s="33" t="inlineStr">
        <is>
          <t>BLOCKED</t>
        </is>
      </c>
      <c r="U61" s="33" t="inlineStr">
        <is>
          <t>BLOCKED_SELECTED_MODEL_AND_SITE_VALIDATION</t>
        </is>
      </c>
      <c r="V61" s="33" t="inlineStr">
        <is>
          <t>ESTIMATE</t>
        </is>
      </c>
      <c r="W61" s="33" t="inlineStr">
        <is>
          <t>GAP-007;GAP-017;GAP-018;GAP-019</t>
        </is>
      </c>
    </row>
    <row r="62">
      <c r="A62" s="33" t="inlineStr">
        <is>
          <t>EQM-0025</t>
        </is>
      </c>
      <c r="B62" s="33" t="inlineStr">
        <is>
          <t>VKM-005</t>
        </is>
      </c>
      <c r="C62" s="33" t="inlineStr">
        <is>
          <t>Белая чиабатта</t>
        </is>
      </c>
      <c r="D62" s="33" t="n">
        <v>4</v>
      </c>
      <c r="E62" s="33" t="inlineStr">
        <is>
          <t>сформовать</t>
        </is>
      </c>
      <c r="F62" s="33" t="inlineStr">
        <is>
          <t>REQ-BAK-PREP</t>
        </is>
      </c>
      <c r="G62" s="33" t="inlineStr">
        <is>
          <t>Проектное функциональное требование без действующего CAPEX-кода</t>
        </is>
      </c>
      <c r="H62" s="33" t="n"/>
      <c r="I62" s="33" t="inlineStr">
        <is>
          <t>MANUAL_FORMING_GAP</t>
        </is>
      </c>
      <c r="J62" s="33" t="n"/>
      <c r="K62" s="33" t="n"/>
      <c r="L62" s="33" t="inlineStr">
        <is>
          <t>BLOCKED</t>
        </is>
      </c>
      <c r="M62" s="33" t="n"/>
      <c r="N62" s="33" t="n"/>
      <c r="O62" s="33" t="n"/>
      <c r="P62" s="33" t="n"/>
      <c r="Q62" s="33" t="n"/>
      <c r="R62" s="33" t="inlineStr">
        <is>
          <t>BLOCKED_NO_SELECTED_MODEL_PASSPORT</t>
        </is>
      </c>
      <c r="S62" s="33" t="inlineStr">
        <is>
          <t>BLOCKED</t>
        </is>
      </c>
      <c r="T62" s="33" t="inlineStr">
        <is>
          <t>BLOCKED</t>
        </is>
      </c>
      <c r="U62" s="33" t="inlineStr">
        <is>
          <t>BLOCKED_REQUIREMENT_CODE</t>
        </is>
      </c>
      <c r="V62" s="33" t="inlineStr">
        <is>
          <t>ESTIMATE</t>
        </is>
      </c>
      <c r="W62" s="33" t="inlineStr">
        <is>
          <t>GAP-007;GAP-017;GAP-018;GAP-019</t>
        </is>
      </c>
    </row>
    <row r="63">
      <c r="A63" s="33" t="inlineStr">
        <is>
          <t>EQM-0026</t>
        </is>
      </c>
      <c r="B63" s="33" t="inlineStr">
        <is>
          <t>VKM-005</t>
        </is>
      </c>
      <c r="C63" s="33" t="inlineStr">
        <is>
          <t>Белая чиабатта</t>
        </is>
      </c>
      <c r="D63" s="33" t="n">
        <v>5</v>
      </c>
      <c r="E63" s="33" t="inlineStr">
        <is>
          <t>расстоять</t>
        </is>
      </c>
      <c r="F63" s="33" t="inlineStr">
        <is>
          <t>BAK-05</t>
        </is>
      </c>
      <c r="G63" s="33" t="inlineStr">
        <is>
          <t>Программируемый расстоечный шкаф</t>
        </is>
      </c>
      <c r="H63" s="33" t="inlineStr">
        <is>
          <t>CAPEX.BAK.005</t>
        </is>
      </c>
      <c r="I63" s="33" t="inlineStr">
        <is>
          <t>PROOFING</t>
        </is>
      </c>
      <c r="J63" s="33" t="n"/>
      <c r="K63" s="33" t="inlineStr">
        <is>
          <t>BAK-05: 12–16 противней 600×400</t>
        </is>
      </c>
      <c r="L63" s="33" t="inlineStr">
        <is>
          <t>PLANNED</t>
        </is>
      </c>
      <c r="M63" s="33" t="n"/>
      <c r="N63" s="33" t="n"/>
      <c r="O63" s="33" t="n"/>
      <c r="P63" s="33" t="n"/>
      <c r="Q63" s="33" t="n"/>
      <c r="R63" s="33" t="inlineStr">
        <is>
          <t>BLOCKED_NO_SELECTED_MODEL_PASSPORT</t>
        </is>
      </c>
      <c r="S63" s="33" t="inlineStr">
        <is>
          <t>BLOCKED</t>
        </is>
      </c>
      <c r="T63" s="33" t="inlineStr">
        <is>
          <t>BLOCKED</t>
        </is>
      </c>
      <c r="U63" s="33" t="inlineStr">
        <is>
          <t>BLOCKED_SELECTED_MODEL_AND_SITE_VALIDATION</t>
        </is>
      </c>
      <c r="V63" s="33" t="inlineStr">
        <is>
          <t>ESTIMATE</t>
        </is>
      </c>
      <c r="W63" s="33" t="inlineStr">
        <is>
          <t>GAP-007;GAP-017;GAP-018;GAP-019</t>
        </is>
      </c>
    </row>
    <row r="64">
      <c r="A64" s="33" t="inlineStr">
        <is>
          <t>EQM-0027</t>
        </is>
      </c>
      <c r="B64" s="33" t="inlineStr">
        <is>
          <t>VKM-005</t>
        </is>
      </c>
      <c r="C64" s="33" t="inlineStr">
        <is>
          <t>Белая чиабатта</t>
        </is>
      </c>
      <c r="D64" s="33" t="n">
        <v>6</v>
      </c>
      <c r="E64" s="33" t="inlineStr">
        <is>
          <t>выпечь</t>
        </is>
      </c>
      <c r="F64" s="33" t="inlineStr">
        <is>
          <t>BAK-02</t>
        </is>
      </c>
      <c r="G64" s="33" t="inlineStr">
        <is>
          <t>Пекарская печь</t>
        </is>
      </c>
      <c r="H64" s="33" t="inlineStr">
        <is>
          <t>CAPEX.BAK.002</t>
        </is>
      </c>
      <c r="I64" s="33" t="inlineStr">
        <is>
          <t>THERMAL_PROCESS</t>
        </is>
      </c>
      <c r="J64" s="33" t="n"/>
      <c r="K64" s="33" t="inlineStr">
        <is>
          <t>BAK-02: 6×600×400; программирование; пар</t>
        </is>
      </c>
      <c r="L64" s="33" t="inlineStr">
        <is>
          <t>PLANNED</t>
        </is>
      </c>
      <c r="M64" s="33" t="n"/>
      <c r="N64" s="33" t="n"/>
      <c r="O64" s="33" t="n"/>
      <c r="P64" s="33" t="n"/>
      <c r="Q64" s="33" t="n"/>
      <c r="R64" s="33" t="inlineStr">
        <is>
          <t>BLOCKED_NO_SELECTED_MODEL_PASSPORT</t>
        </is>
      </c>
      <c r="S64" s="33" t="inlineStr">
        <is>
          <t>BLOCKED</t>
        </is>
      </c>
      <c r="T64" s="33" t="inlineStr">
        <is>
          <t>BLOCKED</t>
        </is>
      </c>
      <c r="U64" s="33" t="inlineStr">
        <is>
          <t>BLOCKED_SELECTED_MODEL_AND_SITE_VALIDATION</t>
        </is>
      </c>
      <c r="V64" s="33" t="inlineStr">
        <is>
          <t>ESTIMATE</t>
        </is>
      </c>
      <c r="W64" s="33" t="inlineStr">
        <is>
          <t>GAP-007;GAP-017;GAP-018;GAP-019</t>
        </is>
      </c>
    </row>
    <row r="65">
      <c r="A65" s="33" t="inlineStr">
        <is>
          <t>EQM-0028</t>
        </is>
      </c>
      <c r="B65" s="33" t="inlineStr">
        <is>
          <t>VKM-005</t>
        </is>
      </c>
      <c r="C65" s="33" t="inlineStr">
        <is>
          <t>Белая чиабатта</t>
        </is>
      </c>
      <c r="D65" s="33" t="n">
        <v>7</v>
      </c>
      <c r="E65" s="33" t="inlineStr">
        <is>
          <t>охладить</t>
        </is>
      </c>
      <c r="F65" s="33" t="inlineStr">
        <is>
          <t>BAK-06</t>
        </is>
      </c>
      <c r="G65" s="33" t="inlineStr">
        <is>
          <t>Мобильный стеллаж охлаждения</t>
        </is>
      </c>
      <c r="H65" s="33" t="inlineStr">
        <is>
          <t>CAPEX.BAK.006</t>
        </is>
      </c>
      <c r="I65" s="33" t="inlineStr">
        <is>
          <t>COOLING_HOLDING</t>
        </is>
      </c>
      <c r="J65" s="33" t="n"/>
      <c r="K65" s="33" t="inlineStr">
        <is>
          <t>BAK-06: 16–20 противней</t>
        </is>
      </c>
      <c r="L65" s="33" t="inlineStr">
        <is>
          <t>PLANNED</t>
        </is>
      </c>
      <c r="M65" s="33" t="n"/>
      <c r="N65" s="33" t="n"/>
      <c r="O65" s="33" t="n"/>
      <c r="P65" s="33" t="n"/>
      <c r="Q65" s="33" t="n"/>
      <c r="R65" s="33" t="inlineStr">
        <is>
          <t>BLOCKED_NO_SELECTED_MODEL_PASSPORT</t>
        </is>
      </c>
      <c r="S65" s="33" t="inlineStr">
        <is>
          <t>BLOCKED</t>
        </is>
      </c>
      <c r="T65" s="33" t="inlineStr">
        <is>
          <t>BLOCKED</t>
        </is>
      </c>
      <c r="U65" s="33" t="inlineStr">
        <is>
          <t>BLOCKED_SELECTED_MODEL_AND_SITE_VALIDATION</t>
        </is>
      </c>
      <c r="V65" s="33" t="inlineStr">
        <is>
          <t>ESTIMATE</t>
        </is>
      </c>
      <c r="W65" s="33" t="inlineStr">
        <is>
          <t>GAP-007;GAP-017;GAP-018;GAP-019</t>
        </is>
      </c>
    </row>
    <row r="66">
      <c r="A66" s="33" t="inlineStr">
        <is>
          <t>EQM-0029</t>
        </is>
      </c>
      <c r="B66" s="33" t="inlineStr">
        <is>
          <t>VKM-006</t>
        </is>
      </c>
      <c r="C66" s="33" t="inlineStr">
        <is>
          <t>Томатная чиабатта</t>
        </is>
      </c>
      <c r="D66" s="33" t="n">
        <v>1</v>
      </c>
      <c r="E66" s="33" t="inlineStr">
        <is>
          <t>Смешать тесто с томатными компонентами</t>
        </is>
      </c>
      <c r="F66" s="33" t="inlineStr">
        <is>
          <t>BAK-03</t>
        </is>
      </c>
      <c r="G66" s="33" t="inlineStr">
        <is>
          <t>Спиральный тестомес</t>
        </is>
      </c>
      <c r="H66" s="33" t="inlineStr">
        <is>
          <t>CAPEX.BAK.003</t>
        </is>
      </c>
      <c r="I66" s="33" t="inlineStr">
        <is>
          <t>MIXING</t>
        </is>
      </c>
      <c r="J66" s="33" t="n"/>
      <c r="K66" s="33" t="inlineStr">
        <is>
          <t>BAK-03: Рабочий диапазон 2–25 кг</t>
        </is>
      </c>
      <c r="L66" s="33" t="inlineStr">
        <is>
          <t>PLANNED</t>
        </is>
      </c>
      <c r="M66" s="33" t="n"/>
      <c r="N66" s="33" t="n"/>
      <c r="O66" s="33" t="n"/>
      <c r="P66" s="33" t="n"/>
      <c r="Q66" s="33" t="n"/>
      <c r="R66" s="33" t="inlineStr">
        <is>
          <t>BLOCKED_NO_SELECTED_MODEL_PASSPORT</t>
        </is>
      </c>
      <c r="S66" s="33" t="inlineStr">
        <is>
          <t>BLOCKED</t>
        </is>
      </c>
      <c r="T66" s="33" t="inlineStr">
        <is>
          <t>BLOCKED</t>
        </is>
      </c>
      <c r="U66" s="33" t="inlineStr">
        <is>
          <t>BLOCKED_SELECTED_MODEL_AND_SITE_VALIDATION</t>
        </is>
      </c>
      <c r="V66" s="33" t="inlineStr">
        <is>
          <t>ESTIMATE</t>
        </is>
      </c>
      <c r="W66" s="33" t="inlineStr">
        <is>
          <t>GAP-007;GAP-017;GAP-018;GAP-019</t>
        </is>
      </c>
    </row>
    <row r="67">
      <c r="A67" s="33" t="inlineStr">
        <is>
          <t>EQM-0030</t>
        </is>
      </c>
      <c r="B67" s="33" t="inlineStr">
        <is>
          <t>VKM-006</t>
        </is>
      </c>
      <c r="C67" s="33" t="inlineStr">
        <is>
          <t>Томатная чиабатта</t>
        </is>
      </c>
      <c r="D67" s="33" t="n">
        <v>2</v>
      </c>
      <c r="E67" s="33" t="inlineStr">
        <is>
          <t>замесить</t>
        </is>
      </c>
      <c r="F67" s="33" t="inlineStr">
        <is>
          <t>BAK-03</t>
        </is>
      </c>
      <c r="G67" s="33" t="inlineStr">
        <is>
          <t>Спиральный тестомес</t>
        </is>
      </c>
      <c r="H67" s="33" t="inlineStr">
        <is>
          <t>CAPEX.BAK.003</t>
        </is>
      </c>
      <c r="I67" s="33" t="inlineStr">
        <is>
          <t>MIXING</t>
        </is>
      </c>
      <c r="J67" s="33" t="n"/>
      <c r="K67" s="33" t="inlineStr">
        <is>
          <t>BAK-03: Рабочий диапазон 2–25 кг</t>
        </is>
      </c>
      <c r="L67" s="33" t="inlineStr">
        <is>
          <t>PLANNED</t>
        </is>
      </c>
      <c r="M67" s="33" t="n"/>
      <c r="N67" s="33" t="n"/>
      <c r="O67" s="33" t="n"/>
      <c r="P67" s="33" t="n"/>
      <c r="Q67" s="33" t="n"/>
      <c r="R67" s="33" t="inlineStr">
        <is>
          <t>BLOCKED_NO_SELECTED_MODEL_PASSPORT</t>
        </is>
      </c>
      <c r="S67" s="33" t="inlineStr">
        <is>
          <t>BLOCKED</t>
        </is>
      </c>
      <c r="T67" s="33" t="inlineStr">
        <is>
          <t>BLOCKED</t>
        </is>
      </c>
      <c r="U67" s="33" t="inlineStr">
        <is>
          <t>BLOCKED_SELECTED_MODEL_AND_SITE_VALIDATION</t>
        </is>
      </c>
      <c r="V67" s="33" t="inlineStr">
        <is>
          <t>ESTIMATE</t>
        </is>
      </c>
      <c r="W67" s="33" t="inlineStr">
        <is>
          <t>GAP-007;GAP-017;GAP-018;GAP-019</t>
        </is>
      </c>
    </row>
    <row r="68">
      <c r="A68" s="33" t="inlineStr">
        <is>
          <t>EQM-0031</t>
        </is>
      </c>
      <c r="B68" s="33" t="inlineStr">
        <is>
          <t>VKM-006</t>
        </is>
      </c>
      <c r="C68" s="33" t="inlineStr">
        <is>
          <t>Томатная чиабатта</t>
        </is>
      </c>
      <c r="D68" s="33" t="n">
        <v>3</v>
      </c>
      <c r="E68" s="33" t="inlineStr">
        <is>
          <t>провести брожение</t>
        </is>
      </c>
      <c r="F68" s="33" t="inlineStr">
        <is>
          <t>STO-08</t>
        </is>
      </c>
      <c r="G68" s="33" t="inlineStr">
        <is>
          <t>Холодная ферментация теста</t>
        </is>
      </c>
      <c r="H68" s="33" t="inlineStr">
        <is>
          <t>CAPEX.STO.008</t>
        </is>
      </c>
      <c r="I68" s="33" t="inlineStr">
        <is>
          <t>FERMENTATION</t>
        </is>
      </c>
      <c r="J68" s="33" t="n"/>
      <c r="K68" s="33" t="inlineStr">
        <is>
          <t>STO-08: Всего ≥30 позиций 600×400</t>
        </is>
      </c>
      <c r="L68" s="33" t="inlineStr">
        <is>
          <t>PLANNED</t>
        </is>
      </c>
      <c r="M68" s="33" t="n"/>
      <c r="N68" s="33" t="n"/>
      <c r="O68" s="33" t="n"/>
      <c r="P68" s="33" t="n"/>
      <c r="Q68" s="33" t="n"/>
      <c r="R68" s="33" t="inlineStr">
        <is>
          <t>BLOCKED_NO_SELECTED_MODEL_PASSPORT</t>
        </is>
      </c>
      <c r="S68" s="33" t="inlineStr">
        <is>
          <t>BLOCKED</t>
        </is>
      </c>
      <c r="T68" s="33" t="inlineStr">
        <is>
          <t>BLOCKED</t>
        </is>
      </c>
      <c r="U68" s="33" t="inlineStr">
        <is>
          <t>BLOCKED_SELECTED_MODEL_AND_SITE_VALIDATION</t>
        </is>
      </c>
      <c r="V68" s="33" t="inlineStr">
        <is>
          <t>ESTIMATE</t>
        </is>
      </c>
      <c r="W68" s="33" t="inlineStr">
        <is>
          <t>GAP-007;GAP-017;GAP-018;GAP-019</t>
        </is>
      </c>
    </row>
    <row r="69">
      <c r="A69" s="33" t="inlineStr">
        <is>
          <t>EQM-0032</t>
        </is>
      </c>
      <c r="B69" s="33" t="inlineStr">
        <is>
          <t>VKM-006</t>
        </is>
      </c>
      <c r="C69" s="33" t="inlineStr">
        <is>
          <t>Томатная чиабатта</t>
        </is>
      </c>
      <c r="D69" s="33" t="n">
        <v>4</v>
      </c>
      <c r="E69" s="33" t="inlineStr">
        <is>
          <t>сформовать</t>
        </is>
      </c>
      <c r="F69" s="33" t="inlineStr">
        <is>
          <t>REQ-BAK-PREP</t>
        </is>
      </c>
      <c r="G69" s="33" t="inlineStr">
        <is>
          <t>Проектное функциональное требование без действующего CAPEX-кода</t>
        </is>
      </c>
      <c r="H69" s="33" t="n"/>
      <c r="I69" s="33" t="inlineStr">
        <is>
          <t>MANUAL_FORMING_GAP</t>
        </is>
      </c>
      <c r="J69" s="33" t="n"/>
      <c r="K69" s="33" t="n"/>
      <c r="L69" s="33" t="inlineStr">
        <is>
          <t>BLOCKED</t>
        </is>
      </c>
      <c r="M69" s="33" t="n"/>
      <c r="N69" s="33" t="n"/>
      <c r="O69" s="33" t="n"/>
      <c r="P69" s="33" t="n"/>
      <c r="Q69" s="33" t="n"/>
      <c r="R69" s="33" t="inlineStr">
        <is>
          <t>BLOCKED_NO_SELECTED_MODEL_PASSPORT</t>
        </is>
      </c>
      <c r="S69" s="33" t="inlineStr">
        <is>
          <t>BLOCKED</t>
        </is>
      </c>
      <c r="T69" s="33" t="inlineStr">
        <is>
          <t>BLOCKED</t>
        </is>
      </c>
      <c r="U69" s="33" t="inlineStr">
        <is>
          <t>BLOCKED_REQUIREMENT_CODE</t>
        </is>
      </c>
      <c r="V69" s="33" t="inlineStr">
        <is>
          <t>ESTIMATE</t>
        </is>
      </c>
      <c r="W69" s="33" t="inlineStr">
        <is>
          <t>GAP-007;GAP-017;GAP-018;GAP-019</t>
        </is>
      </c>
    </row>
    <row r="70">
      <c r="A70" s="33" t="inlineStr">
        <is>
          <t>EQM-0033</t>
        </is>
      </c>
      <c r="B70" s="33" t="inlineStr">
        <is>
          <t>VKM-006</t>
        </is>
      </c>
      <c r="C70" s="33" t="inlineStr">
        <is>
          <t>Томатная чиабатта</t>
        </is>
      </c>
      <c r="D70" s="33" t="n">
        <v>5</v>
      </c>
      <c r="E70" s="33" t="inlineStr">
        <is>
          <t>расстоять</t>
        </is>
      </c>
      <c r="F70" s="33" t="inlineStr">
        <is>
          <t>BAK-05</t>
        </is>
      </c>
      <c r="G70" s="33" t="inlineStr">
        <is>
          <t>Программируемый расстоечный шкаф</t>
        </is>
      </c>
      <c r="H70" s="33" t="inlineStr">
        <is>
          <t>CAPEX.BAK.005</t>
        </is>
      </c>
      <c r="I70" s="33" t="inlineStr">
        <is>
          <t>PROOFING</t>
        </is>
      </c>
      <c r="J70" s="33" t="n"/>
      <c r="K70" s="33" t="inlineStr">
        <is>
          <t>BAK-05: 12–16 противней 600×400</t>
        </is>
      </c>
      <c r="L70" s="33" t="inlineStr">
        <is>
          <t>PLANNED</t>
        </is>
      </c>
      <c r="M70" s="33" t="n"/>
      <c r="N70" s="33" t="n"/>
      <c r="O70" s="33" t="n"/>
      <c r="P70" s="33" t="n"/>
      <c r="Q70" s="33" t="n"/>
      <c r="R70" s="33" t="inlineStr">
        <is>
          <t>BLOCKED_NO_SELECTED_MODEL_PASSPORT</t>
        </is>
      </c>
      <c r="S70" s="33" t="inlineStr">
        <is>
          <t>BLOCKED</t>
        </is>
      </c>
      <c r="T70" s="33" t="inlineStr">
        <is>
          <t>BLOCKED</t>
        </is>
      </c>
      <c r="U70" s="33" t="inlineStr">
        <is>
          <t>BLOCKED_SELECTED_MODEL_AND_SITE_VALIDATION</t>
        </is>
      </c>
      <c r="V70" s="33" t="inlineStr">
        <is>
          <t>ESTIMATE</t>
        </is>
      </c>
      <c r="W70" s="33" t="inlineStr">
        <is>
          <t>GAP-007;GAP-017;GAP-018;GAP-019</t>
        </is>
      </c>
    </row>
    <row r="71">
      <c r="A71" s="33" t="inlineStr">
        <is>
          <t>EQM-0034</t>
        </is>
      </c>
      <c r="B71" s="33" t="inlineStr">
        <is>
          <t>VKM-006</t>
        </is>
      </c>
      <c r="C71" s="33" t="inlineStr">
        <is>
          <t>Томатная чиабатта</t>
        </is>
      </c>
      <c r="D71" s="33" t="n">
        <v>6</v>
      </c>
      <c r="E71" s="33" t="inlineStr">
        <is>
          <t>выпечь</t>
        </is>
      </c>
      <c r="F71" s="33" t="inlineStr">
        <is>
          <t>BAK-02</t>
        </is>
      </c>
      <c r="G71" s="33" t="inlineStr">
        <is>
          <t>Пекарская печь</t>
        </is>
      </c>
      <c r="H71" s="33" t="inlineStr">
        <is>
          <t>CAPEX.BAK.002</t>
        </is>
      </c>
      <c r="I71" s="33" t="inlineStr">
        <is>
          <t>THERMAL_PROCESS</t>
        </is>
      </c>
      <c r="J71" s="33" t="n"/>
      <c r="K71" s="33" t="inlineStr">
        <is>
          <t>BAK-02: 6×600×400; программирование; пар</t>
        </is>
      </c>
      <c r="L71" s="33" t="inlineStr">
        <is>
          <t>PLANNED</t>
        </is>
      </c>
      <c r="M71" s="33" t="n"/>
      <c r="N71" s="33" t="n"/>
      <c r="O71" s="33" t="n"/>
      <c r="P71" s="33" t="n"/>
      <c r="Q71" s="33" t="n"/>
      <c r="R71" s="33" t="inlineStr">
        <is>
          <t>BLOCKED_NO_SELECTED_MODEL_PASSPORT</t>
        </is>
      </c>
      <c r="S71" s="33" t="inlineStr">
        <is>
          <t>BLOCKED</t>
        </is>
      </c>
      <c r="T71" s="33" t="inlineStr">
        <is>
          <t>BLOCKED</t>
        </is>
      </c>
      <c r="U71" s="33" t="inlineStr">
        <is>
          <t>BLOCKED_SELECTED_MODEL_AND_SITE_VALIDATION</t>
        </is>
      </c>
      <c r="V71" s="33" t="inlineStr">
        <is>
          <t>ESTIMATE</t>
        </is>
      </c>
      <c r="W71" s="33" t="inlineStr">
        <is>
          <t>GAP-007;GAP-017;GAP-018;GAP-019</t>
        </is>
      </c>
    </row>
    <row r="72">
      <c r="A72" s="33" t="inlineStr">
        <is>
          <t>EQM-0035</t>
        </is>
      </c>
      <c r="B72" s="33" t="inlineStr">
        <is>
          <t>VKM-006</t>
        </is>
      </c>
      <c r="C72" s="33" t="inlineStr">
        <is>
          <t>Томатная чиабатта</t>
        </is>
      </c>
      <c r="D72" s="33" t="n">
        <v>7</v>
      </c>
      <c r="E72" s="33" t="inlineStr">
        <is>
          <t>охладить</t>
        </is>
      </c>
      <c r="F72" s="33" t="inlineStr">
        <is>
          <t>BAK-06</t>
        </is>
      </c>
      <c r="G72" s="33" t="inlineStr">
        <is>
          <t>Мобильный стеллаж охлаждения</t>
        </is>
      </c>
      <c r="H72" s="33" t="inlineStr">
        <is>
          <t>CAPEX.BAK.006</t>
        </is>
      </c>
      <c r="I72" s="33" t="inlineStr">
        <is>
          <t>COOLING_HOLDING</t>
        </is>
      </c>
      <c r="J72" s="33" t="n"/>
      <c r="K72" s="33" t="inlineStr">
        <is>
          <t>BAK-06: 16–20 противней</t>
        </is>
      </c>
      <c r="L72" s="33" t="inlineStr">
        <is>
          <t>PLANNED</t>
        </is>
      </c>
      <c r="M72" s="33" t="n"/>
      <c r="N72" s="33" t="n"/>
      <c r="O72" s="33" t="n"/>
      <c r="P72" s="33" t="n"/>
      <c r="Q72" s="33" t="n"/>
      <c r="R72" s="33" t="inlineStr">
        <is>
          <t>BLOCKED_NO_SELECTED_MODEL_PASSPORT</t>
        </is>
      </c>
      <c r="S72" s="33" t="inlineStr">
        <is>
          <t>BLOCKED</t>
        </is>
      </c>
      <c r="T72" s="33" t="inlineStr">
        <is>
          <t>BLOCKED</t>
        </is>
      </c>
      <c r="U72" s="33" t="inlineStr">
        <is>
          <t>BLOCKED_SELECTED_MODEL_AND_SITE_VALIDATION</t>
        </is>
      </c>
      <c r="V72" s="33" t="inlineStr">
        <is>
          <t>ESTIMATE</t>
        </is>
      </c>
      <c r="W72" s="33" t="inlineStr">
        <is>
          <t>GAP-007;GAP-017;GAP-018;GAP-019</t>
        </is>
      </c>
    </row>
    <row r="73">
      <c r="A73" s="33" t="inlineStr">
        <is>
          <t>EQM-0036</t>
        </is>
      </c>
      <c r="B73" s="33" t="inlineStr">
        <is>
          <t>VKM-007</t>
        </is>
      </c>
      <c r="C73" s="33" t="inlineStr">
        <is>
          <t>Бородинский хлеб</t>
        </is>
      </c>
      <c r="D73" s="33" t="n">
        <v>1</v>
      </c>
      <c r="E73" s="33" t="inlineStr">
        <is>
          <t>Приготовить заварку</t>
        </is>
      </c>
      <c r="F73" s="33" t="inlineStr">
        <is>
          <t>HOT-05B;HOT-13</t>
        </is>
      </c>
      <c r="G73" s="33" t="inlineStr">
        <is>
          <t>Индукционная плита 2 зоны;GN, противни и горячий инвентарь</t>
        </is>
      </c>
      <c r="H73" s="33" t="inlineStr">
        <is>
          <t>CAPEX.HOT.006;CAPEX.HOT.014</t>
        </is>
      </c>
      <c r="I73" s="33" t="inlineStr">
        <is>
          <t>HEATED_COMPONENT_PREP</t>
        </is>
      </c>
      <c r="J73" s="33" t="n"/>
      <c r="K73" s="33" t="inlineStr">
        <is>
          <t>HOT-05B: 2 зоны; HOT-13: Совместимость с печами</t>
        </is>
      </c>
      <c r="L73" s="33" t="inlineStr">
        <is>
          <t>PLANNED</t>
        </is>
      </c>
      <c r="M73" s="33" t="n"/>
      <c r="N73" s="33" t="n"/>
      <c r="O73" s="33" t="n"/>
      <c r="P73" s="33" t="n"/>
      <c r="Q73" s="33" t="n"/>
      <c r="R73" s="33" t="inlineStr">
        <is>
          <t>BLOCKED_NO_SELECTED_MODEL_PASSPORT</t>
        </is>
      </c>
      <c r="S73" s="33" t="inlineStr">
        <is>
          <t>BLOCKED</t>
        </is>
      </c>
      <c r="T73" s="33" t="inlineStr">
        <is>
          <t>BLOCKED</t>
        </is>
      </c>
      <c r="U73" s="33" t="inlineStr">
        <is>
          <t>BLOCKED_SELECTED_MODEL_AND_SITE_VALIDATION</t>
        </is>
      </c>
      <c r="V73" s="33" t="inlineStr">
        <is>
          <t>ESTIMATE</t>
        </is>
      </c>
      <c r="W73" s="33" t="inlineStr">
        <is>
          <t>GAP-007;GAP-017;GAP-018;GAP-019</t>
        </is>
      </c>
    </row>
    <row r="74">
      <c r="A74" s="33" t="inlineStr">
        <is>
          <t>EQM-0037</t>
        </is>
      </c>
      <c r="B74" s="33" t="inlineStr">
        <is>
          <t>VKM-007</t>
        </is>
      </c>
      <c r="C74" s="33" t="inlineStr">
        <is>
          <t>Бородинский хлеб</t>
        </is>
      </c>
      <c r="D74" s="33" t="n">
        <v>2</v>
      </c>
      <c r="E74" s="33" t="inlineStr">
        <is>
          <t>замесить тесто</t>
        </is>
      </c>
      <c r="F74" s="33" t="inlineStr">
        <is>
          <t>BAK-03</t>
        </is>
      </c>
      <c r="G74" s="33" t="inlineStr">
        <is>
          <t>Спиральный тестомес</t>
        </is>
      </c>
      <c r="H74" s="33" t="inlineStr">
        <is>
          <t>CAPEX.BAK.003</t>
        </is>
      </c>
      <c r="I74" s="33" t="inlineStr">
        <is>
          <t>MIXING</t>
        </is>
      </c>
      <c r="J74" s="33" t="n"/>
      <c r="K74" s="33" t="inlineStr">
        <is>
          <t>BAK-03: Рабочий диапазон 2–25 кг</t>
        </is>
      </c>
      <c r="L74" s="33" t="inlineStr">
        <is>
          <t>PLANNED</t>
        </is>
      </c>
      <c r="M74" s="33" t="n"/>
      <c r="N74" s="33" t="n"/>
      <c r="O74" s="33" t="n"/>
      <c r="P74" s="33" t="n"/>
      <c r="Q74" s="33" t="n"/>
      <c r="R74" s="33" t="inlineStr">
        <is>
          <t>BLOCKED_NO_SELECTED_MODEL_PASSPORT</t>
        </is>
      </c>
      <c r="S74" s="33" t="inlineStr">
        <is>
          <t>BLOCKED</t>
        </is>
      </c>
      <c r="T74" s="33" t="inlineStr">
        <is>
          <t>BLOCKED</t>
        </is>
      </c>
      <c r="U74" s="33" t="inlineStr">
        <is>
          <t>BLOCKED_SELECTED_MODEL_AND_SITE_VALIDATION</t>
        </is>
      </c>
      <c r="V74" s="33" t="inlineStr">
        <is>
          <t>ESTIMATE</t>
        </is>
      </c>
      <c r="W74" s="33" t="inlineStr">
        <is>
          <t>GAP-007;GAP-017;GAP-018;GAP-019</t>
        </is>
      </c>
    </row>
    <row r="75">
      <c r="A75" s="33" t="inlineStr">
        <is>
          <t>EQM-0038</t>
        </is>
      </c>
      <c r="B75" s="33" t="inlineStr">
        <is>
          <t>VKM-007</t>
        </is>
      </c>
      <c r="C75" s="33" t="inlineStr">
        <is>
          <t>Бородинский хлеб</t>
        </is>
      </c>
      <c r="D75" s="33" t="n">
        <v>3</v>
      </c>
      <c r="E75" s="33" t="inlineStr">
        <is>
          <t>провести брожение</t>
        </is>
      </c>
      <c r="F75" s="33" t="inlineStr">
        <is>
          <t>STO-08</t>
        </is>
      </c>
      <c r="G75" s="33" t="inlineStr">
        <is>
          <t>Холодная ферментация теста</t>
        </is>
      </c>
      <c r="H75" s="33" t="inlineStr">
        <is>
          <t>CAPEX.STO.008</t>
        </is>
      </c>
      <c r="I75" s="33" t="inlineStr">
        <is>
          <t>FERMENTATION</t>
        </is>
      </c>
      <c r="J75" s="33" t="n"/>
      <c r="K75" s="33" t="inlineStr">
        <is>
          <t>STO-08: Всего ≥30 позиций 600×400</t>
        </is>
      </c>
      <c r="L75" s="33" t="inlineStr">
        <is>
          <t>PLANNED</t>
        </is>
      </c>
      <c r="M75" s="33" t="n"/>
      <c r="N75" s="33" t="n"/>
      <c r="O75" s="33" t="n"/>
      <c r="P75" s="33" t="n"/>
      <c r="Q75" s="33" t="n"/>
      <c r="R75" s="33" t="inlineStr">
        <is>
          <t>BLOCKED_NO_SELECTED_MODEL_PASSPORT</t>
        </is>
      </c>
      <c r="S75" s="33" t="inlineStr">
        <is>
          <t>BLOCKED</t>
        </is>
      </c>
      <c r="T75" s="33" t="inlineStr">
        <is>
          <t>BLOCKED</t>
        </is>
      </c>
      <c r="U75" s="33" t="inlineStr">
        <is>
          <t>BLOCKED_SELECTED_MODEL_AND_SITE_VALIDATION</t>
        </is>
      </c>
      <c r="V75" s="33" t="inlineStr">
        <is>
          <t>ESTIMATE</t>
        </is>
      </c>
      <c r="W75" s="33" t="inlineStr">
        <is>
          <t>GAP-007;GAP-017;GAP-018;GAP-019</t>
        </is>
      </c>
    </row>
    <row r="76">
      <c r="A76" s="33" t="inlineStr">
        <is>
          <t>EQM-0039</t>
        </is>
      </c>
      <c r="B76" s="33" t="inlineStr">
        <is>
          <t>VKM-007</t>
        </is>
      </c>
      <c r="C76" s="33" t="inlineStr">
        <is>
          <t>Бородинский хлеб</t>
        </is>
      </c>
      <c r="D76" s="33" t="n">
        <v>4</v>
      </c>
      <c r="E76" s="33" t="inlineStr">
        <is>
          <t>уложить в форму</t>
        </is>
      </c>
      <c r="F76" s="33" t="inlineStr">
        <is>
          <t>REQ-BAK-PREP</t>
        </is>
      </c>
      <c r="G76" s="33" t="inlineStr">
        <is>
          <t>Проектное функциональное требование без действующего CAPEX-кода</t>
        </is>
      </c>
      <c r="H76" s="33" t="n"/>
      <c r="I76" s="33" t="inlineStr">
        <is>
          <t>MANUAL_FORMING_GAP</t>
        </is>
      </c>
      <c r="J76" s="33" t="n"/>
      <c r="K76" s="33" t="n"/>
      <c r="L76" s="33" t="inlineStr">
        <is>
          <t>BLOCKED</t>
        </is>
      </c>
      <c r="M76" s="33" t="n"/>
      <c r="N76" s="33" t="n"/>
      <c r="O76" s="33" t="n"/>
      <c r="P76" s="33" t="n"/>
      <c r="Q76" s="33" t="n"/>
      <c r="R76" s="33" t="inlineStr">
        <is>
          <t>BLOCKED_NO_SELECTED_MODEL_PASSPORT</t>
        </is>
      </c>
      <c r="S76" s="33" t="inlineStr">
        <is>
          <t>BLOCKED</t>
        </is>
      </c>
      <c r="T76" s="33" t="inlineStr">
        <is>
          <t>BLOCKED</t>
        </is>
      </c>
      <c r="U76" s="33" t="inlineStr">
        <is>
          <t>BLOCKED_REQUIREMENT_CODE</t>
        </is>
      </c>
      <c r="V76" s="33" t="inlineStr">
        <is>
          <t>ESTIMATE</t>
        </is>
      </c>
      <c r="W76" s="33" t="inlineStr">
        <is>
          <t>GAP-007;GAP-017;GAP-018;GAP-019</t>
        </is>
      </c>
    </row>
    <row r="77">
      <c r="A77" s="33" t="inlineStr">
        <is>
          <t>EQM-0040</t>
        </is>
      </c>
      <c r="B77" s="33" t="inlineStr">
        <is>
          <t>VKM-007</t>
        </is>
      </c>
      <c r="C77" s="33" t="inlineStr">
        <is>
          <t>Бородинский хлеб</t>
        </is>
      </c>
      <c r="D77" s="33" t="n">
        <v>5</v>
      </c>
      <c r="E77" s="33" t="inlineStr">
        <is>
          <t>расстоять</t>
        </is>
      </c>
      <c r="F77" s="33" t="inlineStr">
        <is>
          <t>BAK-05</t>
        </is>
      </c>
      <c r="G77" s="33" t="inlineStr">
        <is>
          <t>Программируемый расстоечный шкаф</t>
        </is>
      </c>
      <c r="H77" s="33" t="inlineStr">
        <is>
          <t>CAPEX.BAK.005</t>
        </is>
      </c>
      <c r="I77" s="33" t="inlineStr">
        <is>
          <t>PROOFING</t>
        </is>
      </c>
      <c r="J77" s="33" t="n"/>
      <c r="K77" s="33" t="inlineStr">
        <is>
          <t>BAK-05: 12–16 противней 600×400</t>
        </is>
      </c>
      <c r="L77" s="33" t="inlineStr">
        <is>
          <t>PLANNED</t>
        </is>
      </c>
      <c r="M77" s="33" t="n"/>
      <c r="N77" s="33" t="n"/>
      <c r="O77" s="33" t="n"/>
      <c r="P77" s="33" t="n"/>
      <c r="Q77" s="33" t="n"/>
      <c r="R77" s="33" t="inlineStr">
        <is>
          <t>BLOCKED_NO_SELECTED_MODEL_PASSPORT</t>
        </is>
      </c>
      <c r="S77" s="33" t="inlineStr">
        <is>
          <t>BLOCKED</t>
        </is>
      </c>
      <c r="T77" s="33" t="inlineStr">
        <is>
          <t>BLOCKED</t>
        </is>
      </c>
      <c r="U77" s="33" t="inlineStr">
        <is>
          <t>BLOCKED_SELECTED_MODEL_AND_SITE_VALIDATION</t>
        </is>
      </c>
      <c r="V77" s="33" t="inlineStr">
        <is>
          <t>ESTIMATE</t>
        </is>
      </c>
      <c r="W77" s="33" t="inlineStr">
        <is>
          <t>GAP-007;GAP-017;GAP-018;GAP-019</t>
        </is>
      </c>
    </row>
    <row r="78">
      <c r="A78" s="33" t="inlineStr">
        <is>
          <t>EQM-0041</t>
        </is>
      </c>
      <c r="B78" s="33" t="inlineStr">
        <is>
          <t>VKM-007</t>
        </is>
      </c>
      <c r="C78" s="33" t="inlineStr">
        <is>
          <t>Бородинский хлеб</t>
        </is>
      </c>
      <c r="D78" s="33" t="n">
        <v>6</v>
      </c>
      <c r="E78" s="33" t="inlineStr">
        <is>
          <t>выпечь</t>
        </is>
      </c>
      <c r="F78" s="33" t="inlineStr">
        <is>
          <t>BAK-02</t>
        </is>
      </c>
      <c r="G78" s="33" t="inlineStr">
        <is>
          <t>Пекарская печь</t>
        </is>
      </c>
      <c r="H78" s="33" t="inlineStr">
        <is>
          <t>CAPEX.BAK.002</t>
        </is>
      </c>
      <c r="I78" s="33" t="inlineStr">
        <is>
          <t>THERMAL_PROCESS</t>
        </is>
      </c>
      <c r="J78" s="33" t="n"/>
      <c r="K78" s="33" t="inlineStr">
        <is>
          <t>BAK-02: 6×600×400; программирование; пар</t>
        </is>
      </c>
      <c r="L78" s="33" t="inlineStr">
        <is>
          <t>PLANNED</t>
        </is>
      </c>
      <c r="M78" s="33" t="n"/>
      <c r="N78" s="33" t="n"/>
      <c r="O78" s="33" t="n"/>
      <c r="P78" s="33" t="n"/>
      <c r="Q78" s="33" t="n"/>
      <c r="R78" s="33" t="inlineStr">
        <is>
          <t>BLOCKED_NO_SELECTED_MODEL_PASSPORT</t>
        </is>
      </c>
      <c r="S78" s="33" t="inlineStr">
        <is>
          <t>BLOCKED</t>
        </is>
      </c>
      <c r="T78" s="33" t="inlineStr">
        <is>
          <t>BLOCKED</t>
        </is>
      </c>
      <c r="U78" s="33" t="inlineStr">
        <is>
          <t>BLOCKED_SELECTED_MODEL_AND_SITE_VALIDATION</t>
        </is>
      </c>
      <c r="V78" s="33" t="inlineStr">
        <is>
          <t>ESTIMATE</t>
        </is>
      </c>
      <c r="W78" s="33" t="inlineStr">
        <is>
          <t>GAP-007;GAP-017;GAP-018;GAP-019</t>
        </is>
      </c>
    </row>
    <row r="79">
      <c r="A79" s="33" t="inlineStr">
        <is>
          <t>EQM-0042</t>
        </is>
      </c>
      <c r="B79" s="33" t="inlineStr">
        <is>
          <t>VKM-007</t>
        </is>
      </c>
      <c r="C79" s="33" t="inlineStr">
        <is>
          <t>Бородинский хлеб</t>
        </is>
      </c>
      <c r="D79" s="33" t="n">
        <v>7</v>
      </c>
      <c r="E79" s="33" t="inlineStr">
        <is>
          <t>стабилизировать и охладить</t>
        </is>
      </c>
      <c r="F79" s="33" t="inlineStr">
        <is>
          <t>BAK-06</t>
        </is>
      </c>
      <c r="G79" s="33" t="inlineStr">
        <is>
          <t>Мобильный стеллаж охлаждения</t>
        </is>
      </c>
      <c r="H79" s="33" t="inlineStr">
        <is>
          <t>CAPEX.BAK.006</t>
        </is>
      </c>
      <c r="I79" s="33" t="inlineStr">
        <is>
          <t>COOLING_HOLDING</t>
        </is>
      </c>
      <c r="J79" s="33" t="n"/>
      <c r="K79" s="33" t="inlineStr">
        <is>
          <t>BAK-06: 16–20 противней</t>
        </is>
      </c>
      <c r="L79" s="33" t="inlineStr">
        <is>
          <t>PLANNED</t>
        </is>
      </c>
      <c r="M79" s="33" t="n"/>
      <c r="N79" s="33" t="n"/>
      <c r="O79" s="33" t="n"/>
      <c r="P79" s="33" t="n"/>
      <c r="Q79" s="33" t="n"/>
      <c r="R79" s="33" t="inlineStr">
        <is>
          <t>BLOCKED_NO_SELECTED_MODEL_PASSPORT</t>
        </is>
      </c>
      <c r="S79" s="33" t="inlineStr">
        <is>
          <t>BLOCKED</t>
        </is>
      </c>
      <c r="T79" s="33" t="inlineStr">
        <is>
          <t>BLOCKED</t>
        </is>
      </c>
      <c r="U79" s="33" t="inlineStr">
        <is>
          <t>BLOCKED_SELECTED_MODEL_AND_SITE_VALIDATION</t>
        </is>
      </c>
      <c r="V79" s="33" t="inlineStr">
        <is>
          <t>ESTIMATE</t>
        </is>
      </c>
      <c r="W79" s="33" t="inlineStr">
        <is>
          <t>GAP-007;GAP-017;GAP-018;GAP-019</t>
        </is>
      </c>
    </row>
    <row r="80">
      <c r="A80" s="33" t="inlineStr">
        <is>
          <t>EQM-0043</t>
        </is>
      </c>
      <c r="B80" s="33" t="inlineStr">
        <is>
          <t>VKM-008</t>
        </is>
      </c>
      <c r="C80" s="33" t="inlineStr">
        <is>
          <t>Бриошь</t>
        </is>
      </c>
      <c r="D80" s="33" t="n">
        <v>1</v>
      </c>
      <c r="E80" s="33" t="inlineStr">
        <is>
          <t>Замесить сдобное тесто</t>
        </is>
      </c>
      <c r="F80" s="33" t="inlineStr">
        <is>
          <t>BAK-03</t>
        </is>
      </c>
      <c r="G80" s="33" t="inlineStr">
        <is>
          <t>Спиральный тестомес</t>
        </is>
      </c>
      <c r="H80" s="33" t="inlineStr">
        <is>
          <t>CAPEX.BAK.003</t>
        </is>
      </c>
      <c r="I80" s="33" t="inlineStr">
        <is>
          <t>MIXING</t>
        </is>
      </c>
      <c r="J80" s="33" t="n"/>
      <c r="K80" s="33" t="inlineStr">
        <is>
          <t>BAK-03: Рабочий диапазон 2–25 кг</t>
        </is>
      </c>
      <c r="L80" s="33" t="inlineStr">
        <is>
          <t>PLANNED</t>
        </is>
      </c>
      <c r="M80" s="33" t="n"/>
      <c r="N80" s="33" t="n"/>
      <c r="O80" s="33" t="n"/>
      <c r="P80" s="33" t="n"/>
      <c r="Q80" s="33" t="n"/>
      <c r="R80" s="33" t="inlineStr">
        <is>
          <t>BLOCKED_NO_SELECTED_MODEL_PASSPORT</t>
        </is>
      </c>
      <c r="S80" s="33" t="inlineStr">
        <is>
          <t>BLOCKED</t>
        </is>
      </c>
      <c r="T80" s="33" t="inlineStr">
        <is>
          <t>BLOCKED</t>
        </is>
      </c>
      <c r="U80" s="33" t="inlineStr">
        <is>
          <t>BLOCKED_SELECTED_MODEL_AND_SITE_VALIDATION</t>
        </is>
      </c>
      <c r="V80" s="33" t="inlineStr">
        <is>
          <t>ESTIMATE</t>
        </is>
      </c>
      <c r="W80" s="33" t="inlineStr">
        <is>
          <t>GAP-007;GAP-017;GAP-018;GAP-019</t>
        </is>
      </c>
    </row>
    <row r="81">
      <c r="A81" s="33" t="inlineStr">
        <is>
          <t>EQM-0044</t>
        </is>
      </c>
      <c r="B81" s="33" t="inlineStr">
        <is>
          <t>VKM-008</t>
        </is>
      </c>
      <c r="C81" s="33" t="inlineStr">
        <is>
          <t>Бриошь</t>
        </is>
      </c>
      <c r="D81" s="33" t="n">
        <v>2</v>
      </c>
      <c r="E81" s="33" t="inlineStr">
        <is>
          <t>ввести масло</t>
        </is>
      </c>
      <c r="F81" s="33" t="inlineStr">
        <is>
          <t>BAK-03</t>
        </is>
      </c>
      <c r="G81" s="33" t="inlineStr">
        <is>
          <t>Спиральный тестомес</t>
        </is>
      </c>
      <c r="H81" s="33" t="inlineStr">
        <is>
          <t>CAPEX.BAK.003</t>
        </is>
      </c>
      <c r="I81" s="33" t="inlineStr">
        <is>
          <t>MIXING</t>
        </is>
      </c>
      <c r="J81" s="33" t="n"/>
      <c r="K81" s="33" t="inlineStr">
        <is>
          <t>BAK-03: Рабочий диапазон 2–25 кг</t>
        </is>
      </c>
      <c r="L81" s="33" t="inlineStr">
        <is>
          <t>PLANNED</t>
        </is>
      </c>
      <c r="M81" s="33" t="n"/>
      <c r="N81" s="33" t="n"/>
      <c r="O81" s="33" t="n"/>
      <c r="P81" s="33" t="n"/>
      <c r="Q81" s="33" t="n"/>
      <c r="R81" s="33" t="inlineStr">
        <is>
          <t>BLOCKED_NO_SELECTED_MODEL_PASSPORT</t>
        </is>
      </c>
      <c r="S81" s="33" t="inlineStr">
        <is>
          <t>BLOCKED</t>
        </is>
      </c>
      <c r="T81" s="33" t="inlineStr">
        <is>
          <t>BLOCKED</t>
        </is>
      </c>
      <c r="U81" s="33" t="inlineStr">
        <is>
          <t>BLOCKED_SELECTED_MODEL_AND_SITE_VALIDATION</t>
        </is>
      </c>
      <c r="V81" s="33" t="inlineStr">
        <is>
          <t>ESTIMATE</t>
        </is>
      </c>
      <c r="W81" s="33" t="inlineStr">
        <is>
          <t>GAP-007;GAP-017;GAP-018;GAP-019</t>
        </is>
      </c>
    </row>
    <row r="82">
      <c r="A82" s="33" t="inlineStr">
        <is>
          <t>EQM-0045</t>
        </is>
      </c>
      <c r="B82" s="33" t="inlineStr">
        <is>
          <t>VKM-008</t>
        </is>
      </c>
      <c r="C82" s="33" t="inlineStr">
        <is>
          <t>Бриошь</t>
        </is>
      </c>
      <c r="D82" s="33" t="n">
        <v>3</v>
      </c>
      <c r="E82" s="33" t="inlineStr">
        <is>
          <t>провести брожение</t>
        </is>
      </c>
      <c r="F82" s="33" t="inlineStr">
        <is>
          <t>STO-08</t>
        </is>
      </c>
      <c r="G82" s="33" t="inlineStr">
        <is>
          <t>Холодная ферментация теста</t>
        </is>
      </c>
      <c r="H82" s="33" t="inlineStr">
        <is>
          <t>CAPEX.STO.008</t>
        </is>
      </c>
      <c r="I82" s="33" t="inlineStr">
        <is>
          <t>FERMENTATION</t>
        </is>
      </c>
      <c r="J82" s="33" t="n"/>
      <c r="K82" s="33" t="inlineStr">
        <is>
          <t>STO-08: Всего ≥30 позиций 600×400</t>
        </is>
      </c>
      <c r="L82" s="33" t="inlineStr">
        <is>
          <t>PLANNED</t>
        </is>
      </c>
      <c r="M82" s="33" t="n"/>
      <c r="N82" s="33" t="n"/>
      <c r="O82" s="33" t="n"/>
      <c r="P82" s="33" t="n"/>
      <c r="Q82" s="33" t="n"/>
      <c r="R82" s="33" t="inlineStr">
        <is>
          <t>BLOCKED_NO_SELECTED_MODEL_PASSPORT</t>
        </is>
      </c>
      <c r="S82" s="33" t="inlineStr">
        <is>
          <t>BLOCKED</t>
        </is>
      </c>
      <c r="T82" s="33" t="inlineStr">
        <is>
          <t>BLOCKED</t>
        </is>
      </c>
      <c r="U82" s="33" t="inlineStr">
        <is>
          <t>BLOCKED_SELECTED_MODEL_AND_SITE_VALIDATION</t>
        </is>
      </c>
      <c r="V82" s="33" t="inlineStr">
        <is>
          <t>ESTIMATE</t>
        </is>
      </c>
      <c r="W82" s="33" t="inlineStr">
        <is>
          <t>GAP-007;GAP-017;GAP-018;GAP-019</t>
        </is>
      </c>
    </row>
    <row r="83">
      <c r="A83" s="33" t="inlineStr">
        <is>
          <t>EQM-0046</t>
        </is>
      </c>
      <c r="B83" s="33" t="inlineStr">
        <is>
          <t>VKM-008</t>
        </is>
      </c>
      <c r="C83" s="33" t="inlineStr">
        <is>
          <t>Бриошь</t>
        </is>
      </c>
      <c r="D83" s="33" t="n">
        <v>4</v>
      </c>
      <c r="E83" s="33" t="inlineStr">
        <is>
          <t>сформовать</t>
        </is>
      </c>
      <c r="F83" s="33" t="inlineStr">
        <is>
          <t>REQ-BAK-PREP</t>
        </is>
      </c>
      <c r="G83" s="33" t="inlineStr">
        <is>
          <t>Проектное функциональное требование без действующего CAPEX-кода</t>
        </is>
      </c>
      <c r="H83" s="33" t="n"/>
      <c r="I83" s="33" t="inlineStr">
        <is>
          <t>MANUAL_FORMING_GAP</t>
        </is>
      </c>
      <c r="J83" s="33" t="n"/>
      <c r="K83" s="33" t="n"/>
      <c r="L83" s="33" t="inlineStr">
        <is>
          <t>BLOCKED</t>
        </is>
      </c>
      <c r="M83" s="33" t="n"/>
      <c r="N83" s="33" t="n"/>
      <c r="O83" s="33" t="n"/>
      <c r="P83" s="33" t="n"/>
      <c r="Q83" s="33" t="n"/>
      <c r="R83" s="33" t="inlineStr">
        <is>
          <t>BLOCKED_NO_SELECTED_MODEL_PASSPORT</t>
        </is>
      </c>
      <c r="S83" s="33" t="inlineStr">
        <is>
          <t>BLOCKED</t>
        </is>
      </c>
      <c r="T83" s="33" t="inlineStr">
        <is>
          <t>BLOCKED</t>
        </is>
      </c>
      <c r="U83" s="33" t="inlineStr">
        <is>
          <t>BLOCKED_REQUIREMENT_CODE</t>
        </is>
      </c>
      <c r="V83" s="33" t="inlineStr">
        <is>
          <t>ESTIMATE</t>
        </is>
      </c>
      <c r="W83" s="33" t="inlineStr">
        <is>
          <t>GAP-007;GAP-017;GAP-018;GAP-019</t>
        </is>
      </c>
    </row>
    <row r="84">
      <c r="A84" s="33" t="inlineStr">
        <is>
          <t>EQM-0047</t>
        </is>
      </c>
      <c r="B84" s="33" t="inlineStr">
        <is>
          <t>VKM-008</t>
        </is>
      </c>
      <c r="C84" s="33" t="inlineStr">
        <is>
          <t>Бриошь</t>
        </is>
      </c>
      <c r="D84" s="33" t="n">
        <v>5</v>
      </c>
      <c r="E84" s="33" t="inlineStr">
        <is>
          <t>расстоять</t>
        </is>
      </c>
      <c r="F84" s="33" t="inlineStr">
        <is>
          <t>BAK-05</t>
        </is>
      </c>
      <c r="G84" s="33" t="inlineStr">
        <is>
          <t>Программируемый расстоечный шкаф</t>
        </is>
      </c>
      <c r="H84" s="33" t="inlineStr">
        <is>
          <t>CAPEX.BAK.005</t>
        </is>
      </c>
      <c r="I84" s="33" t="inlineStr">
        <is>
          <t>PROOFING</t>
        </is>
      </c>
      <c r="J84" s="33" t="n"/>
      <c r="K84" s="33" t="inlineStr">
        <is>
          <t>BAK-05: 12–16 противней 600×400</t>
        </is>
      </c>
      <c r="L84" s="33" t="inlineStr">
        <is>
          <t>PLANNED</t>
        </is>
      </c>
      <c r="M84" s="33" t="n"/>
      <c r="N84" s="33" t="n"/>
      <c r="O84" s="33" t="n"/>
      <c r="P84" s="33" t="n"/>
      <c r="Q84" s="33" t="n"/>
      <c r="R84" s="33" t="inlineStr">
        <is>
          <t>BLOCKED_NO_SELECTED_MODEL_PASSPORT</t>
        </is>
      </c>
      <c r="S84" s="33" t="inlineStr">
        <is>
          <t>BLOCKED</t>
        </is>
      </c>
      <c r="T84" s="33" t="inlineStr">
        <is>
          <t>BLOCKED</t>
        </is>
      </c>
      <c r="U84" s="33" t="inlineStr">
        <is>
          <t>BLOCKED_SELECTED_MODEL_AND_SITE_VALIDATION</t>
        </is>
      </c>
      <c r="V84" s="33" t="inlineStr">
        <is>
          <t>ESTIMATE</t>
        </is>
      </c>
      <c r="W84" s="33" t="inlineStr">
        <is>
          <t>GAP-007;GAP-017;GAP-018;GAP-019</t>
        </is>
      </c>
    </row>
    <row r="85">
      <c r="A85" s="33" t="inlineStr">
        <is>
          <t>EQM-0048</t>
        </is>
      </c>
      <c r="B85" s="33" t="inlineStr">
        <is>
          <t>VKM-008</t>
        </is>
      </c>
      <c r="C85" s="33" t="inlineStr">
        <is>
          <t>Бриошь</t>
        </is>
      </c>
      <c r="D85" s="33" t="n">
        <v>6</v>
      </c>
      <c r="E85" s="33" t="inlineStr">
        <is>
          <t>смазать</t>
        </is>
      </c>
      <c r="F85" s="33" t="inlineStr">
        <is>
          <t>BAK-07</t>
        </is>
      </c>
      <c r="G85" s="33" t="inlineStr">
        <is>
          <t>Кондитерские формы и инвентарь</t>
        </is>
      </c>
      <c r="H85" s="33" t="inlineStr">
        <is>
          <t>CAPEX.BAK.007</t>
        </is>
      </c>
      <c r="I85" s="33" t="inlineStr">
        <is>
          <t>FORM_PREPARATION</t>
        </is>
      </c>
      <c r="J85" s="33" t="n"/>
      <c r="K85" s="33" t="inlineStr">
        <is>
          <t>BAK-07: Торт, кростата, мадлены</t>
        </is>
      </c>
      <c r="L85" s="33" t="inlineStr">
        <is>
          <t>PLANNED</t>
        </is>
      </c>
      <c r="M85" s="33" t="n"/>
      <c r="N85" s="33" t="n"/>
      <c r="O85" s="33" t="n"/>
      <c r="P85" s="33" t="n"/>
      <c r="Q85" s="33" t="n"/>
      <c r="R85" s="33" t="inlineStr">
        <is>
          <t>BLOCKED_NO_SELECTED_MODEL_PASSPORT</t>
        </is>
      </c>
      <c r="S85" s="33" t="inlineStr">
        <is>
          <t>BLOCKED</t>
        </is>
      </c>
      <c r="T85" s="33" t="inlineStr">
        <is>
          <t>BLOCKED</t>
        </is>
      </c>
      <c r="U85" s="33" t="inlineStr">
        <is>
          <t>BLOCKED_SELECTED_MODEL_AND_SITE_VALIDATION</t>
        </is>
      </c>
      <c r="V85" s="33" t="inlineStr">
        <is>
          <t>ESTIMATE</t>
        </is>
      </c>
      <c r="W85" s="33" t="inlineStr">
        <is>
          <t>GAP-007;GAP-017;GAP-018;GAP-019</t>
        </is>
      </c>
    </row>
    <row r="86">
      <c r="A86" s="33" t="inlineStr">
        <is>
          <t>EQM-0049</t>
        </is>
      </c>
      <c r="B86" s="33" t="inlineStr">
        <is>
          <t>VKM-008</t>
        </is>
      </c>
      <c r="C86" s="33" t="inlineStr">
        <is>
          <t>Бриошь</t>
        </is>
      </c>
      <c r="D86" s="33" t="n">
        <v>7</v>
      </c>
      <c r="E86" s="33" t="inlineStr">
        <is>
          <t>выпечь</t>
        </is>
      </c>
      <c r="F86" s="33" t="inlineStr">
        <is>
          <t>BAK-02</t>
        </is>
      </c>
      <c r="G86" s="33" t="inlineStr">
        <is>
          <t>Пекарская печь</t>
        </is>
      </c>
      <c r="H86" s="33" t="inlineStr">
        <is>
          <t>CAPEX.BAK.002</t>
        </is>
      </c>
      <c r="I86" s="33" t="inlineStr">
        <is>
          <t>THERMAL_PROCESS</t>
        </is>
      </c>
      <c r="J86" s="33" t="n"/>
      <c r="K86" s="33" t="inlineStr">
        <is>
          <t>BAK-02: 6×600×400; программирование; пар</t>
        </is>
      </c>
      <c r="L86" s="33" t="inlineStr">
        <is>
          <t>PLANNED</t>
        </is>
      </c>
      <c r="M86" s="33" t="n"/>
      <c r="N86" s="33" t="n"/>
      <c r="O86" s="33" t="n"/>
      <c r="P86" s="33" t="n"/>
      <c r="Q86" s="33" t="n"/>
      <c r="R86" s="33" t="inlineStr">
        <is>
          <t>BLOCKED_NO_SELECTED_MODEL_PASSPORT</t>
        </is>
      </c>
      <c r="S86" s="33" t="inlineStr">
        <is>
          <t>BLOCKED</t>
        </is>
      </c>
      <c r="T86" s="33" t="inlineStr">
        <is>
          <t>BLOCKED</t>
        </is>
      </c>
      <c r="U86" s="33" t="inlineStr">
        <is>
          <t>BLOCKED_SELECTED_MODEL_AND_SITE_VALIDATION</t>
        </is>
      </c>
      <c r="V86" s="33" t="inlineStr">
        <is>
          <t>ESTIMATE</t>
        </is>
      </c>
      <c r="W86" s="33" t="inlineStr">
        <is>
          <t>GAP-007;GAP-017;GAP-018;GAP-019</t>
        </is>
      </c>
    </row>
    <row r="87">
      <c r="A87" s="33" t="inlineStr">
        <is>
          <t>EQM-0050</t>
        </is>
      </c>
      <c r="B87" s="33" t="inlineStr">
        <is>
          <t>VKM-008</t>
        </is>
      </c>
      <c r="C87" s="33" t="inlineStr">
        <is>
          <t>Бриошь</t>
        </is>
      </c>
      <c r="D87" s="33" t="n">
        <v>8</v>
      </c>
      <c r="E87" s="33" t="inlineStr">
        <is>
          <t>охладить</t>
        </is>
      </c>
      <c r="F87" s="33" t="inlineStr">
        <is>
          <t>BAK-06</t>
        </is>
      </c>
      <c r="G87" s="33" t="inlineStr">
        <is>
          <t>Мобильный стеллаж охлаждения</t>
        </is>
      </c>
      <c r="H87" s="33" t="inlineStr">
        <is>
          <t>CAPEX.BAK.006</t>
        </is>
      </c>
      <c r="I87" s="33" t="inlineStr">
        <is>
          <t>COOLING_HOLDING</t>
        </is>
      </c>
      <c r="J87" s="33" t="n"/>
      <c r="K87" s="33" t="inlineStr">
        <is>
          <t>BAK-06: 16–20 противней</t>
        </is>
      </c>
      <c r="L87" s="33" t="inlineStr">
        <is>
          <t>PLANNED</t>
        </is>
      </c>
      <c r="M87" s="33" t="n"/>
      <c r="N87" s="33" t="n"/>
      <c r="O87" s="33" t="n"/>
      <c r="P87" s="33" t="n"/>
      <c r="Q87" s="33" t="n"/>
      <c r="R87" s="33" t="inlineStr">
        <is>
          <t>BLOCKED_NO_SELECTED_MODEL_PASSPORT</t>
        </is>
      </c>
      <c r="S87" s="33" t="inlineStr">
        <is>
          <t>BLOCKED</t>
        </is>
      </c>
      <c r="T87" s="33" t="inlineStr">
        <is>
          <t>BLOCKED</t>
        </is>
      </c>
      <c r="U87" s="33" t="inlineStr">
        <is>
          <t>BLOCKED_SELECTED_MODEL_AND_SITE_VALIDATION</t>
        </is>
      </c>
      <c r="V87" s="33" t="inlineStr">
        <is>
          <t>ESTIMATE</t>
        </is>
      </c>
      <c r="W87" s="33" t="inlineStr">
        <is>
          <t>GAP-007;GAP-017;GAP-018;GAP-019</t>
        </is>
      </c>
    </row>
    <row r="88">
      <c r="A88" s="33" t="inlineStr">
        <is>
          <t>EQM-0051</t>
        </is>
      </c>
      <c r="B88" s="33" t="inlineStr">
        <is>
          <t>VKM-009</t>
        </is>
      </c>
      <c r="C88" s="33" t="inlineStr">
        <is>
          <t>Буррата с томатами</t>
        </is>
      </c>
      <c r="D88" s="33" t="n">
        <v>1</v>
      </c>
      <c r="E88" s="33" t="inlineStr">
        <is>
          <t>Подготовить томаты и зелень</t>
        </is>
      </c>
      <c r="F88" s="33" t="inlineStr">
        <is>
          <t>CLD-03;CLD-07</t>
        </is>
      </c>
      <c r="G88" s="33" t="inlineStr">
        <is>
          <t>Вторая рабочая поверхность;Весы, ножи, доски холодного участка</t>
        </is>
      </c>
      <c r="H88" s="33" t="inlineStr">
        <is>
          <t>CAPEX.CLD.003;CAPEX.CLD.007</t>
        </is>
      </c>
      <c r="I88" s="33" t="inlineStr">
        <is>
          <t>COLD_PREP_ASSEMBLY</t>
        </is>
      </c>
      <c r="J88" s="33" t="n"/>
      <c r="K88" s="33" t="inlineStr">
        <is>
          <t>CLD-03: ≥1200×700; CLD-07: Две рабочие позиции</t>
        </is>
      </c>
      <c r="L88" s="33" t="inlineStr">
        <is>
          <t>PLANNED</t>
        </is>
      </c>
      <c r="M88" s="33" t="n"/>
      <c r="N88" s="33" t="n"/>
      <c r="O88" s="33" t="n"/>
      <c r="P88" s="33" t="n"/>
      <c r="Q88" s="33" t="n"/>
      <c r="R88" s="33" t="inlineStr">
        <is>
          <t>BLOCKED_NO_SELECTED_MODEL_PASSPORT</t>
        </is>
      </c>
      <c r="S88" s="33" t="inlineStr">
        <is>
          <t>BLOCKED</t>
        </is>
      </c>
      <c r="T88" s="33" t="inlineStr">
        <is>
          <t>BLOCKED</t>
        </is>
      </c>
      <c r="U88" s="33" t="inlineStr">
        <is>
          <t>BLOCKED_SELECTED_MODEL_AND_SITE_VALIDATION</t>
        </is>
      </c>
      <c r="V88" s="33" t="inlineStr">
        <is>
          <t>ESTIMATE</t>
        </is>
      </c>
      <c r="W88" s="33" t="inlineStr">
        <is>
          <t>GAP-007;GAP-017;GAP-018;GAP-019</t>
        </is>
      </c>
    </row>
    <row r="89">
      <c r="A89" s="33" t="inlineStr">
        <is>
          <t>EQM-0052</t>
        </is>
      </c>
      <c r="B89" s="33" t="inlineStr">
        <is>
          <t>VKM-009</t>
        </is>
      </c>
      <c r="C89" s="33" t="inlineStr">
        <is>
          <t>Буррата с томатами</t>
        </is>
      </c>
      <c r="D89" s="33" t="n">
        <v>2</v>
      </c>
      <c r="E89" s="33" t="inlineStr">
        <is>
          <t>смешать заправку</t>
        </is>
      </c>
      <c r="F89" s="33" t="inlineStr">
        <is>
          <t>CLD-03;CLD-07</t>
        </is>
      </c>
      <c r="G89" s="33" t="inlineStr">
        <is>
          <t>Вторая рабочая поверхность;Весы, ножи, доски холодного участка</t>
        </is>
      </c>
      <c r="H89" s="33" t="inlineStr">
        <is>
          <t>CAPEX.CLD.003;CAPEX.CLD.007</t>
        </is>
      </c>
      <c r="I89" s="33" t="inlineStr">
        <is>
          <t>COLD_PREP_ASSEMBLY</t>
        </is>
      </c>
      <c r="J89" s="33" t="n"/>
      <c r="K89" s="33" t="inlineStr">
        <is>
          <t>CLD-03: ≥1200×700; CLD-07: Две рабочие позиции</t>
        </is>
      </c>
      <c r="L89" s="33" t="inlineStr">
        <is>
          <t>PLANNED</t>
        </is>
      </c>
      <c r="M89" s="33" t="n"/>
      <c r="N89" s="33" t="n"/>
      <c r="O89" s="33" t="n"/>
      <c r="P89" s="33" t="n"/>
      <c r="Q89" s="33" t="n"/>
      <c r="R89" s="33" t="inlineStr">
        <is>
          <t>BLOCKED_NO_SELECTED_MODEL_PASSPORT</t>
        </is>
      </c>
      <c r="S89" s="33" t="inlineStr">
        <is>
          <t>BLOCKED</t>
        </is>
      </c>
      <c r="T89" s="33" t="inlineStr">
        <is>
          <t>BLOCKED</t>
        </is>
      </c>
      <c r="U89" s="33" t="inlineStr">
        <is>
          <t>BLOCKED_SELECTED_MODEL_AND_SITE_VALIDATION</t>
        </is>
      </c>
      <c r="V89" s="33" t="inlineStr">
        <is>
          <t>ESTIMATE</t>
        </is>
      </c>
      <c r="W89" s="33" t="inlineStr">
        <is>
          <t>GAP-007;GAP-017;GAP-018;GAP-019</t>
        </is>
      </c>
    </row>
    <row r="90">
      <c r="A90" s="33" t="inlineStr">
        <is>
          <t>EQM-0053</t>
        </is>
      </c>
      <c r="B90" s="33" t="inlineStr">
        <is>
          <t>VKM-009</t>
        </is>
      </c>
      <c r="C90" s="33" t="inlineStr">
        <is>
          <t>Буррата с томатами</t>
        </is>
      </c>
      <c r="D90" s="33" t="n">
        <v>3</v>
      </c>
      <c r="E90" s="33" t="inlineStr">
        <is>
          <t>разместить буррату</t>
        </is>
      </c>
      <c r="F90" s="33" t="inlineStr">
        <is>
          <t>CLD-03;CLD-07</t>
        </is>
      </c>
      <c r="G90" s="33" t="inlineStr">
        <is>
          <t>Вторая рабочая поверхность;Весы, ножи, доски холодного участка</t>
        </is>
      </c>
      <c r="H90" s="33" t="inlineStr">
        <is>
          <t>CAPEX.CLD.003;CAPEX.CLD.007</t>
        </is>
      </c>
      <c r="I90" s="33" t="inlineStr">
        <is>
          <t>COLD_PREP_ASSEMBLY</t>
        </is>
      </c>
      <c r="J90" s="33" t="n"/>
      <c r="K90" s="33" t="inlineStr">
        <is>
          <t>CLD-03: ≥1200×700; CLD-07: Две рабочие позиции</t>
        </is>
      </c>
      <c r="L90" s="33" t="inlineStr">
        <is>
          <t>PLANNED</t>
        </is>
      </c>
      <c r="M90" s="33" t="n"/>
      <c r="N90" s="33" t="n"/>
      <c r="O90" s="33" t="n"/>
      <c r="P90" s="33" t="n"/>
      <c r="Q90" s="33" t="n"/>
      <c r="R90" s="33" t="inlineStr">
        <is>
          <t>BLOCKED_NO_SELECTED_MODEL_PASSPORT</t>
        </is>
      </c>
      <c r="S90" s="33" t="inlineStr">
        <is>
          <t>BLOCKED</t>
        </is>
      </c>
      <c r="T90" s="33" t="inlineStr">
        <is>
          <t>BLOCKED</t>
        </is>
      </c>
      <c r="U90" s="33" t="inlineStr">
        <is>
          <t>BLOCKED_SELECTED_MODEL_AND_SITE_VALIDATION</t>
        </is>
      </c>
      <c r="V90" s="33" t="inlineStr">
        <is>
          <t>ESTIMATE</t>
        </is>
      </c>
      <c r="W90" s="33" t="inlineStr">
        <is>
          <t>GAP-007;GAP-017;GAP-018;GAP-019</t>
        </is>
      </c>
    </row>
    <row r="91">
      <c r="A91" s="33" t="inlineStr">
        <is>
          <t>EQM-0054</t>
        </is>
      </c>
      <c r="B91" s="33" t="inlineStr">
        <is>
          <t>VKM-009</t>
        </is>
      </c>
      <c r="C91" s="33" t="inlineStr">
        <is>
          <t>Буррата с томатами</t>
        </is>
      </c>
      <c r="D91" s="33" t="n">
        <v>4</v>
      </c>
      <c r="E91" s="33" t="inlineStr">
        <is>
          <t>собрать и финишировать</t>
        </is>
      </c>
      <c r="F91" s="33" t="inlineStr">
        <is>
          <t>CLD-03;CLD-07</t>
        </is>
      </c>
      <c r="G91" s="33" t="inlineStr">
        <is>
          <t>Вторая рабочая поверхность;Весы, ножи, доски холодного участка</t>
        </is>
      </c>
      <c r="H91" s="33" t="inlineStr">
        <is>
          <t>CAPEX.CLD.003;CAPEX.CLD.007</t>
        </is>
      </c>
      <c r="I91" s="33" t="inlineStr">
        <is>
          <t>COLD_PREP_ASSEMBLY</t>
        </is>
      </c>
      <c r="J91" s="33" t="n"/>
      <c r="K91" s="33" t="inlineStr">
        <is>
          <t>CLD-03: ≥1200×700; CLD-07: Две рабочие позиции</t>
        </is>
      </c>
      <c r="L91" s="33" t="inlineStr">
        <is>
          <t>PLANNED</t>
        </is>
      </c>
      <c r="M91" s="33" t="n"/>
      <c r="N91" s="33" t="n"/>
      <c r="O91" s="33" t="n"/>
      <c r="P91" s="33" t="n"/>
      <c r="Q91" s="33" t="n"/>
      <c r="R91" s="33" t="inlineStr">
        <is>
          <t>BLOCKED_NO_SELECTED_MODEL_PASSPORT</t>
        </is>
      </c>
      <c r="S91" s="33" t="inlineStr">
        <is>
          <t>BLOCKED</t>
        </is>
      </c>
      <c r="T91" s="33" t="inlineStr">
        <is>
          <t>BLOCKED</t>
        </is>
      </c>
      <c r="U91" s="33" t="inlineStr">
        <is>
          <t>BLOCKED_SELECTED_MODEL_AND_SITE_VALIDATION</t>
        </is>
      </c>
      <c r="V91" s="33" t="inlineStr">
        <is>
          <t>ESTIMATE</t>
        </is>
      </c>
      <c r="W91" s="33" t="inlineStr">
        <is>
          <t>GAP-007;GAP-017;GAP-018;GAP-019</t>
        </is>
      </c>
    </row>
    <row r="92">
      <c r="A92" s="33" t="inlineStr">
        <is>
          <t>EQM-0055</t>
        </is>
      </c>
      <c r="B92" s="33" t="inlineStr">
        <is>
          <t>VKM-010</t>
        </is>
      </c>
      <c r="C92" s="33" t="inlineStr">
        <is>
          <t>Микс-салат с креветками и яблоком</t>
        </is>
      </c>
      <c r="D92" s="33" t="n">
        <v>1</v>
      </c>
      <c r="E92" s="33" t="inlineStr">
        <is>
          <t>Подготовить зелень, яблоко и огурец</t>
        </is>
      </c>
      <c r="F92" s="33" t="inlineStr">
        <is>
          <t>CLD-03;CLD-07</t>
        </is>
      </c>
      <c r="G92" s="33" t="inlineStr">
        <is>
          <t>Вторая рабочая поверхность;Весы, ножи, доски холодного участка</t>
        </is>
      </c>
      <c r="H92" s="33" t="inlineStr">
        <is>
          <t>CAPEX.CLD.003;CAPEX.CLD.007</t>
        </is>
      </c>
      <c r="I92" s="33" t="inlineStr">
        <is>
          <t>COLD_PREP_ASSEMBLY</t>
        </is>
      </c>
      <c r="J92" s="33" t="n"/>
      <c r="K92" s="33" t="inlineStr">
        <is>
          <t>CLD-03: ≥1200×700; CLD-07: Две рабочие позиции</t>
        </is>
      </c>
      <c r="L92" s="33" t="inlineStr">
        <is>
          <t>PLANNED</t>
        </is>
      </c>
      <c r="M92" s="33" t="n"/>
      <c r="N92" s="33" t="n"/>
      <c r="O92" s="33" t="n"/>
      <c r="P92" s="33" t="n"/>
      <c r="Q92" s="33" t="n"/>
      <c r="R92" s="33" t="inlineStr">
        <is>
          <t>BLOCKED_NO_SELECTED_MODEL_PASSPORT</t>
        </is>
      </c>
      <c r="S92" s="33" t="inlineStr">
        <is>
          <t>BLOCKED</t>
        </is>
      </c>
      <c r="T92" s="33" t="inlineStr">
        <is>
          <t>BLOCKED</t>
        </is>
      </c>
      <c r="U92" s="33" t="inlineStr">
        <is>
          <t>BLOCKED_SELECTED_MODEL_AND_SITE_VALIDATION</t>
        </is>
      </c>
      <c r="V92" s="33" t="inlineStr">
        <is>
          <t>ESTIMATE</t>
        </is>
      </c>
      <c r="W92" s="33" t="inlineStr">
        <is>
          <t>GAP-007;GAP-017;GAP-018;GAP-019</t>
        </is>
      </c>
    </row>
    <row r="93">
      <c r="A93" s="33" t="inlineStr">
        <is>
          <t>EQM-0056</t>
        </is>
      </c>
      <c r="B93" s="33" t="inlineStr">
        <is>
          <t>VKM-010</t>
        </is>
      </c>
      <c r="C93" s="33" t="inlineStr">
        <is>
          <t>Микс-салат с креветками и яблоком</t>
        </is>
      </c>
      <c r="D93" s="33" t="n">
        <v>2</v>
      </c>
      <c r="E93" s="33" t="inlineStr">
        <is>
          <t>подготовить креветки</t>
        </is>
      </c>
      <c r="F93" s="33" t="inlineStr">
        <is>
          <t>CLD-03;CLD-07</t>
        </is>
      </c>
      <c r="G93" s="33" t="inlineStr">
        <is>
          <t>Вторая рабочая поверхность;Весы, ножи, доски холодного участка</t>
        </is>
      </c>
      <c r="H93" s="33" t="inlineStr">
        <is>
          <t>CAPEX.CLD.003;CAPEX.CLD.007</t>
        </is>
      </c>
      <c r="I93" s="33" t="inlineStr">
        <is>
          <t>COLD_PREP_ASSEMBLY</t>
        </is>
      </c>
      <c r="J93" s="33" t="n"/>
      <c r="K93" s="33" t="inlineStr">
        <is>
          <t>CLD-03: ≥1200×700; CLD-07: Две рабочие позиции</t>
        </is>
      </c>
      <c r="L93" s="33" t="inlineStr">
        <is>
          <t>PLANNED</t>
        </is>
      </c>
      <c r="M93" s="33" t="n"/>
      <c r="N93" s="33" t="n"/>
      <c r="O93" s="33" t="n"/>
      <c r="P93" s="33" t="n"/>
      <c r="Q93" s="33" t="n"/>
      <c r="R93" s="33" t="inlineStr">
        <is>
          <t>BLOCKED_NO_SELECTED_MODEL_PASSPORT</t>
        </is>
      </c>
      <c r="S93" s="33" t="inlineStr">
        <is>
          <t>BLOCKED</t>
        </is>
      </c>
      <c r="T93" s="33" t="inlineStr">
        <is>
          <t>BLOCKED</t>
        </is>
      </c>
      <c r="U93" s="33" t="inlineStr">
        <is>
          <t>BLOCKED_SELECTED_MODEL_AND_SITE_VALIDATION</t>
        </is>
      </c>
      <c r="V93" s="33" t="inlineStr">
        <is>
          <t>ESTIMATE</t>
        </is>
      </c>
      <c r="W93" s="33" t="inlineStr">
        <is>
          <t>GAP-007;GAP-017;GAP-018;GAP-019</t>
        </is>
      </c>
    </row>
    <row r="94">
      <c r="A94" s="33" t="inlineStr">
        <is>
          <t>EQM-0057</t>
        </is>
      </c>
      <c r="B94" s="33" t="inlineStr">
        <is>
          <t>VKM-010</t>
        </is>
      </c>
      <c r="C94" s="33" t="inlineStr">
        <is>
          <t>Микс-салат с креветками и яблоком</t>
        </is>
      </c>
      <c r="D94" s="33" t="n">
        <v>3</v>
      </c>
      <c r="E94" s="33" t="inlineStr">
        <is>
          <t>смешать заправку</t>
        </is>
      </c>
      <c r="F94" s="33" t="inlineStr">
        <is>
          <t>CLD-03;CLD-07</t>
        </is>
      </c>
      <c r="G94" s="33" t="inlineStr">
        <is>
          <t>Вторая рабочая поверхность;Весы, ножи, доски холодного участка</t>
        </is>
      </c>
      <c r="H94" s="33" t="inlineStr">
        <is>
          <t>CAPEX.CLD.003;CAPEX.CLD.007</t>
        </is>
      </c>
      <c r="I94" s="33" t="inlineStr">
        <is>
          <t>COLD_PREP_ASSEMBLY</t>
        </is>
      </c>
      <c r="J94" s="33" t="n"/>
      <c r="K94" s="33" t="inlineStr">
        <is>
          <t>CLD-03: ≥1200×700; CLD-07: Две рабочие позиции</t>
        </is>
      </c>
      <c r="L94" s="33" t="inlineStr">
        <is>
          <t>PLANNED</t>
        </is>
      </c>
      <c r="M94" s="33" t="n"/>
      <c r="N94" s="33" t="n"/>
      <c r="O94" s="33" t="n"/>
      <c r="P94" s="33" t="n"/>
      <c r="Q94" s="33" t="n"/>
      <c r="R94" s="33" t="inlineStr">
        <is>
          <t>BLOCKED_NO_SELECTED_MODEL_PASSPORT</t>
        </is>
      </c>
      <c r="S94" s="33" t="inlineStr">
        <is>
          <t>BLOCKED</t>
        </is>
      </c>
      <c r="T94" s="33" t="inlineStr">
        <is>
          <t>BLOCKED</t>
        </is>
      </c>
      <c r="U94" s="33" t="inlineStr">
        <is>
          <t>BLOCKED_SELECTED_MODEL_AND_SITE_VALIDATION</t>
        </is>
      </c>
      <c r="V94" s="33" t="inlineStr">
        <is>
          <t>ESTIMATE</t>
        </is>
      </c>
      <c r="W94" s="33" t="inlineStr">
        <is>
          <t>GAP-007;GAP-017;GAP-018;GAP-019</t>
        </is>
      </c>
    </row>
    <row r="95">
      <c r="A95" s="33" t="inlineStr">
        <is>
          <t>EQM-0058</t>
        </is>
      </c>
      <c r="B95" s="33" t="inlineStr">
        <is>
          <t>VKM-010</t>
        </is>
      </c>
      <c r="C95" s="33" t="inlineStr">
        <is>
          <t>Микс-салат с креветками и яблоком</t>
        </is>
      </c>
      <c r="D95" s="33" t="n">
        <v>4</v>
      </c>
      <c r="E95" s="33" t="inlineStr">
        <is>
          <t>аккуратно собрать</t>
        </is>
      </c>
      <c r="F95" s="33" t="inlineStr">
        <is>
          <t>CLD-03;CLD-07</t>
        </is>
      </c>
      <c r="G95" s="33" t="inlineStr">
        <is>
          <t>Вторая рабочая поверхность;Весы, ножи, доски холодного участка</t>
        </is>
      </c>
      <c r="H95" s="33" t="inlineStr">
        <is>
          <t>CAPEX.CLD.003;CAPEX.CLD.007</t>
        </is>
      </c>
      <c r="I95" s="33" t="inlineStr">
        <is>
          <t>COLD_PREP_ASSEMBLY</t>
        </is>
      </c>
      <c r="J95" s="33" t="n"/>
      <c r="K95" s="33" t="inlineStr">
        <is>
          <t>CLD-03: ≥1200×700; CLD-07: Две рабочие позиции</t>
        </is>
      </c>
      <c r="L95" s="33" t="inlineStr">
        <is>
          <t>PLANNED</t>
        </is>
      </c>
      <c r="M95" s="33" t="n"/>
      <c r="N95" s="33" t="n"/>
      <c r="O95" s="33" t="n"/>
      <c r="P95" s="33" t="n"/>
      <c r="Q95" s="33" t="n"/>
      <c r="R95" s="33" t="inlineStr">
        <is>
          <t>BLOCKED_NO_SELECTED_MODEL_PASSPORT</t>
        </is>
      </c>
      <c r="S95" s="33" t="inlineStr">
        <is>
          <t>BLOCKED</t>
        </is>
      </c>
      <c r="T95" s="33" t="inlineStr">
        <is>
          <t>BLOCKED</t>
        </is>
      </c>
      <c r="U95" s="33" t="inlineStr">
        <is>
          <t>BLOCKED_SELECTED_MODEL_AND_SITE_VALIDATION</t>
        </is>
      </c>
      <c r="V95" s="33" t="inlineStr">
        <is>
          <t>ESTIMATE</t>
        </is>
      </c>
      <c r="W95" s="33" t="inlineStr">
        <is>
          <t>GAP-007;GAP-017;GAP-018;GAP-019</t>
        </is>
      </c>
    </row>
    <row r="96">
      <c r="A96" s="33" t="inlineStr">
        <is>
          <t>EQM-0059</t>
        </is>
      </c>
      <c r="B96" s="33" t="inlineStr">
        <is>
          <t>VKM-010</t>
        </is>
      </c>
      <c r="C96" s="33" t="inlineStr">
        <is>
          <t>Микс-салат с креветками и яблоком</t>
        </is>
      </c>
      <c r="D96" s="33" t="n">
        <v>5</v>
      </c>
      <c r="E96" s="33" t="inlineStr">
        <is>
          <t>добавить финиш</t>
        </is>
      </c>
      <c r="F96" s="33" t="inlineStr">
        <is>
          <t>CLD-03;CLD-07</t>
        </is>
      </c>
      <c r="G96" s="33" t="inlineStr">
        <is>
          <t>Вторая рабочая поверхность;Весы, ножи, доски холодного участка</t>
        </is>
      </c>
      <c r="H96" s="33" t="inlineStr">
        <is>
          <t>CAPEX.CLD.003;CAPEX.CLD.007</t>
        </is>
      </c>
      <c r="I96" s="33" t="inlineStr">
        <is>
          <t>COLD_PREP_ASSEMBLY</t>
        </is>
      </c>
      <c r="J96" s="33" t="n"/>
      <c r="K96" s="33" t="inlineStr">
        <is>
          <t>CLD-03: ≥1200×700; CLD-07: Две рабочие позиции</t>
        </is>
      </c>
      <c r="L96" s="33" t="inlineStr">
        <is>
          <t>PLANNED</t>
        </is>
      </c>
      <c r="M96" s="33" t="n"/>
      <c r="N96" s="33" t="n"/>
      <c r="O96" s="33" t="n"/>
      <c r="P96" s="33" t="n"/>
      <c r="Q96" s="33" t="n"/>
      <c r="R96" s="33" t="inlineStr">
        <is>
          <t>BLOCKED_NO_SELECTED_MODEL_PASSPORT</t>
        </is>
      </c>
      <c r="S96" s="33" t="inlineStr">
        <is>
          <t>BLOCKED</t>
        </is>
      </c>
      <c r="T96" s="33" t="inlineStr">
        <is>
          <t>BLOCKED</t>
        </is>
      </c>
      <c r="U96" s="33" t="inlineStr">
        <is>
          <t>BLOCKED_SELECTED_MODEL_AND_SITE_VALIDATION</t>
        </is>
      </c>
      <c r="V96" s="33" t="inlineStr">
        <is>
          <t>ESTIMATE</t>
        </is>
      </c>
      <c r="W96" s="33" t="inlineStr">
        <is>
          <t>GAP-007;GAP-017;GAP-018;GAP-019</t>
        </is>
      </c>
    </row>
    <row r="97">
      <c r="A97" s="33" t="inlineStr">
        <is>
          <t>EQM-0060</t>
        </is>
      </c>
      <c r="B97" s="33" t="inlineStr">
        <is>
          <t>VKM-011</t>
        </is>
      </c>
      <c r="C97" s="33" t="inlineStr">
        <is>
          <t>Греческий</t>
        </is>
      </c>
      <c r="D97" s="33" t="n">
        <v>1</v>
      </c>
      <c r="E97" s="33" t="inlineStr">
        <is>
          <t>Нарезать овощи</t>
        </is>
      </c>
      <c r="F97" s="33" t="inlineStr">
        <is>
          <t>CLD-03;CLD-07</t>
        </is>
      </c>
      <c r="G97" s="33" t="inlineStr">
        <is>
          <t>Вторая рабочая поверхность;Весы, ножи, доски холодного участка</t>
        </is>
      </c>
      <c r="H97" s="33" t="inlineStr">
        <is>
          <t>CAPEX.CLD.003;CAPEX.CLD.007</t>
        </is>
      </c>
      <c r="I97" s="33" t="inlineStr">
        <is>
          <t>COLD_PREP_ASSEMBLY</t>
        </is>
      </c>
      <c r="J97" s="33" t="n"/>
      <c r="K97" s="33" t="inlineStr">
        <is>
          <t>CLD-03: ≥1200×700; CLD-07: Две рабочие позиции</t>
        </is>
      </c>
      <c r="L97" s="33" t="inlineStr">
        <is>
          <t>PLANNED</t>
        </is>
      </c>
      <c r="M97" s="33" t="n"/>
      <c r="N97" s="33" t="n"/>
      <c r="O97" s="33" t="n"/>
      <c r="P97" s="33" t="n"/>
      <c r="Q97" s="33" t="n"/>
      <c r="R97" s="33" t="inlineStr">
        <is>
          <t>BLOCKED_NO_SELECTED_MODEL_PASSPORT</t>
        </is>
      </c>
      <c r="S97" s="33" t="inlineStr">
        <is>
          <t>BLOCKED</t>
        </is>
      </c>
      <c r="T97" s="33" t="inlineStr">
        <is>
          <t>BLOCKED</t>
        </is>
      </c>
      <c r="U97" s="33" t="inlineStr">
        <is>
          <t>BLOCKED_SELECTED_MODEL_AND_SITE_VALIDATION</t>
        </is>
      </c>
      <c r="V97" s="33" t="inlineStr">
        <is>
          <t>ESTIMATE</t>
        </is>
      </c>
      <c r="W97" s="33" t="inlineStr">
        <is>
          <t>GAP-007;GAP-017;GAP-018;GAP-019</t>
        </is>
      </c>
    </row>
    <row r="98">
      <c r="A98" s="33" t="inlineStr">
        <is>
          <t>EQM-0061</t>
        </is>
      </c>
      <c r="B98" s="33" t="inlineStr">
        <is>
          <t>VKM-011</t>
        </is>
      </c>
      <c r="C98" s="33" t="inlineStr">
        <is>
          <t>Греческий</t>
        </is>
      </c>
      <c r="D98" s="33" t="n">
        <v>2</v>
      </c>
      <c r="E98" s="33" t="inlineStr">
        <is>
          <t>подготовить фету и оливки</t>
        </is>
      </c>
      <c r="F98" s="33" t="inlineStr">
        <is>
          <t>CLD-03;CLD-07</t>
        </is>
      </c>
      <c r="G98" s="33" t="inlineStr">
        <is>
          <t>Вторая рабочая поверхность;Весы, ножи, доски холодного участка</t>
        </is>
      </c>
      <c r="H98" s="33" t="inlineStr">
        <is>
          <t>CAPEX.CLD.003;CAPEX.CLD.007</t>
        </is>
      </c>
      <c r="I98" s="33" t="inlineStr">
        <is>
          <t>COLD_PREP_ASSEMBLY</t>
        </is>
      </c>
      <c r="J98" s="33" t="n"/>
      <c r="K98" s="33" t="inlineStr">
        <is>
          <t>CLD-03: ≥1200×700; CLD-07: Две рабочие позиции</t>
        </is>
      </c>
      <c r="L98" s="33" t="inlineStr">
        <is>
          <t>PLANNED</t>
        </is>
      </c>
      <c r="M98" s="33" t="n"/>
      <c r="N98" s="33" t="n"/>
      <c r="O98" s="33" t="n"/>
      <c r="P98" s="33" t="n"/>
      <c r="Q98" s="33" t="n"/>
      <c r="R98" s="33" t="inlineStr">
        <is>
          <t>BLOCKED_NO_SELECTED_MODEL_PASSPORT</t>
        </is>
      </c>
      <c r="S98" s="33" t="inlineStr">
        <is>
          <t>BLOCKED</t>
        </is>
      </c>
      <c r="T98" s="33" t="inlineStr">
        <is>
          <t>BLOCKED</t>
        </is>
      </c>
      <c r="U98" s="33" t="inlineStr">
        <is>
          <t>BLOCKED_SELECTED_MODEL_AND_SITE_VALIDATION</t>
        </is>
      </c>
      <c r="V98" s="33" t="inlineStr">
        <is>
          <t>ESTIMATE</t>
        </is>
      </c>
      <c r="W98" s="33" t="inlineStr">
        <is>
          <t>GAP-007;GAP-017;GAP-018;GAP-019</t>
        </is>
      </c>
    </row>
    <row r="99">
      <c r="A99" s="33" t="inlineStr">
        <is>
          <t>EQM-0062</t>
        </is>
      </c>
      <c r="B99" s="33" t="inlineStr">
        <is>
          <t>VKM-011</t>
        </is>
      </c>
      <c r="C99" s="33" t="inlineStr">
        <is>
          <t>Греческий</t>
        </is>
      </c>
      <c r="D99" s="33" t="n">
        <v>3</v>
      </c>
      <c r="E99" s="33" t="inlineStr">
        <is>
          <t>смешать заправку</t>
        </is>
      </c>
      <c r="F99" s="33" t="inlineStr">
        <is>
          <t>CLD-03;CLD-07</t>
        </is>
      </c>
      <c r="G99" s="33" t="inlineStr">
        <is>
          <t>Вторая рабочая поверхность;Весы, ножи, доски холодного участка</t>
        </is>
      </c>
      <c r="H99" s="33" t="inlineStr">
        <is>
          <t>CAPEX.CLD.003;CAPEX.CLD.007</t>
        </is>
      </c>
      <c r="I99" s="33" t="inlineStr">
        <is>
          <t>COLD_PREP_ASSEMBLY</t>
        </is>
      </c>
      <c r="J99" s="33" t="n"/>
      <c r="K99" s="33" t="inlineStr">
        <is>
          <t>CLD-03: ≥1200×700; CLD-07: Две рабочие позиции</t>
        </is>
      </c>
      <c r="L99" s="33" t="inlineStr">
        <is>
          <t>PLANNED</t>
        </is>
      </c>
      <c r="M99" s="33" t="n"/>
      <c r="N99" s="33" t="n"/>
      <c r="O99" s="33" t="n"/>
      <c r="P99" s="33" t="n"/>
      <c r="Q99" s="33" t="n"/>
      <c r="R99" s="33" t="inlineStr">
        <is>
          <t>BLOCKED_NO_SELECTED_MODEL_PASSPORT</t>
        </is>
      </c>
      <c r="S99" s="33" t="inlineStr">
        <is>
          <t>BLOCKED</t>
        </is>
      </c>
      <c r="T99" s="33" t="inlineStr">
        <is>
          <t>BLOCKED</t>
        </is>
      </c>
      <c r="U99" s="33" t="inlineStr">
        <is>
          <t>BLOCKED_SELECTED_MODEL_AND_SITE_VALIDATION</t>
        </is>
      </c>
      <c r="V99" s="33" t="inlineStr">
        <is>
          <t>ESTIMATE</t>
        </is>
      </c>
      <c r="W99" s="33" t="inlineStr">
        <is>
          <t>GAP-007;GAP-017;GAP-018;GAP-019</t>
        </is>
      </c>
    </row>
    <row r="100">
      <c r="A100" s="33" t="inlineStr">
        <is>
          <t>EQM-0063</t>
        </is>
      </c>
      <c r="B100" s="33" t="inlineStr">
        <is>
          <t>VKM-011</t>
        </is>
      </c>
      <c r="C100" s="33" t="inlineStr">
        <is>
          <t>Греческий</t>
        </is>
      </c>
      <c r="D100" s="33" t="n">
        <v>4</v>
      </c>
      <c r="E100" s="33" t="inlineStr">
        <is>
          <t>собрать без излишнего перемешивания</t>
        </is>
      </c>
      <c r="F100" s="33" t="inlineStr">
        <is>
          <t>CLD-03;CLD-07</t>
        </is>
      </c>
      <c r="G100" s="33" t="inlineStr">
        <is>
          <t>Вторая рабочая поверхность;Весы, ножи, доски холодного участка</t>
        </is>
      </c>
      <c r="H100" s="33" t="inlineStr">
        <is>
          <t>CAPEX.CLD.003;CAPEX.CLD.007</t>
        </is>
      </c>
      <c r="I100" s="33" t="inlineStr">
        <is>
          <t>COLD_PREP_ASSEMBLY</t>
        </is>
      </c>
      <c r="J100" s="33" t="n"/>
      <c r="K100" s="33" t="inlineStr">
        <is>
          <t>CLD-03: ≥1200×700; CLD-07: Две рабочие позиции</t>
        </is>
      </c>
      <c r="L100" s="33" t="inlineStr">
        <is>
          <t>PLANNED</t>
        </is>
      </c>
      <c r="M100" s="33" t="n"/>
      <c r="N100" s="33" t="n"/>
      <c r="O100" s="33" t="n"/>
      <c r="P100" s="33" t="n"/>
      <c r="Q100" s="33" t="n"/>
      <c r="R100" s="33" t="inlineStr">
        <is>
          <t>BLOCKED_NO_SELECTED_MODEL_PASSPORT</t>
        </is>
      </c>
      <c r="S100" s="33" t="inlineStr">
        <is>
          <t>BLOCKED</t>
        </is>
      </c>
      <c r="T100" s="33" t="inlineStr">
        <is>
          <t>BLOCKED</t>
        </is>
      </c>
      <c r="U100" s="33" t="inlineStr">
        <is>
          <t>BLOCKED_SELECTED_MODEL_AND_SITE_VALIDATION</t>
        </is>
      </c>
      <c r="V100" s="33" t="inlineStr">
        <is>
          <t>ESTIMATE</t>
        </is>
      </c>
      <c r="W100" s="33" t="inlineStr">
        <is>
          <t>GAP-007;GAP-017;GAP-018;GAP-019</t>
        </is>
      </c>
    </row>
    <row r="101">
      <c r="A101" s="33" t="inlineStr">
        <is>
          <t>EQM-0064</t>
        </is>
      </c>
      <c r="B101" s="33" t="inlineStr">
        <is>
          <t>VKM-012</t>
        </is>
      </c>
      <c r="C101" s="33" t="inlineStr">
        <is>
          <t>Винегрет</t>
        </is>
      </c>
      <c r="D101" s="33" t="n">
        <v>1</v>
      </c>
      <c r="E101" s="33" t="inlineStr">
        <is>
          <t>Подготовить варёные овощи</t>
        </is>
      </c>
      <c r="F101" s="33" t="inlineStr">
        <is>
          <t>CLD-03;CLD-07</t>
        </is>
      </c>
      <c r="G101" s="33" t="inlineStr">
        <is>
          <t>Вторая рабочая поверхность;Весы, ножи, доски холодного участка</t>
        </is>
      </c>
      <c r="H101" s="33" t="inlineStr">
        <is>
          <t>CAPEX.CLD.003;CAPEX.CLD.007</t>
        </is>
      </c>
      <c r="I101" s="33" t="inlineStr">
        <is>
          <t>COLD_PREP_ASSEMBLY</t>
        </is>
      </c>
      <c r="J101" s="33" t="n"/>
      <c r="K101" s="33" t="inlineStr">
        <is>
          <t>CLD-03: ≥1200×700; CLD-07: Две рабочие позиции</t>
        </is>
      </c>
      <c r="L101" s="33" t="inlineStr">
        <is>
          <t>PLANNED</t>
        </is>
      </c>
      <c r="M101" s="33" t="n"/>
      <c r="N101" s="33" t="n"/>
      <c r="O101" s="33" t="n"/>
      <c r="P101" s="33" t="n"/>
      <c r="Q101" s="33" t="n"/>
      <c r="R101" s="33" t="inlineStr">
        <is>
          <t>BLOCKED_NO_SELECTED_MODEL_PASSPORT</t>
        </is>
      </c>
      <c r="S101" s="33" t="inlineStr">
        <is>
          <t>BLOCKED</t>
        </is>
      </c>
      <c r="T101" s="33" t="inlineStr">
        <is>
          <t>BLOCKED</t>
        </is>
      </c>
      <c r="U101" s="33" t="inlineStr">
        <is>
          <t>BLOCKED_SELECTED_MODEL_AND_SITE_VALIDATION</t>
        </is>
      </c>
      <c r="V101" s="33" t="inlineStr">
        <is>
          <t>ESTIMATE</t>
        </is>
      </c>
      <c r="W101" s="33" t="inlineStr">
        <is>
          <t>GAP-007;GAP-017;GAP-018;GAP-019</t>
        </is>
      </c>
    </row>
    <row r="102">
      <c r="A102" s="33" t="inlineStr">
        <is>
          <t>EQM-0065</t>
        </is>
      </c>
      <c r="B102" s="33" t="inlineStr">
        <is>
          <t>VKM-012</t>
        </is>
      </c>
      <c r="C102" s="33" t="inlineStr">
        <is>
          <t>Винегрет</t>
        </is>
      </c>
      <c r="D102" s="33" t="n">
        <v>2</v>
      </c>
      <c r="E102" s="33" t="inlineStr">
        <is>
          <t>охладить</t>
        </is>
      </c>
      <c r="F102" s="33" t="inlineStr">
        <is>
          <t>HOT-09;STO-10</t>
        </is>
      </c>
      <c r="G102" s="33" t="inlineStr">
        <is>
          <t>Шкаф интенсивного охлаждения;Готовые полуфабрикаты</t>
        </is>
      </c>
      <c r="H102" s="33" t="inlineStr">
        <is>
          <t>CAPEX.HOT.010;CAPEX.STO.010</t>
        </is>
      </c>
      <c r="I102" s="33" t="inlineStr">
        <is>
          <t>COOLING_HOLDING</t>
        </is>
      </c>
      <c r="J102" s="33" t="n"/>
      <c r="K102" s="33" t="inlineStr">
        <is>
          <t>HOT-09: ≥10 кг/цикл; STO-10: Раздельное хранение</t>
        </is>
      </c>
      <c r="L102" s="33" t="inlineStr">
        <is>
          <t>PLANNED</t>
        </is>
      </c>
      <c r="M102" s="33" t="n"/>
      <c r="N102" s="33" t="n"/>
      <c r="O102" s="33" t="n"/>
      <c r="P102" s="33" t="n"/>
      <c r="Q102" s="33" t="n"/>
      <c r="R102" s="33" t="inlineStr">
        <is>
          <t>BLOCKED_NO_SELECTED_MODEL_PASSPORT</t>
        </is>
      </c>
      <c r="S102" s="33" t="inlineStr">
        <is>
          <t>BLOCKED</t>
        </is>
      </c>
      <c r="T102" s="33" t="inlineStr">
        <is>
          <t>BLOCKED</t>
        </is>
      </c>
      <c r="U102" s="33" t="inlineStr">
        <is>
          <t>BLOCKED_SELECTED_MODEL_AND_SITE_VALIDATION</t>
        </is>
      </c>
      <c r="V102" s="33" t="inlineStr">
        <is>
          <t>ESTIMATE</t>
        </is>
      </c>
      <c r="W102" s="33" t="inlineStr">
        <is>
          <t>GAP-007;GAP-017;GAP-018;GAP-019</t>
        </is>
      </c>
    </row>
    <row r="103">
      <c r="A103" s="33" t="inlineStr">
        <is>
          <t>EQM-0066</t>
        </is>
      </c>
      <c r="B103" s="33" t="inlineStr">
        <is>
          <t>VKM-012</t>
        </is>
      </c>
      <c r="C103" s="33" t="inlineStr">
        <is>
          <t>Винегрет</t>
        </is>
      </c>
      <c r="D103" s="33" t="n">
        <v>3</v>
      </c>
      <c r="E103" s="33" t="inlineStr">
        <is>
          <t>нарезать одинаковым кубиком</t>
        </is>
      </c>
      <c r="F103" s="33" t="inlineStr">
        <is>
          <t>CLD-03;CLD-07</t>
        </is>
      </c>
      <c r="G103" s="33" t="inlineStr">
        <is>
          <t>Вторая рабочая поверхность;Весы, ножи, доски холодного участка</t>
        </is>
      </c>
      <c r="H103" s="33" t="inlineStr">
        <is>
          <t>CAPEX.CLD.003;CAPEX.CLD.007</t>
        </is>
      </c>
      <c r="I103" s="33" t="inlineStr">
        <is>
          <t>COLD_PREP_ASSEMBLY</t>
        </is>
      </c>
      <c r="J103" s="33" t="n"/>
      <c r="K103" s="33" t="inlineStr">
        <is>
          <t>CLD-03: ≥1200×700; CLD-07: Две рабочие позиции</t>
        </is>
      </c>
      <c r="L103" s="33" t="inlineStr">
        <is>
          <t>PLANNED</t>
        </is>
      </c>
      <c r="M103" s="33" t="n"/>
      <c r="N103" s="33" t="n"/>
      <c r="O103" s="33" t="n"/>
      <c r="P103" s="33" t="n"/>
      <c r="Q103" s="33" t="n"/>
      <c r="R103" s="33" t="inlineStr">
        <is>
          <t>BLOCKED_NO_SELECTED_MODEL_PASSPORT</t>
        </is>
      </c>
      <c r="S103" s="33" t="inlineStr">
        <is>
          <t>BLOCKED</t>
        </is>
      </c>
      <c r="T103" s="33" t="inlineStr">
        <is>
          <t>BLOCKED</t>
        </is>
      </c>
      <c r="U103" s="33" t="inlineStr">
        <is>
          <t>BLOCKED_SELECTED_MODEL_AND_SITE_VALIDATION</t>
        </is>
      </c>
      <c r="V103" s="33" t="inlineStr">
        <is>
          <t>ESTIMATE</t>
        </is>
      </c>
      <c r="W103" s="33" t="inlineStr">
        <is>
          <t>GAP-007;GAP-017;GAP-018;GAP-019</t>
        </is>
      </c>
    </row>
    <row r="104">
      <c r="A104" s="33" t="inlineStr">
        <is>
          <t>EQM-0067</t>
        </is>
      </c>
      <c r="B104" s="33" t="inlineStr">
        <is>
          <t>VKM-012</t>
        </is>
      </c>
      <c r="C104" s="33" t="inlineStr">
        <is>
          <t>Винегрет</t>
        </is>
      </c>
      <c r="D104" s="33" t="n">
        <v>4</v>
      </c>
      <c r="E104" s="33" t="inlineStr">
        <is>
          <t>подготовить прочие компоненты</t>
        </is>
      </c>
      <c r="F104" s="33" t="inlineStr">
        <is>
          <t>CLD-03;CLD-07</t>
        </is>
      </c>
      <c r="G104" s="33" t="inlineStr">
        <is>
          <t>Вторая рабочая поверхность;Весы, ножи, доски холодного участка</t>
        </is>
      </c>
      <c r="H104" s="33" t="inlineStr">
        <is>
          <t>CAPEX.CLD.003;CAPEX.CLD.007</t>
        </is>
      </c>
      <c r="I104" s="33" t="inlineStr">
        <is>
          <t>COLD_PREP_ASSEMBLY</t>
        </is>
      </c>
      <c r="J104" s="33" t="n"/>
      <c r="K104" s="33" t="inlineStr">
        <is>
          <t>CLD-03: ≥1200×700; CLD-07: Две рабочие позиции</t>
        </is>
      </c>
      <c r="L104" s="33" t="inlineStr">
        <is>
          <t>PLANNED</t>
        </is>
      </c>
      <c r="M104" s="33" t="n"/>
      <c r="N104" s="33" t="n"/>
      <c r="O104" s="33" t="n"/>
      <c r="P104" s="33" t="n"/>
      <c r="Q104" s="33" t="n"/>
      <c r="R104" s="33" t="inlineStr">
        <is>
          <t>BLOCKED_NO_SELECTED_MODEL_PASSPORT</t>
        </is>
      </c>
      <c r="S104" s="33" t="inlineStr">
        <is>
          <t>BLOCKED</t>
        </is>
      </c>
      <c r="T104" s="33" t="inlineStr">
        <is>
          <t>BLOCKED</t>
        </is>
      </c>
      <c r="U104" s="33" t="inlineStr">
        <is>
          <t>BLOCKED_SELECTED_MODEL_AND_SITE_VALIDATION</t>
        </is>
      </c>
      <c r="V104" s="33" t="inlineStr">
        <is>
          <t>ESTIMATE</t>
        </is>
      </c>
      <c r="W104" s="33" t="inlineStr">
        <is>
          <t>GAP-007;GAP-017;GAP-018;GAP-019</t>
        </is>
      </c>
    </row>
    <row r="105">
      <c r="A105" s="33" t="inlineStr">
        <is>
          <t>EQM-0068</t>
        </is>
      </c>
      <c r="B105" s="33" t="inlineStr">
        <is>
          <t>VKM-012</t>
        </is>
      </c>
      <c r="C105" s="33" t="inlineStr">
        <is>
          <t>Винегрет</t>
        </is>
      </c>
      <c r="D105" s="33" t="n">
        <v>5</v>
      </c>
      <c r="E105" s="33" t="inlineStr">
        <is>
          <t>смешать и заправить</t>
        </is>
      </c>
      <c r="F105" s="33" t="inlineStr">
        <is>
          <t>CLD-03;CLD-07</t>
        </is>
      </c>
      <c r="G105" s="33" t="inlineStr">
        <is>
          <t>Вторая рабочая поверхность;Весы, ножи, доски холодного участка</t>
        </is>
      </c>
      <c r="H105" s="33" t="inlineStr">
        <is>
          <t>CAPEX.CLD.003;CAPEX.CLD.007</t>
        </is>
      </c>
      <c r="I105" s="33" t="inlineStr">
        <is>
          <t>COLD_PREP_ASSEMBLY</t>
        </is>
      </c>
      <c r="J105" s="33" t="n"/>
      <c r="K105" s="33" t="inlineStr">
        <is>
          <t>CLD-03: ≥1200×700; CLD-07: Две рабочие позиции</t>
        </is>
      </c>
      <c r="L105" s="33" t="inlineStr">
        <is>
          <t>PLANNED</t>
        </is>
      </c>
      <c r="M105" s="33" t="n"/>
      <c r="N105" s="33" t="n"/>
      <c r="O105" s="33" t="n"/>
      <c r="P105" s="33" t="n"/>
      <c r="Q105" s="33" t="n"/>
      <c r="R105" s="33" t="inlineStr">
        <is>
          <t>BLOCKED_NO_SELECTED_MODEL_PASSPORT</t>
        </is>
      </c>
      <c r="S105" s="33" t="inlineStr">
        <is>
          <t>BLOCKED</t>
        </is>
      </c>
      <c r="T105" s="33" t="inlineStr">
        <is>
          <t>BLOCKED</t>
        </is>
      </c>
      <c r="U105" s="33" t="inlineStr">
        <is>
          <t>BLOCKED_SELECTED_MODEL_AND_SITE_VALIDATION</t>
        </is>
      </c>
      <c r="V105" s="33" t="inlineStr">
        <is>
          <t>ESTIMATE</t>
        </is>
      </c>
      <c r="W105" s="33" t="inlineStr">
        <is>
          <t>GAP-007;GAP-017;GAP-018;GAP-019</t>
        </is>
      </c>
    </row>
    <row r="106">
      <c r="A106" s="33" t="inlineStr">
        <is>
          <t>EQM-0069</t>
        </is>
      </c>
      <c r="B106" s="33" t="inlineStr">
        <is>
          <t>VKM-013</t>
        </is>
      </c>
      <c r="C106" s="33" t="inlineStr">
        <is>
          <t>Слабосолёный лосось</t>
        </is>
      </c>
      <c r="D106" s="33" t="n">
        <v>1</v>
      </c>
      <c r="E106" s="33" t="inlineStr">
        <is>
          <t>Проверить готовое филе</t>
        </is>
      </c>
      <c r="F106" s="33" t="inlineStr">
        <is>
          <t>CLD-03;CLD-07</t>
        </is>
      </c>
      <c r="G106" s="33" t="inlineStr">
        <is>
          <t>Вторая рабочая поверхность;Весы, ножи, доски холодного участка</t>
        </is>
      </c>
      <c r="H106" s="33" t="inlineStr">
        <is>
          <t>CAPEX.CLD.003;CAPEX.CLD.007</t>
        </is>
      </c>
      <c r="I106" s="33" t="inlineStr">
        <is>
          <t>COLD_PREP_ASSEMBLY</t>
        </is>
      </c>
      <c r="J106" s="33" t="n"/>
      <c r="K106" s="33" t="inlineStr">
        <is>
          <t>CLD-03: ≥1200×700; CLD-07: Две рабочие позиции</t>
        </is>
      </c>
      <c r="L106" s="33" t="inlineStr">
        <is>
          <t>PLANNED</t>
        </is>
      </c>
      <c r="M106" s="33" t="n"/>
      <c r="N106" s="33" t="n"/>
      <c r="O106" s="33" t="n"/>
      <c r="P106" s="33" t="n"/>
      <c r="Q106" s="33" t="n"/>
      <c r="R106" s="33" t="inlineStr">
        <is>
          <t>BLOCKED_NO_SELECTED_MODEL_PASSPORT</t>
        </is>
      </c>
      <c r="S106" s="33" t="inlineStr">
        <is>
          <t>BLOCKED</t>
        </is>
      </c>
      <c r="T106" s="33" t="inlineStr">
        <is>
          <t>BLOCKED</t>
        </is>
      </c>
      <c r="U106" s="33" t="inlineStr">
        <is>
          <t>BLOCKED_SELECTED_MODEL_AND_SITE_VALIDATION</t>
        </is>
      </c>
      <c r="V106" s="33" t="inlineStr">
        <is>
          <t>ESTIMATE</t>
        </is>
      </c>
      <c r="W106" s="33" t="inlineStr">
        <is>
          <t>GAP-007;GAP-017;GAP-018;GAP-019</t>
        </is>
      </c>
    </row>
    <row r="107">
      <c r="A107" s="33" t="inlineStr">
        <is>
          <t>EQM-0070</t>
        </is>
      </c>
      <c r="B107" s="33" t="inlineStr">
        <is>
          <t>VKM-013</t>
        </is>
      </c>
      <c r="C107" s="33" t="inlineStr">
        <is>
          <t>Слабосолёный лосось</t>
        </is>
      </c>
      <c r="D107" s="33" t="n">
        <v>2</v>
      </c>
      <c r="E107" s="33" t="inlineStr">
        <is>
          <t>удалить упаковочную жидкость</t>
        </is>
      </c>
      <c r="F107" s="33" t="inlineStr">
        <is>
          <t>CLD-03;CLD-07</t>
        </is>
      </c>
      <c r="G107" s="33" t="inlineStr">
        <is>
          <t>Вторая рабочая поверхность;Весы, ножи, доски холодного участка</t>
        </is>
      </c>
      <c r="H107" s="33" t="inlineStr">
        <is>
          <t>CAPEX.CLD.003;CAPEX.CLD.007</t>
        </is>
      </c>
      <c r="I107" s="33" t="inlineStr">
        <is>
          <t>COLD_PREP_ASSEMBLY</t>
        </is>
      </c>
      <c r="J107" s="33" t="n"/>
      <c r="K107" s="33" t="inlineStr">
        <is>
          <t>CLD-03: ≥1200×700; CLD-07: Две рабочие позиции</t>
        </is>
      </c>
      <c r="L107" s="33" t="inlineStr">
        <is>
          <t>PLANNED</t>
        </is>
      </c>
      <c r="M107" s="33" t="n"/>
      <c r="N107" s="33" t="n"/>
      <c r="O107" s="33" t="n"/>
      <c r="P107" s="33" t="n"/>
      <c r="Q107" s="33" t="n"/>
      <c r="R107" s="33" t="inlineStr">
        <is>
          <t>BLOCKED_NO_SELECTED_MODEL_PASSPORT</t>
        </is>
      </c>
      <c r="S107" s="33" t="inlineStr">
        <is>
          <t>BLOCKED</t>
        </is>
      </c>
      <c r="T107" s="33" t="inlineStr">
        <is>
          <t>BLOCKED</t>
        </is>
      </c>
      <c r="U107" s="33" t="inlineStr">
        <is>
          <t>BLOCKED_SELECTED_MODEL_AND_SITE_VALIDATION</t>
        </is>
      </c>
      <c r="V107" s="33" t="inlineStr">
        <is>
          <t>ESTIMATE</t>
        </is>
      </c>
      <c r="W107" s="33" t="inlineStr">
        <is>
          <t>GAP-007;GAP-017;GAP-018;GAP-019</t>
        </is>
      </c>
    </row>
    <row r="108">
      <c r="A108" s="33" t="inlineStr">
        <is>
          <t>EQM-0071</t>
        </is>
      </c>
      <c r="B108" s="33" t="inlineStr">
        <is>
          <t>VKM-013</t>
        </is>
      </c>
      <c r="C108" s="33" t="inlineStr">
        <is>
          <t>Слабосолёный лосось</t>
        </is>
      </c>
      <c r="D108" s="33" t="n">
        <v>3</v>
      </c>
      <c r="E108" s="33" t="inlineStr">
        <is>
          <t>порционировать</t>
        </is>
      </c>
      <c r="F108" s="33" t="inlineStr">
        <is>
          <t>CLD-03;CLD-07</t>
        </is>
      </c>
      <c r="G108" s="33" t="inlineStr">
        <is>
          <t>Вторая рабочая поверхность;Весы, ножи, доски холодного участка</t>
        </is>
      </c>
      <c r="H108" s="33" t="inlineStr">
        <is>
          <t>CAPEX.CLD.003;CAPEX.CLD.007</t>
        </is>
      </c>
      <c r="I108" s="33" t="inlineStr">
        <is>
          <t>COLD_PREP_ASSEMBLY</t>
        </is>
      </c>
      <c r="J108" s="33" t="n"/>
      <c r="K108" s="33" t="inlineStr">
        <is>
          <t>CLD-03: ≥1200×700; CLD-07: Две рабочие позиции</t>
        </is>
      </c>
      <c r="L108" s="33" t="inlineStr">
        <is>
          <t>PLANNED</t>
        </is>
      </c>
      <c r="M108" s="33" t="n"/>
      <c r="N108" s="33" t="n"/>
      <c r="O108" s="33" t="n"/>
      <c r="P108" s="33" t="n"/>
      <c r="Q108" s="33" t="n"/>
      <c r="R108" s="33" t="inlineStr">
        <is>
          <t>BLOCKED_NO_SELECTED_MODEL_PASSPORT</t>
        </is>
      </c>
      <c r="S108" s="33" t="inlineStr">
        <is>
          <t>BLOCKED</t>
        </is>
      </c>
      <c r="T108" s="33" t="inlineStr">
        <is>
          <t>BLOCKED</t>
        </is>
      </c>
      <c r="U108" s="33" t="inlineStr">
        <is>
          <t>BLOCKED_SELECTED_MODEL_AND_SITE_VALIDATION</t>
        </is>
      </c>
      <c r="V108" s="33" t="inlineStr">
        <is>
          <t>ESTIMATE</t>
        </is>
      </c>
      <c r="W108" s="33" t="inlineStr">
        <is>
          <t>GAP-007;GAP-017;GAP-018;GAP-019</t>
        </is>
      </c>
    </row>
    <row r="109">
      <c r="A109" s="33" t="inlineStr">
        <is>
          <t>EQM-0072</t>
        </is>
      </c>
      <c r="B109" s="33" t="inlineStr">
        <is>
          <t>VKM-013</t>
        </is>
      </c>
      <c r="C109" s="33" t="inlineStr">
        <is>
          <t>Слабосолёный лосось</t>
        </is>
      </c>
      <c r="D109" s="33" t="n">
        <v>4</v>
      </c>
      <c r="E109" s="33" t="inlineStr">
        <is>
          <t>подготовить лимон и гарниры</t>
        </is>
      </c>
      <c r="F109" s="33" t="inlineStr">
        <is>
          <t>CLD-03;CLD-07</t>
        </is>
      </c>
      <c r="G109" s="33" t="inlineStr">
        <is>
          <t>Вторая рабочая поверхность;Весы, ножи, доски холодного участка</t>
        </is>
      </c>
      <c r="H109" s="33" t="inlineStr">
        <is>
          <t>CAPEX.CLD.003;CAPEX.CLD.007</t>
        </is>
      </c>
      <c r="I109" s="33" t="inlineStr">
        <is>
          <t>COLD_PREP_ASSEMBLY</t>
        </is>
      </c>
      <c r="J109" s="33" t="n"/>
      <c r="K109" s="33" t="inlineStr">
        <is>
          <t>CLD-03: ≥1200×700; CLD-07: Две рабочие позиции</t>
        </is>
      </c>
      <c r="L109" s="33" t="inlineStr">
        <is>
          <t>PLANNED</t>
        </is>
      </c>
      <c r="M109" s="33" t="n"/>
      <c r="N109" s="33" t="n"/>
      <c r="O109" s="33" t="n"/>
      <c r="P109" s="33" t="n"/>
      <c r="Q109" s="33" t="n"/>
      <c r="R109" s="33" t="inlineStr">
        <is>
          <t>BLOCKED_NO_SELECTED_MODEL_PASSPORT</t>
        </is>
      </c>
      <c r="S109" s="33" t="inlineStr">
        <is>
          <t>BLOCKED</t>
        </is>
      </c>
      <c r="T109" s="33" t="inlineStr">
        <is>
          <t>BLOCKED</t>
        </is>
      </c>
      <c r="U109" s="33" t="inlineStr">
        <is>
          <t>BLOCKED_SELECTED_MODEL_AND_SITE_VALIDATION</t>
        </is>
      </c>
      <c r="V109" s="33" t="inlineStr">
        <is>
          <t>ESTIMATE</t>
        </is>
      </c>
      <c r="W109" s="33" t="inlineStr">
        <is>
          <t>GAP-007;GAP-017;GAP-018;GAP-019</t>
        </is>
      </c>
    </row>
    <row r="110">
      <c r="A110" s="33" t="inlineStr">
        <is>
          <t>EQM-0073</t>
        </is>
      </c>
      <c r="B110" s="33" t="inlineStr">
        <is>
          <t>VKM-013</t>
        </is>
      </c>
      <c r="C110" s="33" t="inlineStr">
        <is>
          <t>Слабосолёный лосось</t>
        </is>
      </c>
      <c r="D110" s="33" t="n">
        <v>5</v>
      </c>
      <c r="E110" s="33" t="inlineStr">
        <is>
          <t>собрать</t>
        </is>
      </c>
      <c r="F110" s="33" t="inlineStr">
        <is>
          <t>CLD-03;CLD-07</t>
        </is>
      </c>
      <c r="G110" s="33" t="inlineStr">
        <is>
          <t>Вторая рабочая поверхность;Весы, ножи, доски холодного участка</t>
        </is>
      </c>
      <c r="H110" s="33" t="inlineStr">
        <is>
          <t>CAPEX.CLD.003;CAPEX.CLD.007</t>
        </is>
      </c>
      <c r="I110" s="33" t="inlineStr">
        <is>
          <t>COLD_PREP_ASSEMBLY</t>
        </is>
      </c>
      <c r="J110" s="33" t="n"/>
      <c r="K110" s="33" t="inlineStr">
        <is>
          <t>CLD-03: ≥1200×700; CLD-07: Две рабочие позиции</t>
        </is>
      </c>
      <c r="L110" s="33" t="inlineStr">
        <is>
          <t>PLANNED</t>
        </is>
      </c>
      <c r="M110" s="33" t="n"/>
      <c r="N110" s="33" t="n"/>
      <c r="O110" s="33" t="n"/>
      <c r="P110" s="33" t="n"/>
      <c r="Q110" s="33" t="n"/>
      <c r="R110" s="33" t="inlineStr">
        <is>
          <t>BLOCKED_NO_SELECTED_MODEL_PASSPORT</t>
        </is>
      </c>
      <c r="S110" s="33" t="inlineStr">
        <is>
          <t>BLOCKED</t>
        </is>
      </c>
      <c r="T110" s="33" t="inlineStr">
        <is>
          <t>BLOCKED</t>
        </is>
      </c>
      <c r="U110" s="33" t="inlineStr">
        <is>
          <t>BLOCKED_SELECTED_MODEL_AND_SITE_VALIDATION</t>
        </is>
      </c>
      <c r="V110" s="33" t="inlineStr">
        <is>
          <t>ESTIMATE</t>
        </is>
      </c>
      <c r="W110" s="33" t="inlineStr">
        <is>
          <t>GAP-007;GAP-017;GAP-018;GAP-019</t>
        </is>
      </c>
    </row>
    <row r="111">
      <c r="A111" s="33" t="inlineStr">
        <is>
          <t>EQM-0074</t>
        </is>
      </c>
      <c r="B111" s="33" t="inlineStr">
        <is>
          <t>VKM-014</t>
        </is>
      </c>
      <c r="C111" s="33" t="inlineStr">
        <is>
          <t>Сельдь с запечённым картофелем</t>
        </is>
      </c>
      <c r="D111" s="33" t="n">
        <v>1</v>
      </c>
      <c r="E111" s="33" t="inlineStr">
        <is>
          <t>Подготовить и запечь картофель</t>
        </is>
      </c>
      <c r="F111" s="33" t="inlineStr">
        <is>
          <t>HOT-01</t>
        </is>
      </c>
      <c r="G111" s="33" t="inlineStr">
        <is>
          <t>Пароконвектомат</t>
        </is>
      </c>
      <c r="H111" s="33" t="inlineStr">
        <is>
          <t>CAPEX.HOT.001</t>
        </is>
      </c>
      <c r="I111" s="33" t="inlineStr">
        <is>
          <t>THERMAL_PROCESS</t>
        </is>
      </c>
      <c r="J111" s="33" t="n"/>
      <c r="K111" s="33" t="inlineStr">
        <is>
          <t>HOT-01: Минимум 6×GN 1/1; программы; термощуп</t>
        </is>
      </c>
      <c r="L111" s="33" t="inlineStr">
        <is>
          <t>PLANNED</t>
        </is>
      </c>
      <c r="M111" s="33" t="n"/>
      <c r="N111" s="33" t="n"/>
      <c r="O111" s="33" t="n"/>
      <c r="P111" s="33" t="n"/>
      <c r="Q111" s="33" t="n"/>
      <c r="R111" s="33" t="inlineStr">
        <is>
          <t>BLOCKED_NO_SELECTED_MODEL_PASSPORT</t>
        </is>
      </c>
      <c r="S111" s="33" t="inlineStr">
        <is>
          <t>BLOCKED</t>
        </is>
      </c>
      <c r="T111" s="33" t="inlineStr">
        <is>
          <t>BLOCKED</t>
        </is>
      </c>
      <c r="U111" s="33" t="inlineStr">
        <is>
          <t>BLOCKED_SELECTED_MODEL_AND_SITE_VALIDATION</t>
        </is>
      </c>
      <c r="V111" s="33" t="inlineStr">
        <is>
          <t>ESTIMATE</t>
        </is>
      </c>
      <c r="W111" s="33" t="inlineStr">
        <is>
          <t>GAP-007;GAP-017;GAP-018;GAP-019</t>
        </is>
      </c>
    </row>
    <row r="112">
      <c r="A112" s="33" t="inlineStr">
        <is>
          <t>EQM-0075</t>
        </is>
      </c>
      <c r="B112" s="33" t="inlineStr">
        <is>
          <t>VKM-014</t>
        </is>
      </c>
      <c r="C112" s="33" t="inlineStr">
        <is>
          <t>Сельдь с запечённым картофелем</t>
        </is>
      </c>
      <c r="D112" s="33" t="n">
        <v>2</v>
      </c>
      <c r="E112" s="33" t="inlineStr">
        <is>
          <t>подготовить сельдь и лук</t>
        </is>
      </c>
      <c r="F112" s="33" t="inlineStr">
        <is>
          <t>CLD-03;CLD-07</t>
        </is>
      </c>
      <c r="G112" s="33" t="inlineStr">
        <is>
          <t>Вторая рабочая поверхность;Весы, ножи, доски холодного участка</t>
        </is>
      </c>
      <c r="H112" s="33" t="inlineStr">
        <is>
          <t>CAPEX.CLD.003;CAPEX.CLD.007</t>
        </is>
      </c>
      <c r="I112" s="33" t="inlineStr">
        <is>
          <t>COLD_PREP_ASSEMBLY</t>
        </is>
      </c>
      <c r="J112" s="33" t="n"/>
      <c r="K112" s="33" t="inlineStr">
        <is>
          <t>CLD-03: ≥1200×700; CLD-07: Две рабочие позиции</t>
        </is>
      </c>
      <c r="L112" s="33" t="inlineStr">
        <is>
          <t>PLANNED</t>
        </is>
      </c>
      <c r="M112" s="33" t="n"/>
      <c r="N112" s="33" t="n"/>
      <c r="O112" s="33" t="n"/>
      <c r="P112" s="33" t="n"/>
      <c r="Q112" s="33" t="n"/>
      <c r="R112" s="33" t="inlineStr">
        <is>
          <t>BLOCKED_NO_SELECTED_MODEL_PASSPORT</t>
        </is>
      </c>
      <c r="S112" s="33" t="inlineStr">
        <is>
          <t>BLOCKED</t>
        </is>
      </c>
      <c r="T112" s="33" t="inlineStr">
        <is>
          <t>BLOCKED</t>
        </is>
      </c>
      <c r="U112" s="33" t="inlineStr">
        <is>
          <t>BLOCKED_SELECTED_MODEL_AND_SITE_VALIDATION</t>
        </is>
      </c>
      <c r="V112" s="33" t="inlineStr">
        <is>
          <t>ESTIMATE</t>
        </is>
      </c>
      <c r="W112" s="33" t="inlineStr">
        <is>
          <t>GAP-007;GAP-017;GAP-018;GAP-019</t>
        </is>
      </c>
    </row>
    <row r="113">
      <c r="A113" s="33" t="inlineStr">
        <is>
          <t>EQM-0076</t>
        </is>
      </c>
      <c r="B113" s="33" t="inlineStr">
        <is>
          <t>VKM-014</t>
        </is>
      </c>
      <c r="C113" s="33" t="inlineStr">
        <is>
          <t>Сельдь с запечённым картофелем</t>
        </is>
      </c>
      <c r="D113" s="33" t="n">
        <v>3</v>
      </c>
      <c r="E113" s="33" t="inlineStr">
        <is>
          <t>охладить компоненты по процессу</t>
        </is>
      </c>
      <c r="F113" s="33" t="inlineStr">
        <is>
          <t>HOT-09;STO-10</t>
        </is>
      </c>
      <c r="G113" s="33" t="inlineStr">
        <is>
          <t>Шкаф интенсивного охлаждения;Готовые полуфабрикаты</t>
        </is>
      </c>
      <c r="H113" s="33" t="inlineStr">
        <is>
          <t>CAPEX.HOT.010;CAPEX.STO.010</t>
        </is>
      </c>
      <c r="I113" s="33" t="inlineStr">
        <is>
          <t>COOLING_HOLDING</t>
        </is>
      </c>
      <c r="J113" s="33" t="n"/>
      <c r="K113" s="33" t="inlineStr">
        <is>
          <t>HOT-09: ≥10 кг/цикл; STO-10: Раздельное хранение</t>
        </is>
      </c>
      <c r="L113" s="33" t="inlineStr">
        <is>
          <t>PLANNED</t>
        </is>
      </c>
      <c r="M113" s="33" t="n"/>
      <c r="N113" s="33" t="n"/>
      <c r="O113" s="33" t="n"/>
      <c r="P113" s="33" t="n"/>
      <c r="Q113" s="33" t="n"/>
      <c r="R113" s="33" t="inlineStr">
        <is>
          <t>BLOCKED_NO_SELECTED_MODEL_PASSPORT</t>
        </is>
      </c>
      <c r="S113" s="33" t="inlineStr">
        <is>
          <t>BLOCKED</t>
        </is>
      </c>
      <c r="T113" s="33" t="inlineStr">
        <is>
          <t>BLOCKED</t>
        </is>
      </c>
      <c r="U113" s="33" t="inlineStr">
        <is>
          <t>BLOCKED_SELECTED_MODEL_AND_SITE_VALIDATION</t>
        </is>
      </c>
      <c r="V113" s="33" t="inlineStr">
        <is>
          <t>ESTIMATE</t>
        </is>
      </c>
      <c r="W113" s="33" t="inlineStr">
        <is>
          <t>GAP-007;GAP-017;GAP-018;GAP-019</t>
        </is>
      </c>
    </row>
    <row r="114">
      <c r="A114" s="33" t="inlineStr">
        <is>
          <t>EQM-0077</t>
        </is>
      </c>
      <c r="B114" s="33" t="inlineStr">
        <is>
          <t>VKM-014</t>
        </is>
      </c>
      <c r="C114" s="33" t="inlineStr">
        <is>
          <t>Сельдь с запечённым картофелем</t>
        </is>
      </c>
      <c r="D114" s="33" t="n">
        <v>4</v>
      </c>
      <c r="E114" s="33" t="inlineStr">
        <is>
          <t>собрать и заправить</t>
        </is>
      </c>
      <c r="F114" s="33" t="inlineStr">
        <is>
          <t>CLD-03;CLD-07</t>
        </is>
      </c>
      <c r="G114" s="33" t="inlineStr">
        <is>
          <t>Вторая рабочая поверхность;Весы, ножи, доски холодного участка</t>
        </is>
      </c>
      <c r="H114" s="33" t="inlineStr">
        <is>
          <t>CAPEX.CLD.003;CAPEX.CLD.007</t>
        </is>
      </c>
      <c r="I114" s="33" t="inlineStr">
        <is>
          <t>COLD_PREP_ASSEMBLY</t>
        </is>
      </c>
      <c r="J114" s="33" t="n"/>
      <c r="K114" s="33" t="inlineStr">
        <is>
          <t>CLD-03: ≥1200×700; CLD-07: Две рабочие позиции</t>
        </is>
      </c>
      <c r="L114" s="33" t="inlineStr">
        <is>
          <t>PLANNED</t>
        </is>
      </c>
      <c r="M114" s="33" t="n"/>
      <c r="N114" s="33" t="n"/>
      <c r="O114" s="33" t="n"/>
      <c r="P114" s="33" t="n"/>
      <c r="Q114" s="33" t="n"/>
      <c r="R114" s="33" t="inlineStr">
        <is>
          <t>BLOCKED_NO_SELECTED_MODEL_PASSPORT</t>
        </is>
      </c>
      <c r="S114" s="33" t="inlineStr">
        <is>
          <t>BLOCKED</t>
        </is>
      </c>
      <c r="T114" s="33" t="inlineStr">
        <is>
          <t>BLOCKED</t>
        </is>
      </c>
      <c r="U114" s="33" t="inlineStr">
        <is>
          <t>BLOCKED_SELECTED_MODEL_AND_SITE_VALIDATION</t>
        </is>
      </c>
      <c r="V114" s="33" t="inlineStr">
        <is>
          <t>ESTIMATE</t>
        </is>
      </c>
      <c r="W114" s="33" t="inlineStr">
        <is>
          <t>GAP-007;GAP-017;GAP-018;GAP-019</t>
        </is>
      </c>
    </row>
    <row r="115">
      <c r="A115" s="33" t="inlineStr">
        <is>
          <t>EQM-0078</t>
        </is>
      </c>
      <c r="B115" s="33" t="inlineStr">
        <is>
          <t>VKM-015</t>
        </is>
      </c>
      <c r="C115" s="33" t="inlineStr">
        <is>
          <t>Оливки и маслины</t>
        </is>
      </c>
      <c r="D115" s="33" t="n">
        <v>1</v>
      </c>
      <c r="E115" s="33" t="inlineStr">
        <is>
          <t>Освободить оливки и маслины от заливки</t>
        </is>
      </c>
      <c r="F115" s="33" t="inlineStr">
        <is>
          <t>CLD-03;CLD-07</t>
        </is>
      </c>
      <c r="G115" s="33" t="inlineStr">
        <is>
          <t>Вторая рабочая поверхность;Весы, ножи, доски холодного участка</t>
        </is>
      </c>
      <c r="H115" s="33" t="inlineStr">
        <is>
          <t>CAPEX.CLD.003;CAPEX.CLD.007</t>
        </is>
      </c>
      <c r="I115" s="33" t="inlineStr">
        <is>
          <t>COLD_PREP_ASSEMBLY</t>
        </is>
      </c>
      <c r="J115" s="33" t="n"/>
      <c r="K115" s="33" t="inlineStr">
        <is>
          <t>CLD-03: ≥1200×700; CLD-07: Две рабочие позиции</t>
        </is>
      </c>
      <c r="L115" s="33" t="inlineStr">
        <is>
          <t>PLANNED</t>
        </is>
      </c>
      <c r="M115" s="33" t="n"/>
      <c r="N115" s="33" t="n"/>
      <c r="O115" s="33" t="n"/>
      <c r="P115" s="33" t="n"/>
      <c r="Q115" s="33" t="n"/>
      <c r="R115" s="33" t="inlineStr">
        <is>
          <t>BLOCKED_NO_SELECTED_MODEL_PASSPORT</t>
        </is>
      </c>
      <c r="S115" s="33" t="inlineStr">
        <is>
          <t>BLOCKED</t>
        </is>
      </c>
      <c r="T115" s="33" t="inlineStr">
        <is>
          <t>BLOCKED</t>
        </is>
      </c>
      <c r="U115" s="33" t="inlineStr">
        <is>
          <t>BLOCKED_SELECTED_MODEL_AND_SITE_VALIDATION</t>
        </is>
      </c>
      <c r="V115" s="33" t="inlineStr">
        <is>
          <t>ESTIMATE</t>
        </is>
      </c>
      <c r="W115" s="33" t="inlineStr">
        <is>
          <t>GAP-007;GAP-017;GAP-018;GAP-019</t>
        </is>
      </c>
    </row>
    <row r="116">
      <c r="A116" s="33" t="inlineStr">
        <is>
          <t>EQM-0079</t>
        </is>
      </c>
      <c r="B116" s="33" t="inlineStr">
        <is>
          <t>VKM-015</t>
        </is>
      </c>
      <c r="C116" s="33" t="inlineStr">
        <is>
          <t>Оливки и маслины</t>
        </is>
      </c>
      <c r="D116" s="33" t="n">
        <v>2</v>
      </c>
      <c r="E116" s="33" t="inlineStr">
        <is>
          <t>подготовить ароматический маринад</t>
        </is>
      </c>
      <c r="F116" s="33" t="inlineStr">
        <is>
          <t>CLD-03;CLD-07</t>
        </is>
      </c>
      <c r="G116" s="33" t="inlineStr">
        <is>
          <t>Вторая рабочая поверхность;Весы, ножи, доски холодного участка</t>
        </is>
      </c>
      <c r="H116" s="33" t="inlineStr">
        <is>
          <t>CAPEX.CLD.003;CAPEX.CLD.007</t>
        </is>
      </c>
      <c r="I116" s="33" t="inlineStr">
        <is>
          <t>COLD_PREP_ASSEMBLY</t>
        </is>
      </c>
      <c r="J116" s="33" t="n"/>
      <c r="K116" s="33" t="inlineStr">
        <is>
          <t>CLD-03: ≥1200×700; CLD-07: Две рабочие позиции</t>
        </is>
      </c>
      <c r="L116" s="33" t="inlineStr">
        <is>
          <t>PLANNED</t>
        </is>
      </c>
      <c r="M116" s="33" t="n"/>
      <c r="N116" s="33" t="n"/>
      <c r="O116" s="33" t="n"/>
      <c r="P116" s="33" t="n"/>
      <c r="Q116" s="33" t="n"/>
      <c r="R116" s="33" t="inlineStr">
        <is>
          <t>BLOCKED_NO_SELECTED_MODEL_PASSPORT</t>
        </is>
      </c>
      <c r="S116" s="33" t="inlineStr">
        <is>
          <t>BLOCKED</t>
        </is>
      </c>
      <c r="T116" s="33" t="inlineStr">
        <is>
          <t>BLOCKED</t>
        </is>
      </c>
      <c r="U116" s="33" t="inlineStr">
        <is>
          <t>BLOCKED_SELECTED_MODEL_AND_SITE_VALIDATION</t>
        </is>
      </c>
      <c r="V116" s="33" t="inlineStr">
        <is>
          <t>ESTIMATE</t>
        </is>
      </c>
      <c r="W116" s="33" t="inlineStr">
        <is>
          <t>GAP-007;GAP-017;GAP-018;GAP-019</t>
        </is>
      </c>
    </row>
    <row r="117">
      <c r="A117" s="33" t="inlineStr">
        <is>
          <t>EQM-0080</t>
        </is>
      </c>
      <c r="B117" s="33" t="inlineStr">
        <is>
          <t>VKM-015</t>
        </is>
      </c>
      <c r="C117" s="33" t="inlineStr">
        <is>
          <t>Оливки и маслины</t>
        </is>
      </c>
      <c r="D117" s="33" t="n">
        <v>3</v>
      </c>
      <c r="E117" s="33" t="inlineStr">
        <is>
          <t>смешать</t>
        </is>
      </c>
      <c r="F117" s="33" t="inlineStr">
        <is>
          <t>CLD-03;CLD-07</t>
        </is>
      </c>
      <c r="G117" s="33" t="inlineStr">
        <is>
          <t>Вторая рабочая поверхность;Весы, ножи, доски холодного участка</t>
        </is>
      </c>
      <c r="H117" s="33" t="inlineStr">
        <is>
          <t>CAPEX.CLD.003;CAPEX.CLD.007</t>
        </is>
      </c>
      <c r="I117" s="33" t="inlineStr">
        <is>
          <t>COLD_PREP_ASSEMBLY</t>
        </is>
      </c>
      <c r="J117" s="33" t="n"/>
      <c r="K117" s="33" t="inlineStr">
        <is>
          <t>CLD-03: ≥1200×700; CLD-07: Две рабочие позиции</t>
        </is>
      </c>
      <c r="L117" s="33" t="inlineStr">
        <is>
          <t>PLANNED</t>
        </is>
      </c>
      <c r="M117" s="33" t="n"/>
      <c r="N117" s="33" t="n"/>
      <c r="O117" s="33" t="n"/>
      <c r="P117" s="33" t="n"/>
      <c r="Q117" s="33" t="n"/>
      <c r="R117" s="33" t="inlineStr">
        <is>
          <t>BLOCKED_NO_SELECTED_MODEL_PASSPORT</t>
        </is>
      </c>
      <c r="S117" s="33" t="inlineStr">
        <is>
          <t>BLOCKED</t>
        </is>
      </c>
      <c r="T117" s="33" t="inlineStr">
        <is>
          <t>BLOCKED</t>
        </is>
      </c>
      <c r="U117" s="33" t="inlineStr">
        <is>
          <t>BLOCKED_SELECTED_MODEL_AND_SITE_VALIDATION</t>
        </is>
      </c>
      <c r="V117" s="33" t="inlineStr">
        <is>
          <t>ESTIMATE</t>
        </is>
      </c>
      <c r="W117" s="33" t="inlineStr">
        <is>
          <t>GAP-007;GAP-017;GAP-018;GAP-019</t>
        </is>
      </c>
    </row>
    <row r="118">
      <c r="A118" s="33" t="inlineStr">
        <is>
          <t>EQM-0081</t>
        </is>
      </c>
      <c r="B118" s="33" t="inlineStr">
        <is>
          <t>VKM-015</t>
        </is>
      </c>
      <c r="C118" s="33" t="inlineStr">
        <is>
          <t>Оливки и маслины</t>
        </is>
      </c>
      <c r="D118" s="33" t="n">
        <v>4</v>
      </c>
      <c r="E118" s="33" t="inlineStr">
        <is>
          <t>выдержать</t>
        </is>
      </c>
      <c r="F118" s="33" t="inlineStr">
        <is>
          <t>CLD-03;CLD-07</t>
        </is>
      </c>
      <c r="G118" s="33" t="inlineStr">
        <is>
          <t>Вторая рабочая поверхность;Весы, ножи, доски холодного участка</t>
        </is>
      </c>
      <c r="H118" s="33" t="inlineStr">
        <is>
          <t>CAPEX.CLD.003;CAPEX.CLD.007</t>
        </is>
      </c>
      <c r="I118" s="33" t="inlineStr">
        <is>
          <t>COLD_PREP_ASSEMBLY</t>
        </is>
      </c>
      <c r="J118" s="33" t="n"/>
      <c r="K118" s="33" t="inlineStr">
        <is>
          <t>CLD-03: ≥1200×700; CLD-07: Две рабочие позиции</t>
        </is>
      </c>
      <c r="L118" s="33" t="inlineStr">
        <is>
          <t>PLANNED</t>
        </is>
      </c>
      <c r="M118" s="33" t="n"/>
      <c r="N118" s="33" t="n"/>
      <c r="O118" s="33" t="n"/>
      <c r="P118" s="33" t="n"/>
      <c r="Q118" s="33" t="n"/>
      <c r="R118" s="33" t="inlineStr">
        <is>
          <t>BLOCKED_NO_SELECTED_MODEL_PASSPORT</t>
        </is>
      </c>
      <c r="S118" s="33" t="inlineStr">
        <is>
          <t>BLOCKED</t>
        </is>
      </c>
      <c r="T118" s="33" t="inlineStr">
        <is>
          <t>BLOCKED</t>
        </is>
      </c>
      <c r="U118" s="33" t="inlineStr">
        <is>
          <t>BLOCKED_SELECTED_MODEL_AND_SITE_VALIDATION</t>
        </is>
      </c>
      <c r="V118" s="33" t="inlineStr">
        <is>
          <t>ESTIMATE</t>
        </is>
      </c>
      <c r="W118" s="33" t="inlineStr">
        <is>
          <t>GAP-007;GAP-017;GAP-018;GAP-019</t>
        </is>
      </c>
    </row>
    <row r="119">
      <c r="A119" s="33" t="inlineStr">
        <is>
          <t>EQM-0082</t>
        </is>
      </c>
      <c r="B119" s="33" t="inlineStr">
        <is>
          <t>VKM-015</t>
        </is>
      </c>
      <c r="C119" s="33" t="inlineStr">
        <is>
          <t>Оливки и маслины</t>
        </is>
      </c>
      <c r="D119" s="33" t="n">
        <v>5</v>
      </c>
      <c r="E119" s="33" t="inlineStr">
        <is>
          <t>порционировать</t>
        </is>
      </c>
      <c r="F119" s="33" t="inlineStr">
        <is>
          <t>CLD-03;CLD-07</t>
        </is>
      </c>
      <c r="G119" s="33" t="inlineStr">
        <is>
          <t>Вторая рабочая поверхность;Весы, ножи, доски холодного участка</t>
        </is>
      </c>
      <c r="H119" s="33" t="inlineStr">
        <is>
          <t>CAPEX.CLD.003;CAPEX.CLD.007</t>
        </is>
      </c>
      <c r="I119" s="33" t="inlineStr">
        <is>
          <t>COLD_PREP_ASSEMBLY</t>
        </is>
      </c>
      <c r="J119" s="33" t="n"/>
      <c r="K119" s="33" t="inlineStr">
        <is>
          <t>CLD-03: ≥1200×700; CLD-07: Две рабочие позиции</t>
        </is>
      </c>
      <c r="L119" s="33" t="inlineStr">
        <is>
          <t>PLANNED</t>
        </is>
      </c>
      <c r="M119" s="33" t="n"/>
      <c r="N119" s="33" t="n"/>
      <c r="O119" s="33" t="n"/>
      <c r="P119" s="33" t="n"/>
      <c r="Q119" s="33" t="n"/>
      <c r="R119" s="33" t="inlineStr">
        <is>
          <t>BLOCKED_NO_SELECTED_MODEL_PASSPORT</t>
        </is>
      </c>
      <c r="S119" s="33" t="inlineStr">
        <is>
          <t>BLOCKED</t>
        </is>
      </c>
      <c r="T119" s="33" t="inlineStr">
        <is>
          <t>BLOCKED</t>
        </is>
      </c>
      <c r="U119" s="33" t="inlineStr">
        <is>
          <t>BLOCKED_SELECTED_MODEL_AND_SITE_VALIDATION</t>
        </is>
      </c>
      <c r="V119" s="33" t="inlineStr">
        <is>
          <t>ESTIMATE</t>
        </is>
      </c>
      <c r="W119" s="33" t="inlineStr">
        <is>
          <t>GAP-007;GAP-017;GAP-018;GAP-019</t>
        </is>
      </c>
    </row>
    <row r="120">
      <c r="A120" s="33" t="inlineStr">
        <is>
          <t>EQM-0083</t>
        </is>
      </c>
      <c r="B120" s="33" t="inlineStr">
        <is>
          <t>VKM-016</t>
        </is>
      </c>
      <c r="C120" s="33" t="inlineStr">
        <is>
          <t>Ассорти фирменных солений</t>
        </is>
      </c>
      <c r="D120" s="33" t="n">
        <v>1</v>
      </c>
      <c r="E120" s="33" t="inlineStr">
        <is>
          <t>Подготовить и нарезать овощи</t>
        </is>
      </c>
      <c r="F120" s="33" t="inlineStr">
        <is>
          <t>CLD-03;CLD-07</t>
        </is>
      </c>
      <c r="G120" s="33" t="inlineStr">
        <is>
          <t>Вторая рабочая поверхность;Весы, ножи, доски холодного участка</t>
        </is>
      </c>
      <c r="H120" s="33" t="inlineStr">
        <is>
          <t>CAPEX.CLD.003;CAPEX.CLD.007</t>
        </is>
      </c>
      <c r="I120" s="33" t="inlineStr">
        <is>
          <t>COLD_PREP_ASSEMBLY</t>
        </is>
      </c>
      <c r="J120" s="33" t="n"/>
      <c r="K120" s="33" t="inlineStr">
        <is>
          <t>CLD-03: ≥1200×700; CLD-07: Две рабочие позиции</t>
        </is>
      </c>
      <c r="L120" s="33" t="inlineStr">
        <is>
          <t>PLANNED</t>
        </is>
      </c>
      <c r="M120" s="33" t="n"/>
      <c r="N120" s="33" t="n"/>
      <c r="O120" s="33" t="n"/>
      <c r="P120" s="33" t="n"/>
      <c r="Q120" s="33" t="n"/>
      <c r="R120" s="33" t="inlineStr">
        <is>
          <t>BLOCKED_NO_SELECTED_MODEL_PASSPORT</t>
        </is>
      </c>
      <c r="S120" s="33" t="inlineStr">
        <is>
          <t>BLOCKED</t>
        </is>
      </c>
      <c r="T120" s="33" t="inlineStr">
        <is>
          <t>BLOCKED</t>
        </is>
      </c>
      <c r="U120" s="33" t="inlineStr">
        <is>
          <t>BLOCKED_SELECTED_MODEL_AND_SITE_VALIDATION</t>
        </is>
      </c>
      <c r="V120" s="33" t="inlineStr">
        <is>
          <t>ESTIMATE</t>
        </is>
      </c>
      <c r="W120" s="33" t="inlineStr">
        <is>
          <t>GAP-007;GAP-017;GAP-018;GAP-019</t>
        </is>
      </c>
    </row>
    <row r="121">
      <c r="A121" s="33" t="inlineStr">
        <is>
          <t>EQM-0084</t>
        </is>
      </c>
      <c r="B121" s="33" t="inlineStr">
        <is>
          <t>VKM-016</t>
        </is>
      </c>
      <c r="C121" s="33" t="inlineStr">
        <is>
          <t>Ассорти фирменных солений</t>
        </is>
      </c>
      <c r="D121" s="33" t="n">
        <v>2</v>
      </c>
      <c r="E121" s="33" t="inlineStr">
        <is>
          <t>приготовить маринад</t>
        </is>
      </c>
      <c r="F121" s="33" t="inlineStr">
        <is>
          <t>CLD-03;CLD-07</t>
        </is>
      </c>
      <c r="G121" s="33" t="inlineStr">
        <is>
          <t>Вторая рабочая поверхность;Весы, ножи, доски холодного участка</t>
        </is>
      </c>
      <c r="H121" s="33" t="inlineStr">
        <is>
          <t>CAPEX.CLD.003;CAPEX.CLD.007</t>
        </is>
      </c>
      <c r="I121" s="33" t="inlineStr">
        <is>
          <t>COLD_PREP_ASSEMBLY</t>
        </is>
      </c>
      <c r="J121" s="33" t="n"/>
      <c r="K121" s="33" t="inlineStr">
        <is>
          <t>CLD-03: ≥1200×700; CLD-07: Две рабочие позиции</t>
        </is>
      </c>
      <c r="L121" s="33" t="inlineStr">
        <is>
          <t>PLANNED</t>
        </is>
      </c>
      <c r="M121" s="33" t="n"/>
      <c r="N121" s="33" t="n"/>
      <c r="O121" s="33" t="n"/>
      <c r="P121" s="33" t="n"/>
      <c r="Q121" s="33" t="n"/>
      <c r="R121" s="33" t="inlineStr">
        <is>
          <t>BLOCKED_NO_SELECTED_MODEL_PASSPORT</t>
        </is>
      </c>
      <c r="S121" s="33" t="inlineStr">
        <is>
          <t>BLOCKED</t>
        </is>
      </c>
      <c r="T121" s="33" t="inlineStr">
        <is>
          <t>BLOCKED</t>
        </is>
      </c>
      <c r="U121" s="33" t="inlineStr">
        <is>
          <t>BLOCKED_SELECTED_MODEL_AND_SITE_VALIDATION</t>
        </is>
      </c>
      <c r="V121" s="33" t="inlineStr">
        <is>
          <t>ESTIMATE</t>
        </is>
      </c>
      <c r="W121" s="33" t="inlineStr">
        <is>
          <t>GAP-007;GAP-017;GAP-018;GAP-019</t>
        </is>
      </c>
    </row>
    <row r="122">
      <c r="A122" s="33" t="inlineStr">
        <is>
          <t>EQM-0085</t>
        </is>
      </c>
      <c r="B122" s="33" t="inlineStr">
        <is>
          <t>VKM-016</t>
        </is>
      </c>
      <c r="C122" s="33" t="inlineStr">
        <is>
          <t>Ассорти фирменных солений</t>
        </is>
      </c>
      <c r="D122" s="33" t="n">
        <v>3</v>
      </c>
      <c r="E122" s="33" t="inlineStr">
        <is>
          <t>мариновать компоненты раздельно</t>
        </is>
      </c>
      <c r="F122" s="33" t="inlineStr">
        <is>
          <t>CLD-03;CLD-07</t>
        </is>
      </c>
      <c r="G122" s="33" t="inlineStr">
        <is>
          <t>Вторая рабочая поверхность;Весы, ножи, доски холодного участка</t>
        </is>
      </c>
      <c r="H122" s="33" t="inlineStr">
        <is>
          <t>CAPEX.CLD.003;CAPEX.CLD.007</t>
        </is>
      </c>
      <c r="I122" s="33" t="inlineStr">
        <is>
          <t>COLD_PREP_ASSEMBLY</t>
        </is>
      </c>
      <c r="J122" s="33" t="n"/>
      <c r="K122" s="33" t="inlineStr">
        <is>
          <t>CLD-03: ≥1200×700; CLD-07: Две рабочие позиции</t>
        </is>
      </c>
      <c r="L122" s="33" t="inlineStr">
        <is>
          <t>PLANNED</t>
        </is>
      </c>
      <c r="M122" s="33" t="n"/>
      <c r="N122" s="33" t="n"/>
      <c r="O122" s="33" t="n"/>
      <c r="P122" s="33" t="n"/>
      <c r="Q122" s="33" t="n"/>
      <c r="R122" s="33" t="inlineStr">
        <is>
          <t>BLOCKED_NO_SELECTED_MODEL_PASSPORT</t>
        </is>
      </c>
      <c r="S122" s="33" t="inlineStr">
        <is>
          <t>BLOCKED</t>
        </is>
      </c>
      <c r="T122" s="33" t="inlineStr">
        <is>
          <t>BLOCKED</t>
        </is>
      </c>
      <c r="U122" s="33" t="inlineStr">
        <is>
          <t>BLOCKED_SELECTED_MODEL_AND_SITE_VALIDATION</t>
        </is>
      </c>
      <c r="V122" s="33" t="inlineStr">
        <is>
          <t>ESTIMATE</t>
        </is>
      </c>
      <c r="W122" s="33" t="inlineStr">
        <is>
          <t>GAP-007;GAP-017;GAP-018;GAP-019</t>
        </is>
      </c>
    </row>
    <row r="123">
      <c r="A123" s="33" t="inlineStr">
        <is>
          <t>EQM-0086</t>
        </is>
      </c>
      <c r="B123" s="33" t="inlineStr">
        <is>
          <t>VKM-016</t>
        </is>
      </c>
      <c r="C123" s="33" t="inlineStr">
        <is>
          <t>Ассорти фирменных солений</t>
        </is>
      </c>
      <c r="D123" s="33" t="n">
        <v>4</v>
      </c>
      <c r="E123" s="33" t="inlineStr">
        <is>
          <t>объединить при подаче</t>
        </is>
      </c>
      <c r="F123" s="33" t="inlineStr">
        <is>
          <t>CLD-03;CLD-07</t>
        </is>
      </c>
      <c r="G123" s="33" t="inlineStr">
        <is>
          <t>Вторая рабочая поверхность;Весы, ножи, доски холодного участка</t>
        </is>
      </c>
      <c r="H123" s="33" t="inlineStr">
        <is>
          <t>CAPEX.CLD.003;CAPEX.CLD.007</t>
        </is>
      </c>
      <c r="I123" s="33" t="inlineStr">
        <is>
          <t>COLD_PREP_ASSEMBLY</t>
        </is>
      </c>
      <c r="J123" s="33" t="n"/>
      <c r="K123" s="33" t="inlineStr">
        <is>
          <t>CLD-03: ≥1200×700; CLD-07: Две рабочие позиции</t>
        </is>
      </c>
      <c r="L123" s="33" t="inlineStr">
        <is>
          <t>PLANNED</t>
        </is>
      </c>
      <c r="M123" s="33" t="n"/>
      <c r="N123" s="33" t="n"/>
      <c r="O123" s="33" t="n"/>
      <c r="P123" s="33" t="n"/>
      <c r="Q123" s="33" t="n"/>
      <c r="R123" s="33" t="inlineStr">
        <is>
          <t>BLOCKED_NO_SELECTED_MODEL_PASSPORT</t>
        </is>
      </c>
      <c r="S123" s="33" t="inlineStr">
        <is>
          <t>BLOCKED</t>
        </is>
      </c>
      <c r="T123" s="33" t="inlineStr">
        <is>
          <t>BLOCKED</t>
        </is>
      </c>
      <c r="U123" s="33" t="inlineStr">
        <is>
          <t>BLOCKED_SELECTED_MODEL_AND_SITE_VALIDATION</t>
        </is>
      </c>
      <c r="V123" s="33" t="inlineStr">
        <is>
          <t>ESTIMATE</t>
        </is>
      </c>
      <c r="W123" s="33" t="inlineStr">
        <is>
          <t>GAP-007;GAP-017;GAP-018;GAP-019</t>
        </is>
      </c>
    </row>
    <row r="124">
      <c r="A124" s="33" t="inlineStr">
        <is>
          <t>EQM-0087</t>
        </is>
      </c>
      <c r="B124" s="33" t="inlineStr">
        <is>
          <t>VKM-017</t>
        </is>
      </c>
      <c r="C124" s="33" t="inlineStr">
        <is>
          <t>Ростбиф с луком и гренкой</t>
        </is>
      </c>
      <c r="D124" s="33" t="n">
        <v>1</v>
      </c>
      <c r="E124" s="33" t="inlineStr">
        <is>
          <t>Порционировать ростбиф</t>
        </is>
      </c>
      <c r="F124" s="33" t="inlineStr">
        <is>
          <t>CLD-03;CLD-07</t>
        </is>
      </c>
      <c r="G124" s="33" t="inlineStr">
        <is>
          <t>Вторая рабочая поверхность;Весы, ножи, доски холодного участка</t>
        </is>
      </c>
      <c r="H124" s="33" t="inlineStr">
        <is>
          <t>CAPEX.CLD.003;CAPEX.CLD.007</t>
        </is>
      </c>
      <c r="I124" s="33" t="inlineStr">
        <is>
          <t>COLD_PREP_ASSEMBLY</t>
        </is>
      </c>
      <c r="J124" s="33" t="n"/>
      <c r="K124" s="33" t="inlineStr">
        <is>
          <t>CLD-03: ≥1200×700; CLD-07: Две рабочие позиции</t>
        </is>
      </c>
      <c r="L124" s="33" t="inlineStr">
        <is>
          <t>PLANNED</t>
        </is>
      </c>
      <c r="M124" s="33" t="n"/>
      <c r="N124" s="33" t="n"/>
      <c r="O124" s="33" t="n"/>
      <c r="P124" s="33" t="n"/>
      <c r="Q124" s="33" t="n"/>
      <c r="R124" s="33" t="inlineStr">
        <is>
          <t>BLOCKED_NO_SELECTED_MODEL_PASSPORT</t>
        </is>
      </c>
      <c r="S124" s="33" t="inlineStr">
        <is>
          <t>BLOCKED</t>
        </is>
      </c>
      <c r="T124" s="33" t="inlineStr">
        <is>
          <t>BLOCKED</t>
        </is>
      </c>
      <c r="U124" s="33" t="inlineStr">
        <is>
          <t>BLOCKED_SELECTED_MODEL_AND_SITE_VALIDATION</t>
        </is>
      </c>
      <c r="V124" s="33" t="inlineStr">
        <is>
          <t>ESTIMATE</t>
        </is>
      </c>
      <c r="W124" s="33" t="inlineStr">
        <is>
          <t>GAP-007;GAP-017;GAP-018;GAP-019</t>
        </is>
      </c>
    </row>
    <row r="125">
      <c r="A125" s="33" t="inlineStr">
        <is>
          <t>EQM-0088</t>
        </is>
      </c>
      <c r="B125" s="33" t="inlineStr">
        <is>
          <t>VKM-017</t>
        </is>
      </c>
      <c r="C125" s="33" t="inlineStr">
        <is>
          <t>Ростбиф с луком и гренкой</t>
        </is>
      </c>
      <c r="D125" s="33" t="n">
        <v>2</v>
      </c>
      <c r="E125" s="33" t="inlineStr">
        <is>
          <t>подготовить лук</t>
        </is>
      </c>
      <c r="F125" s="33" t="inlineStr">
        <is>
          <t>CLD-03;CLD-07</t>
        </is>
      </c>
      <c r="G125" s="33" t="inlineStr">
        <is>
          <t>Вторая рабочая поверхность;Весы, ножи, доски холодного участка</t>
        </is>
      </c>
      <c r="H125" s="33" t="inlineStr">
        <is>
          <t>CAPEX.CLD.003;CAPEX.CLD.007</t>
        </is>
      </c>
      <c r="I125" s="33" t="inlineStr">
        <is>
          <t>COLD_PREP_ASSEMBLY</t>
        </is>
      </c>
      <c r="J125" s="33" t="n"/>
      <c r="K125" s="33" t="inlineStr">
        <is>
          <t>CLD-03: ≥1200×700; CLD-07: Две рабочие позиции</t>
        </is>
      </c>
      <c r="L125" s="33" t="inlineStr">
        <is>
          <t>PLANNED</t>
        </is>
      </c>
      <c r="M125" s="33" t="n"/>
      <c r="N125" s="33" t="n"/>
      <c r="O125" s="33" t="n"/>
      <c r="P125" s="33" t="n"/>
      <c r="Q125" s="33" t="n"/>
      <c r="R125" s="33" t="inlineStr">
        <is>
          <t>BLOCKED_NO_SELECTED_MODEL_PASSPORT</t>
        </is>
      </c>
      <c r="S125" s="33" t="inlineStr">
        <is>
          <t>BLOCKED</t>
        </is>
      </c>
      <c r="T125" s="33" t="inlineStr">
        <is>
          <t>BLOCKED</t>
        </is>
      </c>
      <c r="U125" s="33" t="inlineStr">
        <is>
          <t>BLOCKED_SELECTED_MODEL_AND_SITE_VALIDATION</t>
        </is>
      </c>
      <c r="V125" s="33" t="inlineStr">
        <is>
          <t>ESTIMATE</t>
        </is>
      </c>
      <c r="W125" s="33" t="inlineStr">
        <is>
          <t>GAP-007;GAP-017;GAP-018;GAP-019</t>
        </is>
      </c>
    </row>
    <row r="126">
      <c r="A126" s="33" t="inlineStr">
        <is>
          <t>EQM-0089</t>
        </is>
      </c>
      <c r="B126" s="33" t="inlineStr">
        <is>
          <t>VKM-017</t>
        </is>
      </c>
      <c r="C126" s="33" t="inlineStr">
        <is>
          <t>Ростбиф с луком и гренкой</t>
        </is>
      </c>
      <c r="D126" s="33" t="n">
        <v>3</v>
      </c>
      <c r="E126" s="33" t="inlineStr">
        <is>
          <t>подсушить гренку</t>
        </is>
      </c>
      <c r="F126" s="33" t="inlineStr">
        <is>
          <t>BAK-02</t>
        </is>
      </c>
      <c r="G126" s="33" t="inlineStr">
        <is>
          <t>Пекарская печь</t>
        </is>
      </c>
      <c r="H126" s="33" t="inlineStr">
        <is>
          <t>CAPEX.BAK.002</t>
        </is>
      </c>
      <c r="I126" s="33" t="inlineStr">
        <is>
          <t>THERMAL_PROCESS</t>
        </is>
      </c>
      <c r="J126" s="33" t="n"/>
      <c r="K126" s="33" t="inlineStr">
        <is>
          <t>BAK-02: 6×600×400; программирование; пар</t>
        </is>
      </c>
      <c r="L126" s="33" t="inlineStr">
        <is>
          <t>PLANNED</t>
        </is>
      </c>
      <c r="M126" s="33" t="n"/>
      <c r="N126" s="33" t="n"/>
      <c r="O126" s="33" t="n"/>
      <c r="P126" s="33" t="n"/>
      <c r="Q126" s="33" t="n"/>
      <c r="R126" s="33" t="inlineStr">
        <is>
          <t>BLOCKED_NO_SELECTED_MODEL_PASSPORT</t>
        </is>
      </c>
      <c r="S126" s="33" t="inlineStr">
        <is>
          <t>BLOCKED</t>
        </is>
      </c>
      <c r="T126" s="33" t="inlineStr">
        <is>
          <t>BLOCKED</t>
        </is>
      </c>
      <c r="U126" s="33" t="inlineStr">
        <is>
          <t>BLOCKED_SELECTED_MODEL_AND_SITE_VALIDATION</t>
        </is>
      </c>
      <c r="V126" s="33" t="inlineStr">
        <is>
          <t>ESTIMATE</t>
        </is>
      </c>
      <c r="W126" s="33" t="inlineStr">
        <is>
          <t>GAP-007;GAP-017;GAP-018;GAP-019</t>
        </is>
      </c>
    </row>
    <row r="127">
      <c r="A127" s="33" t="inlineStr">
        <is>
          <t>EQM-0090</t>
        </is>
      </c>
      <c r="B127" s="33" t="inlineStr">
        <is>
          <t>VKM-017</t>
        </is>
      </c>
      <c r="C127" s="33" t="inlineStr">
        <is>
          <t>Ростбиф с луком и гренкой</t>
        </is>
      </c>
      <c r="D127" s="33" t="n">
        <v>4</v>
      </c>
      <c r="E127" s="33" t="inlineStr">
        <is>
          <t>смешать соус</t>
        </is>
      </c>
      <c r="F127" s="33" t="inlineStr">
        <is>
          <t>CLD-03;CLD-07</t>
        </is>
      </c>
      <c r="G127" s="33" t="inlineStr">
        <is>
          <t>Вторая рабочая поверхность;Весы, ножи, доски холодного участка</t>
        </is>
      </c>
      <c r="H127" s="33" t="inlineStr">
        <is>
          <t>CAPEX.CLD.003;CAPEX.CLD.007</t>
        </is>
      </c>
      <c r="I127" s="33" t="inlineStr">
        <is>
          <t>COLD_PREP_ASSEMBLY</t>
        </is>
      </c>
      <c r="J127" s="33" t="n"/>
      <c r="K127" s="33" t="inlineStr">
        <is>
          <t>CLD-03: ≥1200×700; CLD-07: Две рабочие позиции</t>
        </is>
      </c>
      <c r="L127" s="33" t="inlineStr">
        <is>
          <t>PLANNED</t>
        </is>
      </c>
      <c r="M127" s="33" t="n"/>
      <c r="N127" s="33" t="n"/>
      <c r="O127" s="33" t="n"/>
      <c r="P127" s="33" t="n"/>
      <c r="Q127" s="33" t="n"/>
      <c r="R127" s="33" t="inlineStr">
        <is>
          <t>BLOCKED_NO_SELECTED_MODEL_PASSPORT</t>
        </is>
      </c>
      <c r="S127" s="33" t="inlineStr">
        <is>
          <t>BLOCKED</t>
        </is>
      </c>
      <c r="T127" s="33" t="inlineStr">
        <is>
          <t>BLOCKED</t>
        </is>
      </c>
      <c r="U127" s="33" t="inlineStr">
        <is>
          <t>BLOCKED_SELECTED_MODEL_AND_SITE_VALIDATION</t>
        </is>
      </c>
      <c r="V127" s="33" t="inlineStr">
        <is>
          <t>ESTIMATE</t>
        </is>
      </c>
      <c r="W127" s="33" t="inlineStr">
        <is>
          <t>GAP-007;GAP-017;GAP-018;GAP-019</t>
        </is>
      </c>
    </row>
    <row r="128">
      <c r="A128" s="33" t="inlineStr">
        <is>
          <t>EQM-0091</t>
        </is>
      </c>
      <c r="B128" s="33" t="inlineStr">
        <is>
          <t>VKM-017</t>
        </is>
      </c>
      <c r="C128" s="33" t="inlineStr">
        <is>
          <t>Ростбиф с луком и гренкой</t>
        </is>
      </c>
      <c r="D128" s="33" t="n">
        <v>5</v>
      </c>
      <c r="E128" s="33" t="inlineStr">
        <is>
          <t>собрать непосредственно перед подачей</t>
        </is>
      </c>
      <c r="F128" s="33" t="inlineStr">
        <is>
          <t>CLD-03;CLD-07</t>
        </is>
      </c>
      <c r="G128" s="33" t="inlineStr">
        <is>
          <t>Вторая рабочая поверхность;Весы, ножи, доски холодного участка</t>
        </is>
      </c>
      <c r="H128" s="33" t="inlineStr">
        <is>
          <t>CAPEX.CLD.003;CAPEX.CLD.007</t>
        </is>
      </c>
      <c r="I128" s="33" t="inlineStr">
        <is>
          <t>COLD_PREP_ASSEMBLY</t>
        </is>
      </c>
      <c r="J128" s="33" t="n"/>
      <c r="K128" s="33" t="inlineStr">
        <is>
          <t>CLD-03: ≥1200×700; CLD-07: Две рабочие позиции</t>
        </is>
      </c>
      <c r="L128" s="33" t="inlineStr">
        <is>
          <t>PLANNED</t>
        </is>
      </c>
      <c r="M128" s="33" t="n"/>
      <c r="N128" s="33" t="n"/>
      <c r="O128" s="33" t="n"/>
      <c r="P128" s="33" t="n"/>
      <c r="Q128" s="33" t="n"/>
      <c r="R128" s="33" t="inlineStr">
        <is>
          <t>BLOCKED_NO_SELECTED_MODEL_PASSPORT</t>
        </is>
      </c>
      <c r="S128" s="33" t="inlineStr">
        <is>
          <t>BLOCKED</t>
        </is>
      </c>
      <c r="T128" s="33" t="inlineStr">
        <is>
          <t>BLOCKED</t>
        </is>
      </c>
      <c r="U128" s="33" t="inlineStr">
        <is>
          <t>BLOCKED_SELECTED_MODEL_AND_SITE_VALIDATION</t>
        </is>
      </c>
      <c r="V128" s="33" t="inlineStr">
        <is>
          <t>ESTIMATE</t>
        </is>
      </c>
      <c r="W128" s="33" t="inlineStr">
        <is>
          <t>GAP-007;GAP-017;GAP-018;GAP-019</t>
        </is>
      </c>
    </row>
    <row r="129">
      <c r="A129" s="33" t="inlineStr">
        <is>
          <t>EQM-0092</t>
        </is>
      </c>
      <c r="B129" s="33" t="inlineStr">
        <is>
          <t>VKM-018</t>
        </is>
      </c>
      <c r="C129" s="33" t="inlineStr">
        <is>
          <t>Традиционный красный борщ</t>
        </is>
      </c>
      <c r="D129" s="33" t="n">
        <v>1</v>
      </c>
      <c r="E129" s="33" t="inlineStr">
        <is>
          <t>Приготовить бульон</t>
        </is>
      </c>
      <c r="F129" s="33" t="inlineStr">
        <is>
          <t>HOT-05A;HOT-13</t>
        </is>
      </c>
      <c r="G129" s="33" t="inlineStr">
        <is>
          <t>Индукционная плита 4 зоны;GN, противни и горячий инвентарь</t>
        </is>
      </c>
      <c r="H129" s="33" t="inlineStr">
        <is>
          <t>CAPEX.HOT.005;CAPEX.HOT.014</t>
        </is>
      </c>
      <c r="I129" s="33" t="inlineStr">
        <is>
          <t>BOILING_SAUTE_COOKING</t>
        </is>
      </c>
      <c r="J129" s="33" t="n"/>
      <c r="K129" s="33" t="inlineStr">
        <is>
          <t>HOT-05A: 4 зоны; HOT-13: Совместимость с печами</t>
        </is>
      </c>
      <c r="L129" s="33" t="inlineStr">
        <is>
          <t>PLANNED</t>
        </is>
      </c>
      <c r="M129" s="33" t="n"/>
      <c r="N129" s="33" t="n"/>
      <c r="O129" s="33" t="n"/>
      <c r="P129" s="33" t="n"/>
      <c r="Q129" s="33" t="n"/>
      <c r="R129" s="33" t="inlineStr">
        <is>
          <t>BLOCKED_NO_SELECTED_MODEL_PASSPORT</t>
        </is>
      </c>
      <c r="S129" s="33" t="inlineStr">
        <is>
          <t>BLOCKED</t>
        </is>
      </c>
      <c r="T129" s="33" t="inlineStr">
        <is>
          <t>BLOCKED</t>
        </is>
      </c>
      <c r="U129" s="33" t="inlineStr">
        <is>
          <t>BLOCKED_SELECTED_MODEL_AND_SITE_VALIDATION</t>
        </is>
      </c>
      <c r="V129" s="33" t="inlineStr">
        <is>
          <t>ESTIMATE</t>
        </is>
      </c>
      <c r="W129" s="33" t="inlineStr">
        <is>
          <t>GAP-007;GAP-017;GAP-018;GAP-019</t>
        </is>
      </c>
    </row>
    <row r="130">
      <c r="A130" s="33" t="inlineStr">
        <is>
          <t>EQM-0093</t>
        </is>
      </c>
      <c r="B130" s="33" t="inlineStr">
        <is>
          <t>VKM-018</t>
        </is>
      </c>
      <c r="C130" s="33" t="inlineStr">
        <is>
          <t>Традиционный красный борщ</t>
        </is>
      </c>
      <c r="D130" s="33" t="n">
        <v>2</v>
      </c>
      <c r="E130" s="33" t="inlineStr">
        <is>
          <t>подготовить овощи</t>
        </is>
      </c>
      <c r="F130" s="33" t="inlineStr">
        <is>
          <t>HOT-12;HOT-13</t>
        </is>
      </c>
      <c r="G130" s="33" t="inlineStr">
        <is>
          <t>Столы и полки горячего участка;GN, противни и горячий инвентарь</t>
        </is>
      </c>
      <c r="H130" s="33" t="inlineStr">
        <is>
          <t>CAPEX.HOT.013;CAPEX.HOT.014</t>
        </is>
      </c>
      <c r="I130" s="33" t="inlineStr">
        <is>
          <t>HOT_PREP_PORTIONING</t>
        </is>
      </c>
      <c r="J130" s="33" t="n"/>
      <c r="K130" s="33" t="inlineStr">
        <is>
          <t>HOT-12: По планировке; HOT-13: Совместимость с печами</t>
        </is>
      </c>
      <c r="L130" s="33" t="inlineStr">
        <is>
          <t>PLANNED</t>
        </is>
      </c>
      <c r="M130" s="33" t="n"/>
      <c r="N130" s="33" t="n"/>
      <c r="O130" s="33" t="n"/>
      <c r="P130" s="33" t="n"/>
      <c r="Q130" s="33" t="n"/>
      <c r="R130" s="33" t="inlineStr">
        <is>
          <t>BLOCKED_NO_SELECTED_MODEL_PASSPORT</t>
        </is>
      </c>
      <c r="S130" s="33" t="inlineStr">
        <is>
          <t>BLOCKED</t>
        </is>
      </c>
      <c r="T130" s="33" t="inlineStr">
        <is>
          <t>BLOCKED</t>
        </is>
      </c>
      <c r="U130" s="33" t="inlineStr">
        <is>
          <t>BLOCKED_SELECTED_MODEL_AND_SITE_VALIDATION</t>
        </is>
      </c>
      <c r="V130" s="33" t="inlineStr">
        <is>
          <t>ESTIMATE</t>
        </is>
      </c>
      <c r="W130" s="33" t="inlineStr">
        <is>
          <t>GAP-007;GAP-017;GAP-018;GAP-019</t>
        </is>
      </c>
    </row>
    <row r="131">
      <c r="A131" s="33" t="inlineStr">
        <is>
          <t>EQM-0094</t>
        </is>
      </c>
      <c r="B131" s="33" t="inlineStr">
        <is>
          <t>VKM-018</t>
        </is>
      </c>
      <c r="C131" s="33" t="inlineStr">
        <is>
          <t>Традиционный красный борщ</t>
        </is>
      </c>
      <c r="D131" s="33" t="n">
        <v>3</v>
      </c>
      <c r="E131" s="33" t="inlineStr">
        <is>
          <t>выполнить пассеровку свёклы</t>
        </is>
      </c>
      <c r="F131" s="33" t="inlineStr">
        <is>
          <t>HOT-05A;HOT-13</t>
        </is>
      </c>
      <c r="G131" s="33" t="inlineStr">
        <is>
          <t>Индукционная плита 4 зоны;GN, противни и горячий инвентарь</t>
        </is>
      </c>
      <c r="H131" s="33" t="inlineStr">
        <is>
          <t>CAPEX.HOT.005;CAPEX.HOT.014</t>
        </is>
      </c>
      <c r="I131" s="33" t="inlineStr">
        <is>
          <t>BOILING_SAUTE_COOKING</t>
        </is>
      </c>
      <c r="J131" s="33" t="n"/>
      <c r="K131" s="33" t="inlineStr">
        <is>
          <t>HOT-05A: 4 зоны; HOT-13: Совместимость с печами</t>
        </is>
      </c>
      <c r="L131" s="33" t="inlineStr">
        <is>
          <t>PLANNED</t>
        </is>
      </c>
      <c r="M131" s="33" t="n"/>
      <c r="N131" s="33" t="n"/>
      <c r="O131" s="33" t="n"/>
      <c r="P131" s="33" t="n"/>
      <c r="Q131" s="33" t="n"/>
      <c r="R131" s="33" t="inlineStr">
        <is>
          <t>BLOCKED_NO_SELECTED_MODEL_PASSPORT</t>
        </is>
      </c>
      <c r="S131" s="33" t="inlineStr">
        <is>
          <t>BLOCKED</t>
        </is>
      </c>
      <c r="T131" s="33" t="inlineStr">
        <is>
          <t>BLOCKED</t>
        </is>
      </c>
      <c r="U131" s="33" t="inlineStr">
        <is>
          <t>BLOCKED_SELECTED_MODEL_AND_SITE_VALIDATION</t>
        </is>
      </c>
      <c r="V131" s="33" t="inlineStr">
        <is>
          <t>ESTIMATE</t>
        </is>
      </c>
      <c r="W131" s="33" t="inlineStr">
        <is>
          <t>GAP-007;GAP-017;GAP-018;GAP-019</t>
        </is>
      </c>
    </row>
    <row r="132">
      <c r="A132" s="33" t="inlineStr">
        <is>
          <t>EQM-0095</t>
        </is>
      </c>
      <c r="B132" s="33" t="inlineStr">
        <is>
          <t>VKM-018</t>
        </is>
      </c>
      <c r="C132" s="33" t="inlineStr">
        <is>
          <t>Традиционный красный борщ</t>
        </is>
      </c>
      <c r="D132" s="33" t="n">
        <v>4</v>
      </c>
      <c r="E132" s="33" t="inlineStr">
        <is>
          <t>соединить компоненты</t>
        </is>
      </c>
      <c r="F132" s="33" t="inlineStr">
        <is>
          <t>HOT-05A;HOT-13</t>
        </is>
      </c>
      <c r="G132" s="33" t="inlineStr">
        <is>
          <t>Индукционная плита 4 зоны;GN, противни и горячий инвентарь</t>
        </is>
      </c>
      <c r="H132" s="33" t="inlineStr">
        <is>
          <t>CAPEX.HOT.005;CAPEX.HOT.014</t>
        </is>
      </c>
      <c r="I132" s="33" t="inlineStr">
        <is>
          <t>BOILING_SAUTE_COOKING</t>
        </is>
      </c>
      <c r="J132" s="33" t="n"/>
      <c r="K132" s="33" t="inlineStr">
        <is>
          <t>HOT-05A: 4 зоны; HOT-13: Совместимость с печами</t>
        </is>
      </c>
      <c r="L132" s="33" t="inlineStr">
        <is>
          <t>PLANNED</t>
        </is>
      </c>
      <c r="M132" s="33" t="n"/>
      <c r="N132" s="33" t="n"/>
      <c r="O132" s="33" t="n"/>
      <c r="P132" s="33" t="n"/>
      <c r="Q132" s="33" t="n"/>
      <c r="R132" s="33" t="inlineStr">
        <is>
          <t>BLOCKED_NO_SELECTED_MODEL_PASSPORT</t>
        </is>
      </c>
      <c r="S132" s="33" t="inlineStr">
        <is>
          <t>BLOCKED</t>
        </is>
      </c>
      <c r="T132" s="33" t="inlineStr">
        <is>
          <t>BLOCKED</t>
        </is>
      </c>
      <c r="U132" s="33" t="inlineStr">
        <is>
          <t>BLOCKED_SELECTED_MODEL_AND_SITE_VALIDATION</t>
        </is>
      </c>
      <c r="V132" s="33" t="inlineStr">
        <is>
          <t>ESTIMATE</t>
        </is>
      </c>
      <c r="W132" s="33" t="inlineStr">
        <is>
          <t>GAP-007;GAP-017;GAP-018;GAP-019</t>
        </is>
      </c>
    </row>
    <row r="133">
      <c r="A133" s="33" t="inlineStr">
        <is>
          <t>EQM-0096</t>
        </is>
      </c>
      <c r="B133" s="33" t="inlineStr">
        <is>
          <t>VKM-018</t>
        </is>
      </c>
      <c r="C133" s="33" t="inlineStr">
        <is>
          <t>Традиционный красный борщ</t>
        </is>
      </c>
      <c r="D133" s="33" t="n">
        <v>5</v>
      </c>
      <c r="E133" s="33" t="inlineStr">
        <is>
          <t>довести вкус</t>
        </is>
      </c>
      <c r="F133" s="33" t="inlineStr">
        <is>
          <t>HOT-05A;HOT-13</t>
        </is>
      </c>
      <c r="G133" s="33" t="inlineStr">
        <is>
          <t>Индукционная плита 4 зоны;GN, противни и горячий инвентарь</t>
        </is>
      </c>
      <c r="H133" s="33" t="inlineStr">
        <is>
          <t>CAPEX.HOT.005;CAPEX.HOT.014</t>
        </is>
      </c>
      <c r="I133" s="33" t="inlineStr">
        <is>
          <t>BOILING_SAUTE_COOKING</t>
        </is>
      </c>
      <c r="J133" s="33" t="n"/>
      <c r="K133" s="33" t="inlineStr">
        <is>
          <t>HOT-05A: 4 зоны; HOT-13: Совместимость с печами</t>
        </is>
      </c>
      <c r="L133" s="33" t="inlineStr">
        <is>
          <t>PLANNED</t>
        </is>
      </c>
      <c r="M133" s="33" t="n"/>
      <c r="N133" s="33" t="n"/>
      <c r="O133" s="33" t="n"/>
      <c r="P133" s="33" t="n"/>
      <c r="Q133" s="33" t="n"/>
      <c r="R133" s="33" t="inlineStr">
        <is>
          <t>BLOCKED_NO_SELECTED_MODEL_PASSPORT</t>
        </is>
      </c>
      <c r="S133" s="33" t="inlineStr">
        <is>
          <t>BLOCKED</t>
        </is>
      </c>
      <c r="T133" s="33" t="inlineStr">
        <is>
          <t>BLOCKED</t>
        </is>
      </c>
      <c r="U133" s="33" t="inlineStr">
        <is>
          <t>BLOCKED_SELECTED_MODEL_AND_SITE_VALIDATION</t>
        </is>
      </c>
      <c r="V133" s="33" t="inlineStr">
        <is>
          <t>ESTIMATE</t>
        </is>
      </c>
      <c r="W133" s="33" t="inlineStr">
        <is>
          <t>GAP-007;GAP-017;GAP-018;GAP-019</t>
        </is>
      </c>
    </row>
    <row r="134">
      <c r="A134" s="33" t="inlineStr">
        <is>
          <t>EQM-0097</t>
        </is>
      </c>
      <c r="B134" s="33" t="inlineStr">
        <is>
          <t>VKM-018</t>
        </is>
      </c>
      <c r="C134" s="33" t="inlineStr">
        <is>
          <t>Традиционный красный борщ</t>
        </is>
      </c>
      <c r="D134" s="33" t="n">
        <v>6</v>
      </c>
      <c r="E134" s="33" t="inlineStr">
        <is>
          <t>порционировать с мясом, сметаной и зеленью</t>
        </is>
      </c>
      <c r="F134" s="33" t="inlineStr">
        <is>
          <t>HOT-12;HOT-13</t>
        </is>
      </c>
      <c r="G134" s="33" t="inlineStr">
        <is>
          <t>Столы и полки горячего участка;GN, противни и горячий инвентарь</t>
        </is>
      </c>
      <c r="H134" s="33" t="inlineStr">
        <is>
          <t>CAPEX.HOT.013;CAPEX.HOT.014</t>
        </is>
      </c>
      <c r="I134" s="33" t="inlineStr">
        <is>
          <t>HOT_PREP_PORTIONING</t>
        </is>
      </c>
      <c r="J134" s="33" t="n"/>
      <c r="K134" s="33" t="inlineStr">
        <is>
          <t>HOT-12: По планировке; HOT-13: Совместимость с печами</t>
        </is>
      </c>
      <c r="L134" s="33" t="inlineStr">
        <is>
          <t>PLANNED</t>
        </is>
      </c>
      <c r="M134" s="33" t="n"/>
      <c r="N134" s="33" t="n"/>
      <c r="O134" s="33" t="n"/>
      <c r="P134" s="33" t="n"/>
      <c r="Q134" s="33" t="n"/>
      <c r="R134" s="33" t="inlineStr">
        <is>
          <t>BLOCKED_NO_SELECTED_MODEL_PASSPORT</t>
        </is>
      </c>
      <c r="S134" s="33" t="inlineStr">
        <is>
          <t>BLOCKED</t>
        </is>
      </c>
      <c r="T134" s="33" t="inlineStr">
        <is>
          <t>BLOCKED</t>
        </is>
      </c>
      <c r="U134" s="33" t="inlineStr">
        <is>
          <t>BLOCKED_SELECTED_MODEL_AND_SITE_VALIDATION</t>
        </is>
      </c>
      <c r="V134" s="33" t="inlineStr">
        <is>
          <t>ESTIMATE</t>
        </is>
      </c>
      <c r="W134" s="33" t="inlineStr">
        <is>
          <t>GAP-007;GAP-017;GAP-018;GAP-019</t>
        </is>
      </c>
    </row>
    <row r="135">
      <c r="A135" s="33" t="inlineStr">
        <is>
          <t>EQM-0098</t>
        </is>
      </c>
      <c r="B135" s="33" t="inlineStr">
        <is>
          <t>VKM-019</t>
        </is>
      </c>
      <c r="C135" s="33" t="inlineStr">
        <is>
          <t>Мурманская треска со сливочно-горчичным соусом</t>
        </is>
      </c>
      <c r="D135" s="33" t="n">
        <v>1</v>
      </c>
      <c r="E135" s="33" t="inlineStr">
        <is>
          <t>Порционировать треску</t>
        </is>
      </c>
      <c r="F135" s="33" t="inlineStr">
        <is>
          <t>HOT-12;HOT-13</t>
        </is>
      </c>
      <c r="G135" s="33" t="inlineStr">
        <is>
          <t>Столы и полки горячего участка;GN, противни и горячий инвентарь</t>
        </is>
      </c>
      <c r="H135" s="33" t="inlineStr">
        <is>
          <t>CAPEX.HOT.013;CAPEX.HOT.014</t>
        </is>
      </c>
      <c r="I135" s="33" t="inlineStr">
        <is>
          <t>MANUAL_HOT_LINE_PREP</t>
        </is>
      </c>
      <c r="J135" s="33" t="n"/>
      <c r="K135" s="33" t="inlineStr">
        <is>
          <t>HOT-12: По планировке; HOT-13: Совместимость с печами</t>
        </is>
      </c>
      <c r="L135" s="33" t="inlineStr">
        <is>
          <t>PLANNED</t>
        </is>
      </c>
      <c r="M135" s="33" t="n"/>
      <c r="N135" s="33" t="n"/>
      <c r="O135" s="33" t="n"/>
      <c r="P135" s="33" t="n"/>
      <c r="Q135" s="33" t="n"/>
      <c r="R135" s="33" t="inlineStr">
        <is>
          <t>BLOCKED_NO_SELECTED_MODEL_PASSPORT</t>
        </is>
      </c>
      <c r="S135" s="33" t="inlineStr">
        <is>
          <t>BLOCKED</t>
        </is>
      </c>
      <c r="T135" s="33" t="inlineStr">
        <is>
          <t>BLOCKED</t>
        </is>
      </c>
      <c r="U135" s="33" t="inlineStr">
        <is>
          <t>BLOCKED_SELECTED_MODEL_AND_SITE_VALIDATION</t>
        </is>
      </c>
      <c r="V135" s="33" t="inlineStr">
        <is>
          <t>ESTIMATE</t>
        </is>
      </c>
      <c r="W135" s="33" t="inlineStr">
        <is>
          <t>GAP-007;GAP-017;GAP-018;GAP-019</t>
        </is>
      </c>
    </row>
    <row r="136">
      <c r="A136" s="33" t="inlineStr">
        <is>
          <t>EQM-0099</t>
        </is>
      </c>
      <c r="B136" s="33" t="inlineStr">
        <is>
          <t>VKM-019</t>
        </is>
      </c>
      <c r="C136" s="33" t="inlineStr">
        <is>
          <t>Мурманская треска со сливочно-горчичным соусом</t>
        </is>
      </c>
      <c r="D136" s="33" t="n">
        <v>2</v>
      </c>
      <c r="E136" s="33" t="inlineStr">
        <is>
          <t>подготовить соус</t>
        </is>
      </c>
      <c r="F136" s="33" t="inlineStr">
        <is>
          <t>HOT-05B;HOT-13</t>
        </is>
      </c>
      <c r="G136" s="33" t="inlineStr">
        <is>
          <t>Индукционная плита 2 зоны;GN, противни и горячий инвентарь</t>
        </is>
      </c>
      <c r="H136" s="33" t="inlineStr">
        <is>
          <t>CAPEX.HOT.006;CAPEX.HOT.014</t>
        </is>
      </c>
      <c r="I136" s="33" t="inlineStr">
        <is>
          <t>SAUCE_COOKING</t>
        </is>
      </c>
      <c r="J136" s="33" t="n"/>
      <c r="K136" s="33" t="inlineStr">
        <is>
          <t>HOT-05B: 2 зоны; HOT-13: Совместимость с печами</t>
        </is>
      </c>
      <c r="L136" s="33" t="inlineStr">
        <is>
          <t>PLANNED</t>
        </is>
      </c>
      <c r="M136" s="33" t="n"/>
      <c r="N136" s="33" t="n"/>
      <c r="O136" s="33" t="n"/>
      <c r="P136" s="33" t="n"/>
      <c r="Q136" s="33" t="n"/>
      <c r="R136" s="33" t="inlineStr">
        <is>
          <t>BLOCKED_NO_SELECTED_MODEL_PASSPORT</t>
        </is>
      </c>
      <c r="S136" s="33" t="inlineStr">
        <is>
          <t>BLOCKED</t>
        </is>
      </c>
      <c r="T136" s="33" t="inlineStr">
        <is>
          <t>BLOCKED</t>
        </is>
      </c>
      <c r="U136" s="33" t="inlineStr">
        <is>
          <t>BLOCKED_SELECTED_MODEL_AND_SITE_VALIDATION</t>
        </is>
      </c>
      <c r="V136" s="33" t="inlineStr">
        <is>
          <t>ESTIMATE</t>
        </is>
      </c>
      <c r="W136" s="33" t="inlineStr">
        <is>
          <t>GAP-007;GAP-017;GAP-018;GAP-019</t>
        </is>
      </c>
    </row>
    <row r="137">
      <c r="A137" s="33" t="inlineStr">
        <is>
          <t>EQM-0100</t>
        </is>
      </c>
      <c r="B137" s="33" t="inlineStr">
        <is>
          <t>VKM-019</t>
        </is>
      </c>
      <c r="C137" s="33" t="inlineStr">
        <is>
          <t>Мурманская треска со сливочно-горчичным соусом</t>
        </is>
      </c>
      <c r="D137" s="33" t="n">
        <v>3</v>
      </c>
      <c r="E137" s="33" t="inlineStr">
        <is>
          <t>обработать рыбу и шпинат</t>
        </is>
      </c>
      <c r="F137" s="33" t="inlineStr">
        <is>
          <t>HOT-01;HOT-13</t>
        </is>
      </c>
      <c r="G137" s="33" t="inlineStr">
        <is>
          <t>Пароконвектомат;GN, противни и горячий инвентарь</t>
        </is>
      </c>
      <c r="H137" s="33" t="inlineStr">
        <is>
          <t>CAPEX.HOT.001;CAPEX.HOT.014</t>
        </is>
      </c>
      <c r="I137" s="33" t="inlineStr">
        <is>
          <t>FISH_THERMAL_PROCESS</t>
        </is>
      </c>
      <c r="J137" s="33" t="n"/>
      <c r="K137" s="33" t="inlineStr">
        <is>
          <t>HOT-01: Минимум 6×GN 1/1; программы; термощуп; HOT-13: Совместимость с печами</t>
        </is>
      </c>
      <c r="L137" s="33" t="inlineStr">
        <is>
          <t>PLANNED</t>
        </is>
      </c>
      <c r="M137" s="33" t="n"/>
      <c r="N137" s="33" t="n"/>
      <c r="O137" s="33" t="n"/>
      <c r="P137" s="33" t="n"/>
      <c r="Q137" s="33" t="n"/>
      <c r="R137" s="33" t="inlineStr">
        <is>
          <t>BLOCKED_NO_SELECTED_MODEL_PASSPORT</t>
        </is>
      </c>
      <c r="S137" s="33" t="inlineStr">
        <is>
          <t>BLOCKED</t>
        </is>
      </c>
      <c r="T137" s="33" t="inlineStr">
        <is>
          <t>BLOCKED</t>
        </is>
      </c>
      <c r="U137" s="33" t="inlineStr">
        <is>
          <t>BLOCKED_SELECTED_MODEL_AND_SITE_VALIDATION</t>
        </is>
      </c>
      <c r="V137" s="33" t="inlineStr">
        <is>
          <t>ESTIMATE</t>
        </is>
      </c>
      <c r="W137" s="33" t="inlineStr">
        <is>
          <t>GAP-007;GAP-017;GAP-018;GAP-019</t>
        </is>
      </c>
    </row>
    <row r="138">
      <c r="A138" s="33" t="inlineStr">
        <is>
          <t>EQM-0101</t>
        </is>
      </c>
      <c r="B138" s="33" t="inlineStr">
        <is>
          <t>VKM-019</t>
        </is>
      </c>
      <c r="C138" s="33" t="inlineStr">
        <is>
          <t>Мурманская треска со сливочно-горчичным соусом</t>
        </is>
      </c>
      <c r="D138" s="33" t="n">
        <v>4</v>
      </c>
      <c r="E138" s="33" t="inlineStr">
        <is>
          <t>довести соус</t>
        </is>
      </c>
      <c r="F138" s="33" t="inlineStr">
        <is>
          <t>HOT-05B;HOT-13</t>
        </is>
      </c>
      <c r="G138" s="33" t="inlineStr">
        <is>
          <t>Индукционная плита 2 зоны;GN, противни и горячий инвентарь</t>
        </is>
      </c>
      <c r="H138" s="33" t="inlineStr">
        <is>
          <t>CAPEX.HOT.006;CAPEX.HOT.014</t>
        </is>
      </c>
      <c r="I138" s="33" t="inlineStr">
        <is>
          <t>SAUCE_COOKING</t>
        </is>
      </c>
      <c r="J138" s="33" t="n"/>
      <c r="K138" s="33" t="inlineStr">
        <is>
          <t>HOT-05B: 2 зоны; HOT-13: Совместимость с печами</t>
        </is>
      </c>
      <c r="L138" s="33" t="inlineStr">
        <is>
          <t>PLANNED</t>
        </is>
      </c>
      <c r="M138" s="33" t="n"/>
      <c r="N138" s="33" t="n"/>
      <c r="O138" s="33" t="n"/>
      <c r="P138" s="33" t="n"/>
      <c r="Q138" s="33" t="n"/>
      <c r="R138" s="33" t="inlineStr">
        <is>
          <t>BLOCKED_NO_SELECTED_MODEL_PASSPORT</t>
        </is>
      </c>
      <c r="S138" s="33" t="inlineStr">
        <is>
          <t>BLOCKED</t>
        </is>
      </c>
      <c r="T138" s="33" t="inlineStr">
        <is>
          <t>BLOCKED</t>
        </is>
      </c>
      <c r="U138" s="33" t="inlineStr">
        <is>
          <t>BLOCKED_SELECTED_MODEL_AND_SITE_VALIDATION</t>
        </is>
      </c>
      <c r="V138" s="33" t="inlineStr">
        <is>
          <t>ESTIMATE</t>
        </is>
      </c>
      <c r="W138" s="33" t="inlineStr">
        <is>
          <t>GAP-007;GAP-017;GAP-018;GAP-019</t>
        </is>
      </c>
    </row>
    <row r="139">
      <c r="A139" s="33" t="inlineStr">
        <is>
          <t>EQM-0102</t>
        </is>
      </c>
      <c r="B139" s="33" t="inlineStr">
        <is>
          <t>VKM-019</t>
        </is>
      </c>
      <c r="C139" s="33" t="inlineStr">
        <is>
          <t>Мурманская треска со сливочно-горчичным соусом</t>
        </is>
      </c>
      <c r="D139" s="33" t="n">
        <v>5</v>
      </c>
      <c r="E139" s="33" t="inlineStr">
        <is>
          <t>собрать и финишировать</t>
        </is>
      </c>
      <c r="F139" s="33" t="inlineStr">
        <is>
          <t>HOT-12;HOT-13</t>
        </is>
      </c>
      <c r="G139" s="33" t="inlineStr">
        <is>
          <t>Столы и полки горячего участка;GN, противни и горячий инвентарь</t>
        </is>
      </c>
      <c r="H139" s="33" t="inlineStr">
        <is>
          <t>CAPEX.HOT.013;CAPEX.HOT.014</t>
        </is>
      </c>
      <c r="I139" s="33" t="inlineStr">
        <is>
          <t>HOT_PREP_ASSEMBLY</t>
        </is>
      </c>
      <c r="J139" s="33" t="n"/>
      <c r="K139" s="33" t="inlineStr">
        <is>
          <t>HOT-12: По планировке; HOT-13: Совместимость с печами</t>
        </is>
      </c>
      <c r="L139" s="33" t="inlineStr">
        <is>
          <t>PLANNED</t>
        </is>
      </c>
      <c r="M139" s="33" t="n"/>
      <c r="N139" s="33" t="n"/>
      <c r="O139" s="33" t="n"/>
      <c r="P139" s="33" t="n"/>
      <c r="Q139" s="33" t="n"/>
      <c r="R139" s="33" t="inlineStr">
        <is>
          <t>BLOCKED_NO_SELECTED_MODEL_PASSPORT</t>
        </is>
      </c>
      <c r="S139" s="33" t="inlineStr">
        <is>
          <t>BLOCKED</t>
        </is>
      </c>
      <c r="T139" s="33" t="inlineStr">
        <is>
          <t>BLOCKED</t>
        </is>
      </c>
      <c r="U139" s="33" t="inlineStr">
        <is>
          <t>BLOCKED_SELECTED_MODEL_AND_SITE_VALIDATION</t>
        </is>
      </c>
      <c r="V139" s="33" t="inlineStr">
        <is>
          <t>ESTIMATE</t>
        </is>
      </c>
      <c r="W139" s="33" t="inlineStr">
        <is>
          <t>GAP-007;GAP-017;GAP-018;GAP-019</t>
        </is>
      </c>
    </row>
    <row r="140">
      <c r="A140" s="33" t="inlineStr">
        <is>
          <t>EQM-0103</t>
        </is>
      </c>
      <c r="B140" s="33" t="inlineStr">
        <is>
          <t>VKM-020</t>
        </is>
      </c>
      <c r="C140" s="33" t="inlineStr">
        <is>
          <t>Креветки по-тайски</t>
        </is>
      </c>
      <c r="D140" s="33" t="n">
        <v>1</v>
      </c>
      <c r="E140" s="33" t="inlineStr">
        <is>
          <t>Подготовить креветки и овощи</t>
        </is>
      </c>
      <c r="F140" s="33" t="inlineStr">
        <is>
          <t>HOT-12;HOT-13</t>
        </is>
      </c>
      <c r="G140" s="33" t="inlineStr">
        <is>
          <t>Столы и полки горячего участка;GN, противни и горячий инвентарь</t>
        </is>
      </c>
      <c r="H140" s="33" t="inlineStr">
        <is>
          <t>CAPEX.HOT.013;CAPEX.HOT.014</t>
        </is>
      </c>
      <c r="I140" s="33" t="inlineStr">
        <is>
          <t>MANUAL_HOT_LINE_PREP</t>
        </is>
      </c>
      <c r="J140" s="33" t="n"/>
      <c r="K140" s="33" t="inlineStr">
        <is>
          <t>HOT-12: По планировке; HOT-13: Совместимость с печами</t>
        </is>
      </c>
      <c r="L140" s="33" t="inlineStr">
        <is>
          <t>PLANNED</t>
        </is>
      </c>
      <c r="M140" s="33" t="n"/>
      <c r="N140" s="33" t="n"/>
      <c r="O140" s="33" t="n"/>
      <c r="P140" s="33" t="n"/>
      <c r="Q140" s="33" t="n"/>
      <c r="R140" s="33" t="inlineStr">
        <is>
          <t>BLOCKED_NO_SELECTED_MODEL_PASSPORT</t>
        </is>
      </c>
      <c r="S140" s="33" t="inlineStr">
        <is>
          <t>BLOCKED</t>
        </is>
      </c>
      <c r="T140" s="33" t="inlineStr">
        <is>
          <t>BLOCKED</t>
        </is>
      </c>
      <c r="U140" s="33" t="inlineStr">
        <is>
          <t>BLOCKED_SELECTED_MODEL_AND_SITE_VALIDATION</t>
        </is>
      </c>
      <c r="V140" s="33" t="inlineStr">
        <is>
          <t>ESTIMATE</t>
        </is>
      </c>
      <c r="W140" s="33" t="inlineStr">
        <is>
          <t>GAP-007;GAP-017;GAP-018;GAP-019</t>
        </is>
      </c>
    </row>
    <row r="141">
      <c r="A141" s="33" t="inlineStr">
        <is>
          <t>EQM-0104</t>
        </is>
      </c>
      <c r="B141" s="33" t="inlineStr">
        <is>
          <t>VKM-020</t>
        </is>
      </c>
      <c r="C141" s="33" t="inlineStr">
        <is>
          <t>Креветки по-тайски</t>
        </is>
      </c>
      <c r="D141" s="33" t="n">
        <v>2</v>
      </c>
      <c r="E141" s="33" t="inlineStr">
        <is>
          <t>приготовить кокосовый соус</t>
        </is>
      </c>
      <c r="F141" s="33" t="inlineStr">
        <is>
          <t>HOT-03;HOT-13</t>
        </is>
      </c>
      <c r="G141" s="33" t="inlineStr">
        <is>
          <t>WOK-пост;GN, противни и горячий инвентарь</t>
        </is>
      </c>
      <c r="H141" s="33" t="inlineStr">
        <is>
          <t>CAPEX.HOT.003;CAPEX.HOT.014</t>
        </is>
      </c>
      <c r="I141" s="33" t="inlineStr">
        <is>
          <t>WOK_COOKING</t>
        </is>
      </c>
      <c r="J141" s="33" t="n"/>
      <c r="K141" s="33" t="inlineStr">
        <is>
          <t>HOT-03: ≥5 порций/час; HOT-13: Совместимость с печами</t>
        </is>
      </c>
      <c r="L141" s="33" t="inlineStr">
        <is>
          <t>PLANNED</t>
        </is>
      </c>
      <c r="M141" s="33" t="n">
        <v>1</v>
      </c>
      <c r="N141" s="33" t="n"/>
      <c r="O141" s="33" t="n"/>
      <c r="P141" s="33" t="n"/>
      <c r="Q141" s="33" t="n"/>
      <c r="R141" s="33" t="inlineStr">
        <is>
          <t>BLOCKED_NO_SELECTED_MODEL_PASSPORT</t>
        </is>
      </c>
      <c r="S141" s="33" t="inlineStr">
        <is>
          <t>BLOCKED</t>
        </is>
      </c>
      <c r="T141" s="33" t="inlineStr">
        <is>
          <t>BLOCKED</t>
        </is>
      </c>
      <c r="U141" s="33" t="inlineStr">
        <is>
          <t>BLOCKED_SELECTED_MODEL_AND_SITE_VALIDATION</t>
        </is>
      </c>
      <c r="V141" s="33" t="inlineStr">
        <is>
          <t>ESTIMATE</t>
        </is>
      </c>
      <c r="W141" s="33" t="inlineStr">
        <is>
          <t>GAP-007;GAP-017;GAP-018;GAP-019</t>
        </is>
      </c>
    </row>
    <row r="142">
      <c r="A142" s="33" t="inlineStr">
        <is>
          <t>EQM-0105</t>
        </is>
      </c>
      <c r="B142" s="33" t="inlineStr">
        <is>
          <t>VKM-020</t>
        </is>
      </c>
      <c r="C142" s="33" t="inlineStr">
        <is>
          <t>Креветки по-тайски</t>
        </is>
      </c>
      <c r="D142" s="33" t="n">
        <v>3</v>
      </c>
      <c r="E142" s="33" t="inlineStr">
        <is>
          <t>последовательно обработать компоненты</t>
        </is>
      </c>
      <c r="F142" s="33" t="inlineStr">
        <is>
          <t>HOT-03;HOT-13</t>
        </is>
      </c>
      <c r="G142" s="33" t="inlineStr">
        <is>
          <t>WOK-пост;GN, противни и горячий инвентарь</t>
        </is>
      </c>
      <c r="H142" s="33" t="inlineStr">
        <is>
          <t>CAPEX.HOT.003;CAPEX.HOT.014</t>
        </is>
      </c>
      <c r="I142" s="33" t="inlineStr">
        <is>
          <t>WOK_COOKING</t>
        </is>
      </c>
      <c r="J142" s="33" t="n"/>
      <c r="K142" s="33" t="inlineStr">
        <is>
          <t>HOT-03: ≥5 порций/час; HOT-13: Совместимость с печами</t>
        </is>
      </c>
      <c r="L142" s="33" t="inlineStr">
        <is>
          <t>PLANNED</t>
        </is>
      </c>
      <c r="M142" s="33" t="n">
        <v>1</v>
      </c>
      <c r="N142" s="33" t="n"/>
      <c r="O142" s="33" t="n"/>
      <c r="P142" s="33" t="n"/>
      <c r="Q142" s="33" t="n"/>
      <c r="R142" s="33" t="inlineStr">
        <is>
          <t>BLOCKED_NO_SELECTED_MODEL_PASSPORT</t>
        </is>
      </c>
      <c r="S142" s="33" t="inlineStr">
        <is>
          <t>BLOCKED</t>
        </is>
      </c>
      <c r="T142" s="33" t="inlineStr">
        <is>
          <t>BLOCKED</t>
        </is>
      </c>
      <c r="U142" s="33" t="inlineStr">
        <is>
          <t>BLOCKED_SELECTED_MODEL_AND_SITE_VALIDATION</t>
        </is>
      </c>
      <c r="V142" s="33" t="inlineStr">
        <is>
          <t>ESTIMATE</t>
        </is>
      </c>
      <c r="W142" s="33" t="inlineStr">
        <is>
          <t>GAP-007;GAP-017;GAP-018;GAP-019</t>
        </is>
      </c>
    </row>
    <row r="143">
      <c r="A143" s="33" t="inlineStr">
        <is>
          <t>EQM-0106</t>
        </is>
      </c>
      <c r="B143" s="33" t="inlineStr">
        <is>
          <t>VKM-020</t>
        </is>
      </c>
      <c r="C143" s="33" t="inlineStr">
        <is>
          <t>Креветки по-тайски</t>
        </is>
      </c>
      <c r="D143" s="33" t="n">
        <v>4</v>
      </c>
      <c r="E143" s="33" t="inlineStr">
        <is>
          <t>добавить лапшу</t>
        </is>
      </c>
      <c r="F143" s="33" t="inlineStr">
        <is>
          <t>HOT-03;HOT-13</t>
        </is>
      </c>
      <c r="G143" s="33" t="inlineStr">
        <is>
          <t>WOK-пост;GN, противни и горячий инвентарь</t>
        </is>
      </c>
      <c r="H143" s="33" t="inlineStr">
        <is>
          <t>CAPEX.HOT.003;CAPEX.HOT.014</t>
        </is>
      </c>
      <c r="I143" s="33" t="inlineStr">
        <is>
          <t>WOK_COOKING</t>
        </is>
      </c>
      <c r="J143" s="33" t="n"/>
      <c r="K143" s="33" t="inlineStr">
        <is>
          <t>HOT-03: ≥5 порций/час; HOT-13: Совместимость с печами</t>
        </is>
      </c>
      <c r="L143" s="33" t="inlineStr">
        <is>
          <t>PLANNED</t>
        </is>
      </c>
      <c r="M143" s="33" t="n">
        <v>1</v>
      </c>
      <c r="N143" s="33" t="n"/>
      <c r="O143" s="33" t="n"/>
      <c r="P143" s="33" t="n"/>
      <c r="Q143" s="33" t="n"/>
      <c r="R143" s="33" t="inlineStr">
        <is>
          <t>BLOCKED_NO_SELECTED_MODEL_PASSPORT</t>
        </is>
      </c>
      <c r="S143" s="33" t="inlineStr">
        <is>
          <t>BLOCKED</t>
        </is>
      </c>
      <c r="T143" s="33" t="inlineStr">
        <is>
          <t>BLOCKED</t>
        </is>
      </c>
      <c r="U143" s="33" t="inlineStr">
        <is>
          <t>BLOCKED_SELECTED_MODEL_AND_SITE_VALIDATION</t>
        </is>
      </c>
      <c r="V143" s="33" t="inlineStr">
        <is>
          <t>ESTIMATE</t>
        </is>
      </c>
      <c r="W143" s="33" t="inlineStr">
        <is>
          <t>GAP-007;GAP-017;GAP-018;GAP-019</t>
        </is>
      </c>
    </row>
    <row r="144">
      <c r="A144" s="33" t="inlineStr">
        <is>
          <t>EQM-0107</t>
        </is>
      </c>
      <c r="B144" s="33" t="inlineStr">
        <is>
          <t>VKM-020</t>
        </is>
      </c>
      <c r="C144" s="33" t="inlineStr">
        <is>
          <t>Креветки по-тайски</t>
        </is>
      </c>
      <c r="D144" s="33" t="n">
        <v>5</v>
      </c>
      <c r="E144" s="33" t="inlineStr">
        <is>
          <t>довести и финишировать</t>
        </is>
      </c>
      <c r="F144" s="33" t="inlineStr">
        <is>
          <t>HOT-12;HOT-13</t>
        </is>
      </c>
      <c r="G144" s="33" t="inlineStr">
        <is>
          <t>Столы и полки горячего участка;GN, противни и горячий инвентарь</t>
        </is>
      </c>
      <c r="H144" s="33" t="inlineStr">
        <is>
          <t>CAPEX.HOT.013;CAPEX.HOT.014</t>
        </is>
      </c>
      <c r="I144" s="33" t="inlineStr">
        <is>
          <t>HOT_PREP_ASSEMBLY</t>
        </is>
      </c>
      <c r="J144" s="33" t="n"/>
      <c r="K144" s="33" t="inlineStr">
        <is>
          <t>HOT-12: По планировке; HOT-13: Совместимость с печами</t>
        </is>
      </c>
      <c r="L144" s="33" t="inlineStr">
        <is>
          <t>PLANNED</t>
        </is>
      </c>
      <c r="M144" s="33" t="n"/>
      <c r="N144" s="33" t="n"/>
      <c r="O144" s="33" t="n"/>
      <c r="P144" s="33" t="n"/>
      <c r="Q144" s="33" t="n"/>
      <c r="R144" s="33" t="inlineStr">
        <is>
          <t>BLOCKED_NO_SELECTED_MODEL_PASSPORT</t>
        </is>
      </c>
      <c r="S144" s="33" t="inlineStr">
        <is>
          <t>BLOCKED</t>
        </is>
      </c>
      <c r="T144" s="33" t="inlineStr">
        <is>
          <t>BLOCKED</t>
        </is>
      </c>
      <c r="U144" s="33" t="inlineStr">
        <is>
          <t>BLOCKED_SELECTED_MODEL_AND_SITE_VALIDATION</t>
        </is>
      </c>
      <c r="V144" s="33" t="inlineStr">
        <is>
          <t>ESTIMATE</t>
        </is>
      </c>
      <c r="W144" s="33" t="inlineStr">
        <is>
          <t>GAP-007;GAP-017;GAP-018;GAP-019</t>
        </is>
      </c>
    </row>
    <row r="145">
      <c r="A145" s="33" t="inlineStr">
        <is>
          <t>EQM-0108</t>
        </is>
      </c>
      <c r="B145" s="33" t="inlineStr">
        <is>
          <t>VKM-021</t>
        </is>
      </c>
      <c r="C145" s="33" t="inlineStr">
        <is>
          <t>Бургер VARSHAVKA</t>
        </is>
      </c>
      <c r="D145" s="33" t="n">
        <v>1</v>
      </c>
      <c r="E145" s="33" t="inlineStr">
        <is>
          <t>Подготовить котлету и соус</t>
        </is>
      </c>
      <c r="F145" s="33" t="inlineStr">
        <is>
          <t>HOT-12;HOT-13</t>
        </is>
      </c>
      <c r="G145" s="33" t="inlineStr">
        <is>
          <t>Столы и полки горячего участка;GN, противни и горячий инвентарь</t>
        </is>
      </c>
      <c r="H145" s="33" t="inlineStr">
        <is>
          <t>CAPEX.HOT.013;CAPEX.HOT.014</t>
        </is>
      </c>
      <c r="I145" s="33" t="inlineStr">
        <is>
          <t>MANUAL_HOT_LINE_PREP</t>
        </is>
      </c>
      <c r="J145" s="33" t="n"/>
      <c r="K145" s="33" t="inlineStr">
        <is>
          <t>HOT-12: По планировке; HOT-13: Совместимость с печами</t>
        </is>
      </c>
      <c r="L145" s="33" t="inlineStr">
        <is>
          <t>PLANNED</t>
        </is>
      </c>
      <c r="M145" s="33" t="n"/>
      <c r="N145" s="33" t="n"/>
      <c r="O145" s="33" t="n"/>
      <c r="P145" s="33" t="n"/>
      <c r="Q145" s="33" t="n"/>
      <c r="R145" s="33" t="inlineStr">
        <is>
          <t>BLOCKED_NO_SELECTED_MODEL_PASSPORT</t>
        </is>
      </c>
      <c r="S145" s="33" t="inlineStr">
        <is>
          <t>BLOCKED</t>
        </is>
      </c>
      <c r="T145" s="33" t="inlineStr">
        <is>
          <t>BLOCKED</t>
        </is>
      </c>
      <c r="U145" s="33" t="inlineStr">
        <is>
          <t>BLOCKED_SELECTED_MODEL_AND_SITE_VALIDATION</t>
        </is>
      </c>
      <c r="V145" s="33" t="inlineStr">
        <is>
          <t>ESTIMATE</t>
        </is>
      </c>
      <c r="W145" s="33" t="inlineStr">
        <is>
          <t>GAP-007;GAP-017;GAP-018;GAP-019</t>
        </is>
      </c>
    </row>
    <row r="146">
      <c r="A146" s="33" t="inlineStr">
        <is>
          <t>EQM-0109</t>
        </is>
      </c>
      <c r="B146" s="33" t="inlineStr">
        <is>
          <t>VKM-021</t>
        </is>
      </c>
      <c r="C146" s="33" t="inlineStr">
        <is>
          <t>Бургер VARSHAVKA</t>
        </is>
      </c>
      <c r="D146" s="33" t="n">
        <v>2</v>
      </c>
      <c r="E146" s="33" t="inlineStr">
        <is>
          <t>разрезать и подготовить бриошь</t>
        </is>
      </c>
      <c r="F146" s="33" t="inlineStr">
        <is>
          <t>HOT-12;HOT-13</t>
        </is>
      </c>
      <c r="G146" s="33" t="inlineStr">
        <is>
          <t>Столы и полки горячего участка;GN, противни и горячий инвентарь</t>
        </is>
      </c>
      <c r="H146" s="33" t="inlineStr">
        <is>
          <t>CAPEX.HOT.013;CAPEX.HOT.014</t>
        </is>
      </c>
      <c r="I146" s="33" t="inlineStr">
        <is>
          <t>HOT_PREP_ASSEMBLY</t>
        </is>
      </c>
      <c r="J146" s="33" t="n"/>
      <c r="K146" s="33" t="inlineStr">
        <is>
          <t>HOT-12: По планировке; HOT-13: Совместимость с печами</t>
        </is>
      </c>
      <c r="L146" s="33" t="inlineStr">
        <is>
          <t>PLANNED</t>
        </is>
      </c>
      <c r="M146" s="33" t="n"/>
      <c r="N146" s="33" t="n"/>
      <c r="O146" s="33" t="n"/>
      <c r="P146" s="33" t="n"/>
      <c r="Q146" s="33" t="n"/>
      <c r="R146" s="33" t="inlineStr">
        <is>
          <t>BLOCKED_NO_SELECTED_MODEL_PASSPORT</t>
        </is>
      </c>
      <c r="S146" s="33" t="inlineStr">
        <is>
          <t>BLOCKED</t>
        </is>
      </c>
      <c r="T146" s="33" t="inlineStr">
        <is>
          <t>BLOCKED</t>
        </is>
      </c>
      <c r="U146" s="33" t="inlineStr">
        <is>
          <t>BLOCKED_SELECTED_MODEL_AND_SITE_VALIDATION</t>
        </is>
      </c>
      <c r="V146" s="33" t="inlineStr">
        <is>
          <t>ESTIMATE</t>
        </is>
      </c>
      <c r="W146" s="33" t="inlineStr">
        <is>
          <t>GAP-007;GAP-017;GAP-018;GAP-019</t>
        </is>
      </c>
    </row>
    <row r="147">
      <c r="A147" s="33" t="inlineStr">
        <is>
          <t>EQM-0110</t>
        </is>
      </c>
      <c r="B147" s="33" t="inlineStr">
        <is>
          <t>VKM-021</t>
        </is>
      </c>
      <c r="C147" s="33" t="inlineStr">
        <is>
          <t>Бургер VARSHAVKA</t>
        </is>
      </c>
      <c r="D147" s="33" t="n">
        <v>3</v>
      </c>
      <c r="E147" s="33" t="inlineStr">
        <is>
          <t>обработать котлету</t>
        </is>
      </c>
      <c r="F147" s="33" t="inlineStr">
        <is>
          <t>HOT-02;HOT-13</t>
        </is>
      </c>
      <c r="G147" s="33" t="inlineStr">
        <is>
          <t>Двухзонный теппан;GN, противни и горячий инвентарь</t>
        </is>
      </c>
      <c r="H147" s="33" t="inlineStr">
        <is>
          <t>CAPEX.HOT.002;CAPEX.HOT.014</t>
        </is>
      </c>
      <c r="I147" s="33" t="inlineStr">
        <is>
          <t>CONTACT_THERMAL_PROCESS</t>
        </is>
      </c>
      <c r="J147" s="33" t="n"/>
      <c r="K147" s="33" t="inlineStr">
        <is>
          <t>HOT-02: ≥16 мясных изделий/час; HOT-13: Совместимость с печами</t>
        </is>
      </c>
      <c r="L147" s="33" t="inlineStr">
        <is>
          <t>PLANNED</t>
        </is>
      </c>
      <c r="M147" s="33" t="n"/>
      <c r="N147" s="33" t="n"/>
      <c r="O147" s="33" t="n"/>
      <c r="P147" s="33" t="n"/>
      <c r="Q147" s="33" t="n"/>
      <c r="R147" s="33" t="inlineStr">
        <is>
          <t>BLOCKED_NO_SELECTED_MODEL_PASSPORT</t>
        </is>
      </c>
      <c r="S147" s="33" t="inlineStr">
        <is>
          <t>BLOCKED</t>
        </is>
      </c>
      <c r="T147" s="33" t="inlineStr">
        <is>
          <t>BLOCKED</t>
        </is>
      </c>
      <c r="U147" s="33" t="inlineStr">
        <is>
          <t>BLOCKED_SELECTED_MODEL_AND_SITE_VALIDATION</t>
        </is>
      </c>
      <c r="V147" s="33" t="inlineStr">
        <is>
          <t>ESTIMATE</t>
        </is>
      </c>
      <c r="W147" s="33" t="inlineStr">
        <is>
          <t>GAP-007;GAP-017;GAP-018;GAP-019</t>
        </is>
      </c>
    </row>
    <row r="148">
      <c r="A148" s="33" t="inlineStr">
        <is>
          <t>EQM-0111</t>
        </is>
      </c>
      <c r="B148" s="33" t="inlineStr">
        <is>
          <t>VKM-021</t>
        </is>
      </c>
      <c r="C148" s="33" t="inlineStr">
        <is>
          <t>Бургер VARSHAVKA</t>
        </is>
      </c>
      <c r="D148" s="33" t="n">
        <v>4</v>
      </c>
      <c r="E148" s="33" t="inlineStr">
        <is>
          <t>расплавить сыр</t>
        </is>
      </c>
      <c r="F148" s="33" t="inlineStr">
        <is>
          <t>HOT-12;HOT-13</t>
        </is>
      </c>
      <c r="G148" s="33" t="inlineStr">
        <is>
          <t>Столы и полки горячего участка;GN, противни и горячий инвентарь</t>
        </is>
      </c>
      <c r="H148" s="33" t="inlineStr">
        <is>
          <t>CAPEX.HOT.013;CAPEX.HOT.014</t>
        </is>
      </c>
      <c r="I148" s="33" t="inlineStr">
        <is>
          <t>HOT_PREP_ASSEMBLY</t>
        </is>
      </c>
      <c r="J148" s="33" t="n"/>
      <c r="K148" s="33" t="inlineStr">
        <is>
          <t>HOT-12: По планировке; HOT-13: Совместимость с печами</t>
        </is>
      </c>
      <c r="L148" s="33" t="inlineStr">
        <is>
          <t>PLANNED</t>
        </is>
      </c>
      <c r="M148" s="33" t="n"/>
      <c r="N148" s="33" t="n"/>
      <c r="O148" s="33" t="n"/>
      <c r="P148" s="33" t="n"/>
      <c r="Q148" s="33" t="n"/>
      <c r="R148" s="33" t="inlineStr">
        <is>
          <t>BLOCKED_NO_SELECTED_MODEL_PASSPORT</t>
        </is>
      </c>
      <c r="S148" s="33" t="inlineStr">
        <is>
          <t>BLOCKED</t>
        </is>
      </c>
      <c r="T148" s="33" t="inlineStr">
        <is>
          <t>BLOCKED</t>
        </is>
      </c>
      <c r="U148" s="33" t="inlineStr">
        <is>
          <t>BLOCKED_SELECTED_MODEL_AND_SITE_VALIDATION</t>
        </is>
      </c>
      <c r="V148" s="33" t="inlineStr">
        <is>
          <t>ESTIMATE</t>
        </is>
      </c>
      <c r="W148" s="33" t="inlineStr">
        <is>
          <t>GAP-007;GAP-017;GAP-018;GAP-019</t>
        </is>
      </c>
    </row>
    <row r="149">
      <c r="A149" s="33" t="inlineStr">
        <is>
          <t>EQM-0112</t>
        </is>
      </c>
      <c r="B149" s="33" t="inlineStr">
        <is>
          <t>VKM-021</t>
        </is>
      </c>
      <c r="C149" s="33" t="inlineStr">
        <is>
          <t>Бургер VARSHAVKA</t>
        </is>
      </c>
      <c r="D149" s="33" t="n">
        <v>5</v>
      </c>
      <c r="E149" s="33" t="inlineStr">
        <is>
          <t>собрать в заданном порядке</t>
        </is>
      </c>
      <c r="F149" s="33" t="inlineStr">
        <is>
          <t>HOT-12;HOT-13</t>
        </is>
      </c>
      <c r="G149" s="33" t="inlineStr">
        <is>
          <t>Столы и полки горячего участка;GN, противни и горячий инвентарь</t>
        </is>
      </c>
      <c r="H149" s="33" t="inlineStr">
        <is>
          <t>CAPEX.HOT.013;CAPEX.HOT.014</t>
        </is>
      </c>
      <c r="I149" s="33" t="inlineStr">
        <is>
          <t>HOT_PREP_ASSEMBLY</t>
        </is>
      </c>
      <c r="J149" s="33" t="n"/>
      <c r="K149" s="33" t="inlineStr">
        <is>
          <t>HOT-12: По планировке; HOT-13: Совместимость с печами</t>
        </is>
      </c>
      <c r="L149" s="33" t="inlineStr">
        <is>
          <t>PLANNED</t>
        </is>
      </c>
      <c r="M149" s="33" t="n"/>
      <c r="N149" s="33" t="n"/>
      <c r="O149" s="33" t="n"/>
      <c r="P149" s="33" t="n"/>
      <c r="Q149" s="33" t="n"/>
      <c r="R149" s="33" t="inlineStr">
        <is>
          <t>BLOCKED_NO_SELECTED_MODEL_PASSPORT</t>
        </is>
      </c>
      <c r="S149" s="33" t="inlineStr">
        <is>
          <t>BLOCKED</t>
        </is>
      </c>
      <c r="T149" s="33" t="inlineStr">
        <is>
          <t>BLOCKED</t>
        </is>
      </c>
      <c r="U149" s="33" t="inlineStr">
        <is>
          <t>BLOCKED_SELECTED_MODEL_AND_SITE_VALIDATION</t>
        </is>
      </c>
      <c r="V149" s="33" t="inlineStr">
        <is>
          <t>ESTIMATE</t>
        </is>
      </c>
      <c r="W149" s="33" t="inlineStr">
        <is>
          <t>GAP-007;GAP-017;GAP-018;GAP-019</t>
        </is>
      </c>
    </row>
    <row r="150">
      <c r="A150" s="33" t="inlineStr">
        <is>
          <t>EQM-0113</t>
        </is>
      </c>
      <c r="B150" s="33" t="inlineStr">
        <is>
          <t>VKM-022</t>
        </is>
      </c>
      <c r="C150" s="33" t="inlineStr">
        <is>
          <t>Миньоны из говяжьей вырезки</t>
        </is>
      </c>
      <c r="D150" s="33" t="n">
        <v>1</v>
      </c>
      <c r="E150" s="33" t="inlineStr">
        <is>
          <t>Зачистить и порционировать вырезку на два миньона</t>
        </is>
      </c>
      <c r="F150" s="33" t="inlineStr">
        <is>
          <t>HOT-12;HOT-13</t>
        </is>
      </c>
      <c r="G150" s="33" t="inlineStr">
        <is>
          <t>Столы и полки горячего участка;GN, противни и горячий инвентарь</t>
        </is>
      </c>
      <c r="H150" s="33" t="inlineStr">
        <is>
          <t>CAPEX.HOT.013;CAPEX.HOT.014</t>
        </is>
      </c>
      <c r="I150" s="33" t="inlineStr">
        <is>
          <t>MANUAL_HOT_LINE_PREP</t>
        </is>
      </c>
      <c r="J150" s="33" t="n"/>
      <c r="K150" s="33" t="inlineStr">
        <is>
          <t>HOT-12: По планировке; HOT-13: Совместимость с печами</t>
        </is>
      </c>
      <c r="L150" s="33" t="inlineStr">
        <is>
          <t>PLANNED</t>
        </is>
      </c>
      <c r="M150" s="33" t="n"/>
      <c r="N150" s="33" t="n"/>
      <c r="O150" s="33" t="n"/>
      <c r="P150" s="33" t="n"/>
      <c r="Q150" s="33" t="n"/>
      <c r="R150" s="33" t="inlineStr">
        <is>
          <t>BLOCKED_NO_SELECTED_MODEL_PASSPORT</t>
        </is>
      </c>
      <c r="S150" s="33" t="inlineStr">
        <is>
          <t>BLOCKED</t>
        </is>
      </c>
      <c r="T150" s="33" t="inlineStr">
        <is>
          <t>BLOCKED</t>
        </is>
      </c>
      <c r="U150" s="33" t="inlineStr">
        <is>
          <t>BLOCKED_SELECTED_MODEL_AND_SITE_VALIDATION</t>
        </is>
      </c>
      <c r="V150" s="33" t="inlineStr">
        <is>
          <t>ESTIMATE</t>
        </is>
      </c>
      <c r="W150" s="33" t="inlineStr">
        <is>
          <t>GAP-007;GAP-017;GAP-018;GAP-019</t>
        </is>
      </c>
    </row>
    <row r="151">
      <c r="A151" s="33" t="inlineStr">
        <is>
          <t>EQM-0114</t>
        </is>
      </c>
      <c r="B151" s="33" t="inlineStr">
        <is>
          <t>VKM-022</t>
        </is>
      </c>
      <c r="C151" s="33" t="inlineStr">
        <is>
          <t>Миньоны из говяжьей вырезки</t>
        </is>
      </c>
      <c r="D151" s="33" t="n">
        <v>2</v>
      </c>
      <c r="E151" s="33" t="inlineStr">
        <is>
          <t>подготовить ароматику</t>
        </is>
      </c>
      <c r="F151" s="33" t="inlineStr">
        <is>
          <t>HOT-12;HOT-13</t>
        </is>
      </c>
      <c r="G151" s="33" t="inlineStr">
        <is>
          <t>Столы и полки горячего участка;GN, противни и горячий инвентарь</t>
        </is>
      </c>
      <c r="H151" s="33" t="inlineStr">
        <is>
          <t>CAPEX.HOT.013;CAPEX.HOT.014</t>
        </is>
      </c>
      <c r="I151" s="33" t="inlineStr">
        <is>
          <t>MANUAL_HOT_LINE_PREP</t>
        </is>
      </c>
      <c r="J151" s="33" t="n"/>
      <c r="K151" s="33" t="inlineStr">
        <is>
          <t>HOT-12: По планировке; HOT-13: Совместимость с печами</t>
        </is>
      </c>
      <c r="L151" s="33" t="inlineStr">
        <is>
          <t>PLANNED</t>
        </is>
      </c>
      <c r="M151" s="33" t="n"/>
      <c r="N151" s="33" t="n"/>
      <c r="O151" s="33" t="n"/>
      <c r="P151" s="33" t="n"/>
      <c r="Q151" s="33" t="n"/>
      <c r="R151" s="33" t="inlineStr">
        <is>
          <t>BLOCKED_NO_SELECTED_MODEL_PASSPORT</t>
        </is>
      </c>
      <c r="S151" s="33" t="inlineStr">
        <is>
          <t>BLOCKED</t>
        </is>
      </c>
      <c r="T151" s="33" t="inlineStr">
        <is>
          <t>BLOCKED</t>
        </is>
      </c>
      <c r="U151" s="33" t="inlineStr">
        <is>
          <t>BLOCKED_SELECTED_MODEL_AND_SITE_VALIDATION</t>
        </is>
      </c>
      <c r="V151" s="33" t="inlineStr">
        <is>
          <t>ESTIMATE</t>
        </is>
      </c>
      <c r="W151" s="33" t="inlineStr">
        <is>
          <t>GAP-007;GAP-017;GAP-018;GAP-019</t>
        </is>
      </c>
    </row>
    <row r="152">
      <c r="A152" s="33" t="inlineStr">
        <is>
          <t>EQM-0115</t>
        </is>
      </c>
      <c r="B152" s="33" t="inlineStr">
        <is>
          <t>VKM-022</t>
        </is>
      </c>
      <c r="C152" s="33" t="inlineStr">
        <is>
          <t>Миньоны из говяжьей вырезки</t>
        </is>
      </c>
      <c r="D152" s="33" t="n">
        <v>3</v>
      </c>
      <c r="E152" s="33" t="inlineStr">
        <is>
          <t>обработать</t>
        </is>
      </c>
      <c r="F152" s="33" t="inlineStr">
        <is>
          <t>HOT-12;HOT-13</t>
        </is>
      </c>
      <c r="G152" s="33" t="inlineStr">
        <is>
          <t>Столы и полки горячего участка;GN, противни и горячий инвентарь</t>
        </is>
      </c>
      <c r="H152" s="33" t="inlineStr">
        <is>
          <t>CAPEX.HOT.013;CAPEX.HOT.014</t>
        </is>
      </c>
      <c r="I152" s="33" t="inlineStr">
        <is>
          <t>HOT_PREP_ASSEMBLY</t>
        </is>
      </c>
      <c r="J152" s="33" t="n"/>
      <c r="K152" s="33" t="inlineStr">
        <is>
          <t>HOT-12: По планировке; HOT-13: Совместимость с печами</t>
        </is>
      </c>
      <c r="L152" s="33" t="inlineStr">
        <is>
          <t>PLANNED</t>
        </is>
      </c>
      <c r="M152" s="33" t="n"/>
      <c r="N152" s="33" t="n"/>
      <c r="O152" s="33" t="n"/>
      <c r="P152" s="33" t="n"/>
      <c r="Q152" s="33" t="n"/>
      <c r="R152" s="33" t="inlineStr">
        <is>
          <t>BLOCKED_NO_SELECTED_MODEL_PASSPORT</t>
        </is>
      </c>
      <c r="S152" s="33" t="inlineStr">
        <is>
          <t>BLOCKED</t>
        </is>
      </c>
      <c r="T152" s="33" t="inlineStr">
        <is>
          <t>BLOCKED</t>
        </is>
      </c>
      <c r="U152" s="33" t="inlineStr">
        <is>
          <t>BLOCKED_SELECTED_MODEL_AND_SITE_VALIDATION</t>
        </is>
      </c>
      <c r="V152" s="33" t="inlineStr">
        <is>
          <t>ESTIMATE</t>
        </is>
      </c>
      <c r="W152" s="33" t="inlineStr">
        <is>
          <t>GAP-007;GAP-017;GAP-018;GAP-019</t>
        </is>
      </c>
    </row>
    <row r="153">
      <c r="A153" s="33" t="inlineStr">
        <is>
          <t>EQM-0116</t>
        </is>
      </c>
      <c r="B153" s="33" t="inlineStr">
        <is>
          <t>VKM-022</t>
        </is>
      </c>
      <c r="C153" s="33" t="inlineStr">
        <is>
          <t>Миньоны из говяжьей вырезки</t>
        </is>
      </c>
      <c r="D153" s="33" t="n">
        <v>4</v>
      </c>
      <c r="E153" s="33" t="inlineStr">
        <is>
          <t>приготовить соус</t>
        </is>
      </c>
      <c r="F153" s="33" t="inlineStr">
        <is>
          <t>HOT-05B;HOT-13</t>
        </is>
      </c>
      <c r="G153" s="33" t="inlineStr">
        <is>
          <t>Индукционная плита 2 зоны;GN, противни и горячий инвентарь</t>
        </is>
      </c>
      <c r="H153" s="33" t="inlineStr">
        <is>
          <t>CAPEX.HOT.006;CAPEX.HOT.014</t>
        </is>
      </c>
      <c r="I153" s="33" t="inlineStr">
        <is>
          <t>SAUCE_COOKING</t>
        </is>
      </c>
      <c r="J153" s="33" t="n"/>
      <c r="K153" s="33" t="inlineStr">
        <is>
          <t>HOT-05B: 2 зоны; HOT-13: Совместимость с печами</t>
        </is>
      </c>
      <c r="L153" s="33" t="inlineStr">
        <is>
          <t>PLANNED</t>
        </is>
      </c>
      <c r="M153" s="33" t="n"/>
      <c r="N153" s="33" t="n"/>
      <c r="O153" s="33" t="n"/>
      <c r="P153" s="33" t="n"/>
      <c r="Q153" s="33" t="n"/>
      <c r="R153" s="33" t="inlineStr">
        <is>
          <t>BLOCKED_NO_SELECTED_MODEL_PASSPORT</t>
        </is>
      </c>
      <c r="S153" s="33" t="inlineStr">
        <is>
          <t>BLOCKED</t>
        </is>
      </c>
      <c r="T153" s="33" t="inlineStr">
        <is>
          <t>BLOCKED</t>
        </is>
      </c>
      <c r="U153" s="33" t="inlineStr">
        <is>
          <t>BLOCKED_SELECTED_MODEL_AND_SITE_VALIDATION</t>
        </is>
      </c>
      <c r="V153" s="33" t="inlineStr">
        <is>
          <t>ESTIMATE</t>
        </is>
      </c>
      <c r="W153" s="33" t="inlineStr">
        <is>
          <t>GAP-007;GAP-017;GAP-018;GAP-019</t>
        </is>
      </c>
    </row>
    <row r="154">
      <c r="A154" s="33" t="inlineStr">
        <is>
          <t>EQM-0117</t>
        </is>
      </c>
      <c r="B154" s="33" t="inlineStr">
        <is>
          <t>VKM-022</t>
        </is>
      </c>
      <c r="C154" s="33" t="inlineStr">
        <is>
          <t>Миньоны из говяжьей вырезки</t>
        </is>
      </c>
      <c r="D154" s="33" t="n">
        <v>5</v>
      </c>
      <c r="E154" s="33" t="inlineStr">
        <is>
          <t>дать продукту стабилизироваться</t>
        </is>
      </c>
      <c r="F154" s="33" t="inlineStr">
        <is>
          <t>HOT-12;HOT-13</t>
        </is>
      </c>
      <c r="G154" s="33" t="inlineStr">
        <is>
          <t>Столы и полки горячего участка;GN, противни и горячий инвентарь</t>
        </is>
      </c>
      <c r="H154" s="33" t="inlineStr">
        <is>
          <t>CAPEX.HOT.013;CAPEX.HOT.014</t>
        </is>
      </c>
      <c r="I154" s="33" t="inlineStr">
        <is>
          <t>HOT_PREP_ASSEMBLY</t>
        </is>
      </c>
      <c r="J154" s="33" t="n"/>
      <c r="K154" s="33" t="inlineStr">
        <is>
          <t>HOT-12: По планировке; HOT-13: Совместимость с печами</t>
        </is>
      </c>
      <c r="L154" s="33" t="inlineStr">
        <is>
          <t>PLANNED</t>
        </is>
      </c>
      <c r="M154" s="33" t="n"/>
      <c r="N154" s="33" t="n"/>
      <c r="O154" s="33" t="n"/>
      <c r="P154" s="33" t="n"/>
      <c r="Q154" s="33" t="n"/>
      <c r="R154" s="33" t="inlineStr">
        <is>
          <t>BLOCKED_NO_SELECTED_MODEL_PASSPORT</t>
        </is>
      </c>
      <c r="S154" s="33" t="inlineStr">
        <is>
          <t>BLOCKED</t>
        </is>
      </c>
      <c r="T154" s="33" t="inlineStr">
        <is>
          <t>BLOCKED</t>
        </is>
      </c>
      <c r="U154" s="33" t="inlineStr">
        <is>
          <t>BLOCKED_SELECTED_MODEL_AND_SITE_VALIDATION</t>
        </is>
      </c>
      <c r="V154" s="33" t="inlineStr">
        <is>
          <t>ESTIMATE</t>
        </is>
      </c>
      <c r="W154" s="33" t="inlineStr">
        <is>
          <t>GAP-007;GAP-017;GAP-018;GAP-019</t>
        </is>
      </c>
    </row>
    <row r="155">
      <c r="A155" s="33" t="inlineStr">
        <is>
          <t>EQM-0118</t>
        </is>
      </c>
      <c r="B155" s="33" t="inlineStr">
        <is>
          <t>VKM-022</t>
        </is>
      </c>
      <c r="C155" s="33" t="inlineStr">
        <is>
          <t>Миньоны из говяжьей вырезки</t>
        </is>
      </c>
      <c r="D155" s="33" t="n">
        <v>6</v>
      </c>
      <c r="E155" s="33" t="inlineStr">
        <is>
          <t>собрать</t>
        </is>
      </c>
      <c r="F155" s="33" t="inlineStr">
        <is>
          <t>HOT-12;HOT-13</t>
        </is>
      </c>
      <c r="G155" s="33" t="inlineStr">
        <is>
          <t>Столы и полки горячего участка;GN, противни и горячий инвентарь</t>
        </is>
      </c>
      <c r="H155" s="33" t="inlineStr">
        <is>
          <t>CAPEX.HOT.013;CAPEX.HOT.014</t>
        </is>
      </c>
      <c r="I155" s="33" t="inlineStr">
        <is>
          <t>HOT_PREP_ASSEMBLY</t>
        </is>
      </c>
      <c r="J155" s="33" t="n"/>
      <c r="K155" s="33" t="inlineStr">
        <is>
          <t>HOT-12: По планировке; HOT-13: Совместимость с печами</t>
        </is>
      </c>
      <c r="L155" s="33" t="inlineStr">
        <is>
          <t>PLANNED</t>
        </is>
      </c>
      <c r="M155" s="33" t="n"/>
      <c r="N155" s="33" t="n"/>
      <c r="O155" s="33" t="n"/>
      <c r="P155" s="33" t="n"/>
      <c r="Q155" s="33" t="n"/>
      <c r="R155" s="33" t="inlineStr">
        <is>
          <t>BLOCKED_NO_SELECTED_MODEL_PASSPORT</t>
        </is>
      </c>
      <c r="S155" s="33" t="inlineStr">
        <is>
          <t>BLOCKED</t>
        </is>
      </c>
      <c r="T155" s="33" t="inlineStr">
        <is>
          <t>BLOCKED</t>
        </is>
      </c>
      <c r="U155" s="33" t="inlineStr">
        <is>
          <t>BLOCKED_SELECTED_MODEL_AND_SITE_VALIDATION</t>
        </is>
      </c>
      <c r="V155" s="33" t="inlineStr">
        <is>
          <t>ESTIMATE</t>
        </is>
      </c>
      <c r="W155" s="33" t="inlineStr">
        <is>
          <t>GAP-007;GAP-017;GAP-018;GAP-019</t>
        </is>
      </c>
    </row>
    <row r="156">
      <c r="A156" s="33" t="inlineStr">
        <is>
          <t>EQM-0119</t>
        </is>
      </c>
      <c r="B156" s="33" t="inlineStr">
        <is>
          <t>VKM-023</t>
        </is>
      </c>
      <c r="C156" s="33" t="inlineStr">
        <is>
          <t>Запечённый картофель</t>
        </is>
      </c>
      <c r="D156" s="33" t="n">
        <v>1</v>
      </c>
      <c r="E156" s="33" t="inlineStr">
        <is>
          <t>Вымыть и подготовить картофель</t>
        </is>
      </c>
      <c r="F156" s="33" t="inlineStr">
        <is>
          <t>HOT-12;HOT-13</t>
        </is>
      </c>
      <c r="G156" s="33" t="inlineStr">
        <is>
          <t>Столы и полки горячего участка;GN, противни и горячий инвентарь</t>
        </is>
      </c>
      <c r="H156" s="33" t="inlineStr">
        <is>
          <t>CAPEX.HOT.013;CAPEX.HOT.014</t>
        </is>
      </c>
      <c r="I156" s="33" t="inlineStr">
        <is>
          <t>HOT_PREP_PORTIONING</t>
        </is>
      </c>
      <c r="J156" s="33" t="n"/>
      <c r="K156" s="33" t="inlineStr">
        <is>
          <t>HOT-12: По планировке; HOT-13: Совместимость с печами</t>
        </is>
      </c>
      <c r="L156" s="33" t="inlineStr">
        <is>
          <t>PLANNED</t>
        </is>
      </c>
      <c r="M156" s="33" t="n"/>
      <c r="N156" s="33" t="n"/>
      <c r="O156" s="33" t="n"/>
      <c r="P156" s="33" t="n"/>
      <c r="Q156" s="33" t="n"/>
      <c r="R156" s="33" t="inlineStr">
        <is>
          <t>BLOCKED_NO_SELECTED_MODEL_PASSPORT</t>
        </is>
      </c>
      <c r="S156" s="33" t="inlineStr">
        <is>
          <t>BLOCKED</t>
        </is>
      </c>
      <c r="T156" s="33" t="inlineStr">
        <is>
          <t>BLOCKED</t>
        </is>
      </c>
      <c r="U156" s="33" t="inlineStr">
        <is>
          <t>BLOCKED_SELECTED_MODEL_AND_SITE_VALIDATION</t>
        </is>
      </c>
      <c r="V156" s="33" t="inlineStr">
        <is>
          <t>ESTIMATE</t>
        </is>
      </c>
      <c r="W156" s="33" t="inlineStr">
        <is>
          <t>GAP-007;GAP-017;GAP-018;GAP-019</t>
        </is>
      </c>
    </row>
    <row r="157">
      <c r="A157" s="33" t="inlineStr">
        <is>
          <t>EQM-0120</t>
        </is>
      </c>
      <c r="B157" s="33" t="inlineStr">
        <is>
          <t>VKM-023</t>
        </is>
      </c>
      <c r="C157" s="33" t="inlineStr">
        <is>
          <t>Запечённый картофель</t>
        </is>
      </c>
      <c r="D157" s="33" t="n">
        <v>2</v>
      </c>
      <c r="E157" s="33" t="inlineStr">
        <is>
          <t>нарезать</t>
        </is>
      </c>
      <c r="F157" s="33" t="inlineStr">
        <is>
          <t>HOT-12;HOT-13</t>
        </is>
      </c>
      <c r="G157" s="33" t="inlineStr">
        <is>
          <t>Столы и полки горячего участка;GN, противни и горячий инвентарь</t>
        </is>
      </c>
      <c r="H157" s="33" t="inlineStr">
        <is>
          <t>CAPEX.HOT.013;CAPEX.HOT.014</t>
        </is>
      </c>
      <c r="I157" s="33" t="inlineStr">
        <is>
          <t>HOT_PREP_PORTIONING</t>
        </is>
      </c>
      <c r="J157" s="33" t="n"/>
      <c r="K157" s="33" t="inlineStr">
        <is>
          <t>HOT-12: По планировке; HOT-13: Совместимость с печами</t>
        </is>
      </c>
      <c r="L157" s="33" t="inlineStr">
        <is>
          <t>PLANNED</t>
        </is>
      </c>
      <c r="M157" s="33" t="n"/>
      <c r="N157" s="33" t="n"/>
      <c r="O157" s="33" t="n"/>
      <c r="P157" s="33" t="n"/>
      <c r="Q157" s="33" t="n"/>
      <c r="R157" s="33" t="inlineStr">
        <is>
          <t>BLOCKED_NO_SELECTED_MODEL_PASSPORT</t>
        </is>
      </c>
      <c r="S157" s="33" t="inlineStr">
        <is>
          <t>BLOCKED</t>
        </is>
      </c>
      <c r="T157" s="33" t="inlineStr">
        <is>
          <t>BLOCKED</t>
        </is>
      </c>
      <c r="U157" s="33" t="inlineStr">
        <is>
          <t>BLOCKED_SELECTED_MODEL_AND_SITE_VALIDATION</t>
        </is>
      </c>
      <c r="V157" s="33" t="inlineStr">
        <is>
          <t>ESTIMATE</t>
        </is>
      </c>
      <c r="W157" s="33" t="inlineStr">
        <is>
          <t>GAP-007;GAP-017;GAP-018;GAP-019</t>
        </is>
      </c>
    </row>
    <row r="158">
      <c r="A158" s="33" t="inlineStr">
        <is>
          <t>EQM-0121</t>
        </is>
      </c>
      <c r="B158" s="33" t="inlineStr">
        <is>
          <t>VKM-023</t>
        </is>
      </c>
      <c r="C158" s="33" t="inlineStr">
        <is>
          <t>Запечённый картофель</t>
        </is>
      </c>
      <c r="D158" s="33" t="n">
        <v>3</v>
      </c>
      <c r="E158" s="33" t="inlineStr">
        <is>
          <t>смешать с маслом и травами</t>
        </is>
      </c>
      <c r="F158" s="33" t="inlineStr">
        <is>
          <t>HOT-12;HOT-13</t>
        </is>
      </c>
      <c r="G158" s="33" t="inlineStr">
        <is>
          <t>Столы и полки горячего участка;GN, противни и горячий инвентарь</t>
        </is>
      </c>
      <c r="H158" s="33" t="inlineStr">
        <is>
          <t>CAPEX.HOT.013;CAPEX.HOT.014</t>
        </is>
      </c>
      <c r="I158" s="33" t="inlineStr">
        <is>
          <t>HOT_PREP_PORTIONING</t>
        </is>
      </c>
      <c r="J158" s="33" t="n"/>
      <c r="K158" s="33" t="inlineStr">
        <is>
          <t>HOT-12: По планировке; HOT-13: Совместимость с печами</t>
        </is>
      </c>
      <c r="L158" s="33" t="inlineStr">
        <is>
          <t>PLANNED</t>
        </is>
      </c>
      <c r="M158" s="33" t="n"/>
      <c r="N158" s="33" t="n"/>
      <c r="O158" s="33" t="n"/>
      <c r="P158" s="33" t="n"/>
      <c r="Q158" s="33" t="n"/>
      <c r="R158" s="33" t="inlineStr">
        <is>
          <t>BLOCKED_NO_SELECTED_MODEL_PASSPORT</t>
        </is>
      </c>
      <c r="S158" s="33" t="inlineStr">
        <is>
          <t>BLOCKED</t>
        </is>
      </c>
      <c r="T158" s="33" t="inlineStr">
        <is>
          <t>BLOCKED</t>
        </is>
      </c>
      <c r="U158" s="33" t="inlineStr">
        <is>
          <t>BLOCKED_SELECTED_MODEL_AND_SITE_VALIDATION</t>
        </is>
      </c>
      <c r="V158" s="33" t="inlineStr">
        <is>
          <t>ESTIMATE</t>
        </is>
      </c>
      <c r="W158" s="33" t="inlineStr">
        <is>
          <t>GAP-007;GAP-017;GAP-018;GAP-019</t>
        </is>
      </c>
    </row>
    <row r="159">
      <c r="A159" s="33" t="inlineStr">
        <is>
          <t>EQM-0122</t>
        </is>
      </c>
      <c r="B159" s="33" t="inlineStr">
        <is>
          <t>VKM-023</t>
        </is>
      </c>
      <c r="C159" s="33" t="inlineStr">
        <is>
          <t>Запечённый картофель</t>
        </is>
      </c>
      <c r="D159" s="33" t="n">
        <v>4</v>
      </c>
      <c r="E159" s="33" t="inlineStr">
        <is>
          <t>запечь</t>
        </is>
      </c>
      <c r="F159" s="33" t="inlineStr">
        <is>
          <t>HOT-01;HOT-13</t>
        </is>
      </c>
      <c r="G159" s="33" t="inlineStr">
        <is>
          <t>Пароконвектомат;GN, противни и горячий инвентарь</t>
        </is>
      </c>
      <c r="H159" s="33" t="inlineStr">
        <is>
          <t>CAPEX.HOT.001;CAPEX.HOT.014</t>
        </is>
      </c>
      <c r="I159" s="33" t="inlineStr">
        <is>
          <t>OVEN_COOKING</t>
        </is>
      </c>
      <c r="J159" s="33" t="n"/>
      <c r="K159" s="33" t="inlineStr">
        <is>
          <t>HOT-01: Минимум 6×GN 1/1; программы; термощуп; HOT-13: Совместимость с печами</t>
        </is>
      </c>
      <c r="L159" s="33" t="inlineStr">
        <is>
          <t>PLANNED</t>
        </is>
      </c>
      <c r="M159" s="33" t="n"/>
      <c r="N159" s="33" t="n"/>
      <c r="O159" s="33" t="n"/>
      <c r="P159" s="33" t="n"/>
      <c r="Q159" s="33" t="n"/>
      <c r="R159" s="33" t="inlineStr">
        <is>
          <t>BLOCKED_NO_SELECTED_MODEL_PASSPORT</t>
        </is>
      </c>
      <c r="S159" s="33" t="inlineStr">
        <is>
          <t>BLOCKED</t>
        </is>
      </c>
      <c r="T159" s="33" t="inlineStr">
        <is>
          <t>BLOCKED</t>
        </is>
      </c>
      <c r="U159" s="33" t="inlineStr">
        <is>
          <t>BLOCKED_SELECTED_MODEL_AND_SITE_VALIDATION</t>
        </is>
      </c>
      <c r="V159" s="33" t="inlineStr">
        <is>
          <t>ESTIMATE</t>
        </is>
      </c>
      <c r="W159" s="33" t="inlineStr">
        <is>
          <t>GAP-007;GAP-017;GAP-018;GAP-019</t>
        </is>
      </c>
    </row>
    <row r="160">
      <c r="A160" s="33" t="inlineStr">
        <is>
          <t>EQM-0123</t>
        </is>
      </c>
      <c r="B160" s="33" t="inlineStr">
        <is>
          <t>VKM-023</t>
        </is>
      </c>
      <c r="C160" s="33" t="inlineStr">
        <is>
          <t>Запечённый картофель</t>
        </is>
      </c>
      <c r="D160" s="33" t="n">
        <v>5</v>
      </c>
      <c r="E160" s="33" t="inlineStr">
        <is>
          <t>порционировать</t>
        </is>
      </c>
      <c r="F160" s="33" t="inlineStr">
        <is>
          <t>HOT-12;HOT-13</t>
        </is>
      </c>
      <c r="G160" s="33" t="inlineStr">
        <is>
          <t>Столы и полки горячего участка;GN, противни и горячий инвентарь</t>
        </is>
      </c>
      <c r="H160" s="33" t="inlineStr">
        <is>
          <t>CAPEX.HOT.013;CAPEX.HOT.014</t>
        </is>
      </c>
      <c r="I160" s="33" t="inlineStr">
        <is>
          <t>HOT_PREP_PORTIONING</t>
        </is>
      </c>
      <c r="J160" s="33" t="n"/>
      <c r="K160" s="33" t="inlineStr">
        <is>
          <t>HOT-12: По планировке; HOT-13: Совместимость с печами</t>
        </is>
      </c>
      <c r="L160" s="33" t="inlineStr">
        <is>
          <t>PLANNED</t>
        </is>
      </c>
      <c r="M160" s="33" t="n"/>
      <c r="N160" s="33" t="n"/>
      <c r="O160" s="33" t="n"/>
      <c r="P160" s="33" t="n"/>
      <c r="Q160" s="33" t="n"/>
      <c r="R160" s="33" t="inlineStr">
        <is>
          <t>BLOCKED_NO_SELECTED_MODEL_PASSPORT</t>
        </is>
      </c>
      <c r="S160" s="33" t="inlineStr">
        <is>
          <t>BLOCKED</t>
        </is>
      </c>
      <c r="T160" s="33" t="inlineStr">
        <is>
          <t>BLOCKED</t>
        </is>
      </c>
      <c r="U160" s="33" t="inlineStr">
        <is>
          <t>BLOCKED_SELECTED_MODEL_AND_SITE_VALIDATION</t>
        </is>
      </c>
      <c r="V160" s="33" t="inlineStr">
        <is>
          <t>ESTIMATE</t>
        </is>
      </c>
      <c r="W160" s="33" t="inlineStr">
        <is>
          <t>GAP-007;GAP-017;GAP-018;GAP-019</t>
        </is>
      </c>
    </row>
    <row r="161">
      <c r="A161" s="33" t="inlineStr">
        <is>
          <t>EQM-0124</t>
        </is>
      </c>
      <c r="B161" s="33" t="inlineStr">
        <is>
          <t>VKM-024</t>
        </is>
      </c>
      <c r="C161" s="33" t="inlineStr">
        <is>
          <t>Рис жасмин</t>
        </is>
      </c>
      <c r="D161" s="33" t="n">
        <v>1</v>
      </c>
      <c r="E161" s="33" t="inlineStr">
        <is>
          <t>Промыть рис</t>
        </is>
      </c>
      <c r="F161" s="33" t="inlineStr">
        <is>
          <t>HOT-06;HOT-13</t>
        </is>
      </c>
      <c r="G161" s="33" t="inlineStr">
        <is>
          <t>Рисоварка;GN, противни и горячий инвентарь</t>
        </is>
      </c>
      <c r="H161" s="33" t="inlineStr">
        <is>
          <t>CAPEX.HOT.007;CAPEX.HOT.014</t>
        </is>
      </c>
      <c r="I161" s="33" t="inlineStr">
        <is>
          <t>RICE_COOKING</t>
        </is>
      </c>
      <c r="J161" s="33" t="n"/>
      <c r="K161" s="33" t="inlineStr">
        <is>
          <t>HOT-06: ≥20 порций по 150 г/цикл; HOT-13: Совместимость с печами</t>
        </is>
      </c>
      <c r="L161" s="33" t="inlineStr">
        <is>
          <t>PLANNED</t>
        </is>
      </c>
      <c r="M161" s="33" t="n">
        <v>1</v>
      </c>
      <c r="N161" s="33" t="n"/>
      <c r="O161" s="33" t="n"/>
      <c r="P161" s="33" t="n"/>
      <c r="Q161" s="33" t="n"/>
      <c r="R161" s="33" t="inlineStr">
        <is>
          <t>BLOCKED_NO_SELECTED_MODEL_PASSPORT</t>
        </is>
      </c>
      <c r="S161" s="33" t="inlineStr">
        <is>
          <t>BLOCKED</t>
        </is>
      </c>
      <c r="T161" s="33" t="inlineStr">
        <is>
          <t>BLOCKED</t>
        </is>
      </c>
      <c r="U161" s="33" t="inlineStr">
        <is>
          <t>BLOCKED_SELECTED_MODEL_AND_SITE_VALIDATION</t>
        </is>
      </c>
      <c r="V161" s="33" t="inlineStr">
        <is>
          <t>ESTIMATE</t>
        </is>
      </c>
      <c r="W161" s="33" t="inlineStr">
        <is>
          <t>GAP-007;GAP-017;GAP-018;GAP-019</t>
        </is>
      </c>
    </row>
    <row r="162">
      <c r="A162" s="33" t="inlineStr">
        <is>
          <t>EQM-0125</t>
        </is>
      </c>
      <c r="B162" s="33" t="inlineStr">
        <is>
          <t>VKM-024</t>
        </is>
      </c>
      <c r="C162" s="33" t="inlineStr">
        <is>
          <t>Рис жасмин</t>
        </is>
      </c>
      <c r="D162" s="33" t="n">
        <v>2</v>
      </c>
      <c r="E162" s="33" t="inlineStr">
        <is>
          <t>соединить с водой</t>
        </is>
      </c>
      <c r="F162" s="33" t="inlineStr">
        <is>
          <t>HOT-12;HOT-13</t>
        </is>
      </c>
      <c r="G162" s="33" t="inlineStr">
        <is>
          <t>Столы и полки горячего участка;GN, противни и горячий инвентарь</t>
        </is>
      </c>
      <c r="H162" s="33" t="inlineStr">
        <is>
          <t>CAPEX.HOT.013;CAPEX.HOT.014</t>
        </is>
      </c>
      <c r="I162" s="33" t="inlineStr">
        <is>
          <t>HOT_PREP_PORTIONING</t>
        </is>
      </c>
      <c r="J162" s="33" t="n"/>
      <c r="K162" s="33" t="inlineStr">
        <is>
          <t>HOT-12: По планировке; HOT-13: Совместимость с печами</t>
        </is>
      </c>
      <c r="L162" s="33" t="inlineStr">
        <is>
          <t>PLANNED</t>
        </is>
      </c>
      <c r="M162" s="33" t="n"/>
      <c r="N162" s="33" t="n"/>
      <c r="O162" s="33" t="n"/>
      <c r="P162" s="33" t="n"/>
      <c r="Q162" s="33" t="n"/>
      <c r="R162" s="33" t="inlineStr">
        <is>
          <t>BLOCKED_NO_SELECTED_MODEL_PASSPORT</t>
        </is>
      </c>
      <c r="S162" s="33" t="inlineStr">
        <is>
          <t>BLOCKED</t>
        </is>
      </c>
      <c r="T162" s="33" t="inlineStr">
        <is>
          <t>BLOCKED</t>
        </is>
      </c>
      <c r="U162" s="33" t="inlineStr">
        <is>
          <t>BLOCKED_SELECTED_MODEL_AND_SITE_VALIDATION</t>
        </is>
      </c>
      <c r="V162" s="33" t="inlineStr">
        <is>
          <t>ESTIMATE</t>
        </is>
      </c>
      <c r="W162" s="33" t="inlineStr">
        <is>
          <t>GAP-007;GAP-017;GAP-018;GAP-019</t>
        </is>
      </c>
    </row>
    <row r="163">
      <c r="A163" s="33" t="inlineStr">
        <is>
          <t>EQM-0126</t>
        </is>
      </c>
      <c r="B163" s="33" t="inlineStr">
        <is>
          <t>VKM-024</t>
        </is>
      </c>
      <c r="C163" s="33" t="inlineStr">
        <is>
          <t>Рис жасмин</t>
        </is>
      </c>
      <c r="D163" s="33" t="n">
        <v>3</v>
      </c>
      <c r="E163" s="33" t="inlineStr">
        <is>
          <t>сварить</t>
        </is>
      </c>
      <c r="F163" s="33" t="inlineStr">
        <is>
          <t>HOT-06;HOT-13</t>
        </is>
      </c>
      <c r="G163" s="33" t="inlineStr">
        <is>
          <t>Рисоварка;GN, противни и горячий инвентарь</t>
        </is>
      </c>
      <c r="H163" s="33" t="inlineStr">
        <is>
          <t>CAPEX.HOT.007;CAPEX.HOT.014</t>
        </is>
      </c>
      <c r="I163" s="33" t="inlineStr">
        <is>
          <t>RICE_COOKING</t>
        </is>
      </c>
      <c r="J163" s="33" t="n"/>
      <c r="K163" s="33" t="inlineStr">
        <is>
          <t>HOT-06: ≥20 порций по 150 г/цикл; HOT-13: Совместимость с печами</t>
        </is>
      </c>
      <c r="L163" s="33" t="inlineStr">
        <is>
          <t>PLANNED</t>
        </is>
      </c>
      <c r="M163" s="33" t="n">
        <v>1</v>
      </c>
      <c r="N163" s="33" t="n"/>
      <c r="O163" s="33" t="n"/>
      <c r="P163" s="33" t="n"/>
      <c r="Q163" s="33" t="n"/>
      <c r="R163" s="33" t="inlineStr">
        <is>
          <t>BLOCKED_NO_SELECTED_MODEL_PASSPORT</t>
        </is>
      </c>
      <c r="S163" s="33" t="inlineStr">
        <is>
          <t>BLOCKED</t>
        </is>
      </c>
      <c r="T163" s="33" t="inlineStr">
        <is>
          <t>BLOCKED</t>
        </is>
      </c>
      <c r="U163" s="33" t="inlineStr">
        <is>
          <t>BLOCKED_SELECTED_MODEL_AND_SITE_VALIDATION</t>
        </is>
      </c>
      <c r="V163" s="33" t="inlineStr">
        <is>
          <t>ESTIMATE</t>
        </is>
      </c>
      <c r="W163" s="33" t="inlineStr">
        <is>
          <t>GAP-007;GAP-017;GAP-018;GAP-019</t>
        </is>
      </c>
    </row>
    <row r="164">
      <c r="A164" s="33" t="inlineStr">
        <is>
          <t>EQM-0127</t>
        </is>
      </c>
      <c r="B164" s="33" t="inlineStr">
        <is>
          <t>VKM-024</t>
        </is>
      </c>
      <c r="C164" s="33" t="inlineStr">
        <is>
          <t>Рис жасмин</t>
        </is>
      </c>
      <c r="D164" s="33" t="n">
        <v>4</v>
      </c>
      <c r="E164" s="33" t="inlineStr">
        <is>
          <t>дать стабилизироваться</t>
        </is>
      </c>
      <c r="F164" s="33" t="inlineStr">
        <is>
          <t>HOT-12;HOT-13</t>
        </is>
      </c>
      <c r="G164" s="33" t="inlineStr">
        <is>
          <t>Столы и полки горячего участка;GN, противни и горячий инвентарь</t>
        </is>
      </c>
      <c r="H164" s="33" t="inlineStr">
        <is>
          <t>CAPEX.HOT.013;CAPEX.HOT.014</t>
        </is>
      </c>
      <c r="I164" s="33" t="inlineStr">
        <is>
          <t>HOT_PREP_PORTIONING</t>
        </is>
      </c>
      <c r="J164" s="33" t="n"/>
      <c r="K164" s="33" t="inlineStr">
        <is>
          <t>HOT-12: По планировке; HOT-13: Совместимость с печами</t>
        </is>
      </c>
      <c r="L164" s="33" t="inlineStr">
        <is>
          <t>PLANNED</t>
        </is>
      </c>
      <c r="M164" s="33" t="n"/>
      <c r="N164" s="33" t="n"/>
      <c r="O164" s="33" t="n"/>
      <c r="P164" s="33" t="n"/>
      <c r="Q164" s="33" t="n"/>
      <c r="R164" s="33" t="inlineStr">
        <is>
          <t>BLOCKED_NO_SELECTED_MODEL_PASSPORT</t>
        </is>
      </c>
      <c r="S164" s="33" t="inlineStr">
        <is>
          <t>BLOCKED</t>
        </is>
      </c>
      <c r="T164" s="33" t="inlineStr">
        <is>
          <t>BLOCKED</t>
        </is>
      </c>
      <c r="U164" s="33" t="inlineStr">
        <is>
          <t>BLOCKED_SELECTED_MODEL_AND_SITE_VALIDATION</t>
        </is>
      </c>
      <c r="V164" s="33" t="inlineStr">
        <is>
          <t>ESTIMATE</t>
        </is>
      </c>
      <c r="W164" s="33" t="inlineStr">
        <is>
          <t>GAP-007;GAP-017;GAP-018;GAP-019</t>
        </is>
      </c>
    </row>
    <row r="165">
      <c r="A165" s="33" t="inlineStr">
        <is>
          <t>EQM-0128</t>
        </is>
      </c>
      <c r="B165" s="33" t="inlineStr">
        <is>
          <t>VKM-024</t>
        </is>
      </c>
      <c r="C165" s="33" t="inlineStr">
        <is>
          <t>Рис жасмин</t>
        </is>
      </c>
      <c r="D165" s="33" t="n">
        <v>5</v>
      </c>
      <c r="E165" s="33" t="inlineStr">
        <is>
          <t>внести масла и соль</t>
        </is>
      </c>
      <c r="F165" s="33" t="inlineStr">
        <is>
          <t>HOT-12;HOT-13</t>
        </is>
      </c>
      <c r="G165" s="33" t="inlineStr">
        <is>
          <t>Столы и полки горячего участка;GN, противни и горячий инвентарь</t>
        </is>
      </c>
      <c r="H165" s="33" t="inlineStr">
        <is>
          <t>CAPEX.HOT.013;CAPEX.HOT.014</t>
        </is>
      </c>
      <c r="I165" s="33" t="inlineStr">
        <is>
          <t>HOT_PREP_PORTIONING</t>
        </is>
      </c>
      <c r="J165" s="33" t="n"/>
      <c r="K165" s="33" t="inlineStr">
        <is>
          <t>HOT-12: По планировке; HOT-13: Совместимость с печами</t>
        </is>
      </c>
      <c r="L165" s="33" t="inlineStr">
        <is>
          <t>PLANNED</t>
        </is>
      </c>
      <c r="M165" s="33" t="n"/>
      <c r="N165" s="33" t="n"/>
      <c r="O165" s="33" t="n"/>
      <c r="P165" s="33" t="n"/>
      <c r="Q165" s="33" t="n"/>
      <c r="R165" s="33" t="inlineStr">
        <is>
          <t>BLOCKED_NO_SELECTED_MODEL_PASSPORT</t>
        </is>
      </c>
      <c r="S165" s="33" t="inlineStr">
        <is>
          <t>BLOCKED</t>
        </is>
      </c>
      <c r="T165" s="33" t="inlineStr">
        <is>
          <t>BLOCKED</t>
        </is>
      </c>
      <c r="U165" s="33" t="inlineStr">
        <is>
          <t>BLOCKED_SELECTED_MODEL_AND_SITE_VALIDATION</t>
        </is>
      </c>
      <c r="V165" s="33" t="inlineStr">
        <is>
          <t>ESTIMATE</t>
        </is>
      </c>
      <c r="W165" s="33" t="inlineStr">
        <is>
          <t>GAP-007;GAP-017;GAP-018;GAP-019</t>
        </is>
      </c>
    </row>
    <row r="166">
      <c r="A166" s="33" t="inlineStr">
        <is>
          <t>EQM-0129</t>
        </is>
      </c>
      <c r="B166" s="33" t="inlineStr">
        <is>
          <t>VKM-024</t>
        </is>
      </c>
      <c r="C166" s="33" t="inlineStr">
        <is>
          <t>Рис жасмин</t>
        </is>
      </c>
      <c r="D166" s="33" t="n">
        <v>6</v>
      </c>
      <c r="E166" s="33" t="inlineStr">
        <is>
          <t>разрыхлить и порционировать</t>
        </is>
      </c>
      <c r="F166" s="33" t="inlineStr">
        <is>
          <t>HOT-12;HOT-13</t>
        </is>
      </c>
      <c r="G166" s="33" t="inlineStr">
        <is>
          <t>Столы и полки горячего участка;GN, противни и горячий инвентарь</t>
        </is>
      </c>
      <c r="H166" s="33" t="inlineStr">
        <is>
          <t>CAPEX.HOT.013;CAPEX.HOT.014</t>
        </is>
      </c>
      <c r="I166" s="33" t="inlineStr">
        <is>
          <t>HOT_PREP_PORTIONING</t>
        </is>
      </c>
      <c r="J166" s="33" t="n"/>
      <c r="K166" s="33" t="inlineStr">
        <is>
          <t>HOT-12: По планировке; HOT-13: Совместимость с печами</t>
        </is>
      </c>
      <c r="L166" s="33" t="inlineStr">
        <is>
          <t>PLANNED</t>
        </is>
      </c>
      <c r="M166" s="33" t="n"/>
      <c r="N166" s="33" t="n"/>
      <c r="O166" s="33" t="n"/>
      <c r="P166" s="33" t="n"/>
      <c r="Q166" s="33" t="n"/>
      <c r="R166" s="33" t="inlineStr">
        <is>
          <t>BLOCKED_NO_SELECTED_MODEL_PASSPORT</t>
        </is>
      </c>
      <c r="S166" s="33" t="inlineStr">
        <is>
          <t>BLOCKED</t>
        </is>
      </c>
      <c r="T166" s="33" t="inlineStr">
        <is>
          <t>BLOCKED</t>
        </is>
      </c>
      <c r="U166" s="33" t="inlineStr">
        <is>
          <t>BLOCKED_SELECTED_MODEL_AND_SITE_VALIDATION</t>
        </is>
      </c>
      <c r="V166" s="33" t="inlineStr">
        <is>
          <t>ESTIMATE</t>
        </is>
      </c>
      <c r="W166" s="33" t="inlineStr">
        <is>
          <t>GAP-007;GAP-017;GAP-018;GAP-019</t>
        </is>
      </c>
    </row>
    <row r="167">
      <c r="A167" s="33" t="inlineStr">
        <is>
          <t>EQM-0130</t>
        </is>
      </c>
      <c r="B167" s="33" t="inlineStr">
        <is>
          <t>VKM-025</t>
        </is>
      </c>
      <c r="C167" s="33" t="inlineStr">
        <is>
          <t>Горячие овощи</t>
        </is>
      </c>
      <c r="D167" s="33" t="n">
        <v>1</v>
      </c>
      <c r="E167" s="33" t="inlineStr">
        <is>
          <t>Подготовить и одинаково нарезать овощи</t>
        </is>
      </c>
      <c r="F167" s="33" t="inlineStr">
        <is>
          <t>HOT-12;HOT-13</t>
        </is>
      </c>
      <c r="G167" s="33" t="inlineStr">
        <is>
          <t>Столы и полки горячего участка;GN, противни и горячий инвентарь</t>
        </is>
      </c>
      <c r="H167" s="33" t="inlineStr">
        <is>
          <t>CAPEX.HOT.013;CAPEX.HOT.014</t>
        </is>
      </c>
      <c r="I167" s="33" t="inlineStr">
        <is>
          <t>HOT_PREP_PORTIONING</t>
        </is>
      </c>
      <c r="J167" s="33" t="n"/>
      <c r="K167" s="33" t="inlineStr">
        <is>
          <t>HOT-12: По планировке; HOT-13: Совместимость с печами</t>
        </is>
      </c>
      <c r="L167" s="33" t="inlineStr">
        <is>
          <t>PLANNED</t>
        </is>
      </c>
      <c r="M167" s="33" t="n"/>
      <c r="N167" s="33" t="n"/>
      <c r="O167" s="33" t="n"/>
      <c r="P167" s="33" t="n"/>
      <c r="Q167" s="33" t="n"/>
      <c r="R167" s="33" t="inlineStr">
        <is>
          <t>BLOCKED_NO_SELECTED_MODEL_PASSPORT</t>
        </is>
      </c>
      <c r="S167" s="33" t="inlineStr">
        <is>
          <t>BLOCKED</t>
        </is>
      </c>
      <c r="T167" s="33" t="inlineStr">
        <is>
          <t>BLOCKED</t>
        </is>
      </c>
      <c r="U167" s="33" t="inlineStr">
        <is>
          <t>BLOCKED_SELECTED_MODEL_AND_SITE_VALIDATION</t>
        </is>
      </c>
      <c r="V167" s="33" t="inlineStr">
        <is>
          <t>ESTIMATE</t>
        </is>
      </c>
      <c r="W167" s="33" t="inlineStr">
        <is>
          <t>GAP-007;GAP-017;GAP-018;GAP-019</t>
        </is>
      </c>
    </row>
    <row r="168">
      <c r="A168" s="33" t="inlineStr">
        <is>
          <t>EQM-0131</t>
        </is>
      </c>
      <c r="B168" s="33" t="inlineStr">
        <is>
          <t>VKM-025</t>
        </is>
      </c>
      <c r="C168" s="33" t="inlineStr">
        <is>
          <t>Горячие овощи</t>
        </is>
      </c>
      <c r="D168" s="33" t="n">
        <v>2</v>
      </c>
      <c r="E168" s="33" t="inlineStr">
        <is>
          <t>обрабатывать партиями</t>
        </is>
      </c>
      <c r="F168" s="33" t="inlineStr">
        <is>
          <t>HOT-03;HOT-13</t>
        </is>
      </c>
      <c r="G168" s="33" t="inlineStr">
        <is>
          <t>WOK-пост;GN, противни и горячий инвентарь</t>
        </is>
      </c>
      <c r="H168" s="33" t="inlineStr">
        <is>
          <t>CAPEX.HOT.003;CAPEX.HOT.014</t>
        </is>
      </c>
      <c r="I168" s="33" t="inlineStr">
        <is>
          <t>WOK_COOKING</t>
        </is>
      </c>
      <c r="J168" s="33" t="n"/>
      <c r="K168" s="33" t="inlineStr">
        <is>
          <t>HOT-03: ≥5 порций/час; HOT-13: Совместимость с печами</t>
        </is>
      </c>
      <c r="L168" s="33" t="inlineStr">
        <is>
          <t>PLANNED</t>
        </is>
      </c>
      <c r="M168" s="33" t="n">
        <v>1</v>
      </c>
      <c r="N168" s="33" t="n"/>
      <c r="O168" s="33" t="n"/>
      <c r="P168" s="33" t="n"/>
      <c r="Q168" s="33" t="n"/>
      <c r="R168" s="33" t="inlineStr">
        <is>
          <t>BLOCKED_NO_SELECTED_MODEL_PASSPORT</t>
        </is>
      </c>
      <c r="S168" s="33" t="inlineStr">
        <is>
          <t>BLOCKED</t>
        </is>
      </c>
      <c r="T168" s="33" t="inlineStr">
        <is>
          <t>BLOCKED</t>
        </is>
      </c>
      <c r="U168" s="33" t="inlineStr">
        <is>
          <t>BLOCKED_SELECTED_MODEL_AND_SITE_VALIDATION</t>
        </is>
      </c>
      <c r="V168" s="33" t="inlineStr">
        <is>
          <t>ESTIMATE</t>
        </is>
      </c>
      <c r="W168" s="33" t="inlineStr">
        <is>
          <t>GAP-007;GAP-017;GAP-018;GAP-019</t>
        </is>
      </c>
    </row>
    <row r="169">
      <c r="A169" s="33" t="inlineStr">
        <is>
          <t>EQM-0132</t>
        </is>
      </c>
      <c r="B169" s="33" t="inlineStr">
        <is>
          <t>VKM-025</t>
        </is>
      </c>
      <c r="C169" s="33" t="inlineStr">
        <is>
          <t>Горячие овощи</t>
        </is>
      </c>
      <c r="D169" s="33" t="n">
        <v>3</v>
      </c>
      <c r="E169" s="33" t="inlineStr">
        <is>
          <t>соединить</t>
        </is>
      </c>
      <c r="F169" s="33" t="inlineStr">
        <is>
          <t>HOT-12;HOT-13</t>
        </is>
      </c>
      <c r="G169" s="33" t="inlineStr">
        <is>
          <t>Столы и полки горячего участка;GN, противни и горячий инвентарь</t>
        </is>
      </c>
      <c r="H169" s="33" t="inlineStr">
        <is>
          <t>CAPEX.HOT.013;CAPEX.HOT.014</t>
        </is>
      </c>
      <c r="I169" s="33" t="inlineStr">
        <is>
          <t>HOT_PREP_PORTIONING</t>
        </is>
      </c>
      <c r="J169" s="33" t="n"/>
      <c r="K169" s="33" t="inlineStr">
        <is>
          <t>HOT-12: По планировке; HOT-13: Совместимость с печами</t>
        </is>
      </c>
      <c r="L169" s="33" t="inlineStr">
        <is>
          <t>PLANNED</t>
        </is>
      </c>
      <c r="M169" s="33" t="n"/>
      <c r="N169" s="33" t="n"/>
      <c r="O169" s="33" t="n"/>
      <c r="P169" s="33" t="n"/>
      <c r="Q169" s="33" t="n"/>
      <c r="R169" s="33" t="inlineStr">
        <is>
          <t>BLOCKED_NO_SELECTED_MODEL_PASSPORT</t>
        </is>
      </c>
      <c r="S169" s="33" t="inlineStr">
        <is>
          <t>BLOCKED</t>
        </is>
      </c>
      <c r="T169" s="33" t="inlineStr">
        <is>
          <t>BLOCKED</t>
        </is>
      </c>
      <c r="U169" s="33" t="inlineStr">
        <is>
          <t>BLOCKED_SELECTED_MODEL_AND_SITE_VALIDATION</t>
        </is>
      </c>
      <c r="V169" s="33" t="inlineStr">
        <is>
          <t>ESTIMATE</t>
        </is>
      </c>
      <c r="W169" s="33" t="inlineStr">
        <is>
          <t>GAP-007;GAP-017;GAP-018;GAP-019</t>
        </is>
      </c>
    </row>
    <row r="170">
      <c r="A170" s="33" t="inlineStr">
        <is>
          <t>EQM-0133</t>
        </is>
      </c>
      <c r="B170" s="33" t="inlineStr">
        <is>
          <t>VKM-025</t>
        </is>
      </c>
      <c r="C170" s="33" t="inlineStr">
        <is>
          <t>Горячие овощи</t>
        </is>
      </c>
      <c r="D170" s="33" t="n">
        <v>4</v>
      </c>
      <c r="E170" s="33" t="inlineStr">
        <is>
          <t>приправить</t>
        </is>
      </c>
      <c r="F170" s="33" t="inlineStr">
        <is>
          <t>HOT-12;HOT-13</t>
        </is>
      </c>
      <c r="G170" s="33" t="inlineStr">
        <is>
          <t>Столы и полки горячего участка;GN, противни и горячий инвентарь</t>
        </is>
      </c>
      <c r="H170" s="33" t="inlineStr">
        <is>
          <t>CAPEX.HOT.013;CAPEX.HOT.014</t>
        </is>
      </c>
      <c r="I170" s="33" t="inlineStr">
        <is>
          <t>HOT_PREP_PORTIONING</t>
        </is>
      </c>
      <c r="J170" s="33" t="n"/>
      <c r="K170" s="33" t="inlineStr">
        <is>
          <t>HOT-12: По планировке; HOT-13: Совместимость с печами</t>
        </is>
      </c>
      <c r="L170" s="33" t="inlineStr">
        <is>
          <t>PLANNED</t>
        </is>
      </c>
      <c r="M170" s="33" t="n"/>
      <c r="N170" s="33" t="n"/>
      <c r="O170" s="33" t="n"/>
      <c r="P170" s="33" t="n"/>
      <c r="Q170" s="33" t="n"/>
      <c r="R170" s="33" t="inlineStr">
        <is>
          <t>BLOCKED_NO_SELECTED_MODEL_PASSPORT</t>
        </is>
      </c>
      <c r="S170" s="33" t="inlineStr">
        <is>
          <t>BLOCKED</t>
        </is>
      </c>
      <c r="T170" s="33" t="inlineStr">
        <is>
          <t>BLOCKED</t>
        </is>
      </c>
      <c r="U170" s="33" t="inlineStr">
        <is>
          <t>BLOCKED_SELECTED_MODEL_AND_SITE_VALIDATION</t>
        </is>
      </c>
      <c r="V170" s="33" t="inlineStr">
        <is>
          <t>ESTIMATE</t>
        </is>
      </c>
      <c r="W170" s="33" t="inlineStr">
        <is>
          <t>GAP-007;GAP-017;GAP-018;GAP-019</t>
        </is>
      </c>
    </row>
    <row r="171">
      <c r="A171" s="33" t="inlineStr">
        <is>
          <t>EQM-0134</t>
        </is>
      </c>
      <c r="B171" s="33" t="inlineStr">
        <is>
          <t>VKM-025</t>
        </is>
      </c>
      <c r="C171" s="33" t="inlineStr">
        <is>
          <t>Горячие овощи</t>
        </is>
      </c>
      <c r="D171" s="33" t="n">
        <v>5</v>
      </c>
      <c r="E171" s="33" t="inlineStr">
        <is>
          <t>порционировать</t>
        </is>
      </c>
      <c r="F171" s="33" t="inlineStr">
        <is>
          <t>HOT-12;HOT-13</t>
        </is>
      </c>
      <c r="G171" s="33" t="inlineStr">
        <is>
          <t>Столы и полки горячего участка;GN, противни и горячий инвентарь</t>
        </is>
      </c>
      <c r="H171" s="33" t="inlineStr">
        <is>
          <t>CAPEX.HOT.013;CAPEX.HOT.014</t>
        </is>
      </c>
      <c r="I171" s="33" t="inlineStr">
        <is>
          <t>HOT_PREP_PORTIONING</t>
        </is>
      </c>
      <c r="J171" s="33" t="n"/>
      <c r="K171" s="33" t="inlineStr">
        <is>
          <t>HOT-12: По планировке; HOT-13: Совместимость с печами</t>
        </is>
      </c>
      <c r="L171" s="33" t="inlineStr">
        <is>
          <t>PLANNED</t>
        </is>
      </c>
      <c r="M171" s="33" t="n"/>
      <c r="N171" s="33" t="n"/>
      <c r="O171" s="33" t="n"/>
      <c r="P171" s="33" t="n"/>
      <c r="Q171" s="33" t="n"/>
      <c r="R171" s="33" t="inlineStr">
        <is>
          <t>BLOCKED_NO_SELECTED_MODEL_PASSPORT</t>
        </is>
      </c>
      <c r="S171" s="33" t="inlineStr">
        <is>
          <t>BLOCKED</t>
        </is>
      </c>
      <c r="T171" s="33" t="inlineStr">
        <is>
          <t>BLOCKED</t>
        </is>
      </c>
      <c r="U171" s="33" t="inlineStr">
        <is>
          <t>BLOCKED_SELECTED_MODEL_AND_SITE_VALIDATION</t>
        </is>
      </c>
      <c r="V171" s="33" t="inlineStr">
        <is>
          <t>ESTIMATE</t>
        </is>
      </c>
      <c r="W171" s="33" t="inlineStr">
        <is>
          <t>GAP-007;GAP-017;GAP-018;GAP-019</t>
        </is>
      </c>
    </row>
    <row r="172">
      <c r="A172" s="33" t="inlineStr">
        <is>
          <t>EQM-0135</t>
        </is>
      </c>
      <c r="B172" s="33" t="inlineStr">
        <is>
          <t>VKM-029</t>
        </is>
      </c>
      <c r="C172" s="33" t="inlineStr">
        <is>
          <t>Черничный торт VARSHAVKA</t>
        </is>
      </c>
      <c r="D172" s="33" t="n">
        <v>1</v>
      </c>
      <c r="E172" s="33" t="inlineStr">
        <is>
          <t>Приготовить и выпечь бисквит</t>
        </is>
      </c>
      <c r="F172" s="33" t="inlineStr">
        <is>
          <t>BAK-04;BAK-02;BAK-07</t>
        </is>
      </c>
      <c r="G172" s="33" t="inlineStr">
        <is>
          <t>Планетарный миксер;Пекарская печь;Кондитерские формы и инвентарь</t>
        </is>
      </c>
      <c r="H172" s="33" t="inlineStr">
        <is>
          <t>CAPEX.BAK.004;CAPEX.BAK.002;CAPEX.BAK.007</t>
        </is>
      </c>
      <c r="I172" s="33" t="inlineStr">
        <is>
          <t>MIXING_FORMING_THERMAL_PROCESS</t>
        </is>
      </c>
      <c r="J172" s="33" t="n"/>
      <c r="K172" s="33" t="inlineStr">
        <is>
          <t>BAK-04: 10–20 л; BAK-02: 6×600×400; программирование; пар; BAK-07: Торт, кростата, мадлены</t>
        </is>
      </c>
      <c r="L172" s="33" t="inlineStr">
        <is>
          <t>PLANNED</t>
        </is>
      </c>
      <c r="M172" s="33" t="n"/>
      <c r="N172" s="33" t="n"/>
      <c r="O172" s="33" t="n"/>
      <c r="P172" s="33" t="n"/>
      <c r="Q172" s="33" t="n"/>
      <c r="R172" s="33" t="inlineStr">
        <is>
          <t>BLOCKED_NO_SELECTED_MODEL_PASSPORT</t>
        </is>
      </c>
      <c r="S172" s="33" t="inlineStr">
        <is>
          <t>BLOCKED</t>
        </is>
      </c>
      <c r="T172" s="33" t="inlineStr">
        <is>
          <t>BLOCKED</t>
        </is>
      </c>
      <c r="U172" s="33" t="inlineStr">
        <is>
          <t>BLOCKED_SELECTED_MODEL_AND_SITE_VALIDATION</t>
        </is>
      </c>
      <c r="V172" s="33" t="inlineStr">
        <is>
          <t>ESTIMATE</t>
        </is>
      </c>
      <c r="W172" s="33" t="inlineStr">
        <is>
          <t>GAP-007;GAP-017;GAP-018;GAP-019</t>
        </is>
      </c>
    </row>
    <row r="173">
      <c r="A173" s="33" t="inlineStr">
        <is>
          <t>EQM-0136</t>
        </is>
      </c>
      <c r="B173" s="33" t="inlineStr">
        <is>
          <t>VKM-029</t>
        </is>
      </c>
      <c r="C173" s="33" t="inlineStr">
        <is>
          <t>Черничный торт VARSHAVKA</t>
        </is>
      </c>
      <c r="D173" s="33" t="n">
        <v>2</v>
      </c>
      <c r="E173" s="33" t="inlineStr">
        <is>
          <t>охладить</t>
        </is>
      </c>
      <c r="F173" s="33" t="inlineStr">
        <is>
          <t>BAK-06;STO-09</t>
        </is>
      </c>
      <c r="G173" s="33" t="inlineStr">
        <is>
          <t>Мобильный стеллаж охлаждения;Кондитерское хранение</t>
        </is>
      </c>
      <c r="H173" s="33" t="inlineStr">
        <is>
          <t>CAPEX.BAK.006;CAPEX.STO.009</t>
        </is>
      </c>
      <c r="I173" s="33" t="inlineStr">
        <is>
          <t>COOLING</t>
        </is>
      </c>
      <c r="J173" s="33" t="n"/>
      <c r="K173" s="33" t="inlineStr">
        <is>
          <t>BAK-06: 16–20 противней; STO-09: Противни и изделия</t>
        </is>
      </c>
      <c r="L173" s="33" t="inlineStr">
        <is>
          <t>PLANNED</t>
        </is>
      </c>
      <c r="M173" s="33" t="n"/>
      <c r="N173" s="33" t="n"/>
      <c r="O173" s="33" t="n"/>
      <c r="P173" s="33" t="n"/>
      <c r="Q173" s="33" t="n"/>
      <c r="R173" s="33" t="inlineStr">
        <is>
          <t>BLOCKED_NO_SELECTED_MODEL_PASSPORT</t>
        </is>
      </c>
      <c r="S173" s="33" t="inlineStr">
        <is>
          <t>BLOCKED</t>
        </is>
      </c>
      <c r="T173" s="33" t="inlineStr">
        <is>
          <t>BLOCKED</t>
        </is>
      </c>
      <c r="U173" s="33" t="inlineStr">
        <is>
          <t>BLOCKED_SELECTED_MODEL_AND_SITE_VALIDATION</t>
        </is>
      </c>
      <c r="V173" s="33" t="inlineStr">
        <is>
          <t>ESTIMATE</t>
        </is>
      </c>
      <c r="W173" s="33" t="inlineStr">
        <is>
          <t>GAP-007;GAP-017;GAP-018;GAP-019</t>
        </is>
      </c>
    </row>
    <row r="174">
      <c r="A174" s="33" t="inlineStr">
        <is>
          <t>EQM-0137</t>
        </is>
      </c>
      <c r="B174" s="33" t="inlineStr">
        <is>
          <t>VKM-029</t>
        </is>
      </c>
      <c r="C174" s="33" t="inlineStr">
        <is>
          <t>Черничный торт VARSHAVKA</t>
        </is>
      </c>
      <c r="D174" s="33" t="n">
        <v>3</v>
      </c>
      <c r="E174" s="33" t="inlineStr">
        <is>
          <t>приготовить крем, компоте и глазурь</t>
        </is>
      </c>
      <c r="F174" s="33" t="inlineStr">
        <is>
          <t>BAK-04;BAK-07;HOT-05B</t>
        </is>
      </c>
      <c r="G174" s="33" t="inlineStr">
        <is>
          <t>Планетарный миксер;Кондитерские формы и инвентарь;Индукционная плита 2 зоны</t>
        </is>
      </c>
      <c r="H174" s="33" t="inlineStr">
        <is>
          <t>CAPEX.BAK.004;CAPEX.BAK.007;CAPEX.HOT.006</t>
        </is>
      </c>
      <c r="I174" s="33" t="inlineStr">
        <is>
          <t>MIXING_AND_HEATED_COMPONENT_PREP</t>
        </is>
      </c>
      <c r="J174" s="33" t="n"/>
      <c r="K174" s="33" t="inlineStr">
        <is>
          <t>BAK-04: 10–20 л; BAK-07: Торт, кростата, мадлены; HOT-05B: 2 зоны</t>
        </is>
      </c>
      <c r="L174" s="33" t="inlineStr">
        <is>
          <t>PLANNED</t>
        </is>
      </c>
      <c r="M174" s="33" t="n"/>
      <c r="N174" s="33" t="n"/>
      <c r="O174" s="33" t="n"/>
      <c r="P174" s="33" t="n"/>
      <c r="Q174" s="33" t="n"/>
      <c r="R174" s="33" t="inlineStr">
        <is>
          <t>BLOCKED_NO_SELECTED_MODEL_PASSPORT</t>
        </is>
      </c>
      <c r="S174" s="33" t="inlineStr">
        <is>
          <t>BLOCKED</t>
        </is>
      </c>
      <c r="T174" s="33" t="inlineStr">
        <is>
          <t>BLOCKED</t>
        </is>
      </c>
      <c r="U174" s="33" t="inlineStr">
        <is>
          <t>BLOCKED_SELECTED_MODEL_AND_SITE_VALIDATION</t>
        </is>
      </c>
      <c r="V174" s="33" t="inlineStr">
        <is>
          <t>ESTIMATE</t>
        </is>
      </c>
      <c r="W174" s="33" t="inlineStr">
        <is>
          <t>GAP-007;GAP-017;GAP-018;GAP-019</t>
        </is>
      </c>
    </row>
    <row r="175">
      <c r="A175" s="33" t="inlineStr">
        <is>
          <t>EQM-0138</t>
        </is>
      </c>
      <c r="B175" s="33" t="inlineStr">
        <is>
          <t>VKM-029</t>
        </is>
      </c>
      <c r="C175" s="33" t="inlineStr">
        <is>
          <t>Черничный торт VARSHAVKA</t>
        </is>
      </c>
      <c r="D175" s="33" t="n">
        <v>4</v>
      </c>
      <c r="E175" s="33" t="inlineStr">
        <is>
          <t>собрать слоями</t>
        </is>
      </c>
      <c r="F175" s="33" t="inlineStr">
        <is>
          <t>BAK-07</t>
        </is>
      </c>
      <c r="G175" s="33" t="inlineStr">
        <is>
          <t>Кондитерские формы и инвентарь</t>
        </is>
      </c>
      <c r="H175" s="33" t="inlineStr">
        <is>
          <t>CAPEX.BAK.007</t>
        </is>
      </c>
      <c r="I175" s="33" t="inlineStr">
        <is>
          <t>FORMING_DECORATING_PORTIONING</t>
        </is>
      </c>
      <c r="J175" s="33" t="n"/>
      <c r="K175" s="33" t="inlineStr">
        <is>
          <t>BAK-07: Торт, кростата, мадлены</t>
        </is>
      </c>
      <c r="L175" s="33" t="inlineStr">
        <is>
          <t>PLANNED</t>
        </is>
      </c>
      <c r="M175" s="33" t="n"/>
      <c r="N175" s="33" t="n"/>
      <c r="O175" s="33" t="n"/>
      <c r="P175" s="33" t="n"/>
      <c r="Q175" s="33" t="n"/>
      <c r="R175" s="33" t="inlineStr">
        <is>
          <t>BLOCKED_NO_SELECTED_MODEL_PASSPORT</t>
        </is>
      </c>
      <c r="S175" s="33" t="inlineStr">
        <is>
          <t>BLOCKED</t>
        </is>
      </c>
      <c r="T175" s="33" t="inlineStr">
        <is>
          <t>BLOCKED</t>
        </is>
      </c>
      <c r="U175" s="33" t="inlineStr">
        <is>
          <t>BLOCKED_SELECTED_MODEL_AND_SITE_VALIDATION</t>
        </is>
      </c>
      <c r="V175" s="33" t="inlineStr">
        <is>
          <t>ESTIMATE</t>
        </is>
      </c>
      <c r="W175" s="33" t="inlineStr">
        <is>
          <t>GAP-007;GAP-017;GAP-018;GAP-019</t>
        </is>
      </c>
    </row>
    <row r="176">
      <c r="A176" s="33" t="inlineStr">
        <is>
          <t>EQM-0139</t>
        </is>
      </c>
      <c r="B176" s="33" t="inlineStr">
        <is>
          <t>VKM-029</t>
        </is>
      </c>
      <c r="C176" s="33" t="inlineStr">
        <is>
          <t>Черничный торт VARSHAVKA</t>
        </is>
      </c>
      <c r="D176" s="33" t="n">
        <v>5</v>
      </c>
      <c r="E176" s="33" t="inlineStr">
        <is>
          <t>стабилизировать</t>
        </is>
      </c>
      <c r="F176" s="33" t="inlineStr">
        <is>
          <t>STO-09</t>
        </is>
      </c>
      <c r="G176" s="33" t="inlineStr">
        <is>
          <t>Кондитерское хранение</t>
        </is>
      </c>
      <c r="H176" s="33" t="inlineStr">
        <is>
          <t>CAPEX.STO.009</t>
        </is>
      </c>
      <c r="I176" s="33" t="inlineStr">
        <is>
          <t>CONTROLLED_HOLDING</t>
        </is>
      </c>
      <c r="J176" s="33" t="n"/>
      <c r="K176" s="33" t="inlineStr">
        <is>
          <t>STO-09: Противни и изделия</t>
        </is>
      </c>
      <c r="L176" s="33" t="inlineStr">
        <is>
          <t>PLANNED</t>
        </is>
      </c>
      <c r="M176" s="33" t="n"/>
      <c r="N176" s="33" t="n"/>
      <c r="O176" s="33" t="n"/>
      <c r="P176" s="33" t="n"/>
      <c r="Q176" s="33" t="n"/>
      <c r="R176" s="33" t="inlineStr">
        <is>
          <t>BLOCKED_NO_SELECTED_MODEL_PASSPORT</t>
        </is>
      </c>
      <c r="S176" s="33" t="inlineStr">
        <is>
          <t>BLOCKED</t>
        </is>
      </c>
      <c r="T176" s="33" t="inlineStr">
        <is>
          <t>BLOCKED</t>
        </is>
      </c>
      <c r="U176" s="33" t="inlineStr">
        <is>
          <t>BLOCKED_SELECTED_MODEL_AND_SITE_VALIDATION</t>
        </is>
      </c>
      <c r="V176" s="33" t="inlineStr">
        <is>
          <t>ESTIMATE</t>
        </is>
      </c>
      <c r="W176" s="33" t="inlineStr">
        <is>
          <t>GAP-007;GAP-017;GAP-018;GAP-019</t>
        </is>
      </c>
    </row>
    <row r="177">
      <c r="A177" s="33" t="inlineStr">
        <is>
          <t>EQM-0140</t>
        </is>
      </c>
      <c r="B177" s="33" t="inlineStr">
        <is>
          <t>VKM-029</t>
        </is>
      </c>
      <c r="C177" s="33" t="inlineStr">
        <is>
          <t>Черничный торт VARSHAVKA</t>
        </is>
      </c>
      <c r="D177" s="33" t="n">
        <v>6</v>
      </c>
      <c r="E177" s="33" t="inlineStr">
        <is>
          <t>покрыть и декорировать</t>
        </is>
      </c>
      <c r="F177" s="33" t="inlineStr">
        <is>
          <t>BAK-07</t>
        </is>
      </c>
      <c r="G177" s="33" t="inlineStr">
        <is>
          <t>Кондитерские формы и инвентарь</t>
        </is>
      </c>
      <c r="H177" s="33" t="inlineStr">
        <is>
          <t>CAPEX.BAK.007</t>
        </is>
      </c>
      <c r="I177" s="33" t="inlineStr">
        <is>
          <t>FORMING_DECORATING_PORTIONING</t>
        </is>
      </c>
      <c r="J177" s="33" t="n"/>
      <c r="K177" s="33" t="inlineStr">
        <is>
          <t>BAK-07: Торт, кростата, мадлены</t>
        </is>
      </c>
      <c r="L177" s="33" t="inlineStr">
        <is>
          <t>PLANNED</t>
        </is>
      </c>
      <c r="M177" s="33" t="n"/>
      <c r="N177" s="33" t="n"/>
      <c r="O177" s="33" t="n"/>
      <c r="P177" s="33" t="n"/>
      <c r="Q177" s="33" t="n"/>
      <c r="R177" s="33" t="inlineStr">
        <is>
          <t>BLOCKED_NO_SELECTED_MODEL_PASSPORT</t>
        </is>
      </c>
      <c r="S177" s="33" t="inlineStr">
        <is>
          <t>BLOCKED</t>
        </is>
      </c>
      <c r="T177" s="33" t="inlineStr">
        <is>
          <t>BLOCKED</t>
        </is>
      </c>
      <c r="U177" s="33" t="inlineStr">
        <is>
          <t>BLOCKED_SELECTED_MODEL_AND_SITE_VALIDATION</t>
        </is>
      </c>
      <c r="V177" s="33" t="inlineStr">
        <is>
          <t>ESTIMATE</t>
        </is>
      </c>
      <c r="W177" s="33" t="inlineStr">
        <is>
          <t>GAP-007;GAP-017;GAP-018;GAP-019</t>
        </is>
      </c>
    </row>
    <row r="178">
      <c r="A178" s="33" t="inlineStr">
        <is>
          <t>EQM-0141</t>
        </is>
      </c>
      <c r="B178" s="33" t="inlineStr">
        <is>
          <t>VKM-029</t>
        </is>
      </c>
      <c r="C178" s="33" t="inlineStr">
        <is>
          <t>Черничный торт VARSHAVKA</t>
        </is>
      </c>
      <c r="D178" s="33" t="n">
        <v>7</v>
      </c>
      <c r="E178" s="33" t="inlineStr">
        <is>
          <t>разделить на 12 порций</t>
        </is>
      </c>
      <c r="F178" s="33" t="inlineStr">
        <is>
          <t>BAK-07</t>
        </is>
      </c>
      <c r="G178" s="33" t="inlineStr">
        <is>
          <t>Кондитерские формы и инвентарь</t>
        </is>
      </c>
      <c r="H178" s="33" t="inlineStr">
        <is>
          <t>CAPEX.BAK.007</t>
        </is>
      </c>
      <c r="I178" s="33" t="inlineStr">
        <is>
          <t>FORMING_DECORATING_PORTIONING</t>
        </is>
      </c>
      <c r="J178" s="33" t="n"/>
      <c r="K178" s="33" t="inlineStr">
        <is>
          <t>BAK-07: Торт, кростата, мадлены</t>
        </is>
      </c>
      <c r="L178" s="33" t="inlineStr">
        <is>
          <t>PLANNED</t>
        </is>
      </c>
      <c r="M178" s="33" t="n"/>
      <c r="N178" s="33" t="n"/>
      <c r="O178" s="33" t="n"/>
      <c r="P178" s="33" t="n"/>
      <c r="Q178" s="33" t="n"/>
      <c r="R178" s="33" t="inlineStr">
        <is>
          <t>BLOCKED_NO_SELECTED_MODEL_PASSPORT</t>
        </is>
      </c>
      <c r="S178" s="33" t="inlineStr">
        <is>
          <t>BLOCKED</t>
        </is>
      </c>
      <c r="T178" s="33" t="inlineStr">
        <is>
          <t>BLOCKED</t>
        </is>
      </c>
      <c r="U178" s="33" t="inlineStr">
        <is>
          <t>BLOCKED_SELECTED_MODEL_AND_SITE_VALIDATION</t>
        </is>
      </c>
      <c r="V178" s="33" t="inlineStr">
        <is>
          <t>ESTIMATE</t>
        </is>
      </c>
      <c r="W178" s="33" t="inlineStr">
        <is>
          <t>GAP-007;GAP-017;GAP-018;GAP-019</t>
        </is>
      </c>
    </row>
    <row r="179">
      <c r="A179" s="33" t="inlineStr">
        <is>
          <t>EQM-0142</t>
        </is>
      </c>
      <c r="B179" s="33" t="inlineStr">
        <is>
          <t>VKM-030</t>
        </is>
      </c>
      <c r="C179" s="33" t="inlineStr">
        <is>
          <t>Кростата с солёной карамелью</t>
        </is>
      </c>
      <c r="D179" s="33" t="n">
        <v>1</v>
      </c>
      <c r="E179" s="33" t="inlineStr">
        <is>
          <t>Замесить песочное тесто</t>
        </is>
      </c>
      <c r="F179" s="33" t="inlineStr">
        <is>
          <t>BAK-04;BAK-07</t>
        </is>
      </c>
      <c r="G179" s="33" t="inlineStr">
        <is>
          <t>Планетарный миксер;Кондитерские формы и инвентарь</t>
        </is>
      </c>
      <c r="H179" s="33" t="inlineStr">
        <is>
          <t>CAPEX.BAK.004;CAPEX.BAK.007</t>
        </is>
      </c>
      <c r="I179" s="33" t="inlineStr">
        <is>
          <t>MIXING_COMPONENT_PREP</t>
        </is>
      </c>
      <c r="J179" s="33" t="n"/>
      <c r="K179" s="33" t="inlineStr">
        <is>
          <t>BAK-04: 10–20 л; BAK-07: Торт, кростата, мадлены</t>
        </is>
      </c>
      <c r="L179" s="33" t="inlineStr">
        <is>
          <t>PLANNED</t>
        </is>
      </c>
      <c r="M179" s="33" t="n"/>
      <c r="N179" s="33" t="n"/>
      <c r="O179" s="33" t="n"/>
      <c r="P179" s="33" t="n"/>
      <c r="Q179" s="33" t="n"/>
      <c r="R179" s="33" t="inlineStr">
        <is>
          <t>BLOCKED_NO_SELECTED_MODEL_PASSPORT</t>
        </is>
      </c>
      <c r="S179" s="33" t="inlineStr">
        <is>
          <t>BLOCKED</t>
        </is>
      </c>
      <c r="T179" s="33" t="inlineStr">
        <is>
          <t>BLOCKED</t>
        </is>
      </c>
      <c r="U179" s="33" t="inlineStr">
        <is>
          <t>BLOCKED_SELECTED_MODEL_AND_SITE_VALIDATION</t>
        </is>
      </c>
      <c r="V179" s="33" t="inlineStr">
        <is>
          <t>ESTIMATE</t>
        </is>
      </c>
      <c r="W179" s="33" t="inlineStr">
        <is>
          <t>GAP-007;GAP-017;GAP-018;GAP-019</t>
        </is>
      </c>
    </row>
    <row r="180">
      <c r="A180" s="33" t="inlineStr">
        <is>
          <t>EQM-0143</t>
        </is>
      </c>
      <c r="B180" s="33" t="inlineStr">
        <is>
          <t>VKM-030</t>
        </is>
      </c>
      <c r="C180" s="33" t="inlineStr">
        <is>
          <t>Кростата с солёной карамелью</t>
        </is>
      </c>
      <c r="D180" s="33" t="n">
        <v>2</v>
      </c>
      <c r="E180" s="33" t="inlineStr">
        <is>
          <t>охладить</t>
        </is>
      </c>
      <c r="F180" s="33" t="inlineStr">
        <is>
          <t>BAK-06;STO-09</t>
        </is>
      </c>
      <c r="G180" s="33" t="inlineStr">
        <is>
          <t>Мобильный стеллаж охлаждения;Кондитерское хранение</t>
        </is>
      </c>
      <c r="H180" s="33" t="inlineStr">
        <is>
          <t>CAPEX.BAK.006;CAPEX.STO.009</t>
        </is>
      </c>
      <c r="I180" s="33" t="inlineStr">
        <is>
          <t>COOLING</t>
        </is>
      </c>
      <c r="J180" s="33" t="n"/>
      <c r="K180" s="33" t="inlineStr">
        <is>
          <t>BAK-06: 16–20 противней; STO-09: Противни и изделия</t>
        </is>
      </c>
      <c r="L180" s="33" t="inlineStr">
        <is>
          <t>PLANNED</t>
        </is>
      </c>
      <c r="M180" s="33" t="n"/>
      <c r="N180" s="33" t="n"/>
      <c r="O180" s="33" t="n"/>
      <c r="P180" s="33" t="n"/>
      <c r="Q180" s="33" t="n"/>
      <c r="R180" s="33" t="inlineStr">
        <is>
          <t>BLOCKED_NO_SELECTED_MODEL_PASSPORT</t>
        </is>
      </c>
      <c r="S180" s="33" t="inlineStr">
        <is>
          <t>BLOCKED</t>
        </is>
      </c>
      <c r="T180" s="33" t="inlineStr">
        <is>
          <t>BLOCKED</t>
        </is>
      </c>
      <c r="U180" s="33" t="inlineStr">
        <is>
          <t>BLOCKED_SELECTED_MODEL_AND_SITE_VALIDATION</t>
        </is>
      </c>
      <c r="V180" s="33" t="inlineStr">
        <is>
          <t>ESTIMATE</t>
        </is>
      </c>
      <c r="W180" s="33" t="inlineStr">
        <is>
          <t>GAP-007;GAP-017;GAP-018;GAP-019</t>
        </is>
      </c>
    </row>
    <row r="181">
      <c r="A181" s="33" t="inlineStr">
        <is>
          <t>EQM-0144</t>
        </is>
      </c>
      <c r="B181" s="33" t="inlineStr">
        <is>
          <t>VKM-030</t>
        </is>
      </c>
      <c r="C181" s="33" t="inlineStr">
        <is>
          <t>Кростата с солёной карамелью</t>
        </is>
      </c>
      <c r="D181" s="33" t="n">
        <v>3</v>
      </c>
      <c r="E181" s="33" t="inlineStr">
        <is>
          <t>сформовать и выпечь основу</t>
        </is>
      </c>
      <c r="F181" s="33" t="inlineStr">
        <is>
          <t>BAK-02;BAK-07</t>
        </is>
      </c>
      <c r="G181" s="33" t="inlineStr">
        <is>
          <t>Пекарская печь;Кондитерские формы и инвентарь</t>
        </is>
      </c>
      <c r="H181" s="33" t="inlineStr">
        <is>
          <t>CAPEX.BAK.002;CAPEX.BAK.007</t>
        </is>
      </c>
      <c r="I181" s="33" t="inlineStr">
        <is>
          <t>THERMAL_PROCESS</t>
        </is>
      </c>
      <c r="J181" s="33" t="n"/>
      <c r="K181" s="33" t="inlineStr">
        <is>
          <t>BAK-02: 6×600×400; программирование; пар; BAK-07: Торт, кростата, мадлены</t>
        </is>
      </c>
      <c r="L181" s="33" t="inlineStr">
        <is>
          <t>PLANNED</t>
        </is>
      </c>
      <c r="M181" s="33" t="n"/>
      <c r="N181" s="33" t="n"/>
      <c r="O181" s="33" t="n"/>
      <c r="P181" s="33" t="n"/>
      <c r="Q181" s="33" t="n"/>
      <c r="R181" s="33" t="inlineStr">
        <is>
          <t>BLOCKED_NO_SELECTED_MODEL_PASSPORT</t>
        </is>
      </c>
      <c r="S181" s="33" t="inlineStr">
        <is>
          <t>BLOCKED</t>
        </is>
      </c>
      <c r="T181" s="33" t="inlineStr">
        <is>
          <t>BLOCKED</t>
        </is>
      </c>
      <c r="U181" s="33" t="inlineStr">
        <is>
          <t>BLOCKED_SELECTED_MODEL_AND_SITE_VALIDATION</t>
        </is>
      </c>
      <c r="V181" s="33" t="inlineStr">
        <is>
          <t>ESTIMATE</t>
        </is>
      </c>
      <c r="W181" s="33" t="inlineStr">
        <is>
          <t>GAP-007;GAP-017;GAP-018;GAP-019</t>
        </is>
      </c>
    </row>
    <row r="182">
      <c r="A182" s="33" t="inlineStr">
        <is>
          <t>EQM-0145</t>
        </is>
      </c>
      <c r="B182" s="33" t="inlineStr">
        <is>
          <t>VKM-030</t>
        </is>
      </c>
      <c r="C182" s="33" t="inlineStr">
        <is>
          <t>Кростата с солёной карамелью</t>
        </is>
      </c>
      <c r="D182" s="33" t="n">
        <v>4</v>
      </c>
      <c r="E182" s="33" t="inlineStr">
        <is>
          <t>приготовить карамель и крем</t>
        </is>
      </c>
      <c r="F182" s="33" t="inlineStr">
        <is>
          <t>BAK-04;BAK-07;HOT-05B</t>
        </is>
      </c>
      <c r="G182" s="33" t="inlineStr">
        <is>
          <t>Планетарный миксер;Кондитерские формы и инвентарь;Индукционная плита 2 зоны</t>
        </is>
      </c>
      <c r="H182" s="33" t="inlineStr">
        <is>
          <t>CAPEX.BAK.004;CAPEX.BAK.007;CAPEX.HOT.006</t>
        </is>
      </c>
      <c r="I182" s="33" t="inlineStr">
        <is>
          <t>MIXING_AND_HEATED_COMPONENT_PREP</t>
        </is>
      </c>
      <c r="J182" s="33" t="n"/>
      <c r="K182" s="33" t="inlineStr">
        <is>
          <t>BAK-04: 10–20 л; BAK-07: Торт, кростата, мадлены; HOT-05B: 2 зоны</t>
        </is>
      </c>
      <c r="L182" s="33" t="inlineStr">
        <is>
          <t>PLANNED</t>
        </is>
      </c>
      <c r="M182" s="33" t="n"/>
      <c r="N182" s="33" t="n"/>
      <c r="O182" s="33" t="n"/>
      <c r="P182" s="33" t="n"/>
      <c r="Q182" s="33" t="n"/>
      <c r="R182" s="33" t="inlineStr">
        <is>
          <t>BLOCKED_NO_SELECTED_MODEL_PASSPORT</t>
        </is>
      </c>
      <c r="S182" s="33" t="inlineStr">
        <is>
          <t>BLOCKED</t>
        </is>
      </c>
      <c r="T182" s="33" t="inlineStr">
        <is>
          <t>BLOCKED</t>
        </is>
      </c>
      <c r="U182" s="33" t="inlineStr">
        <is>
          <t>BLOCKED_SELECTED_MODEL_AND_SITE_VALIDATION</t>
        </is>
      </c>
      <c r="V182" s="33" t="inlineStr">
        <is>
          <t>ESTIMATE</t>
        </is>
      </c>
      <c r="W182" s="33" t="inlineStr">
        <is>
          <t>GAP-007;GAP-017;GAP-018;GAP-019</t>
        </is>
      </c>
    </row>
    <row r="183">
      <c r="A183" s="33" t="inlineStr">
        <is>
          <t>EQM-0146</t>
        </is>
      </c>
      <c r="B183" s="33" t="inlineStr">
        <is>
          <t>VKM-030</t>
        </is>
      </c>
      <c r="C183" s="33" t="inlineStr">
        <is>
          <t>Кростата с солёной карамелью</t>
        </is>
      </c>
      <c r="D183" s="33" t="n">
        <v>5</v>
      </c>
      <c r="E183" s="33" t="inlineStr">
        <is>
          <t>наполнить</t>
        </is>
      </c>
      <c r="F183" s="33" t="inlineStr">
        <is>
          <t>BAK-07</t>
        </is>
      </c>
      <c r="G183" s="33" t="inlineStr">
        <is>
          <t>Кондитерские формы и инвентарь</t>
        </is>
      </c>
      <c r="H183" s="33" t="inlineStr">
        <is>
          <t>CAPEX.BAK.007</t>
        </is>
      </c>
      <c r="I183" s="33" t="inlineStr">
        <is>
          <t>FORMING_DECORATING_PORTIONING</t>
        </is>
      </c>
      <c r="J183" s="33" t="n"/>
      <c r="K183" s="33" t="inlineStr">
        <is>
          <t>BAK-07: Торт, кростата, мадлены</t>
        </is>
      </c>
      <c r="L183" s="33" t="inlineStr">
        <is>
          <t>PLANNED</t>
        </is>
      </c>
      <c r="M183" s="33" t="n"/>
      <c r="N183" s="33" t="n"/>
      <c r="O183" s="33" t="n"/>
      <c r="P183" s="33" t="n"/>
      <c r="Q183" s="33" t="n"/>
      <c r="R183" s="33" t="inlineStr">
        <is>
          <t>BLOCKED_NO_SELECTED_MODEL_PASSPORT</t>
        </is>
      </c>
      <c r="S183" s="33" t="inlineStr">
        <is>
          <t>BLOCKED</t>
        </is>
      </c>
      <c r="T183" s="33" t="inlineStr">
        <is>
          <t>BLOCKED</t>
        </is>
      </c>
      <c r="U183" s="33" t="inlineStr">
        <is>
          <t>BLOCKED_SELECTED_MODEL_AND_SITE_VALIDATION</t>
        </is>
      </c>
      <c r="V183" s="33" t="inlineStr">
        <is>
          <t>ESTIMATE</t>
        </is>
      </c>
      <c r="W183" s="33" t="inlineStr">
        <is>
          <t>GAP-007;GAP-017;GAP-018;GAP-019</t>
        </is>
      </c>
    </row>
    <row r="184">
      <c r="A184" s="33" t="inlineStr">
        <is>
          <t>EQM-0147</t>
        </is>
      </c>
      <c r="B184" s="33" t="inlineStr">
        <is>
          <t>VKM-030</t>
        </is>
      </c>
      <c r="C184" s="33" t="inlineStr">
        <is>
          <t>Кростата с солёной карамелью</t>
        </is>
      </c>
      <c r="D184" s="33" t="n">
        <v>6</v>
      </c>
      <c r="E184" s="33" t="inlineStr">
        <is>
          <t>стабилизировать</t>
        </is>
      </c>
      <c r="F184" s="33" t="inlineStr">
        <is>
          <t>STO-09</t>
        </is>
      </c>
      <c r="G184" s="33" t="inlineStr">
        <is>
          <t>Кондитерское хранение</t>
        </is>
      </c>
      <c r="H184" s="33" t="inlineStr">
        <is>
          <t>CAPEX.STO.009</t>
        </is>
      </c>
      <c r="I184" s="33" t="inlineStr">
        <is>
          <t>CONTROLLED_HOLDING</t>
        </is>
      </c>
      <c r="J184" s="33" t="n"/>
      <c r="K184" s="33" t="inlineStr">
        <is>
          <t>STO-09: Противни и изделия</t>
        </is>
      </c>
      <c r="L184" s="33" t="inlineStr">
        <is>
          <t>PLANNED</t>
        </is>
      </c>
      <c r="M184" s="33" t="n"/>
      <c r="N184" s="33" t="n"/>
      <c r="O184" s="33" t="n"/>
      <c r="P184" s="33" t="n"/>
      <c r="Q184" s="33" t="n"/>
      <c r="R184" s="33" t="inlineStr">
        <is>
          <t>BLOCKED_NO_SELECTED_MODEL_PASSPORT</t>
        </is>
      </c>
      <c r="S184" s="33" t="inlineStr">
        <is>
          <t>BLOCKED</t>
        </is>
      </c>
      <c r="T184" s="33" t="inlineStr">
        <is>
          <t>BLOCKED</t>
        </is>
      </c>
      <c r="U184" s="33" t="inlineStr">
        <is>
          <t>BLOCKED_SELECTED_MODEL_AND_SITE_VALIDATION</t>
        </is>
      </c>
      <c r="V184" s="33" t="inlineStr">
        <is>
          <t>ESTIMATE</t>
        </is>
      </c>
      <c r="W184" s="33" t="inlineStr">
        <is>
          <t>GAP-007;GAP-017;GAP-018;GAP-019</t>
        </is>
      </c>
    </row>
    <row r="185">
      <c r="A185" s="33" t="inlineStr">
        <is>
          <t>EQM-0148</t>
        </is>
      </c>
      <c r="B185" s="33" t="inlineStr">
        <is>
          <t>VKM-030</t>
        </is>
      </c>
      <c r="C185" s="33" t="inlineStr">
        <is>
          <t>Кростата с солёной карамелью</t>
        </is>
      </c>
      <c r="D185" s="33" t="n">
        <v>7</v>
      </c>
      <c r="E185" s="33" t="inlineStr">
        <is>
          <t>декорировать</t>
        </is>
      </c>
      <c r="F185" s="33" t="inlineStr">
        <is>
          <t>BAK-07</t>
        </is>
      </c>
      <c r="G185" s="33" t="inlineStr">
        <is>
          <t>Кондитерские формы и инвентарь</t>
        </is>
      </c>
      <c r="H185" s="33" t="inlineStr">
        <is>
          <t>CAPEX.BAK.007</t>
        </is>
      </c>
      <c r="I185" s="33" t="inlineStr">
        <is>
          <t>FORMING_DECORATING_PORTIONING</t>
        </is>
      </c>
      <c r="J185" s="33" t="n"/>
      <c r="K185" s="33" t="inlineStr">
        <is>
          <t>BAK-07: Торт, кростата, мадлены</t>
        </is>
      </c>
      <c r="L185" s="33" t="inlineStr">
        <is>
          <t>PLANNED</t>
        </is>
      </c>
      <c r="M185" s="33" t="n"/>
      <c r="N185" s="33" t="n"/>
      <c r="O185" s="33" t="n"/>
      <c r="P185" s="33" t="n"/>
      <c r="Q185" s="33" t="n"/>
      <c r="R185" s="33" t="inlineStr">
        <is>
          <t>BLOCKED_NO_SELECTED_MODEL_PASSPORT</t>
        </is>
      </c>
      <c r="S185" s="33" t="inlineStr">
        <is>
          <t>BLOCKED</t>
        </is>
      </c>
      <c r="T185" s="33" t="inlineStr">
        <is>
          <t>BLOCKED</t>
        </is>
      </c>
      <c r="U185" s="33" t="inlineStr">
        <is>
          <t>BLOCKED_SELECTED_MODEL_AND_SITE_VALIDATION</t>
        </is>
      </c>
      <c r="V185" s="33" t="inlineStr">
        <is>
          <t>ESTIMATE</t>
        </is>
      </c>
      <c r="W185" s="33" t="inlineStr">
        <is>
          <t>GAP-007;GAP-017;GAP-018;GAP-019</t>
        </is>
      </c>
    </row>
    <row r="186">
      <c r="A186" s="33" t="inlineStr">
        <is>
          <t>EQM-0149</t>
        </is>
      </c>
      <c r="B186" s="33" t="inlineStr">
        <is>
          <t>VKM-030</t>
        </is>
      </c>
      <c r="C186" s="33" t="inlineStr">
        <is>
          <t>Кростата с солёной карамелью</t>
        </is>
      </c>
      <c r="D186" s="33" t="n">
        <v>8</v>
      </c>
      <c r="E186" s="33" t="inlineStr">
        <is>
          <t>разделить на 10 порций</t>
        </is>
      </c>
      <c r="F186" s="33" t="inlineStr">
        <is>
          <t>BAK-07</t>
        </is>
      </c>
      <c r="G186" s="33" t="inlineStr">
        <is>
          <t>Кондитерские формы и инвентарь</t>
        </is>
      </c>
      <c r="H186" s="33" t="inlineStr">
        <is>
          <t>CAPEX.BAK.007</t>
        </is>
      </c>
      <c r="I186" s="33" t="inlineStr">
        <is>
          <t>FORMING_DECORATING_PORTIONING</t>
        </is>
      </c>
      <c r="J186" s="33" t="n"/>
      <c r="K186" s="33" t="inlineStr">
        <is>
          <t>BAK-07: Торт, кростата, мадлены</t>
        </is>
      </c>
      <c r="L186" s="33" t="inlineStr">
        <is>
          <t>PLANNED</t>
        </is>
      </c>
      <c r="M186" s="33" t="n"/>
      <c r="N186" s="33" t="n"/>
      <c r="O186" s="33" t="n"/>
      <c r="P186" s="33" t="n"/>
      <c r="Q186" s="33" t="n"/>
      <c r="R186" s="33" t="inlineStr">
        <is>
          <t>BLOCKED_NO_SELECTED_MODEL_PASSPORT</t>
        </is>
      </c>
      <c r="S186" s="33" t="inlineStr">
        <is>
          <t>BLOCKED</t>
        </is>
      </c>
      <c r="T186" s="33" t="inlineStr">
        <is>
          <t>BLOCKED</t>
        </is>
      </c>
      <c r="U186" s="33" t="inlineStr">
        <is>
          <t>BLOCKED_SELECTED_MODEL_AND_SITE_VALIDATION</t>
        </is>
      </c>
      <c r="V186" s="33" t="inlineStr">
        <is>
          <t>ESTIMATE</t>
        </is>
      </c>
      <c r="W186" s="33" t="inlineStr">
        <is>
          <t>GAP-007;GAP-017;GAP-018;GAP-019</t>
        </is>
      </c>
    </row>
    <row r="187">
      <c r="A187" s="33" t="inlineStr">
        <is>
          <t>EQM-0150</t>
        </is>
      </c>
      <c r="B187" s="33" t="inlineStr">
        <is>
          <t>VKM-031</t>
        </is>
      </c>
      <c r="C187" s="33" t="inlineStr">
        <is>
          <t>Мадлен</t>
        </is>
      </c>
      <c r="D187" s="33" t="n">
        <v>1</v>
      </c>
      <c r="E187" s="33" t="inlineStr">
        <is>
          <t>Смешать тесто</t>
        </is>
      </c>
      <c r="F187" s="33" t="inlineStr">
        <is>
          <t>BAK-04;BAK-07</t>
        </is>
      </c>
      <c r="G187" s="33" t="inlineStr">
        <is>
          <t>Планетарный миксер;Кондитерские формы и инвентарь</t>
        </is>
      </c>
      <c r="H187" s="33" t="inlineStr">
        <is>
          <t>CAPEX.BAK.004;CAPEX.BAK.007</t>
        </is>
      </c>
      <c r="I187" s="33" t="inlineStr">
        <is>
          <t>MIXING_COMPONENT_PREP</t>
        </is>
      </c>
      <c r="J187" s="33" t="n"/>
      <c r="K187" s="33" t="inlineStr">
        <is>
          <t>BAK-04: 10–20 л; BAK-07: Торт, кростата, мадлены</t>
        </is>
      </c>
      <c r="L187" s="33" t="inlineStr">
        <is>
          <t>PLANNED</t>
        </is>
      </c>
      <c r="M187" s="33" t="n"/>
      <c r="N187" s="33" t="n"/>
      <c r="O187" s="33" t="n"/>
      <c r="P187" s="33" t="n"/>
      <c r="Q187" s="33" t="n"/>
      <c r="R187" s="33" t="inlineStr">
        <is>
          <t>BLOCKED_NO_SELECTED_MODEL_PASSPORT</t>
        </is>
      </c>
      <c r="S187" s="33" t="inlineStr">
        <is>
          <t>BLOCKED</t>
        </is>
      </c>
      <c r="T187" s="33" t="inlineStr">
        <is>
          <t>BLOCKED</t>
        </is>
      </c>
      <c r="U187" s="33" t="inlineStr">
        <is>
          <t>BLOCKED_SELECTED_MODEL_AND_SITE_VALIDATION</t>
        </is>
      </c>
      <c r="V187" s="33" t="inlineStr">
        <is>
          <t>ESTIMATE</t>
        </is>
      </c>
      <c r="W187" s="33" t="inlineStr">
        <is>
          <t>GAP-007;GAP-017;GAP-018;GAP-019</t>
        </is>
      </c>
    </row>
    <row r="188">
      <c r="A188" s="33" t="inlineStr">
        <is>
          <t>EQM-0151</t>
        </is>
      </c>
      <c r="B188" s="33" t="inlineStr">
        <is>
          <t>VKM-031</t>
        </is>
      </c>
      <c r="C188" s="33" t="inlineStr">
        <is>
          <t>Мадлен</t>
        </is>
      </c>
      <c r="D188" s="33" t="n">
        <v>2</v>
      </c>
      <c r="E188" s="33" t="inlineStr">
        <is>
          <t>дать ему стабилизироваться</t>
        </is>
      </c>
      <c r="F188" s="33" t="inlineStr">
        <is>
          <t>STO-09</t>
        </is>
      </c>
      <c r="G188" s="33" t="inlineStr">
        <is>
          <t>Кондитерское хранение</t>
        </is>
      </c>
      <c r="H188" s="33" t="inlineStr">
        <is>
          <t>CAPEX.STO.009</t>
        </is>
      </c>
      <c r="I188" s="33" t="inlineStr">
        <is>
          <t>CONTROLLED_HOLDING</t>
        </is>
      </c>
      <c r="J188" s="33" t="n"/>
      <c r="K188" s="33" t="inlineStr">
        <is>
          <t>STO-09: Противни и изделия</t>
        </is>
      </c>
      <c r="L188" s="33" t="inlineStr">
        <is>
          <t>PLANNED</t>
        </is>
      </c>
      <c r="M188" s="33" t="n"/>
      <c r="N188" s="33" t="n"/>
      <c r="O188" s="33" t="n"/>
      <c r="P188" s="33" t="n"/>
      <c r="Q188" s="33" t="n"/>
      <c r="R188" s="33" t="inlineStr">
        <is>
          <t>BLOCKED_NO_SELECTED_MODEL_PASSPORT</t>
        </is>
      </c>
      <c r="S188" s="33" t="inlineStr">
        <is>
          <t>BLOCKED</t>
        </is>
      </c>
      <c r="T188" s="33" t="inlineStr">
        <is>
          <t>BLOCKED</t>
        </is>
      </c>
      <c r="U188" s="33" t="inlineStr">
        <is>
          <t>BLOCKED_SELECTED_MODEL_AND_SITE_VALIDATION</t>
        </is>
      </c>
      <c r="V188" s="33" t="inlineStr">
        <is>
          <t>ESTIMATE</t>
        </is>
      </c>
      <c r="W188" s="33" t="inlineStr">
        <is>
          <t>GAP-007;GAP-017;GAP-018;GAP-019</t>
        </is>
      </c>
    </row>
    <row r="189">
      <c r="A189" s="33" t="inlineStr">
        <is>
          <t>EQM-0152</t>
        </is>
      </c>
      <c r="B189" s="33" t="inlineStr">
        <is>
          <t>VKM-031</t>
        </is>
      </c>
      <c r="C189" s="33" t="inlineStr">
        <is>
          <t>Мадлен</t>
        </is>
      </c>
      <c r="D189" s="33" t="n">
        <v>3</v>
      </c>
      <c r="E189" s="33" t="inlineStr">
        <is>
          <t>дозировать в формы</t>
        </is>
      </c>
      <c r="F189" s="33" t="inlineStr">
        <is>
          <t>BAK-07</t>
        </is>
      </c>
      <c r="G189" s="33" t="inlineStr">
        <is>
          <t>Кондитерские формы и инвентарь</t>
        </is>
      </c>
      <c r="H189" s="33" t="inlineStr">
        <is>
          <t>CAPEX.BAK.007</t>
        </is>
      </c>
      <c r="I189" s="33" t="inlineStr">
        <is>
          <t>FORMING_DECORATING_PORTIONING</t>
        </is>
      </c>
      <c r="J189" s="33" t="n"/>
      <c r="K189" s="33" t="inlineStr">
        <is>
          <t>BAK-07: Торт, кростата, мадлены</t>
        </is>
      </c>
      <c r="L189" s="33" t="inlineStr">
        <is>
          <t>PLANNED</t>
        </is>
      </c>
      <c r="M189" s="33" t="n"/>
      <c r="N189" s="33" t="n"/>
      <c r="O189" s="33" t="n"/>
      <c r="P189" s="33" t="n"/>
      <c r="Q189" s="33" t="n"/>
      <c r="R189" s="33" t="inlineStr">
        <is>
          <t>BLOCKED_NO_SELECTED_MODEL_PASSPORT</t>
        </is>
      </c>
      <c r="S189" s="33" t="inlineStr">
        <is>
          <t>BLOCKED</t>
        </is>
      </c>
      <c r="T189" s="33" t="inlineStr">
        <is>
          <t>BLOCKED</t>
        </is>
      </c>
      <c r="U189" s="33" t="inlineStr">
        <is>
          <t>BLOCKED_SELECTED_MODEL_AND_SITE_VALIDATION</t>
        </is>
      </c>
      <c r="V189" s="33" t="inlineStr">
        <is>
          <t>ESTIMATE</t>
        </is>
      </c>
      <c r="W189" s="33" t="inlineStr">
        <is>
          <t>GAP-007;GAP-017;GAP-018;GAP-019</t>
        </is>
      </c>
    </row>
    <row r="190">
      <c r="A190" s="33" t="inlineStr">
        <is>
          <t>EQM-0153</t>
        </is>
      </c>
      <c r="B190" s="33" t="inlineStr">
        <is>
          <t>VKM-031</t>
        </is>
      </c>
      <c r="C190" s="33" t="inlineStr">
        <is>
          <t>Мадлен</t>
        </is>
      </c>
      <c r="D190" s="33" t="n">
        <v>4</v>
      </c>
      <c r="E190" s="33" t="inlineStr">
        <is>
          <t>выпечь</t>
        </is>
      </c>
      <c r="F190" s="33" t="inlineStr">
        <is>
          <t>BAK-02;BAK-07</t>
        </is>
      </c>
      <c r="G190" s="33" t="inlineStr">
        <is>
          <t>Пекарская печь;Кондитерские формы и инвентарь</t>
        </is>
      </c>
      <c r="H190" s="33" t="inlineStr">
        <is>
          <t>CAPEX.BAK.002;CAPEX.BAK.007</t>
        </is>
      </c>
      <c r="I190" s="33" t="inlineStr">
        <is>
          <t>THERMAL_PROCESS</t>
        </is>
      </c>
      <c r="J190" s="33" t="n"/>
      <c r="K190" s="33" t="inlineStr">
        <is>
          <t>BAK-02: 6×600×400; программирование; пар; BAK-07: Торт, кростата, мадлены</t>
        </is>
      </c>
      <c r="L190" s="33" t="inlineStr">
        <is>
          <t>PLANNED</t>
        </is>
      </c>
      <c r="M190" s="33" t="n"/>
      <c r="N190" s="33" t="n"/>
      <c r="O190" s="33" t="n"/>
      <c r="P190" s="33" t="n"/>
      <c r="Q190" s="33" t="n"/>
      <c r="R190" s="33" t="inlineStr">
        <is>
          <t>BLOCKED_NO_SELECTED_MODEL_PASSPORT</t>
        </is>
      </c>
      <c r="S190" s="33" t="inlineStr">
        <is>
          <t>BLOCKED</t>
        </is>
      </c>
      <c r="T190" s="33" t="inlineStr">
        <is>
          <t>BLOCKED</t>
        </is>
      </c>
      <c r="U190" s="33" t="inlineStr">
        <is>
          <t>BLOCKED_SELECTED_MODEL_AND_SITE_VALIDATION</t>
        </is>
      </c>
      <c r="V190" s="33" t="inlineStr">
        <is>
          <t>ESTIMATE</t>
        </is>
      </c>
      <c r="W190" s="33" t="inlineStr">
        <is>
          <t>GAP-007;GAP-017;GAP-018;GAP-019</t>
        </is>
      </c>
    </row>
    <row r="191">
      <c r="A191" s="33" t="inlineStr">
        <is>
          <t>EQM-0154</t>
        </is>
      </c>
      <c r="B191" s="33" t="inlineStr">
        <is>
          <t>VKM-031</t>
        </is>
      </c>
      <c r="C191" s="33" t="inlineStr">
        <is>
          <t>Мадлен</t>
        </is>
      </c>
      <c r="D191" s="33" t="n">
        <v>5</v>
      </c>
      <c r="E191" s="33" t="inlineStr">
        <is>
          <t>охладить</t>
        </is>
      </c>
      <c r="F191" s="33" t="inlineStr">
        <is>
          <t>BAK-06;STO-09</t>
        </is>
      </c>
      <c r="G191" s="33" t="inlineStr">
        <is>
          <t>Мобильный стеллаж охлаждения;Кондитерское хранение</t>
        </is>
      </c>
      <c r="H191" s="33" t="inlineStr">
        <is>
          <t>CAPEX.BAK.006;CAPEX.STO.009</t>
        </is>
      </c>
      <c r="I191" s="33" t="inlineStr">
        <is>
          <t>COOLING</t>
        </is>
      </c>
      <c r="J191" s="33" t="n"/>
      <c r="K191" s="33" t="inlineStr">
        <is>
          <t>BAK-06: 16–20 противней; STO-09: Противни и изделия</t>
        </is>
      </c>
      <c r="L191" s="33" t="inlineStr">
        <is>
          <t>PLANNED</t>
        </is>
      </c>
      <c r="M191" s="33" t="n"/>
      <c r="N191" s="33" t="n"/>
      <c r="O191" s="33" t="n"/>
      <c r="P191" s="33" t="n"/>
      <c r="Q191" s="33" t="n"/>
      <c r="R191" s="33" t="inlineStr">
        <is>
          <t>BLOCKED_NO_SELECTED_MODEL_PASSPORT</t>
        </is>
      </c>
      <c r="S191" s="33" t="inlineStr">
        <is>
          <t>BLOCKED</t>
        </is>
      </c>
      <c r="T191" s="33" t="inlineStr">
        <is>
          <t>BLOCKED</t>
        </is>
      </c>
      <c r="U191" s="33" t="inlineStr">
        <is>
          <t>BLOCKED_SELECTED_MODEL_AND_SITE_VALIDATION</t>
        </is>
      </c>
      <c r="V191" s="33" t="inlineStr">
        <is>
          <t>ESTIMATE</t>
        </is>
      </c>
      <c r="W191" s="33" t="inlineStr">
        <is>
          <t>GAP-007;GAP-017;GAP-018;GAP-019</t>
        </is>
      </c>
    </row>
    <row r="192">
      <c r="A192" s="33" t="inlineStr">
        <is>
          <t>EQM-0155</t>
        </is>
      </c>
      <c r="B192" s="33" t="inlineStr">
        <is>
          <t>VKM-031</t>
        </is>
      </c>
      <c r="C192" s="33" t="inlineStr">
        <is>
          <t>Мадлен</t>
        </is>
      </c>
      <c r="D192" s="33" t="n">
        <v>6</v>
      </c>
      <c r="E192" s="33" t="inlineStr">
        <is>
          <t>сформировать 20 одинаковых изделий</t>
        </is>
      </c>
      <c r="F192" s="33" t="inlineStr">
        <is>
          <t>BAK-07</t>
        </is>
      </c>
      <c r="G192" s="33" t="inlineStr">
        <is>
          <t>Кондитерские формы и инвентарь</t>
        </is>
      </c>
      <c r="H192" s="33" t="inlineStr">
        <is>
          <t>CAPEX.BAK.007</t>
        </is>
      </c>
      <c r="I192" s="33" t="inlineStr">
        <is>
          <t>FORMING_DECORATING_PORTIONING</t>
        </is>
      </c>
      <c r="J192" s="33" t="n"/>
      <c r="K192" s="33" t="inlineStr">
        <is>
          <t>BAK-07: Торт, кростата, мадлены</t>
        </is>
      </c>
      <c r="L192" s="33" t="inlineStr">
        <is>
          <t>PLANNED</t>
        </is>
      </c>
      <c r="M192" s="33" t="n"/>
      <c r="N192" s="33" t="n"/>
      <c r="O192" s="33" t="n"/>
      <c r="P192" s="33" t="n"/>
      <c r="Q192" s="33" t="n"/>
      <c r="R192" s="33" t="inlineStr">
        <is>
          <t>BLOCKED_NO_SELECTED_MODEL_PASSPORT</t>
        </is>
      </c>
      <c r="S192" s="33" t="inlineStr">
        <is>
          <t>BLOCKED</t>
        </is>
      </c>
      <c r="T192" s="33" t="inlineStr">
        <is>
          <t>BLOCKED</t>
        </is>
      </c>
      <c r="U192" s="33" t="inlineStr">
        <is>
          <t>BLOCKED_SELECTED_MODEL_AND_SITE_VALIDATION</t>
        </is>
      </c>
      <c r="V192" s="33" t="inlineStr">
        <is>
          <t>ESTIMATE</t>
        </is>
      </c>
      <c r="W192" s="33" t="inlineStr">
        <is>
          <t>GAP-007;GAP-017;GAP-018;GAP-019</t>
        </is>
      </c>
    </row>
    <row r="193">
      <c r="A193" s="28" t="n"/>
      <c r="B193" s="28" t="n"/>
      <c r="C193" s="28" t="n"/>
      <c r="D193" s="28" t="n"/>
      <c r="E193" s="28" t="n"/>
      <c r="F193" s="28" t="n"/>
      <c r="G193" s="28" t="n"/>
      <c r="H193" s="28" t="n"/>
      <c r="I193" s="28" t="n"/>
      <c r="J193" s="28" t="n"/>
      <c r="K193" s="28" t="n"/>
      <c r="L193" s="28" t="n"/>
      <c r="M193" s="28" t="n"/>
      <c r="N193" s="28" t="n"/>
      <c r="O193" s="28" t="n"/>
      <c r="P193" s="28" t="n"/>
      <c r="Q193" s="28" t="n"/>
      <c r="R193" s="28" t="n"/>
      <c r="S193" s="28" t="n"/>
      <c r="T193" s="28" t="n"/>
      <c r="U193" s="28" t="n"/>
      <c r="V193" s="28" t="n"/>
      <c r="W193" s="28" t="n"/>
    </row>
    <row r="194">
      <c r="A194" s="28" t="n"/>
      <c r="B194" s="28" t="n"/>
      <c r="C194" s="28" t="n"/>
      <c r="D194" s="28" t="n"/>
      <c r="E194" s="28" t="n"/>
      <c r="F194" s="28" t="n"/>
      <c r="G194" s="28" t="n"/>
      <c r="H194" s="28" t="n"/>
      <c r="I194" s="28" t="n"/>
      <c r="J194" s="28" t="n"/>
      <c r="K194" s="28" t="n"/>
      <c r="L194" s="28" t="n"/>
      <c r="M194" s="28" t="n"/>
      <c r="N194" s="28" t="n"/>
      <c r="O194" s="28" t="n"/>
      <c r="P194" s="28" t="n"/>
      <c r="Q194" s="28" t="n"/>
      <c r="R194" s="28" t="n"/>
      <c r="S194" s="28" t="n"/>
      <c r="T194" s="28" t="n"/>
      <c r="U194" s="28" t="n"/>
      <c r="V194" s="28" t="n"/>
      <c r="W194" s="28" t="n"/>
    </row>
    <row r="195">
      <c r="A195" s="35" t="inlineStr">
        <is>
          <t>Capacity sensitivity — not passport-backed / not demand plan</t>
        </is>
      </c>
    </row>
    <row r="196" ht="34" customHeight="1">
      <c r="A196" s="32" t="inlineStr">
        <is>
          <t>Capacity ID</t>
        </is>
      </c>
      <c r="B196" s="32" t="inlineStr">
        <is>
          <t>Dish ID</t>
        </is>
      </c>
      <c r="C196" s="32" t="inlineStr">
        <is>
          <t>Блюдо</t>
        </is>
      </c>
      <c r="D196" s="32" t="inlineStr">
        <is>
          <t>Group</t>
        </is>
      </c>
      <c r="E196" s="32" t="inlineStr">
        <is>
          <t>Functions</t>
        </is>
      </c>
      <c r="F196" s="32" t="inlineStr">
        <is>
          <t>Active min</t>
        </is>
      </c>
      <c r="G196" s="32" t="inlineStr">
        <is>
          <t>Total min</t>
        </is>
      </c>
      <c r="H196" s="32" t="inlineStr">
        <is>
          <t>Labor units/h</t>
        </is>
      </c>
      <c r="I196" s="32" t="inlineStr">
        <is>
          <t>Labor status</t>
        </is>
      </c>
      <c r="J196" s="32" t="inlineStr">
        <is>
          <t>Model estimate</t>
        </is>
      </c>
      <c r="K196" s="32" t="inlineStr">
        <is>
          <t>Model status</t>
        </is>
      </c>
      <c r="L196" s="32" t="inlineStr">
        <is>
          <t>Plan cycle</t>
        </is>
      </c>
      <c r="M196" s="32" t="inlineStr">
        <is>
          <t>Plan status</t>
        </is>
      </c>
      <c r="N196" s="32" t="inlineStr">
        <is>
          <t>One-recipe batches</t>
        </is>
      </c>
      <c r="O196" s="32" t="inlineStr">
        <is>
          <t>Scenario status</t>
        </is>
      </c>
      <c r="P196" s="32" t="inlineStr">
        <is>
          <t>Demand</t>
        </is>
      </c>
      <c r="Q196" s="32" t="inlineStr">
        <is>
          <t>Passport batch</t>
        </is>
      </c>
      <c r="R196" s="32" t="inlineStr">
        <is>
          <t>Required batches</t>
        </is>
      </c>
      <c r="S196" s="32" t="inlineStr">
        <is>
          <t>Bottleneck</t>
        </is>
      </c>
      <c r="T196" s="32" t="inlineStr">
        <is>
          <t>Bottleneck status</t>
        </is>
      </c>
      <c r="U196" s="32" t="inlineStr">
        <is>
          <t>Blockers</t>
        </is>
      </c>
      <c r="V196" s="32" t="inlineStr">
        <is>
          <t>Next action</t>
        </is>
      </c>
      <c r="W196" s="28" t="n"/>
    </row>
    <row r="197">
      <c r="A197" s="33" t="inlineStr">
        <is>
          <t>CAP-001</t>
        </is>
      </c>
      <c r="B197" s="33" t="inlineStr">
        <is>
          <t>VKM-001</t>
        </is>
      </c>
      <c r="C197" s="33" t="inlineStr">
        <is>
          <t>Маргарита</t>
        </is>
      </c>
      <c r="D197" s="33" t="inlineStr">
        <is>
          <t>PIZZA</t>
        </is>
      </c>
      <c r="E197" s="33" t="inlineStr">
        <is>
          <t>BAK-03;BAK-12;HOT-05B;STO-08;BAK-01</t>
        </is>
      </c>
      <c r="F197" s="33" t="n">
        <v>19</v>
      </c>
      <c r="G197" s="33" t="n">
        <v>90</v>
      </c>
      <c r="H197" s="33" t="n">
        <v>3.158</v>
      </c>
      <c r="I197" s="33" t="inlineStr">
        <is>
          <t>CALCULATED</t>
        </is>
      </c>
      <c r="J197" s="33" t="n">
        <v>25</v>
      </c>
      <c r="K197" s="33" t="inlineStr">
        <is>
          <t>ESTIMATE</t>
        </is>
      </c>
      <c r="L197" s="33" t="n">
        <v>2.4</v>
      </c>
      <c r="M197" s="33" t="inlineStr">
        <is>
          <t>CALCULATED_FROM_ESTIMATE</t>
        </is>
      </c>
      <c r="N197" s="33" t="n">
        <v>1</v>
      </c>
      <c r="O197" s="33" t="inlineStr">
        <is>
          <t>ESTIMATE_NOT_DEMAND_PLAN</t>
        </is>
      </c>
      <c r="P197" s="33" t="n"/>
      <c r="Q197" s="33" t="n"/>
      <c r="R197" s="33" t="n"/>
      <c r="S197" s="33" t="inlineStr">
        <is>
          <t>Cannot conclude before demand, staffing, passport and timed-test reconciliation</t>
        </is>
      </c>
      <c r="T197" s="33" t="inlineStr">
        <is>
          <t>BLOCKED_PENDING_VALIDATION</t>
        </is>
      </c>
      <c r="U197" s="33" t="inlineStr">
        <is>
          <t>GAP-007;GAP-018;GAP-020</t>
        </is>
      </c>
      <c r="V197" s="33" t="inlineStr">
        <is>
          <t>Run peak-load/control-production test and replace planning values with observed and passport-backed inputs</t>
        </is>
      </c>
      <c r="W197" s="28" t="n"/>
    </row>
    <row r="198">
      <c r="A198" s="33" t="inlineStr">
        <is>
          <t>CAP-002</t>
        </is>
      </c>
      <c r="B198" s="33" t="inlineStr">
        <is>
          <t>VKM-002</t>
        </is>
      </c>
      <c r="C198" s="33" t="inlineStr">
        <is>
          <t>Четыре сыра</t>
        </is>
      </c>
      <c r="D198" s="33" t="inlineStr">
        <is>
          <t>PIZZA</t>
        </is>
      </c>
      <c r="E198" s="33" t="inlineStr">
        <is>
          <t>BAK-03;BAK-12;HOT-05B;BAK-01</t>
        </is>
      </c>
      <c r="F198" s="33" t="n">
        <v>20</v>
      </c>
      <c r="G198" s="33" t="n">
        <v>92</v>
      </c>
      <c r="H198" s="33" t="n">
        <v>3</v>
      </c>
      <c r="I198" s="33" t="inlineStr">
        <is>
          <t>CALCULATED</t>
        </is>
      </c>
      <c r="J198" s="33" t="n">
        <v>25</v>
      </c>
      <c r="K198" s="33" t="inlineStr">
        <is>
          <t>ESTIMATE</t>
        </is>
      </c>
      <c r="L198" s="33" t="n">
        <v>2.4</v>
      </c>
      <c r="M198" s="33" t="inlineStr">
        <is>
          <t>CALCULATED_FROM_ESTIMATE</t>
        </is>
      </c>
      <c r="N198" s="33" t="n">
        <v>1</v>
      </c>
      <c r="O198" s="33" t="inlineStr">
        <is>
          <t>ESTIMATE_NOT_DEMAND_PLAN</t>
        </is>
      </c>
      <c r="P198" s="33" t="n"/>
      <c r="Q198" s="33" t="n"/>
      <c r="R198" s="33" t="n"/>
      <c r="S198" s="33" t="inlineStr">
        <is>
          <t>Cannot conclude before demand, staffing, passport and timed-test reconciliation</t>
        </is>
      </c>
      <c r="T198" s="33" t="inlineStr">
        <is>
          <t>BLOCKED_PENDING_VALIDATION</t>
        </is>
      </c>
      <c r="U198" s="33" t="inlineStr">
        <is>
          <t>GAP-007;GAP-018;GAP-020</t>
        </is>
      </c>
      <c r="V198" s="33" t="inlineStr">
        <is>
          <t>Run peak-load/control-production test and replace planning values with observed and passport-backed inputs</t>
        </is>
      </c>
      <c r="W198" s="28" t="n"/>
    </row>
    <row r="199">
      <c r="A199" s="33" t="inlineStr">
        <is>
          <t>CAP-003</t>
        </is>
      </c>
      <c r="B199" s="33" t="inlineStr">
        <is>
          <t>VKM-003</t>
        </is>
      </c>
      <c r="C199" s="33" t="inlineStr">
        <is>
          <t>Грибная с ветчиной</t>
        </is>
      </c>
      <c r="D199" s="33" t="inlineStr">
        <is>
          <t>PIZZA</t>
        </is>
      </c>
      <c r="E199" s="33" t="inlineStr">
        <is>
          <t>BAK-03;BAK-12;HOT-05B;BAK-01</t>
        </is>
      </c>
      <c r="F199" s="33" t="n">
        <v>22</v>
      </c>
      <c r="G199" s="33" t="n">
        <v>95</v>
      </c>
      <c r="H199" s="33" t="n">
        <v>2.727</v>
      </c>
      <c r="I199" s="33" t="inlineStr">
        <is>
          <t>CALCULATED</t>
        </is>
      </c>
      <c r="J199" s="33" t="n">
        <v>25</v>
      </c>
      <c r="K199" s="33" t="inlineStr">
        <is>
          <t>ESTIMATE</t>
        </is>
      </c>
      <c r="L199" s="33" t="n">
        <v>2.4</v>
      </c>
      <c r="M199" s="33" t="inlineStr">
        <is>
          <t>CALCULATED_FROM_ESTIMATE</t>
        </is>
      </c>
      <c r="N199" s="33" t="n">
        <v>1</v>
      </c>
      <c r="O199" s="33" t="inlineStr">
        <is>
          <t>ESTIMATE_NOT_DEMAND_PLAN</t>
        </is>
      </c>
      <c r="P199" s="33" t="n"/>
      <c r="Q199" s="33" t="n"/>
      <c r="R199" s="33" t="n"/>
      <c r="S199" s="33" t="inlineStr">
        <is>
          <t>Cannot conclude before demand, staffing, passport and timed-test reconciliation</t>
        </is>
      </c>
      <c r="T199" s="33" t="inlineStr">
        <is>
          <t>BLOCKED_PENDING_VALIDATION</t>
        </is>
      </c>
      <c r="U199" s="33" t="inlineStr">
        <is>
          <t>GAP-007;GAP-018;GAP-020</t>
        </is>
      </c>
      <c r="V199" s="33" t="inlineStr">
        <is>
          <t>Run peak-load/control-production test and replace planning values with observed and passport-backed inputs</t>
        </is>
      </c>
      <c r="W199" s="28" t="n"/>
    </row>
    <row r="200">
      <c r="A200" s="33" t="inlineStr">
        <is>
          <t>CAP-004</t>
        </is>
      </c>
      <c r="B200" s="33" t="inlineStr">
        <is>
          <t>VKM-004</t>
        </is>
      </c>
      <c r="C200" s="33" t="inlineStr">
        <is>
          <t>Пепперони</t>
        </is>
      </c>
      <c r="D200" s="33" t="inlineStr">
        <is>
          <t>PIZZA</t>
        </is>
      </c>
      <c r="E200" s="33" t="inlineStr">
        <is>
          <t>BAK-03;BAK-12;HOT-05B;BAK-01</t>
        </is>
      </c>
      <c r="F200" s="33" t="n">
        <v>20</v>
      </c>
      <c r="G200" s="33" t="n">
        <v>92</v>
      </c>
      <c r="H200" s="33" t="n">
        <v>3</v>
      </c>
      <c r="I200" s="33" t="inlineStr">
        <is>
          <t>CALCULATED</t>
        </is>
      </c>
      <c r="J200" s="33" t="n">
        <v>25</v>
      </c>
      <c r="K200" s="33" t="inlineStr">
        <is>
          <t>ESTIMATE</t>
        </is>
      </c>
      <c r="L200" s="33" t="n">
        <v>2.4</v>
      </c>
      <c r="M200" s="33" t="inlineStr">
        <is>
          <t>CALCULATED_FROM_ESTIMATE</t>
        </is>
      </c>
      <c r="N200" s="33" t="n">
        <v>1</v>
      </c>
      <c r="O200" s="33" t="inlineStr">
        <is>
          <t>ESTIMATE_NOT_DEMAND_PLAN</t>
        </is>
      </c>
      <c r="P200" s="33" t="n"/>
      <c r="Q200" s="33" t="n"/>
      <c r="R200" s="33" t="n"/>
      <c r="S200" s="33" t="inlineStr">
        <is>
          <t>Cannot conclude before demand, staffing, passport and timed-test reconciliation</t>
        </is>
      </c>
      <c r="T200" s="33" t="inlineStr">
        <is>
          <t>BLOCKED_PENDING_VALIDATION</t>
        </is>
      </c>
      <c r="U200" s="33" t="inlineStr">
        <is>
          <t>GAP-007;GAP-018;GAP-020</t>
        </is>
      </c>
      <c r="V200" s="33" t="inlineStr">
        <is>
          <t>Run peak-load/control-production test and replace planning values with observed and passport-backed inputs</t>
        </is>
      </c>
      <c r="W200" s="28" t="n"/>
    </row>
    <row r="201">
      <c r="A201" s="33" t="inlineStr">
        <is>
          <t>CAP-005</t>
        </is>
      </c>
      <c r="B201" s="33" t="inlineStr">
        <is>
          <t>VKM-005</t>
        </is>
      </c>
      <c r="C201" s="33" t="inlineStr">
        <is>
          <t>Белая чиабатта</t>
        </is>
      </c>
      <c r="D201" s="33" t="inlineStr">
        <is>
          <t>BAKERY</t>
        </is>
      </c>
      <c r="E201" s="33" t="inlineStr">
        <is>
          <t>BAK-03;STO-08;REQ-BAK-PREP;BAK-05;BAK-02;BAK-06</t>
        </is>
      </c>
      <c r="F201" s="33" t="n">
        <v>18</v>
      </c>
      <c r="G201" s="33" t="n">
        <v>150</v>
      </c>
      <c r="H201" s="33" t="n">
        <v>3.333</v>
      </c>
      <c r="I201" s="33" t="inlineStr">
        <is>
          <t>CALCULATED</t>
        </is>
      </c>
      <c r="J201" s="33" t="n">
        <v>20</v>
      </c>
      <c r="K201" s="33" t="inlineStr">
        <is>
          <t>ESTIMATE</t>
        </is>
      </c>
      <c r="L201" s="33" t="n">
        <v>3</v>
      </c>
      <c r="M201" s="33" t="inlineStr">
        <is>
          <t>CALCULATED_FROM_ESTIMATE</t>
        </is>
      </c>
      <c r="N201" s="33" t="n">
        <v>1</v>
      </c>
      <c r="O201" s="33" t="inlineStr">
        <is>
          <t>ESTIMATE_NOT_DEMAND_PLAN</t>
        </is>
      </c>
      <c r="P201" s="33" t="n"/>
      <c r="Q201" s="33" t="n"/>
      <c r="R201" s="33" t="n"/>
      <c r="S201" s="33" t="inlineStr">
        <is>
          <t>Cannot conclude before demand, staffing, passport and timed-test reconciliation</t>
        </is>
      </c>
      <c r="T201" s="33" t="inlineStr">
        <is>
          <t>BLOCKED_PENDING_VALIDATION</t>
        </is>
      </c>
      <c r="U201" s="33" t="inlineStr">
        <is>
          <t>GAP-007;GAP-018;GAP-020</t>
        </is>
      </c>
      <c r="V201" s="33" t="inlineStr">
        <is>
          <t>Run peak-load/control-production test and replace planning values with observed and passport-backed inputs</t>
        </is>
      </c>
      <c r="W201" s="28" t="n"/>
    </row>
    <row r="202">
      <c r="A202" s="33" t="inlineStr">
        <is>
          <t>CAP-006</t>
        </is>
      </c>
      <c r="B202" s="33" t="inlineStr">
        <is>
          <t>VKM-006</t>
        </is>
      </c>
      <c r="C202" s="33" t="inlineStr">
        <is>
          <t>Томатная чиабатта</t>
        </is>
      </c>
      <c r="D202" s="33" t="inlineStr">
        <is>
          <t>BAKERY</t>
        </is>
      </c>
      <c r="E202" s="33" t="inlineStr">
        <is>
          <t>BAK-03;STO-08;REQ-BAK-PREP;BAK-05;BAK-02;BAK-06</t>
        </is>
      </c>
      <c r="F202" s="33" t="n">
        <v>18</v>
      </c>
      <c r="G202" s="33" t="n">
        <v>150</v>
      </c>
      <c r="H202" s="33" t="n">
        <v>3.333</v>
      </c>
      <c r="I202" s="33" t="inlineStr">
        <is>
          <t>CALCULATED</t>
        </is>
      </c>
      <c r="J202" s="33" t="n">
        <v>20</v>
      </c>
      <c r="K202" s="33" t="inlineStr">
        <is>
          <t>ESTIMATE</t>
        </is>
      </c>
      <c r="L202" s="33" t="n">
        <v>3</v>
      </c>
      <c r="M202" s="33" t="inlineStr">
        <is>
          <t>CALCULATED_FROM_ESTIMATE</t>
        </is>
      </c>
      <c r="N202" s="33" t="n">
        <v>1</v>
      </c>
      <c r="O202" s="33" t="inlineStr">
        <is>
          <t>ESTIMATE_NOT_DEMAND_PLAN</t>
        </is>
      </c>
      <c r="P202" s="33" t="n"/>
      <c r="Q202" s="33" t="n"/>
      <c r="R202" s="33" t="n"/>
      <c r="S202" s="33" t="inlineStr">
        <is>
          <t>Cannot conclude before demand, staffing, passport and timed-test reconciliation</t>
        </is>
      </c>
      <c r="T202" s="33" t="inlineStr">
        <is>
          <t>BLOCKED_PENDING_VALIDATION</t>
        </is>
      </c>
      <c r="U202" s="33" t="inlineStr">
        <is>
          <t>GAP-007;GAP-018;GAP-020</t>
        </is>
      </c>
      <c r="V202" s="33" t="inlineStr">
        <is>
          <t>Run peak-load/control-production test and replace planning values with observed and passport-backed inputs</t>
        </is>
      </c>
      <c r="W202" s="28" t="n"/>
    </row>
    <row r="203">
      <c r="A203" s="33" t="inlineStr">
        <is>
          <t>CAP-007</t>
        </is>
      </c>
      <c r="B203" s="33" t="inlineStr">
        <is>
          <t>VKM-007</t>
        </is>
      </c>
      <c r="C203" s="33" t="inlineStr">
        <is>
          <t>Бородинский хлеб</t>
        </is>
      </c>
      <c r="D203" s="33" t="inlineStr">
        <is>
          <t>BAKERY</t>
        </is>
      </c>
      <c r="E203" s="33" t="inlineStr">
        <is>
          <t>HOT-05B;HOT-13;BAK-03;STO-08;REQ-BAK-PREP;BAK-05;BAK-02;BAK-06</t>
        </is>
      </c>
      <c r="F203" s="33" t="n">
        <v>25</v>
      </c>
      <c r="G203" s="33" t="n">
        <v>300</v>
      </c>
      <c r="H203" s="33" t="n">
        <v>2.4</v>
      </c>
      <c r="I203" s="33" t="inlineStr">
        <is>
          <t>CALCULATED</t>
        </is>
      </c>
      <c r="J203" s="33" t="n">
        <v>20</v>
      </c>
      <c r="K203" s="33" t="inlineStr">
        <is>
          <t>ESTIMATE</t>
        </is>
      </c>
      <c r="L203" s="33" t="n">
        <v>3</v>
      </c>
      <c r="M203" s="33" t="inlineStr">
        <is>
          <t>CALCULATED_FROM_ESTIMATE</t>
        </is>
      </c>
      <c r="N203" s="33" t="n">
        <v>1</v>
      </c>
      <c r="O203" s="33" t="inlineStr">
        <is>
          <t>ESTIMATE_NOT_DEMAND_PLAN</t>
        </is>
      </c>
      <c r="P203" s="33" t="n"/>
      <c r="Q203" s="33" t="n"/>
      <c r="R203" s="33" t="n"/>
      <c r="S203" s="33" t="inlineStr">
        <is>
          <t>Cannot conclude before demand, staffing, passport and timed-test reconciliation</t>
        </is>
      </c>
      <c r="T203" s="33" t="inlineStr">
        <is>
          <t>BLOCKED_PENDING_VALIDATION</t>
        </is>
      </c>
      <c r="U203" s="33" t="inlineStr">
        <is>
          <t>GAP-007;GAP-018;GAP-020</t>
        </is>
      </c>
      <c r="V203" s="33" t="inlineStr">
        <is>
          <t>Run peak-load/control-production test and replace planning values with observed and passport-backed inputs</t>
        </is>
      </c>
      <c r="W203" s="28" t="n"/>
    </row>
    <row r="204">
      <c r="A204" s="33" t="inlineStr">
        <is>
          <t>CAP-008</t>
        </is>
      </c>
      <c r="B204" s="33" t="inlineStr">
        <is>
          <t>VKM-008</t>
        </is>
      </c>
      <c r="C204" s="33" t="inlineStr">
        <is>
          <t>Бриошь</t>
        </is>
      </c>
      <c r="D204" s="33" t="inlineStr">
        <is>
          <t>BAKERY</t>
        </is>
      </c>
      <c r="E204" s="33" t="inlineStr">
        <is>
          <t>BAK-03;STO-08;REQ-BAK-PREP;BAK-05;BAK-07;BAK-02;BAK-06</t>
        </is>
      </c>
      <c r="F204" s="33" t="n">
        <v>22</v>
      </c>
      <c r="G204" s="33" t="n">
        <v>180</v>
      </c>
      <c r="H204" s="33" t="n">
        <v>2.727</v>
      </c>
      <c r="I204" s="33" t="inlineStr">
        <is>
          <t>CALCULATED</t>
        </is>
      </c>
      <c r="J204" s="33" t="n">
        <v>20</v>
      </c>
      <c r="K204" s="33" t="inlineStr">
        <is>
          <t>ESTIMATE</t>
        </is>
      </c>
      <c r="L204" s="33" t="n">
        <v>3</v>
      </c>
      <c r="M204" s="33" t="inlineStr">
        <is>
          <t>CALCULATED_FROM_ESTIMATE</t>
        </is>
      </c>
      <c r="N204" s="33" t="n">
        <v>1</v>
      </c>
      <c r="O204" s="33" t="inlineStr">
        <is>
          <t>ESTIMATE_NOT_DEMAND_PLAN</t>
        </is>
      </c>
      <c r="P204" s="33" t="n"/>
      <c r="Q204" s="33" t="n"/>
      <c r="R204" s="33" t="n"/>
      <c r="S204" s="33" t="inlineStr">
        <is>
          <t>Cannot conclude before demand, staffing, passport and timed-test reconciliation</t>
        </is>
      </c>
      <c r="T204" s="33" t="inlineStr">
        <is>
          <t>BLOCKED_PENDING_VALIDATION</t>
        </is>
      </c>
      <c r="U204" s="33" t="inlineStr">
        <is>
          <t>GAP-007;GAP-018;GAP-020</t>
        </is>
      </c>
      <c r="V204" s="33" t="inlineStr">
        <is>
          <t>Run peak-load/control-production test and replace planning values with observed and passport-backed inputs</t>
        </is>
      </c>
      <c r="W204" s="28" t="n"/>
    </row>
    <row r="205">
      <c r="A205" s="33" t="inlineStr">
        <is>
          <t>CAP-009</t>
        </is>
      </c>
      <c r="B205" s="33" t="inlineStr">
        <is>
          <t>VKM-009</t>
        </is>
      </c>
      <c r="C205" s="33" t="inlineStr">
        <is>
          <t>Буррата с томатами</t>
        </is>
      </c>
      <c r="D205" s="33" t="inlineStr">
        <is>
          <t>COLD</t>
        </is>
      </c>
      <c r="E205" s="33" t="inlineStr">
        <is>
          <t>CLD-03;CLD-07</t>
        </is>
      </c>
      <c r="F205" s="33" t="n">
        <v>8</v>
      </c>
      <c r="G205" s="33" t="n">
        <v>10</v>
      </c>
      <c r="H205" s="33" t="n">
        <v>7.5</v>
      </c>
      <c r="I205" s="33" t="inlineStr">
        <is>
          <t>CALCULATED</t>
        </is>
      </c>
      <c r="J205" s="33" t="n">
        <v>16</v>
      </c>
      <c r="K205" s="33" t="inlineStr">
        <is>
          <t>ESTIMATE</t>
        </is>
      </c>
      <c r="L205" s="33" t="n">
        <v>3.75</v>
      </c>
      <c r="M205" s="33" t="inlineStr">
        <is>
          <t>CALCULATED_FROM_ESTIMATE</t>
        </is>
      </c>
      <c r="N205" s="33" t="n">
        <v>1</v>
      </c>
      <c r="O205" s="33" t="inlineStr">
        <is>
          <t>ESTIMATE_NOT_DEMAND_PLAN</t>
        </is>
      </c>
      <c r="P205" s="33" t="n"/>
      <c r="Q205" s="33" t="n"/>
      <c r="R205" s="33" t="n"/>
      <c r="S205" s="33" t="inlineStr">
        <is>
          <t>Cannot conclude before demand, staffing, passport and timed-test reconciliation</t>
        </is>
      </c>
      <c r="T205" s="33" t="inlineStr">
        <is>
          <t>BLOCKED_PENDING_VALIDATION</t>
        </is>
      </c>
      <c r="U205" s="33" t="inlineStr">
        <is>
          <t>GAP-007;GAP-018;GAP-020</t>
        </is>
      </c>
      <c r="V205" s="33" t="inlineStr">
        <is>
          <t>Run peak-load/control-production test and replace planning values with observed and passport-backed inputs</t>
        </is>
      </c>
      <c r="W205" s="28" t="n"/>
    </row>
    <row r="206">
      <c r="A206" s="33" t="inlineStr">
        <is>
          <t>CAP-010</t>
        </is>
      </c>
      <c r="B206" s="33" t="inlineStr">
        <is>
          <t>VKM-010</t>
        </is>
      </c>
      <c r="C206" s="33" t="inlineStr">
        <is>
          <t>Микс-салат с креветками и яблоком</t>
        </is>
      </c>
      <c r="D206" s="33" t="inlineStr">
        <is>
          <t>COLD</t>
        </is>
      </c>
      <c r="E206" s="33" t="inlineStr">
        <is>
          <t>CLD-03;CLD-07</t>
        </is>
      </c>
      <c r="F206" s="33" t="n">
        <v>12</v>
      </c>
      <c r="G206" s="33" t="n">
        <v>18</v>
      </c>
      <c r="H206" s="33" t="n">
        <v>5</v>
      </c>
      <c r="I206" s="33" t="inlineStr">
        <is>
          <t>CALCULATED</t>
        </is>
      </c>
      <c r="J206" s="33" t="n">
        <v>16</v>
      </c>
      <c r="K206" s="33" t="inlineStr">
        <is>
          <t>ESTIMATE</t>
        </is>
      </c>
      <c r="L206" s="33" t="n">
        <v>3.75</v>
      </c>
      <c r="M206" s="33" t="inlineStr">
        <is>
          <t>CALCULATED_FROM_ESTIMATE</t>
        </is>
      </c>
      <c r="N206" s="33" t="n">
        <v>1</v>
      </c>
      <c r="O206" s="33" t="inlineStr">
        <is>
          <t>ESTIMATE_NOT_DEMAND_PLAN</t>
        </is>
      </c>
      <c r="P206" s="33" t="n"/>
      <c r="Q206" s="33" t="n"/>
      <c r="R206" s="33" t="n"/>
      <c r="S206" s="33" t="inlineStr">
        <is>
          <t>Cannot conclude before demand, staffing, passport and timed-test reconciliation</t>
        </is>
      </c>
      <c r="T206" s="33" t="inlineStr">
        <is>
          <t>BLOCKED_PENDING_VALIDATION</t>
        </is>
      </c>
      <c r="U206" s="33" t="inlineStr">
        <is>
          <t>GAP-007;GAP-018;GAP-020</t>
        </is>
      </c>
      <c r="V206" s="33" t="inlineStr">
        <is>
          <t>Run peak-load/control-production test and replace planning values with observed and passport-backed inputs</t>
        </is>
      </c>
      <c r="W206" s="28" t="n"/>
    </row>
    <row r="207">
      <c r="A207" s="33" t="inlineStr">
        <is>
          <t>CAP-011</t>
        </is>
      </c>
      <c r="B207" s="33" t="inlineStr">
        <is>
          <t>VKM-011</t>
        </is>
      </c>
      <c r="C207" s="33" t="inlineStr">
        <is>
          <t>Греческий</t>
        </is>
      </c>
      <c r="D207" s="33" t="inlineStr">
        <is>
          <t>COLD</t>
        </is>
      </c>
      <c r="E207" s="33" t="inlineStr">
        <is>
          <t>CLD-03;CLD-07</t>
        </is>
      </c>
      <c r="F207" s="33" t="n">
        <v>10</v>
      </c>
      <c r="G207" s="33" t="n">
        <v>12</v>
      </c>
      <c r="H207" s="33" t="n">
        <v>6</v>
      </c>
      <c r="I207" s="33" t="inlineStr">
        <is>
          <t>CALCULATED</t>
        </is>
      </c>
      <c r="J207" s="33" t="n">
        <v>16</v>
      </c>
      <c r="K207" s="33" t="inlineStr">
        <is>
          <t>ESTIMATE</t>
        </is>
      </c>
      <c r="L207" s="33" t="n">
        <v>3.75</v>
      </c>
      <c r="M207" s="33" t="inlineStr">
        <is>
          <t>CALCULATED_FROM_ESTIMATE</t>
        </is>
      </c>
      <c r="N207" s="33" t="n">
        <v>1</v>
      </c>
      <c r="O207" s="33" t="inlineStr">
        <is>
          <t>ESTIMATE_NOT_DEMAND_PLAN</t>
        </is>
      </c>
      <c r="P207" s="33" t="n"/>
      <c r="Q207" s="33" t="n"/>
      <c r="R207" s="33" t="n"/>
      <c r="S207" s="33" t="inlineStr">
        <is>
          <t>Cannot conclude before demand, staffing, passport and timed-test reconciliation</t>
        </is>
      </c>
      <c r="T207" s="33" t="inlineStr">
        <is>
          <t>BLOCKED_PENDING_VALIDATION</t>
        </is>
      </c>
      <c r="U207" s="33" t="inlineStr">
        <is>
          <t>GAP-007;GAP-018;GAP-020</t>
        </is>
      </c>
      <c r="V207" s="33" t="inlineStr">
        <is>
          <t>Run peak-load/control-production test and replace planning values with observed and passport-backed inputs</t>
        </is>
      </c>
      <c r="W207" s="28" t="n"/>
    </row>
    <row r="208">
      <c r="A208" s="33" t="inlineStr">
        <is>
          <t>CAP-012</t>
        </is>
      </c>
      <c r="B208" s="33" t="inlineStr">
        <is>
          <t>VKM-012</t>
        </is>
      </c>
      <c r="C208" s="33" t="inlineStr">
        <is>
          <t>Винегрет</t>
        </is>
      </c>
      <c r="D208" s="33" t="inlineStr">
        <is>
          <t>COLD</t>
        </is>
      </c>
      <c r="E208" s="33" t="inlineStr">
        <is>
          <t>CLD-03;CLD-07;HOT-09;STO-10</t>
        </is>
      </c>
      <c r="F208" s="33" t="n">
        <v>18</v>
      </c>
      <c r="G208" s="33" t="n">
        <v>90</v>
      </c>
      <c r="H208" s="33" t="n">
        <v>3.333</v>
      </c>
      <c r="I208" s="33" t="inlineStr">
        <is>
          <t>CALCULATED</t>
        </is>
      </c>
      <c r="J208" s="33" t="n">
        <v>16</v>
      </c>
      <c r="K208" s="33" t="inlineStr">
        <is>
          <t>ESTIMATE</t>
        </is>
      </c>
      <c r="L208" s="33" t="n">
        <v>3.75</v>
      </c>
      <c r="M208" s="33" t="inlineStr">
        <is>
          <t>CALCULATED_FROM_ESTIMATE</t>
        </is>
      </c>
      <c r="N208" s="33" t="n">
        <v>1</v>
      </c>
      <c r="O208" s="33" t="inlineStr">
        <is>
          <t>ESTIMATE_NOT_DEMAND_PLAN</t>
        </is>
      </c>
      <c r="P208" s="33" t="n"/>
      <c r="Q208" s="33" t="n"/>
      <c r="R208" s="33" t="n"/>
      <c r="S208" s="33" t="inlineStr">
        <is>
          <t>Cannot conclude before demand, staffing, passport and timed-test reconciliation</t>
        </is>
      </c>
      <c r="T208" s="33" t="inlineStr">
        <is>
          <t>BLOCKED_PENDING_VALIDATION</t>
        </is>
      </c>
      <c r="U208" s="33" t="inlineStr">
        <is>
          <t>GAP-007;GAP-018;GAP-020</t>
        </is>
      </c>
      <c r="V208" s="33" t="inlineStr">
        <is>
          <t>Run peak-load/control-production test and replace planning values with observed and passport-backed inputs</t>
        </is>
      </c>
      <c r="W208" s="28" t="n"/>
    </row>
    <row r="209">
      <c r="A209" s="33" t="inlineStr">
        <is>
          <t>CAP-013</t>
        </is>
      </c>
      <c r="B209" s="33" t="inlineStr">
        <is>
          <t>VKM-013</t>
        </is>
      </c>
      <c r="C209" s="33" t="inlineStr">
        <is>
          <t>Слабосолёный лосось</t>
        </is>
      </c>
      <c r="D209" s="33" t="inlineStr">
        <is>
          <t>COLD</t>
        </is>
      </c>
      <c r="E209" s="33" t="inlineStr">
        <is>
          <t>CLD-03;CLD-07</t>
        </is>
      </c>
      <c r="F209" s="33" t="n">
        <v>7</v>
      </c>
      <c r="G209" s="33" t="n">
        <v>10</v>
      </c>
      <c r="H209" s="33" t="n">
        <v>8.571</v>
      </c>
      <c r="I209" s="33" t="inlineStr">
        <is>
          <t>CALCULATED</t>
        </is>
      </c>
      <c r="J209" s="33" t="n">
        <v>16</v>
      </c>
      <c r="K209" s="33" t="inlineStr">
        <is>
          <t>ESTIMATE</t>
        </is>
      </c>
      <c r="L209" s="33" t="n">
        <v>3.75</v>
      </c>
      <c r="M209" s="33" t="inlineStr">
        <is>
          <t>CALCULATED_FROM_ESTIMATE</t>
        </is>
      </c>
      <c r="N209" s="33" t="n">
        <v>1</v>
      </c>
      <c r="O209" s="33" t="inlineStr">
        <is>
          <t>ESTIMATE_NOT_DEMAND_PLAN</t>
        </is>
      </c>
      <c r="P209" s="33" t="n"/>
      <c r="Q209" s="33" t="n"/>
      <c r="R209" s="33" t="n"/>
      <c r="S209" s="33" t="inlineStr">
        <is>
          <t>Cannot conclude before demand, staffing, passport and timed-test reconciliation</t>
        </is>
      </c>
      <c r="T209" s="33" t="inlineStr">
        <is>
          <t>BLOCKED_PENDING_VALIDATION</t>
        </is>
      </c>
      <c r="U209" s="33" t="inlineStr">
        <is>
          <t>GAP-007;GAP-018;GAP-020</t>
        </is>
      </c>
      <c r="V209" s="33" t="inlineStr">
        <is>
          <t>Run peak-load/control-production test and replace planning values with observed and passport-backed inputs</t>
        </is>
      </c>
      <c r="W209" s="28" t="n"/>
    </row>
    <row r="210">
      <c r="A210" s="33" t="inlineStr">
        <is>
          <t>CAP-014</t>
        </is>
      </c>
      <c r="B210" s="33" t="inlineStr">
        <is>
          <t>VKM-014</t>
        </is>
      </c>
      <c r="C210" s="33" t="inlineStr">
        <is>
          <t>Сельдь с запечённым картофелем</t>
        </is>
      </c>
      <c r="D210" s="33" t="inlineStr">
        <is>
          <t>COLD</t>
        </is>
      </c>
      <c r="E210" s="33" t="inlineStr">
        <is>
          <t>HOT-01;CLD-03;CLD-07;HOT-09;STO-10</t>
        </is>
      </c>
      <c r="F210" s="33" t="n">
        <v>14</v>
      </c>
      <c r="G210" s="33" t="n">
        <v>55</v>
      </c>
      <c r="H210" s="33" t="n">
        <v>4.286</v>
      </c>
      <c r="I210" s="33" t="inlineStr">
        <is>
          <t>CALCULATED</t>
        </is>
      </c>
      <c r="J210" s="33" t="n">
        <v>16</v>
      </c>
      <c r="K210" s="33" t="inlineStr">
        <is>
          <t>ESTIMATE</t>
        </is>
      </c>
      <c r="L210" s="33" t="n">
        <v>3.75</v>
      </c>
      <c r="M210" s="33" t="inlineStr">
        <is>
          <t>CALCULATED_FROM_ESTIMATE</t>
        </is>
      </c>
      <c r="N210" s="33" t="n">
        <v>1</v>
      </c>
      <c r="O210" s="33" t="inlineStr">
        <is>
          <t>ESTIMATE_NOT_DEMAND_PLAN</t>
        </is>
      </c>
      <c r="P210" s="33" t="n"/>
      <c r="Q210" s="33" t="n"/>
      <c r="R210" s="33" t="n"/>
      <c r="S210" s="33" t="inlineStr">
        <is>
          <t>Cannot conclude before demand, staffing, passport and timed-test reconciliation</t>
        </is>
      </c>
      <c r="T210" s="33" t="inlineStr">
        <is>
          <t>BLOCKED_PENDING_VALIDATION</t>
        </is>
      </c>
      <c r="U210" s="33" t="inlineStr">
        <is>
          <t>GAP-007;GAP-018;GAP-020</t>
        </is>
      </c>
      <c r="V210" s="33" t="inlineStr">
        <is>
          <t>Run peak-load/control-production test and replace planning values with observed and passport-backed inputs</t>
        </is>
      </c>
      <c r="W210" s="28" t="n"/>
    </row>
    <row r="211">
      <c r="A211" s="33" t="inlineStr">
        <is>
          <t>CAP-015</t>
        </is>
      </c>
      <c r="B211" s="33" t="inlineStr">
        <is>
          <t>VKM-015</t>
        </is>
      </c>
      <c r="C211" s="33" t="inlineStr">
        <is>
          <t>Оливки и маслины</t>
        </is>
      </c>
      <c r="D211" s="33" t="inlineStr">
        <is>
          <t>COLD</t>
        </is>
      </c>
      <c r="E211" s="33" t="inlineStr">
        <is>
          <t>CLD-03;CLD-07</t>
        </is>
      </c>
      <c r="F211" s="33" t="n">
        <v>8</v>
      </c>
      <c r="G211" s="33" t="n">
        <v>40</v>
      </c>
      <c r="H211" s="33" t="n">
        <v>7.5</v>
      </c>
      <c r="I211" s="33" t="inlineStr">
        <is>
          <t>CALCULATED</t>
        </is>
      </c>
      <c r="J211" s="33" t="n">
        <v>16</v>
      </c>
      <c r="K211" s="33" t="inlineStr">
        <is>
          <t>ESTIMATE</t>
        </is>
      </c>
      <c r="L211" s="33" t="n">
        <v>3.75</v>
      </c>
      <c r="M211" s="33" t="inlineStr">
        <is>
          <t>CALCULATED_FROM_ESTIMATE</t>
        </is>
      </c>
      <c r="N211" s="33" t="n">
        <v>1</v>
      </c>
      <c r="O211" s="33" t="inlineStr">
        <is>
          <t>ESTIMATE_NOT_DEMAND_PLAN</t>
        </is>
      </c>
      <c r="P211" s="33" t="n"/>
      <c r="Q211" s="33" t="n"/>
      <c r="R211" s="33" t="n"/>
      <c r="S211" s="33" t="inlineStr">
        <is>
          <t>Cannot conclude before demand, staffing, passport and timed-test reconciliation</t>
        </is>
      </c>
      <c r="T211" s="33" t="inlineStr">
        <is>
          <t>BLOCKED_PENDING_VALIDATION</t>
        </is>
      </c>
      <c r="U211" s="33" t="inlineStr">
        <is>
          <t>GAP-007;GAP-018;GAP-020</t>
        </is>
      </c>
      <c r="V211" s="33" t="inlineStr">
        <is>
          <t>Run peak-load/control-production test and replace planning values with observed and passport-backed inputs</t>
        </is>
      </c>
      <c r="W211" s="28" t="n"/>
    </row>
    <row r="212">
      <c r="A212" s="33" t="inlineStr">
        <is>
          <t>CAP-016</t>
        </is>
      </c>
      <c r="B212" s="33" t="inlineStr">
        <is>
          <t>VKM-016</t>
        </is>
      </c>
      <c r="C212" s="33" t="inlineStr">
        <is>
          <t>Ассорти фирменных солений</t>
        </is>
      </c>
      <c r="D212" s="33" t="inlineStr">
        <is>
          <t>COLD</t>
        </is>
      </c>
      <c r="E212" s="33" t="inlineStr">
        <is>
          <t>CLD-03;CLD-07</t>
        </is>
      </c>
      <c r="F212" s="33" t="n">
        <v>23</v>
      </c>
      <c r="G212" s="33" t="n">
        <v>70</v>
      </c>
      <c r="H212" s="33" t="n">
        <v>2.609</v>
      </c>
      <c r="I212" s="33" t="inlineStr">
        <is>
          <t>CALCULATED</t>
        </is>
      </c>
      <c r="J212" s="33" t="n">
        <v>16</v>
      </c>
      <c r="K212" s="33" t="inlineStr">
        <is>
          <t>ESTIMATE</t>
        </is>
      </c>
      <c r="L212" s="33" t="n">
        <v>3.75</v>
      </c>
      <c r="M212" s="33" t="inlineStr">
        <is>
          <t>CALCULATED_FROM_ESTIMATE</t>
        </is>
      </c>
      <c r="N212" s="33" t="n">
        <v>1</v>
      </c>
      <c r="O212" s="33" t="inlineStr">
        <is>
          <t>ESTIMATE_NOT_DEMAND_PLAN</t>
        </is>
      </c>
      <c r="P212" s="33" t="n"/>
      <c r="Q212" s="33" t="n"/>
      <c r="R212" s="33" t="n"/>
      <c r="S212" s="33" t="inlineStr">
        <is>
          <t>Cannot conclude before demand, staffing, passport and timed-test reconciliation</t>
        </is>
      </c>
      <c r="T212" s="33" t="inlineStr">
        <is>
          <t>BLOCKED_PENDING_VALIDATION</t>
        </is>
      </c>
      <c r="U212" s="33" t="inlineStr">
        <is>
          <t>GAP-007;GAP-018;GAP-020</t>
        </is>
      </c>
      <c r="V212" s="33" t="inlineStr">
        <is>
          <t>Run peak-load/control-production test and replace planning values with observed and passport-backed inputs</t>
        </is>
      </c>
      <c r="W212" s="28" t="n"/>
    </row>
    <row r="213">
      <c r="A213" s="33" t="inlineStr">
        <is>
          <t>CAP-017</t>
        </is>
      </c>
      <c r="B213" s="33" t="inlineStr">
        <is>
          <t>VKM-017</t>
        </is>
      </c>
      <c r="C213" s="33" t="inlineStr">
        <is>
          <t>Ростбиф с луком и гренкой</t>
        </is>
      </c>
      <c r="D213" s="33" t="inlineStr">
        <is>
          <t>COLD</t>
        </is>
      </c>
      <c r="E213" s="33" t="inlineStr">
        <is>
          <t>CLD-03;CLD-07;BAK-02</t>
        </is>
      </c>
      <c r="F213" s="33" t="n">
        <v>12</v>
      </c>
      <c r="G213" s="33" t="n">
        <v>18</v>
      </c>
      <c r="H213" s="33" t="n">
        <v>5</v>
      </c>
      <c r="I213" s="33" t="inlineStr">
        <is>
          <t>CALCULATED</t>
        </is>
      </c>
      <c r="J213" s="33" t="n">
        <v>16</v>
      </c>
      <c r="K213" s="33" t="inlineStr">
        <is>
          <t>ESTIMATE</t>
        </is>
      </c>
      <c r="L213" s="33" t="n">
        <v>3.75</v>
      </c>
      <c r="M213" s="33" t="inlineStr">
        <is>
          <t>CALCULATED_FROM_ESTIMATE</t>
        </is>
      </c>
      <c r="N213" s="33" t="n">
        <v>1</v>
      </c>
      <c r="O213" s="33" t="inlineStr">
        <is>
          <t>ESTIMATE_NOT_DEMAND_PLAN</t>
        </is>
      </c>
      <c r="P213" s="33" t="n"/>
      <c r="Q213" s="33" t="n"/>
      <c r="R213" s="33" t="n"/>
      <c r="S213" s="33" t="inlineStr">
        <is>
          <t>Cannot conclude before demand, staffing, passport and timed-test reconciliation</t>
        </is>
      </c>
      <c r="T213" s="33" t="inlineStr">
        <is>
          <t>BLOCKED_PENDING_VALIDATION</t>
        </is>
      </c>
      <c r="U213" s="33" t="inlineStr">
        <is>
          <t>GAP-007;GAP-018;GAP-020</t>
        </is>
      </c>
      <c r="V213" s="33" t="inlineStr">
        <is>
          <t>Run peak-load/control-production test and replace planning values with observed and passport-backed inputs</t>
        </is>
      </c>
      <c r="W213" s="28" t="n"/>
    </row>
    <row r="214">
      <c r="A214" s="33" t="inlineStr">
        <is>
          <t>CAP-018</t>
        </is>
      </c>
      <c r="B214" s="33" t="inlineStr">
        <is>
          <t>VKM-018</t>
        </is>
      </c>
      <c r="C214" s="33" t="inlineStr">
        <is>
          <t>Традиционный красный борщ</t>
        </is>
      </c>
      <c r="D214" s="33" t="inlineStr">
        <is>
          <t>HOT</t>
        </is>
      </c>
      <c r="E214" s="33" t="inlineStr">
        <is>
          <t>HOT-05A;HOT-13;HOT-12</t>
        </is>
      </c>
      <c r="F214" s="33" t="n">
        <v>35</v>
      </c>
      <c r="G214" s="33" t="n">
        <v>180</v>
      </c>
      <c r="H214" s="33" t="n">
        <v>1.714</v>
      </c>
      <c r="I214" s="33" t="inlineStr">
        <is>
          <t>CALCULATED</t>
        </is>
      </c>
      <c r="J214" s="33" t="n">
        <v>21</v>
      </c>
      <c r="K214" s="33" t="inlineStr">
        <is>
          <t>ESTIMATE</t>
        </is>
      </c>
      <c r="L214" s="33" t="n">
        <v>2.857</v>
      </c>
      <c r="M214" s="33" t="inlineStr">
        <is>
          <t>CALCULATED_FROM_ESTIMATE</t>
        </is>
      </c>
      <c r="N214" s="33" t="n">
        <v>1</v>
      </c>
      <c r="O214" s="33" t="inlineStr">
        <is>
          <t>ESTIMATE_NOT_DEMAND_PLAN</t>
        </is>
      </c>
      <c r="P214" s="33" t="n"/>
      <c r="Q214" s="33" t="n"/>
      <c r="R214" s="33" t="n"/>
      <c r="S214" s="33" t="inlineStr">
        <is>
          <t>Cannot conclude before demand, staffing, passport and timed-test reconciliation</t>
        </is>
      </c>
      <c r="T214" s="33" t="inlineStr">
        <is>
          <t>BLOCKED_PENDING_VALIDATION</t>
        </is>
      </c>
      <c r="U214" s="33" t="inlineStr">
        <is>
          <t>GAP-007;GAP-018;GAP-020</t>
        </is>
      </c>
      <c r="V214" s="33" t="inlineStr">
        <is>
          <t>Run peak-load/control-production test and replace planning values with observed and passport-backed inputs</t>
        </is>
      </c>
      <c r="W214" s="28" t="n"/>
    </row>
    <row r="215">
      <c r="A215" s="33" t="inlineStr">
        <is>
          <t>CAP-019</t>
        </is>
      </c>
      <c r="B215" s="33" t="inlineStr">
        <is>
          <t>VKM-019</t>
        </is>
      </c>
      <c r="C215" s="33" t="inlineStr">
        <is>
          <t>Мурманская треска со сливочно-горчичным соусом</t>
        </is>
      </c>
      <c r="D215" s="33" t="inlineStr">
        <is>
          <t>HOT</t>
        </is>
      </c>
      <c r="E215" s="33" t="inlineStr">
        <is>
          <t>HOT-12;HOT-13;HOT-05B;HOT-01</t>
        </is>
      </c>
      <c r="F215" s="33" t="n">
        <v>18</v>
      </c>
      <c r="G215" s="33" t="n">
        <v>28</v>
      </c>
      <c r="H215" s="33" t="n">
        <v>3.333</v>
      </c>
      <c r="I215" s="33" t="inlineStr">
        <is>
          <t>CALCULATED</t>
        </is>
      </c>
      <c r="J215" s="33" t="n">
        <v>21</v>
      </c>
      <c r="K215" s="33" t="inlineStr">
        <is>
          <t>ESTIMATE</t>
        </is>
      </c>
      <c r="L215" s="33" t="n">
        <v>2.857</v>
      </c>
      <c r="M215" s="33" t="inlineStr">
        <is>
          <t>CALCULATED_FROM_ESTIMATE</t>
        </is>
      </c>
      <c r="N215" s="33" t="n">
        <v>1</v>
      </c>
      <c r="O215" s="33" t="inlineStr">
        <is>
          <t>ESTIMATE_NOT_DEMAND_PLAN</t>
        </is>
      </c>
      <c r="P215" s="33" t="n"/>
      <c r="Q215" s="33" t="n"/>
      <c r="R215" s="33" t="n"/>
      <c r="S215" s="33" t="inlineStr">
        <is>
          <t>Cannot conclude before demand, staffing, passport and timed-test reconciliation</t>
        </is>
      </c>
      <c r="T215" s="33" t="inlineStr">
        <is>
          <t>BLOCKED_PENDING_VALIDATION</t>
        </is>
      </c>
      <c r="U215" s="33" t="inlineStr">
        <is>
          <t>GAP-007;GAP-018;GAP-020</t>
        </is>
      </c>
      <c r="V215" s="33" t="inlineStr">
        <is>
          <t>Run peak-load/control-production test and replace planning values with observed and passport-backed inputs</t>
        </is>
      </c>
      <c r="W215" s="28" t="n"/>
    </row>
    <row r="216">
      <c r="A216" s="33" t="inlineStr">
        <is>
          <t>CAP-020</t>
        </is>
      </c>
      <c r="B216" s="33" t="inlineStr">
        <is>
          <t>VKM-020</t>
        </is>
      </c>
      <c r="C216" s="33" t="inlineStr">
        <is>
          <t>Креветки по-тайски</t>
        </is>
      </c>
      <c r="D216" s="33" t="inlineStr">
        <is>
          <t>HOT</t>
        </is>
      </c>
      <c r="E216" s="33" t="inlineStr">
        <is>
          <t>HOT-12;HOT-13;HOT-03</t>
        </is>
      </c>
      <c r="F216" s="33" t="n">
        <v>20</v>
      </c>
      <c r="G216" s="33" t="n">
        <v>30</v>
      </c>
      <c r="H216" s="33" t="n">
        <v>3</v>
      </c>
      <c r="I216" s="33" t="inlineStr">
        <is>
          <t>CALCULATED</t>
        </is>
      </c>
      <c r="J216" s="33" t="n">
        <v>21</v>
      </c>
      <c r="K216" s="33" t="inlineStr">
        <is>
          <t>ESTIMATE</t>
        </is>
      </c>
      <c r="L216" s="33" t="n">
        <v>2.857</v>
      </c>
      <c r="M216" s="33" t="inlineStr">
        <is>
          <t>CALCULATED_FROM_ESTIMATE</t>
        </is>
      </c>
      <c r="N216" s="33" t="n">
        <v>1</v>
      </c>
      <c r="O216" s="33" t="inlineStr">
        <is>
          <t>ESTIMATE_NOT_DEMAND_PLAN</t>
        </is>
      </c>
      <c r="P216" s="33" t="n"/>
      <c r="Q216" s="33" t="n"/>
      <c r="R216" s="33" t="n"/>
      <c r="S216" s="33" t="inlineStr">
        <is>
          <t>Cannot conclude before demand, staffing, passport and timed-test reconciliation</t>
        </is>
      </c>
      <c r="T216" s="33" t="inlineStr">
        <is>
          <t>BLOCKED_PENDING_VALIDATION</t>
        </is>
      </c>
      <c r="U216" s="33" t="inlineStr">
        <is>
          <t>GAP-007;GAP-018;GAP-020</t>
        </is>
      </c>
      <c r="V216" s="33" t="inlineStr">
        <is>
          <t>Run peak-load/control-production test and replace planning values with observed and passport-backed inputs</t>
        </is>
      </c>
      <c r="W216" s="28" t="n"/>
    </row>
    <row r="217">
      <c r="A217" s="33" t="inlineStr">
        <is>
          <t>CAP-021</t>
        </is>
      </c>
      <c r="B217" s="33" t="inlineStr">
        <is>
          <t>VKM-021</t>
        </is>
      </c>
      <c r="C217" s="33" t="inlineStr">
        <is>
          <t>Бургер VARSHAVKA</t>
        </is>
      </c>
      <c r="D217" s="33" t="inlineStr">
        <is>
          <t>HOT</t>
        </is>
      </c>
      <c r="E217" s="33" t="inlineStr">
        <is>
          <t>HOT-12;HOT-13;HOT-02</t>
        </is>
      </c>
      <c r="F217" s="33" t="n">
        <v>15</v>
      </c>
      <c r="G217" s="33" t="n">
        <v>25</v>
      </c>
      <c r="H217" s="33" t="n">
        <v>4</v>
      </c>
      <c r="I217" s="33" t="inlineStr">
        <is>
          <t>CALCULATED</t>
        </is>
      </c>
      <c r="J217" s="33" t="n">
        <v>21</v>
      </c>
      <c r="K217" s="33" t="inlineStr">
        <is>
          <t>ESTIMATE</t>
        </is>
      </c>
      <c r="L217" s="33" t="n">
        <v>2.857</v>
      </c>
      <c r="M217" s="33" t="inlineStr">
        <is>
          <t>CALCULATED_FROM_ESTIMATE</t>
        </is>
      </c>
      <c r="N217" s="33" t="n">
        <v>1</v>
      </c>
      <c r="O217" s="33" t="inlineStr">
        <is>
          <t>ESTIMATE_NOT_DEMAND_PLAN</t>
        </is>
      </c>
      <c r="P217" s="33" t="n"/>
      <c r="Q217" s="33" t="n"/>
      <c r="R217" s="33" t="n"/>
      <c r="S217" s="33" t="inlineStr">
        <is>
          <t>Cannot conclude before demand, staffing, passport and timed-test reconciliation</t>
        </is>
      </c>
      <c r="T217" s="33" t="inlineStr">
        <is>
          <t>BLOCKED_PENDING_VALIDATION</t>
        </is>
      </c>
      <c r="U217" s="33" t="inlineStr">
        <is>
          <t>GAP-007;GAP-018;GAP-020</t>
        </is>
      </c>
      <c r="V217" s="33" t="inlineStr">
        <is>
          <t>Run peak-load/control-production test and replace planning values with observed and passport-backed inputs</t>
        </is>
      </c>
      <c r="W217" s="28" t="n"/>
    </row>
    <row r="218">
      <c r="A218" s="33" t="inlineStr">
        <is>
          <t>CAP-022</t>
        </is>
      </c>
      <c r="B218" s="33" t="inlineStr">
        <is>
          <t>VKM-022</t>
        </is>
      </c>
      <c r="C218" s="33" t="inlineStr">
        <is>
          <t>Миньоны из говяжьей вырезки</t>
        </is>
      </c>
      <c r="D218" s="33" t="inlineStr">
        <is>
          <t>HOT</t>
        </is>
      </c>
      <c r="E218" s="33" t="inlineStr">
        <is>
          <t>HOT-12;HOT-13;HOT-05B</t>
        </is>
      </c>
      <c r="F218" s="33" t="n">
        <v>22</v>
      </c>
      <c r="G218" s="33" t="n">
        <v>35</v>
      </c>
      <c r="H218" s="33" t="n">
        <v>2.727</v>
      </c>
      <c r="I218" s="33" t="inlineStr">
        <is>
          <t>CALCULATED</t>
        </is>
      </c>
      <c r="J218" s="33" t="n">
        <v>21</v>
      </c>
      <c r="K218" s="33" t="inlineStr">
        <is>
          <t>ESTIMATE</t>
        </is>
      </c>
      <c r="L218" s="33" t="n">
        <v>2.857</v>
      </c>
      <c r="M218" s="33" t="inlineStr">
        <is>
          <t>CALCULATED_FROM_ESTIMATE</t>
        </is>
      </c>
      <c r="N218" s="33" t="n">
        <v>1</v>
      </c>
      <c r="O218" s="33" t="inlineStr">
        <is>
          <t>ESTIMATE_NOT_DEMAND_PLAN</t>
        </is>
      </c>
      <c r="P218" s="33" t="n"/>
      <c r="Q218" s="33" t="n"/>
      <c r="R218" s="33" t="n"/>
      <c r="S218" s="33" t="inlineStr">
        <is>
          <t>Cannot conclude before demand, staffing, passport and timed-test reconciliation</t>
        </is>
      </c>
      <c r="T218" s="33" t="inlineStr">
        <is>
          <t>BLOCKED_PENDING_VALIDATION</t>
        </is>
      </c>
      <c r="U218" s="33" t="inlineStr">
        <is>
          <t>GAP-007;GAP-018;GAP-020</t>
        </is>
      </c>
      <c r="V218" s="33" t="inlineStr">
        <is>
          <t>Run peak-load/control-production test and replace planning values with observed and passport-backed inputs</t>
        </is>
      </c>
      <c r="W218" s="28" t="n"/>
    </row>
    <row r="219">
      <c r="A219" s="33" t="inlineStr">
        <is>
          <t>CAP-023</t>
        </is>
      </c>
      <c r="B219" s="33" t="inlineStr">
        <is>
          <t>VKM-023</t>
        </is>
      </c>
      <c r="C219" s="33" t="inlineStr">
        <is>
          <t>Запечённый картофель</t>
        </is>
      </c>
      <c r="D219" s="33" t="inlineStr">
        <is>
          <t>SIDE</t>
        </is>
      </c>
      <c r="E219" s="33" t="inlineStr">
        <is>
          <t>HOT-12;HOT-13;HOT-01</t>
        </is>
      </c>
      <c r="F219" s="33" t="n">
        <v>13</v>
      </c>
      <c r="G219" s="33" t="n">
        <v>45</v>
      </c>
      <c r="H219" s="33" t="n">
        <v>4.615</v>
      </c>
      <c r="I219" s="33" t="inlineStr">
        <is>
          <t>CALCULATED</t>
        </is>
      </c>
      <c r="J219" s="33" t="n">
        <v>12</v>
      </c>
      <c r="K219" s="33" t="inlineStr">
        <is>
          <t>ESTIMATE</t>
        </is>
      </c>
      <c r="L219" s="33" t="n">
        <v>5</v>
      </c>
      <c r="M219" s="33" t="inlineStr">
        <is>
          <t>CALCULATED_FROM_ESTIMATE</t>
        </is>
      </c>
      <c r="N219" s="33" t="n">
        <v>1</v>
      </c>
      <c r="O219" s="33" t="inlineStr">
        <is>
          <t>ESTIMATE_NOT_DEMAND_PLAN</t>
        </is>
      </c>
      <c r="P219" s="33" t="n"/>
      <c r="Q219" s="33" t="n"/>
      <c r="R219" s="33" t="n"/>
      <c r="S219" s="33" t="inlineStr">
        <is>
          <t>Cannot conclude before demand, staffing, passport and timed-test reconciliation</t>
        </is>
      </c>
      <c r="T219" s="33" t="inlineStr">
        <is>
          <t>BLOCKED_PENDING_VALIDATION</t>
        </is>
      </c>
      <c r="U219" s="33" t="inlineStr">
        <is>
          <t>GAP-007;GAP-018;GAP-020</t>
        </is>
      </c>
      <c r="V219" s="33" t="inlineStr">
        <is>
          <t>Run peak-load/control-production test and replace planning values with observed and passport-backed inputs</t>
        </is>
      </c>
      <c r="W219" s="28" t="n"/>
    </row>
    <row r="220">
      <c r="A220" s="33" t="inlineStr">
        <is>
          <t>CAP-024</t>
        </is>
      </c>
      <c r="B220" s="33" t="inlineStr">
        <is>
          <t>VKM-024</t>
        </is>
      </c>
      <c r="C220" s="33" t="inlineStr">
        <is>
          <t>Рис жасмин</t>
        </is>
      </c>
      <c r="D220" s="33" t="inlineStr">
        <is>
          <t>SIDE</t>
        </is>
      </c>
      <c r="E220" s="33" t="inlineStr">
        <is>
          <t>HOT-06;HOT-13;HOT-12</t>
        </is>
      </c>
      <c r="F220" s="33" t="n">
        <v>8</v>
      </c>
      <c r="G220" s="33" t="n">
        <v>35</v>
      </c>
      <c r="H220" s="33" t="n">
        <v>7.5</v>
      </c>
      <c r="I220" s="33" t="inlineStr">
        <is>
          <t>CALCULATED</t>
        </is>
      </c>
      <c r="J220" s="33" t="n">
        <v>12</v>
      </c>
      <c r="K220" s="33" t="inlineStr">
        <is>
          <t>ESTIMATE</t>
        </is>
      </c>
      <c r="L220" s="33" t="n">
        <v>5</v>
      </c>
      <c r="M220" s="33" t="inlineStr">
        <is>
          <t>CALCULATED_FROM_ESTIMATE</t>
        </is>
      </c>
      <c r="N220" s="33" t="n">
        <v>1</v>
      </c>
      <c r="O220" s="33" t="inlineStr">
        <is>
          <t>ESTIMATE_NOT_DEMAND_PLAN</t>
        </is>
      </c>
      <c r="P220" s="33" t="n"/>
      <c r="Q220" s="33" t="n"/>
      <c r="R220" s="33" t="n"/>
      <c r="S220" s="33" t="inlineStr">
        <is>
          <t>Cannot conclude before demand, staffing, passport and timed-test reconciliation</t>
        </is>
      </c>
      <c r="T220" s="33" t="inlineStr">
        <is>
          <t>BLOCKED_PENDING_VALIDATION</t>
        </is>
      </c>
      <c r="U220" s="33" t="inlineStr">
        <is>
          <t>GAP-007;GAP-018;GAP-020</t>
        </is>
      </c>
      <c r="V220" s="33" t="inlineStr">
        <is>
          <t>Run peak-load/control-production test and replace planning values with observed and passport-backed inputs</t>
        </is>
      </c>
      <c r="W220" s="28" t="n"/>
    </row>
    <row r="221">
      <c r="A221" s="33" t="inlineStr">
        <is>
          <t>CAP-025</t>
        </is>
      </c>
      <c r="B221" s="33" t="inlineStr">
        <is>
          <t>VKM-025</t>
        </is>
      </c>
      <c r="C221" s="33" t="inlineStr">
        <is>
          <t>Горячие овощи</t>
        </is>
      </c>
      <c r="D221" s="33" t="inlineStr">
        <is>
          <t>SIDE</t>
        </is>
      </c>
      <c r="E221" s="33" t="inlineStr">
        <is>
          <t>HOT-12;HOT-13;HOT-03</t>
        </is>
      </c>
      <c r="F221" s="33" t="n">
        <v>15</v>
      </c>
      <c r="G221" s="33" t="n">
        <v>22</v>
      </c>
      <c r="H221" s="33" t="n">
        <v>4</v>
      </c>
      <c r="I221" s="33" t="inlineStr">
        <is>
          <t>CALCULATED</t>
        </is>
      </c>
      <c r="J221" s="33" t="n">
        <v>12</v>
      </c>
      <c r="K221" s="33" t="inlineStr">
        <is>
          <t>ESTIMATE</t>
        </is>
      </c>
      <c r="L221" s="33" t="n">
        <v>5</v>
      </c>
      <c r="M221" s="33" t="inlineStr">
        <is>
          <t>CALCULATED_FROM_ESTIMATE</t>
        </is>
      </c>
      <c r="N221" s="33" t="n">
        <v>1</v>
      </c>
      <c r="O221" s="33" t="inlineStr">
        <is>
          <t>ESTIMATE_NOT_DEMAND_PLAN</t>
        </is>
      </c>
      <c r="P221" s="33" t="n"/>
      <c r="Q221" s="33" t="n"/>
      <c r="R221" s="33" t="n"/>
      <c r="S221" s="33" t="inlineStr">
        <is>
          <t>Cannot conclude before demand, staffing, passport and timed-test reconciliation</t>
        </is>
      </c>
      <c r="T221" s="33" t="inlineStr">
        <is>
          <t>BLOCKED_PENDING_VALIDATION</t>
        </is>
      </c>
      <c r="U221" s="33" t="inlineStr">
        <is>
          <t>GAP-007;GAP-018;GAP-020</t>
        </is>
      </c>
      <c r="V221" s="33" t="inlineStr">
        <is>
          <t>Run peak-load/control-production test and replace planning values with observed and passport-backed inputs</t>
        </is>
      </c>
      <c r="W221" s="28" t="n"/>
    </row>
    <row r="222">
      <c r="A222" s="33" t="inlineStr">
        <is>
          <t>CAP-026</t>
        </is>
      </c>
      <c r="B222" s="33" t="inlineStr">
        <is>
          <t>VKM-029</t>
        </is>
      </c>
      <c r="C222" s="33" t="inlineStr">
        <is>
          <t>Черничный торт VARSHAVKA</t>
        </is>
      </c>
      <c r="D222" s="33" t="inlineStr">
        <is>
          <t>PASTRY</t>
        </is>
      </c>
      <c r="E222" s="33" t="inlineStr">
        <is>
          <t>BAK-04;BAK-02;BAK-07;BAK-06;STO-09;HOT-05B</t>
        </is>
      </c>
      <c r="F222" s="33" t="n">
        <v>120</v>
      </c>
      <c r="G222" s="33" t="n">
        <v>600</v>
      </c>
      <c r="H222" s="33" t="n">
        <v>0.5</v>
      </c>
      <c r="I222" s="33" t="inlineStr">
        <is>
          <t>CALCULATED</t>
        </is>
      </c>
      <c r="J222" s="33" t="n">
        <v>20</v>
      </c>
      <c r="K222" s="33" t="inlineStr">
        <is>
          <t>ESTIMATE</t>
        </is>
      </c>
      <c r="L222" s="33" t="n">
        <v>3</v>
      </c>
      <c r="M222" s="33" t="inlineStr">
        <is>
          <t>CALCULATED_FROM_ESTIMATE</t>
        </is>
      </c>
      <c r="N222" s="33" t="n">
        <v>1</v>
      </c>
      <c r="O222" s="33" t="inlineStr">
        <is>
          <t>ESTIMATE_NOT_DEMAND_PLAN</t>
        </is>
      </c>
      <c r="P222" s="33" t="n"/>
      <c r="Q222" s="33" t="n"/>
      <c r="R222" s="33" t="n"/>
      <c r="S222" s="33" t="inlineStr">
        <is>
          <t>Cannot conclude before demand, staffing, passport and timed-test reconciliation</t>
        </is>
      </c>
      <c r="T222" s="33" t="inlineStr">
        <is>
          <t>BLOCKED_PENDING_VALIDATION</t>
        </is>
      </c>
      <c r="U222" s="33" t="inlineStr">
        <is>
          <t>GAP-007;GAP-018;GAP-020</t>
        </is>
      </c>
      <c r="V222" s="33" t="inlineStr">
        <is>
          <t>Run peak-load/control-production test and replace planning values with observed and passport-backed inputs</t>
        </is>
      </c>
      <c r="W222" s="28" t="n"/>
    </row>
    <row r="223">
      <c r="A223" s="33" t="inlineStr">
        <is>
          <t>CAP-027</t>
        </is>
      </c>
      <c r="B223" s="33" t="inlineStr">
        <is>
          <t>VKM-030</t>
        </is>
      </c>
      <c r="C223" s="33" t="inlineStr">
        <is>
          <t>Кростата с солёной карамелью</t>
        </is>
      </c>
      <c r="D223" s="33" t="inlineStr">
        <is>
          <t>PASTRY</t>
        </is>
      </c>
      <c r="E223" s="33" t="inlineStr">
        <is>
          <t>BAK-04;BAK-07;BAK-06;STO-09;BAK-02;HOT-05B</t>
        </is>
      </c>
      <c r="F223" s="33" t="n">
        <v>90</v>
      </c>
      <c r="G223" s="33" t="n">
        <v>420</v>
      </c>
      <c r="H223" s="33" t="n">
        <v>0.667</v>
      </c>
      <c r="I223" s="33" t="inlineStr">
        <is>
          <t>CALCULATED</t>
        </is>
      </c>
      <c r="J223" s="33" t="n">
        <v>20</v>
      </c>
      <c r="K223" s="33" t="inlineStr">
        <is>
          <t>ESTIMATE</t>
        </is>
      </c>
      <c r="L223" s="33" t="n">
        <v>3</v>
      </c>
      <c r="M223" s="33" t="inlineStr">
        <is>
          <t>CALCULATED_FROM_ESTIMATE</t>
        </is>
      </c>
      <c r="N223" s="33" t="n">
        <v>1</v>
      </c>
      <c r="O223" s="33" t="inlineStr">
        <is>
          <t>ESTIMATE_NOT_DEMAND_PLAN</t>
        </is>
      </c>
      <c r="P223" s="33" t="n"/>
      <c r="Q223" s="33" t="n"/>
      <c r="R223" s="33" t="n"/>
      <c r="S223" s="33" t="inlineStr">
        <is>
          <t>Cannot conclude before demand, staffing, passport and timed-test reconciliation</t>
        </is>
      </c>
      <c r="T223" s="33" t="inlineStr">
        <is>
          <t>BLOCKED_PENDING_VALIDATION</t>
        </is>
      </c>
      <c r="U223" s="33" t="inlineStr">
        <is>
          <t>GAP-007;GAP-018;GAP-020</t>
        </is>
      </c>
      <c r="V223" s="33" t="inlineStr">
        <is>
          <t>Run peak-load/control-production test and replace planning values with observed and passport-backed inputs</t>
        </is>
      </c>
      <c r="W223" s="28" t="n"/>
    </row>
    <row r="224">
      <c r="A224" s="33" t="inlineStr">
        <is>
          <t>CAP-028</t>
        </is>
      </c>
      <c r="B224" s="33" t="inlineStr">
        <is>
          <t>VKM-031</t>
        </is>
      </c>
      <c r="C224" s="33" t="inlineStr">
        <is>
          <t>Мадлен</t>
        </is>
      </c>
      <c r="D224" s="33" t="inlineStr">
        <is>
          <t>PASTRY</t>
        </is>
      </c>
      <c r="E224" s="33" t="inlineStr">
        <is>
          <t>BAK-04;BAK-07;STO-09;BAK-02;BAK-06</t>
        </is>
      </c>
      <c r="F224" s="33" t="n">
        <v>30</v>
      </c>
      <c r="G224" s="33" t="n">
        <v>120</v>
      </c>
      <c r="H224" s="33" t="n">
        <v>2</v>
      </c>
      <c r="I224" s="33" t="inlineStr">
        <is>
          <t>CALCULATED</t>
        </is>
      </c>
      <c r="J224" s="33" t="n">
        <v>20</v>
      </c>
      <c r="K224" s="33" t="inlineStr">
        <is>
          <t>ESTIMATE</t>
        </is>
      </c>
      <c r="L224" s="33" t="n">
        <v>3</v>
      </c>
      <c r="M224" s="33" t="inlineStr">
        <is>
          <t>CALCULATED_FROM_ESTIMATE</t>
        </is>
      </c>
      <c r="N224" s="33" t="n">
        <v>1</v>
      </c>
      <c r="O224" s="33" t="inlineStr">
        <is>
          <t>ESTIMATE_NOT_DEMAND_PLAN</t>
        </is>
      </c>
      <c r="P224" s="33" t="n"/>
      <c r="Q224" s="33" t="n"/>
      <c r="R224" s="33" t="n"/>
      <c r="S224" s="33" t="inlineStr">
        <is>
          <t>Cannot conclude before demand, staffing, passport and timed-test reconciliation</t>
        </is>
      </c>
      <c r="T224" s="33" t="inlineStr">
        <is>
          <t>BLOCKED_PENDING_VALIDATION</t>
        </is>
      </c>
      <c r="U224" s="33" t="inlineStr">
        <is>
          <t>GAP-007;GAP-018;GAP-020</t>
        </is>
      </c>
      <c r="V224" s="33" t="inlineStr">
        <is>
          <t>Run peak-load/control-production test and replace planning values with observed and passport-backed inputs</t>
        </is>
      </c>
      <c r="W224" s="28" t="n"/>
    </row>
  </sheetData>
  <mergeCells count="4">
    <mergeCell ref="A2:W2"/>
    <mergeCell ref="A36:N36"/>
    <mergeCell ref="A1:W1"/>
    <mergeCell ref="A195:W195"/>
  </mergeCells>
  <conditionalFormatting sqref="K6:M33">
    <cfRule type="containsText" priority="1" operator="containsText" dxfId="0" text="BLOCK"/>
    <cfRule type="containsText" priority="2" operator="containsText" dxfId="1" text="PASS"/>
  </conditionalFormatting>
  <conditionalFormatting sqref="R38:V192">
    <cfRule type="containsText" priority="3" operator="containsText" dxfId="0" text="BLOCK"/>
    <cfRule type="containsText" priority="4" operator="containsText" dxfId="1" text="PASS"/>
  </conditionalFormatting>
  <pageMargins left="0.7" right="0.7" top="0.75" bottom="0.75" header="0.3" footer="0.3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3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4" customWidth="1" min="3" max="3"/>
    <col width="50" customWidth="1" min="4" max="4"/>
    <col width="22" customWidth="1" min="5" max="5"/>
    <col width="13" customWidth="1" min="6" max="6"/>
    <col width="15" customWidth="1" min="7" max="7"/>
    <col width="15" customWidth="1" min="8" max="8"/>
    <col width="22" customWidth="1" min="9" max="9"/>
    <col width="24" customWidth="1" min="10" max="10"/>
    <col width="15" customWidth="1" min="11" max="11"/>
    <col width="55" customWidth="1" min="12" max="12"/>
    <col width="20" customWidth="1" min="13" max="13"/>
    <col width="14" customWidth="1" min="14" max="14"/>
    <col width="12" customWidth="1" min="15" max="15"/>
    <col width="15" customWidth="1" min="16" max="16"/>
  </cols>
  <sheetData>
    <row r="1" ht="30" customHeight="1">
      <c r="A1" s="27" t="inlineStr">
        <is>
          <t>09 — Инвентарь и посуда</t>
        </is>
      </c>
    </row>
    <row r="2" ht="27" customHeight="1">
      <c r="A2" s="29" t="inlineStr">
        <is>
          <t>Candidate sets only; quantities, turnover, stock and packaging SKU remain blank/blocked.</t>
        </is>
      </c>
    </row>
    <row r="3">
      <c r="A3" s="28" t="n"/>
      <c r="B3" s="28" t="n"/>
      <c r="C3" s="28" t="n"/>
      <c r="D3" s="28" t="n"/>
      <c r="E3" s="28" t="n"/>
      <c r="F3" s="28" t="n"/>
      <c r="G3" s="28" t="n"/>
      <c r="H3" s="28" t="n"/>
      <c r="I3" s="28" t="n"/>
      <c r="J3" s="28" t="n"/>
      <c r="K3" s="28" t="n"/>
      <c r="L3" s="28" t="n"/>
      <c r="M3" s="28" t="n"/>
      <c r="N3" s="28" t="n"/>
      <c r="O3" s="28" t="n"/>
      <c r="P3" s="28" t="n"/>
    </row>
    <row r="4">
      <c r="A4" s="28" t="n"/>
      <c r="B4" s="28" t="n"/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  <c r="P4" s="28" t="n"/>
    </row>
    <row r="5" ht="34" customHeight="1">
      <c r="A5" s="32" t="inlineStr">
        <is>
          <t>Dish ID</t>
        </is>
      </c>
      <c r="B5" s="32" t="inlineStr">
        <is>
          <t>Блюдо</t>
        </is>
      </c>
      <c r="C5" s="32" t="inlineStr">
        <is>
          <t>Inventory set</t>
        </is>
      </c>
      <c r="D5" s="32" t="inlineStr">
        <is>
          <t>Инвентарь</t>
        </is>
      </c>
      <c r="E5" s="32" t="inlineStr">
        <is>
          <t>Functions</t>
        </is>
      </c>
      <c r="F5" s="32" t="inlineStr">
        <is>
          <t>Required qty</t>
        </is>
      </c>
      <c r="G5" s="32" t="inlineStr">
        <is>
          <t>Qty status</t>
        </is>
      </c>
      <c r="H5" s="32" t="inlineStr">
        <is>
          <t>Inv status</t>
        </is>
      </c>
      <c r="I5" s="32" t="inlineStr">
        <is>
          <t>Evidence</t>
        </is>
      </c>
      <c r="J5" s="32" t="inlineStr">
        <is>
          <t>Inv blockers</t>
        </is>
      </c>
      <c r="K5" s="32" t="inlineStr">
        <is>
          <t>Tableware set</t>
        </is>
      </c>
      <c r="L5" s="32" t="inlineStr">
        <is>
          <t>Посуда / упаковка</t>
        </is>
      </c>
      <c r="M5" s="32" t="inlineStr">
        <is>
          <t>Historical SKU</t>
        </is>
      </c>
      <c r="N5" s="32" t="inlineStr">
        <is>
          <t>Pieces/service</t>
        </is>
      </c>
      <c r="O5" s="32" t="inlineStr">
        <is>
          <t>Start qty</t>
        </is>
      </c>
      <c r="P5" s="32" t="inlineStr">
        <is>
          <t>TW status</t>
        </is>
      </c>
    </row>
    <row r="6">
      <c r="A6" s="33" t="inlineStr">
        <is>
          <t>VKM-001</t>
        </is>
      </c>
      <c r="B6" s="33" t="inlineStr">
        <is>
          <t>Маргарита</t>
        </is>
      </c>
      <c r="C6" s="33" t="inlineStr">
        <is>
          <t>INVSET-001</t>
        </is>
      </c>
      <c r="D6" s="33" t="inlineStr">
        <is>
          <t>Весы; контейнеры теста; скребок; лопатка/лопата для пиццы; резак; ёмкости для топпингов</t>
        </is>
      </c>
      <c r="E6" s="33" t="inlineStr">
        <is>
          <t>BAK-12;CLD-07;WSH-07;WSH-08</t>
        </is>
      </c>
      <c r="F6" s="39" t="n"/>
      <c r="G6" s="33" t="inlineStr">
        <is>
          <t>BLOCKED</t>
        </is>
      </c>
      <c r="H6" s="33" t="inlineStr">
        <is>
          <t>ESTIMATE</t>
        </is>
      </c>
      <c r="I6" s="33" t="inlineStr">
        <is>
          <t>EVD-0025;EVD-FS-003;EVD-FS-004</t>
        </is>
      </c>
      <c r="J6" s="33" t="inlineStr">
        <is>
          <t>GAP-009;GAP-021</t>
        </is>
      </c>
      <c r="K6" s="33" t="inlineStr">
        <is>
          <t>TWS-001</t>
        </is>
      </c>
      <c r="L6" s="33" t="inlineStr">
        <is>
          <t>Тарелка мелкая D=260 мм; вилка; нож; коробка/подложка для доставки при применимом канале</t>
        </is>
      </c>
      <c r="M6" s="33" t="inlineStr">
        <is>
          <t>03011857;03112213;03114123</t>
        </is>
      </c>
      <c r="N6" s="39" t="n"/>
      <c r="O6" s="39" t="n"/>
      <c r="P6" s="33" t="inlineStr">
        <is>
          <t>BLOCKED</t>
        </is>
      </c>
    </row>
    <row r="7">
      <c r="A7" s="33" t="inlineStr">
        <is>
          <t>VKM-002</t>
        </is>
      </c>
      <c r="B7" s="33" t="inlineStr">
        <is>
          <t>Четыре сыра</t>
        </is>
      </c>
      <c r="C7" s="33" t="inlineStr">
        <is>
          <t>INVSET-002</t>
        </is>
      </c>
      <c r="D7" s="33" t="inlineStr">
        <is>
          <t>Весы; контейнеры теста; скребок; лопатка/лопата для пиццы; резак; ёмкости для топпингов</t>
        </is>
      </c>
      <c r="E7" s="33" t="inlineStr">
        <is>
          <t>BAK-12;CLD-07;WSH-07;WSH-08</t>
        </is>
      </c>
      <c r="F7" s="39" t="n"/>
      <c r="G7" s="33" t="inlineStr">
        <is>
          <t>BLOCKED</t>
        </is>
      </c>
      <c r="H7" s="33" t="inlineStr">
        <is>
          <t>ESTIMATE</t>
        </is>
      </c>
      <c r="I7" s="33" t="inlineStr">
        <is>
          <t>EVD-0025;EVD-FS-003;EVD-FS-004</t>
        </is>
      </c>
      <c r="J7" s="33" t="inlineStr">
        <is>
          <t>GAP-009;GAP-021</t>
        </is>
      </c>
      <c r="K7" s="33" t="inlineStr">
        <is>
          <t>TWS-002</t>
        </is>
      </c>
      <c r="L7" s="33" t="inlineStr">
        <is>
          <t>Тарелка мелкая D=260 мм; вилка; нож; коробка/подложка для доставки при применимом канале</t>
        </is>
      </c>
      <c r="M7" s="33" t="inlineStr">
        <is>
          <t>03011857;03112213;03114123</t>
        </is>
      </c>
      <c r="N7" s="39" t="n"/>
      <c r="O7" s="39" t="n"/>
      <c r="P7" s="33" t="inlineStr">
        <is>
          <t>BLOCKED</t>
        </is>
      </c>
    </row>
    <row r="8">
      <c r="A8" s="33" t="inlineStr">
        <is>
          <t>VKM-003</t>
        </is>
      </c>
      <c r="B8" s="33" t="inlineStr">
        <is>
          <t>Грибная с ветчиной</t>
        </is>
      </c>
      <c r="C8" s="33" t="inlineStr">
        <is>
          <t>INVSET-003</t>
        </is>
      </c>
      <c r="D8" s="33" t="inlineStr">
        <is>
          <t>Весы; контейнеры теста; скребок; лопатка/лопата для пиццы; резак; ёмкости для топпингов</t>
        </is>
      </c>
      <c r="E8" s="33" t="inlineStr">
        <is>
          <t>BAK-12;CLD-07;WSH-07;WSH-08</t>
        </is>
      </c>
      <c r="F8" s="39" t="n"/>
      <c r="G8" s="33" t="inlineStr">
        <is>
          <t>BLOCKED</t>
        </is>
      </c>
      <c r="H8" s="33" t="inlineStr">
        <is>
          <t>ESTIMATE</t>
        </is>
      </c>
      <c r="I8" s="33" t="inlineStr">
        <is>
          <t>EVD-0025;EVD-FS-003;EVD-FS-004</t>
        </is>
      </c>
      <c r="J8" s="33" t="inlineStr">
        <is>
          <t>GAP-009;GAP-021</t>
        </is>
      </c>
      <c r="K8" s="33" t="inlineStr">
        <is>
          <t>TWS-003</t>
        </is>
      </c>
      <c r="L8" s="33" t="inlineStr">
        <is>
          <t>Тарелка мелкая D=260 мм; вилка; нож; коробка/подложка для доставки при применимом канале</t>
        </is>
      </c>
      <c r="M8" s="33" t="inlineStr">
        <is>
          <t>03011857;03112213;03114123</t>
        </is>
      </c>
      <c r="N8" s="39" t="n"/>
      <c r="O8" s="39" t="n"/>
      <c r="P8" s="33" t="inlineStr">
        <is>
          <t>BLOCKED</t>
        </is>
      </c>
    </row>
    <row r="9">
      <c r="A9" s="33" t="inlineStr">
        <is>
          <t>VKM-004</t>
        </is>
      </c>
      <c r="B9" s="33" t="inlineStr">
        <is>
          <t>Пепперони</t>
        </is>
      </c>
      <c r="C9" s="33" t="inlineStr">
        <is>
          <t>INVSET-004</t>
        </is>
      </c>
      <c r="D9" s="33" t="inlineStr">
        <is>
          <t>Весы; контейнеры теста; скребок; лопатка/лопата для пиццы; резак; ёмкости для топпингов</t>
        </is>
      </c>
      <c r="E9" s="33" t="inlineStr">
        <is>
          <t>BAK-12;CLD-07;WSH-07;WSH-08</t>
        </is>
      </c>
      <c r="F9" s="39" t="n"/>
      <c r="G9" s="33" t="inlineStr">
        <is>
          <t>BLOCKED</t>
        </is>
      </c>
      <c r="H9" s="33" t="inlineStr">
        <is>
          <t>ESTIMATE</t>
        </is>
      </c>
      <c r="I9" s="33" t="inlineStr">
        <is>
          <t>EVD-0025;EVD-FS-003;EVD-FS-004</t>
        </is>
      </c>
      <c r="J9" s="33" t="inlineStr">
        <is>
          <t>GAP-009;GAP-021</t>
        </is>
      </c>
      <c r="K9" s="33" t="inlineStr">
        <is>
          <t>TWS-004</t>
        </is>
      </c>
      <c r="L9" s="33" t="inlineStr">
        <is>
          <t>Тарелка мелкая D=260 мм; вилка; нож; коробка/подложка для доставки при применимом канале</t>
        </is>
      </c>
      <c r="M9" s="33" t="inlineStr">
        <is>
          <t>03011857;03112213;03114123</t>
        </is>
      </c>
      <c r="N9" s="39" t="n"/>
      <c r="O9" s="39" t="n"/>
      <c r="P9" s="33" t="inlineStr">
        <is>
          <t>BLOCKED</t>
        </is>
      </c>
    </row>
    <row r="10">
      <c r="A10" s="33" t="inlineStr">
        <is>
          <t>VKM-005</t>
        </is>
      </c>
      <c r="B10" s="33" t="inlineStr">
        <is>
          <t>Белая чиабатта</t>
        </is>
      </c>
      <c r="C10" s="33" t="inlineStr">
        <is>
          <t>INVSET-005</t>
        </is>
      </c>
      <c r="D10" s="33" t="inlineStr">
        <is>
          <t>Весы; дежа; скребок; формы/противни; решётка охлаждения; термощуп после утверждения ППК</t>
        </is>
      </c>
      <c r="E10" s="33" t="inlineStr">
        <is>
          <t>BAK-03;BAK-05;BAK-06;HOT-13;WSH-07;WSH-08</t>
        </is>
      </c>
      <c r="F10" s="39" t="n"/>
      <c r="G10" s="33" t="inlineStr">
        <is>
          <t>BLOCKED</t>
        </is>
      </c>
      <c r="H10" s="33" t="inlineStr">
        <is>
          <t>ESTIMATE</t>
        </is>
      </c>
      <c r="I10" s="33" t="inlineStr">
        <is>
          <t>EVD-0025;EVD-FS-003;EVD-FS-004</t>
        </is>
      </c>
      <c r="J10" s="33" t="inlineStr">
        <is>
          <t>GAP-009;GAP-021</t>
        </is>
      </c>
      <c r="K10" s="33" t="inlineStr">
        <is>
          <t>TWS-005</t>
        </is>
      </c>
      <c r="L10" s="33" t="inlineStr">
        <is>
          <t>Тарелка D=175 мм либо хлебная корзина/доска; прибор по сервисному стандарту</t>
        </is>
      </c>
      <c r="M10" s="33" t="inlineStr">
        <is>
          <t>03010413</t>
        </is>
      </c>
      <c r="N10" s="39" t="n"/>
      <c r="O10" s="39" t="n"/>
      <c r="P10" s="33" t="inlineStr">
        <is>
          <t>BLOCKED</t>
        </is>
      </c>
    </row>
    <row r="11">
      <c r="A11" s="33" t="inlineStr">
        <is>
          <t>VKM-006</t>
        </is>
      </c>
      <c r="B11" s="33" t="inlineStr">
        <is>
          <t>Томатная чиабатта</t>
        </is>
      </c>
      <c r="C11" s="33" t="inlineStr">
        <is>
          <t>INVSET-006</t>
        </is>
      </c>
      <c r="D11" s="33" t="inlineStr">
        <is>
          <t>Весы; дежа; скребок; формы/противни; решётка охлаждения; термощуп после утверждения ППК</t>
        </is>
      </c>
      <c r="E11" s="33" t="inlineStr">
        <is>
          <t>BAK-03;BAK-05;BAK-06;HOT-13;WSH-07;WSH-08</t>
        </is>
      </c>
      <c r="F11" s="39" t="n"/>
      <c r="G11" s="33" t="inlineStr">
        <is>
          <t>BLOCKED</t>
        </is>
      </c>
      <c r="H11" s="33" t="inlineStr">
        <is>
          <t>ESTIMATE</t>
        </is>
      </c>
      <c r="I11" s="33" t="inlineStr">
        <is>
          <t>EVD-0025;EVD-FS-003;EVD-FS-004</t>
        </is>
      </c>
      <c r="J11" s="33" t="inlineStr">
        <is>
          <t>GAP-009;GAP-021</t>
        </is>
      </c>
      <c r="K11" s="33" t="inlineStr">
        <is>
          <t>TWS-006</t>
        </is>
      </c>
      <c r="L11" s="33" t="inlineStr">
        <is>
          <t>Тарелка D=175 мм либо хлебная корзина/доска; прибор по сервисному стандарту</t>
        </is>
      </c>
      <c r="M11" s="33" t="inlineStr">
        <is>
          <t>03010413</t>
        </is>
      </c>
      <c r="N11" s="39" t="n"/>
      <c r="O11" s="39" t="n"/>
      <c r="P11" s="33" t="inlineStr">
        <is>
          <t>BLOCKED</t>
        </is>
      </c>
    </row>
    <row r="12">
      <c r="A12" s="33" t="inlineStr">
        <is>
          <t>VKM-007</t>
        </is>
      </c>
      <c r="B12" s="33" t="inlineStr">
        <is>
          <t>Бородинский хлеб</t>
        </is>
      </c>
      <c r="C12" s="33" t="inlineStr">
        <is>
          <t>INVSET-007</t>
        </is>
      </c>
      <c r="D12" s="33" t="inlineStr">
        <is>
          <t>Весы; дежа; скребок; формы/противни; решётка охлаждения; термощуп после утверждения ППК</t>
        </is>
      </c>
      <c r="E12" s="33" t="inlineStr">
        <is>
          <t>BAK-03;BAK-05;BAK-06;HOT-13;WSH-07;WSH-08</t>
        </is>
      </c>
      <c r="F12" s="39" t="n"/>
      <c r="G12" s="33" t="inlineStr">
        <is>
          <t>BLOCKED</t>
        </is>
      </c>
      <c r="H12" s="33" t="inlineStr">
        <is>
          <t>ESTIMATE</t>
        </is>
      </c>
      <c r="I12" s="33" t="inlineStr">
        <is>
          <t>EVD-0025;EVD-FS-003;EVD-FS-004</t>
        </is>
      </c>
      <c r="J12" s="33" t="inlineStr">
        <is>
          <t>GAP-009;GAP-021</t>
        </is>
      </c>
      <c r="K12" s="33" t="inlineStr">
        <is>
          <t>TWS-007</t>
        </is>
      </c>
      <c r="L12" s="33" t="inlineStr">
        <is>
          <t>Тарелка D=175 мм либо хлебная корзина/доска; прибор по сервисному стандарту</t>
        </is>
      </c>
      <c r="M12" s="33" t="inlineStr">
        <is>
          <t>03010413</t>
        </is>
      </c>
      <c r="N12" s="39" t="n"/>
      <c r="O12" s="39" t="n"/>
      <c r="P12" s="33" t="inlineStr">
        <is>
          <t>BLOCKED</t>
        </is>
      </c>
    </row>
    <row r="13">
      <c r="A13" s="33" t="inlineStr">
        <is>
          <t>VKM-008</t>
        </is>
      </c>
      <c r="B13" s="33" t="inlineStr">
        <is>
          <t>Бриошь</t>
        </is>
      </c>
      <c r="C13" s="33" t="inlineStr">
        <is>
          <t>INVSET-008</t>
        </is>
      </c>
      <c r="D13" s="33" t="inlineStr">
        <is>
          <t>Весы; дежа; скребок; формы/противни; решётка охлаждения; термощуп после утверждения ППК</t>
        </is>
      </c>
      <c r="E13" s="33" t="inlineStr">
        <is>
          <t>BAK-03;BAK-05;BAK-06;HOT-13;WSH-07;WSH-08</t>
        </is>
      </c>
      <c r="F13" s="39" t="n"/>
      <c r="G13" s="33" t="inlineStr">
        <is>
          <t>BLOCKED</t>
        </is>
      </c>
      <c r="H13" s="33" t="inlineStr">
        <is>
          <t>ESTIMATE</t>
        </is>
      </c>
      <c r="I13" s="33" t="inlineStr">
        <is>
          <t>EVD-0025;EVD-FS-003;EVD-FS-004</t>
        </is>
      </c>
      <c r="J13" s="33" t="inlineStr">
        <is>
          <t>GAP-009;GAP-021</t>
        </is>
      </c>
      <c r="K13" s="33" t="inlineStr">
        <is>
          <t>TWS-008</t>
        </is>
      </c>
      <c r="L13" s="33" t="inlineStr">
        <is>
          <t>Тарелка D=175 мм либо хлебная корзина/доска; прибор по сервисному стандарту</t>
        </is>
      </c>
      <c r="M13" s="33" t="inlineStr">
        <is>
          <t>03010413</t>
        </is>
      </c>
      <c r="N13" s="39" t="n"/>
      <c r="O13" s="39" t="n"/>
      <c r="P13" s="33" t="inlineStr">
        <is>
          <t>BLOCKED</t>
        </is>
      </c>
    </row>
    <row r="14">
      <c r="A14" s="33" t="inlineStr">
        <is>
          <t>VKM-009</t>
        </is>
      </c>
      <c r="B14" s="33" t="inlineStr">
        <is>
          <t>Буррата с томатами</t>
        </is>
      </c>
      <c r="C14" s="33" t="inlineStr">
        <is>
          <t>INVSET-009</t>
        </is>
      </c>
      <c r="D14" s="33" t="inlineStr">
        <is>
          <t>Весы; маркированные ножи и доски; GN с крышками; миски; щипцы/ложки; гастроёмкости</t>
        </is>
      </c>
      <c r="E14" s="33" t="inlineStr">
        <is>
          <t>CLD-06;CLD-07;WSH-07;WSH-08</t>
        </is>
      </c>
      <c r="F14" s="39" t="n"/>
      <c r="G14" s="33" t="inlineStr">
        <is>
          <t>BLOCKED</t>
        </is>
      </c>
      <c r="H14" s="33" t="inlineStr">
        <is>
          <t>ESTIMATE</t>
        </is>
      </c>
      <c r="I14" s="33" t="inlineStr">
        <is>
          <t>EVD-0025;EVD-FS-003;EVD-FS-004</t>
        </is>
      </c>
      <c r="J14" s="33" t="inlineStr">
        <is>
          <t>GAP-009;GAP-021</t>
        </is>
      </c>
      <c r="K14" s="33" t="inlineStr">
        <is>
          <t>TWS-009</t>
        </is>
      </c>
      <c r="L14" s="33" t="inlineStr">
        <is>
          <t>Тарелка D=230 мм или D=260 мм; вилка; нож при необходимости</t>
        </is>
      </c>
      <c r="M14" s="33" t="inlineStr">
        <is>
          <t>03011456;03011857;03112213;03114123</t>
        </is>
      </c>
      <c r="N14" s="39" t="n"/>
      <c r="O14" s="39" t="n"/>
      <c r="P14" s="33" t="inlineStr">
        <is>
          <t>BLOCKED</t>
        </is>
      </c>
    </row>
    <row r="15">
      <c r="A15" s="33" t="inlineStr">
        <is>
          <t>VKM-010</t>
        </is>
      </c>
      <c r="B15" s="33" t="inlineStr">
        <is>
          <t>Микс-салат с креветками и яблоком</t>
        </is>
      </c>
      <c r="C15" s="33" t="inlineStr">
        <is>
          <t>INVSET-010</t>
        </is>
      </c>
      <c r="D15" s="33" t="inlineStr">
        <is>
          <t>Весы; маркированные ножи и доски; GN с крышками; миски; щипцы/ложки; гастроёмкости</t>
        </is>
      </c>
      <c r="E15" s="33" t="inlineStr">
        <is>
          <t>CLD-06;CLD-07;WSH-07;WSH-08</t>
        </is>
      </c>
      <c r="F15" s="39" t="n"/>
      <c r="G15" s="33" t="inlineStr">
        <is>
          <t>BLOCKED</t>
        </is>
      </c>
      <c r="H15" s="33" t="inlineStr">
        <is>
          <t>ESTIMATE</t>
        </is>
      </c>
      <c r="I15" s="33" t="inlineStr">
        <is>
          <t>EVD-0025;EVD-FS-003;EVD-FS-004</t>
        </is>
      </c>
      <c r="J15" s="33" t="inlineStr">
        <is>
          <t>GAP-009;GAP-021</t>
        </is>
      </c>
      <c r="K15" s="33" t="inlineStr">
        <is>
          <t>TWS-010</t>
        </is>
      </c>
      <c r="L15" s="33" t="inlineStr">
        <is>
          <t>Тарелка D=230 мм или D=260 мм; вилка; нож при необходимости</t>
        </is>
      </c>
      <c r="M15" s="33" t="inlineStr">
        <is>
          <t>03011456;03011857;03112213;03114123</t>
        </is>
      </c>
      <c r="N15" s="39" t="n"/>
      <c r="O15" s="39" t="n"/>
      <c r="P15" s="33" t="inlineStr">
        <is>
          <t>BLOCKED</t>
        </is>
      </c>
    </row>
    <row r="16">
      <c r="A16" s="33" t="inlineStr">
        <is>
          <t>VKM-011</t>
        </is>
      </c>
      <c r="B16" s="33" t="inlineStr">
        <is>
          <t>Греческий</t>
        </is>
      </c>
      <c r="C16" s="33" t="inlineStr">
        <is>
          <t>INVSET-011</t>
        </is>
      </c>
      <c r="D16" s="33" t="inlineStr">
        <is>
          <t>Весы; маркированные ножи и доски; GN с крышками; миски; щипцы/ложки; гастроёмкости</t>
        </is>
      </c>
      <c r="E16" s="33" t="inlineStr">
        <is>
          <t>CLD-06;CLD-07;WSH-07;WSH-08</t>
        </is>
      </c>
      <c r="F16" s="39" t="n"/>
      <c r="G16" s="33" t="inlineStr">
        <is>
          <t>BLOCKED</t>
        </is>
      </c>
      <c r="H16" s="33" t="inlineStr">
        <is>
          <t>ESTIMATE</t>
        </is>
      </c>
      <c r="I16" s="33" t="inlineStr">
        <is>
          <t>EVD-0025;EVD-FS-003;EVD-FS-004</t>
        </is>
      </c>
      <c r="J16" s="33" t="inlineStr">
        <is>
          <t>GAP-009;GAP-021</t>
        </is>
      </c>
      <c r="K16" s="33" t="inlineStr">
        <is>
          <t>TWS-011</t>
        </is>
      </c>
      <c r="L16" s="33" t="inlineStr">
        <is>
          <t>Тарелка D=230 мм или D=260 мм; вилка; нож при необходимости</t>
        </is>
      </c>
      <c r="M16" s="33" t="inlineStr">
        <is>
          <t>03011456;03011857;03112213;03114123</t>
        </is>
      </c>
      <c r="N16" s="39" t="n"/>
      <c r="O16" s="39" t="n"/>
      <c r="P16" s="33" t="inlineStr">
        <is>
          <t>BLOCKED</t>
        </is>
      </c>
    </row>
    <row r="17">
      <c r="A17" s="33" t="inlineStr">
        <is>
          <t>VKM-012</t>
        </is>
      </c>
      <c r="B17" s="33" t="inlineStr">
        <is>
          <t>Винегрет</t>
        </is>
      </c>
      <c r="C17" s="33" t="inlineStr">
        <is>
          <t>INVSET-012</t>
        </is>
      </c>
      <c r="D17" s="33" t="inlineStr">
        <is>
          <t>Весы; маркированные ножи и доски; GN с крышками; миски; щипцы/ложки; гастроёмкости</t>
        </is>
      </c>
      <c r="E17" s="33" t="inlineStr">
        <is>
          <t>CLD-06;CLD-07;WSH-07;WSH-08</t>
        </is>
      </c>
      <c r="F17" s="39" t="n"/>
      <c r="G17" s="33" t="inlineStr">
        <is>
          <t>BLOCKED</t>
        </is>
      </c>
      <c r="H17" s="33" t="inlineStr">
        <is>
          <t>ESTIMATE</t>
        </is>
      </c>
      <c r="I17" s="33" t="inlineStr">
        <is>
          <t>EVD-0025;EVD-FS-003;EVD-FS-004</t>
        </is>
      </c>
      <c r="J17" s="33" t="inlineStr">
        <is>
          <t>GAP-009;GAP-021</t>
        </is>
      </c>
      <c r="K17" s="33" t="inlineStr">
        <is>
          <t>TWS-012</t>
        </is>
      </c>
      <c r="L17" s="33" t="inlineStr">
        <is>
          <t>Тарелка D=230 мм или D=260 мм; вилка; нож при необходимости</t>
        </is>
      </c>
      <c r="M17" s="33" t="inlineStr">
        <is>
          <t>03011456;03011857;03112213;03114123</t>
        </is>
      </c>
      <c r="N17" s="39" t="n"/>
      <c r="O17" s="39" t="n"/>
      <c r="P17" s="33" t="inlineStr">
        <is>
          <t>BLOCKED</t>
        </is>
      </c>
    </row>
    <row r="18">
      <c r="A18" s="33" t="inlineStr">
        <is>
          <t>VKM-013</t>
        </is>
      </c>
      <c r="B18" s="33" t="inlineStr">
        <is>
          <t>Слабосолёный лосось</t>
        </is>
      </c>
      <c r="C18" s="33" t="inlineStr">
        <is>
          <t>INVSET-013</t>
        </is>
      </c>
      <c r="D18" s="33" t="inlineStr">
        <is>
          <t>Весы; маркированные ножи и доски; GN с крышками; миски; щипцы/ложки; гастроёмкости</t>
        </is>
      </c>
      <c r="E18" s="33" t="inlineStr">
        <is>
          <t>CLD-06;CLD-07;WSH-07;WSH-08</t>
        </is>
      </c>
      <c r="F18" s="39" t="n"/>
      <c r="G18" s="33" t="inlineStr">
        <is>
          <t>BLOCKED</t>
        </is>
      </c>
      <c r="H18" s="33" t="inlineStr">
        <is>
          <t>ESTIMATE</t>
        </is>
      </c>
      <c r="I18" s="33" t="inlineStr">
        <is>
          <t>EVD-0025;EVD-FS-003;EVD-FS-004</t>
        </is>
      </c>
      <c r="J18" s="33" t="inlineStr">
        <is>
          <t>GAP-009;GAP-021</t>
        </is>
      </c>
      <c r="K18" s="33" t="inlineStr">
        <is>
          <t>TWS-013</t>
        </is>
      </c>
      <c r="L18" s="33" t="inlineStr">
        <is>
          <t>Тарелка D=230 мм или D=260 мм; вилка; нож при необходимости</t>
        </is>
      </c>
      <c r="M18" s="33" t="inlineStr">
        <is>
          <t>03011456;03011857;03112213;03114123</t>
        </is>
      </c>
      <c r="N18" s="39" t="n"/>
      <c r="O18" s="39" t="n"/>
      <c r="P18" s="33" t="inlineStr">
        <is>
          <t>BLOCKED</t>
        </is>
      </c>
    </row>
    <row r="19">
      <c r="A19" s="33" t="inlineStr">
        <is>
          <t>VKM-014</t>
        </is>
      </c>
      <c r="B19" s="33" t="inlineStr">
        <is>
          <t>Сельдь с запечённым картофелем</t>
        </is>
      </c>
      <c r="C19" s="33" t="inlineStr">
        <is>
          <t>INVSET-014</t>
        </is>
      </c>
      <c r="D19" s="33" t="inlineStr">
        <is>
          <t>Весы; маркированные ножи и доски; GN с крышками; миски; щипцы/ложки; гастроёмкости</t>
        </is>
      </c>
      <c r="E19" s="33" t="inlineStr">
        <is>
          <t>CLD-06;CLD-07;WSH-07;WSH-08</t>
        </is>
      </c>
      <c r="F19" s="39" t="n"/>
      <c r="G19" s="33" t="inlineStr">
        <is>
          <t>BLOCKED</t>
        </is>
      </c>
      <c r="H19" s="33" t="inlineStr">
        <is>
          <t>ESTIMATE</t>
        </is>
      </c>
      <c r="I19" s="33" t="inlineStr">
        <is>
          <t>EVD-0025;EVD-FS-003;EVD-FS-004</t>
        </is>
      </c>
      <c r="J19" s="33" t="inlineStr">
        <is>
          <t>GAP-009;GAP-021</t>
        </is>
      </c>
      <c r="K19" s="33" t="inlineStr">
        <is>
          <t>TWS-014</t>
        </is>
      </c>
      <c r="L19" s="33" t="inlineStr">
        <is>
          <t>Тарелка D=230 мм или D=260 мм; вилка; нож при необходимости</t>
        </is>
      </c>
      <c r="M19" s="33" t="inlineStr">
        <is>
          <t>03011456;03011857;03112213;03114123</t>
        </is>
      </c>
      <c r="N19" s="39" t="n"/>
      <c r="O19" s="39" t="n"/>
      <c r="P19" s="33" t="inlineStr">
        <is>
          <t>BLOCKED</t>
        </is>
      </c>
    </row>
    <row r="20">
      <c r="A20" s="33" t="inlineStr">
        <is>
          <t>VKM-015</t>
        </is>
      </c>
      <c r="B20" s="33" t="inlineStr">
        <is>
          <t>Оливки и маслины</t>
        </is>
      </c>
      <c r="C20" s="33" t="inlineStr">
        <is>
          <t>INVSET-015</t>
        </is>
      </c>
      <c r="D20" s="33" t="inlineStr">
        <is>
          <t>Весы; маркированные ножи и доски; GN с крышками; миски; щипцы/ложки; гастроёмкости</t>
        </is>
      </c>
      <c r="E20" s="33" t="inlineStr">
        <is>
          <t>CLD-06;CLD-07;WSH-07;WSH-08</t>
        </is>
      </c>
      <c r="F20" s="39" t="n"/>
      <c r="G20" s="33" t="inlineStr">
        <is>
          <t>BLOCKED</t>
        </is>
      </c>
      <c r="H20" s="33" t="inlineStr">
        <is>
          <t>ESTIMATE</t>
        </is>
      </c>
      <c r="I20" s="33" t="inlineStr">
        <is>
          <t>EVD-0025;EVD-FS-003;EVD-FS-004</t>
        </is>
      </c>
      <c r="J20" s="33" t="inlineStr">
        <is>
          <t>GAP-009;GAP-021</t>
        </is>
      </c>
      <c r="K20" s="33" t="inlineStr">
        <is>
          <t>TWS-015</t>
        </is>
      </c>
      <c r="L20" s="33" t="inlineStr">
        <is>
          <t>Тарелка D=230 мм или D=260 мм; вилка; нож при необходимости</t>
        </is>
      </c>
      <c r="M20" s="33" t="inlineStr">
        <is>
          <t>03011456;03011857;03112213;03114123</t>
        </is>
      </c>
      <c r="N20" s="39" t="n"/>
      <c r="O20" s="39" t="n"/>
      <c r="P20" s="33" t="inlineStr">
        <is>
          <t>BLOCKED</t>
        </is>
      </c>
    </row>
    <row r="21">
      <c r="A21" s="33" t="inlineStr">
        <is>
          <t>VKM-016</t>
        </is>
      </c>
      <c r="B21" s="33" t="inlineStr">
        <is>
          <t>Ассорти фирменных солений</t>
        </is>
      </c>
      <c r="C21" s="33" t="inlineStr">
        <is>
          <t>INVSET-016</t>
        </is>
      </c>
      <c r="D21" s="33" t="inlineStr">
        <is>
          <t>Весы; маркированные ножи и доски; GN с крышками; миски; щипцы/ложки; гастроёмкости</t>
        </is>
      </c>
      <c r="E21" s="33" t="inlineStr">
        <is>
          <t>CLD-06;CLD-07;WSH-07;WSH-08</t>
        </is>
      </c>
      <c r="F21" s="39" t="n"/>
      <c r="G21" s="33" t="inlineStr">
        <is>
          <t>BLOCKED</t>
        </is>
      </c>
      <c r="H21" s="33" t="inlineStr">
        <is>
          <t>ESTIMATE</t>
        </is>
      </c>
      <c r="I21" s="33" t="inlineStr">
        <is>
          <t>EVD-0025;EVD-FS-003;EVD-FS-004</t>
        </is>
      </c>
      <c r="J21" s="33" t="inlineStr">
        <is>
          <t>GAP-009;GAP-021</t>
        </is>
      </c>
      <c r="K21" s="33" t="inlineStr">
        <is>
          <t>TWS-016</t>
        </is>
      </c>
      <c r="L21" s="33" t="inlineStr">
        <is>
          <t>Тарелка D=230 мм или D=260 мм; вилка; нож при необходимости</t>
        </is>
      </c>
      <c r="M21" s="33" t="inlineStr">
        <is>
          <t>03011456;03011857;03112213;03114123</t>
        </is>
      </c>
      <c r="N21" s="39" t="n"/>
      <c r="O21" s="39" t="n"/>
      <c r="P21" s="33" t="inlineStr">
        <is>
          <t>BLOCKED</t>
        </is>
      </c>
    </row>
    <row r="22">
      <c r="A22" s="33" t="inlineStr">
        <is>
          <t>VKM-017</t>
        </is>
      </c>
      <c r="B22" s="33" t="inlineStr">
        <is>
          <t>Ростбиф с луком и гренкой</t>
        </is>
      </c>
      <c r="C22" s="33" t="inlineStr">
        <is>
          <t>INVSET-017</t>
        </is>
      </c>
      <c r="D22" s="33" t="inlineStr">
        <is>
          <t>Весы; маркированные ножи и доски; GN с крышками; миски; щипцы/ложки; гастроёмкости</t>
        </is>
      </c>
      <c r="E22" s="33" t="inlineStr">
        <is>
          <t>CLD-06;CLD-07;WSH-07;WSH-08</t>
        </is>
      </c>
      <c r="F22" s="39" t="n"/>
      <c r="G22" s="33" t="inlineStr">
        <is>
          <t>BLOCKED</t>
        </is>
      </c>
      <c r="H22" s="33" t="inlineStr">
        <is>
          <t>ESTIMATE</t>
        </is>
      </c>
      <c r="I22" s="33" t="inlineStr">
        <is>
          <t>EVD-0025;EVD-FS-003;EVD-FS-004</t>
        </is>
      </c>
      <c r="J22" s="33" t="inlineStr">
        <is>
          <t>GAP-009;GAP-021</t>
        </is>
      </c>
      <c r="K22" s="33" t="inlineStr">
        <is>
          <t>TWS-017</t>
        </is>
      </c>
      <c r="L22" s="33" t="inlineStr">
        <is>
          <t>Тарелка D=230 мм или D=260 мм; вилка; нож при необходимости</t>
        </is>
      </c>
      <c r="M22" s="33" t="inlineStr">
        <is>
          <t>03011456;03011857;03112213;03114123</t>
        </is>
      </c>
      <c r="N22" s="39" t="n"/>
      <c r="O22" s="39" t="n"/>
      <c r="P22" s="33" t="inlineStr">
        <is>
          <t>BLOCKED</t>
        </is>
      </c>
    </row>
    <row r="23">
      <c r="A23" s="33" t="inlineStr">
        <is>
          <t>VKM-018</t>
        </is>
      </c>
      <c r="B23" s="33" t="inlineStr">
        <is>
          <t>Традиционный красный борщ</t>
        </is>
      </c>
      <c r="C23" s="33" t="inlineStr">
        <is>
          <t>INVSET-018</t>
        </is>
      </c>
      <c r="D23" s="33" t="inlineStr">
        <is>
          <t>Весы; маркированные ножи и доски; кастрюли; сотейник; половник; GN; термощуп после утверждения ППК</t>
        </is>
      </c>
      <c r="E23" s="33" t="inlineStr">
        <is>
          <t>HOT-13;CLD-07;WSH-07;WSH-08</t>
        </is>
      </c>
      <c r="F23" s="39" t="n"/>
      <c r="G23" s="33" t="inlineStr">
        <is>
          <t>BLOCKED</t>
        </is>
      </c>
      <c r="H23" s="33" t="inlineStr">
        <is>
          <t>ESTIMATE</t>
        </is>
      </c>
      <c r="I23" s="33" t="inlineStr">
        <is>
          <t>EVD-0025;EVD-FS-003;EVD-FS-004</t>
        </is>
      </c>
      <c r="J23" s="33" t="inlineStr">
        <is>
          <t>GAP-009;GAP-021</t>
        </is>
      </c>
      <c r="K23" s="33" t="inlineStr">
        <is>
          <t>TWS-018</t>
        </is>
      </c>
      <c r="L23" s="33" t="inlineStr">
        <is>
          <t>Тарелка глубокая 400 мл; ложка столовая; подстановочная тарелка по решению сервиса</t>
        </is>
      </c>
      <c r="M23" s="33" t="inlineStr">
        <is>
          <t>03010981;03110167</t>
        </is>
      </c>
      <c r="N23" s="39" t="n"/>
      <c r="O23" s="39" t="n"/>
      <c r="P23" s="33" t="inlineStr">
        <is>
          <t>BLOCKED</t>
        </is>
      </c>
    </row>
    <row r="24">
      <c r="A24" s="33" t="inlineStr">
        <is>
          <t>VKM-019</t>
        </is>
      </c>
      <c r="B24" s="33" t="inlineStr">
        <is>
          <t>Мурманская треска со сливочно-горчичным соусом</t>
        </is>
      </c>
      <c r="C24" s="33" t="inlineStr">
        <is>
          <t>INVSET-019</t>
        </is>
      </c>
      <c r="D24" s="33" t="inlineStr">
        <is>
          <t>Весы; маркированные ножи и доски; щипцы; сковороды/ёмкости GN; сотейник; лопатка; термощуп после утверждения ППК</t>
        </is>
      </c>
      <c r="E24" s="33" t="inlineStr">
        <is>
          <t>HOT-13;CLD-07;WSH-07;WSH-08</t>
        </is>
      </c>
      <c r="F24" s="39" t="n"/>
      <c r="G24" s="33" t="inlineStr">
        <is>
          <t>BLOCKED</t>
        </is>
      </c>
      <c r="H24" s="33" t="inlineStr">
        <is>
          <t>ESTIMATE</t>
        </is>
      </c>
      <c r="I24" s="33" t="inlineStr">
        <is>
          <t>EVD-0025;EVD-FS-003;EVD-FS-004</t>
        </is>
      </c>
      <c r="J24" s="33" t="inlineStr">
        <is>
          <t>GAP-009;GAP-021</t>
        </is>
      </c>
      <c r="K24" s="33" t="inlineStr">
        <is>
          <t>TWS-019</t>
        </is>
      </c>
      <c r="L24" s="33" t="inlineStr">
        <is>
          <t>Тарелка D=260 мм; вилка; нож или ложка по характеру блюда</t>
        </is>
      </c>
      <c r="M24" s="33" t="inlineStr">
        <is>
          <t>03011857;03112213;03114123;03110167</t>
        </is>
      </c>
      <c r="N24" s="39" t="n"/>
      <c r="O24" s="39" t="n"/>
      <c r="P24" s="33" t="inlineStr">
        <is>
          <t>BLOCKED</t>
        </is>
      </c>
    </row>
    <row r="25">
      <c r="A25" s="33" t="inlineStr">
        <is>
          <t>VKM-020</t>
        </is>
      </c>
      <c r="B25" s="33" t="inlineStr">
        <is>
          <t>Креветки по-тайски</t>
        </is>
      </c>
      <c r="C25" s="33" t="inlineStr">
        <is>
          <t>INVSET-020</t>
        </is>
      </c>
      <c r="D25" s="33" t="inlineStr">
        <is>
          <t>Весы; маркированные ножи и доски; щипцы; сковороды/ёмкости GN; сотейник; лопатка; термощуп после утверждения ППК</t>
        </is>
      </c>
      <c r="E25" s="33" t="inlineStr">
        <is>
          <t>HOT-13;CLD-07;WSH-07;WSH-08</t>
        </is>
      </c>
      <c r="F25" s="39" t="n"/>
      <c r="G25" s="33" t="inlineStr">
        <is>
          <t>BLOCKED</t>
        </is>
      </c>
      <c r="H25" s="33" t="inlineStr">
        <is>
          <t>ESTIMATE</t>
        </is>
      </c>
      <c r="I25" s="33" t="inlineStr">
        <is>
          <t>EVD-0025;EVD-FS-003;EVD-FS-004</t>
        </is>
      </c>
      <c r="J25" s="33" t="inlineStr">
        <is>
          <t>GAP-009;GAP-021</t>
        </is>
      </c>
      <c r="K25" s="33" t="inlineStr">
        <is>
          <t>TWS-020</t>
        </is>
      </c>
      <c r="L25" s="33" t="inlineStr">
        <is>
          <t>Тарелка D=260 мм; вилка; нож или ложка по характеру блюда</t>
        </is>
      </c>
      <c r="M25" s="33" t="inlineStr">
        <is>
          <t>03011857;03112213;03114123;03110167</t>
        </is>
      </c>
      <c r="N25" s="39" t="n"/>
      <c r="O25" s="39" t="n"/>
      <c r="P25" s="33" t="inlineStr">
        <is>
          <t>BLOCKED</t>
        </is>
      </c>
    </row>
    <row r="26">
      <c r="A26" s="33" t="inlineStr">
        <is>
          <t>VKM-021</t>
        </is>
      </c>
      <c r="B26" s="33" t="inlineStr">
        <is>
          <t>Бургер VARSHAVKA</t>
        </is>
      </c>
      <c r="C26" s="33" t="inlineStr">
        <is>
          <t>INVSET-021</t>
        </is>
      </c>
      <c r="D26" s="33" t="inlineStr">
        <is>
          <t>Весы; маркированные ножи и доски; щипцы; сковороды/ёмкости GN; сотейник; лопатка; термощуп после утверждения ППК</t>
        </is>
      </c>
      <c r="E26" s="33" t="inlineStr">
        <is>
          <t>HOT-13;CLD-07;WSH-07;WSH-08</t>
        </is>
      </c>
      <c r="F26" s="39" t="n"/>
      <c r="G26" s="33" t="inlineStr">
        <is>
          <t>BLOCKED</t>
        </is>
      </c>
      <c r="H26" s="33" t="inlineStr">
        <is>
          <t>ESTIMATE</t>
        </is>
      </c>
      <c r="I26" s="33" t="inlineStr">
        <is>
          <t>EVD-0025;EVD-FS-003;EVD-FS-004</t>
        </is>
      </c>
      <c r="J26" s="33" t="inlineStr">
        <is>
          <t>GAP-009;GAP-021</t>
        </is>
      </c>
      <c r="K26" s="33" t="inlineStr">
        <is>
          <t>TWS-021</t>
        </is>
      </c>
      <c r="L26" s="33" t="inlineStr">
        <is>
          <t>Тарелка D=260 мм; вилка; нож или ложка по характеру блюда</t>
        </is>
      </c>
      <c r="M26" s="33" t="inlineStr">
        <is>
          <t>03011857;03112213;03114123;03110167</t>
        </is>
      </c>
      <c r="N26" s="39" t="n"/>
      <c r="O26" s="39" t="n"/>
      <c r="P26" s="33" t="inlineStr">
        <is>
          <t>BLOCKED</t>
        </is>
      </c>
    </row>
    <row r="27">
      <c r="A27" s="33" t="inlineStr">
        <is>
          <t>VKM-022</t>
        </is>
      </c>
      <c r="B27" s="33" t="inlineStr">
        <is>
          <t>Миньоны из говяжьей вырезки</t>
        </is>
      </c>
      <c r="C27" s="33" t="inlineStr">
        <is>
          <t>INVSET-022</t>
        </is>
      </c>
      <c r="D27" s="33" t="inlineStr">
        <is>
          <t>Весы; маркированные ножи и доски; щипцы; сковороды/ёмкости GN; сотейник; лопатка; термощуп после утверждения ППК</t>
        </is>
      </c>
      <c r="E27" s="33" t="inlineStr">
        <is>
          <t>HOT-13;CLD-07;WSH-07;WSH-08</t>
        </is>
      </c>
      <c r="F27" s="39" t="n"/>
      <c r="G27" s="33" t="inlineStr">
        <is>
          <t>BLOCKED</t>
        </is>
      </c>
      <c r="H27" s="33" t="inlineStr">
        <is>
          <t>ESTIMATE</t>
        </is>
      </c>
      <c r="I27" s="33" t="inlineStr">
        <is>
          <t>EVD-0025;EVD-FS-003;EVD-FS-004</t>
        </is>
      </c>
      <c r="J27" s="33" t="inlineStr">
        <is>
          <t>GAP-009;GAP-021</t>
        </is>
      </c>
      <c r="K27" s="33" t="inlineStr">
        <is>
          <t>TWS-022</t>
        </is>
      </c>
      <c r="L27" s="33" t="inlineStr">
        <is>
          <t>Тарелка D=260 мм; вилка; нож или ложка по характеру блюда</t>
        </is>
      </c>
      <c r="M27" s="33" t="inlineStr">
        <is>
          <t>03011857;03112213;03114123;03110167</t>
        </is>
      </c>
      <c r="N27" s="39" t="n"/>
      <c r="O27" s="39" t="n"/>
      <c r="P27" s="33" t="inlineStr">
        <is>
          <t>BLOCKED</t>
        </is>
      </c>
    </row>
    <row r="28">
      <c r="A28" s="33" t="inlineStr">
        <is>
          <t>VKM-023</t>
        </is>
      </c>
      <c r="B28" s="33" t="inlineStr">
        <is>
          <t>Запечённый картофель</t>
        </is>
      </c>
      <c r="C28" s="33" t="inlineStr">
        <is>
          <t>INVSET-023</t>
        </is>
      </c>
      <c r="D28" s="33" t="inlineStr">
        <is>
          <t>Весы; ножи и доски; GN/противни; кастрюля/чаша; лопатка/ложка; порционный инвентарь</t>
        </is>
      </c>
      <c r="E28" s="33" t="inlineStr">
        <is>
          <t>HOT-13;CLD-07;WSH-07;WSH-08</t>
        </is>
      </c>
      <c r="F28" s="39" t="n"/>
      <c r="G28" s="33" t="inlineStr">
        <is>
          <t>BLOCKED</t>
        </is>
      </c>
      <c r="H28" s="33" t="inlineStr">
        <is>
          <t>ESTIMATE</t>
        </is>
      </c>
      <c r="I28" s="33" t="inlineStr">
        <is>
          <t>EVD-0025;EVD-FS-003;EVD-FS-004</t>
        </is>
      </c>
      <c r="J28" s="33" t="inlineStr">
        <is>
          <t>GAP-009;GAP-021</t>
        </is>
      </c>
      <c r="K28" s="33" t="inlineStr">
        <is>
          <t>TWS-023</t>
        </is>
      </c>
      <c r="L28" s="33" t="inlineStr">
        <is>
          <t>Тарелка D=260 мм; вилка; нож или ложка по характеру блюда</t>
        </is>
      </c>
      <c r="M28" s="33" t="inlineStr">
        <is>
          <t>03011857;03112213;03114123;03110167</t>
        </is>
      </c>
      <c r="N28" s="39" t="n"/>
      <c r="O28" s="39" t="n"/>
      <c r="P28" s="33" t="inlineStr">
        <is>
          <t>BLOCKED</t>
        </is>
      </c>
    </row>
    <row r="29">
      <c r="A29" s="33" t="inlineStr">
        <is>
          <t>VKM-024</t>
        </is>
      </c>
      <c r="B29" s="33" t="inlineStr">
        <is>
          <t>Рис жасмин</t>
        </is>
      </c>
      <c r="C29" s="33" t="inlineStr">
        <is>
          <t>INVSET-024</t>
        </is>
      </c>
      <c r="D29" s="33" t="inlineStr">
        <is>
          <t>Весы; ножи и доски; GN/противни; кастрюля/чаша; лопатка/ложка; порционный инвентарь</t>
        </is>
      </c>
      <c r="E29" s="33" t="inlineStr">
        <is>
          <t>HOT-13;CLD-07;WSH-07;WSH-08</t>
        </is>
      </c>
      <c r="F29" s="39" t="n"/>
      <c r="G29" s="33" t="inlineStr">
        <is>
          <t>BLOCKED</t>
        </is>
      </c>
      <c r="H29" s="33" t="inlineStr">
        <is>
          <t>ESTIMATE</t>
        </is>
      </c>
      <c r="I29" s="33" t="inlineStr">
        <is>
          <t>EVD-0025;EVD-FS-003;EVD-FS-004</t>
        </is>
      </c>
      <c r="J29" s="33" t="inlineStr">
        <is>
          <t>GAP-009;GAP-021</t>
        </is>
      </c>
      <c r="K29" s="33" t="inlineStr">
        <is>
          <t>TWS-024</t>
        </is>
      </c>
      <c r="L29" s="33" t="inlineStr">
        <is>
          <t>Тарелка D=260 мм; вилка; нож или ложка по характеру блюда</t>
        </is>
      </c>
      <c r="M29" s="33" t="inlineStr">
        <is>
          <t>03011857;03112213;03114123;03110167</t>
        </is>
      </c>
      <c r="N29" s="39" t="n"/>
      <c r="O29" s="39" t="n"/>
      <c r="P29" s="33" t="inlineStr">
        <is>
          <t>BLOCKED</t>
        </is>
      </c>
    </row>
    <row r="30">
      <c r="A30" s="33" t="inlineStr">
        <is>
          <t>VKM-025</t>
        </is>
      </c>
      <c r="B30" s="33" t="inlineStr">
        <is>
          <t>Горячие овощи</t>
        </is>
      </c>
      <c r="C30" s="33" t="inlineStr">
        <is>
          <t>INVSET-025</t>
        </is>
      </c>
      <c r="D30" s="33" t="inlineStr">
        <is>
          <t>Весы; ножи и доски; GN/противни; кастрюля/чаша; лопатка/ложка; порционный инвентарь</t>
        </is>
      </c>
      <c r="E30" s="33" t="inlineStr">
        <is>
          <t>HOT-13;CLD-07;WSH-07;WSH-08</t>
        </is>
      </c>
      <c r="F30" s="39" t="n"/>
      <c r="G30" s="33" t="inlineStr">
        <is>
          <t>BLOCKED</t>
        </is>
      </c>
      <c r="H30" s="33" t="inlineStr">
        <is>
          <t>ESTIMATE</t>
        </is>
      </c>
      <c r="I30" s="33" t="inlineStr">
        <is>
          <t>EVD-0025;EVD-FS-003;EVD-FS-004</t>
        </is>
      </c>
      <c r="J30" s="33" t="inlineStr">
        <is>
          <t>GAP-009;GAP-021</t>
        </is>
      </c>
      <c r="K30" s="33" t="inlineStr">
        <is>
          <t>TWS-025</t>
        </is>
      </c>
      <c r="L30" s="33" t="inlineStr">
        <is>
          <t>Тарелка D=260 мм; вилка; нож или ложка по характеру блюда</t>
        </is>
      </c>
      <c r="M30" s="33" t="inlineStr">
        <is>
          <t>03011857;03112213;03114123;03110167</t>
        </is>
      </c>
      <c r="N30" s="39" t="n"/>
      <c r="O30" s="39" t="n"/>
      <c r="P30" s="33" t="inlineStr">
        <is>
          <t>BLOCKED</t>
        </is>
      </c>
    </row>
    <row r="31">
      <c r="A31" s="33" t="inlineStr">
        <is>
          <t>VKM-029</t>
        </is>
      </c>
      <c r="B31" s="33" t="inlineStr">
        <is>
          <t>Черничный торт VARSHAVKA</t>
        </is>
      </c>
      <c r="C31" s="33" t="inlineStr">
        <is>
          <t>INVSET-026</t>
        </is>
      </c>
      <c r="D31" s="33" t="inlineStr">
        <is>
          <t>Весы; дежа; венчик/лопатка; формы; противни; решётки; шпатели; нож порционный</t>
        </is>
      </c>
      <c r="E31" s="33" t="inlineStr">
        <is>
          <t>BAK-04;BAK-06;BAK-07;WSH-07;WSH-08</t>
        </is>
      </c>
      <c r="F31" s="39" t="n"/>
      <c r="G31" s="33" t="inlineStr">
        <is>
          <t>BLOCKED</t>
        </is>
      </c>
      <c r="H31" s="33" t="inlineStr">
        <is>
          <t>ESTIMATE</t>
        </is>
      </c>
      <c r="I31" s="33" t="inlineStr">
        <is>
          <t>EVD-0025;EVD-FS-003;EVD-FS-004</t>
        </is>
      </c>
      <c r="J31" s="33" t="inlineStr">
        <is>
          <t>GAP-009;GAP-021</t>
        </is>
      </c>
      <c r="K31" s="33" t="inlineStr">
        <is>
          <t>TWS-026</t>
        </is>
      </c>
      <c r="L31" s="33" t="inlineStr">
        <is>
          <t>Тарелка D=175 мм или D=230 мм; десертная вилка/ложка — отдельный SKU не подтверждён</t>
        </is>
      </c>
      <c r="M31" s="33" t="inlineStr">
        <is>
          <t>03010413;03011456</t>
        </is>
      </c>
      <c r="N31" s="39" t="n"/>
      <c r="O31" s="39" t="n"/>
      <c r="P31" s="33" t="inlineStr">
        <is>
          <t>BLOCKED</t>
        </is>
      </c>
    </row>
    <row r="32">
      <c r="A32" s="33" t="inlineStr">
        <is>
          <t>VKM-030</t>
        </is>
      </c>
      <c r="B32" s="33" t="inlineStr">
        <is>
          <t>Кростата с солёной карамелью</t>
        </is>
      </c>
      <c r="C32" s="33" t="inlineStr">
        <is>
          <t>INVSET-027</t>
        </is>
      </c>
      <c r="D32" s="33" t="inlineStr">
        <is>
          <t>Весы; дежа; венчик/лопатка; формы; противни; решётки; шпатели; нож порционный</t>
        </is>
      </c>
      <c r="E32" s="33" t="inlineStr">
        <is>
          <t>BAK-04;BAK-06;BAK-07;WSH-07;WSH-08</t>
        </is>
      </c>
      <c r="F32" s="39" t="n"/>
      <c r="G32" s="33" t="inlineStr">
        <is>
          <t>BLOCKED</t>
        </is>
      </c>
      <c r="H32" s="33" t="inlineStr">
        <is>
          <t>ESTIMATE</t>
        </is>
      </c>
      <c r="I32" s="33" t="inlineStr">
        <is>
          <t>EVD-0025;EVD-FS-003;EVD-FS-004</t>
        </is>
      </c>
      <c r="J32" s="33" t="inlineStr">
        <is>
          <t>GAP-009;GAP-021</t>
        </is>
      </c>
      <c r="K32" s="33" t="inlineStr">
        <is>
          <t>TWS-027</t>
        </is>
      </c>
      <c r="L32" s="33" t="inlineStr">
        <is>
          <t>Тарелка D=175 мм или D=230 мм; десертная вилка/ложка — отдельный SKU не подтверждён</t>
        </is>
      </c>
      <c r="M32" s="33" t="inlineStr">
        <is>
          <t>03010413;03011456</t>
        </is>
      </c>
      <c r="N32" s="39" t="n"/>
      <c r="O32" s="39" t="n"/>
      <c r="P32" s="33" t="inlineStr">
        <is>
          <t>BLOCKED</t>
        </is>
      </c>
    </row>
    <row r="33">
      <c r="A33" s="33" t="inlineStr">
        <is>
          <t>VKM-031</t>
        </is>
      </c>
      <c r="B33" s="33" t="inlineStr">
        <is>
          <t>Мадлен</t>
        </is>
      </c>
      <c r="C33" s="33" t="inlineStr">
        <is>
          <t>INVSET-028</t>
        </is>
      </c>
      <c r="D33" s="33" t="inlineStr">
        <is>
          <t>Весы; дежа; венчик/лопатка; формы; противни; решётки; шпатели; нож порционный</t>
        </is>
      </c>
      <c r="E33" s="33" t="inlineStr">
        <is>
          <t>BAK-04;BAK-06;BAK-07;WSH-07;WSH-08</t>
        </is>
      </c>
      <c r="F33" s="39" t="n"/>
      <c r="G33" s="33" t="inlineStr">
        <is>
          <t>BLOCKED</t>
        </is>
      </c>
      <c r="H33" s="33" t="inlineStr">
        <is>
          <t>ESTIMATE</t>
        </is>
      </c>
      <c r="I33" s="33" t="inlineStr">
        <is>
          <t>EVD-0025;EVD-FS-003;EVD-FS-004</t>
        </is>
      </c>
      <c r="J33" s="33" t="inlineStr">
        <is>
          <t>GAP-009;GAP-021</t>
        </is>
      </c>
      <c r="K33" s="33" t="inlineStr">
        <is>
          <t>TWS-028</t>
        </is>
      </c>
      <c r="L33" s="33" t="inlineStr">
        <is>
          <t>Тарелка D=175 мм или D=230 мм; десертная вилка/ложка — отдельный SKU не подтверждён</t>
        </is>
      </c>
      <c r="M33" s="33" t="inlineStr">
        <is>
          <t>03010413;03011456</t>
        </is>
      </c>
      <c r="N33" s="39" t="n"/>
      <c r="O33" s="39" t="n"/>
      <c r="P33" s="33" t="inlineStr">
        <is>
          <t>BLOCKED</t>
        </is>
      </c>
    </row>
  </sheetData>
  <mergeCells count="2">
    <mergeCell ref="A1:P1"/>
    <mergeCell ref="A2:P2"/>
  </mergeCells>
  <conditionalFormatting sqref="G6:H33">
    <cfRule type="containsText" priority="1" operator="containsText" dxfId="0" text="BLOCK"/>
    <cfRule type="containsText" priority="2" operator="containsText" dxfId="1" text="PASS"/>
  </conditionalFormatting>
  <conditionalFormatting sqref="P6:P33">
    <cfRule type="containsText" priority="3" operator="containsText" dxfId="0" text="BLOCK"/>
    <cfRule type="containsText" priority="4" operator="containsText" dxfId="1" text="PASS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3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7" customWidth="1" min="3" max="3"/>
    <col width="20" customWidth="1" min="4" max="4"/>
    <col width="42" customWidth="1" min="5" max="5"/>
    <col width="13" customWidth="1" min="6" max="6"/>
    <col width="14" customWidth="1" min="7" max="7"/>
    <col width="13" customWidth="1" min="8" max="8"/>
    <col width="16" customWidth="1" min="9" max="9"/>
    <col width="42" customWidth="1" min="10" max="10"/>
    <col width="42" customWidth="1" min="11" max="11"/>
    <col width="24" customWidth="1" min="12" max="12"/>
    <col width="11" customWidth="1" min="13" max="13"/>
    <col width="38" customWidth="1" min="14" max="14"/>
    <col width="32" customWidth="1" min="15" max="15"/>
    <col width="28" customWidth="1" min="16" max="16"/>
    <col width="30" customWidth="1" min="17" max="17"/>
    <col width="55" customWidth="1" min="18" max="18"/>
    <col width="60" customWidth="1" min="19" max="19"/>
  </cols>
  <sheetData>
    <row r="1" ht="30" customHeight="1">
      <c r="A1" s="27" t="inlineStr">
        <is>
          <t>10 — Аллергены и безопасность</t>
        </is>
      </c>
    </row>
    <row r="2" ht="27" customHeight="1">
      <c r="A2" s="29" t="inlineStr">
        <is>
          <t>HOF-0012 version-lock. 28/28 veto BLOCK; 112 unsupported numeric limits remain null; UNKNOWN_NOT_ABSENT is never absence.</t>
        </is>
      </c>
    </row>
    <row r="3">
      <c r="A3" s="28" t="n"/>
      <c r="B3" s="28" t="n"/>
      <c r="C3" s="28" t="n"/>
      <c r="D3" s="28" t="n"/>
      <c r="E3" s="28" t="n"/>
      <c r="F3" s="28" t="n"/>
      <c r="G3" s="28" t="n"/>
      <c r="H3" s="28" t="n"/>
      <c r="I3" s="28" t="n"/>
      <c r="J3" s="28" t="n"/>
      <c r="K3" s="28" t="n"/>
      <c r="L3" s="28" t="n"/>
      <c r="M3" s="28" t="n"/>
      <c r="N3" s="28" t="n"/>
      <c r="O3" s="28" t="n"/>
      <c r="P3" s="28" t="n"/>
      <c r="Q3" s="28" t="n"/>
      <c r="R3" s="28" t="n"/>
      <c r="S3" s="28" t="n"/>
    </row>
    <row r="4">
      <c r="A4" s="28" t="n"/>
      <c r="B4" s="28" t="n"/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  <c r="P4" s="28" t="n"/>
      <c r="Q4" s="28" t="n"/>
      <c r="R4" s="28" t="n"/>
      <c r="S4" s="28" t="n"/>
    </row>
    <row r="5" ht="34" customHeight="1">
      <c r="A5" s="32" t="inlineStr">
        <is>
          <t>Safety card</t>
        </is>
      </c>
      <c r="B5" s="32" t="inlineStr">
        <is>
          <t>Dish ID</t>
        </is>
      </c>
      <c r="C5" s="32" t="inlineStr">
        <is>
          <t>Блюдо</t>
        </is>
      </c>
      <c r="D5" s="32" t="inlineStr">
        <is>
          <t>Source recipe version</t>
        </is>
      </c>
      <c r="E5" s="32" t="inlineStr">
        <is>
          <t>Recipe blob</t>
        </is>
      </c>
      <c r="F5" s="32" t="inlineStr">
        <is>
          <t>Temp limit</t>
        </is>
      </c>
      <c r="G5" s="32" t="inlineStr">
        <is>
          <t>Cooling limit</t>
        </is>
      </c>
      <c r="H5" s="32" t="inlineStr">
        <is>
          <t>Reheat limit</t>
        </is>
      </c>
      <c r="I5" s="32" t="inlineStr">
        <is>
          <t>Shelf life</t>
        </is>
      </c>
      <c r="J5" s="32" t="inlineStr">
        <is>
          <t>Cooling applicability</t>
        </is>
      </c>
      <c r="K5" s="32" t="inlineStr">
        <is>
          <t>Reheat applicability</t>
        </is>
      </c>
      <c r="L5" s="32" t="inlineStr">
        <is>
          <t>Status</t>
        </is>
      </c>
      <c r="M5" s="32" t="inlineStr">
        <is>
          <t>Veto</t>
        </is>
      </c>
      <c r="N5" s="32" t="inlineStr">
        <is>
          <t>Allergens draft</t>
        </is>
      </c>
      <c r="O5" s="32" t="inlineStr">
        <is>
          <t>Cross contact</t>
        </is>
      </c>
      <c r="P5" s="32" t="inlineStr">
        <is>
          <t>Matrix status</t>
        </is>
      </c>
      <c r="Q5" s="32" t="inlineStr">
        <is>
          <t>Evidence</t>
        </is>
      </c>
      <c r="R5" s="32" t="inlineStr">
        <is>
          <t>Veto reason</t>
        </is>
      </c>
      <c r="S5" s="32" t="inlineStr">
        <is>
          <t>Unblock condition</t>
        </is>
      </c>
    </row>
    <row r="6">
      <c r="A6" s="33" t="inlineStr">
        <is>
          <t>FSC-001</t>
        </is>
      </c>
      <c r="B6" s="33" t="inlineStr">
        <is>
          <t>VKM-001</t>
        </is>
      </c>
      <c r="C6" s="33" t="inlineStr">
        <is>
          <t>Маргарита</t>
        </is>
      </c>
      <c r="D6" s="33" t="inlineStr">
        <is>
          <t>0.1.0-DRAFT</t>
        </is>
      </c>
      <c r="E6" s="33" t="inlineStr">
        <is>
          <t>c6b22ad5f2812cc989a0d3593f40e21207da8f53</t>
        </is>
      </c>
      <c r="F6" s="39" t="n"/>
      <c r="G6" s="39" t="n"/>
      <c r="H6" s="39" t="n"/>
      <c r="I6" s="39" t="n"/>
      <c r="J6" s="33" t="inlineStr">
        <is>
          <t>CONDITIONAL: applies if any component is prepared in advance; cooling route and limit require validation</t>
        </is>
      </c>
      <c r="K6" s="33" t="inlineStr">
        <is>
          <t>CONDITIONAL: applies only to an approved make-ahead route; reheating route and limit require validation</t>
        </is>
      </c>
      <c r="L6" s="33" t="inlineStr">
        <is>
          <t>BLOCKED_PENDING_VALIDATION</t>
        </is>
      </c>
      <c r="M6" s="33" t="inlineStr">
        <is>
          <t>BLOCK</t>
        </is>
      </c>
      <c r="N6" s="33" t="inlineStr">
        <is>
          <t>GLUTEN;MILK — DRAFT_NAME_BASED; not final until recipe and SKU labels</t>
        </is>
      </c>
      <c r="O6" s="33" t="inlineStr">
        <is>
          <t>UNKNOWN_PENDING_SITE_FLOW_AND_EQUIPMENT_MAP</t>
        </is>
      </c>
      <c r="P6" s="33" t="inlineStr">
        <is>
          <t>DRAFT_BLOCKED_PENDING_VALIDATION</t>
        </is>
      </c>
      <c r="Q6" s="33" t="inlineStr">
        <is>
          <t>EVD-0003;EVD-0012;EVD-0013;EVD-0014;EVD-0015;EVD-FS-001;EVD-FS-002;EVD-FS-003</t>
        </is>
      </c>
      <c r="R6" s="33" t="inlineStr">
        <is>
          <t>Current DRAFT recipe is version-locked for review, but Chef acceptance, SKU allergen dossier, validated dish-specific limits, shelf life and site HACCP/PPK release record are absent</t>
        </is>
      </c>
      <c r="S6" s="33" t="inlineStr">
        <is>
          <t>Exact accepted recipe/VSF version + complete SKU/lot dossier + approved site flow/HACCP/PPK record + measured validation of every applicable process/cooling/reheating/storage limit + approved traceability/allergen communication; FoodSafetyAgent re-review required</t>
        </is>
      </c>
    </row>
    <row r="7">
      <c r="A7" s="33" t="inlineStr">
        <is>
          <t>FSC-002</t>
        </is>
      </c>
      <c r="B7" s="33" t="inlineStr">
        <is>
          <t>VKM-002</t>
        </is>
      </c>
      <c r="C7" s="33" t="inlineStr">
        <is>
          <t>Четыре сыра</t>
        </is>
      </c>
      <c r="D7" s="33" t="inlineStr">
        <is>
          <t>0.1.0-DRAFT</t>
        </is>
      </c>
      <c r="E7" s="33" t="inlineStr">
        <is>
          <t>c6b22ad5f2812cc989a0d3593f40e21207da8f53</t>
        </is>
      </c>
      <c r="F7" s="39" t="n"/>
      <c r="G7" s="39" t="n"/>
      <c r="H7" s="39" t="n"/>
      <c r="I7" s="39" t="n"/>
      <c r="J7" s="33" t="inlineStr">
        <is>
          <t>CONDITIONAL: applies if any component is prepared in advance; cooling route and limit require validation</t>
        </is>
      </c>
      <c r="K7" s="33" t="inlineStr">
        <is>
          <t>CONDITIONAL: applies only to an approved make-ahead route; reheating route and limit require validation</t>
        </is>
      </c>
      <c r="L7" s="33" t="inlineStr">
        <is>
          <t>BLOCKED_PENDING_VALIDATION</t>
        </is>
      </c>
      <c r="M7" s="33" t="inlineStr">
        <is>
          <t>BLOCK</t>
        </is>
      </c>
      <c r="N7" s="33" t="inlineStr">
        <is>
          <t>GLUTEN;MILK — DRAFT_NAME_BASED; not final until recipe and SKU labels</t>
        </is>
      </c>
      <c r="O7" s="33" t="inlineStr">
        <is>
          <t>UNKNOWN_PENDING_SITE_FLOW_AND_EQUIPMENT_MAP</t>
        </is>
      </c>
      <c r="P7" s="33" t="inlineStr">
        <is>
          <t>DRAFT_BLOCKED_PENDING_VALIDATION</t>
        </is>
      </c>
      <c r="Q7" s="33" t="inlineStr">
        <is>
          <t>EVD-0003;EVD-0012;EVD-0013;EVD-0014;EVD-0015;EVD-FS-001;EVD-FS-002;EVD-FS-003</t>
        </is>
      </c>
      <c r="R7" s="33" t="inlineStr">
        <is>
          <t>Current DRAFT recipe is version-locked for review, but Chef acceptance, SKU allergen dossier, validated dish-specific limits, shelf life and site HACCP/PPK release record are absent</t>
        </is>
      </c>
      <c r="S7" s="33" t="inlineStr">
        <is>
          <t>Exact accepted recipe/VSF version + complete SKU/lot dossier + approved site flow/HACCP/PPK record + measured validation of every applicable process/cooling/reheating/storage limit + approved traceability/allergen communication; FoodSafetyAgent re-review required</t>
        </is>
      </c>
    </row>
    <row r="8">
      <c r="A8" s="33" t="inlineStr">
        <is>
          <t>FSC-003</t>
        </is>
      </c>
      <c r="B8" s="33" t="inlineStr">
        <is>
          <t>VKM-003</t>
        </is>
      </c>
      <c r="C8" s="33" t="inlineStr">
        <is>
          <t>Грибная с ветчиной</t>
        </is>
      </c>
      <c r="D8" s="33" t="inlineStr">
        <is>
          <t>0.1.0-DRAFT</t>
        </is>
      </c>
      <c r="E8" s="33" t="inlineStr">
        <is>
          <t>c6b22ad5f2812cc989a0d3593f40e21207da8f53</t>
        </is>
      </c>
      <c r="F8" s="39" t="n"/>
      <c r="G8" s="39" t="n"/>
      <c r="H8" s="39" t="n"/>
      <c r="I8" s="39" t="n"/>
      <c r="J8" s="33" t="inlineStr">
        <is>
          <t>CONDITIONAL: applies if any component is prepared in advance; cooling route and limit require validation</t>
        </is>
      </c>
      <c r="K8" s="33" t="inlineStr">
        <is>
          <t>CONDITIONAL: applies only to an approved make-ahead route; reheating route and limit require validation</t>
        </is>
      </c>
      <c r="L8" s="33" t="inlineStr">
        <is>
          <t>BLOCKED_PENDING_VALIDATION</t>
        </is>
      </c>
      <c r="M8" s="33" t="inlineStr">
        <is>
          <t>BLOCK</t>
        </is>
      </c>
      <c r="N8" s="33" t="inlineStr">
        <is>
          <t>GLUTEN;MILK — DRAFT_NAME_BASED; not final until recipe and SKU labels</t>
        </is>
      </c>
      <c r="O8" s="33" t="inlineStr">
        <is>
          <t>UNKNOWN_PENDING_SITE_FLOW_AND_EQUIPMENT_MAP</t>
        </is>
      </c>
      <c r="P8" s="33" t="inlineStr">
        <is>
          <t>DRAFT_BLOCKED_PENDING_VALIDATION</t>
        </is>
      </c>
      <c r="Q8" s="33" t="inlineStr">
        <is>
          <t>EVD-0003;EVD-0012;EVD-0013;EVD-0014;EVD-0015;EVD-FS-001;EVD-FS-002;EVD-FS-003</t>
        </is>
      </c>
      <c r="R8" s="33" t="inlineStr">
        <is>
          <t>Current DRAFT recipe is version-locked for review, but Chef acceptance, SKU allergen dossier, validated dish-specific limits, shelf life and site HACCP/PPK release record are absent</t>
        </is>
      </c>
      <c r="S8" s="33" t="inlineStr">
        <is>
          <t>Exact accepted recipe/VSF version + complete SKU/lot dossier + approved site flow/HACCP/PPK record + measured validation of every applicable process/cooling/reheating/storage limit + approved traceability/allergen communication; FoodSafetyAgent re-review required</t>
        </is>
      </c>
    </row>
    <row r="9">
      <c r="A9" s="33" t="inlineStr">
        <is>
          <t>FSC-004</t>
        </is>
      </c>
      <c r="B9" s="33" t="inlineStr">
        <is>
          <t>VKM-004</t>
        </is>
      </c>
      <c r="C9" s="33" t="inlineStr">
        <is>
          <t>Пепперони</t>
        </is>
      </c>
      <c r="D9" s="33" t="inlineStr">
        <is>
          <t>0.1.0-DRAFT</t>
        </is>
      </c>
      <c r="E9" s="33" t="inlineStr">
        <is>
          <t>c6b22ad5f2812cc989a0d3593f40e21207da8f53</t>
        </is>
      </c>
      <c r="F9" s="39" t="n"/>
      <c r="G9" s="39" t="n"/>
      <c r="H9" s="39" t="n"/>
      <c r="I9" s="39" t="n"/>
      <c r="J9" s="33" t="inlineStr">
        <is>
          <t>CONDITIONAL: applies if any component is prepared in advance; cooling route and limit require validation</t>
        </is>
      </c>
      <c r="K9" s="33" t="inlineStr">
        <is>
          <t>CONDITIONAL: applies only to an approved make-ahead route; reheating route and limit require validation</t>
        </is>
      </c>
      <c r="L9" s="33" t="inlineStr">
        <is>
          <t>BLOCKED_PENDING_VALIDATION</t>
        </is>
      </c>
      <c r="M9" s="33" t="inlineStr">
        <is>
          <t>BLOCK</t>
        </is>
      </c>
      <c r="N9" s="33" t="inlineStr">
        <is>
          <t>GLUTEN;MILK — DRAFT_NAME_BASED; not final until recipe and SKU labels</t>
        </is>
      </c>
      <c r="O9" s="33" t="inlineStr">
        <is>
          <t>UNKNOWN_PENDING_SITE_FLOW_AND_EQUIPMENT_MAP</t>
        </is>
      </c>
      <c r="P9" s="33" t="inlineStr">
        <is>
          <t>DRAFT_BLOCKED_PENDING_VALIDATION</t>
        </is>
      </c>
      <c r="Q9" s="33" t="inlineStr">
        <is>
          <t>EVD-0003;EVD-0012;EVD-0013;EVD-0014;EVD-0015;EVD-FS-001;EVD-FS-002;EVD-FS-003</t>
        </is>
      </c>
      <c r="R9" s="33" t="inlineStr">
        <is>
          <t>Current DRAFT recipe is version-locked for review, but Chef acceptance, SKU allergen dossier, validated dish-specific limits, shelf life and site HACCP/PPK release record are absent</t>
        </is>
      </c>
      <c r="S9" s="33" t="inlineStr">
        <is>
          <t>Exact accepted recipe/VSF version + complete SKU/lot dossier + approved site flow/HACCP/PPK record + measured validation of every applicable process/cooling/reheating/storage limit + approved traceability/allergen communication; FoodSafetyAgent re-review required</t>
        </is>
      </c>
    </row>
    <row r="10">
      <c r="A10" s="33" t="inlineStr">
        <is>
          <t>FSC-005</t>
        </is>
      </c>
      <c r="B10" s="33" t="inlineStr">
        <is>
          <t>VKM-005</t>
        </is>
      </c>
      <c r="C10" s="33" t="inlineStr">
        <is>
          <t>Белая чиабатта</t>
        </is>
      </c>
      <c r="D10" s="33" t="inlineStr">
        <is>
          <t>0.1.0-DRAFT</t>
        </is>
      </c>
      <c r="E10" s="33" t="inlineStr">
        <is>
          <t>c6b22ad5f2812cc989a0d3593f40e21207da8f53</t>
        </is>
      </c>
      <c r="F10" s="39" t="n"/>
      <c r="G10" s="39" t="n"/>
      <c r="H10" s="39" t="n"/>
      <c r="I10" s="39" t="n"/>
      <c r="J10" s="33" t="inlineStr">
        <is>
          <t>APPLICABLE: post-bake cooling and contamination protection require a validated site procedure; no numeric limit is evidenced</t>
        </is>
      </c>
      <c r="K10" s="33" t="inlineStr">
        <is>
          <t>CONDITIONAL: only if a reheat/service route is approved; no route or limit is evidenced</t>
        </is>
      </c>
      <c r="L10" s="33" t="inlineStr">
        <is>
          <t>BLOCKED_PENDING_VALIDATION</t>
        </is>
      </c>
      <c r="M10" s="33" t="inlineStr">
        <is>
          <t>BLOCK</t>
        </is>
      </c>
      <c r="N10" s="33" t="inlineStr">
        <is>
          <t>GLUTEN — DRAFT_NAME_BASED; not final until recipe and SKU labels</t>
        </is>
      </c>
      <c r="O10" s="33" t="inlineStr">
        <is>
          <t>UNKNOWN_PENDING_SITE_FLOW_AND_EQUIPMENT_MAP</t>
        </is>
      </c>
      <c r="P10" s="33" t="inlineStr">
        <is>
          <t>DRAFT_BLOCKED_PENDING_VALIDATION</t>
        </is>
      </c>
      <c r="Q10" s="33" t="inlineStr">
        <is>
          <t>EVD-0003;EVD-0012;EVD-0013;EVD-0014;EVD-0015;EVD-FS-001;EVD-FS-002;EVD-FS-003</t>
        </is>
      </c>
      <c r="R10" s="33" t="inlineStr">
        <is>
          <t>Current DRAFT recipe is version-locked for review, but Chef acceptance, SKU allergen dossier, validated dish-specific limits, shelf life and site HACCP/PPK release record are absent</t>
        </is>
      </c>
      <c r="S10" s="33" t="inlineStr">
        <is>
          <t>Exact accepted recipe/VSF version + complete SKU/lot dossier + approved site flow/HACCP/PPK record + measured validation of every applicable process/cooling/reheating/storage limit + approved traceability/allergen communication; FoodSafetyAgent re-review required</t>
        </is>
      </c>
    </row>
    <row r="11">
      <c r="A11" s="33" t="inlineStr">
        <is>
          <t>FSC-006</t>
        </is>
      </c>
      <c r="B11" s="33" t="inlineStr">
        <is>
          <t>VKM-006</t>
        </is>
      </c>
      <c r="C11" s="33" t="inlineStr">
        <is>
          <t>Томатная чиабатта</t>
        </is>
      </c>
      <c r="D11" s="33" t="inlineStr">
        <is>
          <t>0.1.0-DRAFT</t>
        </is>
      </c>
      <c r="E11" s="33" t="inlineStr">
        <is>
          <t>c6b22ad5f2812cc989a0d3593f40e21207da8f53</t>
        </is>
      </c>
      <c r="F11" s="39" t="n"/>
      <c r="G11" s="39" t="n"/>
      <c r="H11" s="39" t="n"/>
      <c r="I11" s="39" t="n"/>
      <c r="J11" s="33" t="inlineStr">
        <is>
          <t>APPLICABLE: post-bake cooling and contamination protection require a validated site procedure; no numeric limit is evidenced</t>
        </is>
      </c>
      <c r="K11" s="33" t="inlineStr">
        <is>
          <t>CONDITIONAL: only if a reheat/service route is approved; no route or limit is evidenced</t>
        </is>
      </c>
      <c r="L11" s="33" t="inlineStr">
        <is>
          <t>BLOCKED_PENDING_VALIDATION</t>
        </is>
      </c>
      <c r="M11" s="33" t="inlineStr">
        <is>
          <t>BLOCK</t>
        </is>
      </c>
      <c r="N11" s="33" t="inlineStr">
        <is>
          <t>GLUTEN — DRAFT_NAME_BASED; not final until recipe and SKU labels</t>
        </is>
      </c>
      <c r="O11" s="33" t="inlineStr">
        <is>
          <t>UNKNOWN_PENDING_SITE_FLOW_AND_EQUIPMENT_MAP</t>
        </is>
      </c>
      <c r="P11" s="33" t="inlineStr">
        <is>
          <t>DRAFT_BLOCKED_PENDING_VALIDATION</t>
        </is>
      </c>
      <c r="Q11" s="33" t="inlineStr">
        <is>
          <t>EVD-0003;EVD-0012;EVD-0013;EVD-0014;EVD-0015;EVD-FS-001;EVD-FS-002;EVD-FS-003</t>
        </is>
      </c>
      <c r="R11" s="33" t="inlineStr">
        <is>
          <t>Current DRAFT recipe is version-locked for review, but Chef acceptance, SKU allergen dossier, validated dish-specific limits, shelf life and site HACCP/PPK release record are absent</t>
        </is>
      </c>
      <c r="S11" s="33" t="inlineStr">
        <is>
          <t>Exact accepted recipe/VSF version + complete SKU/lot dossier + approved site flow/HACCP/PPK record + measured validation of every applicable process/cooling/reheating/storage limit + approved traceability/allergen communication; FoodSafetyAgent re-review required</t>
        </is>
      </c>
    </row>
    <row r="12">
      <c r="A12" s="33" t="inlineStr">
        <is>
          <t>FSC-007</t>
        </is>
      </c>
      <c r="B12" s="33" t="inlineStr">
        <is>
          <t>VKM-007</t>
        </is>
      </c>
      <c r="C12" s="33" t="inlineStr">
        <is>
          <t>Бородинский хлеб</t>
        </is>
      </c>
      <c r="D12" s="33" t="inlineStr">
        <is>
          <t>0.1.0-DRAFT</t>
        </is>
      </c>
      <c r="E12" s="33" t="inlineStr">
        <is>
          <t>c6b22ad5f2812cc989a0d3593f40e21207da8f53</t>
        </is>
      </c>
      <c r="F12" s="39" t="n"/>
      <c r="G12" s="39" t="n"/>
      <c r="H12" s="39" t="n"/>
      <c r="I12" s="39" t="n"/>
      <c r="J12" s="33" t="inlineStr">
        <is>
          <t>APPLICABLE: post-bake cooling and contamination protection require a validated site procedure; no numeric limit is evidenced</t>
        </is>
      </c>
      <c r="K12" s="33" t="inlineStr">
        <is>
          <t>CONDITIONAL: only if a reheat/service route is approved; no route or limit is evidenced</t>
        </is>
      </c>
      <c r="L12" s="33" t="inlineStr">
        <is>
          <t>BLOCKED_PENDING_VALIDATION</t>
        </is>
      </c>
      <c r="M12" s="33" t="inlineStr">
        <is>
          <t>BLOCK</t>
        </is>
      </c>
      <c r="N12" s="33" t="inlineStr">
        <is>
          <t>GLUTEN — DRAFT_NAME_BASED; not final until recipe and SKU labels</t>
        </is>
      </c>
      <c r="O12" s="33" t="inlineStr">
        <is>
          <t>UNKNOWN_PENDING_SITE_FLOW_AND_EQUIPMENT_MAP</t>
        </is>
      </c>
      <c r="P12" s="33" t="inlineStr">
        <is>
          <t>DRAFT_BLOCKED_PENDING_VALIDATION</t>
        </is>
      </c>
      <c r="Q12" s="33" t="inlineStr">
        <is>
          <t>EVD-0003;EVD-0012;EVD-0013;EVD-0014;EVD-0015;EVD-FS-001;EVD-FS-002;EVD-FS-003</t>
        </is>
      </c>
      <c r="R12" s="33" t="inlineStr">
        <is>
          <t>Current DRAFT recipe is version-locked for review, but Chef acceptance, SKU allergen dossier, validated dish-specific limits, shelf life and site HACCP/PPK release record are absent</t>
        </is>
      </c>
      <c r="S12" s="33" t="inlineStr">
        <is>
          <t>Exact accepted recipe/VSF version + complete SKU/lot dossier + approved site flow/HACCP/PPK record + measured validation of every applicable process/cooling/reheating/storage limit + approved traceability/allergen communication; FoodSafetyAgent re-review required</t>
        </is>
      </c>
    </row>
    <row r="13">
      <c r="A13" s="33" t="inlineStr">
        <is>
          <t>FSC-008</t>
        </is>
      </c>
      <c r="B13" s="33" t="inlineStr">
        <is>
          <t>VKM-008</t>
        </is>
      </c>
      <c r="C13" s="33" t="inlineStr">
        <is>
          <t>Бриошь</t>
        </is>
      </c>
      <c r="D13" s="33" t="inlineStr">
        <is>
          <t>0.1.0-DRAFT</t>
        </is>
      </c>
      <c r="E13" s="33" t="inlineStr">
        <is>
          <t>c6b22ad5f2812cc989a0d3593f40e21207da8f53</t>
        </is>
      </c>
      <c r="F13" s="39" t="n"/>
      <c r="G13" s="39" t="n"/>
      <c r="H13" s="39" t="n"/>
      <c r="I13" s="39" t="n"/>
      <c r="J13" s="33" t="inlineStr">
        <is>
          <t>APPLICABLE: post-bake cooling and contamination protection require a validated site procedure; no numeric limit is evidenced</t>
        </is>
      </c>
      <c r="K13" s="33" t="inlineStr">
        <is>
          <t>CONDITIONAL: only if a reheat/service route is approved; no route or limit is evidenced</t>
        </is>
      </c>
      <c r="L13" s="33" t="inlineStr">
        <is>
          <t>BLOCKED_PENDING_VALIDATION</t>
        </is>
      </c>
      <c r="M13" s="33" t="inlineStr">
        <is>
          <t>BLOCK</t>
        </is>
      </c>
      <c r="N13" s="33" t="inlineStr">
        <is>
          <t>GLUTEN;MILK;EGG — DRAFT_NAME_BASED; not final until recipe and SKU labels</t>
        </is>
      </c>
      <c r="O13" s="33" t="inlineStr">
        <is>
          <t>UNKNOWN_PENDING_SITE_FLOW_AND_EQUIPMENT_MAP</t>
        </is>
      </c>
      <c r="P13" s="33" t="inlineStr">
        <is>
          <t>DRAFT_BLOCKED_PENDING_VALIDATION</t>
        </is>
      </c>
      <c r="Q13" s="33" t="inlineStr">
        <is>
          <t>EVD-0003;EVD-0012;EVD-0013;EVD-0014;EVD-0015;EVD-FS-001;EVD-FS-002;EVD-FS-003</t>
        </is>
      </c>
      <c r="R13" s="33" t="inlineStr">
        <is>
          <t>Current DRAFT recipe is version-locked for review, but Chef acceptance, SKU allergen dossier, validated dish-specific limits, shelf life and site HACCP/PPK release record are absent</t>
        </is>
      </c>
      <c r="S13" s="33" t="inlineStr">
        <is>
          <t>Exact accepted recipe/VSF version + complete SKU/lot dossier + approved site flow/HACCP/PPK record + measured validation of every applicable process/cooling/reheating/storage limit + approved traceability/allergen communication; FoodSafetyAgent re-review required</t>
        </is>
      </c>
    </row>
    <row r="14">
      <c r="A14" s="33" t="inlineStr">
        <is>
          <t>FSC-009</t>
        </is>
      </c>
      <c r="B14" s="33" t="inlineStr">
        <is>
          <t>VKM-009</t>
        </is>
      </c>
      <c r="C14" s="33" t="inlineStr">
        <is>
          <t>Буррата с томатами</t>
        </is>
      </c>
      <c r="D14" s="33" t="inlineStr">
        <is>
          <t>0.1.0-DRAFT</t>
        </is>
      </c>
      <c r="E14" s="33" t="inlineStr">
        <is>
          <t>c6b22ad5f2812cc989a0d3593f40e21207da8f53</t>
        </is>
      </c>
      <c r="F14" s="39" t="n"/>
      <c r="G14" s="39" t="n"/>
      <c r="H14" s="39" t="n"/>
      <c r="I14" s="39" t="n"/>
      <c r="J14" s="33" t="inlineStr">
        <is>
          <t>APPLICABILITY_PENDING: cooked components must have a validated cooling route if prepared in advance; otherwise use immediate assembly/service route documented by PPK</t>
        </is>
      </c>
      <c r="K14" s="33" t="inlineStr">
        <is>
          <t>NOT_PLANNED_IN_DRAFT: any reheating is a process change requiring hazard review and validation</t>
        </is>
      </c>
      <c r="L14" s="33" t="inlineStr">
        <is>
          <t>BLOCKED_PENDING_VALIDATION</t>
        </is>
      </c>
      <c r="M14" s="33" t="inlineStr">
        <is>
          <t>BLOCK</t>
        </is>
      </c>
      <c r="N14" s="33" t="inlineStr">
        <is>
          <t>MILK — DRAFT_NAME_BASED; not final until recipe and SKU labels</t>
        </is>
      </c>
      <c r="O14" s="33" t="inlineStr">
        <is>
          <t>UNKNOWN_PENDING_SITE_FLOW_AND_EQUIPMENT_MAP</t>
        </is>
      </c>
      <c r="P14" s="33" t="inlineStr">
        <is>
          <t>DRAFT_BLOCKED_PENDING_VALIDATION</t>
        </is>
      </c>
      <c r="Q14" s="33" t="inlineStr">
        <is>
          <t>EVD-0003;EVD-0012;EVD-0013;EVD-0014;EVD-0015;EVD-FS-001;EVD-FS-002;EVD-FS-003</t>
        </is>
      </c>
      <c r="R14" s="33" t="inlineStr">
        <is>
          <t>Current DRAFT recipe is version-locked for review, but Chef acceptance, SKU allergen dossier, validated dish-specific limits, shelf life and site HACCP/PPK release record are absent</t>
        </is>
      </c>
      <c r="S14" s="33" t="inlineStr">
        <is>
          <t>Exact accepted recipe/VSF version + complete SKU/lot dossier + approved site flow/HACCP/PPK record + measured validation of every applicable process/cooling/reheating/storage limit + approved traceability/allergen communication; FoodSafetyAgent re-review required</t>
        </is>
      </c>
    </row>
    <row r="15">
      <c r="A15" s="33" t="inlineStr">
        <is>
          <t>FSC-010</t>
        </is>
      </c>
      <c r="B15" s="33" t="inlineStr">
        <is>
          <t>VKM-010</t>
        </is>
      </c>
      <c r="C15" s="33" t="inlineStr">
        <is>
          <t>Микс-салат с креветками и яблоком</t>
        </is>
      </c>
      <c r="D15" s="33" t="inlineStr">
        <is>
          <t>0.1.0-DRAFT</t>
        </is>
      </c>
      <c r="E15" s="33" t="inlineStr">
        <is>
          <t>c6b22ad5f2812cc989a0d3593f40e21207da8f53</t>
        </is>
      </c>
      <c r="F15" s="39" t="n"/>
      <c r="G15" s="39" t="n"/>
      <c r="H15" s="39" t="n"/>
      <c r="I15" s="39" t="n"/>
      <c r="J15" s="33" t="inlineStr">
        <is>
          <t>APPLICABILITY_PENDING: cooked components must have a validated cooling route if prepared in advance; otherwise use immediate assembly/service route documented by PPK</t>
        </is>
      </c>
      <c r="K15" s="33" t="inlineStr">
        <is>
          <t>NOT_PLANNED_IN_DRAFT: any reheating is a process change requiring hazard review and validation</t>
        </is>
      </c>
      <c r="L15" s="33" t="inlineStr">
        <is>
          <t>BLOCKED_PENDING_VALIDATION</t>
        </is>
      </c>
      <c r="M15" s="33" t="inlineStr">
        <is>
          <t>BLOCK</t>
        </is>
      </c>
      <c r="N15" s="33" t="inlineStr">
        <is>
          <t>CRUSTACEAN;MUSTARD — DRAFT_NAME_BASED; not final until recipe and SKU labels</t>
        </is>
      </c>
      <c r="O15" s="33" t="inlineStr">
        <is>
          <t>UNKNOWN_PENDING_SITE_FLOW_AND_EQUIPMENT_MAP</t>
        </is>
      </c>
      <c r="P15" s="33" t="inlineStr">
        <is>
          <t>DRAFT_BLOCKED_PENDING_VALIDATION</t>
        </is>
      </c>
      <c r="Q15" s="33" t="inlineStr">
        <is>
          <t>EVD-0003;EVD-0012;EVD-0013;EVD-0014;EVD-0015;EVD-FS-001;EVD-FS-002;EVD-FS-003</t>
        </is>
      </c>
      <c r="R15" s="33" t="inlineStr">
        <is>
          <t>Current DRAFT recipe is version-locked for review, but Chef acceptance, SKU allergen dossier, validated dish-specific limits, shelf life and site HACCP/PPK release record are absent</t>
        </is>
      </c>
      <c r="S15" s="33" t="inlineStr">
        <is>
          <t>Exact accepted recipe/VSF version + complete SKU/lot dossier + approved site flow/HACCP/PPK record + measured validation of every applicable process/cooling/reheating/storage limit + approved traceability/allergen communication; FoodSafetyAgent re-review required</t>
        </is>
      </c>
    </row>
    <row r="16">
      <c r="A16" s="33" t="inlineStr">
        <is>
          <t>FSC-011</t>
        </is>
      </c>
      <c r="B16" s="33" t="inlineStr">
        <is>
          <t>VKM-011</t>
        </is>
      </c>
      <c r="C16" s="33" t="inlineStr">
        <is>
          <t>Греческий</t>
        </is>
      </c>
      <c r="D16" s="33" t="inlineStr">
        <is>
          <t>0.1.0-DRAFT</t>
        </is>
      </c>
      <c r="E16" s="33" t="inlineStr">
        <is>
          <t>c6b22ad5f2812cc989a0d3593f40e21207da8f53</t>
        </is>
      </c>
      <c r="F16" s="39" t="n"/>
      <c r="G16" s="39" t="n"/>
      <c r="H16" s="39" t="n"/>
      <c r="I16" s="39" t="n"/>
      <c r="J16" s="33" t="inlineStr">
        <is>
          <t>APPLICABILITY_PENDING: cooked components must have a validated cooling route if prepared in advance; otherwise use immediate assembly/service route documented by PPK</t>
        </is>
      </c>
      <c r="K16" s="33" t="inlineStr">
        <is>
          <t>NOT_PLANNED_IN_DRAFT: any reheating is a process change requiring hazard review and validation</t>
        </is>
      </c>
      <c r="L16" s="33" t="inlineStr">
        <is>
          <t>BLOCKED_PENDING_VALIDATION</t>
        </is>
      </c>
      <c r="M16" s="33" t="inlineStr">
        <is>
          <t>BLOCK</t>
        </is>
      </c>
      <c r="N16" s="33" t="inlineStr">
        <is>
          <t>MILK — DRAFT_NAME_BASED; not final until recipe and SKU labels</t>
        </is>
      </c>
      <c r="O16" s="33" t="inlineStr">
        <is>
          <t>UNKNOWN_PENDING_SITE_FLOW_AND_EQUIPMENT_MAP</t>
        </is>
      </c>
      <c r="P16" s="33" t="inlineStr">
        <is>
          <t>DRAFT_BLOCKED_PENDING_VALIDATION</t>
        </is>
      </c>
      <c r="Q16" s="33" t="inlineStr">
        <is>
          <t>EVD-0003;EVD-0012;EVD-0013;EVD-0014;EVD-0015;EVD-FS-001;EVD-FS-002;EVD-FS-003</t>
        </is>
      </c>
      <c r="R16" s="33" t="inlineStr">
        <is>
          <t>Current DRAFT recipe is version-locked for review, but Chef acceptance, SKU allergen dossier, validated dish-specific limits, shelf life and site HACCP/PPK release record are absent</t>
        </is>
      </c>
      <c r="S16" s="33" t="inlineStr">
        <is>
          <t>Exact accepted recipe/VSF version + complete SKU/lot dossier + approved site flow/HACCP/PPK record + measured validation of every applicable process/cooling/reheating/storage limit + approved traceability/allergen communication; FoodSafetyAgent re-review required</t>
        </is>
      </c>
    </row>
    <row r="17">
      <c r="A17" s="33" t="inlineStr">
        <is>
          <t>FSC-012</t>
        </is>
      </c>
      <c r="B17" s="33" t="inlineStr">
        <is>
          <t>VKM-012</t>
        </is>
      </c>
      <c r="C17" s="33" t="inlineStr">
        <is>
          <t>Винегрет</t>
        </is>
      </c>
      <c r="D17" s="33" t="inlineStr">
        <is>
          <t>0.1.0-DRAFT</t>
        </is>
      </c>
      <c r="E17" s="33" t="inlineStr">
        <is>
          <t>c6b22ad5f2812cc989a0d3593f40e21207da8f53</t>
        </is>
      </c>
      <c r="F17" s="39" t="n"/>
      <c r="G17" s="39" t="n"/>
      <c r="H17" s="39" t="n"/>
      <c r="I17" s="39" t="n"/>
      <c r="J17" s="33" t="inlineStr">
        <is>
          <t>APPLICABILITY_PENDING: cooked components must have a validated cooling route if prepared in advance; otherwise use immediate assembly/service route documented by PPK</t>
        </is>
      </c>
      <c r="K17" s="33" t="inlineStr">
        <is>
          <t>NOT_PLANNED_IN_DRAFT: any reheating is a process change requiring hazard review and validation</t>
        </is>
      </c>
      <c r="L17" s="33" t="inlineStr">
        <is>
          <t>BLOCKED_PENDING_VALIDATION</t>
        </is>
      </c>
      <c r="M17" s="33" t="inlineStr">
        <is>
          <t>BLOCK</t>
        </is>
      </c>
      <c r="N17" s="33" t="inlineStr">
        <is>
          <t>UNKNOWN_RECIPE_SKU; no allergen may be declared absent</t>
        </is>
      </c>
      <c r="O17" s="33" t="inlineStr">
        <is>
          <t>UNKNOWN_PENDING_SITE_FLOW_AND_EQUIPMENT_MAP</t>
        </is>
      </c>
      <c r="P17" s="33" t="inlineStr">
        <is>
          <t>DRAFT_BLOCKED_PENDING_VALIDATION</t>
        </is>
      </c>
      <c r="Q17" s="33" t="inlineStr">
        <is>
          <t>EVD-0003;EVD-0012;EVD-0013;EVD-0014;EVD-0015;EVD-FS-001;EVD-FS-002;EVD-FS-003</t>
        </is>
      </c>
      <c r="R17" s="33" t="inlineStr">
        <is>
          <t>Current DRAFT recipe is version-locked for review, but Chef acceptance, SKU allergen dossier, validated dish-specific limits, shelf life and site HACCP/PPK release record are absent</t>
        </is>
      </c>
      <c r="S17" s="33" t="inlineStr">
        <is>
          <t>Exact accepted recipe/VSF version + complete SKU/lot dossier + approved site flow/HACCP/PPK record + measured validation of every applicable process/cooling/reheating/storage limit + approved traceability/allergen communication; FoodSafetyAgent re-review required</t>
        </is>
      </c>
    </row>
    <row r="18">
      <c r="A18" s="33" t="inlineStr">
        <is>
          <t>FSC-013</t>
        </is>
      </c>
      <c r="B18" s="33" t="inlineStr">
        <is>
          <t>VKM-013</t>
        </is>
      </c>
      <c r="C18" s="33" t="inlineStr">
        <is>
          <t>Слабосолёный лосось</t>
        </is>
      </c>
      <c r="D18" s="33" t="inlineStr">
        <is>
          <t>0.1.0-DRAFT</t>
        </is>
      </c>
      <c r="E18" s="33" t="inlineStr">
        <is>
          <t>c6b22ad5f2812cc989a0d3593f40e21207da8f53</t>
        </is>
      </c>
      <c r="F18" s="39" t="n"/>
      <c r="G18" s="39" t="n"/>
      <c r="H18" s="39" t="n"/>
      <c r="I18" s="39" t="n"/>
      <c r="J18" s="33" t="inlineStr">
        <is>
          <t>APPLICABILITY_PENDING: cooked components must have a validated cooling route if prepared in advance; otherwise use immediate assembly/service route documented by PPK</t>
        </is>
      </c>
      <c r="K18" s="33" t="inlineStr">
        <is>
          <t>NOT_PLANNED_IN_DRAFT: any reheating is a process change requiring hazard review and validation</t>
        </is>
      </c>
      <c r="L18" s="33" t="inlineStr">
        <is>
          <t>BLOCKED_PENDING_VALIDATION</t>
        </is>
      </c>
      <c r="M18" s="33" t="inlineStr">
        <is>
          <t>BLOCK</t>
        </is>
      </c>
      <c r="N18" s="33" t="inlineStr">
        <is>
          <t>FISH — DRAFT_NAME_BASED; not final until recipe and SKU labels</t>
        </is>
      </c>
      <c r="O18" s="33" t="inlineStr">
        <is>
          <t>UNKNOWN_PENDING_SITE_FLOW_AND_EQUIPMENT_MAP</t>
        </is>
      </c>
      <c r="P18" s="33" t="inlineStr">
        <is>
          <t>DRAFT_BLOCKED_PENDING_VALIDATION</t>
        </is>
      </c>
      <c r="Q18" s="33" t="inlineStr">
        <is>
          <t>EVD-0003;EVD-0012;EVD-0013;EVD-0014;EVD-0015;EVD-FS-001;EVD-FS-002;EVD-FS-003</t>
        </is>
      </c>
      <c r="R18" s="33" t="inlineStr">
        <is>
          <t>Current DRAFT recipe is version-locked for review, but Chef acceptance, SKU allergen dossier, validated dish-specific limits, shelf life and site HACCP/PPK release record are absent</t>
        </is>
      </c>
      <c r="S18" s="33" t="inlineStr">
        <is>
          <t>Exact accepted recipe/VSF version + complete SKU/lot dossier + approved site flow/HACCP/PPK record + measured validation of every applicable process/cooling/reheating/storage limit + approved traceability/allergen communication; FoodSafetyAgent re-review required</t>
        </is>
      </c>
    </row>
    <row r="19">
      <c r="A19" s="33" t="inlineStr">
        <is>
          <t>FSC-014</t>
        </is>
      </c>
      <c r="B19" s="33" t="inlineStr">
        <is>
          <t>VKM-014</t>
        </is>
      </c>
      <c r="C19" s="33" t="inlineStr">
        <is>
          <t>Сельдь с запечённым картофелем</t>
        </is>
      </c>
      <c r="D19" s="33" t="inlineStr">
        <is>
          <t>0.1.0-DRAFT</t>
        </is>
      </c>
      <c r="E19" s="33" t="inlineStr">
        <is>
          <t>c6b22ad5f2812cc989a0d3593f40e21207da8f53</t>
        </is>
      </c>
      <c r="F19" s="39" t="n"/>
      <c r="G19" s="39" t="n"/>
      <c r="H19" s="39" t="n"/>
      <c r="I19" s="39" t="n"/>
      <c r="J19" s="33" t="inlineStr">
        <is>
          <t>APPLICABILITY_PENDING: cooked components must have a validated cooling route if prepared in advance; otherwise use immediate assembly/service route documented by PPK</t>
        </is>
      </c>
      <c r="K19" s="33" t="inlineStr">
        <is>
          <t>NOT_PLANNED_IN_DRAFT: any reheating is a process change requiring hazard review and validation</t>
        </is>
      </c>
      <c r="L19" s="33" t="inlineStr">
        <is>
          <t>BLOCKED_PENDING_VALIDATION</t>
        </is>
      </c>
      <c r="M19" s="33" t="inlineStr">
        <is>
          <t>BLOCK</t>
        </is>
      </c>
      <c r="N19" s="33" t="inlineStr">
        <is>
          <t>FISH — DRAFT_NAME_BASED; not final until recipe and SKU labels</t>
        </is>
      </c>
      <c r="O19" s="33" t="inlineStr">
        <is>
          <t>UNKNOWN_PENDING_SITE_FLOW_AND_EQUIPMENT_MAP</t>
        </is>
      </c>
      <c r="P19" s="33" t="inlineStr">
        <is>
          <t>DRAFT_BLOCKED_PENDING_VALIDATION</t>
        </is>
      </c>
      <c r="Q19" s="33" t="inlineStr">
        <is>
          <t>EVD-0003;EVD-0012;EVD-0013;EVD-0014;EVD-0015;EVD-FS-001;EVD-FS-002;EVD-FS-003</t>
        </is>
      </c>
      <c r="R19" s="33" t="inlineStr">
        <is>
          <t>Current DRAFT recipe is version-locked for review, but Chef acceptance, SKU allergen dossier, validated dish-specific limits, shelf life and site HACCP/PPK release record are absent</t>
        </is>
      </c>
      <c r="S19" s="33" t="inlineStr">
        <is>
          <t>Exact accepted recipe/VSF version + complete SKU/lot dossier + approved site flow/HACCP/PPK record + measured validation of every applicable process/cooling/reheating/storage limit + approved traceability/allergen communication; FoodSafetyAgent re-review required</t>
        </is>
      </c>
    </row>
    <row r="20">
      <c r="A20" s="33" t="inlineStr">
        <is>
          <t>FSC-015</t>
        </is>
      </c>
      <c r="B20" s="33" t="inlineStr">
        <is>
          <t>VKM-015</t>
        </is>
      </c>
      <c r="C20" s="33" t="inlineStr">
        <is>
          <t>Оливки и маслины</t>
        </is>
      </c>
      <c r="D20" s="33" t="inlineStr">
        <is>
          <t>0.1.0-DRAFT</t>
        </is>
      </c>
      <c r="E20" s="33" t="inlineStr">
        <is>
          <t>c6b22ad5f2812cc989a0d3593f40e21207da8f53</t>
        </is>
      </c>
      <c r="F20" s="39" t="n"/>
      <c r="G20" s="39" t="n"/>
      <c r="H20" s="39" t="n"/>
      <c r="I20" s="39" t="n"/>
      <c r="J20" s="33" t="inlineStr">
        <is>
          <t>APPLICABILITY_PENDING: cooked components must have a validated cooling route if prepared in advance; otherwise use immediate assembly/service route documented by PPK</t>
        </is>
      </c>
      <c r="K20" s="33" t="inlineStr">
        <is>
          <t>NOT_PLANNED_IN_DRAFT: any reheating is a process change requiring hazard review and validation</t>
        </is>
      </c>
      <c r="L20" s="33" t="inlineStr">
        <is>
          <t>BLOCKED_PENDING_VALIDATION</t>
        </is>
      </c>
      <c r="M20" s="33" t="inlineStr">
        <is>
          <t>BLOCK</t>
        </is>
      </c>
      <c r="N20" s="33" t="inlineStr">
        <is>
          <t>UNKNOWN_RECIPE_SKU; no allergen may be declared absent</t>
        </is>
      </c>
      <c r="O20" s="33" t="inlineStr">
        <is>
          <t>UNKNOWN_PENDING_SITE_FLOW_AND_EQUIPMENT_MAP</t>
        </is>
      </c>
      <c r="P20" s="33" t="inlineStr">
        <is>
          <t>DRAFT_BLOCKED_PENDING_VALIDATION</t>
        </is>
      </c>
      <c r="Q20" s="33" t="inlineStr">
        <is>
          <t>EVD-0003;EVD-0012;EVD-0013;EVD-0014;EVD-0015;EVD-FS-001;EVD-FS-002;EVD-FS-003</t>
        </is>
      </c>
      <c r="R20" s="33" t="inlineStr">
        <is>
          <t>Current DRAFT recipe is version-locked for review, but Chef acceptance, SKU allergen dossier, validated dish-specific limits, shelf life and site HACCP/PPK release record are absent</t>
        </is>
      </c>
      <c r="S20" s="33" t="inlineStr">
        <is>
          <t>Exact accepted recipe/VSF version + complete SKU/lot dossier + approved site flow/HACCP/PPK record + measured validation of every applicable process/cooling/reheating/storage limit + approved traceability/allergen communication; FoodSafetyAgent re-review required</t>
        </is>
      </c>
    </row>
    <row r="21">
      <c r="A21" s="33" t="inlineStr">
        <is>
          <t>FSC-016</t>
        </is>
      </c>
      <c r="B21" s="33" t="inlineStr">
        <is>
          <t>VKM-016</t>
        </is>
      </c>
      <c r="C21" s="33" t="inlineStr">
        <is>
          <t>Ассорти фирменных солений</t>
        </is>
      </c>
      <c r="D21" s="33" t="inlineStr">
        <is>
          <t>0.1.0-DRAFT</t>
        </is>
      </c>
      <c r="E21" s="33" t="inlineStr">
        <is>
          <t>c6b22ad5f2812cc989a0d3593f40e21207da8f53</t>
        </is>
      </c>
      <c r="F21" s="39" t="n"/>
      <c r="G21" s="39" t="n"/>
      <c r="H21" s="39" t="n"/>
      <c r="I21" s="39" t="n"/>
      <c r="J21" s="33" t="inlineStr">
        <is>
          <t>APPLICABILITY_PENDING: cooked components must have a validated cooling route if prepared in advance; otherwise use immediate assembly/service route documented by PPK</t>
        </is>
      </c>
      <c r="K21" s="33" t="inlineStr">
        <is>
          <t>NOT_PLANNED_IN_DRAFT: any reheating is a process change requiring hazard review and validation</t>
        </is>
      </c>
      <c r="L21" s="33" t="inlineStr">
        <is>
          <t>BLOCKED_PENDING_VALIDATION</t>
        </is>
      </c>
      <c r="M21" s="33" t="inlineStr">
        <is>
          <t>BLOCK</t>
        </is>
      </c>
      <c r="N21" s="33" t="inlineStr">
        <is>
          <t>UNKNOWN_RECIPE_SKU; no allergen may be declared absent</t>
        </is>
      </c>
      <c r="O21" s="33" t="inlineStr">
        <is>
          <t>UNKNOWN_PENDING_SITE_FLOW_AND_EQUIPMENT_MAP</t>
        </is>
      </c>
      <c r="P21" s="33" t="inlineStr">
        <is>
          <t>DRAFT_BLOCKED_PENDING_VALIDATION</t>
        </is>
      </c>
      <c r="Q21" s="33" t="inlineStr">
        <is>
          <t>EVD-0003;EVD-0012;EVD-0013;EVD-0014;EVD-0015;EVD-FS-001;EVD-FS-002;EVD-FS-003</t>
        </is>
      </c>
      <c r="R21" s="33" t="inlineStr">
        <is>
          <t>Current DRAFT recipe is version-locked for review, but Chef acceptance, SKU allergen dossier, validated dish-specific limits, shelf life and site HACCP/PPK release record are absent</t>
        </is>
      </c>
      <c r="S21" s="33" t="inlineStr">
        <is>
          <t>Exact accepted recipe/VSF version + complete SKU/lot dossier + approved site flow/HACCP/PPK record + measured validation of every applicable process/cooling/reheating/storage limit + approved traceability/allergen communication; FoodSafetyAgent re-review required</t>
        </is>
      </c>
    </row>
    <row r="22">
      <c r="A22" s="33" t="inlineStr">
        <is>
          <t>FSC-017</t>
        </is>
      </c>
      <c r="B22" s="33" t="inlineStr">
        <is>
          <t>VKM-017</t>
        </is>
      </c>
      <c r="C22" s="33" t="inlineStr">
        <is>
          <t>Ростбиф с луком и гренкой</t>
        </is>
      </c>
      <c r="D22" s="33" t="inlineStr">
        <is>
          <t>0.1.0-DRAFT</t>
        </is>
      </c>
      <c r="E22" s="33" t="inlineStr">
        <is>
          <t>c6b22ad5f2812cc989a0d3593f40e21207da8f53</t>
        </is>
      </c>
      <c r="F22" s="39" t="n"/>
      <c r="G22" s="39" t="n"/>
      <c r="H22" s="39" t="n"/>
      <c r="I22" s="39" t="n"/>
      <c r="J22" s="33" t="inlineStr">
        <is>
          <t>APPLICABILITY_PENDING: cooked components must have a validated cooling route if prepared in advance; otherwise use immediate assembly/service route documented by PPK</t>
        </is>
      </c>
      <c r="K22" s="33" t="inlineStr">
        <is>
          <t>NOT_PLANNED_IN_DRAFT: any reheating is a process change requiring hazard review and validation</t>
        </is>
      </c>
      <c r="L22" s="33" t="inlineStr">
        <is>
          <t>BLOCKED_PENDING_VALIDATION</t>
        </is>
      </c>
      <c r="M22" s="33" t="inlineStr">
        <is>
          <t>BLOCK</t>
        </is>
      </c>
      <c r="N22" s="33" t="inlineStr">
        <is>
          <t>GLUTEN;MUSTARD;EGG — DRAFT_NAME_BASED; not final until recipe and SKU labels</t>
        </is>
      </c>
      <c r="O22" s="33" t="inlineStr">
        <is>
          <t>UNKNOWN_PENDING_SITE_FLOW_AND_EQUIPMENT_MAP</t>
        </is>
      </c>
      <c r="P22" s="33" t="inlineStr">
        <is>
          <t>DRAFT_BLOCKED_PENDING_VALIDATION</t>
        </is>
      </c>
      <c r="Q22" s="33" t="inlineStr">
        <is>
          <t>EVD-0003;EVD-0012;EVD-0013;EVD-0014;EVD-0015;EVD-FS-001;EVD-FS-002;EVD-FS-003</t>
        </is>
      </c>
      <c r="R22" s="33" t="inlineStr">
        <is>
          <t>Current DRAFT recipe is version-locked for review, but Chef acceptance, SKU allergen dossier, validated dish-specific limits, shelf life and site HACCP/PPK release record are absent</t>
        </is>
      </c>
      <c r="S22" s="33" t="inlineStr">
        <is>
          <t>Exact accepted recipe/VSF version + complete SKU/lot dossier + approved site flow/HACCP/PPK record + measured validation of every applicable process/cooling/reheating/storage limit + approved traceability/allergen communication; FoodSafetyAgent re-review required</t>
        </is>
      </c>
    </row>
    <row r="23">
      <c r="A23" s="33" t="inlineStr">
        <is>
          <t>FSC-018</t>
        </is>
      </c>
      <c r="B23" s="33" t="inlineStr">
        <is>
          <t>VKM-018</t>
        </is>
      </c>
      <c r="C23" s="33" t="inlineStr">
        <is>
          <t>Традиционный красный борщ</t>
        </is>
      </c>
      <c r="D23" s="33" t="inlineStr">
        <is>
          <t>0.1.0-DRAFT</t>
        </is>
      </c>
      <c r="E23" s="33" t="inlineStr">
        <is>
          <t>c6b22ad5f2812cc989a0d3593f40e21207da8f53</t>
        </is>
      </c>
      <c r="F23" s="39" t="n"/>
      <c r="G23" s="39" t="n"/>
      <c r="H23" s="39" t="n"/>
      <c r="I23" s="39" t="n"/>
      <c r="J23" s="33" t="inlineStr">
        <is>
          <t>CONDITIONAL: applies if any component is prepared in advance; cooling route and limit require validation</t>
        </is>
      </c>
      <c r="K23" s="33" t="inlineStr">
        <is>
          <t>CONDITIONAL: applies only to an approved make-ahead route; reheating route and limit require validation</t>
        </is>
      </c>
      <c r="L23" s="33" t="inlineStr">
        <is>
          <t>BLOCKED_PENDING_VALIDATION</t>
        </is>
      </c>
      <c r="M23" s="33" t="inlineStr">
        <is>
          <t>BLOCK</t>
        </is>
      </c>
      <c r="N23" s="33" t="inlineStr">
        <is>
          <t>MILK — DRAFT_NAME_BASED; not final until recipe and SKU labels</t>
        </is>
      </c>
      <c r="O23" s="33" t="inlineStr">
        <is>
          <t>UNKNOWN_PENDING_SITE_FLOW_AND_EQUIPMENT_MAP</t>
        </is>
      </c>
      <c r="P23" s="33" t="inlineStr">
        <is>
          <t>DRAFT_BLOCKED_PENDING_VALIDATION</t>
        </is>
      </c>
      <c r="Q23" s="33" t="inlineStr">
        <is>
          <t>EVD-0003;EVD-0012;EVD-0013;EVD-0014;EVD-0015;EVD-FS-001;EVD-FS-002;EVD-FS-003</t>
        </is>
      </c>
      <c r="R23" s="33" t="inlineStr">
        <is>
          <t>Current DRAFT recipe is version-locked for review, but Chef acceptance, SKU allergen dossier, validated dish-specific limits, shelf life and site HACCP/PPK release record are absent</t>
        </is>
      </c>
      <c r="S23" s="33" t="inlineStr">
        <is>
          <t>Exact accepted recipe/VSF version + complete SKU/lot dossier + approved site flow/HACCP/PPK record + measured validation of every applicable process/cooling/reheating/storage limit + approved traceability/allergen communication; FoodSafetyAgent re-review required</t>
        </is>
      </c>
    </row>
    <row r="24">
      <c r="A24" s="33" t="inlineStr">
        <is>
          <t>FSC-019</t>
        </is>
      </c>
      <c r="B24" s="33" t="inlineStr">
        <is>
          <t>VKM-019</t>
        </is>
      </c>
      <c r="C24" s="33" t="inlineStr">
        <is>
          <t>Мурманская треска со сливочно-горчичным соусом</t>
        </is>
      </c>
      <c r="D24" s="33" t="inlineStr">
        <is>
          <t>0.1.0-DRAFT</t>
        </is>
      </c>
      <c r="E24" s="33" t="inlineStr">
        <is>
          <t>c6b22ad5f2812cc989a0d3593f40e21207da8f53</t>
        </is>
      </c>
      <c r="F24" s="39" t="n"/>
      <c r="G24" s="39" t="n"/>
      <c r="H24" s="39" t="n"/>
      <c r="I24" s="39" t="n"/>
      <c r="J24" s="33" t="inlineStr">
        <is>
          <t>CONDITIONAL: applies if any component is prepared in advance; cooling route and limit require validation</t>
        </is>
      </c>
      <c r="K24" s="33" t="inlineStr">
        <is>
          <t>CONDITIONAL: applies only to an approved make-ahead route; reheating route and limit require validation</t>
        </is>
      </c>
      <c r="L24" s="33" t="inlineStr">
        <is>
          <t>BLOCKED_PENDING_VALIDATION</t>
        </is>
      </c>
      <c r="M24" s="33" t="inlineStr">
        <is>
          <t>BLOCK</t>
        </is>
      </c>
      <c r="N24" s="33" t="inlineStr">
        <is>
          <t>FISH;MILK;MUSTARD — DRAFT_NAME_BASED; not final until recipe and SKU labels</t>
        </is>
      </c>
      <c r="O24" s="33" t="inlineStr">
        <is>
          <t>UNKNOWN_PENDING_SITE_FLOW_AND_EQUIPMENT_MAP</t>
        </is>
      </c>
      <c r="P24" s="33" t="inlineStr">
        <is>
          <t>DRAFT_BLOCKED_PENDING_VALIDATION</t>
        </is>
      </c>
      <c r="Q24" s="33" t="inlineStr">
        <is>
          <t>EVD-0003;EVD-0012;EVD-0013;EVD-0014;EVD-0015;EVD-FS-001;EVD-FS-002;EVD-FS-003</t>
        </is>
      </c>
      <c r="R24" s="33" t="inlineStr">
        <is>
          <t>Current DRAFT recipe is version-locked for review, but Chef acceptance, SKU allergen dossier, validated dish-specific limits, shelf life and site HACCP/PPK release record are absent</t>
        </is>
      </c>
      <c r="S24" s="33" t="inlineStr">
        <is>
          <t>Exact accepted recipe/VSF version + complete SKU/lot dossier + approved site flow/HACCP/PPK record + measured validation of every applicable process/cooling/reheating/storage limit + approved traceability/allergen communication; FoodSafetyAgent re-review required</t>
        </is>
      </c>
    </row>
    <row r="25">
      <c r="A25" s="33" t="inlineStr">
        <is>
          <t>FSC-020</t>
        </is>
      </c>
      <c r="B25" s="33" t="inlineStr">
        <is>
          <t>VKM-020</t>
        </is>
      </c>
      <c r="C25" s="33" t="inlineStr">
        <is>
          <t>Креветки по-тайски</t>
        </is>
      </c>
      <c r="D25" s="33" t="inlineStr">
        <is>
          <t>0.1.0-DRAFT</t>
        </is>
      </c>
      <c r="E25" s="33" t="inlineStr">
        <is>
          <t>c6b22ad5f2812cc989a0d3593f40e21207da8f53</t>
        </is>
      </c>
      <c r="F25" s="39" t="n"/>
      <c r="G25" s="39" t="n"/>
      <c r="H25" s="39" t="n"/>
      <c r="I25" s="39" t="n"/>
      <c r="J25" s="33" t="inlineStr">
        <is>
          <t>CONDITIONAL: applies if any component is prepared in advance; cooling route and limit require validation</t>
        </is>
      </c>
      <c r="K25" s="33" t="inlineStr">
        <is>
          <t>CONDITIONAL: applies only to an approved make-ahead route; reheating route and limit require validation</t>
        </is>
      </c>
      <c r="L25" s="33" t="inlineStr">
        <is>
          <t>BLOCKED_PENDING_VALIDATION</t>
        </is>
      </c>
      <c r="M25" s="33" t="inlineStr">
        <is>
          <t>BLOCK</t>
        </is>
      </c>
      <c r="N25" s="33" t="inlineStr">
        <is>
          <t>CRUSTACEAN — DRAFT_NAME_BASED; not final until recipe and SKU labels</t>
        </is>
      </c>
      <c r="O25" s="33" t="inlineStr">
        <is>
          <t>UNKNOWN_PENDING_SITE_FLOW_AND_EQUIPMENT_MAP</t>
        </is>
      </c>
      <c r="P25" s="33" t="inlineStr">
        <is>
          <t>DRAFT_BLOCKED_PENDING_VALIDATION</t>
        </is>
      </c>
      <c r="Q25" s="33" t="inlineStr">
        <is>
          <t>EVD-0003;EVD-0012;EVD-0013;EVD-0014;EVD-0015;EVD-FS-001;EVD-FS-002;EVD-FS-003</t>
        </is>
      </c>
      <c r="R25" s="33" t="inlineStr">
        <is>
          <t>Current DRAFT recipe is version-locked for review, but Chef acceptance, SKU allergen dossier, validated dish-specific limits, shelf life and site HACCP/PPK release record are absent</t>
        </is>
      </c>
      <c r="S25" s="33" t="inlineStr">
        <is>
          <t>Exact accepted recipe/VSF version + complete SKU/lot dossier + approved site flow/HACCP/PPK record + measured validation of every applicable process/cooling/reheating/storage limit + approved traceability/allergen communication; FoodSafetyAgent re-review required</t>
        </is>
      </c>
    </row>
    <row r="26">
      <c r="A26" s="33" t="inlineStr">
        <is>
          <t>FSC-021</t>
        </is>
      </c>
      <c r="B26" s="33" t="inlineStr">
        <is>
          <t>VKM-021</t>
        </is>
      </c>
      <c r="C26" s="33" t="inlineStr">
        <is>
          <t>Бургер VARSHAVKA</t>
        </is>
      </c>
      <c r="D26" s="33" t="inlineStr">
        <is>
          <t>0.1.0-DRAFT</t>
        </is>
      </c>
      <c r="E26" s="33" t="inlineStr">
        <is>
          <t>c6b22ad5f2812cc989a0d3593f40e21207da8f53</t>
        </is>
      </c>
      <c r="F26" s="39" t="n"/>
      <c r="G26" s="39" t="n"/>
      <c r="H26" s="39" t="n"/>
      <c r="I26" s="39" t="n"/>
      <c r="J26" s="33" t="inlineStr">
        <is>
          <t>CONDITIONAL: applies if any component is prepared in advance; cooling route and limit require validation</t>
        </is>
      </c>
      <c r="K26" s="33" t="inlineStr">
        <is>
          <t>CONDITIONAL: applies only to an approved make-ahead route; reheating route and limit require validation</t>
        </is>
      </c>
      <c r="L26" s="33" t="inlineStr">
        <is>
          <t>BLOCKED_PENDING_VALIDATION</t>
        </is>
      </c>
      <c r="M26" s="33" t="inlineStr">
        <is>
          <t>BLOCK</t>
        </is>
      </c>
      <c r="N26" s="33" t="inlineStr">
        <is>
          <t>GLUTEN;MILK;EGG — DRAFT_NAME_BASED; not final until recipe and SKU labels</t>
        </is>
      </c>
      <c r="O26" s="33" t="inlineStr">
        <is>
          <t>UNKNOWN_PENDING_SITE_FLOW_AND_EQUIPMENT_MAP</t>
        </is>
      </c>
      <c r="P26" s="33" t="inlineStr">
        <is>
          <t>DRAFT_BLOCKED_PENDING_VALIDATION</t>
        </is>
      </c>
      <c r="Q26" s="33" t="inlineStr">
        <is>
          <t>EVD-0003;EVD-0012;EVD-0013;EVD-0014;EVD-0015;EVD-FS-001;EVD-FS-002;EVD-FS-003</t>
        </is>
      </c>
      <c r="R26" s="33" t="inlineStr">
        <is>
          <t>Current DRAFT recipe is version-locked for review, but Chef acceptance, SKU allergen dossier, validated dish-specific limits, shelf life and site HACCP/PPK release record are absent</t>
        </is>
      </c>
      <c r="S26" s="33" t="inlineStr">
        <is>
          <t>Exact accepted recipe/VSF version + complete SKU/lot dossier + approved site flow/HACCP/PPK record + measured validation of every applicable process/cooling/reheating/storage limit + approved traceability/allergen communication; FoodSafetyAgent re-review required</t>
        </is>
      </c>
    </row>
    <row r="27">
      <c r="A27" s="33" t="inlineStr">
        <is>
          <t>FSC-022</t>
        </is>
      </c>
      <c r="B27" s="33" t="inlineStr">
        <is>
          <t>VKM-022</t>
        </is>
      </c>
      <c r="C27" s="33" t="inlineStr">
        <is>
          <t>Миньоны из говяжьей вырезки</t>
        </is>
      </c>
      <c r="D27" s="33" t="inlineStr">
        <is>
          <t>0.1.0-DRAFT</t>
        </is>
      </c>
      <c r="E27" s="33" t="inlineStr">
        <is>
          <t>c6b22ad5f2812cc989a0d3593f40e21207da8f53</t>
        </is>
      </c>
      <c r="F27" s="39" t="n"/>
      <c r="G27" s="39" t="n"/>
      <c r="H27" s="39" t="n"/>
      <c r="I27" s="39" t="n"/>
      <c r="J27" s="33" t="inlineStr">
        <is>
          <t>CONDITIONAL: applies if any component is prepared in advance; cooling route and limit require validation</t>
        </is>
      </c>
      <c r="K27" s="33" t="inlineStr">
        <is>
          <t>CONDITIONAL: applies only to an approved make-ahead route; reheating route and limit require validation</t>
        </is>
      </c>
      <c r="L27" s="33" t="inlineStr">
        <is>
          <t>BLOCKED_PENDING_VALIDATION</t>
        </is>
      </c>
      <c r="M27" s="33" t="inlineStr">
        <is>
          <t>BLOCK</t>
        </is>
      </c>
      <c r="N27" s="33" t="inlineStr">
        <is>
          <t>UNKNOWN_RECIPE_SKU; no allergen may be declared absent</t>
        </is>
      </c>
      <c r="O27" s="33" t="inlineStr">
        <is>
          <t>UNKNOWN_PENDING_SITE_FLOW_AND_EQUIPMENT_MAP</t>
        </is>
      </c>
      <c r="P27" s="33" t="inlineStr">
        <is>
          <t>DRAFT_BLOCKED_PENDING_VALIDATION</t>
        </is>
      </c>
      <c r="Q27" s="33" t="inlineStr">
        <is>
          <t>EVD-0003;EVD-0012;EVD-0013;EVD-0014;EVD-0015;EVD-FS-001;EVD-FS-002;EVD-FS-003</t>
        </is>
      </c>
      <c r="R27" s="33" t="inlineStr">
        <is>
          <t>Current DRAFT recipe is version-locked for review, but Chef acceptance, SKU allergen dossier, validated dish-specific limits, shelf life and site HACCP/PPK release record are absent</t>
        </is>
      </c>
      <c r="S27" s="33" t="inlineStr">
        <is>
          <t>Exact accepted recipe/VSF version + complete SKU/lot dossier + approved site flow/HACCP/PPK record + measured validation of every applicable process/cooling/reheating/storage limit + approved traceability/allergen communication; FoodSafetyAgent re-review required</t>
        </is>
      </c>
    </row>
    <row r="28">
      <c r="A28" s="33" t="inlineStr">
        <is>
          <t>FSC-023</t>
        </is>
      </c>
      <c r="B28" s="33" t="inlineStr">
        <is>
          <t>VKM-023</t>
        </is>
      </c>
      <c r="C28" s="33" t="inlineStr">
        <is>
          <t>Запечённый картофель</t>
        </is>
      </c>
      <c r="D28" s="33" t="inlineStr">
        <is>
          <t>0.1.0-DRAFT</t>
        </is>
      </c>
      <c r="E28" s="33" t="inlineStr">
        <is>
          <t>c6b22ad5f2812cc989a0d3593f40e21207da8f53</t>
        </is>
      </c>
      <c r="F28" s="39" t="n"/>
      <c r="G28" s="39" t="n"/>
      <c r="H28" s="39" t="n"/>
      <c r="I28" s="39" t="n"/>
      <c r="J28" s="33" t="inlineStr">
        <is>
          <t>CONDITIONAL: applies if any component is prepared in advance; cooling route and limit require validation</t>
        </is>
      </c>
      <c r="K28" s="33" t="inlineStr">
        <is>
          <t>CONDITIONAL: applies only to an approved make-ahead route; reheating route and limit require validation</t>
        </is>
      </c>
      <c r="L28" s="33" t="inlineStr">
        <is>
          <t>BLOCKED_PENDING_VALIDATION</t>
        </is>
      </c>
      <c r="M28" s="33" t="inlineStr">
        <is>
          <t>BLOCK</t>
        </is>
      </c>
      <c r="N28" s="33" t="inlineStr">
        <is>
          <t>UNKNOWN_RECIPE_SKU; no allergen may be declared absent</t>
        </is>
      </c>
      <c r="O28" s="33" t="inlineStr">
        <is>
          <t>UNKNOWN_PENDING_SITE_FLOW_AND_EQUIPMENT_MAP</t>
        </is>
      </c>
      <c r="P28" s="33" t="inlineStr">
        <is>
          <t>DRAFT_BLOCKED_PENDING_VALIDATION</t>
        </is>
      </c>
      <c r="Q28" s="33" t="inlineStr">
        <is>
          <t>EVD-0003;EVD-0012;EVD-0013;EVD-0014;EVD-0015;EVD-FS-001;EVD-FS-002;EVD-FS-003</t>
        </is>
      </c>
      <c r="R28" s="33" t="inlineStr">
        <is>
          <t>Current DRAFT recipe is version-locked for review, but Chef acceptance, SKU allergen dossier, validated dish-specific limits, shelf life and site HACCP/PPK release record are absent</t>
        </is>
      </c>
      <c r="S28" s="33" t="inlineStr">
        <is>
          <t>Exact accepted recipe/VSF version + complete SKU/lot dossier + approved site flow/HACCP/PPK record + measured validation of every applicable process/cooling/reheating/storage limit + approved traceability/allergen communication; FoodSafetyAgent re-review required</t>
        </is>
      </c>
    </row>
    <row r="29">
      <c r="A29" s="33" t="inlineStr">
        <is>
          <t>FSC-024</t>
        </is>
      </c>
      <c r="B29" s="33" t="inlineStr">
        <is>
          <t>VKM-024</t>
        </is>
      </c>
      <c r="C29" s="33" t="inlineStr">
        <is>
          <t>Рис жасмин</t>
        </is>
      </c>
      <c r="D29" s="33" t="inlineStr">
        <is>
          <t>0.1.0-DRAFT</t>
        </is>
      </c>
      <c r="E29" s="33" t="inlineStr">
        <is>
          <t>c6b22ad5f2812cc989a0d3593f40e21207da8f53</t>
        </is>
      </c>
      <c r="F29" s="39" t="n"/>
      <c r="G29" s="39" t="n"/>
      <c r="H29" s="39" t="n"/>
      <c r="I29" s="39" t="n"/>
      <c r="J29" s="33" t="inlineStr">
        <is>
          <t>CONDITIONAL: applies if any component is prepared in advance; cooling route and limit require validation</t>
        </is>
      </c>
      <c r="K29" s="33" t="inlineStr">
        <is>
          <t>CONDITIONAL: applies only to an approved make-ahead route; reheating route and limit require validation</t>
        </is>
      </c>
      <c r="L29" s="33" t="inlineStr">
        <is>
          <t>BLOCKED_PENDING_VALIDATION</t>
        </is>
      </c>
      <c r="M29" s="33" t="inlineStr">
        <is>
          <t>BLOCK</t>
        </is>
      </c>
      <c r="N29" s="33" t="inlineStr">
        <is>
          <t>MILK — DRAFT_NAME_BASED; not final until recipe and SKU labels</t>
        </is>
      </c>
      <c r="O29" s="33" t="inlineStr">
        <is>
          <t>UNKNOWN_PENDING_SITE_FLOW_AND_EQUIPMENT_MAP</t>
        </is>
      </c>
      <c r="P29" s="33" t="inlineStr">
        <is>
          <t>DRAFT_BLOCKED_PENDING_VALIDATION</t>
        </is>
      </c>
      <c r="Q29" s="33" t="inlineStr">
        <is>
          <t>EVD-0003;EVD-0012;EVD-0013;EVD-0014;EVD-0015;EVD-FS-001;EVD-FS-002;EVD-FS-003</t>
        </is>
      </c>
      <c r="R29" s="33" t="inlineStr">
        <is>
          <t>Current DRAFT recipe is version-locked for review, but Chef acceptance, SKU allergen dossier, validated dish-specific limits, shelf life and site HACCP/PPK release record are absent</t>
        </is>
      </c>
      <c r="S29" s="33" t="inlineStr">
        <is>
          <t>Exact accepted recipe/VSF version + complete SKU/lot dossier + approved site flow/HACCP/PPK record + measured validation of every applicable process/cooling/reheating/storage limit + approved traceability/allergen communication; FoodSafetyAgent re-review required</t>
        </is>
      </c>
    </row>
    <row r="30">
      <c r="A30" s="33" t="inlineStr">
        <is>
          <t>FSC-025</t>
        </is>
      </c>
      <c r="B30" s="33" t="inlineStr">
        <is>
          <t>VKM-025</t>
        </is>
      </c>
      <c r="C30" s="33" t="inlineStr">
        <is>
          <t>Горячие овощи</t>
        </is>
      </c>
      <c r="D30" s="33" t="inlineStr">
        <is>
          <t>0.1.0-DRAFT</t>
        </is>
      </c>
      <c r="E30" s="33" t="inlineStr">
        <is>
          <t>c6b22ad5f2812cc989a0d3593f40e21207da8f53</t>
        </is>
      </c>
      <c r="F30" s="39" t="n"/>
      <c r="G30" s="39" t="n"/>
      <c r="H30" s="39" t="n"/>
      <c r="I30" s="39" t="n"/>
      <c r="J30" s="33" t="inlineStr">
        <is>
          <t>CONDITIONAL: applies if any component is prepared in advance; cooling route and limit require validation</t>
        </is>
      </c>
      <c r="K30" s="33" t="inlineStr">
        <is>
          <t>CONDITIONAL: applies only to an approved make-ahead route; reheating route and limit require validation</t>
        </is>
      </c>
      <c r="L30" s="33" t="inlineStr">
        <is>
          <t>BLOCKED_PENDING_VALIDATION</t>
        </is>
      </c>
      <c r="M30" s="33" t="inlineStr">
        <is>
          <t>BLOCK</t>
        </is>
      </c>
      <c r="N30" s="33" t="inlineStr">
        <is>
          <t>UNKNOWN_RECIPE_SKU; no allergen may be declared absent</t>
        </is>
      </c>
      <c r="O30" s="33" t="inlineStr">
        <is>
          <t>UNKNOWN_PENDING_SITE_FLOW_AND_EQUIPMENT_MAP</t>
        </is>
      </c>
      <c r="P30" s="33" t="inlineStr">
        <is>
          <t>DRAFT_BLOCKED_PENDING_VALIDATION</t>
        </is>
      </c>
      <c r="Q30" s="33" t="inlineStr">
        <is>
          <t>EVD-0003;EVD-0012;EVD-0013;EVD-0014;EVD-0015;EVD-FS-001;EVD-FS-002;EVD-FS-003</t>
        </is>
      </c>
      <c r="R30" s="33" t="inlineStr">
        <is>
          <t>Current DRAFT recipe is version-locked for review, but Chef acceptance, SKU allergen dossier, validated dish-specific limits, shelf life and site HACCP/PPK release record are absent</t>
        </is>
      </c>
      <c r="S30" s="33" t="inlineStr">
        <is>
          <t>Exact accepted recipe/VSF version + complete SKU/lot dossier + approved site flow/HACCP/PPK record + measured validation of every applicable process/cooling/reheating/storage limit + approved traceability/allergen communication; FoodSafetyAgent re-review required</t>
        </is>
      </c>
    </row>
    <row r="31">
      <c r="A31" s="33" t="inlineStr">
        <is>
          <t>FSC-026</t>
        </is>
      </c>
      <c r="B31" s="33" t="inlineStr">
        <is>
          <t>VKM-029</t>
        </is>
      </c>
      <c r="C31" s="33" t="inlineStr">
        <is>
          <t>Черничный торт VARSHAVKA</t>
        </is>
      </c>
      <c r="D31" s="33" t="inlineStr">
        <is>
          <t>0.1.0-DRAFT</t>
        </is>
      </c>
      <c r="E31" s="33" t="inlineStr">
        <is>
          <t>c6b22ad5f2812cc989a0d3593f40e21207da8f53</t>
        </is>
      </c>
      <c r="F31" s="39" t="n"/>
      <c r="G31" s="39" t="n"/>
      <c r="H31" s="39" t="n"/>
      <c r="I31" s="39" t="n"/>
      <c r="J31" s="33" t="inlineStr">
        <is>
          <t>APPLICABLE_OR_COMPONENT_DEPENDENT: cooling/chilling route and limits require control-cook/site validation</t>
        </is>
      </c>
      <c r="K31" s="33" t="inlineStr">
        <is>
          <t>NOT_PLANNED_IN_DRAFT: any reheating is a process change requiring review</t>
        </is>
      </c>
      <c r="L31" s="33" t="inlineStr">
        <is>
          <t>BLOCKED_PENDING_VALIDATION</t>
        </is>
      </c>
      <c r="M31" s="33" t="inlineStr">
        <is>
          <t>BLOCK</t>
        </is>
      </c>
      <c r="N31" s="33" t="inlineStr">
        <is>
          <t>GLUTEN;MILK;EGG — DRAFT_NAME_BASED; not final until recipe and SKU labels</t>
        </is>
      </c>
      <c r="O31" s="33" t="inlineStr">
        <is>
          <t>UNKNOWN_PENDING_SITE_FLOW_AND_EQUIPMENT_MAP</t>
        </is>
      </c>
      <c r="P31" s="33" t="inlineStr">
        <is>
          <t>DRAFT_BLOCKED_PENDING_VALIDATION</t>
        </is>
      </c>
      <c r="Q31" s="33" t="inlineStr">
        <is>
          <t>EVD-0003;EVD-0012;EVD-0013;EVD-0014;EVD-0015;EVD-FS-001;EVD-FS-002;EVD-FS-003</t>
        </is>
      </c>
      <c r="R31" s="33" t="inlineStr">
        <is>
          <t>Current DRAFT recipe is version-locked for review, but Chef acceptance, SKU allergen dossier, validated dish-specific limits, shelf life and site HACCP/PPK release record are absent</t>
        </is>
      </c>
      <c r="S31" s="33" t="inlineStr">
        <is>
          <t>Exact accepted recipe/VSF version + complete SKU/lot dossier + approved site flow/HACCP/PPK record + measured validation of every applicable process/cooling/reheating/storage limit + approved traceability/allergen communication; FoodSafetyAgent re-review required</t>
        </is>
      </c>
    </row>
    <row r="32">
      <c r="A32" s="33" t="inlineStr">
        <is>
          <t>FSC-027</t>
        </is>
      </c>
      <c r="B32" s="33" t="inlineStr">
        <is>
          <t>VKM-030</t>
        </is>
      </c>
      <c r="C32" s="33" t="inlineStr">
        <is>
          <t>Кростата с солёной карамелью</t>
        </is>
      </c>
      <c r="D32" s="33" t="inlineStr">
        <is>
          <t>0.1.0-DRAFT</t>
        </is>
      </c>
      <c r="E32" s="33" t="inlineStr">
        <is>
          <t>c6b22ad5f2812cc989a0d3593f40e21207da8f53</t>
        </is>
      </c>
      <c r="F32" s="39" t="n"/>
      <c r="G32" s="39" t="n"/>
      <c r="H32" s="39" t="n"/>
      <c r="I32" s="39" t="n"/>
      <c r="J32" s="33" t="inlineStr">
        <is>
          <t>APPLICABLE_OR_COMPONENT_DEPENDENT: cooling/chilling route and limits require control-cook/site validation</t>
        </is>
      </c>
      <c r="K32" s="33" t="inlineStr">
        <is>
          <t>NOT_PLANNED_IN_DRAFT: any reheating is a process change requiring review</t>
        </is>
      </c>
      <c r="L32" s="33" t="inlineStr">
        <is>
          <t>BLOCKED_PENDING_VALIDATION</t>
        </is>
      </c>
      <c r="M32" s="33" t="inlineStr">
        <is>
          <t>BLOCK</t>
        </is>
      </c>
      <c r="N32" s="33" t="inlineStr">
        <is>
          <t>GLUTEN;MILK;EGG — DRAFT_NAME_BASED; not final until recipe and SKU labels</t>
        </is>
      </c>
      <c r="O32" s="33" t="inlineStr">
        <is>
          <t>UNKNOWN_PENDING_SITE_FLOW_AND_EQUIPMENT_MAP</t>
        </is>
      </c>
      <c r="P32" s="33" t="inlineStr">
        <is>
          <t>DRAFT_BLOCKED_PENDING_VALIDATION</t>
        </is>
      </c>
      <c r="Q32" s="33" t="inlineStr">
        <is>
          <t>EVD-0003;EVD-0012;EVD-0013;EVD-0014;EVD-0015;EVD-FS-001;EVD-FS-002;EVD-FS-003</t>
        </is>
      </c>
      <c r="R32" s="33" t="inlineStr">
        <is>
          <t>Current DRAFT recipe is version-locked for review, but Chef acceptance, SKU allergen dossier, validated dish-specific limits, shelf life and site HACCP/PPK release record are absent</t>
        </is>
      </c>
      <c r="S32" s="33" t="inlineStr">
        <is>
          <t>Exact accepted recipe/VSF version + complete SKU/lot dossier + approved site flow/HACCP/PPK record + measured validation of every applicable process/cooling/reheating/storage limit + approved traceability/allergen communication; FoodSafetyAgent re-review required</t>
        </is>
      </c>
    </row>
    <row r="33">
      <c r="A33" s="33" t="inlineStr">
        <is>
          <t>FSC-028</t>
        </is>
      </c>
      <c r="B33" s="33" t="inlineStr">
        <is>
          <t>VKM-031</t>
        </is>
      </c>
      <c r="C33" s="33" t="inlineStr">
        <is>
          <t>Мадлен</t>
        </is>
      </c>
      <c r="D33" s="33" t="inlineStr">
        <is>
          <t>0.1.0-DRAFT</t>
        </is>
      </c>
      <c r="E33" s="33" t="inlineStr">
        <is>
          <t>c6b22ad5f2812cc989a0d3593f40e21207da8f53</t>
        </is>
      </c>
      <c r="F33" s="39" t="n"/>
      <c r="G33" s="39" t="n"/>
      <c r="H33" s="39" t="n"/>
      <c r="I33" s="39" t="n"/>
      <c r="J33" s="33" t="inlineStr">
        <is>
          <t>APPLICABLE_OR_COMPONENT_DEPENDENT: cooling/chilling route and limits require control-cook/site validation</t>
        </is>
      </c>
      <c r="K33" s="33" t="inlineStr">
        <is>
          <t>NOT_PLANNED_IN_DRAFT: any reheating is a process change requiring review</t>
        </is>
      </c>
      <c r="L33" s="33" t="inlineStr">
        <is>
          <t>BLOCKED_PENDING_VALIDATION</t>
        </is>
      </c>
      <c r="M33" s="33" t="inlineStr">
        <is>
          <t>BLOCK</t>
        </is>
      </c>
      <c r="N33" s="33" t="inlineStr">
        <is>
          <t>GLUTEN;MILK;EGG — DRAFT_NAME_BASED; not final until recipe and SKU labels</t>
        </is>
      </c>
      <c r="O33" s="33" t="inlineStr">
        <is>
          <t>UNKNOWN_PENDING_SITE_FLOW_AND_EQUIPMENT_MAP</t>
        </is>
      </c>
      <c r="P33" s="33" t="inlineStr">
        <is>
          <t>DRAFT_BLOCKED_PENDING_VALIDATION</t>
        </is>
      </c>
      <c r="Q33" s="33" t="inlineStr">
        <is>
          <t>EVD-0003;EVD-0012;EVD-0013;EVD-0014;EVD-0015;EVD-FS-001;EVD-FS-002;EVD-FS-003</t>
        </is>
      </c>
      <c r="R33" s="33" t="inlineStr">
        <is>
          <t>Current DRAFT recipe is version-locked for review, but Chef acceptance, SKU allergen dossier, validated dish-specific limits, shelf life and site HACCP/PPK release record are absent</t>
        </is>
      </c>
      <c r="S33" s="33" t="inlineStr">
        <is>
          <t>Exact accepted recipe/VSF version + complete SKU/lot dossier + approved site flow/HACCP/PPK record + measured validation of every applicable process/cooling/reheating/storage limit + approved traceability/allergen communication; FoodSafetyAgent re-review required</t>
        </is>
      </c>
    </row>
  </sheetData>
  <mergeCells count="2">
    <mergeCell ref="A2:S2"/>
    <mergeCell ref="A1:S1"/>
  </mergeCells>
  <conditionalFormatting sqref="L6:P33">
    <cfRule type="containsText" priority="1" operator="containsText" dxfId="0" text="BLOCK"/>
    <cfRule type="containsText" priority="2" operator="containsText" dxfId="1" text="PASS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Y3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2" customWidth="1" min="4" max="4"/>
    <col width="14" customWidth="1" min="5" max="5"/>
    <col width="13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9" customWidth="1" min="13" max="13"/>
    <col width="25" customWidth="1" min="14" max="14"/>
    <col width="30" customWidth="1" min="15" max="15"/>
    <col width="24" customWidth="1" min="16" max="16"/>
    <col width="55" customWidth="1" min="17" max="17"/>
  </cols>
  <sheetData>
    <row r="1" ht="30" customHeight="1">
      <c r="A1" s="27" t="inlineStr">
        <is>
          <t>11 — Пищевая ценность</t>
        </is>
      </c>
    </row>
    <row r="2" ht="27" customHeight="1">
      <c r="A2" s="29" t="inlineStr">
        <is>
          <t>HOF-0013: numeric calculated draft 28/28 with official/proxy provenance and low/base/high; release remains blocked, laboratory confirmed 0/28.</t>
        </is>
      </c>
    </row>
    <row r="3">
      <c r="A3" s="28" t="n"/>
      <c r="B3" s="28" t="n"/>
      <c r="C3" s="28" t="n"/>
      <c r="D3" s="28" t="n"/>
      <c r="E3" s="28" t="n"/>
      <c r="F3" s="28" t="n"/>
      <c r="G3" s="28" t="n"/>
      <c r="H3" s="28" t="n"/>
      <c r="I3" s="28" t="n"/>
      <c r="J3" s="28" t="n"/>
      <c r="K3" s="28" t="n"/>
      <c r="L3" s="28" t="n"/>
      <c r="M3" s="28" t="n"/>
      <c r="N3" s="28" t="n"/>
      <c r="O3" s="28" t="n"/>
      <c r="P3" s="28" t="n"/>
      <c r="Q3" s="28" t="n"/>
      <c r="R3" s="28" t="n"/>
      <c r="S3" s="28" t="n"/>
      <c r="T3" s="28" t="n"/>
      <c r="U3" s="28" t="n"/>
      <c r="V3" s="28" t="n"/>
      <c r="W3" s="28" t="n"/>
      <c r="X3" s="28" t="n"/>
      <c r="Y3" s="28" t="n"/>
    </row>
    <row r="4">
      <c r="A4" s="28" t="n"/>
      <c r="B4" s="28" t="n"/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  <c r="P4" s="28" t="n"/>
      <c r="Q4" s="28" t="n"/>
      <c r="R4" s="28" t="n"/>
      <c r="S4" s="28" t="n"/>
      <c r="T4" s="28" t="n"/>
      <c r="U4" s="28" t="n"/>
      <c r="V4" s="28" t="n"/>
      <c r="W4" s="28" t="n"/>
      <c r="X4" s="28" t="n"/>
      <c r="Y4" s="28" t="n"/>
    </row>
    <row r="5" ht="34" customHeight="1">
      <c r="A5" s="32" t="inlineStr">
        <is>
          <t>Nutrition ID</t>
        </is>
      </c>
      <c r="B5" s="32" t="inlineStr">
        <is>
          <t>Dish ID</t>
        </is>
      </c>
      <c r="C5" s="32" t="inlineStr">
        <is>
          <t>Блюдо</t>
        </is>
      </c>
      <c r="D5" s="32" t="inlineStr">
        <is>
          <t>Portion g</t>
        </is>
      </c>
      <c r="E5" s="32" t="inlineStr">
        <is>
          <t>Protein/output</t>
        </is>
      </c>
      <c r="F5" s="32" t="inlineStr">
        <is>
          <t>Protein low</t>
        </is>
      </c>
      <c r="G5" s="32" t="inlineStr">
        <is>
          <t>Protein high</t>
        </is>
      </c>
      <c r="H5" s="32" t="inlineStr">
        <is>
          <t>Fat/output</t>
        </is>
      </c>
      <c r="I5" s="32" t="inlineStr">
        <is>
          <t>Fat low</t>
        </is>
      </c>
      <c r="J5" s="32" t="inlineStr">
        <is>
          <t>Fat high</t>
        </is>
      </c>
      <c r="K5" s="32" t="inlineStr">
        <is>
          <t>Carbs/output</t>
        </is>
      </c>
      <c r="L5" s="32" t="inlineStr">
        <is>
          <t>Carbs low</t>
        </is>
      </c>
      <c r="M5" s="32" t="inlineStr">
        <is>
          <t>Carbs high</t>
        </is>
      </c>
      <c r="N5" s="32" t="inlineStr">
        <is>
          <t>Kcal/output</t>
        </is>
      </c>
      <c r="O5" s="32" t="inlineStr">
        <is>
          <t>Kcal low</t>
        </is>
      </c>
      <c r="P5" s="32" t="inlineStr">
        <is>
          <t>Kcal high</t>
        </is>
      </c>
      <c r="Q5" s="32" t="inlineStr">
        <is>
          <t>Protein/100g</t>
        </is>
      </c>
      <c r="R5" s="32" t="inlineStr">
        <is>
          <t>Fat/100g</t>
        </is>
      </c>
      <c r="S5" s="32" t="inlineStr">
        <is>
          <t>Carbs/100g</t>
        </is>
      </c>
      <c r="T5" s="32" t="inlineStr">
        <is>
          <t>Kcal/100g</t>
        </is>
      </c>
      <c r="U5" s="32" t="inlineStr">
        <is>
          <t>Lab</t>
        </is>
      </c>
      <c r="V5" s="32" t="inlineStr">
        <is>
          <t>Calc status</t>
        </is>
      </c>
      <c r="W5" s="32" t="inlineStr">
        <is>
          <t>Release</t>
        </is>
      </c>
      <c r="X5" s="32" t="inlineStr">
        <is>
          <t>Evidence</t>
        </is>
      </c>
      <c r="Y5" s="32" t="inlineStr">
        <is>
          <t>Blockers</t>
        </is>
      </c>
    </row>
    <row r="6">
      <c r="A6" s="33" t="inlineStr">
        <is>
          <t>NUT-DISH-001</t>
        </is>
      </c>
      <c r="B6" s="33" t="inlineStr">
        <is>
          <t>VKM-001</t>
        </is>
      </c>
      <c r="C6" s="33" t="inlineStr">
        <is>
          <t>Маргарита</t>
        </is>
      </c>
      <c r="D6" s="33" t="n">
        <v>450</v>
      </c>
      <c r="E6" s="49" t="n">
        <v>51.5</v>
      </c>
      <c r="F6" s="49" t="n">
        <v>51.5</v>
      </c>
      <c r="G6" s="49" t="n">
        <v>51.5</v>
      </c>
      <c r="H6" s="49" t="n">
        <v>64.04000000000001</v>
      </c>
      <c r="I6" s="49" t="n">
        <v>64.04000000000001</v>
      </c>
      <c r="J6" s="49" t="n">
        <v>64.04000000000001</v>
      </c>
      <c r="K6" s="49" t="n">
        <v>112.39</v>
      </c>
      <c r="L6" s="49" t="n">
        <v>112.39</v>
      </c>
      <c r="M6" s="49" t="n">
        <v>112.39</v>
      </c>
      <c r="N6" s="49" t="n">
        <v>1234.18</v>
      </c>
      <c r="O6" s="49" t="n">
        <v>1234.18</v>
      </c>
      <c r="P6" s="49" t="n">
        <v>1234.18</v>
      </c>
      <c r="Q6" s="49" t="n">
        <v>11.44</v>
      </c>
      <c r="R6" s="49" t="n">
        <v>14.23</v>
      </c>
      <c r="S6" s="49" t="n">
        <v>24.98</v>
      </c>
      <c r="T6" s="49" t="n">
        <v>274.26</v>
      </c>
      <c r="U6" s="33" t="inlineStr">
        <is>
          <t>false</t>
        </is>
      </c>
      <c r="V6" s="33" t="inlineStr">
        <is>
          <t>CALCULATED_DRAFT_WITH_ASSUMPTIONS</t>
        </is>
      </c>
      <c r="W6" s="33" t="inlineStr">
        <is>
          <t>BLOCKED_PENDING_VALIDATION</t>
        </is>
      </c>
      <c r="X6" s="33" t="inlineStr">
        <is>
          <t>EVD-0005;EVD-0007;EVD-0008;EVD-0027;EVD-0028;METHOD-NUT-002</t>
        </is>
      </c>
      <c r="Y6" s="33" t="inlineStr">
        <is>
          <t>GAP-005;GAP-013</t>
        </is>
      </c>
    </row>
    <row r="7">
      <c r="A7" s="33" t="inlineStr">
        <is>
          <t>NUT-DISH-002</t>
        </is>
      </c>
      <c r="B7" s="33" t="inlineStr">
        <is>
          <t>VKM-002</t>
        </is>
      </c>
      <c r="C7" s="33" t="inlineStr">
        <is>
          <t>Четыре сыра</t>
        </is>
      </c>
      <c r="D7" s="33" t="n">
        <v>480</v>
      </c>
      <c r="E7" s="49" t="n">
        <v>67.91</v>
      </c>
      <c r="F7" s="49" t="n">
        <v>67.09</v>
      </c>
      <c r="G7" s="49" t="n">
        <v>69.34999999999999</v>
      </c>
      <c r="H7" s="49" t="n">
        <v>83.68000000000001</v>
      </c>
      <c r="I7" s="49" t="n">
        <v>83.68000000000001</v>
      </c>
      <c r="J7" s="49" t="n">
        <v>87.06999999999999</v>
      </c>
      <c r="K7" s="49" t="n">
        <v>110.75</v>
      </c>
      <c r="L7" s="49" t="n">
        <v>110.75</v>
      </c>
      <c r="M7" s="49" t="n">
        <v>111.34</v>
      </c>
      <c r="N7" s="49" t="n">
        <v>1474.03</v>
      </c>
      <c r="O7" s="49" t="n">
        <v>1474.03</v>
      </c>
      <c r="P7" s="49" t="n">
        <v>1508.83</v>
      </c>
      <c r="Q7" s="49" t="n">
        <v>14.15</v>
      </c>
      <c r="R7" s="49" t="n">
        <v>17.43</v>
      </c>
      <c r="S7" s="49" t="n">
        <v>23.07</v>
      </c>
      <c r="T7" s="49" t="n">
        <v>307.09</v>
      </c>
      <c r="U7" s="33" t="inlineStr">
        <is>
          <t>false</t>
        </is>
      </c>
      <c r="V7" s="33" t="inlineStr">
        <is>
          <t>CALCULATED_DRAFT_WITH_ASSUMPTIONS</t>
        </is>
      </c>
      <c r="W7" s="33" t="inlineStr">
        <is>
          <t>BLOCKED_PENDING_VALIDATION</t>
        </is>
      </c>
      <c r="X7" s="33" t="inlineStr">
        <is>
          <t>EVD-0005;EVD-0007;EVD-0008;EVD-0027;EVD-0028;METHOD-NUT-002</t>
        </is>
      </c>
      <c r="Y7" s="33" t="inlineStr">
        <is>
          <t>GAP-005;GAP-013</t>
        </is>
      </c>
    </row>
    <row r="8">
      <c r="A8" s="33" t="inlineStr">
        <is>
          <t>NUT-DISH-003</t>
        </is>
      </c>
      <c r="B8" s="33" t="inlineStr">
        <is>
          <t>VKM-003</t>
        </is>
      </c>
      <c r="C8" s="33" t="inlineStr">
        <is>
          <t>Грибная с ветчиной</t>
        </is>
      </c>
      <c r="D8" s="33" t="n">
        <v>500</v>
      </c>
      <c r="E8" s="49" t="n">
        <v>50.34</v>
      </c>
      <c r="F8" s="49" t="n">
        <v>50.34</v>
      </c>
      <c r="G8" s="49" t="n">
        <v>50.34</v>
      </c>
      <c r="H8" s="49" t="n">
        <v>55.08</v>
      </c>
      <c r="I8" s="49" t="n">
        <v>55.08</v>
      </c>
      <c r="J8" s="49" t="n">
        <v>55.08</v>
      </c>
      <c r="K8" s="49" t="n">
        <v>115.15</v>
      </c>
      <c r="L8" s="49" t="n">
        <v>115.15</v>
      </c>
      <c r="M8" s="49" t="n">
        <v>115.15</v>
      </c>
      <c r="N8" s="49" t="n">
        <v>1158.43</v>
      </c>
      <c r="O8" s="49" t="n">
        <v>1158.43</v>
      </c>
      <c r="P8" s="49" t="n">
        <v>1158.43</v>
      </c>
      <c r="Q8" s="49" t="n">
        <v>10.07</v>
      </c>
      <c r="R8" s="49" t="n">
        <v>11.02</v>
      </c>
      <c r="S8" s="49" t="n">
        <v>23.03</v>
      </c>
      <c r="T8" s="49" t="n">
        <v>231.69</v>
      </c>
      <c r="U8" s="33" t="inlineStr">
        <is>
          <t>false</t>
        </is>
      </c>
      <c r="V8" s="33" t="inlineStr">
        <is>
          <t>CALCULATED_DRAFT_WITH_ASSUMPTIONS</t>
        </is>
      </c>
      <c r="W8" s="33" t="inlineStr">
        <is>
          <t>BLOCKED_PENDING_VALIDATION</t>
        </is>
      </c>
      <c r="X8" s="33" t="inlineStr">
        <is>
          <t>EVD-0005;EVD-0007;EVD-0008;EVD-0027;EVD-0028;METHOD-NUT-002</t>
        </is>
      </c>
      <c r="Y8" s="33" t="inlineStr">
        <is>
          <t>GAP-005;GAP-013</t>
        </is>
      </c>
    </row>
    <row r="9">
      <c r="A9" s="33" t="inlineStr">
        <is>
          <t>NUT-DISH-004</t>
        </is>
      </c>
      <c r="B9" s="33" t="inlineStr">
        <is>
          <t>VKM-004</t>
        </is>
      </c>
      <c r="C9" s="33" t="inlineStr">
        <is>
          <t>Пепперони</t>
        </is>
      </c>
      <c r="D9" s="33" t="n">
        <v>500</v>
      </c>
      <c r="E9" s="49" t="n">
        <v>60.54</v>
      </c>
      <c r="F9" s="49" t="n">
        <v>60.54</v>
      </c>
      <c r="G9" s="49" t="n">
        <v>60.54</v>
      </c>
      <c r="H9" s="49" t="n">
        <v>100.71</v>
      </c>
      <c r="I9" s="49" t="n">
        <v>100.71</v>
      </c>
      <c r="J9" s="49" t="n">
        <v>100.71</v>
      </c>
      <c r="K9" s="49" t="n">
        <v>112.01</v>
      </c>
      <c r="L9" s="49" t="n">
        <v>112.01</v>
      </c>
      <c r="M9" s="49" t="n">
        <v>112.01</v>
      </c>
      <c r="N9" s="49" t="n">
        <v>1603.07</v>
      </c>
      <c r="O9" s="49" t="n">
        <v>1603.07</v>
      </c>
      <c r="P9" s="49" t="n">
        <v>1603.07</v>
      </c>
      <c r="Q9" s="49" t="n">
        <v>12.11</v>
      </c>
      <c r="R9" s="49" t="n">
        <v>20.14</v>
      </c>
      <c r="S9" s="49" t="n">
        <v>22.4</v>
      </c>
      <c r="T9" s="49" t="n">
        <v>320.61</v>
      </c>
      <c r="U9" s="33" t="inlineStr">
        <is>
          <t>false</t>
        </is>
      </c>
      <c r="V9" s="33" t="inlineStr">
        <is>
          <t>CALCULATED_DRAFT_WITH_ASSUMPTIONS</t>
        </is>
      </c>
      <c r="W9" s="33" t="inlineStr">
        <is>
          <t>BLOCKED_PENDING_VALIDATION</t>
        </is>
      </c>
      <c r="X9" s="33" t="inlineStr">
        <is>
          <t>EVD-0005;EVD-0007;EVD-0008;EVD-0027;EVD-0028;METHOD-NUT-002</t>
        </is>
      </c>
      <c r="Y9" s="33" t="inlineStr">
        <is>
          <t>GAP-005;GAP-013</t>
        </is>
      </c>
    </row>
    <row r="10">
      <c r="A10" s="33" t="inlineStr">
        <is>
          <t>NUT-DISH-005</t>
        </is>
      </c>
      <c r="B10" s="33" t="inlineStr">
        <is>
          <t>VKM-005</t>
        </is>
      </c>
      <c r="C10" s="33" t="inlineStr">
        <is>
          <t>Белая чиабатта</t>
        </is>
      </c>
      <c r="D10" s="33" t="n">
        <v>100</v>
      </c>
      <c r="E10" s="49" t="n">
        <v>7.59</v>
      </c>
      <c r="F10" s="49" t="n">
        <v>7.59</v>
      </c>
      <c r="G10" s="49" t="n">
        <v>7.59</v>
      </c>
      <c r="H10" s="49" t="n">
        <v>9.07</v>
      </c>
      <c r="I10" s="49" t="n">
        <v>9.07</v>
      </c>
      <c r="J10" s="49" t="n">
        <v>9.07</v>
      </c>
      <c r="K10" s="49" t="n">
        <v>43.93</v>
      </c>
      <c r="L10" s="49" t="n">
        <v>43.93</v>
      </c>
      <c r="M10" s="49" t="n">
        <v>43.93</v>
      </c>
      <c r="N10" s="49" t="n">
        <v>290.57</v>
      </c>
      <c r="O10" s="49" t="n">
        <v>290.57</v>
      </c>
      <c r="P10" s="49" t="n">
        <v>290.57</v>
      </c>
      <c r="Q10" s="49" t="n">
        <v>7.59</v>
      </c>
      <c r="R10" s="49" t="n">
        <v>9.07</v>
      </c>
      <c r="S10" s="49" t="n">
        <v>43.93</v>
      </c>
      <c r="T10" s="49" t="n">
        <v>290.57</v>
      </c>
      <c r="U10" s="33" t="inlineStr">
        <is>
          <t>false</t>
        </is>
      </c>
      <c r="V10" s="33" t="inlineStr">
        <is>
          <t>CALCULATED_DRAFT</t>
        </is>
      </c>
      <c r="W10" s="33" t="inlineStr">
        <is>
          <t>BLOCKED_PENDING_VALIDATION</t>
        </is>
      </c>
      <c r="X10" s="33" t="inlineStr">
        <is>
          <t>EVD-0005;EVD-0007;EVD-0008;EVD-0027;EVD-0028;METHOD-NUT-002</t>
        </is>
      </c>
      <c r="Y10" s="33" t="inlineStr">
        <is>
          <t>GAP-005;GAP-013</t>
        </is>
      </c>
    </row>
    <row r="11">
      <c r="A11" s="33" t="inlineStr">
        <is>
          <t>NUT-DISH-006</t>
        </is>
      </c>
      <c r="B11" s="33" t="inlineStr">
        <is>
          <t>VKM-006</t>
        </is>
      </c>
      <c r="C11" s="33" t="inlineStr">
        <is>
          <t>Томатная чиабатта</t>
        </is>
      </c>
      <c r="D11" s="33" t="n">
        <v>100</v>
      </c>
      <c r="E11" s="49" t="n">
        <v>8.68</v>
      </c>
      <c r="F11" s="49" t="n">
        <v>7.96</v>
      </c>
      <c r="G11" s="49" t="n">
        <v>8.68</v>
      </c>
      <c r="H11" s="49" t="n">
        <v>4.29</v>
      </c>
      <c r="I11" s="49" t="n">
        <v>4.29</v>
      </c>
      <c r="J11" s="49" t="n">
        <v>5.18</v>
      </c>
      <c r="K11" s="49" t="n">
        <v>47.22</v>
      </c>
      <c r="L11" s="49" t="n">
        <v>44.63</v>
      </c>
      <c r="M11" s="49" t="n">
        <v>47.22</v>
      </c>
      <c r="N11" s="49" t="n">
        <v>259.62</v>
      </c>
      <c r="O11" s="49" t="n">
        <v>256.02</v>
      </c>
      <c r="P11" s="49" t="n">
        <v>259.62</v>
      </c>
      <c r="Q11" s="49" t="n">
        <v>8.68</v>
      </c>
      <c r="R11" s="49" t="n">
        <v>4.29</v>
      </c>
      <c r="S11" s="49" t="n">
        <v>47.22</v>
      </c>
      <c r="T11" s="49" t="n">
        <v>259.62</v>
      </c>
      <c r="U11" s="33" t="inlineStr">
        <is>
          <t>false</t>
        </is>
      </c>
      <c r="V11" s="33" t="inlineStr">
        <is>
          <t>CALCULATED_DRAFT_WITH_ASSUMPTIONS</t>
        </is>
      </c>
      <c r="W11" s="33" t="inlineStr">
        <is>
          <t>BLOCKED_PENDING_VALIDATION</t>
        </is>
      </c>
      <c r="X11" s="33" t="inlineStr">
        <is>
          <t>EVD-0005;EVD-0007;EVD-0008;EVD-0027;EVD-0028;METHOD-NUT-002</t>
        </is>
      </c>
      <c r="Y11" s="33" t="inlineStr">
        <is>
          <t>GAP-005;GAP-013</t>
        </is>
      </c>
    </row>
    <row r="12">
      <c r="A12" s="33" t="inlineStr">
        <is>
          <t>NUT-DISH-007</t>
        </is>
      </c>
      <c r="B12" s="33" t="inlineStr">
        <is>
          <t>VKM-007</t>
        </is>
      </c>
      <c r="C12" s="33" t="inlineStr">
        <is>
          <t>Бородинский хлеб</t>
        </is>
      </c>
      <c r="D12" s="33" t="n">
        <v>350</v>
      </c>
      <c r="E12" s="49" t="n">
        <v>29.07</v>
      </c>
      <c r="F12" s="49" t="n">
        <v>29.07</v>
      </c>
      <c r="G12" s="49" t="n">
        <v>29.07</v>
      </c>
      <c r="H12" s="49" t="n">
        <v>7.84</v>
      </c>
      <c r="I12" s="49" t="n">
        <v>7.84</v>
      </c>
      <c r="J12" s="49" t="n">
        <v>7.84</v>
      </c>
      <c r="K12" s="49" t="n">
        <v>194.11</v>
      </c>
      <c r="L12" s="49" t="n">
        <v>194.11</v>
      </c>
      <c r="M12" s="49" t="n">
        <v>194.11</v>
      </c>
      <c r="N12" s="49" t="n">
        <v>943.64</v>
      </c>
      <c r="O12" s="49" t="n">
        <v>943.64</v>
      </c>
      <c r="P12" s="49" t="n">
        <v>943.64</v>
      </c>
      <c r="Q12" s="49" t="n">
        <v>8.31</v>
      </c>
      <c r="R12" s="49" t="n">
        <v>2.24</v>
      </c>
      <c r="S12" s="49" t="n">
        <v>55.46</v>
      </c>
      <c r="T12" s="49" t="n">
        <v>269.61</v>
      </c>
      <c r="U12" s="33" t="inlineStr">
        <is>
          <t>false</t>
        </is>
      </c>
      <c r="V12" s="33" t="inlineStr">
        <is>
          <t>CALCULATED_DRAFT_WITH_ASSUMPTIONS</t>
        </is>
      </c>
      <c r="W12" s="33" t="inlineStr">
        <is>
          <t>BLOCKED_PENDING_VALIDATION</t>
        </is>
      </c>
      <c r="X12" s="33" t="inlineStr">
        <is>
          <t>EVD-0005;EVD-0007;EVD-0008;EVD-0027;EVD-0028;METHOD-NUT-002</t>
        </is>
      </c>
      <c r="Y12" s="33" t="inlineStr">
        <is>
          <t>GAP-005;GAP-013</t>
        </is>
      </c>
    </row>
    <row r="13">
      <c r="A13" s="33" t="inlineStr">
        <is>
          <t>NUT-DISH-008</t>
        </is>
      </c>
      <c r="B13" s="33" t="inlineStr">
        <is>
          <t>VKM-008</t>
        </is>
      </c>
      <c r="C13" s="33" t="inlineStr">
        <is>
          <t>Бриошь</t>
        </is>
      </c>
      <c r="D13" s="33" t="n">
        <v>85</v>
      </c>
      <c r="E13" s="49" t="n">
        <v>7.63</v>
      </c>
      <c r="F13" s="49" t="n">
        <v>7.63</v>
      </c>
      <c r="G13" s="49" t="n">
        <v>7.66</v>
      </c>
      <c r="H13" s="49" t="n">
        <v>14.91</v>
      </c>
      <c r="I13" s="49" t="n">
        <v>14.62</v>
      </c>
      <c r="J13" s="49" t="n">
        <v>14.91</v>
      </c>
      <c r="K13" s="49" t="n">
        <v>33.73</v>
      </c>
      <c r="L13" s="49" t="n">
        <v>33.73</v>
      </c>
      <c r="M13" s="49" t="n">
        <v>33.75</v>
      </c>
      <c r="N13" s="49" t="n">
        <v>299.57</v>
      </c>
      <c r="O13" s="49" t="n">
        <v>297.1</v>
      </c>
      <c r="P13" s="49" t="n">
        <v>299.57</v>
      </c>
      <c r="Q13" s="49" t="n">
        <v>8.98</v>
      </c>
      <c r="R13" s="49" t="n">
        <v>17.54</v>
      </c>
      <c r="S13" s="49" t="n">
        <v>39.68</v>
      </c>
      <c r="T13" s="49" t="n">
        <v>352.44</v>
      </c>
      <c r="U13" s="33" t="inlineStr">
        <is>
          <t>false</t>
        </is>
      </c>
      <c r="V13" s="33" t="inlineStr">
        <is>
          <t>CALCULATED_DRAFT_WITH_ASSUMPTIONS</t>
        </is>
      </c>
      <c r="W13" s="33" t="inlineStr">
        <is>
          <t>BLOCKED_PENDING_VALIDATION</t>
        </is>
      </c>
      <c r="X13" s="33" t="inlineStr">
        <is>
          <t>EVD-0005;EVD-0007;EVD-0008;EVD-0027;EVD-0028;METHOD-NUT-002</t>
        </is>
      </c>
      <c r="Y13" s="33" t="inlineStr">
        <is>
          <t>GAP-005;GAP-013</t>
        </is>
      </c>
    </row>
    <row r="14">
      <c r="A14" s="33" t="inlineStr">
        <is>
          <t>NUT-DISH-009</t>
        </is>
      </c>
      <c r="B14" s="33" t="inlineStr">
        <is>
          <t>VKM-009</t>
        </is>
      </c>
      <c r="C14" s="33" t="inlineStr">
        <is>
          <t>Буррата с томатами</t>
        </is>
      </c>
      <c r="D14" s="33" t="n">
        <v>300</v>
      </c>
      <c r="E14" s="49" t="n">
        <v>29.35</v>
      </c>
      <c r="F14" s="49" t="n">
        <v>9.210000000000001</v>
      </c>
      <c r="G14" s="49" t="n">
        <v>29.48</v>
      </c>
      <c r="H14" s="49" t="n">
        <v>48.06</v>
      </c>
      <c r="I14" s="49" t="n">
        <v>47.98</v>
      </c>
      <c r="J14" s="49" t="n">
        <v>63.52</v>
      </c>
      <c r="K14" s="49" t="n">
        <v>10.07</v>
      </c>
      <c r="L14" s="49" t="n">
        <v>9.699999999999999</v>
      </c>
      <c r="M14" s="49" t="n">
        <v>14.33</v>
      </c>
      <c r="N14" s="49" t="n">
        <v>584.45</v>
      </c>
      <c r="O14" s="49" t="n">
        <v>581.84</v>
      </c>
      <c r="P14" s="49" t="n">
        <v>650.8099999999999</v>
      </c>
      <c r="Q14" s="49" t="n">
        <v>9.779999999999999</v>
      </c>
      <c r="R14" s="49" t="n">
        <v>16.02</v>
      </c>
      <c r="S14" s="49" t="n">
        <v>3.36</v>
      </c>
      <c r="T14" s="49" t="n">
        <v>194.82</v>
      </c>
      <c r="U14" s="33" t="inlineStr">
        <is>
          <t>false</t>
        </is>
      </c>
      <c r="V14" s="33" t="inlineStr">
        <is>
          <t>CALCULATED_DRAFT_WITH_ASSUMPTIONS</t>
        </is>
      </c>
      <c r="W14" s="33" t="inlineStr">
        <is>
          <t>BLOCKED_PENDING_VALIDATION</t>
        </is>
      </c>
      <c r="X14" s="33" t="inlineStr">
        <is>
          <t>EVD-0005;EVD-0007;EVD-0008;EVD-0027;EVD-0028;METHOD-NUT-002</t>
        </is>
      </c>
      <c r="Y14" s="33" t="inlineStr">
        <is>
          <t>GAP-005;GAP-013</t>
        </is>
      </c>
    </row>
    <row r="15">
      <c r="A15" s="33" t="inlineStr">
        <is>
          <t>NUT-DISH-010</t>
        </is>
      </c>
      <c r="B15" s="33" t="inlineStr">
        <is>
          <t>VKM-010</t>
        </is>
      </c>
      <c r="C15" s="33" t="inlineStr">
        <is>
          <t>Микс-салат с креветками и яблоком</t>
        </is>
      </c>
      <c r="D15" s="33" t="n">
        <v>280</v>
      </c>
      <c r="E15" s="49" t="n">
        <v>26.39</v>
      </c>
      <c r="F15" s="49" t="n">
        <v>26.39</v>
      </c>
      <c r="G15" s="49" t="n">
        <v>26.57</v>
      </c>
      <c r="H15" s="49" t="n">
        <v>13.17</v>
      </c>
      <c r="I15" s="49" t="n">
        <v>13.17</v>
      </c>
      <c r="J15" s="49" t="n">
        <v>13.17</v>
      </c>
      <c r="K15" s="49" t="n">
        <v>15.67</v>
      </c>
      <c r="L15" s="49" t="n">
        <v>15.41</v>
      </c>
      <c r="M15" s="49" t="n">
        <v>15.67</v>
      </c>
      <c r="N15" s="49" t="n">
        <v>278.08</v>
      </c>
      <c r="O15" s="49" t="n">
        <v>277.58</v>
      </c>
      <c r="P15" s="49" t="n">
        <v>278.08</v>
      </c>
      <c r="Q15" s="49" t="n">
        <v>9.43</v>
      </c>
      <c r="R15" s="49" t="n">
        <v>4.7</v>
      </c>
      <c r="S15" s="49" t="n">
        <v>5.6</v>
      </c>
      <c r="T15" s="49" t="n">
        <v>99.31</v>
      </c>
      <c r="U15" s="33" t="inlineStr">
        <is>
          <t>false</t>
        </is>
      </c>
      <c r="V15" s="33" t="inlineStr">
        <is>
          <t>CALCULATED_DRAFT_WITH_ASSUMPTIONS</t>
        </is>
      </c>
      <c r="W15" s="33" t="inlineStr">
        <is>
          <t>BLOCKED_PENDING_VALIDATION</t>
        </is>
      </c>
      <c r="X15" s="33" t="inlineStr">
        <is>
          <t>EVD-0005;EVD-0007;EVD-0008;EVD-0027;EVD-0028;METHOD-NUT-002</t>
        </is>
      </c>
      <c r="Y15" s="33" t="inlineStr">
        <is>
          <t>GAP-005;GAP-013</t>
        </is>
      </c>
    </row>
    <row r="16">
      <c r="A16" s="33" t="inlineStr">
        <is>
          <t>NUT-DISH-011</t>
        </is>
      </c>
      <c r="B16" s="33" t="inlineStr">
        <is>
          <t>VKM-011</t>
        </is>
      </c>
      <c r="C16" s="33" t="inlineStr">
        <is>
          <t>Греческий</t>
        </is>
      </c>
      <c r="D16" s="33" t="n">
        <v>270</v>
      </c>
      <c r="E16" s="49" t="n">
        <v>8.960000000000001</v>
      </c>
      <c r="F16" s="49" t="n">
        <v>8.880000000000001</v>
      </c>
      <c r="G16" s="49" t="n">
        <v>9.01</v>
      </c>
      <c r="H16" s="49" t="n">
        <v>21.19</v>
      </c>
      <c r="I16" s="49" t="n">
        <v>20.29</v>
      </c>
      <c r="J16" s="49" t="n">
        <v>21.21</v>
      </c>
      <c r="K16" s="49" t="n">
        <v>11.83</v>
      </c>
      <c r="L16" s="49" t="n">
        <v>11.48</v>
      </c>
      <c r="M16" s="49" t="n">
        <v>12.61</v>
      </c>
      <c r="N16" s="49" t="n">
        <v>262.94</v>
      </c>
      <c r="O16" s="49" t="n">
        <v>255.82</v>
      </c>
      <c r="P16" s="49" t="n">
        <v>264.27</v>
      </c>
      <c r="Q16" s="49" t="n">
        <v>3.32</v>
      </c>
      <c r="R16" s="49" t="n">
        <v>7.85</v>
      </c>
      <c r="S16" s="49" t="n">
        <v>4.38</v>
      </c>
      <c r="T16" s="49" t="n">
        <v>97.39</v>
      </c>
      <c r="U16" s="33" t="inlineStr">
        <is>
          <t>false</t>
        </is>
      </c>
      <c r="V16" s="33" t="inlineStr">
        <is>
          <t>CALCULATED_DRAFT_WITH_ASSUMPTIONS</t>
        </is>
      </c>
      <c r="W16" s="33" t="inlineStr">
        <is>
          <t>BLOCKED_PENDING_VALIDATION</t>
        </is>
      </c>
      <c r="X16" s="33" t="inlineStr">
        <is>
          <t>EVD-0005;EVD-0007;EVD-0008;EVD-0027;EVD-0028;METHOD-NUT-002</t>
        </is>
      </c>
      <c r="Y16" s="33" t="inlineStr">
        <is>
          <t>GAP-005;GAP-013</t>
        </is>
      </c>
    </row>
    <row r="17">
      <c r="A17" s="33" t="inlineStr">
        <is>
          <t>NUT-DISH-012</t>
        </is>
      </c>
      <c r="B17" s="33" t="inlineStr">
        <is>
          <t>VKM-012</t>
        </is>
      </c>
      <c r="C17" s="33" t="inlineStr">
        <is>
          <t>Винегрет</t>
        </is>
      </c>
      <c r="D17" s="33" t="n">
        <v>240</v>
      </c>
      <c r="E17" s="49" t="n">
        <v>3.62</v>
      </c>
      <c r="F17" s="49" t="n">
        <v>3.62</v>
      </c>
      <c r="G17" s="49" t="n">
        <v>3.62</v>
      </c>
      <c r="H17" s="49" t="n">
        <v>5.52</v>
      </c>
      <c r="I17" s="49" t="n">
        <v>5.52</v>
      </c>
      <c r="J17" s="49" t="n">
        <v>5.52</v>
      </c>
      <c r="K17" s="49" t="n">
        <v>26.73</v>
      </c>
      <c r="L17" s="49" t="n">
        <v>26.73</v>
      </c>
      <c r="M17" s="49" t="n">
        <v>26.73</v>
      </c>
      <c r="N17" s="49" t="n">
        <v>162.75</v>
      </c>
      <c r="O17" s="49" t="n">
        <v>162.75</v>
      </c>
      <c r="P17" s="49" t="n">
        <v>162.75</v>
      </c>
      <c r="Q17" s="49" t="n">
        <v>1.51</v>
      </c>
      <c r="R17" s="49" t="n">
        <v>2.3</v>
      </c>
      <c r="S17" s="49" t="n">
        <v>11.14</v>
      </c>
      <c r="T17" s="49" t="n">
        <v>67.81</v>
      </c>
      <c r="U17" s="33" t="inlineStr">
        <is>
          <t>false</t>
        </is>
      </c>
      <c r="V17" s="33" t="inlineStr">
        <is>
          <t>CALCULATED_DRAFT_WITH_ASSUMPTIONS</t>
        </is>
      </c>
      <c r="W17" s="33" t="inlineStr">
        <is>
          <t>BLOCKED_PENDING_VALIDATION</t>
        </is>
      </c>
      <c r="X17" s="33" t="inlineStr">
        <is>
          <t>EVD-0005;EVD-0007;EVD-0008;EVD-0027;EVD-0028;METHOD-NUT-002</t>
        </is>
      </c>
      <c r="Y17" s="33" t="inlineStr">
        <is>
          <t>GAP-005;GAP-013</t>
        </is>
      </c>
    </row>
    <row r="18">
      <c r="A18" s="33" t="inlineStr">
        <is>
          <t>NUT-DISH-013</t>
        </is>
      </c>
      <c r="B18" s="33" t="inlineStr">
        <is>
          <t>VKM-013</t>
        </is>
      </c>
      <c r="C18" s="33" t="inlineStr">
        <is>
          <t>Слабосолёный лосось</t>
        </is>
      </c>
      <c r="D18" s="33" t="n">
        <v>130</v>
      </c>
      <c r="E18" s="49" t="n">
        <v>18.64</v>
      </c>
      <c r="F18" s="49" t="n">
        <v>18.64</v>
      </c>
      <c r="G18" s="49" t="n">
        <v>23.16</v>
      </c>
      <c r="H18" s="49" t="n">
        <v>9.41</v>
      </c>
      <c r="I18" s="49" t="n">
        <v>9.41</v>
      </c>
      <c r="J18" s="49" t="n">
        <v>15.19</v>
      </c>
      <c r="K18" s="49" t="n">
        <v>1.46</v>
      </c>
      <c r="L18" s="49" t="n">
        <v>1.46</v>
      </c>
      <c r="M18" s="49" t="n">
        <v>1.96</v>
      </c>
      <c r="N18" s="49" t="n">
        <v>166.75</v>
      </c>
      <c r="O18" s="49" t="n">
        <v>166.75</v>
      </c>
      <c r="P18" s="49" t="n">
        <v>233.75</v>
      </c>
      <c r="Q18" s="49" t="n">
        <v>14.34</v>
      </c>
      <c r="R18" s="49" t="n">
        <v>7.24</v>
      </c>
      <c r="S18" s="49" t="n">
        <v>1.13</v>
      </c>
      <c r="T18" s="49" t="n">
        <v>128.27</v>
      </c>
      <c r="U18" s="33" t="inlineStr">
        <is>
          <t>false</t>
        </is>
      </c>
      <c r="V18" s="33" t="inlineStr">
        <is>
          <t>CALCULATED_DRAFT_WITH_ASSUMPTIONS</t>
        </is>
      </c>
      <c r="W18" s="33" t="inlineStr">
        <is>
          <t>BLOCKED_PENDING_VALIDATION</t>
        </is>
      </c>
      <c r="X18" s="33" t="inlineStr">
        <is>
          <t>EVD-0005;EVD-0007;EVD-0008;EVD-0027;EVD-0028;METHOD-NUT-002</t>
        </is>
      </c>
      <c r="Y18" s="33" t="inlineStr">
        <is>
          <t>GAP-005;GAP-013</t>
        </is>
      </c>
    </row>
    <row r="19">
      <c r="A19" s="33" t="inlineStr">
        <is>
          <t>NUT-DISH-014</t>
        </is>
      </c>
      <c r="B19" s="33" t="inlineStr">
        <is>
          <t>VKM-014</t>
        </is>
      </c>
      <c r="C19" s="33" t="inlineStr">
        <is>
          <t>Сельдь с запечённым картофелем</t>
        </is>
      </c>
      <c r="D19" s="33" t="n">
        <v>250</v>
      </c>
      <c r="E19" s="49" t="n">
        <v>20.79</v>
      </c>
      <c r="F19" s="49" t="n">
        <v>19.6</v>
      </c>
      <c r="G19" s="49" t="n">
        <v>20.79</v>
      </c>
      <c r="H19" s="49" t="n">
        <v>18.86</v>
      </c>
      <c r="I19" s="49" t="n">
        <v>18.86</v>
      </c>
      <c r="J19" s="49" t="n">
        <v>20.81</v>
      </c>
      <c r="K19" s="49" t="n">
        <v>29.35</v>
      </c>
      <c r="L19" s="49" t="n">
        <v>29.35</v>
      </c>
      <c r="M19" s="49" t="n">
        <v>38.85</v>
      </c>
      <c r="N19" s="49" t="n">
        <v>368.85</v>
      </c>
      <c r="O19" s="49" t="n">
        <v>368.85</v>
      </c>
      <c r="P19" s="49" t="n">
        <v>417.3</v>
      </c>
      <c r="Q19" s="49" t="n">
        <v>8.32</v>
      </c>
      <c r="R19" s="49" t="n">
        <v>7.54</v>
      </c>
      <c r="S19" s="49" t="n">
        <v>11.74</v>
      </c>
      <c r="T19" s="49" t="n">
        <v>147.54</v>
      </c>
      <c r="U19" s="33" t="inlineStr">
        <is>
          <t>false</t>
        </is>
      </c>
      <c r="V19" s="33" t="inlineStr">
        <is>
          <t>CALCULATED_DRAFT_WITH_ASSUMPTIONS</t>
        </is>
      </c>
      <c r="W19" s="33" t="inlineStr">
        <is>
          <t>BLOCKED_PENDING_VALIDATION</t>
        </is>
      </c>
      <c r="X19" s="33" t="inlineStr">
        <is>
          <t>EVD-0005;EVD-0007;EVD-0008;EVD-0027;EVD-0028;METHOD-NUT-002</t>
        </is>
      </c>
      <c r="Y19" s="33" t="inlineStr">
        <is>
          <t>GAP-005;GAP-013</t>
        </is>
      </c>
    </row>
    <row r="20">
      <c r="A20" s="33" t="inlineStr">
        <is>
          <t>NUT-DISH-015</t>
        </is>
      </c>
      <c r="B20" s="33" t="inlineStr">
        <is>
          <t>VKM-015</t>
        </is>
      </c>
      <c r="C20" s="33" t="inlineStr">
        <is>
          <t>Оливки и маслины</t>
        </is>
      </c>
      <c r="D20" s="33" t="n">
        <v>120</v>
      </c>
      <c r="E20" s="49" t="n">
        <v>1.71</v>
      </c>
      <c r="F20" s="49" t="n">
        <v>1.71</v>
      </c>
      <c r="G20" s="49" t="n">
        <v>1.71</v>
      </c>
      <c r="H20" s="49" t="n">
        <v>23.55</v>
      </c>
      <c r="I20" s="49" t="n">
        <v>23.55</v>
      </c>
      <c r="J20" s="49" t="n">
        <v>23.55</v>
      </c>
      <c r="K20" s="49" t="n">
        <v>8.029999999999999</v>
      </c>
      <c r="L20" s="49" t="n">
        <v>7.9</v>
      </c>
      <c r="M20" s="49" t="n">
        <v>8.17</v>
      </c>
      <c r="N20" s="49" t="n">
        <v>237.09</v>
      </c>
      <c r="O20" s="49" t="n">
        <v>236.34</v>
      </c>
      <c r="P20" s="49" t="n">
        <v>237.84</v>
      </c>
      <c r="Q20" s="49" t="n">
        <v>1.43</v>
      </c>
      <c r="R20" s="49" t="n">
        <v>19.63</v>
      </c>
      <c r="S20" s="49" t="n">
        <v>6.69</v>
      </c>
      <c r="T20" s="49" t="n">
        <v>197.57</v>
      </c>
      <c r="U20" s="33" t="inlineStr">
        <is>
          <t>false</t>
        </is>
      </c>
      <c r="V20" s="33" t="inlineStr">
        <is>
          <t>CALCULATED_DRAFT_WITH_ASSUMPTIONS</t>
        </is>
      </c>
      <c r="W20" s="33" t="inlineStr">
        <is>
          <t>BLOCKED_PENDING_VALIDATION</t>
        </is>
      </c>
      <c r="X20" s="33" t="inlineStr">
        <is>
          <t>EVD-0005;EVD-0007;EVD-0008;EVD-0027;EVD-0028;METHOD-NUT-002</t>
        </is>
      </c>
      <c r="Y20" s="33" t="inlineStr">
        <is>
          <t>GAP-005;GAP-013</t>
        </is>
      </c>
    </row>
    <row r="21">
      <c r="A21" s="33" t="inlineStr">
        <is>
          <t>NUT-DISH-016</t>
        </is>
      </c>
      <c r="B21" s="33" t="inlineStr">
        <is>
          <t>VKM-016</t>
        </is>
      </c>
      <c r="C21" s="33" t="inlineStr">
        <is>
          <t>Ассорти фирменных солений</t>
        </is>
      </c>
      <c r="D21" s="33" t="n">
        <v>180</v>
      </c>
      <c r="E21" s="49" t="n">
        <v>1.53</v>
      </c>
      <c r="F21" s="49" t="n">
        <v>1.53</v>
      </c>
      <c r="G21" s="49" t="n">
        <v>1.53</v>
      </c>
      <c r="H21" s="49" t="n">
        <v>5.27</v>
      </c>
      <c r="I21" s="49" t="n">
        <v>5.27</v>
      </c>
      <c r="J21" s="49" t="n">
        <v>5.27</v>
      </c>
      <c r="K21" s="49" t="n">
        <v>11.75</v>
      </c>
      <c r="L21" s="49" t="n">
        <v>11.75</v>
      </c>
      <c r="M21" s="49" t="n">
        <v>11.75</v>
      </c>
      <c r="N21" s="49" t="n">
        <v>94.14</v>
      </c>
      <c r="O21" s="49" t="n">
        <v>94.14</v>
      </c>
      <c r="P21" s="49" t="n">
        <v>94.14</v>
      </c>
      <c r="Q21" s="49" t="n">
        <v>0.85</v>
      </c>
      <c r="R21" s="49" t="n">
        <v>2.93</v>
      </c>
      <c r="S21" s="49" t="n">
        <v>6.53</v>
      </c>
      <c r="T21" s="49" t="n">
        <v>52.3</v>
      </c>
      <c r="U21" s="33" t="inlineStr">
        <is>
          <t>false</t>
        </is>
      </c>
      <c r="V21" s="33" t="inlineStr">
        <is>
          <t>CALCULATED_DRAFT_WITH_ASSUMPTIONS</t>
        </is>
      </c>
      <c r="W21" s="33" t="inlineStr">
        <is>
          <t>BLOCKED_PENDING_VALIDATION</t>
        </is>
      </c>
      <c r="X21" s="33" t="inlineStr">
        <is>
          <t>EVD-0005;EVD-0007;EVD-0008;EVD-0027;EVD-0028;METHOD-NUT-002</t>
        </is>
      </c>
      <c r="Y21" s="33" t="inlineStr">
        <is>
          <t>GAP-005;GAP-013</t>
        </is>
      </c>
    </row>
    <row r="22">
      <c r="A22" s="33" t="inlineStr">
        <is>
          <t>NUT-DISH-017</t>
        </is>
      </c>
      <c r="B22" s="33" t="inlineStr">
        <is>
          <t>VKM-017</t>
        </is>
      </c>
      <c r="C22" s="33" t="inlineStr">
        <is>
          <t>Ростбиф с луком и гренкой</t>
        </is>
      </c>
      <c r="D22" s="33" t="n">
        <v>180</v>
      </c>
      <c r="E22" s="49" t="n">
        <v>38.89</v>
      </c>
      <c r="F22" s="49" t="n">
        <v>38.85</v>
      </c>
      <c r="G22" s="49" t="n">
        <v>38.95</v>
      </c>
      <c r="H22" s="49" t="n">
        <v>15.34</v>
      </c>
      <c r="I22" s="49" t="n">
        <v>11.65</v>
      </c>
      <c r="J22" s="49" t="n">
        <v>15.4</v>
      </c>
      <c r="K22" s="49" t="n">
        <v>19.8</v>
      </c>
      <c r="L22" s="49" t="n">
        <v>19.8</v>
      </c>
      <c r="M22" s="49" t="n">
        <v>20.52</v>
      </c>
      <c r="N22" s="49" t="n">
        <v>371.53</v>
      </c>
      <c r="O22" s="49" t="n">
        <v>340.59</v>
      </c>
      <c r="P22" s="49" t="n">
        <v>372.73</v>
      </c>
      <c r="Q22" s="49" t="n">
        <v>21.61</v>
      </c>
      <c r="R22" s="49" t="n">
        <v>8.52</v>
      </c>
      <c r="S22" s="49" t="n">
        <v>11</v>
      </c>
      <c r="T22" s="49" t="n">
        <v>206.41</v>
      </c>
      <c r="U22" s="33" t="inlineStr">
        <is>
          <t>false</t>
        </is>
      </c>
      <c r="V22" s="33" t="inlineStr">
        <is>
          <t>CALCULATED_DRAFT_WITH_ASSUMPTIONS</t>
        </is>
      </c>
      <c r="W22" s="33" t="inlineStr">
        <is>
          <t>BLOCKED_PENDING_VALIDATION</t>
        </is>
      </c>
      <c r="X22" s="33" t="inlineStr">
        <is>
          <t>EVD-0005;EVD-0007;EVD-0008;EVD-0027;EVD-0028;METHOD-NUT-002</t>
        </is>
      </c>
      <c r="Y22" s="33" t="inlineStr">
        <is>
          <t>GAP-005;GAP-013</t>
        </is>
      </c>
    </row>
    <row r="23">
      <c r="A23" s="33" t="inlineStr">
        <is>
          <t>NUT-DISH-018</t>
        </is>
      </c>
      <c r="B23" s="33" t="inlineStr">
        <is>
          <t>VKM-018</t>
        </is>
      </c>
      <c r="C23" s="33" t="inlineStr">
        <is>
          <t>Традиционный красный борщ</t>
        </is>
      </c>
      <c r="D23" s="33" t="n">
        <v>400</v>
      </c>
      <c r="E23" s="49" t="n">
        <v>20.21</v>
      </c>
      <c r="F23" s="49" t="n">
        <v>20.21</v>
      </c>
      <c r="G23" s="49" t="n">
        <v>22.34</v>
      </c>
      <c r="H23" s="49" t="n">
        <v>10.18</v>
      </c>
      <c r="I23" s="49" t="n">
        <v>8.869999999999999</v>
      </c>
      <c r="J23" s="49" t="n">
        <v>17.96</v>
      </c>
      <c r="K23" s="49" t="n">
        <v>24.27</v>
      </c>
      <c r="L23" s="49" t="n">
        <v>24.27</v>
      </c>
      <c r="M23" s="49" t="n">
        <v>24.65</v>
      </c>
      <c r="N23" s="49" t="n">
        <v>259.81</v>
      </c>
      <c r="O23" s="49" t="n">
        <v>250.51</v>
      </c>
      <c r="P23" s="49" t="n">
        <v>337.91</v>
      </c>
      <c r="Q23" s="49" t="n">
        <v>5.05</v>
      </c>
      <c r="R23" s="49" t="n">
        <v>2.55</v>
      </c>
      <c r="S23" s="49" t="n">
        <v>6.07</v>
      </c>
      <c r="T23" s="49" t="n">
        <v>64.95</v>
      </c>
      <c r="U23" s="33" t="inlineStr">
        <is>
          <t>false</t>
        </is>
      </c>
      <c r="V23" s="33" t="inlineStr">
        <is>
          <t>CALCULATED_DRAFT_WITH_ASSUMPTIONS</t>
        </is>
      </c>
      <c r="W23" s="33" t="inlineStr">
        <is>
          <t>BLOCKED_PENDING_VALIDATION</t>
        </is>
      </c>
      <c r="X23" s="33" t="inlineStr">
        <is>
          <t>EVD-0005;EVD-0007;EVD-0008;EVD-0027;EVD-0028;METHOD-NUT-002</t>
        </is>
      </c>
      <c r="Y23" s="33" t="inlineStr">
        <is>
          <t>GAP-005;GAP-013</t>
        </is>
      </c>
    </row>
    <row r="24">
      <c r="A24" s="33" t="inlineStr">
        <is>
          <t>NUT-DISH-019</t>
        </is>
      </c>
      <c r="B24" s="33" t="inlineStr">
        <is>
          <t>VKM-019</t>
        </is>
      </c>
      <c r="C24" s="33" t="inlineStr">
        <is>
          <t>Мурманская треска со сливочно-горчичным соусом</t>
        </is>
      </c>
      <c r="D24" s="33" t="n">
        <v>300</v>
      </c>
      <c r="E24" s="49" t="n">
        <v>37.79</v>
      </c>
      <c r="F24" s="49" t="n">
        <v>37.07</v>
      </c>
      <c r="G24" s="49" t="n">
        <v>38.07</v>
      </c>
      <c r="H24" s="49" t="n">
        <v>35.83</v>
      </c>
      <c r="I24" s="49" t="n">
        <v>25.98</v>
      </c>
      <c r="J24" s="49" t="n">
        <v>46.11</v>
      </c>
      <c r="K24" s="49" t="n">
        <v>3.64</v>
      </c>
      <c r="L24" s="49" t="n">
        <v>2.92</v>
      </c>
      <c r="M24" s="49" t="n">
        <v>4.12</v>
      </c>
      <c r="N24" s="49" t="n">
        <v>487.61</v>
      </c>
      <c r="O24" s="49" t="n">
        <v>403.51</v>
      </c>
      <c r="P24" s="49" t="n">
        <v>579.41</v>
      </c>
      <c r="Q24" s="49" t="n">
        <v>12.6</v>
      </c>
      <c r="R24" s="49" t="n">
        <v>11.94</v>
      </c>
      <c r="S24" s="49" t="n">
        <v>1.21</v>
      </c>
      <c r="T24" s="49" t="n">
        <v>162.54</v>
      </c>
      <c r="U24" s="33" t="inlineStr">
        <is>
          <t>false</t>
        </is>
      </c>
      <c r="V24" s="33" t="inlineStr">
        <is>
          <t>CALCULATED_DRAFT_WITH_ASSUMPTIONS</t>
        </is>
      </c>
      <c r="W24" s="33" t="inlineStr">
        <is>
          <t>BLOCKED_PENDING_VALIDATION</t>
        </is>
      </c>
      <c r="X24" s="33" t="inlineStr">
        <is>
          <t>EVD-0005;EVD-0007;EVD-0008;EVD-0027;EVD-0028;METHOD-NUT-002</t>
        </is>
      </c>
      <c r="Y24" s="33" t="inlineStr">
        <is>
          <t>GAP-005;GAP-013</t>
        </is>
      </c>
    </row>
    <row r="25">
      <c r="A25" s="33" t="inlineStr">
        <is>
          <t>NUT-DISH-020</t>
        </is>
      </c>
      <c r="B25" s="33" t="inlineStr">
        <is>
          <t>VKM-020</t>
        </is>
      </c>
      <c r="C25" s="33" t="inlineStr">
        <is>
          <t>Креветки по-тайски</t>
        </is>
      </c>
      <c r="D25" s="33" t="n">
        <v>360</v>
      </c>
      <c r="E25" s="49" t="n">
        <v>37.49</v>
      </c>
      <c r="F25" s="49" t="n">
        <v>36.05</v>
      </c>
      <c r="G25" s="49" t="n">
        <v>37.67</v>
      </c>
      <c r="H25" s="49" t="n">
        <v>21.85</v>
      </c>
      <c r="I25" s="49" t="n">
        <v>10.36</v>
      </c>
      <c r="J25" s="49" t="n">
        <v>21.9</v>
      </c>
      <c r="K25" s="49" t="n">
        <v>20.59</v>
      </c>
      <c r="L25" s="49" t="n">
        <v>19.8</v>
      </c>
      <c r="M25" s="49" t="n">
        <v>22.3</v>
      </c>
      <c r="N25" s="49" t="n">
        <v>413.02</v>
      </c>
      <c r="O25" s="49" t="n">
        <v>313.35</v>
      </c>
      <c r="P25" s="49" t="n">
        <v>418.97</v>
      </c>
      <c r="Q25" s="49" t="n">
        <v>10.41</v>
      </c>
      <c r="R25" s="49" t="n">
        <v>6.07</v>
      </c>
      <c r="S25" s="49" t="n">
        <v>5.72</v>
      </c>
      <c r="T25" s="49" t="n">
        <v>114.73</v>
      </c>
      <c r="U25" s="33" t="inlineStr">
        <is>
          <t>false</t>
        </is>
      </c>
      <c r="V25" s="33" t="inlineStr">
        <is>
          <t>CALCULATED_DRAFT_WITH_ASSUMPTIONS</t>
        </is>
      </c>
      <c r="W25" s="33" t="inlineStr">
        <is>
          <t>BLOCKED_PENDING_VALIDATION</t>
        </is>
      </c>
      <c r="X25" s="33" t="inlineStr">
        <is>
          <t>EVD-0005;EVD-0007;EVD-0008;EVD-0027;EVD-0028;METHOD-NUT-002</t>
        </is>
      </c>
      <c r="Y25" s="33" t="inlineStr">
        <is>
          <t>GAP-005;GAP-013</t>
        </is>
      </c>
    </row>
    <row r="26">
      <c r="A26" s="33" t="inlineStr">
        <is>
          <t>NUT-DISH-021</t>
        </is>
      </c>
      <c r="B26" s="33" t="inlineStr">
        <is>
          <t>VKM-021</t>
        </is>
      </c>
      <c r="C26" s="33" t="inlineStr">
        <is>
          <t>Бургер VARSHAVKA</t>
        </is>
      </c>
      <c r="D26" s="33" t="n">
        <v>350</v>
      </c>
      <c r="E26" s="49" t="n">
        <v>40.51</v>
      </c>
      <c r="F26" s="49" t="n">
        <v>39.99</v>
      </c>
      <c r="G26" s="49" t="n">
        <v>49.15</v>
      </c>
      <c r="H26" s="49" t="n">
        <v>70.83</v>
      </c>
      <c r="I26" s="49" t="n">
        <v>32.71</v>
      </c>
      <c r="J26" s="49" t="n">
        <v>72.29000000000001</v>
      </c>
      <c r="K26" s="49" t="n">
        <v>38.72</v>
      </c>
      <c r="L26" s="49" t="n">
        <v>37.68</v>
      </c>
      <c r="M26" s="49" t="n">
        <v>40.46</v>
      </c>
      <c r="N26" s="49" t="n">
        <v>960.87</v>
      </c>
      <c r="O26" s="49" t="n">
        <v>657.42</v>
      </c>
      <c r="P26" s="49" t="n">
        <v>972.27</v>
      </c>
      <c r="Q26" s="49" t="n">
        <v>11.58</v>
      </c>
      <c r="R26" s="49" t="n">
        <v>20.24</v>
      </c>
      <c r="S26" s="49" t="n">
        <v>11.06</v>
      </c>
      <c r="T26" s="49" t="n">
        <v>274.53</v>
      </c>
      <c r="U26" s="33" t="inlineStr">
        <is>
          <t>false</t>
        </is>
      </c>
      <c r="V26" s="33" t="inlineStr">
        <is>
          <t>CALCULATED_DRAFT_WITH_ASSUMPTIONS</t>
        </is>
      </c>
      <c r="W26" s="33" t="inlineStr">
        <is>
          <t>BLOCKED_PENDING_VALIDATION</t>
        </is>
      </c>
      <c r="X26" s="33" t="inlineStr">
        <is>
          <t>EVD-0005;EVD-0007;EVD-0008;EVD-0027;EVD-0028;METHOD-NUT-002</t>
        </is>
      </c>
      <c r="Y26" s="33" t="inlineStr">
        <is>
          <t>GAP-005;GAP-013</t>
        </is>
      </c>
    </row>
    <row r="27">
      <c r="A27" s="33" t="inlineStr">
        <is>
          <t>NUT-DISH-022</t>
        </is>
      </c>
      <c r="B27" s="33" t="inlineStr">
        <is>
          <t>VKM-022</t>
        </is>
      </c>
      <c r="C27" s="33" t="inlineStr">
        <is>
          <t>Миньоны из говяжьей вырезки</t>
        </is>
      </c>
      <c r="D27" s="33" t="n">
        <v>300</v>
      </c>
      <c r="E27" s="49" t="n">
        <v>52.82</v>
      </c>
      <c r="F27" s="49" t="n">
        <v>52.7</v>
      </c>
      <c r="G27" s="49" t="n">
        <v>53.57</v>
      </c>
      <c r="H27" s="49" t="n">
        <v>37.38</v>
      </c>
      <c r="I27" s="49" t="n">
        <v>28.27</v>
      </c>
      <c r="J27" s="49" t="n">
        <v>38.25</v>
      </c>
      <c r="K27" s="49" t="n">
        <v>5.02</v>
      </c>
      <c r="L27" s="49" t="n">
        <v>4.22</v>
      </c>
      <c r="M27" s="49" t="n">
        <v>6.65</v>
      </c>
      <c r="N27" s="49" t="n">
        <v>562.1799999999999</v>
      </c>
      <c r="O27" s="49" t="n">
        <v>481.99</v>
      </c>
      <c r="P27" s="49" t="n">
        <v>578.79</v>
      </c>
      <c r="Q27" s="49" t="n">
        <v>17.61</v>
      </c>
      <c r="R27" s="49" t="n">
        <v>12.46</v>
      </c>
      <c r="S27" s="49" t="n">
        <v>1.67</v>
      </c>
      <c r="T27" s="49" t="n">
        <v>187.39</v>
      </c>
      <c r="U27" s="33" t="inlineStr">
        <is>
          <t>false</t>
        </is>
      </c>
      <c r="V27" s="33" t="inlineStr">
        <is>
          <t>CALCULATED_DRAFT_WITH_ASSUMPTIONS</t>
        </is>
      </c>
      <c r="W27" s="33" t="inlineStr">
        <is>
          <t>BLOCKED_PENDING_VALIDATION</t>
        </is>
      </c>
      <c r="X27" s="33" t="inlineStr">
        <is>
          <t>EVD-0005;EVD-0007;EVD-0008;EVD-0027;EVD-0028;METHOD-NUT-002</t>
        </is>
      </c>
      <c r="Y27" s="33" t="inlineStr">
        <is>
          <t>GAP-005;GAP-013</t>
        </is>
      </c>
    </row>
    <row r="28">
      <c r="A28" s="33" t="inlineStr">
        <is>
          <t>NUT-DISH-023</t>
        </is>
      </c>
      <c r="B28" s="33" t="inlineStr">
        <is>
          <t>VKM-023</t>
        </is>
      </c>
      <c r="C28" s="33" t="inlineStr">
        <is>
          <t>Запечённый картофель</t>
        </is>
      </c>
      <c r="D28" s="33" t="n">
        <v>150</v>
      </c>
      <c r="E28" s="49" t="n">
        <v>3.56</v>
      </c>
      <c r="F28" s="49" t="n">
        <v>3.44</v>
      </c>
      <c r="G28" s="49" t="n">
        <v>3.68</v>
      </c>
      <c r="H28" s="49" t="n">
        <v>10.48</v>
      </c>
      <c r="I28" s="49" t="n">
        <v>10.39</v>
      </c>
      <c r="J28" s="49" t="n">
        <v>10.56</v>
      </c>
      <c r="K28" s="49" t="n">
        <v>27.69</v>
      </c>
      <c r="L28" s="49" t="n">
        <v>27.32</v>
      </c>
      <c r="M28" s="49" t="n">
        <v>28.05</v>
      </c>
      <c r="N28" s="49" t="n">
        <v>214.34</v>
      </c>
      <c r="O28" s="49" t="n">
        <v>211.73</v>
      </c>
      <c r="P28" s="49" t="n">
        <v>216.95</v>
      </c>
      <c r="Q28" s="49" t="n">
        <v>2.37</v>
      </c>
      <c r="R28" s="49" t="n">
        <v>6.98</v>
      </c>
      <c r="S28" s="49" t="n">
        <v>18.46</v>
      </c>
      <c r="T28" s="49" t="n">
        <v>142.89</v>
      </c>
      <c r="U28" s="33" t="inlineStr">
        <is>
          <t>false</t>
        </is>
      </c>
      <c r="V28" s="33" t="inlineStr">
        <is>
          <t>CALCULATED_DRAFT_WITH_ASSUMPTIONS</t>
        </is>
      </c>
      <c r="W28" s="33" t="inlineStr">
        <is>
          <t>BLOCKED_PENDING_VALIDATION</t>
        </is>
      </c>
      <c r="X28" s="33" t="inlineStr">
        <is>
          <t>EVD-0005;EVD-0007;EVD-0008;EVD-0027;EVD-0028;METHOD-NUT-002</t>
        </is>
      </c>
      <c r="Y28" s="33" t="inlineStr">
        <is>
          <t>GAP-005;GAP-013</t>
        </is>
      </c>
    </row>
    <row r="29">
      <c r="A29" s="33" t="inlineStr">
        <is>
          <t>NUT-DISH-024</t>
        </is>
      </c>
      <c r="B29" s="33" t="inlineStr">
        <is>
          <t>VKM-024</t>
        </is>
      </c>
      <c r="C29" s="33" t="inlineStr">
        <is>
          <t>Рис жасмин</t>
        </is>
      </c>
      <c r="D29" s="33" t="n">
        <v>150</v>
      </c>
      <c r="E29" s="49" t="n">
        <v>3.96</v>
      </c>
      <c r="F29" s="49" t="n">
        <v>3.96</v>
      </c>
      <c r="G29" s="49" t="n">
        <v>3.96</v>
      </c>
      <c r="H29" s="49" t="n">
        <v>9.42</v>
      </c>
      <c r="I29" s="49" t="n">
        <v>9.42</v>
      </c>
      <c r="J29" s="49" t="n">
        <v>9.42</v>
      </c>
      <c r="K29" s="49" t="n">
        <v>43.98</v>
      </c>
      <c r="L29" s="49" t="n">
        <v>43.98</v>
      </c>
      <c r="M29" s="49" t="n">
        <v>43.98</v>
      </c>
      <c r="N29" s="49" t="n">
        <v>280.8</v>
      </c>
      <c r="O29" s="49" t="n">
        <v>280.8</v>
      </c>
      <c r="P29" s="49" t="n">
        <v>280.8</v>
      </c>
      <c r="Q29" s="49" t="n">
        <v>2.64</v>
      </c>
      <c r="R29" s="49" t="n">
        <v>6.28</v>
      </c>
      <c r="S29" s="49" t="n">
        <v>29.32</v>
      </c>
      <c r="T29" s="49" t="n">
        <v>187.2</v>
      </c>
      <c r="U29" s="33" t="inlineStr">
        <is>
          <t>false</t>
        </is>
      </c>
      <c r="V29" s="33" t="inlineStr">
        <is>
          <t>CALCULATED_DRAFT_WITH_ASSUMPTIONS</t>
        </is>
      </c>
      <c r="W29" s="33" t="inlineStr">
        <is>
          <t>BLOCKED_PENDING_VALIDATION</t>
        </is>
      </c>
      <c r="X29" s="33" t="inlineStr">
        <is>
          <t>EVD-0005;EVD-0007;EVD-0008;EVD-0027;EVD-0028;METHOD-NUT-002</t>
        </is>
      </c>
      <c r="Y29" s="33" t="inlineStr">
        <is>
          <t>GAP-005;GAP-013</t>
        </is>
      </c>
    </row>
    <row r="30">
      <c r="A30" s="33" t="inlineStr">
        <is>
          <t>NUT-DISH-025</t>
        </is>
      </c>
      <c r="B30" s="33" t="inlineStr">
        <is>
          <t>VKM-025</t>
        </is>
      </c>
      <c r="C30" s="33" t="inlineStr">
        <is>
          <t>Горячие овощи</t>
        </is>
      </c>
      <c r="D30" s="33" t="n">
        <v>150</v>
      </c>
      <c r="E30" s="49" t="n">
        <v>3.14</v>
      </c>
      <c r="F30" s="49" t="n">
        <v>3.02</v>
      </c>
      <c r="G30" s="49" t="n">
        <v>3.26</v>
      </c>
      <c r="H30" s="49" t="n">
        <v>15.79</v>
      </c>
      <c r="I30" s="49" t="n">
        <v>15.7</v>
      </c>
      <c r="J30" s="49" t="n">
        <v>15.87</v>
      </c>
      <c r="K30" s="49" t="n">
        <v>8.880000000000001</v>
      </c>
      <c r="L30" s="49" t="n">
        <v>8.52</v>
      </c>
      <c r="M30" s="49" t="n">
        <v>9.24</v>
      </c>
      <c r="N30" s="49" t="n">
        <v>179.72</v>
      </c>
      <c r="O30" s="49" t="n">
        <v>177.11</v>
      </c>
      <c r="P30" s="49" t="n">
        <v>182.33</v>
      </c>
      <c r="Q30" s="49" t="n">
        <v>2.09</v>
      </c>
      <c r="R30" s="49" t="n">
        <v>10.53</v>
      </c>
      <c r="S30" s="49" t="n">
        <v>5.92</v>
      </c>
      <c r="T30" s="49" t="n">
        <v>119.81</v>
      </c>
      <c r="U30" s="33" t="inlineStr">
        <is>
          <t>false</t>
        </is>
      </c>
      <c r="V30" s="33" t="inlineStr">
        <is>
          <t>CALCULATED_DRAFT_WITH_ASSUMPTIONS</t>
        </is>
      </c>
      <c r="W30" s="33" t="inlineStr">
        <is>
          <t>BLOCKED_PENDING_VALIDATION</t>
        </is>
      </c>
      <c r="X30" s="33" t="inlineStr">
        <is>
          <t>EVD-0005;EVD-0007;EVD-0008;EVD-0027;EVD-0028;METHOD-NUT-002</t>
        </is>
      </c>
      <c r="Y30" s="33" t="inlineStr">
        <is>
          <t>GAP-005;GAP-013</t>
        </is>
      </c>
    </row>
    <row r="31">
      <c r="A31" s="33" t="inlineStr">
        <is>
          <t>NUT-DISH-026</t>
        </is>
      </c>
      <c r="B31" s="33" t="inlineStr">
        <is>
          <t>VKM-029</t>
        </is>
      </c>
      <c r="C31" s="33" t="inlineStr">
        <is>
          <t>Черничный торт VARSHAVKA</t>
        </is>
      </c>
      <c r="D31" s="33" t="n">
        <v>150</v>
      </c>
      <c r="E31" s="49" t="n">
        <v>63.27</v>
      </c>
      <c r="F31" s="49" t="n">
        <v>61.07</v>
      </c>
      <c r="G31" s="49" t="n">
        <v>67.91</v>
      </c>
      <c r="H31" s="49" t="n">
        <v>208.52</v>
      </c>
      <c r="I31" s="49" t="n">
        <v>142.46</v>
      </c>
      <c r="J31" s="49" t="n">
        <v>229.94</v>
      </c>
      <c r="K31" s="49" t="n">
        <v>678.88</v>
      </c>
      <c r="L31" s="49" t="n">
        <v>652.5599999999999</v>
      </c>
      <c r="M31" s="49" t="n">
        <v>707.1</v>
      </c>
      <c r="N31" s="49" t="n">
        <v>4763.02</v>
      </c>
      <c r="O31" s="49" t="n">
        <v>4135.48</v>
      </c>
      <c r="P31" s="49" t="n">
        <v>5022.22</v>
      </c>
      <c r="Q31" s="49" t="n">
        <v>3.52</v>
      </c>
      <c r="R31" s="49" t="n">
        <v>11.58</v>
      </c>
      <c r="S31" s="49" t="n">
        <v>37.72</v>
      </c>
      <c r="T31" s="49" t="n">
        <v>264.61</v>
      </c>
      <c r="U31" s="33" t="inlineStr">
        <is>
          <t>false</t>
        </is>
      </c>
      <c r="V31" s="33" t="inlineStr">
        <is>
          <t>CALCULATED_DRAFT_WITH_ASSUMPTIONS</t>
        </is>
      </c>
      <c r="W31" s="33" t="inlineStr">
        <is>
          <t>BLOCKED_PENDING_VALIDATION</t>
        </is>
      </c>
      <c r="X31" s="33" t="inlineStr">
        <is>
          <t>EVD-0005;EVD-0007;EVD-0008;EVD-0027;EVD-0028;METHOD-NUT-002</t>
        </is>
      </c>
      <c r="Y31" s="33" t="inlineStr">
        <is>
          <t>GAP-005;GAP-013</t>
        </is>
      </c>
    </row>
    <row r="32">
      <c r="A32" s="33" t="inlineStr">
        <is>
          <t>NUT-DISH-027</t>
        </is>
      </c>
      <c r="B32" s="33" t="inlineStr">
        <is>
          <t>VKM-030</t>
        </is>
      </c>
      <c r="C32" s="33" t="inlineStr">
        <is>
          <t>Кростата с солёной карамелью</t>
        </is>
      </c>
      <c r="D32" s="33" t="n">
        <v>120</v>
      </c>
      <c r="E32" s="49" t="n">
        <v>45.18</v>
      </c>
      <c r="F32" s="49" t="n">
        <v>43.13</v>
      </c>
      <c r="G32" s="49" t="n">
        <v>47.64</v>
      </c>
      <c r="H32" s="49" t="n">
        <v>302.47</v>
      </c>
      <c r="I32" s="49" t="n">
        <v>253.13</v>
      </c>
      <c r="J32" s="49" t="n">
        <v>331.81</v>
      </c>
      <c r="K32" s="49" t="n">
        <v>573.3099999999999</v>
      </c>
      <c r="L32" s="49" t="n">
        <v>563.37</v>
      </c>
      <c r="M32" s="49" t="n">
        <v>576.12</v>
      </c>
      <c r="N32" s="49" t="n">
        <v>5129.55</v>
      </c>
      <c r="O32" s="49" t="n">
        <v>4695.9</v>
      </c>
      <c r="P32" s="49" t="n">
        <v>5386.95</v>
      </c>
      <c r="Q32" s="49" t="n">
        <v>3.76</v>
      </c>
      <c r="R32" s="49" t="n">
        <v>25.21</v>
      </c>
      <c r="S32" s="49" t="n">
        <v>47.78</v>
      </c>
      <c r="T32" s="49" t="n">
        <v>427.46</v>
      </c>
      <c r="U32" s="33" t="inlineStr">
        <is>
          <t>false</t>
        </is>
      </c>
      <c r="V32" s="33" t="inlineStr">
        <is>
          <t>CALCULATED_DRAFT_WITH_ASSUMPTIONS</t>
        </is>
      </c>
      <c r="W32" s="33" t="inlineStr">
        <is>
          <t>BLOCKED_PENDING_VALIDATION</t>
        </is>
      </c>
      <c r="X32" s="33" t="inlineStr">
        <is>
          <t>EVD-0005;EVD-0007;EVD-0008;EVD-0027;EVD-0028;METHOD-NUT-002</t>
        </is>
      </c>
      <c r="Y32" s="33" t="inlineStr">
        <is>
          <t>GAP-005;GAP-013</t>
        </is>
      </c>
    </row>
    <row r="33">
      <c r="A33" s="33" t="inlineStr">
        <is>
          <t>NUT-DISH-028</t>
        </is>
      </c>
      <c r="B33" s="33" t="inlineStr">
        <is>
          <t>VKM-031</t>
        </is>
      </c>
      <c r="C33" s="33" t="inlineStr">
        <is>
          <t>Мадлен</t>
        </is>
      </c>
      <c r="D33" s="33" t="n">
        <v>60</v>
      </c>
      <c r="E33" s="49" t="n">
        <v>32.36</v>
      </c>
      <c r="F33" s="49" t="n">
        <v>32.36</v>
      </c>
      <c r="G33" s="49" t="n">
        <v>32.43</v>
      </c>
      <c r="H33" s="49" t="n">
        <v>129.58</v>
      </c>
      <c r="I33" s="49" t="n">
        <v>128.9</v>
      </c>
      <c r="J33" s="49" t="n">
        <v>129.58</v>
      </c>
      <c r="K33" s="49" t="n">
        <v>250.23</v>
      </c>
      <c r="L33" s="49" t="n">
        <v>250.05</v>
      </c>
      <c r="M33" s="49" t="n">
        <v>250.29</v>
      </c>
      <c r="N33" s="49" t="n">
        <v>2269.35</v>
      </c>
      <c r="O33" s="49" t="n">
        <v>2263.55</v>
      </c>
      <c r="P33" s="49" t="n">
        <v>2269.35</v>
      </c>
      <c r="Q33" s="49" t="n">
        <v>5.39</v>
      </c>
      <c r="R33" s="49" t="n">
        <v>21.6</v>
      </c>
      <c r="S33" s="49" t="n">
        <v>41.71</v>
      </c>
      <c r="T33" s="49" t="n">
        <v>378.23</v>
      </c>
      <c r="U33" s="33" t="inlineStr">
        <is>
          <t>false</t>
        </is>
      </c>
      <c r="V33" s="33" t="inlineStr">
        <is>
          <t>CALCULATED_DRAFT_WITH_ASSUMPTIONS</t>
        </is>
      </c>
      <c r="W33" s="33" t="inlineStr">
        <is>
          <t>BLOCKED_PENDING_VALIDATION</t>
        </is>
      </c>
      <c r="X33" s="33" t="inlineStr">
        <is>
          <t>EVD-0005;EVD-0007;EVD-0008;EVD-0027;EVD-0028;METHOD-NUT-002</t>
        </is>
      </c>
      <c r="Y33" s="33" t="inlineStr">
        <is>
          <t>GAP-005;GAP-013</t>
        </is>
      </c>
    </row>
  </sheetData>
  <mergeCells count="2">
    <mergeCell ref="A2:Y2"/>
    <mergeCell ref="A1:Y1"/>
  </mergeCells>
  <conditionalFormatting sqref="V6:W33">
    <cfRule type="containsText" priority="1" operator="containsText" dxfId="0" text="BLOCK"/>
    <cfRule type="containsText" priority="2" operator="containsText" dxfId="1" text="PASS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4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5" customWidth="1" min="3" max="3"/>
    <col width="14" customWidth="1" min="4" max="4"/>
    <col width="60" customWidth="1" min="5" max="5"/>
    <col width="15" customWidth="1" min="6" max="6"/>
    <col width="20" customWidth="1" min="7" max="7"/>
    <col width="36" customWidth="1" min="8" max="8"/>
    <col width="22" customWidth="1" min="9" max="9"/>
    <col width="22" customWidth="1" min="10" max="10"/>
    <col width="18" customWidth="1" min="11" max="11"/>
    <col width="45" customWidth="1" min="12" max="12"/>
    <col width="14" customWidth="1" min="13" max="13"/>
    <col width="14" customWidth="1" min="14" max="14"/>
  </cols>
  <sheetData>
    <row r="1" ht="30" customHeight="1">
      <c r="A1" s="27" t="inlineStr">
        <is>
          <t>12 — Вопросы шефу</t>
        </is>
      </c>
    </row>
    <row r="2" ht="27" customHeight="1">
      <c r="A2" s="29" t="inlineStr">
        <is>
          <t>144 open questions. Answers require owner/chef evidence and change control.</t>
        </is>
      </c>
    </row>
    <row r="3">
      <c r="A3" s="28" t="n"/>
      <c r="B3" s="28" t="n"/>
      <c r="C3" s="28" t="n"/>
      <c r="D3" s="28" t="n"/>
      <c r="E3" s="28" t="n"/>
      <c r="F3" s="28" t="n"/>
      <c r="G3" s="28" t="n"/>
      <c r="H3" s="28" t="n"/>
      <c r="I3" s="28" t="n"/>
      <c r="J3" s="28" t="n"/>
      <c r="K3" s="28" t="n"/>
      <c r="L3" s="28" t="n"/>
      <c r="M3" s="28" t="n"/>
      <c r="N3" s="28" t="n"/>
    </row>
    <row r="4">
      <c r="A4" s="28" t="n"/>
      <c r="B4" s="28" t="n"/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</row>
    <row r="5" ht="34" customHeight="1">
      <c r="A5" s="32" t="inlineStr">
        <is>
          <t>Question ID</t>
        </is>
      </c>
      <c r="B5" s="32" t="inlineStr">
        <is>
          <t>Dish ID</t>
        </is>
      </c>
      <c r="C5" s="32" t="inlineStr">
        <is>
          <t>Блюдо</t>
        </is>
      </c>
      <c r="D5" s="32" t="inlineStr">
        <is>
          <t>Тип</t>
        </is>
      </c>
      <c r="E5" s="32" t="inlineStr">
        <is>
          <t>Вопрос</t>
        </is>
      </c>
      <c r="F5" s="32" t="inlineStr">
        <is>
          <t>Статус</t>
        </is>
      </c>
      <c r="G5" s="32" t="inlineStr">
        <is>
          <t>Owner</t>
        </is>
      </c>
      <c r="H5" s="32" t="inlineStr">
        <is>
          <t>Impact</t>
        </is>
      </c>
      <c r="I5" s="32" t="inlineStr">
        <is>
          <t>Evidence</t>
        </is>
      </c>
      <c r="J5" s="32" t="inlineStr">
        <is>
          <t>Blockers</t>
        </is>
      </c>
      <c r="K5" s="32" t="inlineStr">
        <is>
          <t>Checkpoint</t>
        </is>
      </c>
      <c r="L5" s="32" t="inlineStr">
        <is>
          <t>Ответ</t>
        </is>
      </c>
      <c r="M5" s="32" t="inlineStr">
        <is>
          <t>Дата ответа</t>
        </is>
      </c>
      <c r="N5" s="32" t="inlineStr">
        <is>
          <t>Raised</t>
        </is>
      </c>
    </row>
    <row r="6">
      <c r="A6" s="33" t="inlineStr">
        <is>
          <t>CQ-0001</t>
        </is>
      </c>
      <c r="B6" s="33" t="inlineStr">
        <is>
          <t>VKM-001</t>
        </is>
      </c>
      <c r="C6" s="33" t="inlineStr">
        <is>
          <t>Маргарита</t>
        </is>
      </c>
      <c r="D6" s="33" t="inlineStr">
        <is>
          <t>RECIPE</t>
        </is>
      </c>
      <c r="E6" s="33" t="inlineStr">
        <is>
          <t>Подтвердить или скорректировать построчный состав и проектные нормы брутто/нетто.</t>
        </is>
      </c>
      <c r="F6" s="33" t="inlineStr">
        <is>
          <t>OPEN</t>
        </is>
      </c>
      <c r="G6" s="33" t="inlineStr">
        <is>
          <t>Chef</t>
        </is>
      </c>
      <c r="H6" s="33" t="inlineStr">
        <is>
          <t>Себестоимость; пищценность; аллергены; закупка</t>
        </is>
      </c>
      <c r="I6" s="33" t="inlineStr">
        <is>
          <t>EVD-0007</t>
        </is>
      </c>
      <c r="J6" s="33" t="inlineStr">
        <is>
          <t>GAP-004</t>
        </is>
      </c>
      <c r="K6" s="33" t="inlineStr">
        <is>
          <t>Owner/Chef Gate</t>
        </is>
      </c>
      <c r="L6" s="39" t="n"/>
      <c r="M6" s="39" t="n"/>
      <c r="N6" s="33" t="inlineStr">
        <is>
          <t>2026-08-03</t>
        </is>
      </c>
    </row>
    <row r="7">
      <c r="A7" s="33" t="inlineStr">
        <is>
          <t>CQ-0002</t>
        </is>
      </c>
      <c r="B7" s="33" t="inlineStr">
        <is>
          <t>VKM-001</t>
        </is>
      </c>
      <c r="C7" s="33" t="inlineStr">
        <is>
          <t>Маргарита</t>
        </is>
      </c>
      <c r="D7" s="33" t="inlineStr">
        <is>
          <t>YIELD</t>
        </is>
      </c>
      <c r="E7" s="33" t="inlineStr">
        <is>
          <t>Подтвердить целевой выход и способ учёта подготовительных/тепловых потерь контрольным взвешиванием.</t>
        </is>
      </c>
      <c r="F7" s="33" t="inlineStr">
        <is>
          <t>OPEN</t>
        </is>
      </c>
      <c r="G7" s="33" t="inlineStr">
        <is>
          <t>Chef</t>
        </is>
      </c>
      <c r="H7" s="33" t="inlineStr">
        <is>
          <t>Mass balance; себестоимость; порционирование</t>
        </is>
      </c>
      <c r="I7" s="33" t="inlineStr">
        <is>
          <t>EVD-0005;EVD-0008</t>
        </is>
      </c>
      <c r="J7" s="33" t="inlineStr">
        <is>
          <t>GAP-002;GAP-005</t>
        </is>
      </c>
      <c r="K7" s="33" t="inlineStr">
        <is>
          <t>Owner/Chef Gate</t>
        </is>
      </c>
      <c r="L7" s="39" t="n"/>
      <c r="M7" s="39" t="n"/>
      <c r="N7" s="33" t="inlineStr">
        <is>
          <t>2026-08-03</t>
        </is>
      </c>
    </row>
    <row r="8">
      <c r="A8" s="33" t="inlineStr">
        <is>
          <t>CQ-0003</t>
        </is>
      </c>
      <c r="B8" s="33" t="inlineStr">
        <is>
          <t>VKM-001</t>
        </is>
      </c>
      <c r="C8" s="33" t="inlineStr">
        <is>
          <t>Маргарита</t>
        </is>
      </c>
      <c r="D8" s="33" t="inlineStr">
        <is>
          <t>PROCESS</t>
        </is>
      </c>
      <c r="E8" s="33" t="inlineStr">
        <is>
          <t>Подтвердить последовательность операций, фактическое активное/полное время и проект подачи.</t>
        </is>
      </c>
      <c r="F8" s="33" t="inlineStr">
        <is>
          <t>OPEN</t>
        </is>
      </c>
      <c r="G8" s="33" t="inlineStr">
        <is>
          <t>Chef</t>
        </is>
      </c>
      <c r="H8" s="33" t="inlineStr">
        <is>
          <t>Техкарта; оборудование; мощность; сервис</t>
        </is>
      </c>
      <c r="I8" s="33" t="inlineStr">
        <is>
          <t>EVD-0010;EVD-0011</t>
        </is>
      </c>
      <c r="J8" s="33" t="inlineStr">
        <is>
          <t>GAP-007;GAP-008</t>
        </is>
      </c>
      <c r="K8" s="33" t="inlineStr">
        <is>
          <t>Owner/Chef Gate</t>
        </is>
      </c>
      <c r="L8" s="39" t="n"/>
      <c r="M8" s="39" t="n"/>
      <c r="N8" s="33" t="inlineStr">
        <is>
          <t>2026-08-03</t>
        </is>
      </c>
    </row>
    <row r="9">
      <c r="A9" s="33" t="inlineStr">
        <is>
          <t>CQ-0004</t>
        </is>
      </c>
      <c r="B9" s="33" t="inlineStr">
        <is>
          <t>VKM-001</t>
        </is>
      </c>
      <c r="C9" s="33" t="inlineStr">
        <is>
          <t>Маргарита</t>
        </is>
      </c>
      <c r="D9" s="33" t="inlineStr">
        <is>
          <t>SEMI_FINISHED</t>
        </is>
      </c>
      <c r="E9" s="33" t="inlineStr">
        <is>
          <t>Подтвердить выделение, код и размер партии связанных полуфабрикатов; указать общие полуфабрикаты.</t>
        </is>
      </c>
      <c r="F9" s="33" t="inlineStr">
        <is>
          <t>OPEN</t>
        </is>
      </c>
      <c r="G9" s="33" t="inlineStr">
        <is>
          <t>Chef</t>
        </is>
      </c>
      <c r="H9" s="33" t="inlineStr">
        <is>
          <t>DAG; двойной учёт; себестоимость; планирование</t>
        </is>
      </c>
      <c r="I9" s="33" t="inlineStr">
        <is>
          <t>EVD-0009</t>
        </is>
      </c>
      <c r="J9" s="33" t="inlineStr">
        <is>
          <t>GAP-006</t>
        </is>
      </c>
      <c r="K9" s="33" t="inlineStr">
        <is>
          <t>Owner/Chef Gate</t>
        </is>
      </c>
      <c r="L9" s="39" t="n"/>
      <c r="M9" s="39" t="n"/>
      <c r="N9" s="33" t="inlineStr">
        <is>
          <t>2026-08-03</t>
        </is>
      </c>
    </row>
    <row r="10">
      <c r="A10" s="33" t="inlineStr">
        <is>
          <t>CQ-0005</t>
        </is>
      </c>
      <c r="B10" s="33" t="inlineStr">
        <is>
          <t>VKM-001</t>
        </is>
      </c>
      <c r="C10" s="33" t="inlineStr">
        <is>
          <t>Маргарита</t>
        </is>
      </c>
      <c r="D10" s="33" t="inlineStr">
        <is>
          <t>PROCESS_FLOW_FOR_SAFETY</t>
        </is>
      </c>
      <c r="E10" s="33" t="inlineStr">
        <is>
          <t>Подтвердить фактический маршрут блюда по каналам: немедленная подача, хранение, охлаждение, разогрев и/или доставка; параметры не назначать без Food Safety re-review.</t>
        </is>
      </c>
      <c r="F10" s="33" t="inlineStr">
        <is>
          <t>OPEN</t>
        </is>
      </c>
      <c r="G10" s="33" t="inlineStr">
        <is>
          <t>Chef</t>
        </is>
      </c>
      <c r="H10" s="33" t="inlineStr">
        <is>
          <t>Safety veto; ППК/HACCP; маркировка и прослеживаемость</t>
        </is>
      </c>
      <c r="I10" s="33" t="inlineStr">
        <is>
          <t>EVD-0013;EVD-0014;EVD-FS-001;EVD-FS-003</t>
        </is>
      </c>
      <c r="J10" s="33" t="inlineStr">
        <is>
          <t>GAP-010;GAP-011</t>
        </is>
      </c>
      <c r="K10" s="33" t="inlineStr">
        <is>
          <t>Owner/Chef Gate</t>
        </is>
      </c>
      <c r="L10" s="39" t="n"/>
      <c r="M10" s="39" t="n"/>
      <c r="N10" s="33" t="inlineStr">
        <is>
          <t>2026-08-03</t>
        </is>
      </c>
    </row>
    <row r="11">
      <c r="A11" s="33" t="inlineStr">
        <is>
          <t>CQ-0006</t>
        </is>
      </c>
      <c r="B11" s="33" t="inlineStr">
        <is>
          <t>VKM-002</t>
        </is>
      </c>
      <c r="C11" s="33" t="inlineStr">
        <is>
          <t>Четыре сыра</t>
        </is>
      </c>
      <c r="D11" s="33" t="inlineStr">
        <is>
          <t>RECIPE</t>
        </is>
      </c>
      <c r="E11" s="33" t="inlineStr">
        <is>
          <t>Подтвердить или скорректировать построчный состав и проектные нормы брутто/нетто.</t>
        </is>
      </c>
      <c r="F11" s="33" t="inlineStr">
        <is>
          <t>OPEN</t>
        </is>
      </c>
      <c r="G11" s="33" t="inlineStr">
        <is>
          <t>Chef</t>
        </is>
      </c>
      <c r="H11" s="33" t="inlineStr">
        <is>
          <t>Себестоимость; пищценность; аллергены; закупка</t>
        </is>
      </c>
      <c r="I11" s="33" t="inlineStr">
        <is>
          <t>EVD-0007</t>
        </is>
      </c>
      <c r="J11" s="33" t="inlineStr">
        <is>
          <t>GAP-004</t>
        </is>
      </c>
      <c r="K11" s="33" t="inlineStr">
        <is>
          <t>Owner/Chef Gate</t>
        </is>
      </c>
      <c r="L11" s="39" t="n"/>
      <c r="M11" s="39" t="n"/>
      <c r="N11" s="33" t="inlineStr">
        <is>
          <t>2026-08-03</t>
        </is>
      </c>
    </row>
    <row r="12">
      <c r="A12" s="33" t="inlineStr">
        <is>
          <t>CQ-0007</t>
        </is>
      </c>
      <c r="B12" s="33" t="inlineStr">
        <is>
          <t>VKM-002</t>
        </is>
      </c>
      <c r="C12" s="33" t="inlineStr">
        <is>
          <t>Четыре сыра</t>
        </is>
      </c>
      <c r="D12" s="33" t="inlineStr">
        <is>
          <t>YIELD</t>
        </is>
      </c>
      <c r="E12" s="33" t="inlineStr">
        <is>
          <t>Подтвердить целевой выход и способ учёта подготовительных/тепловых потерь контрольным взвешиванием.</t>
        </is>
      </c>
      <c r="F12" s="33" t="inlineStr">
        <is>
          <t>OPEN</t>
        </is>
      </c>
      <c r="G12" s="33" t="inlineStr">
        <is>
          <t>Chef</t>
        </is>
      </c>
      <c r="H12" s="33" t="inlineStr">
        <is>
          <t>Mass balance; себестоимость; порционирование</t>
        </is>
      </c>
      <c r="I12" s="33" t="inlineStr">
        <is>
          <t>EVD-0005;EVD-0008</t>
        </is>
      </c>
      <c r="J12" s="33" t="inlineStr">
        <is>
          <t>GAP-002;GAP-005</t>
        </is>
      </c>
      <c r="K12" s="33" t="inlineStr">
        <is>
          <t>Owner/Chef Gate</t>
        </is>
      </c>
      <c r="L12" s="39" t="n"/>
      <c r="M12" s="39" t="n"/>
      <c r="N12" s="33" t="inlineStr">
        <is>
          <t>2026-08-03</t>
        </is>
      </c>
    </row>
    <row r="13">
      <c r="A13" s="33" t="inlineStr">
        <is>
          <t>CQ-0008</t>
        </is>
      </c>
      <c r="B13" s="33" t="inlineStr">
        <is>
          <t>VKM-002</t>
        </is>
      </c>
      <c r="C13" s="33" t="inlineStr">
        <is>
          <t>Четыре сыра</t>
        </is>
      </c>
      <c r="D13" s="33" t="inlineStr">
        <is>
          <t>PROCESS</t>
        </is>
      </c>
      <c r="E13" s="33" t="inlineStr">
        <is>
          <t>Подтвердить последовательность операций, фактическое активное/полное время и проект подачи.</t>
        </is>
      </c>
      <c r="F13" s="33" t="inlineStr">
        <is>
          <t>OPEN</t>
        </is>
      </c>
      <c r="G13" s="33" t="inlineStr">
        <is>
          <t>Chef</t>
        </is>
      </c>
      <c r="H13" s="33" t="inlineStr">
        <is>
          <t>Техкарта; оборудование; мощность; сервис</t>
        </is>
      </c>
      <c r="I13" s="33" t="inlineStr">
        <is>
          <t>EVD-0010;EVD-0011</t>
        </is>
      </c>
      <c r="J13" s="33" t="inlineStr">
        <is>
          <t>GAP-007;GAP-008</t>
        </is>
      </c>
      <c r="K13" s="33" t="inlineStr">
        <is>
          <t>Owner/Chef Gate</t>
        </is>
      </c>
      <c r="L13" s="39" t="n"/>
      <c r="M13" s="39" t="n"/>
      <c r="N13" s="33" t="inlineStr">
        <is>
          <t>2026-08-03</t>
        </is>
      </c>
    </row>
    <row r="14">
      <c r="A14" s="33" t="inlineStr">
        <is>
          <t>CQ-0009</t>
        </is>
      </c>
      <c r="B14" s="33" t="inlineStr">
        <is>
          <t>VKM-002</t>
        </is>
      </c>
      <c r="C14" s="33" t="inlineStr">
        <is>
          <t>Четыре сыра</t>
        </is>
      </c>
      <c r="D14" s="33" t="inlineStr">
        <is>
          <t>SEMI_FINISHED</t>
        </is>
      </c>
      <c r="E14" s="33" t="inlineStr">
        <is>
          <t>Подтвердить выделение, код и размер партии связанных полуфабрикатов; указать общие полуфабрикаты.</t>
        </is>
      </c>
      <c r="F14" s="33" t="inlineStr">
        <is>
          <t>OPEN</t>
        </is>
      </c>
      <c r="G14" s="33" t="inlineStr">
        <is>
          <t>Chef</t>
        </is>
      </c>
      <c r="H14" s="33" t="inlineStr">
        <is>
          <t>DAG; двойной учёт; себестоимость; планирование</t>
        </is>
      </c>
      <c r="I14" s="33" t="inlineStr">
        <is>
          <t>EVD-0009</t>
        </is>
      </c>
      <c r="J14" s="33" t="inlineStr">
        <is>
          <t>GAP-006</t>
        </is>
      </c>
      <c r="K14" s="33" t="inlineStr">
        <is>
          <t>Owner/Chef Gate</t>
        </is>
      </c>
      <c r="L14" s="39" t="n"/>
      <c r="M14" s="39" t="n"/>
      <c r="N14" s="33" t="inlineStr">
        <is>
          <t>2026-08-03</t>
        </is>
      </c>
    </row>
    <row r="15">
      <c r="A15" s="33" t="inlineStr">
        <is>
          <t>CQ-0010</t>
        </is>
      </c>
      <c r="B15" s="33" t="inlineStr">
        <is>
          <t>VKM-002</t>
        </is>
      </c>
      <c r="C15" s="33" t="inlineStr">
        <is>
          <t>Четыре сыра</t>
        </is>
      </c>
      <c r="D15" s="33" t="inlineStr">
        <is>
          <t>PROCESS_FLOW_FOR_SAFETY</t>
        </is>
      </c>
      <c r="E15" s="33" t="inlineStr">
        <is>
          <t>Подтвердить фактический маршрут блюда по каналам: немедленная подача, хранение, охлаждение, разогрев и/или доставка; параметры не назначать без Food Safety re-review.</t>
        </is>
      </c>
      <c r="F15" s="33" t="inlineStr">
        <is>
          <t>OPEN</t>
        </is>
      </c>
      <c r="G15" s="33" t="inlineStr">
        <is>
          <t>Chef</t>
        </is>
      </c>
      <c r="H15" s="33" t="inlineStr">
        <is>
          <t>Safety veto; ППК/HACCP; маркировка и прослеживаемость</t>
        </is>
      </c>
      <c r="I15" s="33" t="inlineStr">
        <is>
          <t>EVD-0013;EVD-0014;EVD-FS-001;EVD-FS-003</t>
        </is>
      </c>
      <c r="J15" s="33" t="inlineStr">
        <is>
          <t>GAP-010;GAP-011</t>
        </is>
      </c>
      <c r="K15" s="33" t="inlineStr">
        <is>
          <t>Owner/Chef Gate</t>
        </is>
      </c>
      <c r="L15" s="39" t="n"/>
      <c r="M15" s="39" t="n"/>
      <c r="N15" s="33" t="inlineStr">
        <is>
          <t>2026-08-03</t>
        </is>
      </c>
    </row>
    <row r="16">
      <c r="A16" s="33" t="inlineStr">
        <is>
          <t>CQ-0011</t>
        </is>
      </c>
      <c r="B16" s="33" t="inlineStr">
        <is>
          <t>VKM-003</t>
        </is>
      </c>
      <c r="C16" s="33" t="inlineStr">
        <is>
          <t>Грибная с ветчиной</t>
        </is>
      </c>
      <c r="D16" s="33" t="inlineStr">
        <is>
          <t>RECIPE</t>
        </is>
      </c>
      <c r="E16" s="33" t="inlineStr">
        <is>
          <t>Подтвердить или скорректировать построчный состав и проектные нормы брутто/нетто.</t>
        </is>
      </c>
      <c r="F16" s="33" t="inlineStr">
        <is>
          <t>OPEN</t>
        </is>
      </c>
      <c r="G16" s="33" t="inlineStr">
        <is>
          <t>Chef</t>
        </is>
      </c>
      <c r="H16" s="33" t="inlineStr">
        <is>
          <t>Себестоимость; пищценность; аллергены; закупка</t>
        </is>
      </c>
      <c r="I16" s="33" t="inlineStr">
        <is>
          <t>EVD-0007</t>
        </is>
      </c>
      <c r="J16" s="33" t="inlineStr">
        <is>
          <t>GAP-004</t>
        </is>
      </c>
      <c r="K16" s="33" t="inlineStr">
        <is>
          <t>Owner/Chef Gate</t>
        </is>
      </c>
      <c r="L16" s="39" t="n"/>
      <c r="M16" s="39" t="n"/>
      <c r="N16" s="33" t="inlineStr">
        <is>
          <t>2026-08-03</t>
        </is>
      </c>
    </row>
    <row r="17">
      <c r="A17" s="33" t="inlineStr">
        <is>
          <t>CQ-0012</t>
        </is>
      </c>
      <c r="B17" s="33" t="inlineStr">
        <is>
          <t>VKM-003</t>
        </is>
      </c>
      <c r="C17" s="33" t="inlineStr">
        <is>
          <t>Грибная с ветчиной</t>
        </is>
      </c>
      <c r="D17" s="33" t="inlineStr">
        <is>
          <t>YIELD</t>
        </is>
      </c>
      <c r="E17" s="33" t="inlineStr">
        <is>
          <t>Подтвердить целевой выход и способ учёта подготовительных/тепловых потерь контрольным взвешиванием.</t>
        </is>
      </c>
      <c r="F17" s="33" t="inlineStr">
        <is>
          <t>OPEN</t>
        </is>
      </c>
      <c r="G17" s="33" t="inlineStr">
        <is>
          <t>Chef</t>
        </is>
      </c>
      <c r="H17" s="33" t="inlineStr">
        <is>
          <t>Mass balance; себестоимость; порционирование</t>
        </is>
      </c>
      <c r="I17" s="33" t="inlineStr">
        <is>
          <t>EVD-0005;EVD-0008</t>
        </is>
      </c>
      <c r="J17" s="33" t="inlineStr">
        <is>
          <t>GAP-002;GAP-005</t>
        </is>
      </c>
      <c r="K17" s="33" t="inlineStr">
        <is>
          <t>Owner/Chef Gate</t>
        </is>
      </c>
      <c r="L17" s="39" t="n"/>
      <c r="M17" s="39" t="n"/>
      <c r="N17" s="33" t="inlineStr">
        <is>
          <t>2026-08-03</t>
        </is>
      </c>
    </row>
    <row r="18">
      <c r="A18" s="33" t="inlineStr">
        <is>
          <t>CQ-0013</t>
        </is>
      </c>
      <c r="B18" s="33" t="inlineStr">
        <is>
          <t>VKM-003</t>
        </is>
      </c>
      <c r="C18" s="33" t="inlineStr">
        <is>
          <t>Грибная с ветчиной</t>
        </is>
      </c>
      <c r="D18" s="33" t="inlineStr">
        <is>
          <t>PROCESS</t>
        </is>
      </c>
      <c r="E18" s="33" t="inlineStr">
        <is>
          <t>Подтвердить последовательность операций, фактическое активное/полное время и проект подачи.</t>
        </is>
      </c>
      <c r="F18" s="33" t="inlineStr">
        <is>
          <t>OPEN</t>
        </is>
      </c>
      <c r="G18" s="33" t="inlineStr">
        <is>
          <t>Chef</t>
        </is>
      </c>
      <c r="H18" s="33" t="inlineStr">
        <is>
          <t>Техкарта; оборудование; мощность; сервис</t>
        </is>
      </c>
      <c r="I18" s="33" t="inlineStr">
        <is>
          <t>EVD-0010;EVD-0011</t>
        </is>
      </c>
      <c r="J18" s="33" t="inlineStr">
        <is>
          <t>GAP-007;GAP-008</t>
        </is>
      </c>
      <c r="K18" s="33" t="inlineStr">
        <is>
          <t>Owner/Chef Gate</t>
        </is>
      </c>
      <c r="L18" s="39" t="n"/>
      <c r="M18" s="39" t="n"/>
      <c r="N18" s="33" t="inlineStr">
        <is>
          <t>2026-08-03</t>
        </is>
      </c>
    </row>
    <row r="19">
      <c r="A19" s="33" t="inlineStr">
        <is>
          <t>CQ-0014</t>
        </is>
      </c>
      <c r="B19" s="33" t="inlineStr">
        <is>
          <t>VKM-003</t>
        </is>
      </c>
      <c r="C19" s="33" t="inlineStr">
        <is>
          <t>Грибная с ветчиной</t>
        </is>
      </c>
      <c r="D19" s="33" t="inlineStr">
        <is>
          <t>SEMI_FINISHED</t>
        </is>
      </c>
      <c r="E19" s="33" t="inlineStr">
        <is>
          <t>Подтвердить выделение, код и размер партии связанных полуфабрикатов; указать общие полуфабрикаты.</t>
        </is>
      </c>
      <c r="F19" s="33" t="inlineStr">
        <is>
          <t>OPEN</t>
        </is>
      </c>
      <c r="G19" s="33" t="inlineStr">
        <is>
          <t>Chef</t>
        </is>
      </c>
      <c r="H19" s="33" t="inlineStr">
        <is>
          <t>DAG; двойной учёт; себестоимость; планирование</t>
        </is>
      </c>
      <c r="I19" s="33" t="inlineStr">
        <is>
          <t>EVD-0009</t>
        </is>
      </c>
      <c r="J19" s="33" t="inlineStr">
        <is>
          <t>GAP-006</t>
        </is>
      </c>
      <c r="K19" s="33" t="inlineStr">
        <is>
          <t>Owner/Chef Gate</t>
        </is>
      </c>
      <c r="L19" s="39" t="n"/>
      <c r="M19" s="39" t="n"/>
      <c r="N19" s="33" t="inlineStr">
        <is>
          <t>2026-08-03</t>
        </is>
      </c>
    </row>
    <row r="20">
      <c r="A20" s="33" t="inlineStr">
        <is>
          <t>CQ-0015</t>
        </is>
      </c>
      <c r="B20" s="33" t="inlineStr">
        <is>
          <t>VKM-003</t>
        </is>
      </c>
      <c r="C20" s="33" t="inlineStr">
        <is>
          <t>Грибная с ветчиной</t>
        </is>
      </c>
      <c r="D20" s="33" t="inlineStr">
        <is>
          <t>PROCESS_FLOW_FOR_SAFETY</t>
        </is>
      </c>
      <c r="E20" s="33" t="inlineStr">
        <is>
          <t>Подтвердить фактический маршрут блюда по каналам: немедленная подача, хранение, охлаждение, разогрев и/или доставка; параметры не назначать без Food Safety re-review.</t>
        </is>
      </c>
      <c r="F20" s="33" t="inlineStr">
        <is>
          <t>OPEN</t>
        </is>
      </c>
      <c r="G20" s="33" t="inlineStr">
        <is>
          <t>Chef</t>
        </is>
      </c>
      <c r="H20" s="33" t="inlineStr">
        <is>
          <t>Safety veto; ППК/HACCP; маркировка и прослеживаемость</t>
        </is>
      </c>
      <c r="I20" s="33" t="inlineStr">
        <is>
          <t>EVD-0013;EVD-0014;EVD-FS-001;EVD-FS-003</t>
        </is>
      </c>
      <c r="J20" s="33" t="inlineStr">
        <is>
          <t>GAP-010;GAP-011</t>
        </is>
      </c>
      <c r="K20" s="33" t="inlineStr">
        <is>
          <t>Owner/Chef Gate</t>
        </is>
      </c>
      <c r="L20" s="39" t="n"/>
      <c r="M20" s="39" t="n"/>
      <c r="N20" s="33" t="inlineStr">
        <is>
          <t>2026-08-03</t>
        </is>
      </c>
    </row>
    <row r="21">
      <c r="A21" s="33" t="inlineStr">
        <is>
          <t>CQ-0016</t>
        </is>
      </c>
      <c r="B21" s="33" t="inlineStr">
        <is>
          <t>VKM-004</t>
        </is>
      </c>
      <c r="C21" s="33" t="inlineStr">
        <is>
          <t>Пепперони</t>
        </is>
      </c>
      <c r="D21" s="33" t="inlineStr">
        <is>
          <t>RECIPE</t>
        </is>
      </c>
      <c r="E21" s="33" t="inlineStr">
        <is>
          <t>Подтвердить или скорректировать построчный состав и проектные нормы брутто/нетто.</t>
        </is>
      </c>
      <c r="F21" s="33" t="inlineStr">
        <is>
          <t>OPEN</t>
        </is>
      </c>
      <c r="G21" s="33" t="inlineStr">
        <is>
          <t>Chef</t>
        </is>
      </c>
      <c r="H21" s="33" t="inlineStr">
        <is>
          <t>Себестоимость; пищценность; аллергены; закупка</t>
        </is>
      </c>
      <c r="I21" s="33" t="inlineStr">
        <is>
          <t>EVD-0007</t>
        </is>
      </c>
      <c r="J21" s="33" t="inlineStr">
        <is>
          <t>GAP-004</t>
        </is>
      </c>
      <c r="K21" s="33" t="inlineStr">
        <is>
          <t>Owner/Chef Gate</t>
        </is>
      </c>
      <c r="L21" s="39" t="n"/>
      <c r="M21" s="39" t="n"/>
      <c r="N21" s="33" t="inlineStr">
        <is>
          <t>2026-08-03</t>
        </is>
      </c>
    </row>
    <row r="22">
      <c r="A22" s="33" t="inlineStr">
        <is>
          <t>CQ-0017</t>
        </is>
      </c>
      <c r="B22" s="33" t="inlineStr">
        <is>
          <t>VKM-004</t>
        </is>
      </c>
      <c r="C22" s="33" t="inlineStr">
        <is>
          <t>Пепперони</t>
        </is>
      </c>
      <c r="D22" s="33" t="inlineStr">
        <is>
          <t>YIELD</t>
        </is>
      </c>
      <c r="E22" s="33" t="inlineStr">
        <is>
          <t>Подтвердить целевой выход и способ учёта подготовительных/тепловых потерь контрольным взвешиванием.</t>
        </is>
      </c>
      <c r="F22" s="33" t="inlineStr">
        <is>
          <t>OPEN</t>
        </is>
      </c>
      <c r="G22" s="33" t="inlineStr">
        <is>
          <t>Chef</t>
        </is>
      </c>
      <c r="H22" s="33" t="inlineStr">
        <is>
          <t>Mass balance; себестоимость; порционирование</t>
        </is>
      </c>
      <c r="I22" s="33" t="inlineStr">
        <is>
          <t>EVD-0005;EVD-0008</t>
        </is>
      </c>
      <c r="J22" s="33" t="inlineStr">
        <is>
          <t>GAP-002;GAP-005</t>
        </is>
      </c>
      <c r="K22" s="33" t="inlineStr">
        <is>
          <t>Owner/Chef Gate</t>
        </is>
      </c>
      <c r="L22" s="39" t="n"/>
      <c r="M22" s="39" t="n"/>
      <c r="N22" s="33" t="inlineStr">
        <is>
          <t>2026-08-03</t>
        </is>
      </c>
    </row>
    <row r="23">
      <c r="A23" s="33" t="inlineStr">
        <is>
          <t>CQ-0018</t>
        </is>
      </c>
      <c r="B23" s="33" t="inlineStr">
        <is>
          <t>VKM-004</t>
        </is>
      </c>
      <c r="C23" s="33" t="inlineStr">
        <is>
          <t>Пепперони</t>
        </is>
      </c>
      <c r="D23" s="33" t="inlineStr">
        <is>
          <t>PROCESS</t>
        </is>
      </c>
      <c r="E23" s="33" t="inlineStr">
        <is>
          <t>Подтвердить последовательность операций, фактическое активное/полное время и проект подачи.</t>
        </is>
      </c>
      <c r="F23" s="33" t="inlineStr">
        <is>
          <t>OPEN</t>
        </is>
      </c>
      <c r="G23" s="33" t="inlineStr">
        <is>
          <t>Chef</t>
        </is>
      </c>
      <c r="H23" s="33" t="inlineStr">
        <is>
          <t>Техкарта; оборудование; мощность; сервис</t>
        </is>
      </c>
      <c r="I23" s="33" t="inlineStr">
        <is>
          <t>EVD-0010;EVD-0011</t>
        </is>
      </c>
      <c r="J23" s="33" t="inlineStr">
        <is>
          <t>GAP-007;GAP-008</t>
        </is>
      </c>
      <c r="K23" s="33" t="inlineStr">
        <is>
          <t>Owner/Chef Gate</t>
        </is>
      </c>
      <c r="L23" s="39" t="n"/>
      <c r="M23" s="39" t="n"/>
      <c r="N23" s="33" t="inlineStr">
        <is>
          <t>2026-08-03</t>
        </is>
      </c>
    </row>
    <row r="24">
      <c r="A24" s="33" t="inlineStr">
        <is>
          <t>CQ-0019</t>
        </is>
      </c>
      <c r="B24" s="33" t="inlineStr">
        <is>
          <t>VKM-004</t>
        </is>
      </c>
      <c r="C24" s="33" t="inlineStr">
        <is>
          <t>Пепперони</t>
        </is>
      </c>
      <c r="D24" s="33" t="inlineStr">
        <is>
          <t>SEMI_FINISHED</t>
        </is>
      </c>
      <c r="E24" s="33" t="inlineStr">
        <is>
          <t>Подтвердить выделение, код и размер партии связанных полуфабрикатов; указать общие полуфабрикаты.</t>
        </is>
      </c>
      <c r="F24" s="33" t="inlineStr">
        <is>
          <t>OPEN</t>
        </is>
      </c>
      <c r="G24" s="33" t="inlineStr">
        <is>
          <t>Chef</t>
        </is>
      </c>
      <c r="H24" s="33" t="inlineStr">
        <is>
          <t>DAG; двойной учёт; себестоимость; планирование</t>
        </is>
      </c>
      <c r="I24" s="33" t="inlineStr">
        <is>
          <t>EVD-0009</t>
        </is>
      </c>
      <c r="J24" s="33" t="inlineStr">
        <is>
          <t>GAP-006</t>
        </is>
      </c>
      <c r="K24" s="33" t="inlineStr">
        <is>
          <t>Owner/Chef Gate</t>
        </is>
      </c>
      <c r="L24" s="39" t="n"/>
      <c r="M24" s="39" t="n"/>
      <c r="N24" s="33" t="inlineStr">
        <is>
          <t>2026-08-03</t>
        </is>
      </c>
    </row>
    <row r="25">
      <c r="A25" s="33" t="inlineStr">
        <is>
          <t>CQ-0020</t>
        </is>
      </c>
      <c r="B25" s="33" t="inlineStr">
        <is>
          <t>VKM-004</t>
        </is>
      </c>
      <c r="C25" s="33" t="inlineStr">
        <is>
          <t>Пепперони</t>
        </is>
      </c>
      <c r="D25" s="33" t="inlineStr">
        <is>
          <t>PROCESS_FLOW_FOR_SAFETY</t>
        </is>
      </c>
      <c r="E25" s="33" t="inlineStr">
        <is>
          <t>Подтвердить фактический маршрут блюда по каналам: немедленная подача, хранение, охлаждение, разогрев и/или доставка; параметры не назначать без Food Safety re-review.</t>
        </is>
      </c>
      <c r="F25" s="33" t="inlineStr">
        <is>
          <t>OPEN</t>
        </is>
      </c>
      <c r="G25" s="33" t="inlineStr">
        <is>
          <t>Chef</t>
        </is>
      </c>
      <c r="H25" s="33" t="inlineStr">
        <is>
          <t>Safety veto; ППК/HACCP; маркировка и прослеживаемость</t>
        </is>
      </c>
      <c r="I25" s="33" t="inlineStr">
        <is>
          <t>EVD-0013;EVD-0014;EVD-FS-001;EVD-FS-003</t>
        </is>
      </c>
      <c r="J25" s="33" t="inlineStr">
        <is>
          <t>GAP-010;GAP-011</t>
        </is>
      </c>
      <c r="K25" s="33" t="inlineStr">
        <is>
          <t>Owner/Chef Gate</t>
        </is>
      </c>
      <c r="L25" s="39" t="n"/>
      <c r="M25" s="39" t="n"/>
      <c r="N25" s="33" t="inlineStr">
        <is>
          <t>2026-08-03</t>
        </is>
      </c>
    </row>
    <row r="26">
      <c r="A26" s="33" t="inlineStr">
        <is>
          <t>CQ-0021</t>
        </is>
      </c>
      <c r="B26" s="33" t="inlineStr">
        <is>
          <t>VKM-005</t>
        </is>
      </c>
      <c r="C26" s="33" t="inlineStr">
        <is>
          <t>Белая чиабатта</t>
        </is>
      </c>
      <c r="D26" s="33" t="inlineStr">
        <is>
          <t>RECIPE</t>
        </is>
      </c>
      <c r="E26" s="33" t="inlineStr">
        <is>
          <t>Подтвердить или скорректировать построчный состав и проектные нормы брутто/нетто.</t>
        </is>
      </c>
      <c r="F26" s="33" t="inlineStr">
        <is>
          <t>OPEN</t>
        </is>
      </c>
      <c r="G26" s="33" t="inlineStr">
        <is>
          <t>Chef</t>
        </is>
      </c>
      <c r="H26" s="33" t="inlineStr">
        <is>
          <t>Себестоимость; пищценность; аллергены; закупка</t>
        </is>
      </c>
      <c r="I26" s="33" t="inlineStr">
        <is>
          <t>EVD-0007</t>
        </is>
      </c>
      <c r="J26" s="33" t="inlineStr">
        <is>
          <t>GAP-004</t>
        </is>
      </c>
      <c r="K26" s="33" t="inlineStr">
        <is>
          <t>Owner/Chef Gate</t>
        </is>
      </c>
      <c r="L26" s="39" t="n"/>
      <c r="M26" s="39" t="n"/>
      <c r="N26" s="33" t="inlineStr">
        <is>
          <t>2026-08-03</t>
        </is>
      </c>
    </row>
    <row r="27">
      <c r="A27" s="33" t="inlineStr">
        <is>
          <t>CQ-0022</t>
        </is>
      </c>
      <c r="B27" s="33" t="inlineStr">
        <is>
          <t>VKM-005</t>
        </is>
      </c>
      <c r="C27" s="33" t="inlineStr">
        <is>
          <t>Белая чиабатта</t>
        </is>
      </c>
      <c r="D27" s="33" t="inlineStr">
        <is>
          <t>YIELD</t>
        </is>
      </c>
      <c r="E27" s="33" t="inlineStr">
        <is>
          <t>Подтвердить целевой выход и способ учёта подготовительных/тепловых потерь контрольным взвешиванием.</t>
        </is>
      </c>
      <c r="F27" s="33" t="inlineStr">
        <is>
          <t>OPEN</t>
        </is>
      </c>
      <c r="G27" s="33" t="inlineStr">
        <is>
          <t>Chef</t>
        </is>
      </c>
      <c r="H27" s="33" t="inlineStr">
        <is>
          <t>Mass balance; себестоимость; порционирование</t>
        </is>
      </c>
      <c r="I27" s="33" t="inlineStr">
        <is>
          <t>EVD-0005;EVD-0008</t>
        </is>
      </c>
      <c r="J27" s="33" t="inlineStr">
        <is>
          <t>GAP-002;GAP-005</t>
        </is>
      </c>
      <c r="K27" s="33" t="inlineStr">
        <is>
          <t>Owner/Chef Gate</t>
        </is>
      </c>
      <c r="L27" s="39" t="n"/>
      <c r="M27" s="39" t="n"/>
      <c r="N27" s="33" t="inlineStr">
        <is>
          <t>2026-08-03</t>
        </is>
      </c>
    </row>
    <row r="28">
      <c r="A28" s="33" t="inlineStr">
        <is>
          <t>CQ-0023</t>
        </is>
      </c>
      <c r="B28" s="33" t="inlineStr">
        <is>
          <t>VKM-005</t>
        </is>
      </c>
      <c r="C28" s="33" t="inlineStr">
        <is>
          <t>Белая чиабатта</t>
        </is>
      </c>
      <c r="D28" s="33" t="inlineStr">
        <is>
          <t>PROCESS</t>
        </is>
      </c>
      <c r="E28" s="33" t="inlineStr">
        <is>
          <t>Подтвердить последовательность операций, фактическое активное/полное время и проект подачи.</t>
        </is>
      </c>
      <c r="F28" s="33" t="inlineStr">
        <is>
          <t>OPEN</t>
        </is>
      </c>
      <c r="G28" s="33" t="inlineStr">
        <is>
          <t>Chef</t>
        </is>
      </c>
      <c r="H28" s="33" t="inlineStr">
        <is>
          <t>Техкарта; оборудование; мощность; сервис</t>
        </is>
      </c>
      <c r="I28" s="33" t="inlineStr">
        <is>
          <t>EVD-0010;EVD-0011</t>
        </is>
      </c>
      <c r="J28" s="33" t="inlineStr">
        <is>
          <t>GAP-007;GAP-008</t>
        </is>
      </c>
      <c r="K28" s="33" t="inlineStr">
        <is>
          <t>Owner/Chef Gate</t>
        </is>
      </c>
      <c r="L28" s="39" t="n"/>
      <c r="M28" s="39" t="n"/>
      <c r="N28" s="33" t="inlineStr">
        <is>
          <t>2026-08-03</t>
        </is>
      </c>
    </row>
    <row r="29">
      <c r="A29" s="33" t="inlineStr">
        <is>
          <t>CQ-0024</t>
        </is>
      </c>
      <c r="B29" s="33" t="inlineStr">
        <is>
          <t>VKM-005</t>
        </is>
      </c>
      <c r="C29" s="33" t="inlineStr">
        <is>
          <t>Белая чиабатта</t>
        </is>
      </c>
      <c r="D29" s="33" t="inlineStr">
        <is>
          <t>SEMI_FINISHED</t>
        </is>
      </c>
      <c r="E29" s="33" t="inlineStr">
        <is>
          <t>Подтвердить выделение, код и размер партии связанных полуфабрикатов; указать общие полуфабрикаты.</t>
        </is>
      </c>
      <c r="F29" s="33" t="inlineStr">
        <is>
          <t>OPEN</t>
        </is>
      </c>
      <c r="G29" s="33" t="inlineStr">
        <is>
          <t>Chef</t>
        </is>
      </c>
      <c r="H29" s="33" t="inlineStr">
        <is>
          <t>DAG; двойной учёт; себестоимость; планирование</t>
        </is>
      </c>
      <c r="I29" s="33" t="inlineStr">
        <is>
          <t>EVD-0009</t>
        </is>
      </c>
      <c r="J29" s="33" t="inlineStr">
        <is>
          <t>GAP-006</t>
        </is>
      </c>
      <c r="K29" s="33" t="inlineStr">
        <is>
          <t>Owner/Chef Gate</t>
        </is>
      </c>
      <c r="L29" s="39" t="n"/>
      <c r="M29" s="39" t="n"/>
      <c r="N29" s="33" t="inlineStr">
        <is>
          <t>2026-08-03</t>
        </is>
      </c>
    </row>
    <row r="30">
      <c r="A30" s="33" t="inlineStr">
        <is>
          <t>CQ-0025</t>
        </is>
      </c>
      <c r="B30" s="33" t="inlineStr">
        <is>
          <t>VKM-005</t>
        </is>
      </c>
      <c r="C30" s="33" t="inlineStr">
        <is>
          <t>Белая чиабатта</t>
        </is>
      </c>
      <c r="D30" s="33" t="inlineStr">
        <is>
          <t>PROCESS_FLOW_FOR_SAFETY</t>
        </is>
      </c>
      <c r="E30" s="33" t="inlineStr">
        <is>
          <t>Подтвердить фактический маршрут блюда по каналам: немедленная подача, хранение, охлаждение, разогрев и/или доставка; параметры не назначать без Food Safety re-review.</t>
        </is>
      </c>
      <c r="F30" s="33" t="inlineStr">
        <is>
          <t>OPEN</t>
        </is>
      </c>
      <c r="G30" s="33" t="inlineStr">
        <is>
          <t>Chef</t>
        </is>
      </c>
      <c r="H30" s="33" t="inlineStr">
        <is>
          <t>Safety veto; ППК/HACCP; маркировка и прослеживаемость</t>
        </is>
      </c>
      <c r="I30" s="33" t="inlineStr">
        <is>
          <t>EVD-0013;EVD-0014;EVD-FS-001;EVD-FS-003</t>
        </is>
      </c>
      <c r="J30" s="33" t="inlineStr">
        <is>
          <t>GAP-010;GAP-011</t>
        </is>
      </c>
      <c r="K30" s="33" t="inlineStr">
        <is>
          <t>Owner/Chef Gate</t>
        </is>
      </c>
      <c r="L30" s="39" t="n"/>
      <c r="M30" s="39" t="n"/>
      <c r="N30" s="33" t="inlineStr">
        <is>
          <t>2026-08-03</t>
        </is>
      </c>
    </row>
    <row r="31">
      <c r="A31" s="33" t="inlineStr">
        <is>
          <t>CQ-0026</t>
        </is>
      </c>
      <c r="B31" s="33" t="inlineStr">
        <is>
          <t>VKM-006</t>
        </is>
      </c>
      <c r="C31" s="33" t="inlineStr">
        <is>
          <t>Томатная чиабатта</t>
        </is>
      </c>
      <c r="D31" s="33" t="inlineStr">
        <is>
          <t>RECIPE</t>
        </is>
      </c>
      <c r="E31" s="33" t="inlineStr">
        <is>
          <t>Подтвердить или скорректировать построчный состав и проектные нормы брутто/нетто.</t>
        </is>
      </c>
      <c r="F31" s="33" t="inlineStr">
        <is>
          <t>OPEN</t>
        </is>
      </c>
      <c r="G31" s="33" t="inlineStr">
        <is>
          <t>Chef</t>
        </is>
      </c>
      <c r="H31" s="33" t="inlineStr">
        <is>
          <t>Себестоимость; пищценность; аллергены; закупка</t>
        </is>
      </c>
      <c r="I31" s="33" t="inlineStr">
        <is>
          <t>EVD-0007</t>
        </is>
      </c>
      <c r="J31" s="33" t="inlineStr">
        <is>
          <t>GAP-004</t>
        </is>
      </c>
      <c r="K31" s="33" t="inlineStr">
        <is>
          <t>Owner/Chef Gate</t>
        </is>
      </c>
      <c r="L31" s="39" t="n"/>
      <c r="M31" s="39" t="n"/>
      <c r="N31" s="33" t="inlineStr">
        <is>
          <t>2026-08-03</t>
        </is>
      </c>
    </row>
    <row r="32">
      <c r="A32" s="33" t="inlineStr">
        <is>
          <t>CQ-0027</t>
        </is>
      </c>
      <c r="B32" s="33" t="inlineStr">
        <is>
          <t>VKM-006</t>
        </is>
      </c>
      <c r="C32" s="33" t="inlineStr">
        <is>
          <t>Томатная чиабатта</t>
        </is>
      </c>
      <c r="D32" s="33" t="inlineStr">
        <is>
          <t>YIELD</t>
        </is>
      </c>
      <c r="E32" s="33" t="inlineStr">
        <is>
          <t>Подтвердить целевой выход и способ учёта подготовительных/тепловых потерь контрольным взвешиванием.</t>
        </is>
      </c>
      <c r="F32" s="33" t="inlineStr">
        <is>
          <t>OPEN</t>
        </is>
      </c>
      <c r="G32" s="33" t="inlineStr">
        <is>
          <t>Chef</t>
        </is>
      </c>
      <c r="H32" s="33" t="inlineStr">
        <is>
          <t>Mass balance; себестоимость; порционирование</t>
        </is>
      </c>
      <c r="I32" s="33" t="inlineStr">
        <is>
          <t>EVD-0005;EVD-0008</t>
        </is>
      </c>
      <c r="J32" s="33" t="inlineStr">
        <is>
          <t>GAP-002;GAP-005</t>
        </is>
      </c>
      <c r="K32" s="33" t="inlineStr">
        <is>
          <t>Owner/Chef Gate</t>
        </is>
      </c>
      <c r="L32" s="39" t="n"/>
      <c r="M32" s="39" t="n"/>
      <c r="N32" s="33" t="inlineStr">
        <is>
          <t>2026-08-03</t>
        </is>
      </c>
    </row>
    <row r="33">
      <c r="A33" s="33" t="inlineStr">
        <is>
          <t>CQ-0028</t>
        </is>
      </c>
      <c r="B33" s="33" t="inlineStr">
        <is>
          <t>VKM-006</t>
        </is>
      </c>
      <c r="C33" s="33" t="inlineStr">
        <is>
          <t>Томатная чиабатта</t>
        </is>
      </c>
      <c r="D33" s="33" t="inlineStr">
        <is>
          <t>PROCESS</t>
        </is>
      </c>
      <c r="E33" s="33" t="inlineStr">
        <is>
          <t>Подтвердить последовательность операций, фактическое активное/полное время и проект подачи.</t>
        </is>
      </c>
      <c r="F33" s="33" t="inlineStr">
        <is>
          <t>OPEN</t>
        </is>
      </c>
      <c r="G33" s="33" t="inlineStr">
        <is>
          <t>Chef</t>
        </is>
      </c>
      <c r="H33" s="33" t="inlineStr">
        <is>
          <t>Техкарта; оборудование; мощность; сервис</t>
        </is>
      </c>
      <c r="I33" s="33" t="inlineStr">
        <is>
          <t>EVD-0010;EVD-0011</t>
        </is>
      </c>
      <c r="J33" s="33" t="inlineStr">
        <is>
          <t>GAP-007;GAP-008</t>
        </is>
      </c>
      <c r="K33" s="33" t="inlineStr">
        <is>
          <t>Owner/Chef Gate</t>
        </is>
      </c>
      <c r="L33" s="39" t="n"/>
      <c r="M33" s="39" t="n"/>
      <c r="N33" s="33" t="inlineStr">
        <is>
          <t>2026-08-03</t>
        </is>
      </c>
    </row>
    <row r="34">
      <c r="A34" s="33" t="inlineStr">
        <is>
          <t>CQ-0029</t>
        </is>
      </c>
      <c r="B34" s="33" t="inlineStr">
        <is>
          <t>VKM-006</t>
        </is>
      </c>
      <c r="C34" s="33" t="inlineStr">
        <is>
          <t>Томатная чиабатта</t>
        </is>
      </c>
      <c r="D34" s="33" t="inlineStr">
        <is>
          <t>SEMI_FINISHED</t>
        </is>
      </c>
      <c r="E34" s="33" t="inlineStr">
        <is>
          <t>Подтвердить выделение, код и размер партии связанных полуфабрикатов; указать общие полуфабрикаты.</t>
        </is>
      </c>
      <c r="F34" s="33" t="inlineStr">
        <is>
          <t>OPEN</t>
        </is>
      </c>
      <c r="G34" s="33" t="inlineStr">
        <is>
          <t>Chef</t>
        </is>
      </c>
      <c r="H34" s="33" t="inlineStr">
        <is>
          <t>DAG; двойной учёт; себестоимость; планирование</t>
        </is>
      </c>
      <c r="I34" s="33" t="inlineStr">
        <is>
          <t>EVD-0009</t>
        </is>
      </c>
      <c r="J34" s="33" t="inlineStr">
        <is>
          <t>GAP-006</t>
        </is>
      </c>
      <c r="K34" s="33" t="inlineStr">
        <is>
          <t>Owner/Chef Gate</t>
        </is>
      </c>
      <c r="L34" s="39" t="n"/>
      <c r="M34" s="39" t="n"/>
      <c r="N34" s="33" t="inlineStr">
        <is>
          <t>2026-08-03</t>
        </is>
      </c>
    </row>
    <row r="35">
      <c r="A35" s="33" t="inlineStr">
        <is>
          <t>CQ-0030</t>
        </is>
      </c>
      <c r="B35" s="33" t="inlineStr">
        <is>
          <t>VKM-006</t>
        </is>
      </c>
      <c r="C35" s="33" t="inlineStr">
        <is>
          <t>Томатная чиабатта</t>
        </is>
      </c>
      <c r="D35" s="33" t="inlineStr">
        <is>
          <t>PROCESS_FLOW_FOR_SAFETY</t>
        </is>
      </c>
      <c r="E35" s="33" t="inlineStr">
        <is>
          <t>Подтвердить фактический маршрут блюда по каналам: немедленная подача, хранение, охлаждение, разогрев и/или доставка; параметры не назначать без Food Safety re-review.</t>
        </is>
      </c>
      <c r="F35" s="33" t="inlineStr">
        <is>
          <t>OPEN</t>
        </is>
      </c>
      <c r="G35" s="33" t="inlineStr">
        <is>
          <t>Chef</t>
        </is>
      </c>
      <c r="H35" s="33" t="inlineStr">
        <is>
          <t>Safety veto; ППК/HACCP; маркировка и прослеживаемость</t>
        </is>
      </c>
      <c r="I35" s="33" t="inlineStr">
        <is>
          <t>EVD-0013;EVD-0014;EVD-FS-001;EVD-FS-003</t>
        </is>
      </c>
      <c r="J35" s="33" t="inlineStr">
        <is>
          <t>GAP-010;GAP-011</t>
        </is>
      </c>
      <c r="K35" s="33" t="inlineStr">
        <is>
          <t>Owner/Chef Gate</t>
        </is>
      </c>
      <c r="L35" s="39" t="n"/>
      <c r="M35" s="39" t="n"/>
      <c r="N35" s="33" t="inlineStr">
        <is>
          <t>2026-08-03</t>
        </is>
      </c>
    </row>
    <row r="36">
      <c r="A36" s="33" t="inlineStr">
        <is>
          <t>CQ-0031</t>
        </is>
      </c>
      <c r="B36" s="33" t="inlineStr">
        <is>
          <t>VKM-007</t>
        </is>
      </c>
      <c r="C36" s="33" t="inlineStr">
        <is>
          <t>Бородинский хлеб</t>
        </is>
      </c>
      <c r="D36" s="33" t="inlineStr">
        <is>
          <t>RECIPE</t>
        </is>
      </c>
      <c r="E36" s="33" t="inlineStr">
        <is>
          <t>Подтвердить или скорректировать построчный состав и проектные нормы брутто/нетто.</t>
        </is>
      </c>
      <c r="F36" s="33" t="inlineStr">
        <is>
          <t>OPEN</t>
        </is>
      </c>
      <c r="G36" s="33" t="inlineStr">
        <is>
          <t>Chef</t>
        </is>
      </c>
      <c r="H36" s="33" t="inlineStr">
        <is>
          <t>Себестоимость; пищценность; аллергены; закупка</t>
        </is>
      </c>
      <c r="I36" s="33" t="inlineStr">
        <is>
          <t>EVD-0007</t>
        </is>
      </c>
      <c r="J36" s="33" t="inlineStr">
        <is>
          <t>GAP-004</t>
        </is>
      </c>
      <c r="K36" s="33" t="inlineStr">
        <is>
          <t>Owner/Chef Gate</t>
        </is>
      </c>
      <c r="L36" s="39" t="n"/>
      <c r="M36" s="39" t="n"/>
      <c r="N36" s="33" t="inlineStr">
        <is>
          <t>2026-08-03</t>
        </is>
      </c>
    </row>
    <row r="37">
      <c r="A37" s="33" t="inlineStr">
        <is>
          <t>CQ-0032</t>
        </is>
      </c>
      <c r="B37" s="33" t="inlineStr">
        <is>
          <t>VKM-007</t>
        </is>
      </c>
      <c r="C37" s="33" t="inlineStr">
        <is>
          <t>Бородинский хлеб</t>
        </is>
      </c>
      <c r="D37" s="33" t="inlineStr">
        <is>
          <t>YIELD</t>
        </is>
      </c>
      <c r="E37" s="33" t="inlineStr">
        <is>
          <t>Подтвердить целевой выход и способ учёта подготовительных/тепловых потерь контрольным взвешиванием.</t>
        </is>
      </c>
      <c r="F37" s="33" t="inlineStr">
        <is>
          <t>OPEN</t>
        </is>
      </c>
      <c r="G37" s="33" t="inlineStr">
        <is>
          <t>Chef</t>
        </is>
      </c>
      <c r="H37" s="33" t="inlineStr">
        <is>
          <t>Mass balance; себестоимость; порционирование</t>
        </is>
      </c>
      <c r="I37" s="33" t="inlineStr">
        <is>
          <t>EVD-0005;EVD-0008</t>
        </is>
      </c>
      <c r="J37" s="33" t="inlineStr">
        <is>
          <t>GAP-002;GAP-005</t>
        </is>
      </c>
      <c r="K37" s="33" t="inlineStr">
        <is>
          <t>Owner/Chef Gate</t>
        </is>
      </c>
      <c r="L37" s="39" t="n"/>
      <c r="M37" s="39" t="n"/>
      <c r="N37" s="33" t="inlineStr">
        <is>
          <t>2026-08-03</t>
        </is>
      </c>
    </row>
    <row r="38">
      <c r="A38" s="33" t="inlineStr">
        <is>
          <t>CQ-0033</t>
        </is>
      </c>
      <c r="B38" s="33" t="inlineStr">
        <is>
          <t>VKM-007</t>
        </is>
      </c>
      <c r="C38" s="33" t="inlineStr">
        <is>
          <t>Бородинский хлеб</t>
        </is>
      </c>
      <c r="D38" s="33" t="inlineStr">
        <is>
          <t>PROCESS</t>
        </is>
      </c>
      <c r="E38" s="33" t="inlineStr">
        <is>
          <t>Подтвердить последовательность операций, фактическое активное/полное время и проект подачи.</t>
        </is>
      </c>
      <c r="F38" s="33" t="inlineStr">
        <is>
          <t>OPEN</t>
        </is>
      </c>
      <c r="G38" s="33" t="inlineStr">
        <is>
          <t>Chef</t>
        </is>
      </c>
      <c r="H38" s="33" t="inlineStr">
        <is>
          <t>Техкарта; оборудование; мощность; сервис</t>
        </is>
      </c>
      <c r="I38" s="33" t="inlineStr">
        <is>
          <t>EVD-0010;EVD-0011</t>
        </is>
      </c>
      <c r="J38" s="33" t="inlineStr">
        <is>
          <t>GAP-007;GAP-008</t>
        </is>
      </c>
      <c r="K38" s="33" t="inlineStr">
        <is>
          <t>Owner/Chef Gate</t>
        </is>
      </c>
      <c r="L38" s="39" t="n"/>
      <c r="M38" s="39" t="n"/>
      <c r="N38" s="33" t="inlineStr">
        <is>
          <t>2026-08-03</t>
        </is>
      </c>
    </row>
    <row r="39">
      <c r="A39" s="33" t="inlineStr">
        <is>
          <t>CQ-0034</t>
        </is>
      </c>
      <c r="B39" s="33" t="inlineStr">
        <is>
          <t>VKM-007</t>
        </is>
      </c>
      <c r="C39" s="33" t="inlineStr">
        <is>
          <t>Бородинский хлеб</t>
        </is>
      </c>
      <c r="D39" s="33" t="inlineStr">
        <is>
          <t>SEMI_FINISHED</t>
        </is>
      </c>
      <c r="E39" s="33" t="inlineStr">
        <is>
          <t>Подтвердить выделение, код и размер партии связанных полуфабрикатов; указать общие полуфабрикаты.</t>
        </is>
      </c>
      <c r="F39" s="33" t="inlineStr">
        <is>
          <t>OPEN</t>
        </is>
      </c>
      <c r="G39" s="33" t="inlineStr">
        <is>
          <t>Chef</t>
        </is>
      </c>
      <c r="H39" s="33" t="inlineStr">
        <is>
          <t>DAG; двойной учёт; себестоимость; планирование</t>
        </is>
      </c>
      <c r="I39" s="33" t="inlineStr">
        <is>
          <t>EVD-0009</t>
        </is>
      </c>
      <c r="J39" s="33" t="inlineStr">
        <is>
          <t>GAP-006</t>
        </is>
      </c>
      <c r="K39" s="33" t="inlineStr">
        <is>
          <t>Owner/Chef Gate</t>
        </is>
      </c>
      <c r="L39" s="39" t="n"/>
      <c r="M39" s="39" t="n"/>
      <c r="N39" s="33" t="inlineStr">
        <is>
          <t>2026-08-03</t>
        </is>
      </c>
    </row>
    <row r="40">
      <c r="A40" s="33" t="inlineStr">
        <is>
          <t>CQ-0035</t>
        </is>
      </c>
      <c r="B40" s="33" t="inlineStr">
        <is>
          <t>VKM-007</t>
        </is>
      </c>
      <c r="C40" s="33" t="inlineStr">
        <is>
          <t>Бородинский хлеб</t>
        </is>
      </c>
      <c r="D40" s="33" t="inlineStr">
        <is>
          <t>PROCESS_FLOW_FOR_SAFETY</t>
        </is>
      </c>
      <c r="E40" s="33" t="inlineStr">
        <is>
          <t>Подтвердить фактический маршрут блюда по каналам: немедленная подача, хранение, охлаждение, разогрев и/или доставка; параметры не назначать без Food Safety re-review.</t>
        </is>
      </c>
      <c r="F40" s="33" t="inlineStr">
        <is>
          <t>OPEN</t>
        </is>
      </c>
      <c r="G40" s="33" t="inlineStr">
        <is>
          <t>Chef</t>
        </is>
      </c>
      <c r="H40" s="33" t="inlineStr">
        <is>
          <t>Safety veto; ППК/HACCP; маркировка и прослеживаемость</t>
        </is>
      </c>
      <c r="I40" s="33" t="inlineStr">
        <is>
          <t>EVD-0013;EVD-0014;EVD-FS-001;EVD-FS-003</t>
        </is>
      </c>
      <c r="J40" s="33" t="inlineStr">
        <is>
          <t>GAP-010;GAP-011</t>
        </is>
      </c>
      <c r="K40" s="33" t="inlineStr">
        <is>
          <t>Owner/Chef Gate</t>
        </is>
      </c>
      <c r="L40" s="39" t="n"/>
      <c r="M40" s="39" t="n"/>
      <c r="N40" s="33" t="inlineStr">
        <is>
          <t>2026-08-03</t>
        </is>
      </c>
    </row>
    <row r="41">
      <c r="A41" s="33" t="inlineStr">
        <is>
          <t>CQ-0036</t>
        </is>
      </c>
      <c r="B41" s="33" t="inlineStr">
        <is>
          <t>VKM-008</t>
        </is>
      </c>
      <c r="C41" s="33" t="inlineStr">
        <is>
          <t>Бриошь</t>
        </is>
      </c>
      <c r="D41" s="33" t="inlineStr">
        <is>
          <t>RECIPE</t>
        </is>
      </c>
      <c r="E41" s="33" t="inlineStr">
        <is>
          <t>Подтвердить или скорректировать построчный состав и проектные нормы брутто/нетто.</t>
        </is>
      </c>
      <c r="F41" s="33" t="inlineStr">
        <is>
          <t>OPEN</t>
        </is>
      </c>
      <c r="G41" s="33" t="inlineStr">
        <is>
          <t>Chef</t>
        </is>
      </c>
      <c r="H41" s="33" t="inlineStr">
        <is>
          <t>Себестоимость; пищценность; аллергены; закупка</t>
        </is>
      </c>
      <c r="I41" s="33" t="inlineStr">
        <is>
          <t>EVD-0007</t>
        </is>
      </c>
      <c r="J41" s="33" t="inlineStr">
        <is>
          <t>GAP-004</t>
        </is>
      </c>
      <c r="K41" s="33" t="inlineStr">
        <is>
          <t>Owner/Chef Gate</t>
        </is>
      </c>
      <c r="L41" s="39" t="n"/>
      <c r="M41" s="39" t="n"/>
      <c r="N41" s="33" t="inlineStr">
        <is>
          <t>2026-08-03</t>
        </is>
      </c>
    </row>
    <row r="42">
      <c r="A42" s="33" t="inlineStr">
        <is>
          <t>CQ-0037</t>
        </is>
      </c>
      <c r="B42" s="33" t="inlineStr">
        <is>
          <t>VKM-008</t>
        </is>
      </c>
      <c r="C42" s="33" t="inlineStr">
        <is>
          <t>Бриошь</t>
        </is>
      </c>
      <c r="D42" s="33" t="inlineStr">
        <is>
          <t>YIELD</t>
        </is>
      </c>
      <c r="E42" s="33" t="inlineStr">
        <is>
          <t>Подтвердить целевой выход и способ учёта подготовительных/тепловых потерь контрольным взвешиванием.</t>
        </is>
      </c>
      <c r="F42" s="33" t="inlineStr">
        <is>
          <t>OPEN</t>
        </is>
      </c>
      <c r="G42" s="33" t="inlineStr">
        <is>
          <t>Chef</t>
        </is>
      </c>
      <c r="H42" s="33" t="inlineStr">
        <is>
          <t>Mass balance; себестоимость; порционирование</t>
        </is>
      </c>
      <c r="I42" s="33" t="inlineStr">
        <is>
          <t>EVD-0005;EVD-0008</t>
        </is>
      </c>
      <c r="J42" s="33" t="inlineStr">
        <is>
          <t>GAP-002;GAP-005</t>
        </is>
      </c>
      <c r="K42" s="33" t="inlineStr">
        <is>
          <t>Owner/Chef Gate</t>
        </is>
      </c>
      <c r="L42" s="39" t="n"/>
      <c r="M42" s="39" t="n"/>
      <c r="N42" s="33" t="inlineStr">
        <is>
          <t>2026-08-03</t>
        </is>
      </c>
    </row>
    <row r="43">
      <c r="A43" s="33" t="inlineStr">
        <is>
          <t>CQ-0038</t>
        </is>
      </c>
      <c r="B43" s="33" t="inlineStr">
        <is>
          <t>VKM-008</t>
        </is>
      </c>
      <c r="C43" s="33" t="inlineStr">
        <is>
          <t>Бриошь</t>
        </is>
      </c>
      <c r="D43" s="33" t="inlineStr">
        <is>
          <t>PROCESS</t>
        </is>
      </c>
      <c r="E43" s="33" t="inlineStr">
        <is>
          <t>Подтвердить последовательность операций, фактическое активное/полное время и проект подачи.</t>
        </is>
      </c>
      <c r="F43" s="33" t="inlineStr">
        <is>
          <t>OPEN</t>
        </is>
      </c>
      <c r="G43" s="33" t="inlineStr">
        <is>
          <t>Chef</t>
        </is>
      </c>
      <c r="H43" s="33" t="inlineStr">
        <is>
          <t>Техкарта; оборудование; мощность; сервис</t>
        </is>
      </c>
      <c r="I43" s="33" t="inlineStr">
        <is>
          <t>EVD-0010;EVD-0011</t>
        </is>
      </c>
      <c r="J43" s="33" t="inlineStr">
        <is>
          <t>GAP-007;GAP-008</t>
        </is>
      </c>
      <c r="K43" s="33" t="inlineStr">
        <is>
          <t>Owner/Chef Gate</t>
        </is>
      </c>
      <c r="L43" s="39" t="n"/>
      <c r="M43" s="39" t="n"/>
      <c r="N43" s="33" t="inlineStr">
        <is>
          <t>2026-08-03</t>
        </is>
      </c>
    </row>
    <row r="44">
      <c r="A44" s="33" t="inlineStr">
        <is>
          <t>CQ-0039</t>
        </is>
      </c>
      <c r="B44" s="33" t="inlineStr">
        <is>
          <t>VKM-008</t>
        </is>
      </c>
      <c r="C44" s="33" t="inlineStr">
        <is>
          <t>Бриошь</t>
        </is>
      </c>
      <c r="D44" s="33" t="inlineStr">
        <is>
          <t>SEMI_FINISHED</t>
        </is>
      </c>
      <c r="E44" s="33" t="inlineStr">
        <is>
          <t>Подтвердить выделение, код и размер партии связанных полуфабрикатов; указать общие полуфабрикаты.</t>
        </is>
      </c>
      <c r="F44" s="33" t="inlineStr">
        <is>
          <t>OPEN</t>
        </is>
      </c>
      <c r="G44" s="33" t="inlineStr">
        <is>
          <t>Chef</t>
        </is>
      </c>
      <c r="H44" s="33" t="inlineStr">
        <is>
          <t>DAG; двойной учёт; себестоимость; планирование</t>
        </is>
      </c>
      <c r="I44" s="33" t="inlineStr">
        <is>
          <t>EVD-0009</t>
        </is>
      </c>
      <c r="J44" s="33" t="inlineStr">
        <is>
          <t>GAP-006</t>
        </is>
      </c>
      <c r="K44" s="33" t="inlineStr">
        <is>
          <t>Owner/Chef Gate</t>
        </is>
      </c>
      <c r="L44" s="39" t="n"/>
      <c r="M44" s="39" t="n"/>
      <c r="N44" s="33" t="inlineStr">
        <is>
          <t>2026-08-03</t>
        </is>
      </c>
    </row>
    <row r="45">
      <c r="A45" s="33" t="inlineStr">
        <is>
          <t>CQ-0040</t>
        </is>
      </c>
      <c r="B45" s="33" t="inlineStr">
        <is>
          <t>VKM-008</t>
        </is>
      </c>
      <c r="C45" s="33" t="inlineStr">
        <is>
          <t>Бриошь</t>
        </is>
      </c>
      <c r="D45" s="33" t="inlineStr">
        <is>
          <t>PROCESS_FLOW_FOR_SAFETY</t>
        </is>
      </c>
      <c r="E45" s="33" t="inlineStr">
        <is>
          <t>Подтвердить фактический маршрут блюда по каналам: немедленная подача, хранение, охлаждение, разогрев и/или доставка; параметры не назначать без Food Safety re-review.</t>
        </is>
      </c>
      <c r="F45" s="33" t="inlineStr">
        <is>
          <t>OPEN</t>
        </is>
      </c>
      <c r="G45" s="33" t="inlineStr">
        <is>
          <t>Chef</t>
        </is>
      </c>
      <c r="H45" s="33" t="inlineStr">
        <is>
          <t>Safety veto; ППК/HACCP; маркировка и прослеживаемость</t>
        </is>
      </c>
      <c r="I45" s="33" t="inlineStr">
        <is>
          <t>EVD-0013;EVD-0014;EVD-FS-001;EVD-FS-003</t>
        </is>
      </c>
      <c r="J45" s="33" t="inlineStr">
        <is>
          <t>GAP-010;GAP-011</t>
        </is>
      </c>
      <c r="K45" s="33" t="inlineStr">
        <is>
          <t>Owner/Chef Gate</t>
        </is>
      </c>
      <c r="L45" s="39" t="n"/>
      <c r="M45" s="39" t="n"/>
      <c r="N45" s="33" t="inlineStr">
        <is>
          <t>2026-08-03</t>
        </is>
      </c>
    </row>
    <row r="46">
      <c r="A46" s="33" t="inlineStr">
        <is>
          <t>CQ-0041</t>
        </is>
      </c>
      <c r="B46" s="33" t="inlineStr">
        <is>
          <t>VKM-009</t>
        </is>
      </c>
      <c r="C46" s="33" t="inlineStr">
        <is>
          <t>Буррата с томатами</t>
        </is>
      </c>
      <c r="D46" s="33" t="inlineStr">
        <is>
          <t>RECIPE</t>
        </is>
      </c>
      <c r="E46" s="33" t="inlineStr">
        <is>
          <t>Подтвердить или скорректировать построчный состав и проектные нормы брутто/нетто.</t>
        </is>
      </c>
      <c r="F46" s="33" t="inlineStr">
        <is>
          <t>OPEN</t>
        </is>
      </c>
      <c r="G46" s="33" t="inlineStr">
        <is>
          <t>Chef</t>
        </is>
      </c>
      <c r="H46" s="33" t="inlineStr">
        <is>
          <t>Себестоимость; пищценность; аллергены; закупка</t>
        </is>
      </c>
      <c r="I46" s="33" t="inlineStr">
        <is>
          <t>EVD-0007</t>
        </is>
      </c>
      <c r="J46" s="33" t="inlineStr">
        <is>
          <t>GAP-004</t>
        </is>
      </c>
      <c r="K46" s="33" t="inlineStr">
        <is>
          <t>Owner/Chef Gate</t>
        </is>
      </c>
      <c r="L46" s="39" t="n"/>
      <c r="M46" s="39" t="n"/>
      <c r="N46" s="33" t="inlineStr">
        <is>
          <t>2026-08-03</t>
        </is>
      </c>
    </row>
    <row r="47">
      <c r="A47" s="33" t="inlineStr">
        <is>
          <t>CQ-0042</t>
        </is>
      </c>
      <c r="B47" s="33" t="inlineStr">
        <is>
          <t>VKM-009</t>
        </is>
      </c>
      <c r="C47" s="33" t="inlineStr">
        <is>
          <t>Буррата с томатами</t>
        </is>
      </c>
      <c r="D47" s="33" t="inlineStr">
        <is>
          <t>YIELD</t>
        </is>
      </c>
      <c r="E47" s="33" t="inlineStr">
        <is>
          <t>Подтвердить целевой выход и способ учёта подготовительных/тепловых потерь контрольным взвешиванием.</t>
        </is>
      </c>
      <c r="F47" s="33" t="inlineStr">
        <is>
          <t>OPEN</t>
        </is>
      </c>
      <c r="G47" s="33" t="inlineStr">
        <is>
          <t>Chef</t>
        </is>
      </c>
      <c r="H47" s="33" t="inlineStr">
        <is>
          <t>Mass balance; себестоимость; порционирование</t>
        </is>
      </c>
      <c r="I47" s="33" t="inlineStr">
        <is>
          <t>EVD-0005;EVD-0008</t>
        </is>
      </c>
      <c r="J47" s="33" t="inlineStr">
        <is>
          <t>GAP-002;GAP-005</t>
        </is>
      </c>
      <c r="K47" s="33" t="inlineStr">
        <is>
          <t>Owner/Chef Gate</t>
        </is>
      </c>
      <c r="L47" s="39" t="n"/>
      <c r="M47" s="39" t="n"/>
      <c r="N47" s="33" t="inlineStr">
        <is>
          <t>2026-08-03</t>
        </is>
      </c>
    </row>
    <row r="48">
      <c r="A48" s="33" t="inlineStr">
        <is>
          <t>CQ-0043</t>
        </is>
      </c>
      <c r="B48" s="33" t="inlineStr">
        <is>
          <t>VKM-009</t>
        </is>
      </c>
      <c r="C48" s="33" t="inlineStr">
        <is>
          <t>Буррата с томатами</t>
        </is>
      </c>
      <c r="D48" s="33" t="inlineStr">
        <is>
          <t>PROCESS</t>
        </is>
      </c>
      <c r="E48" s="33" t="inlineStr">
        <is>
          <t>Подтвердить последовательность операций, фактическое активное/полное время и проект подачи.</t>
        </is>
      </c>
      <c r="F48" s="33" t="inlineStr">
        <is>
          <t>OPEN</t>
        </is>
      </c>
      <c r="G48" s="33" t="inlineStr">
        <is>
          <t>Chef</t>
        </is>
      </c>
      <c r="H48" s="33" t="inlineStr">
        <is>
          <t>Техкарта; оборудование; мощность; сервис</t>
        </is>
      </c>
      <c r="I48" s="33" t="inlineStr">
        <is>
          <t>EVD-0010;EVD-0011</t>
        </is>
      </c>
      <c r="J48" s="33" t="inlineStr">
        <is>
          <t>GAP-007;GAP-008</t>
        </is>
      </c>
      <c r="K48" s="33" t="inlineStr">
        <is>
          <t>Owner/Chef Gate</t>
        </is>
      </c>
      <c r="L48" s="39" t="n"/>
      <c r="M48" s="39" t="n"/>
      <c r="N48" s="33" t="inlineStr">
        <is>
          <t>2026-08-03</t>
        </is>
      </c>
    </row>
    <row r="49">
      <c r="A49" s="33" t="inlineStr">
        <is>
          <t>CQ-0044</t>
        </is>
      </c>
      <c r="B49" s="33" t="inlineStr">
        <is>
          <t>VKM-009</t>
        </is>
      </c>
      <c r="C49" s="33" t="inlineStr">
        <is>
          <t>Буррата с томатами</t>
        </is>
      </c>
      <c r="D49" s="33" t="inlineStr">
        <is>
          <t>SEMI_FINISHED</t>
        </is>
      </c>
      <c r="E49" s="33" t="inlineStr">
        <is>
          <t>Подтвердить выделение, код и размер партии связанных полуфабрикатов; указать общие полуфабрикаты.</t>
        </is>
      </c>
      <c r="F49" s="33" t="inlineStr">
        <is>
          <t>OPEN</t>
        </is>
      </c>
      <c r="G49" s="33" t="inlineStr">
        <is>
          <t>Chef</t>
        </is>
      </c>
      <c r="H49" s="33" t="inlineStr">
        <is>
          <t>DAG; двойной учёт; себестоимость; планирование</t>
        </is>
      </c>
      <c r="I49" s="33" t="inlineStr">
        <is>
          <t>EVD-0009</t>
        </is>
      </c>
      <c r="J49" s="33" t="inlineStr">
        <is>
          <t>GAP-006</t>
        </is>
      </c>
      <c r="K49" s="33" t="inlineStr">
        <is>
          <t>Owner/Chef Gate</t>
        </is>
      </c>
      <c r="L49" s="39" t="n"/>
      <c r="M49" s="39" t="n"/>
      <c r="N49" s="33" t="inlineStr">
        <is>
          <t>2026-08-03</t>
        </is>
      </c>
    </row>
    <row r="50">
      <c r="A50" s="33" t="inlineStr">
        <is>
          <t>CQ-0045</t>
        </is>
      </c>
      <c r="B50" s="33" t="inlineStr">
        <is>
          <t>VKM-009</t>
        </is>
      </c>
      <c r="C50" s="33" t="inlineStr">
        <is>
          <t>Буррата с томатами</t>
        </is>
      </c>
      <c r="D50" s="33" t="inlineStr">
        <is>
          <t>PROCESS_FLOW_FOR_SAFETY</t>
        </is>
      </c>
      <c r="E50" s="33" t="inlineStr">
        <is>
          <t>Подтвердить фактический маршрут блюда по каналам: немедленная подача, хранение, охлаждение, разогрев и/или доставка; параметры не назначать без Food Safety re-review.</t>
        </is>
      </c>
      <c r="F50" s="33" t="inlineStr">
        <is>
          <t>OPEN</t>
        </is>
      </c>
      <c r="G50" s="33" t="inlineStr">
        <is>
          <t>Chef</t>
        </is>
      </c>
      <c r="H50" s="33" t="inlineStr">
        <is>
          <t>Safety veto; ППК/HACCP; маркировка и прослеживаемость</t>
        </is>
      </c>
      <c r="I50" s="33" t="inlineStr">
        <is>
          <t>EVD-0013;EVD-0014;EVD-FS-001;EVD-FS-003</t>
        </is>
      </c>
      <c r="J50" s="33" t="inlineStr">
        <is>
          <t>GAP-010;GAP-011</t>
        </is>
      </c>
      <c r="K50" s="33" t="inlineStr">
        <is>
          <t>Owner/Chef Gate</t>
        </is>
      </c>
      <c r="L50" s="39" t="n"/>
      <c r="M50" s="39" t="n"/>
      <c r="N50" s="33" t="inlineStr">
        <is>
          <t>2026-08-03</t>
        </is>
      </c>
    </row>
    <row r="51">
      <c r="A51" s="33" t="inlineStr">
        <is>
          <t>CQ-0046</t>
        </is>
      </c>
      <c r="B51" s="33" t="inlineStr">
        <is>
          <t>VKM-010</t>
        </is>
      </c>
      <c r="C51" s="33" t="inlineStr">
        <is>
          <t>Микс-салат с креветками и яблоком</t>
        </is>
      </c>
      <c r="D51" s="33" t="inlineStr">
        <is>
          <t>RECIPE</t>
        </is>
      </c>
      <c r="E51" s="33" t="inlineStr">
        <is>
          <t>Подтвердить или скорректировать построчный состав и проектные нормы брутто/нетто.</t>
        </is>
      </c>
      <c r="F51" s="33" t="inlineStr">
        <is>
          <t>OPEN</t>
        </is>
      </c>
      <c r="G51" s="33" t="inlineStr">
        <is>
          <t>Chef</t>
        </is>
      </c>
      <c r="H51" s="33" t="inlineStr">
        <is>
          <t>Себестоимость; пищценность; аллергены; закупка</t>
        </is>
      </c>
      <c r="I51" s="33" t="inlineStr">
        <is>
          <t>EVD-0007</t>
        </is>
      </c>
      <c r="J51" s="33" t="inlineStr">
        <is>
          <t>GAP-004</t>
        </is>
      </c>
      <c r="K51" s="33" t="inlineStr">
        <is>
          <t>Owner/Chef Gate</t>
        </is>
      </c>
      <c r="L51" s="39" t="n"/>
      <c r="M51" s="39" t="n"/>
      <c r="N51" s="33" t="inlineStr">
        <is>
          <t>2026-08-03</t>
        </is>
      </c>
    </row>
    <row r="52">
      <c r="A52" s="33" t="inlineStr">
        <is>
          <t>CQ-0047</t>
        </is>
      </c>
      <c r="B52" s="33" t="inlineStr">
        <is>
          <t>VKM-010</t>
        </is>
      </c>
      <c r="C52" s="33" t="inlineStr">
        <is>
          <t>Микс-салат с креветками и яблоком</t>
        </is>
      </c>
      <c r="D52" s="33" t="inlineStr">
        <is>
          <t>YIELD</t>
        </is>
      </c>
      <c r="E52" s="33" t="inlineStr">
        <is>
          <t>Подтвердить целевой выход и способ учёта подготовительных/тепловых потерь контрольным взвешиванием.</t>
        </is>
      </c>
      <c r="F52" s="33" t="inlineStr">
        <is>
          <t>OPEN</t>
        </is>
      </c>
      <c r="G52" s="33" t="inlineStr">
        <is>
          <t>Chef</t>
        </is>
      </c>
      <c r="H52" s="33" t="inlineStr">
        <is>
          <t>Mass balance; себестоимость; порционирование</t>
        </is>
      </c>
      <c r="I52" s="33" t="inlineStr">
        <is>
          <t>EVD-0005;EVD-0008</t>
        </is>
      </c>
      <c r="J52" s="33" t="inlineStr">
        <is>
          <t>GAP-002;GAP-005</t>
        </is>
      </c>
      <c r="K52" s="33" t="inlineStr">
        <is>
          <t>Owner/Chef Gate</t>
        </is>
      </c>
      <c r="L52" s="39" t="n"/>
      <c r="M52" s="39" t="n"/>
      <c r="N52" s="33" t="inlineStr">
        <is>
          <t>2026-08-03</t>
        </is>
      </c>
    </row>
    <row r="53">
      <c r="A53" s="33" t="inlineStr">
        <is>
          <t>CQ-0048</t>
        </is>
      </c>
      <c r="B53" s="33" t="inlineStr">
        <is>
          <t>VKM-010</t>
        </is>
      </c>
      <c r="C53" s="33" t="inlineStr">
        <is>
          <t>Микс-салат с креветками и яблоком</t>
        </is>
      </c>
      <c r="D53" s="33" t="inlineStr">
        <is>
          <t>PROCESS</t>
        </is>
      </c>
      <c r="E53" s="33" t="inlineStr">
        <is>
          <t>Подтвердить последовательность операций, фактическое активное/полное время и проект подачи.</t>
        </is>
      </c>
      <c r="F53" s="33" t="inlineStr">
        <is>
          <t>OPEN</t>
        </is>
      </c>
      <c r="G53" s="33" t="inlineStr">
        <is>
          <t>Chef</t>
        </is>
      </c>
      <c r="H53" s="33" t="inlineStr">
        <is>
          <t>Техкарта; оборудование; мощность; сервис</t>
        </is>
      </c>
      <c r="I53" s="33" t="inlineStr">
        <is>
          <t>EVD-0010;EVD-0011</t>
        </is>
      </c>
      <c r="J53" s="33" t="inlineStr">
        <is>
          <t>GAP-007;GAP-008</t>
        </is>
      </c>
      <c r="K53" s="33" t="inlineStr">
        <is>
          <t>Owner/Chef Gate</t>
        </is>
      </c>
      <c r="L53" s="39" t="n"/>
      <c r="M53" s="39" t="n"/>
      <c r="N53" s="33" t="inlineStr">
        <is>
          <t>2026-08-03</t>
        </is>
      </c>
    </row>
    <row r="54">
      <c r="A54" s="33" t="inlineStr">
        <is>
          <t>CQ-0049</t>
        </is>
      </c>
      <c r="B54" s="33" t="inlineStr">
        <is>
          <t>VKM-010</t>
        </is>
      </c>
      <c r="C54" s="33" t="inlineStr">
        <is>
          <t>Микс-салат с креветками и яблоком</t>
        </is>
      </c>
      <c r="D54" s="33" t="inlineStr">
        <is>
          <t>SEMI_FINISHED</t>
        </is>
      </c>
      <c r="E54" s="33" t="inlineStr">
        <is>
          <t>Подтвердить выделение, код и размер партии связанных полуфабрикатов; указать общие полуфабрикаты.</t>
        </is>
      </c>
      <c r="F54" s="33" t="inlineStr">
        <is>
          <t>OPEN</t>
        </is>
      </c>
      <c r="G54" s="33" t="inlineStr">
        <is>
          <t>Chef</t>
        </is>
      </c>
      <c r="H54" s="33" t="inlineStr">
        <is>
          <t>DAG; двойной учёт; себестоимость; планирование</t>
        </is>
      </c>
      <c r="I54" s="33" t="inlineStr">
        <is>
          <t>EVD-0009</t>
        </is>
      </c>
      <c r="J54" s="33" t="inlineStr">
        <is>
          <t>GAP-006</t>
        </is>
      </c>
      <c r="K54" s="33" t="inlineStr">
        <is>
          <t>Owner/Chef Gate</t>
        </is>
      </c>
      <c r="L54" s="39" t="n"/>
      <c r="M54" s="39" t="n"/>
      <c r="N54" s="33" t="inlineStr">
        <is>
          <t>2026-08-03</t>
        </is>
      </c>
    </row>
    <row r="55">
      <c r="A55" s="33" t="inlineStr">
        <is>
          <t>CQ-0050</t>
        </is>
      </c>
      <c r="B55" s="33" t="inlineStr">
        <is>
          <t>VKM-010</t>
        </is>
      </c>
      <c r="C55" s="33" t="inlineStr">
        <is>
          <t>Микс-салат с креветками и яблоком</t>
        </is>
      </c>
      <c r="D55" s="33" t="inlineStr">
        <is>
          <t>PROCESS_FLOW_FOR_SAFETY</t>
        </is>
      </c>
      <c r="E55" s="33" t="inlineStr">
        <is>
          <t>Подтвердить фактический маршрут блюда по каналам: немедленная подача, хранение, охлаждение, разогрев и/или доставка; параметры не назначать без Food Safety re-review.</t>
        </is>
      </c>
      <c r="F55" s="33" t="inlineStr">
        <is>
          <t>OPEN</t>
        </is>
      </c>
      <c r="G55" s="33" t="inlineStr">
        <is>
          <t>Chef</t>
        </is>
      </c>
      <c r="H55" s="33" t="inlineStr">
        <is>
          <t>Safety veto; ППК/HACCP; маркировка и прослеживаемость</t>
        </is>
      </c>
      <c r="I55" s="33" t="inlineStr">
        <is>
          <t>EVD-0013;EVD-0014;EVD-FS-001;EVD-FS-003</t>
        </is>
      </c>
      <c r="J55" s="33" t="inlineStr">
        <is>
          <t>GAP-010;GAP-011</t>
        </is>
      </c>
      <c r="K55" s="33" t="inlineStr">
        <is>
          <t>Owner/Chef Gate</t>
        </is>
      </c>
      <c r="L55" s="39" t="n"/>
      <c r="M55" s="39" t="n"/>
      <c r="N55" s="33" t="inlineStr">
        <is>
          <t>2026-08-03</t>
        </is>
      </c>
    </row>
    <row r="56">
      <c r="A56" s="33" t="inlineStr">
        <is>
          <t>CQ-0051</t>
        </is>
      </c>
      <c r="B56" s="33" t="inlineStr">
        <is>
          <t>VKM-011</t>
        </is>
      </c>
      <c r="C56" s="33" t="inlineStr">
        <is>
          <t>Греческий</t>
        </is>
      </c>
      <c r="D56" s="33" t="inlineStr">
        <is>
          <t>RECIPE</t>
        </is>
      </c>
      <c r="E56" s="33" t="inlineStr">
        <is>
          <t>Подтвердить или скорректировать построчный состав и проектные нормы брутто/нетто.</t>
        </is>
      </c>
      <c r="F56" s="33" t="inlineStr">
        <is>
          <t>OPEN</t>
        </is>
      </c>
      <c r="G56" s="33" t="inlineStr">
        <is>
          <t>Chef</t>
        </is>
      </c>
      <c r="H56" s="33" t="inlineStr">
        <is>
          <t>Себестоимость; пищценность; аллергены; закупка</t>
        </is>
      </c>
      <c r="I56" s="33" t="inlineStr">
        <is>
          <t>EVD-0007</t>
        </is>
      </c>
      <c r="J56" s="33" t="inlineStr">
        <is>
          <t>GAP-004</t>
        </is>
      </c>
      <c r="K56" s="33" t="inlineStr">
        <is>
          <t>Owner/Chef Gate</t>
        </is>
      </c>
      <c r="L56" s="39" t="n"/>
      <c r="M56" s="39" t="n"/>
      <c r="N56" s="33" t="inlineStr">
        <is>
          <t>2026-08-03</t>
        </is>
      </c>
    </row>
    <row r="57">
      <c r="A57" s="33" t="inlineStr">
        <is>
          <t>CQ-0052</t>
        </is>
      </c>
      <c r="B57" s="33" t="inlineStr">
        <is>
          <t>VKM-011</t>
        </is>
      </c>
      <c r="C57" s="33" t="inlineStr">
        <is>
          <t>Греческий</t>
        </is>
      </c>
      <c r="D57" s="33" t="inlineStr">
        <is>
          <t>YIELD</t>
        </is>
      </c>
      <c r="E57" s="33" t="inlineStr">
        <is>
          <t>Подтвердить целевой выход и способ учёта подготовительных/тепловых потерь контрольным взвешиванием.</t>
        </is>
      </c>
      <c r="F57" s="33" t="inlineStr">
        <is>
          <t>OPEN</t>
        </is>
      </c>
      <c r="G57" s="33" t="inlineStr">
        <is>
          <t>Chef</t>
        </is>
      </c>
      <c r="H57" s="33" t="inlineStr">
        <is>
          <t>Mass balance; себестоимость; порционирование</t>
        </is>
      </c>
      <c r="I57" s="33" t="inlineStr">
        <is>
          <t>EVD-0005;EVD-0008</t>
        </is>
      </c>
      <c r="J57" s="33" t="inlineStr">
        <is>
          <t>GAP-002;GAP-005</t>
        </is>
      </c>
      <c r="K57" s="33" t="inlineStr">
        <is>
          <t>Owner/Chef Gate</t>
        </is>
      </c>
      <c r="L57" s="39" t="n"/>
      <c r="M57" s="39" t="n"/>
      <c r="N57" s="33" t="inlineStr">
        <is>
          <t>2026-08-03</t>
        </is>
      </c>
    </row>
    <row r="58">
      <c r="A58" s="33" t="inlineStr">
        <is>
          <t>CQ-0053</t>
        </is>
      </c>
      <c r="B58" s="33" t="inlineStr">
        <is>
          <t>VKM-011</t>
        </is>
      </c>
      <c r="C58" s="33" t="inlineStr">
        <is>
          <t>Греческий</t>
        </is>
      </c>
      <c r="D58" s="33" t="inlineStr">
        <is>
          <t>PROCESS</t>
        </is>
      </c>
      <c r="E58" s="33" t="inlineStr">
        <is>
          <t>Подтвердить последовательность операций, фактическое активное/полное время и проект подачи.</t>
        </is>
      </c>
      <c r="F58" s="33" t="inlineStr">
        <is>
          <t>OPEN</t>
        </is>
      </c>
      <c r="G58" s="33" t="inlineStr">
        <is>
          <t>Chef</t>
        </is>
      </c>
      <c r="H58" s="33" t="inlineStr">
        <is>
          <t>Техкарта; оборудование; мощность; сервис</t>
        </is>
      </c>
      <c r="I58" s="33" t="inlineStr">
        <is>
          <t>EVD-0010;EVD-0011</t>
        </is>
      </c>
      <c r="J58" s="33" t="inlineStr">
        <is>
          <t>GAP-007;GAP-008</t>
        </is>
      </c>
      <c r="K58" s="33" t="inlineStr">
        <is>
          <t>Owner/Chef Gate</t>
        </is>
      </c>
      <c r="L58" s="39" t="n"/>
      <c r="M58" s="39" t="n"/>
      <c r="N58" s="33" t="inlineStr">
        <is>
          <t>2026-08-03</t>
        </is>
      </c>
    </row>
    <row r="59">
      <c r="A59" s="33" t="inlineStr">
        <is>
          <t>CQ-0054</t>
        </is>
      </c>
      <c r="B59" s="33" t="inlineStr">
        <is>
          <t>VKM-011</t>
        </is>
      </c>
      <c r="C59" s="33" t="inlineStr">
        <is>
          <t>Греческий</t>
        </is>
      </c>
      <c r="D59" s="33" t="inlineStr">
        <is>
          <t>SEMI_FINISHED</t>
        </is>
      </c>
      <c r="E59" s="33" t="inlineStr">
        <is>
          <t>Подтвердить выделение, код и размер партии связанных полуфабрикатов; указать общие полуфабрикаты.</t>
        </is>
      </c>
      <c r="F59" s="33" t="inlineStr">
        <is>
          <t>OPEN</t>
        </is>
      </c>
      <c r="G59" s="33" t="inlineStr">
        <is>
          <t>Chef</t>
        </is>
      </c>
      <c r="H59" s="33" t="inlineStr">
        <is>
          <t>DAG; двойной учёт; себестоимость; планирование</t>
        </is>
      </c>
      <c r="I59" s="33" t="inlineStr">
        <is>
          <t>EVD-0009</t>
        </is>
      </c>
      <c r="J59" s="33" t="inlineStr">
        <is>
          <t>GAP-006</t>
        </is>
      </c>
      <c r="K59" s="33" t="inlineStr">
        <is>
          <t>Owner/Chef Gate</t>
        </is>
      </c>
      <c r="L59" s="39" t="n"/>
      <c r="M59" s="39" t="n"/>
      <c r="N59" s="33" t="inlineStr">
        <is>
          <t>2026-08-03</t>
        </is>
      </c>
    </row>
    <row r="60">
      <c r="A60" s="33" t="inlineStr">
        <is>
          <t>CQ-0055</t>
        </is>
      </c>
      <c r="B60" s="33" t="inlineStr">
        <is>
          <t>VKM-011</t>
        </is>
      </c>
      <c r="C60" s="33" t="inlineStr">
        <is>
          <t>Греческий</t>
        </is>
      </c>
      <c r="D60" s="33" t="inlineStr">
        <is>
          <t>PROCESS_FLOW_FOR_SAFETY</t>
        </is>
      </c>
      <c r="E60" s="33" t="inlineStr">
        <is>
          <t>Подтвердить фактический маршрут блюда по каналам: немедленная подача, хранение, охлаждение, разогрев и/или доставка; параметры не назначать без Food Safety re-review.</t>
        </is>
      </c>
      <c r="F60" s="33" t="inlineStr">
        <is>
          <t>OPEN</t>
        </is>
      </c>
      <c r="G60" s="33" t="inlineStr">
        <is>
          <t>Chef</t>
        </is>
      </c>
      <c r="H60" s="33" t="inlineStr">
        <is>
          <t>Safety veto; ППК/HACCP; маркировка и прослеживаемость</t>
        </is>
      </c>
      <c r="I60" s="33" t="inlineStr">
        <is>
          <t>EVD-0013;EVD-0014;EVD-FS-001;EVD-FS-003</t>
        </is>
      </c>
      <c r="J60" s="33" t="inlineStr">
        <is>
          <t>GAP-010;GAP-011</t>
        </is>
      </c>
      <c r="K60" s="33" t="inlineStr">
        <is>
          <t>Owner/Chef Gate</t>
        </is>
      </c>
      <c r="L60" s="39" t="n"/>
      <c r="M60" s="39" t="n"/>
      <c r="N60" s="33" t="inlineStr">
        <is>
          <t>2026-08-03</t>
        </is>
      </c>
    </row>
    <row r="61">
      <c r="A61" s="33" t="inlineStr">
        <is>
          <t>CQ-0056</t>
        </is>
      </c>
      <c r="B61" s="33" t="inlineStr">
        <is>
          <t>VKM-012</t>
        </is>
      </c>
      <c r="C61" s="33" t="inlineStr">
        <is>
          <t>Винегрет</t>
        </is>
      </c>
      <c r="D61" s="33" t="inlineStr">
        <is>
          <t>RECIPE</t>
        </is>
      </c>
      <c r="E61" s="33" t="inlineStr">
        <is>
          <t>Подтвердить или скорректировать построчный состав и проектные нормы брутто/нетто.</t>
        </is>
      </c>
      <c r="F61" s="33" t="inlineStr">
        <is>
          <t>OPEN</t>
        </is>
      </c>
      <c r="G61" s="33" t="inlineStr">
        <is>
          <t>Chef</t>
        </is>
      </c>
      <c r="H61" s="33" t="inlineStr">
        <is>
          <t>Себестоимость; пищценность; аллергены; закупка</t>
        </is>
      </c>
      <c r="I61" s="33" t="inlineStr">
        <is>
          <t>EVD-0007</t>
        </is>
      </c>
      <c r="J61" s="33" t="inlineStr">
        <is>
          <t>GAP-004</t>
        </is>
      </c>
      <c r="K61" s="33" t="inlineStr">
        <is>
          <t>Owner/Chef Gate</t>
        </is>
      </c>
      <c r="L61" s="39" t="n"/>
      <c r="M61" s="39" t="n"/>
      <c r="N61" s="33" t="inlineStr">
        <is>
          <t>2026-08-03</t>
        </is>
      </c>
    </row>
    <row r="62">
      <c r="A62" s="33" t="inlineStr">
        <is>
          <t>CQ-0057</t>
        </is>
      </c>
      <c r="B62" s="33" t="inlineStr">
        <is>
          <t>VKM-012</t>
        </is>
      </c>
      <c r="C62" s="33" t="inlineStr">
        <is>
          <t>Винегрет</t>
        </is>
      </c>
      <c r="D62" s="33" t="inlineStr">
        <is>
          <t>YIELD</t>
        </is>
      </c>
      <c r="E62" s="33" t="inlineStr">
        <is>
          <t>Подтвердить целевой выход и способ учёта подготовительных/тепловых потерь контрольным взвешиванием.</t>
        </is>
      </c>
      <c r="F62" s="33" t="inlineStr">
        <is>
          <t>OPEN</t>
        </is>
      </c>
      <c r="G62" s="33" t="inlineStr">
        <is>
          <t>Chef</t>
        </is>
      </c>
      <c r="H62" s="33" t="inlineStr">
        <is>
          <t>Mass balance; себестоимость; порционирование</t>
        </is>
      </c>
      <c r="I62" s="33" t="inlineStr">
        <is>
          <t>EVD-0005;EVD-0008</t>
        </is>
      </c>
      <c r="J62" s="33" t="inlineStr">
        <is>
          <t>GAP-002;GAP-005</t>
        </is>
      </c>
      <c r="K62" s="33" t="inlineStr">
        <is>
          <t>Owner/Chef Gate</t>
        </is>
      </c>
      <c r="L62" s="39" t="n"/>
      <c r="M62" s="39" t="n"/>
      <c r="N62" s="33" t="inlineStr">
        <is>
          <t>2026-08-03</t>
        </is>
      </c>
    </row>
    <row r="63">
      <c r="A63" s="33" t="inlineStr">
        <is>
          <t>CQ-0058</t>
        </is>
      </c>
      <c r="B63" s="33" t="inlineStr">
        <is>
          <t>VKM-012</t>
        </is>
      </c>
      <c r="C63" s="33" t="inlineStr">
        <is>
          <t>Винегрет</t>
        </is>
      </c>
      <c r="D63" s="33" t="inlineStr">
        <is>
          <t>PROCESS</t>
        </is>
      </c>
      <c r="E63" s="33" t="inlineStr">
        <is>
          <t>Подтвердить последовательность операций, фактическое активное/полное время и проект подачи.</t>
        </is>
      </c>
      <c r="F63" s="33" t="inlineStr">
        <is>
          <t>OPEN</t>
        </is>
      </c>
      <c r="G63" s="33" t="inlineStr">
        <is>
          <t>Chef</t>
        </is>
      </c>
      <c r="H63" s="33" t="inlineStr">
        <is>
          <t>Техкарта; оборудование; мощность; сервис</t>
        </is>
      </c>
      <c r="I63" s="33" t="inlineStr">
        <is>
          <t>EVD-0010;EVD-0011</t>
        </is>
      </c>
      <c r="J63" s="33" t="inlineStr">
        <is>
          <t>GAP-007;GAP-008</t>
        </is>
      </c>
      <c r="K63" s="33" t="inlineStr">
        <is>
          <t>Owner/Chef Gate</t>
        </is>
      </c>
      <c r="L63" s="39" t="n"/>
      <c r="M63" s="39" t="n"/>
      <c r="N63" s="33" t="inlineStr">
        <is>
          <t>2026-08-03</t>
        </is>
      </c>
    </row>
    <row r="64">
      <c r="A64" s="33" t="inlineStr">
        <is>
          <t>CQ-0059</t>
        </is>
      </c>
      <c r="B64" s="33" t="inlineStr">
        <is>
          <t>VKM-012</t>
        </is>
      </c>
      <c r="C64" s="33" t="inlineStr">
        <is>
          <t>Винегрет</t>
        </is>
      </c>
      <c r="D64" s="33" t="inlineStr">
        <is>
          <t>SEMI_FINISHED</t>
        </is>
      </c>
      <c r="E64" s="33" t="inlineStr">
        <is>
          <t>Подтвердить выделение, код и размер партии связанных полуфабрикатов; указать общие полуфабрикаты.</t>
        </is>
      </c>
      <c r="F64" s="33" t="inlineStr">
        <is>
          <t>OPEN</t>
        </is>
      </c>
      <c r="G64" s="33" t="inlineStr">
        <is>
          <t>Chef</t>
        </is>
      </c>
      <c r="H64" s="33" t="inlineStr">
        <is>
          <t>DAG; двойной учёт; себестоимость; планирование</t>
        </is>
      </c>
      <c r="I64" s="33" t="inlineStr">
        <is>
          <t>EVD-0009</t>
        </is>
      </c>
      <c r="J64" s="33" t="inlineStr">
        <is>
          <t>GAP-006</t>
        </is>
      </c>
      <c r="K64" s="33" t="inlineStr">
        <is>
          <t>Owner/Chef Gate</t>
        </is>
      </c>
      <c r="L64" s="39" t="n"/>
      <c r="M64" s="39" t="n"/>
      <c r="N64" s="33" t="inlineStr">
        <is>
          <t>2026-08-03</t>
        </is>
      </c>
    </row>
    <row r="65">
      <c r="A65" s="33" t="inlineStr">
        <is>
          <t>CQ-0060</t>
        </is>
      </c>
      <c r="B65" s="33" t="inlineStr">
        <is>
          <t>VKM-012</t>
        </is>
      </c>
      <c r="C65" s="33" t="inlineStr">
        <is>
          <t>Винегрет</t>
        </is>
      </c>
      <c r="D65" s="33" t="inlineStr">
        <is>
          <t>PROCESS_FLOW_FOR_SAFETY</t>
        </is>
      </c>
      <c r="E65" s="33" t="inlineStr">
        <is>
          <t>Подтвердить фактический маршрут блюда по каналам: немедленная подача, хранение, охлаждение, разогрев и/или доставка; параметры не назначать без Food Safety re-review.</t>
        </is>
      </c>
      <c r="F65" s="33" t="inlineStr">
        <is>
          <t>OPEN</t>
        </is>
      </c>
      <c r="G65" s="33" t="inlineStr">
        <is>
          <t>Chef</t>
        </is>
      </c>
      <c r="H65" s="33" t="inlineStr">
        <is>
          <t>Safety veto; ППК/HACCP; маркировка и прослеживаемость</t>
        </is>
      </c>
      <c r="I65" s="33" t="inlineStr">
        <is>
          <t>EVD-0013;EVD-0014;EVD-FS-001;EVD-FS-003</t>
        </is>
      </c>
      <c r="J65" s="33" t="inlineStr">
        <is>
          <t>GAP-010;GAP-011</t>
        </is>
      </c>
      <c r="K65" s="33" t="inlineStr">
        <is>
          <t>Owner/Chef Gate</t>
        </is>
      </c>
      <c r="L65" s="39" t="n"/>
      <c r="M65" s="39" t="n"/>
      <c r="N65" s="33" t="inlineStr">
        <is>
          <t>2026-08-03</t>
        </is>
      </c>
    </row>
    <row r="66">
      <c r="A66" s="33" t="inlineStr">
        <is>
          <t>CQ-0061</t>
        </is>
      </c>
      <c r="B66" s="33" t="inlineStr">
        <is>
          <t>VKM-013</t>
        </is>
      </c>
      <c r="C66" s="33" t="inlineStr">
        <is>
          <t>Слабосолёный лосось</t>
        </is>
      </c>
      <c r="D66" s="33" t="inlineStr">
        <is>
          <t>RECIPE</t>
        </is>
      </c>
      <c r="E66" s="33" t="inlineStr">
        <is>
          <t>Подтвердить или скорректировать построчный состав и проектные нормы брутто/нетто.</t>
        </is>
      </c>
      <c r="F66" s="33" t="inlineStr">
        <is>
          <t>OPEN</t>
        </is>
      </c>
      <c r="G66" s="33" t="inlineStr">
        <is>
          <t>Chef</t>
        </is>
      </c>
      <c r="H66" s="33" t="inlineStr">
        <is>
          <t>Себестоимость; пищценность; аллергены; закупка</t>
        </is>
      </c>
      <c r="I66" s="33" t="inlineStr">
        <is>
          <t>EVD-0007</t>
        </is>
      </c>
      <c r="J66" s="33" t="inlineStr">
        <is>
          <t>GAP-004</t>
        </is>
      </c>
      <c r="K66" s="33" t="inlineStr">
        <is>
          <t>Owner/Chef Gate</t>
        </is>
      </c>
      <c r="L66" s="39" t="n"/>
      <c r="M66" s="39" t="n"/>
      <c r="N66" s="33" t="inlineStr">
        <is>
          <t>2026-08-03</t>
        </is>
      </c>
    </row>
    <row r="67">
      <c r="A67" s="33" t="inlineStr">
        <is>
          <t>CQ-0062</t>
        </is>
      </c>
      <c r="B67" s="33" t="inlineStr">
        <is>
          <t>VKM-013</t>
        </is>
      </c>
      <c r="C67" s="33" t="inlineStr">
        <is>
          <t>Слабосолёный лосось</t>
        </is>
      </c>
      <c r="D67" s="33" t="inlineStr">
        <is>
          <t>YIELD</t>
        </is>
      </c>
      <c r="E67" s="33" t="inlineStr">
        <is>
          <t>Подтвердить целевой выход и способ учёта подготовительных/тепловых потерь контрольным взвешиванием.</t>
        </is>
      </c>
      <c r="F67" s="33" t="inlineStr">
        <is>
          <t>OPEN</t>
        </is>
      </c>
      <c r="G67" s="33" t="inlineStr">
        <is>
          <t>Chef</t>
        </is>
      </c>
      <c r="H67" s="33" t="inlineStr">
        <is>
          <t>Mass balance; себестоимость; порционирование</t>
        </is>
      </c>
      <c r="I67" s="33" t="inlineStr">
        <is>
          <t>EVD-0005;EVD-0008</t>
        </is>
      </c>
      <c r="J67" s="33" t="inlineStr">
        <is>
          <t>GAP-002;GAP-005</t>
        </is>
      </c>
      <c r="K67" s="33" t="inlineStr">
        <is>
          <t>Owner/Chef Gate</t>
        </is>
      </c>
      <c r="L67" s="39" t="n"/>
      <c r="M67" s="39" t="n"/>
      <c r="N67" s="33" t="inlineStr">
        <is>
          <t>2026-08-03</t>
        </is>
      </c>
    </row>
    <row r="68">
      <c r="A68" s="33" t="inlineStr">
        <is>
          <t>CQ-0063</t>
        </is>
      </c>
      <c r="B68" s="33" t="inlineStr">
        <is>
          <t>VKM-013</t>
        </is>
      </c>
      <c r="C68" s="33" t="inlineStr">
        <is>
          <t>Слабосолёный лосось</t>
        </is>
      </c>
      <c r="D68" s="33" t="inlineStr">
        <is>
          <t>PROCESS</t>
        </is>
      </c>
      <c r="E68" s="33" t="inlineStr">
        <is>
          <t>Подтвердить последовательность операций, фактическое активное/полное время и проект подачи.</t>
        </is>
      </c>
      <c r="F68" s="33" t="inlineStr">
        <is>
          <t>OPEN</t>
        </is>
      </c>
      <c r="G68" s="33" t="inlineStr">
        <is>
          <t>Chef</t>
        </is>
      </c>
      <c r="H68" s="33" t="inlineStr">
        <is>
          <t>Техкарта; оборудование; мощность; сервис</t>
        </is>
      </c>
      <c r="I68" s="33" t="inlineStr">
        <is>
          <t>EVD-0010;EVD-0011</t>
        </is>
      </c>
      <c r="J68" s="33" t="inlineStr">
        <is>
          <t>GAP-007;GAP-008</t>
        </is>
      </c>
      <c r="K68" s="33" t="inlineStr">
        <is>
          <t>Owner/Chef Gate</t>
        </is>
      </c>
      <c r="L68" s="39" t="n"/>
      <c r="M68" s="39" t="n"/>
      <c r="N68" s="33" t="inlineStr">
        <is>
          <t>2026-08-03</t>
        </is>
      </c>
    </row>
    <row r="69">
      <c r="A69" s="33" t="inlineStr">
        <is>
          <t>CQ-0064</t>
        </is>
      </c>
      <c r="B69" s="33" t="inlineStr">
        <is>
          <t>VKM-013</t>
        </is>
      </c>
      <c r="C69" s="33" t="inlineStr">
        <is>
          <t>Слабосолёный лосось</t>
        </is>
      </c>
      <c r="D69" s="33" t="inlineStr">
        <is>
          <t>SEMI_FINISHED</t>
        </is>
      </c>
      <c r="E69" s="33" t="inlineStr">
        <is>
          <t>Подтвердить выделение, код и размер партии связанных полуфабрикатов; указать общие полуфабрикаты.</t>
        </is>
      </c>
      <c r="F69" s="33" t="inlineStr">
        <is>
          <t>OPEN</t>
        </is>
      </c>
      <c r="G69" s="33" t="inlineStr">
        <is>
          <t>Chef</t>
        </is>
      </c>
      <c r="H69" s="33" t="inlineStr">
        <is>
          <t>DAG; двойной учёт; себестоимость; планирование</t>
        </is>
      </c>
      <c r="I69" s="33" t="inlineStr">
        <is>
          <t>EVD-0009</t>
        </is>
      </c>
      <c r="J69" s="33" t="inlineStr">
        <is>
          <t>GAP-006</t>
        </is>
      </c>
      <c r="K69" s="33" t="inlineStr">
        <is>
          <t>Owner/Chef Gate</t>
        </is>
      </c>
      <c r="L69" s="39" t="n"/>
      <c r="M69" s="39" t="n"/>
      <c r="N69" s="33" t="inlineStr">
        <is>
          <t>2026-08-03</t>
        </is>
      </c>
    </row>
    <row r="70">
      <c r="A70" s="33" t="inlineStr">
        <is>
          <t>CQ-0065</t>
        </is>
      </c>
      <c r="B70" s="33" t="inlineStr">
        <is>
          <t>VKM-013</t>
        </is>
      </c>
      <c r="C70" s="33" t="inlineStr">
        <is>
          <t>Слабосолёный лосось</t>
        </is>
      </c>
      <c r="D70" s="33" t="inlineStr">
        <is>
          <t>PROCESS_FLOW_FOR_SAFETY</t>
        </is>
      </c>
      <c r="E70" s="33" t="inlineStr">
        <is>
          <t>Подтвердить фактический маршрут блюда по каналам: немедленная подача, хранение, охлаждение, разогрев и/или доставка; параметры не назначать без Food Safety re-review.</t>
        </is>
      </c>
      <c r="F70" s="33" t="inlineStr">
        <is>
          <t>OPEN</t>
        </is>
      </c>
      <c r="G70" s="33" t="inlineStr">
        <is>
          <t>Chef</t>
        </is>
      </c>
      <c r="H70" s="33" t="inlineStr">
        <is>
          <t>Safety veto; ППК/HACCP; маркировка и прослеживаемость</t>
        </is>
      </c>
      <c r="I70" s="33" t="inlineStr">
        <is>
          <t>EVD-0013;EVD-0014;EVD-FS-001;EVD-FS-003</t>
        </is>
      </c>
      <c r="J70" s="33" t="inlineStr">
        <is>
          <t>GAP-010;GAP-011</t>
        </is>
      </c>
      <c r="K70" s="33" t="inlineStr">
        <is>
          <t>Owner/Chef Gate</t>
        </is>
      </c>
      <c r="L70" s="39" t="n"/>
      <c r="M70" s="39" t="n"/>
      <c r="N70" s="33" t="inlineStr">
        <is>
          <t>2026-08-03</t>
        </is>
      </c>
    </row>
    <row r="71">
      <c r="A71" s="33" t="inlineStr">
        <is>
          <t>CQ-0066</t>
        </is>
      </c>
      <c r="B71" s="33" t="inlineStr">
        <is>
          <t>VKM-014</t>
        </is>
      </c>
      <c r="C71" s="33" t="inlineStr">
        <is>
          <t>Сельдь с запечённым картофелем</t>
        </is>
      </c>
      <c r="D71" s="33" t="inlineStr">
        <is>
          <t>RECIPE</t>
        </is>
      </c>
      <c r="E71" s="33" t="inlineStr">
        <is>
          <t>Подтвердить или скорректировать построчный состав и проектные нормы брутто/нетто.</t>
        </is>
      </c>
      <c r="F71" s="33" t="inlineStr">
        <is>
          <t>OPEN</t>
        </is>
      </c>
      <c r="G71" s="33" t="inlineStr">
        <is>
          <t>Chef</t>
        </is>
      </c>
      <c r="H71" s="33" t="inlineStr">
        <is>
          <t>Себестоимость; пищценность; аллергены; закупка</t>
        </is>
      </c>
      <c r="I71" s="33" t="inlineStr">
        <is>
          <t>EVD-0007</t>
        </is>
      </c>
      <c r="J71" s="33" t="inlineStr">
        <is>
          <t>GAP-004</t>
        </is>
      </c>
      <c r="K71" s="33" t="inlineStr">
        <is>
          <t>Owner/Chef Gate</t>
        </is>
      </c>
      <c r="L71" s="39" t="n"/>
      <c r="M71" s="39" t="n"/>
      <c r="N71" s="33" t="inlineStr">
        <is>
          <t>2026-08-03</t>
        </is>
      </c>
    </row>
    <row r="72">
      <c r="A72" s="33" t="inlineStr">
        <is>
          <t>CQ-0067</t>
        </is>
      </c>
      <c r="B72" s="33" t="inlineStr">
        <is>
          <t>VKM-014</t>
        </is>
      </c>
      <c r="C72" s="33" t="inlineStr">
        <is>
          <t>Сельдь с запечённым картофелем</t>
        </is>
      </c>
      <c r="D72" s="33" t="inlineStr">
        <is>
          <t>YIELD</t>
        </is>
      </c>
      <c r="E72" s="33" t="inlineStr">
        <is>
          <t>Подтвердить целевой выход и способ учёта подготовительных/тепловых потерь контрольным взвешиванием.</t>
        </is>
      </c>
      <c r="F72" s="33" t="inlineStr">
        <is>
          <t>OPEN</t>
        </is>
      </c>
      <c r="G72" s="33" t="inlineStr">
        <is>
          <t>Chef</t>
        </is>
      </c>
      <c r="H72" s="33" t="inlineStr">
        <is>
          <t>Mass balance; себестоимость; порционирование</t>
        </is>
      </c>
      <c r="I72" s="33" t="inlineStr">
        <is>
          <t>EVD-0005;EVD-0008</t>
        </is>
      </c>
      <c r="J72" s="33" t="inlineStr">
        <is>
          <t>GAP-002;GAP-005</t>
        </is>
      </c>
      <c r="K72" s="33" t="inlineStr">
        <is>
          <t>Owner/Chef Gate</t>
        </is>
      </c>
      <c r="L72" s="39" t="n"/>
      <c r="M72" s="39" t="n"/>
      <c r="N72" s="33" t="inlineStr">
        <is>
          <t>2026-08-03</t>
        </is>
      </c>
    </row>
    <row r="73">
      <c r="A73" s="33" t="inlineStr">
        <is>
          <t>CQ-0068</t>
        </is>
      </c>
      <c r="B73" s="33" t="inlineStr">
        <is>
          <t>VKM-014</t>
        </is>
      </c>
      <c r="C73" s="33" t="inlineStr">
        <is>
          <t>Сельдь с запечённым картофелем</t>
        </is>
      </c>
      <c r="D73" s="33" t="inlineStr">
        <is>
          <t>PROCESS</t>
        </is>
      </c>
      <c r="E73" s="33" t="inlineStr">
        <is>
          <t>Подтвердить последовательность операций, фактическое активное/полное время и проект подачи.</t>
        </is>
      </c>
      <c r="F73" s="33" t="inlineStr">
        <is>
          <t>OPEN</t>
        </is>
      </c>
      <c r="G73" s="33" t="inlineStr">
        <is>
          <t>Chef</t>
        </is>
      </c>
      <c r="H73" s="33" t="inlineStr">
        <is>
          <t>Техкарта; оборудование; мощность; сервис</t>
        </is>
      </c>
      <c r="I73" s="33" t="inlineStr">
        <is>
          <t>EVD-0010;EVD-0011</t>
        </is>
      </c>
      <c r="J73" s="33" t="inlineStr">
        <is>
          <t>GAP-007;GAP-008</t>
        </is>
      </c>
      <c r="K73" s="33" t="inlineStr">
        <is>
          <t>Owner/Chef Gate</t>
        </is>
      </c>
      <c r="L73" s="39" t="n"/>
      <c r="M73" s="39" t="n"/>
      <c r="N73" s="33" t="inlineStr">
        <is>
          <t>2026-08-03</t>
        </is>
      </c>
    </row>
    <row r="74">
      <c r="A74" s="33" t="inlineStr">
        <is>
          <t>CQ-0069</t>
        </is>
      </c>
      <c r="B74" s="33" t="inlineStr">
        <is>
          <t>VKM-014</t>
        </is>
      </c>
      <c r="C74" s="33" t="inlineStr">
        <is>
          <t>Сельдь с запечённым картофелем</t>
        </is>
      </c>
      <c r="D74" s="33" t="inlineStr">
        <is>
          <t>SEMI_FINISHED</t>
        </is>
      </c>
      <c r="E74" s="33" t="inlineStr">
        <is>
          <t>Подтвердить выделение, код и размер партии связанных полуфабрикатов; указать общие полуфабрикаты.</t>
        </is>
      </c>
      <c r="F74" s="33" t="inlineStr">
        <is>
          <t>OPEN</t>
        </is>
      </c>
      <c r="G74" s="33" t="inlineStr">
        <is>
          <t>Chef</t>
        </is>
      </c>
      <c r="H74" s="33" t="inlineStr">
        <is>
          <t>DAG; двойной учёт; себестоимость; планирование</t>
        </is>
      </c>
      <c r="I74" s="33" t="inlineStr">
        <is>
          <t>EVD-0009</t>
        </is>
      </c>
      <c r="J74" s="33" t="inlineStr">
        <is>
          <t>GAP-006</t>
        </is>
      </c>
      <c r="K74" s="33" t="inlineStr">
        <is>
          <t>Owner/Chef Gate</t>
        </is>
      </c>
      <c r="L74" s="39" t="n"/>
      <c r="M74" s="39" t="n"/>
      <c r="N74" s="33" t="inlineStr">
        <is>
          <t>2026-08-03</t>
        </is>
      </c>
    </row>
    <row r="75">
      <c r="A75" s="33" t="inlineStr">
        <is>
          <t>CQ-0070</t>
        </is>
      </c>
      <c r="B75" s="33" t="inlineStr">
        <is>
          <t>VKM-014</t>
        </is>
      </c>
      <c r="C75" s="33" t="inlineStr">
        <is>
          <t>Сельдь с запечённым картофелем</t>
        </is>
      </c>
      <c r="D75" s="33" t="inlineStr">
        <is>
          <t>PROCESS_FLOW_FOR_SAFETY</t>
        </is>
      </c>
      <c r="E75" s="33" t="inlineStr">
        <is>
          <t>Подтвердить фактический маршрут блюда по каналам: немедленная подача, хранение, охлаждение, разогрев и/или доставка; параметры не назначать без Food Safety re-review.</t>
        </is>
      </c>
      <c r="F75" s="33" t="inlineStr">
        <is>
          <t>OPEN</t>
        </is>
      </c>
      <c r="G75" s="33" t="inlineStr">
        <is>
          <t>Chef</t>
        </is>
      </c>
      <c r="H75" s="33" t="inlineStr">
        <is>
          <t>Safety veto; ППК/HACCP; маркировка и прослеживаемость</t>
        </is>
      </c>
      <c r="I75" s="33" t="inlineStr">
        <is>
          <t>EVD-0013;EVD-0014;EVD-FS-001;EVD-FS-003</t>
        </is>
      </c>
      <c r="J75" s="33" t="inlineStr">
        <is>
          <t>GAP-010;GAP-011</t>
        </is>
      </c>
      <c r="K75" s="33" t="inlineStr">
        <is>
          <t>Owner/Chef Gate</t>
        </is>
      </c>
      <c r="L75" s="39" t="n"/>
      <c r="M75" s="39" t="n"/>
      <c r="N75" s="33" t="inlineStr">
        <is>
          <t>2026-08-03</t>
        </is>
      </c>
    </row>
    <row r="76">
      <c r="A76" s="33" t="inlineStr">
        <is>
          <t>CQ-0071</t>
        </is>
      </c>
      <c r="B76" s="33" t="inlineStr">
        <is>
          <t>VKM-015</t>
        </is>
      </c>
      <c r="C76" s="33" t="inlineStr">
        <is>
          <t>Оливки и маслины</t>
        </is>
      </c>
      <c r="D76" s="33" t="inlineStr">
        <is>
          <t>RECIPE</t>
        </is>
      </c>
      <c r="E76" s="33" t="inlineStr">
        <is>
          <t>Подтвердить или скорректировать построчный состав и проектные нормы брутто/нетто.</t>
        </is>
      </c>
      <c r="F76" s="33" t="inlineStr">
        <is>
          <t>OPEN</t>
        </is>
      </c>
      <c r="G76" s="33" t="inlineStr">
        <is>
          <t>Chef</t>
        </is>
      </c>
      <c r="H76" s="33" t="inlineStr">
        <is>
          <t>Себестоимость; пищценность; аллергены; закупка</t>
        </is>
      </c>
      <c r="I76" s="33" t="inlineStr">
        <is>
          <t>EVD-0007</t>
        </is>
      </c>
      <c r="J76" s="33" t="inlineStr">
        <is>
          <t>GAP-004</t>
        </is>
      </c>
      <c r="K76" s="33" t="inlineStr">
        <is>
          <t>Owner/Chef Gate</t>
        </is>
      </c>
      <c r="L76" s="39" t="n"/>
      <c r="M76" s="39" t="n"/>
      <c r="N76" s="33" t="inlineStr">
        <is>
          <t>2026-08-03</t>
        </is>
      </c>
    </row>
    <row r="77">
      <c r="A77" s="33" t="inlineStr">
        <is>
          <t>CQ-0072</t>
        </is>
      </c>
      <c r="B77" s="33" t="inlineStr">
        <is>
          <t>VKM-015</t>
        </is>
      </c>
      <c r="C77" s="33" t="inlineStr">
        <is>
          <t>Оливки и маслины</t>
        </is>
      </c>
      <c r="D77" s="33" t="inlineStr">
        <is>
          <t>YIELD</t>
        </is>
      </c>
      <c r="E77" s="33" t="inlineStr">
        <is>
          <t>Подтвердить целевой выход и способ учёта подготовительных/тепловых потерь контрольным взвешиванием.</t>
        </is>
      </c>
      <c r="F77" s="33" t="inlineStr">
        <is>
          <t>OPEN</t>
        </is>
      </c>
      <c r="G77" s="33" t="inlineStr">
        <is>
          <t>Chef</t>
        </is>
      </c>
      <c r="H77" s="33" t="inlineStr">
        <is>
          <t>Mass balance; себестоимость; порционирование</t>
        </is>
      </c>
      <c r="I77" s="33" t="inlineStr">
        <is>
          <t>EVD-0005;EVD-0008</t>
        </is>
      </c>
      <c r="J77" s="33" t="inlineStr">
        <is>
          <t>GAP-002;GAP-005</t>
        </is>
      </c>
      <c r="K77" s="33" t="inlineStr">
        <is>
          <t>Owner/Chef Gate</t>
        </is>
      </c>
      <c r="L77" s="39" t="n"/>
      <c r="M77" s="39" t="n"/>
      <c r="N77" s="33" t="inlineStr">
        <is>
          <t>2026-08-03</t>
        </is>
      </c>
    </row>
    <row r="78">
      <c r="A78" s="33" t="inlineStr">
        <is>
          <t>CQ-0073</t>
        </is>
      </c>
      <c r="B78" s="33" t="inlineStr">
        <is>
          <t>VKM-015</t>
        </is>
      </c>
      <c r="C78" s="33" t="inlineStr">
        <is>
          <t>Оливки и маслины</t>
        </is>
      </c>
      <c r="D78" s="33" t="inlineStr">
        <is>
          <t>PROCESS</t>
        </is>
      </c>
      <c r="E78" s="33" t="inlineStr">
        <is>
          <t>Подтвердить последовательность операций, фактическое активное/полное время и проект подачи.</t>
        </is>
      </c>
      <c r="F78" s="33" t="inlineStr">
        <is>
          <t>OPEN</t>
        </is>
      </c>
      <c r="G78" s="33" t="inlineStr">
        <is>
          <t>Chef</t>
        </is>
      </c>
      <c r="H78" s="33" t="inlineStr">
        <is>
          <t>Техкарта; оборудование; мощность; сервис</t>
        </is>
      </c>
      <c r="I78" s="33" t="inlineStr">
        <is>
          <t>EVD-0010;EVD-0011</t>
        </is>
      </c>
      <c r="J78" s="33" t="inlineStr">
        <is>
          <t>GAP-007;GAP-008</t>
        </is>
      </c>
      <c r="K78" s="33" t="inlineStr">
        <is>
          <t>Owner/Chef Gate</t>
        </is>
      </c>
      <c r="L78" s="39" t="n"/>
      <c r="M78" s="39" t="n"/>
      <c r="N78" s="33" t="inlineStr">
        <is>
          <t>2026-08-03</t>
        </is>
      </c>
    </row>
    <row r="79">
      <c r="A79" s="33" t="inlineStr">
        <is>
          <t>CQ-0074</t>
        </is>
      </c>
      <c r="B79" s="33" t="inlineStr">
        <is>
          <t>VKM-015</t>
        </is>
      </c>
      <c r="C79" s="33" t="inlineStr">
        <is>
          <t>Оливки и маслины</t>
        </is>
      </c>
      <c r="D79" s="33" t="inlineStr">
        <is>
          <t>SEMI_FINISHED</t>
        </is>
      </c>
      <c r="E79" s="33" t="inlineStr">
        <is>
          <t>Подтвердить выделение, код и размер партии связанных полуфабрикатов; указать общие полуфабрикаты.</t>
        </is>
      </c>
      <c r="F79" s="33" t="inlineStr">
        <is>
          <t>OPEN</t>
        </is>
      </c>
      <c r="G79" s="33" t="inlineStr">
        <is>
          <t>Chef</t>
        </is>
      </c>
      <c r="H79" s="33" t="inlineStr">
        <is>
          <t>DAG; двойной учёт; себестоимость; планирование</t>
        </is>
      </c>
      <c r="I79" s="33" t="inlineStr">
        <is>
          <t>EVD-0009</t>
        </is>
      </c>
      <c r="J79" s="33" t="inlineStr">
        <is>
          <t>GAP-006</t>
        </is>
      </c>
      <c r="K79" s="33" t="inlineStr">
        <is>
          <t>Owner/Chef Gate</t>
        </is>
      </c>
      <c r="L79" s="39" t="n"/>
      <c r="M79" s="39" t="n"/>
      <c r="N79" s="33" t="inlineStr">
        <is>
          <t>2026-08-03</t>
        </is>
      </c>
    </row>
    <row r="80">
      <c r="A80" s="33" t="inlineStr">
        <is>
          <t>CQ-0075</t>
        </is>
      </c>
      <c r="B80" s="33" t="inlineStr">
        <is>
          <t>VKM-015</t>
        </is>
      </c>
      <c r="C80" s="33" t="inlineStr">
        <is>
          <t>Оливки и маслины</t>
        </is>
      </c>
      <c r="D80" s="33" t="inlineStr">
        <is>
          <t>PROCESS_FLOW_FOR_SAFETY</t>
        </is>
      </c>
      <c r="E80" s="33" t="inlineStr">
        <is>
          <t>Подтвердить фактический маршрут блюда по каналам: немедленная подача, хранение, охлаждение, разогрев и/или доставка; параметры не назначать без Food Safety re-review.</t>
        </is>
      </c>
      <c r="F80" s="33" t="inlineStr">
        <is>
          <t>OPEN</t>
        </is>
      </c>
      <c r="G80" s="33" t="inlineStr">
        <is>
          <t>Chef</t>
        </is>
      </c>
      <c r="H80" s="33" t="inlineStr">
        <is>
          <t>Safety veto; ППК/HACCP; маркировка и прослеживаемость</t>
        </is>
      </c>
      <c r="I80" s="33" t="inlineStr">
        <is>
          <t>EVD-0013;EVD-0014;EVD-FS-001;EVD-FS-003</t>
        </is>
      </c>
      <c r="J80" s="33" t="inlineStr">
        <is>
          <t>GAP-010;GAP-011</t>
        </is>
      </c>
      <c r="K80" s="33" t="inlineStr">
        <is>
          <t>Owner/Chef Gate</t>
        </is>
      </c>
      <c r="L80" s="39" t="n"/>
      <c r="M80" s="39" t="n"/>
      <c r="N80" s="33" t="inlineStr">
        <is>
          <t>2026-08-03</t>
        </is>
      </c>
    </row>
    <row r="81">
      <c r="A81" s="33" t="inlineStr">
        <is>
          <t>CQ-0076</t>
        </is>
      </c>
      <c r="B81" s="33" t="inlineStr">
        <is>
          <t>VKM-016</t>
        </is>
      </c>
      <c r="C81" s="33" t="inlineStr">
        <is>
          <t>Ассорти фирменных солений</t>
        </is>
      </c>
      <c r="D81" s="33" t="inlineStr">
        <is>
          <t>RECIPE</t>
        </is>
      </c>
      <c r="E81" s="33" t="inlineStr">
        <is>
          <t>Подтвердить или скорректировать построчный состав и проектные нормы брутто/нетто.</t>
        </is>
      </c>
      <c r="F81" s="33" t="inlineStr">
        <is>
          <t>OPEN</t>
        </is>
      </c>
      <c r="G81" s="33" t="inlineStr">
        <is>
          <t>Chef</t>
        </is>
      </c>
      <c r="H81" s="33" t="inlineStr">
        <is>
          <t>Себестоимость; пищценность; аллергены; закупка</t>
        </is>
      </c>
      <c r="I81" s="33" t="inlineStr">
        <is>
          <t>EVD-0007</t>
        </is>
      </c>
      <c r="J81" s="33" t="inlineStr">
        <is>
          <t>GAP-004</t>
        </is>
      </c>
      <c r="K81" s="33" t="inlineStr">
        <is>
          <t>Owner/Chef Gate</t>
        </is>
      </c>
      <c r="L81" s="39" t="n"/>
      <c r="M81" s="39" t="n"/>
      <c r="N81" s="33" t="inlineStr">
        <is>
          <t>2026-08-03</t>
        </is>
      </c>
    </row>
    <row r="82">
      <c r="A82" s="33" t="inlineStr">
        <is>
          <t>CQ-0077</t>
        </is>
      </c>
      <c r="B82" s="33" t="inlineStr">
        <is>
          <t>VKM-016</t>
        </is>
      </c>
      <c r="C82" s="33" t="inlineStr">
        <is>
          <t>Ассорти фирменных солений</t>
        </is>
      </c>
      <c r="D82" s="33" t="inlineStr">
        <is>
          <t>YIELD</t>
        </is>
      </c>
      <c r="E82" s="33" t="inlineStr">
        <is>
          <t>Подтвердить целевой выход и способ учёта подготовительных/тепловых потерь контрольным взвешиванием.</t>
        </is>
      </c>
      <c r="F82" s="33" t="inlineStr">
        <is>
          <t>OPEN</t>
        </is>
      </c>
      <c r="G82" s="33" t="inlineStr">
        <is>
          <t>Chef</t>
        </is>
      </c>
      <c r="H82" s="33" t="inlineStr">
        <is>
          <t>Mass balance; себестоимость; порционирование</t>
        </is>
      </c>
      <c r="I82" s="33" t="inlineStr">
        <is>
          <t>EVD-0005;EVD-0008</t>
        </is>
      </c>
      <c r="J82" s="33" t="inlineStr">
        <is>
          <t>GAP-002;GAP-005</t>
        </is>
      </c>
      <c r="K82" s="33" t="inlineStr">
        <is>
          <t>Owner/Chef Gate</t>
        </is>
      </c>
      <c r="L82" s="39" t="n"/>
      <c r="M82" s="39" t="n"/>
      <c r="N82" s="33" t="inlineStr">
        <is>
          <t>2026-08-03</t>
        </is>
      </c>
    </row>
    <row r="83">
      <c r="A83" s="33" t="inlineStr">
        <is>
          <t>CQ-0078</t>
        </is>
      </c>
      <c r="B83" s="33" t="inlineStr">
        <is>
          <t>VKM-016</t>
        </is>
      </c>
      <c r="C83" s="33" t="inlineStr">
        <is>
          <t>Ассорти фирменных солений</t>
        </is>
      </c>
      <c r="D83" s="33" t="inlineStr">
        <is>
          <t>PROCESS</t>
        </is>
      </c>
      <c r="E83" s="33" t="inlineStr">
        <is>
          <t>Подтвердить последовательность операций, фактическое активное/полное время и проект подачи.</t>
        </is>
      </c>
      <c r="F83" s="33" t="inlineStr">
        <is>
          <t>OPEN</t>
        </is>
      </c>
      <c r="G83" s="33" t="inlineStr">
        <is>
          <t>Chef</t>
        </is>
      </c>
      <c r="H83" s="33" t="inlineStr">
        <is>
          <t>Техкарта; оборудование; мощность; сервис</t>
        </is>
      </c>
      <c r="I83" s="33" t="inlineStr">
        <is>
          <t>EVD-0010;EVD-0011</t>
        </is>
      </c>
      <c r="J83" s="33" t="inlineStr">
        <is>
          <t>GAP-007;GAP-008</t>
        </is>
      </c>
      <c r="K83" s="33" t="inlineStr">
        <is>
          <t>Owner/Chef Gate</t>
        </is>
      </c>
      <c r="L83" s="39" t="n"/>
      <c r="M83" s="39" t="n"/>
      <c r="N83" s="33" t="inlineStr">
        <is>
          <t>2026-08-03</t>
        </is>
      </c>
    </row>
    <row r="84">
      <c r="A84" s="33" t="inlineStr">
        <is>
          <t>CQ-0079</t>
        </is>
      </c>
      <c r="B84" s="33" t="inlineStr">
        <is>
          <t>VKM-016</t>
        </is>
      </c>
      <c r="C84" s="33" t="inlineStr">
        <is>
          <t>Ассорти фирменных солений</t>
        </is>
      </c>
      <c r="D84" s="33" t="inlineStr">
        <is>
          <t>SEMI_FINISHED</t>
        </is>
      </c>
      <c r="E84" s="33" t="inlineStr">
        <is>
          <t>Подтвердить выделение, код и размер партии связанных полуфабрикатов; указать общие полуфабрикаты.</t>
        </is>
      </c>
      <c r="F84" s="33" t="inlineStr">
        <is>
          <t>OPEN</t>
        </is>
      </c>
      <c r="G84" s="33" t="inlineStr">
        <is>
          <t>Chef</t>
        </is>
      </c>
      <c r="H84" s="33" t="inlineStr">
        <is>
          <t>DAG; двойной учёт; себестоимость; планирование</t>
        </is>
      </c>
      <c r="I84" s="33" t="inlineStr">
        <is>
          <t>EVD-0009</t>
        </is>
      </c>
      <c r="J84" s="33" t="inlineStr">
        <is>
          <t>GAP-006</t>
        </is>
      </c>
      <c r="K84" s="33" t="inlineStr">
        <is>
          <t>Owner/Chef Gate</t>
        </is>
      </c>
      <c r="L84" s="39" t="n"/>
      <c r="M84" s="39" t="n"/>
      <c r="N84" s="33" t="inlineStr">
        <is>
          <t>2026-08-03</t>
        </is>
      </c>
    </row>
    <row r="85">
      <c r="A85" s="33" t="inlineStr">
        <is>
          <t>CQ-0080</t>
        </is>
      </c>
      <c r="B85" s="33" t="inlineStr">
        <is>
          <t>VKM-016</t>
        </is>
      </c>
      <c r="C85" s="33" t="inlineStr">
        <is>
          <t>Ассорти фирменных солений</t>
        </is>
      </c>
      <c r="D85" s="33" t="inlineStr">
        <is>
          <t>PROCESS_FLOW_FOR_SAFETY</t>
        </is>
      </c>
      <c r="E85" s="33" t="inlineStr">
        <is>
          <t>Подтвердить фактический маршрут блюда по каналам: немедленная подача, хранение, охлаждение, разогрев и/или доставка; параметры не назначать без Food Safety re-review.</t>
        </is>
      </c>
      <c r="F85" s="33" t="inlineStr">
        <is>
          <t>OPEN</t>
        </is>
      </c>
      <c r="G85" s="33" t="inlineStr">
        <is>
          <t>Chef</t>
        </is>
      </c>
      <c r="H85" s="33" t="inlineStr">
        <is>
          <t>Safety veto; ППК/HACCP; маркировка и прослеживаемость</t>
        </is>
      </c>
      <c r="I85" s="33" t="inlineStr">
        <is>
          <t>EVD-0013;EVD-0014;EVD-FS-001;EVD-FS-003</t>
        </is>
      </c>
      <c r="J85" s="33" t="inlineStr">
        <is>
          <t>GAP-010;GAP-011</t>
        </is>
      </c>
      <c r="K85" s="33" t="inlineStr">
        <is>
          <t>Owner/Chef Gate</t>
        </is>
      </c>
      <c r="L85" s="39" t="n"/>
      <c r="M85" s="39" t="n"/>
      <c r="N85" s="33" t="inlineStr">
        <is>
          <t>2026-08-03</t>
        </is>
      </c>
    </row>
    <row r="86">
      <c r="A86" s="33" t="inlineStr">
        <is>
          <t>CQ-0081</t>
        </is>
      </c>
      <c r="B86" s="33" t="inlineStr">
        <is>
          <t>VKM-017</t>
        </is>
      </c>
      <c r="C86" s="33" t="inlineStr">
        <is>
          <t>Ростбиф с луком и гренкой</t>
        </is>
      </c>
      <c r="D86" s="33" t="inlineStr">
        <is>
          <t>RECIPE</t>
        </is>
      </c>
      <c r="E86" s="33" t="inlineStr">
        <is>
          <t>Подтвердить или скорректировать построчный состав и проектные нормы брутто/нетто.</t>
        </is>
      </c>
      <c r="F86" s="33" t="inlineStr">
        <is>
          <t>OPEN</t>
        </is>
      </c>
      <c r="G86" s="33" t="inlineStr">
        <is>
          <t>Chef</t>
        </is>
      </c>
      <c r="H86" s="33" t="inlineStr">
        <is>
          <t>Себестоимость; пищценность; аллергены; закупка</t>
        </is>
      </c>
      <c r="I86" s="33" t="inlineStr">
        <is>
          <t>EVD-0007</t>
        </is>
      </c>
      <c r="J86" s="33" t="inlineStr">
        <is>
          <t>GAP-004</t>
        </is>
      </c>
      <c r="K86" s="33" t="inlineStr">
        <is>
          <t>Owner/Chef Gate</t>
        </is>
      </c>
      <c r="L86" s="39" t="n"/>
      <c r="M86" s="39" t="n"/>
      <c r="N86" s="33" t="inlineStr">
        <is>
          <t>2026-08-03</t>
        </is>
      </c>
    </row>
    <row r="87">
      <c r="A87" s="33" t="inlineStr">
        <is>
          <t>CQ-0082</t>
        </is>
      </c>
      <c r="B87" s="33" t="inlineStr">
        <is>
          <t>VKM-017</t>
        </is>
      </c>
      <c r="C87" s="33" t="inlineStr">
        <is>
          <t>Ростбиф с луком и гренкой</t>
        </is>
      </c>
      <c r="D87" s="33" t="inlineStr">
        <is>
          <t>YIELD</t>
        </is>
      </c>
      <c r="E87" s="33" t="inlineStr">
        <is>
          <t>Подтвердить целевой выход и способ учёта подготовительных/тепловых потерь контрольным взвешиванием.</t>
        </is>
      </c>
      <c r="F87" s="33" t="inlineStr">
        <is>
          <t>OPEN</t>
        </is>
      </c>
      <c r="G87" s="33" t="inlineStr">
        <is>
          <t>Chef</t>
        </is>
      </c>
      <c r="H87" s="33" t="inlineStr">
        <is>
          <t>Mass balance; себестоимость; порционирование</t>
        </is>
      </c>
      <c r="I87" s="33" t="inlineStr">
        <is>
          <t>EVD-0005;EVD-0008</t>
        </is>
      </c>
      <c r="J87" s="33" t="inlineStr">
        <is>
          <t>GAP-002;GAP-005</t>
        </is>
      </c>
      <c r="K87" s="33" t="inlineStr">
        <is>
          <t>Owner/Chef Gate</t>
        </is>
      </c>
      <c r="L87" s="39" t="n"/>
      <c r="M87" s="39" t="n"/>
      <c r="N87" s="33" t="inlineStr">
        <is>
          <t>2026-08-03</t>
        </is>
      </c>
    </row>
    <row r="88">
      <c r="A88" s="33" t="inlineStr">
        <is>
          <t>CQ-0083</t>
        </is>
      </c>
      <c r="B88" s="33" t="inlineStr">
        <is>
          <t>VKM-017</t>
        </is>
      </c>
      <c r="C88" s="33" t="inlineStr">
        <is>
          <t>Ростбиф с луком и гренкой</t>
        </is>
      </c>
      <c r="D88" s="33" t="inlineStr">
        <is>
          <t>PROCESS</t>
        </is>
      </c>
      <c r="E88" s="33" t="inlineStr">
        <is>
          <t>Подтвердить последовательность операций, фактическое активное/полное время и проект подачи.</t>
        </is>
      </c>
      <c r="F88" s="33" t="inlineStr">
        <is>
          <t>OPEN</t>
        </is>
      </c>
      <c r="G88" s="33" t="inlineStr">
        <is>
          <t>Chef</t>
        </is>
      </c>
      <c r="H88" s="33" t="inlineStr">
        <is>
          <t>Техкарта; оборудование; мощность; сервис</t>
        </is>
      </c>
      <c r="I88" s="33" t="inlineStr">
        <is>
          <t>EVD-0010;EVD-0011</t>
        </is>
      </c>
      <c r="J88" s="33" t="inlineStr">
        <is>
          <t>GAP-007;GAP-008</t>
        </is>
      </c>
      <c r="K88" s="33" t="inlineStr">
        <is>
          <t>Owner/Chef Gate</t>
        </is>
      </c>
      <c r="L88" s="39" t="n"/>
      <c r="M88" s="39" t="n"/>
      <c r="N88" s="33" t="inlineStr">
        <is>
          <t>2026-08-03</t>
        </is>
      </c>
    </row>
    <row r="89">
      <c r="A89" s="33" t="inlineStr">
        <is>
          <t>CQ-0084</t>
        </is>
      </c>
      <c r="B89" s="33" t="inlineStr">
        <is>
          <t>VKM-017</t>
        </is>
      </c>
      <c r="C89" s="33" t="inlineStr">
        <is>
          <t>Ростбиф с луком и гренкой</t>
        </is>
      </c>
      <c r="D89" s="33" t="inlineStr">
        <is>
          <t>SEMI_FINISHED</t>
        </is>
      </c>
      <c r="E89" s="33" t="inlineStr">
        <is>
          <t>Подтвердить выделение, код и размер партии связанных полуфабрикатов; указать общие полуфабрикаты.</t>
        </is>
      </c>
      <c r="F89" s="33" t="inlineStr">
        <is>
          <t>OPEN</t>
        </is>
      </c>
      <c r="G89" s="33" t="inlineStr">
        <is>
          <t>Chef</t>
        </is>
      </c>
      <c r="H89" s="33" t="inlineStr">
        <is>
          <t>DAG; двойной учёт; себестоимость; планирование</t>
        </is>
      </c>
      <c r="I89" s="33" t="inlineStr">
        <is>
          <t>EVD-0009</t>
        </is>
      </c>
      <c r="J89" s="33" t="inlineStr">
        <is>
          <t>GAP-006</t>
        </is>
      </c>
      <c r="K89" s="33" t="inlineStr">
        <is>
          <t>Owner/Chef Gate</t>
        </is>
      </c>
      <c r="L89" s="39" t="n"/>
      <c r="M89" s="39" t="n"/>
      <c r="N89" s="33" t="inlineStr">
        <is>
          <t>2026-08-03</t>
        </is>
      </c>
    </row>
    <row r="90">
      <c r="A90" s="33" t="inlineStr">
        <is>
          <t>CQ-0085</t>
        </is>
      </c>
      <c r="B90" s="33" t="inlineStr">
        <is>
          <t>VKM-017</t>
        </is>
      </c>
      <c r="C90" s="33" t="inlineStr">
        <is>
          <t>Ростбиф с луком и гренкой</t>
        </is>
      </c>
      <c r="D90" s="33" t="inlineStr">
        <is>
          <t>PROCESS_FLOW_FOR_SAFETY</t>
        </is>
      </c>
      <c r="E90" s="33" t="inlineStr">
        <is>
          <t>Подтвердить фактический маршрут блюда по каналам: немедленная подача, хранение, охлаждение, разогрев и/или доставка; параметры не назначать без Food Safety re-review.</t>
        </is>
      </c>
      <c r="F90" s="33" t="inlineStr">
        <is>
          <t>OPEN</t>
        </is>
      </c>
      <c r="G90" s="33" t="inlineStr">
        <is>
          <t>Chef</t>
        </is>
      </c>
      <c r="H90" s="33" t="inlineStr">
        <is>
          <t>Safety veto; ППК/HACCP; маркировка и прослеживаемость</t>
        </is>
      </c>
      <c r="I90" s="33" t="inlineStr">
        <is>
          <t>EVD-0013;EVD-0014;EVD-FS-001;EVD-FS-003</t>
        </is>
      </c>
      <c r="J90" s="33" t="inlineStr">
        <is>
          <t>GAP-010;GAP-011</t>
        </is>
      </c>
      <c r="K90" s="33" t="inlineStr">
        <is>
          <t>Owner/Chef Gate</t>
        </is>
      </c>
      <c r="L90" s="39" t="n"/>
      <c r="M90" s="39" t="n"/>
      <c r="N90" s="33" t="inlineStr">
        <is>
          <t>2026-08-03</t>
        </is>
      </c>
    </row>
    <row r="91">
      <c r="A91" s="33" t="inlineStr">
        <is>
          <t>CQ-0086</t>
        </is>
      </c>
      <c r="B91" s="33" t="inlineStr">
        <is>
          <t>VKM-018</t>
        </is>
      </c>
      <c r="C91" s="33" t="inlineStr">
        <is>
          <t>Традиционный красный борщ</t>
        </is>
      </c>
      <c r="D91" s="33" t="inlineStr">
        <is>
          <t>RECIPE</t>
        </is>
      </c>
      <c r="E91" s="33" t="inlineStr">
        <is>
          <t>Подтвердить или скорректировать построчный состав и проектные нормы брутто/нетто.</t>
        </is>
      </c>
      <c r="F91" s="33" t="inlineStr">
        <is>
          <t>OPEN</t>
        </is>
      </c>
      <c r="G91" s="33" t="inlineStr">
        <is>
          <t>Chef</t>
        </is>
      </c>
      <c r="H91" s="33" t="inlineStr">
        <is>
          <t>Себестоимость; пищценность; аллергены; закупка</t>
        </is>
      </c>
      <c r="I91" s="33" t="inlineStr">
        <is>
          <t>EVD-0007</t>
        </is>
      </c>
      <c r="J91" s="33" t="inlineStr">
        <is>
          <t>GAP-004</t>
        </is>
      </c>
      <c r="K91" s="33" t="inlineStr">
        <is>
          <t>Owner/Chef Gate</t>
        </is>
      </c>
      <c r="L91" s="39" t="n"/>
      <c r="M91" s="39" t="n"/>
      <c r="N91" s="33" t="inlineStr">
        <is>
          <t>2026-08-03</t>
        </is>
      </c>
    </row>
    <row r="92">
      <c r="A92" s="33" t="inlineStr">
        <is>
          <t>CQ-0087</t>
        </is>
      </c>
      <c r="B92" s="33" t="inlineStr">
        <is>
          <t>VKM-018</t>
        </is>
      </c>
      <c r="C92" s="33" t="inlineStr">
        <is>
          <t>Традиционный красный борщ</t>
        </is>
      </c>
      <c r="D92" s="33" t="inlineStr">
        <is>
          <t>YIELD</t>
        </is>
      </c>
      <c r="E92" s="33" t="inlineStr">
        <is>
          <t>Подтвердить целевой выход и способ учёта подготовительных/тепловых потерь контрольным взвешиванием.</t>
        </is>
      </c>
      <c r="F92" s="33" t="inlineStr">
        <is>
          <t>OPEN</t>
        </is>
      </c>
      <c r="G92" s="33" t="inlineStr">
        <is>
          <t>Chef</t>
        </is>
      </c>
      <c r="H92" s="33" t="inlineStr">
        <is>
          <t>Mass balance; себестоимость; порционирование</t>
        </is>
      </c>
      <c r="I92" s="33" t="inlineStr">
        <is>
          <t>EVD-0005;EVD-0008</t>
        </is>
      </c>
      <c r="J92" s="33" t="inlineStr">
        <is>
          <t>GAP-002;GAP-005</t>
        </is>
      </c>
      <c r="K92" s="33" t="inlineStr">
        <is>
          <t>Owner/Chef Gate</t>
        </is>
      </c>
      <c r="L92" s="39" t="n"/>
      <c r="M92" s="39" t="n"/>
      <c r="N92" s="33" t="inlineStr">
        <is>
          <t>2026-08-03</t>
        </is>
      </c>
    </row>
    <row r="93">
      <c r="A93" s="33" t="inlineStr">
        <is>
          <t>CQ-0088</t>
        </is>
      </c>
      <c r="B93" s="33" t="inlineStr">
        <is>
          <t>VKM-018</t>
        </is>
      </c>
      <c r="C93" s="33" t="inlineStr">
        <is>
          <t>Традиционный красный борщ</t>
        </is>
      </c>
      <c r="D93" s="33" t="inlineStr">
        <is>
          <t>PROCESS</t>
        </is>
      </c>
      <c r="E93" s="33" t="inlineStr">
        <is>
          <t>Подтвердить последовательность операций, фактическое активное/полное время и проект подачи.</t>
        </is>
      </c>
      <c r="F93" s="33" t="inlineStr">
        <is>
          <t>OPEN</t>
        </is>
      </c>
      <c r="G93" s="33" t="inlineStr">
        <is>
          <t>Chef</t>
        </is>
      </c>
      <c r="H93" s="33" t="inlineStr">
        <is>
          <t>Техкарта; оборудование; мощность; сервис</t>
        </is>
      </c>
      <c r="I93" s="33" t="inlineStr">
        <is>
          <t>EVD-0010;EVD-0011</t>
        </is>
      </c>
      <c r="J93" s="33" t="inlineStr">
        <is>
          <t>GAP-007;GAP-008</t>
        </is>
      </c>
      <c r="K93" s="33" t="inlineStr">
        <is>
          <t>Owner/Chef Gate</t>
        </is>
      </c>
      <c r="L93" s="39" t="n"/>
      <c r="M93" s="39" t="n"/>
      <c r="N93" s="33" t="inlineStr">
        <is>
          <t>2026-08-03</t>
        </is>
      </c>
    </row>
    <row r="94">
      <c r="A94" s="33" t="inlineStr">
        <is>
          <t>CQ-0089</t>
        </is>
      </c>
      <c r="B94" s="33" t="inlineStr">
        <is>
          <t>VKM-018</t>
        </is>
      </c>
      <c r="C94" s="33" t="inlineStr">
        <is>
          <t>Традиционный красный борщ</t>
        </is>
      </c>
      <c r="D94" s="33" t="inlineStr">
        <is>
          <t>SEMI_FINISHED</t>
        </is>
      </c>
      <c r="E94" s="33" t="inlineStr">
        <is>
          <t>Подтвердить выделение, код и размер партии связанных полуфабрикатов; указать общие полуфабрикаты.</t>
        </is>
      </c>
      <c r="F94" s="33" t="inlineStr">
        <is>
          <t>OPEN</t>
        </is>
      </c>
      <c r="G94" s="33" t="inlineStr">
        <is>
          <t>Chef</t>
        </is>
      </c>
      <c r="H94" s="33" t="inlineStr">
        <is>
          <t>DAG; двойной учёт; себестоимость; планирование</t>
        </is>
      </c>
      <c r="I94" s="33" t="inlineStr">
        <is>
          <t>EVD-0009</t>
        </is>
      </c>
      <c r="J94" s="33" t="inlineStr">
        <is>
          <t>GAP-006</t>
        </is>
      </c>
      <c r="K94" s="33" t="inlineStr">
        <is>
          <t>Owner/Chef Gate</t>
        </is>
      </c>
      <c r="L94" s="39" t="n"/>
      <c r="M94" s="39" t="n"/>
      <c r="N94" s="33" t="inlineStr">
        <is>
          <t>2026-08-03</t>
        </is>
      </c>
    </row>
    <row r="95">
      <c r="A95" s="33" t="inlineStr">
        <is>
          <t>CQ-0090</t>
        </is>
      </c>
      <c r="B95" s="33" t="inlineStr">
        <is>
          <t>VKM-018</t>
        </is>
      </c>
      <c r="C95" s="33" t="inlineStr">
        <is>
          <t>Традиционный красный борщ</t>
        </is>
      </c>
      <c r="D95" s="33" t="inlineStr">
        <is>
          <t>PROCESS_FLOW_FOR_SAFETY</t>
        </is>
      </c>
      <c r="E95" s="33" t="inlineStr">
        <is>
          <t>Подтвердить фактический маршрут блюда по каналам: немедленная подача, хранение, охлаждение, разогрев и/или доставка; параметры не назначать без Food Safety re-review.</t>
        </is>
      </c>
      <c r="F95" s="33" t="inlineStr">
        <is>
          <t>OPEN</t>
        </is>
      </c>
      <c r="G95" s="33" t="inlineStr">
        <is>
          <t>Chef</t>
        </is>
      </c>
      <c r="H95" s="33" t="inlineStr">
        <is>
          <t>Safety veto; ППК/HACCP; маркировка и прослеживаемость</t>
        </is>
      </c>
      <c r="I95" s="33" t="inlineStr">
        <is>
          <t>EVD-0013;EVD-0014;EVD-FS-001;EVD-FS-003</t>
        </is>
      </c>
      <c r="J95" s="33" t="inlineStr">
        <is>
          <t>GAP-010;GAP-011</t>
        </is>
      </c>
      <c r="K95" s="33" t="inlineStr">
        <is>
          <t>Owner/Chef Gate</t>
        </is>
      </c>
      <c r="L95" s="39" t="n"/>
      <c r="M95" s="39" t="n"/>
      <c r="N95" s="33" t="inlineStr">
        <is>
          <t>2026-08-03</t>
        </is>
      </c>
    </row>
    <row r="96">
      <c r="A96" s="33" t="inlineStr">
        <is>
          <t>CQ-0091</t>
        </is>
      </c>
      <c r="B96" s="33" t="inlineStr">
        <is>
          <t>VKM-019</t>
        </is>
      </c>
      <c r="C96" s="33" t="inlineStr">
        <is>
          <t>Мурманская треска со сливочно-горчичным соусом</t>
        </is>
      </c>
      <c r="D96" s="33" t="inlineStr">
        <is>
          <t>RECIPE</t>
        </is>
      </c>
      <c r="E96" s="33" t="inlineStr">
        <is>
          <t>Подтвердить или скорректировать построчный состав и проектные нормы брутто/нетто.</t>
        </is>
      </c>
      <c r="F96" s="33" t="inlineStr">
        <is>
          <t>OPEN</t>
        </is>
      </c>
      <c r="G96" s="33" t="inlineStr">
        <is>
          <t>Chef</t>
        </is>
      </c>
      <c r="H96" s="33" t="inlineStr">
        <is>
          <t>Себестоимость; пищценность; аллергены; закупка</t>
        </is>
      </c>
      <c r="I96" s="33" t="inlineStr">
        <is>
          <t>EVD-0007</t>
        </is>
      </c>
      <c r="J96" s="33" t="inlineStr">
        <is>
          <t>GAP-004</t>
        </is>
      </c>
      <c r="K96" s="33" t="inlineStr">
        <is>
          <t>Owner/Chef Gate</t>
        </is>
      </c>
      <c r="L96" s="39" t="n"/>
      <c r="M96" s="39" t="n"/>
      <c r="N96" s="33" t="inlineStr">
        <is>
          <t>2026-08-03</t>
        </is>
      </c>
    </row>
    <row r="97">
      <c r="A97" s="33" t="inlineStr">
        <is>
          <t>CQ-0092</t>
        </is>
      </c>
      <c r="B97" s="33" t="inlineStr">
        <is>
          <t>VKM-019</t>
        </is>
      </c>
      <c r="C97" s="33" t="inlineStr">
        <is>
          <t>Мурманская треска со сливочно-горчичным соусом</t>
        </is>
      </c>
      <c r="D97" s="33" t="inlineStr">
        <is>
          <t>YIELD</t>
        </is>
      </c>
      <c r="E97" s="33" t="inlineStr">
        <is>
          <t>Подтвердить целевой выход и способ учёта подготовительных/тепловых потерь контрольным взвешиванием.</t>
        </is>
      </c>
      <c r="F97" s="33" t="inlineStr">
        <is>
          <t>OPEN</t>
        </is>
      </c>
      <c r="G97" s="33" t="inlineStr">
        <is>
          <t>Chef</t>
        </is>
      </c>
      <c r="H97" s="33" t="inlineStr">
        <is>
          <t>Mass balance; себестоимость; порционирование</t>
        </is>
      </c>
      <c r="I97" s="33" t="inlineStr">
        <is>
          <t>EVD-0005;EVD-0008</t>
        </is>
      </c>
      <c r="J97" s="33" t="inlineStr">
        <is>
          <t>GAP-002;GAP-005</t>
        </is>
      </c>
      <c r="K97" s="33" t="inlineStr">
        <is>
          <t>Owner/Chef Gate</t>
        </is>
      </c>
      <c r="L97" s="39" t="n"/>
      <c r="M97" s="39" t="n"/>
      <c r="N97" s="33" t="inlineStr">
        <is>
          <t>2026-08-03</t>
        </is>
      </c>
    </row>
    <row r="98">
      <c r="A98" s="33" t="inlineStr">
        <is>
          <t>CQ-0093</t>
        </is>
      </c>
      <c r="B98" s="33" t="inlineStr">
        <is>
          <t>VKM-019</t>
        </is>
      </c>
      <c r="C98" s="33" t="inlineStr">
        <is>
          <t>Мурманская треска со сливочно-горчичным соусом</t>
        </is>
      </c>
      <c r="D98" s="33" t="inlineStr">
        <is>
          <t>PROCESS</t>
        </is>
      </c>
      <c r="E98" s="33" t="inlineStr">
        <is>
          <t>Подтвердить последовательность операций, фактическое активное/полное время и проект подачи.</t>
        </is>
      </c>
      <c r="F98" s="33" t="inlineStr">
        <is>
          <t>OPEN</t>
        </is>
      </c>
      <c r="G98" s="33" t="inlineStr">
        <is>
          <t>Chef</t>
        </is>
      </c>
      <c r="H98" s="33" t="inlineStr">
        <is>
          <t>Техкарта; оборудование; мощность; сервис</t>
        </is>
      </c>
      <c r="I98" s="33" t="inlineStr">
        <is>
          <t>EVD-0010;EVD-0011</t>
        </is>
      </c>
      <c r="J98" s="33" t="inlineStr">
        <is>
          <t>GAP-007;GAP-008</t>
        </is>
      </c>
      <c r="K98" s="33" t="inlineStr">
        <is>
          <t>Owner/Chef Gate</t>
        </is>
      </c>
      <c r="L98" s="39" t="n"/>
      <c r="M98" s="39" t="n"/>
      <c r="N98" s="33" t="inlineStr">
        <is>
          <t>2026-08-03</t>
        </is>
      </c>
    </row>
    <row r="99">
      <c r="A99" s="33" t="inlineStr">
        <is>
          <t>CQ-0094</t>
        </is>
      </c>
      <c r="B99" s="33" t="inlineStr">
        <is>
          <t>VKM-019</t>
        </is>
      </c>
      <c r="C99" s="33" t="inlineStr">
        <is>
          <t>Мурманская треска со сливочно-горчичным соусом</t>
        </is>
      </c>
      <c r="D99" s="33" t="inlineStr">
        <is>
          <t>SEMI_FINISHED</t>
        </is>
      </c>
      <c r="E99" s="33" t="inlineStr">
        <is>
          <t>Подтвердить выделение, код и размер партии связанных полуфабрикатов; указать общие полуфабрикаты.</t>
        </is>
      </c>
      <c r="F99" s="33" t="inlineStr">
        <is>
          <t>OPEN</t>
        </is>
      </c>
      <c r="G99" s="33" t="inlineStr">
        <is>
          <t>Chef</t>
        </is>
      </c>
      <c r="H99" s="33" t="inlineStr">
        <is>
          <t>DAG; двойной учёт; себестоимость; планирование</t>
        </is>
      </c>
      <c r="I99" s="33" t="inlineStr">
        <is>
          <t>EVD-0009</t>
        </is>
      </c>
      <c r="J99" s="33" t="inlineStr">
        <is>
          <t>GAP-006</t>
        </is>
      </c>
      <c r="K99" s="33" t="inlineStr">
        <is>
          <t>Owner/Chef Gate</t>
        </is>
      </c>
      <c r="L99" s="39" t="n"/>
      <c r="M99" s="39" t="n"/>
      <c r="N99" s="33" t="inlineStr">
        <is>
          <t>2026-08-03</t>
        </is>
      </c>
    </row>
    <row r="100">
      <c r="A100" s="33" t="inlineStr">
        <is>
          <t>CQ-0095</t>
        </is>
      </c>
      <c r="B100" s="33" t="inlineStr">
        <is>
          <t>VKM-019</t>
        </is>
      </c>
      <c r="C100" s="33" t="inlineStr">
        <is>
          <t>Мурманская треска со сливочно-горчичным соусом</t>
        </is>
      </c>
      <c r="D100" s="33" t="inlineStr">
        <is>
          <t>PROCESS_FLOW_FOR_SAFETY</t>
        </is>
      </c>
      <c r="E100" s="33" t="inlineStr">
        <is>
          <t>Подтвердить фактический маршрут блюда по каналам: немедленная подача, хранение, охлаждение, разогрев и/или доставка; параметры не назначать без Food Safety re-review.</t>
        </is>
      </c>
      <c r="F100" s="33" t="inlineStr">
        <is>
          <t>OPEN</t>
        </is>
      </c>
      <c r="G100" s="33" t="inlineStr">
        <is>
          <t>Chef</t>
        </is>
      </c>
      <c r="H100" s="33" t="inlineStr">
        <is>
          <t>Safety veto; ППК/HACCP; маркировка и прослеживаемость</t>
        </is>
      </c>
      <c r="I100" s="33" t="inlineStr">
        <is>
          <t>EVD-0013;EVD-0014;EVD-FS-001;EVD-FS-003</t>
        </is>
      </c>
      <c r="J100" s="33" t="inlineStr">
        <is>
          <t>GAP-010;GAP-011</t>
        </is>
      </c>
      <c r="K100" s="33" t="inlineStr">
        <is>
          <t>Owner/Chef Gate</t>
        </is>
      </c>
      <c r="L100" s="39" t="n"/>
      <c r="M100" s="39" t="n"/>
      <c r="N100" s="33" t="inlineStr">
        <is>
          <t>2026-08-03</t>
        </is>
      </c>
    </row>
    <row r="101">
      <c r="A101" s="33" t="inlineStr">
        <is>
          <t>CQ-0096</t>
        </is>
      </c>
      <c r="B101" s="33" t="inlineStr">
        <is>
          <t>VKM-020</t>
        </is>
      </c>
      <c r="C101" s="33" t="inlineStr">
        <is>
          <t>Креветки по-тайски</t>
        </is>
      </c>
      <c r="D101" s="33" t="inlineStr">
        <is>
          <t>RECIPE</t>
        </is>
      </c>
      <c r="E101" s="33" t="inlineStr">
        <is>
          <t>Подтвердить или скорректировать построчный состав и проектные нормы брутто/нетто.</t>
        </is>
      </c>
      <c r="F101" s="33" t="inlineStr">
        <is>
          <t>OPEN</t>
        </is>
      </c>
      <c r="G101" s="33" t="inlineStr">
        <is>
          <t>Chef</t>
        </is>
      </c>
      <c r="H101" s="33" t="inlineStr">
        <is>
          <t>Себестоимость; пищценность; аллергены; закупка</t>
        </is>
      </c>
      <c r="I101" s="33" t="inlineStr">
        <is>
          <t>EVD-0007</t>
        </is>
      </c>
      <c r="J101" s="33" t="inlineStr">
        <is>
          <t>GAP-004</t>
        </is>
      </c>
      <c r="K101" s="33" t="inlineStr">
        <is>
          <t>Owner/Chef Gate</t>
        </is>
      </c>
      <c r="L101" s="39" t="n"/>
      <c r="M101" s="39" t="n"/>
      <c r="N101" s="33" t="inlineStr">
        <is>
          <t>2026-08-03</t>
        </is>
      </c>
    </row>
    <row r="102">
      <c r="A102" s="33" t="inlineStr">
        <is>
          <t>CQ-0097</t>
        </is>
      </c>
      <c r="B102" s="33" t="inlineStr">
        <is>
          <t>VKM-020</t>
        </is>
      </c>
      <c r="C102" s="33" t="inlineStr">
        <is>
          <t>Креветки по-тайски</t>
        </is>
      </c>
      <c r="D102" s="33" t="inlineStr">
        <is>
          <t>YIELD</t>
        </is>
      </c>
      <c r="E102" s="33" t="inlineStr">
        <is>
          <t>Подтвердить целевой выход и способ учёта подготовительных/тепловых потерь контрольным взвешиванием.</t>
        </is>
      </c>
      <c r="F102" s="33" t="inlineStr">
        <is>
          <t>OPEN</t>
        </is>
      </c>
      <c r="G102" s="33" t="inlineStr">
        <is>
          <t>Chef</t>
        </is>
      </c>
      <c r="H102" s="33" t="inlineStr">
        <is>
          <t>Mass balance; себестоимость; порционирование</t>
        </is>
      </c>
      <c r="I102" s="33" t="inlineStr">
        <is>
          <t>EVD-0005;EVD-0008</t>
        </is>
      </c>
      <c r="J102" s="33" t="inlineStr">
        <is>
          <t>GAP-002;GAP-005</t>
        </is>
      </c>
      <c r="K102" s="33" t="inlineStr">
        <is>
          <t>Owner/Chef Gate</t>
        </is>
      </c>
      <c r="L102" s="39" t="n"/>
      <c r="M102" s="39" t="n"/>
      <c r="N102" s="33" t="inlineStr">
        <is>
          <t>2026-08-03</t>
        </is>
      </c>
    </row>
    <row r="103">
      <c r="A103" s="33" t="inlineStr">
        <is>
          <t>CQ-0098</t>
        </is>
      </c>
      <c r="B103" s="33" t="inlineStr">
        <is>
          <t>VKM-020</t>
        </is>
      </c>
      <c r="C103" s="33" t="inlineStr">
        <is>
          <t>Креветки по-тайски</t>
        </is>
      </c>
      <c r="D103" s="33" t="inlineStr">
        <is>
          <t>PROCESS</t>
        </is>
      </c>
      <c r="E103" s="33" t="inlineStr">
        <is>
          <t>Подтвердить последовательность операций, фактическое активное/полное время и проект подачи.</t>
        </is>
      </c>
      <c r="F103" s="33" t="inlineStr">
        <is>
          <t>OPEN</t>
        </is>
      </c>
      <c r="G103" s="33" t="inlineStr">
        <is>
          <t>Chef</t>
        </is>
      </c>
      <c r="H103" s="33" t="inlineStr">
        <is>
          <t>Техкарта; оборудование; мощность; сервис</t>
        </is>
      </c>
      <c r="I103" s="33" t="inlineStr">
        <is>
          <t>EVD-0010;EVD-0011</t>
        </is>
      </c>
      <c r="J103" s="33" t="inlineStr">
        <is>
          <t>GAP-007;GAP-008</t>
        </is>
      </c>
      <c r="K103" s="33" t="inlineStr">
        <is>
          <t>Owner/Chef Gate</t>
        </is>
      </c>
      <c r="L103" s="39" t="n"/>
      <c r="M103" s="39" t="n"/>
      <c r="N103" s="33" t="inlineStr">
        <is>
          <t>2026-08-03</t>
        </is>
      </c>
    </row>
    <row r="104">
      <c r="A104" s="33" t="inlineStr">
        <is>
          <t>CQ-0099</t>
        </is>
      </c>
      <c r="B104" s="33" t="inlineStr">
        <is>
          <t>VKM-020</t>
        </is>
      </c>
      <c r="C104" s="33" t="inlineStr">
        <is>
          <t>Креветки по-тайски</t>
        </is>
      </c>
      <c r="D104" s="33" t="inlineStr">
        <is>
          <t>SEMI_FINISHED</t>
        </is>
      </c>
      <c r="E104" s="33" t="inlineStr">
        <is>
          <t>Подтвердить выделение, код и размер партии связанных полуфабрикатов; указать общие полуфабрикаты.</t>
        </is>
      </c>
      <c r="F104" s="33" t="inlineStr">
        <is>
          <t>OPEN</t>
        </is>
      </c>
      <c r="G104" s="33" t="inlineStr">
        <is>
          <t>Chef</t>
        </is>
      </c>
      <c r="H104" s="33" t="inlineStr">
        <is>
          <t>DAG; двойной учёт; себестоимость; планирование</t>
        </is>
      </c>
      <c r="I104" s="33" t="inlineStr">
        <is>
          <t>EVD-0009</t>
        </is>
      </c>
      <c r="J104" s="33" t="inlineStr">
        <is>
          <t>GAP-006</t>
        </is>
      </c>
      <c r="K104" s="33" t="inlineStr">
        <is>
          <t>Owner/Chef Gate</t>
        </is>
      </c>
      <c r="L104" s="39" t="n"/>
      <c r="M104" s="39" t="n"/>
      <c r="N104" s="33" t="inlineStr">
        <is>
          <t>2026-08-03</t>
        </is>
      </c>
    </row>
    <row r="105">
      <c r="A105" s="33" t="inlineStr">
        <is>
          <t>CQ-0100</t>
        </is>
      </c>
      <c r="B105" s="33" t="inlineStr">
        <is>
          <t>VKM-020</t>
        </is>
      </c>
      <c r="C105" s="33" t="inlineStr">
        <is>
          <t>Креветки по-тайски</t>
        </is>
      </c>
      <c r="D105" s="33" t="inlineStr">
        <is>
          <t>PROCESS_FLOW_FOR_SAFETY</t>
        </is>
      </c>
      <c r="E105" s="33" t="inlineStr">
        <is>
          <t>Подтвердить фактический маршрут блюда по каналам: немедленная подача, хранение, охлаждение, разогрев и/или доставка; параметры не назначать без Food Safety re-review.</t>
        </is>
      </c>
      <c r="F105" s="33" t="inlineStr">
        <is>
          <t>OPEN</t>
        </is>
      </c>
      <c r="G105" s="33" t="inlineStr">
        <is>
          <t>Chef</t>
        </is>
      </c>
      <c r="H105" s="33" t="inlineStr">
        <is>
          <t>Safety veto; ППК/HACCP; маркировка и прослеживаемость</t>
        </is>
      </c>
      <c r="I105" s="33" t="inlineStr">
        <is>
          <t>EVD-0013;EVD-0014;EVD-FS-001;EVD-FS-003</t>
        </is>
      </c>
      <c r="J105" s="33" t="inlineStr">
        <is>
          <t>GAP-010;GAP-011</t>
        </is>
      </c>
      <c r="K105" s="33" t="inlineStr">
        <is>
          <t>Owner/Chef Gate</t>
        </is>
      </c>
      <c r="L105" s="39" t="n"/>
      <c r="M105" s="39" t="n"/>
      <c r="N105" s="33" t="inlineStr">
        <is>
          <t>2026-08-03</t>
        </is>
      </c>
    </row>
    <row r="106">
      <c r="A106" s="33" t="inlineStr">
        <is>
          <t>CQ-0101</t>
        </is>
      </c>
      <c r="B106" s="33" t="inlineStr">
        <is>
          <t>VKM-021</t>
        </is>
      </c>
      <c r="C106" s="33" t="inlineStr">
        <is>
          <t>Бургер VARSHAVKA</t>
        </is>
      </c>
      <c r="D106" s="33" t="inlineStr">
        <is>
          <t>RECIPE</t>
        </is>
      </c>
      <c r="E106" s="33" t="inlineStr">
        <is>
          <t>Подтвердить или скорректировать построчный состав и проектные нормы брутто/нетто.</t>
        </is>
      </c>
      <c r="F106" s="33" t="inlineStr">
        <is>
          <t>OPEN</t>
        </is>
      </c>
      <c r="G106" s="33" t="inlineStr">
        <is>
          <t>Chef</t>
        </is>
      </c>
      <c r="H106" s="33" t="inlineStr">
        <is>
          <t>Себестоимость; пищценность; аллергены; закупка</t>
        </is>
      </c>
      <c r="I106" s="33" t="inlineStr">
        <is>
          <t>EVD-0007</t>
        </is>
      </c>
      <c r="J106" s="33" t="inlineStr">
        <is>
          <t>GAP-004</t>
        </is>
      </c>
      <c r="K106" s="33" t="inlineStr">
        <is>
          <t>Owner/Chef Gate</t>
        </is>
      </c>
      <c r="L106" s="39" t="n"/>
      <c r="M106" s="39" t="n"/>
      <c r="N106" s="33" t="inlineStr">
        <is>
          <t>2026-08-03</t>
        </is>
      </c>
    </row>
    <row r="107">
      <c r="A107" s="33" t="inlineStr">
        <is>
          <t>CQ-0102</t>
        </is>
      </c>
      <c r="B107" s="33" t="inlineStr">
        <is>
          <t>VKM-021</t>
        </is>
      </c>
      <c r="C107" s="33" t="inlineStr">
        <is>
          <t>Бургер VARSHAVKA</t>
        </is>
      </c>
      <c r="D107" s="33" t="inlineStr">
        <is>
          <t>YIELD</t>
        </is>
      </c>
      <c r="E107" s="33" t="inlineStr">
        <is>
          <t>Подтвердить целевой выход и способ учёта подготовительных/тепловых потерь контрольным взвешиванием.</t>
        </is>
      </c>
      <c r="F107" s="33" t="inlineStr">
        <is>
          <t>OPEN</t>
        </is>
      </c>
      <c r="G107" s="33" t="inlineStr">
        <is>
          <t>Chef</t>
        </is>
      </c>
      <c r="H107" s="33" t="inlineStr">
        <is>
          <t>Mass balance; себестоимость; порционирование</t>
        </is>
      </c>
      <c r="I107" s="33" t="inlineStr">
        <is>
          <t>EVD-0005;EVD-0008</t>
        </is>
      </c>
      <c r="J107" s="33" t="inlineStr">
        <is>
          <t>GAP-002;GAP-005</t>
        </is>
      </c>
      <c r="K107" s="33" t="inlineStr">
        <is>
          <t>Owner/Chef Gate</t>
        </is>
      </c>
      <c r="L107" s="39" t="n"/>
      <c r="M107" s="39" t="n"/>
      <c r="N107" s="33" t="inlineStr">
        <is>
          <t>2026-08-03</t>
        </is>
      </c>
    </row>
    <row r="108">
      <c r="A108" s="33" t="inlineStr">
        <is>
          <t>CQ-0103</t>
        </is>
      </c>
      <c r="B108" s="33" t="inlineStr">
        <is>
          <t>VKM-021</t>
        </is>
      </c>
      <c r="C108" s="33" t="inlineStr">
        <is>
          <t>Бургер VARSHAVKA</t>
        </is>
      </c>
      <c r="D108" s="33" t="inlineStr">
        <is>
          <t>PROCESS</t>
        </is>
      </c>
      <c r="E108" s="33" t="inlineStr">
        <is>
          <t>Подтвердить последовательность операций, фактическое активное/полное время и проект подачи.</t>
        </is>
      </c>
      <c r="F108" s="33" t="inlineStr">
        <is>
          <t>OPEN</t>
        </is>
      </c>
      <c r="G108" s="33" t="inlineStr">
        <is>
          <t>Chef</t>
        </is>
      </c>
      <c r="H108" s="33" t="inlineStr">
        <is>
          <t>Техкарта; оборудование; мощность; сервис</t>
        </is>
      </c>
      <c r="I108" s="33" t="inlineStr">
        <is>
          <t>EVD-0010;EVD-0011</t>
        </is>
      </c>
      <c r="J108" s="33" t="inlineStr">
        <is>
          <t>GAP-007;GAP-008</t>
        </is>
      </c>
      <c r="K108" s="33" t="inlineStr">
        <is>
          <t>Owner/Chef Gate</t>
        </is>
      </c>
      <c r="L108" s="39" t="n"/>
      <c r="M108" s="39" t="n"/>
      <c r="N108" s="33" t="inlineStr">
        <is>
          <t>2026-08-03</t>
        </is>
      </c>
    </row>
    <row r="109">
      <c r="A109" s="33" t="inlineStr">
        <is>
          <t>CQ-0104</t>
        </is>
      </c>
      <c r="B109" s="33" t="inlineStr">
        <is>
          <t>VKM-021</t>
        </is>
      </c>
      <c r="C109" s="33" t="inlineStr">
        <is>
          <t>Бургер VARSHAVKA</t>
        </is>
      </c>
      <c r="D109" s="33" t="inlineStr">
        <is>
          <t>SEMI_FINISHED</t>
        </is>
      </c>
      <c r="E109" s="33" t="inlineStr">
        <is>
          <t>Подтвердить выделение, код и размер партии связанных полуфабрикатов; указать общие полуфабрикаты.</t>
        </is>
      </c>
      <c r="F109" s="33" t="inlineStr">
        <is>
          <t>OPEN</t>
        </is>
      </c>
      <c r="G109" s="33" t="inlineStr">
        <is>
          <t>Chef</t>
        </is>
      </c>
      <c r="H109" s="33" t="inlineStr">
        <is>
          <t>DAG; двойной учёт; себестоимость; планирование</t>
        </is>
      </c>
      <c r="I109" s="33" t="inlineStr">
        <is>
          <t>EVD-0009</t>
        </is>
      </c>
      <c r="J109" s="33" t="inlineStr">
        <is>
          <t>GAP-006</t>
        </is>
      </c>
      <c r="K109" s="33" t="inlineStr">
        <is>
          <t>Owner/Chef Gate</t>
        </is>
      </c>
      <c r="L109" s="39" t="n"/>
      <c r="M109" s="39" t="n"/>
      <c r="N109" s="33" t="inlineStr">
        <is>
          <t>2026-08-03</t>
        </is>
      </c>
    </row>
    <row r="110">
      <c r="A110" s="33" t="inlineStr">
        <is>
          <t>CQ-0105</t>
        </is>
      </c>
      <c r="B110" s="33" t="inlineStr">
        <is>
          <t>VKM-021</t>
        </is>
      </c>
      <c r="C110" s="33" t="inlineStr">
        <is>
          <t>Бургер VARSHAVKA</t>
        </is>
      </c>
      <c r="D110" s="33" t="inlineStr">
        <is>
          <t>PROCESS_FLOW_FOR_SAFETY</t>
        </is>
      </c>
      <c r="E110" s="33" t="inlineStr">
        <is>
          <t>Подтвердить фактический маршрут блюда по каналам: немедленная подача, хранение, охлаждение, разогрев и/или доставка; параметры не назначать без Food Safety re-review.</t>
        </is>
      </c>
      <c r="F110" s="33" t="inlineStr">
        <is>
          <t>OPEN</t>
        </is>
      </c>
      <c r="G110" s="33" t="inlineStr">
        <is>
          <t>Chef</t>
        </is>
      </c>
      <c r="H110" s="33" t="inlineStr">
        <is>
          <t>Safety veto; ППК/HACCP; маркировка и прослеживаемость</t>
        </is>
      </c>
      <c r="I110" s="33" t="inlineStr">
        <is>
          <t>EVD-0013;EVD-0014;EVD-FS-001;EVD-FS-003</t>
        </is>
      </c>
      <c r="J110" s="33" t="inlineStr">
        <is>
          <t>GAP-010;GAP-011</t>
        </is>
      </c>
      <c r="K110" s="33" t="inlineStr">
        <is>
          <t>Owner/Chef Gate</t>
        </is>
      </c>
      <c r="L110" s="39" t="n"/>
      <c r="M110" s="39" t="n"/>
      <c r="N110" s="33" t="inlineStr">
        <is>
          <t>2026-08-03</t>
        </is>
      </c>
    </row>
    <row r="111">
      <c r="A111" s="33" t="inlineStr">
        <is>
          <t>CQ-0106</t>
        </is>
      </c>
      <c r="B111" s="33" t="inlineStr">
        <is>
          <t>VKM-021</t>
        </is>
      </c>
      <c r="C111" s="33" t="inlineStr">
        <is>
          <t>Бургер VARSHAVKA</t>
        </is>
      </c>
      <c r="D111" s="33" t="inlineStr">
        <is>
          <t>DEPENDENCY</t>
        </is>
      </c>
      <c r="E111" s="33" t="inlineStr">
        <is>
          <t>Подтвердить, используется ли VKM-008 как готовая бриошь или отдельная спецификация бриоши для бургера.</t>
        </is>
      </c>
      <c r="F111" s="33" t="inlineStr">
        <is>
          <t>OPEN</t>
        </is>
      </c>
      <c r="G111" s="33" t="inlineStr">
        <is>
          <t>Chef</t>
        </is>
      </c>
      <c r="H111" s="33" t="inlineStr">
        <is>
          <t>Связи VKM/VSF; себестоимость; выпуск</t>
        </is>
      </c>
      <c r="I111" s="33" t="inlineStr">
        <is>
          <t>EVD-0009</t>
        </is>
      </c>
      <c r="J111" s="33" t="inlineStr">
        <is>
          <t>GAP-006</t>
        </is>
      </c>
      <c r="K111" s="33" t="inlineStr">
        <is>
          <t>Owner/Chef Gate</t>
        </is>
      </c>
      <c r="L111" s="39" t="n"/>
      <c r="M111" s="39" t="n"/>
      <c r="N111" s="33" t="inlineStr">
        <is>
          <t>2026-08-03</t>
        </is>
      </c>
    </row>
    <row r="112">
      <c r="A112" s="33" t="inlineStr">
        <is>
          <t>CQ-0107</t>
        </is>
      </c>
      <c r="B112" s="33" t="inlineStr">
        <is>
          <t>VKM-022</t>
        </is>
      </c>
      <c r="C112" s="33" t="inlineStr">
        <is>
          <t>Миньоны из говяжьей вырезки</t>
        </is>
      </c>
      <c r="D112" s="33" t="inlineStr">
        <is>
          <t>RECIPE</t>
        </is>
      </c>
      <c r="E112" s="33" t="inlineStr">
        <is>
          <t>Подтвердить или скорректировать построчный состав и проектные нормы брутто/нетто.</t>
        </is>
      </c>
      <c r="F112" s="33" t="inlineStr">
        <is>
          <t>OPEN</t>
        </is>
      </c>
      <c r="G112" s="33" t="inlineStr">
        <is>
          <t>Chef</t>
        </is>
      </c>
      <c r="H112" s="33" t="inlineStr">
        <is>
          <t>Себестоимость; пищценность; аллергены; закупка</t>
        </is>
      </c>
      <c r="I112" s="33" t="inlineStr">
        <is>
          <t>EVD-0007</t>
        </is>
      </c>
      <c r="J112" s="33" t="inlineStr">
        <is>
          <t>GAP-004</t>
        </is>
      </c>
      <c r="K112" s="33" t="inlineStr">
        <is>
          <t>Owner/Chef Gate</t>
        </is>
      </c>
      <c r="L112" s="39" t="n"/>
      <c r="M112" s="39" t="n"/>
      <c r="N112" s="33" t="inlineStr">
        <is>
          <t>2026-08-03</t>
        </is>
      </c>
    </row>
    <row r="113">
      <c r="A113" s="33" t="inlineStr">
        <is>
          <t>CQ-0108</t>
        </is>
      </c>
      <c r="B113" s="33" t="inlineStr">
        <is>
          <t>VKM-022</t>
        </is>
      </c>
      <c r="C113" s="33" t="inlineStr">
        <is>
          <t>Миньоны из говяжьей вырезки</t>
        </is>
      </c>
      <c r="D113" s="33" t="inlineStr">
        <is>
          <t>YIELD</t>
        </is>
      </c>
      <c r="E113" s="33" t="inlineStr">
        <is>
          <t>Подтвердить целевой выход и способ учёта подготовительных/тепловых потерь контрольным взвешиванием.</t>
        </is>
      </c>
      <c r="F113" s="33" t="inlineStr">
        <is>
          <t>OPEN</t>
        </is>
      </c>
      <c r="G113" s="33" t="inlineStr">
        <is>
          <t>Chef</t>
        </is>
      </c>
      <c r="H113" s="33" t="inlineStr">
        <is>
          <t>Mass balance; себестоимость; порционирование</t>
        </is>
      </c>
      <c r="I113" s="33" t="inlineStr">
        <is>
          <t>EVD-0005;EVD-0008</t>
        </is>
      </c>
      <c r="J113" s="33" t="inlineStr">
        <is>
          <t>GAP-002;GAP-005</t>
        </is>
      </c>
      <c r="K113" s="33" t="inlineStr">
        <is>
          <t>Owner/Chef Gate</t>
        </is>
      </c>
      <c r="L113" s="39" t="n"/>
      <c r="M113" s="39" t="n"/>
      <c r="N113" s="33" t="inlineStr">
        <is>
          <t>2026-08-03</t>
        </is>
      </c>
    </row>
    <row r="114">
      <c r="A114" s="33" t="inlineStr">
        <is>
          <t>CQ-0109</t>
        </is>
      </c>
      <c r="B114" s="33" t="inlineStr">
        <is>
          <t>VKM-022</t>
        </is>
      </c>
      <c r="C114" s="33" t="inlineStr">
        <is>
          <t>Миньоны из говяжьей вырезки</t>
        </is>
      </c>
      <c r="D114" s="33" t="inlineStr">
        <is>
          <t>PROCESS</t>
        </is>
      </c>
      <c r="E114" s="33" t="inlineStr">
        <is>
          <t>Подтвердить последовательность операций, фактическое активное/полное время и проект подачи.</t>
        </is>
      </c>
      <c r="F114" s="33" t="inlineStr">
        <is>
          <t>OPEN</t>
        </is>
      </c>
      <c r="G114" s="33" t="inlineStr">
        <is>
          <t>Chef</t>
        </is>
      </c>
      <c r="H114" s="33" t="inlineStr">
        <is>
          <t>Техкарта; оборудование; мощность; сервис</t>
        </is>
      </c>
      <c r="I114" s="33" t="inlineStr">
        <is>
          <t>EVD-0010;EVD-0011</t>
        </is>
      </c>
      <c r="J114" s="33" t="inlineStr">
        <is>
          <t>GAP-007;GAP-008</t>
        </is>
      </c>
      <c r="K114" s="33" t="inlineStr">
        <is>
          <t>Owner/Chef Gate</t>
        </is>
      </c>
      <c r="L114" s="39" t="n"/>
      <c r="M114" s="39" t="n"/>
      <c r="N114" s="33" t="inlineStr">
        <is>
          <t>2026-08-03</t>
        </is>
      </c>
    </row>
    <row r="115">
      <c r="A115" s="33" t="inlineStr">
        <is>
          <t>CQ-0110</t>
        </is>
      </c>
      <c r="B115" s="33" t="inlineStr">
        <is>
          <t>VKM-022</t>
        </is>
      </c>
      <c r="C115" s="33" t="inlineStr">
        <is>
          <t>Миньоны из говяжьей вырезки</t>
        </is>
      </c>
      <c r="D115" s="33" t="inlineStr">
        <is>
          <t>SEMI_FINISHED</t>
        </is>
      </c>
      <c r="E115" s="33" t="inlineStr">
        <is>
          <t>Подтвердить выделение, код и размер партии связанных полуфабрикатов; указать общие полуфабрикаты.</t>
        </is>
      </c>
      <c r="F115" s="33" t="inlineStr">
        <is>
          <t>OPEN</t>
        </is>
      </c>
      <c r="G115" s="33" t="inlineStr">
        <is>
          <t>Chef</t>
        </is>
      </c>
      <c r="H115" s="33" t="inlineStr">
        <is>
          <t>DAG; двойной учёт; себестоимость; планирование</t>
        </is>
      </c>
      <c r="I115" s="33" t="inlineStr">
        <is>
          <t>EVD-0009</t>
        </is>
      </c>
      <c r="J115" s="33" t="inlineStr">
        <is>
          <t>GAP-006</t>
        </is>
      </c>
      <c r="K115" s="33" t="inlineStr">
        <is>
          <t>Owner/Chef Gate</t>
        </is>
      </c>
      <c r="L115" s="39" t="n"/>
      <c r="M115" s="39" t="n"/>
      <c r="N115" s="33" t="inlineStr">
        <is>
          <t>2026-08-03</t>
        </is>
      </c>
    </row>
    <row r="116">
      <c r="A116" s="33" t="inlineStr">
        <is>
          <t>CQ-0111</t>
        </is>
      </c>
      <c r="B116" s="33" t="inlineStr">
        <is>
          <t>VKM-022</t>
        </is>
      </c>
      <c r="C116" s="33" t="inlineStr">
        <is>
          <t>Миньоны из говяжьей вырезки</t>
        </is>
      </c>
      <c r="D116" s="33" t="inlineStr">
        <is>
          <t>PROCESS_FLOW_FOR_SAFETY</t>
        </is>
      </c>
      <c r="E116" s="33" t="inlineStr">
        <is>
          <t>Подтвердить фактический маршрут блюда по каналам: немедленная подача, хранение, охлаждение, разогрев и/или доставка; параметры не назначать без Food Safety re-review.</t>
        </is>
      </c>
      <c r="F116" s="33" t="inlineStr">
        <is>
          <t>OPEN</t>
        </is>
      </c>
      <c r="G116" s="33" t="inlineStr">
        <is>
          <t>Chef</t>
        </is>
      </c>
      <c r="H116" s="33" t="inlineStr">
        <is>
          <t>Safety veto; ППК/HACCP; маркировка и прослеживаемость</t>
        </is>
      </c>
      <c r="I116" s="33" t="inlineStr">
        <is>
          <t>EVD-0013;EVD-0014;EVD-FS-001;EVD-FS-003</t>
        </is>
      </c>
      <c r="J116" s="33" t="inlineStr">
        <is>
          <t>GAP-010;GAP-011</t>
        </is>
      </c>
      <c r="K116" s="33" t="inlineStr">
        <is>
          <t>Owner/Chef Gate</t>
        </is>
      </c>
      <c r="L116" s="39" t="n"/>
      <c r="M116" s="39" t="n"/>
      <c r="N116" s="33" t="inlineStr">
        <is>
          <t>2026-08-03</t>
        </is>
      </c>
    </row>
    <row r="117">
      <c r="A117" s="33" t="inlineStr">
        <is>
          <t>CQ-0112</t>
        </is>
      </c>
      <c r="B117" s="33" t="inlineStr">
        <is>
          <t>VKM-023</t>
        </is>
      </c>
      <c r="C117" s="33" t="inlineStr">
        <is>
          <t>Запечённый картофель</t>
        </is>
      </c>
      <c r="D117" s="33" t="inlineStr">
        <is>
          <t>RECIPE</t>
        </is>
      </c>
      <c r="E117" s="33" t="inlineStr">
        <is>
          <t>Подтвердить или скорректировать построчный состав и проектные нормы брутто/нетто.</t>
        </is>
      </c>
      <c r="F117" s="33" t="inlineStr">
        <is>
          <t>OPEN</t>
        </is>
      </c>
      <c r="G117" s="33" t="inlineStr">
        <is>
          <t>Chef</t>
        </is>
      </c>
      <c r="H117" s="33" t="inlineStr">
        <is>
          <t>Себестоимость; пищценность; аллергены; закупка</t>
        </is>
      </c>
      <c r="I117" s="33" t="inlineStr">
        <is>
          <t>EVD-0007</t>
        </is>
      </c>
      <c r="J117" s="33" t="inlineStr">
        <is>
          <t>GAP-004</t>
        </is>
      </c>
      <c r="K117" s="33" t="inlineStr">
        <is>
          <t>Owner/Chef Gate</t>
        </is>
      </c>
      <c r="L117" s="39" t="n"/>
      <c r="M117" s="39" t="n"/>
      <c r="N117" s="33" t="inlineStr">
        <is>
          <t>2026-08-03</t>
        </is>
      </c>
    </row>
    <row r="118">
      <c r="A118" s="33" t="inlineStr">
        <is>
          <t>CQ-0113</t>
        </is>
      </c>
      <c r="B118" s="33" t="inlineStr">
        <is>
          <t>VKM-023</t>
        </is>
      </c>
      <c r="C118" s="33" t="inlineStr">
        <is>
          <t>Запечённый картофель</t>
        </is>
      </c>
      <c r="D118" s="33" t="inlineStr">
        <is>
          <t>YIELD</t>
        </is>
      </c>
      <c r="E118" s="33" t="inlineStr">
        <is>
          <t>Подтвердить целевой выход и способ учёта подготовительных/тепловых потерь контрольным взвешиванием.</t>
        </is>
      </c>
      <c r="F118" s="33" t="inlineStr">
        <is>
          <t>OPEN</t>
        </is>
      </c>
      <c r="G118" s="33" t="inlineStr">
        <is>
          <t>Chef</t>
        </is>
      </c>
      <c r="H118" s="33" t="inlineStr">
        <is>
          <t>Mass balance; себестоимость; порционирование</t>
        </is>
      </c>
      <c r="I118" s="33" t="inlineStr">
        <is>
          <t>EVD-0005;EVD-0008</t>
        </is>
      </c>
      <c r="J118" s="33" t="inlineStr">
        <is>
          <t>GAP-002;GAP-005</t>
        </is>
      </c>
      <c r="K118" s="33" t="inlineStr">
        <is>
          <t>Owner/Chef Gate</t>
        </is>
      </c>
      <c r="L118" s="39" t="n"/>
      <c r="M118" s="39" t="n"/>
      <c r="N118" s="33" t="inlineStr">
        <is>
          <t>2026-08-03</t>
        </is>
      </c>
    </row>
    <row r="119">
      <c r="A119" s="33" t="inlineStr">
        <is>
          <t>CQ-0114</t>
        </is>
      </c>
      <c r="B119" s="33" t="inlineStr">
        <is>
          <t>VKM-023</t>
        </is>
      </c>
      <c r="C119" s="33" t="inlineStr">
        <is>
          <t>Запечённый картофель</t>
        </is>
      </c>
      <c r="D119" s="33" t="inlineStr">
        <is>
          <t>PROCESS</t>
        </is>
      </c>
      <c r="E119" s="33" t="inlineStr">
        <is>
          <t>Подтвердить последовательность операций, фактическое активное/полное время и проект подачи.</t>
        </is>
      </c>
      <c r="F119" s="33" t="inlineStr">
        <is>
          <t>OPEN</t>
        </is>
      </c>
      <c r="G119" s="33" t="inlineStr">
        <is>
          <t>Chef</t>
        </is>
      </c>
      <c r="H119" s="33" t="inlineStr">
        <is>
          <t>Техкарта; оборудование; мощность; сервис</t>
        </is>
      </c>
      <c r="I119" s="33" t="inlineStr">
        <is>
          <t>EVD-0010;EVD-0011</t>
        </is>
      </c>
      <c r="J119" s="33" t="inlineStr">
        <is>
          <t>GAP-007;GAP-008</t>
        </is>
      </c>
      <c r="K119" s="33" t="inlineStr">
        <is>
          <t>Owner/Chef Gate</t>
        </is>
      </c>
      <c r="L119" s="39" t="n"/>
      <c r="M119" s="39" t="n"/>
      <c r="N119" s="33" t="inlineStr">
        <is>
          <t>2026-08-03</t>
        </is>
      </c>
    </row>
    <row r="120">
      <c r="A120" s="33" t="inlineStr">
        <is>
          <t>CQ-0115</t>
        </is>
      </c>
      <c r="B120" s="33" t="inlineStr">
        <is>
          <t>VKM-023</t>
        </is>
      </c>
      <c r="C120" s="33" t="inlineStr">
        <is>
          <t>Запечённый картофель</t>
        </is>
      </c>
      <c r="D120" s="33" t="inlineStr">
        <is>
          <t>SEMI_FINISHED</t>
        </is>
      </c>
      <c r="E120" s="33" t="inlineStr">
        <is>
          <t>Подтвердить выделение, код и размер партии связанных полуфабрикатов; указать общие полуфабрикаты.</t>
        </is>
      </c>
      <c r="F120" s="33" t="inlineStr">
        <is>
          <t>OPEN</t>
        </is>
      </c>
      <c r="G120" s="33" t="inlineStr">
        <is>
          <t>Chef</t>
        </is>
      </c>
      <c r="H120" s="33" t="inlineStr">
        <is>
          <t>DAG; двойной учёт; себестоимость; планирование</t>
        </is>
      </c>
      <c r="I120" s="33" t="inlineStr">
        <is>
          <t>EVD-0009</t>
        </is>
      </c>
      <c r="J120" s="33" t="inlineStr">
        <is>
          <t>GAP-006</t>
        </is>
      </c>
      <c r="K120" s="33" t="inlineStr">
        <is>
          <t>Owner/Chef Gate</t>
        </is>
      </c>
      <c r="L120" s="39" t="n"/>
      <c r="M120" s="39" t="n"/>
      <c r="N120" s="33" t="inlineStr">
        <is>
          <t>2026-08-03</t>
        </is>
      </c>
    </row>
    <row r="121">
      <c r="A121" s="33" t="inlineStr">
        <is>
          <t>CQ-0116</t>
        </is>
      </c>
      <c r="B121" s="33" t="inlineStr">
        <is>
          <t>VKM-023</t>
        </is>
      </c>
      <c r="C121" s="33" t="inlineStr">
        <is>
          <t>Запечённый картофель</t>
        </is>
      </c>
      <c r="D121" s="33" t="inlineStr">
        <is>
          <t>PROCESS_FLOW_FOR_SAFETY</t>
        </is>
      </c>
      <c r="E121" s="33" t="inlineStr">
        <is>
          <t>Подтвердить фактический маршрут блюда по каналам: немедленная подача, хранение, охлаждение, разогрев и/или доставка; параметры не назначать без Food Safety re-review.</t>
        </is>
      </c>
      <c r="F121" s="33" t="inlineStr">
        <is>
          <t>OPEN</t>
        </is>
      </c>
      <c r="G121" s="33" t="inlineStr">
        <is>
          <t>Chef</t>
        </is>
      </c>
      <c r="H121" s="33" t="inlineStr">
        <is>
          <t>Safety veto; ППК/HACCP; маркировка и прослеживаемость</t>
        </is>
      </c>
      <c r="I121" s="33" t="inlineStr">
        <is>
          <t>EVD-0013;EVD-0014;EVD-FS-001;EVD-FS-003</t>
        </is>
      </c>
      <c r="J121" s="33" t="inlineStr">
        <is>
          <t>GAP-010;GAP-011</t>
        </is>
      </c>
      <c r="K121" s="33" t="inlineStr">
        <is>
          <t>Owner/Chef Gate</t>
        </is>
      </c>
      <c r="L121" s="39" t="n"/>
      <c r="M121" s="39" t="n"/>
      <c r="N121" s="33" t="inlineStr">
        <is>
          <t>2026-08-03</t>
        </is>
      </c>
    </row>
    <row r="122">
      <c r="A122" s="33" t="inlineStr">
        <is>
          <t>CQ-0117</t>
        </is>
      </c>
      <c r="B122" s="33" t="inlineStr">
        <is>
          <t>VKM-024</t>
        </is>
      </c>
      <c r="C122" s="33" t="inlineStr">
        <is>
          <t>Рис жасмин</t>
        </is>
      </c>
      <c r="D122" s="33" t="inlineStr">
        <is>
          <t>RECIPE</t>
        </is>
      </c>
      <c r="E122" s="33" t="inlineStr">
        <is>
          <t>Подтвердить или скорректировать построчный состав и проектные нормы брутто/нетто.</t>
        </is>
      </c>
      <c r="F122" s="33" t="inlineStr">
        <is>
          <t>OPEN</t>
        </is>
      </c>
      <c r="G122" s="33" t="inlineStr">
        <is>
          <t>Chef</t>
        </is>
      </c>
      <c r="H122" s="33" t="inlineStr">
        <is>
          <t>Себестоимость; пищценность; аллергены; закупка</t>
        </is>
      </c>
      <c r="I122" s="33" t="inlineStr">
        <is>
          <t>EVD-0007</t>
        </is>
      </c>
      <c r="J122" s="33" t="inlineStr">
        <is>
          <t>GAP-004</t>
        </is>
      </c>
      <c r="K122" s="33" t="inlineStr">
        <is>
          <t>Owner/Chef Gate</t>
        </is>
      </c>
      <c r="L122" s="39" t="n"/>
      <c r="M122" s="39" t="n"/>
      <c r="N122" s="33" t="inlineStr">
        <is>
          <t>2026-08-03</t>
        </is>
      </c>
    </row>
    <row r="123">
      <c r="A123" s="33" t="inlineStr">
        <is>
          <t>CQ-0118</t>
        </is>
      </c>
      <c r="B123" s="33" t="inlineStr">
        <is>
          <t>VKM-024</t>
        </is>
      </c>
      <c r="C123" s="33" t="inlineStr">
        <is>
          <t>Рис жасмин</t>
        </is>
      </c>
      <c r="D123" s="33" t="inlineStr">
        <is>
          <t>YIELD</t>
        </is>
      </c>
      <c r="E123" s="33" t="inlineStr">
        <is>
          <t>Подтвердить целевой выход и способ учёта подготовительных/тепловых потерь контрольным взвешиванием.</t>
        </is>
      </c>
      <c r="F123" s="33" t="inlineStr">
        <is>
          <t>OPEN</t>
        </is>
      </c>
      <c r="G123" s="33" t="inlineStr">
        <is>
          <t>Chef</t>
        </is>
      </c>
      <c r="H123" s="33" t="inlineStr">
        <is>
          <t>Mass balance; себестоимость; порционирование</t>
        </is>
      </c>
      <c r="I123" s="33" t="inlineStr">
        <is>
          <t>EVD-0005;EVD-0008</t>
        </is>
      </c>
      <c r="J123" s="33" t="inlineStr">
        <is>
          <t>GAP-002;GAP-005</t>
        </is>
      </c>
      <c r="K123" s="33" t="inlineStr">
        <is>
          <t>Owner/Chef Gate</t>
        </is>
      </c>
      <c r="L123" s="39" t="n"/>
      <c r="M123" s="39" t="n"/>
      <c r="N123" s="33" t="inlineStr">
        <is>
          <t>2026-08-03</t>
        </is>
      </c>
    </row>
    <row r="124">
      <c r="A124" s="33" t="inlineStr">
        <is>
          <t>CQ-0119</t>
        </is>
      </c>
      <c r="B124" s="33" t="inlineStr">
        <is>
          <t>VKM-024</t>
        </is>
      </c>
      <c r="C124" s="33" t="inlineStr">
        <is>
          <t>Рис жасмин</t>
        </is>
      </c>
      <c r="D124" s="33" t="inlineStr">
        <is>
          <t>PROCESS</t>
        </is>
      </c>
      <c r="E124" s="33" t="inlineStr">
        <is>
          <t>Подтвердить последовательность операций, фактическое активное/полное время и проект подачи.</t>
        </is>
      </c>
      <c r="F124" s="33" t="inlineStr">
        <is>
          <t>OPEN</t>
        </is>
      </c>
      <c r="G124" s="33" t="inlineStr">
        <is>
          <t>Chef</t>
        </is>
      </c>
      <c r="H124" s="33" t="inlineStr">
        <is>
          <t>Техкарта; оборудование; мощность; сервис</t>
        </is>
      </c>
      <c r="I124" s="33" t="inlineStr">
        <is>
          <t>EVD-0010;EVD-0011</t>
        </is>
      </c>
      <c r="J124" s="33" t="inlineStr">
        <is>
          <t>GAP-007;GAP-008</t>
        </is>
      </c>
      <c r="K124" s="33" t="inlineStr">
        <is>
          <t>Owner/Chef Gate</t>
        </is>
      </c>
      <c r="L124" s="39" t="n"/>
      <c r="M124" s="39" t="n"/>
      <c r="N124" s="33" t="inlineStr">
        <is>
          <t>2026-08-03</t>
        </is>
      </c>
    </row>
    <row r="125">
      <c r="A125" s="33" t="inlineStr">
        <is>
          <t>CQ-0120</t>
        </is>
      </c>
      <c r="B125" s="33" t="inlineStr">
        <is>
          <t>VKM-024</t>
        </is>
      </c>
      <c r="C125" s="33" t="inlineStr">
        <is>
          <t>Рис жасмин</t>
        </is>
      </c>
      <c r="D125" s="33" t="inlineStr">
        <is>
          <t>SEMI_FINISHED</t>
        </is>
      </c>
      <c r="E125" s="33" t="inlineStr">
        <is>
          <t>Подтвердить выделение, код и размер партии связанных полуфабрикатов; указать общие полуфабрикаты.</t>
        </is>
      </c>
      <c r="F125" s="33" t="inlineStr">
        <is>
          <t>OPEN</t>
        </is>
      </c>
      <c r="G125" s="33" t="inlineStr">
        <is>
          <t>Chef</t>
        </is>
      </c>
      <c r="H125" s="33" t="inlineStr">
        <is>
          <t>DAG; двойной учёт; себестоимость; планирование</t>
        </is>
      </c>
      <c r="I125" s="33" t="inlineStr">
        <is>
          <t>EVD-0009</t>
        </is>
      </c>
      <c r="J125" s="33" t="inlineStr">
        <is>
          <t>GAP-006</t>
        </is>
      </c>
      <c r="K125" s="33" t="inlineStr">
        <is>
          <t>Owner/Chef Gate</t>
        </is>
      </c>
      <c r="L125" s="39" t="n"/>
      <c r="M125" s="39" t="n"/>
      <c r="N125" s="33" t="inlineStr">
        <is>
          <t>2026-08-03</t>
        </is>
      </c>
    </row>
    <row r="126">
      <c r="A126" s="33" t="inlineStr">
        <is>
          <t>CQ-0121</t>
        </is>
      </c>
      <c r="B126" s="33" t="inlineStr">
        <is>
          <t>VKM-024</t>
        </is>
      </c>
      <c r="C126" s="33" t="inlineStr">
        <is>
          <t>Рис жасмин</t>
        </is>
      </c>
      <c r="D126" s="33" t="inlineStr">
        <is>
          <t>PROCESS_FLOW_FOR_SAFETY</t>
        </is>
      </c>
      <c r="E126" s="33" t="inlineStr">
        <is>
          <t>Подтвердить фактический маршрут блюда по каналам: немедленная подача, хранение, охлаждение, разогрев и/или доставка; параметры не назначать без Food Safety re-review.</t>
        </is>
      </c>
      <c r="F126" s="33" t="inlineStr">
        <is>
          <t>OPEN</t>
        </is>
      </c>
      <c r="G126" s="33" t="inlineStr">
        <is>
          <t>Chef</t>
        </is>
      </c>
      <c r="H126" s="33" t="inlineStr">
        <is>
          <t>Safety veto; ППК/HACCP; маркировка и прослеживаемость</t>
        </is>
      </c>
      <c r="I126" s="33" t="inlineStr">
        <is>
          <t>EVD-0013;EVD-0014;EVD-FS-001;EVD-FS-003</t>
        </is>
      </c>
      <c r="J126" s="33" t="inlineStr">
        <is>
          <t>GAP-010;GAP-011</t>
        </is>
      </c>
      <c r="K126" s="33" t="inlineStr">
        <is>
          <t>Owner/Chef Gate</t>
        </is>
      </c>
      <c r="L126" s="39" t="n"/>
      <c r="M126" s="39" t="n"/>
      <c r="N126" s="33" t="inlineStr">
        <is>
          <t>2026-08-03</t>
        </is>
      </c>
    </row>
    <row r="127">
      <c r="A127" s="33" t="inlineStr">
        <is>
          <t>CQ-0122</t>
        </is>
      </c>
      <c r="B127" s="33" t="inlineStr">
        <is>
          <t>VKM-025</t>
        </is>
      </c>
      <c r="C127" s="33" t="inlineStr">
        <is>
          <t>Горячие овощи</t>
        </is>
      </c>
      <c r="D127" s="33" t="inlineStr">
        <is>
          <t>RECIPE</t>
        </is>
      </c>
      <c r="E127" s="33" t="inlineStr">
        <is>
          <t>Подтвердить или скорректировать построчный состав и проектные нормы брутто/нетто.</t>
        </is>
      </c>
      <c r="F127" s="33" t="inlineStr">
        <is>
          <t>OPEN</t>
        </is>
      </c>
      <c r="G127" s="33" t="inlineStr">
        <is>
          <t>Chef</t>
        </is>
      </c>
      <c r="H127" s="33" t="inlineStr">
        <is>
          <t>Себестоимость; пищценность; аллергены; закупка</t>
        </is>
      </c>
      <c r="I127" s="33" t="inlineStr">
        <is>
          <t>EVD-0007</t>
        </is>
      </c>
      <c r="J127" s="33" t="inlineStr">
        <is>
          <t>GAP-004</t>
        </is>
      </c>
      <c r="K127" s="33" t="inlineStr">
        <is>
          <t>Owner/Chef Gate</t>
        </is>
      </c>
      <c r="L127" s="39" t="n"/>
      <c r="M127" s="39" t="n"/>
      <c r="N127" s="33" t="inlineStr">
        <is>
          <t>2026-08-03</t>
        </is>
      </c>
    </row>
    <row r="128">
      <c r="A128" s="33" t="inlineStr">
        <is>
          <t>CQ-0123</t>
        </is>
      </c>
      <c r="B128" s="33" t="inlineStr">
        <is>
          <t>VKM-025</t>
        </is>
      </c>
      <c r="C128" s="33" t="inlineStr">
        <is>
          <t>Горячие овощи</t>
        </is>
      </c>
      <c r="D128" s="33" t="inlineStr">
        <is>
          <t>YIELD</t>
        </is>
      </c>
      <c r="E128" s="33" t="inlineStr">
        <is>
          <t>Подтвердить целевой выход и способ учёта подготовительных/тепловых потерь контрольным взвешиванием.</t>
        </is>
      </c>
      <c r="F128" s="33" t="inlineStr">
        <is>
          <t>OPEN</t>
        </is>
      </c>
      <c r="G128" s="33" t="inlineStr">
        <is>
          <t>Chef</t>
        </is>
      </c>
      <c r="H128" s="33" t="inlineStr">
        <is>
          <t>Mass balance; себестоимость; порционирование</t>
        </is>
      </c>
      <c r="I128" s="33" t="inlineStr">
        <is>
          <t>EVD-0005;EVD-0008</t>
        </is>
      </c>
      <c r="J128" s="33" t="inlineStr">
        <is>
          <t>GAP-002;GAP-005</t>
        </is>
      </c>
      <c r="K128" s="33" t="inlineStr">
        <is>
          <t>Owner/Chef Gate</t>
        </is>
      </c>
      <c r="L128" s="39" t="n"/>
      <c r="M128" s="39" t="n"/>
      <c r="N128" s="33" t="inlineStr">
        <is>
          <t>2026-08-03</t>
        </is>
      </c>
    </row>
    <row r="129">
      <c r="A129" s="33" t="inlineStr">
        <is>
          <t>CQ-0124</t>
        </is>
      </c>
      <c r="B129" s="33" t="inlineStr">
        <is>
          <t>VKM-025</t>
        </is>
      </c>
      <c r="C129" s="33" t="inlineStr">
        <is>
          <t>Горячие овощи</t>
        </is>
      </c>
      <c r="D129" s="33" t="inlineStr">
        <is>
          <t>PROCESS</t>
        </is>
      </c>
      <c r="E129" s="33" t="inlineStr">
        <is>
          <t>Подтвердить последовательность операций, фактическое активное/полное время и проект подачи.</t>
        </is>
      </c>
      <c r="F129" s="33" t="inlineStr">
        <is>
          <t>OPEN</t>
        </is>
      </c>
      <c r="G129" s="33" t="inlineStr">
        <is>
          <t>Chef</t>
        </is>
      </c>
      <c r="H129" s="33" t="inlineStr">
        <is>
          <t>Техкарта; оборудование; мощность; сервис</t>
        </is>
      </c>
      <c r="I129" s="33" t="inlineStr">
        <is>
          <t>EVD-0010;EVD-0011</t>
        </is>
      </c>
      <c r="J129" s="33" t="inlineStr">
        <is>
          <t>GAP-007;GAP-008</t>
        </is>
      </c>
      <c r="K129" s="33" t="inlineStr">
        <is>
          <t>Owner/Chef Gate</t>
        </is>
      </c>
      <c r="L129" s="39" t="n"/>
      <c r="M129" s="39" t="n"/>
      <c r="N129" s="33" t="inlineStr">
        <is>
          <t>2026-08-03</t>
        </is>
      </c>
    </row>
    <row r="130">
      <c r="A130" s="33" t="inlineStr">
        <is>
          <t>CQ-0125</t>
        </is>
      </c>
      <c r="B130" s="33" t="inlineStr">
        <is>
          <t>VKM-025</t>
        </is>
      </c>
      <c r="C130" s="33" t="inlineStr">
        <is>
          <t>Горячие овощи</t>
        </is>
      </c>
      <c r="D130" s="33" t="inlineStr">
        <is>
          <t>SEMI_FINISHED</t>
        </is>
      </c>
      <c r="E130" s="33" t="inlineStr">
        <is>
          <t>Подтвердить выделение, код и размер партии связанных полуфабрикатов; указать общие полуфабрикаты.</t>
        </is>
      </c>
      <c r="F130" s="33" t="inlineStr">
        <is>
          <t>OPEN</t>
        </is>
      </c>
      <c r="G130" s="33" t="inlineStr">
        <is>
          <t>Chef</t>
        </is>
      </c>
      <c r="H130" s="33" t="inlineStr">
        <is>
          <t>DAG; двойной учёт; себестоимость; планирование</t>
        </is>
      </c>
      <c r="I130" s="33" t="inlineStr">
        <is>
          <t>EVD-0009</t>
        </is>
      </c>
      <c r="J130" s="33" t="inlineStr">
        <is>
          <t>GAP-006</t>
        </is>
      </c>
      <c r="K130" s="33" t="inlineStr">
        <is>
          <t>Owner/Chef Gate</t>
        </is>
      </c>
      <c r="L130" s="39" t="n"/>
      <c r="M130" s="39" t="n"/>
      <c r="N130" s="33" t="inlineStr">
        <is>
          <t>2026-08-03</t>
        </is>
      </c>
    </row>
    <row r="131">
      <c r="A131" s="33" t="inlineStr">
        <is>
          <t>CQ-0126</t>
        </is>
      </c>
      <c r="B131" s="33" t="inlineStr">
        <is>
          <t>VKM-025</t>
        </is>
      </c>
      <c r="C131" s="33" t="inlineStr">
        <is>
          <t>Горячие овощи</t>
        </is>
      </c>
      <c r="D131" s="33" t="inlineStr">
        <is>
          <t>PROCESS_FLOW_FOR_SAFETY</t>
        </is>
      </c>
      <c r="E131" s="33" t="inlineStr">
        <is>
          <t>Подтвердить фактический маршрут блюда по каналам: немедленная подача, хранение, охлаждение, разогрев и/или доставка; параметры не назначать без Food Safety re-review.</t>
        </is>
      </c>
      <c r="F131" s="33" t="inlineStr">
        <is>
          <t>OPEN</t>
        </is>
      </c>
      <c r="G131" s="33" t="inlineStr">
        <is>
          <t>Chef</t>
        </is>
      </c>
      <c r="H131" s="33" t="inlineStr">
        <is>
          <t>Safety veto; ППК/HACCP; маркировка и прослеживаемость</t>
        </is>
      </c>
      <c r="I131" s="33" t="inlineStr">
        <is>
          <t>EVD-0013;EVD-0014;EVD-FS-001;EVD-FS-003</t>
        </is>
      </c>
      <c r="J131" s="33" t="inlineStr">
        <is>
          <t>GAP-010;GAP-011</t>
        </is>
      </c>
      <c r="K131" s="33" t="inlineStr">
        <is>
          <t>Owner/Chef Gate</t>
        </is>
      </c>
      <c r="L131" s="39" t="n"/>
      <c r="M131" s="39" t="n"/>
      <c r="N131" s="33" t="inlineStr">
        <is>
          <t>2026-08-03</t>
        </is>
      </c>
    </row>
    <row r="132">
      <c r="A132" s="33" t="inlineStr">
        <is>
          <t>CQ-0127</t>
        </is>
      </c>
      <c r="B132" s="33" t="inlineStr">
        <is>
          <t>VKM-029</t>
        </is>
      </c>
      <c r="C132" s="33" t="inlineStr">
        <is>
          <t>Черничный торт VARSHAVKA</t>
        </is>
      </c>
      <c r="D132" s="33" t="inlineStr">
        <is>
          <t>RECIPE</t>
        </is>
      </c>
      <c r="E132" s="33" t="inlineStr">
        <is>
          <t>Подтвердить или скорректировать построчный состав и проектные нормы брутто/нетто.</t>
        </is>
      </c>
      <c r="F132" s="33" t="inlineStr">
        <is>
          <t>OPEN</t>
        </is>
      </c>
      <c r="G132" s="33" t="inlineStr">
        <is>
          <t>Chef</t>
        </is>
      </c>
      <c r="H132" s="33" t="inlineStr">
        <is>
          <t>Себестоимость; пищценность; аллергены; закупка</t>
        </is>
      </c>
      <c r="I132" s="33" t="inlineStr">
        <is>
          <t>EVD-0007</t>
        </is>
      </c>
      <c r="J132" s="33" t="inlineStr">
        <is>
          <t>GAP-004</t>
        </is>
      </c>
      <c r="K132" s="33" t="inlineStr">
        <is>
          <t>Owner/Chef Gate</t>
        </is>
      </c>
      <c r="L132" s="39" t="n"/>
      <c r="M132" s="39" t="n"/>
      <c r="N132" s="33" t="inlineStr">
        <is>
          <t>2026-08-03</t>
        </is>
      </c>
    </row>
    <row r="133">
      <c r="A133" s="33" t="inlineStr">
        <is>
          <t>CQ-0128</t>
        </is>
      </c>
      <c r="B133" s="33" t="inlineStr">
        <is>
          <t>VKM-029</t>
        </is>
      </c>
      <c r="C133" s="33" t="inlineStr">
        <is>
          <t>Черничный торт VARSHAVKA</t>
        </is>
      </c>
      <c r="D133" s="33" t="inlineStr">
        <is>
          <t>YIELD</t>
        </is>
      </c>
      <c r="E133" s="33" t="inlineStr">
        <is>
          <t>Подтвердить целевой выход и способ учёта подготовительных/тепловых потерь контрольным взвешиванием.</t>
        </is>
      </c>
      <c r="F133" s="33" t="inlineStr">
        <is>
          <t>OPEN</t>
        </is>
      </c>
      <c r="G133" s="33" t="inlineStr">
        <is>
          <t>Chef</t>
        </is>
      </c>
      <c r="H133" s="33" t="inlineStr">
        <is>
          <t>Mass balance; себестоимость; порционирование</t>
        </is>
      </c>
      <c r="I133" s="33" t="inlineStr">
        <is>
          <t>EVD-0005;EVD-0008</t>
        </is>
      </c>
      <c r="J133" s="33" t="inlineStr">
        <is>
          <t>GAP-002;GAP-005</t>
        </is>
      </c>
      <c r="K133" s="33" t="inlineStr">
        <is>
          <t>Owner/Chef Gate</t>
        </is>
      </c>
      <c r="L133" s="39" t="n"/>
      <c r="M133" s="39" t="n"/>
      <c r="N133" s="33" t="inlineStr">
        <is>
          <t>2026-08-03</t>
        </is>
      </c>
    </row>
    <row r="134">
      <c r="A134" s="33" t="inlineStr">
        <is>
          <t>CQ-0129</t>
        </is>
      </c>
      <c r="B134" s="33" t="inlineStr">
        <is>
          <t>VKM-029</t>
        </is>
      </c>
      <c r="C134" s="33" t="inlineStr">
        <is>
          <t>Черничный торт VARSHAVKA</t>
        </is>
      </c>
      <c r="D134" s="33" t="inlineStr">
        <is>
          <t>PROCESS</t>
        </is>
      </c>
      <c r="E134" s="33" t="inlineStr">
        <is>
          <t>Подтвердить последовательность операций, фактическое активное/полное время и проект подачи.</t>
        </is>
      </c>
      <c r="F134" s="33" t="inlineStr">
        <is>
          <t>OPEN</t>
        </is>
      </c>
      <c r="G134" s="33" t="inlineStr">
        <is>
          <t>Chef</t>
        </is>
      </c>
      <c r="H134" s="33" t="inlineStr">
        <is>
          <t>Техкарта; оборудование; мощность; сервис</t>
        </is>
      </c>
      <c r="I134" s="33" t="inlineStr">
        <is>
          <t>EVD-0010;EVD-0011</t>
        </is>
      </c>
      <c r="J134" s="33" t="inlineStr">
        <is>
          <t>GAP-007;GAP-008</t>
        </is>
      </c>
      <c r="K134" s="33" t="inlineStr">
        <is>
          <t>Owner/Chef Gate</t>
        </is>
      </c>
      <c r="L134" s="39" t="n"/>
      <c r="M134" s="39" t="n"/>
      <c r="N134" s="33" t="inlineStr">
        <is>
          <t>2026-08-03</t>
        </is>
      </c>
    </row>
    <row r="135">
      <c r="A135" s="33" t="inlineStr">
        <is>
          <t>CQ-0130</t>
        </is>
      </c>
      <c r="B135" s="33" t="inlineStr">
        <is>
          <t>VKM-029</t>
        </is>
      </c>
      <c r="C135" s="33" t="inlineStr">
        <is>
          <t>Черничный торт VARSHAVKA</t>
        </is>
      </c>
      <c r="D135" s="33" t="inlineStr">
        <is>
          <t>SEMI_FINISHED</t>
        </is>
      </c>
      <c r="E135" s="33" t="inlineStr">
        <is>
          <t>Подтвердить выделение, код и размер партии связанных полуфабрикатов; указать общие полуфабрикаты.</t>
        </is>
      </c>
      <c r="F135" s="33" t="inlineStr">
        <is>
          <t>OPEN</t>
        </is>
      </c>
      <c r="G135" s="33" t="inlineStr">
        <is>
          <t>Chef</t>
        </is>
      </c>
      <c r="H135" s="33" t="inlineStr">
        <is>
          <t>DAG; двойной учёт; себестоимость; планирование</t>
        </is>
      </c>
      <c r="I135" s="33" t="inlineStr">
        <is>
          <t>EVD-0009</t>
        </is>
      </c>
      <c r="J135" s="33" t="inlineStr">
        <is>
          <t>GAP-006</t>
        </is>
      </c>
      <c r="K135" s="33" t="inlineStr">
        <is>
          <t>Owner/Chef Gate</t>
        </is>
      </c>
      <c r="L135" s="39" t="n"/>
      <c r="M135" s="39" t="n"/>
      <c r="N135" s="33" t="inlineStr">
        <is>
          <t>2026-08-03</t>
        </is>
      </c>
    </row>
    <row r="136">
      <c r="A136" s="33" t="inlineStr">
        <is>
          <t>CQ-0131</t>
        </is>
      </c>
      <c r="B136" s="33" t="inlineStr">
        <is>
          <t>VKM-029</t>
        </is>
      </c>
      <c r="C136" s="33" t="inlineStr">
        <is>
          <t>Черничный торт VARSHAVKA</t>
        </is>
      </c>
      <c r="D136" s="33" t="inlineStr">
        <is>
          <t>PROCESS_FLOW_FOR_SAFETY</t>
        </is>
      </c>
      <c r="E136" s="33" t="inlineStr">
        <is>
          <t>Подтвердить фактический маршрут блюда по каналам: немедленная подача, хранение, охлаждение, разогрев и/или доставка; параметры не назначать без Food Safety re-review.</t>
        </is>
      </c>
      <c r="F136" s="33" t="inlineStr">
        <is>
          <t>OPEN</t>
        </is>
      </c>
      <c r="G136" s="33" t="inlineStr">
        <is>
          <t>Chef</t>
        </is>
      </c>
      <c r="H136" s="33" t="inlineStr">
        <is>
          <t>Safety veto; ППК/HACCP; маркировка и прослеживаемость</t>
        </is>
      </c>
      <c r="I136" s="33" t="inlineStr">
        <is>
          <t>EVD-0013;EVD-0014;EVD-FS-001;EVD-FS-003</t>
        </is>
      </c>
      <c r="J136" s="33" t="inlineStr">
        <is>
          <t>GAP-010;GAP-011</t>
        </is>
      </c>
      <c r="K136" s="33" t="inlineStr">
        <is>
          <t>Owner/Chef Gate</t>
        </is>
      </c>
      <c r="L136" s="39" t="n"/>
      <c r="M136" s="39" t="n"/>
      <c r="N136" s="33" t="inlineStr">
        <is>
          <t>2026-08-03</t>
        </is>
      </c>
    </row>
    <row r="137">
      <c r="A137" s="33" t="inlineStr">
        <is>
          <t>CQ-0132</t>
        </is>
      </c>
      <c r="B137" s="33" t="inlineStr">
        <is>
          <t>VKM-029</t>
        </is>
      </c>
      <c r="C137" s="33" t="inlineStr">
        <is>
          <t>Черничный торт VARSHAVKA</t>
        </is>
      </c>
      <c r="D137" s="33" t="inlineStr">
        <is>
          <t>BATCH</t>
        </is>
      </c>
      <c r="E137" s="33" t="inlineStr">
        <is>
          <t>Подтвердить размер партии, число изделий/порций, массу до и после стабилизации и правила допустимого отклонения.</t>
        </is>
      </c>
      <c r="F137" s="33" t="inlineStr">
        <is>
          <t>OPEN</t>
        </is>
      </c>
      <c r="G137" s="33" t="inlineStr">
        <is>
          <t>Chef</t>
        </is>
      </c>
      <c r="H137" s="33" t="inlineStr">
        <is>
          <t>Mass balance; порционирование; capacity</t>
        </is>
      </c>
      <c r="I137" s="33" t="inlineStr">
        <is>
          <t>EVD-0005;EVD-0008</t>
        </is>
      </c>
      <c r="J137" s="33" t="inlineStr">
        <is>
          <t>GAP-002;GAP-005</t>
        </is>
      </c>
      <c r="K137" s="33" t="inlineStr">
        <is>
          <t>Owner/Chef Gate</t>
        </is>
      </c>
      <c r="L137" s="39" t="n"/>
      <c r="M137" s="39" t="n"/>
      <c r="N137" s="33" t="inlineStr">
        <is>
          <t>2026-08-03</t>
        </is>
      </c>
    </row>
    <row r="138">
      <c r="A138" s="33" t="inlineStr">
        <is>
          <t>CQ-0133</t>
        </is>
      </c>
      <c r="B138" s="33" t="inlineStr">
        <is>
          <t>VKM-030</t>
        </is>
      </c>
      <c r="C138" s="33" t="inlineStr">
        <is>
          <t>Кростата с солёной карамелью</t>
        </is>
      </c>
      <c r="D138" s="33" t="inlineStr">
        <is>
          <t>RECIPE</t>
        </is>
      </c>
      <c r="E138" s="33" t="inlineStr">
        <is>
          <t>Подтвердить или скорректировать построчный состав и проектные нормы брутто/нетто.</t>
        </is>
      </c>
      <c r="F138" s="33" t="inlineStr">
        <is>
          <t>OPEN</t>
        </is>
      </c>
      <c r="G138" s="33" t="inlineStr">
        <is>
          <t>Chef</t>
        </is>
      </c>
      <c r="H138" s="33" t="inlineStr">
        <is>
          <t>Себестоимость; пищценность; аллергены; закупка</t>
        </is>
      </c>
      <c r="I138" s="33" t="inlineStr">
        <is>
          <t>EVD-0007</t>
        </is>
      </c>
      <c r="J138" s="33" t="inlineStr">
        <is>
          <t>GAP-004</t>
        </is>
      </c>
      <c r="K138" s="33" t="inlineStr">
        <is>
          <t>Owner/Chef Gate</t>
        </is>
      </c>
      <c r="L138" s="39" t="n"/>
      <c r="M138" s="39" t="n"/>
      <c r="N138" s="33" t="inlineStr">
        <is>
          <t>2026-08-03</t>
        </is>
      </c>
    </row>
    <row r="139">
      <c r="A139" s="33" t="inlineStr">
        <is>
          <t>CQ-0134</t>
        </is>
      </c>
      <c r="B139" s="33" t="inlineStr">
        <is>
          <t>VKM-030</t>
        </is>
      </c>
      <c r="C139" s="33" t="inlineStr">
        <is>
          <t>Кростата с солёной карамелью</t>
        </is>
      </c>
      <c r="D139" s="33" t="inlineStr">
        <is>
          <t>YIELD</t>
        </is>
      </c>
      <c r="E139" s="33" t="inlineStr">
        <is>
          <t>Подтвердить целевой выход и способ учёта подготовительных/тепловых потерь контрольным взвешиванием.</t>
        </is>
      </c>
      <c r="F139" s="33" t="inlineStr">
        <is>
          <t>OPEN</t>
        </is>
      </c>
      <c r="G139" s="33" t="inlineStr">
        <is>
          <t>Chef</t>
        </is>
      </c>
      <c r="H139" s="33" t="inlineStr">
        <is>
          <t>Mass balance; себестоимость; порционирование</t>
        </is>
      </c>
      <c r="I139" s="33" t="inlineStr">
        <is>
          <t>EVD-0005;EVD-0008</t>
        </is>
      </c>
      <c r="J139" s="33" t="inlineStr">
        <is>
          <t>GAP-002;GAP-005</t>
        </is>
      </c>
      <c r="K139" s="33" t="inlineStr">
        <is>
          <t>Owner/Chef Gate</t>
        </is>
      </c>
      <c r="L139" s="39" t="n"/>
      <c r="M139" s="39" t="n"/>
      <c r="N139" s="33" t="inlineStr">
        <is>
          <t>2026-08-03</t>
        </is>
      </c>
    </row>
    <row r="140">
      <c r="A140" s="33" t="inlineStr">
        <is>
          <t>CQ-0135</t>
        </is>
      </c>
      <c r="B140" s="33" t="inlineStr">
        <is>
          <t>VKM-030</t>
        </is>
      </c>
      <c r="C140" s="33" t="inlineStr">
        <is>
          <t>Кростата с солёной карамелью</t>
        </is>
      </c>
      <c r="D140" s="33" t="inlineStr">
        <is>
          <t>PROCESS</t>
        </is>
      </c>
      <c r="E140" s="33" t="inlineStr">
        <is>
          <t>Подтвердить последовательность операций, фактическое активное/полное время и проект подачи.</t>
        </is>
      </c>
      <c r="F140" s="33" t="inlineStr">
        <is>
          <t>OPEN</t>
        </is>
      </c>
      <c r="G140" s="33" t="inlineStr">
        <is>
          <t>Chef</t>
        </is>
      </c>
      <c r="H140" s="33" t="inlineStr">
        <is>
          <t>Техкарта; оборудование; мощность; сервис</t>
        </is>
      </c>
      <c r="I140" s="33" t="inlineStr">
        <is>
          <t>EVD-0010;EVD-0011</t>
        </is>
      </c>
      <c r="J140" s="33" t="inlineStr">
        <is>
          <t>GAP-007;GAP-008</t>
        </is>
      </c>
      <c r="K140" s="33" t="inlineStr">
        <is>
          <t>Owner/Chef Gate</t>
        </is>
      </c>
      <c r="L140" s="39" t="n"/>
      <c r="M140" s="39" t="n"/>
      <c r="N140" s="33" t="inlineStr">
        <is>
          <t>2026-08-03</t>
        </is>
      </c>
    </row>
    <row r="141">
      <c r="A141" s="33" t="inlineStr">
        <is>
          <t>CQ-0136</t>
        </is>
      </c>
      <c r="B141" s="33" t="inlineStr">
        <is>
          <t>VKM-030</t>
        </is>
      </c>
      <c r="C141" s="33" t="inlineStr">
        <is>
          <t>Кростата с солёной карамелью</t>
        </is>
      </c>
      <c r="D141" s="33" t="inlineStr">
        <is>
          <t>SEMI_FINISHED</t>
        </is>
      </c>
      <c r="E141" s="33" t="inlineStr">
        <is>
          <t>Подтвердить выделение, код и размер партии связанных полуфабрикатов; указать общие полуфабрикаты.</t>
        </is>
      </c>
      <c r="F141" s="33" t="inlineStr">
        <is>
          <t>OPEN</t>
        </is>
      </c>
      <c r="G141" s="33" t="inlineStr">
        <is>
          <t>Chef</t>
        </is>
      </c>
      <c r="H141" s="33" t="inlineStr">
        <is>
          <t>DAG; двойной учёт; себестоимость; планирование</t>
        </is>
      </c>
      <c r="I141" s="33" t="inlineStr">
        <is>
          <t>EVD-0009</t>
        </is>
      </c>
      <c r="J141" s="33" t="inlineStr">
        <is>
          <t>GAP-006</t>
        </is>
      </c>
      <c r="K141" s="33" t="inlineStr">
        <is>
          <t>Owner/Chef Gate</t>
        </is>
      </c>
      <c r="L141" s="39" t="n"/>
      <c r="M141" s="39" t="n"/>
      <c r="N141" s="33" t="inlineStr">
        <is>
          <t>2026-08-03</t>
        </is>
      </c>
    </row>
    <row r="142">
      <c r="A142" s="33" t="inlineStr">
        <is>
          <t>CQ-0137</t>
        </is>
      </c>
      <c r="B142" s="33" t="inlineStr">
        <is>
          <t>VKM-030</t>
        </is>
      </c>
      <c r="C142" s="33" t="inlineStr">
        <is>
          <t>Кростата с солёной карамелью</t>
        </is>
      </c>
      <c r="D142" s="33" t="inlineStr">
        <is>
          <t>PROCESS_FLOW_FOR_SAFETY</t>
        </is>
      </c>
      <c r="E142" s="33" t="inlineStr">
        <is>
          <t>Подтвердить фактический маршрут блюда по каналам: немедленная подача, хранение, охлаждение, разогрев и/или доставка; параметры не назначать без Food Safety re-review.</t>
        </is>
      </c>
      <c r="F142" s="33" t="inlineStr">
        <is>
          <t>OPEN</t>
        </is>
      </c>
      <c r="G142" s="33" t="inlineStr">
        <is>
          <t>Chef</t>
        </is>
      </c>
      <c r="H142" s="33" t="inlineStr">
        <is>
          <t>Safety veto; ППК/HACCP; маркировка и прослеживаемость</t>
        </is>
      </c>
      <c r="I142" s="33" t="inlineStr">
        <is>
          <t>EVD-0013;EVD-0014;EVD-FS-001;EVD-FS-003</t>
        </is>
      </c>
      <c r="J142" s="33" t="inlineStr">
        <is>
          <t>GAP-010;GAP-011</t>
        </is>
      </c>
      <c r="K142" s="33" t="inlineStr">
        <is>
          <t>Owner/Chef Gate</t>
        </is>
      </c>
      <c r="L142" s="39" t="n"/>
      <c r="M142" s="39" t="n"/>
      <c r="N142" s="33" t="inlineStr">
        <is>
          <t>2026-08-03</t>
        </is>
      </c>
    </row>
    <row r="143">
      <c r="A143" s="33" t="inlineStr">
        <is>
          <t>CQ-0138</t>
        </is>
      </c>
      <c r="B143" s="33" t="inlineStr">
        <is>
          <t>VKM-030</t>
        </is>
      </c>
      <c r="C143" s="33" t="inlineStr">
        <is>
          <t>Кростата с солёной карамелью</t>
        </is>
      </c>
      <c r="D143" s="33" t="inlineStr">
        <is>
          <t>BATCH</t>
        </is>
      </c>
      <c r="E143" s="33" t="inlineStr">
        <is>
          <t>Подтвердить размер партии, число изделий/порций, массу до и после стабилизации и правила допустимого отклонения.</t>
        </is>
      </c>
      <c r="F143" s="33" t="inlineStr">
        <is>
          <t>OPEN</t>
        </is>
      </c>
      <c r="G143" s="33" t="inlineStr">
        <is>
          <t>Chef</t>
        </is>
      </c>
      <c r="H143" s="33" t="inlineStr">
        <is>
          <t>Mass balance; порционирование; capacity</t>
        </is>
      </c>
      <c r="I143" s="33" t="inlineStr">
        <is>
          <t>EVD-0005;EVD-0008</t>
        </is>
      </c>
      <c r="J143" s="33" t="inlineStr">
        <is>
          <t>GAP-002;GAP-005</t>
        </is>
      </c>
      <c r="K143" s="33" t="inlineStr">
        <is>
          <t>Owner/Chef Gate</t>
        </is>
      </c>
      <c r="L143" s="39" t="n"/>
      <c r="M143" s="39" t="n"/>
      <c r="N143" s="33" t="inlineStr">
        <is>
          <t>2026-08-03</t>
        </is>
      </c>
    </row>
    <row r="144">
      <c r="A144" s="33" t="inlineStr">
        <is>
          <t>CQ-0139</t>
        </is>
      </c>
      <c r="B144" s="33" t="inlineStr">
        <is>
          <t>VKM-031</t>
        </is>
      </c>
      <c r="C144" s="33" t="inlineStr">
        <is>
          <t>Мадлен</t>
        </is>
      </c>
      <c r="D144" s="33" t="inlineStr">
        <is>
          <t>RECIPE</t>
        </is>
      </c>
      <c r="E144" s="33" t="inlineStr">
        <is>
          <t>Подтвердить или скорректировать построчный состав и проектные нормы брутто/нетто.</t>
        </is>
      </c>
      <c r="F144" s="33" t="inlineStr">
        <is>
          <t>OPEN</t>
        </is>
      </c>
      <c r="G144" s="33" t="inlineStr">
        <is>
          <t>Chef</t>
        </is>
      </c>
      <c r="H144" s="33" t="inlineStr">
        <is>
          <t>Себестоимость; пищценность; аллергены; закупка</t>
        </is>
      </c>
      <c r="I144" s="33" t="inlineStr">
        <is>
          <t>EVD-0007</t>
        </is>
      </c>
      <c r="J144" s="33" t="inlineStr">
        <is>
          <t>GAP-004</t>
        </is>
      </c>
      <c r="K144" s="33" t="inlineStr">
        <is>
          <t>Owner/Chef Gate</t>
        </is>
      </c>
      <c r="L144" s="39" t="n"/>
      <c r="M144" s="39" t="n"/>
      <c r="N144" s="33" t="inlineStr">
        <is>
          <t>2026-08-03</t>
        </is>
      </c>
    </row>
    <row r="145">
      <c r="A145" s="33" t="inlineStr">
        <is>
          <t>CQ-0140</t>
        </is>
      </c>
      <c r="B145" s="33" t="inlineStr">
        <is>
          <t>VKM-031</t>
        </is>
      </c>
      <c r="C145" s="33" t="inlineStr">
        <is>
          <t>Мадлен</t>
        </is>
      </c>
      <c r="D145" s="33" t="inlineStr">
        <is>
          <t>YIELD</t>
        </is>
      </c>
      <c r="E145" s="33" t="inlineStr">
        <is>
          <t>Подтвердить целевой выход и способ учёта подготовительных/тепловых потерь контрольным взвешиванием.</t>
        </is>
      </c>
      <c r="F145" s="33" t="inlineStr">
        <is>
          <t>OPEN</t>
        </is>
      </c>
      <c r="G145" s="33" t="inlineStr">
        <is>
          <t>Chef</t>
        </is>
      </c>
      <c r="H145" s="33" t="inlineStr">
        <is>
          <t>Mass balance; себестоимость; порционирование</t>
        </is>
      </c>
      <c r="I145" s="33" t="inlineStr">
        <is>
          <t>EVD-0005;EVD-0008</t>
        </is>
      </c>
      <c r="J145" s="33" t="inlineStr">
        <is>
          <t>GAP-002;GAP-005</t>
        </is>
      </c>
      <c r="K145" s="33" t="inlineStr">
        <is>
          <t>Owner/Chef Gate</t>
        </is>
      </c>
      <c r="L145" s="39" t="n"/>
      <c r="M145" s="39" t="n"/>
      <c r="N145" s="33" t="inlineStr">
        <is>
          <t>2026-08-03</t>
        </is>
      </c>
    </row>
    <row r="146">
      <c r="A146" s="33" t="inlineStr">
        <is>
          <t>CQ-0141</t>
        </is>
      </c>
      <c r="B146" s="33" t="inlineStr">
        <is>
          <t>VKM-031</t>
        </is>
      </c>
      <c r="C146" s="33" t="inlineStr">
        <is>
          <t>Мадлен</t>
        </is>
      </c>
      <c r="D146" s="33" t="inlineStr">
        <is>
          <t>PROCESS</t>
        </is>
      </c>
      <c r="E146" s="33" t="inlineStr">
        <is>
          <t>Подтвердить последовательность операций, фактическое активное/полное время и проект подачи.</t>
        </is>
      </c>
      <c r="F146" s="33" t="inlineStr">
        <is>
          <t>OPEN</t>
        </is>
      </c>
      <c r="G146" s="33" t="inlineStr">
        <is>
          <t>Chef</t>
        </is>
      </c>
      <c r="H146" s="33" t="inlineStr">
        <is>
          <t>Техкарта; оборудование; мощность; сервис</t>
        </is>
      </c>
      <c r="I146" s="33" t="inlineStr">
        <is>
          <t>EVD-0010;EVD-0011</t>
        </is>
      </c>
      <c r="J146" s="33" t="inlineStr">
        <is>
          <t>GAP-007;GAP-008</t>
        </is>
      </c>
      <c r="K146" s="33" t="inlineStr">
        <is>
          <t>Owner/Chef Gate</t>
        </is>
      </c>
      <c r="L146" s="39" t="n"/>
      <c r="M146" s="39" t="n"/>
      <c r="N146" s="33" t="inlineStr">
        <is>
          <t>2026-08-03</t>
        </is>
      </c>
    </row>
    <row r="147">
      <c r="A147" s="33" t="inlineStr">
        <is>
          <t>CQ-0142</t>
        </is>
      </c>
      <c r="B147" s="33" t="inlineStr">
        <is>
          <t>VKM-031</t>
        </is>
      </c>
      <c r="C147" s="33" t="inlineStr">
        <is>
          <t>Мадлен</t>
        </is>
      </c>
      <c r="D147" s="33" t="inlineStr">
        <is>
          <t>SEMI_FINISHED</t>
        </is>
      </c>
      <c r="E147" s="33" t="inlineStr">
        <is>
          <t>Подтвердить выделение, код и размер партии связанных полуфабрикатов; указать общие полуфабрикаты.</t>
        </is>
      </c>
      <c r="F147" s="33" t="inlineStr">
        <is>
          <t>OPEN</t>
        </is>
      </c>
      <c r="G147" s="33" t="inlineStr">
        <is>
          <t>Chef</t>
        </is>
      </c>
      <c r="H147" s="33" t="inlineStr">
        <is>
          <t>DAG; двойной учёт; себестоимость; планирование</t>
        </is>
      </c>
      <c r="I147" s="33" t="inlineStr">
        <is>
          <t>EVD-0009</t>
        </is>
      </c>
      <c r="J147" s="33" t="inlineStr">
        <is>
          <t>GAP-006</t>
        </is>
      </c>
      <c r="K147" s="33" t="inlineStr">
        <is>
          <t>Owner/Chef Gate</t>
        </is>
      </c>
      <c r="L147" s="39" t="n"/>
      <c r="M147" s="39" t="n"/>
      <c r="N147" s="33" t="inlineStr">
        <is>
          <t>2026-08-03</t>
        </is>
      </c>
    </row>
    <row r="148">
      <c r="A148" s="33" t="inlineStr">
        <is>
          <t>CQ-0143</t>
        </is>
      </c>
      <c r="B148" s="33" t="inlineStr">
        <is>
          <t>VKM-031</t>
        </is>
      </c>
      <c r="C148" s="33" t="inlineStr">
        <is>
          <t>Мадлен</t>
        </is>
      </c>
      <c r="D148" s="33" t="inlineStr">
        <is>
          <t>PROCESS_FLOW_FOR_SAFETY</t>
        </is>
      </c>
      <c r="E148" s="33" t="inlineStr">
        <is>
          <t>Подтвердить фактический маршрут блюда по каналам: немедленная подача, хранение, охлаждение, разогрев и/или доставка; параметры не назначать без Food Safety re-review.</t>
        </is>
      </c>
      <c r="F148" s="33" t="inlineStr">
        <is>
          <t>OPEN</t>
        </is>
      </c>
      <c r="G148" s="33" t="inlineStr">
        <is>
          <t>Chef</t>
        </is>
      </c>
      <c r="H148" s="33" t="inlineStr">
        <is>
          <t>Safety veto; ППК/HACCP; маркировка и прослеживаемость</t>
        </is>
      </c>
      <c r="I148" s="33" t="inlineStr">
        <is>
          <t>EVD-0013;EVD-0014;EVD-FS-001;EVD-FS-003</t>
        </is>
      </c>
      <c r="J148" s="33" t="inlineStr">
        <is>
          <t>GAP-010;GAP-011</t>
        </is>
      </c>
      <c r="K148" s="33" t="inlineStr">
        <is>
          <t>Owner/Chef Gate</t>
        </is>
      </c>
      <c r="L148" s="39" t="n"/>
      <c r="M148" s="39" t="n"/>
      <c r="N148" s="33" t="inlineStr">
        <is>
          <t>2026-08-03</t>
        </is>
      </c>
    </row>
    <row r="149">
      <c r="A149" s="33" t="inlineStr">
        <is>
          <t>CQ-0144</t>
        </is>
      </c>
      <c r="B149" s="33" t="inlineStr">
        <is>
          <t>VKM-031</t>
        </is>
      </c>
      <c r="C149" s="33" t="inlineStr">
        <is>
          <t>Мадлен</t>
        </is>
      </c>
      <c r="D149" s="33" t="inlineStr">
        <is>
          <t>BATCH</t>
        </is>
      </c>
      <c r="E149" s="33" t="inlineStr">
        <is>
          <t>Подтвердить размер партии, число изделий/порций, массу до и после стабилизации и правила допустимого отклонения.</t>
        </is>
      </c>
      <c r="F149" s="33" t="inlineStr">
        <is>
          <t>OPEN</t>
        </is>
      </c>
      <c r="G149" s="33" t="inlineStr">
        <is>
          <t>Chef</t>
        </is>
      </c>
      <c r="H149" s="33" t="inlineStr">
        <is>
          <t>Mass balance; порционирование; capacity</t>
        </is>
      </c>
      <c r="I149" s="33" t="inlineStr">
        <is>
          <t>EVD-0005;EVD-0008</t>
        </is>
      </c>
      <c r="J149" s="33" t="inlineStr">
        <is>
          <t>GAP-002;GAP-005</t>
        </is>
      </c>
      <c r="K149" s="33" t="inlineStr">
        <is>
          <t>Owner/Chef Gate</t>
        </is>
      </c>
      <c r="L149" s="39" t="n"/>
      <c r="M149" s="39" t="n"/>
      <c r="N149" s="33" t="inlineStr">
        <is>
          <t>2026-08-03</t>
        </is>
      </c>
    </row>
  </sheetData>
  <mergeCells count="2">
    <mergeCell ref="A2:N2"/>
    <mergeCell ref="A1:N1"/>
  </mergeCells>
  <dataValidations count="1">
    <dataValidation sqref="F6:F149" showDropDown="0" showInputMessage="0" showErrorMessage="0" allowBlank="0" type="list">
      <formula1>"OPEN,ANSWERED,SUPERSEDED"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8" customWidth="1" min="3" max="3"/>
    <col width="25" customWidth="1" min="4" max="4"/>
    <col width="13" customWidth="1" min="5" max="5"/>
    <col width="18" customWidth="1" min="6" max="6"/>
    <col width="13" customWidth="1" min="7" max="7"/>
    <col width="18" customWidth="1" min="8" max="8"/>
    <col width="13" customWidth="1" min="9" max="9"/>
    <col width="25" customWidth="1" min="10" max="10"/>
    <col width="30" customWidth="1" min="11" max="11"/>
    <col width="38" customWidth="1" min="12" max="12"/>
  </cols>
  <sheetData>
    <row r="1" ht="30" customHeight="1">
      <c r="A1" s="27" t="inlineStr">
        <is>
          <t>13 — Согласование</t>
        </is>
      </c>
    </row>
    <row r="2" ht="27" customHeight="1">
      <c r="A2" s="29" t="inlineStr">
        <is>
          <t>Approval fields are intentionally blank. Safety veto prevents readiness upgrade without a new FoodSafety review.</t>
        </is>
      </c>
    </row>
    <row r="3">
      <c r="A3" s="28" t="n"/>
      <c r="B3" s="28" t="n"/>
      <c r="C3" s="28" t="n"/>
      <c r="D3" s="28" t="n"/>
      <c r="E3" s="28" t="n"/>
      <c r="F3" s="28" t="n"/>
      <c r="G3" s="28" t="n"/>
      <c r="H3" s="28" t="n"/>
      <c r="I3" s="28" t="n"/>
      <c r="J3" s="28" t="n"/>
      <c r="K3" s="28" t="n"/>
      <c r="L3" s="28" t="n"/>
    </row>
    <row r="4">
      <c r="A4" s="28" t="n"/>
      <c r="B4" s="28" t="n"/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</row>
    <row r="5" ht="34" customHeight="1">
      <c r="A5" s="32" t="inlineStr">
        <is>
          <t>Dish ID</t>
        </is>
      </c>
      <c r="B5" s="32" t="inlineStr">
        <is>
          <t>Блюдо</t>
        </is>
      </c>
      <c r="C5" s="32" t="inlineStr">
        <is>
          <t>Recipe version</t>
        </is>
      </c>
      <c r="D5" s="32" t="inlineStr">
        <is>
          <t>Current status</t>
        </is>
      </c>
      <c r="E5" s="32" t="inlineStr">
        <is>
          <t>Safety veto</t>
        </is>
      </c>
      <c r="F5" s="32" t="inlineStr">
        <is>
          <t>Chef decision</t>
        </is>
      </c>
      <c r="G5" s="32" t="inlineStr">
        <is>
          <t>Chef date</t>
        </is>
      </c>
      <c r="H5" s="32" t="inlineStr">
        <is>
          <t>Owner decision</t>
        </is>
      </c>
      <c r="I5" s="32" t="inlineStr">
        <is>
          <t>Owner date</t>
        </is>
      </c>
      <c r="J5" s="32" t="inlineStr">
        <is>
          <t>Approval status</t>
        </is>
      </c>
      <c r="K5" s="32" t="inlineStr">
        <is>
          <t>Open conflicts</t>
        </is>
      </c>
      <c r="L5" s="32" t="inlineStr">
        <is>
          <t>Change control</t>
        </is>
      </c>
    </row>
    <row r="6">
      <c r="A6" s="33" t="inlineStr">
        <is>
          <t>VKM-001</t>
        </is>
      </c>
      <c r="B6" s="33" t="inlineStr">
        <is>
          <t>Маргарита</t>
        </is>
      </c>
      <c r="C6" s="33" t="inlineStr">
        <is>
          <t>0.1.0-DRAFT</t>
        </is>
      </c>
      <c r="D6" s="33" t="inlineStr">
        <is>
          <t>DRAFT_WITH_ASSUMPTIONS</t>
        </is>
      </c>
      <c r="E6" s="33" t="inlineStr">
        <is>
          <t>BLOCK</t>
        </is>
      </c>
      <c r="F6" s="39" t="n"/>
      <c r="G6" s="39" t="n"/>
      <c r="H6" s="39" t="n"/>
      <c r="I6" s="39" t="n"/>
      <c r="J6" s="33" t="inlineStr">
        <is>
          <t>PENDING_OWNER_CHEF_GATE</t>
        </is>
      </c>
      <c r="K6" s="33" t="inlineStr">
        <is>
          <t>INT-C-002;INT-C-004;INT-C-005;INT-C-006;INT-C-007;INT-C-008</t>
        </is>
      </c>
      <c r="L6" s="33" t="inlineStr">
        <is>
          <t>Change Request + new handoff required</t>
        </is>
      </c>
    </row>
    <row r="7">
      <c r="A7" s="33" t="inlineStr">
        <is>
          <t>VKM-002</t>
        </is>
      </c>
      <c r="B7" s="33" t="inlineStr">
        <is>
          <t>Четыре сыра</t>
        </is>
      </c>
      <c r="C7" s="33" t="inlineStr">
        <is>
          <t>0.1.0-DRAFT</t>
        </is>
      </c>
      <c r="D7" s="33" t="inlineStr">
        <is>
          <t>DRAFT_WITH_ASSUMPTIONS</t>
        </is>
      </c>
      <c r="E7" s="33" t="inlineStr">
        <is>
          <t>BLOCK</t>
        </is>
      </c>
      <c r="F7" s="39" t="n"/>
      <c r="G7" s="39" t="n"/>
      <c r="H7" s="39" t="n"/>
      <c r="I7" s="39" t="n"/>
      <c r="J7" s="33" t="inlineStr">
        <is>
          <t>PENDING_OWNER_CHEF_GATE</t>
        </is>
      </c>
      <c r="K7" s="33" t="inlineStr">
        <is>
          <t>INT-C-002;INT-C-004;INT-C-005;INT-C-006;INT-C-007;INT-C-008</t>
        </is>
      </c>
      <c r="L7" s="33" t="inlineStr">
        <is>
          <t>Change Request + new handoff required</t>
        </is>
      </c>
    </row>
    <row r="8">
      <c r="A8" s="33" t="inlineStr">
        <is>
          <t>VKM-003</t>
        </is>
      </c>
      <c r="B8" s="33" t="inlineStr">
        <is>
          <t>Грибная с ветчиной</t>
        </is>
      </c>
      <c r="C8" s="33" t="inlineStr">
        <is>
          <t>0.1.0-DRAFT</t>
        </is>
      </c>
      <c r="D8" s="33" t="inlineStr">
        <is>
          <t>DRAFT_WITH_ASSUMPTIONS</t>
        </is>
      </c>
      <c r="E8" s="33" t="inlineStr">
        <is>
          <t>BLOCK</t>
        </is>
      </c>
      <c r="F8" s="39" t="n"/>
      <c r="G8" s="39" t="n"/>
      <c r="H8" s="39" t="n"/>
      <c r="I8" s="39" t="n"/>
      <c r="J8" s="33" t="inlineStr">
        <is>
          <t>PENDING_OWNER_CHEF_GATE</t>
        </is>
      </c>
      <c r="K8" s="33" t="inlineStr">
        <is>
          <t>INT-C-002;INT-C-004;INT-C-005;INT-C-006;INT-C-007;INT-C-008</t>
        </is>
      </c>
      <c r="L8" s="33" t="inlineStr">
        <is>
          <t>Change Request + new handoff required</t>
        </is>
      </c>
    </row>
    <row r="9">
      <c r="A9" s="33" t="inlineStr">
        <is>
          <t>VKM-004</t>
        </is>
      </c>
      <c r="B9" s="33" t="inlineStr">
        <is>
          <t>Пепперони</t>
        </is>
      </c>
      <c r="C9" s="33" t="inlineStr">
        <is>
          <t>0.1.0-DRAFT</t>
        </is>
      </c>
      <c r="D9" s="33" t="inlineStr">
        <is>
          <t>DRAFT_WITH_ASSUMPTIONS</t>
        </is>
      </c>
      <c r="E9" s="33" t="inlineStr">
        <is>
          <t>BLOCK</t>
        </is>
      </c>
      <c r="F9" s="39" t="n"/>
      <c r="G9" s="39" t="n"/>
      <c r="H9" s="39" t="n"/>
      <c r="I9" s="39" t="n"/>
      <c r="J9" s="33" t="inlineStr">
        <is>
          <t>PENDING_OWNER_CHEF_GATE</t>
        </is>
      </c>
      <c r="K9" s="33" t="inlineStr">
        <is>
          <t>INT-C-002;INT-C-004;INT-C-005;INT-C-006;INT-C-007;INT-C-008</t>
        </is>
      </c>
      <c r="L9" s="33" t="inlineStr">
        <is>
          <t>Change Request + new handoff required</t>
        </is>
      </c>
    </row>
    <row r="10">
      <c r="A10" s="33" t="inlineStr">
        <is>
          <t>VKM-005</t>
        </is>
      </c>
      <c r="B10" s="33" t="inlineStr">
        <is>
          <t>Белая чиабатта</t>
        </is>
      </c>
      <c r="C10" s="33" t="inlineStr">
        <is>
          <t>0.1.0-DRAFT</t>
        </is>
      </c>
      <c r="D10" s="33" t="inlineStr">
        <is>
          <t>DRAFT_WITH_ASSUMPTIONS</t>
        </is>
      </c>
      <c r="E10" s="33" t="inlineStr">
        <is>
          <t>BLOCK</t>
        </is>
      </c>
      <c r="F10" s="39" t="n"/>
      <c r="G10" s="39" t="n"/>
      <c r="H10" s="39" t="n"/>
      <c r="I10" s="39" t="n"/>
      <c r="J10" s="33" t="inlineStr">
        <is>
          <t>PENDING_OWNER_CHEF_GATE</t>
        </is>
      </c>
      <c r="K10" s="33" t="inlineStr">
        <is>
          <t>INT-C-002;INT-C-004;INT-C-005;INT-C-006;INT-C-007;INT-C-003</t>
        </is>
      </c>
      <c r="L10" s="33" t="inlineStr">
        <is>
          <t>Change Request + new handoff required</t>
        </is>
      </c>
    </row>
    <row r="11">
      <c r="A11" s="33" t="inlineStr">
        <is>
          <t>VKM-006</t>
        </is>
      </c>
      <c r="B11" s="33" t="inlineStr">
        <is>
          <t>Томатная чиабатта</t>
        </is>
      </c>
      <c r="C11" s="33" t="inlineStr">
        <is>
          <t>0.1.0-DRAFT</t>
        </is>
      </c>
      <c r="D11" s="33" t="inlineStr">
        <is>
          <t>DRAFT_WITH_ASSUMPTIONS</t>
        </is>
      </c>
      <c r="E11" s="33" t="inlineStr">
        <is>
          <t>BLOCK</t>
        </is>
      </c>
      <c r="F11" s="39" t="n"/>
      <c r="G11" s="39" t="n"/>
      <c r="H11" s="39" t="n"/>
      <c r="I11" s="39" t="n"/>
      <c r="J11" s="33" t="inlineStr">
        <is>
          <t>PENDING_OWNER_CHEF_GATE</t>
        </is>
      </c>
      <c r="K11" s="33" t="inlineStr">
        <is>
          <t>INT-C-002;INT-C-004;INT-C-005;INT-C-006;INT-C-007;INT-C-003</t>
        </is>
      </c>
      <c r="L11" s="33" t="inlineStr">
        <is>
          <t>Change Request + new handoff required</t>
        </is>
      </c>
    </row>
    <row r="12">
      <c r="A12" s="33" t="inlineStr">
        <is>
          <t>VKM-007</t>
        </is>
      </c>
      <c r="B12" s="33" t="inlineStr">
        <is>
          <t>Бородинский хлеб</t>
        </is>
      </c>
      <c r="C12" s="33" t="inlineStr">
        <is>
          <t>0.1.0-DRAFT</t>
        </is>
      </c>
      <c r="D12" s="33" t="inlineStr">
        <is>
          <t>DRAFT_WITH_ASSUMPTIONS</t>
        </is>
      </c>
      <c r="E12" s="33" t="inlineStr">
        <is>
          <t>BLOCK</t>
        </is>
      </c>
      <c r="F12" s="39" t="n"/>
      <c r="G12" s="39" t="n"/>
      <c r="H12" s="39" t="n"/>
      <c r="I12" s="39" t="n"/>
      <c r="J12" s="33" t="inlineStr">
        <is>
          <t>PENDING_OWNER_CHEF_GATE</t>
        </is>
      </c>
      <c r="K12" s="33" t="inlineStr">
        <is>
          <t>INT-C-002;INT-C-004;INT-C-005;INT-C-006;INT-C-007;INT-C-003</t>
        </is>
      </c>
      <c r="L12" s="33" t="inlineStr">
        <is>
          <t>Change Request + new handoff required</t>
        </is>
      </c>
    </row>
    <row r="13">
      <c r="A13" s="33" t="inlineStr">
        <is>
          <t>VKM-008</t>
        </is>
      </c>
      <c r="B13" s="33" t="inlineStr">
        <is>
          <t>Бриошь</t>
        </is>
      </c>
      <c r="C13" s="33" t="inlineStr">
        <is>
          <t>0.1.0-DRAFT</t>
        </is>
      </c>
      <c r="D13" s="33" t="inlineStr">
        <is>
          <t>DRAFT_WITH_ASSUMPTIONS</t>
        </is>
      </c>
      <c r="E13" s="33" t="inlineStr">
        <is>
          <t>BLOCK</t>
        </is>
      </c>
      <c r="F13" s="39" t="n"/>
      <c r="G13" s="39" t="n"/>
      <c r="H13" s="39" t="n"/>
      <c r="I13" s="39" t="n"/>
      <c r="J13" s="33" t="inlineStr">
        <is>
          <t>PENDING_OWNER_CHEF_GATE</t>
        </is>
      </c>
      <c r="K13" s="33" t="inlineStr">
        <is>
          <t>INT-C-002;INT-C-004;INT-C-005;INT-C-006;INT-C-007;INT-C-003</t>
        </is>
      </c>
      <c r="L13" s="33" t="inlineStr">
        <is>
          <t>Change Request + new handoff required</t>
        </is>
      </c>
    </row>
    <row r="14">
      <c r="A14" s="33" t="inlineStr">
        <is>
          <t>VKM-009</t>
        </is>
      </c>
      <c r="B14" s="33" t="inlineStr">
        <is>
          <t>Буррата с томатами</t>
        </is>
      </c>
      <c r="C14" s="33" t="inlineStr">
        <is>
          <t>0.1.0-DRAFT</t>
        </is>
      </c>
      <c r="D14" s="33" t="inlineStr">
        <is>
          <t>DRAFT_WITH_ASSUMPTIONS</t>
        </is>
      </c>
      <c r="E14" s="33" t="inlineStr">
        <is>
          <t>BLOCK</t>
        </is>
      </c>
      <c r="F14" s="39" t="n"/>
      <c r="G14" s="39" t="n"/>
      <c r="H14" s="39" t="n"/>
      <c r="I14" s="39" t="n"/>
      <c r="J14" s="33" t="inlineStr">
        <is>
          <t>PENDING_OWNER_CHEF_GATE</t>
        </is>
      </c>
      <c r="K14" s="33" t="inlineStr">
        <is>
          <t>INT-C-002;INT-C-004;INT-C-005;INT-C-006;INT-C-007</t>
        </is>
      </c>
      <c r="L14" s="33" t="inlineStr">
        <is>
          <t>Change Request + new handoff required</t>
        </is>
      </c>
    </row>
    <row r="15">
      <c r="A15" s="33" t="inlineStr">
        <is>
          <t>VKM-010</t>
        </is>
      </c>
      <c r="B15" s="33" t="inlineStr">
        <is>
          <t>Микс-салат с креветками и яблоком</t>
        </is>
      </c>
      <c r="C15" s="33" t="inlineStr">
        <is>
          <t>0.1.0-DRAFT</t>
        </is>
      </c>
      <c r="D15" s="33" t="inlineStr">
        <is>
          <t>DRAFT_WITH_ASSUMPTIONS</t>
        </is>
      </c>
      <c r="E15" s="33" t="inlineStr">
        <is>
          <t>BLOCK</t>
        </is>
      </c>
      <c r="F15" s="39" t="n"/>
      <c r="G15" s="39" t="n"/>
      <c r="H15" s="39" t="n"/>
      <c r="I15" s="39" t="n"/>
      <c r="J15" s="33" t="inlineStr">
        <is>
          <t>PENDING_OWNER_CHEF_GATE</t>
        </is>
      </c>
      <c r="K15" s="33" t="inlineStr">
        <is>
          <t>INT-C-002;INT-C-004;INT-C-005;INT-C-006;INT-C-007</t>
        </is>
      </c>
      <c r="L15" s="33" t="inlineStr">
        <is>
          <t>Change Request + new handoff required</t>
        </is>
      </c>
    </row>
    <row r="16">
      <c r="A16" s="33" t="inlineStr">
        <is>
          <t>VKM-011</t>
        </is>
      </c>
      <c r="B16" s="33" t="inlineStr">
        <is>
          <t>Греческий</t>
        </is>
      </c>
      <c r="C16" s="33" t="inlineStr">
        <is>
          <t>0.1.0-DRAFT</t>
        </is>
      </c>
      <c r="D16" s="33" t="inlineStr">
        <is>
          <t>DRAFT_WITH_ASSUMPTIONS</t>
        </is>
      </c>
      <c r="E16" s="33" t="inlineStr">
        <is>
          <t>BLOCK</t>
        </is>
      </c>
      <c r="F16" s="39" t="n"/>
      <c r="G16" s="39" t="n"/>
      <c r="H16" s="39" t="n"/>
      <c r="I16" s="39" t="n"/>
      <c r="J16" s="33" t="inlineStr">
        <is>
          <t>PENDING_OWNER_CHEF_GATE</t>
        </is>
      </c>
      <c r="K16" s="33" t="inlineStr">
        <is>
          <t>INT-C-002;INT-C-004;INT-C-005;INT-C-006;INT-C-007</t>
        </is>
      </c>
      <c r="L16" s="33" t="inlineStr">
        <is>
          <t>Change Request + new handoff required</t>
        </is>
      </c>
    </row>
    <row r="17">
      <c r="A17" s="33" t="inlineStr">
        <is>
          <t>VKM-012</t>
        </is>
      </c>
      <c r="B17" s="33" t="inlineStr">
        <is>
          <t>Винегрет</t>
        </is>
      </c>
      <c r="C17" s="33" t="inlineStr">
        <is>
          <t>0.1.0-DRAFT</t>
        </is>
      </c>
      <c r="D17" s="33" t="inlineStr">
        <is>
          <t>DRAFT_WITH_ASSUMPTIONS</t>
        </is>
      </c>
      <c r="E17" s="33" t="inlineStr">
        <is>
          <t>BLOCK</t>
        </is>
      </c>
      <c r="F17" s="39" t="n"/>
      <c r="G17" s="39" t="n"/>
      <c r="H17" s="39" t="n"/>
      <c r="I17" s="39" t="n"/>
      <c r="J17" s="33" t="inlineStr">
        <is>
          <t>PENDING_OWNER_CHEF_GATE</t>
        </is>
      </c>
      <c r="K17" s="33" t="inlineStr">
        <is>
          <t>INT-C-002;INT-C-004;INT-C-005;INT-C-006;INT-C-007</t>
        </is>
      </c>
      <c r="L17" s="33" t="inlineStr">
        <is>
          <t>Change Request + new handoff required</t>
        </is>
      </c>
    </row>
    <row r="18">
      <c r="A18" s="33" t="inlineStr">
        <is>
          <t>VKM-013</t>
        </is>
      </c>
      <c r="B18" s="33" t="inlineStr">
        <is>
          <t>Слабосолёный лосось</t>
        </is>
      </c>
      <c r="C18" s="33" t="inlineStr">
        <is>
          <t>0.1.0-DRAFT</t>
        </is>
      </c>
      <c r="D18" s="33" t="inlineStr">
        <is>
          <t>DRAFT_WITH_ASSUMPTIONS</t>
        </is>
      </c>
      <c r="E18" s="33" t="inlineStr">
        <is>
          <t>BLOCK</t>
        </is>
      </c>
      <c r="F18" s="39" t="n"/>
      <c r="G18" s="39" t="n"/>
      <c r="H18" s="39" t="n"/>
      <c r="I18" s="39" t="n"/>
      <c r="J18" s="33" t="inlineStr">
        <is>
          <t>PENDING_OWNER_CHEF_GATE</t>
        </is>
      </c>
      <c r="K18" s="33" t="inlineStr">
        <is>
          <t>INT-C-002;INT-C-004;INT-C-005;INT-C-006;INT-C-007;INT-C-008</t>
        </is>
      </c>
      <c r="L18" s="33" t="inlineStr">
        <is>
          <t>Change Request + new handoff required</t>
        </is>
      </c>
    </row>
    <row r="19">
      <c r="A19" s="33" t="inlineStr">
        <is>
          <t>VKM-014</t>
        </is>
      </c>
      <c r="B19" s="33" t="inlineStr">
        <is>
          <t>Сельдь с запечённым картофелем</t>
        </is>
      </c>
      <c r="C19" s="33" t="inlineStr">
        <is>
          <t>0.1.0-DRAFT</t>
        </is>
      </c>
      <c r="D19" s="33" t="inlineStr">
        <is>
          <t>DRAFT_WITH_ASSUMPTIONS</t>
        </is>
      </c>
      <c r="E19" s="33" t="inlineStr">
        <is>
          <t>BLOCK</t>
        </is>
      </c>
      <c r="F19" s="39" t="n"/>
      <c r="G19" s="39" t="n"/>
      <c r="H19" s="39" t="n"/>
      <c r="I19" s="39" t="n"/>
      <c r="J19" s="33" t="inlineStr">
        <is>
          <t>PENDING_OWNER_CHEF_GATE</t>
        </is>
      </c>
      <c r="K19" s="33" t="inlineStr">
        <is>
          <t>INT-C-002;INT-C-004;INT-C-005;INT-C-006;INT-C-007</t>
        </is>
      </c>
      <c r="L19" s="33" t="inlineStr">
        <is>
          <t>Change Request + new handoff required</t>
        </is>
      </c>
    </row>
    <row r="20">
      <c r="A20" s="33" t="inlineStr">
        <is>
          <t>VKM-015</t>
        </is>
      </c>
      <c r="B20" s="33" t="inlineStr">
        <is>
          <t>Оливки и маслины</t>
        </is>
      </c>
      <c r="C20" s="33" t="inlineStr">
        <is>
          <t>0.1.0-DRAFT</t>
        </is>
      </c>
      <c r="D20" s="33" t="inlineStr">
        <is>
          <t>DRAFT_WITH_ASSUMPTIONS</t>
        </is>
      </c>
      <c r="E20" s="33" t="inlineStr">
        <is>
          <t>BLOCK</t>
        </is>
      </c>
      <c r="F20" s="39" t="n"/>
      <c r="G20" s="39" t="n"/>
      <c r="H20" s="39" t="n"/>
      <c r="I20" s="39" t="n"/>
      <c r="J20" s="33" t="inlineStr">
        <is>
          <t>PENDING_OWNER_CHEF_GATE</t>
        </is>
      </c>
      <c r="K20" s="33" t="inlineStr">
        <is>
          <t>INT-C-002;INT-C-004;INT-C-005;INT-C-006;INT-C-007</t>
        </is>
      </c>
      <c r="L20" s="33" t="inlineStr">
        <is>
          <t>Change Request + new handoff required</t>
        </is>
      </c>
    </row>
    <row r="21">
      <c r="A21" s="33" t="inlineStr">
        <is>
          <t>VKM-016</t>
        </is>
      </c>
      <c r="B21" s="33" t="inlineStr">
        <is>
          <t>Ассорти фирменных солений</t>
        </is>
      </c>
      <c r="C21" s="33" t="inlineStr">
        <is>
          <t>0.1.0-DRAFT</t>
        </is>
      </c>
      <c r="D21" s="33" t="inlineStr">
        <is>
          <t>DRAFT_WITH_ASSUMPTIONS</t>
        </is>
      </c>
      <c r="E21" s="33" t="inlineStr">
        <is>
          <t>BLOCK</t>
        </is>
      </c>
      <c r="F21" s="39" t="n"/>
      <c r="G21" s="39" t="n"/>
      <c r="H21" s="39" t="n"/>
      <c r="I21" s="39" t="n"/>
      <c r="J21" s="33" t="inlineStr">
        <is>
          <t>PENDING_OWNER_CHEF_GATE</t>
        </is>
      </c>
      <c r="K21" s="33" t="inlineStr">
        <is>
          <t>INT-C-002;INT-C-004;INT-C-005;INT-C-006;INT-C-007;INT-C-008</t>
        </is>
      </c>
      <c r="L21" s="33" t="inlineStr">
        <is>
          <t>Change Request + new handoff required</t>
        </is>
      </c>
    </row>
    <row r="22">
      <c r="A22" s="33" t="inlineStr">
        <is>
          <t>VKM-017</t>
        </is>
      </c>
      <c r="B22" s="33" t="inlineStr">
        <is>
          <t>Ростбиф с луком и гренкой</t>
        </is>
      </c>
      <c r="C22" s="33" t="inlineStr">
        <is>
          <t>0.1.0-DRAFT</t>
        </is>
      </c>
      <c r="D22" s="33" t="inlineStr">
        <is>
          <t>DRAFT_WITH_ASSUMPTIONS</t>
        </is>
      </c>
      <c r="E22" s="33" t="inlineStr">
        <is>
          <t>BLOCK</t>
        </is>
      </c>
      <c r="F22" s="39" t="n"/>
      <c r="G22" s="39" t="n"/>
      <c r="H22" s="39" t="n"/>
      <c r="I22" s="39" t="n"/>
      <c r="J22" s="33" t="inlineStr">
        <is>
          <t>PENDING_OWNER_CHEF_GATE</t>
        </is>
      </c>
      <c r="K22" s="33" t="inlineStr">
        <is>
          <t>INT-C-002;INT-C-004;INT-C-005;INT-C-006;INT-C-007</t>
        </is>
      </c>
      <c r="L22" s="33" t="inlineStr">
        <is>
          <t>Change Request + new handoff required</t>
        </is>
      </c>
    </row>
    <row r="23">
      <c r="A23" s="33" t="inlineStr">
        <is>
          <t>VKM-018</t>
        </is>
      </c>
      <c r="B23" s="33" t="inlineStr">
        <is>
          <t>Традиционный красный борщ</t>
        </is>
      </c>
      <c r="C23" s="33" t="inlineStr">
        <is>
          <t>0.1.0-DRAFT</t>
        </is>
      </c>
      <c r="D23" s="33" t="inlineStr">
        <is>
          <t>DRAFT_WITH_ASSUMPTIONS</t>
        </is>
      </c>
      <c r="E23" s="33" t="inlineStr">
        <is>
          <t>BLOCK</t>
        </is>
      </c>
      <c r="F23" s="39" t="n"/>
      <c r="G23" s="39" t="n"/>
      <c r="H23" s="39" t="n"/>
      <c r="I23" s="39" t="n"/>
      <c r="J23" s="33" t="inlineStr">
        <is>
          <t>PENDING_OWNER_CHEF_GATE</t>
        </is>
      </c>
      <c r="K23" s="33" t="inlineStr">
        <is>
          <t>INT-C-002;INT-C-004;INT-C-005;INT-C-006;INT-C-007;INT-C-008</t>
        </is>
      </c>
      <c r="L23" s="33" t="inlineStr">
        <is>
          <t>Change Request + new handoff required</t>
        </is>
      </c>
    </row>
    <row r="24">
      <c r="A24" s="33" t="inlineStr">
        <is>
          <t>VKM-019</t>
        </is>
      </c>
      <c r="B24" s="33" t="inlineStr">
        <is>
          <t>Мурманская треска со сливочно-горчичным соусом</t>
        </is>
      </c>
      <c r="C24" s="33" t="inlineStr">
        <is>
          <t>0.1.0-DRAFT</t>
        </is>
      </c>
      <c r="D24" s="33" t="inlineStr">
        <is>
          <t>DRAFT_WITH_ASSUMPTIONS</t>
        </is>
      </c>
      <c r="E24" s="33" t="inlineStr">
        <is>
          <t>BLOCK</t>
        </is>
      </c>
      <c r="F24" s="39" t="n"/>
      <c r="G24" s="39" t="n"/>
      <c r="H24" s="39" t="n"/>
      <c r="I24" s="39" t="n"/>
      <c r="J24" s="33" t="inlineStr">
        <is>
          <t>PENDING_OWNER_CHEF_GATE</t>
        </is>
      </c>
      <c r="K24" s="33" t="inlineStr">
        <is>
          <t>INT-C-002;INT-C-004;INT-C-005;INT-C-006;INT-C-007</t>
        </is>
      </c>
      <c r="L24" s="33" t="inlineStr">
        <is>
          <t>Change Request + new handoff required</t>
        </is>
      </c>
    </row>
    <row r="25">
      <c r="A25" s="33" t="inlineStr">
        <is>
          <t>VKM-020</t>
        </is>
      </c>
      <c r="B25" s="33" t="inlineStr">
        <is>
          <t>Креветки по-тайски</t>
        </is>
      </c>
      <c r="C25" s="33" t="inlineStr">
        <is>
          <t>0.1.0-DRAFT</t>
        </is>
      </c>
      <c r="D25" s="33" t="inlineStr">
        <is>
          <t>DRAFT_WITH_ASSUMPTIONS</t>
        </is>
      </c>
      <c r="E25" s="33" t="inlineStr">
        <is>
          <t>BLOCK</t>
        </is>
      </c>
      <c r="F25" s="39" t="n"/>
      <c r="G25" s="39" t="n"/>
      <c r="H25" s="39" t="n"/>
      <c r="I25" s="39" t="n"/>
      <c r="J25" s="33" t="inlineStr">
        <is>
          <t>PENDING_OWNER_CHEF_GATE</t>
        </is>
      </c>
      <c r="K25" s="33" t="inlineStr">
        <is>
          <t>INT-C-002;INT-C-004;INT-C-005;INT-C-006;INT-C-007;INT-C-008</t>
        </is>
      </c>
      <c r="L25" s="33" t="inlineStr">
        <is>
          <t>Change Request + new handoff required</t>
        </is>
      </c>
    </row>
    <row r="26">
      <c r="A26" s="33" t="inlineStr">
        <is>
          <t>VKM-021</t>
        </is>
      </c>
      <c r="B26" s="33" t="inlineStr">
        <is>
          <t>Бургер VARSHAVKA</t>
        </is>
      </c>
      <c r="C26" s="33" t="inlineStr">
        <is>
          <t>0.1.0-DRAFT</t>
        </is>
      </c>
      <c r="D26" s="33" t="inlineStr">
        <is>
          <t>DRAFT_WITH_ASSUMPTIONS</t>
        </is>
      </c>
      <c r="E26" s="33" t="inlineStr">
        <is>
          <t>BLOCK</t>
        </is>
      </c>
      <c r="F26" s="39" t="n"/>
      <c r="G26" s="39" t="n"/>
      <c r="H26" s="39" t="n"/>
      <c r="I26" s="39" t="n"/>
      <c r="J26" s="33" t="inlineStr">
        <is>
          <t>PENDING_OWNER_CHEF_GATE</t>
        </is>
      </c>
      <c r="K26" s="33" t="inlineStr">
        <is>
          <t>INT-C-002;INT-C-004;INT-C-005;INT-C-006;INT-C-007</t>
        </is>
      </c>
      <c r="L26" s="33" t="inlineStr">
        <is>
          <t>Change Request + new handoff required</t>
        </is>
      </c>
    </row>
    <row r="27">
      <c r="A27" s="33" t="inlineStr">
        <is>
          <t>VKM-022</t>
        </is>
      </c>
      <c r="B27" s="33" t="inlineStr">
        <is>
          <t>Миньоны из говяжьей вырезки</t>
        </is>
      </c>
      <c r="C27" s="33" t="inlineStr">
        <is>
          <t>0.1.0-DRAFT</t>
        </is>
      </c>
      <c r="D27" s="33" t="inlineStr">
        <is>
          <t>DRAFT_WITH_ASSUMPTIONS</t>
        </is>
      </c>
      <c r="E27" s="33" t="inlineStr">
        <is>
          <t>BLOCK</t>
        </is>
      </c>
      <c r="F27" s="39" t="n"/>
      <c r="G27" s="39" t="n"/>
      <c r="H27" s="39" t="n"/>
      <c r="I27" s="39" t="n"/>
      <c r="J27" s="33" t="inlineStr">
        <is>
          <t>PENDING_OWNER_CHEF_GATE</t>
        </is>
      </c>
      <c r="K27" s="33" t="inlineStr">
        <is>
          <t>INT-C-002;INT-C-004;INT-C-005;INT-C-006;INT-C-007;INT-C-008</t>
        </is>
      </c>
      <c r="L27" s="33" t="inlineStr">
        <is>
          <t>Change Request + new handoff required</t>
        </is>
      </c>
    </row>
    <row r="28">
      <c r="A28" s="33" t="inlineStr">
        <is>
          <t>VKM-023</t>
        </is>
      </c>
      <c r="B28" s="33" t="inlineStr">
        <is>
          <t>Запечённый картофель</t>
        </is>
      </c>
      <c r="C28" s="33" t="inlineStr">
        <is>
          <t>0.1.0-DRAFT</t>
        </is>
      </c>
      <c r="D28" s="33" t="inlineStr">
        <is>
          <t>DRAFT_WITH_ASSUMPTIONS</t>
        </is>
      </c>
      <c r="E28" s="33" t="inlineStr">
        <is>
          <t>BLOCK</t>
        </is>
      </c>
      <c r="F28" s="39" t="n"/>
      <c r="G28" s="39" t="n"/>
      <c r="H28" s="39" t="n"/>
      <c r="I28" s="39" t="n"/>
      <c r="J28" s="33" t="inlineStr">
        <is>
          <t>PENDING_OWNER_CHEF_GATE</t>
        </is>
      </c>
      <c r="K28" s="33" t="inlineStr">
        <is>
          <t>INT-C-002;INT-C-004;INT-C-005;INT-C-006;INT-C-007</t>
        </is>
      </c>
      <c r="L28" s="33" t="inlineStr">
        <is>
          <t>Change Request + new handoff required</t>
        </is>
      </c>
    </row>
    <row r="29">
      <c r="A29" s="33" t="inlineStr">
        <is>
          <t>VKM-024</t>
        </is>
      </c>
      <c r="B29" s="33" t="inlineStr">
        <is>
          <t>Рис жасмин</t>
        </is>
      </c>
      <c r="C29" s="33" t="inlineStr">
        <is>
          <t>0.1.0-DRAFT</t>
        </is>
      </c>
      <c r="D29" s="33" t="inlineStr">
        <is>
          <t>DRAFT_WITH_ASSUMPTIONS</t>
        </is>
      </c>
      <c r="E29" s="33" t="inlineStr">
        <is>
          <t>BLOCK</t>
        </is>
      </c>
      <c r="F29" s="39" t="n"/>
      <c r="G29" s="39" t="n"/>
      <c r="H29" s="39" t="n"/>
      <c r="I29" s="39" t="n"/>
      <c r="J29" s="33" t="inlineStr">
        <is>
          <t>PENDING_OWNER_CHEF_GATE</t>
        </is>
      </c>
      <c r="K29" s="33" t="inlineStr">
        <is>
          <t>INT-C-002;INT-C-004;INT-C-005;INT-C-006;INT-C-007</t>
        </is>
      </c>
      <c r="L29" s="33" t="inlineStr">
        <is>
          <t>Change Request + new handoff required</t>
        </is>
      </c>
    </row>
    <row r="30">
      <c r="A30" s="33" t="inlineStr">
        <is>
          <t>VKM-025</t>
        </is>
      </c>
      <c r="B30" s="33" t="inlineStr">
        <is>
          <t>Горячие овощи</t>
        </is>
      </c>
      <c r="C30" s="33" t="inlineStr">
        <is>
          <t>0.1.0-DRAFT</t>
        </is>
      </c>
      <c r="D30" s="33" t="inlineStr">
        <is>
          <t>DRAFT_WITH_ASSUMPTIONS</t>
        </is>
      </c>
      <c r="E30" s="33" t="inlineStr">
        <is>
          <t>BLOCK</t>
        </is>
      </c>
      <c r="F30" s="39" t="n"/>
      <c r="G30" s="39" t="n"/>
      <c r="H30" s="39" t="n"/>
      <c r="I30" s="39" t="n"/>
      <c r="J30" s="33" t="inlineStr">
        <is>
          <t>PENDING_OWNER_CHEF_GATE</t>
        </is>
      </c>
      <c r="K30" s="33" t="inlineStr">
        <is>
          <t>INT-C-002;INT-C-004;INT-C-005;INT-C-006;INT-C-007</t>
        </is>
      </c>
      <c r="L30" s="33" t="inlineStr">
        <is>
          <t>Change Request + new handoff required</t>
        </is>
      </c>
    </row>
    <row r="31">
      <c r="A31" s="33" t="inlineStr">
        <is>
          <t>VKM-029</t>
        </is>
      </c>
      <c r="B31" s="33" t="inlineStr">
        <is>
          <t>Черничный торт VARSHAVKA</t>
        </is>
      </c>
      <c r="C31" s="33" t="inlineStr">
        <is>
          <t>0.1.0-DRAFT</t>
        </is>
      </c>
      <c r="D31" s="33" t="inlineStr">
        <is>
          <t>DRAFT_WITH_ASSUMPTIONS</t>
        </is>
      </c>
      <c r="E31" s="33" t="inlineStr">
        <is>
          <t>BLOCK</t>
        </is>
      </c>
      <c r="F31" s="39" t="n"/>
      <c r="G31" s="39" t="n"/>
      <c r="H31" s="39" t="n"/>
      <c r="I31" s="39" t="n"/>
      <c r="J31" s="33" t="inlineStr">
        <is>
          <t>PENDING_OWNER_CHEF_GATE</t>
        </is>
      </c>
      <c r="K31" s="33" t="inlineStr">
        <is>
          <t>INT-C-002;INT-C-004;INT-C-005;INT-C-006;INT-C-007;INT-C-008</t>
        </is>
      </c>
      <c r="L31" s="33" t="inlineStr">
        <is>
          <t>Change Request + new handoff required</t>
        </is>
      </c>
    </row>
    <row r="32">
      <c r="A32" s="33" t="inlineStr">
        <is>
          <t>VKM-030</t>
        </is>
      </c>
      <c r="B32" s="33" t="inlineStr">
        <is>
          <t>Кростата с солёной карамелью</t>
        </is>
      </c>
      <c r="C32" s="33" t="inlineStr">
        <is>
          <t>0.1.0-DRAFT</t>
        </is>
      </c>
      <c r="D32" s="33" t="inlineStr">
        <is>
          <t>DRAFT_WITH_ASSUMPTIONS</t>
        </is>
      </c>
      <c r="E32" s="33" t="inlineStr">
        <is>
          <t>BLOCK</t>
        </is>
      </c>
      <c r="F32" s="39" t="n"/>
      <c r="G32" s="39" t="n"/>
      <c r="H32" s="39" t="n"/>
      <c r="I32" s="39" t="n"/>
      <c r="J32" s="33" t="inlineStr">
        <is>
          <t>PENDING_OWNER_CHEF_GATE</t>
        </is>
      </c>
      <c r="K32" s="33" t="inlineStr">
        <is>
          <t>INT-C-002;INT-C-004;INT-C-005;INT-C-006;INT-C-007</t>
        </is>
      </c>
      <c r="L32" s="33" t="inlineStr">
        <is>
          <t>Change Request + new handoff required</t>
        </is>
      </c>
    </row>
    <row r="33">
      <c r="A33" s="33" t="inlineStr">
        <is>
          <t>VKM-031</t>
        </is>
      </c>
      <c r="B33" s="33" t="inlineStr">
        <is>
          <t>Мадлен</t>
        </is>
      </c>
      <c r="C33" s="33" t="inlineStr">
        <is>
          <t>0.1.0-DRAFT</t>
        </is>
      </c>
      <c r="D33" s="33" t="inlineStr">
        <is>
          <t>DRAFT_WITH_ASSUMPTIONS</t>
        </is>
      </c>
      <c r="E33" s="33" t="inlineStr">
        <is>
          <t>BLOCK</t>
        </is>
      </c>
      <c r="F33" s="39" t="n"/>
      <c r="G33" s="39" t="n"/>
      <c r="H33" s="39" t="n"/>
      <c r="I33" s="39" t="n"/>
      <c r="J33" s="33" t="inlineStr">
        <is>
          <t>PENDING_OWNER_CHEF_GATE</t>
        </is>
      </c>
      <c r="K33" s="33" t="inlineStr">
        <is>
          <t>INT-C-002;INT-C-004;INT-C-005;INT-C-006;INT-C-007</t>
        </is>
      </c>
      <c r="L33" s="33" t="inlineStr">
        <is>
          <t>Change Request + new handoff required</t>
        </is>
      </c>
    </row>
  </sheetData>
  <mergeCells count="2">
    <mergeCell ref="A2:L2"/>
    <mergeCell ref="A1:L1"/>
  </mergeCells>
  <conditionalFormatting sqref="D6:E33">
    <cfRule type="containsText" priority="1" operator="containsText" dxfId="0" text="BLOCK"/>
    <cfRule type="containsText" priority="2" operator="containsText" dxfId="1" text="PASS"/>
  </conditionalFormatting>
  <dataValidations count="2">
    <dataValidation sqref="F6:F33" showDropDown="0" showInputMessage="0" showErrorMessage="0" allowBlank="0" type="list">
      <formula1>"ACCEPTED,REJECTED,ACCEPTED_WITH_CONDITIONS"</formula1>
    </dataValidation>
    <dataValidation sqref="H6:H33" showDropDown="0" showInputMessage="0" showErrorMessage="0" allowBlank="0" type="list">
      <formula1>"ACCEPTED,REJECTED,ACCEPTED_WITH_CONDITIONS"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3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7" customWidth="1" min="3" max="3"/>
    <col width="18" customWidth="1" min="4" max="4"/>
    <col width="12" customWidth="1" min="5" max="5"/>
    <col width="18" customWidth="1" min="6" max="6"/>
    <col width="12" customWidth="1" min="7" max="7"/>
    <col width="9" customWidth="1" min="8" max="8"/>
    <col width="18" customWidth="1" min="9" max="9"/>
    <col width="13" customWidth="1" min="10" max="10"/>
    <col width="13" customWidth="1" min="11" max="11"/>
    <col width="14" customWidth="1" min="12" max="12"/>
    <col width="16" customWidth="1" min="13" max="13"/>
    <col width="18" customWidth="1" min="14" max="14"/>
    <col width="30" customWidth="1" min="15" max="15"/>
    <col width="45" customWidth="1" min="16" max="16"/>
  </cols>
  <sheetData>
    <row r="1" ht="30" customHeight="1">
      <c r="A1" s="27" t="inlineStr">
        <is>
          <t>14 — Контрольные проработки</t>
        </is>
      </c>
    </row>
    <row r="2" ht="27" customHeight="1">
      <c r="A2" s="29" t="inlineStr">
        <is>
          <t>Plan rows = 28; actual measurements and decisions remain blank until execution.</t>
        </is>
      </c>
    </row>
    <row r="3">
      <c r="A3" s="28" t="n"/>
      <c r="B3" s="28" t="n"/>
      <c r="C3" s="28" t="n"/>
      <c r="D3" s="28" t="n"/>
      <c r="E3" s="28" t="n"/>
      <c r="F3" s="28" t="n"/>
      <c r="G3" s="28" t="n"/>
      <c r="H3" s="28" t="n"/>
      <c r="I3" s="28" t="n"/>
      <c r="J3" s="28" t="n"/>
      <c r="K3" s="28" t="n"/>
      <c r="L3" s="28" t="n"/>
      <c r="M3" s="28" t="n"/>
      <c r="N3" s="28" t="n"/>
      <c r="O3" s="28" t="n"/>
      <c r="P3" s="28" t="n"/>
    </row>
    <row r="4">
      <c r="A4" s="28" t="n"/>
      <c r="B4" s="28" t="n"/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  <c r="P4" s="28" t="n"/>
    </row>
    <row r="5" ht="34" customHeight="1">
      <c r="A5" s="32" t="inlineStr">
        <is>
          <t>Plan ID</t>
        </is>
      </c>
      <c r="B5" s="32" t="inlineStr">
        <is>
          <t>Dish ID</t>
        </is>
      </c>
      <c r="C5" s="32" t="inlineStr">
        <is>
          <t>Блюдо</t>
        </is>
      </c>
      <c r="D5" s="32" t="inlineStr">
        <is>
          <t>Recipe version</t>
        </is>
      </c>
      <c r="E5" s="32" t="inlineStr">
        <is>
          <t>Draft batch</t>
        </is>
      </c>
      <c r="F5" s="32" t="inlineStr">
        <is>
          <t>Unit</t>
        </is>
      </c>
      <c r="G5" s="32" t="inlineStr">
        <is>
          <t>Draft output</t>
        </is>
      </c>
      <c r="H5" s="32" t="inlineStr">
        <is>
          <t>Out unit</t>
        </is>
      </c>
      <c r="I5" s="32" t="inlineStr">
        <is>
          <t>Execution</t>
        </is>
      </c>
      <c r="J5" s="32" t="inlineStr">
        <is>
          <t>Actual gross</t>
        </is>
      </c>
      <c r="K5" s="32" t="inlineStr">
        <is>
          <t>Actual net</t>
        </is>
      </c>
      <c r="L5" s="32" t="inlineStr">
        <is>
          <t>Actual output</t>
        </is>
      </c>
      <c r="M5" s="32" t="inlineStr">
        <is>
          <t>Actual active min</t>
        </is>
      </c>
      <c r="N5" s="32" t="inlineStr">
        <is>
          <t>Decision</t>
        </is>
      </c>
      <c r="O5" s="32" t="inlineStr">
        <is>
          <t>Blockers</t>
        </is>
      </c>
      <c r="P5" s="32" t="inlineStr">
        <is>
          <t>Next action</t>
        </is>
      </c>
    </row>
    <row r="6">
      <c r="A6" s="33" t="inlineStr">
        <is>
          <t>CCP-001</t>
        </is>
      </c>
      <c r="B6" s="33" t="inlineStr">
        <is>
          <t>VKM-001</t>
        </is>
      </c>
      <c r="C6" s="33" t="inlineStr">
        <is>
          <t>Маргарита</t>
        </is>
      </c>
      <c r="D6" s="33" t="inlineStr">
        <is>
          <t>0.1.0-DRAFT</t>
        </is>
      </c>
      <c r="E6" s="33" t="n">
        <v>3</v>
      </c>
      <c r="F6" s="33" t="inlineStr">
        <is>
          <t>порция/изделие</t>
        </is>
      </c>
      <c r="G6" s="33" t="n">
        <v>450</v>
      </c>
      <c r="H6" s="33" t="inlineStr">
        <is>
          <t>г</t>
        </is>
      </c>
      <c r="I6" s="33" t="inlineStr">
        <is>
          <t>НЕ ПРОВЕДЕНО</t>
        </is>
      </c>
      <c r="J6" s="39" t="n"/>
      <c r="K6" s="39" t="n"/>
      <c r="L6" s="39" t="n"/>
      <c r="M6" s="39" t="n"/>
      <c r="N6" s="39" t="n"/>
      <c r="O6" s="33" t="inlineStr">
        <is>
          <t>GAP-002;GAP-005;GAP-008;GAP-025</t>
        </is>
      </c>
      <c r="P6" s="33" t="inlineStr">
        <is>
          <t>Контрольная проработка; Change Request при отклонении от v0.1.0-DRAFT</t>
        </is>
      </c>
    </row>
    <row r="7">
      <c r="A7" s="33" t="inlineStr">
        <is>
          <t>CCP-002</t>
        </is>
      </c>
      <c r="B7" s="33" t="inlineStr">
        <is>
          <t>VKM-002</t>
        </is>
      </c>
      <c r="C7" s="33" t="inlineStr">
        <is>
          <t>Четыре сыра</t>
        </is>
      </c>
      <c r="D7" s="33" t="inlineStr">
        <is>
          <t>0.1.0-DRAFT</t>
        </is>
      </c>
      <c r="E7" s="33" t="n">
        <v>3</v>
      </c>
      <c r="F7" s="33" t="inlineStr">
        <is>
          <t>порция/изделие</t>
        </is>
      </c>
      <c r="G7" s="33" t="n">
        <v>480</v>
      </c>
      <c r="H7" s="33" t="inlineStr">
        <is>
          <t>г</t>
        </is>
      </c>
      <c r="I7" s="33" t="inlineStr">
        <is>
          <t>НЕ ПРОВЕДЕНО</t>
        </is>
      </c>
      <c r="J7" s="39" t="n"/>
      <c r="K7" s="39" t="n"/>
      <c r="L7" s="39" t="n"/>
      <c r="M7" s="39" t="n"/>
      <c r="N7" s="39" t="n"/>
      <c r="O7" s="33" t="inlineStr">
        <is>
          <t>GAP-002;GAP-005;GAP-008;GAP-025</t>
        </is>
      </c>
      <c r="P7" s="33" t="inlineStr">
        <is>
          <t>Контрольная проработка; Change Request при отклонении от v0.1.0-DRAFT</t>
        </is>
      </c>
    </row>
    <row r="8">
      <c r="A8" s="33" t="inlineStr">
        <is>
          <t>CCP-003</t>
        </is>
      </c>
      <c r="B8" s="33" t="inlineStr">
        <is>
          <t>VKM-003</t>
        </is>
      </c>
      <c r="C8" s="33" t="inlineStr">
        <is>
          <t>Грибная с ветчиной</t>
        </is>
      </c>
      <c r="D8" s="33" t="inlineStr">
        <is>
          <t>0.1.0-DRAFT</t>
        </is>
      </c>
      <c r="E8" s="33" t="n">
        <v>3</v>
      </c>
      <c r="F8" s="33" t="inlineStr">
        <is>
          <t>порция/изделие</t>
        </is>
      </c>
      <c r="G8" s="33" t="n">
        <v>500</v>
      </c>
      <c r="H8" s="33" t="inlineStr">
        <is>
          <t>г</t>
        </is>
      </c>
      <c r="I8" s="33" t="inlineStr">
        <is>
          <t>НЕ ПРОВЕДЕНО</t>
        </is>
      </c>
      <c r="J8" s="39" t="n"/>
      <c r="K8" s="39" t="n"/>
      <c r="L8" s="39" t="n"/>
      <c r="M8" s="39" t="n"/>
      <c r="N8" s="39" t="n"/>
      <c r="O8" s="33" t="inlineStr">
        <is>
          <t>GAP-002;GAP-005;GAP-008;GAP-025</t>
        </is>
      </c>
      <c r="P8" s="33" t="inlineStr">
        <is>
          <t>Контрольная проработка; Change Request при отклонении от v0.1.0-DRAFT</t>
        </is>
      </c>
    </row>
    <row r="9">
      <c r="A9" s="33" t="inlineStr">
        <is>
          <t>CCP-004</t>
        </is>
      </c>
      <c r="B9" s="33" t="inlineStr">
        <is>
          <t>VKM-004</t>
        </is>
      </c>
      <c r="C9" s="33" t="inlineStr">
        <is>
          <t>Пепперони</t>
        </is>
      </c>
      <c r="D9" s="33" t="inlineStr">
        <is>
          <t>0.1.0-DRAFT</t>
        </is>
      </c>
      <c r="E9" s="33" t="n">
        <v>3</v>
      </c>
      <c r="F9" s="33" t="inlineStr">
        <is>
          <t>порция/изделие</t>
        </is>
      </c>
      <c r="G9" s="33" t="n">
        <v>500</v>
      </c>
      <c r="H9" s="33" t="inlineStr">
        <is>
          <t>г</t>
        </is>
      </c>
      <c r="I9" s="33" t="inlineStr">
        <is>
          <t>НЕ ПРОВЕДЕНО</t>
        </is>
      </c>
      <c r="J9" s="39" t="n"/>
      <c r="K9" s="39" t="n"/>
      <c r="L9" s="39" t="n"/>
      <c r="M9" s="39" t="n"/>
      <c r="N9" s="39" t="n"/>
      <c r="O9" s="33" t="inlineStr">
        <is>
          <t>GAP-002;GAP-005;GAP-008;GAP-025</t>
        </is>
      </c>
      <c r="P9" s="33" t="inlineStr">
        <is>
          <t>Контрольная проработка; Change Request при отклонении от v0.1.0-DRAFT</t>
        </is>
      </c>
    </row>
    <row r="10">
      <c r="A10" s="33" t="inlineStr">
        <is>
          <t>CCP-005</t>
        </is>
      </c>
      <c r="B10" s="33" t="inlineStr">
        <is>
          <t>VKM-005</t>
        </is>
      </c>
      <c r="C10" s="33" t="inlineStr">
        <is>
          <t>Белая чиабатта</t>
        </is>
      </c>
      <c r="D10" s="33" t="inlineStr">
        <is>
          <t>0.1.0-DRAFT</t>
        </is>
      </c>
      <c r="E10" s="33" t="n">
        <v>5</v>
      </c>
      <c r="F10" s="33" t="inlineStr">
        <is>
          <t>порция/изделие</t>
        </is>
      </c>
      <c r="G10" s="33" t="n">
        <v>100</v>
      </c>
      <c r="H10" s="33" t="inlineStr">
        <is>
          <t>г</t>
        </is>
      </c>
      <c r="I10" s="33" t="inlineStr">
        <is>
          <t>НЕ ПРОВЕДЕНО</t>
        </is>
      </c>
      <c r="J10" s="39" t="n"/>
      <c r="K10" s="39" t="n"/>
      <c r="L10" s="39" t="n"/>
      <c r="M10" s="39" t="n"/>
      <c r="N10" s="39" t="n"/>
      <c r="O10" s="33" t="inlineStr">
        <is>
          <t>GAP-002;GAP-005;GAP-008;GAP-025</t>
        </is>
      </c>
      <c r="P10" s="33" t="inlineStr">
        <is>
          <t>Контрольная проработка; Change Request при отклонении от v0.1.0-DRAFT</t>
        </is>
      </c>
    </row>
    <row r="11">
      <c r="A11" s="33" t="inlineStr">
        <is>
          <t>CCP-006</t>
        </is>
      </c>
      <c r="B11" s="33" t="inlineStr">
        <is>
          <t>VKM-006</t>
        </is>
      </c>
      <c r="C11" s="33" t="inlineStr">
        <is>
          <t>Томатная чиабатта</t>
        </is>
      </c>
      <c r="D11" s="33" t="inlineStr">
        <is>
          <t>0.1.0-DRAFT</t>
        </is>
      </c>
      <c r="E11" s="33" t="n">
        <v>5</v>
      </c>
      <c r="F11" s="33" t="inlineStr">
        <is>
          <t>порция/изделие</t>
        </is>
      </c>
      <c r="G11" s="33" t="n">
        <v>100</v>
      </c>
      <c r="H11" s="33" t="inlineStr">
        <is>
          <t>г</t>
        </is>
      </c>
      <c r="I11" s="33" t="inlineStr">
        <is>
          <t>НЕ ПРОВЕДЕНО</t>
        </is>
      </c>
      <c r="J11" s="39" t="n"/>
      <c r="K11" s="39" t="n"/>
      <c r="L11" s="39" t="n"/>
      <c r="M11" s="39" t="n"/>
      <c r="N11" s="39" t="n"/>
      <c r="O11" s="33" t="inlineStr">
        <is>
          <t>GAP-002;GAP-005;GAP-008;GAP-025</t>
        </is>
      </c>
      <c r="P11" s="33" t="inlineStr">
        <is>
          <t>Контрольная проработка; Change Request при отклонении от v0.1.0-DRAFT</t>
        </is>
      </c>
    </row>
    <row r="12">
      <c r="A12" s="33" t="inlineStr">
        <is>
          <t>CCP-007</t>
        </is>
      </c>
      <c r="B12" s="33" t="inlineStr">
        <is>
          <t>VKM-007</t>
        </is>
      </c>
      <c r="C12" s="33" t="inlineStr">
        <is>
          <t>Бородинский хлеб</t>
        </is>
      </c>
      <c r="D12" s="33" t="inlineStr">
        <is>
          <t>0.1.0-DRAFT</t>
        </is>
      </c>
      <c r="E12" s="33" t="n">
        <v>5</v>
      </c>
      <c r="F12" s="33" t="inlineStr">
        <is>
          <t>порция/изделие</t>
        </is>
      </c>
      <c r="G12" s="33" t="n">
        <v>350</v>
      </c>
      <c r="H12" s="33" t="inlineStr">
        <is>
          <t>г</t>
        </is>
      </c>
      <c r="I12" s="33" t="inlineStr">
        <is>
          <t>НЕ ПРОВЕДЕНО</t>
        </is>
      </c>
      <c r="J12" s="39" t="n"/>
      <c r="K12" s="39" t="n"/>
      <c r="L12" s="39" t="n"/>
      <c r="M12" s="39" t="n"/>
      <c r="N12" s="39" t="n"/>
      <c r="O12" s="33" t="inlineStr">
        <is>
          <t>GAP-002;GAP-005;GAP-008;GAP-025</t>
        </is>
      </c>
      <c r="P12" s="33" t="inlineStr">
        <is>
          <t>Контрольная проработка; Change Request при отклонении от v0.1.0-DRAFT</t>
        </is>
      </c>
    </row>
    <row r="13">
      <c r="A13" s="33" t="inlineStr">
        <is>
          <t>CCP-008</t>
        </is>
      </c>
      <c r="B13" s="33" t="inlineStr">
        <is>
          <t>VKM-008</t>
        </is>
      </c>
      <c r="C13" s="33" t="inlineStr">
        <is>
          <t>Бриошь</t>
        </is>
      </c>
      <c r="D13" s="33" t="inlineStr">
        <is>
          <t>0.1.0-DRAFT</t>
        </is>
      </c>
      <c r="E13" s="33" t="n">
        <v>5</v>
      </c>
      <c r="F13" s="33" t="inlineStr">
        <is>
          <t>порция/изделие</t>
        </is>
      </c>
      <c r="G13" s="33" t="n">
        <v>85</v>
      </c>
      <c r="H13" s="33" t="inlineStr">
        <is>
          <t>г</t>
        </is>
      </c>
      <c r="I13" s="33" t="inlineStr">
        <is>
          <t>НЕ ПРОВЕДЕНО</t>
        </is>
      </c>
      <c r="J13" s="39" t="n"/>
      <c r="K13" s="39" t="n"/>
      <c r="L13" s="39" t="n"/>
      <c r="M13" s="39" t="n"/>
      <c r="N13" s="39" t="n"/>
      <c r="O13" s="33" t="inlineStr">
        <is>
          <t>GAP-002;GAP-005;GAP-008;GAP-025</t>
        </is>
      </c>
      <c r="P13" s="33" t="inlineStr">
        <is>
          <t>Контрольная проработка; Change Request при отклонении от v0.1.0-DRAFT</t>
        </is>
      </c>
    </row>
    <row r="14">
      <c r="A14" s="33" t="inlineStr">
        <is>
          <t>CCP-009</t>
        </is>
      </c>
      <c r="B14" s="33" t="inlineStr">
        <is>
          <t>VKM-009</t>
        </is>
      </c>
      <c r="C14" s="33" t="inlineStr">
        <is>
          <t>Буррата с томатами</t>
        </is>
      </c>
      <c r="D14" s="33" t="inlineStr">
        <is>
          <t>0.1.0-DRAFT</t>
        </is>
      </c>
      <c r="E14" s="33" t="n">
        <v>5</v>
      </c>
      <c r="F14" s="33" t="inlineStr">
        <is>
          <t>порция/изделие</t>
        </is>
      </c>
      <c r="G14" s="33" t="n">
        <v>300</v>
      </c>
      <c r="H14" s="33" t="inlineStr">
        <is>
          <t>г</t>
        </is>
      </c>
      <c r="I14" s="33" t="inlineStr">
        <is>
          <t>НЕ ПРОВЕДЕНО</t>
        </is>
      </c>
      <c r="J14" s="39" t="n"/>
      <c r="K14" s="39" t="n"/>
      <c r="L14" s="39" t="n"/>
      <c r="M14" s="39" t="n"/>
      <c r="N14" s="39" t="n"/>
      <c r="O14" s="33" t="inlineStr">
        <is>
          <t>GAP-002;GAP-005;GAP-008;GAP-025</t>
        </is>
      </c>
      <c r="P14" s="33" t="inlineStr">
        <is>
          <t>Контрольная проработка; Change Request при отклонении от v0.1.0-DRAFT</t>
        </is>
      </c>
    </row>
    <row r="15">
      <c r="A15" s="33" t="inlineStr">
        <is>
          <t>CCP-010</t>
        </is>
      </c>
      <c r="B15" s="33" t="inlineStr">
        <is>
          <t>VKM-010</t>
        </is>
      </c>
      <c r="C15" s="33" t="inlineStr">
        <is>
          <t>Микс-салат с креветками и яблоком</t>
        </is>
      </c>
      <c r="D15" s="33" t="inlineStr">
        <is>
          <t>0.1.0-DRAFT</t>
        </is>
      </c>
      <c r="E15" s="33" t="n">
        <v>5</v>
      </c>
      <c r="F15" s="33" t="inlineStr">
        <is>
          <t>порция/изделие</t>
        </is>
      </c>
      <c r="G15" s="33" t="n">
        <v>280</v>
      </c>
      <c r="H15" s="33" t="inlineStr">
        <is>
          <t>г</t>
        </is>
      </c>
      <c r="I15" s="33" t="inlineStr">
        <is>
          <t>НЕ ПРОВЕДЕНО</t>
        </is>
      </c>
      <c r="J15" s="39" t="n"/>
      <c r="K15" s="39" t="n"/>
      <c r="L15" s="39" t="n"/>
      <c r="M15" s="39" t="n"/>
      <c r="N15" s="39" t="n"/>
      <c r="O15" s="33" t="inlineStr">
        <is>
          <t>GAP-002;GAP-005;GAP-008;GAP-025</t>
        </is>
      </c>
      <c r="P15" s="33" t="inlineStr">
        <is>
          <t>Контрольная проработка; Change Request при отклонении от v0.1.0-DRAFT</t>
        </is>
      </c>
    </row>
    <row r="16">
      <c r="A16" s="33" t="inlineStr">
        <is>
          <t>CCP-011</t>
        </is>
      </c>
      <c r="B16" s="33" t="inlineStr">
        <is>
          <t>VKM-011</t>
        </is>
      </c>
      <c r="C16" s="33" t="inlineStr">
        <is>
          <t>Греческий</t>
        </is>
      </c>
      <c r="D16" s="33" t="inlineStr">
        <is>
          <t>0.1.0-DRAFT</t>
        </is>
      </c>
      <c r="E16" s="33" t="n">
        <v>5</v>
      </c>
      <c r="F16" s="33" t="inlineStr">
        <is>
          <t>порция/изделие</t>
        </is>
      </c>
      <c r="G16" s="33" t="n">
        <v>270</v>
      </c>
      <c r="H16" s="33" t="inlineStr">
        <is>
          <t>г</t>
        </is>
      </c>
      <c r="I16" s="33" t="inlineStr">
        <is>
          <t>НЕ ПРОВЕДЕНО</t>
        </is>
      </c>
      <c r="J16" s="39" t="n"/>
      <c r="K16" s="39" t="n"/>
      <c r="L16" s="39" t="n"/>
      <c r="M16" s="39" t="n"/>
      <c r="N16" s="39" t="n"/>
      <c r="O16" s="33" t="inlineStr">
        <is>
          <t>GAP-002;GAP-005;GAP-008;GAP-025</t>
        </is>
      </c>
      <c r="P16" s="33" t="inlineStr">
        <is>
          <t>Контрольная проработка; Change Request при отклонении от v0.1.0-DRAFT</t>
        </is>
      </c>
    </row>
    <row r="17">
      <c r="A17" s="33" t="inlineStr">
        <is>
          <t>CCP-012</t>
        </is>
      </c>
      <c r="B17" s="33" t="inlineStr">
        <is>
          <t>VKM-012</t>
        </is>
      </c>
      <c r="C17" s="33" t="inlineStr">
        <is>
          <t>Винегрет</t>
        </is>
      </c>
      <c r="D17" s="33" t="inlineStr">
        <is>
          <t>0.1.0-DRAFT</t>
        </is>
      </c>
      <c r="E17" s="33" t="n">
        <v>5</v>
      </c>
      <c r="F17" s="33" t="inlineStr">
        <is>
          <t>порция/изделие</t>
        </is>
      </c>
      <c r="G17" s="33" t="n">
        <v>240</v>
      </c>
      <c r="H17" s="33" t="inlineStr">
        <is>
          <t>г</t>
        </is>
      </c>
      <c r="I17" s="33" t="inlineStr">
        <is>
          <t>НЕ ПРОВЕДЕНО</t>
        </is>
      </c>
      <c r="J17" s="39" t="n"/>
      <c r="K17" s="39" t="n"/>
      <c r="L17" s="39" t="n"/>
      <c r="M17" s="39" t="n"/>
      <c r="N17" s="39" t="n"/>
      <c r="O17" s="33" t="inlineStr">
        <is>
          <t>GAP-002;GAP-005;GAP-008;GAP-025</t>
        </is>
      </c>
      <c r="P17" s="33" t="inlineStr">
        <is>
          <t>Контрольная проработка; Change Request при отклонении от v0.1.0-DRAFT</t>
        </is>
      </c>
    </row>
    <row r="18">
      <c r="A18" s="33" t="inlineStr">
        <is>
          <t>CCP-013</t>
        </is>
      </c>
      <c r="B18" s="33" t="inlineStr">
        <is>
          <t>VKM-013</t>
        </is>
      </c>
      <c r="C18" s="33" t="inlineStr">
        <is>
          <t>Слабосолёный лосось</t>
        </is>
      </c>
      <c r="D18" s="33" t="inlineStr">
        <is>
          <t>0.1.0-DRAFT</t>
        </is>
      </c>
      <c r="E18" s="33" t="n">
        <v>5</v>
      </c>
      <c r="F18" s="33" t="inlineStr">
        <is>
          <t>порция/изделие</t>
        </is>
      </c>
      <c r="G18" s="33" t="n">
        <v>130</v>
      </c>
      <c r="H18" s="33" t="inlineStr">
        <is>
          <t>г</t>
        </is>
      </c>
      <c r="I18" s="33" t="inlineStr">
        <is>
          <t>НЕ ПРОВЕДЕНО</t>
        </is>
      </c>
      <c r="J18" s="39" t="n"/>
      <c r="K18" s="39" t="n"/>
      <c r="L18" s="39" t="n"/>
      <c r="M18" s="39" t="n"/>
      <c r="N18" s="39" t="n"/>
      <c r="O18" s="33" t="inlineStr">
        <is>
          <t>GAP-002;GAP-005;GAP-008;GAP-025</t>
        </is>
      </c>
      <c r="P18" s="33" t="inlineStr">
        <is>
          <t>Контрольная проработка; Change Request при отклонении от v0.1.0-DRAFT</t>
        </is>
      </c>
    </row>
    <row r="19">
      <c r="A19" s="33" t="inlineStr">
        <is>
          <t>CCP-014</t>
        </is>
      </c>
      <c r="B19" s="33" t="inlineStr">
        <is>
          <t>VKM-014</t>
        </is>
      </c>
      <c r="C19" s="33" t="inlineStr">
        <is>
          <t>Сельдь с запечённым картофелем</t>
        </is>
      </c>
      <c r="D19" s="33" t="inlineStr">
        <is>
          <t>0.1.0-DRAFT</t>
        </is>
      </c>
      <c r="E19" s="33" t="n">
        <v>5</v>
      </c>
      <c r="F19" s="33" t="inlineStr">
        <is>
          <t>порция/изделие</t>
        </is>
      </c>
      <c r="G19" s="33" t="n">
        <v>250</v>
      </c>
      <c r="H19" s="33" t="inlineStr">
        <is>
          <t>г</t>
        </is>
      </c>
      <c r="I19" s="33" t="inlineStr">
        <is>
          <t>НЕ ПРОВЕДЕНО</t>
        </is>
      </c>
      <c r="J19" s="39" t="n"/>
      <c r="K19" s="39" t="n"/>
      <c r="L19" s="39" t="n"/>
      <c r="M19" s="39" t="n"/>
      <c r="N19" s="39" t="n"/>
      <c r="O19" s="33" t="inlineStr">
        <is>
          <t>GAP-002;GAP-005;GAP-008;GAP-025</t>
        </is>
      </c>
      <c r="P19" s="33" t="inlineStr">
        <is>
          <t>Контрольная проработка; Change Request при отклонении от v0.1.0-DRAFT</t>
        </is>
      </c>
    </row>
    <row r="20">
      <c r="A20" s="33" t="inlineStr">
        <is>
          <t>CCP-015</t>
        </is>
      </c>
      <c r="B20" s="33" t="inlineStr">
        <is>
          <t>VKM-015</t>
        </is>
      </c>
      <c r="C20" s="33" t="inlineStr">
        <is>
          <t>Оливки и маслины</t>
        </is>
      </c>
      <c r="D20" s="33" t="inlineStr">
        <is>
          <t>0.1.0-DRAFT</t>
        </is>
      </c>
      <c r="E20" s="33" t="n">
        <v>5</v>
      </c>
      <c r="F20" s="33" t="inlineStr">
        <is>
          <t>порция/изделие</t>
        </is>
      </c>
      <c r="G20" s="33" t="n">
        <v>120</v>
      </c>
      <c r="H20" s="33" t="inlineStr">
        <is>
          <t>г</t>
        </is>
      </c>
      <c r="I20" s="33" t="inlineStr">
        <is>
          <t>НЕ ПРОВЕДЕНО</t>
        </is>
      </c>
      <c r="J20" s="39" t="n"/>
      <c r="K20" s="39" t="n"/>
      <c r="L20" s="39" t="n"/>
      <c r="M20" s="39" t="n"/>
      <c r="N20" s="39" t="n"/>
      <c r="O20" s="33" t="inlineStr">
        <is>
          <t>GAP-002;GAP-005;GAP-008;GAP-025</t>
        </is>
      </c>
      <c r="P20" s="33" t="inlineStr">
        <is>
          <t>Контрольная проработка; Change Request при отклонении от v0.1.0-DRAFT</t>
        </is>
      </c>
    </row>
    <row r="21">
      <c r="A21" s="33" t="inlineStr">
        <is>
          <t>CCP-016</t>
        </is>
      </c>
      <c r="B21" s="33" t="inlineStr">
        <is>
          <t>VKM-016</t>
        </is>
      </c>
      <c r="C21" s="33" t="inlineStr">
        <is>
          <t>Ассорти фирменных солений</t>
        </is>
      </c>
      <c r="D21" s="33" t="inlineStr">
        <is>
          <t>0.1.0-DRAFT</t>
        </is>
      </c>
      <c r="E21" s="33" t="n">
        <v>5</v>
      </c>
      <c r="F21" s="33" t="inlineStr">
        <is>
          <t>порция/изделие</t>
        </is>
      </c>
      <c r="G21" s="33" t="n">
        <v>180</v>
      </c>
      <c r="H21" s="33" t="inlineStr">
        <is>
          <t>г</t>
        </is>
      </c>
      <c r="I21" s="33" t="inlineStr">
        <is>
          <t>НЕ ПРОВЕДЕНО</t>
        </is>
      </c>
      <c r="J21" s="39" t="n"/>
      <c r="K21" s="39" t="n"/>
      <c r="L21" s="39" t="n"/>
      <c r="M21" s="39" t="n"/>
      <c r="N21" s="39" t="n"/>
      <c r="O21" s="33" t="inlineStr">
        <is>
          <t>GAP-002;GAP-005;GAP-008;GAP-025</t>
        </is>
      </c>
      <c r="P21" s="33" t="inlineStr">
        <is>
          <t>Контрольная проработка; Change Request при отклонении от v0.1.0-DRAFT</t>
        </is>
      </c>
    </row>
    <row r="22">
      <c r="A22" s="33" t="inlineStr">
        <is>
          <t>CCP-017</t>
        </is>
      </c>
      <c r="B22" s="33" t="inlineStr">
        <is>
          <t>VKM-017</t>
        </is>
      </c>
      <c r="C22" s="33" t="inlineStr">
        <is>
          <t>Ростбиф с луком и гренкой</t>
        </is>
      </c>
      <c r="D22" s="33" t="inlineStr">
        <is>
          <t>0.1.0-DRAFT</t>
        </is>
      </c>
      <c r="E22" s="33" t="n">
        <v>5</v>
      </c>
      <c r="F22" s="33" t="inlineStr">
        <is>
          <t>порция/изделие</t>
        </is>
      </c>
      <c r="G22" s="33" t="n">
        <v>180</v>
      </c>
      <c r="H22" s="33" t="inlineStr">
        <is>
          <t>г</t>
        </is>
      </c>
      <c r="I22" s="33" t="inlineStr">
        <is>
          <t>НЕ ПРОВЕДЕНО</t>
        </is>
      </c>
      <c r="J22" s="39" t="n"/>
      <c r="K22" s="39" t="n"/>
      <c r="L22" s="39" t="n"/>
      <c r="M22" s="39" t="n"/>
      <c r="N22" s="39" t="n"/>
      <c r="O22" s="33" t="inlineStr">
        <is>
          <t>GAP-002;GAP-005;GAP-008;GAP-025</t>
        </is>
      </c>
      <c r="P22" s="33" t="inlineStr">
        <is>
          <t>Контрольная проработка; Change Request при отклонении от v0.1.0-DRAFT</t>
        </is>
      </c>
    </row>
    <row r="23">
      <c r="A23" s="33" t="inlineStr">
        <is>
          <t>CCP-018</t>
        </is>
      </c>
      <c r="B23" s="33" t="inlineStr">
        <is>
          <t>VKM-018</t>
        </is>
      </c>
      <c r="C23" s="33" t="inlineStr">
        <is>
          <t>Традиционный красный борщ</t>
        </is>
      </c>
      <c r="D23" s="33" t="inlineStr">
        <is>
          <t>0.1.0-DRAFT</t>
        </is>
      </c>
      <c r="E23" s="33" t="n">
        <v>5</v>
      </c>
      <c r="F23" s="33" t="inlineStr">
        <is>
          <t>порция/изделие</t>
        </is>
      </c>
      <c r="G23" s="33" t="n">
        <v>400</v>
      </c>
      <c r="H23" s="33" t="inlineStr">
        <is>
          <t>г</t>
        </is>
      </c>
      <c r="I23" s="33" t="inlineStr">
        <is>
          <t>НЕ ПРОВЕДЕНО</t>
        </is>
      </c>
      <c r="J23" s="39" t="n"/>
      <c r="K23" s="39" t="n"/>
      <c r="L23" s="39" t="n"/>
      <c r="M23" s="39" t="n"/>
      <c r="N23" s="39" t="n"/>
      <c r="O23" s="33" t="inlineStr">
        <is>
          <t>GAP-002;GAP-005;GAP-008;GAP-025</t>
        </is>
      </c>
      <c r="P23" s="33" t="inlineStr">
        <is>
          <t>Контрольная проработка; Change Request при отклонении от v0.1.0-DRAFT</t>
        </is>
      </c>
    </row>
    <row r="24">
      <c r="A24" s="33" t="inlineStr">
        <is>
          <t>CCP-019</t>
        </is>
      </c>
      <c r="B24" s="33" t="inlineStr">
        <is>
          <t>VKM-019</t>
        </is>
      </c>
      <c r="C24" s="33" t="inlineStr">
        <is>
          <t>Мурманская треска со сливочно-горчичным соусом</t>
        </is>
      </c>
      <c r="D24" s="33" t="inlineStr">
        <is>
          <t>0.1.0-DRAFT</t>
        </is>
      </c>
      <c r="E24" s="33" t="n">
        <v>5</v>
      </c>
      <c r="F24" s="33" t="inlineStr">
        <is>
          <t>порция/изделие</t>
        </is>
      </c>
      <c r="G24" s="33" t="n">
        <v>300</v>
      </c>
      <c r="H24" s="33" t="inlineStr">
        <is>
          <t>г</t>
        </is>
      </c>
      <c r="I24" s="33" t="inlineStr">
        <is>
          <t>НЕ ПРОВЕДЕНО</t>
        </is>
      </c>
      <c r="J24" s="39" t="n"/>
      <c r="K24" s="39" t="n"/>
      <c r="L24" s="39" t="n"/>
      <c r="M24" s="39" t="n"/>
      <c r="N24" s="39" t="n"/>
      <c r="O24" s="33" t="inlineStr">
        <is>
          <t>GAP-002;GAP-005;GAP-008;GAP-025</t>
        </is>
      </c>
      <c r="P24" s="33" t="inlineStr">
        <is>
          <t>Контрольная проработка; Change Request при отклонении от v0.1.0-DRAFT</t>
        </is>
      </c>
    </row>
    <row r="25">
      <c r="A25" s="33" t="inlineStr">
        <is>
          <t>CCP-020</t>
        </is>
      </c>
      <c r="B25" s="33" t="inlineStr">
        <is>
          <t>VKM-020</t>
        </is>
      </c>
      <c r="C25" s="33" t="inlineStr">
        <is>
          <t>Креветки по-тайски</t>
        </is>
      </c>
      <c r="D25" s="33" t="inlineStr">
        <is>
          <t>0.1.0-DRAFT</t>
        </is>
      </c>
      <c r="E25" s="33" t="n">
        <v>5</v>
      </c>
      <c r="F25" s="33" t="inlineStr">
        <is>
          <t>порция/изделие</t>
        </is>
      </c>
      <c r="G25" s="33" t="n">
        <v>360</v>
      </c>
      <c r="H25" s="33" t="inlineStr">
        <is>
          <t>г</t>
        </is>
      </c>
      <c r="I25" s="33" t="inlineStr">
        <is>
          <t>НЕ ПРОВЕДЕНО</t>
        </is>
      </c>
      <c r="J25" s="39" t="n"/>
      <c r="K25" s="39" t="n"/>
      <c r="L25" s="39" t="n"/>
      <c r="M25" s="39" t="n"/>
      <c r="N25" s="39" t="n"/>
      <c r="O25" s="33" t="inlineStr">
        <is>
          <t>GAP-002;GAP-005;GAP-008;GAP-025</t>
        </is>
      </c>
      <c r="P25" s="33" t="inlineStr">
        <is>
          <t>Контрольная проработка; Change Request при отклонении от v0.1.0-DRAFT</t>
        </is>
      </c>
    </row>
    <row r="26">
      <c r="A26" s="33" t="inlineStr">
        <is>
          <t>CCP-021</t>
        </is>
      </c>
      <c r="B26" s="33" t="inlineStr">
        <is>
          <t>VKM-021</t>
        </is>
      </c>
      <c r="C26" s="33" t="inlineStr">
        <is>
          <t>Бургер VARSHAVKA</t>
        </is>
      </c>
      <c r="D26" s="33" t="inlineStr">
        <is>
          <t>0.1.0-DRAFT</t>
        </is>
      </c>
      <c r="E26" s="33" t="n">
        <v>5</v>
      </c>
      <c r="F26" s="33" t="inlineStr">
        <is>
          <t>порция/изделие</t>
        </is>
      </c>
      <c r="G26" s="33" t="n">
        <v>350</v>
      </c>
      <c r="H26" s="33" t="inlineStr">
        <is>
          <t>г</t>
        </is>
      </c>
      <c r="I26" s="33" t="inlineStr">
        <is>
          <t>НЕ ПРОВЕДЕНО</t>
        </is>
      </c>
      <c r="J26" s="39" t="n"/>
      <c r="K26" s="39" t="n"/>
      <c r="L26" s="39" t="n"/>
      <c r="M26" s="39" t="n"/>
      <c r="N26" s="39" t="n"/>
      <c r="O26" s="33" t="inlineStr">
        <is>
          <t>GAP-002;GAP-005;GAP-008;GAP-025</t>
        </is>
      </c>
      <c r="P26" s="33" t="inlineStr">
        <is>
          <t>Контрольная проработка; Change Request при отклонении от v0.1.0-DRAFT</t>
        </is>
      </c>
    </row>
    <row r="27">
      <c r="A27" s="33" t="inlineStr">
        <is>
          <t>CCP-022</t>
        </is>
      </c>
      <c r="B27" s="33" t="inlineStr">
        <is>
          <t>VKM-022</t>
        </is>
      </c>
      <c r="C27" s="33" t="inlineStr">
        <is>
          <t>Миньоны из говяжьей вырезки</t>
        </is>
      </c>
      <c r="D27" s="33" t="inlineStr">
        <is>
          <t>0.1.0-DRAFT</t>
        </is>
      </c>
      <c r="E27" s="33" t="n">
        <v>5</v>
      </c>
      <c r="F27" s="33" t="inlineStr">
        <is>
          <t>порция/изделие</t>
        </is>
      </c>
      <c r="G27" s="33" t="n">
        <v>300</v>
      </c>
      <c r="H27" s="33" t="inlineStr">
        <is>
          <t>г</t>
        </is>
      </c>
      <c r="I27" s="33" t="inlineStr">
        <is>
          <t>НЕ ПРОВЕДЕНО</t>
        </is>
      </c>
      <c r="J27" s="39" t="n"/>
      <c r="K27" s="39" t="n"/>
      <c r="L27" s="39" t="n"/>
      <c r="M27" s="39" t="n"/>
      <c r="N27" s="39" t="n"/>
      <c r="O27" s="33" t="inlineStr">
        <is>
          <t>GAP-002;GAP-005;GAP-008;GAP-025</t>
        </is>
      </c>
      <c r="P27" s="33" t="inlineStr">
        <is>
          <t>Контрольная проработка; Change Request при отклонении от v0.1.0-DRAFT</t>
        </is>
      </c>
    </row>
    <row r="28">
      <c r="A28" s="33" t="inlineStr">
        <is>
          <t>CCP-023</t>
        </is>
      </c>
      <c r="B28" s="33" t="inlineStr">
        <is>
          <t>VKM-023</t>
        </is>
      </c>
      <c r="C28" s="33" t="inlineStr">
        <is>
          <t>Запечённый картофель</t>
        </is>
      </c>
      <c r="D28" s="33" t="inlineStr">
        <is>
          <t>0.1.0-DRAFT</t>
        </is>
      </c>
      <c r="E28" s="33" t="n">
        <v>5</v>
      </c>
      <c r="F28" s="33" t="inlineStr">
        <is>
          <t>порция/изделие</t>
        </is>
      </c>
      <c r="G28" s="33" t="n">
        <v>150</v>
      </c>
      <c r="H28" s="33" t="inlineStr">
        <is>
          <t>г</t>
        </is>
      </c>
      <c r="I28" s="33" t="inlineStr">
        <is>
          <t>НЕ ПРОВЕДЕНО</t>
        </is>
      </c>
      <c r="J28" s="39" t="n"/>
      <c r="K28" s="39" t="n"/>
      <c r="L28" s="39" t="n"/>
      <c r="M28" s="39" t="n"/>
      <c r="N28" s="39" t="n"/>
      <c r="O28" s="33" t="inlineStr">
        <is>
          <t>GAP-002;GAP-005;GAP-008;GAP-025</t>
        </is>
      </c>
      <c r="P28" s="33" t="inlineStr">
        <is>
          <t>Контрольная проработка; Change Request при отклонении от v0.1.0-DRAFT</t>
        </is>
      </c>
    </row>
    <row r="29">
      <c r="A29" s="33" t="inlineStr">
        <is>
          <t>CCP-024</t>
        </is>
      </c>
      <c r="B29" s="33" t="inlineStr">
        <is>
          <t>VKM-024</t>
        </is>
      </c>
      <c r="C29" s="33" t="inlineStr">
        <is>
          <t>Рис жасмин</t>
        </is>
      </c>
      <c r="D29" s="33" t="inlineStr">
        <is>
          <t>0.1.0-DRAFT</t>
        </is>
      </c>
      <c r="E29" s="33" t="n">
        <v>5</v>
      </c>
      <c r="F29" s="33" t="inlineStr">
        <is>
          <t>порция/изделие</t>
        </is>
      </c>
      <c r="G29" s="33" t="n">
        <v>150</v>
      </c>
      <c r="H29" s="33" t="inlineStr">
        <is>
          <t>г</t>
        </is>
      </c>
      <c r="I29" s="33" t="inlineStr">
        <is>
          <t>НЕ ПРОВЕДЕНО</t>
        </is>
      </c>
      <c r="J29" s="39" t="n"/>
      <c r="K29" s="39" t="n"/>
      <c r="L29" s="39" t="n"/>
      <c r="M29" s="39" t="n"/>
      <c r="N29" s="39" t="n"/>
      <c r="O29" s="33" t="inlineStr">
        <is>
          <t>GAP-002;GAP-005;GAP-008;GAP-025</t>
        </is>
      </c>
      <c r="P29" s="33" t="inlineStr">
        <is>
          <t>Контрольная проработка; Change Request при отклонении от v0.1.0-DRAFT</t>
        </is>
      </c>
    </row>
    <row r="30">
      <c r="A30" s="33" t="inlineStr">
        <is>
          <t>CCP-025</t>
        </is>
      </c>
      <c r="B30" s="33" t="inlineStr">
        <is>
          <t>VKM-025</t>
        </is>
      </c>
      <c r="C30" s="33" t="inlineStr">
        <is>
          <t>Горячие овощи</t>
        </is>
      </c>
      <c r="D30" s="33" t="inlineStr">
        <is>
          <t>0.1.0-DRAFT</t>
        </is>
      </c>
      <c r="E30" s="33" t="n">
        <v>5</v>
      </c>
      <c r="F30" s="33" t="inlineStr">
        <is>
          <t>порция/изделие</t>
        </is>
      </c>
      <c r="G30" s="33" t="n">
        <v>150</v>
      </c>
      <c r="H30" s="33" t="inlineStr">
        <is>
          <t>г</t>
        </is>
      </c>
      <c r="I30" s="33" t="inlineStr">
        <is>
          <t>НЕ ПРОВЕДЕНО</t>
        </is>
      </c>
      <c r="J30" s="39" t="n"/>
      <c r="K30" s="39" t="n"/>
      <c r="L30" s="39" t="n"/>
      <c r="M30" s="39" t="n"/>
      <c r="N30" s="39" t="n"/>
      <c r="O30" s="33" t="inlineStr">
        <is>
          <t>GAP-002;GAP-005;GAP-008;GAP-025</t>
        </is>
      </c>
      <c r="P30" s="33" t="inlineStr">
        <is>
          <t>Контрольная проработка; Change Request при отклонении от v0.1.0-DRAFT</t>
        </is>
      </c>
    </row>
    <row r="31">
      <c r="A31" s="33" t="inlineStr">
        <is>
          <t>CCP-026</t>
        </is>
      </c>
      <c r="B31" s="33" t="inlineStr">
        <is>
          <t>VKM-029</t>
        </is>
      </c>
      <c r="C31" s="33" t="inlineStr">
        <is>
          <t>Черничный торт VARSHAVKA</t>
        </is>
      </c>
      <c r="D31" s="33" t="inlineStr">
        <is>
          <t>0.1.0-DRAFT</t>
        </is>
      </c>
      <c r="E31" s="33" t="n">
        <v>1</v>
      </c>
      <c r="F31" s="33" t="inlineStr">
        <is>
          <t>изделие</t>
        </is>
      </c>
      <c r="G31" s="33" t="n">
        <v>1800</v>
      </c>
      <c r="H31" s="33" t="inlineStr">
        <is>
          <t>г</t>
        </is>
      </c>
      <c r="I31" s="33" t="inlineStr">
        <is>
          <t>НЕ ПРОВЕДЕНО</t>
        </is>
      </c>
      <c r="J31" s="39" t="n"/>
      <c r="K31" s="39" t="n"/>
      <c r="L31" s="39" t="n"/>
      <c r="M31" s="39" t="n"/>
      <c r="N31" s="39" t="n"/>
      <c r="O31" s="33" t="inlineStr">
        <is>
          <t>GAP-002;GAP-005;GAP-008;GAP-025</t>
        </is>
      </c>
      <c r="P31" s="33" t="inlineStr">
        <is>
          <t>Контрольная проработка; Change Request при отклонении от v0.1.0-DRAFT</t>
        </is>
      </c>
    </row>
    <row r="32">
      <c r="A32" s="33" t="inlineStr">
        <is>
          <t>CCP-027</t>
        </is>
      </c>
      <c r="B32" s="33" t="inlineStr">
        <is>
          <t>VKM-030</t>
        </is>
      </c>
      <c r="C32" s="33" t="inlineStr">
        <is>
          <t>Кростата с солёной карамелью</t>
        </is>
      </c>
      <c r="D32" s="33" t="inlineStr">
        <is>
          <t>0.1.0-DRAFT</t>
        </is>
      </c>
      <c r="E32" s="33" t="n">
        <v>1</v>
      </c>
      <c r="F32" s="33" t="inlineStr">
        <is>
          <t>изделие</t>
        </is>
      </c>
      <c r="G32" s="33" t="n">
        <v>1200</v>
      </c>
      <c r="H32" s="33" t="inlineStr">
        <is>
          <t>г</t>
        </is>
      </c>
      <c r="I32" s="33" t="inlineStr">
        <is>
          <t>НЕ ПРОВЕДЕНО</t>
        </is>
      </c>
      <c r="J32" s="39" t="n"/>
      <c r="K32" s="39" t="n"/>
      <c r="L32" s="39" t="n"/>
      <c r="M32" s="39" t="n"/>
      <c r="N32" s="39" t="n"/>
      <c r="O32" s="33" t="inlineStr">
        <is>
          <t>GAP-002;GAP-005;GAP-008;GAP-025</t>
        </is>
      </c>
      <c r="P32" s="33" t="inlineStr">
        <is>
          <t>Контрольная проработка; Change Request при отклонении от v0.1.0-DRAFT</t>
        </is>
      </c>
    </row>
    <row r="33">
      <c r="A33" s="33" t="inlineStr">
        <is>
          <t>CCP-028</t>
        </is>
      </c>
      <c r="B33" s="33" t="inlineStr">
        <is>
          <t>VKM-031</t>
        </is>
      </c>
      <c r="C33" s="33" t="inlineStr">
        <is>
          <t>Мадлен</t>
        </is>
      </c>
      <c r="D33" s="33" t="inlineStr">
        <is>
          <t>0.1.0-DRAFT</t>
        </is>
      </c>
      <c r="E33" s="33" t="n">
        <v>1</v>
      </c>
      <c r="F33" s="33" t="inlineStr">
        <is>
          <t>партия</t>
        </is>
      </c>
      <c r="G33" s="33" t="n">
        <v>600</v>
      </c>
      <c r="H33" s="33" t="inlineStr">
        <is>
          <t>г</t>
        </is>
      </c>
      <c r="I33" s="33" t="inlineStr">
        <is>
          <t>НЕ ПРОВЕДЕНО</t>
        </is>
      </c>
      <c r="J33" s="39" t="n"/>
      <c r="K33" s="39" t="n"/>
      <c r="L33" s="39" t="n"/>
      <c r="M33" s="39" t="n"/>
      <c r="N33" s="39" t="n"/>
      <c r="O33" s="33" t="inlineStr">
        <is>
          <t>GAP-002;GAP-005;GAP-008;GAP-025</t>
        </is>
      </c>
      <c r="P33" s="33" t="inlineStr">
        <is>
          <t>Контрольная проработка; Change Request при отклонении от v0.1.0-DRAFT</t>
        </is>
      </c>
    </row>
  </sheetData>
  <mergeCells count="2">
    <mergeCell ref="A1:P1"/>
    <mergeCell ref="A2:P2"/>
  </mergeCells>
  <dataValidations count="1">
    <dataValidation sqref="N6:N33" showDropDown="0" showInputMessage="0" showErrorMessage="0" allowBlank="0" type="list">
      <formula1>"PASS,FAIL,RETEST_REQUIRED"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5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  <col width="40" customWidth="1" min="7" max="7"/>
  </cols>
  <sheetData>
    <row r="1" ht="30" customHeight="1">
      <c r="A1" s="27" t="inlineStr">
        <is>
          <t>15 — Проверки Gate D</t>
        </is>
      </c>
    </row>
    <row r="2" ht="27" customHeight="1">
      <c r="A2" s="29" t="inlineStr">
        <is>
          <t>One assertion per row. PASS_WITH_CONDITIONS is expected while subject-matter blockers remain open.</t>
        </is>
      </c>
    </row>
    <row r="3">
      <c r="A3" s="28" t="n"/>
      <c r="B3" s="28" t="n"/>
      <c r="C3" s="28" t="n"/>
      <c r="D3" s="28" t="n"/>
      <c r="E3" s="28" t="n"/>
      <c r="F3" s="28" t="n"/>
      <c r="G3" s="28" t="n"/>
    </row>
    <row r="4">
      <c r="A4" s="28" t="n"/>
      <c r="B4" s="28" t="n"/>
      <c r="C4" s="28" t="n"/>
      <c r="D4" s="28" t="n"/>
      <c r="E4" s="28" t="n"/>
      <c r="F4" s="28" t="n"/>
      <c r="G4" s="28" t="n"/>
    </row>
    <row r="5">
      <c r="A5" s="30" t="inlineStr">
        <is>
          <t>Check ID</t>
        </is>
      </c>
      <c r="B5" s="30" t="inlineStr">
        <is>
          <t>Assertion</t>
        </is>
      </c>
      <c r="C5" s="30" t="inlineStr">
        <is>
          <t>Expected</t>
        </is>
      </c>
      <c r="D5" s="30" t="inlineStr">
        <is>
          <t>Actual</t>
        </is>
      </c>
      <c r="E5" s="30" t="inlineStr">
        <is>
          <t>Delta</t>
        </is>
      </c>
      <c r="F5" s="30" t="inlineStr">
        <is>
          <t>Status</t>
        </is>
      </c>
      <c r="G5" s="30" t="inlineStr">
        <is>
          <t>Notes</t>
        </is>
      </c>
    </row>
    <row r="6">
      <c r="A6" s="28" t="inlineStr">
        <is>
          <t>CHK-001</t>
        </is>
      </c>
      <c r="B6" s="28" t="inlineStr">
        <is>
          <t>Dish scope count</t>
        </is>
      </c>
      <c r="C6" s="28" t="n">
        <v>28</v>
      </c>
      <c r="D6" s="28">
        <f>COUNTA('01_МЕНЮ'!$A$6:$A$33)</f>
        <v/>
      </c>
      <c r="E6" s="28">
        <f>D6-C6</f>
        <v/>
      </c>
      <c r="F6" s="28">
        <f>IF(E6=0,"PASS","FAIL")</f>
        <v/>
      </c>
      <c r="G6" s="28" t="inlineStr">
        <is>
          <t>Workbook scope</t>
        </is>
      </c>
    </row>
    <row r="7">
      <c r="A7" s="28" t="inlineStr">
        <is>
          <t>CHK-002</t>
        </is>
      </c>
      <c r="B7" s="28" t="inlineStr">
        <is>
          <t>Sheet count</t>
        </is>
      </c>
      <c r="C7" s="28" t="n">
        <v>17</v>
      </c>
      <c r="D7" s="28">
        <f>COUNTA($A$34:$A$50)</f>
        <v/>
      </c>
      <c r="E7" s="28">
        <f>D7-C7</f>
        <v/>
      </c>
      <c r="F7" s="28">
        <f>IF(E7=0,"PASS","FAIL")</f>
        <v/>
      </c>
      <c r="G7" s="28" t="inlineStr">
        <is>
          <t>Exact required list below</t>
        </is>
      </c>
    </row>
    <row r="8">
      <c r="A8" s="28" t="inlineStr">
        <is>
          <t>CHK-003</t>
        </is>
      </c>
      <c r="B8" s="28" t="inlineStr">
        <is>
          <t>Safety BLOCK veto</t>
        </is>
      </c>
      <c r="C8" s="28" t="n">
        <v>28</v>
      </c>
      <c r="D8" s="28">
        <f>COUNTIF('10_АЛЛЕРГЕНЫ_БЕЗОПАСНОСТЬ'!$M$6:$M$33,"BLOCK")</f>
        <v/>
      </c>
      <c r="E8" s="28">
        <f>D8-C8</f>
        <v/>
      </c>
      <c r="F8" s="28">
        <f>IF(E8=0,"PASS","FAIL")</f>
        <v/>
      </c>
      <c r="G8" s="28" t="inlineStr">
        <is>
          <t>HOF-0012</t>
        </is>
      </c>
    </row>
    <row r="9">
      <c r="A9" s="28" t="inlineStr">
        <is>
          <t>CHK-004</t>
        </is>
      </c>
      <c r="B9" s="28" t="inlineStr">
        <is>
          <t>Nutrition release blocked rows</t>
        </is>
      </c>
      <c r="C9" s="28" t="n">
        <v>28</v>
      </c>
      <c r="D9" s="28">
        <f>COUNTIF('11_ПИЩЕВАЯ_ЦЕННОСТЬ'!$W$6:$W$33,"BLOCKED_PENDING_VALIDATION")</f>
        <v/>
      </c>
      <c r="E9" s="28">
        <f>D9-C9</f>
        <v/>
      </c>
      <c r="F9" s="28">
        <f>IF(E9=0,"PASS","FAIL")</f>
        <v/>
      </c>
      <c r="G9" s="28" t="inlineStr">
        <is>
          <t>HOF-0013</t>
        </is>
      </c>
    </row>
    <row r="10">
      <c r="A10" s="28" t="inlineStr">
        <is>
          <t>CHK-005</t>
        </is>
      </c>
      <c r="B10" s="28" t="inlineStr">
        <is>
          <t>Nutrition numeric blanks</t>
        </is>
      </c>
      <c r="C10" s="28" t="n">
        <v>0</v>
      </c>
      <c r="D10" s="28">
        <f>COUNTBLANK('11_ПИЩЕВАЯ_ЦЕННОСТЬ'!$E$6:$T$33)</f>
        <v/>
      </c>
      <c r="E10" s="28">
        <f>D10-C10</f>
        <v/>
      </c>
      <c r="F10" s="28">
        <f>IF(E10=0,"PASS","FAIL")</f>
        <v/>
      </c>
      <c r="G10" s="28" t="inlineStr">
        <is>
          <t>16 calculated fields × 28</t>
        </is>
      </c>
    </row>
    <row r="11">
      <c r="A11" s="28" t="inlineStr">
        <is>
          <t>CHK-006</t>
        </is>
      </c>
      <c r="B11" s="28" t="inlineStr">
        <is>
          <t>Complete food cost blanks</t>
        </is>
      </c>
      <c r="C11" s="28" t="n">
        <v>28</v>
      </c>
      <c r="D11" s="28">
        <f>COUNTBLANK('04_КАЛЬКУЛЯЦИИ'!$I$6:$I$33)</f>
        <v/>
      </c>
      <c r="E11" s="28">
        <f>D11-C11</f>
        <v/>
      </c>
      <c r="F11" s="28">
        <f>IF(E11=0,"PASS","FAIL")</f>
        <v/>
      </c>
      <c r="G11" s="28" t="inlineStr">
        <is>
          <t>Complete COGS blocked</t>
        </is>
      </c>
    </row>
    <row r="12">
      <c r="A12" s="28" t="inlineStr">
        <is>
          <t>CHK-007</t>
        </is>
      </c>
      <c r="B12" s="28" t="inlineStr">
        <is>
          <t>Complete portion COGS blanks</t>
        </is>
      </c>
      <c r="C12" s="28" t="n">
        <v>28</v>
      </c>
      <c r="D12" s="28">
        <f>COUNTBLANK('04_КАЛЬКУЛЯЦИИ'!$N$6:$N$33)</f>
        <v/>
      </c>
      <c r="E12" s="28">
        <f>D12-C12</f>
        <v/>
      </c>
      <c r="F12" s="28">
        <f>IF(E12=0,"PASS","FAIL")</f>
        <v/>
      </c>
      <c r="G12" s="28" t="inlineStr">
        <is>
          <t>Complete COGS blocked</t>
        </is>
      </c>
    </row>
    <row r="13">
      <c r="A13" s="28" t="inlineStr">
        <is>
          <t>CHK-008</t>
        </is>
      </c>
      <c r="B13" s="28" t="inlineStr">
        <is>
          <t>Channel price blanks</t>
        </is>
      </c>
      <c r="C13" s="28" t="n">
        <v>101</v>
      </c>
      <c r="D13" s="28">
        <f>COUNTBLANK('07_ЦЕНООБРАЗОВАНИЕ'!$I$6:$I$106)</f>
        <v/>
      </c>
      <c r="E13" s="28">
        <f>D13-C13</f>
        <v/>
      </c>
      <c r="F13" s="28">
        <f>IF(E13=0,"PASS","FAIL")</f>
        <v/>
      </c>
      <c r="G13" s="28" t="inlineStr">
        <is>
          <t>Channel pricing blocked</t>
        </is>
      </c>
    </row>
    <row r="14">
      <c r="A14" s="28" t="inlineStr">
        <is>
          <t>CHK-009</t>
        </is>
      </c>
      <c r="B14" s="28" t="inlineStr">
        <is>
          <t>Accepted price sources</t>
        </is>
      </c>
      <c r="C14" s="28" t="n">
        <v>68</v>
      </c>
      <c r="D14" s="28">
        <f>COUNTA('06_СЫРЬЁ_И_ЦЕНЫ'!$A$123:$A$190)</f>
        <v/>
      </c>
      <c r="E14" s="28">
        <f>D14-C14</f>
        <v/>
      </c>
      <c r="F14" s="28">
        <f>IF(E14=0,"PASS","FAIL")</f>
        <v/>
      </c>
      <c r="G14" s="28" t="inlineStr">
        <is>
          <t>HOF-0014 evidence layer</t>
        </is>
      </c>
    </row>
    <row r="15">
      <c r="A15" s="28" t="inlineStr">
        <is>
          <t>CHK-010</t>
        </is>
      </c>
      <c r="B15" s="28" t="inlineStr">
        <is>
          <t>Rejected source rows selected/present</t>
        </is>
      </c>
      <c r="C15" s="28" t="n">
        <v>0</v>
      </c>
      <c r="D15" s="28">
        <f>COUNTIF('06_СЫРЬЁ_И_ЦЕНЫ'!$M$123:$M$190,"*REJECT*")</f>
        <v/>
      </c>
      <c r="E15" s="28">
        <f>D15-C15</f>
        <v/>
      </c>
      <c r="F15" s="28">
        <f>IF(E15=0,"PASS","FAIL")</f>
        <v/>
      </c>
      <c r="G15" s="28" t="inlineStr">
        <is>
          <t>22 rejected excluded</t>
        </is>
      </c>
    </row>
    <row r="16">
      <c r="A16" s="28" t="inlineStr">
        <is>
          <t>CHK-011</t>
        </is>
      </c>
      <c r="B16" s="28" t="inlineStr">
        <is>
          <t>Negative selected prices</t>
        </is>
      </c>
      <c r="C16" s="28" t="n">
        <v>0</v>
      </c>
      <c r="D16" s="28">
        <f>COUNTIF('06_СЫРЬЁ_И_ЦЕНЫ'!$E$6:$E$118,"&lt;0")</f>
        <v/>
      </c>
      <c r="E16" s="28">
        <f>D16-C16</f>
        <v/>
      </c>
      <c r="F16" s="28">
        <f>IF(E16=0,"PASS","FAIL")</f>
        <v/>
      </c>
      <c r="G16" s="28" t="inlineStr">
        <is>
          <t>No negative prices</t>
        </is>
      </c>
    </row>
    <row r="17">
      <c r="A17" s="28" t="inlineStr">
        <is>
          <t>CHK-012</t>
        </is>
      </c>
      <c r="B17" s="28" t="inlineStr">
        <is>
          <t>Zero selected prices</t>
        </is>
      </c>
      <c r="C17" s="28" t="n">
        <v>0</v>
      </c>
      <c r="D17" s="28">
        <f>COUNTIFS('06_СЫРЬЁ_И_ЦЕНЫ'!$E$6:$E$118,0,'06_СЫРЬЁ_И_ЦЕНЫ'!$E$6:$E$118,"&lt;&gt;")</f>
        <v/>
      </c>
      <c r="E17" s="28">
        <f>D17-C17</f>
        <v/>
      </c>
      <c r="F17" s="28">
        <f>IF(E17=0,"PASS","FAIL")</f>
        <v/>
      </c>
      <c r="G17" s="28" t="inlineStr">
        <is>
          <t>Unknown must be blank</t>
        </is>
      </c>
    </row>
    <row r="18">
      <c r="A18" s="28" t="inlineStr">
        <is>
          <t>CHK-013</t>
        </is>
      </c>
      <c r="B18" s="28" t="inlineStr">
        <is>
          <t>VSF cards</t>
        </is>
      </c>
      <c r="C18" s="28" t="n">
        <v>34</v>
      </c>
      <c r="D18" s="28">
        <f>COUNTA('03_ПОЛУФАБРИКАТЫ'!$A$6:$A$39)</f>
        <v/>
      </c>
      <c r="E18" s="28">
        <f>D18-C18</f>
        <v/>
      </c>
      <c r="F18" s="28">
        <f>IF(E18=0,"PASS","FAIL")</f>
        <v/>
      </c>
      <c r="G18" s="28" t="inlineStr">
        <is>
          <t>HOF-0004</t>
        </is>
      </c>
    </row>
    <row r="19">
      <c r="A19" s="28" t="inlineStr">
        <is>
          <t>CHK-014</t>
        </is>
      </c>
      <c r="B19" s="28" t="inlineStr">
        <is>
          <t>DAG edges</t>
        </is>
      </c>
      <c r="C19" s="28" t="n">
        <v>42</v>
      </c>
      <c r="D19" s="28">
        <f>COUNTA('03_ПОЛУФАБРИКАТЫ'!$A$43:$A$84)</f>
        <v/>
      </c>
      <c r="E19" s="28">
        <f>D19-C19</f>
        <v/>
      </c>
      <c r="F19" s="28">
        <f>IF(E19=0,"PASS","FAIL")</f>
        <v/>
      </c>
      <c r="G19" s="28" t="inlineStr">
        <is>
          <t>No orphan/cycle per Gate C</t>
        </is>
      </c>
    </row>
    <row r="20">
      <c r="A20" s="28" t="inlineStr">
        <is>
          <t>CHK-015</t>
        </is>
      </c>
      <c r="B20" s="28" t="inlineStr">
        <is>
          <t>Recipe lines</t>
        </is>
      </c>
      <c r="C20" s="28" t="n">
        <v>253</v>
      </c>
      <c r="D20" s="28">
        <f>COUNTA('02_РЕЦЕПТУРЫ'!$A$6:$A$258)</f>
        <v/>
      </c>
      <c r="E20" s="28">
        <f>D20-C20</f>
        <v/>
      </c>
      <c r="F20" s="28">
        <f>IF(E20=0,"PASS","FAIL")</f>
        <v/>
      </c>
      <c r="G20" s="28" t="inlineStr">
        <is>
          <t>HOF-0002</t>
        </is>
      </c>
    </row>
    <row r="21">
      <c r="A21" s="28" t="inlineStr">
        <is>
          <t>CHK-016</t>
        </is>
      </c>
      <c r="B21" s="28" t="inlineStr">
        <is>
          <t>Proxy scenario dish COGS</t>
        </is>
      </c>
      <c r="C21" s="28" t="n">
        <v>28</v>
      </c>
      <c r="D21" s="28">
        <f>COUNTA('04_КАЛЬКУЛЯЦИИ'!$A$38:$A$65)</f>
        <v/>
      </c>
      <c r="E21" s="28">
        <f>D21-C21</f>
        <v/>
      </c>
      <c r="F21" s="28">
        <f>IF(E21=0,"PASS","FAIL")</f>
        <v/>
      </c>
      <c r="G21" s="28" t="inlineStr">
        <is>
          <t>HOF-0014 separate assumption layer</t>
        </is>
      </c>
    </row>
    <row r="22">
      <c r="A22" s="28" t="inlineStr">
        <is>
          <t>CHK-017</t>
        </is>
      </c>
      <c r="B22" s="28" t="inlineStr">
        <is>
          <t>Proxy scenario channel metrics</t>
        </is>
      </c>
      <c r="C22" s="28" t="n">
        <v>101</v>
      </c>
      <c r="D22" s="28">
        <f>COUNTA('07_ЦЕНООБРАЗОВАНИЕ'!$A$111:$A$211)</f>
        <v/>
      </c>
      <c r="E22" s="28">
        <f>D22-C22</f>
        <v/>
      </c>
      <c r="F22" s="28">
        <f>IF(E22=0,"PASS","FAIL")</f>
        <v/>
      </c>
      <c r="G22" s="28" t="inlineStr">
        <is>
          <t>HOF-0014 separate assumption layer</t>
        </is>
      </c>
    </row>
    <row r="23">
      <c r="A23" s="28" t="n"/>
      <c r="B23" s="28" t="n"/>
      <c r="C23" s="28" t="n"/>
      <c r="D23" s="28" t="n"/>
      <c r="E23" s="28" t="n"/>
      <c r="F23" s="28" t="n"/>
      <c r="G23" s="28" t="n"/>
    </row>
    <row r="24">
      <c r="A24" s="28" t="n"/>
      <c r="B24" s="28" t="n"/>
      <c r="C24" s="28" t="n"/>
      <c r="D24" s="28" t="n"/>
      <c r="E24" s="28" t="n"/>
      <c r="F24" s="28" t="n"/>
      <c r="G24" s="28" t="n"/>
    </row>
    <row r="25">
      <c r="A25" s="35" t="inlineStr">
        <is>
          <t>Model status</t>
        </is>
      </c>
      <c r="B25" s="35" t="inlineStr">
        <is>
          <t>Formula / meaning</t>
        </is>
      </c>
      <c r="C25" s="28" t="n"/>
      <c r="D25" s="28" t="n"/>
      <c r="E25" s="28" t="n"/>
      <c r="F25" s="28" t="n"/>
      <c r="G25" s="28" t="n"/>
    </row>
    <row r="26">
      <c r="A26" s="28" t="inlineStr">
        <is>
          <t>Structural Gate D</t>
        </is>
      </c>
      <c r="B26" s="28">
        <f>IF(COUNTIF(F6:F22,"FAIL")=0,"PASS","FAIL")</f>
        <v/>
      </c>
      <c r="C26" s="28" t="n"/>
      <c r="D26" s="28" t="n"/>
      <c r="E26" s="28" t="n"/>
      <c r="F26" s="28" t="n"/>
      <c r="G26" s="28" t="n"/>
    </row>
    <row r="27">
      <c r="A27" s="28" t="inlineStr">
        <is>
          <t>Subject matter status</t>
        </is>
      </c>
      <c r="B27" s="28" t="inlineStr">
        <is>
          <t>PASS_WITH_CONDITIONS</t>
        </is>
      </c>
      <c r="C27" s="28" t="n"/>
      <c r="D27" s="28" t="n"/>
      <c r="E27" s="28" t="n"/>
      <c r="F27" s="28" t="n"/>
      <c r="G27" s="28" t="n"/>
    </row>
    <row r="28">
      <c r="A28" s="28" t="inlineStr">
        <is>
          <t>Safety release</t>
        </is>
      </c>
      <c r="B28" s="28" t="inlineStr">
        <is>
          <t>BLOCKED 28/28</t>
        </is>
      </c>
      <c r="C28" s="28" t="n"/>
      <c r="D28" s="28" t="n"/>
      <c r="E28" s="28" t="n"/>
      <c r="F28" s="28" t="n"/>
      <c r="G28" s="28" t="n"/>
    </row>
    <row r="29">
      <c r="A29" s="28" t="inlineStr">
        <is>
          <t>Economic evidence release</t>
        </is>
      </c>
      <c r="B29" s="28" t="inlineStr">
        <is>
          <t>BLOCKED 28/28</t>
        </is>
      </c>
      <c r="C29" s="28" t="n"/>
      <c r="D29" s="28" t="n"/>
      <c r="E29" s="28" t="n"/>
      <c r="F29" s="28" t="n"/>
      <c r="G29" s="28" t="n"/>
    </row>
    <row r="30">
      <c r="A30" s="28" t="inlineStr">
        <is>
          <t>Nutrition release</t>
        </is>
      </c>
      <c r="B30" s="28" t="inlineStr">
        <is>
          <t>BLOCKED 28/28</t>
        </is>
      </c>
      <c r="C30" s="28" t="n"/>
      <c r="D30" s="28" t="n"/>
      <c r="E30" s="28" t="n"/>
      <c r="F30" s="28" t="n"/>
      <c r="G30" s="28" t="n"/>
    </row>
    <row r="31">
      <c r="A31" s="28" t="n"/>
      <c r="B31" s="28" t="n"/>
      <c r="C31" s="28" t="n"/>
      <c r="D31" s="28" t="n"/>
      <c r="E31" s="28" t="n"/>
      <c r="F31" s="28" t="n"/>
      <c r="G31" s="28" t="n"/>
    </row>
    <row r="32">
      <c r="A32" s="28" t="n"/>
      <c r="B32" s="28" t="n"/>
      <c r="C32" s="28" t="n"/>
      <c r="D32" s="28" t="n"/>
      <c r="E32" s="28" t="n"/>
      <c r="F32" s="28" t="n"/>
      <c r="G32" s="28" t="n"/>
    </row>
    <row r="33">
      <c r="A33" s="30" t="inlineStr">
        <is>
          <t>Required sheet name</t>
        </is>
      </c>
      <c r="B33" s="30" t="inlineStr">
        <is>
          <t>Logical print/used range</t>
        </is>
      </c>
      <c r="C33" s="28" t="n"/>
      <c r="D33" s="28" t="n"/>
      <c r="E33" s="28" t="n"/>
      <c r="F33" s="28" t="n"/>
      <c r="G33" s="28" t="n"/>
    </row>
    <row r="34">
      <c r="A34" s="31" t="inlineStr">
        <is>
          <t>00_ПАСПОРТ</t>
        </is>
      </c>
      <c r="B34" s="28" t="inlineStr">
        <is>
          <t>A1:J40</t>
        </is>
      </c>
      <c r="C34" s="28" t="n"/>
      <c r="D34" s="28" t="n"/>
      <c r="E34" s="28" t="n"/>
      <c r="F34" s="28" t="n"/>
      <c r="G34" s="28" t="n"/>
    </row>
    <row r="35">
      <c r="A35" s="31" t="inlineStr">
        <is>
          <t>01_МЕНЮ</t>
        </is>
      </c>
      <c r="B35" s="28" t="inlineStr">
        <is>
          <t>A1:N33</t>
        </is>
      </c>
      <c r="C35" s="28" t="n"/>
      <c r="D35" s="28" t="n"/>
      <c r="E35" s="28" t="n"/>
      <c r="F35" s="28" t="n"/>
      <c r="G35" s="28" t="n"/>
    </row>
    <row r="36">
      <c r="A36" s="31" t="inlineStr">
        <is>
          <t>02_РЕЦЕПТУРЫ</t>
        </is>
      </c>
      <c r="B36" s="28" t="inlineStr">
        <is>
          <t>A1:P258</t>
        </is>
      </c>
      <c r="C36" s="28" t="n"/>
      <c r="D36" s="28" t="n"/>
      <c r="E36" s="28" t="n"/>
      <c r="F36" s="28" t="n"/>
      <c r="G36" s="28" t="n"/>
    </row>
    <row r="37">
      <c r="A37" s="31" t="inlineStr">
        <is>
          <t>03_ПОЛУФАБРИКАТЫ</t>
        </is>
      </c>
      <c r="B37" s="28" t="inlineStr">
        <is>
          <t>A1:O85</t>
        </is>
      </c>
      <c r="C37" s="28" t="n"/>
      <c r="D37" s="28" t="n"/>
      <c r="E37" s="28" t="n"/>
      <c r="F37" s="28" t="n"/>
      <c r="G37" s="28" t="n"/>
    </row>
    <row r="38">
      <c r="A38" s="31" t="inlineStr">
        <is>
          <t>04_КАЛЬКУЛЯЦИИ</t>
        </is>
      </c>
      <c r="B38" s="28" t="inlineStr">
        <is>
          <t>A1:Q65</t>
        </is>
      </c>
      <c r="C38" s="28" t="n"/>
      <c r="D38" s="28" t="n"/>
      <c r="E38" s="28" t="n"/>
      <c r="F38" s="28" t="n"/>
      <c r="G38" s="28" t="n"/>
    </row>
    <row r="39">
      <c r="A39" s="31" t="inlineStr">
        <is>
          <t>05_ТЕХКАРТЫ</t>
        </is>
      </c>
      <c r="B39" s="28" t="inlineStr">
        <is>
          <t>A1:AG33</t>
        </is>
      </c>
      <c r="C39" s="28" t="n"/>
      <c r="D39" s="28" t="n"/>
      <c r="E39" s="28" t="n"/>
      <c r="F39" s="28" t="n"/>
      <c r="G39" s="28" t="n"/>
    </row>
    <row r="40">
      <c r="A40" s="31" t="inlineStr">
        <is>
          <t>06_СЫРЬЁ_И_ЦЕНЫ</t>
        </is>
      </c>
      <c r="B40" s="28" t="inlineStr">
        <is>
          <t>A1:M190</t>
        </is>
      </c>
      <c r="C40" s="28" t="n"/>
      <c r="D40" s="28" t="n"/>
      <c r="E40" s="28" t="n"/>
      <c r="F40" s="28" t="n"/>
      <c r="G40" s="28" t="n"/>
    </row>
    <row r="41">
      <c r="A41" s="31" t="inlineStr">
        <is>
          <t>07_ЦЕНООБРАЗОВАНИЕ</t>
        </is>
      </c>
      <c r="B41" s="28" t="inlineStr">
        <is>
          <t>A1:P211</t>
        </is>
      </c>
      <c r="C41" s="28" t="n"/>
      <c r="D41" s="28" t="n"/>
      <c r="E41" s="28" t="n"/>
      <c r="F41" s="28" t="n"/>
      <c r="G41" s="28" t="n"/>
    </row>
    <row r="42">
      <c r="A42" s="31" t="inlineStr">
        <is>
          <t>08_ОБОРУДОВАНИЕ</t>
        </is>
      </c>
      <c r="B42" s="28" t="inlineStr">
        <is>
          <t>A1:W224</t>
        </is>
      </c>
      <c r="C42" s="28" t="n"/>
      <c r="D42" s="28" t="n"/>
      <c r="E42" s="28" t="n"/>
      <c r="F42" s="28" t="n"/>
      <c r="G42" s="28" t="n"/>
    </row>
    <row r="43">
      <c r="A43" s="31" t="inlineStr">
        <is>
          <t>09_ИНВЕНТАРЬ_И_ПОСУДА</t>
        </is>
      </c>
      <c r="B43" s="28" t="inlineStr">
        <is>
          <t>A1:P33</t>
        </is>
      </c>
      <c r="C43" s="28" t="n"/>
      <c r="D43" s="28" t="n"/>
      <c r="E43" s="28" t="n"/>
      <c r="F43" s="28" t="n"/>
      <c r="G43" s="28" t="n"/>
    </row>
    <row r="44">
      <c r="A44" s="31" t="inlineStr">
        <is>
          <t>10_АЛЛЕРГЕНЫ_БЕЗОПАСНОСТЬ</t>
        </is>
      </c>
      <c r="B44" s="28" t="inlineStr">
        <is>
          <t>A1:S33</t>
        </is>
      </c>
      <c r="C44" s="28" t="n"/>
      <c r="D44" s="28" t="n"/>
      <c r="E44" s="28" t="n"/>
      <c r="F44" s="28" t="n"/>
      <c r="G44" s="28" t="n"/>
    </row>
    <row r="45">
      <c r="A45" s="31" t="inlineStr">
        <is>
          <t>11_ПИЩЕВАЯ_ЦЕННОСТЬ</t>
        </is>
      </c>
      <c r="B45" s="28" t="inlineStr">
        <is>
          <t>A1:Y33</t>
        </is>
      </c>
      <c r="C45" s="28" t="n"/>
      <c r="D45" s="28" t="n"/>
      <c r="E45" s="28" t="n"/>
      <c r="F45" s="28" t="n"/>
      <c r="G45" s="28" t="n"/>
    </row>
    <row r="46">
      <c r="A46" s="31" t="inlineStr">
        <is>
          <t>12_ВОПРОСЫ_ШЕФУ</t>
        </is>
      </c>
      <c r="B46" s="28" t="inlineStr">
        <is>
          <t>A1:N149</t>
        </is>
      </c>
      <c r="C46" s="28" t="n"/>
      <c r="D46" s="28" t="n"/>
      <c r="E46" s="28" t="n"/>
      <c r="F46" s="28" t="n"/>
      <c r="G46" s="28" t="n"/>
    </row>
    <row r="47">
      <c r="A47" s="31" t="inlineStr">
        <is>
          <t>13_СОГЛАСОВАНИЕ</t>
        </is>
      </c>
      <c r="B47" s="28" t="inlineStr">
        <is>
          <t>A1:L33</t>
        </is>
      </c>
      <c r="C47" s="28" t="n"/>
      <c r="D47" s="28" t="n"/>
      <c r="E47" s="28" t="n"/>
      <c r="F47" s="28" t="n"/>
      <c r="G47" s="28" t="n"/>
    </row>
    <row r="48">
      <c r="A48" s="31" t="inlineStr">
        <is>
          <t>14_КОНТРОЛЬНЫЕ_ПРОРАБОТКИ</t>
        </is>
      </c>
      <c r="B48" s="28" t="inlineStr">
        <is>
          <t>A1:P33</t>
        </is>
      </c>
      <c r="C48" s="28" t="n"/>
      <c r="D48" s="28" t="n"/>
      <c r="E48" s="28" t="n"/>
      <c r="F48" s="28" t="n"/>
      <c r="G48" s="28" t="n"/>
    </row>
    <row r="49">
      <c r="A49" s="31" t="inlineStr">
        <is>
          <t>15_ПРОВЕРКИ</t>
        </is>
      </c>
      <c r="B49" s="28" t="inlineStr">
        <is>
          <t>A1:G50</t>
        </is>
      </c>
      <c r="C49" s="28" t="n"/>
      <c r="D49" s="28" t="n"/>
      <c r="E49" s="28" t="n"/>
      <c r="F49" s="28" t="n"/>
      <c r="G49" s="28" t="n"/>
    </row>
    <row r="50">
      <c r="A50" s="31" t="inlineStr">
        <is>
          <t>16_ИСТОЧНИКИ</t>
        </is>
      </c>
      <c r="B50" s="28" t="inlineStr">
        <is>
          <t>A1:M140+</t>
        </is>
      </c>
      <c r="C50" s="28" t="n"/>
      <c r="D50" s="28" t="n"/>
      <c r="E50" s="28" t="n"/>
      <c r="F50" s="28" t="n"/>
      <c r="G50" s="28" t="n"/>
    </row>
  </sheetData>
  <mergeCells count="2">
    <mergeCell ref="A2:G2"/>
    <mergeCell ref="A1:G1"/>
  </mergeCells>
  <conditionalFormatting sqref="F6:F22">
    <cfRule type="containsText" priority="1" operator="containsText" dxfId="0" text="BLOCK"/>
    <cfRule type="containsText" priority="2" operator="containsText" dxfId="1" text="PASS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4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42" customWidth="1" min="3" max="3"/>
    <col width="70" customWidth="1" min="4" max="4"/>
    <col width="24" customWidth="1" min="5" max="5"/>
    <col width="18" customWidth="1" min="6" max="6"/>
    <col width="25" customWidth="1" min="7" max="7"/>
    <col width="45" customWidth="1" min="8" max="8"/>
    <col width="55" customWidth="1" min="9" max="9"/>
    <col width="25" customWidth="1" min="10" max="10"/>
    <col width="20" customWidth="1" min="11" max="11"/>
    <col width="24" customWidth="1" min="12" max="12"/>
    <col width="24" customWidth="1" min="13" max="13"/>
  </cols>
  <sheetData>
    <row r="1" ht="30" customHeight="1">
      <c r="A1" s="27" t="inlineStr">
        <is>
          <t>16 — Источники и Evidence</t>
        </is>
      </c>
    </row>
    <row r="2" ht="27" customHeight="1">
      <c r="A2" s="29" t="inlineStr">
        <is>
          <t>Full URLs are plain text. Price observations are only 46 accepted HOF-0005 v0.2.1 rows; rejected 22 are absent from selection.</t>
        </is>
      </c>
    </row>
    <row r="3">
      <c r="A3" s="28" t="n"/>
      <c r="B3" s="28" t="n"/>
      <c r="C3" s="28" t="n"/>
      <c r="D3" s="28" t="n"/>
      <c r="E3" s="28" t="n"/>
      <c r="F3" s="28" t="n"/>
      <c r="G3" s="28" t="n"/>
      <c r="H3" s="28" t="n"/>
      <c r="I3" s="28" t="n"/>
      <c r="J3" s="28" t="n"/>
      <c r="K3" s="28" t="n"/>
      <c r="L3" s="28" t="n"/>
      <c r="M3" s="28" t="n"/>
    </row>
    <row r="4">
      <c r="A4" s="28" t="n"/>
      <c r="B4" s="28" t="n"/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</row>
    <row r="5" ht="34" customHeight="1">
      <c r="A5" s="32" t="inlineStr">
        <is>
          <t>Source/Evidence ID</t>
        </is>
      </c>
      <c r="B5" s="32" t="inlineStr">
        <is>
          <t>Type</t>
        </is>
      </c>
      <c r="C5" s="32" t="inlineStr">
        <is>
          <t>Title / parameter</t>
        </is>
      </c>
      <c r="D5" s="32" t="inlineStr">
        <is>
          <t>Locator / URL</t>
        </is>
      </c>
      <c r="E5" s="32" t="inlineStr">
        <is>
          <t>Issuer / class</t>
        </is>
      </c>
      <c r="F5" s="32" t="inlineStr">
        <is>
          <t>Version / date</t>
        </is>
      </c>
      <c r="G5" s="32" t="inlineStr">
        <is>
          <t>Status</t>
        </is>
      </c>
      <c r="H5" s="32" t="inlineStr">
        <is>
          <t>Allowed use</t>
        </is>
      </c>
      <c r="I5" s="32" t="inlineStr">
        <is>
          <t>Limitations / prohibited</t>
        </is>
      </c>
      <c r="J5" s="32" t="inlineStr">
        <is>
          <t>Owner</t>
        </is>
      </c>
      <c r="K5" s="32" t="inlineStr">
        <is>
          <t>Linked source/entity</t>
        </is>
      </c>
      <c r="L5" s="32" t="inlineStr">
        <is>
          <t>Scope/name</t>
        </is>
      </c>
      <c r="M5" s="32" t="inlineStr">
        <is>
          <t>Gaps</t>
        </is>
      </c>
    </row>
    <row r="6">
      <c r="A6" s="33" t="inlineStr">
        <is>
          <t>SRC-001</t>
        </is>
      </c>
      <c r="B6" s="33" t="inlineStr">
        <is>
          <t>SOURCE</t>
        </is>
      </c>
      <c r="C6" s="33" t="inlineStr">
        <is>
          <t>MULTI_AGENT_GOVERNANCE_VARSHAVKA</t>
        </is>
      </c>
      <c r="D6" s="33" t="inlineStr">
        <is>
          <t>docs/01-project/MULTI_AGENT_GOVERNANCE_VARSHAVKA.md</t>
        </is>
      </c>
      <c r="E6" s="33" t="inlineStr">
        <is>
          <t>1</t>
        </is>
      </c>
      <c r="F6" s="33" t="inlineStr">
        <is>
          <t>1.0.0 / 2026-08-03</t>
        </is>
      </c>
      <c r="G6" s="33" t="inlineStr">
        <is>
          <t>APPLICABLE</t>
        </is>
      </c>
      <c r="H6" s="33" t="inlineStr">
        <is>
          <t>roles; gates; evidence and handoff rules</t>
        </is>
      </c>
      <c r="I6" s="33" t="inlineStr">
        <is>
          <t>does not supply domain facts</t>
        </is>
      </c>
      <c r="J6" s="33" t="inlineStr">
        <is>
          <t>Owner / Orchestrator</t>
        </is>
      </c>
      <c r="K6" s="33" t="n"/>
      <c r="L6" s="33" t="n"/>
      <c r="M6" s="33" t="n"/>
    </row>
    <row r="7">
      <c r="A7" s="33" t="inlineStr">
        <is>
          <t>SRC-002</t>
        </is>
      </c>
      <c r="B7" s="33" t="inlineStr">
        <is>
          <t>SOURCE</t>
        </is>
      </c>
      <c r="C7" s="33" t="inlineStr">
        <is>
          <t>KITCHEN_MENU_VARSHAVKA_v3.0.0</t>
        </is>
      </c>
      <c r="D7" s="33" t="inlineStr">
        <is>
          <t>downloads/KITCHEN_MENU_VARSHAVKA_v3.0.0.xlsx</t>
        </is>
      </c>
      <c r="E7" s="33" t="inlineStr">
        <is>
          <t>5</t>
        </is>
      </c>
      <c r="F7" s="33" t="inlineStr">
        <is>
          <t>3.0.0 / 2026-07-28 / sha256 edf80218…c95</t>
        </is>
      </c>
      <c r="G7" s="33" t="inlineStr">
        <is>
          <t>APPLICABLE_WITH_CONDITIONS</t>
        </is>
      </c>
      <c r="H7" s="33" t="inlineStr">
        <is>
          <t>menu identity; section; unit; draft output; production model; channels</t>
        </is>
      </c>
      <c r="I7" s="33" t="inlineStr">
        <is>
          <t>recipes and outputs conditional pending control cooks</t>
        </is>
      </c>
      <c r="J7" s="33" t="inlineStr">
        <is>
          <t>Chef / Owner</t>
        </is>
      </c>
      <c r="K7" s="33" t="n"/>
      <c r="L7" s="33" t="n"/>
      <c r="M7" s="33" t="n"/>
    </row>
    <row r="8">
      <c r="A8" s="33" t="inlineStr">
        <is>
          <t>SRC-003</t>
        </is>
      </c>
      <c r="B8" s="33" t="inlineStr">
        <is>
          <t>SOURCE</t>
        </is>
      </c>
      <c r="C8" s="33" t="inlineStr">
        <is>
          <t>KITCHEN_MENU_3.0.0</t>
        </is>
      </c>
      <c r="D8" s="33" t="inlineStr">
        <is>
          <t>docs/07-operations/KITCHEN_MENU_3.0.0.md</t>
        </is>
      </c>
      <c r="E8" s="33" t="inlineStr">
        <is>
          <t>5</t>
        </is>
      </c>
      <c r="F8" s="33" t="inlineStr">
        <is>
          <t>2026-07-27</t>
        </is>
      </c>
      <c r="G8" s="33" t="inlineStr">
        <is>
          <t>APPLICABLE_WITH_CONDITIONS</t>
        </is>
      </c>
      <c r="H8" s="33" t="inlineStr">
        <is>
          <t>human-readable reconciliation of SRC-002</t>
        </is>
      </c>
      <c r="I8" s="33" t="inlineStr">
        <is>
          <t>explicitly says recipes and outputs conditional</t>
        </is>
      </c>
      <c r="J8" s="33" t="inlineStr">
        <is>
          <t>Chef / Owner</t>
        </is>
      </c>
      <c r="K8" s="33" t="n"/>
      <c r="L8" s="33" t="n"/>
      <c r="M8" s="33" t="n"/>
    </row>
    <row r="9">
      <c r="A9" s="33" t="inlineStr">
        <is>
          <t>SRC-004</t>
        </is>
      </c>
      <c r="B9" s="33" t="inlineStr">
        <is>
          <t>SOURCE</t>
        </is>
      </c>
      <c r="C9" s="33" t="inlineStr">
        <is>
          <t>KITCHEN_PRODUCTION_CAPACITY_BY_MENU</t>
        </is>
      </c>
      <c r="D9" s="33" t="inlineStr">
        <is>
          <t>downloads/KITCHEN_PRODUCTION_CAPACITY_BY_MENU_VARSHAVKA_v3.0.0.xlsx</t>
        </is>
      </c>
      <c r="E9" s="33" t="inlineStr">
        <is>
          <t>5</t>
        </is>
      </c>
      <c r="F9" s="33" t="inlineStr">
        <is>
          <t>3.0.0 / 2026-07-28 / sha256 9a050fc3…ab5</t>
        </is>
      </c>
      <c r="G9" s="33" t="inlineStr">
        <is>
          <t>PRELIMINARY</t>
        </is>
      </c>
      <c r="H9" s="33" t="inlineStr">
        <is>
          <t>demand profiles; functional groups; preliminary bottlenecks</t>
        </is>
      </c>
      <c r="I9" s="33" t="inlineStr">
        <is>
          <t>profiles provisional; no passport performance</t>
        </is>
      </c>
      <c r="J9" s="33" t="inlineStr">
        <is>
          <t>Operations / Engineering</t>
        </is>
      </c>
      <c r="K9" s="33" t="n"/>
      <c r="L9" s="33" t="n"/>
      <c r="M9" s="33" t="n"/>
    </row>
    <row r="10">
      <c r="A10" s="33" t="inlineStr">
        <is>
          <t>SRC-005</t>
        </is>
      </c>
      <c r="B10" s="33" t="inlineStr">
        <is>
          <t>SOURCE</t>
        </is>
      </c>
      <c r="C10" s="33" t="inlineStr">
        <is>
          <t>EQUIPMENT_POWER_REGISTER</t>
        </is>
      </c>
      <c r="D10" s="33" t="inlineStr">
        <is>
          <t>downloads/EQUIPMENT_POWER_REGISTER_VARSHAVKA_v3.0.0.xlsx</t>
        </is>
      </c>
      <c r="E10" s="33" t="inlineStr">
        <is>
          <t>5</t>
        </is>
      </c>
      <c r="F10" s="33" t="inlineStr">
        <is>
          <t>3.0.0 / 2026-07-28 / sha256 4399b884…c39f</t>
        </is>
      </c>
      <c r="G10" s="33" t="inlineStr">
        <is>
          <t>PRELIMINARY</t>
        </is>
      </c>
      <c r="H10" s="33" t="inlineStr">
        <is>
          <t>equipment functions; preliminary electrical estimate</t>
        </is>
      </c>
      <c r="I10" s="33" t="inlineStr">
        <is>
          <t>models passports ownership and connections unconfirmed</t>
        </is>
      </c>
      <c r="J10" s="33" t="inlineStr">
        <is>
          <t>Procurement / Engineering</t>
        </is>
      </c>
      <c r="K10" s="33" t="n"/>
      <c r="L10" s="33" t="n"/>
      <c r="M10" s="33" t="n"/>
    </row>
    <row r="11">
      <c r="A11" s="33" t="inlineStr">
        <is>
          <t>SRC-006</t>
        </is>
      </c>
      <c r="B11" s="33" t="inlineStr">
        <is>
          <t>SOURCE</t>
        </is>
      </c>
      <c r="C11" s="33" t="inlineStr">
        <is>
          <t>S04 financial model</t>
        </is>
      </c>
      <c r="D11" s="33" t="inlineStr">
        <is>
          <t>models/scenarios/S04/FINMODEL_VARSHAVKA_USALI_SCENARIO_S04_v3.0.0.xlsx</t>
        </is>
      </c>
      <c r="E11" s="33" t="inlineStr">
        <is>
          <t>5</t>
        </is>
      </c>
      <c r="F11" s="33" t="inlineStr">
        <is>
          <t>3.0.0 / 2026-07-28 / sha256 337ce883…e695</t>
        </is>
      </c>
      <c r="G11" s="33" t="inlineStr">
        <is>
          <t>REFERENCE_ONLY</t>
        </is>
      </c>
      <c r="H11" s="33" t="inlineStr">
        <is>
          <t>architecture; current proxy/status reconciliation; breakfast example</t>
        </is>
      </c>
      <c r="I11" s="33" t="inlineStr">
        <is>
          <t>proxy COGS and draft inputs cannot populate 28 recipe cost cards</t>
        </is>
      </c>
      <c r="J11" s="33" t="inlineStr">
        <is>
          <t>Finance / Owner</t>
        </is>
      </c>
      <c r="K11" s="33" t="n"/>
      <c r="L11" s="33" t="n"/>
      <c r="M11" s="33" t="n"/>
    </row>
    <row r="12">
      <c r="A12" s="33" t="inlineStr">
        <is>
          <t>SRC-007</t>
        </is>
      </c>
      <c r="B12" s="33" t="inlineStr">
        <is>
          <t>SOURCE</t>
        </is>
      </c>
      <c r="C12" s="33" t="inlineStr">
        <is>
          <t>S04 release note</t>
        </is>
      </c>
      <c r="D12" s="33" t="inlineStr">
        <is>
          <t>docs/08-releases/S04-v3.0.0.md</t>
        </is>
      </c>
      <c r="E12" s="33" t="inlineStr">
        <is>
          <t>5</t>
        </is>
      </c>
      <c r="F12" s="33" t="inlineStr">
        <is>
          <t>2026-07-28</t>
        </is>
      </c>
      <c r="G12" s="33" t="inlineStr">
        <is>
          <t>APPLICABLE</t>
        </is>
      </c>
      <c r="H12" s="33" t="inlineStr">
        <is>
          <t>release status and stated limitations</t>
        </is>
      </c>
      <c r="I12" s="33" t="inlineStr">
        <is>
          <t>not a primary supplier recipe or safety document</t>
        </is>
      </c>
      <c r="J12" s="33" t="inlineStr">
        <is>
          <t>Orchestrator</t>
        </is>
      </c>
      <c r="K12" s="33" t="n"/>
      <c r="L12" s="33" t="n"/>
      <c r="M12" s="33" t="n"/>
    </row>
    <row r="13">
      <c r="A13" s="33" t="inlineStr">
        <is>
          <t>SRC-008</t>
        </is>
      </c>
      <c r="B13" s="33" t="inlineStr">
        <is>
          <t>SOURCE</t>
        </is>
      </c>
      <c r="C13" s="33" t="inlineStr">
        <is>
          <t>S04 validation report</t>
        </is>
      </c>
      <c r="D13" s="33" t="inlineStr">
        <is>
          <t>docs/06-validation/SCENARIO_S04_v3.0.0_VALIDATION.md</t>
        </is>
      </c>
      <c r="E13" s="33" t="inlineStr">
        <is>
          <t>5</t>
        </is>
      </c>
      <c r="F13" s="33" t="inlineStr">
        <is>
          <t>2026-07-28</t>
        </is>
      </c>
      <c r="G13" s="33" t="inlineStr">
        <is>
          <t>APPLICABLE</t>
        </is>
      </c>
      <c r="H13" s="33" t="inlineStr">
        <is>
          <t>formula/check provenance and breakfast architecture</t>
        </is>
      </c>
      <c r="I13" s="33" t="inlineStr">
        <is>
          <t>does not validate 28 recipes or external facts</t>
        </is>
      </c>
      <c r="J13" s="33" t="inlineStr">
        <is>
          <t>SystemArchitect</t>
        </is>
      </c>
      <c r="K13" s="33" t="n"/>
      <c r="L13" s="33" t="n"/>
      <c r="M13" s="33" t="n"/>
    </row>
    <row r="14">
      <c r="A14" s="33" t="inlineStr">
        <is>
          <t>SRC-009</t>
        </is>
      </c>
      <c r="B14" s="33" t="inlineStr">
        <is>
          <t>SOURCE</t>
        </is>
      </c>
      <c r="C14" s="33" t="inlineStr">
        <is>
          <t>ISSUE_REGISTER</t>
        </is>
      </c>
      <c r="D14" s="33" t="inlineStr">
        <is>
          <t>docs/05-data/ISSUE_REGISTER.md</t>
        </is>
      </c>
      <c r="E14" s="33" t="inlineStr">
        <is>
          <t>5</t>
        </is>
      </c>
      <c r="F14" s="33" t="inlineStr">
        <is>
          <t>2026-07-28 current repository snapshot</t>
        </is>
      </c>
      <c r="G14" s="33" t="inlineStr">
        <is>
          <t>APPLICABLE</t>
        </is>
      </c>
      <c r="H14" s="33" t="inlineStr">
        <is>
          <t>blockers; owners; acceptance criteria; dependencies</t>
        </is>
      </c>
      <c r="I14" s="33" t="inlineStr">
        <is>
          <t>open item is not evidence of fact</t>
        </is>
      </c>
      <c r="J14" s="33" t="inlineStr">
        <is>
          <t>Orchestrator / named owner</t>
        </is>
      </c>
      <c r="K14" s="33" t="n"/>
      <c r="L14" s="33" t="n"/>
      <c r="M14" s="33" t="n"/>
    </row>
    <row r="15">
      <c r="A15" s="33" t="inlineStr">
        <is>
          <t>SRC-010</t>
        </is>
      </c>
      <c r="B15" s="33" t="inlineStr">
        <is>
          <t>SOURCE</t>
        </is>
      </c>
      <c r="C15" s="33" t="inlineStr">
        <is>
          <t>Project data sources</t>
        </is>
      </c>
      <c r="D15" s="33" t="inlineStr">
        <is>
          <t>docs/05-data/DATA_SOURCES.md</t>
        </is>
      </c>
      <c r="E15" s="33" t="inlineStr">
        <is>
          <t>5</t>
        </is>
      </c>
      <c r="F15" s="33" t="inlineStr">
        <is>
          <t>current main</t>
        </is>
      </c>
      <c r="G15" s="33" t="inlineStr">
        <is>
          <t>APPLICABLE_WITH_CONDITIONS</t>
        </is>
      </c>
      <c r="H15" s="33" t="inlineStr">
        <is>
          <t>provenance boundary; confidential document location</t>
        </is>
      </c>
      <c r="I15" s="33" t="inlineStr">
        <is>
          <t>primary confidential documents absent from repository</t>
        </is>
      </c>
      <c r="J15" s="33" t="inlineStr">
        <is>
          <t>Owner</t>
        </is>
      </c>
      <c r="K15" s="33" t="n"/>
      <c r="L15" s="33" t="n"/>
      <c r="M15" s="33" t="n"/>
    </row>
    <row r="16">
      <c r="A16" s="33" t="inlineStr">
        <is>
          <t>SRC-011</t>
        </is>
      </c>
      <c r="B16" s="33" t="inlineStr">
        <is>
          <t>SOURCE</t>
        </is>
      </c>
      <c r="C16" s="33" t="inlineStr">
        <is>
          <t>CAPEX quantity specification</t>
        </is>
      </c>
      <c r="D16" s="33" t="inlineStr">
        <is>
          <t>docs/10-investment/CAPEX_QUANTITY_SPECIFICATION.csv</t>
        </is>
      </c>
      <c r="E16" s="33" t="inlineStr">
        <is>
          <t>5</t>
        </is>
      </c>
      <c r="F16" s="33" t="inlineStr">
        <is>
          <t>3.0.0 / 2026-07-28</t>
        </is>
      </c>
      <c r="G16" s="33" t="inlineStr">
        <is>
          <t>PRELIMINARY</t>
        </is>
      </c>
      <c r="H16" s="33" t="inlineStr">
        <is>
          <t>candidate quantities; gap routing</t>
        </is>
      </c>
      <c r="I16" s="33" t="inlineStr">
        <is>
          <t>does not prove purchase suitability or installation</t>
        </is>
      </c>
      <c r="J16" s="33" t="inlineStr">
        <is>
          <t>Procurement / Engineering</t>
        </is>
      </c>
      <c r="K16" s="33" t="n"/>
      <c r="L16" s="33" t="n"/>
      <c r="M16" s="33" t="n"/>
    </row>
    <row r="17">
      <c r="A17" s="33" t="inlineStr">
        <is>
          <t>SRC-012</t>
        </is>
      </c>
      <c r="B17" s="33" t="inlineStr">
        <is>
          <t>SOURCE</t>
        </is>
      </c>
      <c r="C17" s="33" t="inlineStr">
        <is>
          <t>Conditional equipment gates</t>
        </is>
      </c>
      <c r="D17" s="33" t="inlineStr">
        <is>
          <t>docs/10-investment/CONDITIONAL_EQUIPMENT_GATES.csv</t>
        </is>
      </c>
      <c r="E17" s="33" t="inlineStr">
        <is>
          <t>5</t>
        </is>
      </c>
      <c r="F17" s="33" t="inlineStr">
        <is>
          <t>3.0.0 / 2026-07-28</t>
        </is>
      </c>
      <c r="G17" s="33" t="inlineStr">
        <is>
          <t>APPLICABLE</t>
        </is>
      </c>
      <c r="H17" s="33" t="inlineStr">
        <is>
          <t>test/decision gates</t>
        </is>
      </c>
      <c r="I17" s="33" t="inlineStr">
        <is>
          <t>not equipment passport or acceptance act</t>
        </is>
      </c>
      <c r="J17" s="33" t="inlineStr">
        <is>
          <t>Operations / Engineering</t>
        </is>
      </c>
      <c r="K17" s="33" t="n"/>
      <c r="L17" s="33" t="n"/>
      <c r="M17" s="33" t="n"/>
    </row>
    <row r="18">
      <c r="A18" s="33" t="inlineStr">
        <is>
          <t>SRC-013</t>
        </is>
      </c>
      <c r="B18" s="33" t="inlineStr">
        <is>
          <t>SOURCE</t>
        </is>
      </c>
      <c r="C18" s="33" t="inlineStr">
        <is>
          <t>Issue #52 control-trial package</t>
        </is>
      </c>
      <c r="D18" s="33" t="inlineStr">
        <is>
          <t>docs/06-validation/issue-52/</t>
        </is>
      </c>
      <c r="E18" s="33" t="inlineStr">
        <is>
          <t>5</t>
        </is>
      </c>
      <c r="F18" s="33" t="inlineStr">
        <is>
          <t>2026-07-27/28</t>
        </is>
      </c>
      <c r="G18" s="33" t="inlineStr">
        <is>
          <t>REFERENCE_ONLY</t>
        </is>
      </c>
      <c r="H18" s="33" t="inlineStr">
        <is>
          <t>control-cook form architecture; evidence capture pattern</t>
        </is>
      </c>
      <c r="I18" s="33" t="inlineStr">
        <is>
          <t>excluded dishes; blank/project forms are not trial results</t>
        </is>
      </c>
      <c r="J18" s="33" t="inlineStr">
        <is>
          <t>Chef / Food Safety</t>
        </is>
      </c>
      <c r="K18" s="33" t="n"/>
      <c r="L18" s="33" t="n"/>
      <c r="M18" s="33" t="n"/>
    </row>
    <row r="19">
      <c r="A19" s="33" t="inlineStr">
        <is>
          <t>SRC-014</t>
        </is>
      </c>
      <c r="B19" s="33" t="inlineStr">
        <is>
          <t>SOURCE</t>
        </is>
      </c>
      <c r="C19" s="33" t="inlineStr">
        <is>
          <t>PR81 Source Audit</t>
        </is>
      </c>
      <c r="D19" s="33" t="inlineStr">
        <is>
          <t>/tmp/issue81/docs/07-operations/issue-80/SOURCE_AUDIT.md</t>
        </is>
      </c>
      <c r="E19" s="33" t="inlineStr">
        <is>
          <t>5</t>
        </is>
      </c>
      <c r="F19" s="33" t="inlineStr">
        <is>
          <t>2026-08-03</t>
        </is>
      </c>
      <c r="G19" s="33" t="inlineStr">
        <is>
          <t>REFERENCE_ONLY</t>
        </is>
      </c>
      <c r="H19" s="33" t="inlineStr">
        <is>
          <t>cross-check source hierarchy and known limitations</t>
        </is>
      </c>
      <c r="I19" s="33" t="inlineStr">
        <is>
          <t>not merged; not base; must revalidate</t>
        </is>
      </c>
      <c r="J19" s="33" t="inlineStr">
        <is>
          <t>SourceAuditor</t>
        </is>
      </c>
      <c r="K19" s="33" t="n"/>
      <c r="L19" s="33" t="n"/>
      <c r="M19" s="33" t="n"/>
    </row>
    <row r="20">
      <c r="A20" s="33" t="inlineStr">
        <is>
          <t>SRC-015</t>
        </is>
      </c>
      <c r="B20" s="33" t="inlineStr">
        <is>
          <t>SOURCE</t>
        </is>
      </c>
      <c r="C20" s="33" t="inlineStr">
        <is>
          <t>PR81 draft workbook</t>
        </is>
      </c>
      <c r="D20" s="33" t="inlineStr">
        <is>
          <t>/tmp/issue81/docs/07-operations/issue-80/VARSHAVKA_MENU_COSTING_TECH_CARDS_DRAFT_v1.0.0.xlsx</t>
        </is>
      </c>
      <c r="E20" s="33" t="inlineStr">
        <is>
          <t>5</t>
        </is>
      </c>
      <c r="F20" s="33" t="inlineStr">
        <is>
          <t>1.0.0 / 2026-08-03 / sha256 1c054ef9…b01</t>
        </is>
      </c>
      <c r="G20" s="33" t="inlineStr">
        <is>
          <t>REFERENCE_ONLY</t>
        </is>
      </c>
      <c r="H20" s="33" t="inlineStr">
        <is>
          <t>stable VKM/VKC/VKT; formula and validation patterns</t>
        </is>
      </c>
      <c r="I20" s="33" t="inlineStr">
        <is>
          <t>10 sheets not required 17; 28 skeletons contain no recipes</t>
        </is>
      </c>
      <c r="J20" s="33" t="inlineStr">
        <is>
          <t>ExcelBuilder / SystemArchitect</t>
        </is>
      </c>
      <c r="K20" s="33" t="n"/>
      <c r="L20" s="33" t="n"/>
      <c r="M20" s="33" t="n"/>
    </row>
    <row r="21">
      <c r="A21" s="33" t="inlineStr">
        <is>
          <t>SRC-016</t>
        </is>
      </c>
      <c r="B21" s="33" t="inlineStr">
        <is>
          <t>SOURCE</t>
        </is>
      </c>
      <c r="C21" s="33" t="inlineStr">
        <is>
          <t>PR81 builder</t>
        </is>
      </c>
      <c r="D21" s="33" t="inlineStr">
        <is>
          <t>/tmp/issue81/scripts/releases/build_issue_80_menu_cards.mjs</t>
        </is>
      </c>
      <c r="E21" s="33" t="inlineStr">
        <is>
          <t>5</t>
        </is>
      </c>
      <c r="F21" s="33" t="inlineStr">
        <is>
          <t>2026-08-03</t>
        </is>
      </c>
      <c r="G21" s="33" t="inlineStr">
        <is>
          <t>REFERENCE_ONLY</t>
        </is>
      </c>
      <c r="H21" s="33" t="inlineStr">
        <is>
          <t>reproducible builder patterns</t>
        </is>
      </c>
      <c r="I21" s="33" t="inlineStr">
        <is>
          <t>must be reviewed and extended; no domain-value authority</t>
        </is>
      </c>
      <c r="J21" s="33" t="inlineStr">
        <is>
          <t>ExcelBuilder</t>
        </is>
      </c>
      <c r="K21" s="33" t="n"/>
      <c r="L21" s="33" t="n"/>
      <c r="M21" s="33" t="n"/>
    </row>
    <row r="22">
      <c r="A22" s="33" t="inlineStr">
        <is>
          <t>SRC-017</t>
        </is>
      </c>
      <c r="B22" s="33" t="inlineStr">
        <is>
          <t>SOURCE</t>
        </is>
      </c>
      <c r="C22" s="33" t="inlineStr">
        <is>
          <t>PR81 Independent Verification</t>
        </is>
      </c>
      <c r="D22" s="33" t="inlineStr">
        <is>
          <t>/tmp/issue81/docs/07-operations/issue-80/INDEPENDENT_VERIFICATION.md</t>
        </is>
      </c>
      <c r="E22" s="33" t="inlineStr">
        <is>
          <t>5</t>
        </is>
      </c>
      <c r="F22" s="33" t="inlineStr">
        <is>
          <t>2026-08-03</t>
        </is>
      </c>
      <c r="G22" s="33" t="inlineStr">
        <is>
          <t>REFERENCE_ONLY</t>
        </is>
      </c>
      <c r="H22" s="33" t="inlineStr">
        <is>
          <t>known defects and regression checks</t>
        </is>
      </c>
      <c r="I22" s="33" t="inlineStr">
        <is>
          <t>PASS applies only to Issue #80 checkpoint</t>
        </is>
      </c>
      <c r="J22" s="33" t="inlineStr">
        <is>
          <t>IndependentVerifier</t>
        </is>
      </c>
      <c r="K22" s="33" t="n"/>
      <c r="L22" s="33" t="n"/>
      <c r="M22" s="33" t="n"/>
    </row>
    <row r="23">
      <c r="A23" s="33" t="inlineStr">
        <is>
          <t>SRC-018</t>
        </is>
      </c>
      <c r="B23" s="33" t="inlineStr">
        <is>
          <t>SOURCE</t>
        </is>
      </c>
      <c r="C23" s="33" t="inlineStr">
        <is>
          <t>ADR set</t>
        </is>
      </c>
      <c r="D23" s="33" t="inlineStr">
        <is>
          <t>docs/04-decisions/ADR-0001-TWO-BUSINESSES.md through ADR-0006-S03-DINNER-COGS-LINK.md</t>
        </is>
      </c>
      <c r="E23" s="33" t="inlineStr">
        <is>
          <t>1</t>
        </is>
      </c>
      <c r="F23" s="33" t="inlineStr">
        <is>
          <t>current main; latest dated 2026-07-17</t>
        </is>
      </c>
      <c r="G23" s="33" t="inlineStr">
        <is>
          <t>APPLICABLE_WITH_CONDITIONS</t>
        </is>
      </c>
      <c r="H23" s="33" t="inlineStr">
        <is>
          <t>business boundaries; accounting architecture; supersession</t>
        </is>
      </c>
      <c r="I23" s="33" t="inlineStr">
        <is>
          <t>does not approve recipes prices or safety parameters</t>
        </is>
      </c>
      <c r="J23" s="33" t="inlineStr">
        <is>
          <t>Owner / Orchestrator</t>
        </is>
      </c>
      <c r="K23" s="33" t="n"/>
      <c r="L23" s="33" t="n"/>
      <c r="M23" s="33" t="n"/>
    </row>
    <row r="24">
      <c r="A24" s="33" t="inlineStr">
        <is>
          <t>EVD-0001</t>
        </is>
      </c>
      <c r="B24" s="33" t="inlineStr">
        <is>
          <t>EVIDENCE</t>
        </is>
      </c>
      <c r="C24" s="33" t="inlineStr">
        <is>
          <t>governance and status taxonomy</t>
        </is>
      </c>
      <c r="D24" s="33" t="inlineStr">
        <is>
          <t>sections 2-8</t>
        </is>
      </c>
      <c r="E24" s="33" t="inlineStr">
        <is>
          <t>approved governance</t>
        </is>
      </c>
      <c r="F24" s="33" t="inlineStr">
        <is>
          <t>1.0.0 / 2026-08-03</t>
        </is>
      </c>
      <c r="G24" s="33" t="inlineStr">
        <is>
          <t>FACT</t>
        </is>
      </c>
      <c r="H24" s="33" t="inlineStr">
        <is>
          <t>workflow; roles; gates; status vocabulary</t>
        </is>
      </c>
      <c r="I24" s="33" t="inlineStr">
        <is>
          <t>domain fact substitution</t>
        </is>
      </c>
      <c r="J24" s="33" t="inlineStr">
        <is>
          <t>Orchestrator</t>
        </is>
      </c>
      <c r="K24" s="33" t="inlineStr">
        <is>
          <t>SRC-001</t>
        </is>
      </c>
      <c r="L24" s="33" t="inlineStr">
        <is>
          <t>ALL_28</t>
        </is>
      </c>
      <c r="M24" s="33" t="str"/>
    </row>
    <row r="25">
      <c r="A25" s="33" t="inlineStr">
        <is>
          <t>EVD-0002</t>
        </is>
      </c>
      <c r="B25" s="33" t="inlineStr">
        <is>
          <t>EVIDENCE</t>
        </is>
      </c>
      <c r="C25" s="33" t="inlineStr">
        <is>
          <t>stable VKM/VKC/VKT identifiers</t>
        </is>
      </c>
      <c r="D25" s="33" t="inlineStr">
        <is>
          <t>01_MENU/02_COSTING/03_TECHCARDS</t>
        </is>
      </c>
      <c r="E25" s="33" t="inlineStr">
        <is>
          <t>reference architecture</t>
        </is>
      </c>
      <c r="F25" s="33" t="inlineStr">
        <is>
          <t>1.0.0 / 2026-08-03</t>
        </is>
      </c>
      <c r="G25" s="33" t="inlineStr">
        <is>
          <t>FACT</t>
        </is>
      </c>
      <c r="H25" s="33" t="inlineStr">
        <is>
          <t>retain one-to-one code pattern</t>
        </is>
      </c>
      <c r="I25" s="33" t="inlineStr">
        <is>
          <t>copy domain values without handoff</t>
        </is>
      </c>
      <c r="J25" s="33" t="inlineStr">
        <is>
          <t>SystemArchitect</t>
        </is>
      </c>
      <c r="K25" s="33" t="inlineStr">
        <is>
          <t>SRC-015</t>
        </is>
      </c>
      <c r="L25" s="33" t="inlineStr">
        <is>
          <t>ALL_28</t>
        </is>
      </c>
      <c r="M25" s="33" t="str"/>
    </row>
    <row r="26">
      <c r="A26" s="33" t="inlineStr">
        <is>
          <t>EVD-0003</t>
        </is>
      </c>
      <c r="B26" s="33" t="inlineStr">
        <is>
          <t>EVIDENCE</t>
        </is>
      </c>
      <c r="C26" s="33" t="inlineStr">
        <is>
          <t>menu names and sections</t>
        </is>
      </c>
      <c r="D26" s="33" t="inlineStr">
        <is>
          <t>active menu table</t>
        </is>
      </c>
      <c r="E26" s="33" t="inlineStr">
        <is>
          <t>official project artifact</t>
        </is>
      </c>
      <c r="F26" s="33" t="inlineStr">
        <is>
          <t>3.0.0 / 2026-07-28</t>
        </is>
      </c>
      <c r="G26" s="33" t="inlineStr">
        <is>
          <t>FACT</t>
        </is>
      </c>
      <c r="H26" s="33" t="inlineStr">
        <is>
          <t>identity and section reconciliation</t>
        </is>
      </c>
      <c r="I26" s="33" t="inlineStr">
        <is>
          <t>claim recipe approval</t>
        </is>
      </c>
      <c r="J26" s="33" t="inlineStr">
        <is>
          <t>Chef / Owner</t>
        </is>
      </c>
      <c r="K26" s="33" t="inlineStr">
        <is>
          <t>SRC-002</t>
        </is>
      </c>
      <c r="L26" s="33" t="inlineStr">
        <is>
          <t>ALL_28</t>
        </is>
      </c>
      <c r="M26" s="33" t="str"/>
    </row>
    <row r="27">
      <c r="A27" s="33" t="inlineStr">
        <is>
          <t>EVD-0004</t>
        </is>
      </c>
      <c r="B27" s="33" t="inlineStr">
        <is>
          <t>EVIDENCE</t>
        </is>
      </c>
      <c r="C27" s="33" t="inlineStr">
        <is>
          <t>production and sales unit</t>
        </is>
      </c>
      <c r="D27" s="33" t="inlineStr">
        <is>
          <t>active menu table</t>
        </is>
      </c>
      <c r="E27" s="33" t="inlineStr">
        <is>
          <t>official project artifact</t>
        </is>
      </c>
      <c r="F27" s="33" t="inlineStr">
        <is>
          <t>3.0.0 / 2026-07-28</t>
        </is>
      </c>
      <c r="G27" s="33" t="inlineStr">
        <is>
          <t>DRAFT</t>
        </is>
      </c>
      <c r="H27" s="33" t="inlineStr">
        <is>
          <t>use as draft card metadata</t>
        </is>
      </c>
      <c r="I27" s="33" t="inlineStr">
        <is>
          <t>declare operationally validated</t>
        </is>
      </c>
      <c r="J27" s="33" t="inlineStr">
        <is>
          <t>Chef</t>
        </is>
      </c>
      <c r="K27" s="33" t="inlineStr">
        <is>
          <t>SRC-002</t>
        </is>
      </c>
      <c r="L27" s="33" t="inlineStr">
        <is>
          <t>ALL_28</t>
        </is>
      </c>
      <c r="M27" s="33" t="inlineStr">
        <is>
          <t>GAP-001</t>
        </is>
      </c>
    </row>
    <row r="28">
      <c r="A28" s="33" t="inlineStr">
        <is>
          <t>EVD-0005</t>
        </is>
      </c>
      <c r="B28" s="33" t="inlineStr">
        <is>
          <t>EVIDENCE</t>
        </is>
      </c>
      <c r="C28" s="33" t="inlineStr">
        <is>
          <t>normative portion or batch output</t>
        </is>
      </c>
      <c r="D28" s="33" t="inlineStr">
        <is>
          <t>active menu table</t>
        </is>
      </c>
      <c r="E28" s="33" t="inlineStr">
        <is>
          <t>project draft</t>
        </is>
      </c>
      <c r="F28" s="33" t="inlineStr">
        <is>
          <t>3.0.0 / 2026-07-28</t>
        </is>
      </c>
      <c r="G28" s="33" t="inlineStr">
        <is>
          <t>DRAFT</t>
        </is>
      </c>
      <c r="H28" s="33" t="inlineStr">
        <is>
          <t>use as control-cook target only</t>
        </is>
      </c>
      <c r="I28" s="33" t="inlineStr">
        <is>
          <t>claim factual yield or mass balance</t>
        </is>
      </c>
      <c r="J28" s="33" t="inlineStr">
        <is>
          <t>Chef</t>
        </is>
      </c>
      <c r="K28" s="33" t="inlineStr">
        <is>
          <t>SRC-002</t>
        </is>
      </c>
      <c r="L28" s="33" t="inlineStr">
        <is>
          <t>ALL_28</t>
        </is>
      </c>
      <c r="M28" s="33" t="inlineStr">
        <is>
          <t>GAP-002</t>
        </is>
      </c>
    </row>
    <row r="29">
      <c r="A29" s="33" t="inlineStr">
        <is>
          <t>EVD-0006</t>
        </is>
      </c>
      <c r="B29" s="33" t="inlineStr">
        <is>
          <t>EVIDENCE</t>
        </is>
      </c>
      <c r="C29" s="33" t="inlineStr">
        <is>
          <t>production model and channels</t>
        </is>
      </c>
      <c r="D29" s="33" t="inlineStr">
        <is>
          <t>active menu table</t>
        </is>
      </c>
      <c r="E29" s="33" t="inlineStr">
        <is>
          <t>project draft</t>
        </is>
      </c>
      <c r="F29" s="33" t="inlineStr">
        <is>
          <t>3.0.0 / 2026-07-28</t>
        </is>
      </c>
      <c r="G29" s="33" t="inlineStr">
        <is>
          <t>DRAFT</t>
        </is>
      </c>
      <c r="H29" s="33" t="inlineStr">
        <is>
          <t>seed workflow and applicable channel list</t>
        </is>
      </c>
      <c r="I29" s="33" t="inlineStr">
        <is>
          <t>claim owner-approved offering or price</t>
        </is>
      </c>
      <c r="J29" s="33" t="inlineStr">
        <is>
          <t>Owner / Chef</t>
        </is>
      </c>
      <c r="K29" s="33" t="inlineStr">
        <is>
          <t>SRC-002</t>
        </is>
      </c>
      <c r="L29" s="33" t="inlineStr">
        <is>
          <t>ALL_28</t>
        </is>
      </c>
      <c r="M29" s="33" t="inlineStr">
        <is>
          <t>GAP-003</t>
        </is>
      </c>
    </row>
    <row r="30">
      <c r="A30" s="33" t="inlineStr">
        <is>
          <t>EVD-0007</t>
        </is>
      </c>
      <c r="B30" s="33" t="inlineStr">
        <is>
          <t>EVIDENCE</t>
        </is>
      </c>
      <c r="C30" s="33" t="inlineStr">
        <is>
          <t>gross and net ingredient norms</t>
        </is>
      </c>
      <c r="D30" s="33" t="inlineStr">
        <is>
          <t>V-I-005 through V-I-012</t>
        </is>
      </c>
      <c r="E30" s="33" t="inlineStr">
        <is>
          <t>gap evidence</t>
        </is>
      </c>
      <c r="F30" s="33" t="inlineStr">
        <is>
          <t>2026-07-28</t>
        </is>
      </c>
      <c r="G30" s="33" t="inlineStr">
        <is>
          <t>BLOCKED</t>
        </is>
      </c>
      <c r="H30" s="33" t="inlineStr">
        <is>
          <t>create explicit chef questions and null inputs</t>
        </is>
      </c>
      <c r="I30" s="33" t="inlineStr">
        <is>
          <t>invent plausible recipes</t>
        </is>
      </c>
      <c r="J30" s="33" t="inlineStr">
        <is>
          <t>Chef</t>
        </is>
      </c>
      <c r="K30" s="33" t="inlineStr">
        <is>
          <t>SRC-009</t>
        </is>
      </c>
      <c r="L30" s="33" t="inlineStr">
        <is>
          <t>ALL_28</t>
        </is>
      </c>
      <c r="M30" s="33" t="inlineStr">
        <is>
          <t>GAP-004</t>
        </is>
      </c>
    </row>
    <row r="31">
      <c r="A31" s="33" t="inlineStr">
        <is>
          <t>EVD-0008</t>
        </is>
      </c>
      <c r="B31" s="33" t="inlineStr">
        <is>
          <t>EVIDENCE</t>
        </is>
      </c>
      <c r="C31" s="33" t="inlineStr">
        <is>
          <t>actual losses and yields</t>
        </is>
      </c>
      <c r="D31" s="33" t="inlineStr">
        <is>
          <t>V-I-005 through V-I-012</t>
        </is>
      </c>
      <c r="E31" s="33" t="inlineStr">
        <is>
          <t>gap evidence</t>
        </is>
      </c>
      <c r="F31" s="33" t="inlineStr">
        <is>
          <t>2026-07-28</t>
        </is>
      </c>
      <c r="G31" s="33" t="inlineStr">
        <is>
          <t>BLOCKED_PENDING_VALIDATION</t>
        </is>
      </c>
      <c r="H31" s="33" t="inlineStr">
        <is>
          <t>plan weighed trials</t>
        </is>
      </c>
      <c r="I31" s="33" t="inlineStr">
        <is>
          <t>derive factual loss from menu output</t>
        </is>
      </c>
      <c r="J31" s="33" t="inlineStr">
        <is>
          <t>Chef / Procurement</t>
        </is>
      </c>
      <c r="K31" s="33" t="inlineStr">
        <is>
          <t>SRC-009</t>
        </is>
      </c>
      <c r="L31" s="33" t="inlineStr">
        <is>
          <t>ALL_28</t>
        </is>
      </c>
      <c r="M31" s="33" t="inlineStr">
        <is>
          <t>GAP-005</t>
        </is>
      </c>
    </row>
    <row r="32">
      <c r="A32" s="33" t="inlineStr">
        <is>
          <t>EVD-0009</t>
        </is>
      </c>
      <c r="B32" s="33" t="inlineStr">
        <is>
          <t>EVIDENCE</t>
        </is>
      </c>
      <c r="C32" s="33" t="inlineStr">
        <is>
          <t>semi-finished product recipes and batch yields</t>
        </is>
      </c>
      <c r="D32" s="33" t="inlineStr">
        <is>
          <t>production-model descriptions</t>
        </is>
      </c>
      <c r="E32" s="33" t="inlineStr">
        <is>
          <t>secondary project cue</t>
        </is>
      </c>
      <c r="F32" s="33" t="inlineStr">
        <is>
          <t>2026-07-27</t>
        </is>
      </c>
      <c r="G32" s="33" t="inlineStr">
        <is>
          <t>BLOCKED</t>
        </is>
      </c>
      <c r="H32" s="33" t="inlineStr">
        <is>
          <t>identify candidate VSF nodes only</t>
        </is>
      </c>
      <c r="I32" s="33" t="inlineStr">
        <is>
          <t>assign composition or yield without chef handoff</t>
        </is>
      </c>
      <c r="J32" s="33" t="inlineStr">
        <is>
          <t>Chef / SemiFinishedProductsAgent</t>
        </is>
      </c>
      <c r="K32" s="33" t="inlineStr">
        <is>
          <t>SRC-003</t>
        </is>
      </c>
      <c r="L32" s="33" t="inlineStr">
        <is>
          <t>ALL_28</t>
        </is>
      </c>
      <c r="M32" s="33" t="inlineStr">
        <is>
          <t>GAP-006</t>
        </is>
      </c>
    </row>
    <row r="33">
      <c r="A33" s="33" t="inlineStr">
        <is>
          <t>EVD-0010</t>
        </is>
      </c>
      <c r="B33" s="33" t="inlineStr">
        <is>
          <t>EVIDENCE</t>
        </is>
      </c>
      <c r="C33" s="33" t="inlineStr">
        <is>
          <t>operation sequence and process time</t>
        </is>
      </c>
      <c r="D33" s="33" t="inlineStr">
        <is>
          <t>operation/capacity mappings</t>
        </is>
      </c>
      <c r="E33" s="33" t="inlineStr">
        <is>
          <t>preliminary model</t>
        </is>
      </c>
      <c r="F33" s="33" t="inlineStr">
        <is>
          <t>3.0.0 / 2026-07-28</t>
        </is>
      </c>
      <c r="G33" s="33" t="inlineStr">
        <is>
          <t>ESTIMATE</t>
        </is>
      </c>
      <c r="H33" s="33" t="inlineStr">
        <is>
          <t>use only as planning prompt and reconciliation aid</t>
        </is>
      </c>
      <c r="I33" s="33" t="inlineStr">
        <is>
          <t>claim observed time or approved technology</t>
        </is>
      </c>
      <c r="J33" s="33" t="inlineStr">
        <is>
          <t>Chef / Operations</t>
        </is>
      </c>
      <c r="K33" s="33" t="inlineStr">
        <is>
          <t>SRC-004</t>
        </is>
      </c>
      <c r="L33" s="33" t="inlineStr">
        <is>
          <t>ALL_28</t>
        </is>
      </c>
      <c r="M33" s="33" t="inlineStr">
        <is>
          <t>GAP-007</t>
        </is>
      </c>
    </row>
    <row r="34">
      <c r="A34" s="33" t="inlineStr">
        <is>
          <t>EVD-0011</t>
        </is>
      </c>
      <c r="B34" s="33" t="inlineStr">
        <is>
          <t>EVIDENCE</t>
        </is>
      </c>
      <c r="C34" s="33" t="inlineStr">
        <is>
          <t>presentation and organoleptic acceptance</t>
        </is>
      </c>
      <c r="D34" s="33" t="inlineStr">
        <is>
          <t>control-trial form patterns</t>
        </is>
      </c>
      <c r="E34" s="33" t="inlineStr">
        <is>
          <t>reference template</t>
        </is>
      </c>
      <c r="F34" s="33" t="inlineStr">
        <is>
          <t>2026-07-27/28</t>
        </is>
      </c>
      <c r="G34" s="33" t="inlineStr">
        <is>
          <t>BLOCKED</t>
        </is>
      </c>
      <c r="H34" s="33" t="inlineStr">
        <is>
          <t>use form structure</t>
        </is>
      </c>
      <c r="I34" s="33" t="inlineStr">
        <is>
          <t>simulate tasting or acceptance</t>
        </is>
      </c>
      <c r="J34" s="33" t="inlineStr">
        <is>
          <t>Chef / Owner</t>
        </is>
      </c>
      <c r="K34" s="33" t="inlineStr">
        <is>
          <t>SRC-013</t>
        </is>
      </c>
      <c r="L34" s="33" t="inlineStr">
        <is>
          <t>ALL_28</t>
        </is>
      </c>
      <c r="M34" s="33" t="inlineStr">
        <is>
          <t>GAP-008</t>
        </is>
      </c>
    </row>
    <row r="35">
      <c r="A35" s="33" t="inlineStr">
        <is>
          <t>EVD-0012</t>
        </is>
      </c>
      <c r="B35" s="33" t="inlineStr">
        <is>
          <t>EVIDENCE</t>
        </is>
      </c>
      <c r="C35" s="33" t="inlineStr">
        <is>
          <t>ingredient and SKU allergen declarations</t>
        </is>
      </c>
      <c r="D35" s="33" t="inlineStr">
        <is>
          <t>V-I-018 and V-I-068</t>
        </is>
      </c>
      <c r="E35" s="33" t="inlineStr">
        <is>
          <t>gap evidence</t>
        </is>
      </c>
      <c r="F35" s="33" t="inlineStr">
        <is>
          <t>2026-07-28</t>
        </is>
      </c>
      <c r="G35" s="33" t="inlineStr">
        <is>
          <t>BLOCKED_PENDING_VALIDATION</t>
        </is>
      </c>
      <c r="H35" s="33" t="inlineStr">
        <is>
          <t>build provisional ingredient-based questions</t>
        </is>
      </c>
      <c r="I35" s="33" t="inlineStr">
        <is>
          <t>declare allergen-free status</t>
        </is>
      </c>
      <c r="J35" s="33" t="inlineStr">
        <is>
          <t>Food Safety / Procurement</t>
        </is>
      </c>
      <c r="K35" s="33" t="inlineStr">
        <is>
          <t>SRC-009</t>
        </is>
      </c>
      <c r="L35" s="33" t="inlineStr">
        <is>
          <t>ALL_28</t>
        </is>
      </c>
      <c r="M35" s="33" t="inlineStr">
        <is>
          <t>GAP-009</t>
        </is>
      </c>
    </row>
    <row r="36">
      <c r="A36" s="33" t="inlineStr">
        <is>
          <t>EVD-0013</t>
        </is>
      </c>
      <c r="B36" s="33" t="inlineStr">
        <is>
          <t>EVIDENCE</t>
        </is>
      </c>
      <c r="C36" s="33" t="inlineStr">
        <is>
          <t>critical temperatures and process limits</t>
        </is>
      </c>
      <c r="D36" s="33" t="inlineStr">
        <is>
          <t>V-I-013 through V-I-018</t>
        </is>
      </c>
      <c r="E36" s="33" t="inlineStr">
        <is>
          <t>gap evidence</t>
        </is>
      </c>
      <c r="F36" s="33" t="inlineStr">
        <is>
          <t>2026-07-28</t>
        </is>
      </c>
      <c r="G36" s="33" t="inlineStr">
        <is>
          <t>BLOCKED_PENDING_VALIDATION</t>
        </is>
      </c>
      <c r="H36" s="33" t="inlineStr">
        <is>
          <t>identify CCP fields and official-source research needs</t>
        </is>
      </c>
      <c r="I36" s="33" t="inlineStr">
        <is>
          <t>invent temperature limits</t>
        </is>
      </c>
      <c r="J36" s="33" t="inlineStr">
        <is>
          <t>FoodSafetyAgent</t>
        </is>
      </c>
      <c r="K36" s="33" t="inlineStr">
        <is>
          <t>SRC-009</t>
        </is>
      </c>
      <c r="L36" s="33" t="inlineStr">
        <is>
          <t>ALL_28</t>
        </is>
      </c>
      <c r="M36" s="33" t="inlineStr">
        <is>
          <t>GAP-010</t>
        </is>
      </c>
    </row>
    <row r="37">
      <c r="A37" s="33" t="inlineStr">
        <is>
          <t>EVD-0014</t>
        </is>
      </c>
      <c r="B37" s="33" t="inlineStr">
        <is>
          <t>EVIDENCE</t>
        </is>
      </c>
      <c r="C37" s="33" t="inlineStr">
        <is>
          <t>storage shelf life cooling reheating and realization</t>
        </is>
      </c>
      <c r="D37" s="33" t="inlineStr">
        <is>
          <t>V-I-013 through V-I-020</t>
        </is>
      </c>
      <c r="E37" s="33" t="inlineStr">
        <is>
          <t>gap evidence</t>
        </is>
      </c>
      <c r="F37" s="33" t="inlineStr">
        <is>
          <t>2026-07-28</t>
        </is>
      </c>
      <c r="G37" s="33" t="inlineStr">
        <is>
          <t>BLOCKED_PENDING_VALIDATION</t>
        </is>
      </c>
      <c r="H37" s="33" t="inlineStr">
        <is>
          <t>create blocker and validation protocol</t>
        </is>
      </c>
      <c r="I37" s="33" t="inlineStr">
        <is>
          <t>assign shelf life or regime</t>
        </is>
      </c>
      <c r="J37" s="33" t="inlineStr">
        <is>
          <t>FoodSafetyAgent / PPK owner</t>
        </is>
      </c>
      <c r="K37" s="33" t="inlineStr">
        <is>
          <t>SRC-009</t>
        </is>
      </c>
      <c r="L37" s="33" t="inlineStr">
        <is>
          <t>ALL_28</t>
        </is>
      </c>
      <c r="M37" s="33" t="inlineStr">
        <is>
          <t>GAP-011</t>
        </is>
      </c>
    </row>
    <row r="38">
      <c r="A38" s="33" t="inlineStr">
        <is>
          <t>EVD-0015</t>
        </is>
      </c>
      <c r="B38" s="33" t="inlineStr">
        <is>
          <t>EVIDENCE</t>
        </is>
      </c>
      <c r="C38" s="33" t="inlineStr">
        <is>
          <t>labeling and traceability controls</t>
        </is>
      </c>
      <c r="D38" s="33" t="inlineStr">
        <is>
          <t>V-I-018 and V-I-068</t>
        </is>
      </c>
      <c r="E38" s="33" t="inlineStr">
        <is>
          <t>gap evidence</t>
        </is>
      </c>
      <c r="F38" s="33" t="inlineStr">
        <is>
          <t>2026-07-28</t>
        </is>
      </c>
      <c r="G38" s="33" t="inlineStr">
        <is>
          <t>BLOCKED</t>
        </is>
      </c>
      <c r="H38" s="33" t="inlineStr">
        <is>
          <t>define required fields only</t>
        </is>
      </c>
      <c r="I38" s="33" t="inlineStr">
        <is>
          <t>claim implemented compliance</t>
        </is>
      </c>
      <c r="J38" s="33" t="inlineStr">
        <is>
          <t>FoodSafetyAgent / Operations</t>
        </is>
      </c>
      <c r="K38" s="33" t="inlineStr">
        <is>
          <t>SRC-009</t>
        </is>
      </c>
      <c r="L38" s="33" t="inlineStr">
        <is>
          <t>ALL_28</t>
        </is>
      </c>
      <c r="M38" s="33" t="inlineStr">
        <is>
          <t>GAP-012</t>
        </is>
      </c>
    </row>
    <row r="39">
      <c r="A39" s="33" t="inlineStr">
        <is>
          <t>EVD-0016</t>
        </is>
      </c>
      <c r="B39" s="33" t="inlineStr">
        <is>
          <t>EVIDENCE</t>
        </is>
      </c>
      <c r="C39" s="33" t="inlineStr">
        <is>
          <t>raw-material SKU specifications and package sizes</t>
        </is>
      </c>
      <c r="D39" s="33" t="inlineStr">
        <is>
          <t>V-I-009 V-I-010 V-I-042 V-I-122</t>
        </is>
      </c>
      <c r="E39" s="33" t="inlineStr">
        <is>
          <t>gap evidence</t>
        </is>
      </c>
      <c r="F39" s="33" t="inlineStr">
        <is>
          <t>2026-07-28</t>
        </is>
      </c>
      <c r="G39" s="33" t="inlineStr">
        <is>
          <t>BLOCKED</t>
        </is>
      </c>
      <c r="H39" s="33" t="inlineStr">
        <is>
          <t>build required-document list and null register</t>
        </is>
      </c>
      <c r="I39" s="33" t="inlineStr">
        <is>
          <t>make up SKU or package</t>
        </is>
      </c>
      <c r="J39" s="33" t="inlineStr">
        <is>
          <t>Procurement</t>
        </is>
      </c>
      <c r="K39" s="33" t="inlineStr">
        <is>
          <t>SRC-009</t>
        </is>
      </c>
      <c r="L39" s="33" t="inlineStr">
        <is>
          <t>ALL_28</t>
        </is>
      </c>
      <c r="M39" s="33" t="inlineStr">
        <is>
          <t>GAP-013</t>
        </is>
      </c>
    </row>
    <row r="40">
      <c r="A40" s="33" t="inlineStr">
        <is>
          <t>EVD-0017</t>
        </is>
      </c>
      <c r="B40" s="33" t="inlineStr">
        <is>
          <t>EVIDENCE</t>
        </is>
      </c>
      <c r="C40" s="33" t="inlineStr">
        <is>
          <t>supplier prices delivery MOQ lead time and VAT</t>
        </is>
      </c>
      <c r="D40" s="33" t="inlineStr">
        <is>
          <t>V-I-039 V-I-053 V-I-122 V-I-123</t>
        </is>
      </c>
      <c r="E40" s="33" t="inlineStr">
        <is>
          <t>gap evidence</t>
        </is>
      </c>
      <c r="F40" s="33" t="inlineStr">
        <is>
          <t>2026-07-28</t>
        </is>
      </c>
      <c r="G40" s="33" t="inlineStr">
        <is>
          <t>BLOCKED</t>
        </is>
      </c>
      <c r="H40" s="33" t="inlineStr">
        <is>
          <t>prepare price-observation schema</t>
        </is>
      </c>
      <c r="I40" s="33" t="inlineStr">
        <is>
          <t>copy draft price as approved</t>
        </is>
      </c>
      <c r="J40" s="33" t="inlineStr">
        <is>
          <t>Procurement / Finance</t>
        </is>
      </c>
      <c r="K40" s="33" t="inlineStr">
        <is>
          <t>SRC-009</t>
        </is>
      </c>
      <c r="L40" s="33" t="inlineStr">
        <is>
          <t>ALL_28</t>
        </is>
      </c>
      <c r="M40" s="33" t="inlineStr">
        <is>
          <t>GAP-014</t>
        </is>
      </c>
    </row>
    <row r="41">
      <c r="A41" s="33" t="inlineStr">
        <is>
          <t>EVD-0018</t>
        </is>
      </c>
      <c r="B41" s="33" t="inlineStr">
        <is>
          <t>EVIDENCE</t>
        </is>
      </c>
      <c r="C41" s="33" t="inlineStr">
        <is>
          <t>recipe cost and nested VSF cost</t>
        </is>
      </c>
      <c r="D41" s="33" t="inlineStr">
        <is>
          <t>V-I-053</t>
        </is>
      </c>
      <c r="E41" s="33" t="inlineStr">
        <is>
          <t>canonical blocker</t>
        </is>
      </c>
      <c r="F41" s="33" t="inlineStr">
        <is>
          <t>2026-07-28</t>
        </is>
      </c>
      <c r="G41" s="33" t="inlineStr">
        <is>
          <t>BLOCKED</t>
        </is>
      </c>
      <c r="H41" s="33" t="inlineStr">
        <is>
          <t>calculate only after frozen recipe and accepted prices</t>
        </is>
      </c>
      <c r="I41" s="33" t="inlineStr">
        <is>
          <t>use proxy percentage COGS as recipe cost</t>
        </is>
      </c>
      <c r="J41" s="33" t="inlineStr">
        <is>
          <t>CostingPricingAgent</t>
        </is>
      </c>
      <c r="K41" s="33" t="inlineStr">
        <is>
          <t>SRC-009</t>
        </is>
      </c>
      <c r="L41" s="33" t="inlineStr">
        <is>
          <t>ALL_28</t>
        </is>
      </c>
      <c r="M41" s="33" t="inlineStr">
        <is>
          <t>GAP-015</t>
        </is>
      </c>
    </row>
    <row r="42">
      <c r="A42" s="33" t="inlineStr">
        <is>
          <t>EVD-0019</t>
        </is>
      </c>
      <c r="B42" s="33" t="inlineStr">
        <is>
          <t>EVIDENCE</t>
        </is>
      </c>
      <c r="C42" s="33" t="inlineStr">
        <is>
          <t>channel selling prices commissions and tax applicability</t>
        </is>
      </c>
      <c r="D42" s="33" t="inlineStr">
        <is>
          <t>scenario channel architecture</t>
        </is>
      </c>
      <c r="E42" s="33" t="inlineStr">
        <is>
          <t>reference model</t>
        </is>
      </c>
      <c r="F42" s="33" t="inlineStr">
        <is>
          <t>3.0.0 / 2026-07-28</t>
        </is>
      </c>
      <c r="G42" s="33" t="inlineStr">
        <is>
          <t>BLOCKED</t>
        </is>
      </c>
      <c r="H42" s="33" t="inlineStr">
        <is>
          <t>identify applicable channels and formula inputs</t>
        </is>
      </c>
      <c r="I42" s="33" t="inlineStr">
        <is>
          <t>declare project price or tax approved</t>
        </is>
      </c>
      <c r="J42" s="33" t="inlineStr">
        <is>
          <t>Owner / Finance / Tax</t>
        </is>
      </c>
      <c r="K42" s="33" t="inlineStr">
        <is>
          <t>SRC-006</t>
        </is>
      </c>
      <c r="L42" s="33" t="inlineStr">
        <is>
          <t>ALL_28</t>
        </is>
      </c>
      <c r="M42" s="33" t="inlineStr">
        <is>
          <t>GAP-016</t>
        </is>
      </c>
    </row>
    <row r="43">
      <c r="A43" s="33" t="inlineStr">
        <is>
          <t>EVD-0020</t>
        </is>
      </c>
      <c r="B43" s="33" t="inlineStr">
        <is>
          <t>EVIDENCE</t>
        </is>
      </c>
      <c r="C43" s="33" t="inlineStr">
        <is>
          <t>food cost gross margin and contribution</t>
        </is>
      </c>
      <c r="D43" s="33" t="inlineStr">
        <is>
          <t>ADR-0006 and business architecture</t>
        </is>
      </c>
      <c r="E43" s="33" t="inlineStr">
        <is>
          <t>calculation method</t>
        </is>
      </c>
      <c r="F43" s="33" t="inlineStr">
        <is>
          <t>current main</t>
        </is>
      </c>
      <c r="G43" s="33" t="inlineStr">
        <is>
          <t>BLOCKED</t>
        </is>
      </c>
      <c r="H43" s="33" t="inlineStr">
        <is>
          <t>calculate transparently after accepted inputs</t>
        </is>
      </c>
      <c r="I43" s="33" t="inlineStr">
        <is>
          <t>use ADR proxy as item fact</t>
        </is>
      </c>
      <c r="J43" s="33" t="inlineStr">
        <is>
          <t>CostingPricingAgent</t>
        </is>
      </c>
      <c r="K43" s="33" t="inlineStr">
        <is>
          <t>SRC-018</t>
        </is>
      </c>
      <c r="L43" s="33" t="inlineStr">
        <is>
          <t>ALL_28</t>
        </is>
      </c>
      <c r="M43" s="33" t="inlineStr">
        <is>
          <t>GAP-015;GAP-016</t>
        </is>
      </c>
    </row>
    <row r="44">
      <c r="A44" s="33" t="inlineStr">
        <is>
          <t>EVD-0021</t>
        </is>
      </c>
      <c r="B44" s="33" t="inlineStr">
        <is>
          <t>EVIDENCE</t>
        </is>
      </c>
      <c r="C44" s="33" t="inlineStr">
        <is>
          <t>equipment functional mapping</t>
        </is>
      </c>
      <c r="D44" s="33" t="inlineStr">
        <is>
          <t>menu-to-capacity operation groups</t>
        </is>
      </c>
      <c r="E44" s="33" t="inlineStr">
        <is>
          <t>preliminary model</t>
        </is>
      </c>
      <c r="F44" s="33" t="inlineStr">
        <is>
          <t>3.0.0 / 2026-07-28</t>
        </is>
      </c>
      <c r="G44" s="33" t="inlineStr">
        <is>
          <t>ESTIMATE</t>
        </is>
      </c>
      <c r="H44" s="33" t="inlineStr">
        <is>
          <t>seed operation-to-function mapping</t>
        </is>
      </c>
      <c r="I44" s="33" t="inlineStr">
        <is>
          <t>approve concrete equipment</t>
        </is>
      </c>
      <c r="J44" s="33" t="inlineStr">
        <is>
          <t>EquipmentCapacityAgent</t>
        </is>
      </c>
      <c r="K44" s="33" t="inlineStr">
        <is>
          <t>SRC-004</t>
        </is>
      </c>
      <c r="L44" s="33" t="inlineStr">
        <is>
          <t>ALL_28</t>
        </is>
      </c>
      <c r="M44" s="33" t="inlineStr">
        <is>
          <t>GAP-017</t>
        </is>
      </c>
    </row>
    <row r="45">
      <c r="A45" s="33" t="inlineStr">
        <is>
          <t>EVD-0022</t>
        </is>
      </c>
      <c r="B45" s="33" t="inlineStr">
        <is>
          <t>EVIDENCE</t>
        </is>
      </c>
      <c r="C45" s="33" t="inlineStr">
        <is>
          <t>equipment model capacity duration and batch count</t>
        </is>
      </c>
      <c r="D45" s="33" t="inlineStr">
        <is>
          <t>equipment register</t>
        </is>
      </c>
      <c r="E45" s="33" t="inlineStr">
        <is>
          <t>preliminary estimate</t>
        </is>
      </c>
      <c r="F45" s="33" t="inlineStr">
        <is>
          <t>3.0.0 / 2026-07-28</t>
        </is>
      </c>
      <c r="G45" s="33" t="inlineStr">
        <is>
          <t>BLOCKED</t>
        </is>
      </c>
      <c r="H45" s="33" t="inlineStr">
        <is>
          <t>identify missing passport data</t>
        </is>
      </c>
      <c r="I45" s="33" t="inlineStr">
        <is>
          <t>invent passport throughput</t>
        </is>
      </c>
      <c r="J45" s="33" t="inlineStr">
        <is>
          <t>Procurement / Engineering</t>
        </is>
      </c>
      <c r="K45" s="33" t="inlineStr">
        <is>
          <t>SRC-005</t>
        </is>
      </c>
      <c r="L45" s="33" t="inlineStr">
        <is>
          <t>ALL_28</t>
        </is>
      </c>
      <c r="M45" s="33" t="inlineStr">
        <is>
          <t>GAP-018</t>
        </is>
      </c>
    </row>
    <row r="46">
      <c r="A46" s="33" t="inlineStr">
        <is>
          <t>EVD-0023</t>
        </is>
      </c>
      <c r="B46" s="33" t="inlineStr">
        <is>
          <t>EVIDENCE</t>
        </is>
      </c>
      <c r="C46" s="33" t="inlineStr">
        <is>
          <t>equipment ownership installation and connections</t>
        </is>
      </c>
      <c r="D46" s="33" t="inlineStr">
        <is>
          <t>V-I-038 through V-I-044 and V-I-104 through V-I-114</t>
        </is>
      </c>
      <c r="E46" s="33" t="inlineStr">
        <is>
          <t>gap evidence</t>
        </is>
      </c>
      <c r="F46" s="33" t="inlineStr">
        <is>
          <t>2026-07-28</t>
        </is>
      </c>
      <c r="G46" s="33" t="inlineStr">
        <is>
          <t>BLOCKED</t>
        </is>
      </c>
      <c r="H46" s="33" t="inlineStr">
        <is>
          <t>record CAPEX/technical gaps</t>
        </is>
      </c>
      <c r="I46" s="33" t="inlineStr">
        <is>
          <t>claim available or connected</t>
        </is>
      </c>
      <c r="J46" s="33" t="inlineStr">
        <is>
          <t>Engineering / Owner</t>
        </is>
      </c>
      <c r="K46" s="33" t="inlineStr">
        <is>
          <t>SRC-009</t>
        </is>
      </c>
      <c r="L46" s="33" t="inlineStr">
        <is>
          <t>ALL_28</t>
        </is>
      </c>
      <c r="M46" s="33" t="inlineStr">
        <is>
          <t>GAP-019</t>
        </is>
      </c>
    </row>
    <row r="47">
      <c r="A47" s="33" t="inlineStr">
        <is>
          <t>EVD-0024</t>
        </is>
      </c>
      <c r="B47" s="33" t="inlineStr">
        <is>
          <t>EVIDENCE</t>
        </is>
      </c>
      <c r="C47" s="33" t="inlineStr">
        <is>
          <t>production capacity and bottlenecks</t>
        </is>
      </c>
      <c r="D47" s="33" t="inlineStr">
        <is>
          <t>capacity workbook</t>
        </is>
      </c>
      <c r="E47" s="33" t="inlineStr">
        <is>
          <t>scenario estimate</t>
        </is>
      </c>
      <c r="F47" s="33" t="inlineStr">
        <is>
          <t>3.0.0 / 2026-07-28</t>
        </is>
      </c>
      <c r="G47" s="33" t="inlineStr">
        <is>
          <t>ESTIMATE</t>
        </is>
      </c>
      <c r="H47" s="33" t="inlineStr">
        <is>
          <t>preliminary sensitivity and test plan</t>
        </is>
      </c>
      <c r="I47" s="33" t="inlineStr">
        <is>
          <t>claim demonstrated capacity</t>
        </is>
      </c>
      <c r="J47" s="33" t="inlineStr">
        <is>
          <t>Operations / Engineering</t>
        </is>
      </c>
      <c r="K47" s="33" t="inlineStr">
        <is>
          <t>SRC-004</t>
        </is>
      </c>
      <c r="L47" s="33" t="inlineStr">
        <is>
          <t>ALL_28</t>
        </is>
      </c>
      <c r="M47" s="33" t="inlineStr">
        <is>
          <t>GAP-020</t>
        </is>
      </c>
    </row>
    <row r="48">
      <c r="A48" s="33" t="inlineStr">
        <is>
          <t>EVD-0025</t>
        </is>
      </c>
      <c r="B48" s="33" t="inlineStr">
        <is>
          <t>EVIDENCE</t>
        </is>
      </c>
      <c r="C48" s="33" t="inlineStr">
        <is>
          <t>inventory and production utensils</t>
        </is>
      </c>
      <c r="D48" s="33" t="inlineStr">
        <is>
          <t>CAPEX quantity rows</t>
        </is>
      </c>
      <c r="E48" s="33" t="inlineStr">
        <is>
          <t>project estimate</t>
        </is>
      </c>
      <c r="F48" s="33" t="inlineStr">
        <is>
          <t>3.0.0 / 2026-07-28</t>
        </is>
      </c>
      <c r="G48" s="33" t="inlineStr">
        <is>
          <t>ESTIMATE</t>
        </is>
      </c>
      <c r="H48" s="33" t="inlineStr">
        <is>
          <t>seed resource questions and candidate list</t>
        </is>
      </c>
      <c r="I48" s="33" t="inlineStr">
        <is>
          <t>claim quantity approved or purchased</t>
        </is>
      </c>
      <c r="J48" s="33" t="inlineStr">
        <is>
          <t>Operations / Procurement</t>
        </is>
      </c>
      <c r="K48" s="33" t="inlineStr">
        <is>
          <t>SRC-011</t>
        </is>
      </c>
      <c r="L48" s="33" t="inlineStr">
        <is>
          <t>ALL_28</t>
        </is>
      </c>
      <c r="M48" s="33" t="inlineStr">
        <is>
          <t>GAP-021</t>
        </is>
      </c>
    </row>
    <row r="49">
      <c r="A49" s="33" t="inlineStr">
        <is>
          <t>EVD-0026</t>
        </is>
      </c>
      <c r="B49" s="33" t="inlineStr">
        <is>
          <t>EVIDENCE</t>
        </is>
      </c>
      <c r="C49" s="33" t="inlineStr">
        <is>
          <t>service tableware and reserve</t>
        </is>
      </c>
      <c r="D49" s="33" t="inlineStr">
        <is>
          <t>V-I-083 V-I-118 V-I-119</t>
        </is>
      </c>
      <c r="E49" s="33" t="inlineStr">
        <is>
          <t>gap evidence</t>
        </is>
      </c>
      <c r="F49" s="33" t="inlineStr">
        <is>
          <t>2026-07-28</t>
        </is>
      </c>
      <c r="G49" s="33" t="inlineStr">
        <is>
          <t>BLOCKED</t>
        </is>
      </c>
      <c r="H49" s="33" t="inlineStr">
        <is>
          <t>create per-dish tableware requirement fields</t>
        </is>
      </c>
      <c r="I49" s="33" t="inlineStr">
        <is>
          <t>invent service scheme or reserve</t>
        </is>
      </c>
      <c r="J49" s="33" t="inlineStr">
        <is>
          <t>Operations / Owner</t>
        </is>
      </c>
      <c r="K49" s="33" t="inlineStr">
        <is>
          <t>SRC-009</t>
        </is>
      </c>
      <c r="L49" s="33" t="inlineStr">
        <is>
          <t>ALL_28</t>
        </is>
      </c>
      <c r="M49" s="33" t="inlineStr">
        <is>
          <t>GAP-022</t>
        </is>
      </c>
    </row>
    <row r="50">
      <c r="A50" s="33" t="inlineStr">
        <is>
          <t>EVD-0027</t>
        </is>
      </c>
      <c r="B50" s="33" t="inlineStr">
        <is>
          <t>EVIDENCE</t>
        </is>
      </c>
      <c r="C50" s="33" t="inlineStr">
        <is>
          <t>nutrition source values per ingredient</t>
        </is>
      </c>
      <c r="D50" s="33" t="inlineStr">
        <is>
          <t>source policy</t>
        </is>
      </c>
      <c r="E50" s="33" t="inlineStr">
        <is>
          <t>absence evidence</t>
        </is>
      </c>
      <c r="F50" s="33" t="inlineStr">
        <is>
          <t>current main</t>
        </is>
      </c>
      <c r="G50" s="33" t="inlineStr">
        <is>
          <t>BLOCKED</t>
        </is>
      </c>
      <c r="H50" s="33" t="inlineStr">
        <is>
          <t>define acceptable source hierarchy</t>
        </is>
      </c>
      <c r="I50" s="33" t="inlineStr">
        <is>
          <t>replace unknown with zero</t>
        </is>
      </c>
      <c r="J50" s="33" t="inlineStr">
        <is>
          <t>NutritionDataAgent / Procurement</t>
        </is>
      </c>
      <c r="K50" s="33" t="inlineStr">
        <is>
          <t>SRC-010</t>
        </is>
      </c>
      <c r="L50" s="33" t="inlineStr">
        <is>
          <t>ALL_28</t>
        </is>
      </c>
      <c r="M50" s="33" t="inlineStr">
        <is>
          <t>GAP-023</t>
        </is>
      </c>
    </row>
    <row r="51">
      <c r="A51" s="33" t="inlineStr">
        <is>
          <t>EVD-0028</t>
        </is>
      </c>
      <c r="B51" s="33" t="inlineStr">
        <is>
          <t>EVIDENCE</t>
        </is>
      </c>
      <c r="C51" s="33" t="inlineStr">
        <is>
          <t>calculated protein fat carbohydrate and energy</t>
        </is>
      </c>
      <c r="D51" s="33" t="inlineStr">
        <is>
          <t>method requires frozen net recipe plus EVD-0027</t>
        </is>
      </c>
      <c r="E51" s="33" t="inlineStr">
        <is>
          <t>calculation method</t>
        </is>
      </c>
      <c r="F51" s="33" t="inlineStr">
        <is>
          <t>Issue #82 method</t>
        </is>
      </c>
      <c r="G51" s="33" t="inlineStr">
        <is>
          <t>BLOCKED</t>
        </is>
      </c>
      <c r="H51" s="33" t="inlineStr">
        <is>
          <t>calculate and label as CALCULATED after inputs</t>
        </is>
      </c>
      <c r="I51" s="33" t="inlineStr">
        <is>
          <t>claim laboratory confirmation</t>
        </is>
      </c>
      <c r="J51" s="33" t="inlineStr">
        <is>
          <t>NutritionDataAgent</t>
        </is>
      </c>
      <c r="K51" s="33" t="inlineStr">
        <is>
          <t>NA</t>
        </is>
      </c>
      <c r="L51" s="33" t="inlineStr">
        <is>
          <t>ALL_28</t>
        </is>
      </c>
      <c r="M51" s="33" t="inlineStr">
        <is>
          <t>GAP-023</t>
        </is>
      </c>
    </row>
    <row r="52">
      <c r="A52" s="33" t="inlineStr">
        <is>
          <t>EVD-0029</t>
        </is>
      </c>
      <c r="B52" s="33" t="inlineStr">
        <is>
          <t>EVIDENCE</t>
        </is>
      </c>
      <c r="C52" s="33" t="inlineStr">
        <is>
          <t>chef and owner approvals</t>
        </is>
      </c>
      <c r="D52" s="33" t="inlineStr">
        <is>
          <t>approval constraints</t>
        </is>
      </c>
      <c r="E52" s="33" t="inlineStr">
        <is>
          <t>approved governance</t>
        </is>
      </c>
      <c r="F52" s="33" t="inlineStr">
        <is>
          <t>1.0.0 / 2026-08-03</t>
        </is>
      </c>
      <c r="G52" s="33" t="inlineStr">
        <is>
          <t>BLOCKED</t>
        </is>
      </c>
      <c r="H52" s="33" t="inlineStr">
        <is>
          <t>provide approval sheet and decision fields</t>
        </is>
      </c>
      <c r="I52" s="33" t="inlineStr">
        <is>
          <t>self-approve or infer approval</t>
        </is>
      </c>
      <c r="J52" s="33" t="inlineStr">
        <is>
          <t>Chef / Owner</t>
        </is>
      </c>
      <c r="K52" s="33" t="inlineStr">
        <is>
          <t>SRC-001</t>
        </is>
      </c>
      <c r="L52" s="33" t="inlineStr">
        <is>
          <t>ALL_28</t>
        </is>
      </c>
      <c r="M52" s="33" t="inlineStr">
        <is>
          <t>GAP-024</t>
        </is>
      </c>
    </row>
    <row r="53">
      <c r="A53" s="33" t="inlineStr">
        <is>
          <t>EVD-0030</t>
        </is>
      </c>
      <c r="B53" s="33" t="inlineStr">
        <is>
          <t>EVIDENCE</t>
        </is>
      </c>
      <c r="C53" s="33" t="inlineStr">
        <is>
          <t>control-cook evidence and mass balance</t>
        </is>
      </c>
      <c r="D53" s="33" t="inlineStr">
        <is>
          <t>V-I-005 and related trials</t>
        </is>
      </c>
      <c r="E53" s="33" t="inlineStr">
        <is>
          <t>canonical planned work</t>
        </is>
      </c>
      <c r="F53" s="33" t="inlineStr">
        <is>
          <t>2026-07-28</t>
        </is>
      </c>
      <c r="G53" s="33" t="inlineStr">
        <is>
          <t>BLOCKED_PENDING_VALIDATION</t>
        </is>
      </c>
      <c r="H53" s="33" t="inlineStr">
        <is>
          <t>prepare 28 forms and acceptance rules</t>
        </is>
      </c>
      <c r="I53" s="33" t="inlineStr">
        <is>
          <t>simulate observed results</t>
        </is>
      </c>
      <c r="J53" s="33" t="inlineStr">
        <is>
          <t>Chef / Operations</t>
        </is>
      </c>
      <c r="K53" s="33" t="inlineStr">
        <is>
          <t>SRC-009</t>
        </is>
      </c>
      <c r="L53" s="33" t="inlineStr">
        <is>
          <t>ALL_28</t>
        </is>
      </c>
      <c r="M53" s="33" t="inlineStr">
        <is>
          <t>GAP-025</t>
        </is>
      </c>
    </row>
    <row r="54">
      <c r="A54" s="33" t="inlineStr">
        <is>
          <t>EVD-0031</t>
        </is>
      </c>
      <c r="B54" s="33" t="inlineStr">
        <is>
          <t>EVIDENCE</t>
        </is>
      </c>
      <c r="C54" s="33" t="inlineStr">
        <is>
          <t>PR81 builder and automated checks</t>
        </is>
      </c>
      <c r="D54" s="33" t="inlineStr">
        <is>
          <t>build_issue_80_menu_cards.mjs</t>
        </is>
      </c>
      <c r="E54" s="33" t="inlineStr">
        <is>
          <t>reference implementation</t>
        </is>
      </c>
      <c r="F54" s="33" t="inlineStr">
        <is>
          <t>2026-08-03</t>
        </is>
      </c>
      <c r="G54" s="33" t="inlineStr">
        <is>
          <t>FACT</t>
        </is>
      </c>
      <c r="H54" s="33" t="inlineStr">
        <is>
          <t>reuse after code review and extend to 17 sheets</t>
        </is>
      </c>
      <c r="I54" s="33" t="inlineStr">
        <is>
          <t>treat 10-sheet output as Issue #82 completion</t>
        </is>
      </c>
      <c r="J54" s="33" t="inlineStr">
        <is>
          <t>ExcelBuilder</t>
        </is>
      </c>
      <c r="K54" s="33" t="inlineStr">
        <is>
          <t>SRC-016</t>
        </is>
      </c>
      <c r="L54" s="33" t="inlineStr">
        <is>
          <t>ALL_28</t>
        </is>
      </c>
      <c r="M54" s="33" t="inlineStr">
        <is>
          <t>GAP-026</t>
        </is>
      </c>
    </row>
    <row r="55">
      <c r="A55" s="33" t="inlineStr">
        <is>
          <t>EVD-0032</t>
        </is>
      </c>
      <c r="B55" s="33" t="inlineStr">
        <is>
          <t>EVIDENCE</t>
        </is>
      </c>
      <c r="C55" s="33" t="inlineStr">
        <is>
          <t>three breakfast worked examples</t>
        </is>
      </c>
      <c r="D55" s="33" t="inlineStr">
        <is>
          <t>workbook detailed breakfast rows</t>
        </is>
      </c>
      <c r="E55" s="33" t="inlineStr">
        <is>
          <t>reference-only</t>
        </is>
      </c>
      <c r="F55" s="33" t="inlineStr">
        <is>
          <t>1.0.0 / 2026-08-03</t>
        </is>
      </c>
      <c r="G55" s="33" t="inlineStr">
        <is>
          <t>DRAFT</t>
        </is>
      </c>
      <c r="H55" s="33" t="inlineStr">
        <is>
          <t>inspect architecture and formula links</t>
        </is>
      </c>
      <c r="I55" s="33" t="inlineStr">
        <is>
          <t>include in 28-dish scope or transfer values</t>
        </is>
      </c>
      <c r="J55" s="33" t="inlineStr">
        <is>
          <t>ExcelBuilder / SystemArchitect</t>
        </is>
      </c>
      <c r="K55" s="33" t="inlineStr">
        <is>
          <t>SRC-015</t>
        </is>
      </c>
      <c r="L55" s="33" t="inlineStr">
        <is>
          <t>VKM-026…VKM-028</t>
        </is>
      </c>
      <c r="M55" s="33" t="str"/>
    </row>
    <row r="56">
      <c r="A56" s="33" t="inlineStr">
        <is>
          <t>EVD-FS-001</t>
        </is>
      </c>
      <c r="B56" s="33" t="inlineStr">
        <is>
          <t>SAFETY</t>
        </is>
      </c>
      <c r="C56" s="33" t="inlineStr">
        <is>
          <t>ТР ТС 021/2011 О безопасности пищевой продукции</t>
        </is>
      </c>
      <c r="D56" s="33" t="inlineStr">
        <is>
          <t>https://eec.eaeunion.org/comission/department/deptexreg/tr/PischevayaProd.php</t>
        </is>
      </c>
      <c r="E56" s="33" t="inlineStr">
        <is>
          <t>ЕЭК / Комиссия Таможенного союза</t>
        </is>
      </c>
      <c r="F56" s="33" t="inlineStr">
        <is>
          <t>Решение № 880 от 09.12.2011</t>
        </is>
      </c>
      <c r="G56" s="33" t="inlineStr">
        <is>
          <t>FACT</t>
        </is>
      </c>
      <c r="H56" s="33" t="inlineStr">
        <is>
          <t>Articles 7, 10, 11: safety, manufacturer-set shelf life/storage, hazard analysis, CCP/monitoring/corrective actions, documentation and traceability</t>
        </is>
      </c>
      <c r="I56" s="33" t="inlineStr">
        <is>
          <t>Официальная страница ЕЭК; изменения перечислены по 22.04.2024 №35, вступили 10.11.2024; проверено 2026-08-03</t>
        </is>
      </c>
      <c r="J56" s="33" t="inlineStr">
        <is>
          <t>Food Safety/PPK owner</t>
        </is>
      </c>
      <c r="K56" s="33" t="n"/>
      <c r="L56" s="33" t="n"/>
      <c r="M56" s="33" t="n"/>
    </row>
    <row r="57">
      <c r="A57" s="33" t="inlineStr">
        <is>
          <t>EVD-FS-002</t>
        </is>
      </c>
      <c r="B57" s="33" t="inlineStr">
        <is>
          <t>SAFETY</t>
        </is>
      </c>
      <c r="C57" s="33" t="inlineStr">
        <is>
          <t>ТР ТС 022/2011 Пищевая продукция в части ее маркировки</t>
        </is>
      </c>
      <c r="D57" s="33" t="inlineStr">
        <is>
          <t>https://eec.eaeunion.org/comission/department/deptexreg/tr/PischevkaMarkirovka.php</t>
        </is>
      </c>
      <c r="E57" s="33" t="inlineStr">
        <is>
          <t>ЕЭК / Комиссия Таможенного союза</t>
        </is>
      </c>
      <c r="F57" s="33" t="inlineStr">
        <is>
          <t>Решение № 881 от 09.12.2011</t>
        </is>
      </c>
      <c r="G57" s="33" t="inlineStr">
        <is>
          <t>FACT</t>
        </is>
      </c>
      <c r="H57" s="33" t="inlineStr">
        <is>
          <t>Article 4.4(13-17): mandatory declaration of listed allergenic components and possible presence where exclusion is impossible; final applicability depends on packaging/channel</t>
        </is>
      </c>
      <c r="I57" s="33" t="inlineStr">
        <is>
          <t>Официальная страница ЕЭК; изменения №35 от 22.04.2024 вступили 10.11.2024; проверено 2026-08-03</t>
        </is>
      </c>
      <c r="J57" s="33" t="inlineStr">
        <is>
          <t>Food Safety/PPK owner</t>
        </is>
      </c>
      <c r="K57" s="33" t="n"/>
      <c r="L57" s="33" t="n"/>
      <c r="M57" s="33" t="n"/>
    </row>
    <row r="58">
      <c r="A58" s="33" t="inlineStr">
        <is>
          <t>EVD-FS-003</t>
        </is>
      </c>
      <c r="B58" s="33" t="inlineStr">
        <is>
          <t>SAFETY</t>
        </is>
      </c>
      <c r="C58" s="33" t="inlineStr">
        <is>
          <t>СанПиН 2.3/2.4.3590-20</t>
        </is>
      </c>
      <c r="D58" s="33" t="inlineStr">
        <is>
          <t>https://publication.pravo.gov.ru/document/view/0001202011120001</t>
        </is>
      </c>
      <c r="E58" s="33" t="inlineStr">
        <is>
          <t>Главный государственный санитарный врач РФ</t>
        </is>
      </c>
      <c r="F58" s="33" t="inlineStr">
        <is>
          <t>Постановление №32 от 27.10.2020; ред. постановления №9 от 22.08.2024</t>
        </is>
      </c>
      <c r="G58" s="33" t="inlineStr">
        <is>
          <t>FACT</t>
        </is>
      </c>
      <c r="H58" s="33" t="inlineStr">
        <is>
          <t>Current РФ sanitary requirements for public catering; exact site/dish procedures require PPK/HACCP applicability review</t>
        </is>
      </c>
      <c r="I58" s="33" t="inlineStr">
        <is>
          <t>Текущая редакция действует на дату среза; изменение действует с 01.03.2025; проверено 2026-08-03</t>
        </is>
      </c>
      <c r="J58" s="33" t="inlineStr">
        <is>
          <t>Food Safety/PPK owner</t>
        </is>
      </c>
      <c r="K58" s="33" t="n"/>
      <c r="L58" s="33" t="n"/>
      <c r="M58" s="33" t="n"/>
    </row>
    <row r="59">
      <c r="A59" s="33" t="inlineStr">
        <is>
          <t>EVD-FS-004</t>
        </is>
      </c>
      <c r="B59" s="33" t="inlineStr">
        <is>
          <t>SAFETY</t>
        </is>
      </c>
      <c r="C59" s="33" t="inlineStr">
        <is>
          <t>Изменения в СанПиН 2.3/2.4.3590-20</t>
        </is>
      </c>
      <c r="D59" s="33" t="inlineStr">
        <is>
          <t>https://publication.pravo.gov.ru/document/0001202412260029</t>
        </is>
      </c>
      <c r="E59" s="33" t="inlineStr">
        <is>
          <t>Главный государственный санитарный врач РФ</t>
        </is>
      </c>
      <c r="F59" s="33" t="inlineStr">
        <is>
          <t>Постановление №9 от 22.08.2024; рег. №80757</t>
        </is>
      </c>
      <c r="G59" s="33" t="inlineStr">
        <is>
          <t>FACT</t>
        </is>
      </c>
      <c r="H59" s="33" t="inlineStr">
        <is>
          <t>Forms part of current edition on cut-off date</t>
        </is>
      </c>
      <c r="I59" s="33" t="inlineStr">
        <is>
          <t>Официально опубликовано 26.12.2024; вступило 01.03.2025; проверено 2026-08-03</t>
        </is>
      </c>
      <c r="J59" s="33" t="inlineStr">
        <is>
          <t>Food Safety/PPK owner</t>
        </is>
      </c>
      <c r="K59" s="33" t="n"/>
      <c r="L59" s="33" t="n"/>
      <c r="M59" s="33" t="n"/>
    </row>
    <row r="60">
      <c r="A60" s="33" t="inlineStr">
        <is>
          <t>EVD-FS-005</t>
        </is>
      </c>
      <c r="B60" s="33" t="inlineStr">
        <is>
          <t>SAFETY</t>
        </is>
      </c>
      <c r="C60" s="33" t="inlineStr">
        <is>
          <t>СанПиН 2.3/2.4.4282-26</t>
        </is>
      </c>
      <c r="D60" s="33" t="inlineStr">
        <is>
          <t>https://publication.pravo.gov.ru/document/0001202606020084</t>
        </is>
      </c>
      <c r="E60" s="33" t="inlineStr">
        <is>
          <t>Главный государственный санитарный врач РФ</t>
        </is>
      </c>
      <c r="F60" s="33" t="inlineStr">
        <is>
          <t>Постановление №18 от 02.06.2026; рег. №86854</t>
        </is>
      </c>
      <c r="G60" s="33" t="inlineStr">
        <is>
          <t>MONITOR</t>
        </is>
      </c>
      <c r="H60" s="33" t="inlineStr">
        <is>
          <t>Mandatory transition review before any operation/release on or after 01.09.2026; does not replace current law as of 03.08.2026</t>
        </is>
      </c>
      <c r="I60" s="33" t="inlineStr">
        <is>
          <t>Официально опубликовано; проверено 2026-08-03</t>
        </is>
      </c>
      <c r="J60" s="33" t="inlineStr">
        <is>
          <t>Food Safety/PPK owner</t>
        </is>
      </c>
      <c r="K60" s="33" t="n"/>
      <c r="L60" s="33" t="n"/>
      <c r="M60" s="33" t="n"/>
    </row>
    <row r="61">
      <c r="A61" s="33" t="inlineStr">
        <is>
          <t>EVD-FS-006</t>
        </is>
      </c>
      <c r="B61" s="33" t="inlineStr">
        <is>
          <t>SAFETY</t>
        </is>
      </c>
      <c r="C61" s="33" t="inlineStr">
        <is>
          <t>ТР ЕАЭС 040/2016 О безопасности рыбы и рыбной продукции</t>
        </is>
      </c>
      <c r="D61" s="33" t="inlineStr">
        <is>
          <t>https://eec.eaeunion.org/comission/department/deptexreg/tr/TR_EEU_040_2016.php</t>
        </is>
      </c>
      <c r="E61" s="33" t="inlineStr">
        <is>
          <t>ЕЭК</t>
        </is>
      </c>
      <c r="F61" s="33" t="inlineStr">
        <is>
          <t>Решение Совета ЕЭК №162 от 18.10.2016</t>
        </is>
      </c>
      <c r="G61" s="33" t="inlineStr">
        <is>
          <t>FACT</t>
        </is>
      </c>
      <c r="H61" s="33" t="inlineStr">
        <is>
          <t>VKM-010,013,014,019,020 and fish/seafood compound ingredients; source documents and exact process requirements remain SKU-specific</t>
        </is>
      </c>
      <c r="I61" s="33" t="inlineStr">
        <is>
          <t>Официальная страница ЕЭК; проверено 2026-08-03</t>
        </is>
      </c>
      <c r="J61" s="33" t="inlineStr">
        <is>
          <t>Food Safety/PPK owner</t>
        </is>
      </c>
      <c r="K61" s="33" t="n"/>
      <c r="L61" s="33" t="n"/>
      <c r="M61" s="33" t="n"/>
    </row>
    <row r="62">
      <c r="A62" s="33" t="inlineStr">
        <is>
          <t>EVD-FS-007</t>
        </is>
      </c>
      <c r="B62" s="33" t="inlineStr">
        <is>
          <t>SAFETY</t>
        </is>
      </c>
      <c r="C62" s="33" t="inlineStr">
        <is>
          <t>ТР ТС 033/2013 О безопасности молока и молочной продукции</t>
        </is>
      </c>
      <c r="D62" s="33" t="inlineStr">
        <is>
          <t>https://eec.eaeunion.org/comission/department/deptexreg/tr/tr-ts-033.php</t>
        </is>
      </c>
      <c r="E62" s="33" t="inlineStr">
        <is>
          <t>ЕЭК</t>
        </is>
      </c>
      <c r="F62" s="33" t="inlineStr">
        <is>
          <t>Решение Совета ЕЭК №67 от 09.10.2013</t>
        </is>
      </c>
      <c r="G62" s="33" t="inlineStr">
        <is>
          <t>FACT</t>
        </is>
      </c>
      <c r="H62" s="33" t="inlineStr">
        <is>
          <t>Dairy ingredients/SKUs identified by final recipes</t>
        </is>
      </c>
      <c r="I62" s="33" t="inlineStr">
        <is>
          <t>Официальная страница ЕЭК; проверено 2026-08-03</t>
        </is>
      </c>
      <c r="J62" s="33" t="inlineStr">
        <is>
          <t>Food Safety/PPK owner</t>
        </is>
      </c>
      <c r="K62" s="33" t="n"/>
      <c r="L62" s="33" t="n"/>
      <c r="M62" s="33" t="n"/>
    </row>
    <row r="63">
      <c r="A63" s="33" t="inlineStr">
        <is>
          <t>EVD-FS-008</t>
        </is>
      </c>
      <c r="B63" s="33" t="inlineStr">
        <is>
          <t>SAFETY</t>
        </is>
      </c>
      <c r="C63" s="33" t="inlineStr">
        <is>
          <t>ТР ТС 034/2013 О безопасности мяса и мясной продукции</t>
        </is>
      </c>
      <c r="D63" s="33" t="inlineStr">
        <is>
          <t>https://eec.eaeunion.org/comission/department/deptexreg/tr/tr-ts-034.php</t>
        </is>
      </c>
      <c r="E63" s="33" t="inlineStr">
        <is>
          <t>ЕЭК</t>
        </is>
      </c>
      <c r="F63" s="33" t="inlineStr">
        <is>
          <t>Решение Совета ЕЭК №68 от 09.10.2013</t>
        </is>
      </c>
      <c r="G63" s="33" t="inlineStr">
        <is>
          <t>FACT</t>
        </is>
      </c>
      <c r="H63" s="33" t="inlineStr">
        <is>
          <t>Ham, pepperoni, roast beef, burger/minions and other meat SKUs identified by final recipes</t>
        </is>
      </c>
      <c r="I63" s="33" t="inlineStr">
        <is>
          <t>Официальная страница ЕЭК; changes listed through 2023/2024; проверено 2026-08-03</t>
        </is>
      </c>
      <c r="J63" s="33" t="inlineStr">
        <is>
          <t>Food Safety/PPK owner</t>
        </is>
      </c>
      <c r="K63" s="33" t="n"/>
      <c r="L63" s="33" t="n"/>
      <c r="M63" s="33" t="n"/>
    </row>
    <row r="64">
      <c r="A64" s="33" t="inlineStr">
        <is>
          <t>EVD-FS-009</t>
        </is>
      </c>
      <c r="B64" s="33" t="inlineStr">
        <is>
          <t>SAFETY</t>
        </is>
      </c>
      <c r="C64" s="33" t="inlineStr">
        <is>
          <t>ТР ТС 029/2012 Требования безопасности пищевых добавок, ароматизаторов и технологических вспомогательных средств</t>
        </is>
      </c>
      <c r="D64" s="33" t="inlineStr">
        <is>
          <t>https://eec.eaeunion.org/comission/department/deptexreg/tr/bezopPischDobavok.php</t>
        </is>
      </c>
      <c r="E64" s="33" t="inlineStr">
        <is>
          <t>ЕЭК</t>
        </is>
      </c>
      <c r="F64" s="33" t="inlineStr">
        <is>
          <t>Решение Совета ЕЭК №58 от 20.07.2012</t>
        </is>
      </c>
      <c r="G64" s="33" t="inlineStr">
        <is>
          <t>FACT</t>
        </is>
      </c>
      <c r="H64" s="33" t="inlineStr">
        <is>
          <t>Compound ingredients, marinades, sauces, bakery improvers/additives after SKU selection</t>
        </is>
      </c>
      <c r="I64" s="33" t="inlineStr">
        <is>
          <t>Официальная страница ЕЭК; изменения №84 от 29.08.2023 вступили 27.02.2024; проверено 2026-08-03</t>
        </is>
      </c>
      <c r="J64" s="33" t="inlineStr">
        <is>
          <t>Food Safety/PPK owner</t>
        </is>
      </c>
      <c r="K64" s="33" t="n"/>
      <c r="L64" s="33" t="n"/>
      <c r="M64" s="33" t="n"/>
    </row>
    <row r="65">
      <c r="A65" s="33" t="inlineStr">
        <is>
          <t>EVD-FS-010</t>
        </is>
      </c>
      <c r="B65" s="33" t="inlineStr">
        <is>
          <t>SAFETY</t>
        </is>
      </c>
      <c r="C65" s="33" t="inlineStr">
        <is>
          <t>Правила оказания услуг общественного питания</t>
        </is>
      </c>
      <c r="D65" s="33" t="inlineStr">
        <is>
          <t>https://publication.pravo.gov.ru/Document/View/0001202009280045</t>
        </is>
      </c>
      <c r="E65" s="33" t="inlineStr">
        <is>
          <t>Правительство РФ</t>
        </is>
      </c>
      <c r="F65" s="33" t="inlineStr">
        <is>
          <t>Постановление №1515 от 21.09.2020</t>
        </is>
      </c>
      <c r="G65" s="33" t="inlineStr">
        <is>
          <t>MONITOR</t>
        </is>
      </c>
      <c r="H65" s="33" t="inlineStr">
        <is>
          <t>Consumer information and service context; does not substitute food labeling and technical-regulation requirements</t>
        </is>
      </c>
      <c r="I65" s="33" t="inlineStr">
        <is>
          <t>Официальное опубликование; applicability/current-term legal review required before launch; checked 2026-08-03</t>
        </is>
      </c>
      <c r="J65" s="33" t="inlineStr">
        <is>
          <t>Food Safety/PPK owner</t>
        </is>
      </c>
      <c r="K65" s="33" t="n"/>
      <c r="L65" s="33" t="n"/>
      <c r="M65" s="33" t="n"/>
    </row>
    <row r="66">
      <c r="A66" s="33" t="inlineStr">
        <is>
          <t>NUT-SRC-001</t>
        </is>
      </c>
      <c r="B66" s="33" t="inlineStr">
        <is>
          <t>NUTRITION</t>
        </is>
      </c>
      <c r="C66" s="33" t="inlineStr">
        <is>
          <t>Frozen ChefTechnology recipe package</t>
        </is>
      </c>
      <c r="D66" s="33" t="n"/>
      <c r="E66" s="33" t="inlineStr">
        <is>
          <t>METHOD</t>
        </is>
      </c>
      <c r="F66" s="33" t="n"/>
      <c r="G66" s="33" t="n"/>
      <c r="H66" s="33" t="inlineStr">
        <is>
          <t>ingredient identifiers and draft net quantities</t>
        </is>
      </c>
      <c r="I66" s="33" t="n"/>
      <c r="J66" s="33" t="inlineStr">
        <is>
          <t>Chef / Orchestrator</t>
        </is>
      </c>
      <c r="K66" s="33" t="n"/>
      <c r="L66" s="33" t="n"/>
      <c r="M66" s="33" t="n"/>
    </row>
    <row r="67">
      <c r="A67" s="33" t="inlineStr">
        <is>
          <t>NUT-SRC-002</t>
        </is>
      </c>
      <c r="B67" s="33" t="inlineStr">
        <is>
          <t>NUTRITION</t>
        </is>
      </c>
      <c r="C67" s="33" t="inlineStr">
        <is>
          <t>Dish passports</t>
        </is>
      </c>
      <c r="D67" s="33" t="n"/>
      <c r="E67" s="33" t="inlineStr">
        <is>
          <t>METHOD</t>
        </is>
      </c>
      <c r="F67" s="33" t="n"/>
      <c r="G67" s="33" t="n"/>
      <c r="H67" s="33" t="inlineStr">
        <is>
          <t>dish identity, draft output and sales-unit basis</t>
        </is>
      </c>
      <c r="I67" s="33" t="n"/>
      <c r="J67" s="33" t="inlineStr">
        <is>
          <t>Chef / Owner</t>
        </is>
      </c>
      <c r="K67" s="33" t="n"/>
      <c r="L67" s="33" t="n"/>
      <c r="M67" s="33" t="n"/>
    </row>
    <row r="68">
      <c r="A68" s="33" t="inlineStr">
        <is>
          <t>NUT-SRC-003</t>
        </is>
      </c>
      <c r="B68" s="33" t="inlineStr">
        <is>
          <t>NUTRITION</t>
        </is>
      </c>
      <c r="C68" s="33" t="inlineStr">
        <is>
          <t>Issue #82 Evidence Matrix</t>
        </is>
      </c>
      <c r="D68" s="33" t="n"/>
      <c r="E68" s="33" t="inlineStr">
        <is>
          <t>METHOD</t>
        </is>
      </c>
      <c r="F68" s="33" t="n"/>
      <c r="G68" s="33" t="n"/>
      <c r="H68" s="33" t="inlineStr">
        <is>
          <t>retain source and validation limitations</t>
        </is>
      </c>
      <c r="I68" s="33" t="n"/>
      <c r="J68" s="33" t="inlineStr">
        <is>
          <t>SourceAuditor / NutritionDataAgent</t>
        </is>
      </c>
      <c r="K68" s="33" t="n"/>
      <c r="L68" s="33" t="n"/>
      <c r="M68" s="33" t="n"/>
    </row>
    <row r="69">
      <c r="A69" s="33" t="inlineStr">
        <is>
          <t>NUT-SRC-004</t>
        </is>
      </c>
      <c r="B69" s="33" t="inlineStr">
        <is>
          <t>NUTRITION</t>
        </is>
      </c>
      <c r="C69" s="33" t="inlineStr">
        <is>
          <t>TR TS 022/2011 — food labelling</t>
        </is>
      </c>
      <c r="D69" s="33" t="n"/>
      <c r="E69" s="33" t="inlineStr">
        <is>
          <t>METHOD</t>
        </is>
      </c>
      <c r="F69" s="33" t="n"/>
      <c r="G69" s="33" t="n"/>
      <c r="H69" s="33" t="inlineStr">
        <is>
          <t>presentation basis and distinction between calculated and confirmed values</t>
        </is>
      </c>
      <c r="I69" s="33" t="n"/>
      <c r="J69" s="33" t="inlineStr">
        <is>
          <t>NutritionDataAgent / LegalCompliance owner</t>
        </is>
      </c>
      <c r="K69" s="33" t="n"/>
      <c r="L69" s="33" t="n"/>
      <c r="M69" s="33" t="n"/>
    </row>
    <row r="70">
      <c r="A70" s="33" t="inlineStr">
        <is>
          <t>NUT-SRC-005</t>
        </is>
      </c>
      <c r="B70" s="33" t="inlineStr">
        <is>
          <t>NUTRITION</t>
        </is>
      </c>
      <c r="C70" s="33" t="inlineStr">
        <is>
          <t>McCance and Widdowson CoFID 2021</t>
        </is>
      </c>
      <c r="D70" s="33" t="n"/>
      <c r="E70" s="33" t="inlineStr">
        <is>
          <t>METHOD</t>
        </is>
      </c>
      <c r="F70" s="33" t="n"/>
      <c r="G70" s="33" t="n"/>
      <c r="H70" s="33" t="inlineStr">
        <is>
          <t>exact record values and named sensitivity candidates</t>
        </is>
      </c>
      <c r="I70" s="33" t="n"/>
      <c r="J70" s="33" t="inlineStr">
        <is>
          <t>NutritionDataAgent</t>
        </is>
      </c>
      <c r="K70" s="33" t="n"/>
      <c r="L70" s="33" t="n"/>
      <c r="M70" s="33" t="n"/>
    </row>
    <row r="71">
      <c r="A71" s="33" t="inlineStr">
        <is>
          <t>NUT-SRC-006</t>
        </is>
      </c>
      <c r="B71" s="33" t="inlineStr">
        <is>
          <t>NUTRITION</t>
        </is>
      </c>
      <c r="C71" s="33" t="inlineStr">
        <is>
          <t>McCance and Widdowson CoFID old foods</t>
        </is>
      </c>
      <c r="D71" s="33" t="n"/>
      <c r="E71" s="33" t="inlineStr">
        <is>
          <t>METHOD</t>
        </is>
      </c>
      <c r="F71" s="33" t="n"/>
      <c r="G71" s="33" t="n"/>
      <c r="H71" s="33" t="inlineStr">
        <is>
          <t>named sensitivity candidates unavailable in current CoFID</t>
        </is>
      </c>
      <c r="I71" s="33" t="n"/>
      <c r="J71" s="33" t="inlineStr">
        <is>
          <t>NutritionDataAgent</t>
        </is>
      </c>
      <c r="K71" s="33" t="n"/>
      <c r="L71" s="33" t="n"/>
      <c r="M71" s="33" t="n"/>
    </row>
    <row r="72">
      <c r="A72" s="33" t="inlineStr">
        <is>
          <t>NUT-SRC-007</t>
        </is>
      </c>
      <c r="B72" s="33" t="inlineStr">
        <is>
          <t>NUTRITION</t>
        </is>
      </c>
      <c r="C72" s="33" t="inlineStr">
        <is>
          <t>USDA FoodData Central SR Legacy</t>
        </is>
      </c>
      <c r="D72" s="33" t="n"/>
      <c r="E72" s="33" t="inlineStr">
        <is>
          <t>METHOD</t>
        </is>
      </c>
      <c r="F72" s="33" t="n"/>
      <c r="G72" s="33" t="n"/>
      <c r="H72" s="33" t="inlineStr">
        <is>
          <t>exact FDC record values and named sensitivity candidates</t>
        </is>
      </c>
      <c r="I72" s="33" t="n"/>
      <c r="J72" s="33" t="inlineStr">
        <is>
          <t>NutritionDataAgent</t>
        </is>
      </c>
      <c r="K72" s="33" t="n"/>
      <c r="L72" s="33" t="n"/>
      <c r="M72" s="33" t="n"/>
    </row>
    <row r="73">
      <c r="A73" s="33" t="inlineStr">
        <is>
          <t>NUT-SRC-008</t>
        </is>
      </c>
      <c r="B73" s="33" t="inlineStr">
        <is>
          <t>NUTRITION</t>
        </is>
      </c>
      <c r="C73" s="33" t="inlineStr">
        <is>
          <t>Supplier/manufacturer label for exact purchased SKU</t>
        </is>
      </c>
      <c r="D73" s="33" t="n"/>
      <c r="E73" s="33" t="inlineStr">
        <is>
          <t>METHOD</t>
        </is>
      </c>
      <c r="F73" s="33" t="n"/>
      <c r="G73" s="33" t="n"/>
      <c r="H73" s="33" t="inlineStr">
        <is>
          <t>replace generic/proxy record after SKU approval</t>
        </is>
      </c>
      <c r="I73" s="33" t="n"/>
      <c r="J73" s="33" t="inlineStr">
        <is>
          <t>Procurement / NutritionDataAgent</t>
        </is>
      </c>
      <c r="K73" s="33" t="n"/>
      <c r="L73" s="33" t="n"/>
      <c r="M73" s="33" t="n"/>
    </row>
    <row r="74">
      <c r="A74" s="33" t="inlineStr">
        <is>
          <t>PSR-0001</t>
        </is>
      </c>
      <c r="B74" s="33" t="inlineStr">
        <is>
          <t>PRICE_ACCEPTED</t>
        </is>
      </c>
      <c r="C74" s="33" t="inlineStr">
        <is>
          <t>Мука ЛЕНТА высший сорт</t>
        </is>
      </c>
      <c r="D74" s="33" t="inlineStr">
        <is>
          <t>https://lenta.com/product/muka-pshenichnaya-vs-rossiya-1kg-30854/</t>
        </is>
      </c>
      <c r="E74" s="33" t="inlineStr">
        <is>
          <t>Лента</t>
        </is>
      </c>
      <c r="F74" s="33" t="inlineStr">
        <is>
          <t>2026-08-03</t>
        </is>
      </c>
      <c r="G74" s="33" t="inlineStr">
        <is>
          <t>VERIFIED_DIRECT_CARD</t>
        </is>
      </c>
      <c r="H74" s="33" t="inlineStr">
        <is>
          <t>ESTIMATE_PUBLIC_RETAIL_BENCHMARK</t>
        </is>
      </c>
      <c r="I74" s="33" t="inlineStr">
        <is>
          <t>Не является КП; доступность, региональная цена и условия поставки требуют проверки</t>
        </is>
      </c>
      <c r="J74" s="33" t="inlineStr">
        <is>
          <t>Owner / Procurement</t>
        </is>
      </c>
      <c r="K74" s="33" t="inlineStr">
        <is>
          <t>ING-001</t>
        </is>
      </c>
      <c r="L74" s="33" t="inlineStr">
        <is>
          <t>Мука пшеничная хлебопекарная</t>
        </is>
      </c>
      <c r="M74" s="33" t="n"/>
    </row>
    <row r="75">
      <c r="A75" s="33" t="inlineStr">
        <is>
          <t>PSR-0003</t>
        </is>
      </c>
      <c r="B75" s="33" t="inlineStr">
        <is>
          <t>PRICE_ACCEPTED</t>
        </is>
      </c>
      <c r="C75" s="33" t="inlineStr">
        <is>
          <t>Мука 365 ДНЕЙ хлебопекарная</t>
        </is>
      </c>
      <c r="D75" s="33" t="inlineStr">
        <is>
          <t>https://lenta.com/product/muka-pshenichnaya-hlebopekarnaya-1s-rossiya-2kg-295803/</t>
        </is>
      </c>
      <c r="E75" s="33" t="inlineStr">
        <is>
          <t>Лента</t>
        </is>
      </c>
      <c r="F75" s="33" t="inlineStr">
        <is>
          <t>2026-08-03</t>
        </is>
      </c>
      <c r="G75" s="33" t="inlineStr">
        <is>
          <t>VERIFIED_DIRECT_CARD</t>
        </is>
      </c>
      <c r="H75" s="33" t="inlineStr">
        <is>
          <t>ESTIMATE_PUBLIC_RETAIL_BENCHMARK</t>
        </is>
      </c>
      <c r="I75" s="33" t="inlineStr">
        <is>
          <t>Не является КП; доступность, региональная цена и условия поставки требуют проверки</t>
        </is>
      </c>
      <c r="J75" s="33" t="inlineStr">
        <is>
          <t>Owner / Procurement</t>
        </is>
      </c>
      <c r="K75" s="33" t="inlineStr">
        <is>
          <t>ING-001</t>
        </is>
      </c>
      <c r="L75" s="33" t="inlineStr">
        <is>
          <t>Мука пшеничная хлебопекарная</t>
        </is>
      </c>
      <c r="M75" s="33" t="n"/>
    </row>
    <row r="76">
      <c r="A76" s="33" t="inlineStr">
        <is>
          <t>PSR-0004</t>
        </is>
      </c>
      <c r="B76" s="33" t="inlineStr">
        <is>
          <t>PRICE_ACCEPTED</t>
        </is>
      </c>
      <c r="C76" s="33" t="inlineStr">
        <is>
          <t>Дрожжи САФ Левюр активные</t>
        </is>
      </c>
      <c r="D76" s="33" t="inlineStr">
        <is>
          <t>https://lenta.com/product/drozhzhi-levyur-hlebopekarnye-suhie-aktivnye-rossiya-100g-86736/</t>
        </is>
      </c>
      <c r="E76" s="33" t="inlineStr">
        <is>
          <t>Лента</t>
        </is>
      </c>
      <c r="F76" s="33" t="inlineStr">
        <is>
          <t>2026-08-03</t>
        </is>
      </c>
      <c r="G76" s="33" t="inlineStr">
        <is>
          <t>VERIFIED_DIRECT_CARD</t>
        </is>
      </c>
      <c r="H76" s="33" t="inlineStr">
        <is>
          <t>ESTIMATE_PUBLIC_RETAIL_BENCHMARK</t>
        </is>
      </c>
      <c r="I76" s="33" t="inlineStr">
        <is>
          <t>Не является КП; доступность, региональная цена и условия поставки требуют проверки</t>
        </is>
      </c>
      <c r="J76" s="33" t="inlineStr">
        <is>
          <t>Owner / Procurement</t>
        </is>
      </c>
      <c r="K76" s="33" t="inlineStr">
        <is>
          <t>ING-003</t>
        </is>
      </c>
      <c r="L76" s="33" t="inlineStr">
        <is>
          <t>Дрожжи хлебопекарные</t>
        </is>
      </c>
      <c r="M76" s="33" t="n"/>
    </row>
    <row r="77">
      <c r="A77" s="33" t="inlineStr">
        <is>
          <t>PSR-0005</t>
        </is>
      </c>
      <c r="B77" s="33" t="inlineStr">
        <is>
          <t>PRICE_ACCEPTED</t>
        </is>
      </c>
      <c r="C77" s="33" t="inlineStr">
        <is>
          <t>Дрожжи ANGEL активные</t>
        </is>
      </c>
      <c r="D77" s="33" t="inlineStr">
        <is>
          <t>https://lenta.com/product/drozhzhi-suhie-aktivnye-dvypechki-i-napitkov-rossiya-100g-650540/</t>
        </is>
      </c>
      <c r="E77" s="33" t="inlineStr">
        <is>
          <t>Лента</t>
        </is>
      </c>
      <c r="F77" s="33" t="inlineStr">
        <is>
          <t>2026-08-03</t>
        </is>
      </c>
      <c r="G77" s="33" t="inlineStr">
        <is>
          <t>VERIFIED_DIRECT_CARD</t>
        </is>
      </c>
      <c r="H77" s="33" t="inlineStr">
        <is>
          <t>ESTIMATE_PUBLIC_RETAIL_BENCHMARK</t>
        </is>
      </c>
      <c r="I77" s="33" t="inlineStr">
        <is>
          <t>Не является КП; доступность, региональная цена и условия поставки требуют проверки</t>
        </is>
      </c>
      <c r="J77" s="33" t="inlineStr">
        <is>
          <t>Owner / Procurement</t>
        </is>
      </c>
      <c r="K77" s="33" t="inlineStr">
        <is>
          <t>ING-003</t>
        </is>
      </c>
      <c r="L77" s="33" t="inlineStr">
        <is>
          <t>Дрожжи хлебопекарные</t>
        </is>
      </c>
      <c r="M77" s="33" t="n"/>
    </row>
    <row r="78">
      <c r="A78" s="33" t="inlineStr">
        <is>
          <t>PSR-0006</t>
        </is>
      </c>
      <c r="B78" s="33" t="inlineStr">
        <is>
          <t>PRICE_ACCEPTED</t>
        </is>
      </c>
      <c r="C78" s="33" t="inlineStr">
        <is>
          <t>Дрожжи SUPER сухие</t>
        </is>
      </c>
      <c r="D78" s="33" t="inlineStr">
        <is>
          <t>https://lenta.com/product/drozhzhi-hlebopekarnye-suhie-rossiya-80g-727787/</t>
        </is>
      </c>
      <c r="E78" s="33" t="inlineStr">
        <is>
          <t>Лента</t>
        </is>
      </c>
      <c r="F78" s="33" t="inlineStr">
        <is>
          <t>2026-08-03</t>
        </is>
      </c>
      <c r="G78" s="33" t="inlineStr">
        <is>
          <t>VERIFIED_DIRECT_CARD</t>
        </is>
      </c>
      <c r="H78" s="33" t="inlineStr">
        <is>
          <t>ESTIMATE_PUBLIC_RETAIL_BENCHMARK</t>
        </is>
      </c>
      <c r="I78" s="33" t="inlineStr">
        <is>
          <t>Не является КП; доступность, региональная цена и условия поставки требуют проверки</t>
        </is>
      </c>
      <c r="J78" s="33" t="inlineStr">
        <is>
          <t>Owner / Procurement</t>
        </is>
      </c>
      <c r="K78" s="33" t="inlineStr">
        <is>
          <t>ING-003</t>
        </is>
      </c>
      <c r="L78" s="33" t="inlineStr">
        <is>
          <t>Дрожжи хлебопекарные</t>
        </is>
      </c>
      <c r="M78" s="33" t="n"/>
    </row>
    <row r="79">
      <c r="A79" s="33" t="inlineStr">
        <is>
          <t>PSR-0007</t>
        </is>
      </c>
      <c r="B79" s="33" t="inlineStr">
        <is>
          <t>PRICE_ACCEPTED</t>
        </is>
      </c>
      <c r="C79" s="33" t="inlineStr">
        <is>
          <t>Соль Усольская</t>
        </is>
      </c>
      <c r="D79" s="33" t="inlineStr">
        <is>
          <t>https://lenta.com/product/sol-usolskaya-pishhevaya-vyvarochnaya-jodirovannaya-rossiya-1kg-214838/</t>
        </is>
      </c>
      <c r="E79" s="33" t="inlineStr">
        <is>
          <t>Лента</t>
        </is>
      </c>
      <c r="F79" s="33" t="inlineStr">
        <is>
          <t>2026-08-03</t>
        </is>
      </c>
      <c r="G79" s="33" t="inlineStr">
        <is>
          <t>VERIFIED_DIRECT_CARD</t>
        </is>
      </c>
      <c r="H79" s="33" t="inlineStr">
        <is>
          <t>ESTIMATE_PUBLIC_RETAIL_BENCHMARK</t>
        </is>
      </c>
      <c r="I79" s="33" t="inlineStr">
        <is>
          <t>Не является КП; доступность, региональная цена и условия поставки требуют проверки</t>
        </is>
      </c>
      <c r="J79" s="33" t="inlineStr">
        <is>
          <t>Owner / Procurement</t>
        </is>
      </c>
      <c r="K79" s="33" t="inlineStr">
        <is>
          <t>ING-004</t>
        </is>
      </c>
      <c r="L79" s="33" t="inlineStr">
        <is>
          <t>Соль пищевая</t>
        </is>
      </c>
      <c r="M79" s="33" t="n"/>
    </row>
    <row r="80">
      <c r="A80" s="33" t="inlineStr">
        <is>
          <t>PSR-0009</t>
        </is>
      </c>
      <c r="B80" s="33" t="inlineStr">
        <is>
          <t>PRICE_ACCEPTED</t>
        </is>
      </c>
      <c r="C80" s="33" t="inlineStr">
        <is>
          <t>Меланж пастеризованный GROVO</t>
        </is>
      </c>
      <c r="D80" s="33" t="inlineStr">
        <is>
          <t>https://da-mart.ru/catalog/goods/296776/</t>
        </is>
      </c>
      <c r="E80" s="33" t="inlineStr">
        <is>
          <t>DA-Mart / GROVO</t>
        </is>
      </c>
      <c r="F80" s="33" t="inlineStr">
        <is>
          <t>2026-08-03</t>
        </is>
      </c>
      <c r="G80" s="33" t="inlineStr">
        <is>
          <t>VERIFIED_DIRECT_CARD</t>
        </is>
      </c>
      <c r="H80" s="33" t="inlineStr">
        <is>
          <t>ESTIMATE_PUBLIC_RETAIL_BENCHMARK</t>
        </is>
      </c>
      <c r="I80" s="33" t="inlineStr">
        <is>
          <t>Не является КП; доступность, региональная цена и условия поставки требуют проверки</t>
        </is>
      </c>
      <c r="J80" s="33" t="inlineStr">
        <is>
          <t>Owner / Procurement</t>
        </is>
      </c>
      <c r="K80" s="33" t="inlineStr">
        <is>
          <t>ING-026</t>
        </is>
      </c>
      <c r="L80" s="33" t="inlineStr">
        <is>
          <t>Яйцо или меланж</t>
        </is>
      </c>
      <c r="M80" s="33" t="n"/>
    </row>
    <row r="81">
      <c r="A81" s="33" t="inlineStr">
        <is>
          <t>PSR-0010</t>
        </is>
      </c>
      <c r="B81" s="33" t="inlineStr">
        <is>
          <t>PRICE_ACCEPTED</t>
        </is>
      </c>
      <c r="C81" s="33" t="inlineStr">
        <is>
          <t>Масло Вкуснотеево 82.5%</t>
        </is>
      </c>
      <c r="D81" s="33" t="inlineStr">
        <is>
          <t>https://lenta.com/product/maslo-slivochnoe-vkusnoteevo-tradicionnoe-825-rossiya-180g-743324/</t>
        </is>
      </c>
      <c r="E81" s="33" t="inlineStr">
        <is>
          <t>Лента</t>
        </is>
      </c>
      <c r="F81" s="33" t="inlineStr">
        <is>
          <t>2026-08-03</t>
        </is>
      </c>
      <c r="G81" s="33" t="inlineStr">
        <is>
          <t>VERIFIED_DIRECT_CARD</t>
        </is>
      </c>
      <c r="H81" s="33" t="inlineStr">
        <is>
          <t>ESTIMATE_PUBLIC_RETAIL_BENCHMARK</t>
        </is>
      </c>
      <c r="I81" s="33" t="inlineStr">
        <is>
          <t>Не является КП; доступность, региональная цена и условия поставки требуют проверки</t>
        </is>
      </c>
      <c r="J81" s="33" t="inlineStr">
        <is>
          <t>Owner / Procurement</t>
        </is>
      </c>
      <c r="K81" s="33" t="inlineStr">
        <is>
          <t>ING-027</t>
        </is>
      </c>
      <c r="L81" s="33" t="inlineStr">
        <is>
          <t>Масло сливочное</t>
        </is>
      </c>
      <c r="M81" s="33" t="n"/>
    </row>
    <row r="82">
      <c r="A82" s="33" t="inlineStr">
        <is>
          <t>PSR-0013</t>
        </is>
      </c>
      <c r="B82" s="33" t="inlineStr">
        <is>
          <t>PRICE_ACCEPTED</t>
        </is>
      </c>
      <c r="C82" s="33" t="inlineStr">
        <is>
          <t>Сахар ЛЕНТА</t>
        </is>
      </c>
      <c r="D82" s="33" t="inlineStr">
        <is>
          <t>https://lenta.com/product/sakhar-pesok-lenta-rossiya-1kg-717070/</t>
        </is>
      </c>
      <c r="E82" s="33" t="inlineStr">
        <is>
          <t>Лента</t>
        </is>
      </c>
      <c r="F82" s="33" t="inlineStr">
        <is>
          <t>2026-08-03</t>
        </is>
      </c>
      <c r="G82" s="33" t="inlineStr">
        <is>
          <t>VERIFIED_DIRECT_CARD</t>
        </is>
      </c>
      <c r="H82" s="33" t="inlineStr">
        <is>
          <t>ESTIMATE_PUBLIC_RETAIL_BENCHMARK</t>
        </is>
      </c>
      <c r="I82" s="33" t="inlineStr">
        <is>
          <t>Не является КП; доступность, региональная цена и условия поставки требуют проверки</t>
        </is>
      </c>
      <c r="J82" s="33" t="inlineStr">
        <is>
          <t>Owner / Procurement</t>
        </is>
      </c>
      <c r="K82" s="33" t="inlineStr">
        <is>
          <t>ING-028</t>
        </is>
      </c>
      <c r="L82" s="33" t="inlineStr">
        <is>
          <t>Сахар</t>
        </is>
      </c>
      <c r="M82" s="33" t="n"/>
    </row>
    <row r="83">
      <c r="A83" s="33" t="inlineStr">
        <is>
          <t>PSR-0014</t>
        </is>
      </c>
      <c r="B83" s="33" t="inlineStr">
        <is>
          <t>PRICE_ACCEPTED</t>
        </is>
      </c>
      <c r="C83" s="33" t="inlineStr">
        <is>
          <t>Моцарелла Bonfesto Пицца</t>
        </is>
      </c>
      <c r="D83" s="33" t="inlineStr">
        <is>
          <t>https://www.auchan.ru/product/syr-mocarella-picca-40-bonf/</t>
        </is>
      </c>
      <c r="E83" s="33" t="inlineStr">
        <is>
          <t>Ашан</t>
        </is>
      </c>
      <c r="F83" s="33" t="inlineStr">
        <is>
          <t>2026-08-03</t>
        </is>
      </c>
      <c r="G83" s="33" t="inlineStr">
        <is>
          <t>VERIFIED_DIRECT_CARD</t>
        </is>
      </c>
      <c r="H83" s="33" t="inlineStr">
        <is>
          <t>ESTIMATE_PUBLIC_RETAIL_BENCHMARK</t>
        </is>
      </c>
      <c r="I83" s="33" t="inlineStr">
        <is>
          <t>Не является КП; доступность, региональная цена и условия поставки требуют проверки</t>
        </is>
      </c>
      <c r="J83" s="33" t="inlineStr">
        <is>
          <t>Owner / Procurement</t>
        </is>
      </c>
      <c r="K83" s="33" t="inlineStr">
        <is>
          <t>ING-009</t>
        </is>
      </c>
      <c r="L83" s="33" t="inlineStr">
        <is>
          <t>Моцарелла</t>
        </is>
      </c>
      <c r="M83" s="33" t="n"/>
    </row>
    <row r="84">
      <c r="A84" s="33" t="inlineStr">
        <is>
          <t>PSR-0015</t>
        </is>
      </c>
      <c r="B84" s="33" t="inlineStr">
        <is>
          <t>PRICE_ACCEPTED</t>
        </is>
      </c>
      <c r="C84" s="33" t="inlineStr">
        <is>
          <t>Моцарелла Primolatto</t>
        </is>
      </c>
      <c r="D84" s="33" t="inlineStr">
        <is>
          <t>https://www.auchan.ru/product/mocarella-250g-primolatto-bzmzh/</t>
        </is>
      </c>
      <c r="E84" s="33" t="inlineStr">
        <is>
          <t>Ашан</t>
        </is>
      </c>
      <c r="F84" s="33" t="inlineStr">
        <is>
          <t>2026-08-03</t>
        </is>
      </c>
      <c r="G84" s="33" t="inlineStr">
        <is>
          <t>VERIFIED_DIRECT_CARD</t>
        </is>
      </c>
      <c r="H84" s="33" t="inlineStr">
        <is>
          <t>ESTIMATE_PUBLIC_RETAIL_BENCHMARK</t>
        </is>
      </c>
      <c r="I84" s="33" t="inlineStr">
        <is>
          <t>Не является КП; доступность, региональная цена и условия поставки требуют проверки</t>
        </is>
      </c>
      <c r="J84" s="33" t="inlineStr">
        <is>
          <t>Owner / Procurement</t>
        </is>
      </c>
      <c r="K84" s="33" t="inlineStr">
        <is>
          <t>ING-009</t>
        </is>
      </c>
      <c r="L84" s="33" t="inlineStr">
        <is>
          <t>Моцарелла</t>
        </is>
      </c>
      <c r="M84" s="33" t="n"/>
    </row>
    <row r="85">
      <c r="A85" s="33" t="inlineStr">
        <is>
          <t>PSR-0017</t>
        </is>
      </c>
      <c r="B85" s="33" t="inlineStr">
        <is>
          <t>PRICE_ACCEPTED</t>
        </is>
      </c>
      <c r="C85" s="33" t="inlineStr">
        <is>
          <t>Пармезан Dolce Granto</t>
        </is>
      </c>
      <c r="D85" s="33" t="inlineStr">
        <is>
          <t>https://www.auchan.ru/product/syr-parmezan-dolce-fasov-200g/</t>
        </is>
      </c>
      <c r="E85" s="33" t="inlineStr">
        <is>
          <t>Ашан</t>
        </is>
      </c>
      <c r="F85" s="33" t="inlineStr">
        <is>
          <t>2026-08-03</t>
        </is>
      </c>
      <c r="G85" s="33" t="inlineStr">
        <is>
          <t>VERIFIED_DIRECT_CARD</t>
        </is>
      </c>
      <c r="H85" s="33" t="inlineStr">
        <is>
          <t>ESTIMATE_PUBLIC_RETAIL_BENCHMARK</t>
        </is>
      </c>
      <c r="I85" s="33" t="inlineStr">
        <is>
          <t>Не является КП; доступность, региональная цена и условия поставки требуют проверки</t>
        </is>
      </c>
      <c r="J85" s="33" t="inlineStr">
        <is>
          <t>Owner / Procurement</t>
        </is>
      </c>
      <c r="K85" s="33" t="inlineStr">
        <is>
          <t>ING-010</t>
        </is>
      </c>
      <c r="L85" s="33" t="inlineStr">
        <is>
          <t>Пармезан</t>
        </is>
      </c>
      <c r="M85" s="33" t="n"/>
    </row>
    <row r="86">
      <c r="A86" s="33" t="inlineStr">
        <is>
          <t>PSR-0018</t>
        </is>
      </c>
      <c r="B86" s="33" t="inlineStr">
        <is>
          <t>PRICE_ACCEPTED</t>
        </is>
      </c>
      <c r="C86" s="33" t="inlineStr">
        <is>
          <t>Пармезан Поставы городок</t>
        </is>
      </c>
      <c r="D86" s="33" t="inlineStr">
        <is>
          <t>https://www.auchan.ru/product/syr-parmezan-postavy-45-200g/</t>
        </is>
      </c>
      <c r="E86" s="33" t="inlineStr">
        <is>
          <t>Ашан</t>
        </is>
      </c>
      <c r="F86" s="33" t="inlineStr">
        <is>
          <t>2026-08-03</t>
        </is>
      </c>
      <c r="G86" s="33" t="inlineStr">
        <is>
          <t>VERIFIED_DIRECT_CARD</t>
        </is>
      </c>
      <c r="H86" s="33" t="inlineStr">
        <is>
          <t>ESTIMATE_PUBLIC_RETAIL_BENCHMARK</t>
        </is>
      </c>
      <c r="I86" s="33" t="inlineStr">
        <is>
          <t>Не является КП; доступность, региональная цена и условия поставки требуют проверки</t>
        </is>
      </c>
      <c r="J86" s="33" t="inlineStr">
        <is>
          <t>Owner / Procurement</t>
        </is>
      </c>
      <c r="K86" s="33" t="inlineStr">
        <is>
          <t>ING-010</t>
        </is>
      </c>
      <c r="L86" s="33" t="inlineStr">
        <is>
          <t>Пармезан</t>
        </is>
      </c>
      <c r="M86" s="33" t="n"/>
    </row>
    <row r="87">
      <c r="A87" s="33" t="inlineStr">
        <is>
          <t>PSR-0019</t>
        </is>
      </c>
      <c r="B87" s="33" t="inlineStr">
        <is>
          <t>PRICE_ACCEPTED</t>
        </is>
      </c>
      <c r="C87" s="33" t="inlineStr">
        <is>
          <t>Пармезан Сыробогатов</t>
        </is>
      </c>
      <c r="D87" s="33" t="inlineStr">
        <is>
          <t>https://www.auchan.ru/product/cyr-tverdyy-syrobogatov-parmezan-40-200-g/</t>
        </is>
      </c>
      <c r="E87" s="33" t="inlineStr">
        <is>
          <t>Ашан</t>
        </is>
      </c>
      <c r="F87" s="33" t="inlineStr">
        <is>
          <t>2026-08-03</t>
        </is>
      </c>
      <c r="G87" s="33" t="inlineStr">
        <is>
          <t>VERIFIED_DIRECT_CARD</t>
        </is>
      </c>
      <c r="H87" s="33" t="inlineStr">
        <is>
          <t>ESTIMATE_PUBLIC_RETAIL_BENCHMARK</t>
        </is>
      </c>
      <c r="I87" s="33" t="inlineStr">
        <is>
          <t>Не является КП; доступность, региональная цена и условия поставки требуют проверки</t>
        </is>
      </c>
      <c r="J87" s="33" t="inlineStr">
        <is>
          <t>Owner / Procurement</t>
        </is>
      </c>
      <c r="K87" s="33" t="inlineStr">
        <is>
          <t>ING-010</t>
        </is>
      </c>
      <c r="L87" s="33" t="inlineStr">
        <is>
          <t>Пармезан</t>
        </is>
      </c>
      <c r="M87" s="33" t="n"/>
    </row>
    <row r="88">
      <c r="A88" s="33" t="inlineStr">
        <is>
          <t>PSR-0020</t>
        </is>
      </c>
      <c r="B88" s="33" t="inlineStr">
        <is>
          <t>PRICE_ACCEPTED</t>
        </is>
      </c>
      <c r="C88" s="33" t="inlineStr">
        <is>
          <t>Пармезан Laime</t>
        </is>
      </c>
      <c r="D88" s="33" t="inlineStr">
        <is>
          <t>https://www.auchan.ru/product/syr-tverdyy-laime-parmezan-200-g/</t>
        </is>
      </c>
      <c r="E88" s="33" t="inlineStr">
        <is>
          <t>Ашан</t>
        </is>
      </c>
      <c r="F88" s="33" t="inlineStr">
        <is>
          <t>2026-08-03</t>
        </is>
      </c>
      <c r="G88" s="33" t="inlineStr">
        <is>
          <t>VERIFIED_DIRECT_CARD</t>
        </is>
      </c>
      <c r="H88" s="33" t="inlineStr">
        <is>
          <t>ESTIMATE_PUBLIC_RETAIL_BENCHMARK</t>
        </is>
      </c>
      <c r="I88" s="33" t="inlineStr">
        <is>
          <t>Не является КП; доступность, региональная цена и условия поставки требуют проверки</t>
        </is>
      </c>
      <c r="J88" s="33" t="inlineStr">
        <is>
          <t>Owner / Procurement</t>
        </is>
      </c>
      <c r="K88" s="33" t="inlineStr">
        <is>
          <t>ING-010</t>
        </is>
      </c>
      <c r="L88" s="33" t="inlineStr">
        <is>
          <t>Пармезан</t>
        </is>
      </c>
      <c r="M88" s="33" t="n"/>
    </row>
    <row r="89">
      <c r="A89" s="33" t="inlineStr">
        <is>
          <t>PSR-0021</t>
        </is>
      </c>
      <c r="B89" s="33" t="inlineStr">
        <is>
          <t>PRICE_ACCEPTED</t>
        </is>
      </c>
      <c r="C89" s="33" t="inlineStr">
        <is>
          <t>Горгонзола Botticello</t>
        </is>
      </c>
      <c r="D89" s="33" t="inlineStr">
        <is>
          <t>https://lenta.com/product/syr-s-golubojj-plesenyu-gorgonzola-50-bez-zmzh-rossiya-100g-909826/</t>
        </is>
      </c>
      <c r="E89" s="33" t="inlineStr">
        <is>
          <t>Лента</t>
        </is>
      </c>
      <c r="F89" s="33" t="inlineStr">
        <is>
          <t>2026-08-03</t>
        </is>
      </c>
      <c r="G89" s="33" t="inlineStr">
        <is>
          <t>VERIFIED_DIRECT_CARD</t>
        </is>
      </c>
      <c r="H89" s="33" t="inlineStr">
        <is>
          <t>ESTIMATE_PUBLIC_RETAIL_BENCHMARK</t>
        </is>
      </c>
      <c r="I89" s="33" t="inlineStr">
        <is>
          <t>Не является КП; доступность, региональная цена и условия поставки требуют проверки</t>
        </is>
      </c>
      <c r="J89" s="33" t="inlineStr">
        <is>
          <t>Owner / Procurement</t>
        </is>
      </c>
      <c r="K89" s="33" t="inlineStr">
        <is>
          <t>ING-012</t>
        </is>
      </c>
      <c r="L89" s="33" t="inlineStr">
        <is>
          <t>Горгонзола</t>
        </is>
      </c>
      <c r="M89" s="33" t="n"/>
    </row>
    <row r="90">
      <c r="A90" s="33" t="inlineStr">
        <is>
          <t>PSR-0023</t>
        </is>
      </c>
      <c r="B90" s="33" t="inlineStr">
        <is>
          <t>PRICE_ACCEPTED</t>
        </is>
      </c>
      <c r="C90" s="33" t="inlineStr">
        <is>
          <t>Горгонзола Ненашево</t>
        </is>
      </c>
      <c r="D90" s="33" t="inlineStr">
        <is>
          <t>https://lenta.com/product/syr-gorgonzola-55-bez-zmzh-rossiya-100g-703203/</t>
        </is>
      </c>
      <c r="E90" s="33" t="inlineStr">
        <is>
          <t>Лента</t>
        </is>
      </c>
      <c r="F90" s="33" t="inlineStr">
        <is>
          <t>2026-08-03</t>
        </is>
      </c>
      <c r="G90" s="33" t="inlineStr">
        <is>
          <t>VERIFIED_DIRECT_CARD</t>
        </is>
      </c>
      <c r="H90" s="33" t="inlineStr">
        <is>
          <t>ESTIMATE_PUBLIC_RETAIL_BENCHMARK</t>
        </is>
      </c>
      <c r="I90" s="33" t="inlineStr">
        <is>
          <t>Не является КП; доступность, региональная цена и условия поставки требуют проверки</t>
        </is>
      </c>
      <c r="J90" s="33" t="inlineStr">
        <is>
          <t>Owner / Procurement</t>
        </is>
      </c>
      <c r="K90" s="33" t="inlineStr">
        <is>
          <t>ING-012</t>
        </is>
      </c>
      <c r="L90" s="33" t="inlineStr">
        <is>
          <t>Горгонзола</t>
        </is>
      </c>
      <c r="M90" s="33" t="n"/>
    </row>
    <row r="91">
      <c r="A91" s="33" t="inlineStr">
        <is>
          <t>PSR-0025</t>
        </is>
      </c>
      <c r="B91" s="33" t="inlineStr">
        <is>
          <t>PRICE_ACCEPTED</t>
        </is>
      </c>
      <c r="C91" s="33" t="inlineStr">
        <is>
          <t>Буррата Galbani mini</t>
        </is>
      </c>
      <c r="D91" s="33" t="inlineStr">
        <is>
          <t>https://www.auchan.ru/product/syr-galbani-burrata-50-125-g/</t>
        </is>
      </c>
      <c r="E91" s="33" t="inlineStr">
        <is>
          <t>Ашан</t>
        </is>
      </c>
      <c r="F91" s="33" t="inlineStr">
        <is>
          <t>2026-08-03</t>
        </is>
      </c>
      <c r="G91" s="33" t="inlineStr">
        <is>
          <t>VERIFIED_DIRECT_CARD</t>
        </is>
      </c>
      <c r="H91" s="33" t="inlineStr">
        <is>
          <t>ESTIMATE_PUBLIC_RETAIL_BENCHMARK</t>
        </is>
      </c>
      <c r="I91" s="33" t="inlineStr">
        <is>
          <t>Не является КП; доступность, региональная цена и условия поставки требуют проверки</t>
        </is>
      </c>
      <c r="J91" s="33" t="inlineStr">
        <is>
          <t>Owner / Procurement</t>
        </is>
      </c>
      <c r="K91" s="33" t="inlineStr">
        <is>
          <t>ING-030</t>
        </is>
      </c>
      <c r="L91" s="33" t="inlineStr">
        <is>
          <t>Буррата</t>
        </is>
      </c>
      <c r="M91" s="33" t="n"/>
    </row>
    <row r="92">
      <c r="A92" s="33" t="inlineStr">
        <is>
          <t>PSR-0026</t>
        </is>
      </c>
      <c r="B92" s="33" t="inlineStr">
        <is>
          <t>PRICE_ACCEPTED</t>
        </is>
      </c>
      <c r="C92" s="33" t="inlineStr">
        <is>
          <t>Буррата Калачево</t>
        </is>
      </c>
      <c r="D92" s="33" t="inlineStr">
        <is>
          <t>https://www.auchan.ru/product/syr-buratta-kalachevo-125g/</t>
        </is>
      </c>
      <c r="E92" s="33" t="inlineStr">
        <is>
          <t>Ашан</t>
        </is>
      </c>
      <c r="F92" s="33" t="inlineStr">
        <is>
          <t>2026-08-03</t>
        </is>
      </c>
      <c r="G92" s="33" t="inlineStr">
        <is>
          <t>VERIFIED_DIRECT_CARD</t>
        </is>
      </c>
      <c r="H92" s="33" t="inlineStr">
        <is>
          <t>ESTIMATE_PUBLIC_RETAIL_BENCHMARK</t>
        </is>
      </c>
      <c r="I92" s="33" t="inlineStr">
        <is>
          <t>Не является КП; доступность, региональная цена и условия поставки требуют проверки</t>
        </is>
      </c>
      <c r="J92" s="33" t="inlineStr">
        <is>
          <t>Owner / Procurement</t>
        </is>
      </c>
      <c r="K92" s="33" t="inlineStr">
        <is>
          <t>ING-030</t>
        </is>
      </c>
      <c r="L92" s="33" t="inlineStr">
        <is>
          <t>Буррата</t>
        </is>
      </c>
      <c r="M92" s="33" t="n"/>
    </row>
    <row r="93">
      <c r="A93" s="33" t="inlineStr">
        <is>
          <t>PSR-0027</t>
        </is>
      </c>
      <c r="B93" s="33" t="inlineStr">
        <is>
          <t>PRICE_ACCEPTED</t>
        </is>
      </c>
      <c r="C93" s="33" t="inlineStr">
        <is>
          <t>Буррата Калачево</t>
        </is>
      </c>
      <c r="D93" s="33" t="inlineStr">
        <is>
          <t>https://www.auchan.ru/product/syr-buratta-premium-125g/</t>
        </is>
      </c>
      <c r="E93" s="33" t="inlineStr">
        <is>
          <t>Ашан</t>
        </is>
      </c>
      <c r="F93" s="33" t="inlineStr">
        <is>
          <t>2026-08-03</t>
        </is>
      </c>
      <c r="G93" s="33" t="inlineStr">
        <is>
          <t>VERIFIED_DIRECT_CARD</t>
        </is>
      </c>
      <c r="H93" s="33" t="inlineStr">
        <is>
          <t>ESTIMATE_PUBLIC_RETAIL_BENCHMARK</t>
        </is>
      </c>
      <c r="I93" s="33" t="inlineStr">
        <is>
          <t>Не является КП; доступность, региональная цена и условия поставки требуют проверки</t>
        </is>
      </c>
      <c r="J93" s="33" t="inlineStr">
        <is>
          <t>Owner / Procurement</t>
        </is>
      </c>
      <c r="K93" s="33" t="inlineStr">
        <is>
          <t>ING-030</t>
        </is>
      </c>
      <c r="L93" s="33" t="inlineStr">
        <is>
          <t>Буррата</t>
        </is>
      </c>
      <c r="M93" s="33" t="n"/>
    </row>
    <row r="94">
      <c r="A94" s="33" t="inlineStr">
        <is>
          <t>PSR-0028</t>
        </is>
      </c>
      <c r="B94" s="33" t="inlineStr">
        <is>
          <t>PRICE_ACCEPTED</t>
        </is>
      </c>
      <c r="C94" s="33" t="inlineStr">
        <is>
          <t>Буррата ЛЕНТА FRESH</t>
        </is>
      </c>
      <c r="D94" s="33" t="inlineStr">
        <is>
          <t>https://lenta.com/product/syr-myagkijj-burrata-bez-zmzh-rossiya-150g-712603/</t>
        </is>
      </c>
      <c r="E94" s="33" t="inlineStr">
        <is>
          <t>Лента</t>
        </is>
      </c>
      <c r="F94" s="33" t="inlineStr">
        <is>
          <t>2026-08-03</t>
        </is>
      </c>
      <c r="G94" s="33" t="inlineStr">
        <is>
          <t>VERIFIED_DIRECT_CARD</t>
        </is>
      </c>
      <c r="H94" s="33" t="inlineStr">
        <is>
          <t>ESTIMATE_PUBLIC_RETAIL_BENCHMARK</t>
        </is>
      </c>
      <c r="I94" s="33" t="inlineStr">
        <is>
          <t>Не является КП; доступность, региональная цена и условия поставки требуют проверки</t>
        </is>
      </c>
      <c r="J94" s="33" t="inlineStr">
        <is>
          <t>Owner / Procurement</t>
        </is>
      </c>
      <c r="K94" s="33" t="inlineStr">
        <is>
          <t>ING-030</t>
        </is>
      </c>
      <c r="L94" s="33" t="inlineStr">
        <is>
          <t>Буррата</t>
        </is>
      </c>
      <c r="M94" s="33" t="n"/>
    </row>
    <row r="95">
      <c r="A95" s="33" t="inlineStr">
        <is>
          <t>PSR-0031</t>
        </is>
      </c>
      <c r="B95" s="33" t="inlineStr">
        <is>
          <t>PRICE_ACCEPTED</t>
        </is>
      </c>
      <c r="C95" s="33" t="inlineStr">
        <is>
          <t>Креветки Fish&amp;More очищенные</t>
        </is>
      </c>
      <c r="D95" s="33" t="inlineStr">
        <is>
          <t>https://www.auchan.ru/product/krevetka-s-m-26-30-och-s-hv-0-5/</t>
        </is>
      </c>
      <c r="E95" s="33" t="inlineStr">
        <is>
          <t>Ашан</t>
        </is>
      </c>
      <c r="F95" s="33" t="inlineStr">
        <is>
          <t>2026-08-03</t>
        </is>
      </c>
      <c r="G95" s="33" t="inlineStr">
        <is>
          <t>VERIFIED_DIRECT_CARD</t>
        </is>
      </c>
      <c r="H95" s="33" t="inlineStr">
        <is>
          <t>ESTIMATE_PUBLIC_RETAIL_BENCHMARK</t>
        </is>
      </c>
      <c r="I95" s="33" t="inlineStr">
        <is>
          <t>Не является КП; доступность, региональная цена и условия поставки требуют проверки</t>
        </is>
      </c>
      <c r="J95" s="33" t="inlineStr">
        <is>
          <t>Owner / Procurement</t>
        </is>
      </c>
      <c r="K95" s="33" t="inlineStr">
        <is>
          <t>ING-036</t>
        </is>
      </c>
      <c r="L95" s="33" t="inlineStr">
        <is>
          <t>Креветки очищенные</t>
        </is>
      </c>
      <c r="M95" s="33" t="n"/>
    </row>
    <row r="96">
      <c r="A96" s="33" t="inlineStr">
        <is>
          <t>PSR-0032</t>
        </is>
      </c>
      <c r="B96" s="33" t="inlineStr">
        <is>
          <t>PRICE_ACCEPTED</t>
        </is>
      </c>
      <c r="C96" s="33" t="inlineStr">
        <is>
          <t>Креветки Polar очищенные</t>
        </is>
      </c>
      <c r="D96" s="33" t="inlineStr">
        <is>
          <t>https://www.auchan.ru/product/krevetki-ochishchennye-polar-vareno-morozhenye-200-300-500-g/</t>
        </is>
      </c>
      <c r="E96" s="33" t="inlineStr">
        <is>
          <t>Ашан</t>
        </is>
      </c>
      <c r="F96" s="33" t="inlineStr">
        <is>
          <t>2026-08-03</t>
        </is>
      </c>
      <c r="G96" s="33" t="inlineStr">
        <is>
          <t>VERIFIED_DIRECT_CARD</t>
        </is>
      </c>
      <c r="H96" s="33" t="inlineStr">
        <is>
          <t>ESTIMATE_PUBLIC_RETAIL_BENCHMARK</t>
        </is>
      </c>
      <c r="I96" s="33" t="inlineStr">
        <is>
          <t>Не является КП; доступность, региональная цена и условия поставки требуют проверки</t>
        </is>
      </c>
      <c r="J96" s="33" t="inlineStr">
        <is>
          <t>Owner / Procurement</t>
        </is>
      </c>
      <c r="K96" s="33" t="inlineStr">
        <is>
          <t>ING-036</t>
        </is>
      </c>
      <c r="L96" s="33" t="inlineStr">
        <is>
          <t>Креветки очищенные</t>
        </is>
      </c>
      <c r="M96" s="33" t="n"/>
    </row>
    <row r="97">
      <c r="A97" s="33" t="inlineStr">
        <is>
          <t>PSR-0033</t>
        </is>
      </c>
      <c r="B97" s="33" t="inlineStr">
        <is>
          <t>PRICE_ACCEPTED</t>
        </is>
      </c>
      <c r="C97" s="33" t="inlineStr">
        <is>
          <t>Креветки Океан Вкуса 41/50</t>
        </is>
      </c>
      <c r="D97" s="33" t="inlineStr">
        <is>
          <t>https://www.auchan.ru/product/krevetki-korolevskie-okean-vkusa-ochishchennye-s-hvostom-41-50-500-g/</t>
        </is>
      </c>
      <c r="E97" s="33" t="inlineStr">
        <is>
          <t>Ашан</t>
        </is>
      </c>
      <c r="F97" s="33" t="inlineStr">
        <is>
          <t>2026-08-03</t>
        </is>
      </c>
      <c r="G97" s="33" t="inlineStr">
        <is>
          <t>VERIFIED_DIRECT_CARD</t>
        </is>
      </c>
      <c r="H97" s="33" t="inlineStr">
        <is>
          <t>ESTIMATE_PUBLIC_RETAIL_BENCHMARK</t>
        </is>
      </c>
      <c r="I97" s="33" t="inlineStr">
        <is>
          <t>Не является КП; доступность, региональная цена и условия поставки требуют проверки</t>
        </is>
      </c>
      <c r="J97" s="33" t="inlineStr">
        <is>
          <t>Owner / Procurement</t>
        </is>
      </c>
      <c r="K97" s="33" t="inlineStr">
        <is>
          <t>ING-036</t>
        </is>
      </c>
      <c r="L97" s="33" t="inlineStr">
        <is>
          <t>Креветки очищенные</t>
        </is>
      </c>
      <c r="M97" s="33" t="n"/>
    </row>
    <row r="98">
      <c r="A98" s="33" t="inlineStr">
        <is>
          <t>PSR-0034</t>
        </is>
      </c>
      <c r="B98" s="33" t="inlineStr">
        <is>
          <t>PRICE_ACCEPTED</t>
        </is>
      </c>
      <c r="C98" s="33" t="inlineStr">
        <is>
          <t>Креветки Вкус Арт</t>
        </is>
      </c>
      <c r="D98" s="33" t="inlineStr">
        <is>
          <t>https://www.auchan.ru/product/krevetka-korol-sm-ochishch-vkusart/</t>
        </is>
      </c>
      <c r="E98" s="33" t="inlineStr">
        <is>
          <t>Ашан</t>
        </is>
      </c>
      <c r="F98" s="33" t="inlineStr">
        <is>
          <t>2026-08-03</t>
        </is>
      </c>
      <c r="G98" s="33" t="inlineStr">
        <is>
          <t>VERIFIED_DIRECT_CARD</t>
        </is>
      </c>
      <c r="H98" s="33" t="inlineStr">
        <is>
          <t>ESTIMATE_PUBLIC_RETAIL_BENCHMARK</t>
        </is>
      </c>
      <c r="I98" s="33" t="inlineStr">
        <is>
          <t>Не является КП; доступность, региональная цена и условия поставки требуют проверки</t>
        </is>
      </c>
      <c r="J98" s="33" t="inlineStr">
        <is>
          <t>Owner / Procurement</t>
        </is>
      </c>
      <c r="K98" s="33" t="inlineStr">
        <is>
          <t>ING-036</t>
        </is>
      </c>
      <c r="L98" s="33" t="inlineStr">
        <is>
          <t>Креветки очищенные</t>
        </is>
      </c>
      <c r="M98" s="33" t="n"/>
    </row>
    <row r="99">
      <c r="A99" s="33" t="inlineStr">
        <is>
          <t>PSR-0035</t>
        </is>
      </c>
      <c r="B99" s="33" t="inlineStr">
        <is>
          <t>PRICE_ACCEPTED</t>
        </is>
      </c>
      <c r="C99" s="33" t="inlineStr">
        <is>
          <t>Креветки ЛЕНТА очищенные</t>
        </is>
      </c>
      <c r="D99" s="33" t="inlineStr">
        <is>
          <t>https://lenta.com/product/krevetki-ochishchennye-vm-200300-rossiya-500g-227076/</t>
        </is>
      </c>
      <c r="E99" s="33" t="inlineStr">
        <is>
          <t>Лента</t>
        </is>
      </c>
      <c r="F99" s="33" t="inlineStr">
        <is>
          <t>2026-08-03</t>
        </is>
      </c>
      <c r="G99" s="33" t="inlineStr">
        <is>
          <t>VERIFIED_DIRECT_CARD</t>
        </is>
      </c>
      <c r="H99" s="33" t="inlineStr">
        <is>
          <t>ESTIMATE_PUBLIC_RETAIL_BENCHMARK</t>
        </is>
      </c>
      <c r="I99" s="33" t="inlineStr">
        <is>
          <t>Не является КП; доступность, региональная цена и условия поставки требуют проверки</t>
        </is>
      </c>
      <c r="J99" s="33" t="inlineStr">
        <is>
          <t>Owner / Procurement</t>
        </is>
      </c>
      <c r="K99" s="33" t="inlineStr">
        <is>
          <t>ING-036</t>
        </is>
      </c>
      <c r="L99" s="33" t="inlineStr">
        <is>
          <t>Креветки очищенные</t>
        </is>
      </c>
      <c r="M99" s="33" t="n"/>
    </row>
    <row r="100">
      <c r="A100" s="33" t="inlineStr">
        <is>
          <t>PSR-0038</t>
        </is>
      </c>
      <c r="B100" s="33" t="inlineStr">
        <is>
          <t>PRICE_ACCEPTED</t>
        </is>
      </c>
      <c r="C100" s="33" t="inlineStr">
        <is>
          <t>Лосось слабосоленый филе</t>
        </is>
      </c>
      <c r="D100" s="33" t="inlineStr">
        <is>
          <t>https://lenta.com/product/losos-atlanticheskijj-file-slabosolenoe-rossiya-14426/</t>
        </is>
      </c>
      <c r="E100" s="33" t="inlineStr">
        <is>
          <t>Лента</t>
        </is>
      </c>
      <c r="F100" s="33" t="inlineStr">
        <is>
          <t>2026-08-03</t>
        </is>
      </c>
      <c r="G100" s="33" t="inlineStr">
        <is>
          <t>VERIFIED_DIRECT_CARD</t>
        </is>
      </c>
      <c r="H100" s="33" t="inlineStr">
        <is>
          <t>ESTIMATE_PUBLIC_RETAIL_BENCHMARK</t>
        </is>
      </c>
      <c r="I100" s="33" t="inlineStr">
        <is>
          <t>Не является КП; доступность, региональная цена и условия поставки требуют проверки</t>
        </is>
      </c>
      <c r="J100" s="33" t="inlineStr">
        <is>
          <t>Owner / Procurement</t>
        </is>
      </c>
      <c r="K100" s="33" t="inlineStr">
        <is>
          <t>ING-054</t>
        </is>
      </c>
      <c r="L100" s="33" t="inlineStr">
        <is>
          <t>Лосось слабосолёный, готовое филе</t>
        </is>
      </c>
      <c r="M100" s="33" t="n"/>
    </row>
    <row r="101">
      <c r="A101" s="33" t="inlineStr">
        <is>
          <t>PSR-0040</t>
        </is>
      </c>
      <c r="B101" s="33" t="inlineStr">
        <is>
          <t>PRICE_ACCEPTED</t>
        </is>
      </c>
      <c r="C101" s="33" t="inlineStr">
        <is>
          <t>Семга Русское море</t>
        </is>
      </c>
      <c r="D101" s="33" t="inlineStr">
        <is>
          <t>https://www.auchan.ru/product/semga-russkoe-more-slabosolenaya-file-kusok-300-g/</t>
        </is>
      </c>
      <c r="E101" s="33" t="inlineStr">
        <is>
          <t>Ашан</t>
        </is>
      </c>
      <c r="F101" s="33" t="inlineStr">
        <is>
          <t>2026-08-03</t>
        </is>
      </c>
      <c r="G101" s="33" t="inlineStr">
        <is>
          <t>VERIFIED_DIRECT_CARD</t>
        </is>
      </c>
      <c r="H101" s="33" t="inlineStr">
        <is>
          <t>ESTIMATE_PUBLIC_RETAIL_BENCHMARK</t>
        </is>
      </c>
      <c r="I101" s="33" t="inlineStr">
        <is>
          <t>Не является КП; доступность, региональная цена и условия поставки требуют проверки</t>
        </is>
      </c>
      <c r="J101" s="33" t="inlineStr">
        <is>
          <t>Owner / Procurement</t>
        </is>
      </c>
      <c r="K101" s="33" t="inlineStr">
        <is>
          <t>ING-054</t>
        </is>
      </c>
      <c r="L101" s="33" t="inlineStr">
        <is>
          <t>Лосось слабосолёный, готовое филе</t>
        </is>
      </c>
      <c r="M101" s="33" t="n"/>
    </row>
    <row r="102">
      <c r="A102" s="33" t="inlineStr">
        <is>
          <t>PSR-0041</t>
        </is>
      </c>
      <c r="B102" s="33" t="inlineStr">
        <is>
          <t>PRICE_ACCEPTED</t>
        </is>
      </c>
      <c r="C102" s="33" t="inlineStr">
        <is>
          <t>Семга Русское море</t>
        </is>
      </c>
      <c r="D102" s="33" t="inlineStr">
        <is>
          <t>https://www.auchan.ru/product/semga-russkoe-more-slabosolenaya-file-kusok-200-g/</t>
        </is>
      </c>
      <c r="E102" s="33" t="inlineStr">
        <is>
          <t>Ашан</t>
        </is>
      </c>
      <c r="F102" s="33" t="inlineStr">
        <is>
          <t>2026-08-03</t>
        </is>
      </c>
      <c r="G102" s="33" t="inlineStr">
        <is>
          <t>VERIFIED_DIRECT_CARD</t>
        </is>
      </c>
      <c r="H102" s="33" t="inlineStr">
        <is>
          <t>ESTIMATE_PUBLIC_RETAIL_BENCHMARK</t>
        </is>
      </c>
      <c r="I102" s="33" t="inlineStr">
        <is>
          <t>Не является КП; доступность, региональная цена и условия поставки требуют проверки</t>
        </is>
      </c>
      <c r="J102" s="33" t="inlineStr">
        <is>
          <t>Owner / Procurement</t>
        </is>
      </c>
      <c r="K102" s="33" t="inlineStr">
        <is>
          <t>ING-054</t>
        </is>
      </c>
      <c r="L102" s="33" t="inlineStr">
        <is>
          <t>Лосось слабосолёный, готовое филе</t>
        </is>
      </c>
      <c r="M102" s="33" t="n"/>
    </row>
    <row r="103">
      <c r="A103" s="33" t="inlineStr">
        <is>
          <t>PSR-0044</t>
        </is>
      </c>
      <c r="B103" s="33" t="inlineStr">
        <is>
          <t>PRICE_ACCEPTED</t>
        </is>
      </c>
      <c r="C103" s="33" t="inlineStr">
        <is>
          <t>Морковь весовая</t>
        </is>
      </c>
      <c r="D103" s="33" t="inlineStr">
        <is>
          <t>https://lenta.com/product/morkov-ves-1kg-303639/</t>
        </is>
      </c>
      <c r="E103" s="33" t="inlineStr">
        <is>
          <t>Лента</t>
        </is>
      </c>
      <c r="F103" s="33" t="inlineStr">
        <is>
          <t>2026-08-03</t>
        </is>
      </c>
      <c r="G103" s="33" t="inlineStr">
        <is>
          <t>VERIFIED_DIRECT_CARD</t>
        </is>
      </c>
      <c r="H103" s="33" t="inlineStr">
        <is>
          <t>ESTIMATE_PUBLIC_RETAIL_BENCHMARK</t>
        </is>
      </c>
      <c r="I103" s="33" t="inlineStr">
        <is>
          <t>Не является КП; доступность, региональная цена и условия поставки требуют проверки</t>
        </is>
      </c>
      <c r="J103" s="33" t="inlineStr">
        <is>
          <t>Owner / Procurement</t>
        </is>
      </c>
      <c r="K103" s="33" t="inlineStr">
        <is>
          <t>ING-074</t>
        </is>
      </c>
      <c r="L103" s="33" t="inlineStr">
        <is>
          <t>Морковь</t>
        </is>
      </c>
      <c r="M103" s="33" t="n"/>
    </row>
    <row r="104">
      <c r="A104" s="33" t="inlineStr">
        <is>
          <t>PSR-0046</t>
        </is>
      </c>
      <c r="B104" s="33" t="inlineStr">
        <is>
          <t>PRICE_ACCEPTED</t>
        </is>
      </c>
      <c r="C104" s="33" t="inlineStr">
        <is>
          <t>Треска Borealis филе</t>
        </is>
      </c>
      <c r="D104" s="33" t="inlineStr">
        <is>
          <t>https://www.auchan.ru/product/treska-borealis-file-bez-shkury-600-g/</t>
        </is>
      </c>
      <c r="E104" s="33" t="inlineStr">
        <is>
          <t>Ашан</t>
        </is>
      </c>
      <c r="F104" s="33" t="inlineStr">
        <is>
          <t>2026-08-03</t>
        </is>
      </c>
      <c r="G104" s="33" t="inlineStr">
        <is>
          <t>VERIFIED_DIRECT_CARD</t>
        </is>
      </c>
      <c r="H104" s="33" t="inlineStr">
        <is>
          <t>ESTIMATE_PUBLIC_RETAIL_BENCHMARK</t>
        </is>
      </c>
      <c r="I104" s="33" t="inlineStr">
        <is>
          <t>Не является КП; доступность, региональная цена и условия поставки требуют проверки</t>
        </is>
      </c>
      <c r="J104" s="33" t="inlineStr">
        <is>
          <t>Owner / Procurement</t>
        </is>
      </c>
      <c r="K104" s="33" t="inlineStr">
        <is>
          <t>ING-076</t>
        </is>
      </c>
      <c r="L104" s="33" t="inlineStr">
        <is>
          <t>Треска, филе порционное</t>
        </is>
      </c>
      <c r="M104" s="33" t="n"/>
    </row>
    <row r="105">
      <c r="A105" s="33" t="inlineStr">
        <is>
          <t>PSR-0047</t>
        </is>
      </c>
      <c r="B105" s="33" t="inlineStr">
        <is>
          <t>PRICE_ACCEPTED</t>
        </is>
      </c>
      <c r="C105" s="33" t="inlineStr">
        <is>
          <t>Треска охлажденная Мурманская</t>
        </is>
      </c>
      <c r="D105" s="33" t="inlineStr">
        <is>
          <t>https://www.auchan.ru/product/treska_file_murm_bk_05_12/</t>
        </is>
      </c>
      <c r="E105" s="33" t="inlineStr">
        <is>
          <t>Ашан</t>
        </is>
      </c>
      <c r="F105" s="33" t="inlineStr">
        <is>
          <t>2026-08-03</t>
        </is>
      </c>
      <c r="G105" s="33" t="inlineStr">
        <is>
          <t>VERIFIED_DIRECT_CARD</t>
        </is>
      </c>
      <c r="H105" s="33" t="inlineStr">
        <is>
          <t>ESTIMATE_PUBLIC_RETAIL_BENCHMARK</t>
        </is>
      </c>
      <c r="I105" s="33" t="inlineStr">
        <is>
          <t>Не является КП; доступность, региональная цена и условия поставки требуют проверки</t>
        </is>
      </c>
      <c r="J105" s="33" t="inlineStr">
        <is>
          <t>Owner / Procurement</t>
        </is>
      </c>
      <c r="K105" s="33" t="inlineStr">
        <is>
          <t>ING-076</t>
        </is>
      </c>
      <c r="L105" s="33" t="inlineStr">
        <is>
          <t>Треска, филе порционное</t>
        </is>
      </c>
      <c r="M105" s="33" t="n"/>
    </row>
    <row r="106">
      <c r="A106" s="33" t="inlineStr">
        <is>
          <t>PSR-0048</t>
        </is>
      </c>
      <c r="B106" s="33" t="inlineStr">
        <is>
          <t>PRICE_ACCEPTED</t>
        </is>
      </c>
      <c r="C106" s="33" t="inlineStr">
        <is>
          <t>Треска Красная птица филе</t>
        </is>
      </c>
      <c r="D106" s="33" t="inlineStr">
        <is>
          <t>https://www.auchan.ru/product/kp-file-treski-b-k-ves/</t>
        </is>
      </c>
      <c r="E106" s="33" t="inlineStr">
        <is>
          <t>Ашан</t>
        </is>
      </c>
      <c r="F106" s="33" t="inlineStr">
        <is>
          <t>2026-08-03</t>
        </is>
      </c>
      <c r="G106" s="33" t="inlineStr">
        <is>
          <t>VERIFIED_DIRECT_CARD</t>
        </is>
      </c>
      <c r="H106" s="33" t="inlineStr">
        <is>
          <t>ESTIMATE_PUBLIC_RETAIL_BENCHMARK</t>
        </is>
      </c>
      <c r="I106" s="33" t="inlineStr">
        <is>
          <t>Не является КП; доступность, региональная цена и условия поставки требуют проверки</t>
        </is>
      </c>
      <c r="J106" s="33" t="inlineStr">
        <is>
          <t>Owner / Procurement</t>
        </is>
      </c>
      <c r="K106" s="33" t="inlineStr">
        <is>
          <t>ING-076</t>
        </is>
      </c>
      <c r="L106" s="33" t="inlineStr">
        <is>
          <t>Треска, филе порционное</t>
        </is>
      </c>
      <c r="M106" s="33" t="n"/>
    </row>
    <row r="107">
      <c r="A107" s="33" t="inlineStr">
        <is>
          <t>PSR-0049</t>
        </is>
      </c>
      <c r="B107" s="33" t="inlineStr">
        <is>
          <t>PRICE_ACCEPTED</t>
        </is>
      </c>
      <c r="C107" s="33" t="inlineStr">
        <is>
          <t>Треска Вкус Арт филе</t>
        </is>
      </c>
      <c r="D107" s="33" t="inlineStr">
        <is>
          <t>https://www.auchan.ru/product/treska-file-vkus-art-600-gr/</t>
        </is>
      </c>
      <c r="E107" s="33" t="inlineStr">
        <is>
          <t>Ашан</t>
        </is>
      </c>
      <c r="F107" s="33" t="inlineStr">
        <is>
          <t>2026-08-03</t>
        </is>
      </c>
      <c r="G107" s="33" t="inlineStr">
        <is>
          <t>VERIFIED_DIRECT_CARD</t>
        </is>
      </c>
      <c r="H107" s="33" t="inlineStr">
        <is>
          <t>ESTIMATE_PUBLIC_RETAIL_BENCHMARK</t>
        </is>
      </c>
      <c r="I107" s="33" t="inlineStr">
        <is>
          <t>Не является КП; доступность, региональная цена и условия поставки требуют проверки</t>
        </is>
      </c>
      <c r="J107" s="33" t="inlineStr">
        <is>
          <t>Owner / Procurement</t>
        </is>
      </c>
      <c r="K107" s="33" t="inlineStr">
        <is>
          <t>ING-076</t>
        </is>
      </c>
      <c r="L107" s="33" t="inlineStr">
        <is>
          <t>Треска, филе порционное</t>
        </is>
      </c>
      <c r="M107" s="33" t="n"/>
    </row>
    <row r="108">
      <c r="A108" s="33" t="inlineStr">
        <is>
          <t>PSR-0050</t>
        </is>
      </c>
      <c r="B108" s="33" t="inlineStr">
        <is>
          <t>PRICE_ACCEPTED</t>
        </is>
      </c>
      <c r="C108" s="33" t="inlineStr">
        <is>
          <t>Сливки ЛЕНТА 33%</t>
        </is>
      </c>
      <c r="D108" s="33" t="inlineStr">
        <is>
          <t>https://lenta.com/product/slivki-upast-dlya-vzbivaniya-33-bez-zmzh-rossiya-500g-669483/</t>
        </is>
      </c>
      <c r="E108" s="33" t="inlineStr">
        <is>
          <t>Лента</t>
        </is>
      </c>
      <c r="F108" s="33" t="inlineStr">
        <is>
          <t>2026-08-03</t>
        </is>
      </c>
      <c r="G108" s="33" t="inlineStr">
        <is>
          <t>VERIFIED_DIRECT_CARD</t>
        </is>
      </c>
      <c r="H108" s="33" t="inlineStr">
        <is>
          <t>ESTIMATE_PUBLIC_RETAIL_BENCHMARK</t>
        </is>
      </c>
      <c r="I108" s="33" t="inlineStr">
        <is>
          <t>Не является КП; доступность, региональная цена и условия поставки требуют проверки</t>
        </is>
      </c>
      <c r="J108" s="33" t="inlineStr">
        <is>
          <t>Owner / Procurement</t>
        </is>
      </c>
      <c r="K108" s="33" t="inlineStr">
        <is>
          <t>ING-077</t>
        </is>
      </c>
      <c r="L108" s="33" t="inlineStr">
        <is>
          <t>Сливки</t>
        </is>
      </c>
      <c r="M108" s="33" t="n"/>
    </row>
    <row r="109">
      <c r="A109" s="33" t="inlineStr">
        <is>
          <t>PSR-0051</t>
        </is>
      </c>
      <c r="B109" s="33" t="inlineStr">
        <is>
          <t>PRICE_ACCEPTED</t>
        </is>
      </c>
      <c r="C109" s="33" t="inlineStr">
        <is>
          <t>Сливки БМК 33%</t>
        </is>
      </c>
      <c r="D109" s="33" t="inlineStr">
        <is>
          <t>https://lenta.com/product/slivki-upast-tva-33-bez-zmzh-rossiya-500g-564506/</t>
        </is>
      </c>
      <c r="E109" s="33" t="inlineStr">
        <is>
          <t>Лента</t>
        </is>
      </c>
      <c r="F109" s="33" t="inlineStr">
        <is>
          <t>2026-08-03</t>
        </is>
      </c>
      <c r="G109" s="33" t="inlineStr">
        <is>
          <t>VERIFIED_DIRECT_CARD</t>
        </is>
      </c>
      <c r="H109" s="33" t="inlineStr">
        <is>
          <t>ESTIMATE_PUBLIC_RETAIL_BENCHMARK</t>
        </is>
      </c>
      <c r="I109" s="33" t="inlineStr">
        <is>
          <t>Не является КП; доступность, региональная цена и условия поставки требуют проверки</t>
        </is>
      </c>
      <c r="J109" s="33" t="inlineStr">
        <is>
          <t>Owner / Procurement</t>
        </is>
      </c>
      <c r="K109" s="33" t="inlineStr">
        <is>
          <t>ING-077</t>
        </is>
      </c>
      <c r="L109" s="33" t="inlineStr">
        <is>
          <t>Сливки</t>
        </is>
      </c>
      <c r="M109" s="33" t="n"/>
    </row>
    <row r="110">
      <c r="A110" s="33" t="inlineStr">
        <is>
          <t>PSR-0052</t>
        </is>
      </c>
      <c r="B110" s="33" t="inlineStr">
        <is>
          <t>PRICE_ACCEPTED</t>
        </is>
      </c>
      <c r="C110" s="33" t="inlineStr">
        <is>
          <t>Сливки Село Зеленое 33%</t>
        </is>
      </c>
      <c r="D110" s="33" t="inlineStr">
        <is>
          <t>https://lenta.com/product/slivki-upast-dlya-vzbivaniya-33-bez-zmzh-rossiya-500g-440469/</t>
        </is>
      </c>
      <c r="E110" s="33" t="inlineStr">
        <is>
          <t>Лента</t>
        </is>
      </c>
      <c r="F110" s="33" t="inlineStr">
        <is>
          <t>2026-08-03</t>
        </is>
      </c>
      <c r="G110" s="33" t="inlineStr">
        <is>
          <t>VERIFIED_DIRECT_CARD</t>
        </is>
      </c>
      <c r="H110" s="33" t="inlineStr">
        <is>
          <t>ESTIMATE_PUBLIC_RETAIL_BENCHMARK</t>
        </is>
      </c>
      <c r="I110" s="33" t="inlineStr">
        <is>
          <t>Не является КП; доступность, региональная цена и условия поставки требуют проверки</t>
        </is>
      </c>
      <c r="J110" s="33" t="inlineStr">
        <is>
          <t>Owner / Procurement</t>
        </is>
      </c>
      <c r="K110" s="33" t="inlineStr">
        <is>
          <t>ING-077</t>
        </is>
      </c>
      <c r="L110" s="33" t="inlineStr">
        <is>
          <t>Сливки</t>
        </is>
      </c>
      <c r="M110" s="33" t="n"/>
    </row>
    <row r="111">
      <c r="A111" s="33" t="inlineStr">
        <is>
          <t>PSR-0054</t>
        </is>
      </c>
      <c r="B111" s="33" t="inlineStr">
        <is>
          <t>PRICE_ACCEPTED</t>
        </is>
      </c>
      <c r="C111" s="33" t="inlineStr">
        <is>
          <t>Мякоть говяжья</t>
        </is>
      </c>
      <c r="D111" s="33" t="inlineStr">
        <is>
          <t>https://lenta.com/product/govyadina-myakot-ohlazhdennaya-ves-rossiya-471055/</t>
        </is>
      </c>
      <c r="E111" s="33" t="inlineStr">
        <is>
          <t>Лента</t>
        </is>
      </c>
      <c r="F111" s="33" t="inlineStr">
        <is>
          <t>2026-08-03</t>
        </is>
      </c>
      <c r="G111" s="33" t="inlineStr">
        <is>
          <t>VERIFIED_DIRECT_CARD</t>
        </is>
      </c>
      <c r="H111" s="33" t="inlineStr">
        <is>
          <t>ESTIMATE_PUBLIC_RETAIL_BENCHMARK</t>
        </is>
      </c>
      <c r="I111" s="33" t="inlineStr">
        <is>
          <t>Не является КП; доступность, региональная цена и условия поставки требуют проверки</t>
        </is>
      </c>
      <c r="J111" s="33" t="inlineStr">
        <is>
          <t>Owner / Procurement</t>
        </is>
      </c>
      <c r="K111" s="33" t="inlineStr">
        <is>
          <t>ING-088</t>
        </is>
      </c>
      <c r="L111" s="33" t="inlineStr">
        <is>
          <t>Говядина для котлеты</t>
        </is>
      </c>
      <c r="M111" s="33" t="n"/>
    </row>
    <row r="112">
      <c r="A112" s="33" t="inlineStr">
        <is>
          <t>PSR-0055</t>
        </is>
      </c>
      <c r="B112" s="33" t="inlineStr">
        <is>
          <t>PRICE_ACCEPTED</t>
        </is>
      </c>
      <c r="C112" s="33" t="inlineStr">
        <is>
          <t>Вырезка говяжья</t>
        </is>
      </c>
      <c r="D112" s="33" t="inlineStr">
        <is>
          <t>https://www.auchan.ru/product/vyrezka-govyazhya-1kg/</t>
        </is>
      </c>
      <c r="E112" s="33" t="inlineStr">
        <is>
          <t>Ашан</t>
        </is>
      </c>
      <c r="F112" s="33" t="inlineStr">
        <is>
          <t>2026-08-03</t>
        </is>
      </c>
      <c r="G112" s="33" t="inlineStr">
        <is>
          <t>VERIFIED_DIRECT_CARD</t>
        </is>
      </c>
      <c r="H112" s="33" t="inlineStr">
        <is>
          <t>ESTIMATE_PUBLIC_RETAIL_BENCHMARK</t>
        </is>
      </c>
      <c r="I112" s="33" t="inlineStr">
        <is>
          <t>Не является КП; доступность, региональная цена и условия поставки требуют проверки</t>
        </is>
      </c>
      <c r="J112" s="33" t="inlineStr">
        <is>
          <t>Owner / Procurement</t>
        </is>
      </c>
      <c r="K112" s="33" t="inlineStr">
        <is>
          <t>ING-097</t>
        </is>
      </c>
      <c r="L112" s="33" t="inlineStr">
        <is>
          <t>Говяжья вырезка</t>
        </is>
      </c>
      <c r="M112" s="33" t="n"/>
    </row>
    <row r="113">
      <c r="A113" s="33" t="inlineStr">
        <is>
          <t>PSR-0056</t>
        </is>
      </c>
      <c r="B113" s="33" t="inlineStr">
        <is>
          <t>PRICE_ACCEPTED</t>
        </is>
      </c>
      <c r="C113" s="33" t="inlineStr">
        <is>
          <t>Вырезка говяжья Tenderloin</t>
        </is>
      </c>
      <c r="D113" s="33" t="inlineStr">
        <is>
          <t>https://www.auchan.ru/product/vyrezka_zachischennaya_mramor/</t>
        </is>
      </c>
      <c r="E113" s="33" t="inlineStr">
        <is>
          <t>Ашан</t>
        </is>
      </c>
      <c r="F113" s="33" t="inlineStr">
        <is>
          <t>2026-08-03</t>
        </is>
      </c>
      <c r="G113" s="33" t="inlineStr">
        <is>
          <t>VERIFIED_DIRECT_CARD</t>
        </is>
      </c>
      <c r="H113" s="33" t="inlineStr">
        <is>
          <t>ESTIMATE_PUBLIC_RETAIL_BENCHMARK</t>
        </is>
      </c>
      <c r="I113" s="33" t="inlineStr">
        <is>
          <t>Не является КП; доступность, региональная цена и условия поставки требуют проверки</t>
        </is>
      </c>
      <c r="J113" s="33" t="inlineStr">
        <is>
          <t>Owner / Procurement</t>
        </is>
      </c>
      <c r="K113" s="33" t="inlineStr">
        <is>
          <t>ING-097</t>
        </is>
      </c>
      <c r="L113" s="33" t="inlineStr">
        <is>
          <t>Говяжья вырезка</t>
        </is>
      </c>
      <c r="M113" s="33" t="n"/>
    </row>
    <row r="114">
      <c r="A114" s="33" t="inlineStr">
        <is>
          <t>PSR-0057</t>
        </is>
      </c>
      <c r="B114" s="33" t="inlineStr">
        <is>
          <t>PRICE_ACCEPTED</t>
        </is>
      </c>
      <c r="C114" s="33" t="inlineStr">
        <is>
          <t>Вырезка говяжья Родные места</t>
        </is>
      </c>
      <c r="D114" s="33" t="inlineStr">
        <is>
          <t>https://lenta.com/product/vyrezka-govyazhya-ves-rossiya-494615/</t>
        </is>
      </c>
      <c r="E114" s="33" t="inlineStr">
        <is>
          <t>Лента</t>
        </is>
      </c>
      <c r="F114" s="33" t="inlineStr">
        <is>
          <t>2026-08-03</t>
        </is>
      </c>
      <c r="G114" s="33" t="inlineStr">
        <is>
          <t>VERIFIED_DIRECT_CARD</t>
        </is>
      </c>
      <c r="H114" s="33" t="inlineStr">
        <is>
          <t>ESTIMATE_PUBLIC_RETAIL_BENCHMARK</t>
        </is>
      </c>
      <c r="I114" s="33" t="inlineStr">
        <is>
          <t>Не является КП; доступность, региональная цена и условия поставки требуют проверки</t>
        </is>
      </c>
      <c r="J114" s="33" t="inlineStr">
        <is>
          <t>Owner / Procurement</t>
        </is>
      </c>
      <c r="K114" s="33" t="inlineStr">
        <is>
          <t>ING-097</t>
        </is>
      </c>
      <c r="L114" s="33" t="inlineStr">
        <is>
          <t>Говяжья вырезка</t>
        </is>
      </c>
      <c r="M114" s="33" t="n"/>
    </row>
    <row r="115">
      <c r="A115" s="33" t="inlineStr">
        <is>
          <t>PSR-0058</t>
        </is>
      </c>
      <c r="B115" s="33" t="inlineStr">
        <is>
          <t>PRICE_ACCEPTED</t>
        </is>
      </c>
      <c r="C115" s="33" t="inlineStr">
        <is>
          <t>Вырезка говяжья фермерская</t>
        </is>
      </c>
      <c r="D115" s="33" t="inlineStr">
        <is>
          <t>https://lenta.com/product/govyadina--fermerskaya-vyrezka-polufabrikat-ohlazhdennyjj-ves-rossiya-655814/</t>
        </is>
      </c>
      <c r="E115" s="33" t="inlineStr">
        <is>
          <t>Лента</t>
        </is>
      </c>
      <c r="F115" s="33" t="inlineStr">
        <is>
          <t>2026-08-03</t>
        </is>
      </c>
      <c r="G115" s="33" t="inlineStr">
        <is>
          <t>VERIFIED_DIRECT_CARD</t>
        </is>
      </c>
      <c r="H115" s="33" t="inlineStr">
        <is>
          <t>ESTIMATE_PUBLIC_RETAIL_BENCHMARK</t>
        </is>
      </c>
      <c r="I115" s="33" t="inlineStr">
        <is>
          <t>Не является КП; доступность, региональная цена и условия поставки требуют проверки</t>
        </is>
      </c>
      <c r="J115" s="33" t="inlineStr">
        <is>
          <t>Owner / Procurement</t>
        </is>
      </c>
      <c r="K115" s="33" t="inlineStr">
        <is>
          <t>ING-097</t>
        </is>
      </c>
      <c r="L115" s="33" t="inlineStr">
        <is>
          <t>Говяжья вырезка</t>
        </is>
      </c>
      <c r="M115" s="33" t="n"/>
    </row>
    <row r="116">
      <c r="A116" s="33" t="inlineStr">
        <is>
          <t>PSR-0061</t>
        </is>
      </c>
      <c r="B116" s="33" t="inlineStr">
        <is>
          <t>PRICE_ACCEPTED</t>
        </is>
      </c>
      <c r="C116" s="33" t="inlineStr">
        <is>
          <t>Черника Свой урожай</t>
        </is>
      </c>
      <c r="D116" s="33" t="inlineStr">
        <is>
          <t>https://lenta.com/product/chernika-rossiya-300g-402638/</t>
        </is>
      </c>
      <c r="E116" s="33" t="inlineStr">
        <is>
          <t>Лента</t>
        </is>
      </c>
      <c r="F116" s="33" t="inlineStr">
        <is>
          <t>2026-08-03</t>
        </is>
      </c>
      <c r="G116" s="33" t="inlineStr">
        <is>
          <t>VERIFIED_DIRECT_CARD</t>
        </is>
      </c>
      <c r="H116" s="33" t="inlineStr">
        <is>
          <t>ESTIMATE_PUBLIC_RETAIL_BENCHMARK</t>
        </is>
      </c>
      <c r="I116" s="33" t="inlineStr">
        <is>
          <t>Не является КП; доступность, региональная цена и условия поставки требуют проверки</t>
        </is>
      </c>
      <c r="J116" s="33" t="inlineStr">
        <is>
          <t>Owner / Procurement</t>
        </is>
      </c>
      <c r="K116" s="33" t="inlineStr">
        <is>
          <t>ING-107</t>
        </is>
      </c>
      <c r="L116" s="33" t="inlineStr">
        <is>
          <t>Черника</t>
        </is>
      </c>
      <c r="M116" s="33" t="n"/>
    </row>
    <row r="117">
      <c r="A117" s="33" t="inlineStr">
        <is>
          <t>PSR-0062</t>
        </is>
      </c>
      <c r="B117" s="33" t="inlineStr">
        <is>
          <t>PRICE_ACCEPTED</t>
        </is>
      </c>
      <c r="C117" s="33" t="inlineStr">
        <is>
          <t>Черника И зимой и летом</t>
        </is>
      </c>
      <c r="D117" s="33" t="inlineStr">
        <is>
          <t>https://lenta.com/product/chernika-rossiya-300g-698086/</t>
        </is>
      </c>
      <c r="E117" s="33" t="inlineStr">
        <is>
          <t>Лента</t>
        </is>
      </c>
      <c r="F117" s="33" t="inlineStr">
        <is>
          <t>2026-08-03</t>
        </is>
      </c>
      <c r="G117" s="33" t="inlineStr">
        <is>
          <t>VERIFIED_DIRECT_CARD</t>
        </is>
      </c>
      <c r="H117" s="33" t="inlineStr">
        <is>
          <t>ESTIMATE_PUBLIC_RETAIL_BENCHMARK</t>
        </is>
      </c>
      <c r="I117" s="33" t="inlineStr">
        <is>
          <t>Не является КП; доступность, региональная цена и условия поставки требуют проверки</t>
        </is>
      </c>
      <c r="J117" s="33" t="inlineStr">
        <is>
          <t>Owner / Procurement</t>
        </is>
      </c>
      <c r="K117" s="33" t="inlineStr">
        <is>
          <t>ING-107</t>
        </is>
      </c>
      <c r="L117" s="33" t="inlineStr">
        <is>
          <t>Черника</t>
        </is>
      </c>
      <c r="M117" s="33" t="n"/>
    </row>
    <row r="118">
      <c r="A118" s="33" t="inlineStr">
        <is>
          <t>PSR-0063</t>
        </is>
      </c>
      <c r="B118" s="33" t="inlineStr">
        <is>
          <t>PRICE_ACCEPTED</t>
        </is>
      </c>
      <c r="C118" s="33" t="inlineStr">
        <is>
          <t>Черника МариАйс</t>
        </is>
      </c>
      <c r="D118" s="33" t="inlineStr">
        <is>
          <t>https://lenta.com/product/chernika-bzam-pu-rossiya-300g-629698/</t>
        </is>
      </c>
      <c r="E118" s="33" t="inlineStr">
        <is>
          <t>Лента</t>
        </is>
      </c>
      <c r="F118" s="33" t="inlineStr">
        <is>
          <t>2026-08-03</t>
        </is>
      </c>
      <c r="G118" s="33" t="inlineStr">
        <is>
          <t>VERIFIED_DIRECT_CARD</t>
        </is>
      </c>
      <c r="H118" s="33" t="inlineStr">
        <is>
          <t>ESTIMATE_PUBLIC_RETAIL_BENCHMARK</t>
        </is>
      </c>
      <c r="I118" s="33" t="inlineStr">
        <is>
          <t>Не является КП; доступность, региональная цена и условия поставки требуют проверки</t>
        </is>
      </c>
      <c r="J118" s="33" t="inlineStr">
        <is>
          <t>Owner / Procurement</t>
        </is>
      </c>
      <c r="K118" s="33" t="inlineStr">
        <is>
          <t>ING-107</t>
        </is>
      </c>
      <c r="L118" s="33" t="inlineStr">
        <is>
          <t>Черника</t>
        </is>
      </c>
      <c r="M118" s="33" t="n"/>
    </row>
    <row r="119">
      <c r="A119" s="33" t="inlineStr">
        <is>
          <t>PSR-0064</t>
        </is>
      </c>
      <c r="B119" s="33" t="inlineStr">
        <is>
          <t>PRICE_ACCEPTED</t>
        </is>
      </c>
      <c r="C119" s="33" t="inlineStr">
        <is>
          <t>Кремчиз Bonfesto</t>
        </is>
      </c>
      <c r="D119" s="33" t="inlineStr">
        <is>
          <t>https://lenta.com/product/syr-tvorozhnyjj-kremchiz-slivochnyjj-70-bez-zmzh-belarus-400g-665842/</t>
        </is>
      </c>
      <c r="E119" s="33" t="inlineStr">
        <is>
          <t>Лента</t>
        </is>
      </c>
      <c r="F119" s="33" t="inlineStr">
        <is>
          <t>2026-08-03</t>
        </is>
      </c>
      <c r="G119" s="33" t="inlineStr">
        <is>
          <t>VERIFIED_DIRECT_CARD</t>
        </is>
      </c>
      <c r="H119" s="33" t="inlineStr">
        <is>
          <t>ESTIMATE_PUBLIC_RETAIL_BENCHMARK</t>
        </is>
      </c>
      <c r="I119" s="33" t="inlineStr">
        <is>
          <t>Не является КП; доступность, региональная цена и условия поставки требуют проверки</t>
        </is>
      </c>
      <c r="J119" s="33" t="inlineStr">
        <is>
          <t>Owner / Procurement</t>
        </is>
      </c>
      <c r="K119" s="33" t="inlineStr">
        <is>
          <t>ING-108</t>
        </is>
      </c>
      <c r="L119" s="33" t="inlineStr">
        <is>
          <t>Сыр сливочный</t>
        </is>
      </c>
      <c r="M119" s="33" t="n"/>
    </row>
    <row r="120">
      <c r="A120" s="33" t="inlineStr">
        <is>
          <t>PSR-0069</t>
        </is>
      </c>
      <c r="B120" s="33" t="inlineStr">
        <is>
          <t>PRICE_ACCEPTED</t>
        </is>
      </c>
      <c r="C120" s="33" t="inlineStr">
        <is>
          <t>Томаты протертые POMI</t>
        </is>
      </c>
      <c r="D120" s="33" t="inlineStr">
        <is>
          <t>https://lenta.com/product/pomidory-protjrtye-italiya-500g-608376/</t>
        </is>
      </c>
      <c r="E120" s="33" t="inlineStr">
        <is>
          <t>Лента</t>
        </is>
      </c>
      <c r="F120" s="33" t="inlineStr">
        <is>
          <t>2026-08-03</t>
        </is>
      </c>
      <c r="G120" s="33" t="inlineStr">
        <is>
          <t>VERIFIED_DIRECT_CARD</t>
        </is>
      </c>
      <c r="H120" s="33" t="inlineStr">
        <is>
          <t>ESTIMATE_PUBLIC_RETAIL_BENCHMARK</t>
        </is>
      </c>
      <c r="I120" s="33" t="inlineStr">
        <is>
          <t>Не является КП; доступность, региональная цена и условия поставки требуют проверки</t>
        </is>
      </c>
      <c r="J120" s="33" t="inlineStr">
        <is>
          <t>Owner / Procurement</t>
        </is>
      </c>
      <c r="K120" s="33" t="inlineStr">
        <is>
          <t>ING-006</t>
        </is>
      </c>
      <c r="L120" s="33" t="inlineStr">
        <is>
          <t>Томаты протёртые</t>
        </is>
      </c>
      <c r="M120" s="33" t="n"/>
    </row>
    <row r="121">
      <c r="A121" s="33" t="inlineStr">
        <is>
          <t>PSR-0070</t>
        </is>
      </c>
      <c r="B121" s="33" t="inlineStr">
        <is>
          <t>PRICE_ACCEPTED</t>
        </is>
      </c>
      <c r="C121" s="33" t="inlineStr">
        <is>
          <t>Мука ржаная MAKFA хлебопекарная обдирная</t>
        </is>
      </c>
      <c r="D121" s="33" t="inlineStr">
        <is>
          <t>https://lenta.com/product/muka-rzhanaya-rossiya-1kg-525888/</t>
        </is>
      </c>
      <c r="E121" s="33" t="inlineStr">
        <is>
          <t>Лента</t>
        </is>
      </c>
      <c r="F121" s="33" t="inlineStr">
        <is>
          <t>2026-08-03</t>
        </is>
      </c>
      <c r="G121" s="33" t="inlineStr">
        <is>
          <t>VERIFIED_DIRECT_CARD</t>
        </is>
      </c>
      <c r="H121" s="33" t="inlineStr">
        <is>
          <t>ESTIMATE_PUBLIC_RETAIL_BENCHMARK</t>
        </is>
      </c>
      <c r="I121" s="33" t="inlineStr">
        <is>
          <t>Не является КП; доступность, региональная цена и условия поставки требуют проверки</t>
        </is>
      </c>
      <c r="J121" s="33" t="inlineStr">
        <is>
          <t>Owner / Procurement</t>
        </is>
      </c>
      <c r="K121" s="33" t="inlineStr">
        <is>
          <t>ING-020</t>
        </is>
      </c>
      <c r="L121" s="33" t="inlineStr">
        <is>
          <t>Мука ржаная</t>
        </is>
      </c>
      <c r="M121" s="33" t="n"/>
    </row>
    <row r="122">
      <c r="A122" s="33" t="inlineStr">
        <is>
          <t>PSR-0071</t>
        </is>
      </c>
      <c r="B122" s="33" t="inlineStr">
        <is>
          <t>PRICE_ACCEPTED</t>
        </is>
      </c>
      <c r="C122" s="33" t="inlineStr">
        <is>
          <t>Лук репчатый весовой</t>
        </is>
      </c>
      <c r="D122" s="33" t="inlineStr">
        <is>
          <t>https://lenta.com/product/luk-repchatyjj-ves-1kg-303640/</t>
        </is>
      </c>
      <c r="E122" s="33" t="inlineStr">
        <is>
          <t>Лента</t>
        </is>
      </c>
      <c r="F122" s="33" t="inlineStr">
        <is>
          <t>2026-08-03</t>
        </is>
      </c>
      <c r="G122" s="33" t="inlineStr">
        <is>
          <t>VERIFIED_DIRECT_CARD</t>
        </is>
      </c>
      <c r="H122" s="33" t="inlineStr">
        <is>
          <t>ESTIMATE_PUBLIC_RETAIL_BENCHMARK</t>
        </is>
      </c>
      <c r="I122" s="33" t="inlineStr">
        <is>
          <t>Не является КП; доступность, региональная цена и условия поставки требуют проверки</t>
        </is>
      </c>
      <c r="J122" s="33" t="inlineStr">
        <is>
          <t>Owner / Procurement</t>
        </is>
      </c>
      <c r="K122" s="33" t="inlineStr">
        <is>
          <t>ING-016</t>
        </is>
      </c>
      <c r="L122" s="33" t="inlineStr">
        <is>
          <t>Лук репчатый</t>
        </is>
      </c>
      <c r="M122" s="33" t="n"/>
    </row>
    <row r="123">
      <c r="A123" s="33" t="inlineStr">
        <is>
          <t>PSR-0072</t>
        </is>
      </c>
      <c r="B123" s="33" t="inlineStr">
        <is>
          <t>PRICE_ACCEPTED</t>
        </is>
      </c>
      <c r="C123" s="33" t="inlineStr">
        <is>
          <t>Огурцы среднеплодные гладкие весовые</t>
        </is>
      </c>
      <c r="D123" s="33" t="inlineStr">
        <is>
          <t>https://lenta.com/product/ogurcy-sredneplodnye-gladkie-ves-162743/</t>
        </is>
      </c>
      <c r="E123" s="33" t="inlineStr">
        <is>
          <t>Лента</t>
        </is>
      </c>
      <c r="F123" s="33" t="inlineStr">
        <is>
          <t>2026-08-03</t>
        </is>
      </c>
      <c r="G123" s="33" t="inlineStr">
        <is>
          <t>VERIFIED_DIRECT_CARD</t>
        </is>
      </c>
      <c r="H123" s="33" t="inlineStr">
        <is>
          <t>ESTIMATE_PUBLIC_RETAIL_BENCHMARK</t>
        </is>
      </c>
      <c r="I123" s="33" t="inlineStr">
        <is>
          <t>Не является КП; доступность, региональная цена и условия поставки требуют проверки</t>
        </is>
      </c>
      <c r="J123" s="33" t="inlineStr">
        <is>
          <t>Owner / Procurement</t>
        </is>
      </c>
      <c r="K123" s="33" t="inlineStr">
        <is>
          <t>ING-038</t>
        </is>
      </c>
      <c r="L123" s="33" t="inlineStr">
        <is>
          <t>Огурец свежий</t>
        </is>
      </c>
      <c r="M123" s="33" t="n"/>
    </row>
    <row r="124">
      <c r="A124" s="33" t="inlineStr">
        <is>
          <t>PSR-0073</t>
        </is>
      </c>
      <c r="B124" s="33" t="inlineStr">
        <is>
          <t>PRICE_ACCEPTED</t>
        </is>
      </c>
      <c r="C124" s="33" t="inlineStr">
        <is>
          <t>Перец красный весовой</t>
        </is>
      </c>
      <c r="D124" s="33" t="inlineStr">
        <is>
          <t>https://lenta.com/product/perec-krasnyjj-ves-41203/</t>
        </is>
      </c>
      <c r="E124" s="33" t="inlineStr">
        <is>
          <t>Лента</t>
        </is>
      </c>
      <c r="F124" s="33" t="inlineStr">
        <is>
          <t>2026-08-03</t>
        </is>
      </c>
      <c r="G124" s="33" t="inlineStr">
        <is>
          <t>VERIFIED_DIRECT_CARD</t>
        </is>
      </c>
      <c r="H124" s="33" t="inlineStr">
        <is>
          <t>ESTIMATE_PUBLIC_RETAIL_BENCHMARK</t>
        </is>
      </c>
      <c r="I124" s="33" t="inlineStr">
        <is>
          <t>Не является КП; доступность, региональная цена и условия поставки требуют проверки</t>
        </is>
      </c>
      <c r="J124" s="33" t="inlineStr">
        <is>
          <t>Owner / Procurement</t>
        </is>
      </c>
      <c r="K124" s="33" t="inlineStr">
        <is>
          <t>ING-043</t>
        </is>
      </c>
      <c r="L124" s="33" t="inlineStr">
        <is>
          <t>Перец сладкий</t>
        </is>
      </c>
      <c r="M124" s="33" t="n"/>
    </row>
    <row r="125">
      <c r="A125" s="33" t="inlineStr">
        <is>
          <t>PSR-0074</t>
        </is>
      </c>
      <c r="B125" s="33" t="inlineStr">
        <is>
          <t>PRICE_ACCEPTED</t>
        </is>
      </c>
      <c r="C125" s="33" t="inlineStr">
        <is>
          <t>Шампиньоны ЛЕНТА FRESH</t>
        </is>
      </c>
      <c r="D125" s="33" t="inlineStr">
        <is>
          <t>https://lenta.com/product/griby-shampinony-250g-558639/</t>
        </is>
      </c>
      <c r="E125" s="33" t="inlineStr">
        <is>
          <t>Лента</t>
        </is>
      </c>
      <c r="F125" s="33" t="inlineStr">
        <is>
          <t>2026-08-03</t>
        </is>
      </c>
      <c r="G125" s="33" t="inlineStr">
        <is>
          <t>VERIFIED_DIRECT_CARD</t>
        </is>
      </c>
      <c r="H125" s="33" t="inlineStr">
        <is>
          <t>ESTIMATE_PUBLIC_RETAIL_BENCHMARK</t>
        </is>
      </c>
      <c r="I125" s="33" t="inlineStr">
        <is>
          <t>Не является КП; доступность, региональная цена и условия поставки требуют проверки</t>
        </is>
      </c>
      <c r="J125" s="33" t="inlineStr">
        <is>
          <t>Owner / Procurement</t>
        </is>
      </c>
      <c r="K125" s="33" t="inlineStr">
        <is>
          <t>ING-015</t>
        </is>
      </c>
      <c r="L125" s="33" t="inlineStr">
        <is>
          <t>Шампиньоны</t>
        </is>
      </c>
      <c r="M125" s="33" t="n"/>
    </row>
    <row r="126">
      <c r="A126" s="33" t="inlineStr">
        <is>
          <t>PSR-0075</t>
        </is>
      </c>
      <c r="B126" s="33" t="inlineStr">
        <is>
          <t>PRICE_ACCEPTED</t>
        </is>
      </c>
      <c r="C126" s="33" t="inlineStr">
        <is>
          <t>Колбаса сырокопченая РЕМИТ Пепперони нарезка</t>
        </is>
      </c>
      <c r="D126" s="33" t="inlineStr">
        <is>
          <t>https://lenta.com/product/kolbasa-pepperoni-sk-vu-nar-rossiya-90g-696658/</t>
        </is>
      </c>
      <c r="E126" s="33" t="inlineStr">
        <is>
          <t>Лента</t>
        </is>
      </c>
      <c r="F126" s="33" t="inlineStr">
        <is>
          <t>2026-08-03</t>
        </is>
      </c>
      <c r="G126" s="33" t="inlineStr">
        <is>
          <t>VERIFIED_DIRECT_CARD</t>
        </is>
      </c>
      <c r="H126" s="33" t="inlineStr">
        <is>
          <t>ESTIMATE_PUBLIC_RETAIL_BENCHMARK</t>
        </is>
      </c>
      <c r="I126" s="33" t="inlineStr">
        <is>
          <t>Не является КП; доступность, региональная цена и условия поставки требуют проверки</t>
        </is>
      </c>
      <c r="J126" s="33" t="inlineStr">
        <is>
          <t>Owner / Procurement</t>
        </is>
      </c>
      <c r="K126" s="33" t="inlineStr">
        <is>
          <t>ING-017</t>
        </is>
      </c>
      <c r="L126" s="33" t="inlineStr">
        <is>
          <t>Пепперони</t>
        </is>
      </c>
      <c r="M126" s="33" t="n"/>
    </row>
    <row r="127">
      <c r="A127" s="33" t="inlineStr">
        <is>
          <t>PSR-0076</t>
        </is>
      </c>
      <c r="B127" s="33" t="inlineStr">
        <is>
          <t>PRICE_ACCEPTED</t>
        </is>
      </c>
      <c r="C127" s="33" t="inlineStr">
        <is>
          <t>Сельдь ЛЕНТА филе в масле</t>
        </is>
      </c>
      <c r="D127" s="33" t="inlineStr">
        <is>
          <t>https://lenta.com/product/seld-file-v-masle-rossiya-250g-440268/</t>
        </is>
      </c>
      <c r="E127" s="33" t="inlineStr">
        <is>
          <t>Лента</t>
        </is>
      </c>
      <c r="F127" s="33" t="inlineStr">
        <is>
          <t>2026-08-03</t>
        </is>
      </c>
      <c r="G127" s="33" t="inlineStr">
        <is>
          <t>VERIFIED_DIRECT_CARD</t>
        </is>
      </c>
      <c r="H127" s="33" t="inlineStr">
        <is>
          <t>ESTIMATE_PUBLIC_RETAIL_BENCHMARK</t>
        </is>
      </c>
      <c r="I127" s="33" t="inlineStr">
        <is>
          <t>Не является КП; доступность, региональная цена и условия поставки требуют проверки</t>
        </is>
      </c>
      <c r="J127" s="33" t="inlineStr">
        <is>
          <t>Owner / Procurement</t>
        </is>
      </c>
      <c r="K127" s="33" t="inlineStr">
        <is>
          <t>ING-057</t>
        </is>
      </c>
      <c r="L127" s="33" t="inlineStr">
        <is>
          <t>Сельдь, филе</t>
        </is>
      </c>
      <c r="M127" s="33" t="n"/>
    </row>
    <row r="128">
      <c r="A128" s="33" t="inlineStr">
        <is>
          <t>PSR-0077</t>
        </is>
      </c>
      <c r="B128" s="33" t="inlineStr">
        <is>
          <t>PRICE_ACCEPTED</t>
        </is>
      </c>
      <c r="C128" s="33" t="inlineStr">
        <is>
          <t>Лук красный весовой</t>
        </is>
      </c>
      <c r="D128" s="33" t="inlineStr">
        <is>
          <t>https://lenta.com/product/luk-krasnyjj-ves-52603/</t>
        </is>
      </c>
      <c r="E128" s="33" t="inlineStr">
        <is>
          <t>Лента</t>
        </is>
      </c>
      <c r="F128" s="33" t="inlineStr">
        <is>
          <t>2026-08-03</t>
        </is>
      </c>
      <c r="G128" s="33" t="inlineStr">
        <is>
          <t>VERIFIED_DIRECT_CARD</t>
        </is>
      </c>
      <c r="H128" s="33" t="inlineStr">
        <is>
          <t>ESTIMATE_PUBLIC_RETAIL_BENCHMARK</t>
        </is>
      </c>
      <c r="I128" s="33" t="inlineStr">
        <is>
          <t>Не является КП; доступность, региональная цена и условия поставки требуют проверки</t>
        </is>
      </c>
      <c r="J128" s="33" t="inlineStr">
        <is>
          <t>Owner / Procurement</t>
        </is>
      </c>
      <c r="K128" s="33" t="inlineStr">
        <is>
          <t>ING-046</t>
        </is>
      </c>
      <c r="L128" s="33" t="inlineStr">
        <is>
          <t>Лук красный</t>
        </is>
      </c>
      <c r="M128" s="33" t="n"/>
    </row>
    <row r="129">
      <c r="A129" s="33" t="inlineStr">
        <is>
          <t>PSR-0078</t>
        </is>
      </c>
      <c r="B129" s="33" t="inlineStr">
        <is>
          <t>PRICE_ACCEPTED</t>
        </is>
      </c>
      <c r="C129" s="33" t="inlineStr">
        <is>
          <t>Капуста белокочанная весовая</t>
        </is>
      </c>
      <c r="D129" s="33" t="inlineStr">
        <is>
          <t>https://lenta.com/product/kapusta-belokochannaya-ves-11189/</t>
        </is>
      </c>
      <c r="E129" s="33" t="inlineStr">
        <is>
          <t>Лента</t>
        </is>
      </c>
      <c r="F129" s="33" t="inlineStr">
        <is>
          <t>2026-08-03</t>
        </is>
      </c>
      <c r="G129" s="33" t="inlineStr">
        <is>
          <t>VERIFIED_DIRECT_CARD</t>
        </is>
      </c>
      <c r="H129" s="33" t="inlineStr">
        <is>
          <t>ESTIMATE_PUBLIC_RETAIL_BENCHMARK</t>
        </is>
      </c>
      <c r="I129" s="33" t="inlineStr">
        <is>
          <t>Не является КП; доступность, региональная цена и условия поставки требуют проверки</t>
        </is>
      </c>
      <c r="J129" s="33" t="inlineStr">
        <is>
          <t>Owner / Procurement</t>
        </is>
      </c>
      <c r="K129" s="33" t="inlineStr">
        <is>
          <t>ING-064</t>
        </is>
      </c>
      <c r="L129" s="33" t="inlineStr">
        <is>
          <t>Капуста белокочанная</t>
        </is>
      </c>
      <c r="M129" s="33" t="n"/>
    </row>
    <row r="130">
      <c r="A130" s="33" t="inlineStr">
        <is>
          <t>PSR-0079</t>
        </is>
      </c>
      <c r="B130" s="33" t="inlineStr">
        <is>
          <t>PRICE_ACCEPTED</t>
        </is>
      </c>
      <c r="C130" s="33" t="inlineStr">
        <is>
          <t>Свекла весовая</t>
        </is>
      </c>
      <c r="D130" s="33" t="inlineStr">
        <is>
          <t>https://lenta.com/product/svekla-ves-1kg-300884/</t>
        </is>
      </c>
      <c r="E130" s="33" t="inlineStr">
        <is>
          <t>Лента</t>
        </is>
      </c>
      <c r="F130" s="33" t="inlineStr">
        <is>
          <t>2026-08-03</t>
        </is>
      </c>
      <c r="G130" s="33" t="inlineStr">
        <is>
          <t>VERIFIED_DIRECT_CARD</t>
        </is>
      </c>
      <c r="H130" s="33" t="inlineStr">
        <is>
          <t>ESTIMATE_PUBLIC_RETAIL_BENCHMARK</t>
        </is>
      </c>
      <c r="I130" s="33" t="inlineStr">
        <is>
          <t>Не является КП; доступность, региональная цена и условия поставки требуют проверки</t>
        </is>
      </c>
      <c r="J130" s="33" t="inlineStr">
        <is>
          <t>Owner / Procurement</t>
        </is>
      </c>
      <c r="K130" s="33" t="inlineStr">
        <is>
          <t>ING-071</t>
        </is>
      </c>
      <c r="L130" s="33" t="inlineStr">
        <is>
          <t>Свёкла</t>
        </is>
      </c>
      <c r="M130" s="33" t="n"/>
    </row>
    <row r="131">
      <c r="A131" s="33" t="inlineStr">
        <is>
          <t>PSR-0080</t>
        </is>
      </c>
      <c r="B131" s="33" t="inlineStr">
        <is>
          <t>PRICE_ACCEPTED</t>
        </is>
      </c>
      <c r="C131" s="33" t="inlineStr">
        <is>
          <t>Морковь весовая</t>
        </is>
      </c>
      <c r="D131" s="33" t="inlineStr">
        <is>
          <t>https://lenta.com/product/morkov-ves-1kg-303639/</t>
        </is>
      </c>
      <c r="E131" s="33" t="inlineStr">
        <is>
          <t>Лента</t>
        </is>
      </c>
      <c r="F131" s="33" t="inlineStr">
        <is>
          <t>2026-08-03</t>
        </is>
      </c>
      <c r="G131" s="33" t="inlineStr">
        <is>
          <t>VERIFIED_DIRECT_CARD</t>
        </is>
      </c>
      <c r="H131" s="33" t="inlineStr">
        <is>
          <t>ESTIMATE_PUBLIC_RETAIL_BENCHMARK</t>
        </is>
      </c>
      <c r="I131" s="33" t="inlineStr">
        <is>
          <t>Не является КП; доступность, региональная цена и условия поставки требуют проверки</t>
        </is>
      </c>
      <c r="J131" s="33" t="inlineStr">
        <is>
          <t>Owner / Procurement</t>
        </is>
      </c>
      <c r="K131" s="33" t="inlineStr">
        <is>
          <t>ING-074</t>
        </is>
      </c>
      <c r="L131" s="33" t="inlineStr">
        <is>
          <t>Морковь</t>
        </is>
      </c>
      <c r="M131" s="33" t="n"/>
    </row>
    <row r="132">
      <c r="A132" s="33" t="inlineStr">
        <is>
          <t>PSR-0081</t>
        </is>
      </c>
      <c r="B132" s="33" t="inlineStr">
        <is>
          <t>PRICE_ACCEPTED</t>
        </is>
      </c>
      <c r="C132" s="33" t="inlineStr">
        <is>
          <t>Лимоны весовые</t>
        </is>
      </c>
      <c r="D132" s="33" t="inlineStr">
        <is>
          <t>https://lenta.com/product/limony-ves-94429/</t>
        </is>
      </c>
      <c r="E132" s="33" t="inlineStr">
        <is>
          <t>Лента</t>
        </is>
      </c>
      <c r="F132" s="33" t="inlineStr">
        <is>
          <t>2026-08-03</t>
        </is>
      </c>
      <c r="G132" s="33" t="inlineStr">
        <is>
          <t>VERIFIED_DIRECT_CARD</t>
        </is>
      </c>
      <c r="H132" s="33" t="inlineStr">
        <is>
          <t>ESTIMATE_PUBLIC_RETAIL_BENCHMARK</t>
        </is>
      </c>
      <c r="I132" s="33" t="inlineStr">
        <is>
          <t>Не является КП; доступность, региональная цена и условия поставки требуют проверки</t>
        </is>
      </c>
      <c r="J132" s="33" t="inlineStr">
        <is>
          <t>Owner / Procurement</t>
        </is>
      </c>
      <c r="K132" s="33" t="inlineStr">
        <is>
          <t>ING-055</t>
        </is>
      </c>
      <c r="L132" s="33" t="inlineStr">
        <is>
          <t>Лимон</t>
        </is>
      </c>
      <c r="M132" s="33" t="n"/>
    </row>
    <row r="133">
      <c r="A133" s="33" t="inlineStr">
        <is>
          <t>PSR-0082</t>
        </is>
      </c>
      <c r="B133" s="33" t="inlineStr">
        <is>
          <t>PRICE_ACCEPTED</t>
        </is>
      </c>
      <c r="C133" s="33" t="inlineStr">
        <is>
          <t>Баклажаны весовые</t>
        </is>
      </c>
      <c r="D133" s="33" t="inlineStr">
        <is>
          <t>https://lenta.com/product/baklazhany-ves-380001/</t>
        </is>
      </c>
      <c r="E133" s="33" t="inlineStr">
        <is>
          <t>Лента</t>
        </is>
      </c>
      <c r="F133" s="33" t="inlineStr">
        <is>
          <t>2026-08-03</t>
        </is>
      </c>
      <c r="G133" s="33" t="inlineStr">
        <is>
          <t>VERIFIED_DIRECT_CARD</t>
        </is>
      </c>
      <c r="H133" s="33" t="inlineStr">
        <is>
          <t>ESTIMATE_PUBLIC_RETAIL_BENCHMARK</t>
        </is>
      </c>
      <c r="I133" s="33" t="inlineStr">
        <is>
          <t>Не является КП; доступность, региональная цена и условия поставки требуют проверки</t>
        </is>
      </c>
      <c r="J133" s="33" t="inlineStr">
        <is>
          <t>Owner / Procurement</t>
        </is>
      </c>
      <c r="K133" s="33" t="inlineStr">
        <is>
          <t>ING-102</t>
        </is>
      </c>
      <c r="L133" s="33" t="inlineStr">
        <is>
          <t>Баклажан</t>
        </is>
      </c>
      <c r="M133" s="33" t="n"/>
    </row>
    <row r="134">
      <c r="A134" s="33" t="inlineStr">
        <is>
          <t>PSR-0083</t>
        </is>
      </c>
      <c r="B134" s="33" t="inlineStr">
        <is>
          <t>PRICE_ACCEPTED</t>
        </is>
      </c>
      <c r="C134" s="33" t="inlineStr">
        <is>
          <t>Капуста брокколи весовая</t>
        </is>
      </c>
      <c r="D134" s="33" t="inlineStr">
        <is>
          <t>https://lenta.com/product/kapusta-brokkoli-ves-55648/</t>
        </is>
      </c>
      <c r="E134" s="33" t="inlineStr">
        <is>
          <t>Лента</t>
        </is>
      </c>
      <c r="F134" s="33" t="inlineStr">
        <is>
          <t>2026-08-03</t>
        </is>
      </c>
      <c r="G134" s="33" t="inlineStr">
        <is>
          <t>VERIFIED_DIRECT_CARD</t>
        </is>
      </c>
      <c r="H134" s="33" t="inlineStr">
        <is>
          <t>ESTIMATE_PUBLIC_RETAIL_BENCHMARK</t>
        </is>
      </c>
      <c r="I134" s="33" t="inlineStr">
        <is>
          <t>Не является КП; доступность, региональная цена и условия поставки требуют проверки</t>
        </is>
      </c>
      <c r="J134" s="33" t="inlineStr">
        <is>
          <t>Owner / Procurement</t>
        </is>
      </c>
      <c r="K134" s="33" t="inlineStr">
        <is>
          <t>ING-103</t>
        </is>
      </c>
      <c r="L134" s="33" t="inlineStr">
        <is>
          <t>Брокколи</t>
        </is>
      </c>
      <c r="M134" s="33" t="n"/>
    </row>
    <row r="135">
      <c r="A135" s="33" t="inlineStr">
        <is>
          <t>PSR-0084</t>
        </is>
      </c>
      <c r="B135" s="33" t="inlineStr">
        <is>
          <t>PRICE_ACCEPTED</t>
        </is>
      </c>
      <c r="C135" s="33" t="inlineStr">
        <is>
          <t>Мука пшеничная ФРАНЦУЗСКАЯ ШТУЧКА сорт экстра</t>
        </is>
      </c>
      <c r="D135" s="33" t="inlineStr">
        <is>
          <t>https://lenta.com/product/muka-ekstra-pshenichnaya-hlebopekarnaya-gost-rossiya-2kg-390152/</t>
        </is>
      </c>
      <c r="E135" s="33" t="inlineStr">
        <is>
          <t>Лента</t>
        </is>
      </c>
      <c r="F135" s="33" t="inlineStr">
        <is>
          <t>2026-08-03</t>
        </is>
      </c>
      <c r="G135" s="33" t="inlineStr">
        <is>
          <t>VERIFIED_DIRECT_CARD</t>
        </is>
      </c>
      <c r="H135" s="33" t="inlineStr">
        <is>
          <t>ESTIMATE_PUBLIC_RETAIL_BENCHMARK</t>
        </is>
      </c>
      <c r="I135" s="33" t="inlineStr">
        <is>
          <t>Не является КП; доступность, региональная цена и условия поставки требуют проверки</t>
        </is>
      </c>
      <c r="J135" s="33" t="inlineStr">
        <is>
          <t>Owner / Procurement</t>
        </is>
      </c>
      <c r="K135" s="33" t="inlineStr">
        <is>
          <t>ING-104</t>
        </is>
      </c>
      <c r="L135" s="33" t="inlineStr">
        <is>
          <t>Мука пшеничная кондитерская</t>
        </is>
      </c>
      <c r="M135" s="33" t="n"/>
    </row>
    <row r="136">
      <c r="A136" s="33" t="inlineStr">
        <is>
          <t>PSR-0085</t>
        </is>
      </c>
      <c r="B136" s="33" t="inlineStr">
        <is>
          <t>PRICE_ACCEPTED</t>
        </is>
      </c>
      <c r="C136" s="33" t="inlineStr">
        <is>
          <t>Разрыхлитель теста DR.BAKERS</t>
        </is>
      </c>
      <c r="D136" s="33" t="inlineStr">
        <is>
          <t>https://lenta.com/product/razryhlitel-testa-rossiya-10g-26531/</t>
        </is>
      </c>
      <c r="E136" s="33" t="inlineStr">
        <is>
          <t>Лента</t>
        </is>
      </c>
      <c r="F136" s="33" t="inlineStr">
        <is>
          <t>2026-08-03</t>
        </is>
      </c>
      <c r="G136" s="33" t="inlineStr">
        <is>
          <t>VERIFIED_DIRECT_CARD</t>
        </is>
      </c>
      <c r="H136" s="33" t="inlineStr">
        <is>
          <t>ESTIMATE_PUBLIC_RETAIL_BENCHMARK</t>
        </is>
      </c>
      <c r="I136" s="33" t="inlineStr">
        <is>
          <t>Не является КП; доступность, региональная цена и условия поставки требуют проверки</t>
        </is>
      </c>
      <c r="J136" s="33" t="inlineStr">
        <is>
          <t>Owner / Procurement</t>
        </is>
      </c>
      <c r="K136" s="33" t="inlineStr">
        <is>
          <t>ING-105</t>
        </is>
      </c>
      <c r="L136" s="33" t="inlineStr">
        <is>
          <t>Разрыхлитель</t>
        </is>
      </c>
      <c r="M136" s="33" t="n"/>
    </row>
    <row r="137">
      <c r="A137" s="33" t="inlineStr">
        <is>
          <t>PSR-0086</t>
        </is>
      </c>
      <c r="B137" s="33" t="inlineStr">
        <is>
          <t>PRICE_ACCEPTED</t>
        </is>
      </c>
      <c r="C137" s="33" t="inlineStr">
        <is>
          <t>Сахарная пудра ЛЕНТА</t>
        </is>
      </c>
      <c r="D137" s="33" t="inlineStr">
        <is>
          <t>https://lenta.com/product/saharnaya-pudra-rossiya-250g-548047/</t>
        </is>
      </c>
      <c r="E137" s="33" t="inlineStr">
        <is>
          <t>Лента</t>
        </is>
      </c>
      <c r="F137" s="33" t="inlineStr">
        <is>
          <t>2026-08-03</t>
        </is>
      </c>
      <c r="G137" s="33" t="inlineStr">
        <is>
          <t>VERIFIED_DIRECT_CARD</t>
        </is>
      </c>
      <c r="H137" s="33" t="inlineStr">
        <is>
          <t>ESTIMATE_PUBLIC_RETAIL_BENCHMARK</t>
        </is>
      </c>
      <c r="I137" s="33" t="inlineStr">
        <is>
          <t>Не является КП; доступность, региональная цена и условия поставки требуют проверки</t>
        </is>
      </c>
      <c r="J137" s="33" t="inlineStr">
        <is>
          <t>Owner / Procurement</t>
        </is>
      </c>
      <c r="K137" s="33" t="inlineStr">
        <is>
          <t>ING-109</t>
        </is>
      </c>
      <c r="L137" s="33" t="inlineStr">
        <is>
          <t>Сахарная пудра</t>
        </is>
      </c>
      <c r="M137" s="33" t="n"/>
    </row>
    <row r="138">
      <c r="A138" s="33" t="inlineStr">
        <is>
          <t>PSR-0087</t>
        </is>
      </c>
      <c r="B138" s="33" t="inlineStr">
        <is>
          <t>PRICE_ACCEPTED</t>
        </is>
      </c>
      <c r="C138" s="33" t="inlineStr">
        <is>
          <t>Крахмал кукурузный ЛЕНТА</t>
        </is>
      </c>
      <c r="D138" s="33" t="inlineStr">
        <is>
          <t>https://lenta.com/product/krahmal-kukuruznyjj-rossiya-400g-557859/</t>
        </is>
      </c>
      <c r="E138" s="33" t="inlineStr">
        <is>
          <t>Лента</t>
        </is>
      </c>
      <c r="F138" s="33" t="inlineStr">
        <is>
          <t>2026-08-03</t>
        </is>
      </c>
      <c r="G138" s="33" t="inlineStr">
        <is>
          <t>VERIFIED_DIRECT_CARD</t>
        </is>
      </c>
      <c r="H138" s="33" t="inlineStr">
        <is>
          <t>ESTIMATE_PUBLIC_RETAIL_BENCHMARK</t>
        </is>
      </c>
      <c r="I138" s="33" t="inlineStr">
        <is>
          <t>Не является КП; доступность, региональная цена и условия поставки требуют проверки</t>
        </is>
      </c>
      <c r="J138" s="33" t="inlineStr">
        <is>
          <t>Owner / Procurement</t>
        </is>
      </c>
      <c r="K138" s="33" t="inlineStr">
        <is>
          <t>ING-110</t>
        </is>
      </c>
      <c r="L138" s="33" t="inlineStr">
        <is>
          <t>Пектин или крахмал</t>
        </is>
      </c>
      <c r="M138" s="33" t="n"/>
    </row>
    <row r="139">
      <c r="A139" s="33" t="inlineStr">
        <is>
          <t>PSR-0088</t>
        </is>
      </c>
      <c r="B139" s="33" t="inlineStr">
        <is>
          <t>PRICE_ACCEPTED</t>
        </is>
      </c>
      <c r="C139" s="33" t="inlineStr">
        <is>
          <t>Томаты протертые VALFRUTTA</t>
        </is>
      </c>
      <c r="D139" s="33" t="inlineStr">
        <is>
          <t>https://lenta.com/product/tomaty-protertye-tpak-italiya-500g-449490/</t>
        </is>
      </c>
      <c r="E139" s="33" t="inlineStr">
        <is>
          <t>Лента</t>
        </is>
      </c>
      <c r="F139" s="33" t="inlineStr">
        <is>
          <t>2026-08-03</t>
        </is>
      </c>
      <c r="G139" s="33" t="inlineStr">
        <is>
          <t>VERIFIED_DIRECT_CARD</t>
        </is>
      </c>
      <c r="H139" s="33" t="inlineStr">
        <is>
          <t>ESTIMATE_PUBLIC_RETAIL_BENCHMARK</t>
        </is>
      </c>
      <c r="I139" s="33" t="inlineStr">
        <is>
          <t>Не является КП; доступность, региональная цена и условия поставки требуют проверки</t>
        </is>
      </c>
      <c r="J139" s="33" t="inlineStr">
        <is>
          <t>Owner / Procurement</t>
        </is>
      </c>
      <c r="K139" s="33" t="inlineStr">
        <is>
          <t>ING-006</t>
        </is>
      </c>
      <c r="L139" s="33" t="inlineStr">
        <is>
          <t>Томаты протёртые</t>
        </is>
      </c>
      <c r="M139" s="33" t="n"/>
    </row>
    <row r="140">
      <c r="A140" s="33" t="inlineStr">
        <is>
          <t>PSR-0089</t>
        </is>
      </c>
      <c r="B140" s="33" t="inlineStr">
        <is>
          <t>PRICE_ACCEPTED</t>
        </is>
      </c>
      <c r="C140" s="33" t="inlineStr">
        <is>
          <t>Чеснок новый урожай весовой</t>
        </is>
      </c>
      <c r="D140" s="33" t="inlineStr">
        <is>
          <t>https://lenta.com/product/chesnok-novyjj-urozhajj-ves-50739/</t>
        </is>
      </c>
      <c r="E140" s="33" t="inlineStr">
        <is>
          <t>Лента</t>
        </is>
      </c>
      <c r="F140" s="33" t="inlineStr">
        <is>
          <t>2026-08-03</t>
        </is>
      </c>
      <c r="G140" s="33" t="inlineStr">
        <is>
          <t>VERIFIED_DIRECT_CARD</t>
        </is>
      </c>
      <c r="H140" s="33" t="inlineStr">
        <is>
          <t>ESTIMATE_PUBLIC_RETAIL_BENCHMARK</t>
        </is>
      </c>
      <c r="I140" s="33" t="inlineStr">
        <is>
          <t>Не является КП; доступность, региональная цена и условия поставки требуют проверки</t>
        </is>
      </c>
      <c r="J140" s="33" t="inlineStr">
        <is>
          <t>Owner / Procurement</t>
        </is>
      </c>
      <c r="K140" s="33" t="inlineStr">
        <is>
          <t>ING-007</t>
        </is>
      </c>
      <c r="L140" s="33" t="inlineStr">
        <is>
          <t>Чеснок</t>
        </is>
      </c>
      <c r="M140" s="33" t="n"/>
    </row>
    <row r="141">
      <c r="A141" s="33" t="inlineStr">
        <is>
          <t>PSR-0090</t>
        </is>
      </c>
      <c r="B141" s="33" t="inlineStr">
        <is>
          <t>PRICE_ACCEPTED</t>
        </is>
      </c>
      <c r="C141" s="33" t="inlineStr">
        <is>
          <t>Картофель новый урожай весовой</t>
        </is>
      </c>
      <c r="D141" s="33" t="inlineStr">
        <is>
          <t>https://lenta.com/product/kartofel-novyjj-urozhajj-ves-egipet-674938/</t>
        </is>
      </c>
      <c r="E141" s="33" t="inlineStr">
        <is>
          <t>Лента</t>
        </is>
      </c>
      <c r="F141" s="33" t="inlineStr">
        <is>
          <t>2026-08-03</t>
        </is>
      </c>
      <c r="G141" s="33" t="inlineStr">
        <is>
          <t>VERIFIED_DIRECT_CARD</t>
        </is>
      </c>
      <c r="H141" s="33" t="inlineStr">
        <is>
          <t>ESTIMATE_PUBLIC_RETAIL_BENCHMARK</t>
        </is>
      </c>
      <c r="I141" s="33" t="inlineStr">
        <is>
          <t>Не является КП; доступность, региональная цена и условия поставки требуют проверки</t>
        </is>
      </c>
      <c r="J141" s="33" t="inlineStr">
        <is>
          <t>Owner / Procurement</t>
        </is>
      </c>
      <c r="K141" s="33" t="inlineStr">
        <is>
          <t>ING-072</t>
        </is>
      </c>
      <c r="L141" s="33" t="inlineStr">
        <is>
          <t>Картофель</t>
        </is>
      </c>
      <c r="M141" s="33" t="n"/>
    </row>
  </sheetData>
  <mergeCells count="2">
    <mergeCell ref="A2:M2"/>
    <mergeCell ref="A1:M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VARSHAVKA Issue 82 ExcelBuilder</dc:creator>
  <dcterms:created xmlns:dcterms="http://purl.org/dc/terms/" xmlns:xsi="http://www.w3.org/2001/XMLSchema-instance" xsi:type="dcterms:W3CDTF">2026-08-03T00:00:00Z</dcterms:created>
  <dcterms:modified xmlns:dcterms="http://purl.org/dc/terms/" xmlns:xsi="http://www.w3.org/2001/XMLSchema-instance" xsi:type="dcterms:W3CDTF">2026-08-03T00:00:00Z</dcterms:modified>
</cp:coreProperties>
</file>