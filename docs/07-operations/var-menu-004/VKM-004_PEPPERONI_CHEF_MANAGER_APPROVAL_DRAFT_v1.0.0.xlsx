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080870e0f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ЦИЯ" sheetId="1" r:id="R00405000e80046c3"/>
    <x:sheet xmlns:r="http://schemas.openxmlformats.org/officeDocument/2006/relationships" name="ТЕХКАРТА" sheetId="2" r:id="Rb43a5ee17e2248f0"/>
    <x:sheet xmlns:r="http://schemas.openxmlformats.org/officeDocument/2006/relationships" name="АНКЕТА" sheetId="3" r:id="R9ac626942bce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 &quot;₽&quot;"/>
    <x:numFmt numFmtId="201" formatCode="0.00%"/>
    <x:numFmt numFmtId="202" formatCode="0.00 &quot;г&quot;"/>
    <x:numFmt numFmtId="203" formatCode="0.0 &quot;мин&quot;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sz val="11"/>
      <x:color rgb="FF9C00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4" fillId="6" borderId="0" xfId="0" applyNumberFormat="1" applyFont="1" applyFill="1" applyBorder="1" applyAlignment="1">
      <x:alignment horizontal="left" vertical="center"/>
    </x:xf>
    <x:xf numFmtId="200" fontId="0" fillId="0" borderId="1" xfId="0" applyNumberFormat="1" applyFont="1" applyFill="1" applyBorder="1"/>
    <x:xf numFmtId="200" fontId="4" fillId="6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horizontal="left" vertical="center" wrapText="1"/>
    </x:xf>
    <x:xf numFmtId="201" fontId="0" fillId="0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4" fillId="6" borderId="0" xfId="0" applyNumberFormat="1" applyFont="1" applyFill="1" applyBorder="1" applyAlignment="1">
      <x:alignment horizontal="left" vertical="center"/>
    </x:xf>
    <x:xf numFmtId="202" fontId="0" fillId="0" borderId="1" xfId="0" applyNumberFormat="1" applyFont="1" applyFill="1" applyBorder="1"/>
    <x:xf numFmtId="202" fontId="4" fillId="6" borderId="1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4" fillId="6" borderId="0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horizontal="left" vertical="center" wrapText="1"/>
    </x:xf>
    <x:xf numFmtId="203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9c137c77443e8" /><Relationship Type="http://schemas.openxmlformats.org/officeDocument/2006/relationships/theme" Target="/xl/theme/theme1.xml" Id="R5b3bc7f8719b4bfe" /><Relationship Type="http://schemas.openxmlformats.org/officeDocument/2006/relationships/sharedStrings" Target="/xl/sharedStrings.xml" Id="R46c8dec4f72b4498" /><Relationship Type="http://schemas.openxmlformats.org/officeDocument/2006/relationships/worksheet" Target="/xl/worksheets/sheet1.xml" Id="R00405000e80046c3" /><Relationship Type="http://schemas.openxmlformats.org/officeDocument/2006/relationships/worksheet" Target="/xl/worksheets/sheet2.xml" Id="Rb43a5ee17e2248f0" /><Relationship Type="http://schemas.openxmlformats.org/officeDocument/2006/relationships/worksheet" Target="/xl/worksheets/sheet3.xml" Id="R9ac626942bce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33" hidden="0" customWidth="1"/>
    <x:col min="7" max="7" width="42" hidden="0" customWidth="1"/>
    <x:col min="8" max="8" width="22" hidden="0" customWidth="1"/>
  </x:cols>
  <x:sheetData>
    <x:row r="1">
      <x:c r="A1" s="46" t="str">
        <x:v>VKM-004 / VKC-004 — Пицца «Пепперони» — КАЛЬКУЛЯЦИЯ</x:v>
      </x:c>
      <x:c r="B1" s="46"/>
      <x:c r="C1" s="46"/>
      <x:c r="D1" s="46"/>
      <x:c r="E1" s="46"/>
      <x:c r="F1" s="46"/>
      <x:c r="G1" s="46"/>
      <x:c r="H1" s="46"/>
    </x:row>
    <x:row r="2">
      <x:c r="A2" s="14" t="str">
        <x:v>Параметр</x:v>
      </x:c>
      <x:c r="B2" s="14" t="str">
        <x:v>Значение</x:v>
      </x:c>
      <x:c r="C2" s="22"/>
      <x:c r="D2" s="22"/>
      <x:c r="E2" s="22"/>
      <x:c r="F2" s="22"/>
      <x:c r="G2" s="22"/>
      <x:c r="H2" s="22"/>
    </x:row>
    <x:row r="3">
      <x:c r="A3" s="47" t="str">
        <x:v>Статус блюда</x:v>
      </x:c>
      <x:c r="B3" s="25" t="str">
        <x:v>PENDING_CHEF_MANAGER_VERIFICATION</x:v>
      </x:c>
      <x:c r="C3" s="22"/>
      <x:c r="D3" s="22"/>
      <x:c r="E3" s="22"/>
      <x:c r="F3" s="22"/>
      <x:c r="G3" s="22"/>
      <x:c r="H3" s="22"/>
    </x:row>
    <x:row r="4">
      <x:c r="A4" s="47" t="str">
        <x:v>Проектный выход, г</x:v>
      </x:c>
      <x:c r="B4" s="25" t="n">
        <x:v>500</x:v>
      </x:c>
      <x:c r="C4" s="22"/>
      <x:c r="D4" s="22"/>
      <x:c r="E4" s="22"/>
      <x:c r="F4" s="22"/>
      <x:c r="G4" s="22"/>
      <x:c r="H4" s="22"/>
    </x:row>
    <x:row r="5">
      <x:c r="A5" s="47" t="str">
        <x:v>Единица продажи</x:v>
      </x:c>
      <x:c r="B5" s="25" t="str">
        <x:v>1 пицца</x:v>
      </x:c>
      <x:c r="C5" s="22"/>
      <x:c r="D5" s="22"/>
      <x:c r="E5" s="22"/>
      <x:c r="F5" s="22"/>
      <x:c r="G5" s="22"/>
      <x:c r="H5" s="22"/>
    </x:row>
    <x:row r="6">
      <x:c r="A6" s="47" t="str">
        <x:v>Единая проектная цена, ₽</x:v>
      </x:c>
      <x:c r="B6" s="25" t="n">
        <x:v>890</x:v>
      </x:c>
      <x:c r="C6" s="22"/>
      <x:c r="D6" s="22"/>
      <x:c r="E6" s="22"/>
      <x:c r="F6" s="22"/>
      <x:c r="G6" s="22"/>
      <x:c r="H6" s="22"/>
    </x:row>
    <x:row r="7">
      <x:c r="A7" s="47" t="str">
        <x:v>Статус безопасности</x:v>
      </x:c>
      <x:c r="B7" s="25" t="str">
        <x:v>SAFETY_BLOCKED_PENDING_VALIDATION</x:v>
      </x:c>
      <x:c r="C7" s="22"/>
      <x:c r="D7" s="22"/>
      <x:c r="E7" s="22"/>
      <x:c r="F7" s="22"/>
      <x:c r="G7" s="22"/>
      <x:c r="H7" s="22"/>
    </x:row>
    <x:row r="8">
      <x:c r="A8" s="47" t="str">
        <x:v>Статус расчёта</x:v>
      </x:c>
      <x:c r="B8" s="25" t="str">
        <x:v>CALCULATED_FROM_OWNER_APPROVED_ASSUMPTIONS</x:v>
      </x:c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48" t="str">
        <x:v>Рецептурная калькуляция</x:v>
      </x:c>
      <x:c r="B10" s="48"/>
      <x:c r="C10" s="48"/>
      <x:c r="D10" s="48"/>
      <x:c r="E10" s="48"/>
      <x:c r="F10" s="48"/>
      <x:c r="G10" s="48"/>
      <x:c r="H10" s="48"/>
    </x:row>
    <x:row r="11">
      <x:c r="A11" s="14" t="str">
        <x:v>Компонент</x:v>
      </x:c>
      <x:c r="B11" s="14" t="str">
        <x:v>Брутто, г</x:v>
      </x:c>
      <x:c r="C11" s="14" t="str">
        <x:v>Нетто, г</x:v>
      </x:c>
      <x:c r="D11" s="14" t="str">
        <x:v>Цена, ₽/кг</x:v>
      </x:c>
      <x:c r="E11" s="14" t="str">
        <x:v>Стоимость, ₽</x:v>
      </x:c>
      <x:c r="F11" s="14" t="str">
        <x:v>Статус</x:v>
      </x:c>
      <x:c r="G11" s="14" t="str">
        <x:v>Источник/примечание</x:v>
      </x:c>
      <x:c r="H11" s="14" t="str">
        <x:v>Проверка</x:v>
      </x:c>
    </x:row>
    <x:row r="12">
      <x:c r="A12" s="22" t="str">
        <x:v>ПФ тесто для пиццы</x:v>
      </x:c>
      <x:c r="B12" s="22" t="n">
        <x:v>250</x:v>
      </x:c>
      <x:c r="C12" s="22" t="n">
        <x:v>250</x:v>
      </x:c>
      <x:c r="D12" s="49" t="n">
        <x:v>140</x:v>
      </x:c>
      <x:c r="E12" s="49" t="n">
        <x:f>B12/1000*D12</x:f>
        <x:v>35</x:v>
      </x:c>
      <x:c r="F12" s="22" t="str">
        <x:v>EXPERT_ASSUMPTION_PENDING_MANAGER_VERIFICATION</x:v>
      </x:c>
      <x:c r="G12" s="22" t="str">
        <x:v>Общая сущность пицц; фактический SKU/калькуляция ПФ не подтверждены</x:v>
      </x:c>
      <x:c r="H12" s="22" t="str">
        <x:v>Шеф/управляющий</x:v>
      </x:c>
    </x:row>
    <x:row r="13">
      <x:c r="A13" s="22" t="str">
        <x:v>ПФ томатный соус</x:v>
      </x:c>
      <x:c r="B13" s="22" t="n">
        <x:v>72</x:v>
      </x:c>
      <x:c r="C13" s="22" t="n">
        <x:v>72</x:v>
      </x:c>
      <x:c r="D13" s="49" t="n">
        <x:v>300</x:v>
      </x:c>
      <x:c r="E13" s="49" t="n">
        <x:f>B13/1000*D13</x:f>
        <x:v>21.599999999999998</x:v>
      </x:c>
      <x:c r="F13" s="22" t="str">
        <x:v>EXPERT_ASSUMPTION_PENDING_MANAGER_VERIFICATION</x:v>
      </x:c>
      <x:c r="G13" s="22" t="str">
        <x:v>Общая сущность пицц; версия и состав подлежат проверке</x:v>
      </x:c>
      <x:c r="H13" s="22" t="str">
        <x:v>Шеф/управляющий</x:v>
      </x:c>
    </x:row>
    <x:row r="14">
      <x:c r="A14" s="22" t="str">
        <x:v>Сыр моцарелла для пиццы</x:v>
      </x:c>
      <x:c r="B14" s="22" t="n">
        <x:v>130</x:v>
      </x:c>
      <x:c r="C14" s="22" t="n">
        <x:v>130</x:v>
      </x:c>
      <x:c r="D14" s="49" t="n">
        <x:v>900</x:v>
      </x:c>
      <x:c r="E14" s="49" t="n">
        <x:f>B14/1000*D14</x:f>
        <x:v>117</x:v>
      </x:c>
      <x:c r="F14" s="22" t="str">
        <x:v>EXPERT_ASSUMPTION_PENDING_MANAGER_VERIFICATION</x:v>
      </x:c>
      <x:c r="G14" s="22" t="str">
        <x:v>Требуется утверждение SKU и тест плавления</x:v>
      </x:c>
      <x:c r="H14" s="22" t="str">
        <x:v>Шеф/управляющий</x:v>
      </x:c>
    </x:row>
    <x:row r="15">
      <x:c r="A15" s="22" t="str">
        <x:v>Колбаса пепперони</x:v>
      </x:c>
      <x:c r="B15" s="22" t="n">
        <x:v>75</x:v>
      </x:c>
      <x:c r="C15" s="22" t="n">
        <x:v>75</x:v>
      </x:c>
      <x:c r="D15" s="49" t="n">
        <x:v>1100</x:v>
      </x:c>
      <x:c r="E15" s="49" t="n">
        <x:f>B15/1000*D15</x:f>
        <x:v>82.5</x:v>
      </x:c>
      <x:c r="F15" s="22" t="str">
        <x:v>EXPERT_ASSUMPTION_PENDING_MANAGER_VERIFICATION</x:v>
      </x:c>
      <x:c r="G15" s="22" t="str">
        <x:v>Требуется утверждение SKU, состава, аллергенов и массы ломтика</x:v>
      </x:c>
      <x:c r="H15" s="22" t="str">
        <x:v>Шеф/управляющий</x:v>
      </x:c>
    </x:row>
    <x:row r="16">
      <x:c r="A16" s="22" t="str">
        <x:v>Масло для финиша</x:v>
      </x:c>
      <x:c r="B16" s="22" t="n">
        <x:v>3</x:v>
      </x:c>
      <x:c r="C16" s="22" t="n">
        <x:v>3</x:v>
      </x:c>
      <x:c r="D16" s="49" t="n">
        <x:v>833.33</x:v>
      </x:c>
      <x:c r="E16" s="49" t="n">
        <x:f>B16/1000*D16</x:f>
        <x:v>2.4999900000000004</x:v>
      </x:c>
      <x:c r="F16" s="22" t="str">
        <x:v>EXPERT_ASSUMPTION_PENDING_MANAGER_VERIFICATION</x:v>
      </x:c>
      <x:c r="G16" s="22" t="str">
        <x:v>Необходимость применения подтверждает шеф</x:v>
      </x:c>
      <x:c r="H16" s="22" t="str">
        <x:v>Шеф</x:v>
      </x:c>
    </x:row>
    <x:row r="17">
      <x:c r="A17" s="48" t="str">
        <x:v>Recipe COGS</x:v>
      </x:c>
      <x:c r="B17" s="48"/>
      <x:c r="C17" s="48"/>
      <x:c r="D17" s="50"/>
      <x:c r="E17" s="50" t="n">
        <x:f>SUM(E12:E16)</x:f>
        <x:v>258.59999000000005</x:v>
      </x:c>
      <x:c r="F17" s="48"/>
      <x:c r="G17" s="48"/>
      <x:c r="H17" s="48"/>
    </x:row>
    <x:row r="18">
      <x:c r="A18" s="22"/>
      <x:c r="B18" s="22"/>
      <x:c r="C18" s="22"/>
      <x:c r="D18" s="22"/>
      <x:c r="E18" s="22"/>
      <x:c r="F18" s="22"/>
      <x:c r="G18" s="22"/>
      <x:c r="H18" s="22"/>
    </x:row>
    <x:row r="19">
      <x:c r="A19" s="48" t="str">
        <x:v>Экономика каналов</x:v>
      </x:c>
      <x:c r="B19" s="48"/>
      <x:c r="C19" s="48"/>
      <x:c r="D19" s="48"/>
      <x:c r="E19" s="48"/>
      <x:c r="F19" s="48"/>
      <x:c r="G19" s="48"/>
      <x:c r="H19" s="48"/>
    </x:row>
    <x:row r="20">
      <x:c r="A20" s="14" t="str">
        <x:v>Канал</x:v>
      </x:c>
      <x:c r="B20" s="14" t="str">
        <x:v>Цена, ₽</x:v>
      </x:c>
      <x:c r="C20" s="14" t="str">
        <x:v>Recipe COGS, ₽</x:v>
      </x:c>
      <x:c r="D20" s="14" t="str">
        <x:v>Упаковка, ₽</x:v>
      </x:c>
      <x:c r="E20" s="14" t="str">
        <x:v>Эквайринг, %</x:v>
      </x:c>
      <x:c r="F20" s="14" t="str">
        <x:v>Комиссия, %</x:v>
      </x:c>
      <x:c r="G20" s="14" t="str">
        <x:v>Маржа до налогов и неизвестных расходов, ₽</x:v>
      </x:c>
      <x:c r="H20" s="14" t="str">
        <x:v>Маржинальность</x:v>
      </x:c>
    </x:row>
    <x:row r="21">
      <x:c r="A21" s="22" t="str">
        <x:v>À la carte</x:v>
      </x:c>
      <x:c r="B21" s="49" t="n">
        <x:v>890</x:v>
      </x:c>
      <x:c r="C21" s="49" t="n">
        <x:f>$E$17</x:f>
        <x:v>258.59999000000005</x:v>
      </x:c>
      <x:c r="D21" s="49"/>
      <x:c r="E21" s="51" t="n">
        <x:v>0.025</x:v>
      </x:c>
      <x:c r="F21" s="51"/>
      <x:c r="G21" s="49" t="n">
        <x:f>B21-C21-IF(D21="",0,D21)-B21*IF(E21="",0,E21)-B21*IF(F21="",0,F21)</x:f>
        <x:v>609.15001</x:v>
      </x:c>
      <x:c r="H21" s="51" t="n">
        <x:f>G21/B21</x:f>
        <x:v>0.684438213483146</x:v>
      </x:c>
    </x:row>
    <x:row r="22">
      <x:c r="A22" s="22" t="str">
        <x:v>Гостиничный ужин</x:v>
      </x:c>
      <x:c r="B22" s="49" t="n">
        <x:v>890</x:v>
      </x:c>
      <x:c r="C22" s="49" t="n">
        <x:f>$E$17</x:f>
        <x:v>258.59999000000005</x:v>
      </x:c>
      <x:c r="D22" s="49"/>
      <x:c r="E22" s="51" t="n">
        <x:v>0.025</x:v>
      </x:c>
      <x:c r="F22" s="51"/>
      <x:c r="G22" s="49" t="n">
        <x:f>B22-C22-IF(D22="",0,D22)-B22*IF(E22="",0,E22)-B22*IF(F22="",0,F22)</x:f>
        <x:v>609.15001</x:v>
      </x:c>
      <x:c r="H22" s="51" t="n">
        <x:f>G22/B22</x:f>
        <x:v>0.684438213483146</x:v>
      </x:c>
    </x:row>
    <x:row r="23">
      <x:c r="A23" s="22" t="str">
        <x:v>Доставка</x:v>
      </x:c>
      <x:c r="B23" s="49" t="n">
        <x:v>890</x:v>
      </x:c>
      <x:c r="C23" s="49" t="n">
        <x:f>$E$17</x:f>
        <x:v>258.59999000000005</x:v>
      </x:c>
      <x:c r="D23" s="49" t="n">
        <x:v>45</x:v>
      </x:c>
      <x:c r="E23" s="51" t="n">
        <x:v>0.025</x:v>
      </x:c>
      <x:c r="F23" s="51" t="n">
        <x:v>0.25</x:v>
      </x:c>
      <x:c r="G23" s="49" t="n">
        <x:f>B23-C23-IF(D23="",0,D23)-B23*IF(E23="",0,E23)-B23*IF(F23="",0,F23)</x:f>
        <x:v>341.65000999999995</x:v>
      </x:c>
      <x:c r="H23" s="51" t="n">
        <x:f>G23/B23</x:f>
        <x:v>0.38387641573033704</x:v>
      </x:c>
    </x:row>
    <x:row r="24">
      <x:c r="A24" s="22"/>
      <x:c r="B24" s="22"/>
      <x:c r="C24" s="22"/>
      <x:c r="D24" s="22"/>
      <x:c r="E24" s="22"/>
      <x:c r="F24" s="22"/>
      <x:c r="G24" s="22"/>
      <x:c r="H24" s="22"/>
    </x:row>
    <x:row r="25">
      <x:c r="A25" s="14" t="str">
        <x:v>Показатель</x:v>
      </x:c>
      <x:c r="B25" s="14" t="str">
        <x:v>Значение</x:v>
      </x:c>
      <x:c r="C25" s="22"/>
      <x:c r="D25" s="22"/>
      <x:c r="E25" s="22"/>
      <x:c r="F25" s="22"/>
      <x:c r="G25" s="22"/>
      <x:c r="H25" s="22"/>
    </x:row>
    <x:row r="26">
      <x:c r="A26" s="22" t="str">
        <x:v>Food cost при цене 890 ₽</x:v>
      </x:c>
      <x:c r="B26" s="51" t="n">
        <x:f>$E$17/$B$6</x:f>
        <x:v>0.290561786516854</x:v>
      </x:c>
      <x:c r="C26" s="22"/>
      <x:c r="D26" s="22"/>
      <x:c r="E26" s="22"/>
      <x:c r="F26" s="22"/>
      <x:c r="G26" s="22"/>
      <x:c r="H26" s="22"/>
    </x:row>
    <x:row r="27">
      <x:c r="A27" s="22" t="str">
        <x:v>Recipe COGS при росте сырья на 10%, ₽</x:v>
      </x:c>
      <x:c r="B27" s="49" t="n">
        <x:f>$E$17*1.10</x:f>
        <x:v>284.45998900000006</x:v>
      </x:c>
      <x:c r="C27" s="22"/>
      <x:c r="D27" s="22"/>
      <x:c r="E27" s="22"/>
      <x:c r="F27" s="22"/>
      <x:c r="G27" s="22"/>
      <x:c r="H27" s="22"/>
    </x:row>
    <x:row r="28">
      <x:c r="A28" s="22" t="str">
        <x:v>Food cost при росте сырья на 10%</x:v>
      </x:c>
      <x:c r="B28" s="51" t="n">
        <x:f>B27/$B$6</x:f>
        <x:v>0.3196179651685394</x:v>
      </x:c>
      <x:c r="C28" s="22"/>
      <x:c r="D28" s="22"/>
      <x:c r="E28" s="22"/>
      <x:c r="F28" s="22"/>
      <x:c r="G28" s="22"/>
      <x:c r="H28" s="22"/>
    </x:row>
    <x:row r="29">
      <x:c r="A29" s="22" t="str">
        <x:v>Recipe COGS при росте цены пепперони на 20%, ₽</x:v>
      </x:c>
      <x:c r="B29" s="49" t="n">
        <x:f>$E$17+E15*20%</x:f>
        <x:v>275.09999000000005</x:v>
      </x:c>
      <x:c r="C29" s="22"/>
      <x:c r="D29" s="22"/>
      <x:c r="E29" s="22"/>
      <x:c r="F29" s="22"/>
      <x:c r="G29" s="22"/>
      <x:c r="H29" s="22"/>
    </x:row>
    <x:row r="30">
      <x:c r="A30" s="22" t="str">
        <x:v>Маржа доставки при комиссии 30%, ₽</x:v>
      </x:c>
      <x:c r="B30" s="49" t="n">
        <x:f>$B$6-$E$17-45-$B$6*2.5%-$B$6*30%</x:f>
        <x:v>297.15000999999995</x:v>
      </x:c>
      <x:c r="C30" s="22"/>
      <x:c r="D30" s="22"/>
      <x:c r="E30" s="22"/>
      <x:c r="F30" s="22"/>
      <x:c r="G30" s="22"/>
      <x:c r="H30" s="22"/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14" t="str">
        <x:v>Ограничение</x:v>
      </x:c>
      <x:c r="B32" s="14" t="str">
        <x:v>Статус</x:v>
      </x:c>
      <x:c r="C32" s="14" t="str">
        <x:v>Пояснение</x:v>
      </x:c>
      <x:c r="D32" s="14" t="str"/>
      <x:c r="E32" s="14" t="str"/>
      <x:c r="F32" s="14" t="str"/>
      <x:c r="G32" s="14" t="str"/>
      <x:c r="H32" s="14" t="str"/>
    </x:row>
    <x:row r="33">
      <x:c r="A33" s="22" t="str">
        <x:v>Неизвестные расходы гостиничного ужина</x:v>
      </x:c>
      <x:c r="B33" s="52" t="str">
        <x:v>UNKNOWN_NOT_ZERO</x:v>
      </x:c>
      <x:c r="C33" s="22" t="str">
        <x:v>Не включены в маржу; должны быть подтверждены управляющим</x:v>
      </x:c>
      <x:c r="D33" s="22" t="str"/>
      <x:c r="E33" s="22" t="str"/>
      <x:c r="F33" s="22" t="str"/>
      <x:c r="G33" s="22" t="str"/>
      <x:c r="H33" s="22" t="str"/>
    </x:row>
    <x:row r="34">
      <x:c r="A34" s="22" t="str">
        <x:v>Налоговый режим</x:v>
      </x:c>
      <x:c r="B34" s="52" t="str">
        <x:v>UNKNOWN_NOT_ZERO</x:v>
      </x:c>
      <x:c r="C34" s="22" t="str">
        <x:v>Не включён без подтверждённого входа</x:v>
      </x:c>
      <x:c r="D34" s="22" t="str"/>
      <x:c r="E34" s="22" t="str"/>
      <x:c r="F34" s="22" t="str"/>
      <x:c r="G34" s="22" t="str"/>
      <x:c r="H34" s="22" t="str"/>
    </x:row>
    <x:row r="35">
      <x:c r="A35" s="22" t="str">
        <x:v>Закупочные цены</x:v>
      </x:c>
      <x:c r="B35" s="52" t="str">
        <x:v>PENDING_MANAGER_VERIFICATION</x:v>
      </x:c>
      <x:c r="C35" s="22" t="str">
        <x:v>Заменить фактическими ценами утверждённых SKU</x:v>
      </x:c>
      <x:c r="D35" s="22" t="str"/>
      <x:c r="E35" s="22" t="str"/>
      <x:c r="F35" s="22" t="str"/>
      <x:c r="G35" s="22" t="str"/>
      <x:c r="H35" s="22" t="str"/>
    </x:row>
  </x:sheetData>
  <x:mergeCells>
    <x:mergeCell ref="A1:H1"/>
    <x:mergeCell ref="A10:H10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38" hidden="0" customWidth="1"/>
    <x:col min="4" max="4" width="15" hidden="0" customWidth="1"/>
    <x:col min="5" max="5" width="24" hidden="0" customWidth="1"/>
    <x:col min="6" max="6" width="32" hidden="0" customWidth="1"/>
    <x:col min="7" max="7" width="28" hidden="0" customWidth="1"/>
    <x:col min="8" max="8" width="28" hidden="0" customWidth="1"/>
  </x:cols>
  <x:sheetData>
    <x:row r="1">
      <x:c r="A1" s="46" t="str">
        <x:v>VKM-004 / VKT-004 — Пицца «Пепперони» — ТЕХКАРТА</x:v>
      </x:c>
      <x:c r="B1" s="46"/>
      <x:c r="C1" s="46"/>
      <x:c r="D1" s="46"/>
      <x:c r="E1" s="46"/>
      <x:c r="F1" s="46"/>
      <x:c r="G1" s="46"/>
      <x:c r="H1" s="46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14" t="str">
        <x:v>Параметр</x:v>
      </x:c>
      <x:c r="B3" s="14" t="str">
        <x:v>Значение</x:v>
      </x:c>
      <x:c r="C3" s="22"/>
      <x:c r="D3" s="22"/>
      <x:c r="E3" s="22"/>
      <x:c r="F3" s="22"/>
      <x:c r="G3" s="22"/>
      <x:c r="H3" s="22"/>
    </x:row>
    <x:row r="4">
      <x:c r="A4" s="22" t="str">
        <x:v>Наименование</x:v>
      </x:c>
      <x:c r="B4" s="22" t="str">
        <x:v>Пицца «Пепперони»</x:v>
      </x:c>
      <x:c r="C4" s="22"/>
      <x:c r="D4" s="22"/>
      <x:c r="E4" s="22"/>
      <x:c r="F4" s="22"/>
      <x:c r="G4" s="22"/>
      <x:c r="H4" s="22"/>
    </x:row>
    <x:row r="5">
      <x:c r="A5" s="22" t="str">
        <x:v>Выход</x:v>
      </x:c>
      <x:c r="B5" s="22" t="str">
        <x:v>500 г</x:v>
      </x:c>
      <x:c r="C5" s="22"/>
      <x:c r="D5" s="22"/>
      <x:c r="E5" s="22"/>
      <x:c r="F5" s="22"/>
      <x:c r="G5" s="22"/>
      <x:c r="H5" s="22"/>
    </x:row>
    <x:row r="6">
      <x:c r="A6" s="22" t="str">
        <x:v>Единица</x:v>
      </x:c>
      <x:c r="B6" s="22" t="str">
        <x:v>1 пицца</x:v>
      </x:c>
      <x:c r="C6" s="22"/>
      <x:c r="D6" s="22"/>
      <x:c r="E6" s="22"/>
      <x:c r="F6" s="22"/>
      <x:c r="G6" s="22"/>
      <x:c r="H6" s="22"/>
    </x:row>
    <x:row r="7">
      <x:c r="A7" s="22" t="str">
        <x:v>Проектный диаметр</x:v>
      </x:c>
      <x:c r="B7" s="22" t="str">
        <x:v>30–32 см; PENDING_CHEF_VERIFICATION</x:v>
      </x:c>
      <x:c r="C7" s="22"/>
      <x:c r="D7" s="22"/>
      <x:c r="E7" s="22"/>
      <x:c r="F7" s="22"/>
      <x:c r="G7" s="22"/>
      <x:c r="H7" s="22"/>
    </x:row>
    <x:row r="8">
      <x:c r="A8" s="22" t="str">
        <x:v>Статус</x:v>
      </x:c>
      <x:c r="B8" s="22" t="str">
        <x:v>PENDING_CHEF_MANAGER_VERIFICATION</x:v>
      </x:c>
      <x:c r="C8" s="22"/>
      <x:c r="D8" s="22"/>
      <x:c r="E8" s="22"/>
      <x:c r="F8" s="22"/>
      <x:c r="G8" s="22"/>
      <x:c r="H8" s="22"/>
    </x:row>
    <x:row r="9">
      <x:c r="A9" s="22" t="str">
        <x:v>Safety</x:v>
      </x:c>
      <x:c r="B9" s="22" t="str">
        <x:v>SAFETY_BLOCKED_PENDING_VALIDATION</x:v>
      </x:c>
      <x:c r="C9" s="22"/>
      <x:c r="D9" s="22"/>
      <x:c r="E9" s="22"/>
      <x:c r="F9" s="22"/>
      <x:c r="G9" s="22"/>
      <x:c r="H9" s="22"/>
    </x:row>
    <x:row r="10">
      <x:c r="A10" s="22" t="str">
        <x:v>Рецептура</x:v>
      </x:c>
      <x:c r="B10" s="22" t="str">
        <x:v>OWNER_APPROVED_PROJECT_BASIS</x:v>
      </x:c>
      <x:c r="C10" s="22"/>
      <x:c r="D10" s="22"/>
      <x:c r="E10" s="22"/>
      <x:c r="F10" s="22"/>
      <x:c r="G10" s="22"/>
      <x:c r="H10" s="22"/>
    </x:row>
    <x:row r="11">
      <x:c r="A11" s="22"/>
      <x:c r="B11" s="22"/>
      <x:c r="C11" s="22"/>
      <x:c r="D11" s="22"/>
      <x:c r="E11" s="22"/>
      <x:c r="F11" s="22"/>
      <x:c r="G11" s="22"/>
      <x:c r="H11" s="22"/>
    </x:row>
    <x:row r="12">
      <x:c r="A12" s="48" t="str">
        <x:v>Рецептура и массо-баланс</x:v>
      </x:c>
      <x:c r="B12" s="48"/>
      <x:c r="C12" s="48"/>
      <x:c r="D12" s="48"/>
      <x:c r="E12" s="48"/>
      <x:c r="F12" s="48"/>
      <x:c r="G12" s="48"/>
      <x:c r="H12" s="48"/>
    </x:row>
    <x:row r="13">
      <x:c r="A13" s="14" t="str">
        <x:v>Компонент</x:v>
      </x:c>
      <x:c r="B13" s="14" t="str">
        <x:v>Брутто, г</x:v>
      </x:c>
      <x:c r="C13" s="14" t="str">
        <x:v>Нетто до выпечки, г</x:v>
      </x:c>
      <x:c r="D13" s="14" t="str">
        <x:v>Потери/изменение, г</x:v>
      </x:c>
      <x:c r="E13" s="14" t="str">
        <x:v>Вклад в выход, г</x:v>
      </x:c>
      <x:c r="F13" s="14" t="str">
        <x:v>Статус</x:v>
      </x:c>
      <x:c r="G13" s="14" t="str">
        <x:v>Контроль</x:v>
      </x:c>
      <x:c r="H13" s="14" t="str">
        <x:v>Примечание</x:v>
      </x:c>
    </x:row>
    <x:row r="14">
      <x:c r="A14" s="22" t="str">
        <x:v>ПФ тесто для пиццы</x:v>
      </x:c>
      <x:c r="B14" s="66" t="n">
        <x:v>250</x:v>
      </x:c>
      <x:c r="C14" s="66" t="n">
        <x:v>250</x:v>
      </x:c>
      <x:c r="D14" s="66"/>
      <x:c r="E14" s="66"/>
      <x:c r="F14" s="22" t="str">
        <x:v>EXPERT_ASSUMPTION_PENDING_CHEF_MANAGER_VERIFICATION</x:v>
      </x:c>
      <x:c r="G14" s="22" t="str">
        <x:v>Весы</x:v>
      </x:c>
      <x:c r="H14" s="22" t="str">
        <x:v>Общая версия ПФ подлежит проверке</x:v>
      </x:c>
    </x:row>
    <x:row r="15">
      <x:c r="A15" s="22" t="str">
        <x:v>ПФ томатный соус</x:v>
      </x:c>
      <x:c r="B15" s="66" t="n">
        <x:v>72</x:v>
      </x:c>
      <x:c r="C15" s="66" t="n">
        <x:v>72</x:v>
      </x:c>
      <x:c r="D15" s="66"/>
      <x:c r="E15" s="66"/>
      <x:c r="F15" s="22" t="str">
        <x:v>EXPERT_ASSUMPTION_PENDING_CHEF_MANAGER_VERIFICATION</x:v>
      </x:c>
      <x:c r="G15" s="22" t="str">
        <x:v>Весы/дозатор</x:v>
      </x:c>
      <x:c r="H15" s="22" t="str">
        <x:v>Равномерное нанесение</x:v>
      </x:c>
    </x:row>
    <x:row r="16">
      <x:c r="A16" s="22" t="str">
        <x:v>Сыр моцарелла</x:v>
      </x:c>
      <x:c r="B16" s="66" t="n">
        <x:v>130</x:v>
      </x:c>
      <x:c r="C16" s="66" t="n">
        <x:v>130</x:v>
      </x:c>
      <x:c r="D16" s="66"/>
      <x:c r="E16" s="66"/>
      <x:c r="F16" s="22" t="str">
        <x:v>EXPERT_ASSUMPTION_PENDING_CHEF_MANAGER_VERIFICATION</x:v>
      </x:c>
      <x:c r="G16" s="22" t="str">
        <x:v>Весы</x:v>
      </x:c>
      <x:c r="H16" s="22" t="str">
        <x:v>Проверка плавления и влагоотделения</x:v>
      </x:c>
    </x:row>
    <x:row r="17">
      <x:c r="A17" s="22" t="str">
        <x:v>Колбаса пепперони</x:v>
      </x:c>
      <x:c r="B17" s="66" t="n">
        <x:v>75</x:v>
      </x:c>
      <x:c r="C17" s="66" t="n">
        <x:v>75</x:v>
      </x:c>
      <x:c r="D17" s="66"/>
      <x:c r="E17" s="66"/>
      <x:c r="F17" s="22" t="str">
        <x:v>EXPERT_ASSUMPTION_PENDING_CHEF_MANAGER_VERIFICATION</x:v>
      </x:c>
      <x:c r="G17" s="22" t="str">
        <x:v>Весы/слайсер</x:v>
      </x:c>
      <x:c r="H17" s="22" t="str">
        <x:v>Ориентир 25–30 ломтиков зависит от SKU</x:v>
      </x:c>
    </x:row>
    <x:row r="18">
      <x:c r="A18" s="22" t="str">
        <x:v>Потери при выпечке</x:v>
      </x:c>
      <x:c r="B18" s="66"/>
      <x:c r="C18" s="66"/>
      <x:c r="D18" s="66" t="n">
        <x:v>-30</x:v>
      </x:c>
      <x:c r="E18" s="66" t="n">
        <x:v>-30</x:v>
      </x:c>
      <x:c r="F18" s="22" t="str">
        <x:v>EXPERT_ASSUMPTION_PENDING_CHEF_VERIFICATION</x:v>
      </x:c>
      <x:c r="G18" s="22" t="str">
        <x:v>Контрольные приготовления</x:v>
      </x:c>
      <x:c r="H18" s="22" t="str">
        <x:v>Подтвердить минимум 3 прогонами</x:v>
      </x:c>
    </x:row>
    <x:row r="19">
      <x:c r="A19" s="22" t="str">
        <x:v>Масло для финиша</x:v>
      </x:c>
      <x:c r="B19" s="66" t="n">
        <x:v>3</x:v>
      </x:c>
      <x:c r="C19" s="66" t="n">
        <x:v>3</x:v>
      </x:c>
      <x:c r="D19" s="66" t="n">
        <x:v>3</x:v>
      </x:c>
      <x:c r="E19" s="66" t="n">
        <x:v>3</x:v>
      </x:c>
      <x:c r="F19" s="22" t="str">
        <x:v>EXPERT_ASSUMPTION_PENDING_CHEF_MANAGER_VERIFICATION</x:v>
      </x:c>
      <x:c r="G19" s="22" t="str">
        <x:v>Весы/дозатор</x:v>
      </x:c>
      <x:c r="H19" s="22" t="str">
        <x:v>После выпечки</x:v>
      </x:c>
    </x:row>
    <x:row r="20">
      <x:c r="A20" s="48" t="str">
        <x:v>Итого масса до выпечки без финиша</x:v>
      </x:c>
      <x:c r="B20" s="67"/>
      <x:c r="C20" s="67"/>
      <x:c r="D20" s="67"/>
      <x:c r="E20" s="67" t="n">
        <x:f>SUM(C14:C17)</x:f>
        <x:v>527</x:v>
      </x:c>
      <x:c r="F20" s="48"/>
      <x:c r="G20" s="48"/>
      <x:c r="H20" s="48"/>
    </x:row>
    <x:row r="21">
      <x:c r="A21" s="48" t="str">
        <x:v>Проектный выход</x:v>
      </x:c>
      <x:c r="B21" s="67"/>
      <x:c r="C21" s="67"/>
      <x:c r="D21" s="67"/>
      <x:c r="E21" s="67" t="n">
        <x:f>E20+E18+E19</x:f>
        <x:v>500</x:v>
      </x:c>
      <x:c r="F21" s="48"/>
      <x:c r="G21" s="48"/>
      <x:c r="H21" s="48"/>
    </x:row>
    <x:row r="22">
      <x:c r="A22" s="22"/>
      <x:c r="B22" s="22"/>
      <x:c r="C22" s="22"/>
      <x:c r="D22" s="22"/>
      <x:c r="E22" s="22"/>
      <x:c r="F22" s="22"/>
      <x:c r="G22" s="22"/>
      <x:c r="H22" s="22"/>
    </x:row>
    <x:row r="23">
      <x:c r="A23" s="48" t="str">
        <x:v>Технологический процесс</x:v>
      </x:c>
      <x:c r="B23" s="48"/>
      <x:c r="C23" s="48"/>
      <x:c r="D23" s="48"/>
      <x:c r="E23" s="48"/>
      <x:c r="F23" s="48"/>
      <x:c r="G23" s="48"/>
      <x:c r="H23" s="48"/>
    </x:row>
    <x:row r="24">
      <x:c r="A24" s="14" t="str">
        <x:v>№</x:v>
      </x:c>
      <x:c r="B24" s="14" t="str">
        <x:v>Этап</x:v>
      </x:c>
      <x:c r="C24" s="14" t="str">
        <x:v>Операция</x:v>
      </x:c>
      <x:c r="D24" s="14" t="str">
        <x:v>Время, мин</x:v>
      </x:c>
      <x:c r="E24" s="14" t="str">
        <x:v>Оборудование</x:v>
      </x:c>
      <x:c r="F24" s="14" t="str">
        <x:v>Критерий контроля</x:v>
      </x:c>
      <x:c r="G24" s="14" t="str">
        <x:v>Отклонение/брак</x:v>
      </x:c>
      <x:c r="H24" s="14" t="str">
        <x:v>Статус</x:v>
      </x:c>
    </x:row>
    <x:row r="25">
      <x:c r="A25" s="22" t="n">
        <x:v>1</x:v>
      </x:c>
      <x:c r="B25" s="22" t="str">
        <x:v>Подготовка</x:v>
      </x:c>
      <x:c r="C25" s="22" t="str">
        <x:v>Получить порцию теста; проверить маркировку и состояние ПФ</x:v>
      </x:c>
      <x:c r="D25" s="68" t="n">
        <x:v>0.5</x:v>
      </x:c>
      <x:c r="E25" s="22" t="str">
        <x:v>Холодильник, весы</x:v>
      </x:c>
      <x:c r="F25" s="22" t="str">
        <x:v>Маркировка, срок, состояние</x:v>
      </x:c>
      <x:c r="G25" s="22" t="str">
        <x:v>Просрочка, нарушение хранения</x:v>
      </x:c>
      <x:c r="H25" s="22" t="str">
        <x:v>PENDING_CHEF_VERIFICATION</x:v>
      </x:c>
    </x:row>
    <x:row r="26">
      <x:c r="A26" s="22" t="n">
        <x:v>2</x:v>
      </x:c>
      <x:c r="B26" s="22" t="str">
        <x:v>Формование</x:v>
      </x:c>
      <x:c r="C26" s="22" t="str">
        <x:v>Сформовать основу ориентировочно 30–32 см</x:v>
      </x:c>
      <x:c r="D26" s="68" t="n">
        <x:v>1.5</x:v>
      </x:c>
      <x:c r="E26" s="22" t="str">
        <x:v>Стол, весы</x:v>
      </x:c>
      <x:c r="F26" s="22" t="str">
        <x:v>Равномерная толщина, целый бортик</x:v>
      </x:c>
      <x:c r="G26" s="22" t="str">
        <x:v>Разрывы, неравномерность</x:v>
      </x:c>
      <x:c r="H26" s="22" t="str">
        <x:v>PENDING_CHEF_VERIFICATION</x:v>
      </x:c>
    </x:row>
    <x:row r="27">
      <x:c r="A27" s="22" t="n">
        <x:v>3</x:v>
      </x:c>
      <x:c r="B27" s="22" t="str">
        <x:v>Соус</x:v>
      </x:c>
      <x:c r="C27" s="22" t="str">
        <x:v>Нанести 72 г томатного соуса</x:v>
      </x:c>
      <x:c r="D27" s="68" t="n">
        <x:v>0.5</x:v>
      </x:c>
      <x:c r="E27" s="22" t="str">
        <x:v>Дозатор/ложка</x:v>
      </x:c>
      <x:c r="F27" s="22" t="str">
        <x:v>Равномерность, свободный бортик</x:v>
      </x:c>
      <x:c r="G27" s="22" t="str">
        <x:v>Избыток/недостаток</x:v>
      </x:c>
      <x:c r="H27" s="22" t="str">
        <x:v>PENDING_CHEF_VERIFICATION</x:v>
      </x:c>
    </x:row>
    <x:row r="28">
      <x:c r="A28" s="22" t="n">
        <x:v>4</x:v>
      </x:c>
      <x:c r="B28" s="22" t="str">
        <x:v>Сыр</x:v>
      </x:c>
      <x:c r="C28" s="22" t="str">
        <x:v>Распределить 130 г моцареллы</x:v>
      </x:c>
      <x:c r="D28" s="68" t="n">
        <x:v>0.5</x:v>
      </x:c>
      <x:c r="E28" s="22" t="str">
        <x:v>Весы</x:v>
      </x:c>
      <x:c r="F28" s="22" t="str">
        <x:v>Равномерность</x:v>
      </x:c>
      <x:c r="G28" s="22" t="str">
        <x:v>Комки, свободные зоны</x:v>
      </x:c>
      <x:c r="H28" s="22" t="str">
        <x:v>PENDING_CHEF_VERIFICATION</x:v>
      </x:c>
    </x:row>
    <x:row r="29">
      <x:c r="A29" s="22" t="n">
        <x:v>5</x:v>
      </x:c>
      <x:c r="B29" s="22" t="str">
        <x:v>Пепперони</x:v>
      </x:c>
      <x:c r="C29" s="22" t="str">
        <x:v>Разложить 75 г одним равномерным слоем</x:v>
      </x:c>
      <x:c r="D29" s="68" t="n">
        <x:v>0.5</x:v>
      </x:c>
      <x:c r="E29" s="22" t="str">
        <x:v>Весы, слайсер</x:v>
      </x:c>
      <x:c r="F29" s="22" t="str">
        <x:v>Равномерность и масса</x:v>
      </x:c>
      <x:c r="G29" s="22" t="str">
        <x:v>Скопления, неправильная масса</x:v>
      </x:c>
      <x:c r="H29" s="22" t="str">
        <x:v>PENDING_CHEF_VERIFICATION</x:v>
      </x:c>
    </x:row>
    <x:row r="30">
      <x:c r="A30" s="22" t="n">
        <x:v>6</x:v>
      </x:c>
      <x:c r="B30" s="22" t="str">
        <x:v>Выпечка</x:v>
      </x:c>
      <x:c r="C30" s="22" t="str">
        <x:v>Выпекать по подтверждённому режиму печи</x:v>
      </x:c>
      <x:c r="D30" s="68" t="n">
        <x:v>6.5</x:v>
      </x:c>
      <x:c r="E30" s="22" t="str">
        <x:v>Печь, таймер</x:v>
      </x:c>
      <x:c r="F30" s="22" t="str">
        <x:v>Пропечённость, цвет, плавление</x:v>
      </x:c>
      <x:c r="G30" s="22" t="str">
        <x:v>Сырая/обугленная основа</x:v>
      </x:c>
      <x:c r="H30" s="22" t="str">
        <x:v>EXPERT_NORMATIVE_PENDING_CHEF_VERIFICATION</x:v>
      </x:c>
    </x:row>
    <x:row r="31">
      <x:c r="A31" s="22" t="n">
        <x:v>7</x:v>
      </x:c>
      <x:c r="B31" s="22" t="str">
        <x:v>Финиш</x:v>
      </x:c>
      <x:c r="C31" s="22" t="str">
        <x:v>Проверить готовность; нанести 3 г масла; разрезать</x:v>
      </x:c>
      <x:c r="D31" s="68" t="n">
        <x:v>1</x:v>
      </x:c>
      <x:c r="E31" s="22" t="str">
        <x:v>Дозатор, ролик</x:v>
      </x:c>
      <x:c r="F31" s="22" t="str">
        <x:v>Выход, внешний вид</x:v>
      </x:c>
      <x:c r="G31" s="22" t="str">
        <x:v>Избыток масла, смещение начинки</x:v>
      </x:c>
      <x:c r="H31" s="22" t="str">
        <x:v>PENDING_CHEF_VERIFICATION</x:v>
      </x:c>
    </x:row>
    <x:row r="32">
      <x:c r="A32" s="22" t="n">
        <x:v>8</x:v>
      </x:c>
      <x:c r="B32" s="22" t="str">
        <x:v>Отпуск</x:v>
      </x:c>
      <x:c r="C32" s="22" t="str">
        <x:v>Передать в зал либо упаковать</x:v>
      </x:c>
      <x:c r="D32" s="68" t="n">
        <x:v>1</x:v>
      </x:c>
      <x:c r="E32" s="22" t="str">
        <x:v>Тарелка/коробка</x:v>
      </x:c>
      <x:c r="F32" s="22" t="str">
        <x:v>Температура, целостность</x:v>
      </x:c>
      <x:c r="G32" s="22" t="str">
        <x:v>Деформация, конденсат</x:v>
      </x:c>
      <x:c r="H32" s="22" t="str">
        <x:v>PENDING_MANAGER_VERIFICATION</x:v>
      </x:c>
    </x:row>
    <x:row r="33">
      <x:c r="A33" s="22"/>
      <x:c r="B33" s="22"/>
      <x:c r="C33" s="22"/>
      <x:c r="D33" s="22"/>
      <x:c r="E33" s="22"/>
      <x:c r="F33" s="22"/>
      <x:c r="G33" s="22"/>
      <x:c r="H33" s="22"/>
    </x:row>
    <x:row r="34">
      <x:c r="A34" s="14" t="str">
        <x:v>Канал</x:v>
      </x:c>
      <x:c r="B34" s="14" t="str">
        <x:v>Проектный норматив</x:v>
      </x:c>
      <x:c r="C34" s="22"/>
      <x:c r="D34" s="22"/>
      <x:c r="E34" s="22"/>
      <x:c r="F34" s="22"/>
      <x:c r="G34" s="22"/>
      <x:c r="H34" s="22"/>
    </x:row>
    <x:row r="35">
      <x:c r="A35" s="22" t="str">
        <x:v>À la carte</x:v>
      </x:c>
      <x:c r="B35" s="22" t="str">
        <x:v>10,5 мин</x:v>
      </x:c>
      <x:c r="C35" s="22"/>
      <x:c r="D35" s="22"/>
      <x:c r="E35" s="22"/>
      <x:c r="F35" s="22"/>
      <x:c r="G35" s="22"/>
      <x:c r="H35" s="22"/>
    </x:row>
    <x:row r="36">
      <x:c r="A36" s="22" t="str">
        <x:v>Гостиничный ужин</x:v>
      </x:c>
      <x:c r="B36" s="22" t="str">
        <x:v>10,5 мин</x:v>
      </x:c>
      <x:c r="C36" s="22"/>
      <x:c r="D36" s="22"/>
      <x:c r="E36" s="22"/>
      <x:c r="F36" s="22"/>
      <x:c r="G36" s="22"/>
      <x:c r="H36" s="22"/>
    </x:row>
    <x:row r="37">
      <x:c r="A37" s="22" t="str">
        <x:v>Доставка до передачи курьеру</x:v>
      </x:c>
      <x:c r="B37" s="22" t="str">
        <x:v>12,0 мин</x:v>
      </x:c>
      <x:c r="C37" s="22"/>
      <x:c r="D37" s="22"/>
      <x:c r="E37" s="22"/>
      <x:c r="F37" s="22"/>
      <x:c r="G37" s="22"/>
      <x:c r="H37" s="22"/>
    </x:row>
    <x:row r="38">
      <x:c r="A38" s="22"/>
      <x:c r="B38" s="22"/>
      <x:c r="C38" s="22"/>
      <x:c r="D38" s="22"/>
      <x:c r="E38" s="22"/>
      <x:c r="F38" s="22"/>
      <x:c r="G38" s="22"/>
      <x:c r="H38" s="22"/>
    </x:row>
    <x:row r="39">
      <x:c r="A39" s="48" t="str">
        <x:v>Органолептика, аллергены и safety-блокеры</x:v>
      </x:c>
      <x:c r="B39" s="48"/>
      <x:c r="C39" s="48"/>
      <x:c r="D39" s="48"/>
      <x:c r="E39" s="48"/>
      <x:c r="F39" s="48"/>
      <x:c r="G39" s="48"/>
      <x:c r="H39" s="48"/>
    </x:row>
    <x:row r="40">
      <x:c r="A40" s="14" t="str">
        <x:v>Показатель</x:v>
      </x:c>
      <x:c r="B40" s="14" t="str">
        <x:v>Проектное требование</x:v>
      </x:c>
      <x:c r="C40" s="14" t="str">
        <x:v>Статус</x:v>
      </x:c>
      <x:c r="D40" s="22"/>
      <x:c r="E40" s="14" t="str">
        <x:v>ID</x:v>
      </x:c>
      <x:c r="F40" s="14" t="str">
        <x:v>Блокер</x:v>
      </x:c>
      <x:c r="G40" s="14" t="str">
        <x:v>Статус</x:v>
      </x:c>
      <x:c r="H40" s="14" t="str">
        <x:v>Ответственный</x:v>
      </x:c>
    </x:row>
    <x:row r="41">
      <x:c r="A41" s="22" t="str">
        <x:v>Внешний вид</x:v>
      </x:c>
      <x:c r="B41" s="22" t="str">
        <x:v>Круглая пицца; равномерно распределённая пепперони</x:v>
      </x:c>
      <x:c r="C41" s="22" t="str">
        <x:v>PENDING_CHEF_VERIFICATION</x:v>
      </x:c>
      <x:c r="D41" s="22"/>
      <x:c r="E41" s="22" t="str">
        <x:v>FS-004-01</x:v>
      </x:c>
      <x:c r="F41" s="22" t="str">
        <x:v>SKU и этикетка пепперони</x:v>
      </x:c>
      <x:c r="G41" s="52" t="str">
        <x:v>OPEN</x:v>
      </x:c>
      <x:c r="H41" s="22" t="str">
        <x:v>Шеф/управляющий</x:v>
      </x:c>
    </x:row>
    <x:row r="42">
      <x:c r="A42" s="22" t="str">
        <x:v>Вкус</x:v>
      </x:c>
      <x:c r="B42" s="22" t="str">
        <x:v>Томатно-сырный, умеренно солёный и умеренно острый</x:v>
      </x:c>
      <x:c r="C42" s="22" t="str">
        <x:v>PENDING_CHEF_VERIFICATION</x:v>
      </x:c>
      <x:c r="D42" s="22"/>
      <x:c r="E42" s="22" t="str">
        <x:v>FS-004-02</x:v>
      </x:c>
      <x:c r="F42" s="22" t="str">
        <x:v>Состав и аллергены пепперони</x:v>
      </x:c>
      <x:c r="G42" s="52" t="str">
        <x:v>OPEN</x:v>
      </x:c>
      <x:c r="H42" s="22" t="str">
        <x:v>Шеф/управляющий</x:v>
      </x:c>
    </x:row>
    <x:row r="43">
      <x:c r="A43" s="22" t="str">
        <x:v>Консистенция</x:v>
      </x:c>
      <x:c r="B43" s="22" t="str">
        <x:v>Пропечённая основа; центр не размокший</x:v>
      </x:c>
      <x:c r="C43" s="22" t="str">
        <x:v>PENDING_CHEF_VERIFICATION</x:v>
      </x:c>
      <x:c r="D43" s="22"/>
      <x:c r="E43" s="22" t="str">
        <x:v>FS-004-03</x:v>
      </x:c>
      <x:c r="F43" s="22" t="str">
        <x:v>SKU и свойства моцареллы</x:v>
      </x:c>
      <x:c r="G43" s="52" t="str">
        <x:v>OPEN</x:v>
      </x:c>
      <x:c r="H43" s="22" t="str">
        <x:v>Шеф/управляющий</x:v>
      </x:c>
    </x:row>
    <x:row r="44">
      <x:c r="A44" s="22" t="str">
        <x:v>Аллерген: глютен</x:v>
      </x:c>
      <x:c r="B44" s="22" t="str">
        <x:v>Предполагается по тесту</x:v>
      </x:c>
      <x:c r="C44" s="22" t="str">
        <x:v>REQUIRES_CONFIRMED_SPECIFICATION</x:v>
      </x:c>
      <x:c r="D44" s="22"/>
      <x:c r="E44" s="22" t="str">
        <x:v>FS-004-04</x:v>
      </x:c>
      <x:c r="F44" s="22" t="str">
        <x:v>Версия теста</x:v>
      </x:c>
      <x:c r="G44" s="52" t="str">
        <x:v>OPEN</x:v>
      </x:c>
      <x:c r="H44" s="22" t="str">
        <x:v>Шеф/управляющий</x:v>
      </x:c>
    </x:row>
    <x:row r="45">
      <x:c r="A45" s="22" t="str">
        <x:v>Аллерген: молоко</x:v>
      </x:c>
      <x:c r="B45" s="22" t="str">
        <x:v>Предполагается по моцарелле</x:v>
      </x:c>
      <x:c r="C45" s="22" t="str">
        <x:v>REQUIRES_CONFIRMED_SPECIFICATION</x:v>
      </x:c>
      <x:c r="D45" s="22"/>
      <x:c r="E45" s="22" t="str">
        <x:v>FS-004-05</x:v>
      </x:c>
      <x:c r="F45" s="22" t="str">
        <x:v>Версия томатного соуса</x:v>
      </x:c>
      <x:c r="G45" s="52" t="str">
        <x:v>OPEN</x:v>
      </x:c>
      <x:c r="H45" s="22" t="str">
        <x:v>Шеф/управляющий</x:v>
      </x:c>
    </x:row>
    <x:row r="46">
      <x:c r="A46" s="22" t="str">
        <x:v>Дополнительные аллергены</x:v>
      </x:c>
      <x:c r="B46" s="22" t="str">
        <x:v>Определить по этикеткам пепперони, соуса и всех SKU</x:v>
      </x:c>
      <x:c r="C46" s="22" t="str">
        <x:v>UNKNOWN_NOT_ZERO</x:v>
      </x:c>
      <x:c r="D46" s="22"/>
      <x:c r="E46" s="22" t="str">
        <x:v>FS-004-06</x:v>
      </x:c>
      <x:c r="F46" s="22" t="str">
        <x:v>Фактический режим печи</x:v>
      </x:c>
      <x:c r="G46" s="52" t="str">
        <x:v>OPEN</x:v>
      </x:c>
      <x:c r="H46" s="22" t="str">
        <x:v>Шеф/управляющий</x:v>
      </x:c>
    </x:row>
    <x:row r="47">
      <x:c r="A47" s="22"/>
      <x:c r="B47" s="22"/>
      <x:c r="C47" s="22"/>
      <x:c r="D47" s="22"/>
      <x:c r="E47" s="22" t="str">
        <x:v>FS-004-07</x:v>
      </x:c>
      <x:c r="F47" s="22" t="str">
        <x:v>Фактические потери и выход</x:v>
      </x:c>
      <x:c r="G47" s="52" t="str">
        <x:v>OPEN</x:v>
      </x:c>
      <x:c r="H47" s="22" t="str">
        <x:v>Шеф/управляющий</x:v>
      </x:c>
    </x:row>
    <x:row r="48">
      <x:c r="A48" s="22"/>
      <x:c r="B48" s="22"/>
      <x:c r="C48" s="22"/>
      <x:c r="D48" s="22"/>
      <x:c r="E48" s="22" t="str">
        <x:v>FS-004-08</x:v>
      </x:c>
      <x:c r="F48" s="22" t="str">
        <x:v>Диаметр пиццы</x:v>
      </x:c>
      <x:c r="G48" s="52" t="str">
        <x:v>OPEN</x:v>
      </x:c>
      <x:c r="H48" s="22" t="str">
        <x:v>Шеф/управляющий</x:v>
      </x:c>
    </x:row>
    <x:row r="49">
      <x:c r="A49" s="22"/>
      <x:c r="B49" s="22"/>
      <x:c r="C49" s="22"/>
      <x:c r="D49" s="22"/>
      <x:c r="E49" s="22" t="str">
        <x:v>FS-004-09</x:v>
      </x:c>
      <x:c r="F49" s="22" t="str">
        <x:v>Сроки и условия хранения ПФ</x:v>
      </x:c>
      <x:c r="G49" s="52" t="str">
        <x:v>OPEN</x:v>
      </x:c>
      <x:c r="H49" s="22" t="str">
        <x:v>Шеф/управляющий</x:v>
      </x:c>
    </x:row>
    <x:row r="50">
      <x:c r="A50" s="22"/>
      <x:c r="B50" s="22"/>
      <x:c r="C50" s="22"/>
      <x:c r="D50" s="22"/>
      <x:c r="E50" s="22" t="str">
        <x:v>FS-004-10</x:v>
      </x:c>
      <x:c r="F50" s="22" t="str">
        <x:v>Срок пепперони после вскрытия</x:v>
      </x:c>
      <x:c r="G50" s="52" t="str">
        <x:v>OPEN</x:v>
      </x:c>
      <x:c r="H50" s="22" t="str">
        <x:v>Шеф/управляющий</x:v>
      </x:c>
    </x:row>
    <x:row r="51">
      <x:c r="A51" s="22"/>
      <x:c r="B51" s="22"/>
      <x:c r="C51" s="22"/>
      <x:c r="D51" s="22"/>
      <x:c r="E51" s="22" t="str">
        <x:v>FS-004-11</x:v>
      </x:c>
      <x:c r="F51" s="22" t="str">
        <x:v>Cross-contact аллергенов</x:v>
      </x:c>
      <x:c r="G51" s="52" t="str">
        <x:v>OPEN</x:v>
      </x:c>
      <x:c r="H51" s="22" t="str">
        <x:v>Шеф/управляющий</x:v>
      </x:c>
    </x:row>
    <x:row r="52">
      <x:c r="A52" s="22"/>
      <x:c r="B52" s="22"/>
      <x:c r="C52" s="22"/>
      <x:c r="D52" s="22"/>
      <x:c r="E52" s="22" t="str">
        <x:v>FS-004-12</x:v>
      </x:c>
      <x:c r="F52" s="22" t="str">
        <x:v>Упаковка доставки</x:v>
      </x:c>
      <x:c r="G52" s="52" t="str">
        <x:v>OPEN</x:v>
      </x:c>
      <x:c r="H52" s="22" t="str">
        <x:v>Шеф/управляющий</x:v>
      </x:c>
    </x:row>
    <x:row r="53">
      <x:c r="A53" s="22"/>
      <x:c r="B53" s="22"/>
      <x:c r="C53" s="22"/>
      <x:c r="D53" s="22"/>
      <x:c r="E53" s="22" t="str">
        <x:v>FS-004-13</x:v>
      </x:c>
      <x:c r="F53" s="22" t="str">
        <x:v>Тесты доставки 15/30/45 минут</x:v>
      </x:c>
      <x:c r="G53" s="52" t="str">
        <x:v>OPEN</x:v>
      </x:c>
      <x:c r="H53" s="22" t="str">
        <x:v>Шеф/управляющий</x:v>
      </x:c>
    </x:row>
    <x:row r="54">
      <x:c r="A54" s="22"/>
      <x:c r="B54" s="22"/>
      <x:c r="C54" s="22"/>
      <x:c r="D54" s="22"/>
      <x:c r="E54" s="22" t="str">
        <x:v>FS-004-14</x:v>
      </x:c>
      <x:c r="F54" s="22" t="str">
        <x:v>Минимум три контрольных приготовления</x:v>
      </x:c>
      <x:c r="G54" s="52" t="str">
        <x:v>OPEN</x:v>
      </x:c>
      <x:c r="H54" s="22" t="str">
        <x:v>Шеф/управляющий</x:v>
      </x:c>
    </x:row>
    <x:row r="55">
      <x:c r="A55" s="22"/>
      <x:c r="B55" s="22"/>
      <x:c r="C55" s="22"/>
      <x:c r="D55" s="22"/>
      <x:c r="E55" s="22" t="str">
        <x:v>FS-004-15</x:v>
      </x:c>
      <x:c r="F55" s="22" t="str">
        <x:v>Решения шеф-повара и управляющего</x:v>
      </x:c>
      <x:c r="G55" s="52" t="str">
        <x:v>OPEN</x:v>
      </x:c>
      <x:c r="H55" s="22" t="str">
        <x:v>Шеф/управляющий</x:v>
      </x:c>
    </x:row>
  </x:sheetData>
  <x:mergeCells>
    <x:mergeCell ref="A1:H1"/>
    <x:mergeCell ref="A12:H12"/>
    <x:mergeCell ref="A23:H23"/>
    <x:mergeCell ref="A39:H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20" hidden="0" customWidth="1"/>
    <x:col min="4" max="4" width="44" hidden="0" customWidth="1"/>
    <x:col min="5" max="5" width="38" hidden="0" customWidth="1"/>
    <x:col min="6" max="6" width="28" hidden="0" customWidth="1"/>
    <x:col min="7" max="7" width="21" hidden="0" customWidth="1"/>
    <x:col min="8" max="8" width="32" hidden="0" customWidth="1"/>
    <x:col min="9" max="9" width="14" hidden="0" customWidth="1"/>
    <x:col min="10" max="10" width="22" hidden="0" customWidth="1"/>
    <x:col min="11" max="11" width="20" hidden="0" customWidth="1"/>
  </x:cols>
  <x:sheetData>
    <x:row r="1">
      <x:c r="A1" s="46" t="str">
        <x:v>VKM-004 / VKT-004 — Анкета согласования шеф-повара и управляющего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14" t="str">
        <x:v>№</x:v>
      </x:c>
      <x:c r="B3" s="14" t="str">
        <x:v>Кому</x:v>
      </x:c>
      <x:c r="C3" s="14" t="str">
        <x:v>Блок</x:v>
      </x:c>
      <x:c r="D3" s="14" t="str">
        <x:v>Вопрос</x:v>
      </x:c>
      <x:c r="E3" s="14" t="str">
        <x:v>Предлагаемое значение</x:v>
      </x:c>
      <x:c r="F3" s="14" t="str">
        <x:v>Ответ/факт</x:v>
      </x:c>
      <x:c r="G3" s="14" t="str">
        <x:v>Решение</x:v>
      </x:c>
      <x:c r="H3" s="14" t="str">
        <x:v>Комментарий</x:v>
      </x:c>
      <x:c r="I3" s="14" t="str">
        <x:v>Дата</x:v>
      </x:c>
      <x:c r="J3" s="14" t="str">
        <x:v>ФИО</x:v>
      </x:c>
      <x:c r="K3" s="14" t="str">
        <x:v>Подпись/отметка</x:v>
      </x:c>
    </x:row>
    <x:row r="4">
      <x:c r="A4" s="22" t="n">
        <x:v>1</x:v>
      </x:c>
      <x:c r="B4" s="22" t="str">
        <x:v>Шеф-повар</x:v>
      </x:c>
      <x:c r="C4" s="22" t="str">
        <x:v>Концепция</x:v>
      </x:c>
      <x:c r="D4" s="22" t="str">
        <x:v>Подтвердить базовую томатную концепцию без дополнительных овощей?</x:v>
      </x:c>
      <x:c r="E4" s="22" t="str">
        <x:v>Тесто, томатный соус, моцарелла, пепперони, финишное масло</x:v>
      </x:c>
      <x:c r="F4" s="74" t="str"/>
      <x:c r="G4" s="74" t="str"/>
      <x:c r="H4" s="74" t="str"/>
      <x:c r="I4" s="74" t="str"/>
      <x:c r="J4" s="74" t="str"/>
      <x:c r="K4" s="74" t="str"/>
    </x:row>
    <x:row r="5">
      <x:c r="A5" s="22" t="n">
        <x:v>2</x:v>
      </x:c>
      <x:c r="B5" s="22" t="str">
        <x:v>Шеф-повар</x:v>
      </x:c>
      <x:c r="C5" s="22" t="str">
        <x:v>Рецептура</x:v>
      </x:c>
      <x:c r="D5" s="22" t="str">
        <x:v>Подтвердить массы компонентов?</x:v>
      </x:c>
      <x:c r="E5" s="22" t="str">
        <x:v>250/72/130/75/3 г</x:v>
      </x:c>
      <x:c r="F5" s="74" t="str"/>
      <x:c r="G5" s="74" t="str"/>
      <x:c r="H5" s="74" t="str"/>
      <x:c r="I5" s="74" t="str"/>
      <x:c r="J5" s="74" t="str"/>
      <x:c r="K5" s="74" t="str"/>
    </x:row>
    <x:row r="6">
      <x:c r="A6" s="22" t="n">
        <x:v>3</x:v>
      </x:c>
      <x:c r="B6" s="22" t="str">
        <x:v>Шеф-повар</x:v>
      </x:c>
      <x:c r="C6" s="22" t="str">
        <x:v>Выход</x:v>
      </x:c>
      <x:c r="D6" s="22" t="str">
        <x:v>Подтвердить выход и допустимое отклонение?</x:v>
      </x:c>
      <x:c r="E6" s="22" t="str">
        <x:v>500 г; допуск установить по проработке</x:v>
      </x:c>
      <x:c r="F6" s="74" t="str"/>
      <x:c r="G6" s="74" t="str"/>
      <x:c r="H6" s="74" t="str"/>
      <x:c r="I6" s="74" t="str"/>
      <x:c r="J6" s="74" t="str"/>
      <x:c r="K6" s="74" t="str"/>
    </x:row>
    <x:row r="7">
      <x:c r="A7" s="22" t="n">
        <x:v>4</x:v>
      </x:c>
      <x:c r="B7" s="22" t="str">
        <x:v>Шеф-повар</x:v>
      </x:c>
      <x:c r="C7" s="22" t="str">
        <x:v>Диаметр</x:v>
      </x:c>
      <x:c r="D7" s="22" t="str">
        <x:v>Утвердить фактический диаметр?</x:v>
      </x:c>
      <x:c r="E7" s="22" t="str">
        <x:v>Рабочий ориентир 30–32 см</x:v>
      </x:c>
      <x:c r="F7" s="74" t="str"/>
      <x:c r="G7" s="74" t="str"/>
      <x:c r="H7" s="74" t="str"/>
      <x:c r="I7" s="74" t="str"/>
      <x:c r="J7" s="74" t="str"/>
      <x:c r="K7" s="74" t="str"/>
    </x:row>
    <x:row r="8">
      <x:c r="A8" s="22" t="n">
        <x:v>5</x:v>
      </x:c>
      <x:c r="B8" s="22" t="str">
        <x:v>Шеф-повар</x:v>
      </x:c>
      <x:c r="C8" s="22" t="str">
        <x:v>Пепперони</x:v>
      </x:c>
      <x:c r="D8" s="22" t="str">
        <x:v>Утвердить SKU, состав, диаметр и массу ломтика?</x:v>
      </x:c>
      <x:c r="E8" s="22" t="str">
        <x:v>75 г; ориентир 25–30 ломтиков</x:v>
      </x:c>
      <x:c r="F8" s="74" t="str"/>
      <x:c r="G8" s="74" t="str"/>
      <x:c r="H8" s="74" t="str"/>
      <x:c r="I8" s="74" t="str"/>
      <x:c r="J8" s="74" t="str"/>
      <x:c r="K8" s="74" t="str"/>
    </x:row>
    <x:row r="9">
      <x:c r="A9" s="22" t="n">
        <x:v>6</x:v>
      </x:c>
      <x:c r="B9" s="22" t="str">
        <x:v>Шеф-повар</x:v>
      </x:c>
      <x:c r="C9" s="22" t="str">
        <x:v>Моцарелла</x:v>
      </x:c>
      <x:c r="D9" s="22" t="str">
        <x:v>Утвердить SKU и технологические свойства?</x:v>
      </x:c>
      <x:c r="E9" s="22" t="str">
        <x:v>130 г; сыр для горячего применения</x:v>
      </x:c>
      <x:c r="F9" s="74" t="str"/>
      <x:c r="G9" s="74" t="str"/>
      <x:c r="H9" s="74" t="str"/>
      <x:c r="I9" s="74" t="str"/>
      <x:c r="J9" s="74" t="str"/>
      <x:c r="K9" s="74" t="str"/>
    </x:row>
    <x:row r="10">
      <x:c r="A10" s="22" t="n">
        <x:v>7</x:v>
      </x:c>
      <x:c r="B10" s="22" t="str">
        <x:v>Шеф-повар</x:v>
      </x:c>
      <x:c r="C10" s="22" t="str">
        <x:v>ПФ</x:v>
      </x:c>
      <x:c r="D10" s="22" t="str">
        <x:v>Подтвердить версии теста и томатного соуса?</x:v>
      </x:c>
      <x:c r="E10" s="22" t="str">
        <x:v>Общие версии пицц, подлежащие проверке</x:v>
      </x:c>
      <x:c r="F10" s="74" t="str"/>
      <x:c r="G10" s="74" t="str"/>
      <x:c r="H10" s="74" t="str"/>
      <x:c r="I10" s="74" t="str"/>
      <x:c r="J10" s="74" t="str"/>
      <x:c r="K10" s="74" t="str"/>
    </x:row>
    <x:row r="11">
      <x:c r="A11" s="22" t="n">
        <x:v>8</x:v>
      </x:c>
      <x:c r="B11" s="22" t="str">
        <x:v>Шеф-повар</x:v>
      </x:c>
      <x:c r="C11" s="22" t="str">
        <x:v>Выпечка</x:v>
      </x:c>
      <x:c r="D11" s="22" t="str">
        <x:v>Утвердить режим печи по контрольным приготовлениям?</x:v>
      </x:c>
      <x:c r="E11" s="22" t="str">
        <x:v>Проектный этап 6,0–7,0 мин</x:v>
      </x:c>
      <x:c r="F11" s="74" t="str"/>
      <x:c r="G11" s="74" t="str"/>
      <x:c r="H11" s="74" t="str"/>
      <x:c r="I11" s="74" t="str"/>
      <x:c r="J11" s="74" t="str"/>
      <x:c r="K11" s="74" t="str"/>
    </x:row>
    <x:row r="12">
      <x:c r="A12" s="22" t="n">
        <x:v>9</x:v>
      </x:c>
      <x:c r="B12" s="22" t="str">
        <x:v>Шеф-повар</x:v>
      </x:c>
      <x:c r="C12" s="22" t="str">
        <x:v>Время</x:v>
      </x:c>
      <x:c r="D12" s="22" t="str">
        <x:v>Подтвердить норматив приготовления?</x:v>
      </x:c>
      <x:c r="E12" s="22" t="str">
        <x:v>10,5 мин; доставка 12,0 мин</x:v>
      </x:c>
      <x:c r="F12" s="74" t="str"/>
      <x:c r="G12" s="74" t="str"/>
      <x:c r="H12" s="74" t="str"/>
      <x:c r="I12" s="74" t="str"/>
      <x:c r="J12" s="74" t="str"/>
      <x:c r="K12" s="74" t="str"/>
    </x:row>
    <x:row r="13">
      <x:c r="A13" s="22" t="n">
        <x:v>10</x:v>
      </x:c>
      <x:c r="B13" s="22" t="str">
        <x:v>Шеф-повар</x:v>
      </x:c>
      <x:c r="C13" s="22" t="str">
        <x:v>Потери</x:v>
      </x:c>
      <x:c r="D13" s="22" t="str">
        <x:v>Подтвердить потери при выпечке?</x:v>
      </x:c>
      <x:c r="E13" s="22" t="str">
        <x:v>30 г</x:v>
      </x:c>
      <x:c r="F13" s="74" t="str"/>
      <x:c r="G13" s="74" t="str"/>
      <x:c r="H13" s="74" t="str"/>
      <x:c r="I13" s="74" t="str"/>
      <x:c r="J13" s="74" t="str"/>
      <x:c r="K13" s="74" t="str"/>
    </x:row>
    <x:row r="14">
      <x:c r="A14" s="22" t="n">
        <x:v>11</x:v>
      </x:c>
      <x:c r="B14" s="22" t="str">
        <x:v>Шеф-повар</x:v>
      </x:c>
      <x:c r="C14" s="22" t="str">
        <x:v>Финиш</x:v>
      </x:c>
      <x:c r="D14" s="22" t="str">
        <x:v>Сохранить финишное масло?</x:v>
      </x:c>
      <x:c r="E14" s="22" t="str">
        <x:v>3 г после выпечки</x:v>
      </x:c>
      <x:c r="F14" s="74" t="str"/>
      <x:c r="G14" s="74" t="str"/>
      <x:c r="H14" s="74" t="str"/>
      <x:c r="I14" s="74" t="str"/>
      <x:c r="J14" s="74" t="str"/>
      <x:c r="K14" s="74" t="str"/>
    </x:row>
    <x:row r="15">
      <x:c r="A15" s="22" t="n">
        <x:v>12</x:v>
      </x:c>
      <x:c r="B15" s="22" t="str">
        <x:v>Шеф-повар</x:v>
      </x:c>
      <x:c r="C15" s="22" t="str">
        <x:v>Органолептика</x:v>
      </x:c>
      <x:c r="D15" s="22" t="str">
        <x:v>Подтвердить критерии готовности и брака?</x:v>
      </x:c>
      <x:c r="E15" s="22" t="str">
        <x:v>Согласно техкарте</x:v>
      </x:c>
      <x:c r="F15" s="74" t="str"/>
      <x:c r="G15" s="74" t="str"/>
      <x:c r="H15" s="74" t="str"/>
      <x:c r="I15" s="74" t="str"/>
      <x:c r="J15" s="74" t="str"/>
      <x:c r="K15" s="74" t="str"/>
    </x:row>
    <x:row r="16">
      <x:c r="A16" s="22" t="n">
        <x:v>13</x:v>
      </x:c>
      <x:c r="B16" s="22" t="str">
        <x:v>Шеф-повар</x:v>
      </x:c>
      <x:c r="C16" s="22" t="str">
        <x:v>Аллергены</x:v>
      </x:c>
      <x:c r="D16" s="22" t="str">
        <x:v>Подтвердить аллергены и cross-contact по утверждённым SKU?</x:v>
      </x:c>
      <x:c r="E16" s="22" t="str">
        <x:v>Глютен, молоко; прочие по этикеткам</x:v>
      </x:c>
      <x:c r="F16" s="74" t="str"/>
      <x:c r="G16" s="74" t="str"/>
      <x:c r="H16" s="74" t="str"/>
      <x:c r="I16" s="74" t="str"/>
      <x:c r="J16" s="74" t="str"/>
      <x:c r="K16" s="74" t="str"/>
    </x:row>
    <x:row r="17">
      <x:c r="A17" s="22" t="n">
        <x:v>14</x:v>
      </x:c>
      <x:c r="B17" s="22" t="str">
        <x:v>Шеф-повар</x:v>
      </x:c>
      <x:c r="C17" s="22" t="str">
        <x:v>Контрольные приготовления</x:v>
      </x:c>
      <x:c r="D17" s="22" t="str">
        <x:v>Провести и оформить минимум три прогона?</x:v>
      </x:c>
      <x:c r="E17" s="22" t="str">
        <x:v>Обязательно до производственного допуска</x:v>
      </x:c>
      <x:c r="F17" s="74" t="str"/>
      <x:c r="G17" s="74" t="str"/>
      <x:c r="H17" s="74" t="str"/>
      <x:c r="I17" s="74" t="str"/>
      <x:c r="J17" s="74" t="str"/>
      <x:c r="K17" s="74" t="str"/>
    </x:row>
    <x:row r="18">
      <x:c r="A18" s="22" t="n">
        <x:v>15</x:v>
      </x:c>
      <x:c r="B18" s="22" t="str">
        <x:v>Управляющий</x:v>
      </x:c>
      <x:c r="C18" s="22" t="str">
        <x:v>Закупки</x:v>
      </x:c>
      <x:c r="D18" s="22" t="str">
        <x:v>Подтвердить фактические закупочные цены и поставщиков?</x:v>
      </x:c>
      <x:c r="E18" s="22" t="str">
        <x:v>COGS 258,60 ₽ основан на допущениях</x:v>
      </x:c>
      <x:c r="F18" s="74" t="str"/>
      <x:c r="G18" s="74" t="str"/>
      <x:c r="H18" s="74" t="str"/>
      <x:c r="I18" s="74" t="str"/>
      <x:c r="J18" s="74" t="str"/>
      <x:c r="K18" s="74" t="str"/>
    </x:row>
    <x:row r="19">
      <x:c r="A19" s="22" t="n">
        <x:v>16</x:v>
      </x:c>
      <x:c r="B19" s="22" t="str">
        <x:v>Управляющий</x:v>
      </x:c>
      <x:c r="C19" s="22" t="str">
        <x:v>Цена</x:v>
      </x:c>
      <x:c r="D19" s="22" t="str">
        <x:v>Подтвердить единую цену для трёх каналов?</x:v>
      </x:c>
      <x:c r="E19" s="22" t="str">
        <x:v>890 ₽</x:v>
      </x:c>
      <x:c r="F19" s="74" t="str"/>
      <x:c r="G19" s="74" t="str"/>
      <x:c r="H19" s="74" t="str"/>
      <x:c r="I19" s="74" t="str"/>
      <x:c r="J19" s="74" t="str"/>
      <x:c r="K19" s="74" t="str"/>
    </x:row>
    <x:row r="20">
      <x:c r="A20" s="22" t="n">
        <x:v>17</x:v>
      </x:c>
      <x:c r="B20" s="22" t="str">
        <x:v>Управляющий</x:v>
      </x:c>
      <x:c r="C20" s="22" t="str">
        <x:v>Эквайринг</x:v>
      </x:c>
      <x:c r="D20" s="22" t="str">
        <x:v>Подтвердить ставку эквайринга?</x:v>
      </x:c>
      <x:c r="E20" s="22" t="str">
        <x:v>2,5%</x:v>
      </x:c>
      <x:c r="F20" s="74" t="str"/>
      <x:c r="G20" s="74" t="str"/>
      <x:c r="H20" s="74" t="str"/>
      <x:c r="I20" s="74" t="str"/>
      <x:c r="J20" s="74" t="str"/>
      <x:c r="K20" s="74" t="str"/>
    </x:row>
    <x:row r="21">
      <x:c r="A21" s="22" t="n">
        <x:v>18</x:v>
      </x:c>
      <x:c r="B21" s="22" t="str">
        <x:v>Управляющий</x:v>
      </x:c>
      <x:c r="C21" s="22" t="str">
        <x:v>Доставка</x:v>
      </x:c>
      <x:c r="D21" s="22" t="str">
        <x:v>Подтвердить комиссию агрегатора?</x:v>
      </x:c>
      <x:c r="E21" s="22" t="str">
        <x:v>25%</x:v>
      </x:c>
      <x:c r="F21" s="74" t="str"/>
      <x:c r="G21" s="74" t="str"/>
      <x:c r="H21" s="74" t="str"/>
      <x:c r="I21" s="74" t="str"/>
      <x:c r="J21" s="74" t="str"/>
      <x:c r="K21" s="74" t="str"/>
    </x:row>
    <x:row r="22">
      <x:c r="A22" s="22" t="n">
        <x:v>19</x:v>
      </x:c>
      <x:c r="B22" s="22" t="str">
        <x:v>Управляющий</x:v>
      </x:c>
      <x:c r="C22" s="22" t="str">
        <x:v>Упаковка</x:v>
      </x:c>
      <x:c r="D22" s="22" t="str">
        <x:v>Утвердить комплект и стоимость упаковки?</x:v>
      </x:c>
      <x:c r="E22" s="22" t="str">
        <x:v>45 ₽</x:v>
      </x:c>
      <x:c r="F22" s="74" t="str"/>
      <x:c r="G22" s="74" t="str"/>
      <x:c r="H22" s="74" t="str"/>
      <x:c r="I22" s="74" t="str"/>
      <x:c r="J22" s="74" t="str"/>
      <x:c r="K22" s="74" t="str"/>
    </x:row>
    <x:row r="23">
      <x:c r="A23" s="22" t="n">
        <x:v>20</x:v>
      </x:c>
      <x:c r="B23" s="22" t="str">
        <x:v>Управляющий</x:v>
      </x:c>
      <x:c r="C23" s="22" t="str">
        <x:v>Гостиничный ужин</x:v>
      </x:c>
      <x:c r="D23" s="22" t="str">
        <x:v>Установить дополнительные прямые расходы?</x:v>
      </x:c>
      <x:c r="E23" s="22" t="str">
        <x:v>UNKNOWN_NOT_ZERO</x:v>
      </x:c>
      <x:c r="F23" s="74" t="str"/>
      <x:c r="G23" s="74" t="str"/>
      <x:c r="H23" s="74" t="str"/>
      <x:c r="I23" s="74" t="str"/>
      <x:c r="J23" s="74" t="str"/>
      <x:c r="K23" s="74" t="str"/>
    </x:row>
    <x:row r="24">
      <x:c r="A24" s="22" t="n">
        <x:v>21</x:v>
      </x:c>
      <x:c r="B24" s="22" t="str">
        <x:v>Управляющий</x:v>
      </x:c>
      <x:c r="C24" s="22" t="str">
        <x:v>Налоги</x:v>
      </x:c>
      <x:c r="D24" s="22" t="str">
        <x:v>Установить применимый налоговый режим для unit economics?</x:v>
      </x:c>
      <x:c r="E24" s="22" t="str">
        <x:v>UNKNOWN_NOT_ZERO</x:v>
      </x:c>
      <x:c r="F24" s="74" t="str"/>
      <x:c r="G24" s="74" t="str"/>
      <x:c r="H24" s="74" t="str"/>
      <x:c r="I24" s="74" t="str"/>
      <x:c r="J24" s="74" t="str"/>
      <x:c r="K24" s="74" t="str"/>
    </x:row>
    <x:row r="25">
      <x:c r="A25" s="22" t="n">
        <x:v>22</x:v>
      </x:c>
      <x:c r="B25" s="22" t="str">
        <x:v>Управляющий</x:v>
      </x:c>
      <x:c r="C25" s="22" t="str">
        <x:v>Маркировка</x:v>
      </x:c>
      <x:c r="D25" s="22" t="str">
        <x:v>Утвердить правила маркировки ПФ и вскрытой пепперони?</x:v>
      </x:c>
      <x:c r="E25" s="22" t="str">
        <x:v>До производственного допуска</x:v>
      </x:c>
      <x:c r="F25" s="74" t="str"/>
      <x:c r="G25" s="74" t="str"/>
      <x:c r="H25" s="74" t="str"/>
      <x:c r="I25" s="74" t="str"/>
      <x:c r="J25" s="74" t="str"/>
      <x:c r="K25" s="74" t="str"/>
    </x:row>
    <x:row r="26">
      <x:c r="A26" s="22" t="n">
        <x:v>23</x:v>
      </x:c>
      <x:c r="B26" s="22" t="str">
        <x:v>Управляющий</x:v>
      </x:c>
      <x:c r="C26" s="22" t="str">
        <x:v>Доставка</x:v>
      </x:c>
      <x:c r="D26" s="22" t="str">
        <x:v>Организовать тесты качества через 15/30/45 минут?</x:v>
      </x:c>
      <x:c r="E26" s="22" t="str">
        <x:v>Обязательно</x:v>
      </x:c>
      <x:c r="F26" s="74" t="str"/>
      <x:c r="G26" s="74" t="str"/>
      <x:c r="H26" s="74" t="str"/>
      <x:c r="I26" s="74" t="str"/>
      <x:c r="J26" s="74" t="str"/>
      <x:c r="K26" s="74" t="str"/>
    </x:row>
    <x:row r="27">
      <x:c r="A27" s="22" t="n">
        <x:v>24</x:v>
      </x:c>
      <x:c r="B27" s="22" t="str">
        <x:v>Шеф-повар и управляющий</x:v>
      </x:c>
      <x:c r="C27" s="22" t="str">
        <x:v>Итог</x:v>
      </x:c>
      <x:c r="D27" s="22" t="str">
        <x:v>Определить итоговый статус блюда?</x:v>
      </x:c>
      <x:c r="E27" s="22" t="str">
        <x:v>Не выше PENDING_CHEF_MANAGER_VERIFICATION до закрытия блокеров</x:v>
      </x:c>
      <x:c r="F27" s="74" t="str"/>
      <x:c r="G27" s="74" t="str"/>
      <x:c r="H27" s="74" t="str"/>
      <x:c r="I27" s="74" t="str"/>
      <x:c r="J27" s="74" t="str"/>
      <x:c r="K27" s="74" t="str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48" t="str">
        <x:v>Итог согласования</x:v>
      </x:c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</x:row>
    <x:row r="30">
      <x:c r="A30" s="14" t="str">
        <x:v>Поле</x:v>
      </x:c>
      <x:c r="B30" s="14" t="str">
        <x:v>Значение</x:v>
      </x:c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 t="str">
        <x:v>Итоговое решение</x:v>
      </x:c>
      <x:c r="B31" s="74" t="str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 t="str">
        <x:v>Условия/замечания</x:v>
      </x:c>
      <x:c r="B32" s="74" t="str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 t="str">
        <x:v>Дата</x:v>
      </x:c>
      <x:c r="B33" s="74" t="str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 t="str">
        <x:v>ФИО и роль</x:v>
      </x:c>
      <x:c r="B34" s="74" t="str"/>
      <x:c r="C34" s="22"/>
      <x:c r="D34" s="22"/>
      <x:c r="E34" s="22"/>
      <x:c r="F34" s="22"/>
      <x:c r="G34" s="22"/>
      <x:c r="H34" s="22"/>
      <x:c r="I34" s="22"/>
      <x:c r="J34" s="22"/>
      <x:c r="K34" s="22"/>
    </x:row>
  </x:sheetData>
  <x:mergeCells>
    <x:mergeCell ref="A1:K1"/>
    <x:mergeCell ref="A29:K29"/>
  </x:mergeCells>
  <x:dataValidations count="2">
    <x:dataValidation type="list" sqref="G4:G27">
      <x:formula1>"СОГЛАСОВАНО,ИЗМЕНИТЬ,ОТКЛОНЕНО,ТРЕБУЕТСЯ ТЕСТ,Н/П"</x:formula1>
    </x:dataValidation>
    <x:dataValidation type="list" sqref="B31">
      <x:formula1>"СОГЛАСОВАНО,СОГЛАСОВАНО С УСЛОВИЯМИ,НА ДОРАБОТКУ,ОТКЛОНЕНО"</x:formula1>
    </x:dataValidation>
  </x:dataValidations>
  <x:pageMargins left="0.7" right="0.7" top="0.75" bottom="0.75" header="0.3" footer="0.3"/>
</x:worksheet>
</file>