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0bd5f13bf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ЬКУЛЯЦИЯ" sheetId="1" r:id="Rc60eeb31e40f4232"/>
    <x:sheet xmlns:r="http://schemas.openxmlformats.org/officeDocument/2006/relationships" name="ТЕХКАРТА" sheetId="2" r:id="Raa3f6730cf244ab3"/>
    <x:sheet xmlns:r="http://schemas.openxmlformats.org/officeDocument/2006/relationships" name="АНКЕТА" sheetId="3" r:id="Rcf468ae4a05d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"/>
    <x:numFmt numFmtId="202" formatCode="0"/>
    <x:numFmt numFmtId="203" formatCode="0.00%"/>
    <x:numFmt numFmtId="204" formatCode="dd.mm.yyyy"/>
  </x:numFmts>
  <x:fonts count="6">
    <x:font>
      <x:sz val="11"/>
      <x:name val="Carlito"/>
    </x:font>
    <x:font>
      <x:b/>
      <x:sz val="14"/>
      <x:color rgb="FFFFFFFF"/>
      <x:name val="Carlito"/>
    </x:font>
    <x:font>
      <x:sz val="11"/>
      <x:color rgb="FF9C0006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5" fillId="6" borderId="0" xfId="0" applyNumberFormat="1" applyFont="1" applyFill="1" applyBorder="1"/>
    <x:xf numFmtId="201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4" fontId="0" fillId="7" borderId="0" xfId="0" applyNumberFormat="1" applyFont="1" applyFill="1" applyBorder="1"/>
    <x:xf numFmtId="204" fontId="0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4" borderId="6" xfId="0" applyNumberFormat="1" applyFont="1" applyFill="1" applyBorder="1" applyAlignment="1">
      <x:alignment horizontal="left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horizontal="left" vertical="center" wrapText="1"/>
    </x:xf>
    <x:xf numFmtId="0" fontId="3" fillId="4" borderId="11" xfId="0" applyNumberFormat="1" applyFont="1" applyFill="1" applyBorder="1" applyAlignment="1">
      <x:alignment horizontal="left"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horizontal="left" vertical="center" wrapText="1"/>
    </x:xf>
    <x:xf numFmtId="0" fontId="3" fillId="4" borderId="14" xfId="0" applyNumberFormat="1" applyFont="1" applyFill="1" applyBorder="1" applyAlignment="1">
      <x:alignment horizontal="left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wrapText="1"/>
    </x:xf>
    <x:xf numFmtId="201" fontId="5" fillId="6" borderId="1" xfId="0" applyNumberFormat="1" applyFont="1" applyFill="1" applyBorder="1" applyAlignment="1">
      <x:alignment wrapText="1"/>
    </x:xf>
    <x:xf numFmtId="201" fontId="5" fillId="6" borderId="0" xfId="0" applyNumberFormat="1" applyFont="1" applyFill="1" applyBorder="1" applyAlignment="1">
      <x:alignment vertical="center" wrapText="1"/>
    </x:xf>
    <x:xf numFmtId="201" fontId="5" fillId="6" borderId="1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3" fillId="4" borderId="12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 applyAlignment="1">
      <x:alignment wrapText="1"/>
    </x:xf>
    <x:xf numFmtId="204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4" fontId="0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204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4" fontId="0" fillId="7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203" fontId="0" fillId="7" borderId="0" xfId="0" applyNumberFormat="1" applyFont="1" applyFill="1" applyBorder="1" applyAlignment="1">
      <x:alignment vertical="center" wrapText="1"/>
    </x:xf>
    <x:xf numFmtId="203" fontId="0" fillId="7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3" fillId="8" borderId="5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horizontal="left" vertical="center" wrapText="1"/>
    </x:xf>
    <x:xf numFmtId="0" fontId="3" fillId="8" borderId="6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a705d6b81421f" /><Relationship Type="http://schemas.openxmlformats.org/officeDocument/2006/relationships/theme" Target="/xl/theme/theme1.xml" Id="R7bd09712cb654769" /><Relationship Type="http://schemas.openxmlformats.org/officeDocument/2006/relationships/sharedStrings" Target="/xl/sharedStrings.xml" Id="Raa487fabd2be4663" /><Relationship Type="http://schemas.openxmlformats.org/officeDocument/2006/relationships/worksheet" Target="/xl/worksheets/sheet1.xml" Id="Rc60eeb31e40f4232" /><Relationship Type="http://schemas.openxmlformats.org/officeDocument/2006/relationships/worksheet" Target="/xl/worksheets/sheet2.xml" Id="Raa3f6730cf244ab3" /><Relationship Type="http://schemas.openxmlformats.org/officeDocument/2006/relationships/worksheet" Target="/xl/worksheets/sheet3.xml" Id="Rcf468ae4a05d45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" hidden="0" customWidth="1"/>
    <x:col min="3" max="3" width="24" hidden="0" customWidth="1"/>
    <x:col min="4" max="4" width="13" hidden="0" customWidth="1"/>
    <x:col min="5" max="5" width="14" hidden="0" customWidth="1"/>
    <x:col min="6" max="6" width="14" hidden="0" customWidth="1"/>
    <x:col min="7" max="7" width="34" hidden="0" customWidth="1"/>
    <x:col min="8" max="8" width="30" hidden="0" customWidth="1"/>
    <x:col min="9" max="9" width="16" hidden="0" customWidth="1"/>
    <x:col min="10" max="10" width="28" hidden="0" customWidth="1"/>
  </x:cols>
  <x:sheetData>
    <x:row r="1">
      <x:c r="A1" s="50" t="str">
        <x:v>VKM-003 / VKC-003 — Пицца «Грибная с ветчиной» — КАЛЬКУЛЯЦИЯ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>
      <x:c r="A2" s="68" t="str">
        <x:v>Пакет согласования. Не является APPROVED или READY_FOR_PRODUCTION.</x:v>
      </x:c>
      <x:c r="B2" s="68" t="str"/>
      <x:c r="C2" s="68" t="str"/>
      <x:c r="D2" s="68" t="str"/>
      <x:c r="E2" s="68" t="str"/>
      <x:c r="F2" s="68" t="str"/>
      <x:c r="G2" s="68" t="str"/>
      <x:c r="H2" s="68" t="str"/>
      <x:c r="I2" s="68" t="str"/>
      <x:c r="J2" s="68" t="str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</x:row>
    <x:row r="4">
      <x:c r="A4" s="82" t="str">
        <x:v>ПАСПОРТ</x:v>
      </x:c>
      <x:c r="B4" s="83" t="str"/>
      <x:c r="C4" s="83" t="str"/>
      <x:c r="D4" s="83" t="str"/>
      <x:c r="E4" s="84"/>
      <x:c r="F4" s="84"/>
      <x:c r="G4" s="84"/>
      <x:c r="H4" s="84"/>
      <x:c r="I4" s="84"/>
      <x:c r="J4" s="85"/>
    </x:row>
    <x:row r="5">
      <x:c r="A5" s="86" t="str">
        <x:v>Код меню</x:v>
      </x:c>
      <x:c r="B5" s="69" t="str">
        <x:v>VKM-003</x:v>
      </x:c>
      <x:c r="C5" s="69" t="str">
        <x:v>Статус</x:v>
      </x:c>
      <x:c r="D5" s="69" t="str">
        <x:v>OWNER_PROVIDED_INPUT</x:v>
      </x:c>
      <x:c r="E5" s="69"/>
      <x:c r="F5" s="69"/>
      <x:c r="G5" s="69"/>
      <x:c r="H5" s="69"/>
      <x:c r="I5" s="69"/>
      <x:c r="J5" s="87"/>
    </x:row>
    <x:row r="6">
      <x:c r="A6" s="86" t="str">
        <x:v>Код калькуляции</x:v>
      </x:c>
      <x:c r="B6" s="69" t="str">
        <x:v>VKC-003</x:v>
      </x:c>
      <x:c r="C6" s="69" t="str">
        <x:v>Статус</x:v>
      </x:c>
      <x:c r="D6" s="69" t="str">
        <x:v>OWNER_PROVIDED_INPUT</x:v>
      </x:c>
      <x:c r="E6" s="69"/>
      <x:c r="F6" s="69"/>
      <x:c r="G6" s="69"/>
      <x:c r="H6" s="69"/>
      <x:c r="I6" s="69"/>
      <x:c r="J6" s="87"/>
    </x:row>
    <x:row r="7">
      <x:c r="A7" s="86" t="str">
        <x:v>Код техкарты</x:v>
      </x:c>
      <x:c r="B7" s="69" t="str">
        <x:v>VKT-003</x:v>
      </x:c>
      <x:c r="C7" s="69" t="str">
        <x:v>Статус</x:v>
      </x:c>
      <x:c r="D7" s="69" t="str">
        <x:v>OWNER_PROVIDED_INPUT</x:v>
      </x:c>
      <x:c r="E7" s="69"/>
      <x:c r="F7" s="69"/>
      <x:c r="G7" s="69"/>
      <x:c r="H7" s="69"/>
      <x:c r="I7" s="69"/>
      <x:c r="J7" s="87"/>
    </x:row>
    <x:row r="8">
      <x:c r="A8" s="86" t="str">
        <x:v>Наименование</x:v>
      </x:c>
      <x:c r="B8" s="69" t="str">
        <x:v>Грибная с ветчиной</x:v>
      </x:c>
      <x:c r="C8" s="69" t="str">
        <x:v>Статус</x:v>
      </x:c>
      <x:c r="D8" s="69" t="str">
        <x:v>OWNER_APPROVED</x:v>
      </x:c>
      <x:c r="E8" s="69"/>
      <x:c r="F8" s="69"/>
      <x:c r="G8" s="69"/>
      <x:c r="H8" s="69"/>
      <x:c r="I8" s="69"/>
      <x:c r="J8" s="87"/>
    </x:row>
    <x:row r="9">
      <x:c r="A9" s="86" t="str">
        <x:v>Проектный выход, г</x:v>
      </x:c>
      <x:c r="B9" s="69" t="n">
        <x:v>500</x:v>
      </x:c>
      <x:c r="C9" s="69" t="str">
        <x:v>Статус</x:v>
      </x:c>
      <x:c r="D9" s="69" t="str">
        <x:v>OWNER_APPROVED</x:v>
      </x:c>
      <x:c r="E9" s="69"/>
      <x:c r="F9" s="69"/>
      <x:c r="G9" s="69"/>
      <x:c r="H9" s="69"/>
      <x:c r="I9" s="69"/>
      <x:c r="J9" s="87"/>
    </x:row>
    <x:row r="10">
      <x:c r="A10" s="86" t="str">
        <x:v>Единица</x:v>
      </x:c>
      <x:c r="B10" s="69" t="str">
        <x:v>1 пицца</x:v>
      </x:c>
      <x:c r="C10" s="69" t="str">
        <x:v>Статус</x:v>
      </x:c>
      <x:c r="D10" s="69" t="str">
        <x:v>OWNER_PROVIDED_INPUT</x:v>
      </x:c>
      <x:c r="E10" s="69"/>
      <x:c r="F10" s="69"/>
      <x:c r="G10" s="69"/>
      <x:c r="H10" s="69"/>
      <x:c r="I10" s="69"/>
      <x:c r="J10" s="87"/>
    </x:row>
    <x:row r="11">
      <x:c r="A11" s="86" t="str">
        <x:v>Пакет</x:v>
      </x:c>
      <x:c r="B11" s="69" t="str">
        <x:v>PENDING_CHEF_MANAGER_VERIFICATION</x:v>
      </x:c>
      <x:c r="C11" s="69" t="str">
        <x:v>Safety</x:v>
      </x:c>
      <x:c r="D11" s="69" t="str">
        <x:v>SAFETY_BLOCKED_PENDING_VALIDATION</x:v>
      </x:c>
      <x:c r="E11" s="69"/>
      <x:c r="F11" s="69"/>
      <x:c r="G11" s="69"/>
      <x:c r="H11" s="69"/>
      <x:c r="I11" s="69"/>
      <x:c r="J11" s="87"/>
    </x:row>
    <x:row r="12">
      <x:c r="A12" s="86"/>
      <x:c r="B12" s="69"/>
      <x:c r="C12" s="69"/>
      <x:c r="D12" s="69"/>
      <x:c r="E12" s="69"/>
      <x:c r="F12" s="69"/>
      <x:c r="G12" s="69"/>
      <x:c r="H12" s="69"/>
      <x:c r="I12" s="69"/>
      <x:c r="J12" s="87"/>
    </x:row>
    <x:row r="13">
      <x:c r="A13" s="88" t="str">
        <x:v>ИСХОДНЫЕ ДАННЫЕ И РЕЦЕПТУРНАЯ СЕБЕСТОИМОСТЬ</x:v>
      </x:c>
      <x:c r="B13" s="53"/>
      <x:c r="C13" s="53"/>
      <x:c r="D13" s="53"/>
      <x:c r="E13" s="53"/>
      <x:c r="F13" s="53"/>
      <x:c r="G13" s="53"/>
      <x:c r="H13" s="53"/>
      <x:c r="I13" s="53"/>
      <x:c r="J13" s="89"/>
    </x:row>
    <x:row r="14">
      <x:c r="A14" s="90" t="str">
        <x:v>№</x:v>
      </x:c>
      <x:c r="B14" s="26" t="str">
        <x:v>Компонент / ПФ</x:v>
      </x:c>
      <x:c r="C14" s="26" t="str">
        <x:v>ID</x:v>
      </x:c>
      <x:c r="D14" s="26" t="str">
        <x:v>Брутто, г</x:v>
      </x:c>
      <x:c r="E14" s="26" t="str">
        <x:v>Цена, ₽/кг</x:v>
      </x:c>
      <x:c r="F14" s="26" t="str">
        <x:v>Стоимость, ₽</x:v>
      </x:c>
      <x:c r="G14" s="26" t="str">
        <x:v>Источник / основание</x:v>
      </x:c>
      <x:c r="H14" s="26" t="str">
        <x:v>Статус</x:v>
      </x:c>
      <x:c r="I14" s="26" t="str">
        <x:v>Включено в ПФ</x:v>
      </x:c>
      <x:c r="J14" s="91" t="str">
        <x:v>Комментарий</x:v>
      </x:c>
    </x:row>
    <x:row r="15">
      <x:c r="A15" s="86" t="n">
        <x:v>1</x:v>
      </x:c>
      <x:c r="B15" s="69" t="str">
        <x:v>Тестовая заготовка</x:v>
      </x:c>
      <x:c r="C15" s="69" t="str">
        <x:v>SFP-PIZZA-DOUGH-001</x:v>
      </x:c>
      <x:c r="D15" s="70" t="n">
        <x:v>250</x:v>
      </x:c>
      <x:c r="E15" s="71" t="n">
        <x:v>140</x:v>
      </x:c>
      <x:c r="F15" s="71" t="n">
        <x:f>D15/1000*E15</x:f>
        <x:v>35</x:v>
      </x:c>
      <x:c r="G15" s="69" t="str">
        <x:v>Проектный внутренний ориентир</x:v>
      </x:c>
      <x:c r="H15" s="69" t="str">
        <x:v>EXPERT_ASSUMPTION_PENDING_CHEF_MANAGER_VERIFICATION</x:v>
      </x:c>
      <x:c r="I15" s="69" t="str">
        <x:v>Нет</x:v>
      </x:c>
      <x:c r="J15" s="87" t="str">
        <x:v>Версия общего теста не изменена</x:v>
      </x:c>
    </x:row>
    <x:row r="16">
      <x:c r="A16" s="86" t="n">
        <x:v>2</x:v>
      </x:c>
      <x:c r="B16" s="69" t="str">
        <x:v>Томатный соус</x:v>
      </x:c>
      <x:c r="C16" s="69" t="str">
        <x:v>SFP-PIZZA-TOMATO-001</x:v>
      </x:c>
      <x:c r="D16" s="70" t="n">
        <x:v>60</x:v>
      </x:c>
      <x:c r="E16" s="71" t="n">
        <x:v>250</x:v>
      </x:c>
      <x:c r="F16" s="71" t="n">
        <x:f>D16/1000*E16</x:f>
        <x:v>15</x:v>
      </x:c>
      <x:c r="G16" s="69" t="str">
        <x:v>Проектный ориентир до выбора SKU</x:v>
      </x:c>
      <x:c r="H16" s="69" t="str">
        <x:v>EXPERT_ASSUMPTION_PENDING_CHEF_MANAGER_VERIFICATION</x:v>
      </x:c>
      <x:c r="I16" s="69" t="str">
        <x:v>Нет</x:v>
      </x:c>
      <x:c r="J16" s="87" t="str">
        <x:v>Умеренная томатная основа</x:v>
      </x:c>
    </x:row>
    <x:row r="17">
      <x:c r="A17" s="86" t="n">
        <x:v>3</x:v>
      </x:c>
      <x:c r="B17" s="69" t="str">
        <x:v>Сыр моцарелла / сыр для пиццы</x:v>
      </x:c>
      <x:c r="C17" s="69" t="str">
        <x:v>RAW-CHEESE-MOZZ-003</x:v>
      </x:c>
      <x:c r="D17" s="70" t="n">
        <x:v>110</x:v>
      </x:c>
      <x:c r="E17" s="71" t="n">
        <x:v>939</x:v>
      </x:c>
      <x:c r="F17" s="71" t="n">
        <x:f>D17/1000*E17</x:f>
        <x:v>103.29</x:v>
      </x:c>
      <x:c r="G17" s="69" t="str">
        <x:v>Рыночное наблюдение; закупка не подтверждена</x:v>
      </x:c>
      <x:c r="H17" s="69" t="str">
        <x:v>FACT_FROM_SOURCE / PROCUREMENT_NOT_CONFIRMED</x:v>
      </x:c>
      <x:c r="I17" s="69" t="str">
        <x:v>Нет</x:v>
      </x:c>
      <x:c r="J17" s="87" t="str">
        <x:v>SKU и аллергенная декларация отсутствуют</x:v>
      </x:c>
    </x:row>
    <x:row r="18">
      <x:c r="A18" s="86" t="n">
        <x:v>4</x:v>
      </x:c>
      <x:c r="B18" s="69" t="str">
        <x:v>Ветчина</x:v>
      </x:c>
      <x:c r="C18" s="69" t="str">
        <x:v>RAW-HAM-003</x:v>
      </x:c>
      <x:c r="D18" s="70" t="n">
        <x:v>80</x:v>
      </x:c>
      <x:c r="E18" s="71" t="n">
        <x:v>750</x:v>
      </x:c>
      <x:c r="F18" s="71" t="n">
        <x:f>D18/1000*E18</x:f>
        <x:v>60</x:v>
      </x:c>
      <x:c r="G18" s="69" t="str">
        <x:v>Экспертный ценовой ориентир</x:v>
      </x:c>
      <x:c r="H18" s="69" t="str">
        <x:v>EXPERT_ASSUMPTION_PENDING_CHEF_MANAGER_VERIFICATION</x:v>
      </x:c>
      <x:c r="I18" s="69" t="str">
        <x:v>Нет</x:v>
      </x:c>
      <x:c r="J18" s="87" t="str">
        <x:v>Только документально корректный SKU</x:v>
      </x:c>
    </x:row>
    <x:row r="19">
      <x:c r="A19" s="86" t="n">
        <x:v>5</x:v>
      </x:c>
      <x:c r="B19" s="69" t="str">
        <x:v>Шампиньоны свежие</x:v>
      </x:c>
      <x:c r="C19" s="69" t="str">
        <x:v>RAW-MUSHROOM-003</x:v>
      </x:c>
      <x:c r="D19" s="70" t="n">
        <x:v>50</x:v>
      </x:c>
      <x:c r="E19" s="71" t="n">
        <x:v>269.01</x:v>
      </x:c>
      <x:c r="F19" s="71" t="n">
        <x:f>D19/1000*E19</x:f>
        <x:v>13.4505</x:v>
      </x:c>
      <x:c r="G19" s="69" t="str">
        <x:v>Рыночное наблюдение; закупка не подтверждена</x:v>
      </x:c>
      <x:c r="H19" s="69" t="str">
        <x:v>FACT_FROM_SOURCE / PROCUREMENT_NOT_CONFIRMED</x:v>
      </x:c>
      <x:c r="I19" s="69" t="str">
        <x:v>Да</x:v>
      </x:c>
      <x:c r="J19" s="87" t="str">
        <x:v>В составе SFP-PIZZA-MUSHROOM-003</x:v>
      </x:c>
    </x:row>
    <x:row r="20">
      <x:c r="A20" s="86" t="n">
        <x:v>6</x:v>
      </x:c>
      <x:c r="B20" s="69" t="str">
        <x:v>Масло для грибного ПФ</x:v>
      </x:c>
      <x:c r="C20" s="69" t="str">
        <x:v>CMP-PIZZA-OIL-001</x:v>
      </x:c>
      <x:c r="D20" s="70" t="n">
        <x:v>3</x:v>
      </x:c>
      <x:c r="E20" s="71" t="n">
        <x:v>165.33</x:v>
      </x:c>
      <x:c r="F20" s="71" t="n">
        <x:f>D20/1000*E20</x:f>
        <x:v>0.49599000000000004</x:v>
      </x:c>
      <x:c r="G20" s="69" t="str">
        <x:v>Пересчёт проектного ориентира</x:v>
      </x:c>
      <x:c r="H20" s="69" t="str">
        <x:v>CALCULATED_FROM_ASSUMPTIONS</x:v>
      </x:c>
      <x:c r="I20" s="69" t="str">
        <x:v>Да</x:v>
      </x:c>
      <x:c r="J20" s="87" t="str">
        <x:v>Не учитывать повторно в ПФ</x:v>
      </x:c>
    </x:row>
    <x:row r="21">
      <x:c r="A21" s="86" t="n">
        <x:v>7</x:v>
      </x:c>
      <x:c r="B21" s="69" t="str">
        <x:v>Соль для грибного ПФ</x:v>
      </x:c>
      <x:c r="C21" s="69" t="str">
        <x:v>RAW-SALT-003</x:v>
      </x:c>
      <x:c r="D21" s="70" t="n">
        <x:v>0.5</x:v>
      </x:c>
      <x:c r="E21" s="71" t="n">
        <x:v>25.18</x:v>
      </x:c>
      <x:c r="F21" s="71" t="n">
        <x:f>D21/1000*E21</x:f>
        <x:v>0.01259</x:v>
      </x:c>
      <x:c r="G21" s="69" t="str">
        <x:v>Проектный ориентир</x:v>
      </x:c>
      <x:c r="H21" s="69" t="str">
        <x:v>CALCULATED_FROM_ASSUMPTIONS</x:v>
      </x:c>
      <x:c r="I21" s="69" t="str">
        <x:v>Да</x:v>
      </x:c>
      <x:c r="J21" s="87" t="str">
        <x:v>Не учитывать повторно в ПФ</x:v>
      </x:c>
    </x:row>
    <x:row r="22">
      <x:c r="A22" s="86" t="n">
        <x:v>8</x:v>
      </x:c>
      <x:c r="B22" s="69" t="str">
        <x:v>Сухие травы</x:v>
      </x:c>
      <x:c r="C22" s="69" t="str">
        <x:v>RAW-HERBS-003</x:v>
      </x:c>
      <x:c r="D22" s="70" t="n">
        <x:v>1</x:v>
      </x:c>
      <x:c r="E22" s="71" t="n">
        <x:v>1000</x:v>
      </x:c>
      <x:c r="F22" s="71" t="n">
        <x:f>D22/1000*E22</x:f>
        <x:v>1</x:v>
      </x:c>
      <x:c r="G22" s="69" t="str">
        <x:v>Экспертный ориентир</x:v>
      </x:c>
      <x:c r="H22" s="69" t="str">
        <x:v>EXPERT_ASSUMPTION_PENDING_CHEF_MANAGER_VERIFICATION</x:v>
      </x:c>
      <x:c r="I22" s="69" t="str">
        <x:v>Нет</x:v>
      </x:c>
      <x:c r="J22" s="87" t="str">
        <x:v>Уточнить состав</x:v>
      </x:c>
    </x:row>
    <x:row r="23">
      <x:c r="A23" s="86" t="n">
        <x:v>9</x:v>
      </x:c>
      <x:c r="B23" s="69" t="str">
        <x:v>Финишное масло</x:v>
      </x:c>
      <x:c r="C23" s="69" t="str">
        <x:v>CMP-PIZZA-OIL-001</x:v>
      </x:c>
      <x:c r="D23" s="70" t="n">
        <x:v>2</x:v>
      </x:c>
      <x:c r="E23" s="71" t="n">
        <x:v>165.33</x:v>
      </x:c>
      <x:c r="F23" s="71" t="n">
        <x:f>D23/1000*E23</x:f>
        <x:v>0.33066</x:v>
      </x:c>
      <x:c r="G23" s="69" t="str">
        <x:v>Пересчёт проектного ориентира</x:v>
      </x:c>
      <x:c r="H23" s="69" t="str">
        <x:v>CALCULATED_FROM_ASSUMPTIONS</x:v>
      </x:c>
      <x:c r="I23" s="69" t="str">
        <x:v>Нет</x:v>
      </x:c>
      <x:c r="J23" s="87" t="str">
        <x:v>После выпечки</x:v>
      </x:c>
    </x:row>
    <x:row r="24">
      <x:c r="A24" s="86"/>
      <x:c r="B24" s="69"/>
      <x:c r="C24" s="69"/>
      <x:c r="D24" s="69"/>
      <x:c r="E24" s="69"/>
      <x:c r="F24" s="69"/>
      <x:c r="G24" s="69"/>
      <x:c r="H24" s="69"/>
      <x:c r="I24" s="69"/>
      <x:c r="J24" s="87"/>
    </x:row>
    <x:row r="25">
      <x:c r="A25" s="92" t="str">
        <x:v>Recipe COGS</x:v>
      </x:c>
      <x:c r="B25" s="72"/>
      <x:c r="C25" s="72"/>
      <x:c r="D25" s="72"/>
      <x:c r="E25" s="72"/>
      <x:c r="F25" s="71" t="n">
        <x:f>SUM(F15:F23)</x:f>
        <x:v>228.57974000000002</x:v>
      </x:c>
      <x:c r="G25" s="69" t="str">
        <x:v>CALCULATED_FROM_ASSUMPTIONS</x:v>
      </x:c>
      <x:c r="H25" s="69"/>
      <x:c r="I25" s="69"/>
      <x:c r="J25" s="87"/>
    </x:row>
    <x:row r="26">
      <x:c r="A26" s="86"/>
      <x:c r="B26" s="69"/>
      <x:c r="C26" s="69"/>
      <x:c r="D26" s="69"/>
      <x:c r="E26" s="69"/>
      <x:c r="F26" s="69"/>
      <x:c r="G26" s="69"/>
      <x:c r="H26" s="69"/>
      <x:c r="I26" s="69"/>
      <x:c r="J26" s="87"/>
    </x:row>
    <x:row r="27">
      <x:c r="A27" s="88" t="str">
        <x:v>СЦЕНАРИИ ЦЕНЫ</x:v>
      </x:c>
      <x:c r="B27" s="53"/>
      <x:c r="C27" s="53"/>
      <x:c r="D27" s="53"/>
      <x:c r="E27" s="53"/>
      <x:c r="F27" s="53"/>
      <x:c r="G27" s="53"/>
      <x:c r="H27" s="53"/>
      <x:c r="I27" s="53"/>
      <x:c r="J27" s="89"/>
    </x:row>
    <x:row r="28">
      <x:c r="A28" s="90" t="str">
        <x:v>Сценарий</x:v>
      </x:c>
      <x:c r="B28" s="26" t="str">
        <x:v>Цена, ₽</x:v>
      </x:c>
      <x:c r="C28" s="26" t="str">
        <x:v>Food cost</x:v>
      </x:c>
      <x:c r="D28" s="26" t="str">
        <x:v>Назначение</x:v>
      </x:c>
      <x:c r="E28" s="26" t="str">
        <x:v>Статус</x:v>
      </x:c>
      <x:c r="F28" s="69"/>
      <x:c r="G28" s="69"/>
      <x:c r="H28" s="69"/>
      <x:c r="I28" s="69"/>
      <x:c r="J28" s="87"/>
    </x:row>
    <x:row r="29">
      <x:c r="A29" s="86" t="str">
        <x:v>Нижний</x:v>
      </x:c>
      <x:c r="B29" s="73" t="n">
        <x:v>790</x:v>
      </x:c>
      <x:c r="C29" s="74" t="n">
        <x:f>$F$25/B29</x:f>
        <x:v>0.2893414430379747</x:v>
      </x:c>
      <x:c r="D29" s="69" t="str">
        <x:v>Sensitivity case</x:v>
      </x:c>
      <x:c r="E29" s="69" t="str">
        <x:v>SENSITIVITY_CASE</x:v>
      </x:c>
      <x:c r="F29" s="69"/>
      <x:c r="G29" s="69"/>
      <x:c r="H29" s="69"/>
      <x:c r="I29" s="69"/>
      <x:c r="J29" s="87"/>
    </x:row>
    <x:row r="30">
      <x:c r="A30" s="86" t="str">
        <x:v>Рекомендуемый</x:v>
      </x:c>
      <x:c r="B30" s="73" t="n">
        <x:v>890</x:v>
      </x:c>
      <x:c r="C30" s="74" t="n">
        <x:f>$F$25/B30</x:f>
        <x:v>0.25683116853932586</x:v>
      </x:c>
      <x:c r="D30" s="69" t="str">
        <x:v>Проектная цена</x:v>
      </x:c>
      <x:c r="E30" s="69" t="str">
        <x:v>OWNER_APPROVED / PROJECT_PRICE</x:v>
      </x:c>
      <x:c r="F30" s="69"/>
      <x:c r="G30" s="69"/>
      <x:c r="H30" s="69"/>
      <x:c r="I30" s="69"/>
      <x:c r="J30" s="87"/>
    </x:row>
    <x:row r="31">
      <x:c r="A31" s="86" t="str">
        <x:v>Верхний</x:v>
      </x:c>
      <x:c r="B31" s="73" t="n">
        <x:v>990</x:v>
      </x:c>
      <x:c r="C31" s="74" t="n">
        <x:f>$F$25/B31</x:f>
        <x:v>0.23088862626262627</x:v>
      </x:c>
      <x:c r="D31" s="69" t="str">
        <x:v>Резерв при дорогом SKU</x:v>
      </x:c>
      <x:c r="E31" s="69" t="str">
        <x:v>SENSITIVITY_CASE</x:v>
      </x:c>
      <x:c r="F31" s="69"/>
      <x:c r="G31" s="69"/>
      <x:c r="H31" s="69"/>
      <x:c r="I31" s="69"/>
      <x:c r="J31" s="87"/>
    </x:row>
    <x:row r="32">
      <x:c r="A32" s="86"/>
      <x:c r="B32" s="69"/>
      <x:c r="C32" s="69"/>
      <x:c r="D32" s="69"/>
      <x:c r="E32" s="69"/>
      <x:c r="F32" s="69"/>
      <x:c r="G32" s="69"/>
      <x:c r="H32" s="69"/>
      <x:c r="I32" s="69"/>
      <x:c r="J32" s="87"/>
    </x:row>
    <x:row r="33">
      <x:c r="A33" s="88" t="str">
        <x:v>ЭКОНОМИКА КАНАЛОВ — ЦЕНА 890 ₽</x:v>
      </x:c>
      <x:c r="B33" s="53"/>
      <x:c r="C33" s="53"/>
      <x:c r="D33" s="53"/>
      <x:c r="E33" s="53"/>
      <x:c r="F33" s="53"/>
      <x:c r="G33" s="53"/>
      <x:c r="H33" s="53"/>
      <x:c r="I33" s="53"/>
      <x:c r="J33" s="89"/>
    </x:row>
    <x:row r="34">
      <x:c r="A34" s="90" t="str">
        <x:v>Канал</x:v>
      </x:c>
      <x:c r="B34" s="26" t="str">
        <x:v>Цена, ₽</x:v>
      </x:c>
      <x:c r="C34" s="26" t="str">
        <x:v>Recipe COGS</x:v>
      </x:c>
      <x:c r="D34" s="26" t="str">
        <x:v>Упаковка</x:v>
      </x:c>
      <x:c r="E34" s="26" t="str">
        <x:v>Расходники</x:v>
      </x:c>
      <x:c r="F34" s="26" t="str">
        <x:v>Эквайринг</x:v>
      </x:c>
      <x:c r="G34" s="26" t="str">
        <x:v>Комиссия</x:v>
      </x:c>
      <x:c r="H34" s="26" t="str">
        <x:v>Передача курьеру</x:v>
      </x:c>
      <x:c r="I34" s="26" t="str">
        <x:v>Полная переменная себестоимость</x:v>
      </x:c>
      <x:c r="J34" s="91" t="str">
        <x:v>Маржа</x:v>
      </x:c>
    </x:row>
    <x:row r="35">
      <x:c r="A35" s="86" t="str">
        <x:v>À la carte</x:v>
      </x:c>
      <x:c r="B35" s="71" t="n">
        <x:v>890</x:v>
      </x:c>
      <x:c r="C35" s="71" t="n">
        <x:f>$F$25</x:f>
        <x:v>228.57974000000002</x:v>
      </x:c>
      <x:c r="D35" s="71" t="n">
        <x:v>0</x:v>
      </x:c>
      <x:c r="E35" s="71" t="n">
        <x:v>8</x:v>
      </x:c>
      <x:c r="F35" s="71" t="n">
        <x:f>B35*2%</x:f>
        <x:v>17.8</x:v>
      </x:c>
      <x:c r="G35" s="71" t="n">
        <x:v>0</x:v>
      </x:c>
      <x:c r="H35" s="71" t="n">
        <x:v>0</x:v>
      </x:c>
      <x:c r="I35" s="71" t="n">
        <x:f>SUM(C35:H35)</x:f>
        <x:v>254.37974000000003</x:v>
      </x:c>
      <x:c r="J35" s="93" t="n">
        <x:f>B35-I35</x:f>
        <x:v>635.6202599999999</x:v>
      </x:c>
    </x:row>
    <x:row r="36">
      <x:c r="A36" s="86" t="str">
        <x:v>Гостиничный ужин</x:v>
      </x:c>
      <x:c r="B36" s="71" t="n">
        <x:v>890</x:v>
      </x:c>
      <x:c r="C36" s="71" t="n">
        <x:f>$F$25</x:f>
        <x:v>228.57974000000002</x:v>
      </x:c>
      <x:c r="D36" s="71" t="n">
        <x:v>0</x:v>
      </x:c>
      <x:c r="E36" s="71" t="n">
        <x:v>8</x:v>
      </x:c>
      <x:c r="F36" s="71" t="n">
        <x:f>B36*2%</x:f>
        <x:v>17.8</x:v>
      </x:c>
      <x:c r="G36" s="71" t="n">
        <x:v>0</x:v>
      </x:c>
      <x:c r="H36" s="71" t="n">
        <x:v>0</x:v>
      </x:c>
      <x:c r="I36" s="71" t="n">
        <x:f>SUM(C36:H36)</x:f>
        <x:v>254.37974000000003</x:v>
      </x:c>
      <x:c r="J36" s="93" t="n">
        <x:f>B36-I36</x:f>
        <x:v>635.6202599999999</x:v>
      </x:c>
    </x:row>
    <x:row r="37">
      <x:c r="A37" s="86" t="str">
        <x:v>Доставка</x:v>
      </x:c>
      <x:c r="B37" s="71" t="n">
        <x:v>890</x:v>
      </x:c>
      <x:c r="C37" s="71" t="n">
        <x:f>$F$25</x:f>
        <x:v>228.57974000000002</x:v>
      </x:c>
      <x:c r="D37" s="71" t="n">
        <x:v>45</x:v>
      </x:c>
      <x:c r="E37" s="71" t="n">
        <x:v>12</x:v>
      </x:c>
      <x:c r="F37" s="71" t="n">
        <x:f>B37*2%</x:f>
        <x:v>17.8</x:v>
      </x:c>
      <x:c r="G37" s="71" t="n">
        <x:f>B37*25%</x:f>
        <x:v>222.5</x:v>
      </x:c>
      <x:c r="H37" s="71" t="n">
        <x:v>15</x:v>
      </x:c>
      <x:c r="I37" s="71" t="n">
        <x:f>SUM(C37:H37)</x:f>
        <x:v>540.8797400000001</x:v>
      </x:c>
      <x:c r="J37" s="93" t="n">
        <x:f>B37-I37</x:f>
        <x:v>349.1202599999999</x:v>
      </x:c>
    </x:row>
    <x:row r="38">
      <x:c r="A38" s="86"/>
      <x:c r="B38" s="69"/>
      <x:c r="C38" s="69"/>
      <x:c r="D38" s="69"/>
      <x:c r="E38" s="69"/>
      <x:c r="F38" s="69"/>
      <x:c r="G38" s="69"/>
      <x:c r="H38" s="69"/>
      <x:c r="I38" s="69"/>
      <x:c r="J38" s="87"/>
    </x:row>
    <x:row r="39">
      <x:c r="A39" s="90" t="str">
        <x:v>Канал</x:v>
      </x:c>
      <x:c r="B39" s="26" t="str">
        <x:v>Маржинальность</x:v>
      </x:c>
      <x:c r="C39" s="26" t="str">
        <x:v>Food cost</x:v>
      </x:c>
      <x:c r="D39" s="26" t="str">
        <x:v>Вероятность выбора</x:v>
      </x:c>
      <x:c r="E39" s="26" t="str">
        <x:v>Вклад в средний чек</x:v>
      </x:c>
      <x:c r="F39" s="26" t="str">
        <x:v>Ожидаемый вклад маржи</x:v>
      </x:c>
      <x:c r="G39" s="69"/>
      <x:c r="H39" s="69"/>
      <x:c r="I39" s="69"/>
      <x:c r="J39" s="87"/>
    </x:row>
    <x:row r="40">
      <x:c r="A40" s="86" t="str">
        <x:v>À la carte</x:v>
      </x:c>
      <x:c r="B40" s="74" t="n">
        <x:f>J35/B35</x:f>
        <x:v>0.7141800674157303</x:v>
      </x:c>
      <x:c r="C40" s="74" t="n">
        <x:f>$F$25/B35</x:f>
        <x:v>0.25683116853932586</x:v>
      </x:c>
      <x:c r="D40" s="138" t="n">
        <x:v>0.12</x:v>
      </x:c>
      <x:c r="E40" s="71" t="n">
        <x:f>B35*D40</x:f>
        <x:v>106.8</x:v>
      </x:c>
      <x:c r="F40" s="71" t="n">
        <x:f>J35*D40</x:f>
        <x:v>76.27443119999998</x:v>
      </x:c>
      <x:c r="G40" s="69"/>
      <x:c r="H40" s="69"/>
      <x:c r="I40" s="69"/>
      <x:c r="J40" s="87"/>
    </x:row>
    <x:row r="41">
      <x:c r="A41" s="86" t="str">
        <x:v>Гостиничный ужин</x:v>
      </x:c>
      <x:c r="B41" s="74" t="n">
        <x:f>J36/B36</x:f>
        <x:v>0.7141800674157303</x:v>
      </x:c>
      <x:c r="C41" s="74" t="n">
        <x:f>$F$25/B36</x:f>
        <x:v>0.25683116853932586</x:v>
      </x:c>
      <x:c r="D41" s="138" t="n">
        <x:v>0.1</x:v>
      </x:c>
      <x:c r="E41" s="71" t="n">
        <x:f>B36*D41</x:f>
        <x:v>89</x:v>
      </x:c>
      <x:c r="F41" s="71" t="n">
        <x:f>J36*D41</x:f>
        <x:v>63.562025999999996</x:v>
      </x:c>
      <x:c r="G41" s="69"/>
      <x:c r="H41" s="69"/>
      <x:c r="I41" s="69"/>
      <x:c r="J41" s="87"/>
    </x:row>
    <x:row r="42">
      <x:c r="A42" s="86" t="str">
        <x:v>Доставка</x:v>
      </x:c>
      <x:c r="B42" s="74" t="n">
        <x:f>J37/B37</x:f>
        <x:v>0.3922699550561797</x:v>
      </x:c>
      <x:c r="C42" s="74" t="n">
        <x:f>$F$25/B37</x:f>
        <x:v>0.25683116853932586</x:v>
      </x:c>
      <x:c r="D42" s="138" t="n">
        <x:v>0.08</x:v>
      </x:c>
      <x:c r="E42" s="71" t="n">
        <x:f>B37*D42</x:f>
        <x:v>71.2</x:v>
      </x:c>
      <x:c r="F42" s="71" t="n">
        <x:f>J37*D42</x:f>
        <x:v>27.929620799999995</x:v>
      </x:c>
      <x:c r="G42" s="69"/>
      <x:c r="H42" s="69"/>
      <x:c r="I42" s="69"/>
      <x:c r="J42" s="87"/>
    </x:row>
    <x:row r="43">
      <x:c r="A43" s="86"/>
      <x:c r="B43" s="69"/>
      <x:c r="C43" s="69"/>
      <x:c r="D43" s="69"/>
      <x:c r="E43" s="69"/>
      <x:c r="F43" s="69"/>
      <x:c r="G43" s="69"/>
      <x:c r="H43" s="69"/>
      <x:c r="I43" s="69"/>
      <x:c r="J43" s="87"/>
    </x:row>
    <x:row r="44">
      <x:c r="A44" s="144" t="str">
        <x:v>ЧУВСТВИТЕЛЬНОСТЬ</x:v>
      </x:c>
      <x:c r="B44" s="145"/>
      <x:c r="C44" s="145"/>
      <x:c r="D44" s="145"/>
      <x:c r="E44" s="53"/>
      <x:c r="F44" s="145" t="str">
        <x:v>РЫНОЧНЫЕ ОРИЕНТИРЫ — LOW_CONFIDENCE</x:v>
      </x:c>
      <x:c r="G44" s="145"/>
      <x:c r="H44" s="145"/>
      <x:c r="I44" s="145"/>
      <x:c r="J44" s="146"/>
    </x:row>
    <x:row r="45">
      <x:c r="A45" s="90" t="str">
        <x:v>Сценарий</x:v>
      </x:c>
      <x:c r="B45" s="26" t="str">
        <x:v>Recipe COGS, ₽</x:v>
      </x:c>
      <x:c r="C45" s="26" t="str">
        <x:v>Отклонение, ₽</x:v>
      </x:c>
      <x:c r="D45" s="26" t="str">
        <x:v>Статус</x:v>
      </x:c>
      <x:c r="E45" s="69"/>
      <x:c r="F45" s="26" t="str">
        <x:v>Заведение</x:v>
      </x:c>
      <x:c r="G45" s="26" t="str">
        <x:v>Цена, ₽</x:v>
      </x:c>
      <x:c r="H45" s="26" t="str">
        <x:v>Масса / размер</x:v>
      </x:c>
      <x:c r="I45" s="26" t="str">
        <x:v>Сопоставимость</x:v>
      </x:c>
      <x:c r="J45" s="91" t="str">
        <x:v>Источник</x:v>
      </x:c>
    </x:row>
    <x:row r="46">
      <x:c r="A46" s="86" t="str">
        <x:v>Базовый</x:v>
      </x:c>
      <x:c r="B46" s="71" t="n">
        <x:f>F25</x:f>
        <x:v>228.57974000000002</x:v>
      </x:c>
      <x:c r="C46" s="71" t="n">
        <x:f>B46-$B$46</x:f>
        <x:v>0</x:v>
      </x:c>
      <x:c r="D46" s="69" t="str">
        <x:v>CALCULATED_FROM_ASSUMPTIONS</x:v>
      </x:c>
      <x:c r="E46" s="69"/>
      <x:c r="F46" s="69" t="str">
        <x:v>Seasons</x:v>
      </x:c>
      <x:c r="G46" s="69" t="n">
        <x:v>1250</x:v>
      </x:c>
      <x:c r="H46" s="69" t="str">
        <x:v>470 г</x:v>
      </x:c>
      <x:c r="I46" s="69" t="str">
        <x:v>Высокая</x:v>
      </x:c>
      <x:c r="J46" s="87" t="str">
        <x:v>https://dostavka-eda.com/moscow/place/seasons_/menu/2084408995_pitstsa-s-gribami-i-vetchinoj/</x:v>
      </x:c>
    </x:row>
    <x:row r="47">
      <x:c r="A47" s="86" t="str">
        <x:v>Все сырьё −10%</x:v>
      </x:c>
      <x:c r="B47" s="71" t="n">
        <x:f>F25*90%</x:f>
        <x:v>205.72176600000003</x:v>
      </x:c>
      <x:c r="C47" s="71" t="n">
        <x:f>B47-$B$46</x:f>
        <x:v>-22.857973999999984</x:v>
      </x:c>
      <x:c r="D47" s="69" t="str">
        <x:v>SENSITIVITY_CASE</x:v>
      </x:c>
      <x:c r="E47" s="69"/>
      <x:c r="F47" s="69" t="str">
        <x:v>Piccolo Grande</x:v>
      </x:c>
      <x:c r="G47" s="69" t="n">
        <x:v>1200</x:v>
      </x:c>
      <x:c r="H47" s="69" t="str">
        <x:v>30 см</x:v>
      </x:c>
      <x:c r="I47" s="69" t="str">
        <x:v>Высокая</x:v>
      </x:c>
      <x:c r="J47" s="87" t="str">
        <x:v>https://2gis.ru/moscow/firm/70000001033199956/tab/prices</x:v>
      </x:c>
    </x:row>
    <x:row r="48">
      <x:c r="A48" s="86" t="str">
        <x:v>Все сырьё +10%</x:v>
      </x:c>
      <x:c r="B48" s="71" t="n">
        <x:f>F25*110%</x:f>
        <x:v>251.43771400000003</x:v>
      </x:c>
      <x:c r="C48" s="71" t="n">
        <x:f>B48-$B$46</x:f>
        <x:v>22.857974000000013</x:v>
      </x:c>
      <x:c r="D48" s="69" t="str">
        <x:v>SENSITIVITY_CASE</x:v>
      </x:c>
      <x:c r="E48" s="69"/>
      <x:c r="F48" s="69" t="str">
        <x:v>Алло! Пицца</x:v>
      </x:c>
      <x:c r="G48" s="69" t="n">
        <x:v>879</x:v>
      </x:c>
      <x:c r="H48" s="69" t="str">
        <x:v>620 г / 31 см</x:v>
      </x:c>
      <x:c r="I48" s="69" t="str">
        <x:v>Средняя</x:v>
      </x:c>
      <x:c r="J48" s="87" t="str">
        <x:v>https://dostavka-eda.com/moscow/place/allopicca_tulskaya/menu/3022320792_pitstsa-vetchina-i-griby-31sm-tr/</x:v>
      </x:c>
    </x:row>
    <x:row r="49">
      <x:c r="A49" s="86" t="str">
        <x:v>Ветчина −20%</x:v>
      </x:c>
      <x:c r="B49" s="71" t="n">
        <x:f>F25-F18*20%</x:f>
        <x:v>216.57974000000002</x:v>
      </x:c>
      <x:c r="C49" s="71" t="n">
        <x:f>B49-$B$46</x:f>
        <x:v>-12</x:v>
      </x:c>
      <x:c r="D49" s="69" t="str">
        <x:v>SENSITIVITY_CASE</x:v>
      </x:c>
      <x:c r="E49" s="69"/>
      <x:c r="F49" s="69" t="str">
        <x:v>10 идеальных пицц</x:v>
      </x:c>
      <x:c r="G49" s="69" t="n">
        <x:v>650</x:v>
      </x:c>
      <x:c r="H49" s="69" t="str">
        <x:v>465 г / 30 см</x:v>
      </x:c>
      <x:c r="I49" s="69" t="str">
        <x:v>Высокая</x:v>
      </x:c>
      <x:c r="J49" s="87" t="str">
        <x:v>https://eda7.ru/zhavoronki/rest/1-idealnyx-picc-lcxd5/menu/3013209588_pitstsa-s-vetchinoj-i-gribami-30-sm/</x:v>
      </x:c>
    </x:row>
    <x:row r="50">
      <x:c r="A50" s="86" t="str">
        <x:v>Ветчина +20%</x:v>
      </x:c>
      <x:c r="B50" s="71" t="n">
        <x:f>F25+F18*20%</x:f>
        <x:v>240.57974000000002</x:v>
      </x:c>
      <x:c r="C50" s="71" t="n">
        <x:f>B50-$B$46</x:f>
        <x:v>12</x:v>
      </x:c>
      <x:c r="D50" s="69" t="str">
        <x:v>SENSITIVITY_CASE</x:v>
      </x:c>
      <x:c r="E50" s="69"/>
      <x:c r="F50" s="69" t="str">
        <x:v>Пицца Фабрика</x:v>
      </x:c>
      <x:c r="G50" s="69" t="n">
        <x:v>800</x:v>
      </x:c>
      <x:c r="H50" s="69" t="str">
        <x:v>483 г / 30 см</x:v>
      </x:c>
      <x:c r="I50" s="69" t="str">
        <x:v>Высокая</x:v>
      </x:c>
      <x:c r="J50" s="87" t="str">
        <x:v>https://leverans.ru/dostavka/pitstsa/pitstsa-fabrika/pitstsa/vetchina-s-gribami/</x:v>
      </x:c>
    </x:row>
    <x:row r="51">
      <x:c r="A51" s="86" t="str">
        <x:v>Сыр −20%</x:v>
      </x:c>
      <x:c r="B51" s="71" t="n">
        <x:f>F25-F17*20%</x:f>
        <x:v>207.92174</x:v>
      </x:c>
      <x:c r="C51" s="71" t="n">
        <x:f>B51-$B$46</x:f>
        <x:v>-20.658000000000015</x:v>
      </x:c>
      <x:c r="D51" s="69" t="str">
        <x:v>SENSITIVITY_CASE</x:v>
      </x:c>
      <x:c r="E51" s="69"/>
      <x:c r="F51" s="69"/>
      <x:c r="G51" s="69"/>
      <x:c r="H51" s="69"/>
      <x:c r="I51" s="69"/>
      <x:c r="J51" s="87"/>
    </x:row>
    <x:row r="52">
      <x:c r="A52" s="86" t="str">
        <x:v>Сыр +20%</x:v>
      </x:c>
      <x:c r="B52" s="71" t="n">
        <x:f>F25+F17*20%</x:f>
        <x:v>249.23774000000003</x:v>
      </x:c>
      <x:c r="C52" s="71" t="n">
        <x:f>B52-$B$46</x:f>
        <x:v>20.658000000000015</x:v>
      </x:c>
      <x:c r="D52" s="69" t="str">
        <x:v>SENSITIVITY_CASE</x:v>
      </x:c>
      <x:c r="E52" s="69"/>
      <x:c r="F52" s="69"/>
      <x:c r="G52" s="69"/>
      <x:c r="H52" s="69"/>
      <x:c r="I52" s="69"/>
      <x:c r="J52" s="87"/>
    </x:row>
    <x:row r="53">
      <x:c r="A53" s="86" t="str">
        <x:v>Грибы −20%</x:v>
      </x:c>
      <x:c r="B53" s="71" t="n">
        <x:f>F25-F19*20%</x:f>
        <x:v>225.88964</x:v>
      </x:c>
      <x:c r="C53" s="71" t="n">
        <x:f>B53-$B$46</x:f>
        <x:v>-2.690100000000001</x:v>
      </x:c>
      <x:c r="D53" s="69" t="str">
        <x:v>SENSITIVITY_CASE</x:v>
      </x:c>
      <x:c r="E53" s="69"/>
      <x:c r="F53" s="69"/>
      <x:c r="G53" s="69"/>
      <x:c r="H53" s="69"/>
      <x:c r="I53" s="69"/>
      <x:c r="J53" s="87"/>
    </x:row>
    <x:row r="54">
      <x:c r="A54" s="94" t="str">
        <x:v>Грибы +20%</x:v>
      </x:c>
      <x:c r="B54" s="95" t="n">
        <x:f>F25+F19*20%</x:f>
        <x:v>231.26984000000002</x:v>
      </x:c>
      <x:c r="C54" s="95" t="n">
        <x:f>B54-$B$46</x:f>
        <x:v>2.690100000000001</x:v>
      </x:c>
      <x:c r="D54" s="96" t="str">
        <x:v>SENSITIVITY_CASE</x:v>
      </x:c>
      <x:c r="E54" s="96"/>
      <x:c r="F54" s="96"/>
      <x:c r="G54" s="96"/>
      <x:c r="H54" s="96"/>
      <x:c r="I54" s="96"/>
      <x:c r="J54" s="97"/>
    </x:row>
  </x:sheetData>
  <x:mergeCells>
    <x:mergeCell ref="A1:J1"/>
    <x:mergeCell ref="A2:J2"/>
    <x:mergeCell ref="A4:D4"/>
    <x:mergeCell ref="A13:J13"/>
    <x:mergeCell ref="A25:E25"/>
    <x:mergeCell ref="G25:J25"/>
    <x:mergeCell ref="A27:J27"/>
    <x:mergeCell ref="A33:J33"/>
    <x:mergeCell ref="A44:D44"/>
    <x:mergeCell ref="F44:J44"/>
  </x:mergeCells>
  <x:conditionalFormatting sqref="F25:F25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{2171564A-E28E-98E9-4043-273FA964082D}</x14:id>
        </x:ext>
      </x:extLst>
    </x:cfRule>
  </x:conditionalFormatting>
  <x:conditionalFormatting sqref="C29:C3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D40:D42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{7B6DB157-71F3-E5BE-682E-A02F407DEBA0}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171564A-E28E-98E9-4043-273FA964082D}">
            <x14:dataBar gradient="1">
              <x14:cfvo type="min"/>
              <x14:cfvo type="max"/>
              <x14:fillColor rgb="FF156082"/>
            </x14:dataBar>
          </x14:cfRule>
          <xm:sqref>F25:F25</xm:sqref>
        </x14:conditionalFormatting>
        <x14:conditionalFormatting>
          <x14:cfRule type="dataBar" priority="3" id="{7B6DB157-71F3-E5BE-682E-A02F407DEBA0}">
            <x14:dataBar gradient="1">
              <x14:cfvo type="min"/>
              <x14:cfvo type="max"/>
              <x14:fillColor rgb="FFA02B93"/>
            </x14:dataBar>
          </x14:cfRule>
          <xm:sqref>D40:D42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25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  <x:col min="11" max="11" width="30" hidden="0" customWidth="1"/>
  </x:cols>
  <x:sheetData>
    <x:row r="1">
      <x:c r="A1" s="50" t="str">
        <x:v>VKM-003 / VKT-003 — Пицца «Грибная с ветчиной» — ТЕХКАРТА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>
      <x:c r="A2" s="68" t="str">
        <x:v>Проектная технология. Требуются SKU, контрольные приготовления и закрытие FS-003-01…FS-003-15.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</x:row>
    <x:row r="4">
      <x:c r="A4" s="82" t="str">
        <x:v>РЕЦЕПТУРА И МАССО-БАЛАНС</x:v>
      </x:c>
      <x:c r="B4" s="83"/>
      <x:c r="C4" s="83"/>
      <x:c r="D4" s="83"/>
      <x:c r="E4" s="83"/>
      <x:c r="F4" s="83"/>
      <x:c r="G4" s="83"/>
      <x:c r="H4" s="83"/>
      <x:c r="I4" s="83"/>
      <x:c r="J4" s="83"/>
      <x:c r="K4" s="118"/>
    </x:row>
    <x:row r="5">
      <x:c r="A5" s="90" t="str">
        <x:v>№</x:v>
      </x:c>
      <x:c r="B5" s="26" t="str">
        <x:v>Компонент</x:v>
      </x:c>
      <x:c r="C5" s="26" t="str">
        <x:v>ID</x:v>
      </x:c>
      <x:c r="D5" s="26" t="str">
        <x:v>Брутто, г</x:v>
      </x:c>
      <x:c r="E5" s="26" t="str">
        <x:v>Нетто, г</x:v>
      </x:c>
      <x:c r="F5" s="26" t="str">
        <x:v>Потери до выпечки, г</x:v>
      </x:c>
      <x:c r="G5" s="26" t="str">
        <x:v>Масса до выпечки, г</x:v>
      </x:c>
      <x:c r="H5" s="26" t="str">
        <x:v>Потери выпечки, г</x:v>
      </x:c>
      <x:c r="I5" s="26" t="str">
        <x:v>Финиш, г</x:v>
      </x:c>
      <x:c r="J5" s="26" t="str">
        <x:v>Вклад в выход, г</x:v>
      </x:c>
      <x:c r="K5" s="91" t="str">
        <x:v>Статус</x:v>
      </x:c>
    </x:row>
    <x:row r="6">
      <x:c r="A6" s="86" t="n">
        <x:v>1</x:v>
      </x:c>
      <x:c r="B6" s="69" t="str">
        <x:v>Тестовая заготовка</x:v>
      </x:c>
      <x:c r="C6" s="69" t="str">
        <x:v>SFP-PIZZA-DOUGH-001</x:v>
      </x:c>
      <x:c r="D6" s="70" t="n">
        <x:v>250</x:v>
      </x:c>
      <x:c r="E6" s="70" t="n">
        <x:v>250</x:v>
      </x:c>
      <x:c r="F6" s="70" t="n">
        <x:v>0</x:v>
      </x:c>
      <x:c r="G6" s="70" t="n">
        <x:v>250</x:v>
      </x:c>
      <x:c r="H6" s="70" t="n">
        <x:f>$H$14*G6/$G$14</x:f>
        <x:v>17.723880597014926</x:v>
      </x:c>
      <x:c r="I6" s="70" t="n">
        <x:v>0</x:v>
      </x:c>
      <x:c r="J6" s="70" t="n">
        <x:f>G6-H6+I6</x:f>
        <x:v>232.27611940298507</x:v>
      </x:c>
      <x:c r="K6" s="87" t="str">
        <x:v>EXPERT_ASSUMPTION_PENDING_CHEF_MANAGER_VERIFICATION</x:v>
      </x:c>
    </x:row>
    <x:row r="7">
      <x:c r="A7" s="86" t="n">
        <x:v>2</x:v>
      </x:c>
      <x:c r="B7" s="69" t="str">
        <x:v>Томатный соус</x:v>
      </x:c>
      <x:c r="C7" s="69" t="str">
        <x:v>SFP-PIZZA-TOMATO-001</x:v>
      </x:c>
      <x:c r="D7" s="70" t="n">
        <x:v>60</x:v>
      </x:c>
      <x:c r="E7" s="70" t="n">
        <x:v>60</x:v>
      </x:c>
      <x:c r="F7" s="70" t="n">
        <x:v>0</x:v>
      </x:c>
      <x:c r="G7" s="70" t="n">
        <x:v>60</x:v>
      </x:c>
      <x:c r="H7" s="70" t="n">
        <x:f>$H$14*G7/$G$14</x:f>
        <x:v>4.253731343283582</x:v>
      </x:c>
      <x:c r="I7" s="70" t="n">
        <x:v>0</x:v>
      </x:c>
      <x:c r="J7" s="70" t="n">
        <x:f>G7-H7+I7</x:f>
        <x:v>55.74626865671642</x:v>
      </x:c>
      <x:c r="K7" s="87" t="str">
        <x:v>EXPERT_ASSUMPTION_PENDING_CHEF_MANAGER_VERIFICATION</x:v>
      </x:c>
    </x:row>
    <x:row r="8">
      <x:c r="A8" s="86" t="n">
        <x:v>3</x:v>
      </x:c>
      <x:c r="B8" s="69" t="str">
        <x:v>Сыр</x:v>
      </x:c>
      <x:c r="C8" s="69" t="str">
        <x:v>RAW-CHEESE-MOZZ-003</x:v>
      </x:c>
      <x:c r="D8" s="70" t="n">
        <x:v>110</x:v>
      </x:c>
      <x:c r="E8" s="70" t="n">
        <x:v>110</x:v>
      </x:c>
      <x:c r="F8" s="70" t="n">
        <x:v>0</x:v>
      </x:c>
      <x:c r="G8" s="70" t="n">
        <x:v>110</x:v>
      </x:c>
      <x:c r="H8" s="70" t="n">
        <x:f>$H$14*G8/$G$14</x:f>
        <x:v>7.798507462686567</x:v>
      </x:c>
      <x:c r="I8" s="70" t="n">
        <x:v>0</x:v>
      </x:c>
      <x:c r="J8" s="70" t="n">
        <x:f>G8-H8+I8</x:f>
        <x:v>102.20149253731343</x:v>
      </x:c>
      <x:c r="K8" s="87" t="str">
        <x:v>EXPERT_ASSUMPTION_PENDING_CHEF_MANAGER_VERIFICATION</x:v>
      </x:c>
    </x:row>
    <x:row r="9">
      <x:c r="A9" s="86" t="n">
        <x:v>4</x:v>
      </x:c>
      <x:c r="B9" s="69" t="str">
        <x:v>Ветчина</x:v>
      </x:c>
      <x:c r="C9" s="69" t="str">
        <x:v>RAW-HAM-003</x:v>
      </x:c>
      <x:c r="D9" s="70" t="n">
        <x:v>80</x:v>
      </x:c>
      <x:c r="E9" s="70" t="n">
        <x:v>80</x:v>
      </x:c>
      <x:c r="F9" s="70" t="n">
        <x:v>0</x:v>
      </x:c>
      <x:c r="G9" s="70" t="n">
        <x:v>80</x:v>
      </x:c>
      <x:c r="H9" s="70" t="n">
        <x:f>$H$14*G9/$G$14</x:f>
        <x:v>5.6716417910447765</x:v>
      </x:c>
      <x:c r="I9" s="70" t="n">
        <x:v>0</x:v>
      </x:c>
      <x:c r="J9" s="70" t="n">
        <x:f>G9-H9+I9</x:f>
        <x:v>74.32835820895522</x:v>
      </x:c>
      <x:c r="K9" s="87" t="str">
        <x:v>EXPERT_ASSUMPTION_PENDING_CHEF_MANAGER_VERIFICATION</x:v>
      </x:c>
    </x:row>
    <x:row r="10">
      <x:c r="A10" s="86" t="n">
        <x:v>5</x:v>
      </x:c>
      <x:c r="B10" s="69" t="str">
        <x:v>Грибной ПФ</x:v>
      </x:c>
      <x:c r="C10" s="69" t="str">
        <x:v>SFP-PIZZA-MUSHROOM-003</x:v>
      </x:c>
      <x:c r="D10" s="70" t="n">
        <x:v>35</x:v>
      </x:c>
      <x:c r="E10" s="70" t="n">
        <x:v>35</x:v>
      </x:c>
      <x:c r="F10" s="70" t="n">
        <x:v>0</x:v>
      </x:c>
      <x:c r="G10" s="70" t="n">
        <x:v>35</x:v>
      </x:c>
      <x:c r="H10" s="70" t="n">
        <x:f>$H$14*G10/$G$14</x:f>
        <x:v>2.4813432835820897</x:v>
      </x:c>
      <x:c r="I10" s="70" t="n">
        <x:v>0</x:v>
      </x:c>
      <x:c r="J10" s="70" t="n">
        <x:f>G10-H10+I10</x:f>
        <x:v>32.51865671641791</x:v>
      </x:c>
      <x:c r="K10" s="87" t="str">
        <x:v>EXPERT_ASSUMPTION_PENDING_CHEF_MANAGER_VERIFICATION</x:v>
      </x:c>
    </x:row>
    <x:row r="11">
      <x:c r="A11" s="86" t="n">
        <x:v>6</x:v>
      </x:c>
      <x:c r="B11" s="69" t="str">
        <x:v>Сухие травы</x:v>
      </x:c>
      <x:c r="C11" s="69" t="str">
        <x:v>RAW-HERBS-003</x:v>
      </x:c>
      <x:c r="D11" s="70" t="n">
        <x:v>1</x:v>
      </x:c>
      <x:c r="E11" s="70" t="n">
        <x:v>1</x:v>
      </x:c>
      <x:c r="F11" s="70" t="n">
        <x:v>0</x:v>
      </x:c>
      <x:c r="G11" s="70" t="n">
        <x:v>1</x:v>
      </x:c>
      <x:c r="H11" s="70" t="n">
        <x:f>$H$14*G11/$G$14</x:f>
        <x:v>0.0708955223880597</x:v>
      </x:c>
      <x:c r="I11" s="70" t="n">
        <x:v>0</x:v>
      </x:c>
      <x:c r="J11" s="70" t="n">
        <x:f>G11-H11+I11</x:f>
        <x:v>0.9291044776119403</x:v>
      </x:c>
      <x:c r="K11" s="87" t="str">
        <x:v>EXPERT_ASSUMPTION_PENDING_CHEF_MANAGER_VERIFICATION</x:v>
      </x:c>
    </x:row>
    <x:row r="12">
      <x:c r="A12" s="86" t="n">
        <x:v>7</x:v>
      </x:c>
      <x:c r="B12" s="69" t="str">
        <x:v>Финишное масло</x:v>
      </x:c>
      <x:c r="C12" s="69" t="str">
        <x:v>CMP-PIZZA-OIL-001</x:v>
      </x:c>
      <x:c r="D12" s="70" t="n">
        <x:v>2</x:v>
      </x:c>
      <x:c r="E12" s="70" t="n">
        <x:v>2</x:v>
      </x:c>
      <x:c r="F12" s="70" t="n">
        <x:v>0</x:v>
      </x:c>
      <x:c r="G12" s="70" t="n">
        <x:v>0</x:v>
      </x:c>
      <x:c r="H12" s="70" t="n">
        <x:v>0</x:v>
      </x:c>
      <x:c r="I12" s="70" t="n">
        <x:v>2</x:v>
      </x:c>
      <x:c r="J12" s="70" t="n">
        <x:v>2</x:v>
      </x:c>
      <x:c r="K12" s="87" t="str">
        <x:v>EXPERT_ASSUMPTION_PENDING_CHEF_MANAGER_VERIFICATION</x:v>
      </x:c>
    </x:row>
    <x:row r="13">
      <x:c r="A13" s="86"/>
      <x:c r="B13" s="69"/>
      <x:c r="C13" s="69"/>
      <x:c r="D13" s="70"/>
      <x:c r="E13" s="70"/>
      <x:c r="F13" s="70"/>
      <x:c r="G13" s="70"/>
      <x:c r="H13" s="70"/>
      <x:c r="I13" s="70"/>
      <x:c r="J13" s="70"/>
      <x:c r="K13" s="87"/>
    </x:row>
    <x:row r="14">
      <x:c r="A14" s="92" t="str">
        <x:v>ИТОГО / КОНТРОЛЬ</x:v>
      </x:c>
      <x:c r="B14" s="72"/>
      <x:c r="C14" s="72"/>
      <x:c r="D14" s="116"/>
      <x:c r="E14" s="116"/>
      <x:c r="F14" s="116"/>
      <x:c r="G14" s="70" t="n">
        <x:f>SUM(G6:G12)</x:f>
        <x:v>536</x:v>
      </x:c>
      <x:c r="H14" s="70" t="n">
        <x:v>38</x:v>
      </x:c>
      <x:c r="I14" s="70" t="n">
        <x:f>SUM(I6:I12)</x:f>
        <x:v>2</x:v>
      </x:c>
      <x:c r="J14" s="70" t="n">
        <x:f>G14-H14+I14</x:f>
        <x:v>500</x:v>
      </x:c>
      <x:c r="K14" s="87" t="str">
        <x:v>CALCULATED_FROM_ASSUMPTIONS</x:v>
      </x:c>
    </x:row>
    <x:row r="15">
      <x:c r="A15" s="86"/>
      <x:c r="B15" s="69"/>
      <x:c r="C15" s="69"/>
      <x:c r="D15" s="69"/>
      <x:c r="E15" s="69"/>
      <x:c r="F15" s="69"/>
      <x:c r="G15" s="69"/>
      <x:c r="H15" s="69"/>
      <x:c r="I15" s="69"/>
      <x:c r="J15" s="69"/>
      <x:c r="K15" s="87"/>
    </x:row>
    <x:row r="16">
      <x:c r="A16" s="88" t="str">
        <x:v>SFP-PIZZA-MUSHROOM-003 — ШАМПИНЬОНЫ ПРЕДВАРИТЕЛЬНО ОБРАБОТАННЫЕ</x:v>
      </x:c>
      <x:c r="B16" s="53"/>
      <x:c r="C16" s="53"/>
      <x:c r="D16" s="53"/>
      <x:c r="E16" s="53"/>
      <x:c r="F16" s="53"/>
      <x:c r="G16" s="53"/>
      <x:c r="H16" s="53"/>
      <x:c r="I16" s="53"/>
      <x:c r="J16" s="53"/>
      <x:c r="K16" s="89"/>
    </x:row>
    <x:row r="17">
      <x:c r="A17" s="90" t="str">
        <x:v>Компонент</x:v>
      </x:c>
      <x:c r="B17" s="26" t="str">
        <x:v>Брутто, г</x:v>
      </x:c>
      <x:c r="C17" s="26" t="str">
        <x:v>Нетто, г</x:v>
      </x:c>
      <x:c r="D17" s="26" t="str">
        <x:v>Выход в ПФ, г</x:v>
      </x:c>
      <x:c r="E17" s="26" t="str">
        <x:v>Потери, г</x:v>
      </x:c>
      <x:c r="F17" s="26" t="str">
        <x:v>Выход, %</x:v>
      </x:c>
      <x:c r="G17" s="26" t="str">
        <x:v>Статус</x:v>
      </x:c>
      <x:c r="H17" s="69"/>
      <x:c r="I17" s="69"/>
      <x:c r="J17" s="69"/>
      <x:c r="K17" s="87"/>
    </x:row>
    <x:row r="18">
      <x:c r="A18" s="86" t="str">
        <x:v>Шампиньоны свежие</x:v>
      </x:c>
      <x:c r="B18" s="70" t="n">
        <x:v>50</x:v>
      </x:c>
      <x:c r="C18" s="70" t="n">
        <x:v>48</x:v>
      </x:c>
      <x:c r="D18" s="70" t="n">
        <x:v>31.5</x:v>
      </x:c>
      <x:c r="E18" s="70" t="n">
        <x:f>C18-D18</x:f>
        <x:v>16.5</x:v>
      </x:c>
      <x:c r="F18" s="74" t="n">
        <x:f>D18/B18</x:f>
        <x:v>0.63</x:v>
      </x:c>
      <x:c r="G18" s="69" t="str">
        <x:v>EXPERT_ASSUMPTION_PENDING_CHEF_MANAGER_VERIFICATION</x:v>
      </x:c>
      <x:c r="H18" s="69"/>
      <x:c r="I18" s="69"/>
      <x:c r="J18" s="69"/>
      <x:c r="K18" s="87"/>
    </x:row>
    <x:row r="19">
      <x:c r="A19" s="86" t="str">
        <x:v>Масло</x:v>
      </x:c>
      <x:c r="B19" s="70" t="n">
        <x:v>3</x:v>
      </x:c>
      <x:c r="C19" s="70" t="n">
        <x:v>3</x:v>
      </x:c>
      <x:c r="D19" s="70" t="n">
        <x:v>3</x:v>
      </x:c>
      <x:c r="E19" s="70" t="n">
        <x:f>C19-D19</x:f>
        <x:v>0</x:v>
      </x:c>
      <x:c r="F19" s="74" t="n">
        <x:f>D19/B19</x:f>
        <x:v>1</x:v>
      </x:c>
      <x:c r="G19" s="69" t="str">
        <x:v>EXPERT_ASSUMPTION_PENDING_CHEF_MANAGER_VERIFICATION</x:v>
      </x:c>
      <x:c r="H19" s="69"/>
      <x:c r="I19" s="69"/>
      <x:c r="J19" s="69"/>
      <x:c r="K19" s="87"/>
    </x:row>
    <x:row r="20">
      <x:c r="A20" s="86" t="str">
        <x:v>Соль</x:v>
      </x:c>
      <x:c r="B20" s="70" t="n">
        <x:v>0.5</x:v>
      </x:c>
      <x:c r="C20" s="70" t="n">
        <x:v>0.5</x:v>
      </x:c>
      <x:c r="D20" s="70" t="n">
        <x:v>0.5</x:v>
      </x:c>
      <x:c r="E20" s="70" t="n">
        <x:f>C20-D20</x:f>
        <x:v>0</x:v>
      </x:c>
      <x:c r="F20" s="74" t="n">
        <x:f>D20/B20</x:f>
        <x:v>1</x:v>
      </x:c>
      <x:c r="G20" s="69" t="str">
        <x:v>EXPERT_ASSUMPTION_PENDING_CHEF_MANAGER_VERIFICATION</x:v>
      </x:c>
      <x:c r="H20" s="69"/>
      <x:c r="I20" s="69"/>
      <x:c r="J20" s="69"/>
      <x:c r="K20" s="87"/>
    </x:row>
    <x:row r="21">
      <x:c r="A21" s="86" t="str">
        <x:v>Итого</x:v>
      </x:c>
      <x:c r="B21" s="70" t="n">
        <x:f>SUM(B18:B20)</x:f>
        <x:v>53.5</x:v>
      </x:c>
      <x:c r="C21" s="70" t="n">
        <x:f>SUM(C18:C20)</x:f>
        <x:v>51.5</x:v>
      </x:c>
      <x:c r="D21" s="70" t="n">
        <x:f>SUM(D18:D20)</x:f>
        <x:v>35</x:v>
      </x:c>
      <x:c r="E21" s="70" t="n">
        <x:f>SUM(E18:E20)</x:f>
        <x:v>16.5</x:v>
      </x:c>
      <x:c r="F21" s="74" t="n">
        <x:f>D21/B21</x:f>
        <x:v>0.6542056074766355</x:v>
      </x:c>
      <x:c r="G21" s="69" t="str">
        <x:v>CALCULATED_FROM_ASSUMPTIONS</x:v>
      </x:c>
      <x:c r="H21" s="69"/>
      <x:c r="I21" s="69"/>
      <x:c r="J21" s="69"/>
      <x:c r="K21" s="87"/>
    </x:row>
    <x:row r="22">
      <x:c r="A22" s="86"/>
      <x:c r="B22" s="69"/>
      <x:c r="C22" s="69"/>
      <x:c r="D22" s="69"/>
      <x:c r="E22" s="69"/>
      <x:c r="F22" s="69"/>
      <x:c r="G22" s="69"/>
      <x:c r="H22" s="69"/>
      <x:c r="I22" s="69"/>
      <x:c r="J22" s="69"/>
      <x:c r="K22" s="87"/>
    </x:row>
    <x:row r="23">
      <x:c r="A23" s="88" t="str">
        <x:v>ТЕХНОЛОГИЧЕСКИЕ ОПЕРАЦИИ</x:v>
      </x:c>
      <x:c r="B23" s="53"/>
      <x:c r="C23" s="53"/>
      <x:c r="D23" s="53"/>
      <x:c r="E23" s="53"/>
      <x:c r="F23" s="53"/>
      <x:c r="G23" s="53"/>
      <x:c r="H23" s="53"/>
      <x:c r="I23" s="53"/>
      <x:c r="J23" s="53"/>
      <x:c r="K23" s="89"/>
    </x:row>
    <x:row r="24">
      <x:c r="A24" s="90" t="str">
        <x:v>№</x:v>
      </x:c>
      <x:c r="B24" s="26" t="str">
        <x:v>Этап</x:v>
      </x:c>
      <x:c r="C24" s="26" t="str">
        <x:v>Операция</x:v>
      </x:c>
      <x:c r="D24" s="26" t="str">
        <x:v>Проектное время, мин</x:v>
      </x:c>
      <x:c r="E24" s="26" t="str">
        <x:v>Оборудование</x:v>
      </x:c>
      <x:c r="F24" s="26" t="str">
        <x:v>Инвентарь</x:v>
      </x:c>
      <x:c r="G24" s="26" t="str">
        <x:v>Контроль</x:v>
      </x:c>
      <x:c r="H24" s="26" t="str">
        <x:v>Критерий брака</x:v>
      </x:c>
      <x:c r="I24" s="26" t="str">
        <x:v>Хранение / маркировка</x:v>
      </x:c>
      <x:c r="J24" s="26" t="str">
        <x:v>Статус</x:v>
      </x:c>
      <x:c r="K24" s="91" t="str">
        <x:v>Ответственный</x:v>
      </x:c>
    </x:row>
    <x:row r="25">
      <x:c r="A25" s="86" t="n">
        <x:v>1</x:v>
      </x:c>
      <x:c r="B25" s="69" t="str">
        <x:v>Подготовка</x:v>
      </x:c>
      <x:c r="C25" s="69" t="str">
        <x:v>Проверить рабочее место, маркировку ПФ и исправность весов</x:v>
      </x:c>
      <x:c r="D25" s="70" t="n">
        <x:v>0.5</x:v>
      </x:c>
      <x:c r="E25" s="69" t="str">
        <x:v>Рабочая станция</x:v>
      </x:c>
      <x:c r="F25" s="69" t="str">
        <x:v>Весы, ёмкости</x:v>
      </x:c>
      <x:c r="G25" s="69" t="str">
        <x:v>Чистота, прослеживаемость</x:v>
      </x:c>
      <x:c r="H25" s="69" t="str">
        <x:v>Нет маркировки / загрязнение</x:v>
      </x:c>
      <x:c r="I25" s="69" t="str">
        <x:v>До начала сборки</x:v>
      </x:c>
      <x:c r="J25" s="69" t="str">
        <x:v>EXPERT_NORMATIVE_PENDING_CHEF_VERIFICATION</x:v>
      </x:c>
      <x:c r="K25" s="87" t="str">
        <x:v>Шеф</x:v>
      </x:c>
    </x:row>
    <x:row r="26">
      <x:c r="A26" s="86" t="n">
        <x:v>2</x:v>
      </x:c>
      <x:c r="B26" s="69" t="str">
        <x:v>Формование</x:v>
      </x:c>
      <x:c r="C26" s="69" t="str">
        <x:v>Сформовать основу из тестовой заготовки 250 г</x:v>
      </x:c>
      <x:c r="D26" s="70" t="n">
        <x:v>1</x:v>
      </x:c>
      <x:c r="E26" s="69" t="str">
        <x:v>Рабочая станция</x:v>
      </x:c>
      <x:c r="F26" s="69" t="str">
        <x:v>Лопатка</x:v>
      </x:c>
      <x:c r="G26" s="69" t="str">
        <x:v>Равномерный центр и борт</x:v>
      </x:c>
      <x:c r="H26" s="69" t="str">
        <x:v>Разрывы / неравномерность</x:v>
      </x:c>
      <x:c r="I26" s="69" t="str">
        <x:v>Использовать сразу</x:v>
      </x:c>
      <x:c r="J26" s="69" t="str">
        <x:v>EXPERT_NORMATIVE_PENDING_CHEF_VERIFICATION</x:v>
      </x:c>
      <x:c r="K26" s="87" t="str">
        <x:v>Шеф</x:v>
      </x:c>
    </x:row>
    <x:row r="27">
      <x:c r="A27" s="86" t="n">
        <x:v>3</x:v>
      </x:c>
      <x:c r="B27" s="69" t="str">
        <x:v>Сборка</x:v>
      </x:c>
      <x:c r="C27" s="69" t="str">
        <x:v>Нанести 60 г соуса и 110 г сыра</x:v>
      </x:c>
      <x:c r="D27" s="70" t="n">
        <x:v>0.5</x:v>
      </x:c>
      <x:c r="E27" s="69" t="str">
        <x:v>Холодильный стол</x:v>
      </x:c>
      <x:c r="F27" s="69" t="str">
        <x:v>Дозатор, совок</x:v>
      </x:c>
      <x:c r="G27" s="69" t="str">
        <x:v>Равномерное распределение</x:v>
      </x:c>
      <x:c r="H27" s="69" t="str">
        <x:v>Скопление соуса в центре</x:v>
      </x:c>
      <x:c r="I27" s="69" t="str">
        <x:v>ПФ промаркированы</x:v>
      </x:c>
      <x:c r="J27" s="69" t="str">
        <x:v>EXPERT_NORMATIVE_PENDING_CHEF_VERIFICATION</x:v>
      </x:c>
      <x:c r="K27" s="87" t="str">
        <x:v>Шеф</x:v>
      </x:c>
    </x:row>
    <x:row r="28">
      <x:c r="A28" s="86" t="n">
        <x:v>4</x:v>
      </x:c>
      <x:c r="B28" s="69" t="str">
        <x:v>Сборка</x:v>
      </x:c>
      <x:c r="C28" s="69" t="str">
        <x:v>Распределить 80 г ветчины, 35 г грибного ПФ и 1 г трав</x:v>
      </x:c>
      <x:c r="D28" s="70" t="n">
        <x:v>1</x:v>
      </x:c>
      <x:c r="E28" s="69" t="str">
        <x:v>Холодильный стол</x:v>
      </x:c>
      <x:c r="F28" s="69" t="str">
        <x:v>Щипцы, весы</x:v>
      </x:c>
      <x:c r="G28" s="69" t="str">
        <x:v>Без плотных влажных участков</x:v>
      </x:c>
      <x:c r="H28" s="69" t="str">
        <x:v>Перегрузка центра</x:v>
      </x:c>
      <x:c r="I28" s="69" t="str">
        <x:v>Раздельный инвентарь</x:v>
      </x:c>
      <x:c r="J28" s="69" t="str">
        <x:v>EXPERT_NORMATIVE_PENDING_CHEF_VERIFICATION</x:v>
      </x:c>
      <x:c r="K28" s="87" t="str">
        <x:v>Шеф</x:v>
      </x:c>
    </x:row>
    <x:row r="29">
      <x:c r="A29" s="86" t="n">
        <x:v>5</x:v>
      </x:c>
      <x:c r="B29" s="69" t="str">
        <x:v>Выпечка</x:v>
      </x:c>
      <x:c r="C29" s="69" t="str">
        <x:v>Выпекать на идентифицированной печи</x:v>
      </x:c>
      <x:c r="D29" s="70" t="n">
        <x:v>6</x:v>
      </x:c>
      <x:c r="E29" s="69" t="str">
        <x:v>EQ-PIZZA-OVEN-001</x:v>
      </x:c>
      <x:c r="F29" s="69" t="str">
        <x:v>Лопатка, таймер</x:v>
      </x:c>
      <x:c r="G29" s="69" t="str">
        <x:v>Пропечённый центр, расплавленный сыр</x:v>
      </x:c>
      <x:c r="H29" s="69" t="str">
        <x:v>Сырой центр / вода / подгар</x:v>
      </x:c>
      <x:c r="I29" s="69" t="str">
        <x:v>Температура не установлена</x:v>
      </x:c>
      <x:c r="J29" s="69" t="str">
        <x:v>EXPERT_NORMATIVE_PENDING_CHEF_VERIFICATION</x:v>
      </x:c>
      <x:c r="K29" s="87" t="str">
        <x:v>Шеф</x:v>
      </x:c>
    </x:row>
    <x:row r="30">
      <x:c r="A30" s="86" t="n">
        <x:v>6</x:v>
      </x:c>
      <x:c r="B30" s="69" t="str">
        <x:v>Финиш</x:v>
      </x:c>
      <x:c r="C30" s="69" t="str">
        <x:v>Контроль выхода, 2 г масла, нарезка</x:v>
      </x:c>
      <x:c r="D30" s="70" t="n">
        <x:v>1</x:v>
      </x:c>
      <x:c r="E30" s="69" t="str">
        <x:v>Весы</x:v>
      </x:c>
      <x:c r="F30" s="69" t="str">
        <x:v>Резак, дозатор</x:v>
      </x:c>
      <x:c r="G30" s="69" t="str">
        <x:v>Выход 500 г target</x:v>
      </x:c>
      <x:c r="H30" s="69" t="str">
        <x:v>Отклонение / деформация</x:v>
      </x:c>
      <x:c r="I30" s="69" t="str">
        <x:v>Использовать без задержки</x:v>
      </x:c>
      <x:c r="J30" s="69" t="str">
        <x:v>EXPERT_NORMATIVE_PENDING_CHEF_VERIFICATION</x:v>
      </x:c>
      <x:c r="K30" s="87" t="str">
        <x:v>Шеф</x:v>
      </x:c>
    </x:row>
    <x:row r="31">
      <x:c r="A31" s="86" t="n">
        <x:v>7</x:v>
      </x:c>
      <x:c r="B31" s="69" t="str">
        <x:v>Упаковка</x:v>
      </x:c>
      <x:c r="C31" s="69" t="str">
        <x:v>Упаковать, маркировать и передать курьеру</x:v>
      </x:c>
      <x:c r="D31" s="70" t="n">
        <x:v>1.5</x:v>
      </x:c>
      <x:c r="E31" s="69" t="str">
        <x:v>Упаковочная зона</x:v>
      </x:c>
      <x:c r="F31" s="69" t="str">
        <x:v>Коробка, этикетка</x:v>
      </x:c>
      <x:c r="G31" s="69" t="str">
        <x:v>Целостность и идентификация</x:v>
      </x:c>
      <x:c r="H31" s="69" t="str">
        <x:v>Конденсат / неверная маркировка</x:v>
      </x:c>
      <x:c r="I31" s="69" t="str">
        <x:v>Фиксировать время упаковки</x:v>
      </x:c>
      <x:c r="J31" s="69" t="str">
        <x:v>EXPERT_NORMATIVE_PENDING_CHEF_VERIFICATION</x:v>
      </x:c>
      <x:c r="K31" s="87" t="str">
        <x:v>Управляющий</x:v>
      </x:c>
    </x:row>
    <x:row r="32">
      <x:c r="A32" s="86"/>
      <x:c r="B32" s="69"/>
      <x:c r="C32" s="69"/>
      <x:c r="D32" s="69"/>
      <x:c r="E32" s="69"/>
      <x:c r="F32" s="69"/>
      <x:c r="G32" s="69"/>
      <x:c r="H32" s="69"/>
      <x:c r="I32" s="69"/>
      <x:c r="J32" s="69"/>
      <x:c r="K32" s="87"/>
    </x:row>
    <x:row r="33">
      <x:c r="A33" s="90" t="str">
        <x:v>Канал</x:v>
      </x:c>
      <x:c r="B33" s="26" t="str">
        <x:v>Подготовка и сборка</x:v>
      </x:c>
      <x:c r="C33" s="26" t="str">
        <x:v>Выпечка</x:v>
      </x:c>
      <x:c r="D33" s="26" t="str">
        <x:v>Финиш</x:v>
      </x:c>
      <x:c r="E33" s="26" t="str">
        <x:v>Упаковка</x:v>
      </x:c>
      <x:c r="F33" s="26" t="str">
        <x:v>Общий норматив</x:v>
      </x:c>
      <x:c r="G33" s="69"/>
      <x:c r="H33" s="69"/>
      <x:c r="I33" s="69"/>
      <x:c r="J33" s="69"/>
      <x:c r="K33" s="87"/>
    </x:row>
    <x:row r="34">
      <x:c r="A34" s="86" t="str">
        <x:v>À la carte</x:v>
      </x:c>
      <x:c r="B34" s="70" t="n">
        <x:v>3</x:v>
      </x:c>
      <x:c r="C34" s="70" t="n">
        <x:v>6</x:v>
      </x:c>
      <x:c r="D34" s="70" t="n">
        <x:v>1.5</x:v>
      </x:c>
      <x:c r="E34" s="70" t="n">
        <x:v>0</x:v>
      </x:c>
      <x:c r="F34" s="70" t="n">
        <x:f>SUM(B34:E34)</x:f>
        <x:v>10.5</x:v>
      </x:c>
      <x:c r="G34" s="69"/>
      <x:c r="H34" s="69"/>
      <x:c r="I34" s="69"/>
      <x:c r="J34" s="69"/>
      <x:c r="K34" s="87"/>
    </x:row>
    <x:row r="35">
      <x:c r="A35" s="86" t="str">
        <x:v>Гостиничный ужин</x:v>
      </x:c>
      <x:c r="B35" s="70" t="n">
        <x:v>3</x:v>
      </x:c>
      <x:c r="C35" s="70" t="n">
        <x:v>6</x:v>
      </x:c>
      <x:c r="D35" s="70" t="n">
        <x:v>1.5</x:v>
      </x:c>
      <x:c r="E35" s="70" t="n">
        <x:v>0</x:v>
      </x:c>
      <x:c r="F35" s="70" t="n">
        <x:f>SUM(B35:E35)</x:f>
        <x:v>10.5</x:v>
      </x:c>
      <x:c r="G35" s="69"/>
      <x:c r="H35" s="69"/>
      <x:c r="I35" s="69"/>
      <x:c r="J35" s="69"/>
      <x:c r="K35" s="87"/>
    </x:row>
    <x:row r="36">
      <x:c r="A36" s="86" t="str">
        <x:v>Доставка</x:v>
      </x:c>
      <x:c r="B36" s="70" t="n">
        <x:v>3</x:v>
      </x:c>
      <x:c r="C36" s="70" t="n">
        <x:v>6</x:v>
      </x:c>
      <x:c r="D36" s="70" t="n">
        <x:v>1.5</x:v>
      </x:c>
      <x:c r="E36" s="70" t="n">
        <x:v>1.5</x:v>
      </x:c>
      <x:c r="F36" s="70" t="n">
        <x:f>SUM(B36:E36)</x:f>
        <x:v>12</x:v>
      </x:c>
      <x:c r="G36" s="69"/>
      <x:c r="H36" s="69"/>
      <x:c r="I36" s="69"/>
      <x:c r="J36" s="69"/>
      <x:c r="K36" s="87"/>
    </x:row>
    <x:row r="37">
      <x:c r="A37" s="86"/>
      <x:c r="B37" s="69"/>
      <x:c r="C37" s="69"/>
      <x:c r="D37" s="69"/>
      <x:c r="E37" s="69"/>
      <x:c r="F37" s="69"/>
      <x:c r="G37" s="69"/>
      <x:c r="H37" s="69"/>
      <x:c r="I37" s="69"/>
      <x:c r="J37" s="69"/>
      <x:c r="K37" s="87"/>
    </x:row>
    <x:row r="38">
      <x:c r="A38" s="88" t="str">
        <x:v>РЕЕСТР SAFETY-БЛОКЕРОВ</x:v>
      </x:c>
      <x:c r="B38" s="53"/>
      <x:c r="C38" s="53"/>
      <x:c r="D38" s="53"/>
      <x:c r="E38" s="53"/>
      <x:c r="F38" s="53"/>
      <x:c r="G38" s="53"/>
      <x:c r="H38" s="53"/>
      <x:c r="I38" s="53"/>
      <x:c r="J38" s="53"/>
      <x:c r="K38" s="89"/>
    </x:row>
    <x:row r="39">
      <x:c r="A39" s="90" t="str">
        <x:v>ID</x:v>
      </x:c>
      <x:c r="B39" s="26" t="str">
        <x:v>Блокер</x:v>
      </x:c>
      <x:c r="C39" s="26" t="str">
        <x:v>Критичность</x:v>
      </x:c>
      <x:c r="D39" s="26" t="str">
        <x:v>Способ закрытия</x:v>
      </x:c>
      <x:c r="E39" s="26" t="str">
        <x:v>Статус</x:v>
      </x:c>
      <x:c r="F39" s="69"/>
      <x:c r="G39" s="69"/>
      <x:c r="H39" s="69"/>
      <x:c r="I39" s="69"/>
      <x:c r="J39" s="69"/>
      <x:c r="K39" s="87"/>
    </x:row>
    <x:row r="40">
      <x:c r="A40" s="86" t="str">
        <x:v>FS-003-01</x:v>
      </x:c>
      <x:c r="B40" s="69" t="str">
        <x:v>Нет рецептуры и аллергенов общего теста</x:v>
      </x:c>
      <x:c r="C40" s="69" t="str">
        <x:v>S1 safety</x:v>
      </x:c>
      <x:c r="D40" s="69" t="str">
        <x:v>Получить рецептуру и спецификации</x:v>
      </x:c>
      <x:c r="E40" s="68" t="str">
        <x:v>OPEN</x:v>
      </x:c>
      <x:c r="F40" s="69"/>
      <x:c r="G40" s="69"/>
      <x:c r="H40" s="69"/>
      <x:c r="I40" s="69"/>
      <x:c r="J40" s="69"/>
      <x:c r="K40" s="87"/>
    </x:row>
    <x:row r="41">
      <x:c r="A41" s="86" t="str">
        <x:v>FS-003-02</x:v>
      </x:c>
      <x:c r="B41" s="69" t="str">
        <x:v>Не определён SKU ветчины</x:v>
      </x:c>
      <x:c r="C41" s="69" t="str">
        <x:v>S1 safety</x:v>
      </x:c>
      <x:c r="D41" s="69" t="str">
        <x:v>Этикетка, документы, тест</x:v>
      </x:c>
      <x:c r="E41" s="68" t="str">
        <x:v>OPEN</x:v>
      </x:c>
      <x:c r="F41" s="69"/>
      <x:c r="G41" s="69"/>
      <x:c r="H41" s="69"/>
      <x:c r="I41" s="69"/>
      <x:c r="J41" s="69"/>
      <x:c r="K41" s="87"/>
    </x:row>
    <x:row r="42">
      <x:c r="A42" s="86" t="str">
        <x:v>FS-003-03</x:v>
      </x:c>
      <x:c r="B42" s="69" t="str">
        <x:v>Нет срока ветчины после вскрытия</x:v>
      </x:c>
      <x:c r="C42" s="69" t="str">
        <x:v>S1 safety</x:v>
      </x:c>
      <x:c r="D42" s="69" t="str">
        <x:v>Данные изготовителя и процедура</x:v>
      </x:c>
      <x:c r="E42" s="68" t="str">
        <x:v>OPEN</x:v>
      </x:c>
      <x:c r="F42" s="69"/>
      <x:c r="G42" s="69"/>
      <x:c r="H42" s="69"/>
      <x:c r="I42" s="69"/>
      <x:c r="J42" s="69"/>
      <x:c r="K42" s="87"/>
    </x:row>
    <x:row r="43">
      <x:c r="A43" s="86" t="str">
        <x:v>FS-003-04</x:v>
      </x:c>
      <x:c r="B43" s="69" t="str">
        <x:v>Не определён SKU сыра</x:v>
      </x:c>
      <x:c r="C43" s="69" t="str">
        <x:v>S1 safety</x:v>
      </x:c>
      <x:c r="D43" s="69" t="str">
        <x:v>Этикетка, спецификация, тест</x:v>
      </x:c>
      <x:c r="E43" s="68" t="str">
        <x:v>OPEN</x:v>
      </x:c>
      <x:c r="F43" s="69"/>
      <x:c r="G43" s="69"/>
      <x:c r="H43" s="69"/>
      <x:c r="I43" s="69"/>
      <x:c r="J43" s="69"/>
      <x:c r="K43" s="87"/>
    </x:row>
    <x:row r="44">
      <x:c r="A44" s="86" t="str">
        <x:v>FS-003-05</x:v>
      </x:c>
      <x:c r="B44" s="69" t="str">
        <x:v>Нет полной аллергенной матрицы</x:v>
      </x:c>
      <x:c r="C44" s="69" t="str">
        <x:v>S1 safety</x:v>
      </x:c>
      <x:c r="D44" s="69" t="str">
        <x:v>Собрать этикетки всех SKU</x:v>
      </x:c>
      <x:c r="E44" s="68" t="str">
        <x:v>OPEN</x:v>
      </x:c>
      <x:c r="F44" s="69"/>
      <x:c r="G44" s="69"/>
      <x:c r="H44" s="69"/>
      <x:c r="I44" s="69"/>
      <x:c r="J44" s="69"/>
      <x:c r="K44" s="87"/>
    </x:row>
    <x:row r="45">
      <x:c r="A45" s="86" t="str">
        <x:v>FS-003-06</x:v>
      </x:c>
      <x:c r="B45" s="69" t="str">
        <x:v>Не валидирован режим грибного ПФ</x:v>
      </x:c>
      <x:c r="C45" s="69" t="str">
        <x:v>S1 safety</x:v>
      </x:c>
      <x:c r="D45" s="69" t="str">
        <x:v>Фактическая проработка</x:v>
      </x:c>
      <x:c r="E45" s="68" t="str">
        <x:v>OPEN</x:v>
      </x:c>
      <x:c r="F45" s="69"/>
      <x:c r="G45" s="69"/>
      <x:c r="H45" s="69"/>
      <x:c r="I45" s="69"/>
      <x:c r="J45" s="69"/>
      <x:c r="K45" s="87"/>
    </x:row>
    <x:row r="46">
      <x:c r="A46" s="86" t="str">
        <x:v>FS-003-07</x:v>
      </x:c>
      <x:c r="B46" s="69" t="str">
        <x:v>Не валидировано охлаждение грибного ПФ</x:v>
      </x:c>
      <x:c r="C46" s="69" t="str">
        <x:v>S1 safety</x:v>
      </x:c>
      <x:c r="D46" s="69" t="str">
        <x:v>Измерить время и температуру</x:v>
      </x:c>
      <x:c r="E46" s="68" t="str">
        <x:v>OPEN</x:v>
      </x:c>
      <x:c r="F46" s="69"/>
      <x:c r="G46" s="69"/>
      <x:c r="H46" s="69"/>
      <x:c r="I46" s="69"/>
      <x:c r="J46" s="69"/>
      <x:c r="K46" s="87"/>
    </x:row>
    <x:row r="47">
      <x:c r="A47" s="86" t="str">
        <x:v>FS-003-08</x:v>
      </x:c>
      <x:c r="B47" s="69" t="str">
        <x:v>Не установлен срок грибного ПФ</x:v>
      </x:c>
      <x:c r="C47" s="69" t="str">
        <x:v>S1 safety</x:v>
      </x:c>
      <x:c r="D47" s="69" t="str">
        <x:v>Испытания и решение ответственного</x:v>
      </x:c>
      <x:c r="E47" s="68" t="str">
        <x:v>OPEN</x:v>
      </x:c>
      <x:c r="F47" s="69"/>
      <x:c r="G47" s="69"/>
      <x:c r="H47" s="69"/>
      <x:c r="I47" s="69"/>
      <x:c r="J47" s="69"/>
      <x:c r="K47" s="87"/>
    </x:row>
    <x:row r="48">
      <x:c r="A48" s="86" t="str">
        <x:v>FS-003-09</x:v>
      </x:c>
      <x:c r="B48" s="69" t="str">
        <x:v>Не подтверждён режим печи</x:v>
      </x:c>
      <x:c r="C48" s="69" t="str">
        <x:v>S1 safety</x:v>
      </x:c>
      <x:c r="D48" s="69" t="str">
        <x:v>Паспорт и контрольные приготовления</x:v>
      </x:c>
      <x:c r="E48" s="68" t="str">
        <x:v>OPEN</x:v>
      </x:c>
      <x:c r="F48" s="69"/>
      <x:c r="G48" s="69"/>
      <x:c r="H48" s="69"/>
      <x:c r="I48" s="69"/>
      <x:c r="J48" s="69"/>
      <x:c r="K48" s="87"/>
    </x:row>
    <x:row r="49">
      <x:c r="A49" s="86" t="str">
        <x:v>FS-003-10</x:v>
      </x:c>
      <x:c r="B49" s="69" t="str">
        <x:v>Не установлен критерий готовности</x:v>
      </x:c>
      <x:c r="C49" s="69" t="str">
        <x:v>S1 safety</x:v>
      </x:c>
      <x:c r="D49" s="69" t="str">
        <x:v>Тест и документированное решение</x:v>
      </x:c>
      <x:c r="E49" s="68" t="str">
        <x:v>OPEN</x:v>
      </x:c>
      <x:c r="F49" s="69"/>
      <x:c r="G49" s="69"/>
      <x:c r="H49" s="69"/>
      <x:c r="I49" s="69"/>
      <x:c r="J49" s="69"/>
      <x:c r="K49" s="87"/>
    </x:row>
    <x:row r="50">
      <x:c r="A50" s="86" t="str">
        <x:v>FS-003-11</x:v>
      </x:c>
      <x:c r="B50" s="69" t="str">
        <x:v>Не подтверждена упаковка</x:v>
      </x:c>
      <x:c r="C50" s="69" t="str">
        <x:v>S2 safety</x:v>
      </x:c>
      <x:c r="D50" s="69" t="str">
        <x:v>Спецификация и тест доставки</x:v>
      </x:c>
      <x:c r="E50" s="68" t="str">
        <x:v>OPEN</x:v>
      </x:c>
      <x:c r="F50" s="69"/>
      <x:c r="G50" s="69"/>
      <x:c r="H50" s="69"/>
      <x:c r="I50" s="69"/>
      <x:c r="J50" s="69"/>
      <x:c r="K50" s="87"/>
    </x:row>
    <x:row r="51">
      <x:c r="A51" s="86" t="str">
        <x:v>FS-003-12</x:v>
      </x:c>
      <x:c r="B51" s="69" t="str">
        <x:v>Не утверждена маркировка</x:v>
      </x:c>
      <x:c r="C51" s="69" t="str">
        <x:v>S2 safety</x:v>
      </x:c>
      <x:c r="D51" s="69" t="str">
        <x:v>Нормативная проверка шаблона</x:v>
      </x:c>
      <x:c r="E51" s="68" t="str">
        <x:v>OPEN</x:v>
      </x:c>
      <x:c r="F51" s="69"/>
      <x:c r="G51" s="69"/>
      <x:c r="H51" s="69"/>
      <x:c r="I51" s="69"/>
      <x:c r="J51" s="69"/>
      <x:c r="K51" s="87"/>
    </x:row>
    <x:row r="52">
      <x:c r="A52" s="86" t="str">
        <x:v>FS-003-13</x:v>
      </x:c>
      <x:c r="B52" s="69" t="str">
        <x:v>Не проверен cross-contact</x:v>
      </x:c>
      <x:c r="C52" s="69" t="str">
        <x:v>S1 safety</x:v>
      </x:c>
      <x:c r="D52" s="69" t="str">
        <x:v>Обследование процесса</x:v>
      </x:c>
      <x:c r="E52" s="68" t="str">
        <x:v>OPEN</x:v>
      </x:c>
      <x:c r="F52" s="69"/>
      <x:c r="G52" s="69"/>
      <x:c r="H52" s="69"/>
      <x:c r="I52" s="69"/>
      <x:c r="J52" s="69"/>
      <x:c r="K52" s="87"/>
    </x:row>
    <x:row r="53">
      <x:c r="A53" s="86" t="str">
        <x:v>FS-003-14</x:v>
      </x:c>
      <x:c r="B53" s="69" t="str">
        <x:v>Не проведены тесты доставки</x:v>
      </x:c>
      <x:c r="C53" s="69" t="str">
        <x:v>S2 safety</x:v>
      </x:c>
      <x:c r="D53" s="69" t="str">
        <x:v>Тесты 15/30/45 минут</x:v>
      </x:c>
      <x:c r="E53" s="68" t="str">
        <x:v>OPEN</x:v>
      </x:c>
      <x:c r="F53" s="69"/>
      <x:c r="G53" s="69"/>
      <x:c r="H53" s="69"/>
      <x:c r="I53" s="69"/>
      <x:c r="J53" s="69"/>
      <x:c r="K53" s="87"/>
    </x:row>
    <x:row r="54">
      <x:c r="A54" s="94" t="str">
        <x:v>FS-003-15</x:v>
      </x:c>
      <x:c r="B54" s="96" t="str">
        <x:v>Нет контрольных приготовлений</x:v>
      </x:c>
      <x:c r="C54" s="96" t="str">
        <x:v>S1 safety</x:v>
      </x:c>
      <x:c r="D54" s="96" t="str">
        <x:v>3 основных + 1 сравнительный прогон</x:v>
      </x:c>
      <x:c r="E54" s="142" t="str">
        <x:v>OPEN</x:v>
      </x:c>
      <x:c r="F54" s="96"/>
      <x:c r="G54" s="96"/>
      <x:c r="H54" s="96"/>
      <x:c r="I54" s="96"/>
      <x:c r="J54" s="96"/>
      <x:c r="K54" s="97"/>
    </x:row>
  </x:sheetData>
  <x:mergeCells>
    <x:mergeCell ref="A1:K1"/>
    <x:mergeCell ref="A2:K2"/>
    <x:mergeCell ref="A4:K4"/>
    <x:mergeCell ref="A14:F14"/>
    <x:mergeCell ref="A16:K16"/>
    <x:mergeCell ref="A23:K23"/>
    <x:mergeCell ref="A38:K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18" hidden="0" customWidth="1"/>
    <x:col min="4" max="4" width="42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12" hidden="0" customWidth="1"/>
    <x:col min="10" max="10" width="20" hidden="0" customWidth="1"/>
    <x:col min="11" max="11" width="20" hidden="0" customWidth="1"/>
  </x:cols>
  <x:sheetData>
    <x:row r="1">
      <x:c r="A1" s="50" t="str">
        <x:v>VKM-003 — АНКЕТА ШЕФ-ПОВАРУ И УПРАВЛЯЮЩЕМУ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>
      <x:c r="A2" s="68" t="str">
        <x:v>Заполняется реальными ответственными. Пустые поля не означают согласование.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</x:row>
    <x:row r="4">
      <x:c r="A4" s="128" t="str">
        <x:v>№</x:v>
      </x:c>
      <x:c r="B4" s="129" t="str">
        <x:v>Кому</x:v>
      </x:c>
      <x:c r="C4" s="129" t="str">
        <x:v>Блок</x:v>
      </x:c>
      <x:c r="D4" s="129" t="str">
        <x:v>Вопрос</x:v>
      </x:c>
      <x:c r="E4" s="129" t="str">
        <x:v>Предлагаемое значение</x:v>
      </x:c>
      <x:c r="F4" s="129" t="str">
        <x:v>Ответ / факт</x:v>
      </x:c>
      <x:c r="G4" s="129" t="str">
        <x:v>Решение</x:v>
      </x:c>
      <x:c r="H4" s="129" t="str">
        <x:v>Комментарий</x:v>
      </x:c>
      <x:c r="I4" s="129" t="str">
        <x:v>Дата</x:v>
      </x:c>
      <x:c r="J4" s="129" t="str">
        <x:v>ФИО</x:v>
      </x:c>
      <x:c r="K4" s="130" t="str">
        <x:v>Подпись / отметка</x:v>
      </x:c>
    </x:row>
    <x:row r="5">
      <x:c r="A5" s="86" t="n">
        <x:v>1</x:v>
      </x:c>
      <x:c r="B5" s="69" t="str">
        <x:v>Шеф-повар</x:v>
      </x:c>
      <x:c r="C5" s="69" t="str">
        <x:v>Концепция</x:v>
      </x:c>
      <x:c r="D5" s="69" t="str">
        <x:v>Подтверждается ли экономически сбалансированная томатная версия?</x:v>
      </x:c>
      <x:c r="E5" s="69" t="str">
        <x:v>Да</x:v>
      </x:c>
      <x:c r="F5" s="124" t="str"/>
      <x:c r="G5" s="124" t="str"/>
      <x:c r="H5" s="124" t="str"/>
      <x:c r="I5" s="125" t="str"/>
      <x:c r="J5" s="124" t="str"/>
      <x:c r="K5" s="131" t="str"/>
    </x:row>
    <x:row r="6">
      <x:c r="A6" s="86" t="n">
        <x:v>2</x:v>
      </x:c>
      <x:c r="B6" s="69" t="str">
        <x:v>Шеф-повар</x:v>
      </x:c>
      <x:c r="C6" s="69" t="str">
        <x:v>Тесто</x:v>
      </x:c>
      <x:c r="D6" s="69" t="str">
        <x:v>Подтверждается ли заготовка 250 г?</x:v>
      </x:c>
      <x:c r="E6" s="69" t="str">
        <x:v>250 г</x:v>
      </x:c>
      <x:c r="F6" s="124" t="str"/>
      <x:c r="G6" s="124" t="str"/>
      <x:c r="H6" s="124" t="str"/>
      <x:c r="I6" s="125" t="str"/>
      <x:c r="J6" s="124" t="str"/>
      <x:c r="K6" s="131" t="str"/>
    </x:row>
    <x:row r="7">
      <x:c r="A7" s="86" t="n">
        <x:v>3</x:v>
      </x:c>
      <x:c r="B7" s="69" t="str">
        <x:v>Шеф-повар</x:v>
      </x:c>
      <x:c r="C7" s="69" t="str">
        <x:v>Диаметр</x:v>
      </x:c>
      <x:c r="D7" s="69" t="str">
        <x:v>Какой фактический диаметр соответствует заготовке?</x:v>
      </x:c>
      <x:c r="E7" s="69" t="str">
        <x:v>Требуется ответ</x:v>
      </x:c>
      <x:c r="F7" s="124" t="str"/>
      <x:c r="G7" s="124" t="str"/>
      <x:c r="H7" s="124" t="str"/>
      <x:c r="I7" s="125" t="str"/>
      <x:c r="J7" s="124" t="str"/>
      <x:c r="K7" s="131" t="str"/>
    </x:row>
    <x:row r="8">
      <x:c r="A8" s="86" t="n">
        <x:v>4</x:v>
      </x:c>
      <x:c r="B8" s="69" t="str">
        <x:v>Шеф-повар</x:v>
      </x:c>
      <x:c r="C8" s="69" t="str">
        <x:v>Соус</x:v>
      </x:c>
      <x:c r="D8" s="69" t="str">
        <x:v>Подтверждается ли масса соуса?</x:v>
      </x:c>
      <x:c r="E8" s="69" t="str">
        <x:v>60 г</x:v>
      </x:c>
      <x:c r="F8" s="124" t="str"/>
      <x:c r="G8" s="124" t="str"/>
      <x:c r="H8" s="124" t="str"/>
      <x:c r="I8" s="125" t="str"/>
      <x:c r="J8" s="124" t="str"/>
      <x:c r="K8" s="131" t="str"/>
    </x:row>
    <x:row r="9">
      <x:c r="A9" s="86" t="n">
        <x:v>5</x:v>
      </x:c>
      <x:c r="B9" s="69" t="str">
        <x:v>Шеф-повар</x:v>
      </x:c>
      <x:c r="C9" s="69" t="str">
        <x:v>Сыр</x:v>
      </x:c>
      <x:c r="D9" s="69" t="str">
        <x:v>Подтверждается ли масса сыра?</x:v>
      </x:c>
      <x:c r="E9" s="69" t="str">
        <x:v>110 г</x:v>
      </x:c>
      <x:c r="F9" s="124" t="str"/>
      <x:c r="G9" s="124" t="str"/>
      <x:c r="H9" s="124" t="str"/>
      <x:c r="I9" s="125" t="str"/>
      <x:c r="J9" s="124" t="str"/>
      <x:c r="K9" s="131" t="str"/>
    </x:row>
    <x:row r="10">
      <x:c r="A10" s="86" t="n">
        <x:v>6</x:v>
      </x:c>
      <x:c r="B10" s="69" t="str">
        <x:v>Шеф-повар</x:v>
      </x:c>
      <x:c r="C10" s="69" t="str">
        <x:v>Сыр</x:v>
      </x:c>
      <x:c r="D10" s="69" t="str">
        <x:v>Как распределять сыр?</x:v>
      </x:c>
      <x:c r="E10" s="69" t="str">
        <x:v>70–80% снизу, остаток сверху</x:v>
      </x:c>
      <x:c r="F10" s="124" t="str"/>
      <x:c r="G10" s="124" t="str"/>
      <x:c r="H10" s="124" t="str"/>
      <x:c r="I10" s="125" t="str"/>
      <x:c r="J10" s="124" t="str"/>
      <x:c r="K10" s="131" t="str"/>
    </x:row>
    <x:row r="11">
      <x:c r="A11" s="86" t="n">
        <x:v>7</x:v>
      </x:c>
      <x:c r="B11" s="69" t="str">
        <x:v>Шеф-повар</x:v>
      </x:c>
      <x:c r="C11" s="69" t="str">
        <x:v>Ветчина</x:v>
      </x:c>
      <x:c r="D11" s="69" t="str">
        <x:v>Подтверждается ли масса?</x:v>
      </x:c>
      <x:c r="E11" s="69" t="str">
        <x:v>80 г</x:v>
      </x:c>
      <x:c r="F11" s="124" t="str"/>
      <x:c r="G11" s="124" t="str"/>
      <x:c r="H11" s="124" t="str"/>
      <x:c r="I11" s="125" t="str"/>
      <x:c r="J11" s="124" t="str"/>
      <x:c r="K11" s="131" t="str"/>
    </x:row>
    <x:row r="12">
      <x:c r="A12" s="86" t="n">
        <x:v>8</x:v>
      </x:c>
      <x:c r="B12" s="69" t="str">
        <x:v>Шеф-повар</x:v>
      </x:c>
      <x:c r="C12" s="69" t="str">
        <x:v>Ветчина</x:v>
      </x:c>
      <x:c r="D12" s="69" t="str">
        <x:v>Какой размер нарезки оптимален?</x:v>
      </x:c>
      <x:c r="E12" s="69" t="str">
        <x:v>Требуется тест</x:v>
      </x:c>
      <x:c r="F12" s="124" t="str"/>
      <x:c r="G12" s="124" t="str"/>
      <x:c r="H12" s="124" t="str"/>
      <x:c r="I12" s="125" t="str"/>
      <x:c r="J12" s="124" t="str"/>
      <x:c r="K12" s="131" t="str"/>
    </x:row>
    <x:row r="13">
      <x:c r="A13" s="86" t="n">
        <x:v>9</x:v>
      </x:c>
      <x:c r="B13" s="69" t="str">
        <x:v>Шеф-повар</x:v>
      </x:c>
      <x:c r="C13" s="69" t="str">
        <x:v>Грибы</x:v>
      </x:c>
      <x:c r="D13" s="69" t="str">
        <x:v>Подтверждается ли грибной ПФ как основной вариант?</x:v>
      </x:c>
      <x:c r="E13" s="69" t="str">
        <x:v>Да</x:v>
      </x:c>
      <x:c r="F13" s="124" t="str"/>
      <x:c r="G13" s="124" t="str"/>
      <x:c r="H13" s="124" t="str"/>
      <x:c r="I13" s="125" t="str"/>
      <x:c r="J13" s="124" t="str"/>
      <x:c r="K13" s="131" t="str"/>
    </x:row>
    <x:row r="14">
      <x:c r="A14" s="86" t="n">
        <x:v>10</x:v>
      </x:c>
      <x:c r="B14" s="69" t="str">
        <x:v>Шеф-повар</x:v>
      </x:c>
      <x:c r="C14" s="69" t="str">
        <x:v>Грибы</x:v>
      </x:c>
      <x:c r="D14" s="69" t="str">
        <x:v>Подтверждается ли 35 г готового ПФ?</x:v>
      </x:c>
      <x:c r="E14" s="69" t="str">
        <x:v>35 г</x:v>
      </x:c>
      <x:c r="F14" s="124" t="str"/>
      <x:c r="G14" s="124" t="str"/>
      <x:c r="H14" s="124" t="str"/>
      <x:c r="I14" s="125" t="str"/>
      <x:c r="J14" s="124" t="str"/>
      <x:c r="K14" s="131" t="str"/>
    </x:row>
    <x:row r="15">
      <x:c r="A15" s="86" t="n">
        <x:v>11</x:v>
      </x:c>
      <x:c r="B15" s="69" t="str">
        <x:v>Шеф-повар</x:v>
      </x:c>
      <x:c r="C15" s="69" t="str">
        <x:v>Грибы</x:v>
      </x:c>
      <x:c r="D15" s="69" t="str">
        <x:v>Каков фактический выход из 50 г сырья?</x:v>
      </x:c>
      <x:c r="E15" s="69" t="str">
        <x:v>Требуется замер</x:v>
      </x:c>
      <x:c r="F15" s="124" t="str"/>
      <x:c r="G15" s="124" t="str"/>
      <x:c r="H15" s="124" t="str"/>
      <x:c r="I15" s="125" t="str"/>
      <x:c r="J15" s="124" t="str"/>
      <x:c r="K15" s="131" t="str"/>
    </x:row>
    <x:row r="16">
      <x:c r="A16" s="86" t="n">
        <x:v>12</x:v>
      </x:c>
      <x:c r="B16" s="69" t="str">
        <x:v>Шеф-повар</x:v>
      </x:c>
      <x:c r="C16" s="69" t="str">
        <x:v>Грибы</x:v>
      </x:c>
      <x:c r="D16" s="69" t="str">
        <x:v>Какой режим обработки принять?</x:v>
      </x:c>
      <x:c r="E16" s="69" t="str">
        <x:v>Требуется тест</x:v>
      </x:c>
      <x:c r="F16" s="124" t="str"/>
      <x:c r="G16" s="124" t="str"/>
      <x:c r="H16" s="124" t="str"/>
      <x:c r="I16" s="125" t="str"/>
      <x:c r="J16" s="124" t="str"/>
      <x:c r="K16" s="131" t="str"/>
    </x:row>
    <x:row r="17">
      <x:c r="A17" s="86" t="n">
        <x:v>13</x:v>
      </x:c>
      <x:c r="B17" s="69" t="str">
        <x:v>Шеф-повар</x:v>
      </x:c>
      <x:c r="C17" s="69" t="str">
        <x:v>Грибы</x:v>
      </x:c>
      <x:c r="D17" s="69" t="str">
        <x:v>Как охлаждать ПФ?</x:v>
      </x:c>
      <x:c r="E17" s="69" t="str">
        <x:v>Требуется валидация</x:v>
      </x:c>
      <x:c r="F17" s="124" t="str"/>
      <x:c r="G17" s="124" t="str"/>
      <x:c r="H17" s="124" t="str"/>
      <x:c r="I17" s="125" t="str"/>
      <x:c r="J17" s="124" t="str"/>
      <x:c r="K17" s="131" t="str"/>
    </x:row>
    <x:row r="18">
      <x:c r="A18" s="86" t="n">
        <x:v>14</x:v>
      </x:c>
      <x:c r="B18" s="69" t="str">
        <x:v>Шеф-повар</x:v>
      </x:c>
      <x:c r="C18" s="69" t="str">
        <x:v>Грибы</x:v>
      </x:c>
      <x:c r="D18" s="69" t="str">
        <x:v>Какой срок хранения установить?</x:v>
      </x:c>
      <x:c r="E18" s="69" t="str">
        <x:v>Не устанавливать без валидации</x:v>
      </x:c>
      <x:c r="F18" s="124" t="str"/>
      <x:c r="G18" s="124" t="str"/>
      <x:c r="H18" s="124" t="str"/>
      <x:c r="I18" s="125" t="str"/>
      <x:c r="J18" s="124" t="str"/>
      <x:c r="K18" s="131" t="str"/>
    </x:row>
    <x:row r="19">
      <x:c r="A19" s="86" t="n">
        <x:v>15</x:v>
      </x:c>
      <x:c r="B19" s="69" t="str">
        <x:v>Шеф-повар</x:v>
      </x:c>
      <x:c r="C19" s="69" t="str">
        <x:v>Лук</x:v>
      </x:c>
      <x:c r="D19" s="69" t="str">
        <x:v>Подтверждается ли отсутствие лука?</x:v>
      </x:c>
      <x:c r="E19" s="69" t="str">
        <x:v>Да</x:v>
      </x:c>
      <x:c r="F19" s="124" t="str"/>
      <x:c r="G19" s="124" t="str"/>
      <x:c r="H19" s="124" t="str"/>
      <x:c r="I19" s="125" t="str"/>
      <x:c r="J19" s="124" t="str"/>
      <x:c r="K19" s="131" t="str"/>
    </x:row>
    <x:row r="20">
      <x:c r="A20" s="86" t="n">
        <x:v>16</x:v>
      </x:c>
      <x:c r="B20" s="69" t="str">
        <x:v>Шеф-повар</x:v>
      </x:c>
      <x:c r="C20" s="69" t="str">
        <x:v>Выпечка</x:v>
      </x:c>
      <x:c r="D20" s="69" t="str">
        <x:v>Какой режим печи использовать?</x:v>
      </x:c>
      <x:c r="E20" s="69" t="str">
        <x:v>Требуется паспорт и тест</x:v>
      </x:c>
      <x:c r="F20" s="124" t="str"/>
      <x:c r="G20" s="124" t="str"/>
      <x:c r="H20" s="124" t="str"/>
      <x:c r="I20" s="125" t="str"/>
      <x:c r="J20" s="124" t="str"/>
      <x:c r="K20" s="131" t="str"/>
    </x:row>
    <x:row r="21">
      <x:c r="A21" s="86" t="n">
        <x:v>17</x:v>
      </x:c>
      <x:c r="B21" s="69" t="str">
        <x:v>Шеф-повар</x:v>
      </x:c>
      <x:c r="C21" s="69" t="str">
        <x:v>Время</x:v>
      </x:c>
      <x:c r="D21" s="69" t="str">
        <x:v>Подтверждается ли 5,5–6,5 мин выпечки?</x:v>
      </x:c>
      <x:c r="E21" s="69" t="str">
        <x:v>Требуется 3 прогона</x:v>
      </x:c>
      <x:c r="F21" s="124" t="str"/>
      <x:c r="G21" s="124" t="str"/>
      <x:c r="H21" s="124" t="str"/>
      <x:c r="I21" s="125" t="str"/>
      <x:c r="J21" s="124" t="str"/>
      <x:c r="K21" s="131" t="str"/>
    </x:row>
    <x:row r="22">
      <x:c r="A22" s="86" t="n">
        <x:v>18</x:v>
      </x:c>
      <x:c r="B22" s="69" t="str">
        <x:v>Шеф-повар</x:v>
      </x:c>
      <x:c r="C22" s="69" t="str">
        <x:v>Готовность</x:v>
      </x:c>
      <x:c r="D22" s="69" t="str">
        <x:v>Какой критерий готовности принять?</x:v>
      </x:c>
      <x:c r="E22" s="69" t="str">
        <x:v>Требуется решение</x:v>
      </x:c>
      <x:c r="F22" s="124" t="str"/>
      <x:c r="G22" s="124" t="str"/>
      <x:c r="H22" s="124" t="str"/>
      <x:c r="I22" s="125" t="str"/>
      <x:c r="J22" s="124" t="str"/>
      <x:c r="K22" s="131" t="str"/>
    </x:row>
    <x:row r="23">
      <x:c r="A23" s="86" t="n">
        <x:v>19</x:v>
      </x:c>
      <x:c r="B23" s="69" t="str">
        <x:v>Шеф-повар</x:v>
      </x:c>
      <x:c r="C23" s="69" t="str">
        <x:v>Выход</x:v>
      </x:c>
      <x:c r="D23" s="69" t="str">
        <x:v>Подтверждается ли target 500 г?</x:v>
      </x:c>
      <x:c r="E23" s="69" t="str">
        <x:v>500 г</x:v>
      </x:c>
      <x:c r="F23" s="124" t="str"/>
      <x:c r="G23" s="124" t="str"/>
      <x:c r="H23" s="124" t="str"/>
      <x:c r="I23" s="125" t="str"/>
      <x:c r="J23" s="124" t="str"/>
      <x:c r="K23" s="131" t="str"/>
    </x:row>
    <x:row r="24">
      <x:c r="A24" s="86" t="n">
        <x:v>20</x:v>
      </x:c>
      <x:c r="B24" s="69" t="str">
        <x:v>Шеф-повар</x:v>
      </x:c>
      <x:c r="C24" s="69" t="str">
        <x:v>Потери</x:v>
      </x:c>
      <x:c r="D24" s="69" t="str">
        <x:v>Каковы фактические потери?</x:v>
      </x:c>
      <x:c r="E24" s="69" t="str">
        <x:v>Требуется замер</x:v>
      </x:c>
      <x:c r="F24" s="124" t="str"/>
      <x:c r="G24" s="124" t="str"/>
      <x:c r="H24" s="124" t="str"/>
      <x:c r="I24" s="125" t="str"/>
      <x:c r="J24" s="124" t="str"/>
      <x:c r="K24" s="131" t="str"/>
    </x:row>
    <x:row r="25">
      <x:c r="A25" s="86" t="n">
        <x:v>21</x:v>
      </x:c>
      <x:c r="B25" s="69" t="str">
        <x:v>Шеф-повар</x:v>
      </x:c>
      <x:c r="C25" s="69" t="str">
        <x:v>Органолептика</x:v>
      </x:c>
      <x:c r="D25" s="69" t="str">
        <x:v>Соответствует ли профиль блюда концепции?</x:v>
      </x:c>
      <x:c r="E25" s="69" t="str">
        <x:v>Требуется оценка</x:v>
      </x:c>
      <x:c r="F25" s="124" t="str"/>
      <x:c r="G25" s="124" t="str"/>
      <x:c r="H25" s="124" t="str"/>
      <x:c r="I25" s="125" t="str"/>
      <x:c r="J25" s="124" t="str"/>
      <x:c r="K25" s="131" t="str"/>
    </x:row>
    <x:row r="26">
      <x:c r="A26" s="86" t="n">
        <x:v>22</x:v>
      </x:c>
      <x:c r="B26" s="69" t="str">
        <x:v>Шеф-повар</x:v>
      </x:c>
      <x:c r="C26" s="69" t="str">
        <x:v>Свежие грибы</x:v>
      </x:c>
      <x:c r="D26" s="69" t="str">
        <x:v>Нужно ли сохранить свежий вариант?</x:v>
      </x:c>
      <x:c r="E26" s="69" t="str">
        <x:v>Сравнительный тест</x:v>
      </x:c>
      <x:c r="F26" s="124" t="str"/>
      <x:c r="G26" s="124" t="str"/>
      <x:c r="H26" s="124" t="str"/>
      <x:c r="I26" s="125" t="str"/>
      <x:c r="J26" s="124" t="str"/>
      <x:c r="K26" s="131" t="str"/>
    </x:row>
    <x:row r="27">
      <x:c r="A27" s="86" t="n">
        <x:v>23</x:v>
      </x:c>
      <x:c r="B27" s="69" t="str">
        <x:v>Шеф-повар</x:v>
      </x:c>
      <x:c r="C27" s="69" t="str">
        <x:v>Время заказа</x:v>
      </x:c>
      <x:c r="D27" s="69" t="str">
        <x:v>Подтверждается ли норматив 10,5 мин?</x:v>
      </x:c>
      <x:c r="E27" s="69" t="str">
        <x:v>Требуется 3 прогона</x:v>
      </x:c>
      <x:c r="F27" s="124" t="str"/>
      <x:c r="G27" s="124" t="str"/>
      <x:c r="H27" s="124" t="str"/>
      <x:c r="I27" s="125" t="str"/>
      <x:c r="J27" s="124" t="str"/>
      <x:c r="K27" s="131" t="str"/>
    </x:row>
    <x:row r="28">
      <x:c r="A28" s="86" t="n">
        <x:v>24</x:v>
      </x:c>
      <x:c r="B28" s="69" t="str">
        <x:v>Шеф-повар</x:v>
      </x:c>
      <x:c r="C28" s="69" t="str">
        <x:v>Доставка</x:v>
      </x:c>
      <x:c r="D28" s="69" t="str">
        <x:v>Подтверждается ли норматив 12 мин до курьера?</x:v>
      </x:c>
      <x:c r="E28" s="69" t="str">
        <x:v>Требуется тест</x:v>
      </x:c>
      <x:c r="F28" s="124" t="str"/>
      <x:c r="G28" s="124" t="str"/>
      <x:c r="H28" s="124" t="str"/>
      <x:c r="I28" s="125" t="str"/>
      <x:c r="J28" s="124" t="str"/>
      <x:c r="K28" s="131" t="str"/>
    </x:row>
    <x:row r="29">
      <x:c r="A29" s="86" t="n">
        <x:v>25</x:v>
      </x:c>
      <x:c r="B29" s="69" t="str">
        <x:v>Шеф-повар</x:v>
      </x:c>
      <x:c r="C29" s="69" t="str">
        <x:v>Итог</x:v>
      </x:c>
      <x:c r="D29" s="69" t="str">
        <x:v>Какое решение по рецепту?</x:v>
      </x:c>
      <x:c r="E29" s="69" t="str">
        <x:v>Согласовать / изменить / тест</x:v>
      </x:c>
      <x:c r="F29" s="124" t="str"/>
      <x:c r="G29" s="124" t="str"/>
      <x:c r="H29" s="124" t="str"/>
      <x:c r="I29" s="125" t="str"/>
      <x:c r="J29" s="124" t="str"/>
      <x:c r="K29" s="131" t="str"/>
    </x:row>
    <x:row r="30">
      <x:c r="A30" s="86" t="n">
        <x:v>26</x:v>
      </x:c>
      <x:c r="B30" s="69" t="str">
        <x:v>Управляющий</x:v>
      </x:c>
      <x:c r="C30" s="69" t="str">
        <x:v>Ветчина</x:v>
      </x:c>
      <x:c r="D30" s="69" t="str">
        <x:v>Какой конкретный SKU предлагается?</x:v>
      </x:c>
      <x:c r="E30" s="69" t="str">
        <x:v>Требуется документ</x:v>
      </x:c>
      <x:c r="F30" s="124" t="str"/>
      <x:c r="G30" s="124" t="str"/>
      <x:c r="H30" s="124" t="str"/>
      <x:c r="I30" s="125" t="str"/>
      <x:c r="J30" s="124" t="str"/>
      <x:c r="K30" s="131" t="str"/>
    </x:row>
    <x:row r="31">
      <x:c r="A31" s="86" t="n">
        <x:v>27</x:v>
      </x:c>
      <x:c r="B31" s="69" t="str">
        <x:v>Управляющий</x:v>
      </x:c>
      <x:c r="C31" s="69" t="str">
        <x:v>Ветчина</x:v>
      </x:c>
      <x:c r="D31" s="69" t="str">
        <x:v>Позволяет ли официальное название использовать слово «ветчина»?</x:v>
      </x:c>
      <x:c r="E31" s="69" t="str">
        <x:v>Обязательно</x:v>
      </x:c>
      <x:c r="F31" s="124" t="str"/>
      <x:c r="G31" s="124" t="str"/>
      <x:c r="H31" s="124" t="str"/>
      <x:c r="I31" s="125" t="str"/>
      <x:c r="J31" s="124" t="str"/>
      <x:c r="K31" s="131" t="str"/>
    </x:row>
    <x:row r="32">
      <x:c r="A32" s="86" t="n">
        <x:v>28</x:v>
      </x:c>
      <x:c r="B32" s="69" t="str">
        <x:v>Управляющий</x:v>
      </x:c>
      <x:c r="C32" s="69" t="str">
        <x:v>Ветчина</x:v>
      </x:c>
      <x:c r="D32" s="69" t="str">
        <x:v>Каков состав и перечень аллергенов?</x:v>
      </x:c>
      <x:c r="E32" s="69" t="str">
        <x:v>Требуется этикетка</x:v>
      </x:c>
      <x:c r="F32" s="124" t="str"/>
      <x:c r="G32" s="124" t="str"/>
      <x:c r="H32" s="124" t="str"/>
      <x:c r="I32" s="125" t="str"/>
      <x:c r="J32" s="124" t="str"/>
      <x:c r="K32" s="131" t="str"/>
    </x:row>
    <x:row r="33">
      <x:c r="A33" s="86" t="n">
        <x:v>29</x:v>
      </x:c>
      <x:c r="B33" s="69" t="str">
        <x:v>Управляющий</x:v>
      </x:c>
      <x:c r="C33" s="69" t="str">
        <x:v>Ветчина</x:v>
      </x:c>
      <x:c r="D33" s="69" t="str">
        <x:v>Каков срок после вскрытия?</x:v>
      </x:c>
      <x:c r="E33" s="69" t="str">
        <x:v>Требуется документ</x:v>
      </x:c>
      <x:c r="F33" s="124" t="str"/>
      <x:c r="G33" s="124" t="str"/>
      <x:c r="H33" s="124" t="str"/>
      <x:c r="I33" s="125" t="str"/>
      <x:c r="J33" s="124" t="str"/>
      <x:c r="K33" s="131" t="str"/>
    </x:row>
    <x:row r="34">
      <x:c r="A34" s="86" t="n">
        <x:v>30</x:v>
      </x:c>
      <x:c r="B34" s="69" t="str">
        <x:v>Управляющий</x:v>
      </x:c>
      <x:c r="C34" s="69" t="str">
        <x:v>Сыр</x:v>
      </x:c>
      <x:c r="D34" s="69" t="str">
        <x:v>Какой SKU предлагается?</x:v>
      </x:c>
      <x:c r="E34" s="69" t="str">
        <x:v>Требуется документ</x:v>
      </x:c>
      <x:c r="F34" s="124" t="str"/>
      <x:c r="G34" s="124" t="str"/>
      <x:c r="H34" s="124" t="str"/>
      <x:c r="I34" s="125" t="str"/>
      <x:c r="J34" s="124" t="str"/>
      <x:c r="K34" s="131" t="str"/>
    </x:row>
    <x:row r="35">
      <x:c r="A35" s="86" t="n">
        <x:v>31</x:v>
      </x:c>
      <x:c r="B35" s="69" t="str">
        <x:v>Управляющий</x:v>
      </x:c>
      <x:c r="C35" s="69" t="str">
        <x:v>Сыр</x:v>
      </x:c>
      <x:c r="D35" s="69" t="str">
        <x:v>Это сыр или сырный продукт?</x:v>
      </x:c>
      <x:c r="E35" s="69" t="str">
        <x:v>Требуется подтверждение</x:v>
      </x:c>
      <x:c r="F35" s="124" t="str"/>
      <x:c r="G35" s="124" t="str"/>
      <x:c r="H35" s="124" t="str"/>
      <x:c r="I35" s="125" t="str"/>
      <x:c r="J35" s="124" t="str"/>
      <x:c r="K35" s="131" t="str"/>
    </x:row>
    <x:row r="36">
      <x:c r="A36" s="86" t="n">
        <x:v>32</x:v>
      </x:c>
      <x:c r="B36" s="69" t="str">
        <x:v>Управляющий</x:v>
      </x:c>
      <x:c r="C36" s="69" t="str">
        <x:v>Грибы</x:v>
      </x:c>
      <x:c r="D36" s="69" t="str">
        <x:v>Какой поставщик и формат упаковки?</x:v>
      </x:c>
      <x:c r="E36" s="69" t="str">
        <x:v>Требуется документ</x:v>
      </x:c>
      <x:c r="F36" s="124" t="str"/>
      <x:c r="G36" s="124" t="str"/>
      <x:c r="H36" s="124" t="str"/>
      <x:c r="I36" s="125" t="str"/>
      <x:c r="J36" s="124" t="str"/>
      <x:c r="K36" s="131" t="str"/>
    </x:row>
    <x:row r="37">
      <x:c r="A37" s="86" t="n">
        <x:v>33</x:v>
      </x:c>
      <x:c r="B37" s="69" t="str">
        <x:v>Управляющий</x:v>
      </x:c>
      <x:c r="C37" s="69" t="str">
        <x:v>Соус</x:v>
      </x:c>
      <x:c r="D37" s="69" t="str">
        <x:v>Какой SKU или внутренний ПФ?</x:v>
      </x:c>
      <x:c r="E37" s="69" t="str">
        <x:v>Требуется подтверждение</x:v>
      </x:c>
      <x:c r="F37" s="124" t="str"/>
      <x:c r="G37" s="124" t="str"/>
      <x:c r="H37" s="124" t="str"/>
      <x:c r="I37" s="125" t="str"/>
      <x:c r="J37" s="124" t="str"/>
      <x:c r="K37" s="131" t="str"/>
    </x:row>
    <x:row r="38">
      <x:c r="A38" s="86" t="n">
        <x:v>34</x:v>
      </x:c>
      <x:c r="B38" s="69" t="str">
        <x:v>Управляющий</x:v>
      </x:c>
      <x:c r="C38" s="69" t="str">
        <x:v>Масло</x:v>
      </x:c>
      <x:c r="D38" s="69" t="str">
        <x:v>Какой SKU используется?</x:v>
      </x:c>
      <x:c r="E38" s="69" t="str">
        <x:v>Требуется подтверждение</x:v>
      </x:c>
      <x:c r="F38" s="124" t="str"/>
      <x:c r="G38" s="124" t="str"/>
      <x:c r="H38" s="124" t="str"/>
      <x:c r="I38" s="125" t="str"/>
      <x:c r="J38" s="124" t="str"/>
      <x:c r="K38" s="131" t="str"/>
    </x:row>
    <x:row r="39">
      <x:c r="A39" s="86" t="n">
        <x:v>35</x:v>
      </x:c>
      <x:c r="B39" s="69" t="str">
        <x:v>Управляющий</x:v>
      </x:c>
      <x:c r="C39" s="69" t="str">
        <x:v>Цены</x:v>
      </x:c>
      <x:c r="D39" s="69" t="str">
        <x:v>Подтверждены ли закупочные цены?</x:v>
      </x:c>
      <x:c r="E39" s="69" t="str">
        <x:v>Требуются первичные документы</x:v>
      </x:c>
      <x:c r="F39" s="124" t="str"/>
      <x:c r="G39" s="124" t="str"/>
      <x:c r="H39" s="124" t="str"/>
      <x:c r="I39" s="125" t="str"/>
      <x:c r="J39" s="124" t="str"/>
      <x:c r="K39" s="131" t="str"/>
    </x:row>
    <x:row r="40">
      <x:c r="A40" s="86" t="n">
        <x:v>36</x:v>
      </x:c>
      <x:c r="B40" s="69" t="str">
        <x:v>Управляющий</x:v>
      </x:c>
      <x:c r="C40" s="69" t="str">
        <x:v>Печь</x:v>
      </x:c>
      <x:c r="D40" s="69" t="str">
        <x:v>Какова марка и модель?</x:v>
      </x:c>
      <x:c r="E40" s="69" t="str">
        <x:v>Требуется паспорт</x:v>
      </x:c>
      <x:c r="F40" s="124" t="str"/>
      <x:c r="G40" s="124" t="str"/>
      <x:c r="H40" s="124" t="str"/>
      <x:c r="I40" s="125" t="str"/>
      <x:c r="J40" s="124" t="str"/>
      <x:c r="K40" s="131" t="str"/>
    </x:row>
    <x:row r="41">
      <x:c r="A41" s="86" t="n">
        <x:v>37</x:v>
      </x:c>
      <x:c r="B41" s="69" t="str">
        <x:v>Управляющий</x:v>
      </x:c>
      <x:c r="C41" s="69" t="str">
        <x:v>Печь</x:v>
      </x:c>
      <x:c r="D41" s="69" t="str">
        <x:v>Какова полезная вместимость?</x:v>
      </x:c>
      <x:c r="E41" s="69" t="str">
        <x:v>Требуется испытание</x:v>
      </x:c>
      <x:c r="F41" s="124" t="str"/>
      <x:c r="G41" s="124" t="str"/>
      <x:c r="H41" s="124" t="str"/>
      <x:c r="I41" s="125" t="str"/>
      <x:c r="J41" s="124" t="str"/>
      <x:c r="K41" s="131" t="str"/>
    </x:row>
    <x:row r="42">
      <x:c r="A42" s="86" t="n">
        <x:v>38</x:v>
      </x:c>
      <x:c r="B42" s="69" t="str">
        <x:v>Управляющий</x:v>
      </x:c>
      <x:c r="C42" s="69" t="str">
        <x:v>Холодильник</x:v>
      </x:c>
      <x:c r="D42" s="69" t="str">
        <x:v>Возможно ли безопасно охлаждать грибной ПФ?</x:v>
      </x:c>
      <x:c r="E42" s="69" t="str">
        <x:v>Требуется проверка</x:v>
      </x:c>
      <x:c r="F42" s="124" t="str"/>
      <x:c r="G42" s="124" t="str"/>
      <x:c r="H42" s="124" t="str"/>
      <x:c r="I42" s="125" t="str"/>
      <x:c r="J42" s="124" t="str"/>
      <x:c r="K42" s="131" t="str"/>
    </x:row>
    <x:row r="43">
      <x:c r="A43" s="86" t="n">
        <x:v>39</x:v>
      </x:c>
      <x:c r="B43" s="69" t="str">
        <x:v>Управляющий</x:v>
      </x:c>
      <x:c r="C43" s="69" t="str">
        <x:v>Инвентарь</x:v>
      </x:c>
      <x:c r="D43" s="69" t="str">
        <x:v>Есть ли отдельные ёмкости и инструменты?</x:v>
      </x:c>
      <x:c r="E43" s="69" t="str">
        <x:v>Требуется проверка</x:v>
      </x:c>
      <x:c r="F43" s="124" t="str"/>
      <x:c r="G43" s="124" t="str"/>
      <x:c r="H43" s="124" t="str"/>
      <x:c r="I43" s="125" t="str"/>
      <x:c r="J43" s="124" t="str"/>
      <x:c r="K43" s="131" t="str"/>
    </x:row>
    <x:row r="44">
      <x:c r="A44" s="86" t="n">
        <x:v>40</x:v>
      </x:c>
      <x:c r="B44" s="69" t="str">
        <x:v>Управляющий</x:v>
      </x:c>
      <x:c r="C44" s="69" t="str">
        <x:v>Аллергены</x:v>
      </x:c>
      <x:c r="D44" s="69" t="str">
        <x:v>Есть ли действующая матрица cross-contact?</x:v>
      </x:c>
      <x:c r="E44" s="69" t="str">
        <x:v>Требуется документ</x:v>
      </x:c>
      <x:c r="F44" s="124" t="str"/>
      <x:c r="G44" s="124" t="str"/>
      <x:c r="H44" s="124" t="str"/>
      <x:c r="I44" s="125" t="str"/>
      <x:c r="J44" s="124" t="str"/>
      <x:c r="K44" s="131" t="str"/>
    </x:row>
    <x:row r="45">
      <x:c r="A45" s="86" t="n">
        <x:v>41</x:v>
      </x:c>
      <x:c r="B45" s="69" t="str">
        <x:v>Управляющий</x:v>
      </x:c>
      <x:c r="C45" s="69" t="str">
        <x:v>Упаковка</x:v>
      </x:c>
      <x:c r="D45" s="69" t="str">
        <x:v>Какой SKU коробки применяется?</x:v>
      </x:c>
      <x:c r="E45" s="69" t="str">
        <x:v>Требуется спецификация</x:v>
      </x:c>
      <x:c r="F45" s="124" t="str"/>
      <x:c r="G45" s="124" t="str"/>
      <x:c r="H45" s="124" t="str"/>
      <x:c r="I45" s="125" t="str"/>
      <x:c r="J45" s="124" t="str"/>
      <x:c r="K45" s="131" t="str"/>
    </x:row>
    <x:row r="46">
      <x:c r="A46" s="86" t="n">
        <x:v>42</x:v>
      </x:c>
      <x:c r="B46" s="69" t="str">
        <x:v>Управляющий</x:v>
      </x:c>
      <x:c r="C46" s="69" t="str">
        <x:v>Упаковка</x:v>
      </x:c>
      <x:c r="D46" s="69" t="str">
        <x:v>Подтверждена ли цена 45 ₽?</x:v>
      </x:c>
      <x:c r="E46" s="69" t="str">
        <x:v>Требуется документ</x:v>
      </x:c>
      <x:c r="F46" s="124" t="str"/>
      <x:c r="G46" s="124" t="str"/>
      <x:c r="H46" s="124" t="str"/>
      <x:c r="I46" s="125" t="str"/>
      <x:c r="J46" s="124" t="str"/>
      <x:c r="K46" s="131" t="str"/>
    </x:row>
    <x:row r="47">
      <x:c r="A47" s="86" t="n">
        <x:v>43</x:v>
      </x:c>
      <x:c r="B47" s="69" t="str">
        <x:v>Управляющий</x:v>
      </x:c>
      <x:c r="C47" s="69" t="str">
        <x:v>Комиссия</x:v>
      </x:c>
      <x:c r="D47" s="69" t="str">
        <x:v>Подтверждена ли комиссия 25%?</x:v>
      </x:c>
      <x:c r="E47" s="69" t="str">
        <x:v>Требуется договор</x:v>
      </x:c>
      <x:c r="F47" s="124" t="str"/>
      <x:c r="G47" s="124" t="str"/>
      <x:c r="H47" s="124" t="str"/>
      <x:c r="I47" s="125" t="str"/>
      <x:c r="J47" s="124" t="str"/>
      <x:c r="K47" s="131" t="str"/>
    </x:row>
    <x:row r="48">
      <x:c r="A48" s="86" t="n">
        <x:v>44</x:v>
      </x:c>
      <x:c r="B48" s="69" t="str">
        <x:v>Управляющий</x:v>
      </x:c>
      <x:c r="C48" s="69" t="str">
        <x:v>Эквайринг</x:v>
      </x:c>
      <x:c r="D48" s="69" t="str">
        <x:v>Подтверждена ли ставка 2%?</x:v>
      </x:c>
      <x:c r="E48" s="69" t="str">
        <x:v>Требуется договор</x:v>
      </x:c>
      <x:c r="F48" s="124" t="str"/>
      <x:c r="G48" s="124" t="str"/>
      <x:c r="H48" s="124" t="str"/>
      <x:c r="I48" s="125" t="str"/>
      <x:c r="J48" s="124" t="str"/>
      <x:c r="K48" s="131" t="str"/>
    </x:row>
    <x:row r="49">
      <x:c r="A49" s="86" t="n">
        <x:v>45</x:v>
      </x:c>
      <x:c r="B49" s="69" t="str">
        <x:v>Управляющий</x:v>
      </x:c>
      <x:c r="C49" s="69" t="str">
        <x:v>Доставка</x:v>
      </x:c>
      <x:c r="D49" s="69" t="str">
        <x:v>Как организована передача курьеру?</x:v>
      </x:c>
      <x:c r="E49" s="69" t="str">
        <x:v>Требуется процесс</x:v>
      </x:c>
      <x:c r="F49" s="124" t="str"/>
      <x:c r="G49" s="124" t="str"/>
      <x:c r="H49" s="124" t="str"/>
      <x:c r="I49" s="125" t="str"/>
      <x:c r="J49" s="124" t="str"/>
      <x:c r="K49" s="131" t="str"/>
    </x:row>
    <x:row r="50">
      <x:c r="A50" s="86" t="n">
        <x:v>46</x:v>
      </x:c>
      <x:c r="B50" s="69" t="str">
        <x:v>Управляющий</x:v>
      </x:c>
      <x:c r="C50" s="69" t="str">
        <x:v>Маркировка</x:v>
      </x:c>
      <x:c r="D50" s="69" t="str">
        <x:v>Какой шаблон этикетки применяется?</x:v>
      </x:c>
      <x:c r="E50" s="69" t="str">
        <x:v>Требуется согласование</x:v>
      </x:c>
      <x:c r="F50" s="124" t="str"/>
      <x:c r="G50" s="124" t="str"/>
      <x:c r="H50" s="124" t="str"/>
      <x:c r="I50" s="125" t="str"/>
      <x:c r="J50" s="124" t="str"/>
      <x:c r="K50" s="131" t="str"/>
    </x:row>
    <x:row r="51">
      <x:c r="A51" s="86" t="n">
        <x:v>47</x:v>
      </x:c>
      <x:c r="B51" s="69" t="str">
        <x:v>Управляющий</x:v>
      </x:c>
      <x:c r="C51" s="69" t="str">
        <x:v>Цена</x:v>
      </x:c>
      <x:c r="D51" s="69" t="str">
        <x:v>Подтверждается ли проектная цена 890 ₽?</x:v>
      </x:c>
      <x:c r="E51" s="69" t="str">
        <x:v>890 ₽</x:v>
      </x:c>
      <x:c r="F51" s="124" t="str"/>
      <x:c r="G51" s="124" t="str"/>
      <x:c r="H51" s="124" t="str"/>
      <x:c r="I51" s="125" t="str"/>
      <x:c r="J51" s="124" t="str"/>
      <x:c r="K51" s="131" t="str"/>
    </x:row>
    <x:row r="52">
      <x:c r="A52" s="86" t="n">
        <x:v>48</x:v>
      </x:c>
      <x:c r="B52" s="69" t="str">
        <x:v>Управляющий</x:v>
      </x:c>
      <x:c r="C52" s="69" t="str">
        <x:v>Каналы</x:v>
      </x:c>
      <x:c r="D52" s="69" t="str">
        <x:v>Подтверждается ли единая цена?</x:v>
      </x:c>
      <x:c r="E52" s="69" t="str">
        <x:v>Да</x:v>
      </x:c>
      <x:c r="F52" s="124" t="str"/>
      <x:c r="G52" s="124" t="str"/>
      <x:c r="H52" s="124" t="str"/>
      <x:c r="I52" s="125" t="str"/>
      <x:c r="J52" s="124" t="str"/>
      <x:c r="K52" s="131" t="str"/>
    </x:row>
    <x:row r="53">
      <x:c r="A53" s="86" t="n">
        <x:v>49</x:v>
      </x:c>
      <x:c r="B53" s="69" t="str">
        <x:v>Управляющий</x:v>
      </x:c>
      <x:c r="C53" s="69" t="str">
        <x:v>Вероятность</x:v>
      </x:c>
      <x:c r="D53" s="69" t="str">
        <x:v>Есть ли данные для оценки выбора?</x:v>
      </x:c>
      <x:c r="E53" s="69" t="str">
        <x:v>Требуется статистика</x:v>
      </x:c>
      <x:c r="F53" s="124" t="str"/>
      <x:c r="G53" s="124" t="str"/>
      <x:c r="H53" s="124" t="str"/>
      <x:c r="I53" s="125" t="str"/>
      <x:c r="J53" s="124" t="str"/>
      <x:c r="K53" s="131" t="str"/>
    </x:row>
    <x:row r="54">
      <x:c r="A54" s="86" t="n">
        <x:v>50</x:v>
      </x:c>
      <x:c r="B54" s="69" t="str">
        <x:v>Управляющий</x:v>
      </x:c>
      <x:c r="C54" s="69" t="str">
        <x:v>Итог</x:v>
      </x:c>
      <x:c r="D54" s="69" t="str">
        <x:v>Какое решение по операционной готовности?</x:v>
      </x:c>
      <x:c r="E54" s="69" t="str">
        <x:v>Согласовать / изменить / тест</x:v>
      </x:c>
      <x:c r="F54" s="124" t="str"/>
      <x:c r="G54" s="124" t="str"/>
      <x:c r="H54" s="124" t="str"/>
      <x:c r="I54" s="125" t="str"/>
      <x:c r="J54" s="124" t="str"/>
      <x:c r="K54" s="131" t="str"/>
    </x:row>
    <x:row r="55">
      <x:c r="A55" s="86"/>
      <x:c r="B55" s="69"/>
      <x:c r="C55" s="69"/>
      <x:c r="D55" s="69"/>
      <x:c r="E55" s="69"/>
      <x:c r="F55" s="69"/>
      <x:c r="G55" s="69"/>
      <x:c r="H55" s="69"/>
      <x:c r="I55" s="69"/>
      <x:c r="J55" s="69"/>
      <x:c r="K55" s="87"/>
    </x:row>
    <x:row r="56">
      <x:c r="A56" s="86"/>
      <x:c r="B56" s="69"/>
      <x:c r="C56" s="69"/>
      <x:c r="D56" s="69"/>
      <x:c r="E56" s="69"/>
      <x:c r="F56" s="69"/>
      <x:c r="G56" s="69"/>
      <x:c r="H56" s="69"/>
      <x:c r="I56" s="69"/>
      <x:c r="J56" s="69"/>
      <x:c r="K56" s="87"/>
    </x:row>
    <x:row r="57">
      <x:c r="A57" s="88" t="str">
        <x:v>ИТОГОВОЕ РЕШЕНИЕ</x:v>
      </x:c>
      <x:c r="B57" s="53"/>
      <x:c r="C57" s="53"/>
      <x:c r="D57" s="53"/>
      <x:c r="E57" s="53"/>
      <x:c r="F57" s="53"/>
      <x:c r="G57" s="53"/>
      <x:c r="H57" s="53"/>
      <x:c r="I57" s="53"/>
      <x:c r="J57" s="53"/>
      <x:c r="K57" s="89"/>
    </x:row>
    <x:row r="58">
      <x:c r="A58" s="86" t="str">
        <x:v>Итог</x:v>
      </x:c>
      <x:c r="B58" s="124" t="str"/>
      <x:c r="C58" s="69"/>
      <x:c r="D58" s="69"/>
      <x:c r="E58" s="69"/>
      <x:c r="F58" s="69"/>
      <x:c r="G58" s="69"/>
      <x:c r="H58" s="69"/>
      <x:c r="I58" s="69"/>
      <x:c r="J58" s="69"/>
      <x:c r="K58" s="87"/>
    </x:row>
    <x:row r="59">
      <x:c r="A59" s="86" t="str">
        <x:v>Условия</x:v>
      </x:c>
      <x:c r="B59" s="124" t="str"/>
      <x:c r="C59" s="69"/>
      <x:c r="D59" s="69"/>
      <x:c r="E59" s="69"/>
      <x:c r="F59" s="69"/>
      <x:c r="G59" s="69"/>
      <x:c r="H59" s="69"/>
      <x:c r="I59" s="69"/>
      <x:c r="J59" s="69"/>
      <x:c r="K59" s="87"/>
    </x:row>
    <x:row r="60">
      <x:c r="A60" s="86" t="str">
        <x:v>Дата</x:v>
      </x:c>
      <x:c r="B60" s="125" t="str"/>
      <x:c r="C60" s="69"/>
      <x:c r="D60" s="69"/>
      <x:c r="E60" s="69"/>
      <x:c r="F60" s="69"/>
      <x:c r="G60" s="69"/>
      <x:c r="H60" s="69"/>
      <x:c r="I60" s="69"/>
      <x:c r="J60" s="69"/>
      <x:c r="K60" s="87"/>
    </x:row>
    <x:row r="61">
      <x:c r="A61" s="94" t="str">
        <x:v>ФИО / подпись</x:v>
      </x:c>
      <x:c r="B61" s="132" t="str"/>
      <x:c r="C61" s="96"/>
      <x:c r="D61" s="96"/>
      <x:c r="E61" s="96"/>
      <x:c r="F61" s="96"/>
      <x:c r="G61" s="96"/>
      <x:c r="H61" s="96"/>
      <x:c r="I61" s="96"/>
      <x:c r="J61" s="96"/>
      <x:c r="K61" s="97"/>
    </x:row>
  </x:sheetData>
  <x:mergeCells>
    <x:mergeCell ref="A1:K1"/>
    <x:mergeCell ref="A2:K2"/>
    <x:mergeCell ref="A57:K57"/>
  </x:mergeCells>
  <x:dataValidations count="2">
    <x:dataValidation type="list" sqref="G5:G54">
      <x:formula1>"СОГЛАСОВАНО,ИЗМЕНИТЬ,ОТКЛОНЕНО,ТРЕБУЕТСЯ ТЕСТ,Н/П"</x:formula1>
    </x:dataValidation>
    <x:dataValidation type="list" sqref="B58">
      <x:formula1>"СОГЛАСОВАНО,СОГЛАСОВАНО С УСЛОВИЯМИ,НА ДОРАБОТКУ,ОТКЛОНЕНО"</x:formula1>
    </x:dataValidation>
  </x:dataValidations>
  <x:pageMargins left="0.7" right="0.7" top="0.75" bottom="0.75" header="0.3" footer="0.3"/>
</x:worksheet>
</file>