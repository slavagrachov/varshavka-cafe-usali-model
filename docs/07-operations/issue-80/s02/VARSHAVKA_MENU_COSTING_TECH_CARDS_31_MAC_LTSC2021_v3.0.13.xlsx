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sheet11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9.xml" ContentType="application/vnd.openxmlformats-officedocument.spreadsheetml.worksheet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ПАСПОРТ" sheetId="1" state="visible" r:id="rId3"/>
    <sheet name="01_МЕНЮ" sheetId="2" state="visible" r:id="rId4"/>
    <sheet name="02_РЕЦЕПТУРЫ" sheetId="3" state="visible" r:id="rId5"/>
    <sheet name="03_ПОЛУФАБРИКАТЫ" sheetId="4" state="visible" r:id="rId6"/>
    <sheet name="04_КАЛЬКУЛЯЦИИ" sheetId="5" state="visible" r:id="rId7"/>
    <sheet name="05_ТЕХКАРТЫ" sheetId="6" state="visible" r:id="rId8"/>
    <sheet name="06_СЫРЬЁ_И_ЦЕНЫ" sheetId="7" state="visible" r:id="rId9"/>
    <sheet name="07_ЦЕНООБРАЗОВАНИЕ" sheetId="8" state="visible" r:id="rId10"/>
    <sheet name="08_ОБОРУДОВАНИЕ" sheetId="9" state="visible" r:id="rId11"/>
    <sheet name="09_ИНВЕНТАРЬ_И_ПОСУДА" sheetId="10" state="visible" r:id="rId12"/>
    <sheet name="10_АЛЛЕРГЕНЫ_БЕЗОПАСНОСТЬ" sheetId="11" state="visible" r:id="rId13"/>
    <sheet name="11_ПИЩЕВАЯ_ЦЕННОСТЬ" sheetId="12" state="visible" r:id="rId14"/>
    <sheet name="12_ВОПРОСЫ_ШЕФУ" sheetId="13" state="visible" r:id="rId15"/>
    <sheet name="13_СОГЛАСОВАНИЕ" sheetId="14" state="visible" r:id="rId16"/>
    <sheet name="14_КОНТРОЛЬНЫЕ_ПРОРАБОТКИ" sheetId="15" state="visible" r:id="rId17"/>
    <sheet name="15_ПРОВЕРКИ" sheetId="16" state="visible" r:id="rId18"/>
    <sheet name="16_ИСТОЧНИКИ" sheetId="17" state="visible" r:id="rId19"/>
  </sheets>
  <definedNames>
    <definedName function="false" hidden="true" localSheetId="0" name="_xlnm._FilterDatabase" vbProcedure="false">'00_ПАСПОРТ'!$A$1:$F$11</definedName>
    <definedName function="false" hidden="true" localSheetId="1" name="_xlnm._FilterDatabase" vbProcedure="false">'01_МЕНЮ'!$A$1:$O$35</definedName>
    <definedName function="false" hidden="true" localSheetId="2" name="_xlnm._FilterDatabase" vbProcedure="false">'02_РЕЦЕПТУРЫ'!$A$1:$Y$282</definedName>
    <definedName function="false" hidden="true" localSheetId="3" name="_xlnm._FilterDatabase" vbProcedure="false">'03_ПОЛУФАБРИКАТЫ'!$A$1:$AB$41</definedName>
    <definedName function="false" hidden="true" localSheetId="4" name="_xlnm._FilterDatabase" vbProcedure="false">'04_КАЛЬКУЛЯЦИИ'!$A$1:$AO$35</definedName>
    <definedName function="false" hidden="true" localSheetId="5" name="_xlnm._FilterDatabase" vbProcedure="false">'05_ТЕХКАРТЫ'!$A$1:$AM$35</definedName>
    <definedName function="false" hidden="true" localSheetId="6" name="_xlnm._FilterDatabase" vbProcedure="false">'06_СЫРЬЁ_И_ЦЕНЫ'!$A$1:$Q$117</definedName>
    <definedName function="false" hidden="true" localSheetId="7" name="_xlnm._FilterDatabase" vbProcedure="false">'07_ЦЕНООБРАЗОВАНИЕ'!$A$1:$AN$108</definedName>
    <definedName function="false" hidden="true" localSheetId="8" name="_xlnm._FilterDatabase" vbProcedure="false">'08_ОБОРУДОВАНИЕ'!$A$1:$AO$162</definedName>
    <definedName function="false" hidden="true" localSheetId="9" name="_xlnm._FilterDatabase" vbProcedure="false">'09_ИНВЕНТАРЬ_И_ПОСУДА'!$A$1:$Q$35</definedName>
    <definedName function="false" hidden="true" localSheetId="10" name="_xlnm._FilterDatabase" vbProcedure="false">'10_АЛЛЕРГЕНЫ_БЕЗОПАСНОСТЬ'!$A$1:$AA$35</definedName>
    <definedName function="false" hidden="true" localSheetId="11" name="_xlnm._FilterDatabase" vbProcedure="false">'11_ПИЩЕВАЯ_ЦЕННОСТЬ'!$A$1:$BD$35</definedName>
    <definedName function="false" hidden="true" localSheetId="12" name="_xlnm._FilterDatabase" vbProcedure="false">'12_ВОПРОСЫ_ШЕФУ'!$A$1:$N$160</definedName>
    <definedName function="false" hidden="true" localSheetId="13" name="_xlnm._FilterDatabase" vbProcedure="false">'13_СОГЛАСОВАНИЕ'!$A$1:$N$35</definedName>
    <definedName function="false" hidden="true" localSheetId="14" name="_xlnm._FilterDatabase" vbProcedure="false">'14_КОНТРОЛЬНЫЕ_ПРОРАБОТКИ'!$A$1:$N$35</definedName>
    <definedName function="false" hidden="true" localSheetId="15" name="_xlnm._FilterDatabase" vbProcedure="false">'15_ПРОВЕРКИ'!$A$1:$F$7</definedName>
    <definedName function="false" hidden="true" localSheetId="16" name="_xlnm._FilterDatabase" vbProcedure="false">'16_ИСТОЧНИКИ'!$A$1:$G$8</definedName>
    <definedName name="_xlnm.Print_Area" localSheetId="0">'00_ПАСПОРТ'!$A$1:$F$11</definedName>
    <definedName name="_xlnm.Print_Area" localSheetId="1">'01_МЕНЮ'!$A$1:$O$35</definedName>
    <definedName name="_xlnm.Print_Area" localSheetId="2">'02_РЕЦЕПТУРЫ'!$A$1:$Y$282</definedName>
    <definedName name="_xlnm.Print_Area" localSheetId="3">'03_ПОЛУФАБРИКАТЫ'!$A$1:$AB$41</definedName>
    <definedName name="_xlnm.Print_Area" localSheetId="4">'04_КАЛЬКУЛЯЦИИ'!$A$1:$AO$35</definedName>
    <definedName name="_xlnm.Print_Area" localSheetId="5">'05_ТЕХКАРТЫ'!$A$1:$AM$35</definedName>
    <definedName name="_xlnm.Print_Area" localSheetId="6">'06_СЫРЬЁ_И_ЦЕНЫ'!$A$1:$Q$117</definedName>
    <definedName name="_xlnm.Print_Area" localSheetId="7">'07_ЦЕНООБРАЗОВАНИЕ'!$A$1:$AN$108</definedName>
    <definedName name="_xlnm.Print_Area" localSheetId="8">'08_ОБОРУДОВАНИЕ'!$A$1:$AO$162</definedName>
    <definedName name="_xlnm.Print_Area" localSheetId="9">'09_ИНВЕНТАРЬ_И_ПОСУДА'!$A$1:$Q$35</definedName>
    <definedName name="_xlnm.Print_Area" localSheetId="10">'10_АЛЛЕРГЕНЫ_БЕЗОПАСНОСТЬ'!$A$1:$AA$35</definedName>
    <definedName name="_xlnm.Print_Area" localSheetId="11">'11_ПИЩЕВАЯ_ЦЕННОСТЬ'!$A$1:$BD$35</definedName>
    <definedName name="_xlnm.Print_Area" localSheetId="12">'12_ВОПРОСЫ_ШЕФУ'!$A$1:$N$160</definedName>
    <definedName name="_xlnm.Print_Area" localSheetId="13">'13_СОГЛАСОВАНИЕ'!$A$1:$N$35</definedName>
    <definedName name="_xlnm.Print_Area" localSheetId="14">'14_КОНТРОЛЬНЫЕ_ПРОРАБОТКИ'!$A$1:$N$35</definedName>
    <definedName name="_xlnm.Print_Area" localSheetId="15">'15_ПРОВЕРКИ'!$A$1:$F$7</definedName>
    <definedName name="_xlnm.Print_Area" localSheetId="16">'16_ИСТОЧНИКИ'!$A$1:$G$8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<sst xmlns="http://schemas.openxmlformats.org/spreadsheetml/2006/main" count="21114" uniqueCount="2670">
  <si>
    <t xml:space="preserve">VARSHAVKA — итоговый пакет 31 позиции</t>
  </si>
  <si>
    <t xml:space="preserve">Параметр</t>
  </si>
  <si>
    <t xml:space="preserve">Значение</t>
  </si>
  <si>
    <t xml:space="preserve">Статус</t>
  </si>
  <si>
    <t xml:space="preserve">Источник</t>
  </si>
  <si>
    <t xml:space="preserve">Версия</t>
  </si>
  <si>
    <t xml:space="preserve">Ограничение</t>
  </si>
  <si>
    <t xml:space="preserve">Session</t>
  </si>
  <si>
    <t xml:space="preserve">VAR-ISSUE-80-S02-FINAL-31-PACKAGE</t>
  </si>
  <si>
    <t xml:space="preserve">FACT</t>
  </si>
  <si>
    <t xml:space="preserve">Issue #80</t>
  </si>
  <si>
    <t xml:space="preserve">S02</t>
  </si>
  <si>
    <t xml:space="preserve">Base SHA</t>
  </si>
  <si>
    <t xml:space="preserve">cd23852fda61d9ee42dc7bae453e164c8f4d130c</t>
  </si>
  <si>
    <t xml:space="preserve">main</t>
  </si>
  <si>
    <t xml:space="preserve">2026-08-04</t>
  </si>
  <si>
    <t xml:space="preserve">Позиции</t>
  </si>
  <si>
    <t xml:space="preserve">MENU_REGISTER_31.csv</t>
  </si>
  <si>
    <t xml:space="preserve">31/31</t>
  </si>
  <si>
    <t xml:space="preserve">Каналы</t>
  </si>
  <si>
    <t xml:space="preserve">CHANNEL_ECONOMICS_104.csv</t>
  </si>
  <si>
    <t xml:space="preserve">104/104</t>
  </si>
  <si>
    <t xml:space="preserve">Recipes</t>
  </si>
  <si>
    <t xml:space="preserve">DRAFT / ASSUMPTION</t>
  </si>
  <si>
    <t xml:space="preserve">DRAFT</t>
  </si>
  <si>
    <t xml:space="preserve">RECIPES_31.csv</t>
  </si>
  <si>
    <t xml:space="preserve">v3.0.0</t>
  </si>
  <si>
    <t xml:space="preserve">Не утверждены</t>
  </si>
  <si>
    <t xml:space="preserve">Costs</t>
  </si>
  <si>
    <t xml:space="preserve">MODEL ONLY</t>
  </si>
  <si>
    <t xml:space="preserve">CALCULATED</t>
  </si>
  <si>
    <t xml:space="preserve">FINMODEL bridge</t>
  </si>
  <si>
    <t xml:space="preserve">Не evidence COGS</t>
  </si>
  <si>
    <t xml:space="preserve">Safety</t>
  </si>
  <si>
    <t xml:space="preserve">BLOCK / NOT APPROVED</t>
  </si>
  <si>
    <t xml:space="preserve">BLOCK</t>
  </si>
  <si>
    <t xml:space="preserve">Safety registers</t>
  </si>
  <si>
    <t xml:space="preserve">BLOCK 28/28 сохранён</t>
  </si>
  <si>
    <t xml:space="preserve">Owner action</t>
  </si>
  <si>
    <t xml:space="preserve">Chef review + evidence work</t>
  </si>
  <si>
    <t xml:space="preserve">OPEN</t>
  </si>
  <si>
    <t xml:space="preserve">Merge/close запрещены</t>
  </si>
  <si>
    <t xml:space="preserve">01 — Меню 31/31</t>
  </si>
  <si>
    <t xml:space="preserve">Все статусы сохранены; каналы являются проектными сценариями.</t>
  </si>
  <si>
    <t xml:space="preserve">menu_record_id</t>
  </si>
  <si>
    <t xml:space="preserve">dish_code</t>
  </si>
  <si>
    <t xml:space="preserve">menu_section</t>
  </si>
  <si>
    <t xml:space="preserve">dish_name</t>
  </si>
  <si>
    <t xml:space="preserve">sales_channels</t>
  </si>
  <si>
    <t xml:space="preserve">production_sales_unit</t>
  </si>
  <si>
    <t xml:space="preserve">draft_target_output</t>
  </si>
  <si>
    <t xml:space="preserve">cost_card_code</t>
  </si>
  <si>
    <t xml:space="preserve">tech_card_code</t>
  </si>
  <si>
    <t xml:space="preserve">recipe_version</t>
  </si>
  <si>
    <t xml:space="preserve">recipe_status</t>
  </si>
  <si>
    <t xml:space="preserve">calculation_layer_status</t>
  </si>
  <si>
    <t xml:space="preserve">chef_status</t>
  </si>
  <si>
    <t xml:space="preserve">safety_status</t>
  </si>
  <si>
    <t xml:space="preserve">source</t>
  </si>
  <si>
    <t xml:space="preserve">MNU-001</t>
  </si>
  <si>
    <t xml:space="preserve">VKM-001</t>
  </si>
  <si>
    <t xml:space="preserve">Пицца</t>
  </si>
  <si>
    <t xml:space="preserve">Маргарита</t>
  </si>
  <si>
    <t xml:space="preserve">À la carte; Бизнес-ланч; Гостиничные ужины; Доставка</t>
  </si>
  <si>
    <t xml:space="preserve">1 пицца</t>
  </si>
  <si>
    <t xml:space="preserve">450 г</t>
  </si>
  <si>
    <t xml:space="preserve">VKC-001</t>
  </si>
  <si>
    <t xml:space="preserve">VKT-001</t>
  </si>
  <si>
    <t xml:space="preserve">0.1.0-DRAFT</t>
  </si>
  <si>
    <t xml:space="preserve">DRAFT_NOT_APPROVED</t>
  </si>
  <si>
    <t xml:space="preserve">POPULATED_PROXY_SCENARIO</t>
  </si>
  <si>
    <t xml:space="preserve">NOT_APPROVED</t>
  </si>
  <si>
    <t xml:space="preserve">MNU-002</t>
  </si>
  <si>
    <t xml:space="preserve">VKM-002</t>
  </si>
  <si>
    <t xml:space="preserve">Четыре сыра</t>
  </si>
  <si>
    <t xml:space="preserve">480 г</t>
  </si>
  <si>
    <t xml:space="preserve">VKC-002</t>
  </si>
  <si>
    <t xml:space="preserve">VKT-002</t>
  </si>
  <si>
    <t xml:space="preserve">MNU-003</t>
  </si>
  <si>
    <t xml:space="preserve">VKM-003</t>
  </si>
  <si>
    <t xml:space="preserve">Грибная с ветчиной</t>
  </si>
  <si>
    <t xml:space="preserve">500 г</t>
  </si>
  <si>
    <t xml:space="preserve">VKC-003</t>
  </si>
  <si>
    <t xml:space="preserve">VKT-003</t>
  </si>
  <si>
    <t xml:space="preserve">MNU-004</t>
  </si>
  <si>
    <t xml:space="preserve">VKM-004</t>
  </si>
  <si>
    <t xml:space="preserve">Пепперони</t>
  </si>
  <si>
    <t xml:space="preserve">VKC-004</t>
  </si>
  <si>
    <t xml:space="preserve">VKT-004</t>
  </si>
  <si>
    <t xml:space="preserve">MNU-005</t>
  </si>
  <si>
    <t xml:space="preserve">VKM-005</t>
  </si>
  <si>
    <t xml:space="preserve">Хлеб</t>
  </si>
  <si>
    <t xml:space="preserve">Белая чиабатта</t>
  </si>
  <si>
    <t xml:space="preserve">Все применимые направления КАФЕ; обязательные компоненты</t>
  </si>
  <si>
    <t xml:space="preserve">1 изделие</t>
  </si>
  <si>
    <t xml:space="preserve">100 г</t>
  </si>
  <si>
    <t xml:space="preserve">VKC-005</t>
  </si>
  <si>
    <t xml:space="preserve">VKT-005</t>
  </si>
  <si>
    <t xml:space="preserve">MNU-006</t>
  </si>
  <si>
    <t xml:space="preserve">VKM-006</t>
  </si>
  <si>
    <t xml:space="preserve">Томатная чиабатта</t>
  </si>
  <si>
    <t xml:space="preserve">Все применимые направления КАФЕ</t>
  </si>
  <si>
    <t xml:space="preserve">VKC-006</t>
  </si>
  <si>
    <t xml:space="preserve">VKT-006</t>
  </si>
  <si>
    <t xml:space="preserve">MNU-007</t>
  </si>
  <si>
    <t xml:space="preserve">VKM-007</t>
  </si>
  <si>
    <t xml:space="preserve">Бородинский хлеб</t>
  </si>
  <si>
    <t xml:space="preserve">1 буханка</t>
  </si>
  <si>
    <t xml:space="preserve">350 г</t>
  </si>
  <si>
    <t xml:space="preserve">VKC-007</t>
  </si>
  <si>
    <t xml:space="preserve">VKT-007</t>
  </si>
  <si>
    <t xml:space="preserve">MNU-008</t>
  </si>
  <si>
    <t xml:space="preserve">VKM-008</t>
  </si>
  <si>
    <t xml:space="preserve">Бриошь</t>
  </si>
  <si>
    <t xml:space="preserve">Все применимые направления КАФЕ; бургер</t>
  </si>
  <si>
    <t xml:space="preserve">85 г</t>
  </si>
  <si>
    <t xml:space="preserve">VKC-008</t>
  </si>
  <si>
    <t xml:space="preserve">VKT-008</t>
  </si>
  <si>
    <t xml:space="preserve">MNU-009</t>
  </si>
  <si>
    <t xml:space="preserve">VKM-009</t>
  </si>
  <si>
    <t xml:space="preserve">Салаты</t>
  </si>
  <si>
    <t xml:space="preserve">Буррата с томатами</t>
  </si>
  <si>
    <t xml:space="preserve">1 порция</t>
  </si>
  <si>
    <t xml:space="preserve">300 г</t>
  </si>
  <si>
    <t xml:space="preserve">VKC-009</t>
  </si>
  <si>
    <t xml:space="preserve">VKT-009</t>
  </si>
  <si>
    <t xml:space="preserve">MNU-010</t>
  </si>
  <si>
    <t xml:space="preserve">VKM-010</t>
  </si>
  <si>
    <t xml:space="preserve">Микс-салат с креветками и яблоком</t>
  </si>
  <si>
    <t xml:space="preserve">280 г</t>
  </si>
  <si>
    <t xml:space="preserve">VKC-010</t>
  </si>
  <si>
    <t xml:space="preserve">VKT-010</t>
  </si>
  <si>
    <t xml:space="preserve">MNU-011</t>
  </si>
  <si>
    <t xml:space="preserve">VKM-011</t>
  </si>
  <si>
    <t xml:space="preserve">Греческий</t>
  </si>
  <si>
    <t xml:space="preserve">270 г</t>
  </si>
  <si>
    <t xml:space="preserve">VKC-011</t>
  </si>
  <si>
    <t xml:space="preserve">VKT-011</t>
  </si>
  <si>
    <t xml:space="preserve">MNU-012</t>
  </si>
  <si>
    <t xml:space="preserve">VKM-012</t>
  </si>
  <si>
    <t xml:space="preserve">Винегрет</t>
  </si>
  <si>
    <t xml:space="preserve">240 г</t>
  </si>
  <si>
    <t xml:space="preserve">VKC-012</t>
  </si>
  <si>
    <t xml:space="preserve">VKT-012</t>
  </si>
  <si>
    <t xml:space="preserve">MNU-013</t>
  </si>
  <si>
    <t xml:space="preserve">VKM-013</t>
  </si>
  <si>
    <t xml:space="preserve">Холодные закуски</t>
  </si>
  <si>
    <t xml:space="preserve">Слабосолёный лосось</t>
  </si>
  <si>
    <t xml:space="preserve">À la carte; Бизнес-ланч; Гостиничные ужины</t>
  </si>
  <si>
    <t xml:space="preserve">130 г</t>
  </si>
  <si>
    <t xml:space="preserve">VKC-013</t>
  </si>
  <si>
    <t xml:space="preserve">VKT-013</t>
  </si>
  <si>
    <t xml:space="preserve">MNU-014</t>
  </si>
  <si>
    <t xml:space="preserve">VKM-014</t>
  </si>
  <si>
    <t xml:space="preserve">Сельдь с запечённым картофелем</t>
  </si>
  <si>
    <t xml:space="preserve">250 г</t>
  </si>
  <si>
    <t xml:space="preserve">VKC-014</t>
  </si>
  <si>
    <t xml:space="preserve">VKT-014</t>
  </si>
  <si>
    <t xml:space="preserve">MNU-015</t>
  </si>
  <si>
    <t xml:space="preserve">VKM-015</t>
  </si>
  <si>
    <t xml:space="preserve">Оливки и маслины</t>
  </si>
  <si>
    <t xml:space="preserve">120 г</t>
  </si>
  <si>
    <t xml:space="preserve">VKC-015</t>
  </si>
  <si>
    <t xml:space="preserve">VKT-015</t>
  </si>
  <si>
    <t xml:space="preserve">MNU-016</t>
  </si>
  <si>
    <t xml:space="preserve">VKM-016</t>
  </si>
  <si>
    <t xml:space="preserve">Ассорти фирменных солений</t>
  </si>
  <si>
    <t xml:space="preserve">180 г</t>
  </si>
  <si>
    <t xml:space="preserve">VKC-016</t>
  </si>
  <si>
    <t xml:space="preserve">VKT-016</t>
  </si>
  <si>
    <t xml:space="preserve">MNU-017</t>
  </si>
  <si>
    <t xml:space="preserve">VKM-017</t>
  </si>
  <si>
    <t xml:space="preserve">Ростбиф с луком и гренкой</t>
  </si>
  <si>
    <t xml:space="preserve">VKC-017</t>
  </si>
  <si>
    <t xml:space="preserve">VKT-017</t>
  </si>
  <si>
    <t xml:space="preserve">MNU-018</t>
  </si>
  <si>
    <t xml:space="preserve">VKM-018</t>
  </si>
  <si>
    <t xml:space="preserve">Супы</t>
  </si>
  <si>
    <t xml:space="preserve">Традиционный красный борщ</t>
  </si>
  <si>
    <t xml:space="preserve">À la carte; Бизнес-ланч</t>
  </si>
  <si>
    <t xml:space="preserve">1 гостевая подача</t>
  </si>
  <si>
    <t xml:space="preserve">400 г</t>
  </si>
  <si>
    <t xml:space="preserve">VKC-018</t>
  </si>
  <si>
    <t xml:space="preserve">VKT-018</t>
  </si>
  <si>
    <t xml:space="preserve">MNU-019</t>
  </si>
  <si>
    <t xml:space="preserve">VKM-019</t>
  </si>
  <si>
    <t xml:space="preserve">Горячие блюда</t>
  </si>
  <si>
    <t xml:space="preserve">Мурманская треска со сливочно-горчичным соусом</t>
  </si>
  <si>
    <t xml:space="preserve">VKC-019</t>
  </si>
  <si>
    <t xml:space="preserve">VKT-019</t>
  </si>
  <si>
    <t xml:space="preserve">MNU-020</t>
  </si>
  <si>
    <t xml:space="preserve">VKM-020</t>
  </si>
  <si>
    <t xml:space="preserve">Креветки по-тайски</t>
  </si>
  <si>
    <t xml:space="preserve">360 г</t>
  </si>
  <si>
    <t xml:space="preserve">VKC-020</t>
  </si>
  <si>
    <t xml:space="preserve">VKT-020</t>
  </si>
  <si>
    <t xml:space="preserve">MNU-021</t>
  </si>
  <si>
    <t xml:space="preserve">VKM-021</t>
  </si>
  <si>
    <t xml:space="preserve">Бургер VARSHAVKA</t>
  </si>
  <si>
    <t xml:space="preserve">1 бургер</t>
  </si>
  <si>
    <t xml:space="preserve">VKC-021</t>
  </si>
  <si>
    <t xml:space="preserve">VKT-021</t>
  </si>
  <si>
    <t xml:space="preserve">MNU-022</t>
  </si>
  <si>
    <t xml:space="preserve">VKM-022</t>
  </si>
  <si>
    <t xml:space="preserve">Миньоны из говяжьей вырезки</t>
  </si>
  <si>
    <t xml:space="preserve">1 порция, 2 миньона</t>
  </si>
  <si>
    <t xml:space="preserve">VKC-022</t>
  </si>
  <si>
    <t xml:space="preserve">VKT-022</t>
  </si>
  <si>
    <t xml:space="preserve">MNU-023</t>
  </si>
  <si>
    <t xml:space="preserve">VKM-023</t>
  </si>
  <si>
    <t xml:space="preserve">Гарниры</t>
  </si>
  <si>
    <t xml:space="preserve">Запечённый картофель</t>
  </si>
  <si>
    <t xml:space="preserve">150 г</t>
  </si>
  <si>
    <t xml:space="preserve">VKC-023</t>
  </si>
  <si>
    <t xml:space="preserve">VKT-023</t>
  </si>
  <si>
    <t xml:space="preserve">MNU-024</t>
  </si>
  <si>
    <t xml:space="preserve">VKM-024</t>
  </si>
  <si>
    <t xml:space="preserve">Рис жасмин</t>
  </si>
  <si>
    <t xml:space="preserve">VKC-024</t>
  </si>
  <si>
    <t xml:space="preserve">VKT-024</t>
  </si>
  <si>
    <t xml:space="preserve">MNU-025</t>
  </si>
  <si>
    <t xml:space="preserve">VKM-025</t>
  </si>
  <si>
    <t xml:space="preserve">Горячие овощи</t>
  </si>
  <si>
    <t xml:space="preserve">VKC-025</t>
  </si>
  <si>
    <t xml:space="preserve">VKT-025</t>
  </si>
  <si>
    <t xml:space="preserve">MNU-026</t>
  </si>
  <si>
    <t xml:space="preserve">VKM-026</t>
  </si>
  <si>
    <t xml:space="preserve">Гостиничные завтраки</t>
  </si>
  <si>
    <t xml:space="preserve">Яичница, круассан и сыр двух видов</t>
  </si>
  <si>
    <t xml:space="preserve">Гостиница — завтраки</t>
  </si>
  <si>
    <t xml:space="preserve">1 закрытый комплекс</t>
  </si>
  <si>
    <t xml:space="preserve">225 г + напиток 200 мл</t>
  </si>
  <si>
    <t xml:space="preserve">VKC-026</t>
  </si>
  <si>
    <t xml:space="preserve">VKT-026</t>
  </si>
  <si>
    <t xml:space="preserve">S04-v3.0.0</t>
  </si>
  <si>
    <t xml:space="preserve">S04_MODEL_RECIPE_PRELIMINARY</t>
  </si>
  <si>
    <t xml:space="preserve">POPULATED_S04_MODEL</t>
  </si>
  <si>
    <t xml:space="preserve">NOT_PRODUCTION_RELEASED</t>
  </si>
  <si>
    <t xml:space="preserve">PR81 historical checkpoint</t>
  </si>
  <si>
    <t xml:space="preserve">MNU-027</t>
  </si>
  <si>
    <t xml:space="preserve">VKM-027</t>
  </si>
  <si>
    <t xml:space="preserve">Омлет, круассан и сыр двух видов</t>
  </si>
  <si>
    <t xml:space="preserve">265 г + напиток 200 мл</t>
  </si>
  <si>
    <t xml:space="preserve">VKC-027</t>
  </si>
  <si>
    <t xml:space="preserve">VKT-027</t>
  </si>
  <si>
    <t xml:space="preserve">MNU-028</t>
  </si>
  <si>
    <t xml:space="preserve">VKM-028</t>
  </si>
  <si>
    <t xml:space="preserve">Овсяная каша, круассан и сыр двух видов</t>
  </si>
  <si>
    <t xml:space="preserve">355 г + напиток 200 мл</t>
  </si>
  <si>
    <t xml:space="preserve">VKC-028</t>
  </si>
  <si>
    <t xml:space="preserve">VKT-028</t>
  </si>
  <si>
    <t xml:space="preserve">MNU-029</t>
  </si>
  <si>
    <t xml:space="preserve">VKM-029</t>
  </si>
  <si>
    <t xml:space="preserve">Десерты</t>
  </si>
  <si>
    <t xml:space="preserve">Черничный торт VARSHAVKA</t>
  </si>
  <si>
    <t xml:space="preserve">À la carte; Навынос</t>
  </si>
  <si>
    <t xml:space="preserve">1 торт / 12 порций</t>
  </si>
  <si>
    <t xml:space="preserve">1800 г</t>
  </si>
  <si>
    <t xml:space="preserve">VKC-029</t>
  </si>
  <si>
    <t xml:space="preserve">VKT-029</t>
  </si>
  <si>
    <t xml:space="preserve">MNU-030</t>
  </si>
  <si>
    <t xml:space="preserve">VKM-030</t>
  </si>
  <si>
    <t xml:space="preserve">Кростата с солёной карамелью</t>
  </si>
  <si>
    <t xml:space="preserve">À la carte; Гостиничные ужины; Навынос</t>
  </si>
  <si>
    <t xml:space="preserve">1 кростата / 10 порций</t>
  </si>
  <si>
    <t xml:space="preserve">1200 г</t>
  </si>
  <si>
    <t xml:space="preserve">VKC-030</t>
  </si>
  <si>
    <t xml:space="preserve">VKT-030</t>
  </si>
  <si>
    <t xml:space="preserve">MNU-031</t>
  </si>
  <si>
    <t xml:space="preserve">VKM-031</t>
  </si>
  <si>
    <t xml:space="preserve">Мадлен</t>
  </si>
  <si>
    <t xml:space="preserve">партия 20 шт. / продажа 2 шт.</t>
  </si>
  <si>
    <t xml:space="preserve">600 г</t>
  </si>
  <si>
    <t xml:space="preserve">VKC-031</t>
  </si>
  <si>
    <t xml:space="preserve">VKT-031</t>
  </si>
  <si>
    <t xml:space="preserve">02 — Рецептуры</t>
  </si>
  <si>
    <t xml:space="preserve">28 main + 3 breakfast historical DRAFT; не утверждены Chef.</t>
  </si>
  <si>
    <t xml:space="preserve">recipe_line_id</t>
  </si>
  <si>
    <t xml:space="preserve">ingredient_id</t>
  </si>
  <si>
    <t xml:space="preserve">ingredient_name</t>
  </si>
  <si>
    <t xml:space="preserve">component_type</t>
  </si>
  <si>
    <t xml:space="preserve">production_stage</t>
  </si>
  <si>
    <t xml:space="preserve">semi_finished_candidate_code</t>
  </si>
  <si>
    <t xml:space="preserve">gross_qty</t>
  </si>
  <si>
    <t xml:space="preserve">gross_unit</t>
  </si>
  <si>
    <t xml:space="preserve">net_qty</t>
  </si>
  <si>
    <t xml:space="preserve">net_unit</t>
  </si>
  <si>
    <t xml:space="preserve">projected_output_contribution</t>
  </si>
  <si>
    <t xml:space="preserve">output_unit</t>
  </si>
  <si>
    <t xml:space="preserve">projected_preparation_loss</t>
  </si>
  <si>
    <t xml:space="preserve">projected_process_loss</t>
  </si>
  <si>
    <t xml:space="preserve">parameter_status</t>
  </si>
  <si>
    <t xml:space="preserve">evidence_ids</t>
  </si>
  <si>
    <t xml:space="preserve">calculation_method</t>
  </si>
  <si>
    <t xml:space="preserve">source_date</t>
  </si>
  <si>
    <t xml:space="preserve">confirmation_owner</t>
  </si>
  <si>
    <t xml:space="preserve">blocker_ids</t>
  </si>
  <si>
    <t xml:space="preserve">validation_note</t>
  </si>
  <si>
    <t xml:space="preserve">RCP-0001</t>
  </si>
  <si>
    <t xml:space="preserve">ING-001</t>
  </si>
  <si>
    <t xml:space="preserve">Мука пшеничная хлебопекарная</t>
  </si>
  <si>
    <t xml:space="preserve">RAW_OR_FLATTENED_COMPONENT</t>
  </si>
  <si>
    <t xml:space="preserve">Тесто</t>
  </si>
  <si>
    <t xml:space="preserve">VSF-001</t>
  </si>
  <si>
    <t xml:space="preserve">г</t>
  </si>
  <si>
    <t xml:space="preserve">ASSUMPTION</t>
  </si>
  <si>
    <t xml:space="preserve">EVD-0007;EVD-0008</t>
  </si>
  <si>
    <t xml:space="preserve">Проектная декомпозиция ChefTechnologyAgent; суммы contribution нормированы к draft-выходу EVD-0005; проверить взвешиванием</t>
  </si>
  <si>
    <t xml:space="preserve">2026-08-03</t>
  </si>
  <si>
    <t xml:space="preserve">Chef</t>
  </si>
  <si>
    <t xml:space="preserve">GAP-004;GAP-005</t>
  </si>
  <si>
    <t xml:space="preserve">Не является утверждённой нормой; gross/net/output зафиксировать в контрольной серии</t>
  </si>
  <si>
    <t xml:space="preserve">RCP-0002</t>
  </si>
  <si>
    <t xml:space="preserve">ING-002</t>
  </si>
  <si>
    <t xml:space="preserve">Вода питьевая</t>
  </si>
  <si>
    <t xml:space="preserve">RCP-0003</t>
  </si>
  <si>
    <t xml:space="preserve">ING-003</t>
  </si>
  <si>
    <t xml:space="preserve">Дрожжи хлебопекарные</t>
  </si>
  <si>
    <t xml:space="preserve">RCP-0004</t>
  </si>
  <si>
    <t xml:space="preserve">ING-004</t>
  </si>
  <si>
    <t xml:space="preserve">Соль пищевая</t>
  </si>
  <si>
    <t xml:space="preserve">RCP-0005</t>
  </si>
  <si>
    <t xml:space="preserve">ING-005</t>
  </si>
  <si>
    <t xml:space="preserve">Масло оливковое</t>
  </si>
  <si>
    <t xml:space="preserve">RCP-0006</t>
  </si>
  <si>
    <t xml:space="preserve">ING-006</t>
  </si>
  <si>
    <t xml:space="preserve">Томаты протёртые</t>
  </si>
  <si>
    <t xml:space="preserve">Соус</t>
  </si>
  <si>
    <t xml:space="preserve">VSF-002</t>
  </si>
  <si>
    <t xml:space="preserve">RCP-0007</t>
  </si>
  <si>
    <t xml:space="preserve">ING-007</t>
  </si>
  <si>
    <t xml:space="preserve">Чеснок</t>
  </si>
  <si>
    <t xml:space="preserve">RCP-0008</t>
  </si>
  <si>
    <t xml:space="preserve">ING-008</t>
  </si>
  <si>
    <t xml:space="preserve">Орегано</t>
  </si>
  <si>
    <t xml:space="preserve">RCP-0009</t>
  </si>
  <si>
    <t xml:space="preserve">RCP-0010</t>
  </si>
  <si>
    <t xml:space="preserve">ING-009</t>
  </si>
  <si>
    <t xml:space="preserve">Моцарелла</t>
  </si>
  <si>
    <t xml:space="preserve">Сборка</t>
  </si>
  <si>
    <t xml:space="preserve">RCP-0011</t>
  </si>
  <si>
    <t xml:space="preserve">ING-010</t>
  </si>
  <si>
    <t xml:space="preserve">Пармезан</t>
  </si>
  <si>
    <t xml:space="preserve">RCP-0012</t>
  </si>
  <si>
    <t xml:space="preserve">ING-011</t>
  </si>
  <si>
    <t xml:space="preserve">Базилик свежий</t>
  </si>
  <si>
    <t xml:space="preserve">RCP-0013</t>
  </si>
  <si>
    <t xml:space="preserve">Финиш</t>
  </si>
  <si>
    <t xml:space="preserve">RCP-0014</t>
  </si>
  <si>
    <t xml:space="preserve">RCP-0015</t>
  </si>
  <si>
    <t xml:space="preserve">RCP-0016</t>
  </si>
  <si>
    <t xml:space="preserve">RCP-0017</t>
  </si>
  <si>
    <t xml:space="preserve">RCP-0018</t>
  </si>
  <si>
    <t xml:space="preserve">RCP-0019</t>
  </si>
  <si>
    <t xml:space="preserve">RCP-0020</t>
  </si>
  <si>
    <t xml:space="preserve">RCP-0021</t>
  </si>
  <si>
    <t xml:space="preserve">RCP-0022</t>
  </si>
  <si>
    <t xml:space="preserve">RCP-0023</t>
  </si>
  <si>
    <t xml:space="preserve">RCP-0024</t>
  </si>
  <si>
    <t xml:space="preserve">ING-012</t>
  </si>
  <si>
    <t xml:space="preserve">Горгонзола</t>
  </si>
  <si>
    <t xml:space="preserve">RCP-0025</t>
  </si>
  <si>
    <t xml:space="preserve">RCP-0026</t>
  </si>
  <si>
    <t xml:space="preserve">ING-013</t>
  </si>
  <si>
    <t xml:space="preserve">Фонтина или иной четвёртый сыр</t>
  </si>
  <si>
    <t xml:space="preserve">RCP-0027</t>
  </si>
  <si>
    <t xml:space="preserve">RCP-0028</t>
  </si>
  <si>
    <t xml:space="preserve">RCP-0029</t>
  </si>
  <si>
    <t xml:space="preserve">RCP-0030</t>
  </si>
  <si>
    <t xml:space="preserve">RCP-0031</t>
  </si>
  <si>
    <t xml:space="preserve">RCP-0032</t>
  </si>
  <si>
    <t xml:space="preserve">RCP-0033</t>
  </si>
  <si>
    <t xml:space="preserve">RCP-0034</t>
  </si>
  <si>
    <t xml:space="preserve">RCP-0035</t>
  </si>
  <si>
    <t xml:space="preserve">RCP-0036</t>
  </si>
  <si>
    <t xml:space="preserve">RCP-0037</t>
  </si>
  <si>
    <t xml:space="preserve">RCP-0038</t>
  </si>
  <si>
    <t xml:space="preserve">ING-014</t>
  </si>
  <si>
    <t xml:space="preserve">Ветчина</t>
  </si>
  <si>
    <t xml:space="preserve">RCP-0039</t>
  </si>
  <si>
    <t xml:space="preserve">ING-015</t>
  </si>
  <si>
    <t xml:space="preserve">Шампиньоны</t>
  </si>
  <si>
    <t xml:space="preserve">RCP-0040</t>
  </si>
  <si>
    <t xml:space="preserve">ING-016</t>
  </si>
  <si>
    <t xml:space="preserve">Лук репчатый</t>
  </si>
  <si>
    <t xml:space="preserve">RCP-0041</t>
  </si>
  <si>
    <t xml:space="preserve">RCP-0042</t>
  </si>
  <si>
    <t xml:space="preserve">RCP-0043</t>
  </si>
  <si>
    <t xml:space="preserve">RCP-0044</t>
  </si>
  <si>
    <t xml:space="preserve">RCP-0045</t>
  </si>
  <si>
    <t xml:space="preserve">RCP-0046</t>
  </si>
  <si>
    <t xml:space="preserve">RCP-0047</t>
  </si>
  <si>
    <t xml:space="preserve">RCP-0048</t>
  </si>
  <si>
    <t xml:space="preserve">RCP-0049</t>
  </si>
  <si>
    <t xml:space="preserve">RCP-0050</t>
  </si>
  <si>
    <t xml:space="preserve">RCP-0051</t>
  </si>
  <si>
    <t xml:space="preserve">RCP-0052</t>
  </si>
  <si>
    <t xml:space="preserve">ING-017</t>
  </si>
  <si>
    <t xml:space="preserve">RCP-0053</t>
  </si>
  <si>
    <t xml:space="preserve">RCP-0054</t>
  </si>
  <si>
    <t xml:space="preserve">VSF-003</t>
  </si>
  <si>
    <t xml:space="preserve">RCP-0055</t>
  </si>
  <si>
    <t xml:space="preserve">RCP-0056</t>
  </si>
  <si>
    <t xml:space="preserve">RCP-0057</t>
  </si>
  <si>
    <t xml:space="preserve">RCP-0058</t>
  </si>
  <si>
    <t xml:space="preserve">RCP-0059</t>
  </si>
  <si>
    <t xml:space="preserve">VSF-004</t>
  </si>
  <si>
    <t xml:space="preserve">RCP-0060</t>
  </si>
  <si>
    <t xml:space="preserve">RCP-0061</t>
  </si>
  <si>
    <t xml:space="preserve">ING-018</t>
  </si>
  <si>
    <t xml:space="preserve">Пюре томатное</t>
  </si>
  <si>
    <t xml:space="preserve">RCP-0062</t>
  </si>
  <si>
    <t xml:space="preserve">ING-019</t>
  </si>
  <si>
    <t xml:space="preserve">Томаты вяленые</t>
  </si>
  <si>
    <t xml:space="preserve">RCP-0063</t>
  </si>
  <si>
    <t xml:space="preserve">RCP-0064</t>
  </si>
  <si>
    <t xml:space="preserve">RCP-0065</t>
  </si>
  <si>
    <t xml:space="preserve">RCP-0066</t>
  </si>
  <si>
    <t xml:space="preserve">ING-020</t>
  </si>
  <si>
    <t xml:space="preserve">Мука ржаная</t>
  </si>
  <si>
    <t xml:space="preserve">VSF-005</t>
  </si>
  <si>
    <t xml:space="preserve">RCP-0067</t>
  </si>
  <si>
    <t xml:space="preserve">RCP-0068</t>
  </si>
  <si>
    <t xml:space="preserve">RCP-0069</t>
  </si>
  <si>
    <t xml:space="preserve">ING-021</t>
  </si>
  <si>
    <t xml:space="preserve">Солод ржаной</t>
  </si>
  <si>
    <t xml:space="preserve">Заварка</t>
  </si>
  <si>
    <t xml:space="preserve">RCP-0070</t>
  </si>
  <si>
    <t xml:space="preserve">ING-022</t>
  </si>
  <si>
    <t xml:space="preserve">Патока</t>
  </si>
  <si>
    <t xml:space="preserve">RCP-0071</t>
  </si>
  <si>
    <t xml:space="preserve">ING-023</t>
  </si>
  <si>
    <t xml:space="preserve">Кориандр</t>
  </si>
  <si>
    <t xml:space="preserve">Тесто/посыпка</t>
  </si>
  <si>
    <t xml:space="preserve">RCP-0072</t>
  </si>
  <si>
    <t xml:space="preserve">RCP-0073</t>
  </si>
  <si>
    <t xml:space="preserve">RCP-0074</t>
  </si>
  <si>
    <t xml:space="preserve">ING-024</t>
  </si>
  <si>
    <t xml:space="preserve">Масло растительное</t>
  </si>
  <si>
    <t xml:space="preserve">Форма</t>
  </si>
  <si>
    <t xml:space="preserve">RCP-0075</t>
  </si>
  <si>
    <t xml:space="preserve">VSF-006</t>
  </si>
  <si>
    <t xml:space="preserve">RCP-0076</t>
  </si>
  <si>
    <t xml:space="preserve">ING-025</t>
  </si>
  <si>
    <t xml:space="preserve">Молоко</t>
  </si>
  <si>
    <t xml:space="preserve">RCP-0077</t>
  </si>
  <si>
    <t xml:space="preserve">ING-026</t>
  </si>
  <si>
    <t xml:space="preserve">Яйцо или меланж</t>
  </si>
  <si>
    <t xml:space="preserve">RCP-0078</t>
  </si>
  <si>
    <t xml:space="preserve">ING-027</t>
  </si>
  <si>
    <t xml:space="preserve">Масло сливочное</t>
  </si>
  <si>
    <t xml:space="preserve">RCP-0079</t>
  </si>
  <si>
    <t xml:space="preserve">ING-028</t>
  </si>
  <si>
    <t xml:space="preserve">Сахар</t>
  </si>
  <si>
    <t xml:space="preserve">RCP-0080</t>
  </si>
  <si>
    <t xml:space="preserve">RCP-0081</t>
  </si>
  <si>
    <t xml:space="preserve">RCP-0082</t>
  </si>
  <si>
    <t xml:space="preserve">ING-029</t>
  </si>
  <si>
    <t xml:space="preserve">Меланж для смазки</t>
  </si>
  <si>
    <t xml:space="preserve">RCP-0083</t>
  </si>
  <si>
    <t xml:space="preserve">ING-030</t>
  </si>
  <si>
    <t xml:space="preserve">Буррата</t>
  </si>
  <si>
    <t xml:space="preserve">RCP-0084</t>
  </si>
  <si>
    <t xml:space="preserve">ING-031</t>
  </si>
  <si>
    <t xml:space="preserve">Томаты свежие</t>
  </si>
  <si>
    <t xml:space="preserve">RCP-0085</t>
  </si>
  <si>
    <t xml:space="preserve">Заправка</t>
  </si>
  <si>
    <t xml:space="preserve">VSF-007</t>
  </si>
  <si>
    <t xml:space="preserve">RCP-0086</t>
  </si>
  <si>
    <t xml:space="preserve">RCP-0087</t>
  </si>
  <si>
    <t xml:space="preserve">ING-032</t>
  </si>
  <si>
    <t xml:space="preserve">Уксус бальзамический</t>
  </si>
  <si>
    <t xml:space="preserve">RCP-0088</t>
  </si>
  <si>
    <t xml:space="preserve">ING-033</t>
  </si>
  <si>
    <t xml:space="preserve">Соль и специи</t>
  </si>
  <si>
    <t xml:space="preserve">RCP-0089</t>
  </si>
  <si>
    <t xml:space="preserve">ING-034</t>
  </si>
  <si>
    <t xml:space="preserve">Салатная зелень</t>
  </si>
  <si>
    <t xml:space="preserve">RCP-0090</t>
  </si>
  <si>
    <t xml:space="preserve">RCP-0091</t>
  </si>
  <si>
    <t xml:space="preserve">ING-035</t>
  </si>
  <si>
    <t xml:space="preserve">Салатный микс</t>
  </si>
  <si>
    <t xml:space="preserve">RCP-0092</t>
  </si>
  <si>
    <t xml:space="preserve">ING-036</t>
  </si>
  <si>
    <t xml:space="preserve">Креветки очищенные</t>
  </si>
  <si>
    <t xml:space="preserve">RCP-0093</t>
  </si>
  <si>
    <t xml:space="preserve">ING-037</t>
  </si>
  <si>
    <t xml:space="preserve">Яблоко</t>
  </si>
  <si>
    <t xml:space="preserve">RCP-0094</t>
  </si>
  <si>
    <t xml:space="preserve">ING-038</t>
  </si>
  <si>
    <t xml:space="preserve">Огурец свежий</t>
  </si>
  <si>
    <t xml:space="preserve">RCP-0095</t>
  </si>
  <si>
    <t xml:space="preserve">VSF-008</t>
  </si>
  <si>
    <t xml:space="preserve">RCP-0096</t>
  </si>
  <si>
    <t xml:space="preserve">ING-039</t>
  </si>
  <si>
    <t xml:space="preserve">Сок лимона</t>
  </si>
  <si>
    <t xml:space="preserve">RCP-0097</t>
  </si>
  <si>
    <t xml:space="preserve">ING-040</t>
  </si>
  <si>
    <t xml:space="preserve">Мёд</t>
  </si>
  <si>
    <t xml:space="preserve">RCP-0098</t>
  </si>
  <si>
    <t xml:space="preserve">ING-041</t>
  </si>
  <si>
    <t xml:space="preserve">Горчица</t>
  </si>
  <si>
    <t xml:space="preserve">RCP-0099</t>
  </si>
  <si>
    <t xml:space="preserve">ING-042</t>
  </si>
  <si>
    <t xml:space="preserve">Семена или ореховая крошка</t>
  </si>
  <si>
    <t xml:space="preserve">RCP-0100</t>
  </si>
  <si>
    <t xml:space="preserve">Основная рецептура</t>
  </si>
  <si>
    <t xml:space="preserve">RCP-0101</t>
  </si>
  <si>
    <t xml:space="preserve">RCP-0102</t>
  </si>
  <si>
    <t xml:space="preserve">ING-043</t>
  </si>
  <si>
    <t xml:space="preserve">Перец сладкий</t>
  </si>
  <si>
    <t xml:space="preserve">RCP-0103</t>
  </si>
  <si>
    <t xml:space="preserve">ING-044</t>
  </si>
  <si>
    <t xml:space="preserve">Сыр фета</t>
  </si>
  <si>
    <t xml:space="preserve">RCP-0104</t>
  </si>
  <si>
    <t xml:space="preserve">ING-045</t>
  </si>
  <si>
    <t xml:space="preserve">Оливки</t>
  </si>
  <si>
    <t xml:space="preserve">RCP-0105</t>
  </si>
  <si>
    <t xml:space="preserve">ING-046</t>
  </si>
  <si>
    <t xml:space="preserve">Лук красный</t>
  </si>
  <si>
    <t xml:space="preserve">RCP-0106</t>
  </si>
  <si>
    <t xml:space="preserve">VSF-009</t>
  </si>
  <si>
    <t xml:space="preserve">RCP-0107</t>
  </si>
  <si>
    <t xml:space="preserve">RCP-0108</t>
  </si>
  <si>
    <t xml:space="preserve">ING-047</t>
  </si>
  <si>
    <t xml:space="preserve">Орегано и соль</t>
  </si>
  <si>
    <t xml:space="preserve">RCP-0109</t>
  </si>
  <si>
    <t xml:space="preserve">ING-048</t>
  </si>
  <si>
    <t xml:space="preserve">Свёкла отварная</t>
  </si>
  <si>
    <t xml:space="preserve">Овощной полуфабрикат</t>
  </si>
  <si>
    <t xml:space="preserve">VSF-010</t>
  </si>
  <si>
    <t xml:space="preserve">RCP-0110</t>
  </si>
  <si>
    <t xml:space="preserve">ING-049</t>
  </si>
  <si>
    <t xml:space="preserve">Картофель отварной</t>
  </si>
  <si>
    <t xml:space="preserve">RCP-0111</t>
  </si>
  <si>
    <t xml:space="preserve">ING-050</t>
  </si>
  <si>
    <t xml:space="preserve">Морковь отварная</t>
  </si>
  <si>
    <t xml:space="preserve">RCP-0112</t>
  </si>
  <si>
    <t xml:space="preserve">ING-051</t>
  </si>
  <si>
    <t xml:space="preserve">Огурец солёный</t>
  </si>
  <si>
    <t xml:space="preserve">RCP-0113</t>
  </si>
  <si>
    <t xml:space="preserve">ING-052</t>
  </si>
  <si>
    <t xml:space="preserve">Капуста квашеная</t>
  </si>
  <si>
    <t xml:space="preserve">RCP-0114</t>
  </si>
  <si>
    <t xml:space="preserve">ING-053</t>
  </si>
  <si>
    <t xml:space="preserve">Горошек консервированный без заливки</t>
  </si>
  <si>
    <t xml:space="preserve">RCP-0115</t>
  </si>
  <si>
    <t xml:space="preserve">RCP-0116</t>
  </si>
  <si>
    <t xml:space="preserve">RCP-0117</t>
  </si>
  <si>
    <t xml:space="preserve">ING-054</t>
  </si>
  <si>
    <t xml:space="preserve">Лосось слабосолёный, готовое филе</t>
  </si>
  <si>
    <t xml:space="preserve">RCP-0118</t>
  </si>
  <si>
    <t xml:space="preserve">ING-055</t>
  </si>
  <si>
    <t xml:space="preserve">Лимон</t>
  </si>
  <si>
    <t xml:space="preserve">RCP-0119</t>
  </si>
  <si>
    <t xml:space="preserve">RCP-0120</t>
  </si>
  <si>
    <t xml:space="preserve">ING-056</t>
  </si>
  <si>
    <t xml:space="preserve">Каперсы</t>
  </si>
  <si>
    <t xml:space="preserve">RCP-0121</t>
  </si>
  <si>
    <t xml:space="preserve">RCP-0122</t>
  </si>
  <si>
    <t xml:space="preserve">ING-057</t>
  </si>
  <si>
    <t xml:space="preserve">Сельдь, филе</t>
  </si>
  <si>
    <t xml:space="preserve">RCP-0123</t>
  </si>
  <si>
    <t xml:space="preserve">ING-058</t>
  </si>
  <si>
    <t xml:space="preserve">Картофель запечённый</t>
  </si>
  <si>
    <t xml:space="preserve">Картофельный полуфабрикат</t>
  </si>
  <si>
    <t xml:space="preserve">VSF-011</t>
  </si>
  <si>
    <t xml:space="preserve">RCP-0124</t>
  </si>
  <si>
    <t xml:space="preserve">RCP-0125</t>
  </si>
  <si>
    <t xml:space="preserve">RCP-0126</t>
  </si>
  <si>
    <t xml:space="preserve">RCP-0127</t>
  </si>
  <si>
    <t xml:space="preserve">ING-059</t>
  </si>
  <si>
    <t xml:space="preserve">Зелень</t>
  </si>
  <si>
    <t xml:space="preserve">RCP-0128</t>
  </si>
  <si>
    <t xml:space="preserve">ING-060</t>
  </si>
  <si>
    <t xml:space="preserve">Оливки зелёные без заливки</t>
  </si>
  <si>
    <t xml:space="preserve">RCP-0129</t>
  </si>
  <si>
    <t xml:space="preserve">ING-061</t>
  </si>
  <si>
    <t xml:space="preserve">Маслины без заливки</t>
  </si>
  <si>
    <t xml:space="preserve">RCP-0130</t>
  </si>
  <si>
    <t xml:space="preserve">Маринад</t>
  </si>
  <si>
    <t xml:space="preserve">VSF-012</t>
  </si>
  <si>
    <t xml:space="preserve">RCP-0131</t>
  </si>
  <si>
    <t xml:space="preserve">ING-062</t>
  </si>
  <si>
    <t xml:space="preserve">Цедра цитрусовая</t>
  </si>
  <si>
    <t xml:space="preserve">RCP-0132</t>
  </si>
  <si>
    <t xml:space="preserve">RCP-0133</t>
  </si>
  <si>
    <t xml:space="preserve">ING-063</t>
  </si>
  <si>
    <t xml:space="preserve">Пряные травы</t>
  </si>
  <si>
    <t xml:space="preserve">RCP-0134</t>
  </si>
  <si>
    <t xml:space="preserve">Ассорти</t>
  </si>
  <si>
    <t xml:space="preserve">VSF-014</t>
  </si>
  <si>
    <t xml:space="preserve">RCP-0135</t>
  </si>
  <si>
    <t xml:space="preserve">ING-064</t>
  </si>
  <si>
    <t xml:space="preserve">Капуста белокочанная</t>
  </si>
  <si>
    <t xml:space="preserve">RCP-0136</t>
  </si>
  <si>
    <t xml:space="preserve">RCP-0137</t>
  </si>
  <si>
    <t xml:space="preserve">RCP-0138</t>
  </si>
  <si>
    <t xml:space="preserve">ING-065</t>
  </si>
  <si>
    <t xml:space="preserve">Уксус пищевой</t>
  </si>
  <si>
    <t xml:space="preserve">VSF-013</t>
  </si>
  <si>
    <t xml:space="preserve">RCP-0139</t>
  </si>
  <si>
    <t xml:space="preserve">RCP-0140</t>
  </si>
  <si>
    <t xml:space="preserve">RCP-0141</t>
  </si>
  <si>
    <t xml:space="preserve">RCP-0142</t>
  </si>
  <si>
    <t xml:space="preserve">RCP-0143</t>
  </si>
  <si>
    <t xml:space="preserve">ING-066</t>
  </si>
  <si>
    <t xml:space="preserve">Ростбиф охлаждённый готовый</t>
  </si>
  <si>
    <t xml:space="preserve">RCP-0144</t>
  </si>
  <si>
    <t xml:space="preserve">RCP-0145</t>
  </si>
  <si>
    <t xml:space="preserve">ING-067</t>
  </si>
  <si>
    <t xml:space="preserve">Хлеб для гренки</t>
  </si>
  <si>
    <t xml:space="preserve">Гренка</t>
  </si>
  <si>
    <t xml:space="preserve">VSF-015</t>
  </si>
  <si>
    <t xml:space="preserve">RCP-0146</t>
  </si>
  <si>
    <t xml:space="preserve">RCP-0147</t>
  </si>
  <si>
    <t xml:space="preserve">VSF-016</t>
  </si>
  <si>
    <t xml:space="preserve">RCP-0148</t>
  </si>
  <si>
    <t xml:space="preserve">ING-068</t>
  </si>
  <si>
    <t xml:space="preserve">Майонез или эмульсионный соус</t>
  </si>
  <si>
    <t xml:space="preserve">RCP-0149</t>
  </si>
  <si>
    <t xml:space="preserve">ING-069</t>
  </si>
  <si>
    <t xml:space="preserve">Сок мясной или бульон</t>
  </si>
  <si>
    <t xml:space="preserve">RCP-0150</t>
  </si>
  <si>
    <t xml:space="preserve">RCP-0151</t>
  </si>
  <si>
    <t xml:space="preserve">ING-070</t>
  </si>
  <si>
    <t xml:space="preserve">Бульон мясной</t>
  </si>
  <si>
    <t xml:space="preserve">Основа</t>
  </si>
  <si>
    <t xml:space="preserve">VSF-017</t>
  </si>
  <si>
    <t xml:space="preserve">RCP-0152</t>
  </si>
  <si>
    <t xml:space="preserve">ING-071</t>
  </si>
  <si>
    <t xml:space="preserve">Свёкла</t>
  </si>
  <si>
    <t xml:space="preserve">Пассеровка</t>
  </si>
  <si>
    <t xml:space="preserve">VSF-018</t>
  </si>
  <si>
    <t xml:space="preserve">RCP-0153</t>
  </si>
  <si>
    <t xml:space="preserve">Суп</t>
  </si>
  <si>
    <t xml:space="preserve">RCP-0154</t>
  </si>
  <si>
    <t xml:space="preserve">ING-072</t>
  </si>
  <si>
    <t xml:space="preserve">Картофель</t>
  </si>
  <si>
    <t xml:space="preserve">RCP-0155</t>
  </si>
  <si>
    <t xml:space="preserve">ING-073</t>
  </si>
  <si>
    <t xml:space="preserve">Говядина отварная</t>
  </si>
  <si>
    <t xml:space="preserve">Подача</t>
  </si>
  <si>
    <t xml:space="preserve">RCP-0156</t>
  </si>
  <si>
    <t xml:space="preserve">ING-074</t>
  </si>
  <si>
    <t xml:space="preserve">Морковь</t>
  </si>
  <si>
    <t xml:space="preserve">RCP-0157</t>
  </si>
  <si>
    <t xml:space="preserve">RCP-0158</t>
  </si>
  <si>
    <t xml:space="preserve">RCP-0159</t>
  </si>
  <si>
    <t xml:space="preserve">RCP-0160</t>
  </si>
  <si>
    <t xml:space="preserve">ING-075</t>
  </si>
  <si>
    <t xml:space="preserve">Сметана</t>
  </si>
  <si>
    <t xml:space="preserve">RCP-0161</t>
  </si>
  <si>
    <t xml:space="preserve">RCP-0162</t>
  </si>
  <si>
    <t xml:space="preserve">ING-076</t>
  </si>
  <si>
    <t xml:space="preserve">Треска, филе порционное</t>
  </si>
  <si>
    <t xml:space="preserve">Основной компонент</t>
  </si>
  <si>
    <t xml:space="preserve">RCP-0163</t>
  </si>
  <si>
    <t xml:space="preserve">ING-077</t>
  </si>
  <si>
    <t xml:space="preserve">Сливки</t>
  </si>
  <si>
    <t xml:space="preserve">VSF-019</t>
  </si>
  <si>
    <t xml:space="preserve">RCP-0164</t>
  </si>
  <si>
    <t xml:space="preserve">RCP-0165</t>
  </si>
  <si>
    <t xml:space="preserve">ING-078</t>
  </si>
  <si>
    <t xml:space="preserve">Бульон рыбный или овощной</t>
  </si>
  <si>
    <t xml:space="preserve">RCP-0166</t>
  </si>
  <si>
    <t xml:space="preserve">RCP-0167</t>
  </si>
  <si>
    <t xml:space="preserve">ING-079</t>
  </si>
  <si>
    <t xml:space="preserve">Шпинат</t>
  </si>
  <si>
    <t xml:space="preserve">RCP-0168</t>
  </si>
  <si>
    <t xml:space="preserve">Обработка</t>
  </si>
  <si>
    <t xml:space="preserve">RCP-0169</t>
  </si>
  <si>
    <t xml:space="preserve">RCP-0170</t>
  </si>
  <si>
    <t xml:space="preserve">RCP-0171</t>
  </si>
  <si>
    <t xml:space="preserve">ING-080</t>
  </si>
  <si>
    <t xml:space="preserve">Молоко кокосовое</t>
  </si>
  <si>
    <t xml:space="preserve">VSF-020</t>
  </si>
  <si>
    <t xml:space="preserve">RCP-0172</t>
  </si>
  <si>
    <t xml:space="preserve">ING-081</t>
  </si>
  <si>
    <t xml:space="preserve">Паста карри проектная</t>
  </si>
  <si>
    <t xml:space="preserve">RCP-0173</t>
  </si>
  <si>
    <t xml:space="preserve">ING-082</t>
  </si>
  <si>
    <t xml:space="preserve">Бульон или вода</t>
  </si>
  <si>
    <t xml:space="preserve">RCP-0174</t>
  </si>
  <si>
    <t xml:space="preserve">ING-083</t>
  </si>
  <si>
    <t xml:space="preserve">Соус рыбный или соевый</t>
  </si>
  <si>
    <t xml:space="preserve">RCP-0175</t>
  </si>
  <si>
    <t xml:space="preserve">Овощи</t>
  </si>
  <si>
    <t xml:space="preserve">RCP-0176</t>
  </si>
  <si>
    <t xml:space="preserve">ING-084</t>
  </si>
  <si>
    <t xml:space="preserve">Цукини</t>
  </si>
  <si>
    <t xml:space="preserve">RCP-0177</t>
  </si>
  <si>
    <t xml:space="preserve">RCP-0178</t>
  </si>
  <si>
    <t xml:space="preserve">ING-085</t>
  </si>
  <si>
    <t xml:space="preserve">Лапша рисовая подготовленная</t>
  </si>
  <si>
    <t xml:space="preserve">RCP-0179</t>
  </si>
  <si>
    <t xml:space="preserve">ING-086</t>
  </si>
  <si>
    <t xml:space="preserve">Зелень и лайм</t>
  </si>
  <si>
    <t xml:space="preserve">RCP-0180</t>
  </si>
  <si>
    <t xml:space="preserve">ING-087</t>
  </si>
  <si>
    <t xml:space="preserve">Бриошь VKM-008</t>
  </si>
  <si>
    <t xml:space="preserve">RCP-0181</t>
  </si>
  <si>
    <t xml:space="preserve">ING-088</t>
  </si>
  <si>
    <t xml:space="preserve">Говядина для котлеты</t>
  </si>
  <si>
    <t xml:space="preserve">Котлета</t>
  </si>
  <si>
    <t xml:space="preserve">VSF-021</t>
  </si>
  <si>
    <t xml:space="preserve">RCP-0182</t>
  </si>
  <si>
    <t xml:space="preserve">ING-089</t>
  </si>
  <si>
    <t xml:space="preserve">Жир говяжий или иной компонент котлеты</t>
  </si>
  <si>
    <t xml:space="preserve">RCP-0183</t>
  </si>
  <si>
    <t xml:space="preserve">ING-090</t>
  </si>
  <si>
    <t xml:space="preserve">Сыр ломтиковый</t>
  </si>
  <si>
    <t xml:space="preserve">RCP-0184</t>
  </si>
  <si>
    <t xml:space="preserve">ING-091</t>
  </si>
  <si>
    <t xml:space="preserve">Томат</t>
  </si>
  <si>
    <t xml:space="preserve">RCP-0185</t>
  </si>
  <si>
    <t xml:space="preserve">ING-092</t>
  </si>
  <si>
    <t xml:space="preserve">Огурец маринованный</t>
  </si>
  <si>
    <t xml:space="preserve">RCP-0186</t>
  </si>
  <si>
    <t xml:space="preserve">ING-093</t>
  </si>
  <si>
    <t xml:space="preserve">Лук</t>
  </si>
  <si>
    <t xml:space="preserve">RCP-0187</t>
  </si>
  <si>
    <t xml:space="preserve">ING-094</t>
  </si>
  <si>
    <t xml:space="preserve">Соус эмульсионный</t>
  </si>
  <si>
    <t xml:space="preserve">VSF-022</t>
  </si>
  <si>
    <t xml:space="preserve">RCP-0188</t>
  </si>
  <si>
    <t xml:space="preserve">ING-095</t>
  </si>
  <si>
    <t xml:space="preserve">Соус томатный</t>
  </si>
  <si>
    <t xml:space="preserve">RCP-0189</t>
  </si>
  <si>
    <t xml:space="preserve">ING-096</t>
  </si>
  <si>
    <t xml:space="preserve">Салат листовой</t>
  </si>
  <si>
    <t xml:space="preserve">RCP-0190</t>
  </si>
  <si>
    <t xml:space="preserve">ING-097</t>
  </si>
  <si>
    <t xml:space="preserve">Говяжья вырезка</t>
  </si>
  <si>
    <t xml:space="preserve">Миньоны</t>
  </si>
  <si>
    <t xml:space="preserve">VSF-023</t>
  </si>
  <si>
    <t xml:space="preserve">RCP-0191</t>
  </si>
  <si>
    <t xml:space="preserve">ING-098</t>
  </si>
  <si>
    <t xml:space="preserve">Бульон или мясной сок</t>
  </si>
  <si>
    <t xml:space="preserve">VSF-024</t>
  </si>
  <si>
    <t xml:space="preserve">RCP-0192</t>
  </si>
  <si>
    <t xml:space="preserve">RCP-0193</t>
  </si>
  <si>
    <t xml:space="preserve">RCP-0194</t>
  </si>
  <si>
    <t xml:space="preserve">Ароматика</t>
  </si>
  <si>
    <t xml:space="preserve">RCP-0195</t>
  </si>
  <si>
    <t xml:space="preserve">RCP-0196</t>
  </si>
  <si>
    <t xml:space="preserve">RCP-0197</t>
  </si>
  <si>
    <t xml:space="preserve">ING-099</t>
  </si>
  <si>
    <t xml:space="preserve">Маринад нейтральный проектный</t>
  </si>
  <si>
    <t xml:space="preserve">RCP-0198</t>
  </si>
  <si>
    <t xml:space="preserve">Корректировка вкуса</t>
  </si>
  <si>
    <t xml:space="preserve">RCP-0199</t>
  </si>
  <si>
    <t xml:space="preserve">RCP-0200</t>
  </si>
  <si>
    <t xml:space="preserve">RCP-0201</t>
  </si>
  <si>
    <t xml:space="preserve">RCP-0202</t>
  </si>
  <si>
    <t xml:space="preserve">RCP-0203</t>
  </si>
  <si>
    <t xml:space="preserve">ING-100</t>
  </si>
  <si>
    <t xml:space="preserve">Рис жасмин сухой</t>
  </si>
  <si>
    <t xml:space="preserve">Варка</t>
  </si>
  <si>
    <t xml:space="preserve">VSF-025</t>
  </si>
  <si>
    <t xml:space="preserve">RCP-0204</t>
  </si>
  <si>
    <t xml:space="preserve">ING-101</t>
  </si>
  <si>
    <t xml:space="preserve">Вода питьевая, удержанная в продукте</t>
  </si>
  <si>
    <t xml:space="preserve">RCP-0205</t>
  </si>
  <si>
    <t xml:space="preserve">RCP-0206</t>
  </si>
  <si>
    <t xml:space="preserve">RCP-0207</t>
  </si>
  <si>
    <t xml:space="preserve">RCP-0208</t>
  </si>
  <si>
    <t xml:space="preserve">Овощная подготовка</t>
  </si>
  <si>
    <t xml:space="preserve">VSF-026</t>
  </si>
  <si>
    <t xml:space="preserve">RCP-0209</t>
  </si>
  <si>
    <t xml:space="preserve">RCP-0210</t>
  </si>
  <si>
    <t xml:space="preserve">ING-102</t>
  </si>
  <si>
    <t xml:space="preserve">Баклажан</t>
  </si>
  <si>
    <t xml:space="preserve">RCP-0211</t>
  </si>
  <si>
    <t xml:space="preserve">ING-103</t>
  </si>
  <si>
    <t xml:space="preserve">Брокколи</t>
  </si>
  <si>
    <t xml:space="preserve">RCP-0212</t>
  </si>
  <si>
    <t xml:space="preserve">RCP-0213</t>
  </si>
  <si>
    <t xml:space="preserve">RCP-0214</t>
  </si>
  <si>
    <t xml:space="preserve">RCP-0215</t>
  </si>
  <si>
    <t xml:space="preserve">ING-104</t>
  </si>
  <si>
    <t xml:space="preserve">Мука пшеничная кондитерская</t>
  </si>
  <si>
    <t xml:space="preserve">Бисквит</t>
  </si>
  <si>
    <t xml:space="preserve">VSF-027</t>
  </si>
  <si>
    <t xml:space="preserve">RCP-0216</t>
  </si>
  <si>
    <t xml:space="preserve">RCP-0217</t>
  </si>
  <si>
    <t xml:space="preserve">RCP-0218</t>
  </si>
  <si>
    <t xml:space="preserve">RCP-0219</t>
  </si>
  <si>
    <t xml:space="preserve">RCP-0220</t>
  </si>
  <si>
    <t xml:space="preserve">ING-105</t>
  </si>
  <si>
    <t xml:space="preserve">Разрыхлитель</t>
  </si>
  <si>
    <t xml:space="preserve">RCP-0221</t>
  </si>
  <si>
    <t xml:space="preserve">ING-106</t>
  </si>
  <si>
    <t xml:space="preserve">Соль</t>
  </si>
  <si>
    <t xml:space="preserve">RCP-0222</t>
  </si>
  <si>
    <t xml:space="preserve">ING-107</t>
  </si>
  <si>
    <t xml:space="preserve">Черника</t>
  </si>
  <si>
    <t xml:space="preserve">Крем</t>
  </si>
  <si>
    <t xml:space="preserve">VSF-028</t>
  </si>
  <si>
    <t xml:space="preserve">RCP-0223</t>
  </si>
  <si>
    <t xml:space="preserve">ING-108</t>
  </si>
  <si>
    <t xml:space="preserve">Сыр сливочный</t>
  </si>
  <si>
    <t xml:space="preserve">RCP-0224</t>
  </si>
  <si>
    <t xml:space="preserve">RCP-0225</t>
  </si>
  <si>
    <t xml:space="preserve">ING-109</t>
  </si>
  <si>
    <t xml:space="preserve">Сахарная пудра</t>
  </si>
  <si>
    <t xml:space="preserve">RCP-0226</t>
  </si>
  <si>
    <t xml:space="preserve">Компоте</t>
  </si>
  <si>
    <t xml:space="preserve">VSF-029</t>
  </si>
  <si>
    <t xml:space="preserve">RCP-0227</t>
  </si>
  <si>
    <t xml:space="preserve">RCP-0228</t>
  </si>
  <si>
    <t xml:space="preserve">ING-110</t>
  </si>
  <si>
    <t xml:space="preserve">Пектин или крахмал</t>
  </si>
  <si>
    <t xml:space="preserve">RCP-0229</t>
  </si>
  <si>
    <t xml:space="preserve">RCP-0230</t>
  </si>
  <si>
    <t xml:space="preserve">ING-111</t>
  </si>
  <si>
    <t xml:space="preserve">Глазурь проектная</t>
  </si>
  <si>
    <t xml:space="preserve">Глазурь</t>
  </si>
  <si>
    <t xml:space="preserve">VSF-030</t>
  </si>
  <si>
    <t xml:space="preserve">RCP-0231</t>
  </si>
  <si>
    <t xml:space="preserve">ING-112</t>
  </si>
  <si>
    <t xml:space="preserve">Декор съедобный</t>
  </si>
  <si>
    <t xml:space="preserve">Декор</t>
  </si>
  <si>
    <t xml:space="preserve">RCP-0232</t>
  </si>
  <si>
    <t xml:space="preserve">Песочное тесто</t>
  </si>
  <si>
    <t xml:space="preserve">VSF-031</t>
  </si>
  <si>
    <t xml:space="preserve">RCP-0233</t>
  </si>
  <si>
    <t xml:space="preserve">RCP-0234</t>
  </si>
  <si>
    <t xml:space="preserve">RCP-0235</t>
  </si>
  <si>
    <t xml:space="preserve">RCP-0236</t>
  </si>
  <si>
    <t xml:space="preserve">RCP-0237</t>
  </si>
  <si>
    <t xml:space="preserve">Солёная карамель</t>
  </si>
  <si>
    <t xml:space="preserve">VSF-032</t>
  </si>
  <si>
    <t xml:space="preserve">RCP-0238</t>
  </si>
  <si>
    <t xml:space="preserve">RCP-0239</t>
  </si>
  <si>
    <t xml:space="preserve">RCP-0240</t>
  </si>
  <si>
    <t xml:space="preserve">RCP-0241</t>
  </si>
  <si>
    <t xml:space="preserve">VSF-033</t>
  </si>
  <si>
    <t xml:space="preserve">RCP-0242</t>
  </si>
  <si>
    <t xml:space="preserve">RCP-0243</t>
  </si>
  <si>
    <t xml:space="preserve">RCP-0244</t>
  </si>
  <si>
    <t xml:space="preserve">RCP-0245</t>
  </si>
  <si>
    <t xml:space="preserve">VSF-034</t>
  </si>
  <si>
    <t xml:space="preserve">RCP-0246</t>
  </si>
  <si>
    <t xml:space="preserve">RCP-0247</t>
  </si>
  <si>
    <t xml:space="preserve">RCP-0248</t>
  </si>
  <si>
    <t xml:space="preserve">RCP-0249</t>
  </si>
  <si>
    <t xml:space="preserve">RCP-0250</t>
  </si>
  <si>
    <t xml:space="preserve">RCP-0251</t>
  </si>
  <si>
    <t xml:space="preserve">RCP-0252</t>
  </si>
  <si>
    <t xml:space="preserve">ING-113</t>
  </si>
  <si>
    <t xml:space="preserve">Цедра лимона</t>
  </si>
  <si>
    <t xml:space="preserve">RCP-0253</t>
  </si>
  <si>
    <t xml:space="preserve">RCP-BF-026-01</t>
  </si>
  <si>
    <t xml:space="preserve">PR81-DRAFT</t>
  </si>
  <si>
    <t xml:space="preserve">P-EGG-C0</t>
  </si>
  <si>
    <t xml:space="preserve">Яйцо C0</t>
  </si>
  <si>
    <t xml:space="preserve">RAW_OR_PURCHASED_COMPONENT</t>
  </si>
  <si>
    <t xml:space="preserve">Breakfast complex</t>
  </si>
  <si>
    <t xml:space="preserve">шт.</t>
  </si>
  <si>
    <t xml:space="preserve">PR81 historical checkpoint; count and mass fields remain dimensionally distinct</t>
  </si>
  <si>
    <t xml:space="preserve">2026-07-27</t>
  </si>
  <si>
    <t xml:space="preserve">CHEF_DECISION;CONTROL_COOK;SUPPLIER_DOCS</t>
  </si>
  <si>
    <t xml:space="preserve">Not approved</t>
  </si>
  <si>
    <t xml:space="preserve">RCP-BF-026-02</t>
  </si>
  <si>
    <t xml:space="preserve">P-BUTTER</t>
  </si>
  <si>
    <t xml:space="preserve">RCP-BF-026-03</t>
  </si>
  <si>
    <t xml:space="preserve">P-SALT</t>
  </si>
  <si>
    <t xml:space="preserve">RCP-BF-026-04</t>
  </si>
  <si>
    <t xml:space="preserve">P-CROISSANT-80</t>
  </si>
  <si>
    <t xml:space="preserve">Круассан 80 г</t>
  </si>
  <si>
    <t xml:space="preserve">RCP-BF-026-05</t>
  </si>
  <si>
    <t xml:space="preserve">P-CHEDDAR</t>
  </si>
  <si>
    <t xml:space="preserve">Чеддер</t>
  </si>
  <si>
    <t xml:space="preserve">RCP-BF-026-06</t>
  </si>
  <si>
    <t xml:space="preserve">P-FONTINA</t>
  </si>
  <si>
    <t xml:space="preserve">Fontina DOP / Fontal</t>
  </si>
  <si>
    <t xml:space="preserve">RCP-BF-026-07</t>
  </si>
  <si>
    <t xml:space="preserve">P-DRINK</t>
  </si>
  <si>
    <t xml:space="preserve">Напиток бариста 200 мл</t>
  </si>
  <si>
    <t xml:space="preserve">RCP-BF-027-01</t>
  </si>
  <si>
    <t xml:space="preserve">P-MELANGE-GROVO</t>
  </si>
  <si>
    <t xml:space="preserve">Меланж</t>
  </si>
  <si>
    <t xml:space="preserve">RCP-BF-027-02</t>
  </si>
  <si>
    <t xml:space="preserve">P-MILK-DS</t>
  </si>
  <si>
    <t xml:space="preserve">мл</t>
  </si>
  <si>
    <t xml:space="preserve">RCP-BF-027-03</t>
  </si>
  <si>
    <t xml:space="preserve">RCP-BF-027-04</t>
  </si>
  <si>
    <t xml:space="preserve">RCP-BF-027-05</t>
  </si>
  <si>
    <t xml:space="preserve">RCP-BF-027-06</t>
  </si>
  <si>
    <t xml:space="preserve">RCP-BF-027-07</t>
  </si>
  <si>
    <t xml:space="preserve">RCP-BF-027-08</t>
  </si>
  <si>
    <t xml:space="preserve">RCP-BF-028-01</t>
  </si>
  <si>
    <t xml:space="preserve">P-OATS</t>
  </si>
  <si>
    <t xml:space="preserve">Овсяные хлопья</t>
  </si>
  <si>
    <t xml:space="preserve">RCP-BF-028-02</t>
  </si>
  <si>
    <t xml:space="preserve">RCP-BF-028-03</t>
  </si>
  <si>
    <t xml:space="preserve">WATER</t>
  </si>
  <si>
    <t xml:space="preserve">Вода</t>
  </si>
  <si>
    <t xml:space="preserve">RCP-BF-028-04</t>
  </si>
  <si>
    <t xml:space="preserve">P-SUGAR</t>
  </si>
  <si>
    <t xml:space="preserve">RCP-BF-028-05</t>
  </si>
  <si>
    <t xml:space="preserve">RCP-BF-028-06</t>
  </si>
  <si>
    <t xml:space="preserve">RCP-BF-028-07</t>
  </si>
  <si>
    <t xml:space="preserve">RCP-BF-028-08</t>
  </si>
  <si>
    <t xml:space="preserve">RCP-BF-028-09</t>
  </si>
  <si>
    <t xml:space="preserve">RCP-BF-028-10</t>
  </si>
  <si>
    <t xml:space="preserve">03 — Полуфабрикаты</t>
  </si>
  <si>
    <t xml:space="preserve">DAG и make-or-buy решения остаются DRAFT.</t>
  </si>
  <si>
    <t xml:space="preserve">vsf_code</t>
  </si>
  <si>
    <t xml:space="preserve">semi_finished_name</t>
  </si>
  <si>
    <t xml:space="preserve">canonical_batch_variant_id</t>
  </si>
  <si>
    <t xml:space="preserve">batch_variant_count</t>
  </si>
  <si>
    <t xml:space="preserve">batch_basis</t>
  </si>
  <si>
    <t xml:space="preserve">batch_gross_qty</t>
  </si>
  <si>
    <t xml:space="preserve">batch_net_qty</t>
  </si>
  <si>
    <t xml:space="preserve">projected_batch_output</t>
  </si>
  <si>
    <t xml:space="preserve">linked_dish_codes</t>
  </si>
  <si>
    <t xml:space="preserve">child_vsf_codes</t>
  </si>
  <si>
    <t xml:space="preserve">reuse_candidate</t>
  </si>
  <si>
    <t xml:space="preserve">card_status</t>
  </si>
  <si>
    <t xml:space="preserve">method_or_source_note</t>
  </si>
  <si>
    <t xml:space="preserve">safety_blocker_ids</t>
  </si>
  <si>
    <t xml:space="preserve">next_action</t>
  </si>
  <si>
    <t xml:space="preserve">cost_per_output_rule</t>
  </si>
  <si>
    <t xml:space="preserve">double_counting_rule</t>
  </si>
  <si>
    <t xml:space="preserve">record_type</t>
  </si>
  <si>
    <t xml:space="preserve">make_or_buy_status</t>
  </si>
  <si>
    <t xml:space="preserve">graph_link_status</t>
  </si>
  <si>
    <t xml:space="preserve">Тесто для пиццы базовое</t>
  </si>
  <si>
    <t xml:space="preserve">VSF-001@VKM-001</t>
  </si>
  <si>
    <t xml:space="preserve">Chef draft source portion/batch; canonical is architecture reference, not approved production batch</t>
  </si>
  <si>
    <t xml:space="preserve">VKM-001;VKM-002;VKM-003;VKM-004</t>
  </si>
  <si>
    <t xml:space="preserve">null</t>
  </si>
  <si>
    <t xml:space="preserve">Да</t>
  </si>
  <si>
    <t xml:space="preserve">BLOCKED_PENDING_VALIDATION</t>
  </si>
  <si>
    <t xml:space="preserve">EVD-0009;EVD-0007;EVD-0008</t>
  </si>
  <si>
    <t xml:space="preserve">Draft batch reconstructed only from Chef HOF-0002 quantities; factual yield not asserted; consuming-dish variants conflict and remain explicit pending Chef freeze</t>
  </si>
  <si>
    <t xml:space="preserve">Chef / SemiFinishedProductsAgent</t>
  </si>
  <si>
    <t xml:space="preserve">GAP-006;GAP-010;GAP-011;GAP-SF-001</t>
  </si>
  <si>
    <t xml:space="preserve">GAP-010;GAP-011</t>
  </si>
  <si>
    <t xml:space="preserve">Chef freezes batch formula/output and variant decision; control cook weighs inputs, loss and output; FoodSafetyAgent re-reviews process and limits</t>
  </si>
  <si>
    <t xml:space="preserve">For the mapping-selected variant: SUM(raw extended costs + child VSF quantity × accepted child cost/output) / projected batch output; factual costing waits for accepted prices and output</t>
  </si>
  <si>
    <t xml:space="preserve">At each parent include either CHILD_VSF cost or that child's raw lines, never both; top-level dish excludes flattened lines reassigned to a VSF</t>
  </si>
  <si>
    <t xml:space="preserve">REAL_VSF_CANDIDATE</t>
  </si>
  <si>
    <t xml:space="preserve">UNRESOLVED</t>
  </si>
  <si>
    <t xml:space="preserve">SOURCE_DAG_CONTROLLED</t>
  </si>
  <si>
    <t xml:space="preserve">Соус томатный для пиццы</t>
  </si>
  <si>
    <t xml:space="preserve">VSF-002@VKM-001</t>
  </si>
  <si>
    <t xml:space="preserve">Тесто чиабатты белой</t>
  </si>
  <si>
    <t xml:space="preserve">VSF-003@BASE</t>
  </si>
  <si>
    <t xml:space="preserve">Нет</t>
  </si>
  <si>
    <t xml:space="preserve">DRAFT_WITH_ASSUMPTIONS</t>
  </si>
  <si>
    <t xml:space="preserve">Draft batch reconstructed only from Chef HOF-0002 quantities; factual yield not asserted</t>
  </si>
  <si>
    <t xml:space="preserve">GAP-006;GAP-010;GAP-011</t>
  </si>
  <si>
    <t xml:space="preserve">Тесто чиабатты томатной</t>
  </si>
  <si>
    <t xml:space="preserve">VSF-004@BASE</t>
  </si>
  <si>
    <t xml:space="preserve">Тесто/заварка бородинского хлеба</t>
  </si>
  <si>
    <t xml:space="preserve">VSF-005@BASE</t>
  </si>
  <si>
    <t xml:space="preserve">Тесто бриоши</t>
  </si>
  <si>
    <t xml:space="preserve">VSF-006@BASE</t>
  </si>
  <si>
    <t xml:space="preserve">VKM-008;VKM-021</t>
  </si>
  <si>
    <t xml:space="preserve">Draft batch reconstructed only from Chef HOF-0002 quantities; factual yield not asserted; special mapping is documented in SEMI_FINISHED_MAPPING.csv</t>
  </si>
  <si>
    <t xml:space="preserve">Заправка к буррате</t>
  </si>
  <si>
    <t xml:space="preserve">VSF-007@BASE</t>
  </si>
  <si>
    <t xml:space="preserve">Заправка к салату с креветками</t>
  </si>
  <si>
    <t xml:space="preserve">VSF-008@BASE</t>
  </si>
  <si>
    <t xml:space="preserve">Заправка греческая</t>
  </si>
  <si>
    <t xml:space="preserve">VSF-009@BASE</t>
  </si>
  <si>
    <t xml:space="preserve">Отварные овощи для винегрета</t>
  </si>
  <si>
    <t xml:space="preserve">VSF-010@BASE</t>
  </si>
  <si>
    <t xml:space="preserve">Картофель запечённый для закуски</t>
  </si>
  <si>
    <t xml:space="preserve">VSF-011@VKM-023</t>
  </si>
  <si>
    <t xml:space="preserve">VKM-014;VKM-023</t>
  </si>
  <si>
    <t xml:space="preserve">Draft batch reconstructed only from Chef HOF-0002 quantities; factual yield not asserted; production recipe sourced from VKM-023 and mapped to VKM-014 consumption; special mapping is documented in SEMI_FINISHED_MAPPING.csv</t>
  </si>
  <si>
    <t xml:space="preserve">Маринад оливок</t>
  </si>
  <si>
    <t xml:space="preserve">VSF-012@BASE</t>
  </si>
  <si>
    <t xml:space="preserve">Быстрый маринад для солений</t>
  </si>
  <si>
    <t xml:space="preserve">VSF-013@BASE</t>
  </si>
  <si>
    <t xml:space="preserve">Ассорти быстрых солений</t>
  </si>
  <si>
    <t xml:space="preserve">VSF-014@BASE</t>
  </si>
  <si>
    <t xml:space="preserve">Draft batch reconstructed only from Chef HOF-0002 quantities; factual yield not asserted; VSF-013 is a nested child and is excluded from direct dish costing; special mapping is documented in SEMI_FINISHED_MAPPING.csv</t>
  </si>
  <si>
    <t xml:space="preserve">VSF-015@BASE</t>
  </si>
  <si>
    <t xml:space="preserve">Соус к ростбифу</t>
  </si>
  <si>
    <t xml:space="preserve">VSF-016@BASE</t>
  </si>
  <si>
    <t xml:space="preserve">VSF-017@BASE</t>
  </si>
  <si>
    <t xml:space="preserve">Draft batch reconstructed only from Chef HOF-0002 quantities; factual yield not asserted; source is an undecomposed prepared input, not a complete production formula</t>
  </si>
  <si>
    <t xml:space="preserve">GAP-006;GAP-010;GAP-011;GAP-SF-002</t>
  </si>
  <si>
    <t xml:space="preserve">Пассеровка свекольная</t>
  </si>
  <si>
    <t xml:space="preserve">VSF-018@BASE</t>
  </si>
  <si>
    <t xml:space="preserve">Соус сливочно-горчичный</t>
  </si>
  <si>
    <t xml:space="preserve">VSF-019@BASE</t>
  </si>
  <si>
    <t xml:space="preserve">Возможно</t>
  </si>
  <si>
    <t xml:space="preserve">Соус кокосовый тайский</t>
  </si>
  <si>
    <t xml:space="preserve">VSF-020@BASE</t>
  </si>
  <si>
    <t xml:space="preserve">Котлета для бургера</t>
  </si>
  <si>
    <t xml:space="preserve">VSF-021@BASE</t>
  </si>
  <si>
    <t xml:space="preserve">Соус для бургера</t>
  </si>
  <si>
    <t xml:space="preserve">VSF-022@BASE</t>
  </si>
  <si>
    <t xml:space="preserve">Миньоны порционные</t>
  </si>
  <si>
    <t xml:space="preserve">VSF-023@BASE</t>
  </si>
  <si>
    <t xml:space="preserve">Соус к миньонам</t>
  </si>
  <si>
    <t xml:space="preserve">VSF-024@BASE</t>
  </si>
  <si>
    <t xml:space="preserve">Рис жасмин варёный</t>
  </si>
  <si>
    <t xml:space="preserve">VSF-025@BASE</t>
  </si>
  <si>
    <t xml:space="preserve">Овощная смесь подготовленная</t>
  </si>
  <si>
    <t xml:space="preserve">VSF-026@BASE</t>
  </si>
  <si>
    <t xml:space="preserve">Бисквит черничного торта</t>
  </si>
  <si>
    <t xml:space="preserve">VSF-027@BASE</t>
  </si>
  <si>
    <t xml:space="preserve">Черничный крем</t>
  </si>
  <si>
    <t xml:space="preserve">VSF-028@BASE</t>
  </si>
  <si>
    <t xml:space="preserve">Черничное компоте</t>
  </si>
  <si>
    <t xml:space="preserve">VSF-029@BASE</t>
  </si>
  <si>
    <t xml:space="preserve">Глазурь торта</t>
  </si>
  <si>
    <t xml:space="preserve">VSF-030@BASE</t>
  </si>
  <si>
    <t xml:space="preserve">Песочное тесто кростаты</t>
  </si>
  <si>
    <t xml:space="preserve">VSF-031@BASE</t>
  </si>
  <si>
    <t xml:space="preserve">VSF-032@BASE</t>
  </si>
  <si>
    <t xml:space="preserve">Крем кростаты</t>
  </si>
  <si>
    <t xml:space="preserve">VSF-033@BASE</t>
  </si>
  <si>
    <t xml:space="preserve">Тесто мадлен</t>
  </si>
  <si>
    <t xml:space="preserve">VSF-034@BASE</t>
  </si>
  <si>
    <t xml:space="preserve">VSF-NONE-VKM-026</t>
  </si>
  <si>
    <t xml:space="preserve">Boundary assertion: make-полуфабрикат не выделен в PR81</t>
  </si>
  <si>
    <t xml:space="preserve">NONE@VKM-026</t>
  </si>
  <si>
    <t xml:space="preserve">PENDING_CHEF_CONFIRMATION</t>
  </si>
  <si>
    <t xml:space="preserve">Подтвердить отсутствие make-полуфабрикатов и границы make-or-buy</t>
  </si>
  <si>
    <t xml:space="preserve">Each purchased component once</t>
  </si>
  <si>
    <t xml:space="preserve">BOUNDARY_ASSERTION_NOT_REAL_VSF</t>
  </si>
  <si>
    <t xml:space="preserve">NO_MAKE_VSF_IDENTIFIED_PENDING_CHEF</t>
  </si>
  <si>
    <t xml:space="preserve">EXPLICIT_DISH_BOUNDARY_EDGE</t>
  </si>
  <si>
    <t xml:space="preserve">VSF-NONE-VKM-027</t>
  </si>
  <si>
    <t xml:space="preserve">NONE@VKM-027</t>
  </si>
  <si>
    <t xml:space="preserve">VSF-NONE-VKM-028</t>
  </si>
  <si>
    <t xml:space="preserve">NONE@VKM-028</t>
  </si>
  <si>
    <t xml:space="preserve">04 — Калькуляции 31/31</t>
  </si>
  <si>
    <t xml:space="preserve">MODEL ONLY NOT EVIDENCE. Формульный пересчёт прямого COGS справа.</t>
  </si>
  <si>
    <t xml:space="preserve">bridge_record_id</t>
  </si>
  <si>
    <t xml:space="preserve">position_code</t>
  </si>
  <si>
    <t xml:space="preserve">position_name</t>
  </si>
  <si>
    <t xml:space="preserve">menu_family</t>
  </si>
  <si>
    <t xml:space="preserve">unit_basis</t>
  </si>
  <si>
    <t xml:space="preserve">source_model</t>
  </si>
  <si>
    <t xml:space="preserve">source_ref_sha</t>
  </si>
  <si>
    <t xml:space="preserve">source_path</t>
  </si>
  <si>
    <t xml:space="preserve">source_record_key</t>
  </si>
  <si>
    <t xml:space="preserve">source_as_of</t>
  </si>
  <si>
    <t xml:space="preserve">recipe_or_model_version</t>
  </si>
  <si>
    <t xml:space="preserve">costing_method_id</t>
  </si>
  <si>
    <t xml:space="preserve">evidence_food_cost_rub</t>
  </si>
  <si>
    <t xml:space="preserve">evidence_spoilage_rub</t>
  </si>
  <si>
    <t xml:space="preserve">evidence_kitchen_cogs_rub</t>
  </si>
  <si>
    <t xml:space="preserve">evidence_packaging_rub</t>
  </si>
  <si>
    <t xml:space="preserve">evidence_other_direct_variable_rub</t>
  </si>
  <si>
    <t xml:space="preserve">evidence_complete_direct_cogs_rub</t>
  </si>
  <si>
    <t xml:space="preserve">model_evidence_benchmark_component_rub</t>
  </si>
  <si>
    <t xml:space="preserve">model_proxy_component_rub</t>
  </si>
  <si>
    <t xml:space="preserve">model_food_cost_rub</t>
  </si>
  <si>
    <t xml:space="preserve">model_spoilage_rub</t>
  </si>
  <si>
    <t xml:space="preserve">model_kitchen_cogs_rub</t>
  </si>
  <si>
    <t xml:space="preserve">model_packaging_rub</t>
  </si>
  <si>
    <t xml:space="preserve">model_other_direct_variable_rub</t>
  </si>
  <si>
    <t xml:space="preserve">model_complete_direct_cogs_rub</t>
  </si>
  <si>
    <t xml:space="preserve">model_tariff_or_price_rub</t>
  </si>
  <si>
    <t xml:space="preserve">model_food_cost_ratio</t>
  </si>
  <si>
    <t xml:space="preserve">calculation_layer</t>
  </si>
  <si>
    <t xml:space="preserve">calculation_status</t>
  </si>
  <si>
    <t xml:space="preserve">procurement_evidence_status</t>
  </si>
  <si>
    <t xml:space="preserve">owner_model_status</t>
  </si>
  <si>
    <t xml:space="preserve">safety_release_status</t>
  </si>
  <si>
    <t xml:space="preserve">import_status</t>
  </si>
  <si>
    <t xml:space="preserve">limitations</t>
  </si>
  <si>
    <t xml:space="preserve">normalization_divisor</t>
  </si>
  <si>
    <t xml:space="preserve">sale_unit_model_kitchen_cogs_rub</t>
  </si>
  <si>
    <t xml:space="preserve">sale_unit_model_complete_direct_cogs_rub</t>
  </si>
  <si>
    <t xml:space="preserve">normalization_status</t>
  </si>
  <si>
    <t xml:space="preserve">recalc_direct_cogs_rub</t>
  </si>
  <si>
    <t xml:space="preserve">recalc_delta_when_source_complete</t>
  </si>
  <si>
    <t xml:space="preserve">CALC-VKM-001-ISS82-PROXY</t>
  </si>
  <si>
    <t xml:space="preserve">one sale portion</t>
  </si>
  <si>
    <t xml:space="preserve">ISSUE82_RC2_PROXY_SCENARIO</t>
  </si>
  <si>
    <t xml:space="preserve">71516bf871fa560e890ce5bc7f858854a5335ae2</t>
  </si>
  <si>
    <t xml:space="preserve">docs/07-operations/issue-82/PROVISIONAL_PROXY_SCENARIO_COSTING.csv</t>
  </si>
  <si>
    <t xml:space="preserve">ISS82_PROXY_DAG_NO_DOUBLE_COUNT_V0.3</t>
  </si>
  <si>
    <t xml:space="preserve">ISSUE82_PROXY_SCENARIO</t>
  </si>
  <si>
    <t xml:space="preserve">ASSUMPTION_BLOCKED_PENDING_VALIDATION</t>
  </si>
  <si>
    <t xml:space="preserve">OWNER_ACCEPTED_FOR_FINMODEL_PLANNING_NOT_SUBJECT_APPROVAL</t>
  </si>
  <si>
    <t xml:space="preserve">MODEL_ONLY_NOT_EVIDENCE</t>
  </si>
  <si>
    <t xml:space="preserve">Not complete evidence-backed COGS; exact SKU, make/buy, yields, quotations, VAT, delivery and MOQ remain open</t>
  </si>
  <si>
    <t xml:space="preserve">SOURCE_ALREADY_ONE_SALE_UNIT</t>
  </si>
  <si>
    <t xml:space="preserve">CALC-VKM-002-ISS82-PROXY</t>
  </si>
  <si>
    <t xml:space="preserve">CALC-VKM-003-ISS82-PROXY</t>
  </si>
  <si>
    <t xml:space="preserve">CALC-VKM-004-ISS82-PROXY</t>
  </si>
  <si>
    <t xml:space="preserve">CALC-VKM-005-ISS82-PROXY</t>
  </si>
  <si>
    <t xml:space="preserve">CALC-VKM-006-ISS82-PROXY</t>
  </si>
  <si>
    <t xml:space="preserve">CALC-VKM-007-ISS82-PROXY</t>
  </si>
  <si>
    <t xml:space="preserve">CALC-VKM-008-ISS82-PROXY</t>
  </si>
  <si>
    <t xml:space="preserve">CALC-VKM-009-ISS82-PROXY</t>
  </si>
  <si>
    <t xml:space="preserve">CALC-VKM-010-ISS82-PROXY</t>
  </si>
  <si>
    <t xml:space="preserve">CALC-VKM-011-ISS82-PROXY</t>
  </si>
  <si>
    <t xml:space="preserve">CALC-VKM-012-ISS82-PROXY</t>
  </si>
  <si>
    <t xml:space="preserve">CALC-VKM-013-ISS82-PROXY</t>
  </si>
  <si>
    <t xml:space="preserve">CALC-VKM-014-ISS82-PROXY</t>
  </si>
  <si>
    <t xml:space="preserve">CALC-VKM-015-ISS82-PROXY</t>
  </si>
  <si>
    <t xml:space="preserve">CALC-VKM-016-ISS82-PROXY</t>
  </si>
  <si>
    <t xml:space="preserve">CALC-VKM-017-ISS82-PROXY</t>
  </si>
  <si>
    <t xml:space="preserve">CALC-VKM-018-ISS82-PROXY</t>
  </si>
  <si>
    <t xml:space="preserve">CALC-VKM-019-ISS82-PROXY</t>
  </si>
  <si>
    <t xml:space="preserve">CALC-VKM-020-ISS82-PROXY</t>
  </si>
  <si>
    <t xml:space="preserve">CALC-VKM-021-ISS82-PROXY</t>
  </si>
  <si>
    <t xml:space="preserve">CALC-VKM-022-ISS82-PROXY</t>
  </si>
  <si>
    <t xml:space="preserve">CALC-VKM-023-ISS82-PROXY</t>
  </si>
  <si>
    <t xml:space="preserve">CALC-VKM-024-ISS82-PROXY</t>
  </si>
  <si>
    <t xml:space="preserve">CALC-VKM-025-ISS82-PROXY</t>
  </si>
  <si>
    <t xml:space="preserve">CALC-VKM-026-S04-BREAKFAST</t>
  </si>
  <si>
    <t xml:space="preserve">one closed breakfast complex</t>
  </si>
  <si>
    <t xml:space="preserve">S04_v3.0.0_BREAKFAST_COSTING</t>
  </si>
  <si>
    <t xml:space="preserve">1573dc616ead7244146c8601cf61cd3c82d3c46e</t>
  </si>
  <si>
    <t xml:space="preserve">models/scenarios/S04/FINMODEL_VARSHAVKA_USALI_SCENARIO_S04_v3.0.0.xlsx</t>
  </si>
  <si>
    <t xml:space="preserve">BREAKFAST_COSTING!A23:J23</t>
  </si>
  <si>
    <t xml:space="preserve">2026-07-28</t>
  </si>
  <si>
    <t xml:space="preserve">S04_BREAKFAST_FORMULA_GROSS_INPUT</t>
  </si>
  <si>
    <t xml:space="preserve">S04_APPROVED_MODEL_PRELIMINARY_PROCUREMENT</t>
  </si>
  <si>
    <t xml:space="preserve">PRELIMINARY_SUPPLIER_PRICES_AND_CONTROL_TRIALS</t>
  </si>
  <si>
    <t xml:space="preserve">PRELIMINARY_SUPPLIER_EVIDENCE_OPEN</t>
  </si>
  <si>
    <t xml:space="preserve">S04_MODEL_RELEASE_APPROVED</t>
  </si>
  <si>
    <t xml:space="preserve">NOT_EVALUATED_BY_THIS_BRIDGE</t>
  </si>
  <si>
    <t xml:space="preserve">Official S04 model parameter; supplier quotations, VAT treatment and control trials remain open; Fontina 1800 RUB/kg is sensitivity input</t>
  </si>
  <si>
    <t xml:space="preserve">CALC-VKM-027-S04-BREAKFAST</t>
  </si>
  <si>
    <t xml:space="preserve">BREAKFAST_COSTING!A24:J24</t>
  </si>
  <si>
    <t xml:space="preserve">CALC-VKM-028-S04-BREAKFAST</t>
  </si>
  <si>
    <t xml:space="preserve">BREAKFAST_COSTING!A25:J25</t>
  </si>
  <si>
    <t xml:space="preserve">CALC-VKM-029-ISS82-PROXY</t>
  </si>
  <si>
    <t xml:space="preserve">CALCULATED_FROM_BATCH_DIVISOR_REQUIRES_CHEF_YIELD_CONFIRMATION</t>
  </si>
  <si>
    <t xml:space="preserve">CALC-VKM-030-ISS82-PROXY</t>
  </si>
  <si>
    <t xml:space="preserve">CALC-VKM-031-ISS82-PROXY</t>
  </si>
  <si>
    <t xml:space="preserve">05 — Технологические карты</t>
  </si>
  <si>
    <t xml:space="preserve">Пустые критические параметры не заменены нулями.</t>
  </si>
  <si>
    <t xml:space="preserve">record_id</t>
  </si>
  <si>
    <t xml:space="preserve">application_scope</t>
  </si>
  <si>
    <t xml:space="preserve">application_scope_status</t>
  </si>
  <si>
    <t xml:space="preserve">raw_material_requirements</t>
  </si>
  <si>
    <t xml:space="preserve">raw_material_requirements_status</t>
  </si>
  <si>
    <t xml:space="preserve">raw_material_preparation</t>
  </si>
  <si>
    <t xml:space="preserve">raw_material_preparation_status</t>
  </si>
  <si>
    <t xml:space="preserve">allowable_deviations</t>
  </si>
  <si>
    <t xml:space="preserve">allowable_deviations_status</t>
  </si>
  <si>
    <t xml:space="preserve">organoleptic_indicators</t>
  </si>
  <si>
    <t xml:space="preserve">organoleptic_indicators_status</t>
  </si>
  <si>
    <t xml:space="preserve">storage_and_realization</t>
  </si>
  <si>
    <t xml:space="preserve">storage_and_realization_status</t>
  </si>
  <si>
    <t xml:space="preserve">operation_sequence</t>
  </si>
  <si>
    <t xml:space="preserve">draft_active_time</t>
  </si>
  <si>
    <t xml:space="preserve">active_time_unit</t>
  </si>
  <si>
    <t xml:space="preserve">draft_total_time</t>
  </si>
  <si>
    <t xml:space="preserve">total_time_unit</t>
  </si>
  <si>
    <t xml:space="preserve">active_time_basis</t>
  </si>
  <si>
    <t xml:space="preserve">total_time_basis</t>
  </si>
  <si>
    <t xml:space="preserve">draft_plating</t>
  </si>
  <si>
    <t xml:space="preserve">safety_critical_parameters</t>
  </si>
  <si>
    <t xml:space="preserve">safety_evidence_ids</t>
  </si>
  <si>
    <t xml:space="preserve">safety_owner</t>
  </si>
  <si>
    <t xml:space="preserve">TCH-001</t>
  </si>
  <si>
    <t xml:space="preserve">Изготовление и отпуск позиции VKM-001 «Маргарита» в рамках проектного меню Issue #82; каналы и формат отпуска применяются после сверки с паспортом позиции и Owner/Chef Gate.</t>
  </si>
  <si>
    <t xml:space="preserve">Использовать сырьё только после фиксации точных SKU/спецификаций, подтверждения сопроводительных документов и входного контроля; конкретные показатели качества не установлены без данных поставщика.</t>
  </si>
  <si>
    <t xml:space="preserve">BLOCKED</t>
  </si>
  <si>
    <t xml:space="preserve">Подготовка по проектной последовательности операций; фактические способы подготовки, мойки/очистки/размораживания (если применимо) и потери подтвердить контрольной проработкой.</t>
  </si>
  <si>
    <t xml:space="preserve">Числовые допуски массы, выхода, времени и органолептики не установлены; определить и утвердить по документированной контрольной серии.</t>
  </si>
  <si>
    <t xml:space="preserve">На контрольной проработке оценить внешний вид, цвет, запах, вкус, консистенцию/текстуру и соответствие проекту подачи «Целая пицца на подложке/тарелке; равномерный борт; базилик после выпечки»; критерии приёмки и решение Chef не заполнены.</t>
  </si>
  <si>
    <t xml:space="preserve">Режим и срок хранения/реализации не устанавливаются ChefTechnologyAgent; применить только version-locked решение FoodSafetyAgent/ППК после фиксации SKU, процесса и контрольных измерений.</t>
  </si>
  <si>
    <t xml:space="preserve">Подготовить тесто и соус; выдержать тесто; сформовать основу; нанести соус и сыр; выпечь; добавить базилик и масло</t>
  </si>
  <si>
    <t xml:space="preserve">мин</t>
  </si>
  <si>
    <t xml:space="preserve">Замес и формование 12; сборка 5; финиш 2</t>
  </si>
  <si>
    <t xml:space="preserve">Расстойка/созревание и выпечка 90</t>
  </si>
  <si>
    <t xml:space="preserve">Целая пицца на подложке/тарелке; равномерный борт; базилик после выпечки</t>
  </si>
  <si>
    <t xml:space="preserve">EVD-0013;EVD-0014;EVD-FS-001;EVD-FS-002;EVD-FS-003</t>
  </si>
  <si>
    <t xml:space="preserve">FoodSafetyAgent / PPK owner</t>
  </si>
  <si>
    <t xml:space="preserve">EVD-0010;EVD-0011</t>
  </si>
  <si>
    <t xml:space="preserve">Операции и время — проект планирования; plating — проект для решения шефа</t>
  </si>
  <si>
    <t xml:space="preserve">GAP-007;GAP-008</t>
  </si>
  <si>
    <t xml:space="preserve">Наблюдать операции и время; отдельно подтвердить safety-critical параметры</t>
  </si>
  <si>
    <t xml:space="preserve">TCH-002</t>
  </si>
  <si>
    <t xml:space="preserve">Изготовление и отпуск позиции VKM-002 «Четыре сыра»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</si>
  <si>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«Целая пицца; четыре сыра распределены равномерно, без перегруженного центра»; критерии приёмки и решение Chef не заполнены.</t>
  </si>
  <si>
    <t xml:space="preserve">Подготовить тесто и соус; сформовать; распределить четыре сыра; выпечь; финишировать маслом</t>
  </si>
  <si>
    <t xml:space="preserve">Замес и формование 12; сборка 6; финиш 2</t>
  </si>
  <si>
    <t xml:space="preserve">Расстойка/созревание и выпечка 92</t>
  </si>
  <si>
    <t xml:space="preserve">Целая пицца; четыре сыра распределены равномерно, без перегруженного центра</t>
  </si>
  <si>
    <t xml:space="preserve">TCH-003</t>
  </si>
  <si>
    <t xml:space="preserve">Изготовление и отпуск позиции VKM-003 «Грибная с ветчиной»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</si>
  <si>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«Целая пицца; видимая равномерная раскладка ветчины и грибов»; критерии приёмки и решение Chef не заполнены.</t>
  </si>
  <si>
    <t xml:space="preserve">Подготовить тесто и соус; подготовить грибы и лук; сформовать; собрать с ветчиной; выпечь</t>
  </si>
  <si>
    <t xml:space="preserve">Замес и формование 14; сборка 7; финиш 1</t>
  </si>
  <si>
    <t xml:space="preserve">Расстойка/созревание, подготовка и выпечка 95</t>
  </si>
  <si>
    <t xml:space="preserve">Целая пицца; видимая равномерная раскладка ветчины и грибов</t>
  </si>
  <si>
    <t xml:space="preserve">TCH-004</t>
  </si>
  <si>
    <t xml:space="preserve">Изготовление и отпуск позиции VKM-004 «Пепперони»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</si>
  <si>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«Целая пицца; пепперони равномерно распределена»; критерии приёмки и решение Chef не заполнены.</t>
  </si>
  <si>
    <t xml:space="preserve">Подготовить тесто и соус; сформовать; собрать с моцареллой и пепперони; выпечь; финишировать</t>
  </si>
  <si>
    <t xml:space="preserve">Целая пицца; пепперони равномерно распределена</t>
  </si>
  <si>
    <t xml:space="preserve">TCH-005</t>
  </si>
  <si>
    <t xml:space="preserve">Изготовление и отпуск позиции VKM-005 «Белая чиабатта»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</si>
  <si>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«Изделие 100 г; открытый пористый мякиш проверяется после контрольной выпечки»; критерии приёмки и решение Chef не заполнены.</t>
  </si>
  <si>
    <t xml:space="preserve">Смешать компоненты; замесить; провести брожение и складывания; сформовать; расстоять; выпечь; охладить</t>
  </si>
  <si>
    <t xml:space="preserve">Замес/складывания/формование 18</t>
  </si>
  <si>
    <t xml:space="preserve">Брожение, расстойка, выпечка и охлаждение 150</t>
  </si>
  <si>
    <t xml:space="preserve">Изделие 100 г; открытый пористый мякиш проверяется после контрольной выпечки</t>
  </si>
  <si>
    <t xml:space="preserve">TCH-006</t>
  </si>
  <si>
    <t xml:space="preserve">Изготовление и отпуск позиции VKM-006 «Томатная чиабатта»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</si>
  <si>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«Изделие 100 г; равномерное распределение томатных включений»; критерии приёмки и решение Chef не заполнены.</t>
  </si>
  <si>
    <t xml:space="preserve">Смешать тесто с томатными компонентами; замесить; провести брожение; сформовать; расстоять; выпечь; охладить</t>
  </si>
  <si>
    <t xml:space="preserve">Замес/формование 18</t>
  </si>
  <si>
    <t xml:space="preserve">Изделие 100 г; равномерное распределение томатных включений</t>
  </si>
  <si>
    <t xml:space="preserve">TCH-007</t>
  </si>
  <si>
    <t xml:space="preserve">Изготовление и отпуск позиции VKM-007 «Бородинский хлеб»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</si>
  <si>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«Буханка 350 г; целая корка, равномерный мякиш после полного охлаждения»; критерии приёмки и решение Chef не заполнены.</t>
  </si>
  <si>
    <t xml:space="preserve">Приготовить заварку; замесить тесто; провести брожение; уложить в форму; расстоять; выпечь; стабилизировать и охладить</t>
  </si>
  <si>
    <t xml:space="preserve">Заварка/замес/формование 25</t>
  </si>
  <si>
    <t xml:space="preserve">Заварка, брожение, расстойка, выпечка и стабилизация 300</t>
  </si>
  <si>
    <t xml:space="preserve">Буханка 350 г; целая корка, равномерный мякиш после полного охлаждения</t>
  </si>
  <si>
    <t xml:space="preserve">TCH-008</t>
  </si>
  <si>
    <t xml:space="preserve">Изготовление и отпуск позиции VKM-008 «Бриошь»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</si>
  <si>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«Изделие 85 г; ровная форма и глянцевая поверхность»; критерии приёмки и решение Chef не заполнены.</t>
  </si>
  <si>
    <t xml:space="preserve">Замесить сдобное тесто; ввести масло; провести брожение; сформовать; расстоять; смазать; выпечь; охладить</t>
  </si>
  <si>
    <t xml:space="preserve">Замес/формование/смазка 22</t>
  </si>
  <si>
    <t xml:space="preserve">Брожение, расстойка, выпечка и охлаждение 180</t>
  </si>
  <si>
    <t xml:space="preserve">Изделие 85 г; ровная форма и глянцевая поверхность</t>
  </si>
  <si>
    <t xml:space="preserve">TCH-009</t>
  </si>
  <si>
    <t xml:space="preserve">Изготовление и отпуск позиции VKM-009 «Буррата с томатами»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</si>
  <si>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«Буррата в центре; томаты и зелень по периметру; заправка непосредственно перед подачей»; критерии приёмки и решение Chef не заполнены.</t>
  </si>
  <si>
    <t xml:space="preserve">Подготовить томаты и зелень; смешать заправку; разместить буррату; собрать и финишировать</t>
  </si>
  <si>
    <t xml:space="preserve">Подготовка и сборка 8</t>
  </si>
  <si>
    <t xml:space="preserve">Полное время 10</t>
  </si>
  <si>
    <t xml:space="preserve">Буррата в центре; томаты и зелень по периметру; заправка непосредственно перед подачей</t>
  </si>
  <si>
    <t xml:space="preserve">TCH-010</t>
  </si>
  <si>
    <t xml:space="preserve">Изготовление и отпуск позиции VKM-010 «Микс-салат с креветками и яблоком»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</si>
  <si>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«Воздушная укладка микса; креветки видимы; яблоко без потемнения»; критерии приёмки и решение Chef не заполнены.</t>
  </si>
  <si>
    <t xml:space="preserve">Подготовить зелень, яблоко и огурец; подготовить креветки; смешать заправку; аккуратно собрать; добавить финиш</t>
  </si>
  <si>
    <t xml:space="preserve">Подготовка и сборка 12</t>
  </si>
  <si>
    <t xml:space="preserve">Полное время 18</t>
  </si>
  <si>
    <t xml:space="preserve">Воздушная укладка микса; креветки видимы; яблоко без потемнения</t>
  </si>
  <si>
    <t xml:space="preserve">TCH-011</t>
  </si>
  <si>
    <t xml:space="preserve">Изготовление и отпуск позиции VKM-011 «Греческий»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</si>
  <si>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«Крупная одинаковая нарезка; фета и оливки визуально распределены»; критерии приёмки и решение Chef не заполнены.</t>
  </si>
  <si>
    <t xml:space="preserve">Нарезать овощи; подготовить фету и оливки; смешать заправку; собрать без излишнего перемешивания</t>
  </si>
  <si>
    <t xml:space="preserve">Подготовка и сборка 10</t>
  </si>
  <si>
    <t xml:space="preserve">Полное время 12</t>
  </si>
  <si>
    <t xml:space="preserve">Крупная одинаковая нарезка; фета и оливки визуально распределены</t>
  </si>
  <si>
    <t xml:space="preserve">TCH-012</t>
  </si>
  <si>
    <t xml:space="preserve">Изготовление и отпуск позиции VKM-012 «Винегрет»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</si>
  <si>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«Порционная выкладка; одинаковая нарезка, без избыточной жидкости»; критерии приёмки и решение Chef не заполнены.</t>
  </si>
  <si>
    <t xml:space="preserve">Подготовить варёные овощи; охладить; нарезать одинаковым кубиком; подготовить прочие компоненты; смешать и заправить</t>
  </si>
  <si>
    <t xml:space="preserve">Подготовка/нарезка/сборка 18</t>
  </si>
  <si>
    <t xml:space="preserve">Варка, охлаждение и сборка 90</t>
  </si>
  <si>
    <t xml:space="preserve">Порционная выкладка; одинаковая нарезка, без избыточной жидкости</t>
  </si>
  <si>
    <t xml:space="preserve">TCH-013</t>
  </si>
  <si>
    <t xml:space="preserve">Изготовление и отпуск позиции VKM-013 «Слабосолёный лосось»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</si>
  <si>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«Ломтики лосося уложены веером; лимон и каперсы отделены»; критерии приёмки и решение Chef не заполнены.</t>
  </si>
  <si>
    <t xml:space="preserve">Проверить готовое филе; удалить упаковочную жидкость; порционировать; подготовить лимон и гарниры; собрать</t>
  </si>
  <si>
    <t xml:space="preserve">Порционирование и сборка 7</t>
  </si>
  <si>
    <t xml:space="preserve">Ломтики лосося уложены веером; лимон и каперсы отделены</t>
  </si>
  <si>
    <t xml:space="preserve">TCH-014</t>
  </si>
  <si>
    <t xml:space="preserve">Изготовление и отпуск позиции VKM-014 «Сельдь с запечённым картофелем»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</si>
  <si>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«Сельдь и картофель разделены визуально; лук и зелень финишем»; критерии приёмки и решение Chef не заполнены.</t>
  </si>
  <si>
    <t xml:space="preserve">Подготовить и запечь картофель; подготовить сельдь и лук; охладить компоненты по процессу; собрать и заправить</t>
  </si>
  <si>
    <t xml:space="preserve">Подготовка и сборка 14</t>
  </si>
  <si>
    <t xml:space="preserve">Запекание/охлаждение/сборка 55</t>
  </si>
  <si>
    <t xml:space="preserve">Сельдь и картофель разделены визуально; лук и зелень финишем</t>
  </si>
  <si>
    <t xml:space="preserve">TCH-015</t>
  </si>
  <si>
    <t xml:space="preserve">Изготовление и отпуск позиции VKM-015 «Оливки и маслины»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</si>
  <si>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«Смесь двух цветов; минимальное количество свободного маринада»; критерии приёмки и решение Chef не заполнены.</t>
  </si>
  <si>
    <t xml:space="preserve">Освободить оливки и маслины от заливки; подготовить ароматический маринад; смешать; выдержать; порционировать</t>
  </si>
  <si>
    <t xml:space="preserve">Выдержка и порционирование 40</t>
  </si>
  <si>
    <t xml:space="preserve">Смесь двух цветов; минимальное количество свободного маринада</t>
  </si>
  <si>
    <t xml:space="preserve">TCH-016</t>
  </si>
  <si>
    <t xml:space="preserve">Изготовление и отпуск позиции VKM-016 «Ассорти фирменных солений»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</si>
  <si>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«Контрастная раскладка отдельных овощей; без избыточной жидкости»; критерии приёмки и решение Chef не заполнены.</t>
  </si>
  <si>
    <t xml:space="preserve">Подготовить и нарезать овощи; приготовить маринад; мариновать компоненты раздельно; объединить при подаче</t>
  </si>
  <si>
    <t xml:space="preserve">Подготовка 18; сборка 5</t>
  </si>
  <si>
    <t xml:space="preserve">Маринование и сборка 70</t>
  </si>
  <si>
    <t xml:space="preserve">Контрастная раскладка отдельных овощей; без избыточной жидкости</t>
  </si>
  <si>
    <t xml:space="preserve">TCH-017</t>
  </si>
  <si>
    <t xml:space="preserve">Изготовление и отпуск позиции VKM-017 «Ростбиф с луком и гренкой»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</si>
  <si>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«Ростбиф уложен свободно; гренка сохраняет хруст; соус дозирован»; критерии приёмки и решение Chef не заполнены.</t>
  </si>
  <si>
    <t xml:space="preserve">Порционировать ростбиф; подготовить лук; подсушить гренку; смешать соус; собрать непосредственно перед подачей</t>
  </si>
  <si>
    <t xml:space="preserve">Ростбиф уложен свободно; гренка сохраняет хруст; соус дозирован</t>
  </si>
  <si>
    <t xml:space="preserve">TCH-018</t>
  </si>
  <si>
    <t xml:space="preserve">Изготовление и отпуск позиции VKM-018 «Традиционный красный борщ»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</si>
  <si>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«Глубокая тарелка; мясо в порции; сметана и зелень финишем»; критерии приёмки и решение Chef не заполнены.</t>
  </si>
  <si>
    <t xml:space="preserve">Приготовить бульон; подготовить овощи; выполнить пассеровку свёклы; соединить компоненты; довести вкус; порционировать с мясом, сметаной и зеленью</t>
  </si>
  <si>
    <t xml:space="preserve">Активные операции 35</t>
  </si>
  <si>
    <t xml:space="preserve">Варка бульона и супа 180</t>
  </si>
  <si>
    <t xml:space="preserve">Глубокая тарелка; мясо в порции; сметана и зелень финишем</t>
  </si>
  <si>
    <t xml:space="preserve">TCH-019</t>
  </si>
  <si>
    <t xml:space="preserve">Изготовление и отпуск позиции VKM-019 «Мурманская треска со сливочно-горчичным соусом»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</si>
  <si>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«Рыба как главный элемент; соус нанесён дозированно; зелень финишем»; критерии приёмки и решение Chef не заполнены.</t>
  </si>
  <si>
    <t xml:space="preserve">Порционировать треску; подготовить соус; обработать рыбу и шпинат; довести соус; собрать и финишировать</t>
  </si>
  <si>
    <t xml:space="preserve">Подготовка и обработка 18</t>
  </si>
  <si>
    <t xml:space="preserve">Полное время 28</t>
  </si>
  <si>
    <t xml:space="preserve">Рыба как главный элемент; соус нанесён дозированно; зелень финишем</t>
  </si>
  <si>
    <t xml:space="preserve">TCH-020</t>
  </si>
  <si>
    <t xml:space="preserve">Изготовление и отпуск позиции VKM-020 «Креветки по-тайски»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</si>
  <si>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«Глубокая тарелка; креветки сверху; зелень и лайм финишем»; критерии приёмки и решение Chef не заполнены.</t>
  </si>
  <si>
    <t xml:space="preserve">Подготовить креветки и овощи; приготовить кокосовый соус; последовательно обработать компоненты; добавить лапшу; довести и финишировать</t>
  </si>
  <si>
    <t xml:space="preserve">Подготовка и обработка 20</t>
  </si>
  <si>
    <t xml:space="preserve">Полное время 30</t>
  </si>
  <si>
    <t xml:space="preserve">Глубокая тарелка; креветки сверху; зелень и лайм финишем</t>
  </si>
  <si>
    <t xml:space="preserve">TCH-021</t>
  </si>
  <si>
    <t xml:space="preserve">Изготовление и отпуск позиции VKM-021 «Бургер VARSHAVKA»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</si>
  <si>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«Целый бургер; устойчивые слои; соус без стекания; подача без отдельного гарнира»; критерии приёмки и решение Chef не заполнены.</t>
  </si>
  <si>
    <t xml:space="preserve">Подготовить котлету и соус; разрезать и подготовить бриошь; обработать котлету; расплавить сыр; собрать в заданном порядке</t>
  </si>
  <si>
    <t xml:space="preserve">Подготовка и сборка 15</t>
  </si>
  <si>
    <t xml:space="preserve">Полное время 25</t>
  </si>
  <si>
    <t xml:space="preserve">Целый бургер; устойчивые слои; соус без стекания; подача без отдельного гарнира</t>
  </si>
  <si>
    <t xml:space="preserve">TCH-022</t>
  </si>
  <si>
    <t xml:space="preserve">Изготовление и отпуск позиции VKM-022 «Миньоны из говяжьей вырезки»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</si>
  <si>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«Два миньона одинакового размера; соус отдельно/под мясом по решению шефа»; критерии приёмки и решение Chef не заполнены.</t>
  </si>
  <si>
    <t xml:space="preserve">Зачистить и порционировать вырезку на два миньона; подготовить ароматику; обработать; приготовить соус; дать продукту стабилизироваться; собрать</t>
  </si>
  <si>
    <t xml:space="preserve">Подготовка и обработка 22</t>
  </si>
  <si>
    <t xml:space="preserve">Полное время 35</t>
  </si>
  <si>
    <t xml:space="preserve">Два миньона одинакового размера; соус отдельно/под мясом по решению шефа</t>
  </si>
  <si>
    <t xml:space="preserve">TCH-023</t>
  </si>
  <si>
    <t xml:space="preserve">Изготовление и отпуск позиции VKM-023 «Запечённый картофель»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</si>
  <si>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«Порция 150 г; одинаковая нарезка; равномерная поверхность»; критерии приёмки и решение Chef не заполнены.</t>
  </si>
  <si>
    <t xml:space="preserve">Вымыть и подготовить картофель; нарезать; смешать с маслом и травами; запечь; порционировать</t>
  </si>
  <si>
    <t xml:space="preserve">Подготовка 10; порционирование 3</t>
  </si>
  <si>
    <t xml:space="preserve">Полное время 45</t>
  </si>
  <si>
    <t xml:space="preserve">Порция 150 г; одинаковая нарезка; равномерная поверхность</t>
  </si>
  <si>
    <t xml:space="preserve">TCH-024</t>
  </si>
  <si>
    <t xml:space="preserve">Изготовление и отпуск позиции VKM-024 «Рис жасмин»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</si>
  <si>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«Порция 150 г; рассыпчатая структура без свободной жидкости»; критерии приёмки и решение Chef не заполнены.</t>
  </si>
  <si>
    <t xml:space="preserve">Промыть рис; соединить с водой; сварить; дать стабилизироваться; внести масла и соль; разрыхлить и порционировать</t>
  </si>
  <si>
    <t xml:space="preserve">Активные операции 8</t>
  </si>
  <si>
    <t xml:space="preserve">Порция 150 г; рассыпчатая структура без свободной жидкости</t>
  </si>
  <si>
    <t xml:space="preserve">TCH-025</t>
  </si>
  <si>
    <t xml:space="preserve">Изготовление и отпуск позиции VKM-025 «Горячие овощи»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</si>
  <si>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«Яркие отдельные овощи; сохранённая форма; без свободной жидкости»; критерии приёмки и решение Chef не заполнены.</t>
  </si>
  <si>
    <t xml:space="preserve">Подготовить и одинаково нарезать овощи; обрабатывать партиями; соединить; приправить; порционировать</t>
  </si>
  <si>
    <t xml:space="preserve">Подготовка и обработка 15</t>
  </si>
  <si>
    <t xml:space="preserve">Полное время 22</t>
  </si>
  <si>
    <t xml:space="preserve">Яркие отдельные овощи; сохранённая форма; без свободной жидкости</t>
  </si>
  <si>
    <t xml:space="preserve">TCH-026</t>
  </si>
  <si>
    <t xml:space="preserve">Изготовление и отпуск позиции VKM-029 «Черничный торт VARSHAVKA»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</si>
  <si>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«Целый торт 1800 г и 12 равных порций по 150 г; видимые ровные слои»; критерии приёмки и решение Chef не заполнены.</t>
  </si>
  <si>
    <t xml:space="preserve">Приготовить и выпечь бисквит; охладить; приготовить крем, компоте и глазурь; собрать слоями; стабилизировать; покрыть и декорировать; разделить на 12 порций</t>
  </si>
  <si>
    <t xml:space="preserve">Активные операции 120</t>
  </si>
  <si>
    <t xml:space="preserve">Выпечка, охлаждение и стабилизация 600</t>
  </si>
  <si>
    <t xml:space="preserve">Целый торт 1800 г и 12 равных порций по 150 г; видимые ровные слои</t>
  </si>
  <si>
    <t xml:space="preserve">TCH-027</t>
  </si>
  <si>
    <t xml:space="preserve">Изготовление и отпуск позиции VKM-030 «Кростата с солёной карамелью»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</si>
  <si>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«Целая кростата 1200 г и 10 равных порций по 120 г; чистый срез»; критерии приёмки и решение Chef не заполнены.</t>
  </si>
  <si>
    <t xml:space="preserve">Замесить песочное тесто; охладить; сформовать и выпечь основу; приготовить карамель и крем; наполнить; стабилизировать; декорировать; разделить на 10 порций</t>
  </si>
  <si>
    <t xml:space="preserve">Активные операции 90</t>
  </si>
  <si>
    <t xml:space="preserve">Охлаждение, выпечка и стабилизация 420</t>
  </si>
  <si>
    <t xml:space="preserve">Целая кростата 1200 г и 10 равных порций по 120 г; чистый срез</t>
  </si>
  <si>
    <t xml:space="preserve">TCH-028</t>
  </si>
  <si>
    <t xml:space="preserve">Изготовление и отпуск позиции VKM-031 «Мадлен» в рамках проектного меню Issue #82; каналы и формат отпуска применяются после сверки с паспортом позиции и Owner/Chef Gate.</t>
  </si>
  <si>
    <t xml:space="preserve">На контрольной проработке оценить внешний вид, цвет, запах, вкус, консистенцию/текстуру и соответствие проекту подачи «Партия 20 шт. общим выходом 600 г; продажа 2 шт. по 60 г»; критерии приёмки и решение Chef не заполнены.</t>
  </si>
  <si>
    <t xml:space="preserve">Смешать тесто; дать ему стабилизироваться; дозировать в формы; выпечь; охладить; сформировать 20 одинаковых изделий</t>
  </si>
  <si>
    <t xml:space="preserve">Активные операции 30</t>
  </si>
  <si>
    <t xml:space="preserve">Стабилизация, выпечка и охлаждение 120</t>
  </si>
  <si>
    <t xml:space="preserve">Партия 20 шт. общим выходом 600 г; продажа 2 шт. по 60 г</t>
  </si>
  <si>
    <t xml:space="preserve">TCH-BF-026</t>
  </si>
  <si>
    <t xml:space="preserve">Закрытый гостиничный завтрак</t>
  </si>
  <si>
    <t xml:space="preserve">Точные SKU, lot/label chain и документы поставщиков отсутствуют</t>
  </si>
  <si>
    <t xml:space="preserve">Проверка партии; взвешивание; подготовка</t>
  </si>
  <si>
    <t xml:space="preserve">Требует контрольной проработки</t>
  </si>
  <si>
    <t xml:space="preserve">Требует решения Chef и контрольной проработки</t>
  </si>
  <si>
    <t xml:space="preserve">Не установлено; требуется evidence</t>
  </si>
  <si>
    <t xml:space="preserve">Приготовить основное блюдо; выпечь круассан; нарезать сыр; комплектовать</t>
  </si>
  <si>
    <t xml:space="preserve">SKU/lot/label traceability; shelf life; temperature validation; cross-contact</t>
  </si>
  <si>
    <t xml:space="preserve">FoodSafetyAgent / Procurement / Chef</t>
  </si>
  <si>
    <t xml:space="preserve">SBL-VKM-026-01;SBL-VKM-026-02;SBL-VKM-026-03;SBL-VKM-026-04</t>
  </si>
  <si>
    <t xml:space="preserve">No safety approval; linked blockers remain OPEN</t>
  </si>
  <si>
    <t xml:space="preserve">TCH-BF-027</t>
  </si>
  <si>
    <t xml:space="preserve">SBL-VKM-027-01;SBL-VKM-027-02;SBL-VKM-027-03;SBL-VKM-027-04</t>
  </si>
  <si>
    <t xml:space="preserve">TCH-BF-028</t>
  </si>
  <si>
    <t xml:space="preserve">SBL-VKM-028-01;SBL-VKM-028-02;SBL-VKM-028-03;SBL-VKM-028-04</t>
  </si>
  <si>
    <t xml:space="preserve">06 — Сырьё и цены</t>
  </si>
  <si>
    <t xml:space="preserve">Источник Issue #82; supplier evidence остаётся открытым.</t>
  </si>
  <si>
    <t xml:space="preserve">total_gross_usage_g_in_28_drafts</t>
  </si>
  <si>
    <t xml:space="preserve">significant_sku</t>
  </si>
  <si>
    <t xml:space="preserve">selected_price_rub_per_kg</t>
  </si>
  <si>
    <t xml:space="preserve">price_basis</t>
  </si>
  <si>
    <t xml:space="preserve">observation_count_compatible</t>
  </si>
  <si>
    <t xml:space="preserve">price_source_ids</t>
  </si>
  <si>
    <t xml:space="preserve">price_as_of</t>
  </si>
  <si>
    <t xml:space="preserve">confidence</t>
  </si>
  <si>
    <t xml:space="preserve">confidence_reason</t>
  </si>
  <si>
    <t xml:space="preserve">vat_status</t>
  </si>
  <si>
    <t xml:space="preserve">delivery_rub</t>
  </si>
  <si>
    <t xml:space="preserve">moq</t>
  </si>
  <si>
    <t xml:space="preserve">approval_owner</t>
  </si>
  <si>
    <t xml:space="preserve">YES</t>
  </si>
  <si>
    <t xml:space="preserve">median_public_observation</t>
  </si>
  <si>
    <t xml:space="preserve">PSR-0001;PSR-0003</t>
  </si>
  <si>
    <t xml:space="preserve">ESTIMATE</t>
  </si>
  <si>
    <t xml:space="preserve">LOW_CONFIDENCE</t>
  </si>
  <si>
    <t xml:space="preserve">Менее трёх сопоставимых наблюдений</t>
  </si>
  <si>
    <t xml:space="preserve">Ставка и право вычета не подтверждены</t>
  </si>
  <si>
    <t xml:space="preserve">Owner / Procurement</t>
  </si>
  <si>
    <t xml:space="preserve">Получить минимум 3 КП HoReCa с фасовкой, доставкой, MOQ и НДС</t>
  </si>
  <si>
    <t xml:space="preserve">NO</t>
  </si>
  <si>
    <t xml:space="preserve">Нет проверяемого публичного ценового наблюдения</t>
  </si>
  <si>
    <t xml:space="preserve">PSR-0004;PSR-0005;PSR-0006</t>
  </si>
  <si>
    <t xml:space="preserve">MEDIUM</t>
  </si>
  <si>
    <t xml:space="preserve">Медиана публичных наблюдений</t>
  </si>
  <si>
    <t xml:space="preserve">Сверить с КП и выбрать поставщика</t>
  </si>
  <si>
    <t xml:space="preserve">PSR-0007</t>
  </si>
  <si>
    <t xml:space="preserve">PSR-0069;PSR-0088</t>
  </si>
  <si>
    <t xml:space="preserve">PSR-0089</t>
  </si>
  <si>
    <t xml:space="preserve">PSR-0014;PSR-0015</t>
  </si>
  <si>
    <t xml:space="preserve">PSR-0017;PSR-0018;PSR-0019;PSR-0020</t>
  </si>
  <si>
    <t xml:space="preserve">PSR-0021;PSR-0023</t>
  </si>
  <si>
    <t xml:space="preserve">PSR-0074</t>
  </si>
  <si>
    <t xml:space="preserve">PSR-0071</t>
  </si>
  <si>
    <t xml:space="preserve">PSR-0075</t>
  </si>
  <si>
    <t xml:space="preserve">PSR-0070</t>
  </si>
  <si>
    <t xml:space="preserve">PSR-0009</t>
  </si>
  <si>
    <t xml:space="preserve">PSR-0010</t>
  </si>
  <si>
    <t xml:space="preserve">PSR-0013</t>
  </si>
  <si>
    <t xml:space="preserve">PSR-0025;PSR-0026;PSR-0027;PSR-0028</t>
  </si>
  <si>
    <t xml:space="preserve">PSR-0031;PSR-0032;PSR-0033;PSR-0034;PSR-0035</t>
  </si>
  <si>
    <t xml:space="preserve">PSR-0072</t>
  </si>
  <si>
    <t xml:space="preserve">PSR-0073</t>
  </si>
  <si>
    <t xml:space="preserve">PSR-0077</t>
  </si>
  <si>
    <t xml:space="preserve">PSR-0038;PSR-0040;PSR-0041</t>
  </si>
  <si>
    <t xml:space="preserve">PSR-0081</t>
  </si>
  <si>
    <t xml:space="preserve">PSR-0076</t>
  </si>
  <si>
    <t xml:space="preserve">PSR-0078</t>
  </si>
  <si>
    <t xml:space="preserve">PSR-0079</t>
  </si>
  <si>
    <t xml:space="preserve">PSR-0090</t>
  </si>
  <si>
    <t xml:space="preserve">PSR-0044;PSR-0080</t>
  </si>
  <si>
    <t xml:space="preserve">PSR-0046;PSR-0047;PSR-0048;PSR-0049</t>
  </si>
  <si>
    <t xml:space="preserve">PSR-0050;PSR-0051;PSR-0052</t>
  </si>
  <si>
    <t xml:space="preserve">PSR-0054</t>
  </si>
  <si>
    <t xml:space="preserve">PSR-0055;PSR-0056;PSR-0057;PSR-0058</t>
  </si>
  <si>
    <t xml:space="preserve">PSR-0082</t>
  </si>
  <si>
    <t xml:space="preserve">PSR-0083</t>
  </si>
  <si>
    <t xml:space="preserve">PSR-0084</t>
  </si>
  <si>
    <t xml:space="preserve">PSR-0085</t>
  </si>
  <si>
    <t xml:space="preserve">PSR-0061;PSR-0062;PSR-0063</t>
  </si>
  <si>
    <t xml:space="preserve">PSR-0064</t>
  </si>
  <si>
    <t xml:space="preserve">PSR-0086</t>
  </si>
  <si>
    <t xml:space="preserve">PSR-0087</t>
  </si>
  <si>
    <t xml:space="preserve">07 — Экономика каналов 104/104</t>
  </si>
  <si>
    <t xml:space="preserve">Проектные цены/food cost/margin имеют preliminary/model status.</t>
  </si>
  <si>
    <t xml:space="preserve">channel_record_id</t>
  </si>
  <si>
    <t xml:space="preserve">channel</t>
  </si>
  <si>
    <t xml:space="preserve">evidence_price_rub</t>
  </si>
  <si>
    <t xml:space="preserve">evidence_tax_rate</t>
  </si>
  <si>
    <t xml:space="preserve">evidence_commission_rate</t>
  </si>
  <si>
    <t xml:space="preserve">model_price_rub</t>
  </si>
  <si>
    <t xml:space="preserve">model_target_cogs_ratio</t>
  </si>
  <si>
    <t xml:space="preserve">model_gross_margin_before_channel_costs_rub</t>
  </si>
  <si>
    <t xml:space="preserve">model_tax_rate</t>
  </si>
  <si>
    <t xml:space="preserve">model_commission_rate</t>
  </si>
  <si>
    <t xml:space="preserve">model_contribution_before_tax_commission_rub</t>
  </si>
  <si>
    <t xml:space="preserve">approval_status</t>
  </si>
  <si>
    <t xml:space="preserve">source_model_food_cost_ratio</t>
  </si>
  <si>
    <t xml:space="preserve">sale_unit_model_price_rub</t>
  </si>
  <si>
    <t xml:space="preserve">sale_unit_model_gross_margin_rub</t>
  </si>
  <si>
    <t xml:space="preserve">packaging_zero_interpretation</t>
  </si>
  <si>
    <t xml:space="preserve">channel_formula_method</t>
  </si>
  <si>
    <t xml:space="preserve">formula_version</t>
  </si>
  <si>
    <t xml:space="preserve">recalc_kitchen_food_cost</t>
  </si>
  <si>
    <t xml:space="preserve">recalc_gross_margin_before_channel_costs</t>
  </si>
  <si>
    <t xml:space="preserve">CH-VKM-001-001</t>
  </si>
  <si>
    <t xml:space="preserve">À la carte</t>
  </si>
  <si>
    <t xml:space="preserve">ISSUE82_RC2_PROXY_CHANNEL_SCENARIO</t>
  </si>
  <si>
    <t xml:space="preserve">docs/07-operations/issue-82/PROVISIONAL_PROXY_SCENARIO_CHANNEL_PRICING.csv</t>
  </si>
  <si>
    <t xml:space="preserve">VKM-001|À la carte</t>
  </si>
  <si>
    <t xml:space="preserve">NOT_APPROVED_FOR_MENU</t>
  </si>
  <si>
    <t xml:space="preserve">Planning scenario, not approved project price; tax, commission and quoted packaging remain excluded/blocked</t>
  </si>
  <si>
    <t xml:space="preserve">MODEL_ASSUMPTION_ZERO_NOT_QUOTED_NOT_EVIDENCE</t>
  </si>
  <si>
    <t xml:space="preserve">food_cost=kitchen_cogs/price; gross_margin_before_channel_costs=price-kitchen_cogs; contribution=price-complete_direct_cogs-tax-commission</t>
  </si>
  <si>
    <t xml:space="preserve">ISS80-S02-CHANNEL-V1</t>
  </si>
  <si>
    <t xml:space="preserve">CH-VKM-001-002</t>
  </si>
  <si>
    <t xml:space="preserve">Бизнес-ланч</t>
  </si>
  <si>
    <t xml:space="preserve">VKM-001|Бизнес-ланч</t>
  </si>
  <si>
    <t xml:space="preserve">CH-VKM-001-003</t>
  </si>
  <si>
    <t xml:space="preserve">Гостиничные ужины</t>
  </si>
  <si>
    <t xml:space="preserve">VKM-001|Гостиничные ужины</t>
  </si>
  <si>
    <t xml:space="preserve">CH-VKM-001-004</t>
  </si>
  <si>
    <t xml:space="preserve">Доставка</t>
  </si>
  <si>
    <t xml:space="preserve">VKM-001|Доставка</t>
  </si>
  <si>
    <t xml:space="preserve">SOURCE_VALUE</t>
  </si>
  <si>
    <t xml:space="preserve">CH-VKM-002-005</t>
  </si>
  <si>
    <t xml:space="preserve">VKM-002|À la carte</t>
  </si>
  <si>
    <t xml:space="preserve">CH-VKM-002-006</t>
  </si>
  <si>
    <t xml:space="preserve">VKM-002|Бизнес-ланч</t>
  </si>
  <si>
    <t xml:space="preserve">CH-VKM-002-007</t>
  </si>
  <si>
    <t xml:space="preserve">VKM-002|Гостиничные ужины</t>
  </si>
  <si>
    <t xml:space="preserve">CH-VKM-002-008</t>
  </si>
  <si>
    <t xml:space="preserve">VKM-002|Доставка</t>
  </si>
  <si>
    <t xml:space="preserve">CH-VKM-003-009</t>
  </si>
  <si>
    <t xml:space="preserve">VKM-003|À la carte</t>
  </si>
  <si>
    <t xml:space="preserve">CH-VKM-003-010</t>
  </si>
  <si>
    <t xml:space="preserve">VKM-003|Бизнес-ланч</t>
  </si>
  <si>
    <t xml:space="preserve">CH-VKM-003-011</t>
  </si>
  <si>
    <t xml:space="preserve">VKM-003|Гостиничные ужины</t>
  </si>
  <si>
    <t xml:space="preserve">CH-VKM-003-012</t>
  </si>
  <si>
    <t xml:space="preserve">VKM-003|Доставка</t>
  </si>
  <si>
    <t xml:space="preserve">CH-VKM-004-013</t>
  </si>
  <si>
    <t xml:space="preserve">VKM-004|À la carte</t>
  </si>
  <si>
    <t xml:space="preserve">CH-VKM-004-014</t>
  </si>
  <si>
    <t xml:space="preserve">VKM-004|Бизнес-ланч</t>
  </si>
  <si>
    <t xml:space="preserve">CH-VKM-004-015</t>
  </si>
  <si>
    <t xml:space="preserve">VKM-004|Гостиничные ужины</t>
  </si>
  <si>
    <t xml:space="preserve">CH-VKM-004-016</t>
  </si>
  <si>
    <t xml:space="preserve">VKM-004|Доставка</t>
  </si>
  <si>
    <t xml:space="preserve">CH-VKM-005-017</t>
  </si>
  <si>
    <t xml:space="preserve">VKM-005|À la carte</t>
  </si>
  <si>
    <t xml:space="preserve">CH-VKM-005-018</t>
  </si>
  <si>
    <t xml:space="preserve">VKM-005|Бизнес-ланч</t>
  </si>
  <si>
    <t xml:space="preserve">CH-VKM-005-019</t>
  </si>
  <si>
    <t xml:space="preserve">VKM-005|Гостиничные ужины</t>
  </si>
  <si>
    <t xml:space="preserve">CH-VKM-005-020</t>
  </si>
  <si>
    <t xml:space="preserve">VKM-005|Доставка</t>
  </si>
  <si>
    <t xml:space="preserve">CH-VKM-005-021</t>
  </si>
  <si>
    <t xml:space="preserve">Навынос</t>
  </si>
  <si>
    <t xml:space="preserve">VKM-005|Навынос</t>
  </si>
  <si>
    <t xml:space="preserve">CH-VKM-006-022</t>
  </si>
  <si>
    <t xml:space="preserve">VKM-006|À la carte</t>
  </si>
  <si>
    <t xml:space="preserve">CH-VKM-006-023</t>
  </si>
  <si>
    <t xml:space="preserve">VKM-006|Бизнес-ланч</t>
  </si>
  <si>
    <t xml:space="preserve">CH-VKM-006-024</t>
  </si>
  <si>
    <t xml:space="preserve">VKM-006|Гостиничные ужины</t>
  </si>
  <si>
    <t xml:space="preserve">CH-VKM-006-025</t>
  </si>
  <si>
    <t xml:space="preserve">VKM-006|Доставка</t>
  </si>
  <si>
    <t xml:space="preserve">CH-VKM-006-026</t>
  </si>
  <si>
    <t xml:space="preserve">VKM-006|Навынос</t>
  </si>
  <si>
    <t xml:space="preserve">CH-VKM-007-027</t>
  </si>
  <si>
    <t xml:space="preserve">VKM-007|À la carte</t>
  </si>
  <si>
    <t xml:space="preserve">CH-VKM-007-028</t>
  </si>
  <si>
    <t xml:space="preserve">VKM-007|Бизнес-ланч</t>
  </si>
  <si>
    <t xml:space="preserve">CH-VKM-007-029</t>
  </si>
  <si>
    <t xml:space="preserve">VKM-007|Гостиничные ужины</t>
  </si>
  <si>
    <t xml:space="preserve">CH-VKM-007-030</t>
  </si>
  <si>
    <t xml:space="preserve">VKM-007|Доставка</t>
  </si>
  <si>
    <t xml:space="preserve">CH-VKM-007-031</t>
  </si>
  <si>
    <t xml:space="preserve">VKM-007|Навынос</t>
  </si>
  <si>
    <t xml:space="preserve">CH-VKM-008-032</t>
  </si>
  <si>
    <t xml:space="preserve">VKM-008|À la carte</t>
  </si>
  <si>
    <t xml:space="preserve">CH-VKM-008-033</t>
  </si>
  <si>
    <t xml:space="preserve">VKM-008|Бизнес-ланч</t>
  </si>
  <si>
    <t xml:space="preserve">CH-VKM-008-034</t>
  </si>
  <si>
    <t xml:space="preserve">VKM-008|Гостиничные ужины</t>
  </si>
  <si>
    <t xml:space="preserve">CH-VKM-008-035</t>
  </si>
  <si>
    <t xml:space="preserve">VKM-008|Доставка</t>
  </si>
  <si>
    <t xml:space="preserve">CH-VKM-008-036</t>
  </si>
  <si>
    <t xml:space="preserve">VKM-008|Навынос</t>
  </si>
  <si>
    <t xml:space="preserve">CH-VKM-009-037</t>
  </si>
  <si>
    <t xml:space="preserve">VKM-009|À la carte</t>
  </si>
  <si>
    <t xml:space="preserve">CH-VKM-009-038</t>
  </si>
  <si>
    <t xml:space="preserve">VKM-009|Бизнес-ланч</t>
  </si>
  <si>
    <t xml:space="preserve">CH-VKM-009-039</t>
  </si>
  <si>
    <t xml:space="preserve">VKM-009|Гостиничные ужины</t>
  </si>
  <si>
    <t xml:space="preserve">CH-VKM-009-040</t>
  </si>
  <si>
    <t xml:space="preserve">VKM-009|Доставка</t>
  </si>
  <si>
    <t xml:space="preserve">CH-VKM-010-041</t>
  </si>
  <si>
    <t xml:space="preserve">VKM-010|À la carte</t>
  </si>
  <si>
    <t xml:space="preserve">CH-VKM-010-042</t>
  </si>
  <si>
    <t xml:space="preserve">VKM-010|Бизнес-ланч</t>
  </si>
  <si>
    <t xml:space="preserve">CH-VKM-010-043</t>
  </si>
  <si>
    <t xml:space="preserve">VKM-010|Гостиничные ужины</t>
  </si>
  <si>
    <t xml:space="preserve">CH-VKM-010-044</t>
  </si>
  <si>
    <t xml:space="preserve">VKM-010|Доставка</t>
  </si>
  <si>
    <t xml:space="preserve">CH-VKM-011-045</t>
  </si>
  <si>
    <t xml:space="preserve">VKM-011|À la carte</t>
  </si>
  <si>
    <t xml:space="preserve">CH-VKM-011-046</t>
  </si>
  <si>
    <t xml:space="preserve">VKM-011|Бизнес-ланч</t>
  </si>
  <si>
    <t xml:space="preserve">CH-VKM-011-047</t>
  </si>
  <si>
    <t xml:space="preserve">VKM-011|Гостиничные ужины</t>
  </si>
  <si>
    <t xml:space="preserve">CH-VKM-011-048</t>
  </si>
  <si>
    <t xml:space="preserve">VKM-011|Доставка</t>
  </si>
  <si>
    <t xml:space="preserve">CH-VKM-012-049</t>
  </si>
  <si>
    <t xml:space="preserve">VKM-012|À la carte</t>
  </si>
  <si>
    <t xml:space="preserve">CH-VKM-012-050</t>
  </si>
  <si>
    <t xml:space="preserve">VKM-012|Бизнес-ланч</t>
  </si>
  <si>
    <t xml:space="preserve">CH-VKM-012-051</t>
  </si>
  <si>
    <t xml:space="preserve">VKM-012|Гостиничные ужины</t>
  </si>
  <si>
    <t xml:space="preserve">CH-VKM-012-052</t>
  </si>
  <si>
    <t xml:space="preserve">VKM-012|Доставка</t>
  </si>
  <si>
    <t xml:space="preserve">CH-VKM-013-053</t>
  </si>
  <si>
    <t xml:space="preserve">VKM-013|À la carte</t>
  </si>
  <si>
    <t xml:space="preserve">CH-VKM-013-054</t>
  </si>
  <si>
    <t xml:space="preserve">VKM-013|Бизнес-ланч</t>
  </si>
  <si>
    <t xml:space="preserve">CH-VKM-013-055</t>
  </si>
  <si>
    <t xml:space="preserve">VKM-013|Гостиничные ужины</t>
  </si>
  <si>
    <t xml:space="preserve">CH-VKM-014-056</t>
  </si>
  <si>
    <t xml:space="preserve">VKM-014|À la carte</t>
  </si>
  <si>
    <t xml:space="preserve">CH-VKM-014-057</t>
  </si>
  <si>
    <t xml:space="preserve">VKM-014|Бизнес-ланч</t>
  </si>
  <si>
    <t xml:space="preserve">CH-VKM-014-058</t>
  </si>
  <si>
    <t xml:space="preserve">VKM-014|Гостиничные ужины</t>
  </si>
  <si>
    <t xml:space="preserve">CH-VKM-015-059</t>
  </si>
  <si>
    <t xml:space="preserve">VKM-015|À la carte</t>
  </si>
  <si>
    <t xml:space="preserve">CH-VKM-015-060</t>
  </si>
  <si>
    <t xml:space="preserve">VKM-015|Бизнес-ланч</t>
  </si>
  <si>
    <t xml:space="preserve">CH-VKM-015-061</t>
  </si>
  <si>
    <t xml:space="preserve">VKM-015|Гостиничные ужины</t>
  </si>
  <si>
    <t xml:space="preserve">CH-VKM-016-062</t>
  </si>
  <si>
    <t xml:space="preserve">VKM-016|À la carte</t>
  </si>
  <si>
    <t xml:space="preserve">CH-VKM-016-063</t>
  </si>
  <si>
    <t xml:space="preserve">VKM-016|Бизнес-ланч</t>
  </si>
  <si>
    <t xml:space="preserve">CH-VKM-016-064</t>
  </si>
  <si>
    <t xml:space="preserve">VKM-016|Гостиничные ужины</t>
  </si>
  <si>
    <t xml:space="preserve">CH-VKM-017-065</t>
  </si>
  <si>
    <t xml:space="preserve">VKM-017|À la carte</t>
  </si>
  <si>
    <t xml:space="preserve">CH-VKM-017-066</t>
  </si>
  <si>
    <t xml:space="preserve">VKM-017|Бизнес-ланч</t>
  </si>
  <si>
    <t xml:space="preserve">CH-VKM-017-067</t>
  </si>
  <si>
    <t xml:space="preserve">VKM-017|Гостиничные ужины</t>
  </si>
  <si>
    <t xml:space="preserve">CH-VKM-018-068</t>
  </si>
  <si>
    <t xml:space="preserve">VKM-018|À la carte</t>
  </si>
  <si>
    <t xml:space="preserve">CH-VKM-018-069</t>
  </si>
  <si>
    <t xml:space="preserve">VKM-018|Бизнес-ланч</t>
  </si>
  <si>
    <t xml:space="preserve">CH-VKM-019-070</t>
  </si>
  <si>
    <t xml:space="preserve">VKM-019|À la carte</t>
  </si>
  <si>
    <t xml:space="preserve">CH-VKM-019-071</t>
  </si>
  <si>
    <t xml:space="preserve">VKM-019|Бизнес-ланч</t>
  </si>
  <si>
    <t xml:space="preserve">CH-VKM-019-072</t>
  </si>
  <si>
    <t xml:space="preserve">VKM-019|Гостиничные ужины</t>
  </si>
  <si>
    <t xml:space="preserve">CH-VKM-019-073</t>
  </si>
  <si>
    <t xml:space="preserve">VKM-019|Доставка</t>
  </si>
  <si>
    <t xml:space="preserve">CH-VKM-020-074</t>
  </si>
  <si>
    <t xml:space="preserve">VKM-020|À la carte</t>
  </si>
  <si>
    <t xml:space="preserve">CH-VKM-020-075</t>
  </si>
  <si>
    <t xml:space="preserve">VKM-020|Бизнес-ланч</t>
  </si>
  <si>
    <t xml:space="preserve">CH-VKM-020-076</t>
  </si>
  <si>
    <t xml:space="preserve">VKM-020|Гостиничные ужины</t>
  </si>
  <si>
    <t xml:space="preserve">CH-VKM-020-077</t>
  </si>
  <si>
    <t xml:space="preserve">VKM-020|Доставка</t>
  </si>
  <si>
    <t xml:space="preserve">CH-VKM-021-078</t>
  </si>
  <si>
    <t xml:space="preserve">VKM-021|À la carte</t>
  </si>
  <si>
    <t xml:space="preserve">CH-VKM-021-079</t>
  </si>
  <si>
    <t xml:space="preserve">VKM-021|Бизнес-ланч</t>
  </si>
  <si>
    <t xml:space="preserve">CH-VKM-021-080</t>
  </si>
  <si>
    <t xml:space="preserve">VKM-021|Гостиничные ужины</t>
  </si>
  <si>
    <t xml:space="preserve">CH-VKM-021-081</t>
  </si>
  <si>
    <t xml:space="preserve">VKM-021|Доставка</t>
  </si>
  <si>
    <t xml:space="preserve">CH-VKM-022-082</t>
  </si>
  <si>
    <t xml:space="preserve">VKM-022|À la carte</t>
  </si>
  <si>
    <t xml:space="preserve">CH-VKM-022-083</t>
  </si>
  <si>
    <t xml:space="preserve">VKM-022|Бизнес-ланч</t>
  </si>
  <si>
    <t xml:space="preserve">CH-VKM-022-084</t>
  </si>
  <si>
    <t xml:space="preserve">VKM-022|Гостиничные ужины</t>
  </si>
  <si>
    <t xml:space="preserve">CH-VKM-022-085</t>
  </si>
  <si>
    <t xml:space="preserve">VKM-022|Доставка</t>
  </si>
  <si>
    <t xml:space="preserve">CH-VKM-023-086</t>
  </si>
  <si>
    <t xml:space="preserve">VKM-023|À la carte</t>
  </si>
  <si>
    <t xml:space="preserve">CH-VKM-023-087</t>
  </si>
  <si>
    <t xml:space="preserve">VKM-023|Бизнес-ланч</t>
  </si>
  <si>
    <t xml:space="preserve">CH-VKM-023-088</t>
  </si>
  <si>
    <t xml:space="preserve">VKM-023|Гостиничные ужины</t>
  </si>
  <si>
    <t xml:space="preserve">CH-VKM-024-089</t>
  </si>
  <si>
    <t xml:space="preserve">VKM-024|À la carte</t>
  </si>
  <si>
    <t xml:space="preserve">CH-VKM-024-090</t>
  </si>
  <si>
    <t xml:space="preserve">VKM-024|Бизнес-ланч</t>
  </si>
  <si>
    <t xml:space="preserve">CH-VKM-024-091</t>
  </si>
  <si>
    <t xml:space="preserve">VKM-024|Гостиничные ужины</t>
  </si>
  <si>
    <t xml:space="preserve">CH-VKM-025-092</t>
  </si>
  <si>
    <t xml:space="preserve">VKM-025|À la carte</t>
  </si>
  <si>
    <t xml:space="preserve">CH-VKM-025-093</t>
  </si>
  <si>
    <t xml:space="preserve">VKM-025|Бизнес-ланч</t>
  </si>
  <si>
    <t xml:space="preserve">CH-VKM-025-094</t>
  </si>
  <si>
    <t xml:space="preserve">VKM-025|Гостиничные ужины</t>
  </si>
  <si>
    <t xml:space="preserve">CH-VKM-029-095</t>
  </si>
  <si>
    <t xml:space="preserve">VKM-029|À la carte</t>
  </si>
  <si>
    <t xml:space="preserve">CH-VKM-029-096</t>
  </si>
  <si>
    <t xml:space="preserve">VKM-029|Навынос</t>
  </si>
  <si>
    <t xml:space="preserve">CH-VKM-030-097</t>
  </si>
  <si>
    <t xml:space="preserve">VKM-030|À la carte</t>
  </si>
  <si>
    <t xml:space="preserve">CH-VKM-030-098</t>
  </si>
  <si>
    <t xml:space="preserve">VKM-030|Гостиничные ужины</t>
  </si>
  <si>
    <t xml:space="preserve">CH-VKM-030-099</t>
  </si>
  <si>
    <t xml:space="preserve">VKM-030|Навынос</t>
  </si>
  <si>
    <t xml:space="preserve">CH-VKM-031-100</t>
  </si>
  <si>
    <t xml:space="preserve">VKM-031|À la carte</t>
  </si>
  <si>
    <t xml:space="preserve">CH-VKM-031-101</t>
  </si>
  <si>
    <t xml:space="preserve">VKM-031|Навынос</t>
  </si>
  <si>
    <t xml:space="preserve">CH-VKM-026-BREAKFAST</t>
  </si>
  <si>
    <t xml:space="preserve">MODEL_RELEASE_APPROVED_COST_PRELIMINARY</t>
  </si>
  <si>
    <t xml:space="preserve">Internal tariff is an approved model input; procurement cost remains preliminary; VAT rate is not evidenced</t>
  </si>
  <si>
    <t xml:space="preserve">CH-VKM-027-BREAKFAST</t>
  </si>
  <si>
    <t xml:space="preserve">CH-VKM-028-BREAKFAST</t>
  </si>
  <si>
    <t xml:space="preserve">08 — Оборудование</t>
  </si>
  <si>
    <t xml:space="preserve">Требования DRAFT; паспорта и load tests не подтверждены.</t>
  </si>
  <si>
    <t xml:space="preserve">mapping_id</t>
  </si>
  <si>
    <t xml:space="preserve">operation_no</t>
  </si>
  <si>
    <t xml:space="preserve">operation_text</t>
  </si>
  <si>
    <t xml:space="preserve">functional_codes</t>
  </si>
  <si>
    <t xml:space="preserve">functional_equipment_names</t>
  </si>
  <si>
    <t xml:space="preserve">capex_inv_codes</t>
  </si>
  <si>
    <t xml:space="preserve">capex_requirement_statuses</t>
  </si>
  <si>
    <t xml:space="preserve">capex_structure_approval_statuses</t>
  </si>
  <si>
    <t xml:space="preserve">requirement_role</t>
  </si>
  <si>
    <t xml:space="preserve">operation_duration_min</t>
  </si>
  <si>
    <t xml:space="preserve">duration_status</t>
  </si>
  <si>
    <t xml:space="preserve">duration_basis</t>
  </si>
  <si>
    <t xml:space="preserve">project_design_requirement</t>
  </si>
  <si>
    <t xml:space="preserve">project_design_requirement_unit</t>
  </si>
  <si>
    <t xml:space="preserve">project_design_requirement_status</t>
  </si>
  <si>
    <t xml:space="preserve">recipe_unit_load</t>
  </si>
  <si>
    <t xml:space="preserve">recipe_unit_load_unit</t>
  </si>
  <si>
    <t xml:space="preserve">recipe_unit_load_status</t>
  </si>
  <si>
    <t xml:space="preserve">planning_batches_for_one_recipe_unit</t>
  </si>
  <si>
    <t xml:space="preserve">planning_batch_status</t>
  </si>
  <si>
    <t xml:space="preserve">planning_batch_note</t>
  </si>
  <si>
    <t xml:space="preserve">selected_manufacturer</t>
  </si>
  <si>
    <t xml:space="preserve">selected_model_article</t>
  </si>
  <si>
    <t xml:space="preserve">passport_document_or_official_url</t>
  </si>
  <si>
    <t xml:space="preserve">passport_capacity</t>
  </si>
  <si>
    <t xml:space="preserve">passport_capacity_unit</t>
  </si>
  <si>
    <t xml:space="preserve">capacity_status</t>
  </si>
  <si>
    <t xml:space="preserve">equipment_availability_status</t>
  </si>
  <si>
    <t xml:space="preserve">connections_status</t>
  </si>
  <si>
    <t xml:space="preserve">suitability_status</t>
  </si>
  <si>
    <t xml:space="preserve">mapping_note</t>
  </si>
  <si>
    <t xml:space="preserve">EQM-0001</t>
  </si>
  <si>
    <t xml:space="preserve">Подготовить тесто и соус</t>
  </si>
  <si>
    <t xml:space="preserve">BAK-03;BAK-12;HOT-05B</t>
  </si>
  <si>
    <t xml:space="preserve">Спиральный тестомес;Холодильный пицца-стол;Индукционная плита 2 зоны</t>
  </si>
  <si>
    <t xml:space="preserve">CAPEX.BAK.003;CAPEX.BAK.012;CAPEX.HOT.006</t>
  </si>
  <si>
    <t xml:space="preserve">MANDATORY</t>
  </si>
  <si>
    <t xml:space="preserve">APPROVED_STRUCTURE</t>
  </si>
  <si>
    <t xml:space="preserve">MIXING_SAUCE_AND_PREP</t>
  </si>
  <si>
    <t xml:space="preserve">Only dish aggregate is available: active 19 min / total 90 min; no unsupported split by operation</t>
  </si>
  <si>
    <t xml:space="preserve">BAK-03: Рабочий диапазон 2–25 кг; BAK-12: Стол и надстройка ингредиентов; HOT-05B: 2 зоны</t>
  </si>
  <si>
    <t xml:space="preserve">project design requirement</t>
  </si>
  <si>
    <t xml:space="preserve">PLANNED</t>
  </si>
  <si>
    <t xml:space="preserve">BLOCKED_NOT_COMPARABLE</t>
  </si>
  <si>
    <t xml:space="preserve">Recipe load cannot be compared to the project requirement without tray/form/GN/load and selected-model data</t>
  </si>
  <si>
    <t xml:space="preserve">BLOCKED_NO_SELECTED_MODEL_PASSPORT</t>
  </si>
  <si>
    <t xml:space="preserve">BLOCKED_SELECTED_MODEL_AND_SITE_VALIDATION</t>
  </si>
  <si>
    <t xml:space="preserve">EVD-0010;EVD-0021;EVD-0022;EVD-0023</t>
  </si>
  <si>
    <t xml:space="preserve">GAP-007;GAP-017;GAP-018;GAP-019</t>
  </si>
  <si>
    <t xml:space="preserve">Operations / Engineering / Procurement</t>
  </si>
  <si>
    <t xml:space="preserve">Manual operation mapped to an existing work surface/inventory function.</t>
  </si>
  <si>
    <t xml:space="preserve">Chef/Operations time the operation; Procurement supplies selected-model passport; Engineering confirms asset, placement and connections</t>
  </si>
  <si>
    <t xml:space="preserve">EQM-0002</t>
  </si>
  <si>
    <t xml:space="preserve">выдержать тесто</t>
  </si>
  <si>
    <t xml:space="preserve">STO-08</t>
  </si>
  <si>
    <t xml:space="preserve">Холодная ферментация теста</t>
  </si>
  <si>
    <t xml:space="preserve">CAPEX.STO.008</t>
  </si>
  <si>
    <t xml:space="preserve">CONTROLLED_HOLDING</t>
  </si>
  <si>
    <t xml:space="preserve">STO-08: Всего ≥30 позиций 600×400</t>
  </si>
  <si>
    <t xml:space="preserve">EQM-0003</t>
  </si>
  <si>
    <t xml:space="preserve">сформовать основу</t>
  </si>
  <si>
    <t xml:space="preserve">BAK-12</t>
  </si>
  <si>
    <t xml:space="preserve">Холодильный пицца-стол</t>
  </si>
  <si>
    <t xml:space="preserve">CAPEX.BAK.012</t>
  </si>
  <si>
    <t xml:space="preserve">FORMING_ASSEMBLY_FINISH</t>
  </si>
  <si>
    <t xml:space="preserve">BAK-12: Стол и надстройка ингредиентов</t>
  </si>
  <si>
    <t xml:space="preserve">EQM-0004</t>
  </si>
  <si>
    <t xml:space="preserve">нанести соус и сыр</t>
  </si>
  <si>
    <t xml:space="preserve">HOT-05B;BAK-12</t>
  </si>
  <si>
    <t xml:space="preserve">Индукционная плита 2 зоны;Холодильный пицца-стол</t>
  </si>
  <si>
    <t xml:space="preserve">CAPEX.HOT.006;CAPEX.BAK.012</t>
  </si>
  <si>
    <t xml:space="preserve">SAUCE_PREP_AND_ASSEMBLY</t>
  </si>
  <si>
    <t xml:space="preserve">HOT-05B: 2 зоны; BAK-12: Стол и надстройка ингредиентов</t>
  </si>
  <si>
    <t xml:space="preserve">EQM-0005</t>
  </si>
  <si>
    <t xml:space="preserve">выпечь</t>
  </si>
  <si>
    <t xml:space="preserve">BAK-01</t>
  </si>
  <si>
    <t xml:space="preserve">Печь для пиццы</t>
  </si>
  <si>
    <t xml:space="preserve">CAPEX.BAK.001</t>
  </si>
  <si>
    <t xml:space="preserve">THERMAL_PROCESS</t>
  </si>
  <si>
    <t xml:space="preserve">BAK-01: 4–6 пицц до 33 см; ≥400°C; 20–25/час</t>
  </si>
  <si>
    <t xml:space="preserve">пицца</t>
  </si>
  <si>
    <t xml:space="preserve">ASSUMPTION_RECIPE_UNIT</t>
  </si>
  <si>
    <t xml:space="preserve">CALCULATED_FROM_PROJECT_MINIMUM</t>
  </si>
  <si>
    <t xml:space="preserve">1 pizza / minimum 4 pizzas per load; selected-model passport and actual cycle remain absent</t>
  </si>
  <si>
    <t xml:space="preserve">EQM-0006</t>
  </si>
  <si>
    <t xml:space="preserve">добавить базилик и масло</t>
  </si>
  <si>
    <t xml:space="preserve">EQM-0007</t>
  </si>
  <si>
    <t xml:space="preserve">Only dish aggregate is available: active 20 min / total 92 min; no unsupported split by operation</t>
  </si>
  <si>
    <t xml:space="preserve">EQM-0008</t>
  </si>
  <si>
    <t xml:space="preserve">сформовать</t>
  </si>
  <si>
    <t xml:space="preserve">EQM-0009</t>
  </si>
  <si>
    <t xml:space="preserve">распределить четыре сыра</t>
  </si>
  <si>
    <t xml:space="preserve">EQM-0010</t>
  </si>
  <si>
    <t xml:space="preserve">EQM-0011</t>
  </si>
  <si>
    <t xml:space="preserve">финишировать маслом</t>
  </si>
  <si>
    <t xml:space="preserve">EQM-0012</t>
  </si>
  <si>
    <t xml:space="preserve">Only dish aggregate is available: active 22 min / total 95 min; no unsupported split by operation</t>
  </si>
  <si>
    <t xml:space="preserve">EQM-0013</t>
  </si>
  <si>
    <t xml:space="preserve">подготовить грибы и лук</t>
  </si>
  <si>
    <t xml:space="preserve">EQM-0014</t>
  </si>
  <si>
    <t xml:space="preserve">EQM-0015</t>
  </si>
  <si>
    <t xml:space="preserve">собрать с ветчиной</t>
  </si>
  <si>
    <t xml:space="preserve">EQM-0016</t>
  </si>
  <si>
    <t xml:space="preserve">EQM-0017</t>
  </si>
  <si>
    <t xml:space="preserve">EQM-0018</t>
  </si>
  <si>
    <t xml:space="preserve">EQM-0019</t>
  </si>
  <si>
    <t xml:space="preserve">собрать с моцареллой и пепперони</t>
  </si>
  <si>
    <t xml:space="preserve">EQM-0020</t>
  </si>
  <si>
    <t xml:space="preserve">EQM-0021</t>
  </si>
  <si>
    <t xml:space="preserve">финишировать</t>
  </si>
  <si>
    <t xml:space="preserve">EQM-0022</t>
  </si>
  <si>
    <t xml:space="preserve">Смешать компоненты</t>
  </si>
  <si>
    <t xml:space="preserve">BAK-03</t>
  </si>
  <si>
    <t xml:space="preserve">Спиральный тестомес</t>
  </si>
  <si>
    <t xml:space="preserve">CAPEX.BAK.003</t>
  </si>
  <si>
    <t xml:space="preserve">MIXING</t>
  </si>
  <si>
    <t xml:space="preserve">Only dish aggregate is available: active 18 min / total 150 min; no unsupported split by operation</t>
  </si>
  <si>
    <t xml:space="preserve">BAK-03: Рабочий диапазон 2–25 кг</t>
  </si>
  <si>
    <t xml:space="preserve">EQM-0023</t>
  </si>
  <si>
    <t xml:space="preserve">замесить</t>
  </si>
  <si>
    <t xml:space="preserve">EQM-0024</t>
  </si>
  <si>
    <t xml:space="preserve">провести брожение и складывания</t>
  </si>
  <si>
    <t xml:space="preserve">FERMENTATION</t>
  </si>
  <si>
    <t xml:space="preserve">EQM-0025</t>
  </si>
  <si>
    <t xml:space="preserve">REQ-BAK-PREP</t>
  </si>
  <si>
    <t xml:space="preserve">Проектное функциональное требование без действующего CAPEX-кода</t>
  </si>
  <si>
    <t xml:space="preserve">MANUAL_FORMING_GAP</t>
  </si>
  <si>
    <t xml:space="preserve">BLOCKED_REQUIREMENT_CODE</t>
  </si>
  <si>
    <t xml:space="preserve">Manual bread forming needs a dedicated compliant work surface. BAK-12 is a pizza table, HOT-12 is a hot-line table and BAK-07 is inventory only; none is an approved bakery work-surface allocation.</t>
  </si>
  <si>
    <t xml:space="preserve">EQM-0026</t>
  </si>
  <si>
    <t xml:space="preserve">расстоять</t>
  </si>
  <si>
    <t xml:space="preserve">BAK-05</t>
  </si>
  <si>
    <t xml:space="preserve">Программируемый расстоечный шкаф</t>
  </si>
  <si>
    <t xml:space="preserve">CAPEX.BAK.005</t>
  </si>
  <si>
    <t xml:space="preserve">PROOFING</t>
  </si>
  <si>
    <t xml:space="preserve">BAK-05: 12–16 противней 600×400</t>
  </si>
  <si>
    <t xml:space="preserve">EQM-0027</t>
  </si>
  <si>
    <t xml:space="preserve">BAK-02</t>
  </si>
  <si>
    <t xml:space="preserve">Пекарская печь</t>
  </si>
  <si>
    <t xml:space="preserve">CAPEX.BAK.002</t>
  </si>
  <si>
    <t xml:space="preserve">BAK-02: 6×600×400; программирование; пар</t>
  </si>
  <si>
    <t xml:space="preserve">EQM-0028</t>
  </si>
  <si>
    <t xml:space="preserve">охладить</t>
  </si>
  <si>
    <t xml:space="preserve">BAK-06</t>
  </si>
  <si>
    <t xml:space="preserve">Мобильный стеллаж охлаждения</t>
  </si>
  <si>
    <t xml:space="preserve">CAPEX.BAK.006</t>
  </si>
  <si>
    <t xml:space="preserve">COOLING_HOLDING</t>
  </si>
  <si>
    <t xml:space="preserve">BAK-06: 16–20 противней</t>
  </si>
  <si>
    <t xml:space="preserve">EQM-0029</t>
  </si>
  <si>
    <t xml:space="preserve">Смешать тесто с томатными компонентами</t>
  </si>
  <si>
    <t xml:space="preserve">EQM-0030</t>
  </si>
  <si>
    <t xml:space="preserve">EQM-0031</t>
  </si>
  <si>
    <t xml:space="preserve">провести брожение</t>
  </si>
  <si>
    <t xml:space="preserve">EQM-0032</t>
  </si>
  <si>
    <t xml:space="preserve">EQM-0033</t>
  </si>
  <si>
    <t xml:space="preserve">EQM-0034</t>
  </si>
  <si>
    <t xml:space="preserve">EQM-0035</t>
  </si>
  <si>
    <t xml:space="preserve">EQM-0036</t>
  </si>
  <si>
    <t xml:space="preserve">Приготовить заварку</t>
  </si>
  <si>
    <t xml:space="preserve">HOT-05B;HOT-13</t>
  </si>
  <si>
    <t xml:space="preserve">Индукционная плита 2 зоны;GN, противни и горячий инвентарь</t>
  </si>
  <si>
    <t xml:space="preserve">CAPEX.HOT.006;CAPEX.HOT.014</t>
  </si>
  <si>
    <t xml:space="preserve">HEATED_COMPONENT_PREP</t>
  </si>
  <si>
    <t xml:space="preserve">Only dish aggregate is available: active 25 min / total 300 min; no unsupported split by operation</t>
  </si>
  <si>
    <t xml:space="preserve">HOT-05B: 2 зоны; HOT-13: Совместимость с печами</t>
  </si>
  <si>
    <t xml:space="preserve">EQM-0037</t>
  </si>
  <si>
    <t xml:space="preserve">замесить тесто</t>
  </si>
  <si>
    <t xml:space="preserve">EQM-0038</t>
  </si>
  <si>
    <t xml:space="preserve">EQM-0039</t>
  </si>
  <si>
    <t xml:space="preserve">уложить в форму</t>
  </si>
  <si>
    <t xml:space="preserve">EQM-0040</t>
  </si>
  <si>
    <t xml:space="preserve">EQM-0041</t>
  </si>
  <si>
    <t xml:space="preserve">EQM-0042</t>
  </si>
  <si>
    <t xml:space="preserve">стабилизировать и охладить</t>
  </si>
  <si>
    <t xml:space="preserve">EQM-0043</t>
  </si>
  <si>
    <t xml:space="preserve">Замесить сдобное тесто</t>
  </si>
  <si>
    <t xml:space="preserve">Only dish aggregate is available: active 22 min / total 180 min; no unsupported split by operation</t>
  </si>
  <si>
    <t xml:space="preserve">EQM-0044</t>
  </si>
  <si>
    <t xml:space="preserve">ввести масло</t>
  </si>
  <si>
    <t xml:space="preserve">EQM-0045</t>
  </si>
  <si>
    <t xml:space="preserve">EQM-0046</t>
  </si>
  <si>
    <t xml:space="preserve">EQM-0047</t>
  </si>
  <si>
    <t xml:space="preserve">EQM-0048</t>
  </si>
  <si>
    <t xml:space="preserve">смазать</t>
  </si>
  <si>
    <t xml:space="preserve">BAK-07</t>
  </si>
  <si>
    <t xml:space="preserve">Кондитерские формы и инвентарь</t>
  </si>
  <si>
    <t xml:space="preserve">CAPEX.BAK.007</t>
  </si>
  <si>
    <t xml:space="preserve">FORM_PREPARATION</t>
  </si>
  <si>
    <t xml:space="preserve">BAK-07: Торт, кростата, мадлены</t>
  </si>
  <si>
    <t xml:space="preserve">EQM-0049</t>
  </si>
  <si>
    <t xml:space="preserve">EQM-0050</t>
  </si>
  <si>
    <t xml:space="preserve">EQM-0051</t>
  </si>
  <si>
    <t xml:space="preserve">Подготовить томаты и зелень</t>
  </si>
  <si>
    <t xml:space="preserve">CLD-03;CLD-07</t>
  </si>
  <si>
    <t xml:space="preserve">Вторая рабочая поверхность;Весы, ножи, доски холодного участка</t>
  </si>
  <si>
    <t xml:space="preserve">CAPEX.CLD.003;CAPEX.CLD.007</t>
  </si>
  <si>
    <t xml:space="preserve">COLD_PREP_ASSEMBLY</t>
  </si>
  <si>
    <t xml:space="preserve">Only dish aggregate is available: active 8 min / total 10 min; no unsupported split by operation</t>
  </si>
  <si>
    <t xml:space="preserve">CLD-03: ≥1200×700; CLD-07: Две рабочие позиции</t>
  </si>
  <si>
    <t xml:space="preserve">EQM-0052</t>
  </si>
  <si>
    <t xml:space="preserve">смешать заправку</t>
  </si>
  <si>
    <t xml:space="preserve">EQM-0053</t>
  </si>
  <si>
    <t xml:space="preserve">разместить буррату</t>
  </si>
  <si>
    <t xml:space="preserve">EQM-0054</t>
  </si>
  <si>
    <t xml:space="preserve">собрать и финишировать</t>
  </si>
  <si>
    <t xml:space="preserve">EQM-0055</t>
  </si>
  <si>
    <t xml:space="preserve">Подготовить зелень, яблоко и огурец</t>
  </si>
  <si>
    <t xml:space="preserve">Only dish aggregate is available: active 12 min / total 18 min; no unsupported split by operation</t>
  </si>
  <si>
    <t xml:space="preserve">EQM-0056</t>
  </si>
  <si>
    <t xml:space="preserve">подготовить креветки</t>
  </si>
  <si>
    <t xml:space="preserve">EQM-0057</t>
  </si>
  <si>
    <t xml:space="preserve">EQM-0058</t>
  </si>
  <si>
    <t xml:space="preserve">аккуратно собрать</t>
  </si>
  <si>
    <t xml:space="preserve">EQM-0059</t>
  </si>
  <si>
    <t xml:space="preserve">добавить финиш</t>
  </si>
  <si>
    <t xml:space="preserve">EQM-0060</t>
  </si>
  <si>
    <t xml:space="preserve">Нарезать овощи</t>
  </si>
  <si>
    <t xml:space="preserve">Only dish aggregate is available: active 10 min / total 12 min; no unsupported split by operation</t>
  </si>
  <si>
    <t xml:space="preserve">Manual baseline; CLD-08/CLD-09 remain conditional until the applicable timing gate.</t>
  </si>
  <si>
    <t xml:space="preserve">EQM-0061</t>
  </si>
  <si>
    <t xml:space="preserve">подготовить фету и оливки</t>
  </si>
  <si>
    <t xml:space="preserve">EQM-0062</t>
  </si>
  <si>
    <t xml:space="preserve">EQM-0063</t>
  </si>
  <si>
    <t xml:space="preserve">собрать без излишнего перемешивания</t>
  </si>
  <si>
    <t xml:space="preserve">EQM-0064</t>
  </si>
  <si>
    <t xml:space="preserve">Подготовить варёные овощи</t>
  </si>
  <si>
    <t xml:space="preserve">Only dish aggregate is available: active 18 min / total 90 min; no unsupported split by operation</t>
  </si>
  <si>
    <t xml:space="preserve">EQM-0065</t>
  </si>
  <si>
    <t xml:space="preserve">HOT-09;STO-10</t>
  </si>
  <si>
    <t xml:space="preserve">Шкаф интенсивного охлаждения;Готовые полуфабрикаты</t>
  </si>
  <si>
    <t xml:space="preserve">CAPEX.HOT.010;CAPEX.STO.010</t>
  </si>
  <si>
    <t xml:space="preserve">HOT-09: ≥10 кг/цикл; STO-10: Раздельное хранение</t>
  </si>
  <si>
    <t xml:space="preserve">EQM-0066</t>
  </si>
  <si>
    <t xml:space="preserve">нарезать одинаковым кубиком</t>
  </si>
  <si>
    <t xml:space="preserve">EQM-0067</t>
  </si>
  <si>
    <t xml:space="preserve">подготовить прочие компоненты</t>
  </si>
  <si>
    <t xml:space="preserve">EQM-0068</t>
  </si>
  <si>
    <t xml:space="preserve">смешать и заправить</t>
  </si>
  <si>
    <t xml:space="preserve">EQM-0069</t>
  </si>
  <si>
    <t xml:space="preserve">Проверить готовое филе</t>
  </si>
  <si>
    <t xml:space="preserve">Only dish aggregate is available: active 7 min / total 10 min; no unsupported split by operation</t>
  </si>
  <si>
    <t xml:space="preserve">EQM-0070</t>
  </si>
  <si>
    <t xml:space="preserve">удалить упаковочную жидкость</t>
  </si>
  <si>
    <t xml:space="preserve">EQM-0071</t>
  </si>
  <si>
    <t xml:space="preserve">порционировать</t>
  </si>
  <si>
    <t xml:space="preserve">EQM-0072</t>
  </si>
  <si>
    <t xml:space="preserve">подготовить лимон и гарниры</t>
  </si>
  <si>
    <t xml:space="preserve">EQM-0073</t>
  </si>
  <si>
    <t xml:space="preserve">собрать</t>
  </si>
  <si>
    <t xml:space="preserve">EQM-0074</t>
  </si>
  <si>
    <t xml:space="preserve">Подготовить и запечь картофель</t>
  </si>
  <si>
    <t xml:space="preserve">HOT-01</t>
  </si>
  <si>
    <t xml:space="preserve">Пароконвектомат</t>
  </si>
  <si>
    <t xml:space="preserve">CAPEX.HOT.001</t>
  </si>
  <si>
    <t xml:space="preserve">Only dish aggregate is available: active 14 min / total 55 min; no unsupported split by operation</t>
  </si>
  <si>
    <t xml:space="preserve">HOT-01: Минимум 6×GN 1/1; программы; термощуп</t>
  </si>
  <si>
    <t xml:space="preserve">EQM-0075</t>
  </si>
  <si>
    <t xml:space="preserve">подготовить сельдь и лук</t>
  </si>
  <si>
    <t xml:space="preserve">EQM-0076</t>
  </si>
  <si>
    <t xml:space="preserve">охладить компоненты по процессу</t>
  </si>
  <si>
    <t xml:space="preserve">EQM-0077</t>
  </si>
  <si>
    <t xml:space="preserve">собрать и заправить</t>
  </si>
  <si>
    <t xml:space="preserve">EQM-0078</t>
  </si>
  <si>
    <t xml:space="preserve">Освободить оливки и маслины от заливки</t>
  </si>
  <si>
    <t xml:space="preserve">Only dish aggregate is available: active 8 min / total 40 min; no unsupported split by operation</t>
  </si>
  <si>
    <t xml:space="preserve">EQM-0079</t>
  </si>
  <si>
    <t xml:space="preserve">подготовить ароматический маринад</t>
  </si>
  <si>
    <t xml:space="preserve">EQM-0080</t>
  </si>
  <si>
    <t xml:space="preserve">смешать</t>
  </si>
  <si>
    <t xml:space="preserve">EQM-0081</t>
  </si>
  <si>
    <t xml:space="preserve">выдержать</t>
  </si>
  <si>
    <t xml:space="preserve">EQM-0082</t>
  </si>
  <si>
    <t xml:space="preserve">EQM-0083</t>
  </si>
  <si>
    <t xml:space="preserve">Подготовить и нарезать овощи</t>
  </si>
  <si>
    <t xml:space="preserve">Only dish aggregate is available: active 23 min / total 70 min; no unsupported split by operation</t>
  </si>
  <si>
    <t xml:space="preserve">EQM-0084</t>
  </si>
  <si>
    <t xml:space="preserve">приготовить маринад</t>
  </si>
  <si>
    <t xml:space="preserve">EQM-0085</t>
  </si>
  <si>
    <t xml:space="preserve">мариновать компоненты раздельно</t>
  </si>
  <si>
    <t xml:space="preserve">EQM-0086</t>
  </si>
  <si>
    <t xml:space="preserve">объединить при подаче</t>
  </si>
  <si>
    <t xml:space="preserve">EQM-0087</t>
  </si>
  <si>
    <t xml:space="preserve">Порционировать ростбиф</t>
  </si>
  <si>
    <t xml:space="preserve">EQM-0088</t>
  </si>
  <si>
    <t xml:space="preserve">подготовить лук</t>
  </si>
  <si>
    <t xml:space="preserve">EQM-0089</t>
  </si>
  <si>
    <t xml:space="preserve">подсушить гренку</t>
  </si>
  <si>
    <t xml:space="preserve">EQM-0090</t>
  </si>
  <si>
    <t xml:space="preserve">смешать соус</t>
  </si>
  <si>
    <t xml:space="preserve">EQM-0091</t>
  </si>
  <si>
    <t xml:space="preserve">собрать непосредственно перед подачей</t>
  </si>
  <si>
    <t xml:space="preserve">EQM-0092</t>
  </si>
  <si>
    <t xml:space="preserve">Приготовить бульон</t>
  </si>
  <si>
    <t xml:space="preserve">HOT-05A;HOT-13</t>
  </si>
  <si>
    <t xml:space="preserve">Индукционная плита 4 зоны;GN, противни и горячий инвентарь</t>
  </si>
  <si>
    <t xml:space="preserve">CAPEX.HOT.005;CAPEX.HOT.014</t>
  </si>
  <si>
    <t xml:space="preserve">BOILING_SAUTE_COOKING</t>
  </si>
  <si>
    <t xml:space="preserve">Only dish aggregate is available: active 35 min / total 180 min; no unsupported split by operation</t>
  </si>
  <si>
    <t xml:space="preserve">HOT-05A: 4 зоны; HOT-13: Совместимость с печами</t>
  </si>
  <si>
    <t xml:space="preserve">EQM-0093</t>
  </si>
  <si>
    <t xml:space="preserve">подготовить овощи</t>
  </si>
  <si>
    <t xml:space="preserve">HOT-12;HOT-13</t>
  </si>
  <si>
    <t xml:space="preserve">Столы и полки горячего участка;GN, противни и горячий инвентарь</t>
  </si>
  <si>
    <t xml:space="preserve">CAPEX.HOT.013;CAPEX.HOT.014</t>
  </si>
  <si>
    <t xml:space="preserve">HOT_PREP_PORTIONING</t>
  </si>
  <si>
    <t xml:space="preserve">HOT-12: По планировке; HOT-13: Совместимость с печами</t>
  </si>
  <si>
    <t xml:space="preserve">EQM-0094</t>
  </si>
  <si>
    <t xml:space="preserve">выполнить пассеровку свёклы</t>
  </si>
  <si>
    <t xml:space="preserve">EQM-0095</t>
  </si>
  <si>
    <t xml:space="preserve">соединить компоненты</t>
  </si>
  <si>
    <t xml:space="preserve">EQM-0096</t>
  </si>
  <si>
    <t xml:space="preserve">довести вкус</t>
  </si>
  <si>
    <t xml:space="preserve">EQM-0097</t>
  </si>
  <si>
    <t xml:space="preserve">порционировать с мясом, сметаной и зеленью</t>
  </si>
  <si>
    <t xml:space="preserve">EQM-0098</t>
  </si>
  <si>
    <t xml:space="preserve">Порционировать треску</t>
  </si>
  <si>
    <t xml:space="preserve">MANUAL_HOT_LINE_PREP</t>
  </si>
  <si>
    <t xml:space="preserve">Only dish aggregate is available: active 18 min / total 28 min; no unsupported split by operation</t>
  </si>
  <si>
    <t xml:space="preserve">EQM-0099</t>
  </si>
  <si>
    <t xml:space="preserve">подготовить соус</t>
  </si>
  <si>
    <t xml:space="preserve">SAUCE_COOKING</t>
  </si>
  <si>
    <t xml:space="preserve">EQM-0100</t>
  </si>
  <si>
    <t xml:space="preserve">обработать рыбу и шпинат</t>
  </si>
  <si>
    <t xml:space="preserve">HOT-01;HOT-13</t>
  </si>
  <si>
    <t xml:space="preserve">Пароконвектомат;GN, противни и горячий инвентарь</t>
  </si>
  <si>
    <t xml:space="preserve">CAPEX.HOT.001;CAPEX.HOT.014</t>
  </si>
  <si>
    <t xml:space="preserve">FISH_THERMAL_PROCESS</t>
  </si>
  <si>
    <t xml:space="preserve">HOT-01: Минимум 6×GN 1/1; программы; термощуп; HOT-13: Совместимость с печами</t>
  </si>
  <si>
    <t xml:space="preserve">EQM-0101</t>
  </si>
  <si>
    <t xml:space="preserve">довести соус</t>
  </si>
  <si>
    <t xml:space="preserve">EQM-0102</t>
  </si>
  <si>
    <t xml:space="preserve">HOT_PREP_ASSEMBLY</t>
  </si>
  <si>
    <t xml:space="preserve">EQM-0103</t>
  </si>
  <si>
    <t xml:space="preserve">Подготовить креветки и овощи</t>
  </si>
  <si>
    <t xml:space="preserve">Only dish aggregate is available: active 20 min / total 30 min; no unsupported split by operation</t>
  </si>
  <si>
    <t xml:space="preserve">EQM-0104</t>
  </si>
  <si>
    <t xml:space="preserve">приготовить кокосовый соус</t>
  </si>
  <si>
    <t xml:space="preserve">HOT-03;HOT-13</t>
  </si>
  <si>
    <t xml:space="preserve">WOK-пост;GN, противни и горячий инвентарь</t>
  </si>
  <si>
    <t xml:space="preserve">CAPEX.HOT.003;CAPEX.HOT.014</t>
  </si>
  <si>
    <t xml:space="preserve">WOK_COOKING</t>
  </si>
  <si>
    <t xml:space="preserve">HOT-03: ≥5 порций/час; HOT-13: Совместимость с печами</t>
  </si>
  <si>
    <t xml:space="preserve">порция</t>
  </si>
  <si>
    <t xml:space="preserve">CALCULATED_FROM_PROJECT_THROUGHPUT</t>
  </si>
  <si>
    <t xml:space="preserve">1 portion / project minimum 5 portions per hour; this is not a passport cycle</t>
  </si>
  <si>
    <t xml:space="preserve">EQM-0105</t>
  </si>
  <si>
    <t xml:space="preserve">последовательно обработать компоненты</t>
  </si>
  <si>
    <t xml:space="preserve">EQM-0106</t>
  </si>
  <si>
    <t xml:space="preserve">добавить лапшу</t>
  </si>
  <si>
    <t xml:space="preserve">EQM-0107</t>
  </si>
  <si>
    <t xml:space="preserve">довести и финишировать</t>
  </si>
  <si>
    <t xml:space="preserve">EQM-0108</t>
  </si>
  <si>
    <t xml:space="preserve">Подготовить котлету и соус</t>
  </si>
  <si>
    <t xml:space="preserve">Only dish aggregate is available: active 15 min / total 25 min; no unsupported split by operation</t>
  </si>
  <si>
    <t xml:space="preserve">EQM-0109</t>
  </si>
  <si>
    <t xml:space="preserve">разрезать и подготовить бриошь</t>
  </si>
  <si>
    <t xml:space="preserve">EQM-0110</t>
  </si>
  <si>
    <t xml:space="preserve">обработать котлету</t>
  </si>
  <si>
    <t xml:space="preserve">HOT-02;HOT-13</t>
  </si>
  <si>
    <t xml:space="preserve">Двухзонный теппан;GN, противни и горячий инвентарь</t>
  </si>
  <si>
    <t xml:space="preserve">CAPEX.HOT.002;CAPEX.HOT.014</t>
  </si>
  <si>
    <t xml:space="preserve">CONTACT_THERMAL_PROCESS</t>
  </si>
  <si>
    <t xml:space="preserve">HOT-02: ≥16 мясных изделий/час; HOT-13: Совместимость с печами</t>
  </si>
  <si>
    <t xml:space="preserve">EQM-0111</t>
  </si>
  <si>
    <t xml:space="preserve">расплавить сыр</t>
  </si>
  <si>
    <t xml:space="preserve">EQM-0112</t>
  </si>
  <si>
    <t xml:space="preserve">собрать в заданном порядке</t>
  </si>
  <si>
    <t xml:space="preserve">EQM-0113</t>
  </si>
  <si>
    <t xml:space="preserve">Зачистить и порционировать вырезку на два миньона</t>
  </si>
  <si>
    <t xml:space="preserve">Only dish aggregate is available: active 22 min / total 35 min; no unsupported split by operation</t>
  </si>
  <si>
    <t xml:space="preserve">EQM-0114</t>
  </si>
  <si>
    <t xml:space="preserve">подготовить ароматику</t>
  </si>
  <si>
    <t xml:space="preserve">EQM-0115</t>
  </si>
  <si>
    <t xml:space="preserve">обработать</t>
  </si>
  <si>
    <t xml:space="preserve">EQM-0116</t>
  </si>
  <si>
    <t xml:space="preserve">приготовить соус</t>
  </si>
  <si>
    <t xml:space="preserve">EQM-0117</t>
  </si>
  <si>
    <t xml:space="preserve">дать продукту стабилизироваться</t>
  </si>
  <si>
    <t xml:space="preserve">EQM-0118</t>
  </si>
  <si>
    <t xml:space="preserve">EQM-0119</t>
  </si>
  <si>
    <t xml:space="preserve">Вымыть и подготовить картофель</t>
  </si>
  <si>
    <t xml:space="preserve">Only dish aggregate is available: active 13 min / total 45 min; no unsupported split by operation</t>
  </si>
  <si>
    <t xml:space="preserve">EQM-0120</t>
  </si>
  <si>
    <t xml:space="preserve">нарезать</t>
  </si>
  <si>
    <t xml:space="preserve">EQM-0121</t>
  </si>
  <si>
    <t xml:space="preserve">смешать с маслом и травами</t>
  </si>
  <si>
    <t xml:space="preserve">EQM-0122</t>
  </si>
  <si>
    <t xml:space="preserve">запечь</t>
  </si>
  <si>
    <t xml:space="preserve">OVEN_COOKING</t>
  </si>
  <si>
    <t xml:space="preserve">EQM-0123</t>
  </si>
  <si>
    <t xml:space="preserve">EQM-0124</t>
  </si>
  <si>
    <t xml:space="preserve">Промыть рис</t>
  </si>
  <si>
    <t xml:space="preserve">HOT-06;HOT-13</t>
  </si>
  <si>
    <t xml:space="preserve">Рисоварка;GN, противни и горячий инвентарь</t>
  </si>
  <si>
    <t xml:space="preserve">CAPEX.HOT.007;CAPEX.HOT.014</t>
  </si>
  <si>
    <t xml:space="preserve">RICE_COOKING</t>
  </si>
  <si>
    <t xml:space="preserve">Only dish aggregate is available: active 8 min / total 35 min; no unsupported split by operation</t>
  </si>
  <si>
    <t xml:space="preserve">HOT-06: ≥20 порций по 150 г/цикл; HOT-13: Совместимость с печами</t>
  </si>
  <si>
    <t xml:space="preserve">1 portion / minimum 20 portions per cycle; selected-model passport and actual cycle remain absent</t>
  </si>
  <si>
    <t xml:space="preserve">EQM-0125</t>
  </si>
  <si>
    <t xml:space="preserve">соединить с водой</t>
  </si>
  <si>
    <t xml:space="preserve">EQM-0126</t>
  </si>
  <si>
    <t xml:space="preserve">сварить</t>
  </si>
  <si>
    <t xml:space="preserve">EQM-0127</t>
  </si>
  <si>
    <t xml:space="preserve">дать стабилизироваться</t>
  </si>
  <si>
    <t xml:space="preserve">EQM-0128</t>
  </si>
  <si>
    <t xml:space="preserve">внести масла и соль</t>
  </si>
  <si>
    <t xml:space="preserve">EQM-0129</t>
  </si>
  <si>
    <t xml:space="preserve">разрыхлить и порционировать</t>
  </si>
  <si>
    <t xml:space="preserve">EQM-0130</t>
  </si>
  <si>
    <t xml:space="preserve">Подготовить и одинаково нарезать овощи</t>
  </si>
  <si>
    <t xml:space="preserve">Only dish aggregate is available: active 15 min / total 22 min; no unsupported split by operation</t>
  </si>
  <si>
    <t xml:space="preserve">EQM-0131</t>
  </si>
  <si>
    <t xml:space="preserve">обрабатывать партиями</t>
  </si>
  <si>
    <t xml:space="preserve">EQM-0132</t>
  </si>
  <si>
    <t xml:space="preserve">соединить</t>
  </si>
  <si>
    <t xml:space="preserve">EQM-0133</t>
  </si>
  <si>
    <t xml:space="preserve">приправить</t>
  </si>
  <si>
    <t xml:space="preserve">EQM-0134</t>
  </si>
  <si>
    <t xml:space="preserve">EQM-0135</t>
  </si>
  <si>
    <t xml:space="preserve">Приготовить и выпечь бисквит</t>
  </si>
  <si>
    <t xml:space="preserve">BAK-04;BAK-02;BAK-07</t>
  </si>
  <si>
    <t xml:space="preserve">Планетарный миксер;Пекарская печь;Кондитерские формы и инвентарь</t>
  </si>
  <si>
    <t xml:space="preserve">CAPEX.BAK.004;CAPEX.BAK.002;CAPEX.BAK.007</t>
  </si>
  <si>
    <t xml:space="preserve">MIXING_FORMING_THERMAL_PROCESS</t>
  </si>
  <si>
    <t xml:space="preserve">Only dish aggregate is available: active 120 min / total 600 min; no unsupported split by operation</t>
  </si>
  <si>
    <t xml:space="preserve">BAK-04: 10–20 л; BAK-02: 6×600×400; программирование; пар; BAK-07: Торт, кростата, мадлены</t>
  </si>
  <si>
    <t xml:space="preserve">EQM-0136</t>
  </si>
  <si>
    <t xml:space="preserve">BAK-06;STO-09</t>
  </si>
  <si>
    <t xml:space="preserve">Мобильный стеллаж охлаждения;Кондитерское хранение</t>
  </si>
  <si>
    <t xml:space="preserve">CAPEX.BAK.006;CAPEX.STO.009</t>
  </si>
  <si>
    <t xml:space="preserve">COOLING</t>
  </si>
  <si>
    <t xml:space="preserve">BAK-06: 16–20 противней; STO-09: Противни и изделия</t>
  </si>
  <si>
    <t xml:space="preserve">EQM-0137</t>
  </si>
  <si>
    <t xml:space="preserve">приготовить крем, компоте и глазурь</t>
  </si>
  <si>
    <t xml:space="preserve">BAK-04;BAK-07;HOT-05B</t>
  </si>
  <si>
    <t xml:space="preserve">Планетарный миксер;Кондитерские формы и инвентарь;Индукционная плита 2 зоны</t>
  </si>
  <si>
    <t xml:space="preserve">CAPEX.BAK.004;CAPEX.BAK.007;CAPEX.HOT.006</t>
  </si>
  <si>
    <t xml:space="preserve">MIXING_AND_HEATED_COMPONENT_PREP</t>
  </si>
  <si>
    <t xml:space="preserve">BAK-04: 10–20 л; BAK-07: Торт, кростата, мадлены; HOT-05B: 2 зоны</t>
  </si>
  <si>
    <t xml:space="preserve">EQM-0138</t>
  </si>
  <si>
    <t xml:space="preserve">собрать слоями</t>
  </si>
  <si>
    <t xml:space="preserve">FORMING_DECORATING_PORTIONING</t>
  </si>
  <si>
    <t xml:space="preserve">EQM-0139</t>
  </si>
  <si>
    <t xml:space="preserve">стабилизировать</t>
  </si>
  <si>
    <t xml:space="preserve">STO-09</t>
  </si>
  <si>
    <t xml:space="preserve">Кондитерское хранение</t>
  </si>
  <si>
    <t xml:space="preserve">CAPEX.STO.009</t>
  </si>
  <si>
    <t xml:space="preserve">STO-09: Противни и изделия</t>
  </si>
  <si>
    <t xml:space="preserve">EQM-0140</t>
  </si>
  <si>
    <t xml:space="preserve">покрыть и декорировать</t>
  </si>
  <si>
    <t xml:space="preserve">EQM-0141</t>
  </si>
  <si>
    <t xml:space="preserve">разделить на 12 порций</t>
  </si>
  <si>
    <t xml:space="preserve">EQM-0142</t>
  </si>
  <si>
    <t xml:space="preserve">Замесить песочное тесто</t>
  </si>
  <si>
    <t xml:space="preserve">BAK-04;BAK-07</t>
  </si>
  <si>
    <t xml:space="preserve">Планетарный миксер;Кондитерские формы и инвентарь</t>
  </si>
  <si>
    <t xml:space="preserve">CAPEX.BAK.004;CAPEX.BAK.007</t>
  </si>
  <si>
    <t xml:space="preserve">MIXING_COMPONENT_PREP</t>
  </si>
  <si>
    <t xml:space="preserve">Only dish aggregate is available: active 90 min / total 420 min; no unsupported split by operation</t>
  </si>
  <si>
    <t xml:space="preserve">BAK-04: 10–20 л; BAK-07: Торт, кростата, мадлены</t>
  </si>
  <si>
    <t xml:space="preserve">EQM-0143</t>
  </si>
  <si>
    <t xml:space="preserve">EQM-0144</t>
  </si>
  <si>
    <t xml:space="preserve">сформовать и выпечь основу</t>
  </si>
  <si>
    <t xml:space="preserve">BAK-02;BAK-07</t>
  </si>
  <si>
    <t xml:space="preserve">Пекарская печь;Кондитерские формы и инвентарь</t>
  </si>
  <si>
    <t xml:space="preserve">CAPEX.BAK.002;CAPEX.BAK.007</t>
  </si>
  <si>
    <t xml:space="preserve">BAK-02: 6×600×400; программирование; пар; BAK-07: Торт, кростата, мадлены</t>
  </si>
  <si>
    <t xml:space="preserve">EQM-0145</t>
  </si>
  <si>
    <t xml:space="preserve">приготовить карамель и крем</t>
  </si>
  <si>
    <t xml:space="preserve">EQM-0146</t>
  </si>
  <si>
    <t xml:space="preserve">наполнить</t>
  </si>
  <si>
    <t xml:space="preserve">EQM-0147</t>
  </si>
  <si>
    <t xml:space="preserve">EQM-0148</t>
  </si>
  <si>
    <t xml:space="preserve">декорировать</t>
  </si>
  <si>
    <t xml:space="preserve">EQM-0149</t>
  </si>
  <si>
    <t xml:space="preserve">разделить на 10 порций</t>
  </si>
  <si>
    <t xml:space="preserve">EQM-0150</t>
  </si>
  <si>
    <t xml:space="preserve">Смешать тесто</t>
  </si>
  <si>
    <t xml:space="preserve">Only dish aggregate is available: active 30 min / total 120 min; no unsupported split by operation</t>
  </si>
  <si>
    <t xml:space="preserve">EQM-0151</t>
  </si>
  <si>
    <t xml:space="preserve">дать ему стабилизироваться</t>
  </si>
  <si>
    <t xml:space="preserve">EQM-0152</t>
  </si>
  <si>
    <t xml:space="preserve">дозировать в формы</t>
  </si>
  <si>
    <t xml:space="preserve">EQM-0153</t>
  </si>
  <si>
    <t xml:space="preserve">EQM-0154</t>
  </si>
  <si>
    <t xml:space="preserve">EQM-0155</t>
  </si>
  <si>
    <t xml:space="preserve">сформировать 20 одинаковых изделий</t>
  </si>
  <si>
    <t xml:space="preserve">EQM-BF-026</t>
  </si>
  <si>
    <t xml:space="preserve">Historical candidate equipment set; exact route requires Chef and load test</t>
  </si>
  <si>
    <t xml:space="preserve">Теппан/сковорода; печь; холодильник; весы; термощуп; таймер</t>
  </si>
  <si>
    <t xml:space="preserve">NOT_CONFIRMED</t>
  </si>
  <si>
    <t xml:space="preserve">CHEF_DECISION;EQUIPMENT_PASSPORT;LOAD_TEST</t>
  </si>
  <si>
    <t xml:space="preserve">Chef / Operations / Procurement</t>
  </si>
  <si>
    <t xml:space="preserve">Confirm equipment, model, availability and physical load</t>
  </si>
  <si>
    <t xml:space="preserve">EQM-BF-027</t>
  </si>
  <si>
    <t xml:space="preserve">Пароконвектомат; формы; печь; холодильник; весы; термощуп; таймер</t>
  </si>
  <si>
    <t xml:space="preserve">EQM-BF-028</t>
  </si>
  <si>
    <t xml:space="preserve">Кастрюля; индукция; печь; холодильник; весы; термощуп; таймер</t>
  </si>
  <si>
    <t xml:space="preserve">09 — Инвентарь и посуда</t>
  </si>
  <si>
    <t xml:space="preserve">Инвентарь и связанная мойка; отдельный TABLEWARE_REGISTER_31.csv сохраняет посуду.</t>
  </si>
  <si>
    <t xml:space="preserve">inventory_set_code</t>
  </si>
  <si>
    <t xml:space="preserve">candidate_inventory</t>
  </si>
  <si>
    <t xml:space="preserve">linked_function_codes</t>
  </si>
  <si>
    <t xml:space="preserve">required_quantity</t>
  </si>
  <si>
    <t xml:space="preserve">quantity_unit</t>
  </si>
  <si>
    <t xml:space="preserve">quantity_status</t>
  </si>
  <si>
    <t xml:space="preserve">wash_dry_flow</t>
  </si>
  <si>
    <t xml:space="preserve">cross_contact_note</t>
  </si>
  <si>
    <t xml:space="preserve">INVSET-001</t>
  </si>
  <si>
    <t xml:space="preserve">Весы; контейнеры теста; скребок; лопатка/лопата для пиццы; резак; ёмкости для топпингов</t>
  </si>
  <si>
    <t xml:space="preserve">BAK-12;CLD-07;WSH-07;WSH-08</t>
  </si>
  <si>
    <t xml:space="preserve">WSH-07;WSH-08</t>
  </si>
  <si>
    <t xml:space="preserve">Dedicated/color-coded assignment and changeover remain subject to HOF-0012 safety re-review</t>
  </si>
  <si>
    <t xml:space="preserve">EVD-0025;EVD-FS-003;EVD-FS-004</t>
  </si>
  <si>
    <t xml:space="preserve">GAP-009;GAP-021</t>
  </si>
  <si>
    <t xml:space="preserve">Operations / Procurement / FoodSafetyAgent</t>
  </si>
  <si>
    <t xml:space="preserve">Chef/Operations approve item specification and quantity; Procurement confirms stock/SKU; Food Safety confirms segregation and cleaning</t>
  </si>
  <si>
    <t xml:space="preserve">INVSET-002</t>
  </si>
  <si>
    <t xml:space="preserve">INVSET-003</t>
  </si>
  <si>
    <t xml:space="preserve">INVSET-004</t>
  </si>
  <si>
    <t xml:space="preserve">INVSET-005</t>
  </si>
  <si>
    <t xml:space="preserve">Весы; дежа; скребок; формы/противни; решётка охлаждения; термощуп после утверждения ППК</t>
  </si>
  <si>
    <t xml:space="preserve">BAK-03;BAK-05;BAK-06;HOT-13;WSH-07;WSH-08</t>
  </si>
  <si>
    <t xml:space="preserve">INVSET-006</t>
  </si>
  <si>
    <t xml:space="preserve">INVSET-007</t>
  </si>
  <si>
    <t xml:space="preserve">INVSET-008</t>
  </si>
  <si>
    <t xml:space="preserve">INVSET-009</t>
  </si>
  <si>
    <t xml:space="preserve">Весы; маркированные ножи и доски; GN с крышками; миски; щипцы/ложки; гастроёмкости</t>
  </si>
  <si>
    <t xml:space="preserve">CLD-06;CLD-07;WSH-07;WSH-08</t>
  </si>
  <si>
    <t xml:space="preserve">INVSET-010</t>
  </si>
  <si>
    <t xml:space="preserve">INVSET-011</t>
  </si>
  <si>
    <t xml:space="preserve">INVSET-012</t>
  </si>
  <si>
    <t xml:space="preserve">INVSET-013</t>
  </si>
  <si>
    <t xml:space="preserve">INVSET-014</t>
  </si>
  <si>
    <t xml:space="preserve">INVSET-015</t>
  </si>
  <si>
    <t xml:space="preserve">INVSET-016</t>
  </si>
  <si>
    <t xml:space="preserve">INVSET-017</t>
  </si>
  <si>
    <t xml:space="preserve">INVSET-018</t>
  </si>
  <si>
    <t xml:space="preserve">Весы; маркированные ножи и доски; кастрюли; сотейник; половник; GN; термощуп после утверждения ППК</t>
  </si>
  <si>
    <t xml:space="preserve">HOT-13;CLD-07;WSH-07;WSH-08</t>
  </si>
  <si>
    <t xml:space="preserve">INVSET-019</t>
  </si>
  <si>
    <t xml:space="preserve">Весы; маркированные ножи и доски; щипцы; сковороды/ёмкости GN; сотейник; лопатка; термощуп после утверждения ППК</t>
  </si>
  <si>
    <t xml:space="preserve">INVSET-020</t>
  </si>
  <si>
    <t xml:space="preserve">INVSET-021</t>
  </si>
  <si>
    <t xml:space="preserve">INVSET-022</t>
  </si>
  <si>
    <t xml:space="preserve">INVSET-023</t>
  </si>
  <si>
    <t xml:space="preserve">Весы; ножи и доски; GN/противни; кастрюля/чаша; лопатка/ложка; порционный инвентарь</t>
  </si>
  <si>
    <t xml:space="preserve">INVSET-024</t>
  </si>
  <si>
    <t xml:space="preserve">INVSET-025</t>
  </si>
  <si>
    <t xml:space="preserve">INVSET-026</t>
  </si>
  <si>
    <t xml:space="preserve">Весы; дежа; венчик/лопатка; формы; противни; решётки; шпатели; нож порционный</t>
  </si>
  <si>
    <t xml:space="preserve">BAK-04;BAK-06;BAK-07;WSH-07;WSH-08</t>
  </si>
  <si>
    <t xml:space="preserve">INVSET-027</t>
  </si>
  <si>
    <t xml:space="preserve">INVSET-028</t>
  </si>
  <si>
    <t xml:space="preserve">INVSET-BF-026</t>
  </si>
  <si>
    <t xml:space="preserve">Гастроёмкости/формы; весы; термощуп; таймер; маркировка</t>
  </si>
  <si>
    <t xml:space="preserve">REQUIRES_SITE_FLOW_CONFIRMATION</t>
  </si>
  <si>
    <t xml:space="preserve">Dedicated/color-coded assignment requires hazard analysis</t>
  </si>
  <si>
    <t xml:space="preserve">CHEF_DECISION;SITE_FLOW;CROSS_CONTACT</t>
  </si>
  <si>
    <t xml:space="preserve">Chef / Operations / FoodSafetyAgent</t>
  </si>
  <si>
    <t xml:space="preserve">Confirm set and quantity by control cook</t>
  </si>
  <si>
    <t xml:space="preserve">INVSET-BF-027</t>
  </si>
  <si>
    <t xml:space="preserve">INVSET-BF-028</t>
  </si>
  <si>
    <t xml:space="preserve">10 — Аллергены и безопасность</t>
  </si>
  <si>
    <t xml:space="preserve">BLOCK 28/28 сохранён; завтраки также NOT APPROVED.</t>
  </si>
  <si>
    <t xml:space="preserve">version</t>
  </si>
  <si>
    <t xml:space="preserve">as_of_date</t>
  </si>
  <si>
    <t xml:space="preserve">source_recipe_version</t>
  </si>
  <si>
    <t xml:space="preserve">source_recipe_blob_sha</t>
  </si>
  <si>
    <t xml:space="preserve">PEANUT</t>
  </si>
  <si>
    <t xml:space="preserve">ASPARTAME</t>
  </si>
  <si>
    <t xml:space="preserve">MUSTARD</t>
  </si>
  <si>
    <t xml:space="preserve">SULPHITES</t>
  </si>
  <si>
    <t xml:space="preserve">GLUTEN</t>
  </si>
  <si>
    <t xml:space="preserve">SESAME</t>
  </si>
  <si>
    <t xml:space="preserve">LUPIN</t>
  </si>
  <si>
    <t xml:space="preserve">MOLLUSC</t>
  </si>
  <si>
    <t xml:space="preserve">MILK</t>
  </si>
  <si>
    <t xml:space="preserve">NUTS</t>
  </si>
  <si>
    <t xml:space="preserve">CRUSTACEAN</t>
  </si>
  <si>
    <t xml:space="preserve">FISH</t>
  </si>
  <si>
    <t xml:space="preserve">CELERY</t>
  </si>
  <si>
    <t xml:space="preserve">SOY</t>
  </si>
  <si>
    <t xml:space="preserve">EGG</t>
  </si>
  <si>
    <t xml:space="preserve">matrix_status</t>
  </si>
  <si>
    <t xml:space="preserve">method</t>
  </si>
  <si>
    <t xml:space="preserve">required_confirmation</t>
  </si>
  <si>
    <t xml:space="preserve">cross_contact_status</t>
  </si>
  <si>
    <t xml:space="preserve">owner</t>
  </si>
  <si>
    <t xml:space="preserve">0.2.0-REMEDIATION</t>
  </si>
  <si>
    <t xml:space="preserve">c6b22ad5f2812cc989a0d3593f40e21207da8f53</t>
  </si>
  <si>
    <t xml:space="preserve">UNKNOWN_NOT_ABSENT</t>
  </si>
  <si>
    <t xml:space="preserve">PRESENT_IN_LOCKED_DRAFT_RECIPE_NOT_SKU_VERIFIED</t>
  </si>
  <si>
    <t xml:space="preserve">DRAFT_BLOCKED_PENDING_VALIDATION</t>
  </si>
  <si>
    <t xml:space="preserve">EVD-0012;EVD-FS-002</t>
  </si>
  <si>
    <t xml:space="preserve">Direct allergen classes derived from the exact locked DRAFT recipe names; compound ingredients/variants remain unknown; no UNKNOWN value means absence</t>
  </si>
  <si>
    <t xml:space="preserve">Final recipe including compound ingredients; manufacturer labels/specifications for each SKU; cross-contact statements; production-flow review</t>
  </si>
  <si>
    <t xml:space="preserve">UNKNOWN_PENDING_SITE_FLOW_AND_EQUIPMENT_MAP</t>
  </si>
  <si>
    <t xml:space="preserve">Procurement; Food Safety/PPK owner</t>
  </si>
  <si>
    <t xml:space="preserve">POSSIBLE_DRAFT_VARIANT_UNRESOLVED</t>
  </si>
  <si>
    <t xml:space="preserve">POSSIBLE_DRAFT_VARIANT_FISH_SAUCE</t>
  </si>
  <si>
    <t xml:space="preserve">POSSIBLE_DRAFT_VARIANT_SOY_SAUCE</t>
  </si>
  <si>
    <t xml:space="preserve">PR81_HEAD_1e0722ad</t>
  </si>
  <si>
    <t xml:space="preserve">DRAFT_BLOCKED_PENDING_SKU_DOCS</t>
  </si>
  <si>
    <t xml:space="preserve">Recipe/name screening only</t>
  </si>
  <si>
    <t xml:space="preserve">Labels; specs; hazard analysis; control cook</t>
  </si>
  <si>
    <t xml:space="preserve">BLOCKED_UNKNOWN</t>
  </si>
  <si>
    <t xml:space="preserve">FoodSafetyAgent / Chef</t>
  </si>
  <si>
    <t xml:space="preserve">11 — Пищевая ценность и метод</t>
  </si>
  <si>
    <t xml:space="preserve">Расчётный DRAFT для 28; завтраки не рассчитаны; лабораторное подтверждение отсутствует.</t>
  </si>
  <si>
    <t xml:space="preserve">nutrition_record_id</t>
  </si>
  <si>
    <t xml:space="preserve">recipe_blob_sha</t>
  </si>
  <si>
    <t xml:space="preserve">draft_batch_or_item_output_mass</t>
  </si>
  <si>
    <t xml:space="preserve">draft_sale_portion_mass</t>
  </si>
  <si>
    <t xml:space="preserve">sale_portion_unit</t>
  </si>
  <si>
    <t xml:space="preserve">portion_mass_method_status</t>
  </si>
  <si>
    <t xml:space="preserve">ingredient_line_count</t>
  </si>
  <si>
    <t xml:space="preserve">official_source_coverage_pct</t>
  </si>
  <si>
    <t xml:space="preserve">proxy_or_composite_line_count</t>
  </si>
  <si>
    <t xml:space="preserve">protein_g_per_declared_output</t>
  </si>
  <si>
    <t xml:space="preserve">protein_g_per_declared_output_low</t>
  </si>
  <si>
    <t xml:space="preserve">protein_g_per_declared_output_high</t>
  </si>
  <si>
    <t xml:space="preserve">protein_g_per_100g</t>
  </si>
  <si>
    <t xml:space="preserve">protein_g_per_100g_low</t>
  </si>
  <si>
    <t xml:space="preserve">protein_g_per_100g_high</t>
  </si>
  <si>
    <t xml:space="preserve">protein_g_per_sale_portion</t>
  </si>
  <si>
    <t xml:space="preserve">fat_g_per_declared_output</t>
  </si>
  <si>
    <t xml:space="preserve">fat_g_per_declared_output_low</t>
  </si>
  <si>
    <t xml:space="preserve">fat_g_per_declared_output_high</t>
  </si>
  <si>
    <t xml:space="preserve">fat_g_per_100g</t>
  </si>
  <si>
    <t xml:space="preserve">fat_g_per_100g_low</t>
  </si>
  <si>
    <t xml:space="preserve">fat_g_per_100g_high</t>
  </si>
  <si>
    <t xml:space="preserve">fat_g_per_sale_portion</t>
  </si>
  <si>
    <t xml:space="preserve">carbohydrate_g_per_declared_output</t>
  </si>
  <si>
    <t xml:space="preserve">carbohydrate_g_per_declared_output_low</t>
  </si>
  <si>
    <t xml:space="preserve">carbohydrate_g_per_declared_output_high</t>
  </si>
  <si>
    <t xml:space="preserve">carbohydrate_g_per_100g</t>
  </si>
  <si>
    <t xml:space="preserve">carbohydrate_g_per_100g_low</t>
  </si>
  <si>
    <t xml:space="preserve">carbohydrate_g_per_100g_high</t>
  </si>
  <si>
    <t xml:space="preserve">carbohydrate_g_per_sale_portion</t>
  </si>
  <si>
    <t xml:space="preserve">energy_kcal_per_declared_output</t>
  </si>
  <si>
    <t xml:space="preserve">energy_kcal_per_declared_output_low</t>
  </si>
  <si>
    <t xml:space="preserve">energy_kcal_per_declared_output_high</t>
  </si>
  <si>
    <t xml:space="preserve">energy_kcal_per_100g</t>
  </si>
  <si>
    <t xml:space="preserve">energy_kcal_per_100g_low</t>
  </si>
  <si>
    <t xml:space="preserve">energy_kcal_per_100g_high</t>
  </si>
  <si>
    <t xml:space="preserve">energy_kcal_per_sale_portion</t>
  </si>
  <si>
    <t xml:space="preserve">source_energy_vs_atwater_difference_pct</t>
  </si>
  <si>
    <t xml:space="preserve">release_status</t>
  </si>
  <si>
    <t xml:space="preserve">laboratory_confirmed</t>
  </si>
  <si>
    <t xml:space="preserve">limitation</t>
  </si>
  <si>
    <t xml:space="preserve">NUT-DISH-001</t>
  </si>
  <si>
    <t xml:space="preserve">DRAFT: target output used as one sales unit</t>
  </si>
  <si>
    <t xml:space="preserve">CALCULATED_DRAFT_WITH_ASSUMPTIONS</t>
  </si>
  <si>
    <t xml:space="preserve">false</t>
  </si>
  <si>
    <t xml:space="preserve">EVD-0005;EVD-0007;EVD-0008;EVD-0027;EVD-0028;METHOD-NUT-002</t>
  </si>
  <si>
    <t xml:space="preserve">Sum net grams × official/proxy nutrient per 100 g; normalize to draft declared output; direct source kcal retained; sensitivity is official-candidate envelope</t>
  </si>
  <si>
    <t xml:space="preserve">NutritionDataAgent / Procurement / Chef</t>
  </si>
  <si>
    <t xml:space="preserve">GAP-005;GAP-013</t>
  </si>
  <si>
    <t xml:space="preserve">Planning calculation, not approved nutrition declaration: recipe/output are draft and exact supplier SKU is not confirmed</t>
  </si>
  <si>
    <t xml:space="preserve">Chef validates weighed recipe/output; Procurement confirms SKU labels; NutritionDataAgent remaps material differences; laboratory testing only if owner requires confirmed values</t>
  </si>
  <si>
    <t xml:space="preserve">NUT-DISH-002</t>
  </si>
  <si>
    <t xml:space="preserve">NUT-DISH-003</t>
  </si>
  <si>
    <t xml:space="preserve">NUT-DISH-004</t>
  </si>
  <si>
    <t xml:space="preserve">NUT-DISH-005</t>
  </si>
  <si>
    <t xml:space="preserve">CALCULATED_DRAFT</t>
  </si>
  <si>
    <t xml:space="preserve">NUT-DISH-006</t>
  </si>
  <si>
    <t xml:space="preserve">NUT-DISH-007</t>
  </si>
  <si>
    <t xml:space="preserve">NUT-DISH-008</t>
  </si>
  <si>
    <t xml:space="preserve">NUT-DISH-009</t>
  </si>
  <si>
    <t xml:space="preserve">NUT-DISH-010</t>
  </si>
  <si>
    <t xml:space="preserve">NUT-DISH-011</t>
  </si>
  <si>
    <t xml:space="preserve">NUT-DISH-012</t>
  </si>
  <si>
    <t xml:space="preserve">NUT-DISH-013</t>
  </si>
  <si>
    <t xml:space="preserve">NUT-DISH-014</t>
  </si>
  <si>
    <t xml:space="preserve">NUT-DISH-015</t>
  </si>
  <si>
    <t xml:space="preserve">NUT-DISH-016</t>
  </si>
  <si>
    <t xml:space="preserve">NUT-DISH-017</t>
  </si>
  <si>
    <t xml:space="preserve">NUT-DISH-018</t>
  </si>
  <si>
    <t xml:space="preserve">NUT-DISH-019</t>
  </si>
  <si>
    <t xml:space="preserve">NUT-DISH-020</t>
  </si>
  <si>
    <t xml:space="preserve">NUT-DISH-021</t>
  </si>
  <si>
    <t xml:space="preserve">NUT-DISH-022</t>
  </si>
  <si>
    <t xml:space="preserve">NUT-DISH-023</t>
  </si>
  <si>
    <t xml:space="preserve">NUT-DISH-024</t>
  </si>
  <si>
    <t xml:space="preserve">NUT-DISH-025</t>
  </si>
  <si>
    <t xml:space="preserve">NUT-DISH-026</t>
  </si>
  <si>
    <t xml:space="preserve">CALCULATED_FROM_DRAFT: 1800 г / 12 порций</t>
  </si>
  <si>
    <t xml:space="preserve">NUT-DISH-027</t>
  </si>
  <si>
    <t xml:space="preserve">CALCULATED_FROM_DRAFT: 1200 г / 10 порций</t>
  </si>
  <si>
    <t xml:space="preserve">NUT-DISH-028</t>
  </si>
  <si>
    <t xml:space="preserve">CALCULATED_FROM_DRAFT: 600 г × 2 шт. / 20 шт.</t>
  </si>
  <si>
    <t xml:space="preserve">NUT-BF-026</t>
  </si>
  <si>
    <t xml:space="preserve">BLOCKED_PENDING_RECIPE_AND_CONTROL_COOK</t>
  </si>
  <si>
    <t xml:space="preserve">NOT_CALCULATED_EVIDENCE_OPEN</t>
  </si>
  <si>
    <t xml:space="preserve">NUT-BF-027</t>
  </si>
  <si>
    <t xml:space="preserve">NUT-BF-028</t>
  </si>
  <si>
    <t xml:space="preserve">12 — Вопросы шеф-повару</t>
  </si>
  <si>
    <t xml:space="preserve">P0 safety/SKU/storage; P1 recipe/output; P2 process/equipment.</t>
  </si>
  <si>
    <t xml:space="preserve">question_id</t>
  </si>
  <si>
    <t xml:space="preserve">question_type</t>
  </si>
  <si>
    <t xml:space="preserve">question</t>
  </si>
  <si>
    <t xml:space="preserve">question_status</t>
  </si>
  <si>
    <t xml:space="preserve">answer_owner</t>
  </si>
  <si>
    <t xml:space="preserve">impact</t>
  </si>
  <si>
    <t xml:space="preserve">raised_date</t>
  </si>
  <si>
    <t xml:space="preserve">checkpoint</t>
  </si>
  <si>
    <t xml:space="preserve">answer</t>
  </si>
  <si>
    <t xml:space="preserve">answer_date</t>
  </si>
  <si>
    <t xml:space="preserve">CQ-0001</t>
  </si>
  <si>
    <t xml:space="preserve">RECIPE</t>
  </si>
  <si>
    <t xml:space="preserve">Подтвердить или скорректировать построчный состав и проектные нормы брутто/нетто.</t>
  </si>
  <si>
    <t xml:space="preserve">Себестоимость; пищценность; аллергены; закупка</t>
  </si>
  <si>
    <t xml:space="preserve">EVD-0007</t>
  </si>
  <si>
    <t xml:space="preserve">GAP-004</t>
  </si>
  <si>
    <t xml:space="preserve">Owner/Chef Gate</t>
  </si>
  <si>
    <t xml:space="preserve">CQ-0002</t>
  </si>
  <si>
    <t xml:space="preserve">YIELD</t>
  </si>
  <si>
    <t xml:space="preserve">Подтвердить целевой выход и способ учёта подготовительных/тепловых потерь контрольным взвешиванием.</t>
  </si>
  <si>
    <t xml:space="preserve">Mass balance; себестоимость; порционирование</t>
  </si>
  <si>
    <t xml:space="preserve">EVD-0005;EVD-0008</t>
  </si>
  <si>
    <t xml:space="preserve">GAP-002;GAP-005</t>
  </si>
  <si>
    <t xml:space="preserve">CQ-0003</t>
  </si>
  <si>
    <t xml:space="preserve">PROCESS</t>
  </si>
  <si>
    <t xml:space="preserve">Подтвердить последовательность операций, фактическое активное/полное время и проект подачи.</t>
  </si>
  <si>
    <t xml:space="preserve">Техкарта; оборудование; мощность; сервис</t>
  </si>
  <si>
    <t xml:space="preserve">CQ-0004</t>
  </si>
  <si>
    <t xml:space="preserve">SEMI_FINISHED</t>
  </si>
  <si>
    <t xml:space="preserve">Подтвердить выделение, код и размер партии связанных полуфабрикатов; указать общие полуфабрикаты.</t>
  </si>
  <si>
    <t xml:space="preserve">DAG; двойной учёт; себестоимость; планирование</t>
  </si>
  <si>
    <t xml:space="preserve">EVD-0009</t>
  </si>
  <si>
    <t xml:space="preserve">GAP-006</t>
  </si>
  <si>
    <t xml:space="preserve">CQ-0005</t>
  </si>
  <si>
    <t xml:space="preserve">PROCESS_FLOW_FOR_SAFETY</t>
  </si>
  <si>
    <t xml:space="preserve">Подтвердить фактический маршрут блюда по каналам: немедленная подача, хранение, охлаждение, разогрев и/или доставка; параметры не назначать без Food Safety re-review.</t>
  </si>
  <si>
    <t xml:space="preserve">Safety veto; ППК/HACCP; маркировка и прослеживаемость</t>
  </si>
  <si>
    <t xml:space="preserve">EVD-0013;EVD-0014;EVD-FS-001;EVD-FS-003</t>
  </si>
  <si>
    <t xml:space="preserve">CQ-0006</t>
  </si>
  <si>
    <t xml:space="preserve">CQ-0007</t>
  </si>
  <si>
    <t xml:space="preserve">CQ-0008</t>
  </si>
  <si>
    <t xml:space="preserve">CQ-0009</t>
  </si>
  <si>
    <t xml:space="preserve">CQ-0010</t>
  </si>
  <si>
    <t xml:space="preserve">CQ-0011</t>
  </si>
  <si>
    <t xml:space="preserve">CQ-0012</t>
  </si>
  <si>
    <t xml:space="preserve">CQ-0013</t>
  </si>
  <si>
    <t xml:space="preserve">CQ-0014</t>
  </si>
  <si>
    <t xml:space="preserve">CQ-0015</t>
  </si>
  <si>
    <t xml:space="preserve">CQ-0016</t>
  </si>
  <si>
    <t xml:space="preserve">CQ-0017</t>
  </si>
  <si>
    <t xml:space="preserve">CQ-0018</t>
  </si>
  <si>
    <t xml:space="preserve">CQ-0019</t>
  </si>
  <si>
    <t xml:space="preserve">CQ-0020</t>
  </si>
  <si>
    <t xml:space="preserve">CQ-0021</t>
  </si>
  <si>
    <t xml:space="preserve">CQ-0022</t>
  </si>
  <si>
    <t xml:space="preserve">CQ-0023</t>
  </si>
  <si>
    <t xml:space="preserve">CQ-0024</t>
  </si>
  <si>
    <t xml:space="preserve">CQ-0025</t>
  </si>
  <si>
    <t xml:space="preserve">CQ-0026</t>
  </si>
  <si>
    <t xml:space="preserve">CQ-0027</t>
  </si>
  <si>
    <t xml:space="preserve">CQ-0028</t>
  </si>
  <si>
    <t xml:space="preserve">CQ-0029</t>
  </si>
  <si>
    <t xml:space="preserve">CQ-0030</t>
  </si>
  <si>
    <t xml:space="preserve">CQ-0031</t>
  </si>
  <si>
    <t xml:space="preserve">CQ-0032</t>
  </si>
  <si>
    <t xml:space="preserve">CQ-0033</t>
  </si>
  <si>
    <t xml:space="preserve">CQ-0034</t>
  </si>
  <si>
    <t xml:space="preserve">CQ-0035</t>
  </si>
  <si>
    <t xml:space="preserve">CQ-0036</t>
  </si>
  <si>
    <t xml:space="preserve">CQ-0037</t>
  </si>
  <si>
    <t xml:space="preserve">CQ-0038</t>
  </si>
  <si>
    <t xml:space="preserve">CQ-0039</t>
  </si>
  <si>
    <t xml:space="preserve">CQ-0040</t>
  </si>
  <si>
    <t xml:space="preserve">CQ-0041</t>
  </si>
  <si>
    <t xml:space="preserve">CQ-0042</t>
  </si>
  <si>
    <t xml:space="preserve">CQ-0043</t>
  </si>
  <si>
    <t xml:space="preserve">CQ-0044</t>
  </si>
  <si>
    <t xml:space="preserve">CQ-0045</t>
  </si>
  <si>
    <t xml:space="preserve">CQ-0046</t>
  </si>
  <si>
    <t xml:space="preserve">CQ-0047</t>
  </si>
  <si>
    <t xml:space="preserve">CQ-0048</t>
  </si>
  <si>
    <t xml:space="preserve">CQ-0049</t>
  </si>
  <si>
    <t xml:space="preserve">CQ-0050</t>
  </si>
  <si>
    <t xml:space="preserve">CQ-0051</t>
  </si>
  <si>
    <t xml:space="preserve">CQ-0052</t>
  </si>
  <si>
    <t xml:space="preserve">CQ-0053</t>
  </si>
  <si>
    <t xml:space="preserve">CQ-0054</t>
  </si>
  <si>
    <t xml:space="preserve">CQ-0055</t>
  </si>
  <si>
    <t xml:space="preserve">CQ-0056</t>
  </si>
  <si>
    <t xml:space="preserve">CQ-0057</t>
  </si>
  <si>
    <t xml:space="preserve">CQ-0058</t>
  </si>
  <si>
    <t xml:space="preserve">CQ-0059</t>
  </si>
  <si>
    <t xml:space="preserve">CQ-0060</t>
  </si>
  <si>
    <t xml:space="preserve">CQ-0061</t>
  </si>
  <si>
    <t xml:space="preserve">CQ-0062</t>
  </si>
  <si>
    <t xml:space="preserve">CQ-0063</t>
  </si>
  <si>
    <t xml:space="preserve">CQ-0064</t>
  </si>
  <si>
    <t xml:space="preserve">CQ-0065</t>
  </si>
  <si>
    <t xml:space="preserve">CQ-0066</t>
  </si>
  <si>
    <t xml:space="preserve">CQ-0067</t>
  </si>
  <si>
    <t xml:space="preserve">CQ-0068</t>
  </si>
  <si>
    <t xml:space="preserve">CQ-0069</t>
  </si>
  <si>
    <t xml:space="preserve">CQ-0070</t>
  </si>
  <si>
    <t xml:space="preserve">CQ-0071</t>
  </si>
  <si>
    <t xml:space="preserve">CQ-0072</t>
  </si>
  <si>
    <t xml:space="preserve">CQ-0073</t>
  </si>
  <si>
    <t xml:space="preserve">CQ-0074</t>
  </si>
  <si>
    <t xml:space="preserve">CQ-0075</t>
  </si>
  <si>
    <t xml:space="preserve">CQ-0076</t>
  </si>
  <si>
    <t xml:space="preserve">CQ-0077</t>
  </si>
  <si>
    <t xml:space="preserve">CQ-0078</t>
  </si>
  <si>
    <t xml:space="preserve">CQ-0079</t>
  </si>
  <si>
    <t xml:space="preserve">CQ-0080</t>
  </si>
  <si>
    <t xml:space="preserve">CQ-0081</t>
  </si>
  <si>
    <t xml:space="preserve">CQ-0082</t>
  </si>
  <si>
    <t xml:space="preserve">CQ-0083</t>
  </si>
  <si>
    <t xml:space="preserve">CQ-0084</t>
  </si>
  <si>
    <t xml:space="preserve">CQ-0085</t>
  </si>
  <si>
    <t xml:space="preserve">CQ-0086</t>
  </si>
  <si>
    <t xml:space="preserve">CQ-0087</t>
  </si>
  <si>
    <t xml:space="preserve">CQ-0088</t>
  </si>
  <si>
    <t xml:space="preserve">CQ-0089</t>
  </si>
  <si>
    <t xml:space="preserve">CQ-0090</t>
  </si>
  <si>
    <t xml:space="preserve">CQ-0091</t>
  </si>
  <si>
    <t xml:space="preserve">CQ-0092</t>
  </si>
  <si>
    <t xml:space="preserve">CQ-0093</t>
  </si>
  <si>
    <t xml:space="preserve">CQ-0094</t>
  </si>
  <si>
    <t xml:space="preserve">CQ-0095</t>
  </si>
  <si>
    <t xml:space="preserve">CQ-0096</t>
  </si>
  <si>
    <t xml:space="preserve">CQ-0097</t>
  </si>
  <si>
    <t xml:space="preserve">CQ-0098</t>
  </si>
  <si>
    <t xml:space="preserve">CQ-0099</t>
  </si>
  <si>
    <t xml:space="preserve">CQ-0100</t>
  </si>
  <si>
    <t xml:space="preserve">CQ-0101</t>
  </si>
  <si>
    <t xml:space="preserve">CQ-0102</t>
  </si>
  <si>
    <t xml:space="preserve">CQ-0103</t>
  </si>
  <si>
    <t xml:space="preserve">CQ-0104</t>
  </si>
  <si>
    <t xml:space="preserve">CQ-0105</t>
  </si>
  <si>
    <t xml:space="preserve">CQ-0106</t>
  </si>
  <si>
    <t xml:space="preserve">DEPENDENCY</t>
  </si>
  <si>
    <t xml:space="preserve">Подтвердить, используется ли VKM-008 как готовая бриошь или отдельная спецификация бриоши для бургера.</t>
  </si>
  <si>
    <t xml:space="preserve">Связи VKM/VSF; себестоимость; выпуск</t>
  </si>
  <si>
    <t xml:space="preserve">CQ-0107</t>
  </si>
  <si>
    <t xml:space="preserve">CQ-0108</t>
  </si>
  <si>
    <t xml:space="preserve">CQ-0109</t>
  </si>
  <si>
    <t xml:space="preserve">CQ-0110</t>
  </si>
  <si>
    <t xml:space="preserve">CQ-0111</t>
  </si>
  <si>
    <t xml:space="preserve">CQ-0112</t>
  </si>
  <si>
    <t xml:space="preserve">CQ-0113</t>
  </si>
  <si>
    <t xml:space="preserve">CQ-0114</t>
  </si>
  <si>
    <t xml:space="preserve">CQ-0115</t>
  </si>
  <si>
    <t xml:space="preserve">CQ-0116</t>
  </si>
  <si>
    <t xml:space="preserve">CQ-0117</t>
  </si>
  <si>
    <t xml:space="preserve">CQ-0118</t>
  </si>
  <si>
    <t xml:space="preserve">CQ-0119</t>
  </si>
  <si>
    <t xml:space="preserve">CQ-0120</t>
  </si>
  <si>
    <t xml:space="preserve">CQ-0121</t>
  </si>
  <si>
    <t xml:space="preserve">CQ-0122</t>
  </si>
  <si>
    <t xml:space="preserve">CQ-0123</t>
  </si>
  <si>
    <t xml:space="preserve">CQ-0124</t>
  </si>
  <si>
    <t xml:space="preserve">CQ-0125</t>
  </si>
  <si>
    <t xml:space="preserve">CQ-0126</t>
  </si>
  <si>
    <t xml:space="preserve">CQ-0127</t>
  </si>
  <si>
    <t xml:space="preserve">CQ-0128</t>
  </si>
  <si>
    <t xml:space="preserve">CQ-0129</t>
  </si>
  <si>
    <t xml:space="preserve">CQ-0130</t>
  </si>
  <si>
    <t xml:space="preserve">CQ-0131</t>
  </si>
  <si>
    <t xml:space="preserve">CQ-0132</t>
  </si>
  <si>
    <t xml:space="preserve">BATCH</t>
  </si>
  <si>
    <t xml:space="preserve">Подтвердить размер партии, число изделий/порций, массу до и после стабилизации и правила допустимого отклонения.</t>
  </si>
  <si>
    <t xml:space="preserve">Mass balance; порционирование; capacity</t>
  </si>
  <si>
    <t xml:space="preserve">CQ-0133</t>
  </si>
  <si>
    <t xml:space="preserve">CQ-0134</t>
  </si>
  <si>
    <t xml:space="preserve">CQ-0135</t>
  </si>
  <si>
    <t xml:space="preserve">CQ-0136</t>
  </si>
  <si>
    <t xml:space="preserve">CQ-0137</t>
  </si>
  <si>
    <t xml:space="preserve">CQ-0138</t>
  </si>
  <si>
    <t xml:space="preserve">CQ-0139</t>
  </si>
  <si>
    <t xml:space="preserve">CQ-0140</t>
  </si>
  <si>
    <t xml:space="preserve">CQ-0141</t>
  </si>
  <si>
    <t xml:space="preserve">CQ-0142</t>
  </si>
  <si>
    <t xml:space="preserve">CQ-0143</t>
  </si>
  <si>
    <t xml:space="preserve">CQ-0144</t>
  </si>
  <si>
    <t xml:space="preserve">CQ-BF-026-01</t>
  </si>
  <si>
    <t xml:space="preserve">SAFETY</t>
  </si>
  <si>
    <t xml:space="preserve">Подтвердить safety route only after evidence</t>
  </si>
  <si>
    <t xml:space="preserve">Chef / Owner</t>
  </si>
  <si>
    <t xml:space="preserve">P0; recipe; costing; safety</t>
  </si>
  <si>
    <t xml:space="preserve">CQ-BF-026-02</t>
  </si>
  <si>
    <t xml:space="preserve">Подтвердить построчный состав и нормы</t>
  </si>
  <si>
    <t xml:space="preserve">P1; recipe; costing; safety</t>
  </si>
  <si>
    <t xml:space="preserve">CQ-BF-026-03</t>
  </si>
  <si>
    <t xml:space="preserve">OUTPUT</t>
  </si>
  <si>
    <t xml:space="preserve">Подтвердить фактический выход контрольной серией</t>
  </si>
  <si>
    <t xml:space="preserve">CQ-BF-026-04</t>
  </si>
  <si>
    <t xml:space="preserve">SUPPLIER</t>
  </si>
  <si>
    <t xml:space="preserve">Выбрать SKU и получить документы</t>
  </si>
  <si>
    <t xml:space="preserve">CQ-BF-027-01</t>
  </si>
  <si>
    <t xml:space="preserve">CQ-BF-027-02</t>
  </si>
  <si>
    <t xml:space="preserve">CQ-BF-027-03</t>
  </si>
  <si>
    <t xml:space="preserve">CQ-BF-027-04</t>
  </si>
  <si>
    <t xml:space="preserve">CQ-BF-028-01</t>
  </si>
  <si>
    <t xml:space="preserve">CQ-BF-028-02</t>
  </si>
  <si>
    <t xml:space="preserve">CQ-BF-028-03</t>
  </si>
  <si>
    <t xml:space="preserve">CQ-BF-028-04</t>
  </si>
  <si>
    <t xml:space="preserve">13 — Согласование</t>
  </si>
  <si>
    <t xml:space="preserve">31/31 NOT APPROVED; решения вводятся только после факта.</t>
  </si>
  <si>
    <t xml:space="preserve">menu</t>
  </si>
  <si>
    <t xml:space="preserve">recipe</t>
  </si>
  <si>
    <t xml:space="preserve">tech_card</t>
  </si>
  <si>
    <t xml:space="preserve">costing</t>
  </si>
  <si>
    <t xml:space="preserve">channel_economics</t>
  </si>
  <si>
    <t xml:space="preserve">semi_finished</t>
  </si>
  <si>
    <t xml:space="preserve">allergen_safety</t>
  </si>
  <si>
    <t xml:space="preserve">chef_questions</t>
  </si>
  <si>
    <t xml:space="preserve">control_cook_form</t>
  </si>
  <si>
    <t xml:space="preserve">chef_approval</t>
  </si>
  <si>
    <t xml:space="preserve">evidence_cogs</t>
  </si>
  <si>
    <t xml:space="preserve">overall</t>
  </si>
  <si>
    <t xml:space="preserve">PRESENT</t>
  </si>
  <si>
    <t xml:space="preserve">PRESENT_DRAFT</t>
  </si>
  <si>
    <t xml:space="preserve">MODEL_LAYER_PRESENT</t>
  </si>
  <si>
    <t xml:space="preserve">PRESENT_OR_EXPLICIT_PENDING_CONFIRMATION</t>
  </si>
  <si>
    <t xml:space="preserve">PRESENT_BLOCKED</t>
  </si>
  <si>
    <t xml:space="preserve">NOT_COMPLETE</t>
  </si>
  <si>
    <t xml:space="preserve">READY_FOR_CHEF_REVIEW_SUBJECT_EVIDENCE_OPEN</t>
  </si>
  <si>
    <t xml:space="preserve">14 — Контрольные проработки</t>
  </si>
  <si>
    <t xml:space="preserve">Формы готовы; физические испытания не проводились.</t>
  </si>
  <si>
    <t xml:space="preserve">check_id</t>
  </si>
  <si>
    <t xml:space="preserve">actual</t>
  </si>
  <si>
    <t xml:space="preserve">expected</t>
  </si>
  <si>
    <t xml:space="preserve">difference</t>
  </si>
  <si>
    <t xml:space="preserve">status</t>
  </si>
  <si>
    <t xml:space="preserve">note</t>
  </si>
  <si>
    <t xml:space="preserve">CHK-POSITIONS</t>
  </si>
  <si>
    <t xml:space="preserve">PASS</t>
  </si>
  <si>
    <t xml:space="preserve">Exact VKM-001..031</t>
  </si>
  <si>
    <t xml:space="preserve">CHK-CHANNELS</t>
  </si>
  <si>
    <t xml:space="preserve">Unique position×channel</t>
  </si>
  <si>
    <t xml:space="preserve">CHK-SHEETS</t>
  </si>
  <si>
    <t xml:space="preserve">Required sheets</t>
  </si>
  <si>
    <t xml:space="preserve">CHK-SAFETY</t>
  </si>
  <si>
    <t xml:space="preserve">BLOCK 28/28</t>
  </si>
  <si>
    <t xml:space="preserve">Issue82 veto retained</t>
  </si>
  <si>
    <t xml:space="preserve">CHK-EVIDENCE</t>
  </si>
  <si>
    <t xml:space="preserve">MODEL_ONLY</t>
  </si>
  <si>
    <t xml:space="preserve">No proxy promotion</t>
  </si>
  <si>
    <t xml:space="preserve">CHK-CHEF</t>
  </si>
  <si>
    <t xml:space="preserve">0 approved</t>
  </si>
  <si>
    <t xml:space="preserve">No inferred decisions</t>
  </si>
  <si>
    <t xml:space="preserve">16 — Источники</t>
  </si>
  <si>
    <t xml:space="preserve">Иерархия и ограничения использования.</t>
  </si>
  <si>
    <t xml:space="preserve">source_id</t>
  </si>
  <si>
    <t xml:space="preserve">tier</t>
  </si>
  <si>
    <t xml:space="preserve">ref</t>
  </si>
  <si>
    <t xml:space="preserve">path</t>
  </si>
  <si>
    <t xml:space="preserve">coverage</t>
  </si>
  <si>
    <t xml:space="preserve">restriction</t>
  </si>
  <si>
    <t xml:space="preserve">SRC-MAIN</t>
  </si>
  <si>
    <t xml:space="preserve">docs/07-operations/issue-82/*</t>
  </si>
  <si>
    <t xml:space="preserve">28 dishes and accepted bridges</t>
  </si>
  <si>
    <t xml:space="preserve">CURRENT_MAIN</t>
  </si>
  <si>
    <t xml:space="preserve">No status elevation</t>
  </si>
  <si>
    <t xml:space="preserve">SRC-HO</t>
  </si>
  <si>
    <t xml:space="preserve">c07eda2ce38cb1b84d3d1db3aa675c6386368a89</t>
  </si>
  <si>
    <t xml:space="preserve">SESSION-20260804-03-HANDOFF.md</t>
  </si>
  <si>
    <t xml:space="preserve">transfer contract</t>
  </si>
  <si>
    <t xml:space="preserve">ACCEPTED_WITH_CONDITIONS</t>
  </si>
  <si>
    <t xml:space="preserve">Not subject approval</t>
  </si>
  <si>
    <t xml:space="preserve">SRC-VA</t>
  </si>
  <si>
    <t xml:space="preserve">7585632c64e53e22c6f8b1273ee6239b659d6836</t>
  </si>
  <si>
    <t xml:space="preserve">SESSION-20260804-03-VERIFICATION.md</t>
  </si>
  <si>
    <t xml:space="preserve">handoff quality</t>
  </si>
  <si>
    <t xml:space="preserve">PASS_WITH_REMARKS</t>
  </si>
  <si>
    <t xml:space="preserve">Not subject PASS</t>
  </si>
  <si>
    <t xml:space="preserve">SRC-PR81</t>
  </si>
  <si>
    <t xml:space="preserve">1e0722ad7eef9d9e8be591a6302e9d3f5dd73a23</t>
  </si>
  <si>
    <t xml:space="preserve">scripts/releases/build_issue_80_menu_cards.mjs</t>
  </si>
  <si>
    <t xml:space="preserve">VKM-026..028</t>
  </si>
  <si>
    <t xml:space="preserve">HISTORICAL_DRAFT</t>
  </si>
  <si>
    <t xml:space="preserve">Breakfast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</si>
</sst>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E2F3"/>
      </left>
      <right/>
      <top style="thin">
        <color rgb="FFD9E2F3"/>
      </top>
      <bottom style="thin">
        <color rgb="FFD9E2F3"/>
      </bottom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62">
    <dxf>
      <fill>
        <patternFill patternType="solid">
          <fgColor rgb="FF0F6B78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 patternType="solid">
          <fgColor rgb="FFD9EAD3"/>
          <bgColor rgb="FF000000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tru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6" min="3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/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9</v>
      </c>
      <c r="D5" s="3" t="s">
        <v>14</v>
      </c>
      <c r="E5" s="3" t="s">
        <v>15</v>
      </c>
      <c r="F5" s="3"/>
    </row>
    <row r="6" customFormat="false" ht="15" hidden="false" customHeight="false" outlineLevel="0" collapsed="false">
      <c r="A6" s="3" t="s">
        <v>16</v>
      </c>
      <c r="B6" s="3" t="n">
        <v>31</v>
      </c>
      <c r="C6" s="3" t="s">
        <v>9</v>
      </c>
      <c r="D6" s="3" t="s">
        <v>17</v>
      </c>
      <c r="E6" s="3" t="s">
        <v>18</v>
      </c>
      <c r="F6" s="3"/>
    </row>
    <row r="7" customFormat="false" ht="23.85" hidden="false" customHeight="false" outlineLevel="0" collapsed="false">
      <c r="A7" s="3" t="s">
        <v>19</v>
      </c>
      <c r="B7" s="3" t="n">
        <v>104</v>
      </c>
      <c r="C7" s="3" t="s">
        <v>9</v>
      </c>
      <c r="D7" s="3" t="s">
        <v>20</v>
      </c>
      <c r="E7" s="3" t="s">
        <v>21</v>
      </c>
      <c r="F7" s="3"/>
    </row>
    <row r="8" customFormat="false" ht="15" hidden="false" customHeight="false" outlineLevel="0" collapsed="false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30</v>
      </c>
      <c r="D9" s="3" t="s">
        <v>31</v>
      </c>
      <c r="E9" s="3" t="s">
        <v>26</v>
      </c>
      <c r="F9" s="3" t="s">
        <v>32</v>
      </c>
    </row>
    <row r="10" customFormat="false" ht="15" hidden="false" customHeight="false" outlineLevel="0" collapsed="false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26</v>
      </c>
      <c r="F10" s="3" t="s">
        <v>37</v>
      </c>
    </row>
    <row r="11" customFormat="false" ht="15" hidden="false" customHeight="false" outlineLevel="0" collapsed="false">
      <c r="A11" s="3" t="s">
        <v>38</v>
      </c>
      <c r="B11" s="3" t="s">
        <v>39</v>
      </c>
      <c r="C11" s="3" t="s">
        <v>40</v>
      </c>
      <c r="D11" s="3" t="s">
        <v>10</v>
      </c>
      <c r="E11" s="3" t="s">
        <v>11</v>
      </c>
      <c r="F11" s="3" t="s">
        <v>41</v>
      </c>
    </row>
  </sheetData>
  <autoFilter ref="A1:F11">
    <filterColumn colId="0" hiddenButton="1"/>
  </autoFilter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tru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10" min="5" style="0" width="16"/>
    <col collapsed="false" customWidth="true" hidden="false" outlineLevel="0" max="14" min="11" style="0" width="2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4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true" outlineLevel="0" collapsed="false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customFormat="false" ht="50" hidden="false" customHeight="true" outlineLevel="0" collapsed="false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54</v>
      </c>
      <c r="L4" s="6" t="s">
        <v>55</v>
      </c>
      <c r="M4" s="6" t="s">
        <v>56</v>
      </c>
      <c r="N4" s="6" t="s">
        <v>57</v>
      </c>
      <c r="O4" s="6" t="s">
        <v>58</v>
      </c>
    </row>
    <row r="5" customFormat="false" ht="32.8" hidden="false" customHeight="false" outlineLevel="0" collapsed="false">
      <c r="A5" s="7" t="s">
        <v>59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64</v>
      </c>
      <c r="G5" s="8" t="s">
        <v>65</v>
      </c>
      <c r="H5" s="8" t="s">
        <v>66</v>
      </c>
      <c r="I5" s="8" t="s">
        <v>67</v>
      </c>
      <c r="J5" s="8" t="s">
        <v>68</v>
      </c>
      <c r="K5" s="8" t="s">
        <v>69</v>
      </c>
      <c r="L5" s="8" t="s">
        <v>70</v>
      </c>
      <c r="M5" s="8" t="s">
        <v>71</v>
      </c>
      <c r="N5" s="8" t="s">
        <v>35</v>
      </c>
      <c r="O5" s="9" t="s">
        <v>14</v>
      </c>
    </row>
    <row r="6" customFormat="false" ht="32.8" hidden="false" customHeight="false" outlineLevel="0" collapsed="false">
      <c r="A6" s="10" t="s">
        <v>72</v>
      </c>
      <c r="B6" s="11" t="s">
        <v>73</v>
      </c>
      <c r="C6" s="11" t="s">
        <v>61</v>
      </c>
      <c r="D6" s="11" t="s">
        <v>74</v>
      </c>
      <c r="E6" s="11" t="s">
        <v>63</v>
      </c>
      <c r="F6" s="11" t="s">
        <v>64</v>
      </c>
      <c r="G6" s="11" t="s">
        <v>75</v>
      </c>
      <c r="H6" s="11" t="s">
        <v>76</v>
      </c>
      <c r="I6" s="11" t="s">
        <v>77</v>
      </c>
      <c r="J6" s="11" t="s">
        <v>68</v>
      </c>
      <c r="K6" s="11" t="s">
        <v>69</v>
      </c>
      <c r="L6" s="11" t="s">
        <v>70</v>
      </c>
      <c r="M6" s="11" t="s">
        <v>71</v>
      </c>
      <c r="N6" s="11" t="s">
        <v>35</v>
      </c>
      <c r="O6" s="12" t="s">
        <v>14</v>
      </c>
    </row>
    <row r="7" customFormat="false" ht="32.8" hidden="false" customHeight="false" outlineLevel="0" collapsed="false">
      <c r="A7" s="10" t="s">
        <v>78</v>
      </c>
      <c r="B7" s="11" t="s">
        <v>79</v>
      </c>
      <c r="C7" s="11" t="s">
        <v>61</v>
      </c>
      <c r="D7" s="11" t="s">
        <v>80</v>
      </c>
      <c r="E7" s="11" t="s">
        <v>63</v>
      </c>
      <c r="F7" s="11" t="s">
        <v>64</v>
      </c>
      <c r="G7" s="11" t="s">
        <v>81</v>
      </c>
      <c r="H7" s="11" t="s">
        <v>82</v>
      </c>
      <c r="I7" s="11" t="s">
        <v>83</v>
      </c>
      <c r="J7" s="11" t="s">
        <v>68</v>
      </c>
      <c r="K7" s="11" t="s">
        <v>69</v>
      </c>
      <c r="L7" s="11" t="s">
        <v>70</v>
      </c>
      <c r="M7" s="11" t="s">
        <v>71</v>
      </c>
      <c r="N7" s="11" t="s">
        <v>35</v>
      </c>
      <c r="O7" s="12" t="s">
        <v>14</v>
      </c>
    </row>
    <row r="8" customFormat="false" ht="32.8" hidden="false" customHeight="false" outlineLevel="0" collapsed="false">
      <c r="A8" s="10" t="s">
        <v>84</v>
      </c>
      <c r="B8" s="11" t="s">
        <v>85</v>
      </c>
      <c r="C8" s="11" t="s">
        <v>61</v>
      </c>
      <c r="D8" s="11" t="s">
        <v>86</v>
      </c>
      <c r="E8" s="11" t="s">
        <v>63</v>
      </c>
      <c r="F8" s="11" t="s">
        <v>64</v>
      </c>
      <c r="G8" s="11" t="s">
        <v>81</v>
      </c>
      <c r="H8" s="11" t="s">
        <v>87</v>
      </c>
      <c r="I8" s="11" t="s">
        <v>88</v>
      </c>
      <c r="J8" s="11" t="s">
        <v>68</v>
      </c>
      <c r="K8" s="11" t="s">
        <v>69</v>
      </c>
      <c r="L8" s="11" t="s">
        <v>70</v>
      </c>
      <c r="M8" s="11" t="s">
        <v>71</v>
      </c>
      <c r="N8" s="11" t="s">
        <v>35</v>
      </c>
      <c r="O8" s="12" t="s">
        <v>14</v>
      </c>
    </row>
    <row r="9" customFormat="false" ht="43.25" hidden="false" customHeight="false" outlineLevel="0" collapsed="false">
      <c r="A9" s="10" t="s">
        <v>89</v>
      </c>
      <c r="B9" s="11" t="s">
        <v>90</v>
      </c>
      <c r="C9" s="11" t="s">
        <v>91</v>
      </c>
      <c r="D9" s="11" t="s">
        <v>92</v>
      </c>
      <c r="E9" s="11" t="s">
        <v>93</v>
      </c>
      <c r="F9" s="11" t="s">
        <v>94</v>
      </c>
      <c r="G9" s="11" t="s">
        <v>95</v>
      </c>
      <c r="H9" s="11" t="s">
        <v>96</v>
      </c>
      <c r="I9" s="11" t="s">
        <v>97</v>
      </c>
      <c r="J9" s="11" t="s">
        <v>68</v>
      </c>
      <c r="K9" s="11" t="s">
        <v>69</v>
      </c>
      <c r="L9" s="11" t="s">
        <v>70</v>
      </c>
      <c r="M9" s="11" t="s">
        <v>71</v>
      </c>
      <c r="N9" s="11" t="s">
        <v>35</v>
      </c>
      <c r="O9" s="12" t="s">
        <v>14</v>
      </c>
    </row>
    <row r="10" customFormat="false" ht="22.35" hidden="false" customHeight="false" outlineLevel="0" collapsed="false">
      <c r="A10" s="10" t="s">
        <v>98</v>
      </c>
      <c r="B10" s="11" t="s">
        <v>99</v>
      </c>
      <c r="C10" s="11" t="s">
        <v>91</v>
      </c>
      <c r="D10" s="11" t="s">
        <v>100</v>
      </c>
      <c r="E10" s="11" t="s">
        <v>101</v>
      </c>
      <c r="F10" s="11" t="s">
        <v>94</v>
      </c>
      <c r="G10" s="11" t="s">
        <v>95</v>
      </c>
      <c r="H10" s="11" t="s">
        <v>102</v>
      </c>
      <c r="I10" s="11" t="s">
        <v>103</v>
      </c>
      <c r="J10" s="11" t="s">
        <v>68</v>
      </c>
      <c r="K10" s="11" t="s">
        <v>69</v>
      </c>
      <c r="L10" s="11" t="s">
        <v>70</v>
      </c>
      <c r="M10" s="11" t="s">
        <v>71</v>
      </c>
      <c r="N10" s="11" t="s">
        <v>35</v>
      </c>
      <c r="O10" s="12" t="s">
        <v>14</v>
      </c>
    </row>
    <row r="11" customFormat="false" ht="43.25" hidden="false" customHeight="false" outlineLevel="0" collapsed="false">
      <c r="A11" s="10" t="s">
        <v>104</v>
      </c>
      <c r="B11" s="11" t="s">
        <v>105</v>
      </c>
      <c r="C11" s="11" t="s">
        <v>91</v>
      </c>
      <c r="D11" s="11" t="s">
        <v>106</v>
      </c>
      <c r="E11" s="11" t="s">
        <v>93</v>
      </c>
      <c r="F11" s="11" t="s">
        <v>107</v>
      </c>
      <c r="G11" s="11" t="s">
        <v>108</v>
      </c>
      <c r="H11" s="11" t="s">
        <v>109</v>
      </c>
      <c r="I11" s="11" t="s">
        <v>110</v>
      </c>
      <c r="J11" s="11" t="s">
        <v>68</v>
      </c>
      <c r="K11" s="11" t="s">
        <v>69</v>
      </c>
      <c r="L11" s="11" t="s">
        <v>70</v>
      </c>
      <c r="M11" s="11" t="s">
        <v>71</v>
      </c>
      <c r="N11" s="11" t="s">
        <v>35</v>
      </c>
      <c r="O11" s="12" t="s">
        <v>14</v>
      </c>
    </row>
    <row r="12" customFormat="false" ht="32.8" hidden="false" customHeight="false" outlineLevel="0" collapsed="false">
      <c r="A12" s="10" t="s">
        <v>111</v>
      </c>
      <c r="B12" s="11" t="s">
        <v>112</v>
      </c>
      <c r="C12" s="11" t="s">
        <v>91</v>
      </c>
      <c r="D12" s="11" t="s">
        <v>113</v>
      </c>
      <c r="E12" s="11" t="s">
        <v>114</v>
      </c>
      <c r="F12" s="11" t="s">
        <v>94</v>
      </c>
      <c r="G12" s="11" t="s">
        <v>115</v>
      </c>
      <c r="H12" s="11" t="s">
        <v>116</v>
      </c>
      <c r="I12" s="11" t="s">
        <v>117</v>
      </c>
      <c r="J12" s="11" t="s">
        <v>68</v>
      </c>
      <c r="K12" s="11" t="s">
        <v>69</v>
      </c>
      <c r="L12" s="11" t="s">
        <v>70</v>
      </c>
      <c r="M12" s="11" t="s">
        <v>71</v>
      </c>
      <c r="N12" s="11" t="s">
        <v>35</v>
      </c>
      <c r="O12" s="12" t="s">
        <v>14</v>
      </c>
    </row>
    <row r="13" customFormat="false" ht="32.8" hidden="false" customHeight="false" outlineLevel="0" collapsed="false">
      <c r="A13" s="10" t="s">
        <v>118</v>
      </c>
      <c r="B13" s="11" t="s">
        <v>119</v>
      </c>
      <c r="C13" s="11" t="s">
        <v>120</v>
      </c>
      <c r="D13" s="11" t="s">
        <v>121</v>
      </c>
      <c r="E13" s="11" t="s">
        <v>63</v>
      </c>
      <c r="F13" s="11" t="s">
        <v>122</v>
      </c>
      <c r="G13" s="11" t="s">
        <v>123</v>
      </c>
      <c r="H13" s="11" t="s">
        <v>124</v>
      </c>
      <c r="I13" s="11" t="s">
        <v>125</v>
      </c>
      <c r="J13" s="11" t="s">
        <v>68</v>
      </c>
      <c r="K13" s="11" t="s">
        <v>69</v>
      </c>
      <c r="L13" s="11" t="s">
        <v>70</v>
      </c>
      <c r="M13" s="11" t="s">
        <v>71</v>
      </c>
      <c r="N13" s="11" t="s">
        <v>35</v>
      </c>
      <c r="O13" s="12" t="s">
        <v>14</v>
      </c>
    </row>
    <row r="14" customFormat="false" ht="32.8" hidden="false" customHeight="false" outlineLevel="0" collapsed="false">
      <c r="A14" s="10" t="s">
        <v>126</v>
      </c>
      <c r="B14" s="11" t="s">
        <v>127</v>
      </c>
      <c r="C14" s="11" t="s">
        <v>120</v>
      </c>
      <c r="D14" s="11" t="s">
        <v>128</v>
      </c>
      <c r="E14" s="11" t="s">
        <v>63</v>
      </c>
      <c r="F14" s="11" t="s">
        <v>122</v>
      </c>
      <c r="G14" s="11" t="s">
        <v>129</v>
      </c>
      <c r="H14" s="11" t="s">
        <v>130</v>
      </c>
      <c r="I14" s="11" t="s">
        <v>131</v>
      </c>
      <c r="J14" s="11" t="s">
        <v>68</v>
      </c>
      <c r="K14" s="11" t="s">
        <v>69</v>
      </c>
      <c r="L14" s="11" t="s">
        <v>70</v>
      </c>
      <c r="M14" s="11" t="s">
        <v>71</v>
      </c>
      <c r="N14" s="11" t="s">
        <v>35</v>
      </c>
      <c r="O14" s="12" t="s">
        <v>14</v>
      </c>
    </row>
    <row r="15" customFormat="false" ht="32.8" hidden="false" customHeight="false" outlineLevel="0" collapsed="false">
      <c r="A15" s="10" t="s">
        <v>132</v>
      </c>
      <c r="B15" s="11" t="s">
        <v>133</v>
      </c>
      <c r="C15" s="11" t="s">
        <v>120</v>
      </c>
      <c r="D15" s="11" t="s">
        <v>134</v>
      </c>
      <c r="E15" s="11" t="s">
        <v>63</v>
      </c>
      <c r="F15" s="11" t="s">
        <v>122</v>
      </c>
      <c r="G15" s="11" t="s">
        <v>135</v>
      </c>
      <c r="H15" s="11" t="s">
        <v>136</v>
      </c>
      <c r="I15" s="11" t="s">
        <v>137</v>
      </c>
      <c r="J15" s="11" t="s">
        <v>68</v>
      </c>
      <c r="K15" s="11" t="s">
        <v>69</v>
      </c>
      <c r="L15" s="11" t="s">
        <v>70</v>
      </c>
      <c r="M15" s="11" t="s">
        <v>71</v>
      </c>
      <c r="N15" s="11" t="s">
        <v>35</v>
      </c>
      <c r="O15" s="12" t="s">
        <v>14</v>
      </c>
    </row>
    <row r="16" customFormat="false" ht="32.8" hidden="false" customHeight="false" outlineLevel="0" collapsed="false">
      <c r="A16" s="10" t="s">
        <v>138</v>
      </c>
      <c r="B16" s="11" t="s">
        <v>139</v>
      </c>
      <c r="C16" s="11" t="s">
        <v>120</v>
      </c>
      <c r="D16" s="11" t="s">
        <v>140</v>
      </c>
      <c r="E16" s="11" t="s">
        <v>63</v>
      </c>
      <c r="F16" s="11" t="s">
        <v>122</v>
      </c>
      <c r="G16" s="11" t="s">
        <v>141</v>
      </c>
      <c r="H16" s="11" t="s">
        <v>142</v>
      </c>
      <c r="I16" s="11" t="s">
        <v>143</v>
      </c>
      <c r="J16" s="11" t="s">
        <v>68</v>
      </c>
      <c r="K16" s="11" t="s">
        <v>69</v>
      </c>
      <c r="L16" s="11" t="s">
        <v>70</v>
      </c>
      <c r="M16" s="11" t="s">
        <v>71</v>
      </c>
      <c r="N16" s="11" t="s">
        <v>35</v>
      </c>
      <c r="O16" s="12" t="s">
        <v>14</v>
      </c>
    </row>
    <row r="17" customFormat="false" ht="32.8" hidden="false" customHeight="false" outlineLevel="0" collapsed="false">
      <c r="A17" s="10" t="s">
        <v>144</v>
      </c>
      <c r="B17" s="11" t="s">
        <v>145</v>
      </c>
      <c r="C17" s="11" t="s">
        <v>146</v>
      </c>
      <c r="D17" s="11" t="s">
        <v>147</v>
      </c>
      <c r="E17" s="11" t="s">
        <v>148</v>
      </c>
      <c r="F17" s="11" t="s">
        <v>122</v>
      </c>
      <c r="G17" s="11" t="s">
        <v>149</v>
      </c>
      <c r="H17" s="11" t="s">
        <v>150</v>
      </c>
      <c r="I17" s="11" t="s">
        <v>151</v>
      </c>
      <c r="J17" s="11" t="s">
        <v>68</v>
      </c>
      <c r="K17" s="11" t="s">
        <v>69</v>
      </c>
      <c r="L17" s="11" t="s">
        <v>70</v>
      </c>
      <c r="M17" s="11" t="s">
        <v>71</v>
      </c>
      <c r="N17" s="11" t="s">
        <v>35</v>
      </c>
      <c r="O17" s="12" t="s">
        <v>14</v>
      </c>
    </row>
    <row r="18" customFormat="false" ht="32.8" hidden="false" customHeight="false" outlineLevel="0" collapsed="false">
      <c r="A18" s="10" t="s">
        <v>152</v>
      </c>
      <c r="B18" s="11" t="s">
        <v>153</v>
      </c>
      <c r="C18" s="11" t="s">
        <v>146</v>
      </c>
      <c r="D18" s="11" t="s">
        <v>154</v>
      </c>
      <c r="E18" s="11" t="s">
        <v>148</v>
      </c>
      <c r="F18" s="11" t="s">
        <v>122</v>
      </c>
      <c r="G18" s="11" t="s">
        <v>155</v>
      </c>
      <c r="H18" s="11" t="s">
        <v>156</v>
      </c>
      <c r="I18" s="11" t="s">
        <v>157</v>
      </c>
      <c r="J18" s="11" t="s">
        <v>68</v>
      </c>
      <c r="K18" s="11" t="s">
        <v>69</v>
      </c>
      <c r="L18" s="11" t="s">
        <v>70</v>
      </c>
      <c r="M18" s="11" t="s">
        <v>71</v>
      </c>
      <c r="N18" s="11" t="s">
        <v>35</v>
      </c>
      <c r="O18" s="12" t="s">
        <v>14</v>
      </c>
    </row>
    <row r="19" customFormat="false" ht="32.8" hidden="false" customHeight="false" outlineLevel="0" collapsed="false">
      <c r="A19" s="10" t="s">
        <v>158</v>
      </c>
      <c r="B19" s="11" t="s">
        <v>159</v>
      </c>
      <c r="C19" s="11" t="s">
        <v>146</v>
      </c>
      <c r="D19" s="11" t="s">
        <v>160</v>
      </c>
      <c r="E19" s="11" t="s">
        <v>148</v>
      </c>
      <c r="F19" s="11" t="s">
        <v>122</v>
      </c>
      <c r="G19" s="11" t="s">
        <v>161</v>
      </c>
      <c r="H19" s="11" t="s">
        <v>162</v>
      </c>
      <c r="I19" s="11" t="s">
        <v>163</v>
      </c>
      <c r="J19" s="11" t="s">
        <v>68</v>
      </c>
      <c r="K19" s="11" t="s">
        <v>69</v>
      </c>
      <c r="L19" s="11" t="s">
        <v>70</v>
      </c>
      <c r="M19" s="11" t="s">
        <v>71</v>
      </c>
      <c r="N19" s="11" t="s">
        <v>35</v>
      </c>
      <c r="O19" s="12" t="s">
        <v>14</v>
      </c>
    </row>
    <row r="20" customFormat="false" ht="32.8" hidden="false" customHeight="false" outlineLevel="0" collapsed="false">
      <c r="A20" s="10" t="s">
        <v>164</v>
      </c>
      <c r="B20" s="11" t="s">
        <v>165</v>
      </c>
      <c r="C20" s="11" t="s">
        <v>146</v>
      </c>
      <c r="D20" s="11" t="s">
        <v>166</v>
      </c>
      <c r="E20" s="11" t="s">
        <v>148</v>
      </c>
      <c r="F20" s="11" t="s">
        <v>122</v>
      </c>
      <c r="G20" s="11" t="s">
        <v>167</v>
      </c>
      <c r="H20" s="11" t="s">
        <v>168</v>
      </c>
      <c r="I20" s="11" t="s">
        <v>169</v>
      </c>
      <c r="J20" s="11" t="s">
        <v>68</v>
      </c>
      <c r="K20" s="11" t="s">
        <v>69</v>
      </c>
      <c r="L20" s="11" t="s">
        <v>70</v>
      </c>
      <c r="M20" s="11" t="s">
        <v>71</v>
      </c>
      <c r="N20" s="11" t="s">
        <v>35</v>
      </c>
      <c r="O20" s="12" t="s">
        <v>14</v>
      </c>
    </row>
    <row r="21" customFormat="false" ht="32.8" hidden="false" customHeight="false" outlineLevel="0" collapsed="false">
      <c r="A21" s="10" t="s">
        <v>170</v>
      </c>
      <c r="B21" s="11" t="s">
        <v>171</v>
      </c>
      <c r="C21" s="11" t="s">
        <v>146</v>
      </c>
      <c r="D21" s="11" t="s">
        <v>172</v>
      </c>
      <c r="E21" s="11" t="s">
        <v>148</v>
      </c>
      <c r="F21" s="11" t="s">
        <v>122</v>
      </c>
      <c r="G21" s="11" t="s">
        <v>167</v>
      </c>
      <c r="H21" s="11" t="s">
        <v>173</v>
      </c>
      <c r="I21" s="11" t="s">
        <v>174</v>
      </c>
      <c r="J21" s="11" t="s">
        <v>68</v>
      </c>
      <c r="K21" s="11" t="s">
        <v>69</v>
      </c>
      <c r="L21" s="11" t="s">
        <v>70</v>
      </c>
      <c r="M21" s="11" t="s">
        <v>71</v>
      </c>
      <c r="N21" s="11" t="s">
        <v>35</v>
      </c>
      <c r="O21" s="12" t="s">
        <v>14</v>
      </c>
    </row>
    <row r="22" customFormat="false" ht="22.35" hidden="false" customHeight="false" outlineLevel="0" collapsed="false">
      <c r="A22" s="10" t="s">
        <v>175</v>
      </c>
      <c r="B22" s="11" t="s">
        <v>176</v>
      </c>
      <c r="C22" s="11" t="s">
        <v>177</v>
      </c>
      <c r="D22" s="11" t="s">
        <v>178</v>
      </c>
      <c r="E22" s="11" t="s">
        <v>179</v>
      </c>
      <c r="F22" s="11" t="s">
        <v>180</v>
      </c>
      <c r="G22" s="11" t="s">
        <v>181</v>
      </c>
      <c r="H22" s="11" t="s">
        <v>182</v>
      </c>
      <c r="I22" s="11" t="s">
        <v>183</v>
      </c>
      <c r="J22" s="11" t="s">
        <v>68</v>
      </c>
      <c r="K22" s="11" t="s">
        <v>69</v>
      </c>
      <c r="L22" s="11" t="s">
        <v>70</v>
      </c>
      <c r="M22" s="11" t="s">
        <v>71</v>
      </c>
      <c r="N22" s="11" t="s">
        <v>35</v>
      </c>
      <c r="O22" s="12" t="s">
        <v>14</v>
      </c>
    </row>
    <row r="23" customFormat="false" ht="32.8" hidden="false" customHeight="false" outlineLevel="0" collapsed="false">
      <c r="A23" s="10" t="s">
        <v>184</v>
      </c>
      <c r="B23" s="11" t="s">
        <v>185</v>
      </c>
      <c r="C23" s="11" t="s">
        <v>186</v>
      </c>
      <c r="D23" s="11" t="s">
        <v>187</v>
      </c>
      <c r="E23" s="11" t="s">
        <v>63</v>
      </c>
      <c r="F23" s="11" t="s">
        <v>122</v>
      </c>
      <c r="G23" s="11" t="s">
        <v>123</v>
      </c>
      <c r="H23" s="11" t="s">
        <v>188</v>
      </c>
      <c r="I23" s="11" t="s">
        <v>189</v>
      </c>
      <c r="J23" s="11" t="s">
        <v>68</v>
      </c>
      <c r="K23" s="11" t="s">
        <v>69</v>
      </c>
      <c r="L23" s="11" t="s">
        <v>70</v>
      </c>
      <c r="M23" s="11" t="s">
        <v>71</v>
      </c>
      <c r="N23" s="11" t="s">
        <v>35</v>
      </c>
      <c r="O23" s="12" t="s">
        <v>14</v>
      </c>
    </row>
    <row r="24" customFormat="false" ht="32.8" hidden="false" customHeight="false" outlineLevel="0" collapsed="false">
      <c r="A24" s="10" t="s">
        <v>190</v>
      </c>
      <c r="B24" s="11" t="s">
        <v>191</v>
      </c>
      <c r="C24" s="11" t="s">
        <v>186</v>
      </c>
      <c r="D24" s="11" t="s">
        <v>192</v>
      </c>
      <c r="E24" s="11" t="s">
        <v>63</v>
      </c>
      <c r="F24" s="11" t="s">
        <v>122</v>
      </c>
      <c r="G24" s="11" t="s">
        <v>193</v>
      </c>
      <c r="H24" s="11" t="s">
        <v>194</v>
      </c>
      <c r="I24" s="11" t="s">
        <v>195</v>
      </c>
      <c r="J24" s="11" t="s">
        <v>68</v>
      </c>
      <c r="K24" s="11" t="s">
        <v>69</v>
      </c>
      <c r="L24" s="11" t="s">
        <v>70</v>
      </c>
      <c r="M24" s="11" t="s">
        <v>71</v>
      </c>
      <c r="N24" s="11" t="s">
        <v>35</v>
      </c>
      <c r="O24" s="12" t="s">
        <v>14</v>
      </c>
    </row>
    <row r="25" customFormat="false" ht="32.8" hidden="false" customHeight="false" outlineLevel="0" collapsed="false">
      <c r="A25" s="10" t="s">
        <v>196</v>
      </c>
      <c r="B25" s="11" t="s">
        <v>197</v>
      </c>
      <c r="C25" s="11" t="s">
        <v>186</v>
      </c>
      <c r="D25" s="11" t="s">
        <v>198</v>
      </c>
      <c r="E25" s="11" t="s">
        <v>63</v>
      </c>
      <c r="F25" s="11" t="s">
        <v>199</v>
      </c>
      <c r="G25" s="11" t="s">
        <v>108</v>
      </c>
      <c r="H25" s="11" t="s">
        <v>200</v>
      </c>
      <c r="I25" s="11" t="s">
        <v>201</v>
      </c>
      <c r="J25" s="11" t="s">
        <v>68</v>
      </c>
      <c r="K25" s="11" t="s">
        <v>69</v>
      </c>
      <c r="L25" s="11" t="s">
        <v>70</v>
      </c>
      <c r="M25" s="11" t="s">
        <v>71</v>
      </c>
      <c r="N25" s="11" t="s">
        <v>35</v>
      </c>
      <c r="O25" s="12" t="s">
        <v>14</v>
      </c>
    </row>
    <row r="26" customFormat="false" ht="32.8" hidden="false" customHeight="false" outlineLevel="0" collapsed="false">
      <c r="A26" s="10" t="s">
        <v>202</v>
      </c>
      <c r="B26" s="11" t="s">
        <v>203</v>
      </c>
      <c r="C26" s="11" t="s">
        <v>186</v>
      </c>
      <c r="D26" s="11" t="s">
        <v>204</v>
      </c>
      <c r="E26" s="11" t="s">
        <v>63</v>
      </c>
      <c r="F26" s="11" t="s">
        <v>205</v>
      </c>
      <c r="G26" s="11" t="s">
        <v>123</v>
      </c>
      <c r="H26" s="11" t="s">
        <v>206</v>
      </c>
      <c r="I26" s="11" t="s">
        <v>207</v>
      </c>
      <c r="J26" s="11" t="s">
        <v>68</v>
      </c>
      <c r="K26" s="11" t="s">
        <v>69</v>
      </c>
      <c r="L26" s="11" t="s">
        <v>70</v>
      </c>
      <c r="M26" s="11" t="s">
        <v>71</v>
      </c>
      <c r="N26" s="11" t="s">
        <v>35</v>
      </c>
      <c r="O26" s="12" t="s">
        <v>14</v>
      </c>
    </row>
    <row r="27" customFormat="false" ht="32.8" hidden="false" customHeight="false" outlineLevel="0" collapsed="false">
      <c r="A27" s="10" t="s">
        <v>208</v>
      </c>
      <c r="B27" s="11" t="s">
        <v>209</v>
      </c>
      <c r="C27" s="11" t="s">
        <v>210</v>
      </c>
      <c r="D27" s="11" t="s">
        <v>211</v>
      </c>
      <c r="E27" s="11" t="s">
        <v>148</v>
      </c>
      <c r="F27" s="11" t="s">
        <v>122</v>
      </c>
      <c r="G27" s="11" t="s">
        <v>212</v>
      </c>
      <c r="H27" s="11" t="s">
        <v>213</v>
      </c>
      <c r="I27" s="11" t="s">
        <v>214</v>
      </c>
      <c r="J27" s="11" t="s">
        <v>68</v>
      </c>
      <c r="K27" s="11" t="s">
        <v>69</v>
      </c>
      <c r="L27" s="11" t="s">
        <v>70</v>
      </c>
      <c r="M27" s="11" t="s">
        <v>71</v>
      </c>
      <c r="N27" s="11" t="s">
        <v>35</v>
      </c>
      <c r="O27" s="12" t="s">
        <v>14</v>
      </c>
    </row>
    <row r="28" customFormat="false" ht="32.8" hidden="false" customHeight="false" outlineLevel="0" collapsed="false">
      <c r="A28" s="10" t="s">
        <v>215</v>
      </c>
      <c r="B28" s="11" t="s">
        <v>216</v>
      </c>
      <c r="C28" s="11" t="s">
        <v>210</v>
      </c>
      <c r="D28" s="11" t="s">
        <v>217</v>
      </c>
      <c r="E28" s="11" t="s">
        <v>148</v>
      </c>
      <c r="F28" s="11" t="s">
        <v>122</v>
      </c>
      <c r="G28" s="11" t="s">
        <v>212</v>
      </c>
      <c r="H28" s="11" t="s">
        <v>218</v>
      </c>
      <c r="I28" s="11" t="s">
        <v>219</v>
      </c>
      <c r="J28" s="11" t="s">
        <v>68</v>
      </c>
      <c r="K28" s="11" t="s">
        <v>69</v>
      </c>
      <c r="L28" s="11" t="s">
        <v>70</v>
      </c>
      <c r="M28" s="11" t="s">
        <v>71</v>
      </c>
      <c r="N28" s="11" t="s">
        <v>35</v>
      </c>
      <c r="O28" s="12" t="s">
        <v>14</v>
      </c>
    </row>
    <row r="29" customFormat="false" ht="32.8" hidden="false" customHeight="false" outlineLevel="0" collapsed="false">
      <c r="A29" s="10" t="s">
        <v>220</v>
      </c>
      <c r="B29" s="11" t="s">
        <v>221</v>
      </c>
      <c r="C29" s="11" t="s">
        <v>210</v>
      </c>
      <c r="D29" s="11" t="s">
        <v>222</v>
      </c>
      <c r="E29" s="11" t="s">
        <v>148</v>
      </c>
      <c r="F29" s="11" t="s">
        <v>122</v>
      </c>
      <c r="G29" s="11" t="s">
        <v>212</v>
      </c>
      <c r="H29" s="11" t="s">
        <v>223</v>
      </c>
      <c r="I29" s="11" t="s">
        <v>224</v>
      </c>
      <c r="J29" s="11" t="s">
        <v>68</v>
      </c>
      <c r="K29" s="11" t="s">
        <v>69</v>
      </c>
      <c r="L29" s="11" t="s">
        <v>70</v>
      </c>
      <c r="M29" s="11" t="s">
        <v>71</v>
      </c>
      <c r="N29" s="11" t="s">
        <v>35</v>
      </c>
      <c r="O29" s="12" t="s">
        <v>14</v>
      </c>
    </row>
    <row r="30" customFormat="false" ht="22.35" hidden="false" customHeight="false" outlineLevel="0" collapsed="false">
      <c r="A30" s="10" t="s">
        <v>225</v>
      </c>
      <c r="B30" s="11" t="s">
        <v>226</v>
      </c>
      <c r="C30" s="11" t="s">
        <v>227</v>
      </c>
      <c r="D30" s="11" t="s">
        <v>228</v>
      </c>
      <c r="E30" s="11" t="s">
        <v>229</v>
      </c>
      <c r="F30" s="11" t="s">
        <v>230</v>
      </c>
      <c r="G30" s="11" t="s">
        <v>231</v>
      </c>
      <c r="H30" s="11" t="s">
        <v>232</v>
      </c>
      <c r="I30" s="11" t="s">
        <v>233</v>
      </c>
      <c r="J30" s="11" t="s">
        <v>234</v>
      </c>
      <c r="K30" s="11" t="s">
        <v>235</v>
      </c>
      <c r="L30" s="11" t="s">
        <v>236</v>
      </c>
      <c r="M30" s="11" t="s">
        <v>71</v>
      </c>
      <c r="N30" s="11" t="s">
        <v>237</v>
      </c>
      <c r="O30" s="12" t="s">
        <v>238</v>
      </c>
    </row>
    <row r="31" customFormat="false" ht="22.35" hidden="false" customHeight="false" outlineLevel="0" collapsed="false">
      <c r="A31" s="10" t="s">
        <v>239</v>
      </c>
      <c r="B31" s="11" t="s">
        <v>240</v>
      </c>
      <c r="C31" s="11" t="s">
        <v>227</v>
      </c>
      <c r="D31" s="11" t="s">
        <v>241</v>
      </c>
      <c r="E31" s="11" t="s">
        <v>229</v>
      </c>
      <c r="F31" s="11" t="s">
        <v>230</v>
      </c>
      <c r="G31" s="11" t="s">
        <v>242</v>
      </c>
      <c r="H31" s="11" t="s">
        <v>243</v>
      </c>
      <c r="I31" s="11" t="s">
        <v>244</v>
      </c>
      <c r="J31" s="11" t="s">
        <v>234</v>
      </c>
      <c r="K31" s="11" t="s">
        <v>235</v>
      </c>
      <c r="L31" s="11" t="s">
        <v>236</v>
      </c>
      <c r="M31" s="11" t="s">
        <v>71</v>
      </c>
      <c r="N31" s="11" t="s">
        <v>237</v>
      </c>
      <c r="O31" s="12" t="s">
        <v>238</v>
      </c>
    </row>
    <row r="32" customFormat="false" ht="22.35" hidden="false" customHeight="false" outlineLevel="0" collapsed="false">
      <c r="A32" s="10" t="s">
        <v>245</v>
      </c>
      <c r="B32" s="11" t="s">
        <v>246</v>
      </c>
      <c r="C32" s="11" t="s">
        <v>227</v>
      </c>
      <c r="D32" s="11" t="s">
        <v>247</v>
      </c>
      <c r="E32" s="11" t="s">
        <v>229</v>
      </c>
      <c r="F32" s="11" t="s">
        <v>230</v>
      </c>
      <c r="G32" s="11" t="s">
        <v>248</v>
      </c>
      <c r="H32" s="11" t="s">
        <v>249</v>
      </c>
      <c r="I32" s="11" t="s">
        <v>250</v>
      </c>
      <c r="J32" s="11" t="s">
        <v>234</v>
      </c>
      <c r="K32" s="11" t="s">
        <v>235</v>
      </c>
      <c r="L32" s="11" t="s">
        <v>236</v>
      </c>
      <c r="M32" s="11" t="s">
        <v>71</v>
      </c>
      <c r="N32" s="11" t="s">
        <v>237</v>
      </c>
      <c r="O32" s="12" t="s">
        <v>238</v>
      </c>
    </row>
    <row r="33" customFormat="false" ht="22.35" hidden="false" customHeight="false" outlineLevel="0" collapsed="false">
      <c r="A33" s="10" t="s">
        <v>251</v>
      </c>
      <c r="B33" s="11" t="s">
        <v>252</v>
      </c>
      <c r="C33" s="11" t="s">
        <v>253</v>
      </c>
      <c r="D33" s="11" t="s">
        <v>254</v>
      </c>
      <c r="E33" s="11" t="s">
        <v>255</v>
      </c>
      <c r="F33" s="11" t="s">
        <v>256</v>
      </c>
      <c r="G33" s="11" t="s">
        <v>257</v>
      </c>
      <c r="H33" s="11" t="s">
        <v>258</v>
      </c>
      <c r="I33" s="11" t="s">
        <v>259</v>
      </c>
      <c r="J33" s="11" t="s">
        <v>68</v>
      </c>
      <c r="K33" s="11" t="s">
        <v>69</v>
      </c>
      <c r="L33" s="11" t="s">
        <v>70</v>
      </c>
      <c r="M33" s="11" t="s">
        <v>71</v>
      </c>
      <c r="N33" s="11" t="s">
        <v>35</v>
      </c>
      <c r="O33" s="12" t="s">
        <v>14</v>
      </c>
    </row>
    <row r="34" customFormat="false" ht="32.8" hidden="false" customHeight="false" outlineLevel="0" collapsed="false">
      <c r="A34" s="10" t="s">
        <v>260</v>
      </c>
      <c r="B34" s="11" t="s">
        <v>261</v>
      </c>
      <c r="C34" s="11" t="s">
        <v>253</v>
      </c>
      <c r="D34" s="11" t="s">
        <v>262</v>
      </c>
      <c r="E34" s="11" t="s">
        <v>263</v>
      </c>
      <c r="F34" s="11" t="s">
        <v>264</v>
      </c>
      <c r="G34" s="11" t="s">
        <v>265</v>
      </c>
      <c r="H34" s="11" t="s">
        <v>266</v>
      </c>
      <c r="I34" s="11" t="s">
        <v>267</v>
      </c>
      <c r="J34" s="11" t="s">
        <v>68</v>
      </c>
      <c r="K34" s="11" t="s">
        <v>69</v>
      </c>
      <c r="L34" s="11" t="s">
        <v>70</v>
      </c>
      <c r="M34" s="11" t="s">
        <v>71</v>
      </c>
      <c r="N34" s="11" t="s">
        <v>35</v>
      </c>
      <c r="O34" s="12" t="s">
        <v>14</v>
      </c>
    </row>
    <row r="35" customFormat="false" ht="22.35" hidden="false" customHeight="false" outlineLevel="0" collapsed="false">
      <c r="A35" s="13" t="s">
        <v>268</v>
      </c>
      <c r="B35" s="14" t="s">
        <v>269</v>
      </c>
      <c r="C35" s="14" t="s">
        <v>253</v>
      </c>
      <c r="D35" s="14" t="s">
        <v>270</v>
      </c>
      <c r="E35" s="14" t="s">
        <v>255</v>
      </c>
      <c r="F35" s="14" t="s">
        <v>271</v>
      </c>
      <c r="G35" s="14" t="s">
        <v>272</v>
      </c>
      <c r="H35" s="14" t="s">
        <v>273</v>
      </c>
      <c r="I35" s="14" t="s">
        <v>274</v>
      </c>
      <c r="J35" s="14" t="s">
        <v>68</v>
      </c>
      <c r="K35" s="14" t="s">
        <v>69</v>
      </c>
      <c r="L35" s="14" t="s">
        <v>70</v>
      </c>
      <c r="M35" s="14" t="s">
        <v>71</v>
      </c>
      <c r="N35" s="14" t="s">
        <v>35</v>
      </c>
      <c r="O35" s="15" t="s">
        <v>14</v>
      </c>
    </row>
  </sheetData>
  <autoFilter ref="A1:O35">
    <filterColumn colId="0" hiddenButton="1"/>
  </autoFilter>
  <mergeCells count="2">
    <mergeCell ref="A1:O1"/>
    <mergeCell ref="A2:O2"/>
  </mergeCells>
  <conditionalFormatting sqref="K5:K35">
    <cfRule type="containsText" priority="2" operator="containsText" aboveAverage="0" equalAverage="0" bottom="0" percent="0" rank="0" text="BLOCK" dxfId="7">
      <formula>NOT(ISERROR(SEARCH("BLOCK",K5)))</formula>
    </cfRule>
    <cfRule type="containsText" priority="3" operator="containsText" aboveAverage="0" equalAverage="0" bottom="0" percent="0" rank="0" text="DRAFT" dxfId="8">
      <formula>NOT(ISERROR(SEARCH("DRAFT",K5)))</formula>
    </cfRule>
    <cfRule type="containsText" priority="4" operator="containsText" aboveAverage="0" equalAverage="0" bottom="0" percent="0" rank="0" text="PASS" dxfId="9">
      <formula>NOT(ISERROR(SEARCH("PASS",K5)))</formula>
    </cfRule>
  </conditionalFormatting>
  <conditionalFormatting sqref="L5:L35">
    <cfRule type="containsText" priority="5" operator="containsText" aboveAverage="0" equalAverage="0" bottom="0" percent="0" rank="0" text="BLOCK" dxfId="10">
      <formula>NOT(ISERROR(SEARCH("BLOCK",L5)))</formula>
    </cfRule>
    <cfRule type="containsText" priority="6" operator="containsText" aboveAverage="0" equalAverage="0" bottom="0" percent="0" rank="0" text="DRAFT" dxfId="11">
      <formula>NOT(ISERROR(SEARCH("DRAFT",L5)))</formula>
    </cfRule>
    <cfRule type="containsText" priority="7" operator="containsText" aboveAverage="0" equalAverage="0" bottom="0" percent="0" rank="0" text="PASS" dxfId="12">
      <formula>NOT(ISERROR(SEARCH("PASS",L5)))</formula>
    </cfRule>
  </conditionalFormatting>
  <conditionalFormatting sqref="M5:M35">
    <cfRule type="containsText" priority="8" operator="containsText" aboveAverage="0" equalAverage="0" bottom="0" percent="0" rank="0" text="BLOCK" dxfId="13">
      <formula>NOT(ISERROR(SEARCH("BLOCK",M5)))</formula>
    </cfRule>
    <cfRule type="containsText" priority="9" operator="containsText" aboveAverage="0" equalAverage="0" bottom="0" percent="0" rank="0" text="DRAFT" dxfId="14">
      <formula>NOT(ISERROR(SEARCH("DRAFT",M5)))</formula>
    </cfRule>
    <cfRule type="containsText" priority="10" operator="containsText" aboveAverage="0" equalAverage="0" bottom="0" percent="0" rank="0" text="PASS" dxfId="15">
      <formula>NOT(ISERROR(SEARCH("PASS",M5)))</formula>
    </cfRule>
  </conditionalFormatting>
  <conditionalFormatting sqref="N5:N35">
    <cfRule type="containsText" priority="11" operator="containsText" aboveAverage="0" equalAverage="0" bottom="0" percent="0" rank="0" text="BLOCK" dxfId="16">
      <formula>NOT(ISERROR(SEARCH("BLOCK",N5)))</formula>
    </cfRule>
    <cfRule type="containsText" priority="12" operator="containsText" aboveAverage="0" equalAverage="0" bottom="0" percent="0" rank="0" text="DRAFT" dxfId="17">
      <formula>NOT(ISERROR(SEARCH("DRAFT",N5)))</formula>
    </cfRule>
    <cfRule type="containsText" priority="13" operator="containsText" aboveAverage="0" equalAverage="0" bottom="0" percent="0" rank="0" text="PASS" dxfId="18">
      <formula>NOT(ISERROR(SEARCH("PASS",N5)))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true">
    <pageSetUpPr fitToPage="false"/>
  </sheetPr>
  <dimension ref="A1:Y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38"/>
    <col collapsed="false" customWidth="true" hidden="false" outlineLevel="0" max="18" min="8" style="0" width="16"/>
    <col collapsed="false" customWidth="true" hidden="false" outlineLevel="0" max="19" min="19" style="0" width="24"/>
    <col collapsed="false" customWidth="true" hidden="false" outlineLevel="0" max="20" min="20" style="0" width="16"/>
    <col collapsed="false" customWidth="true" hidden="false" outlineLevel="0" max="21" min="21" style="0" width="38"/>
    <col collapsed="false" customWidth="true" hidden="false" outlineLevel="0" max="24" min="22" style="0" width="16"/>
    <col collapsed="false" customWidth="true" hidden="false" outlineLevel="0" max="25" min="25" style="0" width="38"/>
  </cols>
  <sheetData>
    <row r="1" customFormat="false" ht="17.35" hidden="false" customHeight="false" outlineLevel="0" collapsed="false">
      <c r="A1" s="4" t="s">
        <v>275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" hidden="false" customHeight="true" outlineLevel="0" collapsed="false">
      <c r="A2" s="5" t="s">
        <v>276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4" customFormat="false" ht="50" hidden="false" customHeight="true" outlineLevel="0" collapsed="false">
      <c r="A4" s="6" t="s">
        <v>277</v>
      </c>
      <c r="B4" s="6" t="s">
        <v>45</v>
      </c>
      <c r="C4" s="6" t="s">
        <v>51</v>
      </c>
      <c r="D4" s="6" t="s">
        <v>52</v>
      </c>
      <c r="E4" s="6" t="s">
        <v>53</v>
      </c>
      <c r="F4" s="6" t="s">
        <v>278</v>
      </c>
      <c r="G4" s="6" t="s">
        <v>279</v>
      </c>
      <c r="H4" s="6" t="s">
        <v>280</v>
      </c>
      <c r="I4" s="6" t="s">
        <v>281</v>
      </c>
      <c r="J4" s="6" t="s">
        <v>282</v>
      </c>
      <c r="K4" s="6" t="s">
        <v>283</v>
      </c>
      <c r="L4" s="6" t="s">
        <v>284</v>
      </c>
      <c r="M4" s="6" t="s">
        <v>285</v>
      </c>
      <c r="N4" s="6" t="s">
        <v>286</v>
      </c>
      <c r="O4" s="6" t="s">
        <v>287</v>
      </c>
      <c r="P4" s="6" t="s">
        <v>288</v>
      </c>
      <c r="Q4" s="6" t="s">
        <v>289</v>
      </c>
      <c r="R4" s="6" t="s">
        <v>290</v>
      </c>
      <c r="S4" s="6" t="s">
        <v>291</v>
      </c>
      <c r="T4" s="6" t="s">
        <v>292</v>
      </c>
      <c r="U4" s="6" t="s">
        <v>293</v>
      </c>
      <c r="V4" s="6" t="s">
        <v>294</v>
      </c>
      <c r="W4" s="6" t="s">
        <v>295</v>
      </c>
      <c r="X4" s="6" t="s">
        <v>296</v>
      </c>
      <c r="Y4" s="6" t="s">
        <v>297</v>
      </c>
    </row>
    <row r="5" customFormat="false" ht="32.8" hidden="false" customHeight="false" outlineLevel="0" collapsed="false">
      <c r="A5" s="7" t="s">
        <v>298</v>
      </c>
      <c r="B5" s="8" t="s">
        <v>60</v>
      </c>
      <c r="C5" s="8" t="s">
        <v>66</v>
      </c>
      <c r="D5" s="8" t="s">
        <v>67</v>
      </c>
      <c r="E5" s="8" t="s">
        <v>68</v>
      </c>
      <c r="F5" s="8" t="s">
        <v>299</v>
      </c>
      <c r="G5" s="8" t="s">
        <v>300</v>
      </c>
      <c r="H5" s="8" t="s">
        <v>301</v>
      </c>
      <c r="I5" s="8" t="s">
        <v>302</v>
      </c>
      <c r="J5" s="8" t="s">
        <v>303</v>
      </c>
      <c r="K5" s="8" t="n">
        <v>140</v>
      </c>
      <c r="L5" s="8" t="s">
        <v>304</v>
      </c>
      <c r="M5" s="8" t="n">
        <v>140</v>
      </c>
      <c r="N5" s="8" t="s">
        <v>304</v>
      </c>
      <c r="O5" s="8" t="n">
        <v>130</v>
      </c>
      <c r="P5" s="8" t="s">
        <v>304</v>
      </c>
      <c r="Q5" s="8" t="n">
        <v>0</v>
      </c>
      <c r="R5" s="8" t="n">
        <v>10</v>
      </c>
      <c r="S5" s="8" t="s">
        <v>305</v>
      </c>
      <c r="T5" s="8" t="s">
        <v>306</v>
      </c>
      <c r="U5" s="8" t="s">
        <v>307</v>
      </c>
      <c r="V5" s="8" t="s">
        <v>308</v>
      </c>
      <c r="W5" s="8" t="s">
        <v>309</v>
      </c>
      <c r="X5" s="8" t="s">
        <v>310</v>
      </c>
      <c r="Y5" s="9" t="s">
        <v>311</v>
      </c>
    </row>
    <row r="6" customFormat="false" ht="32.8" hidden="false" customHeight="false" outlineLevel="0" collapsed="false">
      <c r="A6" s="10" t="s">
        <v>312</v>
      </c>
      <c r="B6" s="11" t="s">
        <v>60</v>
      </c>
      <c r="C6" s="11" t="s">
        <v>66</v>
      </c>
      <c r="D6" s="11" t="s">
        <v>67</v>
      </c>
      <c r="E6" s="11" t="s">
        <v>68</v>
      </c>
      <c r="F6" s="11" t="s">
        <v>313</v>
      </c>
      <c r="G6" s="11" t="s">
        <v>314</v>
      </c>
      <c r="H6" s="11" t="s">
        <v>301</v>
      </c>
      <c r="I6" s="11" t="s">
        <v>302</v>
      </c>
      <c r="J6" s="11" t="s">
        <v>303</v>
      </c>
      <c r="K6" s="11" t="n">
        <v>85</v>
      </c>
      <c r="L6" s="11" t="s">
        <v>304</v>
      </c>
      <c r="M6" s="11" t="n">
        <v>85</v>
      </c>
      <c r="N6" s="11" t="s">
        <v>304</v>
      </c>
      <c r="O6" s="11" t="n">
        <v>70</v>
      </c>
      <c r="P6" s="11" t="s">
        <v>304</v>
      </c>
      <c r="Q6" s="11" t="n">
        <v>0</v>
      </c>
      <c r="R6" s="11" t="n">
        <v>15</v>
      </c>
      <c r="S6" s="11" t="s">
        <v>305</v>
      </c>
      <c r="T6" s="11" t="s">
        <v>306</v>
      </c>
      <c r="U6" s="11" t="s">
        <v>307</v>
      </c>
      <c r="V6" s="11" t="s">
        <v>308</v>
      </c>
      <c r="W6" s="11" t="s">
        <v>309</v>
      </c>
      <c r="X6" s="11" t="s">
        <v>310</v>
      </c>
      <c r="Y6" s="12" t="s">
        <v>311</v>
      </c>
    </row>
    <row r="7" customFormat="false" ht="32.8" hidden="false" customHeight="false" outlineLevel="0" collapsed="false">
      <c r="A7" s="10" t="s">
        <v>315</v>
      </c>
      <c r="B7" s="11" t="s">
        <v>60</v>
      </c>
      <c r="C7" s="11" t="s">
        <v>66</v>
      </c>
      <c r="D7" s="11" t="s">
        <v>67</v>
      </c>
      <c r="E7" s="11" t="s">
        <v>68</v>
      </c>
      <c r="F7" s="11" t="s">
        <v>316</v>
      </c>
      <c r="G7" s="11" t="s">
        <v>317</v>
      </c>
      <c r="H7" s="11" t="s">
        <v>301</v>
      </c>
      <c r="I7" s="11" t="s">
        <v>302</v>
      </c>
      <c r="J7" s="11" t="s">
        <v>303</v>
      </c>
      <c r="K7" s="11" t="n">
        <v>2</v>
      </c>
      <c r="L7" s="11" t="s">
        <v>304</v>
      </c>
      <c r="M7" s="11" t="n">
        <v>2</v>
      </c>
      <c r="N7" s="11" t="s">
        <v>304</v>
      </c>
      <c r="O7" s="11" t="n">
        <v>2</v>
      </c>
      <c r="P7" s="11" t="s">
        <v>304</v>
      </c>
      <c r="Q7" s="11" t="n">
        <v>0</v>
      </c>
      <c r="R7" s="11" t="n">
        <v>0</v>
      </c>
      <c r="S7" s="11" t="s">
        <v>305</v>
      </c>
      <c r="T7" s="11" t="s">
        <v>306</v>
      </c>
      <c r="U7" s="11" t="s">
        <v>307</v>
      </c>
      <c r="V7" s="11" t="s">
        <v>308</v>
      </c>
      <c r="W7" s="11" t="s">
        <v>309</v>
      </c>
      <c r="X7" s="11" t="s">
        <v>310</v>
      </c>
      <c r="Y7" s="12" t="s">
        <v>311</v>
      </c>
    </row>
    <row r="8" customFormat="false" ht="32.8" hidden="false" customHeight="false" outlineLevel="0" collapsed="false">
      <c r="A8" s="10" t="s">
        <v>318</v>
      </c>
      <c r="B8" s="11" t="s">
        <v>60</v>
      </c>
      <c r="C8" s="11" t="s">
        <v>66</v>
      </c>
      <c r="D8" s="11" t="s">
        <v>67</v>
      </c>
      <c r="E8" s="11" t="s">
        <v>68</v>
      </c>
      <c r="F8" s="11" t="s">
        <v>319</v>
      </c>
      <c r="G8" s="11" t="s">
        <v>320</v>
      </c>
      <c r="H8" s="11" t="s">
        <v>301</v>
      </c>
      <c r="I8" s="11" t="s">
        <v>302</v>
      </c>
      <c r="J8" s="11" t="s">
        <v>303</v>
      </c>
      <c r="K8" s="11" t="n">
        <v>3</v>
      </c>
      <c r="L8" s="11" t="s">
        <v>304</v>
      </c>
      <c r="M8" s="11" t="n">
        <v>3</v>
      </c>
      <c r="N8" s="11" t="s">
        <v>304</v>
      </c>
      <c r="O8" s="11" t="n">
        <v>3</v>
      </c>
      <c r="P8" s="11" t="s">
        <v>304</v>
      </c>
      <c r="Q8" s="11" t="n">
        <v>0</v>
      </c>
      <c r="R8" s="11" t="n">
        <v>0</v>
      </c>
      <c r="S8" s="11" t="s">
        <v>305</v>
      </c>
      <c r="T8" s="11" t="s">
        <v>306</v>
      </c>
      <c r="U8" s="11" t="s">
        <v>307</v>
      </c>
      <c r="V8" s="11" t="s">
        <v>308</v>
      </c>
      <c r="W8" s="11" t="s">
        <v>309</v>
      </c>
      <c r="X8" s="11" t="s">
        <v>310</v>
      </c>
      <c r="Y8" s="12" t="s">
        <v>311</v>
      </c>
    </row>
    <row r="9" customFormat="false" ht="32.8" hidden="false" customHeight="false" outlineLevel="0" collapsed="false">
      <c r="A9" s="10" t="s">
        <v>321</v>
      </c>
      <c r="B9" s="11" t="s">
        <v>60</v>
      </c>
      <c r="C9" s="11" t="s">
        <v>66</v>
      </c>
      <c r="D9" s="11" t="s">
        <v>67</v>
      </c>
      <c r="E9" s="11" t="s">
        <v>68</v>
      </c>
      <c r="F9" s="11" t="s">
        <v>322</v>
      </c>
      <c r="G9" s="11" t="s">
        <v>323</v>
      </c>
      <c r="H9" s="11" t="s">
        <v>301</v>
      </c>
      <c r="I9" s="11" t="s">
        <v>302</v>
      </c>
      <c r="J9" s="11" t="s">
        <v>303</v>
      </c>
      <c r="K9" s="11" t="n">
        <v>8</v>
      </c>
      <c r="L9" s="11" t="s">
        <v>304</v>
      </c>
      <c r="M9" s="11" t="n">
        <v>8</v>
      </c>
      <c r="N9" s="11" t="s">
        <v>304</v>
      </c>
      <c r="O9" s="11" t="n">
        <v>8</v>
      </c>
      <c r="P9" s="11" t="s">
        <v>304</v>
      </c>
      <c r="Q9" s="11" t="n">
        <v>0</v>
      </c>
      <c r="R9" s="11" t="n">
        <v>0</v>
      </c>
      <c r="S9" s="11" t="s">
        <v>305</v>
      </c>
      <c r="T9" s="11" t="s">
        <v>306</v>
      </c>
      <c r="U9" s="11" t="s">
        <v>307</v>
      </c>
      <c r="V9" s="11" t="s">
        <v>308</v>
      </c>
      <c r="W9" s="11" t="s">
        <v>309</v>
      </c>
      <c r="X9" s="11" t="s">
        <v>310</v>
      </c>
      <c r="Y9" s="12" t="s">
        <v>311</v>
      </c>
    </row>
    <row r="10" customFormat="false" ht="32.8" hidden="false" customHeight="false" outlineLevel="0" collapsed="false">
      <c r="A10" s="10" t="s">
        <v>324</v>
      </c>
      <c r="B10" s="11" t="s">
        <v>60</v>
      </c>
      <c r="C10" s="11" t="s">
        <v>66</v>
      </c>
      <c r="D10" s="11" t="s">
        <v>67</v>
      </c>
      <c r="E10" s="11" t="s">
        <v>68</v>
      </c>
      <c r="F10" s="11" t="s">
        <v>325</v>
      </c>
      <c r="G10" s="11" t="s">
        <v>326</v>
      </c>
      <c r="H10" s="11" t="s">
        <v>301</v>
      </c>
      <c r="I10" s="11" t="s">
        <v>327</v>
      </c>
      <c r="J10" s="11" t="s">
        <v>328</v>
      </c>
      <c r="K10" s="11" t="n">
        <v>70</v>
      </c>
      <c r="L10" s="11" t="s">
        <v>304</v>
      </c>
      <c r="M10" s="11" t="n">
        <v>70</v>
      </c>
      <c r="N10" s="11" t="s">
        <v>304</v>
      </c>
      <c r="O10" s="11" t="n">
        <v>67</v>
      </c>
      <c r="P10" s="11" t="s">
        <v>304</v>
      </c>
      <c r="Q10" s="11" t="n">
        <v>0</v>
      </c>
      <c r="R10" s="11" t="n">
        <v>3</v>
      </c>
      <c r="S10" s="11" t="s">
        <v>305</v>
      </c>
      <c r="T10" s="11" t="s">
        <v>306</v>
      </c>
      <c r="U10" s="11" t="s">
        <v>307</v>
      </c>
      <c r="V10" s="11" t="s">
        <v>308</v>
      </c>
      <c r="W10" s="11" t="s">
        <v>309</v>
      </c>
      <c r="X10" s="11" t="s">
        <v>310</v>
      </c>
      <c r="Y10" s="12" t="s">
        <v>311</v>
      </c>
    </row>
    <row r="11" customFormat="false" ht="32.8" hidden="false" customHeight="false" outlineLevel="0" collapsed="false">
      <c r="A11" s="10" t="s">
        <v>329</v>
      </c>
      <c r="B11" s="11" t="s">
        <v>60</v>
      </c>
      <c r="C11" s="11" t="s">
        <v>66</v>
      </c>
      <c r="D11" s="11" t="s">
        <v>67</v>
      </c>
      <c r="E11" s="11" t="s">
        <v>68</v>
      </c>
      <c r="F11" s="11" t="s">
        <v>330</v>
      </c>
      <c r="G11" s="11" t="s">
        <v>331</v>
      </c>
      <c r="H11" s="11" t="s">
        <v>301</v>
      </c>
      <c r="I11" s="11" t="s">
        <v>327</v>
      </c>
      <c r="J11" s="11" t="s">
        <v>328</v>
      </c>
      <c r="K11" s="11" t="n">
        <v>2.2</v>
      </c>
      <c r="L11" s="11" t="s">
        <v>304</v>
      </c>
      <c r="M11" s="11" t="n">
        <v>2</v>
      </c>
      <c r="N11" s="11" t="s">
        <v>304</v>
      </c>
      <c r="O11" s="11" t="n">
        <v>2</v>
      </c>
      <c r="P11" s="11" t="s">
        <v>304</v>
      </c>
      <c r="Q11" s="11" t="n">
        <v>0.2</v>
      </c>
      <c r="R11" s="11" t="n">
        <v>0</v>
      </c>
      <c r="S11" s="11" t="s">
        <v>305</v>
      </c>
      <c r="T11" s="11" t="s">
        <v>306</v>
      </c>
      <c r="U11" s="11" t="s">
        <v>307</v>
      </c>
      <c r="V11" s="11" t="s">
        <v>308</v>
      </c>
      <c r="W11" s="11" t="s">
        <v>309</v>
      </c>
      <c r="X11" s="11" t="s">
        <v>310</v>
      </c>
      <c r="Y11" s="12" t="s">
        <v>311</v>
      </c>
    </row>
    <row r="12" customFormat="false" ht="32.8" hidden="false" customHeight="false" outlineLevel="0" collapsed="false">
      <c r="A12" s="10" t="s">
        <v>332</v>
      </c>
      <c r="B12" s="11" t="s">
        <v>60</v>
      </c>
      <c r="C12" s="11" t="s">
        <v>66</v>
      </c>
      <c r="D12" s="11" t="s">
        <v>67</v>
      </c>
      <c r="E12" s="11" t="s">
        <v>68</v>
      </c>
      <c r="F12" s="11" t="s">
        <v>333</v>
      </c>
      <c r="G12" s="11" t="s">
        <v>334</v>
      </c>
      <c r="H12" s="11" t="s">
        <v>301</v>
      </c>
      <c r="I12" s="11" t="s">
        <v>327</v>
      </c>
      <c r="J12" s="11" t="s">
        <v>328</v>
      </c>
      <c r="K12" s="11" t="n">
        <v>1</v>
      </c>
      <c r="L12" s="11" t="s">
        <v>304</v>
      </c>
      <c r="M12" s="11" t="n">
        <v>1</v>
      </c>
      <c r="N12" s="11" t="s">
        <v>304</v>
      </c>
      <c r="O12" s="11" t="n">
        <v>1</v>
      </c>
      <c r="P12" s="11" t="s">
        <v>304</v>
      </c>
      <c r="Q12" s="11" t="n">
        <v>0</v>
      </c>
      <c r="R12" s="11" t="n">
        <v>0</v>
      </c>
      <c r="S12" s="11" t="s">
        <v>305</v>
      </c>
      <c r="T12" s="11" t="s">
        <v>306</v>
      </c>
      <c r="U12" s="11" t="s">
        <v>307</v>
      </c>
      <c r="V12" s="11" t="s">
        <v>308</v>
      </c>
      <c r="W12" s="11" t="s">
        <v>309</v>
      </c>
      <c r="X12" s="11" t="s">
        <v>310</v>
      </c>
      <c r="Y12" s="12" t="s">
        <v>311</v>
      </c>
    </row>
    <row r="13" customFormat="false" ht="32.8" hidden="false" customHeight="false" outlineLevel="0" collapsed="false">
      <c r="A13" s="10" t="s">
        <v>335</v>
      </c>
      <c r="B13" s="11" t="s">
        <v>60</v>
      </c>
      <c r="C13" s="11" t="s">
        <v>66</v>
      </c>
      <c r="D13" s="11" t="s">
        <v>67</v>
      </c>
      <c r="E13" s="11" t="s">
        <v>68</v>
      </c>
      <c r="F13" s="11" t="s">
        <v>322</v>
      </c>
      <c r="G13" s="11" t="s">
        <v>323</v>
      </c>
      <c r="H13" s="11" t="s">
        <v>301</v>
      </c>
      <c r="I13" s="11" t="s">
        <v>327</v>
      </c>
      <c r="J13" s="11" t="s">
        <v>328</v>
      </c>
      <c r="K13" s="11" t="n">
        <v>10</v>
      </c>
      <c r="L13" s="11" t="s">
        <v>304</v>
      </c>
      <c r="M13" s="11" t="n">
        <v>10</v>
      </c>
      <c r="N13" s="11" t="s">
        <v>304</v>
      </c>
      <c r="O13" s="11" t="n">
        <v>10</v>
      </c>
      <c r="P13" s="11" t="s">
        <v>304</v>
      </c>
      <c r="Q13" s="11" t="n">
        <v>0</v>
      </c>
      <c r="R13" s="11" t="n">
        <v>0</v>
      </c>
      <c r="S13" s="11" t="s">
        <v>305</v>
      </c>
      <c r="T13" s="11" t="s">
        <v>306</v>
      </c>
      <c r="U13" s="11" t="s">
        <v>307</v>
      </c>
      <c r="V13" s="11" t="s">
        <v>308</v>
      </c>
      <c r="W13" s="11" t="s">
        <v>309</v>
      </c>
      <c r="X13" s="11" t="s">
        <v>310</v>
      </c>
      <c r="Y13" s="12" t="s">
        <v>311</v>
      </c>
    </row>
    <row r="14" customFormat="false" ht="32.8" hidden="false" customHeight="false" outlineLevel="0" collapsed="false">
      <c r="A14" s="10" t="s">
        <v>336</v>
      </c>
      <c r="B14" s="11" t="s">
        <v>60</v>
      </c>
      <c r="C14" s="11" t="s">
        <v>66</v>
      </c>
      <c r="D14" s="11" t="s">
        <v>67</v>
      </c>
      <c r="E14" s="11" t="s">
        <v>68</v>
      </c>
      <c r="F14" s="11" t="s">
        <v>337</v>
      </c>
      <c r="G14" s="11" t="s">
        <v>338</v>
      </c>
      <c r="H14" s="11" t="s">
        <v>301</v>
      </c>
      <c r="I14" s="11" t="s">
        <v>339</v>
      </c>
      <c r="J14" s="11"/>
      <c r="K14" s="11" t="n">
        <v>130</v>
      </c>
      <c r="L14" s="11" t="s">
        <v>304</v>
      </c>
      <c r="M14" s="11" t="n">
        <v>130</v>
      </c>
      <c r="N14" s="11" t="s">
        <v>304</v>
      </c>
      <c r="O14" s="11" t="n">
        <v>130</v>
      </c>
      <c r="P14" s="11" t="s">
        <v>304</v>
      </c>
      <c r="Q14" s="11" t="n">
        <v>0</v>
      </c>
      <c r="R14" s="11" t="n">
        <v>0</v>
      </c>
      <c r="S14" s="11" t="s">
        <v>305</v>
      </c>
      <c r="T14" s="11" t="s">
        <v>306</v>
      </c>
      <c r="U14" s="11" t="s">
        <v>307</v>
      </c>
      <c r="V14" s="11" t="s">
        <v>308</v>
      </c>
      <c r="W14" s="11" t="s">
        <v>309</v>
      </c>
      <c r="X14" s="11" t="s">
        <v>310</v>
      </c>
      <c r="Y14" s="12" t="s">
        <v>311</v>
      </c>
    </row>
    <row r="15" customFormat="false" ht="32.8" hidden="false" customHeight="false" outlineLevel="0" collapsed="false">
      <c r="A15" s="10" t="s">
        <v>340</v>
      </c>
      <c r="B15" s="11" t="s">
        <v>60</v>
      </c>
      <c r="C15" s="11" t="s">
        <v>66</v>
      </c>
      <c r="D15" s="11" t="s">
        <v>67</v>
      </c>
      <c r="E15" s="11" t="s">
        <v>68</v>
      </c>
      <c r="F15" s="11" t="s">
        <v>341</v>
      </c>
      <c r="G15" s="11" t="s">
        <v>342</v>
      </c>
      <c r="H15" s="11" t="s">
        <v>301</v>
      </c>
      <c r="I15" s="11" t="s">
        <v>339</v>
      </c>
      <c r="J15" s="11"/>
      <c r="K15" s="11" t="n">
        <v>10</v>
      </c>
      <c r="L15" s="11" t="s">
        <v>304</v>
      </c>
      <c r="M15" s="11" t="n">
        <v>10</v>
      </c>
      <c r="N15" s="11" t="s">
        <v>304</v>
      </c>
      <c r="O15" s="11" t="n">
        <v>10</v>
      </c>
      <c r="P15" s="11" t="s">
        <v>304</v>
      </c>
      <c r="Q15" s="11" t="n">
        <v>0</v>
      </c>
      <c r="R15" s="11" t="n">
        <v>0</v>
      </c>
      <c r="S15" s="11" t="s">
        <v>305</v>
      </c>
      <c r="T15" s="11" t="s">
        <v>306</v>
      </c>
      <c r="U15" s="11" t="s">
        <v>307</v>
      </c>
      <c r="V15" s="11" t="s">
        <v>308</v>
      </c>
      <c r="W15" s="11" t="s">
        <v>309</v>
      </c>
      <c r="X15" s="11" t="s">
        <v>310</v>
      </c>
      <c r="Y15" s="12" t="s">
        <v>311</v>
      </c>
    </row>
    <row r="16" customFormat="false" ht="32.8" hidden="false" customHeight="false" outlineLevel="0" collapsed="false">
      <c r="A16" s="10" t="s">
        <v>343</v>
      </c>
      <c r="B16" s="11" t="s">
        <v>60</v>
      </c>
      <c r="C16" s="11" t="s">
        <v>66</v>
      </c>
      <c r="D16" s="11" t="s">
        <v>67</v>
      </c>
      <c r="E16" s="11" t="s">
        <v>68</v>
      </c>
      <c r="F16" s="11" t="s">
        <v>344</v>
      </c>
      <c r="G16" s="11" t="s">
        <v>345</v>
      </c>
      <c r="H16" s="11" t="s">
        <v>301</v>
      </c>
      <c r="I16" s="11" t="s">
        <v>339</v>
      </c>
      <c r="J16" s="11"/>
      <c r="K16" s="11" t="n">
        <v>6</v>
      </c>
      <c r="L16" s="11" t="s">
        <v>304</v>
      </c>
      <c r="M16" s="11" t="n">
        <v>5</v>
      </c>
      <c r="N16" s="11" t="s">
        <v>304</v>
      </c>
      <c r="O16" s="11" t="n">
        <v>5</v>
      </c>
      <c r="P16" s="11" t="s">
        <v>304</v>
      </c>
      <c r="Q16" s="11" t="n">
        <v>1</v>
      </c>
      <c r="R16" s="11" t="n">
        <v>0</v>
      </c>
      <c r="S16" s="11" t="s">
        <v>305</v>
      </c>
      <c r="T16" s="11" t="s">
        <v>306</v>
      </c>
      <c r="U16" s="11" t="s">
        <v>307</v>
      </c>
      <c r="V16" s="11" t="s">
        <v>308</v>
      </c>
      <c r="W16" s="11" t="s">
        <v>309</v>
      </c>
      <c r="X16" s="11" t="s">
        <v>310</v>
      </c>
      <c r="Y16" s="12" t="s">
        <v>311</v>
      </c>
    </row>
    <row r="17" customFormat="false" ht="32.8" hidden="false" customHeight="false" outlineLevel="0" collapsed="false">
      <c r="A17" s="10" t="s">
        <v>346</v>
      </c>
      <c r="B17" s="11" t="s">
        <v>60</v>
      </c>
      <c r="C17" s="11" t="s">
        <v>66</v>
      </c>
      <c r="D17" s="11" t="s">
        <v>67</v>
      </c>
      <c r="E17" s="11" t="s">
        <v>68</v>
      </c>
      <c r="F17" s="11" t="s">
        <v>322</v>
      </c>
      <c r="G17" s="11" t="s">
        <v>323</v>
      </c>
      <c r="H17" s="11" t="s">
        <v>301</v>
      </c>
      <c r="I17" s="11" t="s">
        <v>347</v>
      </c>
      <c r="J17" s="11"/>
      <c r="K17" s="11" t="n">
        <v>12</v>
      </c>
      <c r="L17" s="11" t="s">
        <v>304</v>
      </c>
      <c r="M17" s="11" t="n">
        <v>12</v>
      </c>
      <c r="N17" s="11" t="s">
        <v>304</v>
      </c>
      <c r="O17" s="11" t="n">
        <v>12</v>
      </c>
      <c r="P17" s="11" t="s">
        <v>304</v>
      </c>
      <c r="Q17" s="11" t="n">
        <v>0</v>
      </c>
      <c r="R17" s="11" t="n">
        <v>0</v>
      </c>
      <c r="S17" s="11" t="s">
        <v>305</v>
      </c>
      <c r="T17" s="11" t="s">
        <v>306</v>
      </c>
      <c r="U17" s="11" t="s">
        <v>307</v>
      </c>
      <c r="V17" s="11" t="s">
        <v>308</v>
      </c>
      <c r="W17" s="11" t="s">
        <v>309</v>
      </c>
      <c r="X17" s="11" t="s">
        <v>310</v>
      </c>
      <c r="Y17" s="12" t="s">
        <v>311</v>
      </c>
    </row>
    <row r="18" customFormat="false" ht="32.8" hidden="false" customHeight="false" outlineLevel="0" collapsed="false">
      <c r="A18" s="10" t="s">
        <v>348</v>
      </c>
      <c r="B18" s="11" t="s">
        <v>73</v>
      </c>
      <c r="C18" s="11" t="s">
        <v>76</v>
      </c>
      <c r="D18" s="11" t="s">
        <v>77</v>
      </c>
      <c r="E18" s="11" t="s">
        <v>68</v>
      </c>
      <c r="F18" s="11" t="s">
        <v>299</v>
      </c>
      <c r="G18" s="11" t="s">
        <v>300</v>
      </c>
      <c r="H18" s="11" t="s">
        <v>301</v>
      </c>
      <c r="I18" s="11" t="s">
        <v>302</v>
      </c>
      <c r="J18" s="11" t="s">
        <v>303</v>
      </c>
      <c r="K18" s="11" t="n">
        <v>140</v>
      </c>
      <c r="L18" s="11" t="s">
        <v>304</v>
      </c>
      <c r="M18" s="11" t="n">
        <v>140</v>
      </c>
      <c r="N18" s="11" t="s">
        <v>304</v>
      </c>
      <c r="O18" s="11" t="n">
        <v>130</v>
      </c>
      <c r="P18" s="11" t="s">
        <v>304</v>
      </c>
      <c r="Q18" s="11" t="n">
        <v>0</v>
      </c>
      <c r="R18" s="11" t="n">
        <v>10</v>
      </c>
      <c r="S18" s="11" t="s">
        <v>305</v>
      </c>
      <c r="T18" s="11" t="s">
        <v>306</v>
      </c>
      <c r="U18" s="11" t="s">
        <v>307</v>
      </c>
      <c r="V18" s="11" t="s">
        <v>308</v>
      </c>
      <c r="W18" s="11" t="s">
        <v>309</v>
      </c>
      <c r="X18" s="11" t="s">
        <v>310</v>
      </c>
      <c r="Y18" s="12" t="s">
        <v>311</v>
      </c>
    </row>
    <row r="19" customFormat="false" ht="32.8" hidden="false" customHeight="false" outlineLevel="0" collapsed="false">
      <c r="A19" s="10" t="s">
        <v>349</v>
      </c>
      <c r="B19" s="11" t="s">
        <v>73</v>
      </c>
      <c r="C19" s="11" t="s">
        <v>76</v>
      </c>
      <c r="D19" s="11" t="s">
        <v>77</v>
      </c>
      <c r="E19" s="11" t="s">
        <v>68</v>
      </c>
      <c r="F19" s="11" t="s">
        <v>313</v>
      </c>
      <c r="G19" s="11" t="s">
        <v>314</v>
      </c>
      <c r="H19" s="11" t="s">
        <v>301</v>
      </c>
      <c r="I19" s="11" t="s">
        <v>302</v>
      </c>
      <c r="J19" s="11" t="s">
        <v>303</v>
      </c>
      <c r="K19" s="11" t="n">
        <v>85</v>
      </c>
      <c r="L19" s="11" t="s">
        <v>304</v>
      </c>
      <c r="M19" s="11" t="n">
        <v>85</v>
      </c>
      <c r="N19" s="11" t="s">
        <v>304</v>
      </c>
      <c r="O19" s="11" t="n">
        <v>70</v>
      </c>
      <c r="P19" s="11" t="s">
        <v>304</v>
      </c>
      <c r="Q19" s="11" t="n">
        <v>0</v>
      </c>
      <c r="R19" s="11" t="n">
        <v>15</v>
      </c>
      <c r="S19" s="11" t="s">
        <v>305</v>
      </c>
      <c r="T19" s="11" t="s">
        <v>306</v>
      </c>
      <c r="U19" s="11" t="s">
        <v>307</v>
      </c>
      <c r="V19" s="11" t="s">
        <v>308</v>
      </c>
      <c r="W19" s="11" t="s">
        <v>309</v>
      </c>
      <c r="X19" s="11" t="s">
        <v>310</v>
      </c>
      <c r="Y19" s="12" t="s">
        <v>311</v>
      </c>
    </row>
    <row r="20" customFormat="false" ht="32.8" hidden="false" customHeight="false" outlineLevel="0" collapsed="false">
      <c r="A20" s="10" t="s">
        <v>350</v>
      </c>
      <c r="B20" s="11" t="s">
        <v>73</v>
      </c>
      <c r="C20" s="11" t="s">
        <v>76</v>
      </c>
      <c r="D20" s="11" t="s">
        <v>77</v>
      </c>
      <c r="E20" s="11" t="s">
        <v>68</v>
      </c>
      <c r="F20" s="11" t="s">
        <v>316</v>
      </c>
      <c r="G20" s="11" t="s">
        <v>317</v>
      </c>
      <c r="H20" s="11" t="s">
        <v>301</v>
      </c>
      <c r="I20" s="11" t="s">
        <v>302</v>
      </c>
      <c r="J20" s="11" t="s">
        <v>303</v>
      </c>
      <c r="K20" s="11" t="n">
        <v>2</v>
      </c>
      <c r="L20" s="11" t="s">
        <v>304</v>
      </c>
      <c r="M20" s="11" t="n">
        <v>2</v>
      </c>
      <c r="N20" s="11" t="s">
        <v>304</v>
      </c>
      <c r="O20" s="11" t="n">
        <v>2</v>
      </c>
      <c r="P20" s="11" t="s">
        <v>304</v>
      </c>
      <c r="Q20" s="11" t="n">
        <v>0</v>
      </c>
      <c r="R20" s="11" t="n">
        <v>0</v>
      </c>
      <c r="S20" s="11" t="s">
        <v>305</v>
      </c>
      <c r="T20" s="11" t="s">
        <v>306</v>
      </c>
      <c r="U20" s="11" t="s">
        <v>307</v>
      </c>
      <c r="V20" s="11" t="s">
        <v>308</v>
      </c>
      <c r="W20" s="11" t="s">
        <v>309</v>
      </c>
      <c r="X20" s="11" t="s">
        <v>310</v>
      </c>
      <c r="Y20" s="12" t="s">
        <v>311</v>
      </c>
    </row>
    <row r="21" customFormat="false" ht="32.8" hidden="false" customHeight="false" outlineLevel="0" collapsed="false">
      <c r="A21" s="10" t="s">
        <v>351</v>
      </c>
      <c r="B21" s="11" t="s">
        <v>73</v>
      </c>
      <c r="C21" s="11" t="s">
        <v>76</v>
      </c>
      <c r="D21" s="11" t="s">
        <v>77</v>
      </c>
      <c r="E21" s="11" t="s">
        <v>68</v>
      </c>
      <c r="F21" s="11" t="s">
        <v>319</v>
      </c>
      <c r="G21" s="11" t="s">
        <v>320</v>
      </c>
      <c r="H21" s="11" t="s">
        <v>301</v>
      </c>
      <c r="I21" s="11" t="s">
        <v>302</v>
      </c>
      <c r="J21" s="11" t="s">
        <v>303</v>
      </c>
      <c r="K21" s="11" t="n">
        <v>3</v>
      </c>
      <c r="L21" s="11" t="s">
        <v>304</v>
      </c>
      <c r="M21" s="11" t="n">
        <v>3</v>
      </c>
      <c r="N21" s="11" t="s">
        <v>304</v>
      </c>
      <c r="O21" s="11" t="n">
        <v>3</v>
      </c>
      <c r="P21" s="11" t="s">
        <v>304</v>
      </c>
      <c r="Q21" s="11" t="n">
        <v>0</v>
      </c>
      <c r="R21" s="11" t="n">
        <v>0</v>
      </c>
      <c r="S21" s="11" t="s">
        <v>305</v>
      </c>
      <c r="T21" s="11" t="s">
        <v>306</v>
      </c>
      <c r="U21" s="11" t="s">
        <v>307</v>
      </c>
      <c r="V21" s="11" t="s">
        <v>308</v>
      </c>
      <c r="W21" s="11" t="s">
        <v>309</v>
      </c>
      <c r="X21" s="11" t="s">
        <v>310</v>
      </c>
      <c r="Y21" s="12" t="s">
        <v>311</v>
      </c>
    </row>
    <row r="22" customFormat="false" ht="32.8" hidden="false" customHeight="false" outlineLevel="0" collapsed="false">
      <c r="A22" s="10" t="s">
        <v>352</v>
      </c>
      <c r="B22" s="11" t="s">
        <v>73</v>
      </c>
      <c r="C22" s="11" t="s">
        <v>76</v>
      </c>
      <c r="D22" s="11" t="s">
        <v>77</v>
      </c>
      <c r="E22" s="11" t="s">
        <v>68</v>
      </c>
      <c r="F22" s="11" t="s">
        <v>322</v>
      </c>
      <c r="G22" s="11" t="s">
        <v>323</v>
      </c>
      <c r="H22" s="11" t="s">
        <v>301</v>
      </c>
      <c r="I22" s="11" t="s">
        <v>302</v>
      </c>
      <c r="J22" s="11" t="s">
        <v>303</v>
      </c>
      <c r="K22" s="11" t="n">
        <v>15</v>
      </c>
      <c r="L22" s="11" t="s">
        <v>304</v>
      </c>
      <c r="M22" s="11" t="n">
        <v>15</v>
      </c>
      <c r="N22" s="11" t="s">
        <v>304</v>
      </c>
      <c r="O22" s="11" t="n">
        <v>15</v>
      </c>
      <c r="P22" s="11" t="s">
        <v>304</v>
      </c>
      <c r="Q22" s="11" t="n">
        <v>0</v>
      </c>
      <c r="R22" s="11" t="n">
        <v>0</v>
      </c>
      <c r="S22" s="11" t="s">
        <v>305</v>
      </c>
      <c r="T22" s="11" t="s">
        <v>306</v>
      </c>
      <c r="U22" s="11" t="s">
        <v>307</v>
      </c>
      <c r="V22" s="11" t="s">
        <v>308</v>
      </c>
      <c r="W22" s="11" t="s">
        <v>309</v>
      </c>
      <c r="X22" s="11" t="s">
        <v>310</v>
      </c>
      <c r="Y22" s="12" t="s">
        <v>311</v>
      </c>
    </row>
    <row r="23" customFormat="false" ht="32.8" hidden="false" customHeight="false" outlineLevel="0" collapsed="false">
      <c r="A23" s="10" t="s">
        <v>353</v>
      </c>
      <c r="B23" s="11" t="s">
        <v>73</v>
      </c>
      <c r="C23" s="11" t="s">
        <v>76</v>
      </c>
      <c r="D23" s="11" t="s">
        <v>77</v>
      </c>
      <c r="E23" s="11" t="s">
        <v>68</v>
      </c>
      <c r="F23" s="11" t="s">
        <v>325</v>
      </c>
      <c r="G23" s="11" t="s">
        <v>326</v>
      </c>
      <c r="H23" s="11" t="s">
        <v>301</v>
      </c>
      <c r="I23" s="11" t="s">
        <v>327</v>
      </c>
      <c r="J23" s="11" t="s">
        <v>328</v>
      </c>
      <c r="K23" s="11" t="n">
        <v>45</v>
      </c>
      <c r="L23" s="11" t="s">
        <v>304</v>
      </c>
      <c r="M23" s="11" t="n">
        <v>45</v>
      </c>
      <c r="N23" s="11" t="s">
        <v>304</v>
      </c>
      <c r="O23" s="11" t="n">
        <v>42</v>
      </c>
      <c r="P23" s="11" t="s">
        <v>304</v>
      </c>
      <c r="Q23" s="11" t="n">
        <v>0</v>
      </c>
      <c r="R23" s="11" t="n">
        <v>3</v>
      </c>
      <c r="S23" s="11" t="s">
        <v>305</v>
      </c>
      <c r="T23" s="11" t="s">
        <v>306</v>
      </c>
      <c r="U23" s="11" t="s">
        <v>307</v>
      </c>
      <c r="V23" s="11" t="s">
        <v>308</v>
      </c>
      <c r="W23" s="11" t="s">
        <v>309</v>
      </c>
      <c r="X23" s="11" t="s">
        <v>310</v>
      </c>
      <c r="Y23" s="12" t="s">
        <v>311</v>
      </c>
    </row>
    <row r="24" customFormat="false" ht="32.8" hidden="false" customHeight="false" outlineLevel="0" collapsed="false">
      <c r="A24" s="10" t="s">
        <v>354</v>
      </c>
      <c r="B24" s="11" t="s">
        <v>73</v>
      </c>
      <c r="C24" s="11" t="s">
        <v>76</v>
      </c>
      <c r="D24" s="11" t="s">
        <v>77</v>
      </c>
      <c r="E24" s="11" t="s">
        <v>68</v>
      </c>
      <c r="F24" s="11" t="s">
        <v>330</v>
      </c>
      <c r="G24" s="11" t="s">
        <v>331</v>
      </c>
      <c r="H24" s="11" t="s">
        <v>301</v>
      </c>
      <c r="I24" s="11" t="s">
        <v>327</v>
      </c>
      <c r="J24" s="11" t="s">
        <v>328</v>
      </c>
      <c r="K24" s="11" t="n">
        <v>2.2</v>
      </c>
      <c r="L24" s="11" t="s">
        <v>304</v>
      </c>
      <c r="M24" s="11" t="n">
        <v>2</v>
      </c>
      <c r="N24" s="11" t="s">
        <v>304</v>
      </c>
      <c r="O24" s="11" t="n">
        <v>2</v>
      </c>
      <c r="P24" s="11" t="s">
        <v>304</v>
      </c>
      <c r="Q24" s="11" t="n">
        <v>0.2</v>
      </c>
      <c r="R24" s="11" t="n">
        <v>0</v>
      </c>
      <c r="S24" s="11" t="s">
        <v>305</v>
      </c>
      <c r="T24" s="11" t="s">
        <v>306</v>
      </c>
      <c r="U24" s="11" t="s">
        <v>307</v>
      </c>
      <c r="V24" s="11" t="s">
        <v>308</v>
      </c>
      <c r="W24" s="11" t="s">
        <v>309</v>
      </c>
      <c r="X24" s="11" t="s">
        <v>310</v>
      </c>
      <c r="Y24" s="12" t="s">
        <v>311</v>
      </c>
    </row>
    <row r="25" customFormat="false" ht="32.8" hidden="false" customHeight="false" outlineLevel="0" collapsed="false">
      <c r="A25" s="10" t="s">
        <v>355</v>
      </c>
      <c r="B25" s="11" t="s">
        <v>73</v>
      </c>
      <c r="C25" s="11" t="s">
        <v>76</v>
      </c>
      <c r="D25" s="11" t="s">
        <v>77</v>
      </c>
      <c r="E25" s="11" t="s">
        <v>68</v>
      </c>
      <c r="F25" s="11" t="s">
        <v>333</v>
      </c>
      <c r="G25" s="11" t="s">
        <v>334</v>
      </c>
      <c r="H25" s="11" t="s">
        <v>301</v>
      </c>
      <c r="I25" s="11" t="s">
        <v>327</v>
      </c>
      <c r="J25" s="11" t="s">
        <v>328</v>
      </c>
      <c r="K25" s="11" t="n">
        <v>1</v>
      </c>
      <c r="L25" s="11" t="s">
        <v>304</v>
      </c>
      <c r="M25" s="11" t="n">
        <v>1</v>
      </c>
      <c r="N25" s="11" t="s">
        <v>304</v>
      </c>
      <c r="O25" s="11" t="n">
        <v>1</v>
      </c>
      <c r="P25" s="11" t="s">
        <v>304</v>
      </c>
      <c r="Q25" s="11" t="n">
        <v>0</v>
      </c>
      <c r="R25" s="11" t="n">
        <v>0</v>
      </c>
      <c r="S25" s="11" t="s">
        <v>305</v>
      </c>
      <c r="T25" s="11" t="s">
        <v>306</v>
      </c>
      <c r="U25" s="11" t="s">
        <v>307</v>
      </c>
      <c r="V25" s="11" t="s">
        <v>308</v>
      </c>
      <c r="W25" s="11" t="s">
        <v>309</v>
      </c>
      <c r="X25" s="11" t="s">
        <v>310</v>
      </c>
      <c r="Y25" s="12" t="s">
        <v>311</v>
      </c>
    </row>
    <row r="26" customFormat="false" ht="32.8" hidden="false" customHeight="false" outlineLevel="0" collapsed="false">
      <c r="A26" s="10" t="s">
        <v>356</v>
      </c>
      <c r="B26" s="11" t="s">
        <v>73</v>
      </c>
      <c r="C26" s="11" t="s">
        <v>76</v>
      </c>
      <c r="D26" s="11" t="s">
        <v>77</v>
      </c>
      <c r="E26" s="11" t="s">
        <v>68</v>
      </c>
      <c r="F26" s="11" t="s">
        <v>322</v>
      </c>
      <c r="G26" s="11" t="s">
        <v>323</v>
      </c>
      <c r="H26" s="11" t="s">
        <v>301</v>
      </c>
      <c r="I26" s="11" t="s">
        <v>327</v>
      </c>
      <c r="J26" s="11" t="s">
        <v>328</v>
      </c>
      <c r="K26" s="11" t="n">
        <v>5</v>
      </c>
      <c r="L26" s="11" t="s">
        <v>304</v>
      </c>
      <c r="M26" s="11" t="n">
        <v>5</v>
      </c>
      <c r="N26" s="11" t="s">
        <v>304</v>
      </c>
      <c r="O26" s="11" t="n">
        <v>5</v>
      </c>
      <c r="P26" s="11" t="s">
        <v>304</v>
      </c>
      <c r="Q26" s="11" t="n">
        <v>0</v>
      </c>
      <c r="R26" s="11" t="n">
        <v>0</v>
      </c>
      <c r="S26" s="11" t="s">
        <v>305</v>
      </c>
      <c r="T26" s="11" t="s">
        <v>306</v>
      </c>
      <c r="U26" s="11" t="s">
        <v>307</v>
      </c>
      <c r="V26" s="11" t="s">
        <v>308</v>
      </c>
      <c r="W26" s="11" t="s">
        <v>309</v>
      </c>
      <c r="X26" s="11" t="s">
        <v>310</v>
      </c>
      <c r="Y26" s="12" t="s">
        <v>311</v>
      </c>
    </row>
    <row r="27" customFormat="false" ht="32.8" hidden="false" customHeight="false" outlineLevel="0" collapsed="false">
      <c r="A27" s="10" t="s">
        <v>357</v>
      </c>
      <c r="B27" s="11" t="s">
        <v>73</v>
      </c>
      <c r="C27" s="11" t="s">
        <v>76</v>
      </c>
      <c r="D27" s="11" t="s">
        <v>77</v>
      </c>
      <c r="E27" s="11" t="s">
        <v>68</v>
      </c>
      <c r="F27" s="11" t="s">
        <v>337</v>
      </c>
      <c r="G27" s="11" t="s">
        <v>338</v>
      </c>
      <c r="H27" s="11" t="s">
        <v>301</v>
      </c>
      <c r="I27" s="11" t="s">
        <v>339</v>
      </c>
      <c r="J27" s="11"/>
      <c r="K27" s="11" t="n">
        <v>90</v>
      </c>
      <c r="L27" s="11" t="s">
        <v>304</v>
      </c>
      <c r="M27" s="11" t="n">
        <v>90</v>
      </c>
      <c r="N27" s="11" t="s">
        <v>304</v>
      </c>
      <c r="O27" s="11" t="n">
        <v>90</v>
      </c>
      <c r="P27" s="11" t="s">
        <v>304</v>
      </c>
      <c r="Q27" s="11" t="n">
        <v>0</v>
      </c>
      <c r="R27" s="11" t="n">
        <v>0</v>
      </c>
      <c r="S27" s="11" t="s">
        <v>305</v>
      </c>
      <c r="T27" s="11" t="s">
        <v>306</v>
      </c>
      <c r="U27" s="11" t="s">
        <v>307</v>
      </c>
      <c r="V27" s="11" t="s">
        <v>308</v>
      </c>
      <c r="W27" s="11" t="s">
        <v>309</v>
      </c>
      <c r="X27" s="11" t="s">
        <v>310</v>
      </c>
      <c r="Y27" s="12" t="s">
        <v>311</v>
      </c>
    </row>
    <row r="28" customFormat="false" ht="32.8" hidden="false" customHeight="false" outlineLevel="0" collapsed="false">
      <c r="A28" s="10" t="s">
        <v>358</v>
      </c>
      <c r="B28" s="11" t="s">
        <v>73</v>
      </c>
      <c r="C28" s="11" t="s">
        <v>76</v>
      </c>
      <c r="D28" s="11" t="s">
        <v>77</v>
      </c>
      <c r="E28" s="11" t="s">
        <v>68</v>
      </c>
      <c r="F28" s="11" t="s">
        <v>359</v>
      </c>
      <c r="G28" s="11" t="s">
        <v>360</v>
      </c>
      <c r="H28" s="11" t="s">
        <v>301</v>
      </c>
      <c r="I28" s="11" t="s">
        <v>339</v>
      </c>
      <c r="J28" s="11"/>
      <c r="K28" s="11" t="n">
        <v>45</v>
      </c>
      <c r="L28" s="11" t="s">
        <v>304</v>
      </c>
      <c r="M28" s="11" t="n">
        <v>45</v>
      </c>
      <c r="N28" s="11" t="s">
        <v>304</v>
      </c>
      <c r="O28" s="11" t="n">
        <v>45</v>
      </c>
      <c r="P28" s="11" t="s">
        <v>304</v>
      </c>
      <c r="Q28" s="11" t="n">
        <v>0</v>
      </c>
      <c r="R28" s="11" t="n">
        <v>0</v>
      </c>
      <c r="S28" s="11" t="s">
        <v>305</v>
      </c>
      <c r="T28" s="11" t="s">
        <v>306</v>
      </c>
      <c r="U28" s="11" t="s">
        <v>307</v>
      </c>
      <c r="V28" s="11" t="s">
        <v>308</v>
      </c>
      <c r="W28" s="11" t="s">
        <v>309</v>
      </c>
      <c r="X28" s="11" t="s">
        <v>310</v>
      </c>
      <c r="Y28" s="12" t="s">
        <v>311</v>
      </c>
    </row>
    <row r="29" customFormat="false" ht="32.8" hidden="false" customHeight="false" outlineLevel="0" collapsed="false">
      <c r="A29" s="10" t="s">
        <v>361</v>
      </c>
      <c r="B29" s="11" t="s">
        <v>73</v>
      </c>
      <c r="C29" s="11" t="s">
        <v>76</v>
      </c>
      <c r="D29" s="11" t="s">
        <v>77</v>
      </c>
      <c r="E29" s="11" t="s">
        <v>68</v>
      </c>
      <c r="F29" s="11" t="s">
        <v>341</v>
      </c>
      <c r="G29" s="11" t="s">
        <v>342</v>
      </c>
      <c r="H29" s="11" t="s">
        <v>301</v>
      </c>
      <c r="I29" s="11" t="s">
        <v>339</v>
      </c>
      <c r="J29" s="11"/>
      <c r="K29" s="11" t="n">
        <v>35</v>
      </c>
      <c r="L29" s="11" t="s">
        <v>304</v>
      </c>
      <c r="M29" s="11" t="n">
        <v>35</v>
      </c>
      <c r="N29" s="11" t="s">
        <v>304</v>
      </c>
      <c r="O29" s="11" t="n">
        <v>35</v>
      </c>
      <c r="P29" s="11" t="s">
        <v>304</v>
      </c>
      <c r="Q29" s="11" t="n">
        <v>0</v>
      </c>
      <c r="R29" s="11" t="n">
        <v>0</v>
      </c>
      <c r="S29" s="11" t="s">
        <v>305</v>
      </c>
      <c r="T29" s="11" t="s">
        <v>306</v>
      </c>
      <c r="U29" s="11" t="s">
        <v>307</v>
      </c>
      <c r="V29" s="11" t="s">
        <v>308</v>
      </c>
      <c r="W29" s="11" t="s">
        <v>309</v>
      </c>
      <c r="X29" s="11" t="s">
        <v>310</v>
      </c>
      <c r="Y29" s="12" t="s">
        <v>311</v>
      </c>
    </row>
    <row r="30" customFormat="false" ht="32.8" hidden="false" customHeight="false" outlineLevel="0" collapsed="false">
      <c r="A30" s="10" t="s">
        <v>362</v>
      </c>
      <c r="B30" s="11" t="s">
        <v>73</v>
      </c>
      <c r="C30" s="11" t="s">
        <v>76</v>
      </c>
      <c r="D30" s="11" t="s">
        <v>77</v>
      </c>
      <c r="E30" s="11" t="s">
        <v>68</v>
      </c>
      <c r="F30" s="11" t="s">
        <v>363</v>
      </c>
      <c r="G30" s="11" t="s">
        <v>364</v>
      </c>
      <c r="H30" s="11" t="s">
        <v>301</v>
      </c>
      <c r="I30" s="11" t="s">
        <v>339</v>
      </c>
      <c r="J30" s="11"/>
      <c r="K30" s="11" t="n">
        <v>30</v>
      </c>
      <c r="L30" s="11" t="s">
        <v>304</v>
      </c>
      <c r="M30" s="11" t="n">
        <v>30</v>
      </c>
      <c r="N30" s="11" t="s">
        <v>304</v>
      </c>
      <c r="O30" s="11" t="n">
        <v>30</v>
      </c>
      <c r="P30" s="11" t="s">
        <v>304</v>
      </c>
      <c r="Q30" s="11" t="n">
        <v>0</v>
      </c>
      <c r="R30" s="11" t="n">
        <v>0</v>
      </c>
      <c r="S30" s="11" t="s">
        <v>305</v>
      </c>
      <c r="T30" s="11" t="s">
        <v>306</v>
      </c>
      <c r="U30" s="11" t="s">
        <v>307</v>
      </c>
      <c r="V30" s="11" t="s">
        <v>308</v>
      </c>
      <c r="W30" s="11" t="s">
        <v>309</v>
      </c>
      <c r="X30" s="11" t="s">
        <v>310</v>
      </c>
      <c r="Y30" s="12" t="s">
        <v>311</v>
      </c>
    </row>
    <row r="31" customFormat="false" ht="32.8" hidden="false" customHeight="false" outlineLevel="0" collapsed="false">
      <c r="A31" s="10" t="s">
        <v>365</v>
      </c>
      <c r="B31" s="11" t="s">
        <v>73</v>
      </c>
      <c r="C31" s="11" t="s">
        <v>76</v>
      </c>
      <c r="D31" s="11" t="s">
        <v>77</v>
      </c>
      <c r="E31" s="11" t="s">
        <v>68</v>
      </c>
      <c r="F31" s="11" t="s">
        <v>322</v>
      </c>
      <c r="G31" s="11" t="s">
        <v>323</v>
      </c>
      <c r="H31" s="11" t="s">
        <v>301</v>
      </c>
      <c r="I31" s="11" t="s">
        <v>347</v>
      </c>
      <c r="J31" s="11"/>
      <c r="K31" s="11" t="n">
        <v>10</v>
      </c>
      <c r="L31" s="11" t="s">
        <v>304</v>
      </c>
      <c r="M31" s="11" t="n">
        <v>10</v>
      </c>
      <c r="N31" s="11" t="s">
        <v>304</v>
      </c>
      <c r="O31" s="11" t="n">
        <v>10</v>
      </c>
      <c r="P31" s="11" t="s">
        <v>304</v>
      </c>
      <c r="Q31" s="11" t="n">
        <v>0</v>
      </c>
      <c r="R31" s="11" t="n">
        <v>0</v>
      </c>
      <c r="S31" s="11" t="s">
        <v>305</v>
      </c>
      <c r="T31" s="11" t="s">
        <v>306</v>
      </c>
      <c r="U31" s="11" t="s">
        <v>307</v>
      </c>
      <c r="V31" s="11" t="s">
        <v>308</v>
      </c>
      <c r="W31" s="11" t="s">
        <v>309</v>
      </c>
      <c r="X31" s="11" t="s">
        <v>310</v>
      </c>
      <c r="Y31" s="12" t="s">
        <v>311</v>
      </c>
    </row>
    <row r="32" customFormat="false" ht="32.8" hidden="false" customHeight="false" outlineLevel="0" collapsed="false">
      <c r="A32" s="10" t="s">
        <v>366</v>
      </c>
      <c r="B32" s="11" t="s">
        <v>79</v>
      </c>
      <c r="C32" s="11" t="s">
        <v>82</v>
      </c>
      <c r="D32" s="11" t="s">
        <v>83</v>
      </c>
      <c r="E32" s="11" t="s">
        <v>68</v>
      </c>
      <c r="F32" s="11" t="s">
        <v>299</v>
      </c>
      <c r="G32" s="11" t="s">
        <v>300</v>
      </c>
      <c r="H32" s="11" t="s">
        <v>301</v>
      </c>
      <c r="I32" s="11" t="s">
        <v>302</v>
      </c>
      <c r="J32" s="11" t="s">
        <v>303</v>
      </c>
      <c r="K32" s="11" t="n">
        <v>140</v>
      </c>
      <c r="L32" s="11" t="s">
        <v>304</v>
      </c>
      <c r="M32" s="11" t="n">
        <v>140</v>
      </c>
      <c r="N32" s="11" t="s">
        <v>304</v>
      </c>
      <c r="O32" s="11" t="n">
        <v>130</v>
      </c>
      <c r="P32" s="11" t="s">
        <v>304</v>
      </c>
      <c r="Q32" s="11" t="n">
        <v>0</v>
      </c>
      <c r="R32" s="11" t="n">
        <v>10</v>
      </c>
      <c r="S32" s="11" t="s">
        <v>305</v>
      </c>
      <c r="T32" s="11" t="s">
        <v>306</v>
      </c>
      <c r="U32" s="11" t="s">
        <v>307</v>
      </c>
      <c r="V32" s="11" t="s">
        <v>308</v>
      </c>
      <c r="W32" s="11" t="s">
        <v>309</v>
      </c>
      <c r="X32" s="11" t="s">
        <v>310</v>
      </c>
      <c r="Y32" s="12" t="s">
        <v>311</v>
      </c>
    </row>
    <row r="33" customFormat="false" ht="32.8" hidden="false" customHeight="false" outlineLevel="0" collapsed="false">
      <c r="A33" s="10" t="s">
        <v>367</v>
      </c>
      <c r="B33" s="11" t="s">
        <v>79</v>
      </c>
      <c r="C33" s="11" t="s">
        <v>82</v>
      </c>
      <c r="D33" s="11" t="s">
        <v>83</v>
      </c>
      <c r="E33" s="11" t="s">
        <v>68</v>
      </c>
      <c r="F33" s="11" t="s">
        <v>313</v>
      </c>
      <c r="G33" s="11" t="s">
        <v>314</v>
      </c>
      <c r="H33" s="11" t="s">
        <v>301</v>
      </c>
      <c r="I33" s="11" t="s">
        <v>302</v>
      </c>
      <c r="J33" s="11" t="s">
        <v>303</v>
      </c>
      <c r="K33" s="11" t="n">
        <v>85</v>
      </c>
      <c r="L33" s="11" t="s">
        <v>304</v>
      </c>
      <c r="M33" s="11" t="n">
        <v>85</v>
      </c>
      <c r="N33" s="11" t="s">
        <v>304</v>
      </c>
      <c r="O33" s="11" t="n">
        <v>70</v>
      </c>
      <c r="P33" s="11" t="s">
        <v>304</v>
      </c>
      <c r="Q33" s="11" t="n">
        <v>0</v>
      </c>
      <c r="R33" s="11" t="n">
        <v>15</v>
      </c>
      <c r="S33" s="11" t="s">
        <v>305</v>
      </c>
      <c r="T33" s="11" t="s">
        <v>306</v>
      </c>
      <c r="U33" s="11" t="s">
        <v>307</v>
      </c>
      <c r="V33" s="11" t="s">
        <v>308</v>
      </c>
      <c r="W33" s="11" t="s">
        <v>309</v>
      </c>
      <c r="X33" s="11" t="s">
        <v>310</v>
      </c>
      <c r="Y33" s="12" t="s">
        <v>311</v>
      </c>
    </row>
    <row r="34" customFormat="false" ht="32.8" hidden="false" customHeight="false" outlineLevel="0" collapsed="false">
      <c r="A34" s="10" t="s">
        <v>368</v>
      </c>
      <c r="B34" s="11" t="s">
        <v>79</v>
      </c>
      <c r="C34" s="11" t="s">
        <v>82</v>
      </c>
      <c r="D34" s="11" t="s">
        <v>83</v>
      </c>
      <c r="E34" s="11" t="s">
        <v>68</v>
      </c>
      <c r="F34" s="11" t="s">
        <v>316</v>
      </c>
      <c r="G34" s="11" t="s">
        <v>317</v>
      </c>
      <c r="H34" s="11" t="s">
        <v>301</v>
      </c>
      <c r="I34" s="11" t="s">
        <v>302</v>
      </c>
      <c r="J34" s="11" t="s">
        <v>303</v>
      </c>
      <c r="K34" s="11" t="n">
        <v>2</v>
      </c>
      <c r="L34" s="11" t="s">
        <v>304</v>
      </c>
      <c r="M34" s="11" t="n">
        <v>2</v>
      </c>
      <c r="N34" s="11" t="s">
        <v>304</v>
      </c>
      <c r="O34" s="11" t="n">
        <v>2</v>
      </c>
      <c r="P34" s="11" t="s">
        <v>304</v>
      </c>
      <c r="Q34" s="11" t="n">
        <v>0</v>
      </c>
      <c r="R34" s="11" t="n">
        <v>0</v>
      </c>
      <c r="S34" s="11" t="s">
        <v>305</v>
      </c>
      <c r="T34" s="11" t="s">
        <v>306</v>
      </c>
      <c r="U34" s="11" t="s">
        <v>307</v>
      </c>
      <c r="V34" s="11" t="s">
        <v>308</v>
      </c>
      <c r="W34" s="11" t="s">
        <v>309</v>
      </c>
      <c r="X34" s="11" t="s">
        <v>310</v>
      </c>
      <c r="Y34" s="12" t="s">
        <v>311</v>
      </c>
    </row>
    <row r="35" customFormat="false" ht="32.8" hidden="false" customHeight="false" outlineLevel="0" collapsed="false">
      <c r="A35" s="10" t="s">
        <v>369</v>
      </c>
      <c r="B35" s="11" t="s">
        <v>79</v>
      </c>
      <c r="C35" s="11" t="s">
        <v>82</v>
      </c>
      <c r="D35" s="11" t="s">
        <v>83</v>
      </c>
      <c r="E35" s="11" t="s">
        <v>68</v>
      </c>
      <c r="F35" s="11" t="s">
        <v>319</v>
      </c>
      <c r="G35" s="11" t="s">
        <v>320</v>
      </c>
      <c r="H35" s="11" t="s">
        <v>301</v>
      </c>
      <c r="I35" s="11" t="s">
        <v>302</v>
      </c>
      <c r="J35" s="11" t="s">
        <v>303</v>
      </c>
      <c r="K35" s="11" t="n">
        <v>3</v>
      </c>
      <c r="L35" s="11" t="s">
        <v>304</v>
      </c>
      <c r="M35" s="11" t="n">
        <v>3</v>
      </c>
      <c r="N35" s="11" t="s">
        <v>304</v>
      </c>
      <c r="O35" s="11" t="n">
        <v>3</v>
      </c>
      <c r="P35" s="11" t="s">
        <v>304</v>
      </c>
      <c r="Q35" s="11" t="n">
        <v>0</v>
      </c>
      <c r="R35" s="11" t="n">
        <v>0</v>
      </c>
      <c r="S35" s="11" t="s">
        <v>305</v>
      </c>
      <c r="T35" s="11" t="s">
        <v>306</v>
      </c>
      <c r="U35" s="11" t="s">
        <v>307</v>
      </c>
      <c r="V35" s="11" t="s">
        <v>308</v>
      </c>
      <c r="W35" s="11" t="s">
        <v>309</v>
      </c>
      <c r="X35" s="11" t="s">
        <v>310</v>
      </c>
      <c r="Y35" s="12" t="s">
        <v>311</v>
      </c>
    </row>
    <row r="36" customFormat="false" ht="32.8" hidden="false" customHeight="false" outlineLevel="0" collapsed="false">
      <c r="A36" s="10" t="s">
        <v>370</v>
      </c>
      <c r="B36" s="11" t="s">
        <v>79</v>
      </c>
      <c r="C36" s="11" t="s">
        <v>82</v>
      </c>
      <c r="D36" s="11" t="s">
        <v>83</v>
      </c>
      <c r="E36" s="11" t="s">
        <v>68</v>
      </c>
      <c r="F36" s="11" t="s">
        <v>322</v>
      </c>
      <c r="G36" s="11" t="s">
        <v>323</v>
      </c>
      <c r="H36" s="11" t="s">
        <v>301</v>
      </c>
      <c r="I36" s="11" t="s">
        <v>302</v>
      </c>
      <c r="J36" s="11" t="s">
        <v>303</v>
      </c>
      <c r="K36" s="11" t="n">
        <v>15</v>
      </c>
      <c r="L36" s="11" t="s">
        <v>304</v>
      </c>
      <c r="M36" s="11" t="n">
        <v>15</v>
      </c>
      <c r="N36" s="11" t="s">
        <v>304</v>
      </c>
      <c r="O36" s="11" t="n">
        <v>15</v>
      </c>
      <c r="P36" s="11" t="s">
        <v>304</v>
      </c>
      <c r="Q36" s="11" t="n">
        <v>0</v>
      </c>
      <c r="R36" s="11" t="n">
        <v>0</v>
      </c>
      <c r="S36" s="11" t="s">
        <v>305</v>
      </c>
      <c r="T36" s="11" t="s">
        <v>306</v>
      </c>
      <c r="U36" s="11" t="s">
        <v>307</v>
      </c>
      <c r="V36" s="11" t="s">
        <v>308</v>
      </c>
      <c r="W36" s="11" t="s">
        <v>309</v>
      </c>
      <c r="X36" s="11" t="s">
        <v>310</v>
      </c>
      <c r="Y36" s="12" t="s">
        <v>311</v>
      </c>
    </row>
    <row r="37" customFormat="false" ht="32.8" hidden="false" customHeight="false" outlineLevel="0" collapsed="false">
      <c r="A37" s="10" t="s">
        <v>371</v>
      </c>
      <c r="B37" s="11" t="s">
        <v>79</v>
      </c>
      <c r="C37" s="11" t="s">
        <v>82</v>
      </c>
      <c r="D37" s="11" t="s">
        <v>83</v>
      </c>
      <c r="E37" s="11" t="s">
        <v>68</v>
      </c>
      <c r="F37" s="11" t="s">
        <v>325</v>
      </c>
      <c r="G37" s="11" t="s">
        <v>326</v>
      </c>
      <c r="H37" s="11" t="s">
        <v>301</v>
      </c>
      <c r="I37" s="11" t="s">
        <v>327</v>
      </c>
      <c r="J37" s="11" t="s">
        <v>328</v>
      </c>
      <c r="K37" s="11" t="n">
        <v>63</v>
      </c>
      <c r="L37" s="11" t="s">
        <v>304</v>
      </c>
      <c r="M37" s="11" t="n">
        <v>63</v>
      </c>
      <c r="N37" s="11" t="s">
        <v>304</v>
      </c>
      <c r="O37" s="11" t="n">
        <v>60</v>
      </c>
      <c r="P37" s="11" t="s">
        <v>304</v>
      </c>
      <c r="Q37" s="11" t="n">
        <v>0</v>
      </c>
      <c r="R37" s="11" t="n">
        <v>3</v>
      </c>
      <c r="S37" s="11" t="s">
        <v>305</v>
      </c>
      <c r="T37" s="11" t="s">
        <v>306</v>
      </c>
      <c r="U37" s="11" t="s">
        <v>307</v>
      </c>
      <c r="V37" s="11" t="s">
        <v>308</v>
      </c>
      <c r="W37" s="11" t="s">
        <v>309</v>
      </c>
      <c r="X37" s="11" t="s">
        <v>310</v>
      </c>
      <c r="Y37" s="12" t="s">
        <v>311</v>
      </c>
    </row>
    <row r="38" customFormat="false" ht="32.8" hidden="false" customHeight="false" outlineLevel="0" collapsed="false">
      <c r="A38" s="10" t="s">
        <v>372</v>
      </c>
      <c r="B38" s="11" t="s">
        <v>79</v>
      </c>
      <c r="C38" s="11" t="s">
        <v>82</v>
      </c>
      <c r="D38" s="11" t="s">
        <v>83</v>
      </c>
      <c r="E38" s="11" t="s">
        <v>68</v>
      </c>
      <c r="F38" s="11" t="s">
        <v>330</v>
      </c>
      <c r="G38" s="11" t="s">
        <v>331</v>
      </c>
      <c r="H38" s="11" t="s">
        <v>301</v>
      </c>
      <c r="I38" s="11" t="s">
        <v>327</v>
      </c>
      <c r="J38" s="11" t="s">
        <v>328</v>
      </c>
      <c r="K38" s="11" t="n">
        <v>2.2</v>
      </c>
      <c r="L38" s="11" t="s">
        <v>304</v>
      </c>
      <c r="M38" s="11" t="n">
        <v>2</v>
      </c>
      <c r="N38" s="11" t="s">
        <v>304</v>
      </c>
      <c r="O38" s="11" t="n">
        <v>2</v>
      </c>
      <c r="P38" s="11" t="s">
        <v>304</v>
      </c>
      <c r="Q38" s="11" t="n">
        <v>0.2</v>
      </c>
      <c r="R38" s="11" t="n">
        <v>0</v>
      </c>
      <c r="S38" s="11" t="s">
        <v>305</v>
      </c>
      <c r="T38" s="11" t="s">
        <v>306</v>
      </c>
      <c r="U38" s="11" t="s">
        <v>307</v>
      </c>
      <c r="V38" s="11" t="s">
        <v>308</v>
      </c>
      <c r="W38" s="11" t="s">
        <v>309</v>
      </c>
      <c r="X38" s="11" t="s">
        <v>310</v>
      </c>
      <c r="Y38" s="12" t="s">
        <v>311</v>
      </c>
    </row>
    <row r="39" customFormat="false" ht="32.8" hidden="false" customHeight="false" outlineLevel="0" collapsed="false">
      <c r="A39" s="10" t="s">
        <v>373</v>
      </c>
      <c r="B39" s="11" t="s">
        <v>79</v>
      </c>
      <c r="C39" s="11" t="s">
        <v>82</v>
      </c>
      <c r="D39" s="11" t="s">
        <v>83</v>
      </c>
      <c r="E39" s="11" t="s">
        <v>68</v>
      </c>
      <c r="F39" s="11" t="s">
        <v>333</v>
      </c>
      <c r="G39" s="11" t="s">
        <v>334</v>
      </c>
      <c r="H39" s="11" t="s">
        <v>301</v>
      </c>
      <c r="I39" s="11" t="s">
        <v>327</v>
      </c>
      <c r="J39" s="11" t="s">
        <v>328</v>
      </c>
      <c r="K39" s="11" t="n">
        <v>1</v>
      </c>
      <c r="L39" s="11" t="s">
        <v>304</v>
      </c>
      <c r="M39" s="11" t="n">
        <v>1</v>
      </c>
      <c r="N39" s="11" t="s">
        <v>304</v>
      </c>
      <c r="O39" s="11" t="n">
        <v>1</v>
      </c>
      <c r="P39" s="11" t="s">
        <v>304</v>
      </c>
      <c r="Q39" s="11" t="n">
        <v>0</v>
      </c>
      <c r="R39" s="11" t="n">
        <v>0</v>
      </c>
      <c r="S39" s="11" t="s">
        <v>305</v>
      </c>
      <c r="T39" s="11" t="s">
        <v>306</v>
      </c>
      <c r="U39" s="11" t="s">
        <v>307</v>
      </c>
      <c r="V39" s="11" t="s">
        <v>308</v>
      </c>
      <c r="W39" s="11" t="s">
        <v>309</v>
      </c>
      <c r="X39" s="11" t="s">
        <v>310</v>
      </c>
      <c r="Y39" s="12" t="s">
        <v>311</v>
      </c>
    </row>
    <row r="40" customFormat="false" ht="32.8" hidden="false" customHeight="false" outlineLevel="0" collapsed="false">
      <c r="A40" s="10" t="s">
        <v>374</v>
      </c>
      <c r="B40" s="11" t="s">
        <v>79</v>
      </c>
      <c r="C40" s="11" t="s">
        <v>82</v>
      </c>
      <c r="D40" s="11" t="s">
        <v>83</v>
      </c>
      <c r="E40" s="11" t="s">
        <v>68</v>
      </c>
      <c r="F40" s="11" t="s">
        <v>322</v>
      </c>
      <c r="G40" s="11" t="s">
        <v>323</v>
      </c>
      <c r="H40" s="11" t="s">
        <v>301</v>
      </c>
      <c r="I40" s="11" t="s">
        <v>327</v>
      </c>
      <c r="J40" s="11" t="s">
        <v>328</v>
      </c>
      <c r="K40" s="11" t="n">
        <v>7</v>
      </c>
      <c r="L40" s="11" t="s">
        <v>304</v>
      </c>
      <c r="M40" s="11" t="n">
        <v>7</v>
      </c>
      <c r="N40" s="11" t="s">
        <v>304</v>
      </c>
      <c r="O40" s="11" t="n">
        <v>7</v>
      </c>
      <c r="P40" s="11" t="s">
        <v>304</v>
      </c>
      <c r="Q40" s="11" t="n">
        <v>0</v>
      </c>
      <c r="R40" s="11" t="n">
        <v>0</v>
      </c>
      <c r="S40" s="11" t="s">
        <v>305</v>
      </c>
      <c r="T40" s="11" t="s">
        <v>306</v>
      </c>
      <c r="U40" s="11" t="s">
        <v>307</v>
      </c>
      <c r="V40" s="11" t="s">
        <v>308</v>
      </c>
      <c r="W40" s="11" t="s">
        <v>309</v>
      </c>
      <c r="X40" s="11" t="s">
        <v>310</v>
      </c>
      <c r="Y40" s="12" t="s">
        <v>311</v>
      </c>
    </row>
    <row r="41" customFormat="false" ht="32.8" hidden="false" customHeight="false" outlineLevel="0" collapsed="false">
      <c r="A41" s="10" t="s">
        <v>375</v>
      </c>
      <c r="B41" s="11" t="s">
        <v>79</v>
      </c>
      <c r="C41" s="11" t="s">
        <v>82</v>
      </c>
      <c r="D41" s="11" t="s">
        <v>83</v>
      </c>
      <c r="E41" s="11" t="s">
        <v>68</v>
      </c>
      <c r="F41" s="11" t="s">
        <v>337</v>
      </c>
      <c r="G41" s="11" t="s">
        <v>338</v>
      </c>
      <c r="H41" s="11" t="s">
        <v>301</v>
      </c>
      <c r="I41" s="11" t="s">
        <v>339</v>
      </c>
      <c r="J41" s="11"/>
      <c r="K41" s="11" t="n">
        <v>90</v>
      </c>
      <c r="L41" s="11" t="s">
        <v>304</v>
      </c>
      <c r="M41" s="11" t="n">
        <v>90</v>
      </c>
      <c r="N41" s="11" t="s">
        <v>304</v>
      </c>
      <c r="O41" s="11" t="n">
        <v>90</v>
      </c>
      <c r="P41" s="11" t="s">
        <v>304</v>
      </c>
      <c r="Q41" s="11" t="n">
        <v>0</v>
      </c>
      <c r="R41" s="11" t="n">
        <v>0</v>
      </c>
      <c r="S41" s="11" t="s">
        <v>305</v>
      </c>
      <c r="T41" s="11" t="s">
        <v>306</v>
      </c>
      <c r="U41" s="11" t="s">
        <v>307</v>
      </c>
      <c r="V41" s="11" t="s">
        <v>308</v>
      </c>
      <c r="W41" s="11" t="s">
        <v>309</v>
      </c>
      <c r="X41" s="11" t="s">
        <v>310</v>
      </c>
      <c r="Y41" s="12" t="s">
        <v>311</v>
      </c>
    </row>
    <row r="42" customFormat="false" ht="32.8" hidden="false" customHeight="false" outlineLevel="0" collapsed="false">
      <c r="A42" s="10" t="s">
        <v>376</v>
      </c>
      <c r="B42" s="11" t="s">
        <v>79</v>
      </c>
      <c r="C42" s="11" t="s">
        <v>82</v>
      </c>
      <c r="D42" s="11" t="s">
        <v>83</v>
      </c>
      <c r="E42" s="11" t="s">
        <v>68</v>
      </c>
      <c r="F42" s="11" t="s">
        <v>377</v>
      </c>
      <c r="G42" s="11" t="s">
        <v>378</v>
      </c>
      <c r="H42" s="11" t="s">
        <v>301</v>
      </c>
      <c r="I42" s="11" t="s">
        <v>339</v>
      </c>
      <c r="J42" s="11"/>
      <c r="K42" s="11" t="n">
        <v>60</v>
      </c>
      <c r="L42" s="11" t="s">
        <v>304</v>
      </c>
      <c r="M42" s="11" t="n">
        <v>60</v>
      </c>
      <c r="N42" s="11" t="s">
        <v>304</v>
      </c>
      <c r="O42" s="11" t="n">
        <v>60</v>
      </c>
      <c r="P42" s="11" t="s">
        <v>304</v>
      </c>
      <c r="Q42" s="11" t="n">
        <v>0</v>
      </c>
      <c r="R42" s="11" t="n">
        <v>0</v>
      </c>
      <c r="S42" s="11" t="s">
        <v>305</v>
      </c>
      <c r="T42" s="11" t="s">
        <v>306</v>
      </c>
      <c r="U42" s="11" t="s">
        <v>307</v>
      </c>
      <c r="V42" s="11" t="s">
        <v>308</v>
      </c>
      <c r="W42" s="11" t="s">
        <v>309</v>
      </c>
      <c r="X42" s="11" t="s">
        <v>310</v>
      </c>
      <c r="Y42" s="12" t="s">
        <v>311</v>
      </c>
    </row>
    <row r="43" customFormat="false" ht="32.8" hidden="false" customHeight="false" outlineLevel="0" collapsed="false">
      <c r="A43" s="10" t="s">
        <v>379</v>
      </c>
      <c r="B43" s="11" t="s">
        <v>79</v>
      </c>
      <c r="C43" s="11" t="s">
        <v>82</v>
      </c>
      <c r="D43" s="11" t="s">
        <v>83</v>
      </c>
      <c r="E43" s="11" t="s">
        <v>68</v>
      </c>
      <c r="F43" s="11" t="s">
        <v>380</v>
      </c>
      <c r="G43" s="11" t="s">
        <v>381</v>
      </c>
      <c r="H43" s="11" t="s">
        <v>301</v>
      </c>
      <c r="I43" s="11" t="s">
        <v>339</v>
      </c>
      <c r="J43" s="11"/>
      <c r="K43" s="11" t="n">
        <v>50</v>
      </c>
      <c r="L43" s="11" t="s">
        <v>304</v>
      </c>
      <c r="M43" s="11" t="n">
        <v>48</v>
      </c>
      <c r="N43" s="11" t="s">
        <v>304</v>
      </c>
      <c r="O43" s="11" t="n">
        <v>45</v>
      </c>
      <c r="P43" s="11" t="s">
        <v>304</v>
      </c>
      <c r="Q43" s="11" t="n">
        <v>2</v>
      </c>
      <c r="R43" s="11" t="n">
        <v>3</v>
      </c>
      <c r="S43" s="11" t="s">
        <v>305</v>
      </c>
      <c r="T43" s="11" t="s">
        <v>306</v>
      </c>
      <c r="U43" s="11" t="s">
        <v>307</v>
      </c>
      <c r="V43" s="11" t="s">
        <v>308</v>
      </c>
      <c r="W43" s="11" t="s">
        <v>309</v>
      </c>
      <c r="X43" s="11" t="s">
        <v>310</v>
      </c>
      <c r="Y43" s="12" t="s">
        <v>311</v>
      </c>
    </row>
    <row r="44" customFormat="false" ht="32.8" hidden="false" customHeight="false" outlineLevel="0" collapsed="false">
      <c r="A44" s="10" t="s">
        <v>382</v>
      </c>
      <c r="B44" s="11" t="s">
        <v>79</v>
      </c>
      <c r="C44" s="11" t="s">
        <v>82</v>
      </c>
      <c r="D44" s="11" t="s">
        <v>83</v>
      </c>
      <c r="E44" s="11" t="s">
        <v>68</v>
      </c>
      <c r="F44" s="11" t="s">
        <v>383</v>
      </c>
      <c r="G44" s="11" t="s">
        <v>384</v>
      </c>
      <c r="H44" s="11" t="s">
        <v>301</v>
      </c>
      <c r="I44" s="11" t="s">
        <v>339</v>
      </c>
      <c r="J44" s="11"/>
      <c r="K44" s="11" t="n">
        <v>12</v>
      </c>
      <c r="L44" s="11" t="s">
        <v>304</v>
      </c>
      <c r="M44" s="11" t="n">
        <v>10</v>
      </c>
      <c r="N44" s="11" t="s">
        <v>304</v>
      </c>
      <c r="O44" s="11" t="n">
        <v>10</v>
      </c>
      <c r="P44" s="11" t="s">
        <v>304</v>
      </c>
      <c r="Q44" s="11" t="n">
        <v>2</v>
      </c>
      <c r="R44" s="11" t="n">
        <v>0</v>
      </c>
      <c r="S44" s="11" t="s">
        <v>305</v>
      </c>
      <c r="T44" s="11" t="s">
        <v>306</v>
      </c>
      <c r="U44" s="11" t="s">
        <v>307</v>
      </c>
      <c r="V44" s="11" t="s">
        <v>308</v>
      </c>
      <c r="W44" s="11" t="s">
        <v>309</v>
      </c>
      <c r="X44" s="11" t="s">
        <v>310</v>
      </c>
      <c r="Y44" s="12" t="s">
        <v>311</v>
      </c>
    </row>
    <row r="45" customFormat="false" ht="32.8" hidden="false" customHeight="false" outlineLevel="0" collapsed="false">
      <c r="A45" s="10" t="s">
        <v>385</v>
      </c>
      <c r="B45" s="11" t="s">
        <v>79</v>
      </c>
      <c r="C45" s="11" t="s">
        <v>82</v>
      </c>
      <c r="D45" s="11" t="s">
        <v>83</v>
      </c>
      <c r="E45" s="11" t="s">
        <v>68</v>
      </c>
      <c r="F45" s="11" t="s">
        <v>322</v>
      </c>
      <c r="G45" s="11" t="s">
        <v>323</v>
      </c>
      <c r="H45" s="11" t="s">
        <v>301</v>
      </c>
      <c r="I45" s="11" t="s">
        <v>347</v>
      </c>
      <c r="J45" s="11"/>
      <c r="K45" s="11" t="n">
        <v>5</v>
      </c>
      <c r="L45" s="11" t="s">
        <v>304</v>
      </c>
      <c r="M45" s="11" t="n">
        <v>5</v>
      </c>
      <c r="N45" s="11" t="s">
        <v>304</v>
      </c>
      <c r="O45" s="11" t="n">
        <v>5</v>
      </c>
      <c r="P45" s="11" t="s">
        <v>304</v>
      </c>
      <c r="Q45" s="11" t="n">
        <v>0</v>
      </c>
      <c r="R45" s="11" t="n">
        <v>0</v>
      </c>
      <c r="S45" s="11" t="s">
        <v>305</v>
      </c>
      <c r="T45" s="11" t="s">
        <v>306</v>
      </c>
      <c r="U45" s="11" t="s">
        <v>307</v>
      </c>
      <c r="V45" s="11" t="s">
        <v>308</v>
      </c>
      <c r="W45" s="11" t="s">
        <v>309</v>
      </c>
      <c r="X45" s="11" t="s">
        <v>310</v>
      </c>
      <c r="Y45" s="12" t="s">
        <v>311</v>
      </c>
    </row>
    <row r="46" customFormat="false" ht="32.8" hidden="false" customHeight="false" outlineLevel="0" collapsed="false">
      <c r="A46" s="10" t="s">
        <v>386</v>
      </c>
      <c r="B46" s="11" t="s">
        <v>85</v>
      </c>
      <c r="C46" s="11" t="s">
        <v>87</v>
      </c>
      <c r="D46" s="11" t="s">
        <v>88</v>
      </c>
      <c r="E46" s="11" t="s">
        <v>68</v>
      </c>
      <c r="F46" s="11" t="s">
        <v>299</v>
      </c>
      <c r="G46" s="11" t="s">
        <v>300</v>
      </c>
      <c r="H46" s="11" t="s">
        <v>301</v>
      </c>
      <c r="I46" s="11" t="s">
        <v>302</v>
      </c>
      <c r="J46" s="11" t="s">
        <v>303</v>
      </c>
      <c r="K46" s="11" t="n">
        <v>140</v>
      </c>
      <c r="L46" s="11" t="s">
        <v>304</v>
      </c>
      <c r="M46" s="11" t="n">
        <v>140</v>
      </c>
      <c r="N46" s="11" t="s">
        <v>304</v>
      </c>
      <c r="O46" s="11" t="n">
        <v>130</v>
      </c>
      <c r="P46" s="11" t="s">
        <v>304</v>
      </c>
      <c r="Q46" s="11" t="n">
        <v>0</v>
      </c>
      <c r="R46" s="11" t="n">
        <v>10</v>
      </c>
      <c r="S46" s="11" t="s">
        <v>305</v>
      </c>
      <c r="T46" s="11" t="s">
        <v>306</v>
      </c>
      <c r="U46" s="11" t="s">
        <v>307</v>
      </c>
      <c r="V46" s="11" t="s">
        <v>308</v>
      </c>
      <c r="W46" s="11" t="s">
        <v>309</v>
      </c>
      <c r="X46" s="11" t="s">
        <v>310</v>
      </c>
      <c r="Y46" s="12" t="s">
        <v>311</v>
      </c>
    </row>
    <row r="47" customFormat="false" ht="32.8" hidden="false" customHeight="false" outlineLevel="0" collapsed="false">
      <c r="A47" s="10" t="s">
        <v>387</v>
      </c>
      <c r="B47" s="11" t="s">
        <v>85</v>
      </c>
      <c r="C47" s="11" t="s">
        <v>87</v>
      </c>
      <c r="D47" s="11" t="s">
        <v>88</v>
      </c>
      <c r="E47" s="11" t="s">
        <v>68</v>
      </c>
      <c r="F47" s="11" t="s">
        <v>313</v>
      </c>
      <c r="G47" s="11" t="s">
        <v>314</v>
      </c>
      <c r="H47" s="11" t="s">
        <v>301</v>
      </c>
      <c r="I47" s="11" t="s">
        <v>302</v>
      </c>
      <c r="J47" s="11" t="s">
        <v>303</v>
      </c>
      <c r="K47" s="11" t="n">
        <v>85</v>
      </c>
      <c r="L47" s="11" t="s">
        <v>304</v>
      </c>
      <c r="M47" s="11" t="n">
        <v>85</v>
      </c>
      <c r="N47" s="11" t="s">
        <v>304</v>
      </c>
      <c r="O47" s="11" t="n">
        <v>70</v>
      </c>
      <c r="P47" s="11" t="s">
        <v>304</v>
      </c>
      <c r="Q47" s="11" t="n">
        <v>0</v>
      </c>
      <c r="R47" s="11" t="n">
        <v>15</v>
      </c>
      <c r="S47" s="11" t="s">
        <v>305</v>
      </c>
      <c r="T47" s="11" t="s">
        <v>306</v>
      </c>
      <c r="U47" s="11" t="s">
        <v>307</v>
      </c>
      <c r="V47" s="11" t="s">
        <v>308</v>
      </c>
      <c r="W47" s="11" t="s">
        <v>309</v>
      </c>
      <c r="X47" s="11" t="s">
        <v>310</v>
      </c>
      <c r="Y47" s="12" t="s">
        <v>311</v>
      </c>
    </row>
    <row r="48" customFormat="false" ht="32.8" hidden="false" customHeight="false" outlineLevel="0" collapsed="false">
      <c r="A48" s="10" t="s">
        <v>388</v>
      </c>
      <c r="B48" s="11" t="s">
        <v>85</v>
      </c>
      <c r="C48" s="11" t="s">
        <v>87</v>
      </c>
      <c r="D48" s="11" t="s">
        <v>88</v>
      </c>
      <c r="E48" s="11" t="s">
        <v>68</v>
      </c>
      <c r="F48" s="11" t="s">
        <v>316</v>
      </c>
      <c r="G48" s="11" t="s">
        <v>317</v>
      </c>
      <c r="H48" s="11" t="s">
        <v>301</v>
      </c>
      <c r="I48" s="11" t="s">
        <v>302</v>
      </c>
      <c r="J48" s="11" t="s">
        <v>303</v>
      </c>
      <c r="K48" s="11" t="n">
        <v>2</v>
      </c>
      <c r="L48" s="11" t="s">
        <v>304</v>
      </c>
      <c r="M48" s="11" t="n">
        <v>2</v>
      </c>
      <c r="N48" s="11" t="s">
        <v>304</v>
      </c>
      <c r="O48" s="11" t="n">
        <v>2</v>
      </c>
      <c r="P48" s="11" t="s">
        <v>304</v>
      </c>
      <c r="Q48" s="11" t="n">
        <v>0</v>
      </c>
      <c r="R48" s="11" t="n">
        <v>0</v>
      </c>
      <c r="S48" s="11" t="s">
        <v>305</v>
      </c>
      <c r="T48" s="11" t="s">
        <v>306</v>
      </c>
      <c r="U48" s="11" t="s">
        <v>307</v>
      </c>
      <c r="V48" s="11" t="s">
        <v>308</v>
      </c>
      <c r="W48" s="11" t="s">
        <v>309</v>
      </c>
      <c r="X48" s="11" t="s">
        <v>310</v>
      </c>
      <c r="Y48" s="12" t="s">
        <v>311</v>
      </c>
    </row>
    <row r="49" customFormat="false" ht="32.8" hidden="false" customHeight="false" outlineLevel="0" collapsed="false">
      <c r="A49" s="10" t="s">
        <v>389</v>
      </c>
      <c r="B49" s="11" t="s">
        <v>85</v>
      </c>
      <c r="C49" s="11" t="s">
        <v>87</v>
      </c>
      <c r="D49" s="11" t="s">
        <v>88</v>
      </c>
      <c r="E49" s="11" t="s">
        <v>68</v>
      </c>
      <c r="F49" s="11" t="s">
        <v>319</v>
      </c>
      <c r="G49" s="11" t="s">
        <v>320</v>
      </c>
      <c r="H49" s="11" t="s">
        <v>301</v>
      </c>
      <c r="I49" s="11" t="s">
        <v>302</v>
      </c>
      <c r="J49" s="11" t="s">
        <v>303</v>
      </c>
      <c r="K49" s="11" t="n">
        <v>3</v>
      </c>
      <c r="L49" s="11" t="s">
        <v>304</v>
      </c>
      <c r="M49" s="11" t="n">
        <v>3</v>
      </c>
      <c r="N49" s="11" t="s">
        <v>304</v>
      </c>
      <c r="O49" s="11" t="n">
        <v>3</v>
      </c>
      <c r="P49" s="11" t="s">
        <v>304</v>
      </c>
      <c r="Q49" s="11" t="n">
        <v>0</v>
      </c>
      <c r="R49" s="11" t="n">
        <v>0</v>
      </c>
      <c r="S49" s="11" t="s">
        <v>305</v>
      </c>
      <c r="T49" s="11" t="s">
        <v>306</v>
      </c>
      <c r="U49" s="11" t="s">
        <v>307</v>
      </c>
      <c r="V49" s="11" t="s">
        <v>308</v>
      </c>
      <c r="W49" s="11" t="s">
        <v>309</v>
      </c>
      <c r="X49" s="11" t="s">
        <v>310</v>
      </c>
      <c r="Y49" s="12" t="s">
        <v>311</v>
      </c>
    </row>
    <row r="50" customFormat="false" ht="32.8" hidden="false" customHeight="false" outlineLevel="0" collapsed="false">
      <c r="A50" s="10" t="s">
        <v>390</v>
      </c>
      <c r="B50" s="11" t="s">
        <v>85</v>
      </c>
      <c r="C50" s="11" t="s">
        <v>87</v>
      </c>
      <c r="D50" s="11" t="s">
        <v>88</v>
      </c>
      <c r="E50" s="11" t="s">
        <v>68</v>
      </c>
      <c r="F50" s="11" t="s">
        <v>322</v>
      </c>
      <c r="G50" s="11" t="s">
        <v>323</v>
      </c>
      <c r="H50" s="11" t="s">
        <v>301</v>
      </c>
      <c r="I50" s="11" t="s">
        <v>302</v>
      </c>
      <c r="J50" s="11" t="s">
        <v>303</v>
      </c>
      <c r="K50" s="11" t="n">
        <v>15</v>
      </c>
      <c r="L50" s="11" t="s">
        <v>304</v>
      </c>
      <c r="M50" s="11" t="n">
        <v>15</v>
      </c>
      <c r="N50" s="11" t="s">
        <v>304</v>
      </c>
      <c r="O50" s="11" t="n">
        <v>15</v>
      </c>
      <c r="P50" s="11" t="s">
        <v>304</v>
      </c>
      <c r="Q50" s="11" t="n">
        <v>0</v>
      </c>
      <c r="R50" s="11" t="n">
        <v>0</v>
      </c>
      <c r="S50" s="11" t="s">
        <v>305</v>
      </c>
      <c r="T50" s="11" t="s">
        <v>306</v>
      </c>
      <c r="U50" s="11" t="s">
        <v>307</v>
      </c>
      <c r="V50" s="11" t="s">
        <v>308</v>
      </c>
      <c r="W50" s="11" t="s">
        <v>309</v>
      </c>
      <c r="X50" s="11" t="s">
        <v>310</v>
      </c>
      <c r="Y50" s="12" t="s">
        <v>311</v>
      </c>
    </row>
    <row r="51" customFormat="false" ht="32.8" hidden="false" customHeight="false" outlineLevel="0" collapsed="false">
      <c r="A51" s="10" t="s">
        <v>391</v>
      </c>
      <c r="B51" s="11" t="s">
        <v>85</v>
      </c>
      <c r="C51" s="11" t="s">
        <v>87</v>
      </c>
      <c r="D51" s="11" t="s">
        <v>88</v>
      </c>
      <c r="E51" s="11" t="s">
        <v>68</v>
      </c>
      <c r="F51" s="11" t="s">
        <v>325</v>
      </c>
      <c r="G51" s="11" t="s">
        <v>326</v>
      </c>
      <c r="H51" s="11" t="s">
        <v>301</v>
      </c>
      <c r="I51" s="11" t="s">
        <v>327</v>
      </c>
      <c r="J51" s="11" t="s">
        <v>328</v>
      </c>
      <c r="K51" s="11" t="n">
        <v>63</v>
      </c>
      <c r="L51" s="11" t="s">
        <v>304</v>
      </c>
      <c r="M51" s="11" t="n">
        <v>63</v>
      </c>
      <c r="N51" s="11" t="s">
        <v>304</v>
      </c>
      <c r="O51" s="11" t="n">
        <v>60</v>
      </c>
      <c r="P51" s="11" t="s">
        <v>304</v>
      </c>
      <c r="Q51" s="11" t="n">
        <v>0</v>
      </c>
      <c r="R51" s="11" t="n">
        <v>3</v>
      </c>
      <c r="S51" s="11" t="s">
        <v>305</v>
      </c>
      <c r="T51" s="11" t="s">
        <v>306</v>
      </c>
      <c r="U51" s="11" t="s">
        <v>307</v>
      </c>
      <c r="V51" s="11" t="s">
        <v>308</v>
      </c>
      <c r="W51" s="11" t="s">
        <v>309</v>
      </c>
      <c r="X51" s="11" t="s">
        <v>310</v>
      </c>
      <c r="Y51" s="12" t="s">
        <v>311</v>
      </c>
    </row>
    <row r="52" customFormat="false" ht="32.8" hidden="false" customHeight="false" outlineLevel="0" collapsed="false">
      <c r="A52" s="10" t="s">
        <v>392</v>
      </c>
      <c r="B52" s="11" t="s">
        <v>85</v>
      </c>
      <c r="C52" s="11" t="s">
        <v>87</v>
      </c>
      <c r="D52" s="11" t="s">
        <v>88</v>
      </c>
      <c r="E52" s="11" t="s">
        <v>68</v>
      </c>
      <c r="F52" s="11" t="s">
        <v>330</v>
      </c>
      <c r="G52" s="11" t="s">
        <v>331</v>
      </c>
      <c r="H52" s="11" t="s">
        <v>301</v>
      </c>
      <c r="I52" s="11" t="s">
        <v>327</v>
      </c>
      <c r="J52" s="11" t="s">
        <v>328</v>
      </c>
      <c r="K52" s="11" t="n">
        <v>2.2</v>
      </c>
      <c r="L52" s="11" t="s">
        <v>304</v>
      </c>
      <c r="M52" s="11" t="n">
        <v>2</v>
      </c>
      <c r="N52" s="11" t="s">
        <v>304</v>
      </c>
      <c r="O52" s="11" t="n">
        <v>2</v>
      </c>
      <c r="P52" s="11" t="s">
        <v>304</v>
      </c>
      <c r="Q52" s="11" t="n">
        <v>0.2</v>
      </c>
      <c r="R52" s="11" t="n">
        <v>0</v>
      </c>
      <c r="S52" s="11" t="s">
        <v>305</v>
      </c>
      <c r="T52" s="11" t="s">
        <v>306</v>
      </c>
      <c r="U52" s="11" t="s">
        <v>307</v>
      </c>
      <c r="V52" s="11" t="s">
        <v>308</v>
      </c>
      <c r="W52" s="11" t="s">
        <v>309</v>
      </c>
      <c r="X52" s="11" t="s">
        <v>310</v>
      </c>
      <c r="Y52" s="12" t="s">
        <v>311</v>
      </c>
    </row>
    <row r="53" customFormat="false" ht="32.8" hidden="false" customHeight="false" outlineLevel="0" collapsed="false">
      <c r="A53" s="10" t="s">
        <v>393</v>
      </c>
      <c r="B53" s="11" t="s">
        <v>85</v>
      </c>
      <c r="C53" s="11" t="s">
        <v>87</v>
      </c>
      <c r="D53" s="11" t="s">
        <v>88</v>
      </c>
      <c r="E53" s="11" t="s">
        <v>68</v>
      </c>
      <c r="F53" s="11" t="s">
        <v>333</v>
      </c>
      <c r="G53" s="11" t="s">
        <v>334</v>
      </c>
      <c r="H53" s="11" t="s">
        <v>301</v>
      </c>
      <c r="I53" s="11" t="s">
        <v>327</v>
      </c>
      <c r="J53" s="11" t="s">
        <v>328</v>
      </c>
      <c r="K53" s="11" t="n">
        <v>1</v>
      </c>
      <c r="L53" s="11" t="s">
        <v>304</v>
      </c>
      <c r="M53" s="11" t="n">
        <v>1</v>
      </c>
      <c r="N53" s="11" t="s">
        <v>304</v>
      </c>
      <c r="O53" s="11" t="n">
        <v>1</v>
      </c>
      <c r="P53" s="11" t="s">
        <v>304</v>
      </c>
      <c r="Q53" s="11" t="n">
        <v>0</v>
      </c>
      <c r="R53" s="11" t="n">
        <v>0</v>
      </c>
      <c r="S53" s="11" t="s">
        <v>305</v>
      </c>
      <c r="T53" s="11" t="s">
        <v>306</v>
      </c>
      <c r="U53" s="11" t="s">
        <v>307</v>
      </c>
      <c r="V53" s="11" t="s">
        <v>308</v>
      </c>
      <c r="W53" s="11" t="s">
        <v>309</v>
      </c>
      <c r="X53" s="11" t="s">
        <v>310</v>
      </c>
      <c r="Y53" s="12" t="s">
        <v>311</v>
      </c>
    </row>
    <row r="54" customFormat="false" ht="32.8" hidden="false" customHeight="false" outlineLevel="0" collapsed="false">
      <c r="A54" s="10" t="s">
        <v>394</v>
      </c>
      <c r="B54" s="11" t="s">
        <v>85</v>
      </c>
      <c r="C54" s="11" t="s">
        <v>87</v>
      </c>
      <c r="D54" s="11" t="s">
        <v>88</v>
      </c>
      <c r="E54" s="11" t="s">
        <v>68</v>
      </c>
      <c r="F54" s="11" t="s">
        <v>322</v>
      </c>
      <c r="G54" s="11" t="s">
        <v>323</v>
      </c>
      <c r="H54" s="11" t="s">
        <v>301</v>
      </c>
      <c r="I54" s="11" t="s">
        <v>327</v>
      </c>
      <c r="J54" s="11" t="s">
        <v>328</v>
      </c>
      <c r="K54" s="11" t="n">
        <v>7</v>
      </c>
      <c r="L54" s="11" t="s">
        <v>304</v>
      </c>
      <c r="M54" s="11" t="n">
        <v>7</v>
      </c>
      <c r="N54" s="11" t="s">
        <v>304</v>
      </c>
      <c r="O54" s="11" t="n">
        <v>7</v>
      </c>
      <c r="P54" s="11" t="s">
        <v>304</v>
      </c>
      <c r="Q54" s="11" t="n">
        <v>0</v>
      </c>
      <c r="R54" s="11" t="n">
        <v>0</v>
      </c>
      <c r="S54" s="11" t="s">
        <v>305</v>
      </c>
      <c r="T54" s="11" t="s">
        <v>306</v>
      </c>
      <c r="U54" s="11" t="s">
        <v>307</v>
      </c>
      <c r="V54" s="11" t="s">
        <v>308</v>
      </c>
      <c r="W54" s="11" t="s">
        <v>309</v>
      </c>
      <c r="X54" s="11" t="s">
        <v>310</v>
      </c>
      <c r="Y54" s="12" t="s">
        <v>311</v>
      </c>
    </row>
    <row r="55" customFormat="false" ht="32.8" hidden="false" customHeight="false" outlineLevel="0" collapsed="false">
      <c r="A55" s="10" t="s">
        <v>395</v>
      </c>
      <c r="B55" s="11" t="s">
        <v>85</v>
      </c>
      <c r="C55" s="11" t="s">
        <v>87</v>
      </c>
      <c r="D55" s="11" t="s">
        <v>88</v>
      </c>
      <c r="E55" s="11" t="s">
        <v>68</v>
      </c>
      <c r="F55" s="11" t="s">
        <v>337</v>
      </c>
      <c r="G55" s="11" t="s">
        <v>338</v>
      </c>
      <c r="H55" s="11" t="s">
        <v>301</v>
      </c>
      <c r="I55" s="11" t="s">
        <v>339</v>
      </c>
      <c r="J55" s="11"/>
      <c r="K55" s="11" t="n">
        <v>110</v>
      </c>
      <c r="L55" s="11" t="s">
        <v>304</v>
      </c>
      <c r="M55" s="11" t="n">
        <v>110</v>
      </c>
      <c r="N55" s="11" t="s">
        <v>304</v>
      </c>
      <c r="O55" s="11" t="n">
        <v>110</v>
      </c>
      <c r="P55" s="11" t="s">
        <v>304</v>
      </c>
      <c r="Q55" s="11" t="n">
        <v>0</v>
      </c>
      <c r="R55" s="11" t="n">
        <v>0</v>
      </c>
      <c r="S55" s="11" t="s">
        <v>305</v>
      </c>
      <c r="T55" s="11" t="s">
        <v>306</v>
      </c>
      <c r="U55" s="11" t="s">
        <v>307</v>
      </c>
      <c r="V55" s="11" t="s">
        <v>308</v>
      </c>
      <c r="W55" s="11" t="s">
        <v>309</v>
      </c>
      <c r="X55" s="11" t="s">
        <v>310</v>
      </c>
      <c r="Y55" s="12" t="s">
        <v>311</v>
      </c>
    </row>
    <row r="56" customFormat="false" ht="32.8" hidden="false" customHeight="false" outlineLevel="0" collapsed="false">
      <c r="A56" s="10" t="s">
        <v>396</v>
      </c>
      <c r="B56" s="11" t="s">
        <v>85</v>
      </c>
      <c r="C56" s="11" t="s">
        <v>87</v>
      </c>
      <c r="D56" s="11" t="s">
        <v>88</v>
      </c>
      <c r="E56" s="11" t="s">
        <v>68</v>
      </c>
      <c r="F56" s="11" t="s">
        <v>397</v>
      </c>
      <c r="G56" s="11" t="s">
        <v>86</v>
      </c>
      <c r="H56" s="11" t="s">
        <v>301</v>
      </c>
      <c r="I56" s="11" t="s">
        <v>339</v>
      </c>
      <c r="J56" s="11"/>
      <c r="K56" s="11" t="n">
        <v>90</v>
      </c>
      <c r="L56" s="11" t="s">
        <v>304</v>
      </c>
      <c r="M56" s="11" t="n">
        <v>90</v>
      </c>
      <c r="N56" s="11" t="s">
        <v>304</v>
      </c>
      <c r="O56" s="11" t="n">
        <v>90</v>
      </c>
      <c r="P56" s="11" t="s">
        <v>304</v>
      </c>
      <c r="Q56" s="11" t="n">
        <v>0</v>
      </c>
      <c r="R56" s="11" t="n">
        <v>0</v>
      </c>
      <c r="S56" s="11" t="s">
        <v>305</v>
      </c>
      <c r="T56" s="11" t="s">
        <v>306</v>
      </c>
      <c r="U56" s="11" t="s">
        <v>307</v>
      </c>
      <c r="V56" s="11" t="s">
        <v>308</v>
      </c>
      <c r="W56" s="11" t="s">
        <v>309</v>
      </c>
      <c r="X56" s="11" t="s">
        <v>310</v>
      </c>
      <c r="Y56" s="12" t="s">
        <v>311</v>
      </c>
    </row>
    <row r="57" customFormat="false" ht="32.8" hidden="false" customHeight="false" outlineLevel="0" collapsed="false">
      <c r="A57" s="10" t="s">
        <v>398</v>
      </c>
      <c r="B57" s="11" t="s">
        <v>85</v>
      </c>
      <c r="C57" s="11" t="s">
        <v>87</v>
      </c>
      <c r="D57" s="11" t="s">
        <v>88</v>
      </c>
      <c r="E57" s="11" t="s">
        <v>68</v>
      </c>
      <c r="F57" s="11" t="s">
        <v>322</v>
      </c>
      <c r="G57" s="11" t="s">
        <v>323</v>
      </c>
      <c r="H57" s="11" t="s">
        <v>301</v>
      </c>
      <c r="I57" s="11" t="s">
        <v>347</v>
      </c>
      <c r="J57" s="11"/>
      <c r="K57" s="11" t="n">
        <v>10</v>
      </c>
      <c r="L57" s="11" t="s">
        <v>304</v>
      </c>
      <c r="M57" s="11" t="n">
        <v>10</v>
      </c>
      <c r="N57" s="11" t="s">
        <v>304</v>
      </c>
      <c r="O57" s="11" t="n">
        <v>10</v>
      </c>
      <c r="P57" s="11" t="s">
        <v>304</v>
      </c>
      <c r="Q57" s="11" t="n">
        <v>0</v>
      </c>
      <c r="R57" s="11" t="n">
        <v>0</v>
      </c>
      <c r="S57" s="11" t="s">
        <v>305</v>
      </c>
      <c r="T57" s="11" t="s">
        <v>306</v>
      </c>
      <c r="U57" s="11" t="s">
        <v>307</v>
      </c>
      <c r="V57" s="11" t="s">
        <v>308</v>
      </c>
      <c r="W57" s="11" t="s">
        <v>309</v>
      </c>
      <c r="X57" s="11" t="s">
        <v>310</v>
      </c>
      <c r="Y57" s="12" t="s">
        <v>311</v>
      </c>
    </row>
    <row r="58" customFormat="false" ht="32.8" hidden="false" customHeight="false" outlineLevel="0" collapsed="false">
      <c r="A58" s="10" t="s">
        <v>399</v>
      </c>
      <c r="B58" s="11" t="s">
        <v>90</v>
      </c>
      <c r="C58" s="11" t="s">
        <v>96</v>
      </c>
      <c r="D58" s="11" t="s">
        <v>97</v>
      </c>
      <c r="E58" s="11" t="s">
        <v>68</v>
      </c>
      <c r="F58" s="11" t="s">
        <v>299</v>
      </c>
      <c r="G58" s="11" t="s">
        <v>300</v>
      </c>
      <c r="H58" s="11" t="s">
        <v>301</v>
      </c>
      <c r="I58" s="11" t="s">
        <v>302</v>
      </c>
      <c r="J58" s="11" t="s">
        <v>400</v>
      </c>
      <c r="K58" s="11" t="n">
        <v>60</v>
      </c>
      <c r="L58" s="11" t="s">
        <v>304</v>
      </c>
      <c r="M58" s="11" t="n">
        <v>60</v>
      </c>
      <c r="N58" s="11" t="s">
        <v>304</v>
      </c>
      <c r="O58" s="11" t="n">
        <v>55</v>
      </c>
      <c r="P58" s="11" t="s">
        <v>304</v>
      </c>
      <c r="Q58" s="11" t="n">
        <v>0</v>
      </c>
      <c r="R58" s="11" t="n">
        <v>5</v>
      </c>
      <c r="S58" s="11" t="s">
        <v>305</v>
      </c>
      <c r="T58" s="11" t="s">
        <v>306</v>
      </c>
      <c r="U58" s="11" t="s">
        <v>307</v>
      </c>
      <c r="V58" s="11" t="s">
        <v>308</v>
      </c>
      <c r="W58" s="11" t="s">
        <v>309</v>
      </c>
      <c r="X58" s="11" t="s">
        <v>310</v>
      </c>
      <c r="Y58" s="12" t="s">
        <v>311</v>
      </c>
    </row>
    <row r="59" customFormat="false" ht="32.8" hidden="false" customHeight="false" outlineLevel="0" collapsed="false">
      <c r="A59" s="10" t="s">
        <v>401</v>
      </c>
      <c r="B59" s="11" t="s">
        <v>90</v>
      </c>
      <c r="C59" s="11" t="s">
        <v>96</v>
      </c>
      <c r="D59" s="11" t="s">
        <v>97</v>
      </c>
      <c r="E59" s="11" t="s">
        <v>68</v>
      </c>
      <c r="F59" s="11" t="s">
        <v>313</v>
      </c>
      <c r="G59" s="11" t="s">
        <v>314</v>
      </c>
      <c r="H59" s="11" t="s">
        <v>301</v>
      </c>
      <c r="I59" s="11" t="s">
        <v>302</v>
      </c>
      <c r="J59" s="11" t="s">
        <v>400</v>
      </c>
      <c r="K59" s="11" t="n">
        <v>40</v>
      </c>
      <c r="L59" s="11" t="s">
        <v>304</v>
      </c>
      <c r="M59" s="11" t="n">
        <v>40</v>
      </c>
      <c r="N59" s="11" t="s">
        <v>304</v>
      </c>
      <c r="O59" s="11" t="n">
        <v>34</v>
      </c>
      <c r="P59" s="11" t="s">
        <v>304</v>
      </c>
      <c r="Q59" s="11" t="n">
        <v>0</v>
      </c>
      <c r="R59" s="11" t="n">
        <v>6</v>
      </c>
      <c r="S59" s="11" t="s">
        <v>305</v>
      </c>
      <c r="T59" s="11" t="s">
        <v>306</v>
      </c>
      <c r="U59" s="11" t="s">
        <v>307</v>
      </c>
      <c r="V59" s="11" t="s">
        <v>308</v>
      </c>
      <c r="W59" s="11" t="s">
        <v>309</v>
      </c>
      <c r="X59" s="11" t="s">
        <v>310</v>
      </c>
      <c r="Y59" s="12" t="s">
        <v>311</v>
      </c>
    </row>
    <row r="60" customFormat="false" ht="32.8" hidden="false" customHeight="false" outlineLevel="0" collapsed="false">
      <c r="A60" s="10" t="s">
        <v>402</v>
      </c>
      <c r="B60" s="11" t="s">
        <v>90</v>
      </c>
      <c r="C60" s="11" t="s">
        <v>96</v>
      </c>
      <c r="D60" s="11" t="s">
        <v>97</v>
      </c>
      <c r="E60" s="11" t="s">
        <v>68</v>
      </c>
      <c r="F60" s="11" t="s">
        <v>316</v>
      </c>
      <c r="G60" s="11" t="s">
        <v>317</v>
      </c>
      <c r="H60" s="11" t="s">
        <v>301</v>
      </c>
      <c r="I60" s="11" t="s">
        <v>302</v>
      </c>
      <c r="J60" s="11" t="s">
        <v>400</v>
      </c>
      <c r="K60" s="11" t="n">
        <v>1</v>
      </c>
      <c r="L60" s="11" t="s">
        <v>304</v>
      </c>
      <c r="M60" s="11" t="n">
        <v>1</v>
      </c>
      <c r="N60" s="11" t="s">
        <v>304</v>
      </c>
      <c r="O60" s="11" t="n">
        <v>1</v>
      </c>
      <c r="P60" s="11" t="s">
        <v>304</v>
      </c>
      <c r="Q60" s="11" t="n">
        <v>0</v>
      </c>
      <c r="R60" s="11" t="n">
        <v>0</v>
      </c>
      <c r="S60" s="11" t="s">
        <v>305</v>
      </c>
      <c r="T60" s="11" t="s">
        <v>306</v>
      </c>
      <c r="U60" s="11" t="s">
        <v>307</v>
      </c>
      <c r="V60" s="11" t="s">
        <v>308</v>
      </c>
      <c r="W60" s="11" t="s">
        <v>309</v>
      </c>
      <c r="X60" s="11" t="s">
        <v>310</v>
      </c>
      <c r="Y60" s="12" t="s">
        <v>311</v>
      </c>
    </row>
    <row r="61" customFormat="false" ht="32.8" hidden="false" customHeight="false" outlineLevel="0" collapsed="false">
      <c r="A61" s="10" t="s">
        <v>403</v>
      </c>
      <c r="B61" s="11" t="s">
        <v>90</v>
      </c>
      <c r="C61" s="11" t="s">
        <v>96</v>
      </c>
      <c r="D61" s="11" t="s">
        <v>97</v>
      </c>
      <c r="E61" s="11" t="s">
        <v>68</v>
      </c>
      <c r="F61" s="11" t="s">
        <v>319</v>
      </c>
      <c r="G61" s="11" t="s">
        <v>320</v>
      </c>
      <c r="H61" s="11" t="s">
        <v>301</v>
      </c>
      <c r="I61" s="11" t="s">
        <v>302</v>
      </c>
      <c r="J61" s="11" t="s">
        <v>400</v>
      </c>
      <c r="K61" s="11" t="n">
        <v>2</v>
      </c>
      <c r="L61" s="11" t="s">
        <v>304</v>
      </c>
      <c r="M61" s="11" t="n">
        <v>2</v>
      </c>
      <c r="N61" s="11" t="s">
        <v>304</v>
      </c>
      <c r="O61" s="11" t="n">
        <v>2</v>
      </c>
      <c r="P61" s="11" t="s">
        <v>304</v>
      </c>
      <c r="Q61" s="11" t="n">
        <v>0</v>
      </c>
      <c r="R61" s="11" t="n">
        <v>0</v>
      </c>
      <c r="S61" s="11" t="s">
        <v>305</v>
      </c>
      <c r="T61" s="11" t="s">
        <v>306</v>
      </c>
      <c r="U61" s="11" t="s">
        <v>307</v>
      </c>
      <c r="V61" s="11" t="s">
        <v>308</v>
      </c>
      <c r="W61" s="11" t="s">
        <v>309</v>
      </c>
      <c r="X61" s="11" t="s">
        <v>310</v>
      </c>
      <c r="Y61" s="12" t="s">
        <v>311</v>
      </c>
    </row>
    <row r="62" customFormat="false" ht="32.8" hidden="false" customHeight="false" outlineLevel="0" collapsed="false">
      <c r="A62" s="10" t="s">
        <v>404</v>
      </c>
      <c r="B62" s="11" t="s">
        <v>90</v>
      </c>
      <c r="C62" s="11" t="s">
        <v>96</v>
      </c>
      <c r="D62" s="11" t="s">
        <v>97</v>
      </c>
      <c r="E62" s="11" t="s">
        <v>68</v>
      </c>
      <c r="F62" s="11" t="s">
        <v>322</v>
      </c>
      <c r="G62" s="11" t="s">
        <v>323</v>
      </c>
      <c r="H62" s="11" t="s">
        <v>301</v>
      </c>
      <c r="I62" s="11" t="s">
        <v>302</v>
      </c>
      <c r="J62" s="11" t="s">
        <v>400</v>
      </c>
      <c r="K62" s="11" t="n">
        <v>8</v>
      </c>
      <c r="L62" s="11" t="s">
        <v>304</v>
      </c>
      <c r="M62" s="11" t="n">
        <v>8</v>
      </c>
      <c r="N62" s="11" t="s">
        <v>304</v>
      </c>
      <c r="O62" s="11" t="n">
        <v>8</v>
      </c>
      <c r="P62" s="11" t="s">
        <v>304</v>
      </c>
      <c r="Q62" s="11" t="n">
        <v>0</v>
      </c>
      <c r="R62" s="11" t="n">
        <v>0</v>
      </c>
      <c r="S62" s="11" t="s">
        <v>305</v>
      </c>
      <c r="T62" s="11" t="s">
        <v>306</v>
      </c>
      <c r="U62" s="11" t="s">
        <v>307</v>
      </c>
      <c r="V62" s="11" t="s">
        <v>308</v>
      </c>
      <c r="W62" s="11" t="s">
        <v>309</v>
      </c>
      <c r="X62" s="11" t="s">
        <v>310</v>
      </c>
      <c r="Y62" s="12" t="s">
        <v>311</v>
      </c>
    </row>
    <row r="63" customFormat="false" ht="32.8" hidden="false" customHeight="false" outlineLevel="0" collapsed="false">
      <c r="A63" s="10" t="s">
        <v>405</v>
      </c>
      <c r="B63" s="11" t="s">
        <v>99</v>
      </c>
      <c r="C63" s="11" t="s">
        <v>102</v>
      </c>
      <c r="D63" s="11" t="s">
        <v>103</v>
      </c>
      <c r="E63" s="11" t="s">
        <v>68</v>
      </c>
      <c r="F63" s="11" t="s">
        <v>299</v>
      </c>
      <c r="G63" s="11" t="s">
        <v>300</v>
      </c>
      <c r="H63" s="11" t="s">
        <v>301</v>
      </c>
      <c r="I63" s="11" t="s">
        <v>302</v>
      </c>
      <c r="J63" s="11" t="s">
        <v>406</v>
      </c>
      <c r="K63" s="11" t="n">
        <v>55</v>
      </c>
      <c r="L63" s="11" t="s">
        <v>304</v>
      </c>
      <c r="M63" s="11" t="n">
        <v>55</v>
      </c>
      <c r="N63" s="11" t="s">
        <v>304</v>
      </c>
      <c r="O63" s="11" t="n">
        <v>50</v>
      </c>
      <c r="P63" s="11" t="s">
        <v>304</v>
      </c>
      <c r="Q63" s="11" t="n">
        <v>0</v>
      </c>
      <c r="R63" s="11" t="n">
        <v>5</v>
      </c>
      <c r="S63" s="11" t="s">
        <v>305</v>
      </c>
      <c r="T63" s="11" t="s">
        <v>306</v>
      </c>
      <c r="U63" s="11" t="s">
        <v>307</v>
      </c>
      <c r="V63" s="11" t="s">
        <v>308</v>
      </c>
      <c r="W63" s="11" t="s">
        <v>309</v>
      </c>
      <c r="X63" s="11" t="s">
        <v>310</v>
      </c>
      <c r="Y63" s="12" t="s">
        <v>311</v>
      </c>
    </row>
    <row r="64" customFormat="false" ht="32.8" hidden="false" customHeight="false" outlineLevel="0" collapsed="false">
      <c r="A64" s="10" t="s">
        <v>407</v>
      </c>
      <c r="B64" s="11" t="s">
        <v>99</v>
      </c>
      <c r="C64" s="11" t="s">
        <v>102</v>
      </c>
      <c r="D64" s="11" t="s">
        <v>103</v>
      </c>
      <c r="E64" s="11" t="s">
        <v>68</v>
      </c>
      <c r="F64" s="11" t="s">
        <v>313</v>
      </c>
      <c r="G64" s="11" t="s">
        <v>314</v>
      </c>
      <c r="H64" s="11" t="s">
        <v>301</v>
      </c>
      <c r="I64" s="11" t="s">
        <v>302</v>
      </c>
      <c r="J64" s="11" t="s">
        <v>406</v>
      </c>
      <c r="K64" s="11" t="n">
        <v>31</v>
      </c>
      <c r="L64" s="11" t="s">
        <v>304</v>
      </c>
      <c r="M64" s="11" t="n">
        <v>31</v>
      </c>
      <c r="N64" s="11" t="s">
        <v>304</v>
      </c>
      <c r="O64" s="11" t="n">
        <v>25</v>
      </c>
      <c r="P64" s="11" t="s">
        <v>304</v>
      </c>
      <c r="Q64" s="11" t="n">
        <v>0</v>
      </c>
      <c r="R64" s="11" t="n">
        <v>6</v>
      </c>
      <c r="S64" s="11" t="s">
        <v>305</v>
      </c>
      <c r="T64" s="11" t="s">
        <v>306</v>
      </c>
      <c r="U64" s="11" t="s">
        <v>307</v>
      </c>
      <c r="V64" s="11" t="s">
        <v>308</v>
      </c>
      <c r="W64" s="11" t="s">
        <v>309</v>
      </c>
      <c r="X64" s="11" t="s">
        <v>310</v>
      </c>
      <c r="Y64" s="12" t="s">
        <v>311</v>
      </c>
    </row>
    <row r="65" customFormat="false" ht="32.8" hidden="false" customHeight="false" outlineLevel="0" collapsed="false">
      <c r="A65" s="10" t="s">
        <v>408</v>
      </c>
      <c r="B65" s="11" t="s">
        <v>99</v>
      </c>
      <c r="C65" s="11" t="s">
        <v>102</v>
      </c>
      <c r="D65" s="11" t="s">
        <v>103</v>
      </c>
      <c r="E65" s="11" t="s">
        <v>68</v>
      </c>
      <c r="F65" s="11" t="s">
        <v>409</v>
      </c>
      <c r="G65" s="11" t="s">
        <v>410</v>
      </c>
      <c r="H65" s="11" t="s">
        <v>301</v>
      </c>
      <c r="I65" s="11" t="s">
        <v>302</v>
      </c>
      <c r="J65" s="11" t="s">
        <v>406</v>
      </c>
      <c r="K65" s="11" t="n">
        <v>13</v>
      </c>
      <c r="L65" s="11" t="s">
        <v>304</v>
      </c>
      <c r="M65" s="11" t="n">
        <v>13</v>
      </c>
      <c r="N65" s="11" t="s">
        <v>304</v>
      </c>
      <c r="O65" s="11" t="n">
        <v>12</v>
      </c>
      <c r="P65" s="11" t="s">
        <v>304</v>
      </c>
      <c r="Q65" s="11" t="n">
        <v>0</v>
      </c>
      <c r="R65" s="11" t="n">
        <v>1</v>
      </c>
      <c r="S65" s="11" t="s">
        <v>305</v>
      </c>
      <c r="T65" s="11" t="s">
        <v>306</v>
      </c>
      <c r="U65" s="11" t="s">
        <v>307</v>
      </c>
      <c r="V65" s="11" t="s">
        <v>308</v>
      </c>
      <c r="W65" s="11" t="s">
        <v>309</v>
      </c>
      <c r="X65" s="11" t="s">
        <v>310</v>
      </c>
      <c r="Y65" s="12" t="s">
        <v>311</v>
      </c>
    </row>
    <row r="66" customFormat="false" ht="32.8" hidden="false" customHeight="false" outlineLevel="0" collapsed="false">
      <c r="A66" s="10" t="s">
        <v>411</v>
      </c>
      <c r="B66" s="11" t="s">
        <v>99</v>
      </c>
      <c r="C66" s="11" t="s">
        <v>102</v>
      </c>
      <c r="D66" s="11" t="s">
        <v>103</v>
      </c>
      <c r="E66" s="11" t="s">
        <v>68</v>
      </c>
      <c r="F66" s="11" t="s">
        <v>412</v>
      </c>
      <c r="G66" s="11" t="s">
        <v>413</v>
      </c>
      <c r="H66" s="11" t="s">
        <v>301</v>
      </c>
      <c r="I66" s="11" t="s">
        <v>302</v>
      </c>
      <c r="J66" s="11" t="s">
        <v>406</v>
      </c>
      <c r="K66" s="11" t="n">
        <v>8</v>
      </c>
      <c r="L66" s="11" t="s">
        <v>304</v>
      </c>
      <c r="M66" s="11" t="n">
        <v>8</v>
      </c>
      <c r="N66" s="11" t="s">
        <v>304</v>
      </c>
      <c r="O66" s="11" t="n">
        <v>8</v>
      </c>
      <c r="P66" s="11" t="s">
        <v>304</v>
      </c>
      <c r="Q66" s="11" t="n">
        <v>0</v>
      </c>
      <c r="R66" s="11" t="n">
        <v>0</v>
      </c>
      <c r="S66" s="11" t="s">
        <v>305</v>
      </c>
      <c r="T66" s="11" t="s">
        <v>306</v>
      </c>
      <c r="U66" s="11" t="s">
        <v>307</v>
      </c>
      <c r="V66" s="11" t="s">
        <v>308</v>
      </c>
      <c r="W66" s="11" t="s">
        <v>309</v>
      </c>
      <c r="X66" s="11" t="s">
        <v>310</v>
      </c>
      <c r="Y66" s="12" t="s">
        <v>311</v>
      </c>
    </row>
    <row r="67" customFormat="false" ht="32.8" hidden="false" customHeight="false" outlineLevel="0" collapsed="false">
      <c r="A67" s="10" t="s">
        <v>414</v>
      </c>
      <c r="B67" s="11" t="s">
        <v>99</v>
      </c>
      <c r="C67" s="11" t="s">
        <v>102</v>
      </c>
      <c r="D67" s="11" t="s">
        <v>103</v>
      </c>
      <c r="E67" s="11" t="s">
        <v>68</v>
      </c>
      <c r="F67" s="11" t="s">
        <v>322</v>
      </c>
      <c r="G67" s="11" t="s">
        <v>323</v>
      </c>
      <c r="H67" s="11" t="s">
        <v>301</v>
      </c>
      <c r="I67" s="11" t="s">
        <v>302</v>
      </c>
      <c r="J67" s="11" t="s">
        <v>406</v>
      </c>
      <c r="K67" s="11" t="n">
        <v>3</v>
      </c>
      <c r="L67" s="11" t="s">
        <v>304</v>
      </c>
      <c r="M67" s="11" t="n">
        <v>3</v>
      </c>
      <c r="N67" s="11" t="s">
        <v>304</v>
      </c>
      <c r="O67" s="11" t="n">
        <v>3</v>
      </c>
      <c r="P67" s="11" t="s">
        <v>304</v>
      </c>
      <c r="Q67" s="11" t="n">
        <v>0</v>
      </c>
      <c r="R67" s="11" t="n">
        <v>0</v>
      </c>
      <c r="S67" s="11" t="s">
        <v>305</v>
      </c>
      <c r="T67" s="11" t="s">
        <v>306</v>
      </c>
      <c r="U67" s="11" t="s">
        <v>307</v>
      </c>
      <c r="V67" s="11" t="s">
        <v>308</v>
      </c>
      <c r="W67" s="11" t="s">
        <v>309</v>
      </c>
      <c r="X67" s="11" t="s">
        <v>310</v>
      </c>
      <c r="Y67" s="12" t="s">
        <v>311</v>
      </c>
    </row>
    <row r="68" customFormat="false" ht="32.8" hidden="false" customHeight="false" outlineLevel="0" collapsed="false">
      <c r="A68" s="10" t="s">
        <v>415</v>
      </c>
      <c r="B68" s="11" t="s">
        <v>99</v>
      </c>
      <c r="C68" s="11" t="s">
        <v>102</v>
      </c>
      <c r="D68" s="11" t="s">
        <v>103</v>
      </c>
      <c r="E68" s="11" t="s">
        <v>68</v>
      </c>
      <c r="F68" s="11" t="s">
        <v>316</v>
      </c>
      <c r="G68" s="11" t="s">
        <v>317</v>
      </c>
      <c r="H68" s="11" t="s">
        <v>301</v>
      </c>
      <c r="I68" s="11" t="s">
        <v>302</v>
      </c>
      <c r="J68" s="11" t="s">
        <v>406</v>
      </c>
      <c r="K68" s="11" t="n">
        <v>1</v>
      </c>
      <c r="L68" s="11" t="s">
        <v>304</v>
      </c>
      <c r="M68" s="11" t="n">
        <v>1</v>
      </c>
      <c r="N68" s="11" t="s">
        <v>304</v>
      </c>
      <c r="O68" s="11" t="n">
        <v>1</v>
      </c>
      <c r="P68" s="11" t="s">
        <v>304</v>
      </c>
      <c r="Q68" s="11" t="n">
        <v>0</v>
      </c>
      <c r="R68" s="11" t="n">
        <v>0</v>
      </c>
      <c r="S68" s="11" t="s">
        <v>305</v>
      </c>
      <c r="T68" s="11" t="s">
        <v>306</v>
      </c>
      <c r="U68" s="11" t="s">
        <v>307</v>
      </c>
      <c r="V68" s="11" t="s">
        <v>308</v>
      </c>
      <c r="W68" s="11" t="s">
        <v>309</v>
      </c>
      <c r="X68" s="11" t="s">
        <v>310</v>
      </c>
      <c r="Y68" s="12" t="s">
        <v>311</v>
      </c>
    </row>
    <row r="69" customFormat="false" ht="32.8" hidden="false" customHeight="false" outlineLevel="0" collapsed="false">
      <c r="A69" s="10" t="s">
        <v>416</v>
      </c>
      <c r="B69" s="11" t="s">
        <v>99</v>
      </c>
      <c r="C69" s="11" t="s">
        <v>102</v>
      </c>
      <c r="D69" s="11" t="s">
        <v>103</v>
      </c>
      <c r="E69" s="11" t="s">
        <v>68</v>
      </c>
      <c r="F69" s="11" t="s">
        <v>319</v>
      </c>
      <c r="G69" s="11" t="s">
        <v>320</v>
      </c>
      <c r="H69" s="11" t="s">
        <v>301</v>
      </c>
      <c r="I69" s="11" t="s">
        <v>302</v>
      </c>
      <c r="J69" s="11" t="s">
        <v>406</v>
      </c>
      <c r="K69" s="11" t="n">
        <v>1</v>
      </c>
      <c r="L69" s="11" t="s">
        <v>304</v>
      </c>
      <c r="M69" s="11" t="n">
        <v>1</v>
      </c>
      <c r="N69" s="11" t="s">
        <v>304</v>
      </c>
      <c r="O69" s="11" t="n">
        <v>1</v>
      </c>
      <c r="P69" s="11" t="s">
        <v>304</v>
      </c>
      <c r="Q69" s="11" t="n">
        <v>0</v>
      </c>
      <c r="R69" s="11" t="n">
        <v>0</v>
      </c>
      <c r="S69" s="11" t="s">
        <v>305</v>
      </c>
      <c r="T69" s="11" t="s">
        <v>306</v>
      </c>
      <c r="U69" s="11" t="s">
        <v>307</v>
      </c>
      <c r="V69" s="11" t="s">
        <v>308</v>
      </c>
      <c r="W69" s="11" t="s">
        <v>309</v>
      </c>
      <c r="X69" s="11" t="s">
        <v>310</v>
      </c>
      <c r="Y69" s="12" t="s">
        <v>311</v>
      </c>
    </row>
    <row r="70" customFormat="false" ht="32.8" hidden="false" customHeight="false" outlineLevel="0" collapsed="false">
      <c r="A70" s="10" t="s">
        <v>417</v>
      </c>
      <c r="B70" s="11" t="s">
        <v>105</v>
      </c>
      <c r="C70" s="11" t="s">
        <v>109</v>
      </c>
      <c r="D70" s="11" t="s">
        <v>110</v>
      </c>
      <c r="E70" s="11" t="s">
        <v>68</v>
      </c>
      <c r="F70" s="11" t="s">
        <v>418</v>
      </c>
      <c r="G70" s="11" t="s">
        <v>419</v>
      </c>
      <c r="H70" s="11" t="s">
        <v>301</v>
      </c>
      <c r="I70" s="11" t="s">
        <v>302</v>
      </c>
      <c r="J70" s="11" t="s">
        <v>420</v>
      </c>
      <c r="K70" s="11" t="n">
        <v>150</v>
      </c>
      <c r="L70" s="11" t="s">
        <v>304</v>
      </c>
      <c r="M70" s="11" t="n">
        <v>150</v>
      </c>
      <c r="N70" s="11" t="s">
        <v>304</v>
      </c>
      <c r="O70" s="11" t="n">
        <v>140</v>
      </c>
      <c r="P70" s="11" t="s">
        <v>304</v>
      </c>
      <c r="Q70" s="11" t="n">
        <v>0</v>
      </c>
      <c r="R70" s="11" t="n">
        <v>10</v>
      </c>
      <c r="S70" s="11" t="s">
        <v>305</v>
      </c>
      <c r="T70" s="11" t="s">
        <v>306</v>
      </c>
      <c r="U70" s="11" t="s">
        <v>307</v>
      </c>
      <c r="V70" s="11" t="s">
        <v>308</v>
      </c>
      <c r="W70" s="11" t="s">
        <v>309</v>
      </c>
      <c r="X70" s="11" t="s">
        <v>310</v>
      </c>
      <c r="Y70" s="12" t="s">
        <v>311</v>
      </c>
    </row>
    <row r="71" customFormat="false" ht="32.8" hidden="false" customHeight="false" outlineLevel="0" collapsed="false">
      <c r="A71" s="10" t="s">
        <v>421</v>
      </c>
      <c r="B71" s="11" t="s">
        <v>105</v>
      </c>
      <c r="C71" s="11" t="s">
        <v>109</v>
      </c>
      <c r="D71" s="11" t="s">
        <v>110</v>
      </c>
      <c r="E71" s="11" t="s">
        <v>68</v>
      </c>
      <c r="F71" s="11" t="s">
        <v>299</v>
      </c>
      <c r="G71" s="11" t="s">
        <v>300</v>
      </c>
      <c r="H71" s="11" t="s">
        <v>301</v>
      </c>
      <c r="I71" s="11" t="s">
        <v>302</v>
      </c>
      <c r="J71" s="11" t="s">
        <v>420</v>
      </c>
      <c r="K71" s="11" t="n">
        <v>75</v>
      </c>
      <c r="L71" s="11" t="s">
        <v>304</v>
      </c>
      <c r="M71" s="11" t="n">
        <v>75</v>
      </c>
      <c r="N71" s="11" t="s">
        <v>304</v>
      </c>
      <c r="O71" s="11" t="n">
        <v>70</v>
      </c>
      <c r="P71" s="11" t="s">
        <v>304</v>
      </c>
      <c r="Q71" s="11" t="n">
        <v>0</v>
      </c>
      <c r="R71" s="11" t="n">
        <v>5</v>
      </c>
      <c r="S71" s="11" t="s">
        <v>305</v>
      </c>
      <c r="T71" s="11" t="s">
        <v>306</v>
      </c>
      <c r="U71" s="11" t="s">
        <v>307</v>
      </c>
      <c r="V71" s="11" t="s">
        <v>308</v>
      </c>
      <c r="W71" s="11" t="s">
        <v>309</v>
      </c>
      <c r="X71" s="11" t="s">
        <v>310</v>
      </c>
      <c r="Y71" s="12" t="s">
        <v>311</v>
      </c>
    </row>
    <row r="72" customFormat="false" ht="32.8" hidden="false" customHeight="false" outlineLevel="0" collapsed="false">
      <c r="A72" s="10" t="s">
        <v>422</v>
      </c>
      <c r="B72" s="11" t="s">
        <v>105</v>
      </c>
      <c r="C72" s="11" t="s">
        <v>109</v>
      </c>
      <c r="D72" s="11" t="s">
        <v>110</v>
      </c>
      <c r="E72" s="11" t="s">
        <v>68</v>
      </c>
      <c r="F72" s="11" t="s">
        <v>313</v>
      </c>
      <c r="G72" s="11" t="s">
        <v>314</v>
      </c>
      <c r="H72" s="11" t="s">
        <v>301</v>
      </c>
      <c r="I72" s="11" t="s">
        <v>302</v>
      </c>
      <c r="J72" s="11" t="s">
        <v>420</v>
      </c>
      <c r="K72" s="11" t="n">
        <v>125</v>
      </c>
      <c r="L72" s="11" t="s">
        <v>304</v>
      </c>
      <c r="M72" s="11" t="n">
        <v>125</v>
      </c>
      <c r="N72" s="11" t="s">
        <v>304</v>
      </c>
      <c r="O72" s="11" t="n">
        <v>95</v>
      </c>
      <c r="P72" s="11" t="s">
        <v>304</v>
      </c>
      <c r="Q72" s="11" t="n">
        <v>0</v>
      </c>
      <c r="R72" s="11" t="n">
        <v>30</v>
      </c>
      <c r="S72" s="11" t="s">
        <v>305</v>
      </c>
      <c r="T72" s="11" t="s">
        <v>306</v>
      </c>
      <c r="U72" s="11" t="s">
        <v>307</v>
      </c>
      <c r="V72" s="11" t="s">
        <v>308</v>
      </c>
      <c r="W72" s="11" t="s">
        <v>309</v>
      </c>
      <c r="X72" s="11" t="s">
        <v>310</v>
      </c>
      <c r="Y72" s="12" t="s">
        <v>311</v>
      </c>
    </row>
    <row r="73" customFormat="false" ht="32.8" hidden="false" customHeight="false" outlineLevel="0" collapsed="false">
      <c r="A73" s="10" t="s">
        <v>423</v>
      </c>
      <c r="B73" s="11" t="s">
        <v>105</v>
      </c>
      <c r="C73" s="11" t="s">
        <v>109</v>
      </c>
      <c r="D73" s="11" t="s">
        <v>110</v>
      </c>
      <c r="E73" s="11" t="s">
        <v>68</v>
      </c>
      <c r="F73" s="11" t="s">
        <v>424</v>
      </c>
      <c r="G73" s="11" t="s">
        <v>425</v>
      </c>
      <c r="H73" s="11" t="s">
        <v>301</v>
      </c>
      <c r="I73" s="11" t="s">
        <v>426</v>
      </c>
      <c r="J73" s="11" t="s">
        <v>420</v>
      </c>
      <c r="K73" s="11" t="n">
        <v>20</v>
      </c>
      <c r="L73" s="11" t="s">
        <v>304</v>
      </c>
      <c r="M73" s="11" t="n">
        <v>20</v>
      </c>
      <c r="N73" s="11" t="s">
        <v>304</v>
      </c>
      <c r="O73" s="11" t="n">
        <v>20</v>
      </c>
      <c r="P73" s="11" t="s">
        <v>304</v>
      </c>
      <c r="Q73" s="11" t="n">
        <v>0</v>
      </c>
      <c r="R73" s="11" t="n">
        <v>0</v>
      </c>
      <c r="S73" s="11" t="s">
        <v>305</v>
      </c>
      <c r="T73" s="11" t="s">
        <v>306</v>
      </c>
      <c r="U73" s="11" t="s">
        <v>307</v>
      </c>
      <c r="V73" s="11" t="s">
        <v>308</v>
      </c>
      <c r="W73" s="11" t="s">
        <v>309</v>
      </c>
      <c r="X73" s="11" t="s">
        <v>310</v>
      </c>
      <c r="Y73" s="12" t="s">
        <v>311</v>
      </c>
    </row>
    <row r="74" customFormat="false" ht="32.8" hidden="false" customHeight="false" outlineLevel="0" collapsed="false">
      <c r="A74" s="10" t="s">
        <v>427</v>
      </c>
      <c r="B74" s="11" t="s">
        <v>105</v>
      </c>
      <c r="C74" s="11" t="s">
        <v>109</v>
      </c>
      <c r="D74" s="11" t="s">
        <v>110</v>
      </c>
      <c r="E74" s="11" t="s">
        <v>68</v>
      </c>
      <c r="F74" s="11" t="s">
        <v>428</v>
      </c>
      <c r="G74" s="11" t="s">
        <v>429</v>
      </c>
      <c r="H74" s="11" t="s">
        <v>301</v>
      </c>
      <c r="I74" s="11" t="s">
        <v>302</v>
      </c>
      <c r="J74" s="11" t="s">
        <v>420</v>
      </c>
      <c r="K74" s="11" t="n">
        <v>10</v>
      </c>
      <c r="L74" s="11" t="s">
        <v>304</v>
      </c>
      <c r="M74" s="11" t="n">
        <v>10</v>
      </c>
      <c r="N74" s="11" t="s">
        <v>304</v>
      </c>
      <c r="O74" s="11" t="n">
        <v>10</v>
      </c>
      <c r="P74" s="11" t="s">
        <v>304</v>
      </c>
      <c r="Q74" s="11" t="n">
        <v>0</v>
      </c>
      <c r="R74" s="11" t="n">
        <v>0</v>
      </c>
      <c r="S74" s="11" t="s">
        <v>305</v>
      </c>
      <c r="T74" s="11" t="s">
        <v>306</v>
      </c>
      <c r="U74" s="11" t="s">
        <v>307</v>
      </c>
      <c r="V74" s="11" t="s">
        <v>308</v>
      </c>
      <c r="W74" s="11" t="s">
        <v>309</v>
      </c>
      <c r="X74" s="11" t="s">
        <v>310</v>
      </c>
      <c r="Y74" s="12" t="s">
        <v>311</v>
      </c>
    </row>
    <row r="75" customFormat="false" ht="32.8" hidden="false" customHeight="false" outlineLevel="0" collapsed="false">
      <c r="A75" s="10" t="s">
        <v>430</v>
      </c>
      <c r="B75" s="11" t="s">
        <v>105</v>
      </c>
      <c r="C75" s="11" t="s">
        <v>109</v>
      </c>
      <c r="D75" s="11" t="s">
        <v>110</v>
      </c>
      <c r="E75" s="11" t="s">
        <v>68</v>
      </c>
      <c r="F75" s="11" t="s">
        <v>431</v>
      </c>
      <c r="G75" s="11" t="s">
        <v>432</v>
      </c>
      <c r="H75" s="11" t="s">
        <v>301</v>
      </c>
      <c r="I75" s="11" t="s">
        <v>433</v>
      </c>
      <c r="J75" s="11" t="s">
        <v>420</v>
      </c>
      <c r="K75" s="11" t="n">
        <v>4</v>
      </c>
      <c r="L75" s="11" t="s">
        <v>304</v>
      </c>
      <c r="M75" s="11" t="n">
        <v>4</v>
      </c>
      <c r="N75" s="11" t="s">
        <v>304</v>
      </c>
      <c r="O75" s="11" t="n">
        <v>4</v>
      </c>
      <c r="P75" s="11" t="s">
        <v>304</v>
      </c>
      <c r="Q75" s="11" t="n">
        <v>0</v>
      </c>
      <c r="R75" s="11" t="n">
        <v>0</v>
      </c>
      <c r="S75" s="11" t="s">
        <v>305</v>
      </c>
      <c r="T75" s="11" t="s">
        <v>306</v>
      </c>
      <c r="U75" s="11" t="s">
        <v>307</v>
      </c>
      <c r="V75" s="11" t="s">
        <v>308</v>
      </c>
      <c r="W75" s="11" t="s">
        <v>309</v>
      </c>
      <c r="X75" s="11" t="s">
        <v>310</v>
      </c>
      <c r="Y75" s="12" t="s">
        <v>311</v>
      </c>
    </row>
    <row r="76" customFormat="false" ht="32.8" hidden="false" customHeight="false" outlineLevel="0" collapsed="false">
      <c r="A76" s="10" t="s">
        <v>434</v>
      </c>
      <c r="B76" s="11" t="s">
        <v>105</v>
      </c>
      <c r="C76" s="11" t="s">
        <v>109</v>
      </c>
      <c r="D76" s="11" t="s">
        <v>110</v>
      </c>
      <c r="E76" s="11" t="s">
        <v>68</v>
      </c>
      <c r="F76" s="11" t="s">
        <v>316</v>
      </c>
      <c r="G76" s="11" t="s">
        <v>317</v>
      </c>
      <c r="H76" s="11" t="s">
        <v>301</v>
      </c>
      <c r="I76" s="11" t="s">
        <v>302</v>
      </c>
      <c r="J76" s="11" t="s">
        <v>420</v>
      </c>
      <c r="K76" s="11" t="n">
        <v>3</v>
      </c>
      <c r="L76" s="11" t="s">
        <v>304</v>
      </c>
      <c r="M76" s="11" t="n">
        <v>3</v>
      </c>
      <c r="N76" s="11" t="s">
        <v>304</v>
      </c>
      <c r="O76" s="11" t="n">
        <v>3</v>
      </c>
      <c r="P76" s="11" t="s">
        <v>304</v>
      </c>
      <c r="Q76" s="11" t="n">
        <v>0</v>
      </c>
      <c r="R76" s="11" t="n">
        <v>0</v>
      </c>
      <c r="S76" s="11" t="s">
        <v>305</v>
      </c>
      <c r="T76" s="11" t="s">
        <v>306</v>
      </c>
      <c r="U76" s="11" t="s">
        <v>307</v>
      </c>
      <c r="V76" s="11" t="s">
        <v>308</v>
      </c>
      <c r="W76" s="11" t="s">
        <v>309</v>
      </c>
      <c r="X76" s="11" t="s">
        <v>310</v>
      </c>
      <c r="Y76" s="12" t="s">
        <v>311</v>
      </c>
    </row>
    <row r="77" customFormat="false" ht="32.8" hidden="false" customHeight="false" outlineLevel="0" collapsed="false">
      <c r="A77" s="10" t="s">
        <v>435</v>
      </c>
      <c r="B77" s="11" t="s">
        <v>105</v>
      </c>
      <c r="C77" s="11" t="s">
        <v>109</v>
      </c>
      <c r="D77" s="11" t="s">
        <v>110</v>
      </c>
      <c r="E77" s="11" t="s">
        <v>68</v>
      </c>
      <c r="F77" s="11" t="s">
        <v>319</v>
      </c>
      <c r="G77" s="11" t="s">
        <v>320</v>
      </c>
      <c r="H77" s="11" t="s">
        <v>301</v>
      </c>
      <c r="I77" s="11" t="s">
        <v>302</v>
      </c>
      <c r="J77" s="11" t="s">
        <v>420</v>
      </c>
      <c r="K77" s="11" t="n">
        <v>5</v>
      </c>
      <c r="L77" s="11" t="s">
        <v>304</v>
      </c>
      <c r="M77" s="11" t="n">
        <v>5</v>
      </c>
      <c r="N77" s="11" t="s">
        <v>304</v>
      </c>
      <c r="O77" s="11" t="n">
        <v>5</v>
      </c>
      <c r="P77" s="11" t="s">
        <v>304</v>
      </c>
      <c r="Q77" s="11" t="n">
        <v>0</v>
      </c>
      <c r="R77" s="11" t="n">
        <v>0</v>
      </c>
      <c r="S77" s="11" t="s">
        <v>305</v>
      </c>
      <c r="T77" s="11" t="s">
        <v>306</v>
      </c>
      <c r="U77" s="11" t="s">
        <v>307</v>
      </c>
      <c r="V77" s="11" t="s">
        <v>308</v>
      </c>
      <c r="W77" s="11" t="s">
        <v>309</v>
      </c>
      <c r="X77" s="11" t="s">
        <v>310</v>
      </c>
      <c r="Y77" s="12" t="s">
        <v>311</v>
      </c>
    </row>
    <row r="78" customFormat="false" ht="32.8" hidden="false" customHeight="false" outlineLevel="0" collapsed="false">
      <c r="A78" s="10" t="s">
        <v>436</v>
      </c>
      <c r="B78" s="11" t="s">
        <v>105</v>
      </c>
      <c r="C78" s="11" t="s">
        <v>109</v>
      </c>
      <c r="D78" s="11" t="s">
        <v>110</v>
      </c>
      <c r="E78" s="11" t="s">
        <v>68</v>
      </c>
      <c r="F78" s="11" t="s">
        <v>437</v>
      </c>
      <c r="G78" s="11" t="s">
        <v>438</v>
      </c>
      <c r="H78" s="11" t="s">
        <v>301</v>
      </c>
      <c r="I78" s="11" t="s">
        <v>439</v>
      </c>
      <c r="J78" s="11" t="s">
        <v>420</v>
      </c>
      <c r="K78" s="11" t="n">
        <v>3</v>
      </c>
      <c r="L78" s="11" t="s">
        <v>304</v>
      </c>
      <c r="M78" s="11" t="n">
        <v>3</v>
      </c>
      <c r="N78" s="11" t="s">
        <v>304</v>
      </c>
      <c r="O78" s="11" t="n">
        <v>3</v>
      </c>
      <c r="P78" s="11" t="s">
        <v>304</v>
      </c>
      <c r="Q78" s="11" t="n">
        <v>0</v>
      </c>
      <c r="R78" s="11" t="n">
        <v>0</v>
      </c>
      <c r="S78" s="11" t="s">
        <v>305</v>
      </c>
      <c r="T78" s="11" t="s">
        <v>306</v>
      </c>
      <c r="U78" s="11" t="s">
        <v>307</v>
      </c>
      <c r="V78" s="11" t="s">
        <v>308</v>
      </c>
      <c r="W78" s="11" t="s">
        <v>309</v>
      </c>
      <c r="X78" s="11" t="s">
        <v>310</v>
      </c>
      <c r="Y78" s="12" t="s">
        <v>311</v>
      </c>
    </row>
    <row r="79" customFormat="false" ht="32.8" hidden="false" customHeight="false" outlineLevel="0" collapsed="false">
      <c r="A79" s="10" t="s">
        <v>440</v>
      </c>
      <c r="B79" s="11" t="s">
        <v>112</v>
      </c>
      <c r="C79" s="11" t="s">
        <v>116</v>
      </c>
      <c r="D79" s="11" t="s">
        <v>117</v>
      </c>
      <c r="E79" s="11" t="s">
        <v>68</v>
      </c>
      <c r="F79" s="11" t="s">
        <v>299</v>
      </c>
      <c r="G79" s="11" t="s">
        <v>300</v>
      </c>
      <c r="H79" s="11" t="s">
        <v>301</v>
      </c>
      <c r="I79" s="11" t="s">
        <v>302</v>
      </c>
      <c r="J79" s="11" t="s">
        <v>441</v>
      </c>
      <c r="K79" s="11" t="n">
        <v>38</v>
      </c>
      <c r="L79" s="11" t="s">
        <v>304</v>
      </c>
      <c r="M79" s="11" t="n">
        <v>38</v>
      </c>
      <c r="N79" s="11" t="s">
        <v>304</v>
      </c>
      <c r="O79" s="11" t="n">
        <v>35</v>
      </c>
      <c r="P79" s="11" t="s">
        <v>304</v>
      </c>
      <c r="Q79" s="11" t="n">
        <v>0</v>
      </c>
      <c r="R79" s="11" t="n">
        <v>3</v>
      </c>
      <c r="S79" s="11" t="s">
        <v>305</v>
      </c>
      <c r="T79" s="11" t="s">
        <v>306</v>
      </c>
      <c r="U79" s="11" t="s">
        <v>307</v>
      </c>
      <c r="V79" s="11" t="s">
        <v>308</v>
      </c>
      <c r="W79" s="11" t="s">
        <v>309</v>
      </c>
      <c r="X79" s="11" t="s">
        <v>310</v>
      </c>
      <c r="Y79" s="12" t="s">
        <v>311</v>
      </c>
    </row>
    <row r="80" customFormat="false" ht="32.8" hidden="false" customHeight="false" outlineLevel="0" collapsed="false">
      <c r="A80" s="10" t="s">
        <v>442</v>
      </c>
      <c r="B80" s="11" t="s">
        <v>112</v>
      </c>
      <c r="C80" s="11" t="s">
        <v>116</v>
      </c>
      <c r="D80" s="11" t="s">
        <v>117</v>
      </c>
      <c r="E80" s="11" t="s">
        <v>68</v>
      </c>
      <c r="F80" s="11" t="s">
        <v>443</v>
      </c>
      <c r="G80" s="11" t="s">
        <v>444</v>
      </c>
      <c r="H80" s="11" t="s">
        <v>301</v>
      </c>
      <c r="I80" s="11" t="s">
        <v>302</v>
      </c>
      <c r="J80" s="11" t="s">
        <v>441</v>
      </c>
      <c r="K80" s="11" t="n">
        <v>13</v>
      </c>
      <c r="L80" s="11" t="s">
        <v>304</v>
      </c>
      <c r="M80" s="11" t="n">
        <v>13</v>
      </c>
      <c r="N80" s="11" t="s">
        <v>304</v>
      </c>
      <c r="O80" s="11" t="n">
        <v>12</v>
      </c>
      <c r="P80" s="11" t="s">
        <v>304</v>
      </c>
      <c r="Q80" s="11" t="n">
        <v>0</v>
      </c>
      <c r="R80" s="11" t="n">
        <v>1</v>
      </c>
      <c r="S80" s="11" t="s">
        <v>305</v>
      </c>
      <c r="T80" s="11" t="s">
        <v>306</v>
      </c>
      <c r="U80" s="11" t="s">
        <v>307</v>
      </c>
      <c r="V80" s="11" t="s">
        <v>308</v>
      </c>
      <c r="W80" s="11" t="s">
        <v>309</v>
      </c>
      <c r="X80" s="11" t="s">
        <v>310</v>
      </c>
      <c r="Y80" s="12" t="s">
        <v>311</v>
      </c>
    </row>
    <row r="81" customFormat="false" ht="32.8" hidden="false" customHeight="false" outlineLevel="0" collapsed="false">
      <c r="A81" s="10" t="s">
        <v>445</v>
      </c>
      <c r="B81" s="11" t="s">
        <v>112</v>
      </c>
      <c r="C81" s="11" t="s">
        <v>116</v>
      </c>
      <c r="D81" s="11" t="s">
        <v>117</v>
      </c>
      <c r="E81" s="11" t="s">
        <v>68</v>
      </c>
      <c r="F81" s="11" t="s">
        <v>446</v>
      </c>
      <c r="G81" s="11" t="s">
        <v>447</v>
      </c>
      <c r="H81" s="11" t="s">
        <v>301</v>
      </c>
      <c r="I81" s="11" t="s">
        <v>302</v>
      </c>
      <c r="J81" s="11" t="s">
        <v>441</v>
      </c>
      <c r="K81" s="11" t="n">
        <v>16</v>
      </c>
      <c r="L81" s="11" t="s">
        <v>304</v>
      </c>
      <c r="M81" s="11" t="n">
        <v>16</v>
      </c>
      <c r="N81" s="11" t="s">
        <v>304</v>
      </c>
      <c r="O81" s="11" t="n">
        <v>15</v>
      </c>
      <c r="P81" s="11" t="s">
        <v>304</v>
      </c>
      <c r="Q81" s="11" t="n">
        <v>0</v>
      </c>
      <c r="R81" s="11" t="n">
        <v>1</v>
      </c>
      <c r="S81" s="11" t="s">
        <v>305</v>
      </c>
      <c r="T81" s="11" t="s">
        <v>306</v>
      </c>
      <c r="U81" s="11" t="s">
        <v>307</v>
      </c>
      <c r="V81" s="11" t="s">
        <v>308</v>
      </c>
      <c r="W81" s="11" t="s">
        <v>309</v>
      </c>
      <c r="X81" s="11" t="s">
        <v>310</v>
      </c>
      <c r="Y81" s="12" t="s">
        <v>311</v>
      </c>
    </row>
    <row r="82" customFormat="false" ht="32.8" hidden="false" customHeight="false" outlineLevel="0" collapsed="false">
      <c r="A82" s="10" t="s">
        <v>448</v>
      </c>
      <c r="B82" s="11" t="s">
        <v>112</v>
      </c>
      <c r="C82" s="11" t="s">
        <v>116</v>
      </c>
      <c r="D82" s="11" t="s">
        <v>117</v>
      </c>
      <c r="E82" s="11" t="s">
        <v>68</v>
      </c>
      <c r="F82" s="11" t="s">
        <v>449</v>
      </c>
      <c r="G82" s="11" t="s">
        <v>450</v>
      </c>
      <c r="H82" s="11" t="s">
        <v>301</v>
      </c>
      <c r="I82" s="11" t="s">
        <v>302</v>
      </c>
      <c r="J82" s="11" t="s">
        <v>441</v>
      </c>
      <c r="K82" s="11" t="n">
        <v>15</v>
      </c>
      <c r="L82" s="11" t="s">
        <v>304</v>
      </c>
      <c r="M82" s="11" t="n">
        <v>15</v>
      </c>
      <c r="N82" s="11" t="s">
        <v>304</v>
      </c>
      <c r="O82" s="11" t="n">
        <v>15</v>
      </c>
      <c r="P82" s="11" t="s">
        <v>304</v>
      </c>
      <c r="Q82" s="11" t="n">
        <v>0</v>
      </c>
      <c r="R82" s="11" t="n">
        <v>0</v>
      </c>
      <c r="S82" s="11" t="s">
        <v>305</v>
      </c>
      <c r="T82" s="11" t="s">
        <v>306</v>
      </c>
      <c r="U82" s="11" t="s">
        <v>307</v>
      </c>
      <c r="V82" s="11" t="s">
        <v>308</v>
      </c>
      <c r="W82" s="11" t="s">
        <v>309</v>
      </c>
      <c r="X82" s="11" t="s">
        <v>310</v>
      </c>
      <c r="Y82" s="12" t="s">
        <v>311</v>
      </c>
    </row>
    <row r="83" customFormat="false" ht="32.8" hidden="false" customHeight="false" outlineLevel="0" collapsed="false">
      <c r="A83" s="10" t="s">
        <v>451</v>
      </c>
      <c r="B83" s="11" t="s">
        <v>112</v>
      </c>
      <c r="C83" s="11" t="s">
        <v>116</v>
      </c>
      <c r="D83" s="11" t="s">
        <v>117</v>
      </c>
      <c r="E83" s="11" t="s">
        <v>68</v>
      </c>
      <c r="F83" s="11" t="s">
        <v>452</v>
      </c>
      <c r="G83" s="11" t="s">
        <v>453</v>
      </c>
      <c r="H83" s="11" t="s">
        <v>301</v>
      </c>
      <c r="I83" s="11" t="s">
        <v>302</v>
      </c>
      <c r="J83" s="11" t="s">
        <v>441</v>
      </c>
      <c r="K83" s="11" t="n">
        <v>5</v>
      </c>
      <c r="L83" s="11" t="s">
        <v>304</v>
      </c>
      <c r="M83" s="11" t="n">
        <v>5</v>
      </c>
      <c r="N83" s="11" t="s">
        <v>304</v>
      </c>
      <c r="O83" s="11" t="n">
        <v>5</v>
      </c>
      <c r="P83" s="11" t="s">
        <v>304</v>
      </c>
      <c r="Q83" s="11" t="n">
        <v>0</v>
      </c>
      <c r="R83" s="11" t="n">
        <v>0</v>
      </c>
      <c r="S83" s="11" t="s">
        <v>305</v>
      </c>
      <c r="T83" s="11" t="s">
        <v>306</v>
      </c>
      <c r="U83" s="11" t="s">
        <v>307</v>
      </c>
      <c r="V83" s="11" t="s">
        <v>308</v>
      </c>
      <c r="W83" s="11" t="s">
        <v>309</v>
      </c>
      <c r="X83" s="11" t="s">
        <v>310</v>
      </c>
      <c r="Y83" s="12" t="s">
        <v>311</v>
      </c>
    </row>
    <row r="84" customFormat="false" ht="32.8" hidden="false" customHeight="false" outlineLevel="0" collapsed="false">
      <c r="A84" s="10" t="s">
        <v>454</v>
      </c>
      <c r="B84" s="11" t="s">
        <v>112</v>
      </c>
      <c r="C84" s="11" t="s">
        <v>116</v>
      </c>
      <c r="D84" s="11" t="s">
        <v>117</v>
      </c>
      <c r="E84" s="11" t="s">
        <v>68</v>
      </c>
      <c r="F84" s="11" t="s">
        <v>316</v>
      </c>
      <c r="G84" s="11" t="s">
        <v>317</v>
      </c>
      <c r="H84" s="11" t="s">
        <v>301</v>
      </c>
      <c r="I84" s="11" t="s">
        <v>302</v>
      </c>
      <c r="J84" s="11" t="s">
        <v>441</v>
      </c>
      <c r="K84" s="11" t="n">
        <v>1</v>
      </c>
      <c r="L84" s="11" t="s">
        <v>304</v>
      </c>
      <c r="M84" s="11" t="n">
        <v>1</v>
      </c>
      <c r="N84" s="11" t="s">
        <v>304</v>
      </c>
      <c r="O84" s="11" t="n">
        <v>1</v>
      </c>
      <c r="P84" s="11" t="s">
        <v>304</v>
      </c>
      <c r="Q84" s="11" t="n">
        <v>0</v>
      </c>
      <c r="R84" s="11" t="n">
        <v>0</v>
      </c>
      <c r="S84" s="11" t="s">
        <v>305</v>
      </c>
      <c r="T84" s="11" t="s">
        <v>306</v>
      </c>
      <c r="U84" s="11" t="s">
        <v>307</v>
      </c>
      <c r="V84" s="11" t="s">
        <v>308</v>
      </c>
      <c r="W84" s="11" t="s">
        <v>309</v>
      </c>
      <c r="X84" s="11" t="s">
        <v>310</v>
      </c>
      <c r="Y84" s="12" t="s">
        <v>311</v>
      </c>
    </row>
    <row r="85" customFormat="false" ht="32.8" hidden="false" customHeight="false" outlineLevel="0" collapsed="false">
      <c r="A85" s="10" t="s">
        <v>455</v>
      </c>
      <c r="B85" s="11" t="s">
        <v>112</v>
      </c>
      <c r="C85" s="11" t="s">
        <v>116</v>
      </c>
      <c r="D85" s="11" t="s">
        <v>117</v>
      </c>
      <c r="E85" s="11" t="s">
        <v>68</v>
      </c>
      <c r="F85" s="11" t="s">
        <v>319</v>
      </c>
      <c r="G85" s="11" t="s">
        <v>320</v>
      </c>
      <c r="H85" s="11" t="s">
        <v>301</v>
      </c>
      <c r="I85" s="11" t="s">
        <v>302</v>
      </c>
      <c r="J85" s="11" t="s">
        <v>441</v>
      </c>
      <c r="K85" s="11" t="n">
        <v>1</v>
      </c>
      <c r="L85" s="11" t="s">
        <v>304</v>
      </c>
      <c r="M85" s="11" t="n">
        <v>1</v>
      </c>
      <c r="N85" s="11" t="s">
        <v>304</v>
      </c>
      <c r="O85" s="11" t="n">
        <v>1</v>
      </c>
      <c r="P85" s="11" t="s">
        <v>304</v>
      </c>
      <c r="Q85" s="11" t="n">
        <v>0</v>
      </c>
      <c r="R85" s="11" t="n">
        <v>0</v>
      </c>
      <c r="S85" s="11" t="s">
        <v>305</v>
      </c>
      <c r="T85" s="11" t="s">
        <v>306</v>
      </c>
      <c r="U85" s="11" t="s">
        <v>307</v>
      </c>
      <c r="V85" s="11" t="s">
        <v>308</v>
      </c>
      <c r="W85" s="11" t="s">
        <v>309</v>
      </c>
      <c r="X85" s="11" t="s">
        <v>310</v>
      </c>
      <c r="Y85" s="12" t="s">
        <v>311</v>
      </c>
    </row>
    <row r="86" customFormat="false" ht="32.8" hidden="false" customHeight="false" outlineLevel="0" collapsed="false">
      <c r="A86" s="10" t="s">
        <v>456</v>
      </c>
      <c r="B86" s="11" t="s">
        <v>112</v>
      </c>
      <c r="C86" s="11" t="s">
        <v>116</v>
      </c>
      <c r="D86" s="11" t="s">
        <v>117</v>
      </c>
      <c r="E86" s="11" t="s">
        <v>68</v>
      </c>
      <c r="F86" s="11" t="s">
        <v>457</v>
      </c>
      <c r="G86" s="11" t="s">
        <v>458</v>
      </c>
      <c r="H86" s="11" t="s">
        <v>301</v>
      </c>
      <c r="I86" s="11" t="s">
        <v>347</v>
      </c>
      <c r="J86" s="11" t="s">
        <v>441</v>
      </c>
      <c r="K86" s="11" t="n">
        <v>1</v>
      </c>
      <c r="L86" s="11" t="s">
        <v>304</v>
      </c>
      <c r="M86" s="11" t="n">
        <v>1</v>
      </c>
      <c r="N86" s="11" t="s">
        <v>304</v>
      </c>
      <c r="O86" s="11" t="n">
        <v>1</v>
      </c>
      <c r="P86" s="11" t="s">
        <v>304</v>
      </c>
      <c r="Q86" s="11" t="n">
        <v>0</v>
      </c>
      <c r="R86" s="11" t="n">
        <v>0</v>
      </c>
      <c r="S86" s="11" t="s">
        <v>305</v>
      </c>
      <c r="T86" s="11" t="s">
        <v>306</v>
      </c>
      <c r="U86" s="11" t="s">
        <v>307</v>
      </c>
      <c r="V86" s="11" t="s">
        <v>308</v>
      </c>
      <c r="W86" s="11" t="s">
        <v>309</v>
      </c>
      <c r="X86" s="11" t="s">
        <v>310</v>
      </c>
      <c r="Y86" s="12" t="s">
        <v>311</v>
      </c>
    </row>
    <row r="87" customFormat="false" ht="32.8" hidden="false" customHeight="false" outlineLevel="0" collapsed="false">
      <c r="A87" s="10" t="s">
        <v>459</v>
      </c>
      <c r="B87" s="11" t="s">
        <v>119</v>
      </c>
      <c r="C87" s="11" t="s">
        <v>124</v>
      </c>
      <c r="D87" s="11" t="s">
        <v>125</v>
      </c>
      <c r="E87" s="11" t="s">
        <v>68</v>
      </c>
      <c r="F87" s="11" t="s">
        <v>460</v>
      </c>
      <c r="G87" s="11" t="s">
        <v>461</v>
      </c>
      <c r="H87" s="11" t="s">
        <v>301</v>
      </c>
      <c r="I87" s="11" t="s">
        <v>339</v>
      </c>
      <c r="J87" s="11"/>
      <c r="K87" s="11" t="n">
        <v>125</v>
      </c>
      <c r="L87" s="11" t="s">
        <v>304</v>
      </c>
      <c r="M87" s="11" t="n">
        <v>125</v>
      </c>
      <c r="N87" s="11" t="s">
        <v>304</v>
      </c>
      <c r="O87" s="11" t="n">
        <v>125</v>
      </c>
      <c r="P87" s="11" t="s">
        <v>304</v>
      </c>
      <c r="Q87" s="11" t="n">
        <v>0</v>
      </c>
      <c r="R87" s="11" t="n">
        <v>0</v>
      </c>
      <c r="S87" s="11" t="s">
        <v>305</v>
      </c>
      <c r="T87" s="11" t="s">
        <v>306</v>
      </c>
      <c r="U87" s="11" t="s">
        <v>307</v>
      </c>
      <c r="V87" s="11" t="s">
        <v>308</v>
      </c>
      <c r="W87" s="11" t="s">
        <v>309</v>
      </c>
      <c r="X87" s="11" t="s">
        <v>310</v>
      </c>
      <c r="Y87" s="12" t="s">
        <v>311</v>
      </c>
    </row>
    <row r="88" customFormat="false" ht="32.8" hidden="false" customHeight="false" outlineLevel="0" collapsed="false">
      <c r="A88" s="10" t="s">
        <v>462</v>
      </c>
      <c r="B88" s="11" t="s">
        <v>119</v>
      </c>
      <c r="C88" s="11" t="s">
        <v>124</v>
      </c>
      <c r="D88" s="11" t="s">
        <v>125</v>
      </c>
      <c r="E88" s="11" t="s">
        <v>68</v>
      </c>
      <c r="F88" s="11" t="s">
        <v>463</v>
      </c>
      <c r="G88" s="11" t="s">
        <v>464</v>
      </c>
      <c r="H88" s="11" t="s">
        <v>301</v>
      </c>
      <c r="I88" s="11" t="s">
        <v>339</v>
      </c>
      <c r="J88" s="11"/>
      <c r="K88" s="11" t="n">
        <v>132</v>
      </c>
      <c r="L88" s="11" t="s">
        <v>304</v>
      </c>
      <c r="M88" s="11" t="n">
        <v>120</v>
      </c>
      <c r="N88" s="11" t="s">
        <v>304</v>
      </c>
      <c r="O88" s="11" t="n">
        <v>120</v>
      </c>
      <c r="P88" s="11" t="s">
        <v>304</v>
      </c>
      <c r="Q88" s="11" t="n">
        <v>12</v>
      </c>
      <c r="R88" s="11" t="n">
        <v>0</v>
      </c>
      <c r="S88" s="11" t="s">
        <v>305</v>
      </c>
      <c r="T88" s="11" t="s">
        <v>306</v>
      </c>
      <c r="U88" s="11" t="s">
        <v>307</v>
      </c>
      <c r="V88" s="11" t="s">
        <v>308</v>
      </c>
      <c r="W88" s="11" t="s">
        <v>309</v>
      </c>
      <c r="X88" s="11" t="s">
        <v>310</v>
      </c>
      <c r="Y88" s="12" t="s">
        <v>311</v>
      </c>
    </row>
    <row r="89" customFormat="false" ht="32.8" hidden="false" customHeight="false" outlineLevel="0" collapsed="false">
      <c r="A89" s="10" t="s">
        <v>465</v>
      </c>
      <c r="B89" s="11" t="s">
        <v>119</v>
      </c>
      <c r="C89" s="11" t="s">
        <v>124</v>
      </c>
      <c r="D89" s="11" t="s">
        <v>125</v>
      </c>
      <c r="E89" s="11" t="s">
        <v>68</v>
      </c>
      <c r="F89" s="11" t="s">
        <v>325</v>
      </c>
      <c r="G89" s="11" t="s">
        <v>326</v>
      </c>
      <c r="H89" s="11" t="s">
        <v>301</v>
      </c>
      <c r="I89" s="11" t="s">
        <v>466</v>
      </c>
      <c r="J89" s="11" t="s">
        <v>467</v>
      </c>
      <c r="K89" s="11" t="n">
        <v>15</v>
      </c>
      <c r="L89" s="11" t="s">
        <v>304</v>
      </c>
      <c r="M89" s="11" t="n">
        <v>15</v>
      </c>
      <c r="N89" s="11" t="s">
        <v>304</v>
      </c>
      <c r="O89" s="11" t="n">
        <v>15</v>
      </c>
      <c r="P89" s="11" t="s">
        <v>304</v>
      </c>
      <c r="Q89" s="11" t="n">
        <v>0</v>
      </c>
      <c r="R89" s="11" t="n">
        <v>0</v>
      </c>
      <c r="S89" s="11" t="s">
        <v>305</v>
      </c>
      <c r="T89" s="11" t="s">
        <v>306</v>
      </c>
      <c r="U89" s="11" t="s">
        <v>307</v>
      </c>
      <c r="V89" s="11" t="s">
        <v>308</v>
      </c>
      <c r="W89" s="11" t="s">
        <v>309</v>
      </c>
      <c r="X89" s="11" t="s">
        <v>310</v>
      </c>
      <c r="Y89" s="12" t="s">
        <v>311</v>
      </c>
    </row>
    <row r="90" customFormat="false" ht="32.8" hidden="false" customHeight="false" outlineLevel="0" collapsed="false">
      <c r="A90" s="10" t="s">
        <v>468</v>
      </c>
      <c r="B90" s="11" t="s">
        <v>119</v>
      </c>
      <c r="C90" s="11" t="s">
        <v>124</v>
      </c>
      <c r="D90" s="11" t="s">
        <v>125</v>
      </c>
      <c r="E90" s="11" t="s">
        <v>68</v>
      </c>
      <c r="F90" s="11" t="s">
        <v>322</v>
      </c>
      <c r="G90" s="11" t="s">
        <v>323</v>
      </c>
      <c r="H90" s="11" t="s">
        <v>301</v>
      </c>
      <c r="I90" s="11" t="s">
        <v>466</v>
      </c>
      <c r="J90" s="11" t="s">
        <v>467</v>
      </c>
      <c r="K90" s="11" t="n">
        <v>10</v>
      </c>
      <c r="L90" s="11" t="s">
        <v>304</v>
      </c>
      <c r="M90" s="11" t="n">
        <v>10</v>
      </c>
      <c r="N90" s="11" t="s">
        <v>304</v>
      </c>
      <c r="O90" s="11" t="n">
        <v>10</v>
      </c>
      <c r="P90" s="11" t="s">
        <v>304</v>
      </c>
      <c r="Q90" s="11" t="n">
        <v>0</v>
      </c>
      <c r="R90" s="11" t="n">
        <v>0</v>
      </c>
      <c r="S90" s="11" t="s">
        <v>305</v>
      </c>
      <c r="T90" s="11" t="s">
        <v>306</v>
      </c>
      <c r="U90" s="11" t="s">
        <v>307</v>
      </c>
      <c r="V90" s="11" t="s">
        <v>308</v>
      </c>
      <c r="W90" s="11" t="s">
        <v>309</v>
      </c>
      <c r="X90" s="11" t="s">
        <v>310</v>
      </c>
      <c r="Y90" s="12" t="s">
        <v>311</v>
      </c>
    </row>
    <row r="91" customFormat="false" ht="32.8" hidden="false" customHeight="false" outlineLevel="0" collapsed="false">
      <c r="A91" s="10" t="s">
        <v>469</v>
      </c>
      <c r="B91" s="11" t="s">
        <v>119</v>
      </c>
      <c r="C91" s="11" t="s">
        <v>124</v>
      </c>
      <c r="D91" s="11" t="s">
        <v>125</v>
      </c>
      <c r="E91" s="11" t="s">
        <v>68</v>
      </c>
      <c r="F91" s="11" t="s">
        <v>470</v>
      </c>
      <c r="G91" s="11" t="s">
        <v>471</v>
      </c>
      <c r="H91" s="11" t="s">
        <v>301</v>
      </c>
      <c r="I91" s="11" t="s">
        <v>466</v>
      </c>
      <c r="J91" s="11" t="s">
        <v>467</v>
      </c>
      <c r="K91" s="11" t="n">
        <v>3</v>
      </c>
      <c r="L91" s="11" t="s">
        <v>304</v>
      </c>
      <c r="M91" s="11" t="n">
        <v>3</v>
      </c>
      <c r="N91" s="11" t="s">
        <v>304</v>
      </c>
      <c r="O91" s="11" t="n">
        <v>3</v>
      </c>
      <c r="P91" s="11" t="s">
        <v>304</v>
      </c>
      <c r="Q91" s="11" t="n">
        <v>0</v>
      </c>
      <c r="R91" s="11" t="n">
        <v>0</v>
      </c>
      <c r="S91" s="11" t="s">
        <v>305</v>
      </c>
      <c r="T91" s="11" t="s">
        <v>306</v>
      </c>
      <c r="U91" s="11" t="s">
        <v>307</v>
      </c>
      <c r="V91" s="11" t="s">
        <v>308</v>
      </c>
      <c r="W91" s="11" t="s">
        <v>309</v>
      </c>
      <c r="X91" s="11" t="s">
        <v>310</v>
      </c>
      <c r="Y91" s="12" t="s">
        <v>311</v>
      </c>
    </row>
    <row r="92" customFormat="false" ht="32.8" hidden="false" customHeight="false" outlineLevel="0" collapsed="false">
      <c r="A92" s="10" t="s">
        <v>472</v>
      </c>
      <c r="B92" s="11" t="s">
        <v>119</v>
      </c>
      <c r="C92" s="11" t="s">
        <v>124</v>
      </c>
      <c r="D92" s="11" t="s">
        <v>125</v>
      </c>
      <c r="E92" s="11" t="s">
        <v>68</v>
      </c>
      <c r="F92" s="11" t="s">
        <v>473</v>
      </c>
      <c r="G92" s="11" t="s">
        <v>474</v>
      </c>
      <c r="H92" s="11" t="s">
        <v>301</v>
      </c>
      <c r="I92" s="11" t="s">
        <v>466</v>
      </c>
      <c r="J92" s="11" t="s">
        <v>467</v>
      </c>
      <c r="K92" s="11" t="n">
        <v>2</v>
      </c>
      <c r="L92" s="11" t="s">
        <v>304</v>
      </c>
      <c r="M92" s="11" t="n">
        <v>2</v>
      </c>
      <c r="N92" s="11" t="s">
        <v>304</v>
      </c>
      <c r="O92" s="11" t="n">
        <v>2</v>
      </c>
      <c r="P92" s="11" t="s">
        <v>304</v>
      </c>
      <c r="Q92" s="11" t="n">
        <v>0</v>
      </c>
      <c r="R92" s="11" t="n">
        <v>0</v>
      </c>
      <c r="S92" s="11" t="s">
        <v>305</v>
      </c>
      <c r="T92" s="11" t="s">
        <v>306</v>
      </c>
      <c r="U92" s="11" t="s">
        <v>307</v>
      </c>
      <c r="V92" s="11" t="s">
        <v>308</v>
      </c>
      <c r="W92" s="11" t="s">
        <v>309</v>
      </c>
      <c r="X92" s="11" t="s">
        <v>310</v>
      </c>
      <c r="Y92" s="12" t="s">
        <v>311</v>
      </c>
    </row>
    <row r="93" customFormat="false" ht="32.8" hidden="false" customHeight="false" outlineLevel="0" collapsed="false">
      <c r="A93" s="10" t="s">
        <v>475</v>
      </c>
      <c r="B93" s="11" t="s">
        <v>119</v>
      </c>
      <c r="C93" s="11" t="s">
        <v>124</v>
      </c>
      <c r="D93" s="11" t="s">
        <v>125</v>
      </c>
      <c r="E93" s="11" t="s">
        <v>68</v>
      </c>
      <c r="F93" s="11" t="s">
        <v>476</v>
      </c>
      <c r="G93" s="11" t="s">
        <v>477</v>
      </c>
      <c r="H93" s="11" t="s">
        <v>301</v>
      </c>
      <c r="I93" s="11" t="s">
        <v>339</v>
      </c>
      <c r="J93" s="11"/>
      <c r="K93" s="11" t="n">
        <v>17</v>
      </c>
      <c r="L93" s="11" t="s">
        <v>304</v>
      </c>
      <c r="M93" s="11" t="n">
        <v>15</v>
      </c>
      <c r="N93" s="11" t="s">
        <v>304</v>
      </c>
      <c r="O93" s="11" t="n">
        <v>15</v>
      </c>
      <c r="P93" s="11" t="s">
        <v>304</v>
      </c>
      <c r="Q93" s="11" t="n">
        <v>2</v>
      </c>
      <c r="R93" s="11" t="n">
        <v>0</v>
      </c>
      <c r="S93" s="11" t="s">
        <v>305</v>
      </c>
      <c r="T93" s="11" t="s">
        <v>306</v>
      </c>
      <c r="U93" s="11" t="s">
        <v>307</v>
      </c>
      <c r="V93" s="11" t="s">
        <v>308</v>
      </c>
      <c r="W93" s="11" t="s">
        <v>309</v>
      </c>
      <c r="X93" s="11" t="s">
        <v>310</v>
      </c>
      <c r="Y93" s="12" t="s">
        <v>311</v>
      </c>
    </row>
    <row r="94" customFormat="false" ht="32.8" hidden="false" customHeight="false" outlineLevel="0" collapsed="false">
      <c r="A94" s="10" t="s">
        <v>478</v>
      </c>
      <c r="B94" s="11" t="s">
        <v>119</v>
      </c>
      <c r="C94" s="11" t="s">
        <v>124</v>
      </c>
      <c r="D94" s="11" t="s">
        <v>125</v>
      </c>
      <c r="E94" s="11" t="s">
        <v>68</v>
      </c>
      <c r="F94" s="11" t="s">
        <v>322</v>
      </c>
      <c r="G94" s="11" t="s">
        <v>323</v>
      </c>
      <c r="H94" s="11" t="s">
        <v>301</v>
      </c>
      <c r="I94" s="11" t="s">
        <v>347</v>
      </c>
      <c r="J94" s="11"/>
      <c r="K94" s="11" t="n">
        <v>10</v>
      </c>
      <c r="L94" s="11" t="s">
        <v>304</v>
      </c>
      <c r="M94" s="11" t="n">
        <v>10</v>
      </c>
      <c r="N94" s="11" t="s">
        <v>304</v>
      </c>
      <c r="O94" s="11" t="n">
        <v>10</v>
      </c>
      <c r="P94" s="11" t="s">
        <v>304</v>
      </c>
      <c r="Q94" s="11" t="n">
        <v>0</v>
      </c>
      <c r="R94" s="11" t="n">
        <v>0</v>
      </c>
      <c r="S94" s="11" t="s">
        <v>305</v>
      </c>
      <c r="T94" s="11" t="s">
        <v>306</v>
      </c>
      <c r="U94" s="11" t="s">
        <v>307</v>
      </c>
      <c r="V94" s="11" t="s">
        <v>308</v>
      </c>
      <c r="W94" s="11" t="s">
        <v>309</v>
      </c>
      <c r="X94" s="11" t="s">
        <v>310</v>
      </c>
      <c r="Y94" s="12" t="s">
        <v>311</v>
      </c>
    </row>
    <row r="95" customFormat="false" ht="32.8" hidden="false" customHeight="false" outlineLevel="0" collapsed="false">
      <c r="A95" s="10" t="s">
        <v>479</v>
      </c>
      <c r="B95" s="11" t="s">
        <v>127</v>
      </c>
      <c r="C95" s="11" t="s">
        <v>130</v>
      </c>
      <c r="D95" s="11" t="s">
        <v>131</v>
      </c>
      <c r="E95" s="11" t="s">
        <v>68</v>
      </c>
      <c r="F95" s="11" t="s">
        <v>480</v>
      </c>
      <c r="G95" s="11" t="s">
        <v>481</v>
      </c>
      <c r="H95" s="11" t="s">
        <v>301</v>
      </c>
      <c r="I95" s="11" t="s">
        <v>339</v>
      </c>
      <c r="J95" s="11"/>
      <c r="K95" s="11" t="n">
        <v>90</v>
      </c>
      <c r="L95" s="11" t="s">
        <v>304</v>
      </c>
      <c r="M95" s="11" t="n">
        <v>80</v>
      </c>
      <c r="N95" s="11" t="s">
        <v>304</v>
      </c>
      <c r="O95" s="11" t="n">
        <v>80</v>
      </c>
      <c r="P95" s="11" t="s">
        <v>304</v>
      </c>
      <c r="Q95" s="11" t="n">
        <v>10</v>
      </c>
      <c r="R95" s="11" t="n">
        <v>0</v>
      </c>
      <c r="S95" s="11" t="s">
        <v>305</v>
      </c>
      <c r="T95" s="11" t="s">
        <v>306</v>
      </c>
      <c r="U95" s="11" t="s">
        <v>307</v>
      </c>
      <c r="V95" s="11" t="s">
        <v>308</v>
      </c>
      <c r="W95" s="11" t="s">
        <v>309</v>
      </c>
      <c r="X95" s="11" t="s">
        <v>310</v>
      </c>
      <c r="Y95" s="12" t="s">
        <v>311</v>
      </c>
    </row>
    <row r="96" customFormat="false" ht="32.8" hidden="false" customHeight="false" outlineLevel="0" collapsed="false">
      <c r="A96" s="10" t="s">
        <v>482</v>
      </c>
      <c r="B96" s="11" t="s">
        <v>127</v>
      </c>
      <c r="C96" s="11" t="s">
        <v>130</v>
      </c>
      <c r="D96" s="11" t="s">
        <v>131</v>
      </c>
      <c r="E96" s="11" t="s">
        <v>68</v>
      </c>
      <c r="F96" s="11" t="s">
        <v>483</v>
      </c>
      <c r="G96" s="11" t="s">
        <v>484</v>
      </c>
      <c r="H96" s="11" t="s">
        <v>301</v>
      </c>
      <c r="I96" s="11" t="s">
        <v>339</v>
      </c>
      <c r="J96" s="11"/>
      <c r="K96" s="11" t="n">
        <v>105</v>
      </c>
      <c r="L96" s="11" t="s">
        <v>304</v>
      </c>
      <c r="M96" s="11" t="n">
        <v>100</v>
      </c>
      <c r="N96" s="11" t="s">
        <v>304</v>
      </c>
      <c r="O96" s="11" t="n">
        <v>90</v>
      </c>
      <c r="P96" s="11" t="s">
        <v>304</v>
      </c>
      <c r="Q96" s="11" t="n">
        <v>5</v>
      </c>
      <c r="R96" s="11" t="n">
        <v>10</v>
      </c>
      <c r="S96" s="11" t="s">
        <v>305</v>
      </c>
      <c r="T96" s="11" t="s">
        <v>306</v>
      </c>
      <c r="U96" s="11" t="s">
        <v>307</v>
      </c>
      <c r="V96" s="11" t="s">
        <v>308</v>
      </c>
      <c r="W96" s="11" t="s">
        <v>309</v>
      </c>
      <c r="X96" s="11" t="s">
        <v>310</v>
      </c>
      <c r="Y96" s="12" t="s">
        <v>311</v>
      </c>
    </row>
    <row r="97" customFormat="false" ht="32.8" hidden="false" customHeight="false" outlineLevel="0" collapsed="false">
      <c r="A97" s="10" t="s">
        <v>485</v>
      </c>
      <c r="B97" s="11" t="s">
        <v>127</v>
      </c>
      <c r="C97" s="11" t="s">
        <v>130</v>
      </c>
      <c r="D97" s="11" t="s">
        <v>131</v>
      </c>
      <c r="E97" s="11" t="s">
        <v>68</v>
      </c>
      <c r="F97" s="11" t="s">
        <v>486</v>
      </c>
      <c r="G97" s="11" t="s">
        <v>487</v>
      </c>
      <c r="H97" s="11" t="s">
        <v>301</v>
      </c>
      <c r="I97" s="11" t="s">
        <v>339</v>
      </c>
      <c r="J97" s="11"/>
      <c r="K97" s="11" t="n">
        <v>65</v>
      </c>
      <c r="L97" s="11" t="s">
        <v>304</v>
      </c>
      <c r="M97" s="11" t="n">
        <v>58</v>
      </c>
      <c r="N97" s="11" t="s">
        <v>304</v>
      </c>
      <c r="O97" s="11" t="n">
        <v>55</v>
      </c>
      <c r="P97" s="11" t="s">
        <v>304</v>
      </c>
      <c r="Q97" s="11" t="n">
        <v>7</v>
      </c>
      <c r="R97" s="11" t="n">
        <v>3</v>
      </c>
      <c r="S97" s="11" t="s">
        <v>305</v>
      </c>
      <c r="T97" s="11" t="s">
        <v>306</v>
      </c>
      <c r="U97" s="11" t="s">
        <v>307</v>
      </c>
      <c r="V97" s="11" t="s">
        <v>308</v>
      </c>
      <c r="W97" s="11" t="s">
        <v>309</v>
      </c>
      <c r="X97" s="11" t="s">
        <v>310</v>
      </c>
      <c r="Y97" s="12" t="s">
        <v>311</v>
      </c>
    </row>
    <row r="98" customFormat="false" ht="32.8" hidden="false" customHeight="false" outlineLevel="0" collapsed="false">
      <c r="A98" s="10" t="s">
        <v>488</v>
      </c>
      <c r="B98" s="11" t="s">
        <v>127</v>
      </c>
      <c r="C98" s="11" t="s">
        <v>130</v>
      </c>
      <c r="D98" s="11" t="s">
        <v>131</v>
      </c>
      <c r="E98" s="11" t="s">
        <v>68</v>
      </c>
      <c r="F98" s="11" t="s">
        <v>489</v>
      </c>
      <c r="G98" s="11" t="s">
        <v>490</v>
      </c>
      <c r="H98" s="11" t="s">
        <v>301</v>
      </c>
      <c r="I98" s="11" t="s">
        <v>339</v>
      </c>
      <c r="J98" s="11"/>
      <c r="K98" s="11" t="n">
        <v>34</v>
      </c>
      <c r="L98" s="11" t="s">
        <v>304</v>
      </c>
      <c r="M98" s="11" t="n">
        <v>30</v>
      </c>
      <c r="N98" s="11" t="s">
        <v>304</v>
      </c>
      <c r="O98" s="11" t="n">
        <v>30</v>
      </c>
      <c r="P98" s="11" t="s">
        <v>304</v>
      </c>
      <c r="Q98" s="11" t="n">
        <v>4</v>
      </c>
      <c r="R98" s="11" t="n">
        <v>0</v>
      </c>
      <c r="S98" s="11" t="s">
        <v>305</v>
      </c>
      <c r="T98" s="11" t="s">
        <v>306</v>
      </c>
      <c r="U98" s="11" t="s">
        <v>307</v>
      </c>
      <c r="V98" s="11" t="s">
        <v>308</v>
      </c>
      <c r="W98" s="11" t="s">
        <v>309</v>
      </c>
      <c r="X98" s="11" t="s">
        <v>310</v>
      </c>
      <c r="Y98" s="12" t="s">
        <v>311</v>
      </c>
    </row>
    <row r="99" customFormat="false" ht="32.8" hidden="false" customHeight="false" outlineLevel="0" collapsed="false">
      <c r="A99" s="10" t="s">
        <v>491</v>
      </c>
      <c r="B99" s="11" t="s">
        <v>127</v>
      </c>
      <c r="C99" s="11" t="s">
        <v>130</v>
      </c>
      <c r="D99" s="11" t="s">
        <v>131</v>
      </c>
      <c r="E99" s="11" t="s">
        <v>68</v>
      </c>
      <c r="F99" s="11" t="s">
        <v>437</v>
      </c>
      <c r="G99" s="11" t="s">
        <v>438</v>
      </c>
      <c r="H99" s="11" t="s">
        <v>301</v>
      </c>
      <c r="I99" s="11" t="s">
        <v>466</v>
      </c>
      <c r="J99" s="11" t="s">
        <v>492</v>
      </c>
      <c r="K99" s="11" t="n">
        <v>10</v>
      </c>
      <c r="L99" s="11" t="s">
        <v>304</v>
      </c>
      <c r="M99" s="11" t="n">
        <v>10</v>
      </c>
      <c r="N99" s="11" t="s">
        <v>304</v>
      </c>
      <c r="O99" s="11" t="n">
        <v>10</v>
      </c>
      <c r="P99" s="11" t="s">
        <v>304</v>
      </c>
      <c r="Q99" s="11" t="n">
        <v>0</v>
      </c>
      <c r="R99" s="11" t="n">
        <v>0</v>
      </c>
      <c r="S99" s="11" t="s">
        <v>305</v>
      </c>
      <c r="T99" s="11" t="s">
        <v>306</v>
      </c>
      <c r="U99" s="11" t="s">
        <v>307</v>
      </c>
      <c r="V99" s="11" t="s">
        <v>308</v>
      </c>
      <c r="W99" s="11" t="s">
        <v>309</v>
      </c>
      <c r="X99" s="11" t="s">
        <v>310</v>
      </c>
      <c r="Y99" s="12" t="s">
        <v>311</v>
      </c>
    </row>
    <row r="100" customFormat="false" ht="32.8" hidden="false" customHeight="false" outlineLevel="0" collapsed="false">
      <c r="A100" s="10" t="s">
        <v>493</v>
      </c>
      <c r="B100" s="11" t="s">
        <v>127</v>
      </c>
      <c r="C100" s="11" t="s">
        <v>130</v>
      </c>
      <c r="D100" s="11" t="s">
        <v>131</v>
      </c>
      <c r="E100" s="11" t="s">
        <v>68</v>
      </c>
      <c r="F100" s="11" t="s">
        <v>494</v>
      </c>
      <c r="G100" s="11" t="s">
        <v>495</v>
      </c>
      <c r="H100" s="11" t="s">
        <v>301</v>
      </c>
      <c r="I100" s="11" t="s">
        <v>466</v>
      </c>
      <c r="J100" s="11" t="s">
        <v>492</v>
      </c>
      <c r="K100" s="11" t="n">
        <v>7</v>
      </c>
      <c r="L100" s="11" t="s">
        <v>304</v>
      </c>
      <c r="M100" s="11" t="n">
        <v>5</v>
      </c>
      <c r="N100" s="11" t="s">
        <v>304</v>
      </c>
      <c r="O100" s="11" t="n">
        <v>5</v>
      </c>
      <c r="P100" s="11" t="s">
        <v>304</v>
      </c>
      <c r="Q100" s="11" t="n">
        <v>2</v>
      </c>
      <c r="R100" s="11" t="n">
        <v>0</v>
      </c>
      <c r="S100" s="11" t="s">
        <v>305</v>
      </c>
      <c r="T100" s="11" t="s">
        <v>306</v>
      </c>
      <c r="U100" s="11" t="s">
        <v>307</v>
      </c>
      <c r="V100" s="11" t="s">
        <v>308</v>
      </c>
      <c r="W100" s="11" t="s">
        <v>309</v>
      </c>
      <c r="X100" s="11" t="s">
        <v>310</v>
      </c>
      <c r="Y100" s="12" t="s">
        <v>311</v>
      </c>
    </row>
    <row r="101" customFormat="false" ht="32.8" hidden="false" customHeight="false" outlineLevel="0" collapsed="false">
      <c r="A101" s="10" t="s">
        <v>496</v>
      </c>
      <c r="B101" s="11" t="s">
        <v>127</v>
      </c>
      <c r="C101" s="11" t="s">
        <v>130</v>
      </c>
      <c r="D101" s="11" t="s">
        <v>131</v>
      </c>
      <c r="E101" s="11" t="s">
        <v>68</v>
      </c>
      <c r="F101" s="11" t="s">
        <v>497</v>
      </c>
      <c r="G101" s="11" t="s">
        <v>498</v>
      </c>
      <c r="H101" s="11" t="s">
        <v>301</v>
      </c>
      <c r="I101" s="11" t="s">
        <v>466</v>
      </c>
      <c r="J101" s="11" t="s">
        <v>492</v>
      </c>
      <c r="K101" s="11" t="n">
        <v>3</v>
      </c>
      <c r="L101" s="11" t="s">
        <v>304</v>
      </c>
      <c r="M101" s="11" t="n">
        <v>3</v>
      </c>
      <c r="N101" s="11" t="s">
        <v>304</v>
      </c>
      <c r="O101" s="11" t="n">
        <v>3</v>
      </c>
      <c r="P101" s="11" t="s">
        <v>304</v>
      </c>
      <c r="Q101" s="11" t="n">
        <v>0</v>
      </c>
      <c r="R101" s="11" t="n">
        <v>0</v>
      </c>
      <c r="S101" s="11" t="s">
        <v>305</v>
      </c>
      <c r="T101" s="11" t="s">
        <v>306</v>
      </c>
      <c r="U101" s="11" t="s">
        <v>307</v>
      </c>
      <c r="V101" s="11" t="s">
        <v>308</v>
      </c>
      <c r="W101" s="11" t="s">
        <v>309</v>
      </c>
      <c r="X101" s="11" t="s">
        <v>310</v>
      </c>
      <c r="Y101" s="12" t="s">
        <v>311</v>
      </c>
    </row>
    <row r="102" customFormat="false" ht="32.8" hidden="false" customHeight="false" outlineLevel="0" collapsed="false">
      <c r="A102" s="10" t="s">
        <v>499</v>
      </c>
      <c r="B102" s="11" t="s">
        <v>127</v>
      </c>
      <c r="C102" s="11" t="s">
        <v>130</v>
      </c>
      <c r="D102" s="11" t="s">
        <v>131</v>
      </c>
      <c r="E102" s="11" t="s">
        <v>68</v>
      </c>
      <c r="F102" s="11" t="s">
        <v>500</v>
      </c>
      <c r="G102" s="11" t="s">
        <v>501</v>
      </c>
      <c r="H102" s="11" t="s">
        <v>301</v>
      </c>
      <c r="I102" s="11" t="s">
        <v>466</v>
      </c>
      <c r="J102" s="11" t="s">
        <v>492</v>
      </c>
      <c r="K102" s="11" t="n">
        <v>2</v>
      </c>
      <c r="L102" s="11" t="s">
        <v>304</v>
      </c>
      <c r="M102" s="11" t="n">
        <v>2</v>
      </c>
      <c r="N102" s="11" t="s">
        <v>304</v>
      </c>
      <c r="O102" s="11" t="n">
        <v>2</v>
      </c>
      <c r="P102" s="11" t="s">
        <v>304</v>
      </c>
      <c r="Q102" s="11" t="n">
        <v>0</v>
      </c>
      <c r="R102" s="11" t="n">
        <v>0</v>
      </c>
      <c r="S102" s="11" t="s">
        <v>305</v>
      </c>
      <c r="T102" s="11" t="s">
        <v>306</v>
      </c>
      <c r="U102" s="11" t="s">
        <v>307</v>
      </c>
      <c r="V102" s="11" t="s">
        <v>308</v>
      </c>
      <c r="W102" s="11" t="s">
        <v>309</v>
      </c>
      <c r="X102" s="11" t="s">
        <v>310</v>
      </c>
      <c r="Y102" s="12" t="s">
        <v>311</v>
      </c>
    </row>
    <row r="103" customFormat="false" ht="32.8" hidden="false" customHeight="false" outlineLevel="0" collapsed="false">
      <c r="A103" s="10" t="s">
        <v>502</v>
      </c>
      <c r="B103" s="11" t="s">
        <v>127</v>
      </c>
      <c r="C103" s="11" t="s">
        <v>130</v>
      </c>
      <c r="D103" s="11" t="s">
        <v>131</v>
      </c>
      <c r="E103" s="11" t="s">
        <v>68</v>
      </c>
      <c r="F103" s="11" t="s">
        <v>503</v>
      </c>
      <c r="G103" s="11" t="s">
        <v>504</v>
      </c>
      <c r="H103" s="11" t="s">
        <v>301</v>
      </c>
      <c r="I103" s="11" t="s">
        <v>347</v>
      </c>
      <c r="J103" s="11"/>
      <c r="K103" s="11" t="n">
        <v>5</v>
      </c>
      <c r="L103" s="11" t="s">
        <v>304</v>
      </c>
      <c r="M103" s="11" t="n">
        <v>5</v>
      </c>
      <c r="N103" s="11" t="s">
        <v>304</v>
      </c>
      <c r="O103" s="11" t="n">
        <v>5</v>
      </c>
      <c r="P103" s="11" t="s">
        <v>304</v>
      </c>
      <c r="Q103" s="11" t="n">
        <v>0</v>
      </c>
      <c r="R103" s="11" t="n">
        <v>0</v>
      </c>
      <c r="S103" s="11" t="s">
        <v>305</v>
      </c>
      <c r="T103" s="11" t="s">
        <v>306</v>
      </c>
      <c r="U103" s="11" t="s">
        <v>307</v>
      </c>
      <c r="V103" s="11" t="s">
        <v>308</v>
      </c>
      <c r="W103" s="11" t="s">
        <v>309</v>
      </c>
      <c r="X103" s="11" t="s">
        <v>310</v>
      </c>
      <c r="Y103" s="12" t="s">
        <v>311</v>
      </c>
    </row>
    <row r="104" customFormat="false" ht="32.8" hidden="false" customHeight="false" outlineLevel="0" collapsed="false">
      <c r="A104" s="10" t="s">
        <v>505</v>
      </c>
      <c r="B104" s="11" t="s">
        <v>133</v>
      </c>
      <c r="C104" s="11" t="s">
        <v>136</v>
      </c>
      <c r="D104" s="11" t="s">
        <v>137</v>
      </c>
      <c r="E104" s="11" t="s">
        <v>68</v>
      </c>
      <c r="F104" s="11" t="s">
        <v>463</v>
      </c>
      <c r="G104" s="11" t="s">
        <v>464</v>
      </c>
      <c r="H104" s="11" t="s">
        <v>301</v>
      </c>
      <c r="I104" s="11" t="s">
        <v>506</v>
      </c>
      <c r="J104" s="11"/>
      <c r="K104" s="11" t="n">
        <v>88</v>
      </c>
      <c r="L104" s="11" t="s">
        <v>304</v>
      </c>
      <c r="M104" s="11" t="n">
        <v>80</v>
      </c>
      <c r="N104" s="11" t="s">
        <v>304</v>
      </c>
      <c r="O104" s="11" t="n">
        <v>80</v>
      </c>
      <c r="P104" s="11" t="s">
        <v>304</v>
      </c>
      <c r="Q104" s="11" t="n">
        <v>8</v>
      </c>
      <c r="R104" s="11" t="n">
        <v>0</v>
      </c>
      <c r="S104" s="11" t="s">
        <v>305</v>
      </c>
      <c r="T104" s="11" t="s">
        <v>306</v>
      </c>
      <c r="U104" s="11" t="s">
        <v>307</v>
      </c>
      <c r="V104" s="11" t="s">
        <v>308</v>
      </c>
      <c r="W104" s="11" t="s">
        <v>309</v>
      </c>
      <c r="X104" s="11" t="s">
        <v>310</v>
      </c>
      <c r="Y104" s="12" t="s">
        <v>311</v>
      </c>
    </row>
    <row r="105" customFormat="false" ht="32.8" hidden="false" customHeight="false" outlineLevel="0" collapsed="false">
      <c r="A105" s="10" t="s">
        <v>507</v>
      </c>
      <c r="B105" s="11" t="s">
        <v>133</v>
      </c>
      <c r="C105" s="11" t="s">
        <v>136</v>
      </c>
      <c r="D105" s="11" t="s">
        <v>137</v>
      </c>
      <c r="E105" s="11" t="s">
        <v>68</v>
      </c>
      <c r="F105" s="11" t="s">
        <v>489</v>
      </c>
      <c r="G105" s="11" t="s">
        <v>490</v>
      </c>
      <c r="H105" s="11" t="s">
        <v>301</v>
      </c>
      <c r="I105" s="11" t="s">
        <v>506</v>
      </c>
      <c r="J105" s="11"/>
      <c r="K105" s="11" t="n">
        <v>68</v>
      </c>
      <c r="L105" s="11" t="s">
        <v>304</v>
      </c>
      <c r="M105" s="11" t="n">
        <v>60</v>
      </c>
      <c r="N105" s="11" t="s">
        <v>304</v>
      </c>
      <c r="O105" s="11" t="n">
        <v>60</v>
      </c>
      <c r="P105" s="11" t="s">
        <v>304</v>
      </c>
      <c r="Q105" s="11" t="n">
        <v>8</v>
      </c>
      <c r="R105" s="11" t="n">
        <v>0</v>
      </c>
      <c r="S105" s="11" t="s">
        <v>305</v>
      </c>
      <c r="T105" s="11" t="s">
        <v>306</v>
      </c>
      <c r="U105" s="11" t="s">
        <v>307</v>
      </c>
      <c r="V105" s="11" t="s">
        <v>308</v>
      </c>
      <c r="W105" s="11" t="s">
        <v>309</v>
      </c>
      <c r="X105" s="11" t="s">
        <v>310</v>
      </c>
      <c r="Y105" s="12" t="s">
        <v>311</v>
      </c>
    </row>
    <row r="106" customFormat="false" ht="32.8" hidden="false" customHeight="false" outlineLevel="0" collapsed="false">
      <c r="A106" s="10" t="s">
        <v>508</v>
      </c>
      <c r="B106" s="11" t="s">
        <v>133</v>
      </c>
      <c r="C106" s="11" t="s">
        <v>136</v>
      </c>
      <c r="D106" s="11" t="s">
        <v>137</v>
      </c>
      <c r="E106" s="11" t="s">
        <v>68</v>
      </c>
      <c r="F106" s="11" t="s">
        <v>509</v>
      </c>
      <c r="G106" s="11" t="s">
        <v>510</v>
      </c>
      <c r="H106" s="11" t="s">
        <v>301</v>
      </c>
      <c r="I106" s="11" t="s">
        <v>506</v>
      </c>
      <c r="J106" s="11"/>
      <c r="K106" s="11" t="n">
        <v>48</v>
      </c>
      <c r="L106" s="11" t="s">
        <v>304</v>
      </c>
      <c r="M106" s="11" t="n">
        <v>40</v>
      </c>
      <c r="N106" s="11" t="s">
        <v>304</v>
      </c>
      <c r="O106" s="11" t="n">
        <v>40</v>
      </c>
      <c r="P106" s="11" t="s">
        <v>304</v>
      </c>
      <c r="Q106" s="11" t="n">
        <v>8</v>
      </c>
      <c r="R106" s="11" t="n">
        <v>0</v>
      </c>
      <c r="S106" s="11" t="s">
        <v>305</v>
      </c>
      <c r="T106" s="11" t="s">
        <v>306</v>
      </c>
      <c r="U106" s="11" t="s">
        <v>307</v>
      </c>
      <c r="V106" s="11" t="s">
        <v>308</v>
      </c>
      <c r="W106" s="11" t="s">
        <v>309</v>
      </c>
      <c r="X106" s="11" t="s">
        <v>310</v>
      </c>
      <c r="Y106" s="12" t="s">
        <v>311</v>
      </c>
    </row>
    <row r="107" customFormat="false" ht="32.8" hidden="false" customHeight="false" outlineLevel="0" collapsed="false">
      <c r="A107" s="10" t="s">
        <v>511</v>
      </c>
      <c r="B107" s="11" t="s">
        <v>133</v>
      </c>
      <c r="C107" s="11" t="s">
        <v>136</v>
      </c>
      <c r="D107" s="11" t="s">
        <v>137</v>
      </c>
      <c r="E107" s="11" t="s">
        <v>68</v>
      </c>
      <c r="F107" s="11" t="s">
        <v>512</v>
      </c>
      <c r="G107" s="11" t="s">
        <v>513</v>
      </c>
      <c r="H107" s="11" t="s">
        <v>301</v>
      </c>
      <c r="I107" s="11" t="s">
        <v>506</v>
      </c>
      <c r="J107" s="11"/>
      <c r="K107" s="11" t="n">
        <v>50</v>
      </c>
      <c r="L107" s="11" t="s">
        <v>304</v>
      </c>
      <c r="M107" s="11" t="n">
        <v>50</v>
      </c>
      <c r="N107" s="11" t="s">
        <v>304</v>
      </c>
      <c r="O107" s="11" t="n">
        <v>50</v>
      </c>
      <c r="P107" s="11" t="s">
        <v>304</v>
      </c>
      <c r="Q107" s="11" t="n">
        <v>0</v>
      </c>
      <c r="R107" s="11" t="n">
        <v>0</v>
      </c>
      <c r="S107" s="11" t="s">
        <v>305</v>
      </c>
      <c r="T107" s="11" t="s">
        <v>306</v>
      </c>
      <c r="U107" s="11" t="s">
        <v>307</v>
      </c>
      <c r="V107" s="11" t="s">
        <v>308</v>
      </c>
      <c r="W107" s="11" t="s">
        <v>309</v>
      </c>
      <c r="X107" s="11" t="s">
        <v>310</v>
      </c>
      <c r="Y107" s="12" t="s">
        <v>311</v>
      </c>
    </row>
    <row r="108" customFormat="false" ht="32.8" hidden="false" customHeight="false" outlineLevel="0" collapsed="false">
      <c r="A108" s="10" t="s">
        <v>514</v>
      </c>
      <c r="B108" s="11" t="s">
        <v>133</v>
      </c>
      <c r="C108" s="11" t="s">
        <v>136</v>
      </c>
      <c r="D108" s="11" t="s">
        <v>137</v>
      </c>
      <c r="E108" s="11" t="s">
        <v>68</v>
      </c>
      <c r="F108" s="11" t="s">
        <v>515</v>
      </c>
      <c r="G108" s="11" t="s">
        <v>516</v>
      </c>
      <c r="H108" s="11" t="s">
        <v>301</v>
      </c>
      <c r="I108" s="11" t="s">
        <v>506</v>
      </c>
      <c r="J108" s="11"/>
      <c r="K108" s="11" t="n">
        <v>21</v>
      </c>
      <c r="L108" s="11" t="s">
        <v>304</v>
      </c>
      <c r="M108" s="11" t="n">
        <v>20</v>
      </c>
      <c r="N108" s="11" t="s">
        <v>304</v>
      </c>
      <c r="O108" s="11" t="n">
        <v>20</v>
      </c>
      <c r="P108" s="11" t="s">
        <v>304</v>
      </c>
      <c r="Q108" s="11" t="n">
        <v>1</v>
      </c>
      <c r="R108" s="11" t="n">
        <v>0</v>
      </c>
      <c r="S108" s="11" t="s">
        <v>305</v>
      </c>
      <c r="T108" s="11" t="s">
        <v>306</v>
      </c>
      <c r="U108" s="11" t="s">
        <v>307</v>
      </c>
      <c r="V108" s="11" t="s">
        <v>308</v>
      </c>
      <c r="W108" s="11" t="s">
        <v>309</v>
      </c>
      <c r="X108" s="11" t="s">
        <v>310</v>
      </c>
      <c r="Y108" s="12" t="s">
        <v>311</v>
      </c>
    </row>
    <row r="109" customFormat="false" ht="32.8" hidden="false" customHeight="false" outlineLevel="0" collapsed="false">
      <c r="A109" s="10" t="s">
        <v>517</v>
      </c>
      <c r="B109" s="11" t="s">
        <v>133</v>
      </c>
      <c r="C109" s="11" t="s">
        <v>136</v>
      </c>
      <c r="D109" s="11" t="s">
        <v>137</v>
      </c>
      <c r="E109" s="11" t="s">
        <v>68</v>
      </c>
      <c r="F109" s="11" t="s">
        <v>518</v>
      </c>
      <c r="G109" s="11" t="s">
        <v>519</v>
      </c>
      <c r="H109" s="11" t="s">
        <v>301</v>
      </c>
      <c r="I109" s="11" t="s">
        <v>506</v>
      </c>
      <c r="J109" s="11"/>
      <c r="K109" s="11" t="n">
        <v>12</v>
      </c>
      <c r="L109" s="11" t="s">
        <v>304</v>
      </c>
      <c r="M109" s="11" t="n">
        <v>10</v>
      </c>
      <c r="N109" s="11" t="s">
        <v>304</v>
      </c>
      <c r="O109" s="11" t="n">
        <v>10</v>
      </c>
      <c r="P109" s="11" t="s">
        <v>304</v>
      </c>
      <c r="Q109" s="11" t="n">
        <v>2</v>
      </c>
      <c r="R109" s="11" t="n">
        <v>0</v>
      </c>
      <c r="S109" s="11" t="s">
        <v>305</v>
      </c>
      <c r="T109" s="11" t="s">
        <v>306</v>
      </c>
      <c r="U109" s="11" t="s">
        <v>307</v>
      </c>
      <c r="V109" s="11" t="s">
        <v>308</v>
      </c>
      <c r="W109" s="11" t="s">
        <v>309</v>
      </c>
      <c r="X109" s="11" t="s">
        <v>310</v>
      </c>
      <c r="Y109" s="12" t="s">
        <v>311</v>
      </c>
    </row>
    <row r="110" customFormat="false" ht="32.8" hidden="false" customHeight="false" outlineLevel="0" collapsed="false">
      <c r="A110" s="10" t="s">
        <v>520</v>
      </c>
      <c r="B110" s="11" t="s">
        <v>133</v>
      </c>
      <c r="C110" s="11" t="s">
        <v>136</v>
      </c>
      <c r="D110" s="11" t="s">
        <v>137</v>
      </c>
      <c r="E110" s="11" t="s">
        <v>68</v>
      </c>
      <c r="F110" s="11" t="s">
        <v>322</v>
      </c>
      <c r="G110" s="11" t="s">
        <v>323</v>
      </c>
      <c r="H110" s="11" t="s">
        <v>301</v>
      </c>
      <c r="I110" s="11" t="s">
        <v>466</v>
      </c>
      <c r="J110" s="11" t="s">
        <v>521</v>
      </c>
      <c r="K110" s="11" t="n">
        <v>7</v>
      </c>
      <c r="L110" s="11" t="s">
        <v>304</v>
      </c>
      <c r="M110" s="11" t="n">
        <v>7</v>
      </c>
      <c r="N110" s="11" t="s">
        <v>304</v>
      </c>
      <c r="O110" s="11" t="n">
        <v>7</v>
      </c>
      <c r="P110" s="11" t="s">
        <v>304</v>
      </c>
      <c r="Q110" s="11" t="n">
        <v>0</v>
      </c>
      <c r="R110" s="11" t="n">
        <v>0</v>
      </c>
      <c r="S110" s="11" t="s">
        <v>305</v>
      </c>
      <c r="T110" s="11" t="s">
        <v>306</v>
      </c>
      <c r="U110" s="11" t="s">
        <v>307</v>
      </c>
      <c r="V110" s="11" t="s">
        <v>308</v>
      </c>
      <c r="W110" s="11" t="s">
        <v>309</v>
      </c>
      <c r="X110" s="11" t="s">
        <v>310</v>
      </c>
      <c r="Y110" s="12" t="s">
        <v>311</v>
      </c>
    </row>
    <row r="111" customFormat="false" ht="32.8" hidden="false" customHeight="false" outlineLevel="0" collapsed="false">
      <c r="A111" s="10" t="s">
        <v>522</v>
      </c>
      <c r="B111" s="11" t="s">
        <v>133</v>
      </c>
      <c r="C111" s="11" t="s">
        <v>136</v>
      </c>
      <c r="D111" s="11" t="s">
        <v>137</v>
      </c>
      <c r="E111" s="11" t="s">
        <v>68</v>
      </c>
      <c r="F111" s="11" t="s">
        <v>494</v>
      </c>
      <c r="G111" s="11" t="s">
        <v>495</v>
      </c>
      <c r="H111" s="11" t="s">
        <v>301</v>
      </c>
      <c r="I111" s="11" t="s">
        <v>466</v>
      </c>
      <c r="J111" s="11" t="s">
        <v>521</v>
      </c>
      <c r="K111" s="11" t="n">
        <v>3</v>
      </c>
      <c r="L111" s="11" t="s">
        <v>304</v>
      </c>
      <c r="M111" s="11" t="n">
        <v>2</v>
      </c>
      <c r="N111" s="11" t="s">
        <v>304</v>
      </c>
      <c r="O111" s="11" t="n">
        <v>2</v>
      </c>
      <c r="P111" s="11" t="s">
        <v>304</v>
      </c>
      <c r="Q111" s="11" t="n">
        <v>1</v>
      </c>
      <c r="R111" s="11" t="n">
        <v>0</v>
      </c>
      <c r="S111" s="11" t="s">
        <v>305</v>
      </c>
      <c r="T111" s="11" t="s">
        <v>306</v>
      </c>
      <c r="U111" s="11" t="s">
        <v>307</v>
      </c>
      <c r="V111" s="11" t="s">
        <v>308</v>
      </c>
      <c r="W111" s="11" t="s">
        <v>309</v>
      </c>
      <c r="X111" s="11" t="s">
        <v>310</v>
      </c>
      <c r="Y111" s="12" t="s">
        <v>311</v>
      </c>
    </row>
    <row r="112" customFormat="false" ht="32.8" hidden="false" customHeight="false" outlineLevel="0" collapsed="false">
      <c r="A112" s="10" t="s">
        <v>523</v>
      </c>
      <c r="B112" s="11" t="s">
        <v>133</v>
      </c>
      <c r="C112" s="11" t="s">
        <v>136</v>
      </c>
      <c r="D112" s="11" t="s">
        <v>137</v>
      </c>
      <c r="E112" s="11" t="s">
        <v>68</v>
      </c>
      <c r="F112" s="11" t="s">
        <v>524</v>
      </c>
      <c r="G112" s="11" t="s">
        <v>525</v>
      </c>
      <c r="H112" s="11" t="s">
        <v>301</v>
      </c>
      <c r="I112" s="11" t="s">
        <v>466</v>
      </c>
      <c r="J112" s="11" t="s">
        <v>521</v>
      </c>
      <c r="K112" s="11" t="n">
        <v>1</v>
      </c>
      <c r="L112" s="11" t="s">
        <v>304</v>
      </c>
      <c r="M112" s="11" t="n">
        <v>1</v>
      </c>
      <c r="N112" s="11" t="s">
        <v>304</v>
      </c>
      <c r="O112" s="11" t="n">
        <v>1</v>
      </c>
      <c r="P112" s="11" t="s">
        <v>304</v>
      </c>
      <c r="Q112" s="11" t="n">
        <v>0</v>
      </c>
      <c r="R112" s="11" t="n">
        <v>0</v>
      </c>
      <c r="S112" s="11" t="s">
        <v>305</v>
      </c>
      <c r="T112" s="11" t="s">
        <v>306</v>
      </c>
      <c r="U112" s="11" t="s">
        <v>307</v>
      </c>
      <c r="V112" s="11" t="s">
        <v>308</v>
      </c>
      <c r="W112" s="11" t="s">
        <v>309</v>
      </c>
      <c r="X112" s="11" t="s">
        <v>310</v>
      </c>
      <c r="Y112" s="12" t="s">
        <v>311</v>
      </c>
    </row>
    <row r="113" customFormat="false" ht="32.8" hidden="false" customHeight="false" outlineLevel="0" collapsed="false">
      <c r="A113" s="10" t="s">
        <v>526</v>
      </c>
      <c r="B113" s="11" t="s">
        <v>139</v>
      </c>
      <c r="C113" s="11" t="s">
        <v>142</v>
      </c>
      <c r="D113" s="11" t="s">
        <v>143</v>
      </c>
      <c r="E113" s="11" t="s">
        <v>68</v>
      </c>
      <c r="F113" s="11" t="s">
        <v>527</v>
      </c>
      <c r="G113" s="11" t="s">
        <v>528</v>
      </c>
      <c r="H113" s="11" t="s">
        <v>301</v>
      </c>
      <c r="I113" s="11" t="s">
        <v>529</v>
      </c>
      <c r="J113" s="11" t="s">
        <v>530</v>
      </c>
      <c r="K113" s="11" t="n">
        <v>95</v>
      </c>
      <c r="L113" s="11" t="s">
        <v>304</v>
      </c>
      <c r="M113" s="11" t="n">
        <v>88</v>
      </c>
      <c r="N113" s="11" t="s">
        <v>304</v>
      </c>
      <c r="O113" s="11" t="n">
        <v>80</v>
      </c>
      <c r="P113" s="11" t="s">
        <v>304</v>
      </c>
      <c r="Q113" s="11" t="n">
        <v>7</v>
      </c>
      <c r="R113" s="11" t="n">
        <v>8</v>
      </c>
      <c r="S113" s="11" t="s">
        <v>305</v>
      </c>
      <c r="T113" s="11" t="s">
        <v>306</v>
      </c>
      <c r="U113" s="11" t="s">
        <v>307</v>
      </c>
      <c r="V113" s="11" t="s">
        <v>308</v>
      </c>
      <c r="W113" s="11" t="s">
        <v>309</v>
      </c>
      <c r="X113" s="11" t="s">
        <v>310</v>
      </c>
      <c r="Y113" s="12" t="s">
        <v>311</v>
      </c>
    </row>
    <row r="114" customFormat="false" ht="32.8" hidden="false" customHeight="false" outlineLevel="0" collapsed="false">
      <c r="A114" s="10" t="s">
        <v>531</v>
      </c>
      <c r="B114" s="11" t="s">
        <v>139</v>
      </c>
      <c r="C114" s="11" t="s">
        <v>142</v>
      </c>
      <c r="D114" s="11" t="s">
        <v>143</v>
      </c>
      <c r="E114" s="11" t="s">
        <v>68</v>
      </c>
      <c r="F114" s="11" t="s">
        <v>532</v>
      </c>
      <c r="G114" s="11" t="s">
        <v>533</v>
      </c>
      <c r="H114" s="11" t="s">
        <v>301</v>
      </c>
      <c r="I114" s="11" t="s">
        <v>529</v>
      </c>
      <c r="J114" s="11" t="s">
        <v>530</v>
      </c>
      <c r="K114" s="11" t="n">
        <v>65</v>
      </c>
      <c r="L114" s="11" t="s">
        <v>304</v>
      </c>
      <c r="M114" s="11" t="n">
        <v>58</v>
      </c>
      <c r="N114" s="11" t="s">
        <v>304</v>
      </c>
      <c r="O114" s="11" t="n">
        <v>50</v>
      </c>
      <c r="P114" s="11" t="s">
        <v>304</v>
      </c>
      <c r="Q114" s="11" t="n">
        <v>7</v>
      </c>
      <c r="R114" s="11" t="n">
        <v>8</v>
      </c>
      <c r="S114" s="11" t="s">
        <v>305</v>
      </c>
      <c r="T114" s="11" t="s">
        <v>306</v>
      </c>
      <c r="U114" s="11" t="s">
        <v>307</v>
      </c>
      <c r="V114" s="11" t="s">
        <v>308</v>
      </c>
      <c r="W114" s="11" t="s">
        <v>309</v>
      </c>
      <c r="X114" s="11" t="s">
        <v>310</v>
      </c>
      <c r="Y114" s="12" t="s">
        <v>311</v>
      </c>
    </row>
    <row r="115" customFormat="false" ht="32.8" hidden="false" customHeight="false" outlineLevel="0" collapsed="false">
      <c r="A115" s="10" t="s">
        <v>534</v>
      </c>
      <c r="B115" s="11" t="s">
        <v>139</v>
      </c>
      <c r="C115" s="11" t="s">
        <v>142</v>
      </c>
      <c r="D115" s="11" t="s">
        <v>143</v>
      </c>
      <c r="E115" s="11" t="s">
        <v>68</v>
      </c>
      <c r="F115" s="11" t="s">
        <v>535</v>
      </c>
      <c r="G115" s="11" t="s">
        <v>536</v>
      </c>
      <c r="H115" s="11" t="s">
        <v>301</v>
      </c>
      <c r="I115" s="11" t="s">
        <v>529</v>
      </c>
      <c r="J115" s="11" t="s">
        <v>530</v>
      </c>
      <c r="K115" s="11" t="n">
        <v>38</v>
      </c>
      <c r="L115" s="11" t="s">
        <v>304</v>
      </c>
      <c r="M115" s="11" t="n">
        <v>34</v>
      </c>
      <c r="N115" s="11" t="s">
        <v>304</v>
      </c>
      <c r="O115" s="11" t="n">
        <v>30</v>
      </c>
      <c r="P115" s="11" t="s">
        <v>304</v>
      </c>
      <c r="Q115" s="11" t="n">
        <v>4</v>
      </c>
      <c r="R115" s="11" t="n">
        <v>4</v>
      </c>
      <c r="S115" s="11" t="s">
        <v>305</v>
      </c>
      <c r="T115" s="11" t="s">
        <v>306</v>
      </c>
      <c r="U115" s="11" t="s">
        <v>307</v>
      </c>
      <c r="V115" s="11" t="s">
        <v>308</v>
      </c>
      <c r="W115" s="11" t="s">
        <v>309</v>
      </c>
      <c r="X115" s="11" t="s">
        <v>310</v>
      </c>
      <c r="Y115" s="12" t="s">
        <v>311</v>
      </c>
    </row>
    <row r="116" customFormat="false" ht="32.8" hidden="false" customHeight="false" outlineLevel="0" collapsed="false">
      <c r="A116" s="10" t="s">
        <v>537</v>
      </c>
      <c r="B116" s="11" t="s">
        <v>139</v>
      </c>
      <c r="C116" s="11" t="s">
        <v>142</v>
      </c>
      <c r="D116" s="11" t="s">
        <v>143</v>
      </c>
      <c r="E116" s="11" t="s">
        <v>68</v>
      </c>
      <c r="F116" s="11" t="s">
        <v>538</v>
      </c>
      <c r="G116" s="11" t="s">
        <v>539</v>
      </c>
      <c r="H116" s="11" t="s">
        <v>301</v>
      </c>
      <c r="I116" s="11" t="s">
        <v>339</v>
      </c>
      <c r="J116" s="11"/>
      <c r="K116" s="11" t="n">
        <v>40</v>
      </c>
      <c r="L116" s="11" t="s">
        <v>304</v>
      </c>
      <c r="M116" s="11" t="n">
        <v>35</v>
      </c>
      <c r="N116" s="11" t="s">
        <v>304</v>
      </c>
      <c r="O116" s="11" t="n">
        <v>35</v>
      </c>
      <c r="P116" s="11" t="s">
        <v>304</v>
      </c>
      <c r="Q116" s="11" t="n">
        <v>5</v>
      </c>
      <c r="R116" s="11" t="n">
        <v>0</v>
      </c>
      <c r="S116" s="11" t="s">
        <v>305</v>
      </c>
      <c r="T116" s="11" t="s">
        <v>306</v>
      </c>
      <c r="U116" s="11" t="s">
        <v>307</v>
      </c>
      <c r="V116" s="11" t="s">
        <v>308</v>
      </c>
      <c r="W116" s="11" t="s">
        <v>309</v>
      </c>
      <c r="X116" s="11" t="s">
        <v>310</v>
      </c>
      <c r="Y116" s="12" t="s">
        <v>311</v>
      </c>
    </row>
    <row r="117" customFormat="false" ht="32.8" hidden="false" customHeight="false" outlineLevel="0" collapsed="false">
      <c r="A117" s="10" t="s">
        <v>540</v>
      </c>
      <c r="B117" s="11" t="s">
        <v>139</v>
      </c>
      <c r="C117" s="11" t="s">
        <v>142</v>
      </c>
      <c r="D117" s="11" t="s">
        <v>143</v>
      </c>
      <c r="E117" s="11" t="s">
        <v>68</v>
      </c>
      <c r="F117" s="11" t="s">
        <v>541</v>
      </c>
      <c r="G117" s="11" t="s">
        <v>542</v>
      </c>
      <c r="H117" s="11" t="s">
        <v>301</v>
      </c>
      <c r="I117" s="11" t="s">
        <v>339</v>
      </c>
      <c r="J117" s="11"/>
      <c r="K117" s="11" t="n">
        <v>28</v>
      </c>
      <c r="L117" s="11" t="s">
        <v>304</v>
      </c>
      <c r="M117" s="11" t="n">
        <v>25</v>
      </c>
      <c r="N117" s="11" t="s">
        <v>304</v>
      </c>
      <c r="O117" s="11" t="n">
        <v>25</v>
      </c>
      <c r="P117" s="11" t="s">
        <v>304</v>
      </c>
      <c r="Q117" s="11" t="n">
        <v>3</v>
      </c>
      <c r="R117" s="11" t="n">
        <v>0</v>
      </c>
      <c r="S117" s="11" t="s">
        <v>305</v>
      </c>
      <c r="T117" s="11" t="s">
        <v>306</v>
      </c>
      <c r="U117" s="11" t="s">
        <v>307</v>
      </c>
      <c r="V117" s="11" t="s">
        <v>308</v>
      </c>
      <c r="W117" s="11" t="s">
        <v>309</v>
      </c>
      <c r="X117" s="11" t="s">
        <v>310</v>
      </c>
      <c r="Y117" s="12" t="s">
        <v>311</v>
      </c>
    </row>
    <row r="118" customFormat="false" ht="32.8" hidden="false" customHeight="false" outlineLevel="0" collapsed="false">
      <c r="A118" s="10" t="s">
        <v>543</v>
      </c>
      <c r="B118" s="11" t="s">
        <v>139</v>
      </c>
      <c r="C118" s="11" t="s">
        <v>142</v>
      </c>
      <c r="D118" s="11" t="s">
        <v>143</v>
      </c>
      <c r="E118" s="11" t="s">
        <v>68</v>
      </c>
      <c r="F118" s="11" t="s">
        <v>544</v>
      </c>
      <c r="G118" s="11" t="s">
        <v>545</v>
      </c>
      <c r="H118" s="11" t="s">
        <v>301</v>
      </c>
      <c r="I118" s="11" t="s">
        <v>339</v>
      </c>
      <c r="J118" s="11"/>
      <c r="K118" s="11" t="n">
        <v>16</v>
      </c>
      <c r="L118" s="11" t="s">
        <v>304</v>
      </c>
      <c r="M118" s="11" t="n">
        <v>10</v>
      </c>
      <c r="N118" s="11" t="s">
        <v>304</v>
      </c>
      <c r="O118" s="11" t="n">
        <v>10</v>
      </c>
      <c r="P118" s="11" t="s">
        <v>304</v>
      </c>
      <c r="Q118" s="11" t="n">
        <v>6</v>
      </c>
      <c r="R118" s="11" t="n">
        <v>0</v>
      </c>
      <c r="S118" s="11" t="s">
        <v>305</v>
      </c>
      <c r="T118" s="11" t="s">
        <v>306</v>
      </c>
      <c r="U118" s="11" t="s">
        <v>307</v>
      </c>
      <c r="V118" s="11" t="s">
        <v>308</v>
      </c>
      <c r="W118" s="11" t="s">
        <v>309</v>
      </c>
      <c r="X118" s="11" t="s">
        <v>310</v>
      </c>
      <c r="Y118" s="12" t="s">
        <v>311</v>
      </c>
    </row>
    <row r="119" customFormat="false" ht="32.8" hidden="false" customHeight="false" outlineLevel="0" collapsed="false">
      <c r="A119" s="10" t="s">
        <v>546</v>
      </c>
      <c r="B119" s="11" t="s">
        <v>139</v>
      </c>
      <c r="C119" s="11" t="s">
        <v>142</v>
      </c>
      <c r="D119" s="11" t="s">
        <v>143</v>
      </c>
      <c r="E119" s="11" t="s">
        <v>68</v>
      </c>
      <c r="F119" s="11" t="s">
        <v>383</v>
      </c>
      <c r="G119" s="11" t="s">
        <v>384</v>
      </c>
      <c r="H119" s="11" t="s">
        <v>301</v>
      </c>
      <c r="I119" s="11" t="s">
        <v>339</v>
      </c>
      <c r="J119" s="11"/>
      <c r="K119" s="11" t="n">
        <v>6</v>
      </c>
      <c r="L119" s="11" t="s">
        <v>304</v>
      </c>
      <c r="M119" s="11" t="n">
        <v>5</v>
      </c>
      <c r="N119" s="11" t="s">
        <v>304</v>
      </c>
      <c r="O119" s="11" t="n">
        <v>5</v>
      </c>
      <c r="P119" s="11" t="s">
        <v>304</v>
      </c>
      <c r="Q119" s="11" t="n">
        <v>1</v>
      </c>
      <c r="R119" s="11" t="n">
        <v>0</v>
      </c>
      <c r="S119" s="11" t="s">
        <v>305</v>
      </c>
      <c r="T119" s="11" t="s">
        <v>306</v>
      </c>
      <c r="U119" s="11" t="s">
        <v>307</v>
      </c>
      <c r="V119" s="11" t="s">
        <v>308</v>
      </c>
      <c r="W119" s="11" t="s">
        <v>309</v>
      </c>
      <c r="X119" s="11" t="s">
        <v>310</v>
      </c>
      <c r="Y119" s="12" t="s">
        <v>311</v>
      </c>
    </row>
    <row r="120" customFormat="false" ht="32.8" hidden="false" customHeight="false" outlineLevel="0" collapsed="false">
      <c r="A120" s="10" t="s">
        <v>547</v>
      </c>
      <c r="B120" s="11" t="s">
        <v>139</v>
      </c>
      <c r="C120" s="11" t="s">
        <v>142</v>
      </c>
      <c r="D120" s="11" t="s">
        <v>143</v>
      </c>
      <c r="E120" s="11" t="s">
        <v>68</v>
      </c>
      <c r="F120" s="11" t="s">
        <v>437</v>
      </c>
      <c r="G120" s="11" t="s">
        <v>438</v>
      </c>
      <c r="H120" s="11" t="s">
        <v>301</v>
      </c>
      <c r="I120" s="11" t="s">
        <v>466</v>
      </c>
      <c r="J120" s="11"/>
      <c r="K120" s="11" t="n">
        <v>5</v>
      </c>
      <c r="L120" s="11" t="s">
        <v>304</v>
      </c>
      <c r="M120" s="11" t="n">
        <v>5</v>
      </c>
      <c r="N120" s="11" t="s">
        <v>304</v>
      </c>
      <c r="O120" s="11" t="n">
        <v>5</v>
      </c>
      <c r="P120" s="11" t="s">
        <v>304</v>
      </c>
      <c r="Q120" s="11" t="n">
        <v>0</v>
      </c>
      <c r="R120" s="11" t="n">
        <v>0</v>
      </c>
      <c r="S120" s="11" t="s">
        <v>305</v>
      </c>
      <c r="T120" s="11" t="s">
        <v>306</v>
      </c>
      <c r="U120" s="11" t="s">
        <v>307</v>
      </c>
      <c r="V120" s="11" t="s">
        <v>308</v>
      </c>
      <c r="W120" s="11" t="s">
        <v>309</v>
      </c>
      <c r="X120" s="11" t="s">
        <v>310</v>
      </c>
      <c r="Y120" s="12" t="s">
        <v>311</v>
      </c>
    </row>
    <row r="121" customFormat="false" ht="32.8" hidden="false" customHeight="false" outlineLevel="0" collapsed="false">
      <c r="A121" s="10" t="s">
        <v>548</v>
      </c>
      <c r="B121" s="11" t="s">
        <v>145</v>
      </c>
      <c r="C121" s="11" t="s">
        <v>150</v>
      </c>
      <c r="D121" s="11" t="s">
        <v>151</v>
      </c>
      <c r="E121" s="11" t="s">
        <v>68</v>
      </c>
      <c r="F121" s="11" t="s">
        <v>549</v>
      </c>
      <c r="G121" s="11" t="s">
        <v>550</v>
      </c>
      <c r="H121" s="11" t="s">
        <v>301</v>
      </c>
      <c r="I121" s="11" t="s">
        <v>506</v>
      </c>
      <c r="J121" s="11"/>
      <c r="K121" s="11" t="n">
        <v>110</v>
      </c>
      <c r="L121" s="11" t="s">
        <v>304</v>
      </c>
      <c r="M121" s="11" t="n">
        <v>100</v>
      </c>
      <c r="N121" s="11" t="s">
        <v>304</v>
      </c>
      <c r="O121" s="11" t="n">
        <v>100</v>
      </c>
      <c r="P121" s="11" t="s">
        <v>304</v>
      </c>
      <c r="Q121" s="11" t="n">
        <v>10</v>
      </c>
      <c r="R121" s="11" t="n">
        <v>0</v>
      </c>
      <c r="S121" s="11" t="s">
        <v>305</v>
      </c>
      <c r="T121" s="11" t="s">
        <v>306</v>
      </c>
      <c r="U121" s="11" t="s">
        <v>307</v>
      </c>
      <c r="V121" s="11" t="s">
        <v>308</v>
      </c>
      <c r="W121" s="11" t="s">
        <v>309</v>
      </c>
      <c r="X121" s="11" t="s">
        <v>310</v>
      </c>
      <c r="Y121" s="12" t="s">
        <v>311</v>
      </c>
    </row>
    <row r="122" customFormat="false" ht="32.8" hidden="false" customHeight="false" outlineLevel="0" collapsed="false">
      <c r="A122" s="10" t="s">
        <v>551</v>
      </c>
      <c r="B122" s="11" t="s">
        <v>145</v>
      </c>
      <c r="C122" s="11" t="s">
        <v>150</v>
      </c>
      <c r="D122" s="11" t="s">
        <v>151</v>
      </c>
      <c r="E122" s="11" t="s">
        <v>68</v>
      </c>
      <c r="F122" s="11" t="s">
        <v>552</v>
      </c>
      <c r="G122" s="11" t="s">
        <v>553</v>
      </c>
      <c r="H122" s="11" t="s">
        <v>301</v>
      </c>
      <c r="I122" s="11" t="s">
        <v>506</v>
      </c>
      <c r="J122" s="11"/>
      <c r="K122" s="11" t="n">
        <v>13</v>
      </c>
      <c r="L122" s="11" t="s">
        <v>304</v>
      </c>
      <c r="M122" s="11" t="n">
        <v>10</v>
      </c>
      <c r="N122" s="11" t="s">
        <v>304</v>
      </c>
      <c r="O122" s="11" t="n">
        <v>10</v>
      </c>
      <c r="P122" s="11" t="s">
        <v>304</v>
      </c>
      <c r="Q122" s="11" t="n">
        <v>3</v>
      </c>
      <c r="R122" s="11" t="n">
        <v>0</v>
      </c>
      <c r="S122" s="11" t="s">
        <v>305</v>
      </c>
      <c r="T122" s="11" t="s">
        <v>306</v>
      </c>
      <c r="U122" s="11" t="s">
        <v>307</v>
      </c>
      <c r="V122" s="11" t="s">
        <v>308</v>
      </c>
      <c r="W122" s="11" t="s">
        <v>309</v>
      </c>
      <c r="X122" s="11" t="s">
        <v>310</v>
      </c>
      <c r="Y122" s="12" t="s">
        <v>311</v>
      </c>
    </row>
    <row r="123" customFormat="false" ht="32.8" hidden="false" customHeight="false" outlineLevel="0" collapsed="false">
      <c r="A123" s="10" t="s">
        <v>554</v>
      </c>
      <c r="B123" s="11" t="s">
        <v>145</v>
      </c>
      <c r="C123" s="11" t="s">
        <v>150</v>
      </c>
      <c r="D123" s="11" t="s">
        <v>151</v>
      </c>
      <c r="E123" s="11" t="s">
        <v>68</v>
      </c>
      <c r="F123" s="11" t="s">
        <v>476</v>
      </c>
      <c r="G123" s="11" t="s">
        <v>477</v>
      </c>
      <c r="H123" s="11" t="s">
        <v>301</v>
      </c>
      <c r="I123" s="11" t="s">
        <v>506</v>
      </c>
      <c r="J123" s="11"/>
      <c r="K123" s="11" t="n">
        <v>12</v>
      </c>
      <c r="L123" s="11" t="s">
        <v>304</v>
      </c>
      <c r="M123" s="11" t="n">
        <v>10</v>
      </c>
      <c r="N123" s="11" t="s">
        <v>304</v>
      </c>
      <c r="O123" s="11" t="n">
        <v>10</v>
      </c>
      <c r="P123" s="11" t="s">
        <v>304</v>
      </c>
      <c r="Q123" s="11" t="n">
        <v>2</v>
      </c>
      <c r="R123" s="11" t="n">
        <v>0</v>
      </c>
      <c r="S123" s="11" t="s">
        <v>305</v>
      </c>
      <c r="T123" s="11" t="s">
        <v>306</v>
      </c>
      <c r="U123" s="11" t="s">
        <v>307</v>
      </c>
      <c r="V123" s="11" t="s">
        <v>308</v>
      </c>
      <c r="W123" s="11" t="s">
        <v>309</v>
      </c>
      <c r="X123" s="11" t="s">
        <v>310</v>
      </c>
      <c r="Y123" s="12" t="s">
        <v>311</v>
      </c>
    </row>
    <row r="124" customFormat="false" ht="32.8" hidden="false" customHeight="false" outlineLevel="0" collapsed="false">
      <c r="A124" s="10" t="s">
        <v>555</v>
      </c>
      <c r="B124" s="11" t="s">
        <v>145</v>
      </c>
      <c r="C124" s="11" t="s">
        <v>150</v>
      </c>
      <c r="D124" s="11" t="s">
        <v>151</v>
      </c>
      <c r="E124" s="11" t="s">
        <v>68</v>
      </c>
      <c r="F124" s="11" t="s">
        <v>556</v>
      </c>
      <c r="G124" s="11" t="s">
        <v>557</v>
      </c>
      <c r="H124" s="11" t="s">
        <v>301</v>
      </c>
      <c r="I124" s="11" t="s">
        <v>506</v>
      </c>
      <c r="J124" s="11"/>
      <c r="K124" s="11" t="n">
        <v>6</v>
      </c>
      <c r="L124" s="11" t="s">
        <v>304</v>
      </c>
      <c r="M124" s="11" t="n">
        <v>5</v>
      </c>
      <c r="N124" s="11" t="s">
        <v>304</v>
      </c>
      <c r="O124" s="11" t="n">
        <v>5</v>
      </c>
      <c r="P124" s="11" t="s">
        <v>304</v>
      </c>
      <c r="Q124" s="11" t="n">
        <v>1</v>
      </c>
      <c r="R124" s="11" t="n">
        <v>0</v>
      </c>
      <c r="S124" s="11" t="s">
        <v>305</v>
      </c>
      <c r="T124" s="11" t="s">
        <v>306</v>
      </c>
      <c r="U124" s="11" t="s">
        <v>307</v>
      </c>
      <c r="V124" s="11" t="s">
        <v>308</v>
      </c>
      <c r="W124" s="11" t="s">
        <v>309</v>
      </c>
      <c r="X124" s="11" t="s">
        <v>310</v>
      </c>
      <c r="Y124" s="12" t="s">
        <v>311</v>
      </c>
    </row>
    <row r="125" customFormat="false" ht="32.8" hidden="false" customHeight="false" outlineLevel="0" collapsed="false">
      <c r="A125" s="10" t="s">
        <v>558</v>
      </c>
      <c r="B125" s="11" t="s">
        <v>145</v>
      </c>
      <c r="C125" s="11" t="s">
        <v>150</v>
      </c>
      <c r="D125" s="11" t="s">
        <v>151</v>
      </c>
      <c r="E125" s="11" t="s">
        <v>68</v>
      </c>
      <c r="F125" s="11" t="s">
        <v>437</v>
      </c>
      <c r="G125" s="11" t="s">
        <v>438</v>
      </c>
      <c r="H125" s="11" t="s">
        <v>301</v>
      </c>
      <c r="I125" s="11" t="s">
        <v>506</v>
      </c>
      <c r="J125" s="11"/>
      <c r="K125" s="11" t="n">
        <v>5</v>
      </c>
      <c r="L125" s="11" t="s">
        <v>304</v>
      </c>
      <c r="M125" s="11" t="n">
        <v>5</v>
      </c>
      <c r="N125" s="11" t="s">
        <v>304</v>
      </c>
      <c r="O125" s="11" t="n">
        <v>5</v>
      </c>
      <c r="P125" s="11" t="s">
        <v>304</v>
      </c>
      <c r="Q125" s="11" t="n">
        <v>0</v>
      </c>
      <c r="R125" s="11" t="n">
        <v>0</v>
      </c>
      <c r="S125" s="11" t="s">
        <v>305</v>
      </c>
      <c r="T125" s="11" t="s">
        <v>306</v>
      </c>
      <c r="U125" s="11" t="s">
        <v>307</v>
      </c>
      <c r="V125" s="11" t="s">
        <v>308</v>
      </c>
      <c r="W125" s="11" t="s">
        <v>309</v>
      </c>
      <c r="X125" s="11" t="s">
        <v>310</v>
      </c>
      <c r="Y125" s="12" t="s">
        <v>311</v>
      </c>
    </row>
    <row r="126" customFormat="false" ht="32.8" hidden="false" customHeight="false" outlineLevel="0" collapsed="false">
      <c r="A126" s="10" t="s">
        <v>559</v>
      </c>
      <c r="B126" s="11" t="s">
        <v>153</v>
      </c>
      <c r="C126" s="11" t="s">
        <v>156</v>
      </c>
      <c r="D126" s="11" t="s">
        <v>157</v>
      </c>
      <c r="E126" s="11" t="s">
        <v>68</v>
      </c>
      <c r="F126" s="11" t="s">
        <v>560</v>
      </c>
      <c r="G126" s="11" t="s">
        <v>561</v>
      </c>
      <c r="H126" s="11" t="s">
        <v>301</v>
      </c>
      <c r="I126" s="11" t="s">
        <v>339</v>
      </c>
      <c r="J126" s="11"/>
      <c r="K126" s="11" t="n">
        <v>110</v>
      </c>
      <c r="L126" s="11" t="s">
        <v>304</v>
      </c>
      <c r="M126" s="11" t="n">
        <v>95</v>
      </c>
      <c r="N126" s="11" t="s">
        <v>304</v>
      </c>
      <c r="O126" s="11" t="n">
        <v>90</v>
      </c>
      <c r="P126" s="11" t="s">
        <v>304</v>
      </c>
      <c r="Q126" s="11" t="n">
        <v>15</v>
      </c>
      <c r="R126" s="11" t="n">
        <v>5</v>
      </c>
      <c r="S126" s="11" t="s">
        <v>305</v>
      </c>
      <c r="T126" s="11" t="s">
        <v>306</v>
      </c>
      <c r="U126" s="11" t="s">
        <v>307</v>
      </c>
      <c r="V126" s="11" t="s">
        <v>308</v>
      </c>
      <c r="W126" s="11" t="s">
        <v>309</v>
      </c>
      <c r="X126" s="11" t="s">
        <v>310</v>
      </c>
      <c r="Y126" s="12" t="s">
        <v>311</v>
      </c>
    </row>
    <row r="127" customFormat="false" ht="32.8" hidden="false" customHeight="false" outlineLevel="0" collapsed="false">
      <c r="A127" s="10" t="s">
        <v>562</v>
      </c>
      <c r="B127" s="11" t="s">
        <v>153</v>
      </c>
      <c r="C127" s="11" t="s">
        <v>156</v>
      </c>
      <c r="D127" s="11" t="s">
        <v>157</v>
      </c>
      <c r="E127" s="11" t="s">
        <v>68</v>
      </c>
      <c r="F127" s="11" t="s">
        <v>563</v>
      </c>
      <c r="G127" s="11" t="s">
        <v>564</v>
      </c>
      <c r="H127" s="11" t="s">
        <v>301</v>
      </c>
      <c r="I127" s="11" t="s">
        <v>565</v>
      </c>
      <c r="J127" s="11" t="s">
        <v>566</v>
      </c>
      <c r="K127" s="11" t="n">
        <v>135</v>
      </c>
      <c r="L127" s="11" t="s">
        <v>304</v>
      </c>
      <c r="M127" s="11" t="n">
        <v>125</v>
      </c>
      <c r="N127" s="11" t="s">
        <v>304</v>
      </c>
      <c r="O127" s="11" t="n">
        <v>110</v>
      </c>
      <c r="P127" s="11" t="s">
        <v>304</v>
      </c>
      <c r="Q127" s="11" t="n">
        <v>10</v>
      </c>
      <c r="R127" s="11" t="n">
        <v>15</v>
      </c>
      <c r="S127" s="11" t="s">
        <v>305</v>
      </c>
      <c r="T127" s="11" t="s">
        <v>306</v>
      </c>
      <c r="U127" s="11" t="s">
        <v>307</v>
      </c>
      <c r="V127" s="11" t="s">
        <v>308</v>
      </c>
      <c r="W127" s="11" t="s">
        <v>309</v>
      </c>
      <c r="X127" s="11" t="s">
        <v>310</v>
      </c>
      <c r="Y127" s="12" t="s">
        <v>311</v>
      </c>
    </row>
    <row r="128" customFormat="false" ht="32.8" hidden="false" customHeight="false" outlineLevel="0" collapsed="false">
      <c r="A128" s="10" t="s">
        <v>567</v>
      </c>
      <c r="B128" s="11" t="s">
        <v>153</v>
      </c>
      <c r="C128" s="11" t="s">
        <v>156</v>
      </c>
      <c r="D128" s="11" t="s">
        <v>157</v>
      </c>
      <c r="E128" s="11" t="s">
        <v>68</v>
      </c>
      <c r="F128" s="11" t="s">
        <v>518</v>
      </c>
      <c r="G128" s="11" t="s">
        <v>519</v>
      </c>
      <c r="H128" s="11" t="s">
        <v>301</v>
      </c>
      <c r="I128" s="11" t="s">
        <v>339</v>
      </c>
      <c r="J128" s="11"/>
      <c r="K128" s="11" t="n">
        <v>24</v>
      </c>
      <c r="L128" s="11" t="s">
        <v>304</v>
      </c>
      <c r="M128" s="11" t="n">
        <v>20</v>
      </c>
      <c r="N128" s="11" t="s">
        <v>304</v>
      </c>
      <c r="O128" s="11" t="n">
        <v>20</v>
      </c>
      <c r="P128" s="11" t="s">
        <v>304</v>
      </c>
      <c r="Q128" s="11" t="n">
        <v>4</v>
      </c>
      <c r="R128" s="11" t="n">
        <v>0</v>
      </c>
      <c r="S128" s="11" t="s">
        <v>305</v>
      </c>
      <c r="T128" s="11" t="s">
        <v>306</v>
      </c>
      <c r="U128" s="11" t="s">
        <v>307</v>
      </c>
      <c r="V128" s="11" t="s">
        <v>308</v>
      </c>
      <c r="W128" s="11" t="s">
        <v>309</v>
      </c>
      <c r="X128" s="11" t="s">
        <v>310</v>
      </c>
      <c r="Y128" s="12" t="s">
        <v>311</v>
      </c>
    </row>
    <row r="129" customFormat="false" ht="32.8" hidden="false" customHeight="false" outlineLevel="0" collapsed="false">
      <c r="A129" s="10" t="s">
        <v>568</v>
      </c>
      <c r="B129" s="11" t="s">
        <v>153</v>
      </c>
      <c r="C129" s="11" t="s">
        <v>156</v>
      </c>
      <c r="D129" s="11" t="s">
        <v>157</v>
      </c>
      <c r="E129" s="11" t="s">
        <v>68</v>
      </c>
      <c r="F129" s="11" t="s">
        <v>538</v>
      </c>
      <c r="G129" s="11" t="s">
        <v>539</v>
      </c>
      <c r="H129" s="11" t="s">
        <v>301</v>
      </c>
      <c r="I129" s="11" t="s">
        <v>339</v>
      </c>
      <c r="J129" s="11"/>
      <c r="K129" s="11" t="n">
        <v>17</v>
      </c>
      <c r="L129" s="11" t="s">
        <v>304</v>
      </c>
      <c r="M129" s="11" t="n">
        <v>15</v>
      </c>
      <c r="N129" s="11" t="s">
        <v>304</v>
      </c>
      <c r="O129" s="11" t="n">
        <v>15</v>
      </c>
      <c r="P129" s="11" t="s">
        <v>304</v>
      </c>
      <c r="Q129" s="11" t="n">
        <v>2</v>
      </c>
      <c r="R129" s="11" t="n">
        <v>0</v>
      </c>
      <c r="S129" s="11" t="s">
        <v>305</v>
      </c>
      <c r="T129" s="11" t="s">
        <v>306</v>
      </c>
      <c r="U129" s="11" t="s">
        <v>307</v>
      </c>
      <c r="V129" s="11" t="s">
        <v>308</v>
      </c>
      <c r="W129" s="11" t="s">
        <v>309</v>
      </c>
      <c r="X129" s="11" t="s">
        <v>310</v>
      </c>
      <c r="Y129" s="12" t="s">
        <v>311</v>
      </c>
    </row>
    <row r="130" customFormat="false" ht="32.8" hidden="false" customHeight="false" outlineLevel="0" collapsed="false">
      <c r="A130" s="10" t="s">
        <v>569</v>
      </c>
      <c r="B130" s="11" t="s">
        <v>153</v>
      </c>
      <c r="C130" s="11" t="s">
        <v>156</v>
      </c>
      <c r="D130" s="11" t="s">
        <v>157</v>
      </c>
      <c r="E130" s="11" t="s">
        <v>68</v>
      </c>
      <c r="F130" s="11" t="s">
        <v>437</v>
      </c>
      <c r="G130" s="11" t="s">
        <v>438</v>
      </c>
      <c r="H130" s="11" t="s">
        <v>301</v>
      </c>
      <c r="I130" s="11" t="s">
        <v>466</v>
      </c>
      <c r="J130" s="11"/>
      <c r="K130" s="11" t="n">
        <v>10</v>
      </c>
      <c r="L130" s="11" t="s">
        <v>304</v>
      </c>
      <c r="M130" s="11" t="n">
        <v>10</v>
      </c>
      <c r="N130" s="11" t="s">
        <v>304</v>
      </c>
      <c r="O130" s="11" t="n">
        <v>10</v>
      </c>
      <c r="P130" s="11" t="s">
        <v>304</v>
      </c>
      <c r="Q130" s="11" t="n">
        <v>0</v>
      </c>
      <c r="R130" s="11" t="n">
        <v>0</v>
      </c>
      <c r="S130" s="11" t="s">
        <v>305</v>
      </c>
      <c r="T130" s="11" t="s">
        <v>306</v>
      </c>
      <c r="U130" s="11" t="s">
        <v>307</v>
      </c>
      <c r="V130" s="11" t="s">
        <v>308</v>
      </c>
      <c r="W130" s="11" t="s">
        <v>309</v>
      </c>
      <c r="X130" s="11" t="s">
        <v>310</v>
      </c>
      <c r="Y130" s="12" t="s">
        <v>311</v>
      </c>
    </row>
    <row r="131" customFormat="false" ht="32.8" hidden="false" customHeight="false" outlineLevel="0" collapsed="false">
      <c r="A131" s="10" t="s">
        <v>570</v>
      </c>
      <c r="B131" s="11" t="s">
        <v>153</v>
      </c>
      <c r="C131" s="11" t="s">
        <v>156</v>
      </c>
      <c r="D131" s="11" t="s">
        <v>157</v>
      </c>
      <c r="E131" s="11" t="s">
        <v>68</v>
      </c>
      <c r="F131" s="11" t="s">
        <v>571</v>
      </c>
      <c r="G131" s="11" t="s">
        <v>572</v>
      </c>
      <c r="H131" s="11" t="s">
        <v>301</v>
      </c>
      <c r="I131" s="11" t="s">
        <v>347</v>
      </c>
      <c r="J131" s="11"/>
      <c r="K131" s="11" t="n">
        <v>6</v>
      </c>
      <c r="L131" s="11" t="s">
        <v>304</v>
      </c>
      <c r="M131" s="11" t="n">
        <v>5</v>
      </c>
      <c r="N131" s="11" t="s">
        <v>304</v>
      </c>
      <c r="O131" s="11" t="n">
        <v>5</v>
      </c>
      <c r="P131" s="11" t="s">
        <v>304</v>
      </c>
      <c r="Q131" s="11" t="n">
        <v>1</v>
      </c>
      <c r="R131" s="11" t="n">
        <v>0</v>
      </c>
      <c r="S131" s="11" t="s">
        <v>305</v>
      </c>
      <c r="T131" s="11" t="s">
        <v>306</v>
      </c>
      <c r="U131" s="11" t="s">
        <v>307</v>
      </c>
      <c r="V131" s="11" t="s">
        <v>308</v>
      </c>
      <c r="W131" s="11" t="s">
        <v>309</v>
      </c>
      <c r="X131" s="11" t="s">
        <v>310</v>
      </c>
      <c r="Y131" s="12" t="s">
        <v>311</v>
      </c>
    </row>
    <row r="132" customFormat="false" ht="32.8" hidden="false" customHeight="false" outlineLevel="0" collapsed="false">
      <c r="A132" s="10" t="s">
        <v>573</v>
      </c>
      <c r="B132" s="11" t="s">
        <v>159</v>
      </c>
      <c r="C132" s="11" t="s">
        <v>162</v>
      </c>
      <c r="D132" s="11" t="s">
        <v>163</v>
      </c>
      <c r="E132" s="11" t="s">
        <v>68</v>
      </c>
      <c r="F132" s="11" t="s">
        <v>574</v>
      </c>
      <c r="G132" s="11" t="s">
        <v>575</v>
      </c>
      <c r="H132" s="11" t="s">
        <v>301</v>
      </c>
      <c r="I132" s="11" t="s">
        <v>506</v>
      </c>
      <c r="J132" s="11"/>
      <c r="K132" s="11" t="n">
        <v>65</v>
      </c>
      <c r="L132" s="11" t="s">
        <v>304</v>
      </c>
      <c r="M132" s="11" t="n">
        <v>50</v>
      </c>
      <c r="N132" s="11" t="s">
        <v>304</v>
      </c>
      <c r="O132" s="11" t="n">
        <v>50</v>
      </c>
      <c r="P132" s="11" t="s">
        <v>304</v>
      </c>
      <c r="Q132" s="11" t="n">
        <v>15</v>
      </c>
      <c r="R132" s="11" t="n">
        <v>0</v>
      </c>
      <c r="S132" s="11" t="s">
        <v>305</v>
      </c>
      <c r="T132" s="11" t="s">
        <v>306</v>
      </c>
      <c r="U132" s="11" t="s">
        <v>307</v>
      </c>
      <c r="V132" s="11" t="s">
        <v>308</v>
      </c>
      <c r="W132" s="11" t="s">
        <v>309</v>
      </c>
      <c r="X132" s="11" t="s">
        <v>310</v>
      </c>
      <c r="Y132" s="12" t="s">
        <v>311</v>
      </c>
    </row>
    <row r="133" customFormat="false" ht="32.8" hidden="false" customHeight="false" outlineLevel="0" collapsed="false">
      <c r="A133" s="10" t="s">
        <v>576</v>
      </c>
      <c r="B133" s="11" t="s">
        <v>159</v>
      </c>
      <c r="C133" s="11" t="s">
        <v>162</v>
      </c>
      <c r="D133" s="11" t="s">
        <v>163</v>
      </c>
      <c r="E133" s="11" t="s">
        <v>68</v>
      </c>
      <c r="F133" s="11" t="s">
        <v>577</v>
      </c>
      <c r="G133" s="11" t="s">
        <v>578</v>
      </c>
      <c r="H133" s="11" t="s">
        <v>301</v>
      </c>
      <c r="I133" s="11" t="s">
        <v>506</v>
      </c>
      <c r="J133" s="11"/>
      <c r="K133" s="11" t="n">
        <v>65</v>
      </c>
      <c r="L133" s="11" t="s">
        <v>304</v>
      </c>
      <c r="M133" s="11" t="n">
        <v>50</v>
      </c>
      <c r="N133" s="11" t="s">
        <v>304</v>
      </c>
      <c r="O133" s="11" t="n">
        <v>50</v>
      </c>
      <c r="P133" s="11" t="s">
        <v>304</v>
      </c>
      <c r="Q133" s="11" t="n">
        <v>15</v>
      </c>
      <c r="R133" s="11" t="n">
        <v>0</v>
      </c>
      <c r="S133" s="11" t="s">
        <v>305</v>
      </c>
      <c r="T133" s="11" t="s">
        <v>306</v>
      </c>
      <c r="U133" s="11" t="s">
        <v>307</v>
      </c>
      <c r="V133" s="11" t="s">
        <v>308</v>
      </c>
      <c r="W133" s="11" t="s">
        <v>309</v>
      </c>
      <c r="X133" s="11" t="s">
        <v>310</v>
      </c>
      <c r="Y133" s="12" t="s">
        <v>311</v>
      </c>
    </row>
    <row r="134" customFormat="false" ht="32.8" hidden="false" customHeight="false" outlineLevel="0" collapsed="false">
      <c r="A134" s="10" t="s">
        <v>579</v>
      </c>
      <c r="B134" s="11" t="s">
        <v>159</v>
      </c>
      <c r="C134" s="11" t="s">
        <v>162</v>
      </c>
      <c r="D134" s="11" t="s">
        <v>163</v>
      </c>
      <c r="E134" s="11" t="s">
        <v>68</v>
      </c>
      <c r="F134" s="11" t="s">
        <v>322</v>
      </c>
      <c r="G134" s="11" t="s">
        <v>323</v>
      </c>
      <c r="H134" s="11" t="s">
        <v>301</v>
      </c>
      <c r="I134" s="11" t="s">
        <v>580</v>
      </c>
      <c r="J134" s="11" t="s">
        <v>581</v>
      </c>
      <c r="K134" s="11" t="n">
        <v>10</v>
      </c>
      <c r="L134" s="11" t="s">
        <v>304</v>
      </c>
      <c r="M134" s="11" t="n">
        <v>10</v>
      </c>
      <c r="N134" s="11" t="s">
        <v>304</v>
      </c>
      <c r="O134" s="11" t="n">
        <v>10</v>
      </c>
      <c r="P134" s="11" t="s">
        <v>304</v>
      </c>
      <c r="Q134" s="11" t="n">
        <v>0</v>
      </c>
      <c r="R134" s="11" t="n">
        <v>0</v>
      </c>
      <c r="S134" s="11" t="s">
        <v>305</v>
      </c>
      <c r="T134" s="11" t="s">
        <v>306</v>
      </c>
      <c r="U134" s="11" t="s">
        <v>307</v>
      </c>
      <c r="V134" s="11" t="s">
        <v>308</v>
      </c>
      <c r="W134" s="11" t="s">
        <v>309</v>
      </c>
      <c r="X134" s="11" t="s">
        <v>310</v>
      </c>
      <c r="Y134" s="12" t="s">
        <v>311</v>
      </c>
    </row>
    <row r="135" customFormat="false" ht="32.8" hidden="false" customHeight="false" outlineLevel="0" collapsed="false">
      <c r="A135" s="10" t="s">
        <v>582</v>
      </c>
      <c r="B135" s="11" t="s">
        <v>159</v>
      </c>
      <c r="C135" s="11" t="s">
        <v>162</v>
      </c>
      <c r="D135" s="11" t="s">
        <v>163</v>
      </c>
      <c r="E135" s="11" t="s">
        <v>68</v>
      </c>
      <c r="F135" s="11" t="s">
        <v>583</v>
      </c>
      <c r="G135" s="11" t="s">
        <v>584</v>
      </c>
      <c r="H135" s="11" t="s">
        <v>301</v>
      </c>
      <c r="I135" s="11" t="s">
        <v>580</v>
      </c>
      <c r="J135" s="11" t="s">
        <v>581</v>
      </c>
      <c r="K135" s="11" t="n">
        <v>5</v>
      </c>
      <c r="L135" s="11" t="s">
        <v>304</v>
      </c>
      <c r="M135" s="11" t="n">
        <v>3</v>
      </c>
      <c r="N135" s="11" t="s">
        <v>304</v>
      </c>
      <c r="O135" s="11" t="n">
        <v>3</v>
      </c>
      <c r="P135" s="11" t="s">
        <v>304</v>
      </c>
      <c r="Q135" s="11" t="n">
        <v>2</v>
      </c>
      <c r="R135" s="11" t="n">
        <v>0</v>
      </c>
      <c r="S135" s="11" t="s">
        <v>305</v>
      </c>
      <c r="T135" s="11" t="s">
        <v>306</v>
      </c>
      <c r="U135" s="11" t="s">
        <v>307</v>
      </c>
      <c r="V135" s="11" t="s">
        <v>308</v>
      </c>
      <c r="W135" s="11" t="s">
        <v>309</v>
      </c>
      <c r="X135" s="11" t="s">
        <v>310</v>
      </c>
      <c r="Y135" s="12" t="s">
        <v>311</v>
      </c>
    </row>
    <row r="136" customFormat="false" ht="32.8" hidden="false" customHeight="false" outlineLevel="0" collapsed="false">
      <c r="A136" s="10" t="s">
        <v>585</v>
      </c>
      <c r="B136" s="11" t="s">
        <v>159</v>
      </c>
      <c r="C136" s="11" t="s">
        <v>162</v>
      </c>
      <c r="D136" s="11" t="s">
        <v>163</v>
      </c>
      <c r="E136" s="11" t="s">
        <v>68</v>
      </c>
      <c r="F136" s="11" t="s">
        <v>330</v>
      </c>
      <c r="G136" s="11" t="s">
        <v>331</v>
      </c>
      <c r="H136" s="11" t="s">
        <v>301</v>
      </c>
      <c r="I136" s="11" t="s">
        <v>580</v>
      </c>
      <c r="J136" s="11" t="s">
        <v>581</v>
      </c>
      <c r="K136" s="11" t="n">
        <v>2.3</v>
      </c>
      <c r="L136" s="11" t="s">
        <v>304</v>
      </c>
      <c r="M136" s="11" t="n">
        <v>2</v>
      </c>
      <c r="N136" s="11" t="s">
        <v>304</v>
      </c>
      <c r="O136" s="11" t="n">
        <v>2</v>
      </c>
      <c r="P136" s="11" t="s">
        <v>304</v>
      </c>
      <c r="Q136" s="11" t="n">
        <v>0.3</v>
      </c>
      <c r="R136" s="11" t="n">
        <v>0</v>
      </c>
      <c r="S136" s="11" t="s">
        <v>305</v>
      </c>
      <c r="T136" s="11" t="s">
        <v>306</v>
      </c>
      <c r="U136" s="11" t="s">
        <v>307</v>
      </c>
      <c r="V136" s="11" t="s">
        <v>308</v>
      </c>
      <c r="W136" s="11" t="s">
        <v>309</v>
      </c>
      <c r="X136" s="11" t="s">
        <v>310</v>
      </c>
      <c r="Y136" s="12" t="s">
        <v>311</v>
      </c>
    </row>
    <row r="137" customFormat="false" ht="32.8" hidden="false" customHeight="false" outlineLevel="0" collapsed="false">
      <c r="A137" s="10" t="s">
        <v>586</v>
      </c>
      <c r="B137" s="11" t="s">
        <v>159</v>
      </c>
      <c r="C137" s="11" t="s">
        <v>162</v>
      </c>
      <c r="D137" s="11" t="s">
        <v>163</v>
      </c>
      <c r="E137" s="11" t="s">
        <v>68</v>
      </c>
      <c r="F137" s="11" t="s">
        <v>587</v>
      </c>
      <c r="G137" s="11" t="s">
        <v>588</v>
      </c>
      <c r="H137" s="11" t="s">
        <v>301</v>
      </c>
      <c r="I137" s="11" t="s">
        <v>580</v>
      </c>
      <c r="J137" s="11" t="s">
        <v>581</v>
      </c>
      <c r="K137" s="11" t="n">
        <v>5</v>
      </c>
      <c r="L137" s="11" t="s">
        <v>304</v>
      </c>
      <c r="M137" s="11" t="n">
        <v>5</v>
      </c>
      <c r="N137" s="11" t="s">
        <v>304</v>
      </c>
      <c r="O137" s="11" t="n">
        <v>5</v>
      </c>
      <c r="P137" s="11" t="s">
        <v>304</v>
      </c>
      <c r="Q137" s="11" t="n">
        <v>0</v>
      </c>
      <c r="R137" s="11" t="n">
        <v>0</v>
      </c>
      <c r="S137" s="11" t="s">
        <v>305</v>
      </c>
      <c r="T137" s="11" t="s">
        <v>306</v>
      </c>
      <c r="U137" s="11" t="s">
        <v>307</v>
      </c>
      <c r="V137" s="11" t="s">
        <v>308</v>
      </c>
      <c r="W137" s="11" t="s">
        <v>309</v>
      </c>
      <c r="X137" s="11" t="s">
        <v>310</v>
      </c>
      <c r="Y137" s="12" t="s">
        <v>311</v>
      </c>
    </row>
    <row r="138" customFormat="false" ht="32.8" hidden="false" customHeight="false" outlineLevel="0" collapsed="false">
      <c r="A138" s="10" t="s">
        <v>589</v>
      </c>
      <c r="B138" s="11" t="s">
        <v>165</v>
      </c>
      <c r="C138" s="11" t="s">
        <v>168</v>
      </c>
      <c r="D138" s="11" t="s">
        <v>169</v>
      </c>
      <c r="E138" s="11" t="s">
        <v>68</v>
      </c>
      <c r="F138" s="11" t="s">
        <v>489</v>
      </c>
      <c r="G138" s="11" t="s">
        <v>490</v>
      </c>
      <c r="H138" s="11" t="s">
        <v>301</v>
      </c>
      <c r="I138" s="11" t="s">
        <v>590</v>
      </c>
      <c r="J138" s="11" t="s">
        <v>591</v>
      </c>
      <c r="K138" s="11" t="n">
        <v>58</v>
      </c>
      <c r="L138" s="11" t="s">
        <v>304</v>
      </c>
      <c r="M138" s="11" t="n">
        <v>52</v>
      </c>
      <c r="N138" s="11" t="s">
        <v>304</v>
      </c>
      <c r="O138" s="11" t="n">
        <v>50</v>
      </c>
      <c r="P138" s="11" t="s">
        <v>304</v>
      </c>
      <c r="Q138" s="11" t="n">
        <v>6</v>
      </c>
      <c r="R138" s="11" t="n">
        <v>2</v>
      </c>
      <c r="S138" s="11" t="s">
        <v>305</v>
      </c>
      <c r="T138" s="11" t="s">
        <v>306</v>
      </c>
      <c r="U138" s="11" t="s">
        <v>307</v>
      </c>
      <c r="V138" s="11" t="s">
        <v>308</v>
      </c>
      <c r="W138" s="11" t="s">
        <v>309</v>
      </c>
      <c r="X138" s="11" t="s">
        <v>310</v>
      </c>
      <c r="Y138" s="12" t="s">
        <v>311</v>
      </c>
    </row>
    <row r="139" customFormat="false" ht="32.8" hidden="false" customHeight="false" outlineLevel="0" collapsed="false">
      <c r="A139" s="10" t="s">
        <v>592</v>
      </c>
      <c r="B139" s="11" t="s">
        <v>165</v>
      </c>
      <c r="C139" s="11" t="s">
        <v>168</v>
      </c>
      <c r="D139" s="11" t="s">
        <v>169</v>
      </c>
      <c r="E139" s="11" t="s">
        <v>68</v>
      </c>
      <c r="F139" s="11" t="s">
        <v>593</v>
      </c>
      <c r="G139" s="11" t="s">
        <v>594</v>
      </c>
      <c r="H139" s="11" t="s">
        <v>301</v>
      </c>
      <c r="I139" s="11" t="s">
        <v>590</v>
      </c>
      <c r="J139" s="11" t="s">
        <v>591</v>
      </c>
      <c r="K139" s="11" t="n">
        <v>48</v>
      </c>
      <c r="L139" s="11" t="s">
        <v>304</v>
      </c>
      <c r="M139" s="11" t="n">
        <v>42</v>
      </c>
      <c r="N139" s="11" t="s">
        <v>304</v>
      </c>
      <c r="O139" s="11" t="n">
        <v>40</v>
      </c>
      <c r="P139" s="11" t="s">
        <v>304</v>
      </c>
      <c r="Q139" s="11" t="n">
        <v>6</v>
      </c>
      <c r="R139" s="11" t="n">
        <v>2</v>
      </c>
      <c r="S139" s="11" t="s">
        <v>305</v>
      </c>
      <c r="T139" s="11" t="s">
        <v>306</v>
      </c>
      <c r="U139" s="11" t="s">
        <v>307</v>
      </c>
      <c r="V139" s="11" t="s">
        <v>308</v>
      </c>
      <c r="W139" s="11" t="s">
        <v>309</v>
      </c>
      <c r="X139" s="11" t="s">
        <v>310</v>
      </c>
      <c r="Y139" s="12" t="s">
        <v>311</v>
      </c>
    </row>
    <row r="140" customFormat="false" ht="32.8" hidden="false" customHeight="false" outlineLevel="0" collapsed="false">
      <c r="A140" s="10" t="s">
        <v>595</v>
      </c>
      <c r="B140" s="11" t="s">
        <v>165</v>
      </c>
      <c r="C140" s="11" t="s">
        <v>168</v>
      </c>
      <c r="D140" s="11" t="s">
        <v>169</v>
      </c>
      <c r="E140" s="11" t="s">
        <v>68</v>
      </c>
      <c r="F140" s="11" t="s">
        <v>463</v>
      </c>
      <c r="G140" s="11" t="s">
        <v>464</v>
      </c>
      <c r="H140" s="11" t="s">
        <v>301</v>
      </c>
      <c r="I140" s="11" t="s">
        <v>590</v>
      </c>
      <c r="J140" s="11" t="s">
        <v>591</v>
      </c>
      <c r="K140" s="11" t="n">
        <v>44</v>
      </c>
      <c r="L140" s="11" t="s">
        <v>304</v>
      </c>
      <c r="M140" s="11" t="n">
        <v>40</v>
      </c>
      <c r="N140" s="11" t="s">
        <v>304</v>
      </c>
      <c r="O140" s="11" t="n">
        <v>40</v>
      </c>
      <c r="P140" s="11" t="s">
        <v>304</v>
      </c>
      <c r="Q140" s="11" t="n">
        <v>4</v>
      </c>
      <c r="R140" s="11" t="n">
        <v>0</v>
      </c>
      <c r="S140" s="11" t="s">
        <v>305</v>
      </c>
      <c r="T140" s="11" t="s">
        <v>306</v>
      </c>
      <c r="U140" s="11" t="s">
        <v>307</v>
      </c>
      <c r="V140" s="11" t="s">
        <v>308</v>
      </c>
      <c r="W140" s="11" t="s">
        <v>309</v>
      </c>
      <c r="X140" s="11" t="s">
        <v>310</v>
      </c>
      <c r="Y140" s="12" t="s">
        <v>311</v>
      </c>
    </row>
    <row r="141" customFormat="false" ht="32.8" hidden="false" customHeight="false" outlineLevel="0" collapsed="false">
      <c r="A141" s="10" t="s">
        <v>596</v>
      </c>
      <c r="B141" s="11" t="s">
        <v>165</v>
      </c>
      <c r="C141" s="11" t="s">
        <v>168</v>
      </c>
      <c r="D141" s="11" t="s">
        <v>169</v>
      </c>
      <c r="E141" s="11" t="s">
        <v>68</v>
      </c>
      <c r="F141" s="11" t="s">
        <v>509</v>
      </c>
      <c r="G141" s="11" t="s">
        <v>510</v>
      </c>
      <c r="H141" s="11" t="s">
        <v>301</v>
      </c>
      <c r="I141" s="11" t="s">
        <v>590</v>
      </c>
      <c r="J141" s="11" t="s">
        <v>591</v>
      </c>
      <c r="K141" s="11" t="n">
        <v>36</v>
      </c>
      <c r="L141" s="11" t="s">
        <v>304</v>
      </c>
      <c r="M141" s="11" t="n">
        <v>31</v>
      </c>
      <c r="N141" s="11" t="s">
        <v>304</v>
      </c>
      <c r="O141" s="11" t="n">
        <v>30</v>
      </c>
      <c r="P141" s="11" t="s">
        <v>304</v>
      </c>
      <c r="Q141" s="11" t="n">
        <v>5</v>
      </c>
      <c r="R141" s="11" t="n">
        <v>1</v>
      </c>
      <c r="S141" s="11" t="s">
        <v>305</v>
      </c>
      <c r="T141" s="11" t="s">
        <v>306</v>
      </c>
      <c r="U141" s="11" t="s">
        <v>307</v>
      </c>
      <c r="V141" s="11" t="s">
        <v>308</v>
      </c>
      <c r="W141" s="11" t="s">
        <v>309</v>
      </c>
      <c r="X141" s="11" t="s">
        <v>310</v>
      </c>
      <c r="Y141" s="12" t="s">
        <v>311</v>
      </c>
    </row>
    <row r="142" customFormat="false" ht="32.8" hidden="false" customHeight="false" outlineLevel="0" collapsed="false">
      <c r="A142" s="10" t="s">
        <v>597</v>
      </c>
      <c r="B142" s="11" t="s">
        <v>165</v>
      </c>
      <c r="C142" s="11" t="s">
        <v>168</v>
      </c>
      <c r="D142" s="11" t="s">
        <v>169</v>
      </c>
      <c r="E142" s="11" t="s">
        <v>68</v>
      </c>
      <c r="F142" s="11" t="s">
        <v>598</v>
      </c>
      <c r="G142" s="11" t="s">
        <v>599</v>
      </c>
      <c r="H142" s="11" t="s">
        <v>301</v>
      </c>
      <c r="I142" s="11" t="s">
        <v>580</v>
      </c>
      <c r="J142" s="11" t="s">
        <v>600</v>
      </c>
      <c r="K142" s="11" t="n">
        <v>5</v>
      </c>
      <c r="L142" s="11" t="s">
        <v>304</v>
      </c>
      <c r="M142" s="11" t="n">
        <v>5</v>
      </c>
      <c r="N142" s="11" t="s">
        <v>304</v>
      </c>
      <c r="O142" s="11" t="n">
        <v>5</v>
      </c>
      <c r="P142" s="11" t="s">
        <v>304</v>
      </c>
      <c r="Q142" s="11" t="n">
        <v>0</v>
      </c>
      <c r="R142" s="11" t="n">
        <v>0</v>
      </c>
      <c r="S142" s="11" t="s">
        <v>305</v>
      </c>
      <c r="T142" s="11" t="s">
        <v>306</v>
      </c>
      <c r="U142" s="11" t="s">
        <v>307</v>
      </c>
      <c r="V142" s="11" t="s">
        <v>308</v>
      </c>
      <c r="W142" s="11" t="s">
        <v>309</v>
      </c>
      <c r="X142" s="11" t="s">
        <v>310</v>
      </c>
      <c r="Y142" s="12" t="s">
        <v>311</v>
      </c>
    </row>
    <row r="143" customFormat="false" ht="32.8" hidden="false" customHeight="false" outlineLevel="0" collapsed="false">
      <c r="A143" s="10" t="s">
        <v>601</v>
      </c>
      <c r="B143" s="11" t="s">
        <v>165</v>
      </c>
      <c r="C143" s="11" t="s">
        <v>168</v>
      </c>
      <c r="D143" s="11" t="s">
        <v>169</v>
      </c>
      <c r="E143" s="11" t="s">
        <v>68</v>
      </c>
      <c r="F143" s="11" t="s">
        <v>452</v>
      </c>
      <c r="G143" s="11" t="s">
        <v>453</v>
      </c>
      <c r="H143" s="11" t="s">
        <v>301</v>
      </c>
      <c r="I143" s="11" t="s">
        <v>580</v>
      </c>
      <c r="J143" s="11" t="s">
        <v>600</v>
      </c>
      <c r="K143" s="11" t="n">
        <v>4</v>
      </c>
      <c r="L143" s="11" t="s">
        <v>304</v>
      </c>
      <c r="M143" s="11" t="n">
        <v>4</v>
      </c>
      <c r="N143" s="11" t="s">
        <v>304</v>
      </c>
      <c r="O143" s="11" t="n">
        <v>4</v>
      </c>
      <c r="P143" s="11" t="s">
        <v>304</v>
      </c>
      <c r="Q143" s="11" t="n">
        <v>0</v>
      </c>
      <c r="R143" s="11" t="n">
        <v>0</v>
      </c>
      <c r="S143" s="11" t="s">
        <v>305</v>
      </c>
      <c r="T143" s="11" t="s">
        <v>306</v>
      </c>
      <c r="U143" s="11" t="s">
        <v>307</v>
      </c>
      <c r="V143" s="11" t="s">
        <v>308</v>
      </c>
      <c r="W143" s="11" t="s">
        <v>309</v>
      </c>
      <c r="X143" s="11" t="s">
        <v>310</v>
      </c>
      <c r="Y143" s="12" t="s">
        <v>311</v>
      </c>
    </row>
    <row r="144" customFormat="false" ht="32.8" hidden="false" customHeight="false" outlineLevel="0" collapsed="false">
      <c r="A144" s="10" t="s">
        <v>602</v>
      </c>
      <c r="B144" s="11" t="s">
        <v>165</v>
      </c>
      <c r="C144" s="11" t="s">
        <v>168</v>
      </c>
      <c r="D144" s="11" t="s">
        <v>169</v>
      </c>
      <c r="E144" s="11" t="s">
        <v>68</v>
      </c>
      <c r="F144" s="11" t="s">
        <v>319</v>
      </c>
      <c r="G144" s="11" t="s">
        <v>320</v>
      </c>
      <c r="H144" s="11" t="s">
        <v>301</v>
      </c>
      <c r="I144" s="11" t="s">
        <v>580</v>
      </c>
      <c r="J144" s="11" t="s">
        <v>600</v>
      </c>
      <c r="K144" s="11" t="n">
        <v>2</v>
      </c>
      <c r="L144" s="11" t="s">
        <v>304</v>
      </c>
      <c r="M144" s="11" t="n">
        <v>2</v>
      </c>
      <c r="N144" s="11" t="s">
        <v>304</v>
      </c>
      <c r="O144" s="11" t="n">
        <v>2</v>
      </c>
      <c r="P144" s="11" t="s">
        <v>304</v>
      </c>
      <c r="Q144" s="11" t="n">
        <v>0</v>
      </c>
      <c r="R144" s="11" t="n">
        <v>0</v>
      </c>
      <c r="S144" s="11" t="s">
        <v>305</v>
      </c>
      <c r="T144" s="11" t="s">
        <v>306</v>
      </c>
      <c r="U144" s="11" t="s">
        <v>307</v>
      </c>
      <c r="V144" s="11" t="s">
        <v>308</v>
      </c>
      <c r="W144" s="11" t="s">
        <v>309</v>
      </c>
      <c r="X144" s="11" t="s">
        <v>310</v>
      </c>
      <c r="Y144" s="12" t="s">
        <v>311</v>
      </c>
    </row>
    <row r="145" customFormat="false" ht="32.8" hidden="false" customHeight="false" outlineLevel="0" collapsed="false">
      <c r="A145" s="10" t="s">
        <v>603</v>
      </c>
      <c r="B145" s="11" t="s">
        <v>165</v>
      </c>
      <c r="C145" s="11" t="s">
        <v>168</v>
      </c>
      <c r="D145" s="11" t="s">
        <v>169</v>
      </c>
      <c r="E145" s="11" t="s">
        <v>68</v>
      </c>
      <c r="F145" s="11" t="s">
        <v>313</v>
      </c>
      <c r="G145" s="11" t="s">
        <v>314</v>
      </c>
      <c r="H145" s="11" t="s">
        <v>301</v>
      </c>
      <c r="I145" s="11" t="s">
        <v>580</v>
      </c>
      <c r="J145" s="11" t="s">
        <v>600</v>
      </c>
      <c r="K145" s="11" t="n">
        <v>4</v>
      </c>
      <c r="L145" s="11" t="s">
        <v>304</v>
      </c>
      <c r="M145" s="11" t="n">
        <v>4</v>
      </c>
      <c r="N145" s="11" t="s">
        <v>304</v>
      </c>
      <c r="O145" s="11" t="n">
        <v>4</v>
      </c>
      <c r="P145" s="11" t="s">
        <v>304</v>
      </c>
      <c r="Q145" s="11" t="n">
        <v>0</v>
      </c>
      <c r="R145" s="11" t="n">
        <v>0</v>
      </c>
      <c r="S145" s="11" t="s">
        <v>305</v>
      </c>
      <c r="T145" s="11" t="s">
        <v>306</v>
      </c>
      <c r="U145" s="11" t="s">
        <v>307</v>
      </c>
      <c r="V145" s="11" t="s">
        <v>308</v>
      </c>
      <c r="W145" s="11" t="s">
        <v>309</v>
      </c>
      <c r="X145" s="11" t="s">
        <v>310</v>
      </c>
      <c r="Y145" s="12" t="s">
        <v>311</v>
      </c>
    </row>
    <row r="146" customFormat="false" ht="32.8" hidden="false" customHeight="false" outlineLevel="0" collapsed="false">
      <c r="A146" s="10" t="s">
        <v>604</v>
      </c>
      <c r="B146" s="11" t="s">
        <v>165</v>
      </c>
      <c r="C146" s="11" t="s">
        <v>168</v>
      </c>
      <c r="D146" s="11" t="s">
        <v>169</v>
      </c>
      <c r="E146" s="11" t="s">
        <v>68</v>
      </c>
      <c r="F146" s="11" t="s">
        <v>437</v>
      </c>
      <c r="G146" s="11" t="s">
        <v>438</v>
      </c>
      <c r="H146" s="11" t="s">
        <v>301</v>
      </c>
      <c r="I146" s="11" t="s">
        <v>580</v>
      </c>
      <c r="J146" s="11" t="s">
        <v>600</v>
      </c>
      <c r="K146" s="11" t="n">
        <v>5</v>
      </c>
      <c r="L146" s="11" t="s">
        <v>304</v>
      </c>
      <c r="M146" s="11" t="n">
        <v>5</v>
      </c>
      <c r="N146" s="11" t="s">
        <v>304</v>
      </c>
      <c r="O146" s="11" t="n">
        <v>5</v>
      </c>
      <c r="P146" s="11" t="s">
        <v>304</v>
      </c>
      <c r="Q146" s="11" t="n">
        <v>0</v>
      </c>
      <c r="R146" s="11" t="n">
        <v>0</v>
      </c>
      <c r="S146" s="11" t="s">
        <v>305</v>
      </c>
      <c r="T146" s="11" t="s">
        <v>306</v>
      </c>
      <c r="U146" s="11" t="s">
        <v>307</v>
      </c>
      <c r="V146" s="11" t="s">
        <v>308</v>
      </c>
      <c r="W146" s="11" t="s">
        <v>309</v>
      </c>
      <c r="X146" s="11" t="s">
        <v>310</v>
      </c>
      <c r="Y146" s="12" t="s">
        <v>311</v>
      </c>
    </row>
    <row r="147" customFormat="false" ht="32.8" hidden="false" customHeight="false" outlineLevel="0" collapsed="false">
      <c r="A147" s="10" t="s">
        <v>605</v>
      </c>
      <c r="B147" s="11" t="s">
        <v>171</v>
      </c>
      <c r="C147" s="11" t="s">
        <v>173</v>
      </c>
      <c r="D147" s="11" t="s">
        <v>174</v>
      </c>
      <c r="E147" s="11" t="s">
        <v>68</v>
      </c>
      <c r="F147" s="11" t="s">
        <v>606</v>
      </c>
      <c r="G147" s="11" t="s">
        <v>607</v>
      </c>
      <c r="H147" s="11" t="s">
        <v>301</v>
      </c>
      <c r="I147" s="11" t="s">
        <v>339</v>
      </c>
      <c r="J147" s="11"/>
      <c r="K147" s="11" t="n">
        <v>115</v>
      </c>
      <c r="L147" s="11" t="s">
        <v>304</v>
      </c>
      <c r="M147" s="11" t="n">
        <v>110</v>
      </c>
      <c r="N147" s="11" t="s">
        <v>304</v>
      </c>
      <c r="O147" s="11" t="n">
        <v>110</v>
      </c>
      <c r="P147" s="11" t="s">
        <v>304</v>
      </c>
      <c r="Q147" s="11" t="n">
        <v>5</v>
      </c>
      <c r="R147" s="11" t="n">
        <v>0</v>
      </c>
      <c r="S147" s="11" t="s">
        <v>305</v>
      </c>
      <c r="T147" s="11" t="s">
        <v>306</v>
      </c>
      <c r="U147" s="11" t="s">
        <v>307</v>
      </c>
      <c r="V147" s="11" t="s">
        <v>308</v>
      </c>
      <c r="W147" s="11" t="s">
        <v>309</v>
      </c>
      <c r="X147" s="11" t="s">
        <v>310</v>
      </c>
      <c r="Y147" s="12" t="s">
        <v>311</v>
      </c>
    </row>
    <row r="148" customFormat="false" ht="32.8" hidden="false" customHeight="false" outlineLevel="0" collapsed="false">
      <c r="A148" s="10" t="s">
        <v>608</v>
      </c>
      <c r="B148" s="11" t="s">
        <v>171</v>
      </c>
      <c r="C148" s="11" t="s">
        <v>173</v>
      </c>
      <c r="D148" s="11" t="s">
        <v>174</v>
      </c>
      <c r="E148" s="11" t="s">
        <v>68</v>
      </c>
      <c r="F148" s="11" t="s">
        <v>518</v>
      </c>
      <c r="G148" s="11" t="s">
        <v>519</v>
      </c>
      <c r="H148" s="11" t="s">
        <v>301</v>
      </c>
      <c r="I148" s="11" t="s">
        <v>339</v>
      </c>
      <c r="J148" s="11"/>
      <c r="K148" s="11" t="n">
        <v>24</v>
      </c>
      <c r="L148" s="11" t="s">
        <v>304</v>
      </c>
      <c r="M148" s="11" t="n">
        <v>20</v>
      </c>
      <c r="N148" s="11" t="s">
        <v>304</v>
      </c>
      <c r="O148" s="11" t="n">
        <v>20</v>
      </c>
      <c r="P148" s="11" t="s">
        <v>304</v>
      </c>
      <c r="Q148" s="11" t="n">
        <v>4</v>
      </c>
      <c r="R148" s="11" t="n">
        <v>0</v>
      </c>
      <c r="S148" s="11" t="s">
        <v>305</v>
      </c>
      <c r="T148" s="11" t="s">
        <v>306</v>
      </c>
      <c r="U148" s="11" t="s">
        <v>307</v>
      </c>
      <c r="V148" s="11" t="s">
        <v>308</v>
      </c>
      <c r="W148" s="11" t="s">
        <v>309</v>
      </c>
      <c r="X148" s="11" t="s">
        <v>310</v>
      </c>
      <c r="Y148" s="12" t="s">
        <v>311</v>
      </c>
    </row>
    <row r="149" customFormat="false" ht="32.8" hidden="false" customHeight="false" outlineLevel="0" collapsed="false">
      <c r="A149" s="10" t="s">
        <v>609</v>
      </c>
      <c r="B149" s="11" t="s">
        <v>171</v>
      </c>
      <c r="C149" s="11" t="s">
        <v>173</v>
      </c>
      <c r="D149" s="11" t="s">
        <v>174</v>
      </c>
      <c r="E149" s="11" t="s">
        <v>68</v>
      </c>
      <c r="F149" s="11" t="s">
        <v>610</v>
      </c>
      <c r="G149" s="11" t="s">
        <v>611</v>
      </c>
      <c r="H149" s="11" t="s">
        <v>301</v>
      </c>
      <c r="I149" s="11" t="s">
        <v>612</v>
      </c>
      <c r="J149" s="11" t="s">
        <v>613</v>
      </c>
      <c r="K149" s="11" t="n">
        <v>34</v>
      </c>
      <c r="L149" s="11" t="s">
        <v>304</v>
      </c>
      <c r="M149" s="11" t="n">
        <v>32</v>
      </c>
      <c r="N149" s="11" t="s">
        <v>304</v>
      </c>
      <c r="O149" s="11" t="n">
        <v>30</v>
      </c>
      <c r="P149" s="11" t="s">
        <v>304</v>
      </c>
      <c r="Q149" s="11" t="n">
        <v>2</v>
      </c>
      <c r="R149" s="11" t="n">
        <v>2</v>
      </c>
      <c r="S149" s="11" t="s">
        <v>305</v>
      </c>
      <c r="T149" s="11" t="s">
        <v>306</v>
      </c>
      <c r="U149" s="11" t="s">
        <v>307</v>
      </c>
      <c r="V149" s="11" t="s">
        <v>308</v>
      </c>
      <c r="W149" s="11" t="s">
        <v>309</v>
      </c>
      <c r="X149" s="11" t="s">
        <v>310</v>
      </c>
      <c r="Y149" s="12" t="s">
        <v>311</v>
      </c>
    </row>
    <row r="150" customFormat="false" ht="32.8" hidden="false" customHeight="false" outlineLevel="0" collapsed="false">
      <c r="A150" s="10" t="s">
        <v>614</v>
      </c>
      <c r="B150" s="11" t="s">
        <v>171</v>
      </c>
      <c r="C150" s="11" t="s">
        <v>173</v>
      </c>
      <c r="D150" s="11" t="s">
        <v>174</v>
      </c>
      <c r="E150" s="11" t="s">
        <v>68</v>
      </c>
      <c r="F150" s="11" t="s">
        <v>437</v>
      </c>
      <c r="G150" s="11" t="s">
        <v>438</v>
      </c>
      <c r="H150" s="11" t="s">
        <v>301</v>
      </c>
      <c r="I150" s="11" t="s">
        <v>612</v>
      </c>
      <c r="J150" s="11" t="s">
        <v>613</v>
      </c>
      <c r="K150" s="11" t="n">
        <v>3</v>
      </c>
      <c r="L150" s="11" t="s">
        <v>304</v>
      </c>
      <c r="M150" s="11" t="n">
        <v>3</v>
      </c>
      <c r="N150" s="11" t="s">
        <v>304</v>
      </c>
      <c r="O150" s="11" t="n">
        <v>3</v>
      </c>
      <c r="P150" s="11" t="s">
        <v>304</v>
      </c>
      <c r="Q150" s="11" t="n">
        <v>0</v>
      </c>
      <c r="R150" s="11" t="n">
        <v>0</v>
      </c>
      <c r="S150" s="11" t="s">
        <v>305</v>
      </c>
      <c r="T150" s="11" t="s">
        <v>306</v>
      </c>
      <c r="U150" s="11" t="s">
        <v>307</v>
      </c>
      <c r="V150" s="11" t="s">
        <v>308</v>
      </c>
      <c r="W150" s="11" t="s">
        <v>309</v>
      </c>
      <c r="X150" s="11" t="s">
        <v>310</v>
      </c>
      <c r="Y150" s="12" t="s">
        <v>311</v>
      </c>
    </row>
    <row r="151" customFormat="false" ht="32.8" hidden="false" customHeight="false" outlineLevel="0" collapsed="false">
      <c r="A151" s="10" t="s">
        <v>615</v>
      </c>
      <c r="B151" s="11" t="s">
        <v>171</v>
      </c>
      <c r="C151" s="11" t="s">
        <v>173</v>
      </c>
      <c r="D151" s="11" t="s">
        <v>174</v>
      </c>
      <c r="E151" s="11" t="s">
        <v>68</v>
      </c>
      <c r="F151" s="11" t="s">
        <v>500</v>
      </c>
      <c r="G151" s="11" t="s">
        <v>501</v>
      </c>
      <c r="H151" s="11" t="s">
        <v>301</v>
      </c>
      <c r="I151" s="11" t="s">
        <v>327</v>
      </c>
      <c r="J151" s="11" t="s">
        <v>616</v>
      </c>
      <c r="K151" s="11" t="n">
        <v>5</v>
      </c>
      <c r="L151" s="11" t="s">
        <v>304</v>
      </c>
      <c r="M151" s="11" t="n">
        <v>5</v>
      </c>
      <c r="N151" s="11" t="s">
        <v>304</v>
      </c>
      <c r="O151" s="11" t="n">
        <v>5</v>
      </c>
      <c r="P151" s="11" t="s">
        <v>304</v>
      </c>
      <c r="Q151" s="11" t="n">
        <v>0</v>
      </c>
      <c r="R151" s="11" t="n">
        <v>0</v>
      </c>
      <c r="S151" s="11" t="s">
        <v>305</v>
      </c>
      <c r="T151" s="11" t="s">
        <v>306</v>
      </c>
      <c r="U151" s="11" t="s">
        <v>307</v>
      </c>
      <c r="V151" s="11" t="s">
        <v>308</v>
      </c>
      <c r="W151" s="11" t="s">
        <v>309</v>
      </c>
      <c r="X151" s="11" t="s">
        <v>310</v>
      </c>
      <c r="Y151" s="12" t="s">
        <v>311</v>
      </c>
    </row>
    <row r="152" customFormat="false" ht="32.8" hidden="false" customHeight="false" outlineLevel="0" collapsed="false">
      <c r="A152" s="10" t="s">
        <v>617</v>
      </c>
      <c r="B152" s="11" t="s">
        <v>171</v>
      </c>
      <c r="C152" s="11" t="s">
        <v>173</v>
      </c>
      <c r="D152" s="11" t="s">
        <v>174</v>
      </c>
      <c r="E152" s="11" t="s">
        <v>68</v>
      </c>
      <c r="F152" s="11" t="s">
        <v>618</v>
      </c>
      <c r="G152" s="11" t="s">
        <v>619</v>
      </c>
      <c r="H152" s="11" t="s">
        <v>301</v>
      </c>
      <c r="I152" s="11" t="s">
        <v>327</v>
      </c>
      <c r="J152" s="11" t="s">
        <v>616</v>
      </c>
      <c r="K152" s="11" t="n">
        <v>7</v>
      </c>
      <c r="L152" s="11" t="s">
        <v>304</v>
      </c>
      <c r="M152" s="11" t="n">
        <v>7</v>
      </c>
      <c r="N152" s="11" t="s">
        <v>304</v>
      </c>
      <c r="O152" s="11" t="n">
        <v>7</v>
      </c>
      <c r="P152" s="11" t="s">
        <v>304</v>
      </c>
      <c r="Q152" s="11" t="n">
        <v>0</v>
      </c>
      <c r="R152" s="11" t="n">
        <v>0</v>
      </c>
      <c r="S152" s="11" t="s">
        <v>305</v>
      </c>
      <c r="T152" s="11" t="s">
        <v>306</v>
      </c>
      <c r="U152" s="11" t="s">
        <v>307</v>
      </c>
      <c r="V152" s="11" t="s">
        <v>308</v>
      </c>
      <c r="W152" s="11" t="s">
        <v>309</v>
      </c>
      <c r="X152" s="11" t="s">
        <v>310</v>
      </c>
      <c r="Y152" s="12" t="s">
        <v>311</v>
      </c>
    </row>
    <row r="153" customFormat="false" ht="32.8" hidden="false" customHeight="false" outlineLevel="0" collapsed="false">
      <c r="A153" s="10" t="s">
        <v>620</v>
      </c>
      <c r="B153" s="11" t="s">
        <v>171</v>
      </c>
      <c r="C153" s="11" t="s">
        <v>173</v>
      </c>
      <c r="D153" s="11" t="s">
        <v>174</v>
      </c>
      <c r="E153" s="11" t="s">
        <v>68</v>
      </c>
      <c r="F153" s="11" t="s">
        <v>621</v>
      </c>
      <c r="G153" s="11" t="s">
        <v>622</v>
      </c>
      <c r="H153" s="11" t="s">
        <v>301</v>
      </c>
      <c r="I153" s="11" t="s">
        <v>327</v>
      </c>
      <c r="J153" s="11" t="s">
        <v>616</v>
      </c>
      <c r="K153" s="11" t="n">
        <v>3</v>
      </c>
      <c r="L153" s="11" t="s">
        <v>304</v>
      </c>
      <c r="M153" s="11" t="n">
        <v>3</v>
      </c>
      <c r="N153" s="11" t="s">
        <v>304</v>
      </c>
      <c r="O153" s="11" t="n">
        <v>3</v>
      </c>
      <c r="P153" s="11" t="s">
        <v>304</v>
      </c>
      <c r="Q153" s="11" t="n">
        <v>0</v>
      </c>
      <c r="R153" s="11" t="n">
        <v>0</v>
      </c>
      <c r="S153" s="11" t="s">
        <v>305</v>
      </c>
      <c r="T153" s="11" t="s">
        <v>306</v>
      </c>
      <c r="U153" s="11" t="s">
        <v>307</v>
      </c>
      <c r="V153" s="11" t="s">
        <v>308</v>
      </c>
      <c r="W153" s="11" t="s">
        <v>309</v>
      </c>
      <c r="X153" s="11" t="s">
        <v>310</v>
      </c>
      <c r="Y153" s="12" t="s">
        <v>311</v>
      </c>
    </row>
    <row r="154" customFormat="false" ht="32.8" hidden="false" customHeight="false" outlineLevel="0" collapsed="false">
      <c r="A154" s="10" t="s">
        <v>623</v>
      </c>
      <c r="B154" s="11" t="s">
        <v>171</v>
      </c>
      <c r="C154" s="11" t="s">
        <v>173</v>
      </c>
      <c r="D154" s="11" t="s">
        <v>174</v>
      </c>
      <c r="E154" s="11" t="s">
        <v>68</v>
      </c>
      <c r="F154" s="11" t="s">
        <v>571</v>
      </c>
      <c r="G154" s="11" t="s">
        <v>572</v>
      </c>
      <c r="H154" s="11" t="s">
        <v>301</v>
      </c>
      <c r="I154" s="11" t="s">
        <v>347</v>
      </c>
      <c r="J154" s="11"/>
      <c r="K154" s="11" t="n">
        <v>2.5</v>
      </c>
      <c r="L154" s="11" t="s">
        <v>304</v>
      </c>
      <c r="M154" s="11" t="n">
        <v>2</v>
      </c>
      <c r="N154" s="11" t="s">
        <v>304</v>
      </c>
      <c r="O154" s="11" t="n">
        <v>2</v>
      </c>
      <c r="P154" s="11" t="s">
        <v>304</v>
      </c>
      <c r="Q154" s="11" t="n">
        <v>0.5</v>
      </c>
      <c r="R154" s="11" t="n">
        <v>0</v>
      </c>
      <c r="S154" s="11" t="s">
        <v>305</v>
      </c>
      <c r="T154" s="11" t="s">
        <v>306</v>
      </c>
      <c r="U154" s="11" t="s">
        <v>307</v>
      </c>
      <c r="V154" s="11" t="s">
        <v>308</v>
      </c>
      <c r="W154" s="11" t="s">
        <v>309</v>
      </c>
      <c r="X154" s="11" t="s">
        <v>310</v>
      </c>
      <c r="Y154" s="12" t="s">
        <v>311</v>
      </c>
    </row>
    <row r="155" customFormat="false" ht="32.8" hidden="false" customHeight="false" outlineLevel="0" collapsed="false">
      <c r="A155" s="10" t="s">
        <v>624</v>
      </c>
      <c r="B155" s="11" t="s">
        <v>176</v>
      </c>
      <c r="C155" s="11" t="s">
        <v>182</v>
      </c>
      <c r="D155" s="11" t="s">
        <v>183</v>
      </c>
      <c r="E155" s="11" t="s">
        <v>68</v>
      </c>
      <c r="F155" s="11" t="s">
        <v>625</v>
      </c>
      <c r="G155" s="11" t="s">
        <v>626</v>
      </c>
      <c r="H155" s="11" t="s">
        <v>301</v>
      </c>
      <c r="I155" s="11" t="s">
        <v>627</v>
      </c>
      <c r="J155" s="11" t="s">
        <v>628</v>
      </c>
      <c r="K155" s="11" t="n">
        <v>160</v>
      </c>
      <c r="L155" s="11" t="s">
        <v>304</v>
      </c>
      <c r="M155" s="11" t="n">
        <v>160</v>
      </c>
      <c r="N155" s="11" t="s">
        <v>304</v>
      </c>
      <c r="O155" s="11" t="n">
        <v>145</v>
      </c>
      <c r="P155" s="11" t="s">
        <v>304</v>
      </c>
      <c r="Q155" s="11" t="n">
        <v>0</v>
      </c>
      <c r="R155" s="11" t="n">
        <v>15</v>
      </c>
      <c r="S155" s="11" t="s">
        <v>305</v>
      </c>
      <c r="T155" s="11" t="s">
        <v>306</v>
      </c>
      <c r="U155" s="11" t="s">
        <v>307</v>
      </c>
      <c r="V155" s="11" t="s">
        <v>308</v>
      </c>
      <c r="W155" s="11" t="s">
        <v>309</v>
      </c>
      <c r="X155" s="11" t="s">
        <v>310</v>
      </c>
      <c r="Y155" s="12" t="s">
        <v>311</v>
      </c>
    </row>
    <row r="156" customFormat="false" ht="32.8" hidden="false" customHeight="false" outlineLevel="0" collapsed="false">
      <c r="A156" s="10" t="s">
        <v>629</v>
      </c>
      <c r="B156" s="11" t="s">
        <v>176</v>
      </c>
      <c r="C156" s="11" t="s">
        <v>182</v>
      </c>
      <c r="D156" s="11" t="s">
        <v>183</v>
      </c>
      <c r="E156" s="11" t="s">
        <v>68</v>
      </c>
      <c r="F156" s="11" t="s">
        <v>630</v>
      </c>
      <c r="G156" s="11" t="s">
        <v>631</v>
      </c>
      <c r="H156" s="11" t="s">
        <v>301</v>
      </c>
      <c r="I156" s="11" t="s">
        <v>632</v>
      </c>
      <c r="J156" s="11" t="s">
        <v>633</v>
      </c>
      <c r="K156" s="11" t="n">
        <v>78</v>
      </c>
      <c r="L156" s="11" t="s">
        <v>304</v>
      </c>
      <c r="M156" s="11" t="n">
        <v>70</v>
      </c>
      <c r="N156" s="11" t="s">
        <v>304</v>
      </c>
      <c r="O156" s="11" t="n">
        <v>60</v>
      </c>
      <c r="P156" s="11" t="s">
        <v>304</v>
      </c>
      <c r="Q156" s="11" t="n">
        <v>8</v>
      </c>
      <c r="R156" s="11" t="n">
        <v>10</v>
      </c>
      <c r="S156" s="11" t="s">
        <v>305</v>
      </c>
      <c r="T156" s="11" t="s">
        <v>306</v>
      </c>
      <c r="U156" s="11" t="s">
        <v>307</v>
      </c>
      <c r="V156" s="11" t="s">
        <v>308</v>
      </c>
      <c r="W156" s="11" t="s">
        <v>309</v>
      </c>
      <c r="X156" s="11" t="s">
        <v>310</v>
      </c>
      <c r="Y156" s="12" t="s">
        <v>311</v>
      </c>
    </row>
    <row r="157" customFormat="false" ht="32.8" hidden="false" customHeight="false" outlineLevel="0" collapsed="false">
      <c r="A157" s="10" t="s">
        <v>634</v>
      </c>
      <c r="B157" s="11" t="s">
        <v>176</v>
      </c>
      <c r="C157" s="11" t="s">
        <v>182</v>
      </c>
      <c r="D157" s="11" t="s">
        <v>183</v>
      </c>
      <c r="E157" s="11" t="s">
        <v>68</v>
      </c>
      <c r="F157" s="11" t="s">
        <v>593</v>
      </c>
      <c r="G157" s="11" t="s">
        <v>594</v>
      </c>
      <c r="H157" s="11" t="s">
        <v>301</v>
      </c>
      <c r="I157" s="11" t="s">
        <v>635</v>
      </c>
      <c r="J157" s="11"/>
      <c r="K157" s="11" t="n">
        <v>54</v>
      </c>
      <c r="L157" s="11" t="s">
        <v>304</v>
      </c>
      <c r="M157" s="11" t="n">
        <v>48</v>
      </c>
      <c r="N157" s="11" t="s">
        <v>304</v>
      </c>
      <c r="O157" s="11" t="n">
        <v>45</v>
      </c>
      <c r="P157" s="11" t="s">
        <v>304</v>
      </c>
      <c r="Q157" s="11" t="n">
        <v>6</v>
      </c>
      <c r="R157" s="11" t="n">
        <v>3</v>
      </c>
      <c r="S157" s="11" t="s">
        <v>305</v>
      </c>
      <c r="T157" s="11" t="s">
        <v>306</v>
      </c>
      <c r="U157" s="11" t="s">
        <v>307</v>
      </c>
      <c r="V157" s="11" t="s">
        <v>308</v>
      </c>
      <c r="W157" s="11" t="s">
        <v>309</v>
      </c>
      <c r="X157" s="11" t="s">
        <v>310</v>
      </c>
      <c r="Y157" s="12" t="s">
        <v>311</v>
      </c>
    </row>
    <row r="158" customFormat="false" ht="32.8" hidden="false" customHeight="false" outlineLevel="0" collapsed="false">
      <c r="A158" s="10" t="s">
        <v>636</v>
      </c>
      <c r="B158" s="11" t="s">
        <v>176</v>
      </c>
      <c r="C158" s="11" t="s">
        <v>182</v>
      </c>
      <c r="D158" s="11" t="s">
        <v>183</v>
      </c>
      <c r="E158" s="11" t="s">
        <v>68</v>
      </c>
      <c r="F158" s="11" t="s">
        <v>637</v>
      </c>
      <c r="G158" s="11" t="s">
        <v>638</v>
      </c>
      <c r="H158" s="11" t="s">
        <v>301</v>
      </c>
      <c r="I158" s="11" t="s">
        <v>635</v>
      </c>
      <c r="J158" s="11"/>
      <c r="K158" s="11" t="n">
        <v>52</v>
      </c>
      <c r="L158" s="11" t="s">
        <v>304</v>
      </c>
      <c r="M158" s="11" t="n">
        <v>46</v>
      </c>
      <c r="N158" s="11" t="s">
        <v>304</v>
      </c>
      <c r="O158" s="11" t="n">
        <v>40</v>
      </c>
      <c r="P158" s="11" t="s">
        <v>304</v>
      </c>
      <c r="Q158" s="11" t="n">
        <v>6</v>
      </c>
      <c r="R158" s="11" t="n">
        <v>6</v>
      </c>
      <c r="S158" s="11" t="s">
        <v>305</v>
      </c>
      <c r="T158" s="11" t="s">
        <v>306</v>
      </c>
      <c r="U158" s="11" t="s">
        <v>307</v>
      </c>
      <c r="V158" s="11" t="s">
        <v>308</v>
      </c>
      <c r="W158" s="11" t="s">
        <v>309</v>
      </c>
      <c r="X158" s="11" t="s">
        <v>310</v>
      </c>
      <c r="Y158" s="12" t="s">
        <v>311</v>
      </c>
    </row>
    <row r="159" customFormat="false" ht="32.8" hidden="false" customHeight="false" outlineLevel="0" collapsed="false">
      <c r="A159" s="10" t="s">
        <v>639</v>
      </c>
      <c r="B159" s="11" t="s">
        <v>176</v>
      </c>
      <c r="C159" s="11" t="s">
        <v>182</v>
      </c>
      <c r="D159" s="11" t="s">
        <v>183</v>
      </c>
      <c r="E159" s="11" t="s">
        <v>68</v>
      </c>
      <c r="F159" s="11" t="s">
        <v>640</v>
      </c>
      <c r="G159" s="11" t="s">
        <v>641</v>
      </c>
      <c r="H159" s="11" t="s">
        <v>301</v>
      </c>
      <c r="I159" s="11" t="s">
        <v>642</v>
      </c>
      <c r="J159" s="11"/>
      <c r="K159" s="11" t="n">
        <v>65</v>
      </c>
      <c r="L159" s="11" t="s">
        <v>304</v>
      </c>
      <c r="M159" s="11" t="n">
        <v>55</v>
      </c>
      <c r="N159" s="11" t="s">
        <v>304</v>
      </c>
      <c r="O159" s="11" t="n">
        <v>45</v>
      </c>
      <c r="P159" s="11" t="s">
        <v>304</v>
      </c>
      <c r="Q159" s="11" t="n">
        <v>10</v>
      </c>
      <c r="R159" s="11" t="n">
        <v>10</v>
      </c>
      <c r="S159" s="11" t="s">
        <v>305</v>
      </c>
      <c r="T159" s="11" t="s">
        <v>306</v>
      </c>
      <c r="U159" s="11" t="s">
        <v>307</v>
      </c>
      <c r="V159" s="11" t="s">
        <v>308</v>
      </c>
      <c r="W159" s="11" t="s">
        <v>309</v>
      </c>
      <c r="X159" s="11" t="s">
        <v>310</v>
      </c>
      <c r="Y159" s="12" t="s">
        <v>311</v>
      </c>
    </row>
    <row r="160" customFormat="false" ht="32.8" hidden="false" customHeight="false" outlineLevel="0" collapsed="false">
      <c r="A160" s="10" t="s">
        <v>643</v>
      </c>
      <c r="B160" s="11" t="s">
        <v>176</v>
      </c>
      <c r="C160" s="11" t="s">
        <v>182</v>
      </c>
      <c r="D160" s="11" t="s">
        <v>183</v>
      </c>
      <c r="E160" s="11" t="s">
        <v>68</v>
      </c>
      <c r="F160" s="11" t="s">
        <v>644</v>
      </c>
      <c r="G160" s="11" t="s">
        <v>645</v>
      </c>
      <c r="H160" s="11" t="s">
        <v>301</v>
      </c>
      <c r="I160" s="11" t="s">
        <v>632</v>
      </c>
      <c r="J160" s="11" t="s">
        <v>633</v>
      </c>
      <c r="K160" s="11" t="n">
        <v>19</v>
      </c>
      <c r="L160" s="11" t="s">
        <v>304</v>
      </c>
      <c r="M160" s="11" t="n">
        <v>17</v>
      </c>
      <c r="N160" s="11" t="s">
        <v>304</v>
      </c>
      <c r="O160" s="11" t="n">
        <v>15</v>
      </c>
      <c r="P160" s="11" t="s">
        <v>304</v>
      </c>
      <c r="Q160" s="11" t="n">
        <v>2</v>
      </c>
      <c r="R160" s="11" t="n">
        <v>2</v>
      </c>
      <c r="S160" s="11" t="s">
        <v>305</v>
      </c>
      <c r="T160" s="11" t="s">
        <v>306</v>
      </c>
      <c r="U160" s="11" t="s">
        <v>307</v>
      </c>
      <c r="V160" s="11" t="s">
        <v>308</v>
      </c>
      <c r="W160" s="11" t="s">
        <v>309</v>
      </c>
      <c r="X160" s="11" t="s">
        <v>310</v>
      </c>
      <c r="Y160" s="12" t="s">
        <v>311</v>
      </c>
    </row>
    <row r="161" customFormat="false" ht="32.8" hidden="false" customHeight="false" outlineLevel="0" collapsed="false">
      <c r="A161" s="10" t="s">
        <v>646</v>
      </c>
      <c r="B161" s="11" t="s">
        <v>176</v>
      </c>
      <c r="C161" s="11" t="s">
        <v>182</v>
      </c>
      <c r="D161" s="11" t="s">
        <v>183</v>
      </c>
      <c r="E161" s="11" t="s">
        <v>68</v>
      </c>
      <c r="F161" s="11" t="s">
        <v>383</v>
      </c>
      <c r="G161" s="11" t="s">
        <v>384</v>
      </c>
      <c r="H161" s="11" t="s">
        <v>301</v>
      </c>
      <c r="I161" s="11" t="s">
        <v>632</v>
      </c>
      <c r="J161" s="11" t="s">
        <v>633</v>
      </c>
      <c r="K161" s="11" t="n">
        <v>13</v>
      </c>
      <c r="L161" s="11" t="s">
        <v>304</v>
      </c>
      <c r="M161" s="11" t="n">
        <v>11</v>
      </c>
      <c r="N161" s="11" t="s">
        <v>304</v>
      </c>
      <c r="O161" s="11" t="n">
        <v>10</v>
      </c>
      <c r="P161" s="11" t="s">
        <v>304</v>
      </c>
      <c r="Q161" s="11" t="n">
        <v>2</v>
      </c>
      <c r="R161" s="11" t="n">
        <v>1</v>
      </c>
      <c r="S161" s="11" t="s">
        <v>305</v>
      </c>
      <c r="T161" s="11" t="s">
        <v>306</v>
      </c>
      <c r="U161" s="11" t="s">
        <v>307</v>
      </c>
      <c r="V161" s="11" t="s">
        <v>308</v>
      </c>
      <c r="W161" s="11" t="s">
        <v>309</v>
      </c>
      <c r="X161" s="11" t="s">
        <v>310</v>
      </c>
      <c r="Y161" s="12" t="s">
        <v>311</v>
      </c>
    </row>
    <row r="162" customFormat="false" ht="32.8" hidden="false" customHeight="false" outlineLevel="0" collapsed="false">
      <c r="A162" s="10" t="s">
        <v>647</v>
      </c>
      <c r="B162" s="11" t="s">
        <v>176</v>
      </c>
      <c r="C162" s="11" t="s">
        <v>182</v>
      </c>
      <c r="D162" s="11" t="s">
        <v>183</v>
      </c>
      <c r="E162" s="11" t="s">
        <v>68</v>
      </c>
      <c r="F162" s="11" t="s">
        <v>325</v>
      </c>
      <c r="G162" s="11" t="s">
        <v>326</v>
      </c>
      <c r="H162" s="11" t="s">
        <v>301</v>
      </c>
      <c r="I162" s="11" t="s">
        <v>632</v>
      </c>
      <c r="J162" s="11" t="s">
        <v>633</v>
      </c>
      <c r="K162" s="11" t="n">
        <v>16</v>
      </c>
      <c r="L162" s="11" t="s">
        <v>304</v>
      </c>
      <c r="M162" s="11" t="n">
        <v>16</v>
      </c>
      <c r="N162" s="11" t="s">
        <v>304</v>
      </c>
      <c r="O162" s="11" t="n">
        <v>15</v>
      </c>
      <c r="P162" s="11" t="s">
        <v>304</v>
      </c>
      <c r="Q162" s="11" t="n">
        <v>0</v>
      </c>
      <c r="R162" s="11" t="n">
        <v>1</v>
      </c>
      <c r="S162" s="11" t="s">
        <v>305</v>
      </c>
      <c r="T162" s="11" t="s">
        <v>306</v>
      </c>
      <c r="U162" s="11" t="s">
        <v>307</v>
      </c>
      <c r="V162" s="11" t="s">
        <v>308</v>
      </c>
      <c r="W162" s="11" t="s">
        <v>309</v>
      </c>
      <c r="X162" s="11" t="s">
        <v>310</v>
      </c>
      <c r="Y162" s="12" t="s">
        <v>311</v>
      </c>
    </row>
    <row r="163" customFormat="false" ht="32.8" hidden="false" customHeight="false" outlineLevel="0" collapsed="false">
      <c r="A163" s="10" t="s">
        <v>648</v>
      </c>
      <c r="B163" s="11" t="s">
        <v>176</v>
      </c>
      <c r="C163" s="11" t="s">
        <v>182</v>
      </c>
      <c r="D163" s="11" t="s">
        <v>183</v>
      </c>
      <c r="E163" s="11" t="s">
        <v>68</v>
      </c>
      <c r="F163" s="11" t="s">
        <v>437</v>
      </c>
      <c r="G163" s="11" t="s">
        <v>438</v>
      </c>
      <c r="H163" s="11" t="s">
        <v>301</v>
      </c>
      <c r="I163" s="11" t="s">
        <v>632</v>
      </c>
      <c r="J163" s="11" t="s">
        <v>633</v>
      </c>
      <c r="K163" s="11" t="n">
        <v>5</v>
      </c>
      <c r="L163" s="11" t="s">
        <v>304</v>
      </c>
      <c r="M163" s="11" t="n">
        <v>5</v>
      </c>
      <c r="N163" s="11" t="s">
        <v>304</v>
      </c>
      <c r="O163" s="11" t="n">
        <v>5</v>
      </c>
      <c r="P163" s="11" t="s">
        <v>304</v>
      </c>
      <c r="Q163" s="11" t="n">
        <v>0</v>
      </c>
      <c r="R163" s="11" t="n">
        <v>0</v>
      </c>
      <c r="S163" s="11" t="s">
        <v>305</v>
      </c>
      <c r="T163" s="11" t="s">
        <v>306</v>
      </c>
      <c r="U163" s="11" t="s">
        <v>307</v>
      </c>
      <c r="V163" s="11" t="s">
        <v>308</v>
      </c>
      <c r="W163" s="11" t="s">
        <v>309</v>
      </c>
      <c r="X163" s="11" t="s">
        <v>310</v>
      </c>
      <c r="Y163" s="12" t="s">
        <v>311</v>
      </c>
    </row>
    <row r="164" customFormat="false" ht="32.8" hidden="false" customHeight="false" outlineLevel="0" collapsed="false">
      <c r="A164" s="10" t="s">
        <v>649</v>
      </c>
      <c r="B164" s="11" t="s">
        <v>176</v>
      </c>
      <c r="C164" s="11" t="s">
        <v>182</v>
      </c>
      <c r="D164" s="11" t="s">
        <v>183</v>
      </c>
      <c r="E164" s="11" t="s">
        <v>68</v>
      </c>
      <c r="F164" s="11" t="s">
        <v>650</v>
      </c>
      <c r="G164" s="11" t="s">
        <v>651</v>
      </c>
      <c r="H164" s="11" t="s">
        <v>301</v>
      </c>
      <c r="I164" s="11" t="s">
        <v>642</v>
      </c>
      <c r="J164" s="11"/>
      <c r="K164" s="11" t="n">
        <v>15</v>
      </c>
      <c r="L164" s="11" t="s">
        <v>304</v>
      </c>
      <c r="M164" s="11" t="n">
        <v>15</v>
      </c>
      <c r="N164" s="11" t="s">
        <v>304</v>
      </c>
      <c r="O164" s="11" t="n">
        <v>15</v>
      </c>
      <c r="P164" s="11" t="s">
        <v>304</v>
      </c>
      <c r="Q164" s="11" t="n">
        <v>0</v>
      </c>
      <c r="R164" s="11" t="n">
        <v>0</v>
      </c>
      <c r="S164" s="11" t="s">
        <v>305</v>
      </c>
      <c r="T164" s="11" t="s">
        <v>306</v>
      </c>
      <c r="U164" s="11" t="s">
        <v>307</v>
      </c>
      <c r="V164" s="11" t="s">
        <v>308</v>
      </c>
      <c r="W164" s="11" t="s">
        <v>309</v>
      </c>
      <c r="X164" s="11" t="s">
        <v>310</v>
      </c>
      <c r="Y164" s="12" t="s">
        <v>311</v>
      </c>
    </row>
    <row r="165" customFormat="false" ht="32.8" hidden="false" customHeight="false" outlineLevel="0" collapsed="false">
      <c r="A165" s="10" t="s">
        <v>652</v>
      </c>
      <c r="B165" s="11" t="s">
        <v>176</v>
      </c>
      <c r="C165" s="11" t="s">
        <v>182</v>
      </c>
      <c r="D165" s="11" t="s">
        <v>183</v>
      </c>
      <c r="E165" s="11" t="s">
        <v>68</v>
      </c>
      <c r="F165" s="11" t="s">
        <v>571</v>
      </c>
      <c r="G165" s="11" t="s">
        <v>572</v>
      </c>
      <c r="H165" s="11" t="s">
        <v>301</v>
      </c>
      <c r="I165" s="11" t="s">
        <v>642</v>
      </c>
      <c r="J165" s="11"/>
      <c r="K165" s="11" t="n">
        <v>6</v>
      </c>
      <c r="L165" s="11" t="s">
        <v>304</v>
      </c>
      <c r="M165" s="11" t="n">
        <v>5</v>
      </c>
      <c r="N165" s="11" t="s">
        <v>304</v>
      </c>
      <c r="O165" s="11" t="n">
        <v>5</v>
      </c>
      <c r="P165" s="11" t="s">
        <v>304</v>
      </c>
      <c r="Q165" s="11" t="n">
        <v>1</v>
      </c>
      <c r="R165" s="11" t="n">
        <v>0</v>
      </c>
      <c r="S165" s="11" t="s">
        <v>305</v>
      </c>
      <c r="T165" s="11" t="s">
        <v>306</v>
      </c>
      <c r="U165" s="11" t="s">
        <v>307</v>
      </c>
      <c r="V165" s="11" t="s">
        <v>308</v>
      </c>
      <c r="W165" s="11" t="s">
        <v>309</v>
      </c>
      <c r="X165" s="11" t="s">
        <v>310</v>
      </c>
      <c r="Y165" s="12" t="s">
        <v>311</v>
      </c>
    </row>
    <row r="166" customFormat="false" ht="32.8" hidden="false" customHeight="false" outlineLevel="0" collapsed="false">
      <c r="A166" s="10" t="s">
        <v>653</v>
      </c>
      <c r="B166" s="11" t="s">
        <v>185</v>
      </c>
      <c r="C166" s="11" t="s">
        <v>188</v>
      </c>
      <c r="D166" s="11" t="s">
        <v>189</v>
      </c>
      <c r="E166" s="11" t="s">
        <v>68</v>
      </c>
      <c r="F166" s="11" t="s">
        <v>654</v>
      </c>
      <c r="G166" s="11" t="s">
        <v>655</v>
      </c>
      <c r="H166" s="11" t="s">
        <v>301</v>
      </c>
      <c r="I166" s="11" t="s">
        <v>656</v>
      </c>
      <c r="J166" s="11"/>
      <c r="K166" s="11" t="n">
        <v>210</v>
      </c>
      <c r="L166" s="11" t="s">
        <v>304</v>
      </c>
      <c r="M166" s="11" t="n">
        <v>195</v>
      </c>
      <c r="N166" s="11" t="s">
        <v>304</v>
      </c>
      <c r="O166" s="11" t="n">
        <v>180</v>
      </c>
      <c r="P166" s="11" t="s">
        <v>304</v>
      </c>
      <c r="Q166" s="11" t="n">
        <v>15</v>
      </c>
      <c r="R166" s="11" t="n">
        <v>15</v>
      </c>
      <c r="S166" s="11" t="s">
        <v>305</v>
      </c>
      <c r="T166" s="11" t="s">
        <v>306</v>
      </c>
      <c r="U166" s="11" t="s">
        <v>307</v>
      </c>
      <c r="V166" s="11" t="s">
        <v>308</v>
      </c>
      <c r="W166" s="11" t="s">
        <v>309</v>
      </c>
      <c r="X166" s="11" t="s">
        <v>310</v>
      </c>
      <c r="Y166" s="12" t="s">
        <v>311</v>
      </c>
    </row>
    <row r="167" customFormat="false" ht="32.8" hidden="false" customHeight="false" outlineLevel="0" collapsed="false">
      <c r="A167" s="10" t="s">
        <v>657</v>
      </c>
      <c r="B167" s="11" t="s">
        <v>185</v>
      </c>
      <c r="C167" s="11" t="s">
        <v>188</v>
      </c>
      <c r="D167" s="11" t="s">
        <v>189</v>
      </c>
      <c r="E167" s="11" t="s">
        <v>68</v>
      </c>
      <c r="F167" s="11" t="s">
        <v>658</v>
      </c>
      <c r="G167" s="11" t="s">
        <v>659</v>
      </c>
      <c r="H167" s="11" t="s">
        <v>301</v>
      </c>
      <c r="I167" s="11" t="s">
        <v>327</v>
      </c>
      <c r="J167" s="11" t="s">
        <v>660</v>
      </c>
      <c r="K167" s="11" t="n">
        <v>58</v>
      </c>
      <c r="L167" s="11" t="s">
        <v>304</v>
      </c>
      <c r="M167" s="11" t="n">
        <v>58</v>
      </c>
      <c r="N167" s="11" t="s">
        <v>304</v>
      </c>
      <c r="O167" s="11" t="n">
        <v>55</v>
      </c>
      <c r="P167" s="11" t="s">
        <v>304</v>
      </c>
      <c r="Q167" s="11" t="n">
        <v>0</v>
      </c>
      <c r="R167" s="11" t="n">
        <v>3</v>
      </c>
      <c r="S167" s="11" t="s">
        <v>305</v>
      </c>
      <c r="T167" s="11" t="s">
        <v>306</v>
      </c>
      <c r="U167" s="11" t="s">
        <v>307</v>
      </c>
      <c r="V167" s="11" t="s">
        <v>308</v>
      </c>
      <c r="W167" s="11" t="s">
        <v>309</v>
      </c>
      <c r="X167" s="11" t="s">
        <v>310</v>
      </c>
      <c r="Y167" s="12" t="s">
        <v>311</v>
      </c>
    </row>
    <row r="168" customFormat="false" ht="32.8" hidden="false" customHeight="false" outlineLevel="0" collapsed="false">
      <c r="A168" s="10" t="s">
        <v>661</v>
      </c>
      <c r="B168" s="11" t="s">
        <v>185</v>
      </c>
      <c r="C168" s="11" t="s">
        <v>188</v>
      </c>
      <c r="D168" s="11" t="s">
        <v>189</v>
      </c>
      <c r="E168" s="11" t="s">
        <v>68</v>
      </c>
      <c r="F168" s="11" t="s">
        <v>500</v>
      </c>
      <c r="G168" s="11" t="s">
        <v>501</v>
      </c>
      <c r="H168" s="11" t="s">
        <v>301</v>
      </c>
      <c r="I168" s="11" t="s">
        <v>327</v>
      </c>
      <c r="J168" s="11" t="s">
        <v>660</v>
      </c>
      <c r="K168" s="11" t="n">
        <v>10</v>
      </c>
      <c r="L168" s="11" t="s">
        <v>304</v>
      </c>
      <c r="M168" s="11" t="n">
        <v>10</v>
      </c>
      <c r="N168" s="11" t="s">
        <v>304</v>
      </c>
      <c r="O168" s="11" t="n">
        <v>10</v>
      </c>
      <c r="P168" s="11" t="s">
        <v>304</v>
      </c>
      <c r="Q168" s="11" t="n">
        <v>0</v>
      </c>
      <c r="R168" s="11" t="n">
        <v>0</v>
      </c>
      <c r="S168" s="11" t="s">
        <v>305</v>
      </c>
      <c r="T168" s="11" t="s">
        <v>306</v>
      </c>
      <c r="U168" s="11" t="s">
        <v>307</v>
      </c>
      <c r="V168" s="11" t="s">
        <v>308</v>
      </c>
      <c r="W168" s="11" t="s">
        <v>309</v>
      </c>
      <c r="X168" s="11" t="s">
        <v>310</v>
      </c>
      <c r="Y168" s="12" t="s">
        <v>311</v>
      </c>
    </row>
    <row r="169" customFormat="false" ht="32.8" hidden="false" customHeight="false" outlineLevel="0" collapsed="false">
      <c r="A169" s="10" t="s">
        <v>662</v>
      </c>
      <c r="B169" s="11" t="s">
        <v>185</v>
      </c>
      <c r="C169" s="11" t="s">
        <v>188</v>
      </c>
      <c r="D169" s="11" t="s">
        <v>189</v>
      </c>
      <c r="E169" s="11" t="s">
        <v>68</v>
      </c>
      <c r="F169" s="11" t="s">
        <v>663</v>
      </c>
      <c r="G169" s="11" t="s">
        <v>664</v>
      </c>
      <c r="H169" s="11" t="s">
        <v>301</v>
      </c>
      <c r="I169" s="11" t="s">
        <v>327</v>
      </c>
      <c r="J169" s="11" t="s">
        <v>660</v>
      </c>
      <c r="K169" s="11" t="n">
        <v>12</v>
      </c>
      <c r="L169" s="11" t="s">
        <v>304</v>
      </c>
      <c r="M169" s="11" t="n">
        <v>12</v>
      </c>
      <c r="N169" s="11" t="s">
        <v>304</v>
      </c>
      <c r="O169" s="11" t="n">
        <v>10</v>
      </c>
      <c r="P169" s="11" t="s">
        <v>304</v>
      </c>
      <c r="Q169" s="11" t="n">
        <v>0</v>
      </c>
      <c r="R169" s="11" t="n">
        <v>2</v>
      </c>
      <c r="S169" s="11" t="s">
        <v>305</v>
      </c>
      <c r="T169" s="11" t="s">
        <v>306</v>
      </c>
      <c r="U169" s="11" t="s">
        <v>307</v>
      </c>
      <c r="V169" s="11" t="s">
        <v>308</v>
      </c>
      <c r="W169" s="11" t="s">
        <v>309</v>
      </c>
      <c r="X169" s="11" t="s">
        <v>310</v>
      </c>
      <c r="Y169" s="12" t="s">
        <v>311</v>
      </c>
    </row>
    <row r="170" customFormat="false" ht="32.8" hidden="false" customHeight="false" outlineLevel="0" collapsed="false">
      <c r="A170" s="10" t="s">
        <v>665</v>
      </c>
      <c r="B170" s="11" t="s">
        <v>185</v>
      </c>
      <c r="C170" s="11" t="s">
        <v>188</v>
      </c>
      <c r="D170" s="11" t="s">
        <v>189</v>
      </c>
      <c r="E170" s="11" t="s">
        <v>68</v>
      </c>
      <c r="F170" s="11" t="s">
        <v>449</v>
      </c>
      <c r="G170" s="11" t="s">
        <v>450</v>
      </c>
      <c r="H170" s="11" t="s">
        <v>301</v>
      </c>
      <c r="I170" s="11" t="s">
        <v>327</v>
      </c>
      <c r="J170" s="11" t="s">
        <v>660</v>
      </c>
      <c r="K170" s="11" t="n">
        <v>10</v>
      </c>
      <c r="L170" s="11" t="s">
        <v>304</v>
      </c>
      <c r="M170" s="11" t="n">
        <v>10</v>
      </c>
      <c r="N170" s="11" t="s">
        <v>304</v>
      </c>
      <c r="O170" s="11" t="n">
        <v>10</v>
      </c>
      <c r="P170" s="11" t="s">
        <v>304</v>
      </c>
      <c r="Q170" s="11" t="n">
        <v>0</v>
      </c>
      <c r="R170" s="11" t="n">
        <v>0</v>
      </c>
      <c r="S170" s="11" t="s">
        <v>305</v>
      </c>
      <c r="T170" s="11" t="s">
        <v>306</v>
      </c>
      <c r="U170" s="11" t="s">
        <v>307</v>
      </c>
      <c r="V170" s="11" t="s">
        <v>308</v>
      </c>
      <c r="W170" s="11" t="s">
        <v>309</v>
      </c>
      <c r="X170" s="11" t="s">
        <v>310</v>
      </c>
      <c r="Y170" s="12" t="s">
        <v>311</v>
      </c>
    </row>
    <row r="171" customFormat="false" ht="32.8" hidden="false" customHeight="false" outlineLevel="0" collapsed="false">
      <c r="A171" s="10" t="s">
        <v>666</v>
      </c>
      <c r="B171" s="11" t="s">
        <v>185</v>
      </c>
      <c r="C171" s="11" t="s">
        <v>188</v>
      </c>
      <c r="D171" s="11" t="s">
        <v>189</v>
      </c>
      <c r="E171" s="11" t="s">
        <v>68</v>
      </c>
      <c r="F171" s="11" t="s">
        <v>667</v>
      </c>
      <c r="G171" s="11" t="s">
        <v>668</v>
      </c>
      <c r="H171" s="11" t="s">
        <v>301</v>
      </c>
      <c r="I171" s="11" t="s">
        <v>339</v>
      </c>
      <c r="J171" s="11"/>
      <c r="K171" s="11" t="n">
        <v>30</v>
      </c>
      <c r="L171" s="11" t="s">
        <v>304</v>
      </c>
      <c r="M171" s="11" t="n">
        <v>27</v>
      </c>
      <c r="N171" s="11" t="s">
        <v>304</v>
      </c>
      <c r="O171" s="11" t="n">
        <v>25</v>
      </c>
      <c r="P171" s="11" t="s">
        <v>304</v>
      </c>
      <c r="Q171" s="11" t="n">
        <v>3</v>
      </c>
      <c r="R171" s="11" t="n">
        <v>2</v>
      </c>
      <c r="S171" s="11" t="s">
        <v>305</v>
      </c>
      <c r="T171" s="11" t="s">
        <v>306</v>
      </c>
      <c r="U171" s="11" t="s">
        <v>307</v>
      </c>
      <c r="V171" s="11" t="s">
        <v>308</v>
      </c>
      <c r="W171" s="11" t="s">
        <v>309</v>
      </c>
      <c r="X171" s="11" t="s">
        <v>310</v>
      </c>
      <c r="Y171" s="12" t="s">
        <v>311</v>
      </c>
    </row>
    <row r="172" customFormat="false" ht="32.8" hidden="false" customHeight="false" outlineLevel="0" collapsed="false">
      <c r="A172" s="10" t="s">
        <v>669</v>
      </c>
      <c r="B172" s="11" t="s">
        <v>185</v>
      </c>
      <c r="C172" s="11" t="s">
        <v>188</v>
      </c>
      <c r="D172" s="11" t="s">
        <v>189</v>
      </c>
      <c r="E172" s="11" t="s">
        <v>68</v>
      </c>
      <c r="F172" s="11" t="s">
        <v>437</v>
      </c>
      <c r="G172" s="11" t="s">
        <v>438</v>
      </c>
      <c r="H172" s="11" t="s">
        <v>301</v>
      </c>
      <c r="I172" s="11" t="s">
        <v>670</v>
      </c>
      <c r="J172" s="11"/>
      <c r="K172" s="11" t="n">
        <v>5</v>
      </c>
      <c r="L172" s="11" t="s">
        <v>304</v>
      </c>
      <c r="M172" s="11" t="n">
        <v>5</v>
      </c>
      <c r="N172" s="11" t="s">
        <v>304</v>
      </c>
      <c r="O172" s="11" t="n">
        <v>5</v>
      </c>
      <c r="P172" s="11" t="s">
        <v>304</v>
      </c>
      <c r="Q172" s="11" t="n">
        <v>0</v>
      </c>
      <c r="R172" s="11" t="n">
        <v>0</v>
      </c>
      <c r="S172" s="11" t="s">
        <v>305</v>
      </c>
      <c r="T172" s="11" t="s">
        <v>306</v>
      </c>
      <c r="U172" s="11" t="s">
        <v>307</v>
      </c>
      <c r="V172" s="11" t="s">
        <v>308</v>
      </c>
      <c r="W172" s="11" t="s">
        <v>309</v>
      </c>
      <c r="X172" s="11" t="s">
        <v>310</v>
      </c>
      <c r="Y172" s="12" t="s">
        <v>311</v>
      </c>
    </row>
    <row r="173" customFormat="false" ht="32.8" hidden="false" customHeight="false" outlineLevel="0" collapsed="false">
      <c r="A173" s="10" t="s">
        <v>671</v>
      </c>
      <c r="B173" s="11" t="s">
        <v>185</v>
      </c>
      <c r="C173" s="11" t="s">
        <v>188</v>
      </c>
      <c r="D173" s="11" t="s">
        <v>189</v>
      </c>
      <c r="E173" s="11" t="s">
        <v>68</v>
      </c>
      <c r="F173" s="11" t="s">
        <v>571</v>
      </c>
      <c r="G173" s="11" t="s">
        <v>572</v>
      </c>
      <c r="H173" s="11" t="s">
        <v>301</v>
      </c>
      <c r="I173" s="11" t="s">
        <v>347</v>
      </c>
      <c r="J173" s="11"/>
      <c r="K173" s="11" t="n">
        <v>6</v>
      </c>
      <c r="L173" s="11" t="s">
        <v>304</v>
      </c>
      <c r="M173" s="11" t="n">
        <v>5</v>
      </c>
      <c r="N173" s="11" t="s">
        <v>304</v>
      </c>
      <c r="O173" s="11" t="n">
        <v>5</v>
      </c>
      <c r="P173" s="11" t="s">
        <v>304</v>
      </c>
      <c r="Q173" s="11" t="n">
        <v>1</v>
      </c>
      <c r="R173" s="11" t="n">
        <v>0</v>
      </c>
      <c r="S173" s="11" t="s">
        <v>305</v>
      </c>
      <c r="T173" s="11" t="s">
        <v>306</v>
      </c>
      <c r="U173" s="11" t="s">
        <v>307</v>
      </c>
      <c r="V173" s="11" t="s">
        <v>308</v>
      </c>
      <c r="W173" s="11" t="s">
        <v>309</v>
      </c>
      <c r="X173" s="11" t="s">
        <v>310</v>
      </c>
      <c r="Y173" s="12" t="s">
        <v>311</v>
      </c>
    </row>
    <row r="174" customFormat="false" ht="32.8" hidden="false" customHeight="false" outlineLevel="0" collapsed="false">
      <c r="A174" s="10" t="s">
        <v>672</v>
      </c>
      <c r="B174" s="11" t="s">
        <v>191</v>
      </c>
      <c r="C174" s="11" t="s">
        <v>194</v>
      </c>
      <c r="D174" s="11" t="s">
        <v>195</v>
      </c>
      <c r="E174" s="11" t="s">
        <v>68</v>
      </c>
      <c r="F174" s="11" t="s">
        <v>483</v>
      </c>
      <c r="G174" s="11" t="s">
        <v>484</v>
      </c>
      <c r="H174" s="11" t="s">
        <v>301</v>
      </c>
      <c r="I174" s="11" t="s">
        <v>656</v>
      </c>
      <c r="J174" s="11"/>
      <c r="K174" s="11" t="n">
        <v>145</v>
      </c>
      <c r="L174" s="11" t="s">
        <v>304</v>
      </c>
      <c r="M174" s="11" t="n">
        <v>135</v>
      </c>
      <c r="N174" s="11" t="s">
        <v>304</v>
      </c>
      <c r="O174" s="11" t="n">
        <v>120</v>
      </c>
      <c r="P174" s="11" t="s">
        <v>304</v>
      </c>
      <c r="Q174" s="11" t="n">
        <v>10</v>
      </c>
      <c r="R174" s="11" t="n">
        <v>15</v>
      </c>
      <c r="S174" s="11" t="s">
        <v>305</v>
      </c>
      <c r="T174" s="11" t="s">
        <v>306</v>
      </c>
      <c r="U174" s="11" t="s">
        <v>307</v>
      </c>
      <c r="V174" s="11" t="s">
        <v>308</v>
      </c>
      <c r="W174" s="11" t="s">
        <v>309</v>
      </c>
      <c r="X174" s="11" t="s">
        <v>310</v>
      </c>
      <c r="Y174" s="12" t="s">
        <v>311</v>
      </c>
    </row>
    <row r="175" customFormat="false" ht="32.8" hidden="false" customHeight="false" outlineLevel="0" collapsed="false">
      <c r="A175" s="10" t="s">
        <v>673</v>
      </c>
      <c r="B175" s="11" t="s">
        <v>191</v>
      </c>
      <c r="C175" s="11" t="s">
        <v>194</v>
      </c>
      <c r="D175" s="11" t="s">
        <v>195</v>
      </c>
      <c r="E175" s="11" t="s">
        <v>68</v>
      </c>
      <c r="F175" s="11" t="s">
        <v>674</v>
      </c>
      <c r="G175" s="11" t="s">
        <v>675</v>
      </c>
      <c r="H175" s="11" t="s">
        <v>301</v>
      </c>
      <c r="I175" s="11" t="s">
        <v>327</v>
      </c>
      <c r="J175" s="11" t="s">
        <v>676</v>
      </c>
      <c r="K175" s="11" t="n">
        <v>84</v>
      </c>
      <c r="L175" s="11" t="s">
        <v>304</v>
      </c>
      <c r="M175" s="11" t="n">
        <v>84</v>
      </c>
      <c r="N175" s="11" t="s">
        <v>304</v>
      </c>
      <c r="O175" s="11" t="n">
        <v>80</v>
      </c>
      <c r="P175" s="11" t="s">
        <v>304</v>
      </c>
      <c r="Q175" s="11" t="n">
        <v>0</v>
      </c>
      <c r="R175" s="11" t="n">
        <v>4</v>
      </c>
      <c r="S175" s="11" t="s">
        <v>305</v>
      </c>
      <c r="T175" s="11" t="s">
        <v>306</v>
      </c>
      <c r="U175" s="11" t="s">
        <v>307</v>
      </c>
      <c r="V175" s="11" t="s">
        <v>308</v>
      </c>
      <c r="W175" s="11" t="s">
        <v>309</v>
      </c>
      <c r="X175" s="11" t="s">
        <v>310</v>
      </c>
      <c r="Y175" s="12" t="s">
        <v>311</v>
      </c>
    </row>
    <row r="176" customFormat="false" ht="32.8" hidden="false" customHeight="false" outlineLevel="0" collapsed="false">
      <c r="A176" s="10" t="s">
        <v>677</v>
      </c>
      <c r="B176" s="11" t="s">
        <v>191</v>
      </c>
      <c r="C176" s="11" t="s">
        <v>194</v>
      </c>
      <c r="D176" s="11" t="s">
        <v>195</v>
      </c>
      <c r="E176" s="11" t="s">
        <v>68</v>
      </c>
      <c r="F176" s="11" t="s">
        <v>678</v>
      </c>
      <c r="G176" s="11" t="s">
        <v>679</v>
      </c>
      <c r="H176" s="11" t="s">
        <v>301</v>
      </c>
      <c r="I176" s="11" t="s">
        <v>327</v>
      </c>
      <c r="J176" s="11" t="s">
        <v>676</v>
      </c>
      <c r="K176" s="11" t="n">
        <v>15</v>
      </c>
      <c r="L176" s="11" t="s">
        <v>304</v>
      </c>
      <c r="M176" s="11" t="n">
        <v>15</v>
      </c>
      <c r="N176" s="11" t="s">
        <v>304</v>
      </c>
      <c r="O176" s="11" t="n">
        <v>15</v>
      </c>
      <c r="P176" s="11" t="s">
        <v>304</v>
      </c>
      <c r="Q176" s="11" t="n">
        <v>0</v>
      </c>
      <c r="R176" s="11" t="n">
        <v>0</v>
      </c>
      <c r="S176" s="11" t="s">
        <v>305</v>
      </c>
      <c r="T176" s="11" t="s">
        <v>306</v>
      </c>
      <c r="U176" s="11" t="s">
        <v>307</v>
      </c>
      <c r="V176" s="11" t="s">
        <v>308</v>
      </c>
      <c r="W176" s="11" t="s">
        <v>309</v>
      </c>
      <c r="X176" s="11" t="s">
        <v>310</v>
      </c>
      <c r="Y176" s="12" t="s">
        <v>311</v>
      </c>
    </row>
    <row r="177" customFormat="false" ht="32.8" hidden="false" customHeight="false" outlineLevel="0" collapsed="false">
      <c r="A177" s="10" t="s">
        <v>680</v>
      </c>
      <c r="B177" s="11" t="s">
        <v>191</v>
      </c>
      <c r="C177" s="11" t="s">
        <v>194</v>
      </c>
      <c r="D177" s="11" t="s">
        <v>195</v>
      </c>
      <c r="E177" s="11" t="s">
        <v>68</v>
      </c>
      <c r="F177" s="11" t="s">
        <v>681</v>
      </c>
      <c r="G177" s="11" t="s">
        <v>682</v>
      </c>
      <c r="H177" s="11" t="s">
        <v>301</v>
      </c>
      <c r="I177" s="11" t="s">
        <v>327</v>
      </c>
      <c r="J177" s="11" t="s">
        <v>676</v>
      </c>
      <c r="K177" s="11" t="n">
        <v>20</v>
      </c>
      <c r="L177" s="11" t="s">
        <v>304</v>
      </c>
      <c r="M177" s="11" t="n">
        <v>20</v>
      </c>
      <c r="N177" s="11" t="s">
        <v>304</v>
      </c>
      <c r="O177" s="11" t="n">
        <v>15</v>
      </c>
      <c r="P177" s="11" t="s">
        <v>304</v>
      </c>
      <c r="Q177" s="11" t="n">
        <v>0</v>
      </c>
      <c r="R177" s="11" t="n">
        <v>5</v>
      </c>
      <c r="S177" s="11" t="s">
        <v>305</v>
      </c>
      <c r="T177" s="11" t="s">
        <v>306</v>
      </c>
      <c r="U177" s="11" t="s">
        <v>307</v>
      </c>
      <c r="V177" s="11" t="s">
        <v>308</v>
      </c>
      <c r="W177" s="11" t="s">
        <v>309</v>
      </c>
      <c r="X177" s="11" t="s">
        <v>310</v>
      </c>
      <c r="Y177" s="12" t="s">
        <v>311</v>
      </c>
    </row>
    <row r="178" customFormat="false" ht="32.8" hidden="false" customHeight="false" outlineLevel="0" collapsed="false">
      <c r="A178" s="10" t="s">
        <v>683</v>
      </c>
      <c r="B178" s="11" t="s">
        <v>191</v>
      </c>
      <c r="C178" s="11" t="s">
        <v>194</v>
      </c>
      <c r="D178" s="11" t="s">
        <v>195</v>
      </c>
      <c r="E178" s="11" t="s">
        <v>68</v>
      </c>
      <c r="F178" s="11" t="s">
        <v>684</v>
      </c>
      <c r="G178" s="11" t="s">
        <v>685</v>
      </c>
      <c r="H178" s="11" t="s">
        <v>301</v>
      </c>
      <c r="I178" s="11" t="s">
        <v>327</v>
      </c>
      <c r="J178" s="11" t="s">
        <v>676</v>
      </c>
      <c r="K178" s="11" t="n">
        <v>10</v>
      </c>
      <c r="L178" s="11" t="s">
        <v>304</v>
      </c>
      <c r="M178" s="11" t="n">
        <v>10</v>
      </c>
      <c r="N178" s="11" t="s">
        <v>304</v>
      </c>
      <c r="O178" s="11" t="n">
        <v>10</v>
      </c>
      <c r="P178" s="11" t="s">
        <v>304</v>
      </c>
      <c r="Q178" s="11" t="n">
        <v>0</v>
      </c>
      <c r="R178" s="11" t="n">
        <v>0</v>
      </c>
      <c r="S178" s="11" t="s">
        <v>305</v>
      </c>
      <c r="T178" s="11" t="s">
        <v>306</v>
      </c>
      <c r="U178" s="11" t="s">
        <v>307</v>
      </c>
      <c r="V178" s="11" t="s">
        <v>308</v>
      </c>
      <c r="W178" s="11" t="s">
        <v>309</v>
      </c>
      <c r="X178" s="11" t="s">
        <v>310</v>
      </c>
      <c r="Y178" s="12" t="s">
        <v>311</v>
      </c>
    </row>
    <row r="179" customFormat="false" ht="32.8" hidden="false" customHeight="false" outlineLevel="0" collapsed="false">
      <c r="A179" s="10" t="s">
        <v>686</v>
      </c>
      <c r="B179" s="11" t="s">
        <v>191</v>
      </c>
      <c r="C179" s="11" t="s">
        <v>194</v>
      </c>
      <c r="D179" s="11" t="s">
        <v>195</v>
      </c>
      <c r="E179" s="11" t="s">
        <v>68</v>
      </c>
      <c r="F179" s="11" t="s">
        <v>509</v>
      </c>
      <c r="G179" s="11" t="s">
        <v>510</v>
      </c>
      <c r="H179" s="11" t="s">
        <v>301</v>
      </c>
      <c r="I179" s="11" t="s">
        <v>687</v>
      </c>
      <c r="J179" s="11"/>
      <c r="K179" s="11" t="n">
        <v>36</v>
      </c>
      <c r="L179" s="11" t="s">
        <v>304</v>
      </c>
      <c r="M179" s="11" t="n">
        <v>32</v>
      </c>
      <c r="N179" s="11" t="s">
        <v>304</v>
      </c>
      <c r="O179" s="11" t="n">
        <v>30</v>
      </c>
      <c r="P179" s="11" t="s">
        <v>304</v>
      </c>
      <c r="Q179" s="11" t="n">
        <v>4</v>
      </c>
      <c r="R179" s="11" t="n">
        <v>2</v>
      </c>
      <c r="S179" s="11" t="s">
        <v>305</v>
      </c>
      <c r="T179" s="11" t="s">
        <v>306</v>
      </c>
      <c r="U179" s="11" t="s">
        <v>307</v>
      </c>
      <c r="V179" s="11" t="s">
        <v>308</v>
      </c>
      <c r="W179" s="11" t="s">
        <v>309</v>
      </c>
      <c r="X179" s="11" t="s">
        <v>310</v>
      </c>
      <c r="Y179" s="12" t="s">
        <v>311</v>
      </c>
    </row>
    <row r="180" customFormat="false" ht="32.8" hidden="false" customHeight="false" outlineLevel="0" collapsed="false">
      <c r="A180" s="10" t="s">
        <v>688</v>
      </c>
      <c r="B180" s="11" t="s">
        <v>191</v>
      </c>
      <c r="C180" s="11" t="s">
        <v>194</v>
      </c>
      <c r="D180" s="11" t="s">
        <v>195</v>
      </c>
      <c r="E180" s="11" t="s">
        <v>68</v>
      </c>
      <c r="F180" s="11" t="s">
        <v>689</v>
      </c>
      <c r="G180" s="11" t="s">
        <v>690</v>
      </c>
      <c r="H180" s="11" t="s">
        <v>301</v>
      </c>
      <c r="I180" s="11" t="s">
        <v>687</v>
      </c>
      <c r="J180" s="11"/>
      <c r="K180" s="11" t="n">
        <v>30</v>
      </c>
      <c r="L180" s="11" t="s">
        <v>304</v>
      </c>
      <c r="M180" s="11" t="n">
        <v>27</v>
      </c>
      <c r="N180" s="11" t="s">
        <v>304</v>
      </c>
      <c r="O180" s="11" t="n">
        <v>25</v>
      </c>
      <c r="P180" s="11" t="s">
        <v>304</v>
      </c>
      <c r="Q180" s="11" t="n">
        <v>3</v>
      </c>
      <c r="R180" s="11" t="n">
        <v>2</v>
      </c>
      <c r="S180" s="11" t="s">
        <v>305</v>
      </c>
      <c r="T180" s="11" t="s">
        <v>306</v>
      </c>
      <c r="U180" s="11" t="s">
        <v>307</v>
      </c>
      <c r="V180" s="11" t="s">
        <v>308</v>
      </c>
      <c r="W180" s="11" t="s">
        <v>309</v>
      </c>
      <c r="X180" s="11" t="s">
        <v>310</v>
      </c>
      <c r="Y180" s="12" t="s">
        <v>311</v>
      </c>
    </row>
    <row r="181" customFormat="false" ht="32.8" hidden="false" customHeight="false" outlineLevel="0" collapsed="false">
      <c r="A181" s="10" t="s">
        <v>691</v>
      </c>
      <c r="B181" s="11" t="s">
        <v>191</v>
      </c>
      <c r="C181" s="11" t="s">
        <v>194</v>
      </c>
      <c r="D181" s="11" t="s">
        <v>195</v>
      </c>
      <c r="E181" s="11" t="s">
        <v>68</v>
      </c>
      <c r="F181" s="11" t="s">
        <v>383</v>
      </c>
      <c r="G181" s="11" t="s">
        <v>384</v>
      </c>
      <c r="H181" s="11" t="s">
        <v>301</v>
      </c>
      <c r="I181" s="11" t="s">
        <v>687</v>
      </c>
      <c r="J181" s="11"/>
      <c r="K181" s="11" t="n">
        <v>19</v>
      </c>
      <c r="L181" s="11" t="s">
        <v>304</v>
      </c>
      <c r="M181" s="11" t="n">
        <v>17</v>
      </c>
      <c r="N181" s="11" t="s">
        <v>304</v>
      </c>
      <c r="O181" s="11" t="n">
        <v>15</v>
      </c>
      <c r="P181" s="11" t="s">
        <v>304</v>
      </c>
      <c r="Q181" s="11" t="n">
        <v>2</v>
      </c>
      <c r="R181" s="11" t="n">
        <v>2</v>
      </c>
      <c r="S181" s="11" t="s">
        <v>305</v>
      </c>
      <c r="T181" s="11" t="s">
        <v>306</v>
      </c>
      <c r="U181" s="11" t="s">
        <v>307</v>
      </c>
      <c r="V181" s="11" t="s">
        <v>308</v>
      </c>
      <c r="W181" s="11" t="s">
        <v>309</v>
      </c>
      <c r="X181" s="11" t="s">
        <v>310</v>
      </c>
      <c r="Y181" s="12" t="s">
        <v>311</v>
      </c>
    </row>
    <row r="182" customFormat="false" ht="32.8" hidden="false" customHeight="false" outlineLevel="0" collapsed="false">
      <c r="A182" s="10" t="s">
        <v>692</v>
      </c>
      <c r="B182" s="11" t="s">
        <v>191</v>
      </c>
      <c r="C182" s="11" t="s">
        <v>194</v>
      </c>
      <c r="D182" s="11" t="s">
        <v>195</v>
      </c>
      <c r="E182" s="11" t="s">
        <v>68</v>
      </c>
      <c r="F182" s="11" t="s">
        <v>693</v>
      </c>
      <c r="G182" s="11" t="s">
        <v>694</v>
      </c>
      <c r="H182" s="11" t="s">
        <v>301</v>
      </c>
      <c r="I182" s="11" t="s">
        <v>339</v>
      </c>
      <c r="J182" s="11"/>
      <c r="K182" s="11" t="n">
        <v>45</v>
      </c>
      <c r="L182" s="11" t="s">
        <v>304</v>
      </c>
      <c r="M182" s="11" t="n">
        <v>45</v>
      </c>
      <c r="N182" s="11" t="s">
        <v>304</v>
      </c>
      <c r="O182" s="11" t="n">
        <v>40</v>
      </c>
      <c r="P182" s="11" t="s">
        <v>304</v>
      </c>
      <c r="Q182" s="11" t="n">
        <v>0</v>
      </c>
      <c r="R182" s="11" t="n">
        <v>5</v>
      </c>
      <c r="S182" s="11" t="s">
        <v>305</v>
      </c>
      <c r="T182" s="11" t="s">
        <v>306</v>
      </c>
      <c r="U182" s="11" t="s">
        <v>307</v>
      </c>
      <c r="V182" s="11" t="s">
        <v>308</v>
      </c>
      <c r="W182" s="11" t="s">
        <v>309</v>
      </c>
      <c r="X182" s="11" t="s">
        <v>310</v>
      </c>
      <c r="Y182" s="12" t="s">
        <v>311</v>
      </c>
    </row>
    <row r="183" customFormat="false" ht="32.8" hidden="false" customHeight="false" outlineLevel="0" collapsed="false">
      <c r="A183" s="10" t="s">
        <v>695</v>
      </c>
      <c r="B183" s="11" t="s">
        <v>191</v>
      </c>
      <c r="C183" s="11" t="s">
        <v>194</v>
      </c>
      <c r="D183" s="11" t="s">
        <v>195</v>
      </c>
      <c r="E183" s="11" t="s">
        <v>68</v>
      </c>
      <c r="F183" s="11" t="s">
        <v>696</v>
      </c>
      <c r="G183" s="11" t="s">
        <v>697</v>
      </c>
      <c r="H183" s="11" t="s">
        <v>301</v>
      </c>
      <c r="I183" s="11" t="s">
        <v>347</v>
      </c>
      <c r="J183" s="11"/>
      <c r="K183" s="11" t="n">
        <v>13</v>
      </c>
      <c r="L183" s="11" t="s">
        <v>304</v>
      </c>
      <c r="M183" s="11" t="n">
        <v>10</v>
      </c>
      <c r="N183" s="11" t="s">
        <v>304</v>
      </c>
      <c r="O183" s="11" t="n">
        <v>10</v>
      </c>
      <c r="P183" s="11" t="s">
        <v>304</v>
      </c>
      <c r="Q183" s="11" t="n">
        <v>3</v>
      </c>
      <c r="R183" s="11" t="n">
        <v>0</v>
      </c>
      <c r="S183" s="11" t="s">
        <v>305</v>
      </c>
      <c r="T183" s="11" t="s">
        <v>306</v>
      </c>
      <c r="U183" s="11" t="s">
        <v>307</v>
      </c>
      <c r="V183" s="11" t="s">
        <v>308</v>
      </c>
      <c r="W183" s="11" t="s">
        <v>309</v>
      </c>
      <c r="X183" s="11" t="s">
        <v>310</v>
      </c>
      <c r="Y183" s="12" t="s">
        <v>311</v>
      </c>
    </row>
    <row r="184" customFormat="false" ht="32.8" hidden="false" customHeight="false" outlineLevel="0" collapsed="false">
      <c r="A184" s="10" t="s">
        <v>698</v>
      </c>
      <c r="B184" s="11" t="s">
        <v>197</v>
      </c>
      <c r="C184" s="11" t="s">
        <v>200</v>
      </c>
      <c r="D184" s="11" t="s">
        <v>201</v>
      </c>
      <c r="E184" s="11" t="s">
        <v>68</v>
      </c>
      <c r="F184" s="11" t="s">
        <v>699</v>
      </c>
      <c r="G184" s="11" t="s">
        <v>700</v>
      </c>
      <c r="H184" s="11" t="s">
        <v>301</v>
      </c>
      <c r="I184" s="11" t="s">
        <v>339</v>
      </c>
      <c r="J184" s="11" t="s">
        <v>441</v>
      </c>
      <c r="K184" s="11" t="n">
        <v>85</v>
      </c>
      <c r="L184" s="11" t="s">
        <v>304</v>
      </c>
      <c r="M184" s="11" t="n">
        <v>85</v>
      </c>
      <c r="N184" s="11" t="s">
        <v>304</v>
      </c>
      <c r="O184" s="11" t="n">
        <v>85</v>
      </c>
      <c r="P184" s="11" t="s">
        <v>304</v>
      </c>
      <c r="Q184" s="11" t="n">
        <v>0</v>
      </c>
      <c r="R184" s="11" t="n">
        <v>0</v>
      </c>
      <c r="S184" s="11" t="s">
        <v>305</v>
      </c>
      <c r="T184" s="11" t="s">
        <v>306</v>
      </c>
      <c r="U184" s="11" t="s">
        <v>307</v>
      </c>
      <c r="V184" s="11" t="s">
        <v>308</v>
      </c>
      <c r="W184" s="11" t="s">
        <v>309</v>
      </c>
      <c r="X184" s="11" t="s">
        <v>310</v>
      </c>
      <c r="Y184" s="12" t="s">
        <v>311</v>
      </c>
    </row>
    <row r="185" customFormat="false" ht="32.8" hidden="false" customHeight="false" outlineLevel="0" collapsed="false">
      <c r="A185" s="10" t="s">
        <v>701</v>
      </c>
      <c r="B185" s="11" t="s">
        <v>197</v>
      </c>
      <c r="C185" s="11" t="s">
        <v>200</v>
      </c>
      <c r="D185" s="11" t="s">
        <v>201</v>
      </c>
      <c r="E185" s="11" t="s">
        <v>68</v>
      </c>
      <c r="F185" s="11" t="s">
        <v>702</v>
      </c>
      <c r="G185" s="11" t="s">
        <v>703</v>
      </c>
      <c r="H185" s="11" t="s">
        <v>301</v>
      </c>
      <c r="I185" s="11" t="s">
        <v>704</v>
      </c>
      <c r="J185" s="11" t="s">
        <v>705</v>
      </c>
      <c r="K185" s="11" t="n">
        <v>175</v>
      </c>
      <c r="L185" s="11" t="s">
        <v>304</v>
      </c>
      <c r="M185" s="11" t="n">
        <v>165</v>
      </c>
      <c r="N185" s="11" t="s">
        <v>304</v>
      </c>
      <c r="O185" s="11" t="n">
        <v>145</v>
      </c>
      <c r="P185" s="11" t="s">
        <v>304</v>
      </c>
      <c r="Q185" s="11" t="n">
        <v>10</v>
      </c>
      <c r="R185" s="11" t="n">
        <v>20</v>
      </c>
      <c r="S185" s="11" t="s">
        <v>305</v>
      </c>
      <c r="T185" s="11" t="s">
        <v>306</v>
      </c>
      <c r="U185" s="11" t="s">
        <v>307</v>
      </c>
      <c r="V185" s="11" t="s">
        <v>308</v>
      </c>
      <c r="W185" s="11" t="s">
        <v>309</v>
      </c>
      <c r="X185" s="11" t="s">
        <v>310</v>
      </c>
      <c r="Y185" s="12" t="s">
        <v>311</v>
      </c>
    </row>
    <row r="186" customFormat="false" ht="32.8" hidden="false" customHeight="false" outlineLevel="0" collapsed="false">
      <c r="A186" s="10" t="s">
        <v>706</v>
      </c>
      <c r="B186" s="11" t="s">
        <v>197</v>
      </c>
      <c r="C186" s="11" t="s">
        <v>200</v>
      </c>
      <c r="D186" s="11" t="s">
        <v>201</v>
      </c>
      <c r="E186" s="11" t="s">
        <v>68</v>
      </c>
      <c r="F186" s="11" t="s">
        <v>707</v>
      </c>
      <c r="G186" s="11" t="s">
        <v>708</v>
      </c>
      <c r="H186" s="11" t="s">
        <v>301</v>
      </c>
      <c r="I186" s="11" t="s">
        <v>704</v>
      </c>
      <c r="J186" s="11" t="s">
        <v>705</v>
      </c>
      <c r="K186" s="11" t="n">
        <v>5</v>
      </c>
      <c r="L186" s="11" t="s">
        <v>304</v>
      </c>
      <c r="M186" s="11" t="n">
        <v>5</v>
      </c>
      <c r="N186" s="11" t="s">
        <v>304</v>
      </c>
      <c r="O186" s="11" t="n">
        <v>5</v>
      </c>
      <c r="P186" s="11" t="s">
        <v>304</v>
      </c>
      <c r="Q186" s="11" t="n">
        <v>0</v>
      </c>
      <c r="R186" s="11" t="n">
        <v>0</v>
      </c>
      <c r="S186" s="11" t="s">
        <v>305</v>
      </c>
      <c r="T186" s="11" t="s">
        <v>306</v>
      </c>
      <c r="U186" s="11" t="s">
        <v>307</v>
      </c>
      <c r="V186" s="11" t="s">
        <v>308</v>
      </c>
      <c r="W186" s="11" t="s">
        <v>309</v>
      </c>
      <c r="X186" s="11" t="s">
        <v>310</v>
      </c>
      <c r="Y186" s="12" t="s">
        <v>311</v>
      </c>
    </row>
    <row r="187" customFormat="false" ht="32.8" hidden="false" customHeight="false" outlineLevel="0" collapsed="false">
      <c r="A187" s="10" t="s">
        <v>709</v>
      </c>
      <c r="B187" s="11" t="s">
        <v>197</v>
      </c>
      <c r="C187" s="11" t="s">
        <v>200</v>
      </c>
      <c r="D187" s="11" t="s">
        <v>201</v>
      </c>
      <c r="E187" s="11" t="s">
        <v>68</v>
      </c>
      <c r="F187" s="11" t="s">
        <v>710</v>
      </c>
      <c r="G187" s="11" t="s">
        <v>711</v>
      </c>
      <c r="H187" s="11" t="s">
        <v>301</v>
      </c>
      <c r="I187" s="11" t="s">
        <v>339</v>
      </c>
      <c r="J187" s="11"/>
      <c r="K187" s="11" t="n">
        <v>20</v>
      </c>
      <c r="L187" s="11" t="s">
        <v>304</v>
      </c>
      <c r="M187" s="11" t="n">
        <v>20</v>
      </c>
      <c r="N187" s="11" t="s">
        <v>304</v>
      </c>
      <c r="O187" s="11" t="n">
        <v>20</v>
      </c>
      <c r="P187" s="11" t="s">
        <v>304</v>
      </c>
      <c r="Q187" s="11" t="n">
        <v>0</v>
      </c>
      <c r="R187" s="11" t="n">
        <v>0</v>
      </c>
      <c r="S187" s="11" t="s">
        <v>305</v>
      </c>
      <c r="T187" s="11" t="s">
        <v>306</v>
      </c>
      <c r="U187" s="11" t="s">
        <v>307</v>
      </c>
      <c r="V187" s="11" t="s">
        <v>308</v>
      </c>
      <c r="W187" s="11" t="s">
        <v>309</v>
      </c>
      <c r="X187" s="11" t="s">
        <v>310</v>
      </c>
      <c r="Y187" s="12" t="s">
        <v>311</v>
      </c>
    </row>
    <row r="188" customFormat="false" ht="32.8" hidden="false" customHeight="false" outlineLevel="0" collapsed="false">
      <c r="A188" s="10" t="s">
        <v>712</v>
      </c>
      <c r="B188" s="11" t="s">
        <v>197</v>
      </c>
      <c r="C188" s="11" t="s">
        <v>200</v>
      </c>
      <c r="D188" s="11" t="s">
        <v>201</v>
      </c>
      <c r="E188" s="11" t="s">
        <v>68</v>
      </c>
      <c r="F188" s="11" t="s">
        <v>713</v>
      </c>
      <c r="G188" s="11" t="s">
        <v>714</v>
      </c>
      <c r="H188" s="11" t="s">
        <v>301</v>
      </c>
      <c r="I188" s="11" t="s">
        <v>339</v>
      </c>
      <c r="J188" s="11"/>
      <c r="K188" s="11" t="n">
        <v>34</v>
      </c>
      <c r="L188" s="11" t="s">
        <v>304</v>
      </c>
      <c r="M188" s="11" t="n">
        <v>30</v>
      </c>
      <c r="N188" s="11" t="s">
        <v>304</v>
      </c>
      <c r="O188" s="11" t="n">
        <v>30</v>
      </c>
      <c r="P188" s="11" t="s">
        <v>304</v>
      </c>
      <c r="Q188" s="11" t="n">
        <v>4</v>
      </c>
      <c r="R188" s="11" t="n">
        <v>0</v>
      </c>
      <c r="S188" s="11" t="s">
        <v>305</v>
      </c>
      <c r="T188" s="11" t="s">
        <v>306</v>
      </c>
      <c r="U188" s="11" t="s">
        <v>307</v>
      </c>
      <c r="V188" s="11" t="s">
        <v>308</v>
      </c>
      <c r="W188" s="11" t="s">
        <v>309</v>
      </c>
      <c r="X188" s="11" t="s">
        <v>310</v>
      </c>
      <c r="Y188" s="12" t="s">
        <v>311</v>
      </c>
    </row>
    <row r="189" customFormat="false" ht="32.8" hidden="false" customHeight="false" outlineLevel="0" collapsed="false">
      <c r="A189" s="10" t="s">
        <v>715</v>
      </c>
      <c r="B189" s="11" t="s">
        <v>197</v>
      </c>
      <c r="C189" s="11" t="s">
        <v>200</v>
      </c>
      <c r="D189" s="11" t="s">
        <v>201</v>
      </c>
      <c r="E189" s="11" t="s">
        <v>68</v>
      </c>
      <c r="F189" s="11" t="s">
        <v>716</v>
      </c>
      <c r="G189" s="11" t="s">
        <v>717</v>
      </c>
      <c r="H189" s="11" t="s">
        <v>301</v>
      </c>
      <c r="I189" s="11" t="s">
        <v>339</v>
      </c>
      <c r="J189" s="11"/>
      <c r="K189" s="11" t="n">
        <v>23</v>
      </c>
      <c r="L189" s="11" t="s">
        <v>304</v>
      </c>
      <c r="M189" s="11" t="n">
        <v>20</v>
      </c>
      <c r="N189" s="11" t="s">
        <v>304</v>
      </c>
      <c r="O189" s="11" t="n">
        <v>20</v>
      </c>
      <c r="P189" s="11" t="s">
        <v>304</v>
      </c>
      <c r="Q189" s="11" t="n">
        <v>3</v>
      </c>
      <c r="R189" s="11" t="n">
        <v>0</v>
      </c>
      <c r="S189" s="11" t="s">
        <v>305</v>
      </c>
      <c r="T189" s="11" t="s">
        <v>306</v>
      </c>
      <c r="U189" s="11" t="s">
        <v>307</v>
      </c>
      <c r="V189" s="11" t="s">
        <v>308</v>
      </c>
      <c r="W189" s="11" t="s">
        <v>309</v>
      </c>
      <c r="X189" s="11" t="s">
        <v>310</v>
      </c>
      <c r="Y189" s="12" t="s">
        <v>311</v>
      </c>
    </row>
    <row r="190" customFormat="false" ht="32.8" hidden="false" customHeight="false" outlineLevel="0" collapsed="false">
      <c r="A190" s="10" t="s">
        <v>718</v>
      </c>
      <c r="B190" s="11" t="s">
        <v>197</v>
      </c>
      <c r="C190" s="11" t="s">
        <v>200</v>
      </c>
      <c r="D190" s="11" t="s">
        <v>201</v>
      </c>
      <c r="E190" s="11" t="s">
        <v>68</v>
      </c>
      <c r="F190" s="11" t="s">
        <v>719</v>
      </c>
      <c r="G190" s="11" t="s">
        <v>720</v>
      </c>
      <c r="H190" s="11" t="s">
        <v>301</v>
      </c>
      <c r="I190" s="11" t="s">
        <v>339</v>
      </c>
      <c r="J190" s="11"/>
      <c r="K190" s="11" t="n">
        <v>12</v>
      </c>
      <c r="L190" s="11" t="s">
        <v>304</v>
      </c>
      <c r="M190" s="11" t="n">
        <v>10</v>
      </c>
      <c r="N190" s="11" t="s">
        <v>304</v>
      </c>
      <c r="O190" s="11" t="n">
        <v>10</v>
      </c>
      <c r="P190" s="11" t="s">
        <v>304</v>
      </c>
      <c r="Q190" s="11" t="n">
        <v>2</v>
      </c>
      <c r="R190" s="11" t="n">
        <v>0</v>
      </c>
      <c r="S190" s="11" t="s">
        <v>305</v>
      </c>
      <c r="T190" s="11" t="s">
        <v>306</v>
      </c>
      <c r="U190" s="11" t="s">
        <v>307</v>
      </c>
      <c r="V190" s="11" t="s">
        <v>308</v>
      </c>
      <c r="W190" s="11" t="s">
        <v>309</v>
      </c>
      <c r="X190" s="11" t="s">
        <v>310</v>
      </c>
      <c r="Y190" s="12" t="s">
        <v>311</v>
      </c>
    </row>
    <row r="191" customFormat="false" ht="32.8" hidden="false" customHeight="false" outlineLevel="0" collapsed="false">
      <c r="A191" s="10" t="s">
        <v>721</v>
      </c>
      <c r="B191" s="11" t="s">
        <v>197</v>
      </c>
      <c r="C191" s="11" t="s">
        <v>200</v>
      </c>
      <c r="D191" s="11" t="s">
        <v>201</v>
      </c>
      <c r="E191" s="11" t="s">
        <v>68</v>
      </c>
      <c r="F191" s="11" t="s">
        <v>722</v>
      </c>
      <c r="G191" s="11" t="s">
        <v>723</v>
      </c>
      <c r="H191" s="11" t="s">
        <v>301</v>
      </c>
      <c r="I191" s="11" t="s">
        <v>327</v>
      </c>
      <c r="J191" s="11" t="s">
        <v>724</v>
      </c>
      <c r="K191" s="11" t="n">
        <v>20</v>
      </c>
      <c r="L191" s="11" t="s">
        <v>304</v>
      </c>
      <c r="M191" s="11" t="n">
        <v>20</v>
      </c>
      <c r="N191" s="11" t="s">
        <v>304</v>
      </c>
      <c r="O191" s="11" t="n">
        <v>20</v>
      </c>
      <c r="P191" s="11" t="s">
        <v>304</v>
      </c>
      <c r="Q191" s="11" t="n">
        <v>0</v>
      </c>
      <c r="R191" s="11" t="n">
        <v>0</v>
      </c>
      <c r="S191" s="11" t="s">
        <v>305</v>
      </c>
      <c r="T191" s="11" t="s">
        <v>306</v>
      </c>
      <c r="U191" s="11" t="s">
        <v>307</v>
      </c>
      <c r="V191" s="11" t="s">
        <v>308</v>
      </c>
      <c r="W191" s="11" t="s">
        <v>309</v>
      </c>
      <c r="X191" s="11" t="s">
        <v>310</v>
      </c>
      <c r="Y191" s="12" t="s">
        <v>311</v>
      </c>
    </row>
    <row r="192" customFormat="false" ht="32.8" hidden="false" customHeight="false" outlineLevel="0" collapsed="false">
      <c r="A192" s="10" t="s">
        <v>725</v>
      </c>
      <c r="B192" s="11" t="s">
        <v>197</v>
      </c>
      <c r="C192" s="11" t="s">
        <v>200</v>
      </c>
      <c r="D192" s="11" t="s">
        <v>201</v>
      </c>
      <c r="E192" s="11" t="s">
        <v>68</v>
      </c>
      <c r="F192" s="11" t="s">
        <v>726</v>
      </c>
      <c r="G192" s="11" t="s">
        <v>727</v>
      </c>
      <c r="H192" s="11" t="s">
        <v>301</v>
      </c>
      <c r="I192" s="11" t="s">
        <v>327</v>
      </c>
      <c r="J192" s="11" t="s">
        <v>724</v>
      </c>
      <c r="K192" s="11" t="n">
        <v>5</v>
      </c>
      <c r="L192" s="11" t="s">
        <v>304</v>
      </c>
      <c r="M192" s="11" t="n">
        <v>5</v>
      </c>
      <c r="N192" s="11" t="s">
        <v>304</v>
      </c>
      <c r="O192" s="11" t="n">
        <v>5</v>
      </c>
      <c r="P192" s="11" t="s">
        <v>304</v>
      </c>
      <c r="Q192" s="11" t="n">
        <v>0</v>
      </c>
      <c r="R192" s="11" t="n">
        <v>0</v>
      </c>
      <c r="S192" s="11" t="s">
        <v>305</v>
      </c>
      <c r="T192" s="11" t="s">
        <v>306</v>
      </c>
      <c r="U192" s="11" t="s">
        <v>307</v>
      </c>
      <c r="V192" s="11" t="s">
        <v>308</v>
      </c>
      <c r="W192" s="11" t="s">
        <v>309</v>
      </c>
      <c r="X192" s="11" t="s">
        <v>310</v>
      </c>
      <c r="Y192" s="12" t="s">
        <v>311</v>
      </c>
    </row>
    <row r="193" customFormat="false" ht="32.8" hidden="false" customHeight="false" outlineLevel="0" collapsed="false">
      <c r="A193" s="10" t="s">
        <v>728</v>
      </c>
      <c r="B193" s="11" t="s">
        <v>197</v>
      </c>
      <c r="C193" s="11" t="s">
        <v>200</v>
      </c>
      <c r="D193" s="11" t="s">
        <v>201</v>
      </c>
      <c r="E193" s="11" t="s">
        <v>68</v>
      </c>
      <c r="F193" s="11" t="s">
        <v>729</v>
      </c>
      <c r="G193" s="11" t="s">
        <v>730</v>
      </c>
      <c r="H193" s="11" t="s">
        <v>301</v>
      </c>
      <c r="I193" s="11" t="s">
        <v>339</v>
      </c>
      <c r="J193" s="11"/>
      <c r="K193" s="11" t="n">
        <v>12</v>
      </c>
      <c r="L193" s="11" t="s">
        <v>304</v>
      </c>
      <c r="M193" s="11" t="n">
        <v>10</v>
      </c>
      <c r="N193" s="11" t="s">
        <v>304</v>
      </c>
      <c r="O193" s="11" t="n">
        <v>10</v>
      </c>
      <c r="P193" s="11" t="s">
        <v>304</v>
      </c>
      <c r="Q193" s="11" t="n">
        <v>2</v>
      </c>
      <c r="R193" s="11" t="n">
        <v>0</v>
      </c>
      <c r="S193" s="11" t="s">
        <v>305</v>
      </c>
      <c r="T193" s="11" t="s">
        <v>306</v>
      </c>
      <c r="U193" s="11" t="s">
        <v>307</v>
      </c>
      <c r="V193" s="11" t="s">
        <v>308</v>
      </c>
      <c r="W193" s="11" t="s">
        <v>309</v>
      </c>
      <c r="X193" s="11" t="s">
        <v>310</v>
      </c>
      <c r="Y193" s="12" t="s">
        <v>311</v>
      </c>
    </row>
    <row r="194" customFormat="false" ht="32.8" hidden="false" customHeight="false" outlineLevel="0" collapsed="false">
      <c r="A194" s="10" t="s">
        <v>731</v>
      </c>
      <c r="B194" s="11" t="s">
        <v>203</v>
      </c>
      <c r="C194" s="11" t="s">
        <v>206</v>
      </c>
      <c r="D194" s="11" t="s">
        <v>207</v>
      </c>
      <c r="E194" s="11" t="s">
        <v>68</v>
      </c>
      <c r="F194" s="11" t="s">
        <v>732</v>
      </c>
      <c r="G194" s="11" t="s">
        <v>733</v>
      </c>
      <c r="H194" s="11" t="s">
        <v>301</v>
      </c>
      <c r="I194" s="11" t="s">
        <v>734</v>
      </c>
      <c r="J194" s="11" t="s">
        <v>735</v>
      </c>
      <c r="K194" s="11" t="n">
        <v>255</v>
      </c>
      <c r="L194" s="11" t="s">
        <v>304</v>
      </c>
      <c r="M194" s="11" t="n">
        <v>240</v>
      </c>
      <c r="N194" s="11" t="s">
        <v>304</v>
      </c>
      <c r="O194" s="11" t="n">
        <v>220</v>
      </c>
      <c r="P194" s="11" t="s">
        <v>304</v>
      </c>
      <c r="Q194" s="11" t="n">
        <v>15</v>
      </c>
      <c r="R194" s="11" t="n">
        <v>20</v>
      </c>
      <c r="S194" s="11" t="s">
        <v>305</v>
      </c>
      <c r="T194" s="11" t="s">
        <v>306</v>
      </c>
      <c r="U194" s="11" t="s">
        <v>307</v>
      </c>
      <c r="V194" s="11" t="s">
        <v>308</v>
      </c>
      <c r="W194" s="11" t="s">
        <v>309</v>
      </c>
      <c r="X194" s="11" t="s">
        <v>310</v>
      </c>
      <c r="Y194" s="12" t="s">
        <v>311</v>
      </c>
    </row>
    <row r="195" customFormat="false" ht="32.8" hidden="false" customHeight="false" outlineLevel="0" collapsed="false">
      <c r="A195" s="10" t="s">
        <v>736</v>
      </c>
      <c r="B195" s="11" t="s">
        <v>203</v>
      </c>
      <c r="C195" s="11" t="s">
        <v>206</v>
      </c>
      <c r="D195" s="11" t="s">
        <v>207</v>
      </c>
      <c r="E195" s="11" t="s">
        <v>68</v>
      </c>
      <c r="F195" s="11" t="s">
        <v>737</v>
      </c>
      <c r="G195" s="11" t="s">
        <v>738</v>
      </c>
      <c r="H195" s="11" t="s">
        <v>301</v>
      </c>
      <c r="I195" s="11" t="s">
        <v>327</v>
      </c>
      <c r="J195" s="11" t="s">
        <v>739</v>
      </c>
      <c r="K195" s="11" t="n">
        <v>35</v>
      </c>
      <c r="L195" s="11" t="s">
        <v>304</v>
      </c>
      <c r="M195" s="11" t="n">
        <v>35</v>
      </c>
      <c r="N195" s="11" t="s">
        <v>304</v>
      </c>
      <c r="O195" s="11" t="n">
        <v>30</v>
      </c>
      <c r="P195" s="11" t="s">
        <v>304</v>
      </c>
      <c r="Q195" s="11" t="n">
        <v>0</v>
      </c>
      <c r="R195" s="11" t="n">
        <v>5</v>
      </c>
      <c r="S195" s="11" t="s">
        <v>305</v>
      </c>
      <c r="T195" s="11" t="s">
        <v>306</v>
      </c>
      <c r="U195" s="11" t="s">
        <v>307</v>
      </c>
      <c r="V195" s="11" t="s">
        <v>308</v>
      </c>
      <c r="W195" s="11" t="s">
        <v>309</v>
      </c>
      <c r="X195" s="11" t="s">
        <v>310</v>
      </c>
      <c r="Y195" s="12" t="s">
        <v>311</v>
      </c>
    </row>
    <row r="196" customFormat="false" ht="32.8" hidden="false" customHeight="false" outlineLevel="0" collapsed="false">
      <c r="A196" s="10" t="s">
        <v>740</v>
      </c>
      <c r="B196" s="11" t="s">
        <v>203</v>
      </c>
      <c r="C196" s="11" t="s">
        <v>206</v>
      </c>
      <c r="D196" s="11" t="s">
        <v>207</v>
      </c>
      <c r="E196" s="11" t="s">
        <v>68</v>
      </c>
      <c r="F196" s="11" t="s">
        <v>449</v>
      </c>
      <c r="G196" s="11" t="s">
        <v>450</v>
      </c>
      <c r="H196" s="11" t="s">
        <v>301</v>
      </c>
      <c r="I196" s="11" t="s">
        <v>327</v>
      </c>
      <c r="J196" s="11" t="s">
        <v>739</v>
      </c>
      <c r="K196" s="11" t="n">
        <v>10</v>
      </c>
      <c r="L196" s="11" t="s">
        <v>304</v>
      </c>
      <c r="M196" s="11" t="n">
        <v>10</v>
      </c>
      <c r="N196" s="11" t="s">
        <v>304</v>
      </c>
      <c r="O196" s="11" t="n">
        <v>10</v>
      </c>
      <c r="P196" s="11" t="s">
        <v>304</v>
      </c>
      <c r="Q196" s="11" t="n">
        <v>0</v>
      </c>
      <c r="R196" s="11" t="n">
        <v>0</v>
      </c>
      <c r="S196" s="11" t="s">
        <v>305</v>
      </c>
      <c r="T196" s="11" t="s">
        <v>306</v>
      </c>
      <c r="U196" s="11" t="s">
        <v>307</v>
      </c>
      <c r="V196" s="11" t="s">
        <v>308</v>
      </c>
      <c r="W196" s="11" t="s">
        <v>309</v>
      </c>
      <c r="X196" s="11" t="s">
        <v>310</v>
      </c>
      <c r="Y196" s="12" t="s">
        <v>311</v>
      </c>
    </row>
    <row r="197" customFormat="false" ht="32.8" hidden="false" customHeight="false" outlineLevel="0" collapsed="false">
      <c r="A197" s="10" t="s">
        <v>741</v>
      </c>
      <c r="B197" s="11" t="s">
        <v>203</v>
      </c>
      <c r="C197" s="11" t="s">
        <v>206</v>
      </c>
      <c r="D197" s="11" t="s">
        <v>207</v>
      </c>
      <c r="E197" s="11" t="s">
        <v>68</v>
      </c>
      <c r="F197" s="11" t="s">
        <v>437</v>
      </c>
      <c r="G197" s="11" t="s">
        <v>438</v>
      </c>
      <c r="H197" s="11" t="s">
        <v>301</v>
      </c>
      <c r="I197" s="11" t="s">
        <v>670</v>
      </c>
      <c r="J197" s="11"/>
      <c r="K197" s="11" t="n">
        <v>5</v>
      </c>
      <c r="L197" s="11" t="s">
        <v>304</v>
      </c>
      <c r="M197" s="11" t="n">
        <v>5</v>
      </c>
      <c r="N197" s="11" t="s">
        <v>304</v>
      </c>
      <c r="O197" s="11" t="n">
        <v>5</v>
      </c>
      <c r="P197" s="11" t="s">
        <v>304</v>
      </c>
      <c r="Q197" s="11" t="n">
        <v>0</v>
      </c>
      <c r="R197" s="11" t="n">
        <v>0</v>
      </c>
      <c r="S197" s="11" t="s">
        <v>305</v>
      </c>
      <c r="T197" s="11" t="s">
        <v>306</v>
      </c>
      <c r="U197" s="11" t="s">
        <v>307</v>
      </c>
      <c r="V197" s="11" t="s">
        <v>308</v>
      </c>
      <c r="W197" s="11" t="s">
        <v>309</v>
      </c>
      <c r="X197" s="11" t="s">
        <v>310</v>
      </c>
      <c r="Y197" s="12" t="s">
        <v>311</v>
      </c>
    </row>
    <row r="198" customFormat="false" ht="32.8" hidden="false" customHeight="false" outlineLevel="0" collapsed="false">
      <c r="A198" s="10" t="s">
        <v>742</v>
      </c>
      <c r="B198" s="11" t="s">
        <v>203</v>
      </c>
      <c r="C198" s="11" t="s">
        <v>206</v>
      </c>
      <c r="D198" s="11" t="s">
        <v>207</v>
      </c>
      <c r="E198" s="11" t="s">
        <v>68</v>
      </c>
      <c r="F198" s="11" t="s">
        <v>330</v>
      </c>
      <c r="G198" s="11" t="s">
        <v>331</v>
      </c>
      <c r="H198" s="11" t="s">
        <v>301</v>
      </c>
      <c r="I198" s="11" t="s">
        <v>743</v>
      </c>
      <c r="J198" s="11"/>
      <c r="K198" s="11" t="n">
        <v>5.5</v>
      </c>
      <c r="L198" s="11" t="s">
        <v>304</v>
      </c>
      <c r="M198" s="11" t="n">
        <v>5</v>
      </c>
      <c r="N198" s="11" t="s">
        <v>304</v>
      </c>
      <c r="O198" s="11" t="n">
        <v>5</v>
      </c>
      <c r="P198" s="11" t="s">
        <v>304</v>
      </c>
      <c r="Q198" s="11" t="n">
        <v>0.5</v>
      </c>
      <c r="R198" s="11" t="n">
        <v>0</v>
      </c>
      <c r="S198" s="11" t="s">
        <v>305</v>
      </c>
      <c r="T198" s="11" t="s">
        <v>306</v>
      </c>
      <c r="U198" s="11" t="s">
        <v>307</v>
      </c>
      <c r="V198" s="11" t="s">
        <v>308</v>
      </c>
      <c r="W198" s="11" t="s">
        <v>309</v>
      </c>
      <c r="X198" s="11" t="s">
        <v>310</v>
      </c>
      <c r="Y198" s="12" t="s">
        <v>311</v>
      </c>
    </row>
    <row r="199" customFormat="false" ht="32.8" hidden="false" customHeight="false" outlineLevel="0" collapsed="false">
      <c r="A199" s="10" t="s">
        <v>744</v>
      </c>
      <c r="B199" s="11" t="s">
        <v>203</v>
      </c>
      <c r="C199" s="11" t="s">
        <v>206</v>
      </c>
      <c r="D199" s="11" t="s">
        <v>207</v>
      </c>
      <c r="E199" s="11" t="s">
        <v>68</v>
      </c>
      <c r="F199" s="11" t="s">
        <v>587</v>
      </c>
      <c r="G199" s="11" t="s">
        <v>588</v>
      </c>
      <c r="H199" s="11" t="s">
        <v>301</v>
      </c>
      <c r="I199" s="11" t="s">
        <v>743</v>
      </c>
      <c r="J199" s="11"/>
      <c r="K199" s="11" t="n">
        <v>5</v>
      </c>
      <c r="L199" s="11" t="s">
        <v>304</v>
      </c>
      <c r="M199" s="11" t="n">
        <v>5</v>
      </c>
      <c r="N199" s="11" t="s">
        <v>304</v>
      </c>
      <c r="O199" s="11" t="n">
        <v>5</v>
      </c>
      <c r="P199" s="11" t="s">
        <v>304</v>
      </c>
      <c r="Q199" s="11" t="n">
        <v>0</v>
      </c>
      <c r="R199" s="11" t="n">
        <v>0</v>
      </c>
      <c r="S199" s="11" t="s">
        <v>305</v>
      </c>
      <c r="T199" s="11" t="s">
        <v>306</v>
      </c>
      <c r="U199" s="11" t="s">
        <v>307</v>
      </c>
      <c r="V199" s="11" t="s">
        <v>308</v>
      </c>
      <c r="W199" s="11" t="s">
        <v>309</v>
      </c>
      <c r="X199" s="11" t="s">
        <v>310</v>
      </c>
      <c r="Y199" s="12" t="s">
        <v>311</v>
      </c>
    </row>
    <row r="200" customFormat="false" ht="32.8" hidden="false" customHeight="false" outlineLevel="0" collapsed="false">
      <c r="A200" s="10" t="s">
        <v>745</v>
      </c>
      <c r="B200" s="11" t="s">
        <v>203</v>
      </c>
      <c r="C200" s="11" t="s">
        <v>206</v>
      </c>
      <c r="D200" s="11" t="s">
        <v>207</v>
      </c>
      <c r="E200" s="11" t="s">
        <v>68</v>
      </c>
      <c r="F200" s="11" t="s">
        <v>571</v>
      </c>
      <c r="G200" s="11" t="s">
        <v>572</v>
      </c>
      <c r="H200" s="11" t="s">
        <v>301</v>
      </c>
      <c r="I200" s="11" t="s">
        <v>347</v>
      </c>
      <c r="J200" s="11"/>
      <c r="K200" s="11" t="n">
        <v>6</v>
      </c>
      <c r="L200" s="11" t="s">
        <v>304</v>
      </c>
      <c r="M200" s="11" t="n">
        <v>5</v>
      </c>
      <c r="N200" s="11" t="s">
        <v>304</v>
      </c>
      <c r="O200" s="11" t="n">
        <v>5</v>
      </c>
      <c r="P200" s="11" t="s">
        <v>304</v>
      </c>
      <c r="Q200" s="11" t="n">
        <v>1</v>
      </c>
      <c r="R200" s="11" t="n">
        <v>0</v>
      </c>
      <c r="S200" s="11" t="s">
        <v>305</v>
      </c>
      <c r="T200" s="11" t="s">
        <v>306</v>
      </c>
      <c r="U200" s="11" t="s">
        <v>307</v>
      </c>
      <c r="V200" s="11" t="s">
        <v>308</v>
      </c>
      <c r="W200" s="11" t="s">
        <v>309</v>
      </c>
      <c r="X200" s="11" t="s">
        <v>310</v>
      </c>
      <c r="Y200" s="12" t="s">
        <v>311</v>
      </c>
    </row>
    <row r="201" customFormat="false" ht="32.8" hidden="false" customHeight="false" outlineLevel="0" collapsed="false">
      <c r="A201" s="10" t="s">
        <v>746</v>
      </c>
      <c r="B201" s="11" t="s">
        <v>203</v>
      </c>
      <c r="C201" s="11" t="s">
        <v>206</v>
      </c>
      <c r="D201" s="11" t="s">
        <v>207</v>
      </c>
      <c r="E201" s="11" t="s">
        <v>68</v>
      </c>
      <c r="F201" s="11" t="s">
        <v>747</v>
      </c>
      <c r="G201" s="11" t="s">
        <v>748</v>
      </c>
      <c r="H201" s="11" t="s">
        <v>301</v>
      </c>
      <c r="I201" s="11" t="s">
        <v>580</v>
      </c>
      <c r="J201" s="11"/>
      <c r="K201" s="11" t="n">
        <v>18</v>
      </c>
      <c r="L201" s="11" t="s">
        <v>304</v>
      </c>
      <c r="M201" s="11" t="n">
        <v>18</v>
      </c>
      <c r="N201" s="11" t="s">
        <v>304</v>
      </c>
      <c r="O201" s="11" t="n">
        <v>18</v>
      </c>
      <c r="P201" s="11" t="s">
        <v>304</v>
      </c>
      <c r="Q201" s="11" t="n">
        <v>0</v>
      </c>
      <c r="R201" s="11" t="n">
        <v>0</v>
      </c>
      <c r="S201" s="11" t="s">
        <v>305</v>
      </c>
      <c r="T201" s="11" t="s">
        <v>306</v>
      </c>
      <c r="U201" s="11" t="s">
        <v>307</v>
      </c>
      <c r="V201" s="11" t="s">
        <v>308</v>
      </c>
      <c r="W201" s="11" t="s">
        <v>309</v>
      </c>
      <c r="X201" s="11" t="s">
        <v>310</v>
      </c>
      <c r="Y201" s="12" t="s">
        <v>311</v>
      </c>
    </row>
    <row r="202" customFormat="false" ht="32.8" hidden="false" customHeight="false" outlineLevel="0" collapsed="false">
      <c r="A202" s="10" t="s">
        <v>749</v>
      </c>
      <c r="B202" s="11" t="s">
        <v>203</v>
      </c>
      <c r="C202" s="11" t="s">
        <v>206</v>
      </c>
      <c r="D202" s="11" t="s">
        <v>207</v>
      </c>
      <c r="E202" s="11" t="s">
        <v>68</v>
      </c>
      <c r="F202" s="11" t="s">
        <v>473</v>
      </c>
      <c r="G202" s="11" t="s">
        <v>474</v>
      </c>
      <c r="H202" s="11" t="s">
        <v>301</v>
      </c>
      <c r="I202" s="11" t="s">
        <v>750</v>
      </c>
      <c r="J202" s="11"/>
      <c r="K202" s="11" t="n">
        <v>2</v>
      </c>
      <c r="L202" s="11" t="s">
        <v>304</v>
      </c>
      <c r="M202" s="11" t="n">
        <v>2</v>
      </c>
      <c r="N202" s="11" t="s">
        <v>304</v>
      </c>
      <c r="O202" s="11" t="n">
        <v>2</v>
      </c>
      <c r="P202" s="11" t="s">
        <v>304</v>
      </c>
      <c r="Q202" s="11" t="n">
        <v>0</v>
      </c>
      <c r="R202" s="11" t="n">
        <v>0</v>
      </c>
      <c r="S202" s="11" t="s">
        <v>305</v>
      </c>
      <c r="T202" s="11" t="s">
        <v>306</v>
      </c>
      <c r="U202" s="11" t="s">
        <v>307</v>
      </c>
      <c r="V202" s="11" t="s">
        <v>308</v>
      </c>
      <c r="W202" s="11" t="s">
        <v>309</v>
      </c>
      <c r="X202" s="11" t="s">
        <v>310</v>
      </c>
      <c r="Y202" s="12" t="s">
        <v>311</v>
      </c>
    </row>
    <row r="203" customFormat="false" ht="32.8" hidden="false" customHeight="false" outlineLevel="0" collapsed="false">
      <c r="A203" s="10" t="s">
        <v>751</v>
      </c>
      <c r="B203" s="11" t="s">
        <v>209</v>
      </c>
      <c r="C203" s="11" t="s">
        <v>213</v>
      </c>
      <c r="D203" s="11" t="s">
        <v>214</v>
      </c>
      <c r="E203" s="11" t="s">
        <v>68</v>
      </c>
      <c r="F203" s="11" t="s">
        <v>637</v>
      </c>
      <c r="G203" s="11" t="s">
        <v>638</v>
      </c>
      <c r="H203" s="11" t="s">
        <v>301</v>
      </c>
      <c r="I203" s="11" t="s">
        <v>506</v>
      </c>
      <c r="J203" s="11" t="s">
        <v>566</v>
      </c>
      <c r="K203" s="11" t="n">
        <v>170</v>
      </c>
      <c r="L203" s="11" t="s">
        <v>304</v>
      </c>
      <c r="M203" s="11" t="n">
        <v>150</v>
      </c>
      <c r="N203" s="11" t="s">
        <v>304</v>
      </c>
      <c r="O203" s="11" t="n">
        <v>135</v>
      </c>
      <c r="P203" s="11" t="s">
        <v>304</v>
      </c>
      <c r="Q203" s="11" t="n">
        <v>20</v>
      </c>
      <c r="R203" s="11" t="n">
        <v>15</v>
      </c>
      <c r="S203" s="11" t="s">
        <v>305</v>
      </c>
      <c r="T203" s="11" t="s">
        <v>306</v>
      </c>
      <c r="U203" s="11" t="s">
        <v>307</v>
      </c>
      <c r="V203" s="11" t="s">
        <v>308</v>
      </c>
      <c r="W203" s="11" t="s">
        <v>309</v>
      </c>
      <c r="X203" s="11" t="s">
        <v>310</v>
      </c>
      <c r="Y203" s="12" t="s">
        <v>311</v>
      </c>
    </row>
    <row r="204" customFormat="false" ht="32.8" hidden="false" customHeight="false" outlineLevel="0" collapsed="false">
      <c r="A204" s="10" t="s">
        <v>752</v>
      </c>
      <c r="B204" s="11" t="s">
        <v>209</v>
      </c>
      <c r="C204" s="11" t="s">
        <v>213</v>
      </c>
      <c r="D204" s="11" t="s">
        <v>214</v>
      </c>
      <c r="E204" s="11" t="s">
        <v>68</v>
      </c>
      <c r="F204" s="11" t="s">
        <v>437</v>
      </c>
      <c r="G204" s="11" t="s">
        <v>438</v>
      </c>
      <c r="H204" s="11" t="s">
        <v>301</v>
      </c>
      <c r="I204" s="11" t="s">
        <v>506</v>
      </c>
      <c r="J204" s="11" t="s">
        <v>566</v>
      </c>
      <c r="K204" s="11" t="n">
        <v>10</v>
      </c>
      <c r="L204" s="11" t="s">
        <v>304</v>
      </c>
      <c r="M204" s="11" t="n">
        <v>10</v>
      </c>
      <c r="N204" s="11" t="s">
        <v>304</v>
      </c>
      <c r="O204" s="11" t="n">
        <v>10</v>
      </c>
      <c r="P204" s="11" t="s">
        <v>304</v>
      </c>
      <c r="Q204" s="11" t="n">
        <v>0</v>
      </c>
      <c r="R204" s="11" t="n">
        <v>0</v>
      </c>
      <c r="S204" s="11" t="s">
        <v>305</v>
      </c>
      <c r="T204" s="11" t="s">
        <v>306</v>
      </c>
      <c r="U204" s="11" t="s">
        <v>307</v>
      </c>
      <c r="V204" s="11" t="s">
        <v>308</v>
      </c>
      <c r="W204" s="11" t="s">
        <v>309</v>
      </c>
      <c r="X204" s="11" t="s">
        <v>310</v>
      </c>
      <c r="Y204" s="12" t="s">
        <v>311</v>
      </c>
    </row>
    <row r="205" customFormat="false" ht="32.8" hidden="false" customHeight="false" outlineLevel="0" collapsed="false">
      <c r="A205" s="10" t="s">
        <v>753</v>
      </c>
      <c r="B205" s="11" t="s">
        <v>209</v>
      </c>
      <c r="C205" s="11" t="s">
        <v>213</v>
      </c>
      <c r="D205" s="11" t="s">
        <v>214</v>
      </c>
      <c r="E205" s="11" t="s">
        <v>68</v>
      </c>
      <c r="F205" s="11" t="s">
        <v>587</v>
      </c>
      <c r="G205" s="11" t="s">
        <v>588</v>
      </c>
      <c r="H205" s="11" t="s">
        <v>301</v>
      </c>
      <c r="I205" s="11" t="s">
        <v>506</v>
      </c>
      <c r="J205" s="11" t="s">
        <v>566</v>
      </c>
      <c r="K205" s="11" t="n">
        <v>3</v>
      </c>
      <c r="L205" s="11" t="s">
        <v>304</v>
      </c>
      <c r="M205" s="11" t="n">
        <v>3</v>
      </c>
      <c r="N205" s="11" t="s">
        <v>304</v>
      </c>
      <c r="O205" s="11" t="n">
        <v>3</v>
      </c>
      <c r="P205" s="11" t="s">
        <v>304</v>
      </c>
      <c r="Q205" s="11" t="n">
        <v>0</v>
      </c>
      <c r="R205" s="11" t="n">
        <v>0</v>
      </c>
      <c r="S205" s="11" t="s">
        <v>305</v>
      </c>
      <c r="T205" s="11" t="s">
        <v>306</v>
      </c>
      <c r="U205" s="11" t="s">
        <v>307</v>
      </c>
      <c r="V205" s="11" t="s">
        <v>308</v>
      </c>
      <c r="W205" s="11" t="s">
        <v>309</v>
      </c>
      <c r="X205" s="11" t="s">
        <v>310</v>
      </c>
      <c r="Y205" s="12" t="s">
        <v>311</v>
      </c>
    </row>
    <row r="206" customFormat="false" ht="32.8" hidden="false" customHeight="false" outlineLevel="0" collapsed="false">
      <c r="A206" s="10" t="s">
        <v>754</v>
      </c>
      <c r="B206" s="11" t="s">
        <v>209</v>
      </c>
      <c r="C206" s="11" t="s">
        <v>213</v>
      </c>
      <c r="D206" s="11" t="s">
        <v>214</v>
      </c>
      <c r="E206" s="11" t="s">
        <v>68</v>
      </c>
      <c r="F206" s="11" t="s">
        <v>473</v>
      </c>
      <c r="G206" s="11" t="s">
        <v>474</v>
      </c>
      <c r="H206" s="11" t="s">
        <v>301</v>
      </c>
      <c r="I206" s="11" t="s">
        <v>506</v>
      </c>
      <c r="J206" s="11" t="s">
        <v>566</v>
      </c>
      <c r="K206" s="11" t="n">
        <v>2</v>
      </c>
      <c r="L206" s="11" t="s">
        <v>304</v>
      </c>
      <c r="M206" s="11" t="n">
        <v>2</v>
      </c>
      <c r="N206" s="11" t="s">
        <v>304</v>
      </c>
      <c r="O206" s="11" t="n">
        <v>2</v>
      </c>
      <c r="P206" s="11" t="s">
        <v>304</v>
      </c>
      <c r="Q206" s="11" t="n">
        <v>0</v>
      </c>
      <c r="R206" s="11" t="n">
        <v>0</v>
      </c>
      <c r="S206" s="11" t="s">
        <v>305</v>
      </c>
      <c r="T206" s="11" t="s">
        <v>306</v>
      </c>
      <c r="U206" s="11" t="s">
        <v>307</v>
      </c>
      <c r="V206" s="11" t="s">
        <v>308</v>
      </c>
      <c r="W206" s="11" t="s">
        <v>309</v>
      </c>
      <c r="X206" s="11" t="s">
        <v>310</v>
      </c>
      <c r="Y206" s="12" t="s">
        <v>311</v>
      </c>
    </row>
    <row r="207" customFormat="false" ht="32.8" hidden="false" customHeight="false" outlineLevel="0" collapsed="false">
      <c r="A207" s="10" t="s">
        <v>755</v>
      </c>
      <c r="B207" s="11" t="s">
        <v>216</v>
      </c>
      <c r="C207" s="11" t="s">
        <v>218</v>
      </c>
      <c r="D207" s="11" t="s">
        <v>219</v>
      </c>
      <c r="E207" s="11" t="s">
        <v>68</v>
      </c>
      <c r="F207" s="11" t="s">
        <v>756</v>
      </c>
      <c r="G207" s="11" t="s">
        <v>757</v>
      </c>
      <c r="H207" s="11" t="s">
        <v>301</v>
      </c>
      <c r="I207" s="11" t="s">
        <v>758</v>
      </c>
      <c r="J207" s="11" t="s">
        <v>759</v>
      </c>
      <c r="K207" s="11" t="n">
        <v>55</v>
      </c>
      <c r="L207" s="11" t="s">
        <v>304</v>
      </c>
      <c r="M207" s="11" t="n">
        <v>55</v>
      </c>
      <c r="N207" s="11" t="s">
        <v>304</v>
      </c>
      <c r="O207" s="11" t="n">
        <v>50</v>
      </c>
      <c r="P207" s="11" t="s">
        <v>304</v>
      </c>
      <c r="Q207" s="11" t="n">
        <v>0</v>
      </c>
      <c r="R207" s="11" t="n">
        <v>5</v>
      </c>
      <c r="S207" s="11" t="s">
        <v>305</v>
      </c>
      <c r="T207" s="11" t="s">
        <v>306</v>
      </c>
      <c r="U207" s="11" t="s">
        <v>307</v>
      </c>
      <c r="V207" s="11" t="s">
        <v>308</v>
      </c>
      <c r="W207" s="11" t="s">
        <v>309</v>
      </c>
      <c r="X207" s="11" t="s">
        <v>310</v>
      </c>
      <c r="Y207" s="12" t="s">
        <v>311</v>
      </c>
    </row>
    <row r="208" customFormat="false" ht="32.8" hidden="false" customHeight="false" outlineLevel="0" collapsed="false">
      <c r="A208" s="10" t="s">
        <v>760</v>
      </c>
      <c r="B208" s="11" t="s">
        <v>216</v>
      </c>
      <c r="C208" s="11" t="s">
        <v>218</v>
      </c>
      <c r="D208" s="11" t="s">
        <v>219</v>
      </c>
      <c r="E208" s="11" t="s">
        <v>68</v>
      </c>
      <c r="F208" s="11" t="s">
        <v>761</v>
      </c>
      <c r="G208" s="11" t="s">
        <v>762</v>
      </c>
      <c r="H208" s="11" t="s">
        <v>301</v>
      </c>
      <c r="I208" s="11" t="s">
        <v>758</v>
      </c>
      <c r="J208" s="11" t="s">
        <v>759</v>
      </c>
      <c r="K208" s="11" t="n">
        <v>120</v>
      </c>
      <c r="L208" s="11" t="s">
        <v>304</v>
      </c>
      <c r="M208" s="11" t="n">
        <v>120</v>
      </c>
      <c r="N208" s="11" t="s">
        <v>304</v>
      </c>
      <c r="O208" s="11" t="n">
        <v>88</v>
      </c>
      <c r="P208" s="11" t="s">
        <v>304</v>
      </c>
      <c r="Q208" s="11" t="n">
        <v>0</v>
      </c>
      <c r="R208" s="11" t="n">
        <v>32</v>
      </c>
      <c r="S208" s="11" t="s">
        <v>305</v>
      </c>
      <c r="T208" s="11" t="s">
        <v>306</v>
      </c>
      <c r="U208" s="11" t="s">
        <v>307</v>
      </c>
      <c r="V208" s="11" t="s">
        <v>308</v>
      </c>
      <c r="W208" s="11" t="s">
        <v>309</v>
      </c>
      <c r="X208" s="11" t="s">
        <v>310</v>
      </c>
      <c r="Y208" s="12" t="s">
        <v>311</v>
      </c>
    </row>
    <row r="209" customFormat="false" ht="32.8" hidden="false" customHeight="false" outlineLevel="0" collapsed="false">
      <c r="A209" s="10" t="s">
        <v>763</v>
      </c>
      <c r="B209" s="11" t="s">
        <v>216</v>
      </c>
      <c r="C209" s="11" t="s">
        <v>218</v>
      </c>
      <c r="D209" s="11" t="s">
        <v>219</v>
      </c>
      <c r="E209" s="11" t="s">
        <v>68</v>
      </c>
      <c r="F209" s="11" t="s">
        <v>437</v>
      </c>
      <c r="G209" s="11" t="s">
        <v>438</v>
      </c>
      <c r="H209" s="11" t="s">
        <v>301</v>
      </c>
      <c r="I209" s="11" t="s">
        <v>347</v>
      </c>
      <c r="J209" s="11"/>
      <c r="K209" s="11" t="n">
        <v>5</v>
      </c>
      <c r="L209" s="11" t="s">
        <v>304</v>
      </c>
      <c r="M209" s="11" t="n">
        <v>5</v>
      </c>
      <c r="N209" s="11" t="s">
        <v>304</v>
      </c>
      <c r="O209" s="11" t="n">
        <v>5</v>
      </c>
      <c r="P209" s="11" t="s">
        <v>304</v>
      </c>
      <c r="Q209" s="11" t="n">
        <v>0</v>
      </c>
      <c r="R209" s="11" t="n">
        <v>0</v>
      </c>
      <c r="S209" s="11" t="s">
        <v>305</v>
      </c>
      <c r="T209" s="11" t="s">
        <v>306</v>
      </c>
      <c r="U209" s="11" t="s">
        <v>307</v>
      </c>
      <c r="V209" s="11" t="s">
        <v>308</v>
      </c>
      <c r="W209" s="11" t="s">
        <v>309</v>
      </c>
      <c r="X209" s="11" t="s">
        <v>310</v>
      </c>
      <c r="Y209" s="12" t="s">
        <v>311</v>
      </c>
    </row>
    <row r="210" customFormat="false" ht="32.8" hidden="false" customHeight="false" outlineLevel="0" collapsed="false">
      <c r="A210" s="10" t="s">
        <v>764</v>
      </c>
      <c r="B210" s="11" t="s">
        <v>216</v>
      </c>
      <c r="C210" s="11" t="s">
        <v>218</v>
      </c>
      <c r="D210" s="11" t="s">
        <v>219</v>
      </c>
      <c r="E210" s="11" t="s">
        <v>68</v>
      </c>
      <c r="F210" s="11" t="s">
        <v>449</v>
      </c>
      <c r="G210" s="11" t="s">
        <v>450</v>
      </c>
      <c r="H210" s="11" t="s">
        <v>301</v>
      </c>
      <c r="I210" s="11" t="s">
        <v>347</v>
      </c>
      <c r="J210" s="11"/>
      <c r="K210" s="11" t="n">
        <v>5</v>
      </c>
      <c r="L210" s="11" t="s">
        <v>304</v>
      </c>
      <c r="M210" s="11" t="n">
        <v>5</v>
      </c>
      <c r="N210" s="11" t="s">
        <v>304</v>
      </c>
      <c r="O210" s="11" t="n">
        <v>5</v>
      </c>
      <c r="P210" s="11" t="s">
        <v>304</v>
      </c>
      <c r="Q210" s="11" t="n">
        <v>0</v>
      </c>
      <c r="R210" s="11" t="n">
        <v>0</v>
      </c>
      <c r="S210" s="11" t="s">
        <v>305</v>
      </c>
      <c r="T210" s="11" t="s">
        <v>306</v>
      </c>
      <c r="U210" s="11" t="s">
        <v>307</v>
      </c>
      <c r="V210" s="11" t="s">
        <v>308</v>
      </c>
      <c r="W210" s="11" t="s">
        <v>309</v>
      </c>
      <c r="X210" s="11" t="s">
        <v>310</v>
      </c>
      <c r="Y210" s="12" t="s">
        <v>311</v>
      </c>
    </row>
    <row r="211" customFormat="false" ht="32.8" hidden="false" customHeight="false" outlineLevel="0" collapsed="false">
      <c r="A211" s="10" t="s">
        <v>765</v>
      </c>
      <c r="B211" s="11" t="s">
        <v>216</v>
      </c>
      <c r="C211" s="11" t="s">
        <v>218</v>
      </c>
      <c r="D211" s="11" t="s">
        <v>219</v>
      </c>
      <c r="E211" s="11" t="s">
        <v>68</v>
      </c>
      <c r="F211" s="11" t="s">
        <v>319</v>
      </c>
      <c r="G211" s="11" t="s">
        <v>320</v>
      </c>
      <c r="H211" s="11" t="s">
        <v>301</v>
      </c>
      <c r="I211" s="11" t="s">
        <v>758</v>
      </c>
      <c r="J211" s="11"/>
      <c r="K211" s="11" t="n">
        <v>2</v>
      </c>
      <c r="L211" s="11" t="s">
        <v>304</v>
      </c>
      <c r="M211" s="11" t="n">
        <v>2</v>
      </c>
      <c r="N211" s="11" t="s">
        <v>304</v>
      </c>
      <c r="O211" s="11" t="n">
        <v>2</v>
      </c>
      <c r="P211" s="11" t="s">
        <v>304</v>
      </c>
      <c r="Q211" s="11" t="n">
        <v>0</v>
      </c>
      <c r="R211" s="11" t="n">
        <v>0</v>
      </c>
      <c r="S211" s="11" t="s">
        <v>305</v>
      </c>
      <c r="T211" s="11" t="s">
        <v>306</v>
      </c>
      <c r="U211" s="11" t="s">
        <v>307</v>
      </c>
      <c r="V211" s="11" t="s">
        <v>308</v>
      </c>
      <c r="W211" s="11" t="s">
        <v>309</v>
      </c>
      <c r="X211" s="11" t="s">
        <v>310</v>
      </c>
      <c r="Y211" s="12" t="s">
        <v>311</v>
      </c>
    </row>
    <row r="212" customFormat="false" ht="32.8" hidden="false" customHeight="false" outlineLevel="0" collapsed="false">
      <c r="A212" s="10" t="s">
        <v>766</v>
      </c>
      <c r="B212" s="11" t="s">
        <v>221</v>
      </c>
      <c r="C212" s="11" t="s">
        <v>223</v>
      </c>
      <c r="D212" s="11" t="s">
        <v>224</v>
      </c>
      <c r="E212" s="11" t="s">
        <v>68</v>
      </c>
      <c r="F212" s="11" t="s">
        <v>689</v>
      </c>
      <c r="G212" s="11" t="s">
        <v>690</v>
      </c>
      <c r="H212" s="11" t="s">
        <v>301</v>
      </c>
      <c r="I212" s="11" t="s">
        <v>767</v>
      </c>
      <c r="J212" s="11" t="s">
        <v>768</v>
      </c>
      <c r="K212" s="11" t="n">
        <v>48</v>
      </c>
      <c r="L212" s="11" t="s">
        <v>304</v>
      </c>
      <c r="M212" s="11" t="n">
        <v>43</v>
      </c>
      <c r="N212" s="11" t="s">
        <v>304</v>
      </c>
      <c r="O212" s="11" t="n">
        <v>40</v>
      </c>
      <c r="P212" s="11" t="s">
        <v>304</v>
      </c>
      <c r="Q212" s="11" t="n">
        <v>5</v>
      </c>
      <c r="R212" s="11" t="n">
        <v>3</v>
      </c>
      <c r="S212" s="11" t="s">
        <v>305</v>
      </c>
      <c r="T212" s="11" t="s">
        <v>306</v>
      </c>
      <c r="U212" s="11" t="s">
        <v>307</v>
      </c>
      <c r="V212" s="11" t="s">
        <v>308</v>
      </c>
      <c r="W212" s="11" t="s">
        <v>309</v>
      </c>
      <c r="X212" s="11" t="s">
        <v>310</v>
      </c>
      <c r="Y212" s="12" t="s">
        <v>311</v>
      </c>
    </row>
    <row r="213" customFormat="false" ht="32.8" hidden="false" customHeight="false" outlineLevel="0" collapsed="false">
      <c r="A213" s="10" t="s">
        <v>769</v>
      </c>
      <c r="B213" s="11" t="s">
        <v>221</v>
      </c>
      <c r="C213" s="11" t="s">
        <v>223</v>
      </c>
      <c r="D213" s="11" t="s">
        <v>224</v>
      </c>
      <c r="E213" s="11" t="s">
        <v>68</v>
      </c>
      <c r="F213" s="11" t="s">
        <v>509</v>
      </c>
      <c r="G213" s="11" t="s">
        <v>510</v>
      </c>
      <c r="H213" s="11" t="s">
        <v>301</v>
      </c>
      <c r="I213" s="11" t="s">
        <v>767</v>
      </c>
      <c r="J213" s="11" t="s">
        <v>768</v>
      </c>
      <c r="K213" s="11" t="n">
        <v>42</v>
      </c>
      <c r="L213" s="11" t="s">
        <v>304</v>
      </c>
      <c r="M213" s="11" t="n">
        <v>38</v>
      </c>
      <c r="N213" s="11" t="s">
        <v>304</v>
      </c>
      <c r="O213" s="11" t="n">
        <v>35</v>
      </c>
      <c r="P213" s="11" t="s">
        <v>304</v>
      </c>
      <c r="Q213" s="11" t="n">
        <v>4</v>
      </c>
      <c r="R213" s="11" t="n">
        <v>3</v>
      </c>
      <c r="S213" s="11" t="s">
        <v>305</v>
      </c>
      <c r="T213" s="11" t="s">
        <v>306</v>
      </c>
      <c r="U213" s="11" t="s">
        <v>307</v>
      </c>
      <c r="V213" s="11" t="s">
        <v>308</v>
      </c>
      <c r="W213" s="11" t="s">
        <v>309</v>
      </c>
      <c r="X213" s="11" t="s">
        <v>310</v>
      </c>
      <c r="Y213" s="12" t="s">
        <v>311</v>
      </c>
    </row>
    <row r="214" customFormat="false" ht="32.8" hidden="false" customHeight="false" outlineLevel="0" collapsed="false">
      <c r="A214" s="10" t="s">
        <v>770</v>
      </c>
      <c r="B214" s="11" t="s">
        <v>221</v>
      </c>
      <c r="C214" s="11" t="s">
        <v>223</v>
      </c>
      <c r="D214" s="11" t="s">
        <v>224</v>
      </c>
      <c r="E214" s="11" t="s">
        <v>68</v>
      </c>
      <c r="F214" s="11" t="s">
        <v>771</v>
      </c>
      <c r="G214" s="11" t="s">
        <v>772</v>
      </c>
      <c r="H214" s="11" t="s">
        <v>301</v>
      </c>
      <c r="I214" s="11" t="s">
        <v>767</v>
      </c>
      <c r="J214" s="11" t="s">
        <v>768</v>
      </c>
      <c r="K214" s="11" t="n">
        <v>36</v>
      </c>
      <c r="L214" s="11" t="s">
        <v>304</v>
      </c>
      <c r="M214" s="11" t="n">
        <v>33</v>
      </c>
      <c r="N214" s="11" t="s">
        <v>304</v>
      </c>
      <c r="O214" s="11" t="n">
        <v>30</v>
      </c>
      <c r="P214" s="11" t="s">
        <v>304</v>
      </c>
      <c r="Q214" s="11" t="n">
        <v>3</v>
      </c>
      <c r="R214" s="11" t="n">
        <v>3</v>
      </c>
      <c r="S214" s="11" t="s">
        <v>305</v>
      </c>
      <c r="T214" s="11" t="s">
        <v>306</v>
      </c>
      <c r="U214" s="11" t="s">
        <v>307</v>
      </c>
      <c r="V214" s="11" t="s">
        <v>308</v>
      </c>
      <c r="W214" s="11" t="s">
        <v>309</v>
      </c>
      <c r="X214" s="11" t="s">
        <v>310</v>
      </c>
      <c r="Y214" s="12" t="s">
        <v>311</v>
      </c>
    </row>
    <row r="215" customFormat="false" ht="32.8" hidden="false" customHeight="false" outlineLevel="0" collapsed="false">
      <c r="A215" s="10" t="s">
        <v>773</v>
      </c>
      <c r="B215" s="11" t="s">
        <v>221</v>
      </c>
      <c r="C215" s="11" t="s">
        <v>223</v>
      </c>
      <c r="D215" s="11" t="s">
        <v>224</v>
      </c>
      <c r="E215" s="11" t="s">
        <v>68</v>
      </c>
      <c r="F215" s="11" t="s">
        <v>774</v>
      </c>
      <c r="G215" s="11" t="s">
        <v>775</v>
      </c>
      <c r="H215" s="11" t="s">
        <v>301</v>
      </c>
      <c r="I215" s="11" t="s">
        <v>767</v>
      </c>
      <c r="J215" s="11" t="s">
        <v>768</v>
      </c>
      <c r="K215" s="11" t="n">
        <v>31</v>
      </c>
      <c r="L215" s="11" t="s">
        <v>304</v>
      </c>
      <c r="M215" s="11" t="n">
        <v>28</v>
      </c>
      <c r="N215" s="11" t="s">
        <v>304</v>
      </c>
      <c r="O215" s="11" t="n">
        <v>25</v>
      </c>
      <c r="P215" s="11" t="s">
        <v>304</v>
      </c>
      <c r="Q215" s="11" t="n">
        <v>3</v>
      </c>
      <c r="R215" s="11" t="n">
        <v>3</v>
      </c>
      <c r="S215" s="11" t="s">
        <v>305</v>
      </c>
      <c r="T215" s="11" t="s">
        <v>306</v>
      </c>
      <c r="U215" s="11" t="s">
        <v>307</v>
      </c>
      <c r="V215" s="11" t="s">
        <v>308</v>
      </c>
      <c r="W215" s="11" t="s">
        <v>309</v>
      </c>
      <c r="X215" s="11" t="s">
        <v>310</v>
      </c>
      <c r="Y215" s="12" t="s">
        <v>311</v>
      </c>
    </row>
    <row r="216" customFormat="false" ht="32.8" hidden="false" customHeight="false" outlineLevel="0" collapsed="false">
      <c r="A216" s="10" t="s">
        <v>776</v>
      </c>
      <c r="B216" s="11" t="s">
        <v>221</v>
      </c>
      <c r="C216" s="11" t="s">
        <v>223</v>
      </c>
      <c r="D216" s="11" t="s">
        <v>224</v>
      </c>
      <c r="E216" s="11" t="s">
        <v>68</v>
      </c>
      <c r="F216" s="11" t="s">
        <v>437</v>
      </c>
      <c r="G216" s="11" t="s">
        <v>438</v>
      </c>
      <c r="H216" s="11" t="s">
        <v>301</v>
      </c>
      <c r="I216" s="11" t="s">
        <v>670</v>
      </c>
      <c r="J216" s="11"/>
      <c r="K216" s="11" t="n">
        <v>15</v>
      </c>
      <c r="L216" s="11" t="s">
        <v>304</v>
      </c>
      <c r="M216" s="11" t="n">
        <v>15</v>
      </c>
      <c r="N216" s="11" t="s">
        <v>304</v>
      </c>
      <c r="O216" s="11" t="n">
        <v>15</v>
      </c>
      <c r="P216" s="11" t="s">
        <v>304</v>
      </c>
      <c r="Q216" s="11" t="n">
        <v>0</v>
      </c>
      <c r="R216" s="11" t="n">
        <v>0</v>
      </c>
      <c r="S216" s="11" t="s">
        <v>305</v>
      </c>
      <c r="T216" s="11" t="s">
        <v>306</v>
      </c>
      <c r="U216" s="11" t="s">
        <v>307</v>
      </c>
      <c r="V216" s="11" t="s">
        <v>308</v>
      </c>
      <c r="W216" s="11" t="s">
        <v>309</v>
      </c>
      <c r="X216" s="11" t="s">
        <v>310</v>
      </c>
      <c r="Y216" s="12" t="s">
        <v>311</v>
      </c>
    </row>
    <row r="217" customFormat="false" ht="32.8" hidden="false" customHeight="false" outlineLevel="0" collapsed="false">
      <c r="A217" s="10" t="s">
        <v>777</v>
      </c>
      <c r="B217" s="11" t="s">
        <v>221</v>
      </c>
      <c r="C217" s="11" t="s">
        <v>223</v>
      </c>
      <c r="D217" s="11" t="s">
        <v>224</v>
      </c>
      <c r="E217" s="11" t="s">
        <v>68</v>
      </c>
      <c r="F217" s="11" t="s">
        <v>587</v>
      </c>
      <c r="G217" s="11" t="s">
        <v>588</v>
      </c>
      <c r="H217" s="11" t="s">
        <v>301</v>
      </c>
      <c r="I217" s="11" t="s">
        <v>347</v>
      </c>
      <c r="J217" s="11"/>
      <c r="K217" s="11" t="n">
        <v>3</v>
      </c>
      <c r="L217" s="11" t="s">
        <v>304</v>
      </c>
      <c r="M217" s="11" t="n">
        <v>3</v>
      </c>
      <c r="N217" s="11" t="s">
        <v>304</v>
      </c>
      <c r="O217" s="11" t="n">
        <v>3</v>
      </c>
      <c r="P217" s="11" t="s">
        <v>304</v>
      </c>
      <c r="Q217" s="11" t="n">
        <v>0</v>
      </c>
      <c r="R217" s="11" t="n">
        <v>0</v>
      </c>
      <c r="S217" s="11" t="s">
        <v>305</v>
      </c>
      <c r="T217" s="11" t="s">
        <v>306</v>
      </c>
      <c r="U217" s="11" t="s">
        <v>307</v>
      </c>
      <c r="V217" s="11" t="s">
        <v>308</v>
      </c>
      <c r="W217" s="11" t="s">
        <v>309</v>
      </c>
      <c r="X217" s="11" t="s">
        <v>310</v>
      </c>
      <c r="Y217" s="12" t="s">
        <v>311</v>
      </c>
    </row>
    <row r="218" customFormat="false" ht="32.8" hidden="false" customHeight="false" outlineLevel="0" collapsed="false">
      <c r="A218" s="10" t="s">
        <v>778</v>
      </c>
      <c r="B218" s="11" t="s">
        <v>221</v>
      </c>
      <c r="C218" s="11" t="s">
        <v>223</v>
      </c>
      <c r="D218" s="11" t="s">
        <v>224</v>
      </c>
      <c r="E218" s="11" t="s">
        <v>68</v>
      </c>
      <c r="F218" s="11" t="s">
        <v>473</v>
      </c>
      <c r="G218" s="11" t="s">
        <v>474</v>
      </c>
      <c r="H218" s="11" t="s">
        <v>301</v>
      </c>
      <c r="I218" s="11" t="s">
        <v>347</v>
      </c>
      <c r="J218" s="11"/>
      <c r="K218" s="11" t="n">
        <v>2</v>
      </c>
      <c r="L218" s="11" t="s">
        <v>304</v>
      </c>
      <c r="M218" s="11" t="n">
        <v>2</v>
      </c>
      <c r="N218" s="11" t="s">
        <v>304</v>
      </c>
      <c r="O218" s="11" t="n">
        <v>2</v>
      </c>
      <c r="P218" s="11" t="s">
        <v>304</v>
      </c>
      <c r="Q218" s="11" t="n">
        <v>0</v>
      </c>
      <c r="R218" s="11" t="n">
        <v>0</v>
      </c>
      <c r="S218" s="11" t="s">
        <v>305</v>
      </c>
      <c r="T218" s="11" t="s">
        <v>306</v>
      </c>
      <c r="U218" s="11" t="s">
        <v>307</v>
      </c>
      <c r="V218" s="11" t="s">
        <v>308</v>
      </c>
      <c r="W218" s="11" t="s">
        <v>309</v>
      </c>
      <c r="X218" s="11" t="s">
        <v>310</v>
      </c>
      <c r="Y218" s="12" t="s">
        <v>311</v>
      </c>
    </row>
    <row r="219" customFormat="false" ht="32.8" hidden="false" customHeight="false" outlineLevel="0" collapsed="false">
      <c r="A219" s="10" t="s">
        <v>779</v>
      </c>
      <c r="B219" s="11" t="s">
        <v>252</v>
      </c>
      <c r="C219" s="11" t="s">
        <v>258</v>
      </c>
      <c r="D219" s="11" t="s">
        <v>259</v>
      </c>
      <c r="E219" s="11" t="s">
        <v>68</v>
      </c>
      <c r="F219" s="11" t="s">
        <v>780</v>
      </c>
      <c r="G219" s="11" t="s">
        <v>781</v>
      </c>
      <c r="H219" s="11" t="s">
        <v>301</v>
      </c>
      <c r="I219" s="11" t="s">
        <v>782</v>
      </c>
      <c r="J219" s="11" t="s">
        <v>783</v>
      </c>
      <c r="K219" s="11" t="n">
        <v>190</v>
      </c>
      <c r="L219" s="11" t="s">
        <v>304</v>
      </c>
      <c r="M219" s="11" t="n">
        <v>190</v>
      </c>
      <c r="N219" s="11" t="s">
        <v>304</v>
      </c>
      <c r="O219" s="11" t="n">
        <v>180</v>
      </c>
      <c r="P219" s="11" t="s">
        <v>304</v>
      </c>
      <c r="Q219" s="11" t="n">
        <v>0</v>
      </c>
      <c r="R219" s="11" t="n">
        <v>10</v>
      </c>
      <c r="S219" s="11" t="s">
        <v>305</v>
      </c>
      <c r="T219" s="11" t="s">
        <v>306</v>
      </c>
      <c r="U219" s="11" t="s">
        <v>307</v>
      </c>
      <c r="V219" s="11" t="s">
        <v>308</v>
      </c>
      <c r="W219" s="11" t="s">
        <v>309</v>
      </c>
      <c r="X219" s="11" t="s">
        <v>310</v>
      </c>
      <c r="Y219" s="12" t="s">
        <v>311</v>
      </c>
    </row>
    <row r="220" customFormat="false" ht="32.8" hidden="false" customHeight="false" outlineLevel="0" collapsed="false">
      <c r="A220" s="10" t="s">
        <v>784</v>
      </c>
      <c r="B220" s="11" t="s">
        <v>252</v>
      </c>
      <c r="C220" s="11" t="s">
        <v>258</v>
      </c>
      <c r="D220" s="11" t="s">
        <v>259</v>
      </c>
      <c r="E220" s="11" t="s">
        <v>68</v>
      </c>
      <c r="F220" s="11" t="s">
        <v>446</v>
      </c>
      <c r="G220" s="11" t="s">
        <v>447</v>
      </c>
      <c r="H220" s="11" t="s">
        <v>301</v>
      </c>
      <c r="I220" s="11" t="s">
        <v>782</v>
      </c>
      <c r="J220" s="11" t="s">
        <v>783</v>
      </c>
      <c r="K220" s="11" t="n">
        <v>185</v>
      </c>
      <c r="L220" s="11" t="s">
        <v>304</v>
      </c>
      <c r="M220" s="11" t="n">
        <v>185</v>
      </c>
      <c r="N220" s="11" t="s">
        <v>304</v>
      </c>
      <c r="O220" s="11" t="n">
        <v>180</v>
      </c>
      <c r="P220" s="11" t="s">
        <v>304</v>
      </c>
      <c r="Q220" s="11" t="n">
        <v>0</v>
      </c>
      <c r="R220" s="11" t="n">
        <v>5</v>
      </c>
      <c r="S220" s="11" t="s">
        <v>305</v>
      </c>
      <c r="T220" s="11" t="s">
        <v>306</v>
      </c>
      <c r="U220" s="11" t="s">
        <v>307</v>
      </c>
      <c r="V220" s="11" t="s">
        <v>308</v>
      </c>
      <c r="W220" s="11" t="s">
        <v>309</v>
      </c>
      <c r="X220" s="11" t="s">
        <v>310</v>
      </c>
      <c r="Y220" s="12" t="s">
        <v>311</v>
      </c>
    </row>
    <row r="221" customFormat="false" ht="32.8" hidden="false" customHeight="false" outlineLevel="0" collapsed="false">
      <c r="A221" s="10" t="s">
        <v>785</v>
      </c>
      <c r="B221" s="11" t="s">
        <v>252</v>
      </c>
      <c r="C221" s="11" t="s">
        <v>258</v>
      </c>
      <c r="D221" s="11" t="s">
        <v>259</v>
      </c>
      <c r="E221" s="11" t="s">
        <v>68</v>
      </c>
      <c r="F221" s="11" t="s">
        <v>452</v>
      </c>
      <c r="G221" s="11" t="s">
        <v>453</v>
      </c>
      <c r="H221" s="11" t="s">
        <v>301</v>
      </c>
      <c r="I221" s="11" t="s">
        <v>782</v>
      </c>
      <c r="J221" s="11" t="s">
        <v>783</v>
      </c>
      <c r="K221" s="11" t="n">
        <v>150</v>
      </c>
      <c r="L221" s="11" t="s">
        <v>304</v>
      </c>
      <c r="M221" s="11" t="n">
        <v>150</v>
      </c>
      <c r="N221" s="11" t="s">
        <v>304</v>
      </c>
      <c r="O221" s="11" t="n">
        <v>150</v>
      </c>
      <c r="P221" s="11" t="s">
        <v>304</v>
      </c>
      <c r="Q221" s="11" t="n">
        <v>0</v>
      </c>
      <c r="R221" s="11" t="n">
        <v>0</v>
      </c>
      <c r="S221" s="11" t="s">
        <v>305</v>
      </c>
      <c r="T221" s="11" t="s">
        <v>306</v>
      </c>
      <c r="U221" s="11" t="s">
        <v>307</v>
      </c>
      <c r="V221" s="11" t="s">
        <v>308</v>
      </c>
      <c r="W221" s="11" t="s">
        <v>309</v>
      </c>
      <c r="X221" s="11" t="s">
        <v>310</v>
      </c>
      <c r="Y221" s="12" t="s">
        <v>311</v>
      </c>
    </row>
    <row r="222" customFormat="false" ht="32.8" hidden="false" customHeight="false" outlineLevel="0" collapsed="false">
      <c r="A222" s="10" t="s">
        <v>786</v>
      </c>
      <c r="B222" s="11" t="s">
        <v>252</v>
      </c>
      <c r="C222" s="11" t="s">
        <v>258</v>
      </c>
      <c r="D222" s="11" t="s">
        <v>259</v>
      </c>
      <c r="E222" s="11" t="s">
        <v>68</v>
      </c>
      <c r="F222" s="11" t="s">
        <v>449</v>
      </c>
      <c r="G222" s="11" t="s">
        <v>450</v>
      </c>
      <c r="H222" s="11" t="s">
        <v>301</v>
      </c>
      <c r="I222" s="11" t="s">
        <v>782</v>
      </c>
      <c r="J222" s="11" t="s">
        <v>783</v>
      </c>
      <c r="K222" s="11" t="n">
        <v>70</v>
      </c>
      <c r="L222" s="11" t="s">
        <v>304</v>
      </c>
      <c r="M222" s="11" t="n">
        <v>70</v>
      </c>
      <c r="N222" s="11" t="s">
        <v>304</v>
      </c>
      <c r="O222" s="11" t="n">
        <v>70</v>
      </c>
      <c r="P222" s="11" t="s">
        <v>304</v>
      </c>
      <c r="Q222" s="11" t="n">
        <v>0</v>
      </c>
      <c r="R222" s="11" t="n">
        <v>0</v>
      </c>
      <c r="S222" s="11" t="s">
        <v>305</v>
      </c>
      <c r="T222" s="11" t="s">
        <v>306</v>
      </c>
      <c r="U222" s="11" t="s">
        <v>307</v>
      </c>
      <c r="V222" s="11" t="s">
        <v>308</v>
      </c>
      <c r="W222" s="11" t="s">
        <v>309</v>
      </c>
      <c r="X222" s="11" t="s">
        <v>310</v>
      </c>
      <c r="Y222" s="12" t="s">
        <v>311</v>
      </c>
    </row>
    <row r="223" customFormat="false" ht="32.8" hidden="false" customHeight="false" outlineLevel="0" collapsed="false">
      <c r="A223" s="10" t="s">
        <v>787</v>
      </c>
      <c r="B223" s="11" t="s">
        <v>252</v>
      </c>
      <c r="C223" s="11" t="s">
        <v>258</v>
      </c>
      <c r="D223" s="11" t="s">
        <v>259</v>
      </c>
      <c r="E223" s="11" t="s">
        <v>68</v>
      </c>
      <c r="F223" s="11" t="s">
        <v>443</v>
      </c>
      <c r="G223" s="11" t="s">
        <v>444</v>
      </c>
      <c r="H223" s="11" t="s">
        <v>301</v>
      </c>
      <c r="I223" s="11" t="s">
        <v>782</v>
      </c>
      <c r="J223" s="11" t="s">
        <v>783</v>
      </c>
      <c r="K223" s="11" t="n">
        <v>20</v>
      </c>
      <c r="L223" s="11" t="s">
        <v>304</v>
      </c>
      <c r="M223" s="11" t="n">
        <v>20</v>
      </c>
      <c r="N223" s="11" t="s">
        <v>304</v>
      </c>
      <c r="O223" s="11" t="n">
        <v>20</v>
      </c>
      <c r="P223" s="11" t="s">
        <v>304</v>
      </c>
      <c r="Q223" s="11" t="n">
        <v>0</v>
      </c>
      <c r="R223" s="11" t="n">
        <v>0</v>
      </c>
      <c r="S223" s="11" t="s">
        <v>305</v>
      </c>
      <c r="T223" s="11" t="s">
        <v>306</v>
      </c>
      <c r="U223" s="11" t="s">
        <v>307</v>
      </c>
      <c r="V223" s="11" t="s">
        <v>308</v>
      </c>
      <c r="W223" s="11" t="s">
        <v>309</v>
      </c>
      <c r="X223" s="11" t="s">
        <v>310</v>
      </c>
      <c r="Y223" s="12" t="s">
        <v>311</v>
      </c>
    </row>
    <row r="224" customFormat="false" ht="32.8" hidden="false" customHeight="false" outlineLevel="0" collapsed="false">
      <c r="A224" s="10" t="s">
        <v>788</v>
      </c>
      <c r="B224" s="11" t="s">
        <v>252</v>
      </c>
      <c r="C224" s="11" t="s">
        <v>258</v>
      </c>
      <c r="D224" s="11" t="s">
        <v>259</v>
      </c>
      <c r="E224" s="11" t="s">
        <v>68</v>
      </c>
      <c r="F224" s="11" t="s">
        <v>789</v>
      </c>
      <c r="G224" s="11" t="s">
        <v>790</v>
      </c>
      <c r="H224" s="11" t="s">
        <v>301</v>
      </c>
      <c r="I224" s="11" t="s">
        <v>782</v>
      </c>
      <c r="J224" s="11" t="s">
        <v>783</v>
      </c>
      <c r="K224" s="11" t="n">
        <v>5</v>
      </c>
      <c r="L224" s="11" t="s">
        <v>304</v>
      </c>
      <c r="M224" s="11" t="n">
        <v>5</v>
      </c>
      <c r="N224" s="11" t="s">
        <v>304</v>
      </c>
      <c r="O224" s="11" t="n">
        <v>5</v>
      </c>
      <c r="P224" s="11" t="s">
        <v>304</v>
      </c>
      <c r="Q224" s="11" t="n">
        <v>0</v>
      </c>
      <c r="R224" s="11" t="n">
        <v>0</v>
      </c>
      <c r="S224" s="11" t="s">
        <v>305</v>
      </c>
      <c r="T224" s="11" t="s">
        <v>306</v>
      </c>
      <c r="U224" s="11" t="s">
        <v>307</v>
      </c>
      <c r="V224" s="11" t="s">
        <v>308</v>
      </c>
      <c r="W224" s="11" t="s">
        <v>309</v>
      </c>
      <c r="X224" s="11" t="s">
        <v>310</v>
      </c>
      <c r="Y224" s="12" t="s">
        <v>311</v>
      </c>
    </row>
    <row r="225" customFormat="false" ht="32.8" hidden="false" customHeight="false" outlineLevel="0" collapsed="false">
      <c r="A225" s="10" t="s">
        <v>791</v>
      </c>
      <c r="B225" s="11" t="s">
        <v>252</v>
      </c>
      <c r="C225" s="11" t="s">
        <v>258</v>
      </c>
      <c r="D225" s="11" t="s">
        <v>259</v>
      </c>
      <c r="E225" s="11" t="s">
        <v>68</v>
      </c>
      <c r="F225" s="11" t="s">
        <v>792</v>
      </c>
      <c r="G225" s="11" t="s">
        <v>793</v>
      </c>
      <c r="H225" s="11" t="s">
        <v>301</v>
      </c>
      <c r="I225" s="11" t="s">
        <v>782</v>
      </c>
      <c r="J225" s="11" t="s">
        <v>783</v>
      </c>
      <c r="K225" s="11" t="n">
        <v>2</v>
      </c>
      <c r="L225" s="11" t="s">
        <v>304</v>
      </c>
      <c r="M225" s="11" t="n">
        <v>2</v>
      </c>
      <c r="N225" s="11" t="s">
        <v>304</v>
      </c>
      <c r="O225" s="11" t="n">
        <v>2</v>
      </c>
      <c r="P225" s="11" t="s">
        <v>304</v>
      </c>
      <c r="Q225" s="11" t="n">
        <v>0</v>
      </c>
      <c r="R225" s="11" t="n">
        <v>0</v>
      </c>
      <c r="S225" s="11" t="s">
        <v>305</v>
      </c>
      <c r="T225" s="11" t="s">
        <v>306</v>
      </c>
      <c r="U225" s="11" t="s">
        <v>307</v>
      </c>
      <c r="V225" s="11" t="s">
        <v>308</v>
      </c>
      <c r="W225" s="11" t="s">
        <v>309</v>
      </c>
      <c r="X225" s="11" t="s">
        <v>310</v>
      </c>
      <c r="Y225" s="12" t="s">
        <v>311</v>
      </c>
    </row>
    <row r="226" customFormat="false" ht="32.8" hidden="false" customHeight="false" outlineLevel="0" collapsed="false">
      <c r="A226" s="10" t="s">
        <v>794</v>
      </c>
      <c r="B226" s="11" t="s">
        <v>252</v>
      </c>
      <c r="C226" s="11" t="s">
        <v>258</v>
      </c>
      <c r="D226" s="11" t="s">
        <v>259</v>
      </c>
      <c r="E226" s="11" t="s">
        <v>68</v>
      </c>
      <c r="F226" s="11" t="s">
        <v>795</v>
      </c>
      <c r="G226" s="11" t="s">
        <v>796</v>
      </c>
      <c r="H226" s="11" t="s">
        <v>301</v>
      </c>
      <c r="I226" s="11" t="s">
        <v>797</v>
      </c>
      <c r="J226" s="11" t="s">
        <v>798</v>
      </c>
      <c r="K226" s="11" t="n">
        <v>330</v>
      </c>
      <c r="L226" s="11" t="s">
        <v>304</v>
      </c>
      <c r="M226" s="11" t="n">
        <v>315</v>
      </c>
      <c r="N226" s="11" t="s">
        <v>304</v>
      </c>
      <c r="O226" s="11" t="n">
        <v>300</v>
      </c>
      <c r="P226" s="11" t="s">
        <v>304</v>
      </c>
      <c r="Q226" s="11" t="n">
        <v>15</v>
      </c>
      <c r="R226" s="11" t="n">
        <v>15</v>
      </c>
      <c r="S226" s="11" t="s">
        <v>305</v>
      </c>
      <c r="T226" s="11" t="s">
        <v>306</v>
      </c>
      <c r="U226" s="11" t="s">
        <v>307</v>
      </c>
      <c r="V226" s="11" t="s">
        <v>308</v>
      </c>
      <c r="W226" s="11" t="s">
        <v>309</v>
      </c>
      <c r="X226" s="11" t="s">
        <v>310</v>
      </c>
      <c r="Y226" s="12" t="s">
        <v>311</v>
      </c>
    </row>
    <row r="227" customFormat="false" ht="32.8" hidden="false" customHeight="false" outlineLevel="0" collapsed="false">
      <c r="A227" s="10" t="s">
        <v>799</v>
      </c>
      <c r="B227" s="11" t="s">
        <v>252</v>
      </c>
      <c r="C227" s="11" t="s">
        <v>258</v>
      </c>
      <c r="D227" s="11" t="s">
        <v>259</v>
      </c>
      <c r="E227" s="11" t="s">
        <v>68</v>
      </c>
      <c r="F227" s="11" t="s">
        <v>800</v>
      </c>
      <c r="G227" s="11" t="s">
        <v>801</v>
      </c>
      <c r="H227" s="11" t="s">
        <v>301</v>
      </c>
      <c r="I227" s="11" t="s">
        <v>797</v>
      </c>
      <c r="J227" s="11" t="s">
        <v>798</v>
      </c>
      <c r="K227" s="11" t="n">
        <v>250</v>
      </c>
      <c r="L227" s="11" t="s">
        <v>304</v>
      </c>
      <c r="M227" s="11" t="n">
        <v>250</v>
      </c>
      <c r="N227" s="11" t="s">
        <v>304</v>
      </c>
      <c r="O227" s="11" t="n">
        <v>250</v>
      </c>
      <c r="P227" s="11" t="s">
        <v>304</v>
      </c>
      <c r="Q227" s="11" t="n">
        <v>0</v>
      </c>
      <c r="R227" s="11" t="n">
        <v>0</v>
      </c>
      <c r="S227" s="11" t="s">
        <v>305</v>
      </c>
      <c r="T227" s="11" t="s">
        <v>306</v>
      </c>
      <c r="U227" s="11" t="s">
        <v>307</v>
      </c>
      <c r="V227" s="11" t="s">
        <v>308</v>
      </c>
      <c r="W227" s="11" t="s">
        <v>309</v>
      </c>
      <c r="X227" s="11" t="s">
        <v>310</v>
      </c>
      <c r="Y227" s="12" t="s">
        <v>311</v>
      </c>
    </row>
    <row r="228" customFormat="false" ht="32.8" hidden="false" customHeight="false" outlineLevel="0" collapsed="false">
      <c r="A228" s="10" t="s">
        <v>802</v>
      </c>
      <c r="B228" s="11" t="s">
        <v>252</v>
      </c>
      <c r="C228" s="11" t="s">
        <v>258</v>
      </c>
      <c r="D228" s="11" t="s">
        <v>259</v>
      </c>
      <c r="E228" s="11" t="s">
        <v>68</v>
      </c>
      <c r="F228" s="11" t="s">
        <v>658</v>
      </c>
      <c r="G228" s="11" t="s">
        <v>659</v>
      </c>
      <c r="H228" s="11" t="s">
        <v>301</v>
      </c>
      <c r="I228" s="11" t="s">
        <v>797</v>
      </c>
      <c r="J228" s="11" t="s">
        <v>798</v>
      </c>
      <c r="K228" s="11" t="n">
        <v>120</v>
      </c>
      <c r="L228" s="11" t="s">
        <v>304</v>
      </c>
      <c r="M228" s="11" t="n">
        <v>120</v>
      </c>
      <c r="N228" s="11" t="s">
        <v>304</v>
      </c>
      <c r="O228" s="11" t="n">
        <v>120</v>
      </c>
      <c r="P228" s="11" t="s">
        <v>304</v>
      </c>
      <c r="Q228" s="11" t="n">
        <v>0</v>
      </c>
      <c r="R228" s="11" t="n">
        <v>0</v>
      </c>
      <c r="S228" s="11" t="s">
        <v>305</v>
      </c>
      <c r="T228" s="11" t="s">
        <v>306</v>
      </c>
      <c r="U228" s="11" t="s">
        <v>307</v>
      </c>
      <c r="V228" s="11" t="s">
        <v>308</v>
      </c>
      <c r="W228" s="11" t="s">
        <v>309</v>
      </c>
      <c r="X228" s="11" t="s">
        <v>310</v>
      </c>
      <c r="Y228" s="12" t="s">
        <v>311</v>
      </c>
    </row>
    <row r="229" customFormat="false" ht="32.8" hidden="false" customHeight="false" outlineLevel="0" collapsed="false">
      <c r="A229" s="10" t="s">
        <v>803</v>
      </c>
      <c r="B229" s="11" t="s">
        <v>252</v>
      </c>
      <c r="C229" s="11" t="s">
        <v>258</v>
      </c>
      <c r="D229" s="11" t="s">
        <v>259</v>
      </c>
      <c r="E229" s="11" t="s">
        <v>68</v>
      </c>
      <c r="F229" s="11" t="s">
        <v>804</v>
      </c>
      <c r="G229" s="11" t="s">
        <v>805</v>
      </c>
      <c r="H229" s="11" t="s">
        <v>301</v>
      </c>
      <c r="I229" s="11" t="s">
        <v>797</v>
      </c>
      <c r="J229" s="11" t="s">
        <v>798</v>
      </c>
      <c r="K229" s="11" t="n">
        <v>30</v>
      </c>
      <c r="L229" s="11" t="s">
        <v>304</v>
      </c>
      <c r="M229" s="11" t="n">
        <v>30</v>
      </c>
      <c r="N229" s="11" t="s">
        <v>304</v>
      </c>
      <c r="O229" s="11" t="n">
        <v>30</v>
      </c>
      <c r="P229" s="11" t="s">
        <v>304</v>
      </c>
      <c r="Q229" s="11" t="n">
        <v>0</v>
      </c>
      <c r="R229" s="11" t="n">
        <v>0</v>
      </c>
      <c r="S229" s="11" t="s">
        <v>305</v>
      </c>
      <c r="T229" s="11" t="s">
        <v>306</v>
      </c>
      <c r="U229" s="11" t="s">
        <v>307</v>
      </c>
      <c r="V229" s="11" t="s">
        <v>308</v>
      </c>
      <c r="W229" s="11" t="s">
        <v>309</v>
      </c>
      <c r="X229" s="11" t="s">
        <v>310</v>
      </c>
      <c r="Y229" s="12" t="s">
        <v>311</v>
      </c>
    </row>
    <row r="230" customFormat="false" ht="32.8" hidden="false" customHeight="false" outlineLevel="0" collapsed="false">
      <c r="A230" s="10" t="s">
        <v>806</v>
      </c>
      <c r="B230" s="11" t="s">
        <v>252</v>
      </c>
      <c r="C230" s="11" t="s">
        <v>258</v>
      </c>
      <c r="D230" s="11" t="s">
        <v>259</v>
      </c>
      <c r="E230" s="11" t="s">
        <v>68</v>
      </c>
      <c r="F230" s="11" t="s">
        <v>795</v>
      </c>
      <c r="G230" s="11" t="s">
        <v>796</v>
      </c>
      <c r="H230" s="11" t="s">
        <v>301</v>
      </c>
      <c r="I230" s="11" t="s">
        <v>807</v>
      </c>
      <c r="J230" s="11" t="s">
        <v>808</v>
      </c>
      <c r="K230" s="11" t="n">
        <v>200</v>
      </c>
      <c r="L230" s="11" t="s">
        <v>304</v>
      </c>
      <c r="M230" s="11" t="n">
        <v>190</v>
      </c>
      <c r="N230" s="11" t="s">
        <v>304</v>
      </c>
      <c r="O230" s="11" t="n">
        <v>180</v>
      </c>
      <c r="P230" s="11" t="s">
        <v>304</v>
      </c>
      <c r="Q230" s="11" t="n">
        <v>10</v>
      </c>
      <c r="R230" s="11" t="n">
        <v>10</v>
      </c>
      <c r="S230" s="11" t="s">
        <v>305</v>
      </c>
      <c r="T230" s="11" t="s">
        <v>306</v>
      </c>
      <c r="U230" s="11" t="s">
        <v>307</v>
      </c>
      <c r="V230" s="11" t="s">
        <v>308</v>
      </c>
      <c r="W230" s="11" t="s">
        <v>309</v>
      </c>
      <c r="X230" s="11" t="s">
        <v>310</v>
      </c>
      <c r="Y230" s="12" t="s">
        <v>311</v>
      </c>
    </row>
    <row r="231" customFormat="false" ht="32.8" hidden="false" customHeight="false" outlineLevel="0" collapsed="false">
      <c r="A231" s="10" t="s">
        <v>809</v>
      </c>
      <c r="B231" s="11" t="s">
        <v>252</v>
      </c>
      <c r="C231" s="11" t="s">
        <v>258</v>
      </c>
      <c r="D231" s="11" t="s">
        <v>259</v>
      </c>
      <c r="E231" s="11" t="s">
        <v>68</v>
      </c>
      <c r="F231" s="11" t="s">
        <v>452</v>
      </c>
      <c r="G231" s="11" t="s">
        <v>453</v>
      </c>
      <c r="H231" s="11" t="s">
        <v>301</v>
      </c>
      <c r="I231" s="11" t="s">
        <v>807</v>
      </c>
      <c r="J231" s="11" t="s">
        <v>808</v>
      </c>
      <c r="K231" s="11" t="n">
        <v>70</v>
      </c>
      <c r="L231" s="11" t="s">
        <v>304</v>
      </c>
      <c r="M231" s="11" t="n">
        <v>70</v>
      </c>
      <c r="N231" s="11" t="s">
        <v>304</v>
      </c>
      <c r="O231" s="11" t="n">
        <v>70</v>
      </c>
      <c r="P231" s="11" t="s">
        <v>304</v>
      </c>
      <c r="Q231" s="11" t="n">
        <v>0</v>
      </c>
      <c r="R231" s="11" t="n">
        <v>0</v>
      </c>
      <c r="S231" s="11" t="s">
        <v>305</v>
      </c>
      <c r="T231" s="11" t="s">
        <v>306</v>
      </c>
      <c r="U231" s="11" t="s">
        <v>307</v>
      </c>
      <c r="V231" s="11" t="s">
        <v>308</v>
      </c>
      <c r="W231" s="11" t="s">
        <v>309</v>
      </c>
      <c r="X231" s="11" t="s">
        <v>310</v>
      </c>
      <c r="Y231" s="12" t="s">
        <v>311</v>
      </c>
    </row>
    <row r="232" customFormat="false" ht="32.8" hidden="false" customHeight="false" outlineLevel="0" collapsed="false">
      <c r="A232" s="10" t="s">
        <v>810</v>
      </c>
      <c r="B232" s="11" t="s">
        <v>252</v>
      </c>
      <c r="C232" s="11" t="s">
        <v>258</v>
      </c>
      <c r="D232" s="11" t="s">
        <v>259</v>
      </c>
      <c r="E232" s="11" t="s">
        <v>68</v>
      </c>
      <c r="F232" s="11" t="s">
        <v>811</v>
      </c>
      <c r="G232" s="11" t="s">
        <v>812</v>
      </c>
      <c r="H232" s="11" t="s">
        <v>301</v>
      </c>
      <c r="I232" s="11" t="s">
        <v>807</v>
      </c>
      <c r="J232" s="11" t="s">
        <v>808</v>
      </c>
      <c r="K232" s="11" t="n">
        <v>20</v>
      </c>
      <c r="L232" s="11" t="s">
        <v>304</v>
      </c>
      <c r="M232" s="11" t="n">
        <v>20</v>
      </c>
      <c r="N232" s="11" t="s">
        <v>304</v>
      </c>
      <c r="O232" s="11" t="n">
        <v>20</v>
      </c>
      <c r="P232" s="11" t="s">
        <v>304</v>
      </c>
      <c r="Q232" s="11" t="n">
        <v>0</v>
      </c>
      <c r="R232" s="11" t="n">
        <v>0</v>
      </c>
      <c r="S232" s="11" t="s">
        <v>305</v>
      </c>
      <c r="T232" s="11" t="s">
        <v>306</v>
      </c>
      <c r="U232" s="11" t="s">
        <v>307</v>
      </c>
      <c r="V232" s="11" t="s">
        <v>308</v>
      </c>
      <c r="W232" s="11" t="s">
        <v>309</v>
      </c>
      <c r="X232" s="11" t="s">
        <v>310</v>
      </c>
      <c r="Y232" s="12" t="s">
        <v>311</v>
      </c>
    </row>
    <row r="233" customFormat="false" ht="32.8" hidden="false" customHeight="false" outlineLevel="0" collapsed="false">
      <c r="A233" s="10" t="s">
        <v>813</v>
      </c>
      <c r="B233" s="11" t="s">
        <v>252</v>
      </c>
      <c r="C233" s="11" t="s">
        <v>258</v>
      </c>
      <c r="D233" s="11" t="s">
        <v>259</v>
      </c>
      <c r="E233" s="11" t="s">
        <v>68</v>
      </c>
      <c r="F233" s="11" t="s">
        <v>313</v>
      </c>
      <c r="G233" s="11" t="s">
        <v>314</v>
      </c>
      <c r="H233" s="11" t="s">
        <v>301</v>
      </c>
      <c r="I233" s="11" t="s">
        <v>807</v>
      </c>
      <c r="J233" s="11" t="s">
        <v>808</v>
      </c>
      <c r="K233" s="11" t="n">
        <v>40</v>
      </c>
      <c r="L233" s="11" t="s">
        <v>304</v>
      </c>
      <c r="M233" s="11" t="n">
        <v>40</v>
      </c>
      <c r="N233" s="11" t="s">
        <v>304</v>
      </c>
      <c r="O233" s="11" t="n">
        <v>30</v>
      </c>
      <c r="P233" s="11" t="s">
        <v>304</v>
      </c>
      <c r="Q233" s="11" t="n">
        <v>0</v>
      </c>
      <c r="R233" s="11" t="n">
        <v>10</v>
      </c>
      <c r="S233" s="11" t="s">
        <v>305</v>
      </c>
      <c r="T233" s="11" t="s">
        <v>306</v>
      </c>
      <c r="U233" s="11" t="s">
        <v>307</v>
      </c>
      <c r="V233" s="11" t="s">
        <v>308</v>
      </c>
      <c r="W233" s="11" t="s">
        <v>309</v>
      </c>
      <c r="X233" s="11" t="s">
        <v>310</v>
      </c>
      <c r="Y233" s="12" t="s">
        <v>311</v>
      </c>
    </row>
    <row r="234" customFormat="false" ht="32.8" hidden="false" customHeight="false" outlineLevel="0" collapsed="false">
      <c r="A234" s="10" t="s">
        <v>814</v>
      </c>
      <c r="B234" s="11" t="s">
        <v>252</v>
      </c>
      <c r="C234" s="11" t="s">
        <v>258</v>
      </c>
      <c r="D234" s="11" t="s">
        <v>259</v>
      </c>
      <c r="E234" s="11" t="s">
        <v>68</v>
      </c>
      <c r="F234" s="11" t="s">
        <v>815</v>
      </c>
      <c r="G234" s="11" t="s">
        <v>816</v>
      </c>
      <c r="H234" s="11" t="s">
        <v>301</v>
      </c>
      <c r="I234" s="11" t="s">
        <v>817</v>
      </c>
      <c r="J234" s="11" t="s">
        <v>818</v>
      </c>
      <c r="K234" s="11" t="n">
        <v>150</v>
      </c>
      <c r="L234" s="11" t="s">
        <v>304</v>
      </c>
      <c r="M234" s="11" t="n">
        <v>150</v>
      </c>
      <c r="N234" s="11" t="s">
        <v>304</v>
      </c>
      <c r="O234" s="11" t="n">
        <v>150</v>
      </c>
      <c r="P234" s="11" t="s">
        <v>304</v>
      </c>
      <c r="Q234" s="11" t="n">
        <v>0</v>
      </c>
      <c r="R234" s="11" t="n">
        <v>0</v>
      </c>
      <c r="S234" s="11" t="s">
        <v>305</v>
      </c>
      <c r="T234" s="11" t="s">
        <v>306</v>
      </c>
      <c r="U234" s="11" t="s">
        <v>307</v>
      </c>
      <c r="V234" s="11" t="s">
        <v>308</v>
      </c>
      <c r="W234" s="11" t="s">
        <v>309</v>
      </c>
      <c r="X234" s="11" t="s">
        <v>310</v>
      </c>
      <c r="Y234" s="12" t="s">
        <v>311</v>
      </c>
    </row>
    <row r="235" customFormat="false" ht="32.8" hidden="false" customHeight="false" outlineLevel="0" collapsed="false">
      <c r="A235" s="10" t="s">
        <v>819</v>
      </c>
      <c r="B235" s="11" t="s">
        <v>252</v>
      </c>
      <c r="C235" s="11" t="s">
        <v>258</v>
      </c>
      <c r="D235" s="11" t="s">
        <v>259</v>
      </c>
      <c r="E235" s="11" t="s">
        <v>68</v>
      </c>
      <c r="F235" s="11" t="s">
        <v>820</v>
      </c>
      <c r="G235" s="11" t="s">
        <v>821</v>
      </c>
      <c r="H235" s="11" t="s">
        <v>301</v>
      </c>
      <c r="I235" s="11" t="s">
        <v>822</v>
      </c>
      <c r="J235" s="11"/>
      <c r="K235" s="11" t="n">
        <v>45</v>
      </c>
      <c r="L235" s="11" t="s">
        <v>304</v>
      </c>
      <c r="M235" s="11" t="n">
        <v>43</v>
      </c>
      <c r="N235" s="11" t="s">
        <v>304</v>
      </c>
      <c r="O235" s="11" t="n">
        <v>43</v>
      </c>
      <c r="P235" s="11" t="s">
        <v>304</v>
      </c>
      <c r="Q235" s="11" t="n">
        <v>2</v>
      </c>
      <c r="R235" s="11" t="n">
        <v>0</v>
      </c>
      <c r="S235" s="11" t="s">
        <v>305</v>
      </c>
      <c r="T235" s="11" t="s">
        <v>306</v>
      </c>
      <c r="U235" s="11" t="s">
        <v>307</v>
      </c>
      <c r="V235" s="11" t="s">
        <v>308</v>
      </c>
      <c r="W235" s="11" t="s">
        <v>309</v>
      </c>
      <c r="X235" s="11" t="s">
        <v>310</v>
      </c>
      <c r="Y235" s="12" t="s">
        <v>311</v>
      </c>
    </row>
    <row r="236" customFormat="false" ht="32.8" hidden="false" customHeight="false" outlineLevel="0" collapsed="false">
      <c r="A236" s="10" t="s">
        <v>823</v>
      </c>
      <c r="B236" s="11" t="s">
        <v>261</v>
      </c>
      <c r="C236" s="11" t="s">
        <v>266</v>
      </c>
      <c r="D236" s="11" t="s">
        <v>267</v>
      </c>
      <c r="E236" s="11" t="s">
        <v>68</v>
      </c>
      <c r="F236" s="11" t="s">
        <v>780</v>
      </c>
      <c r="G236" s="11" t="s">
        <v>781</v>
      </c>
      <c r="H236" s="11" t="s">
        <v>301</v>
      </c>
      <c r="I236" s="11" t="s">
        <v>824</v>
      </c>
      <c r="J236" s="11" t="s">
        <v>825</v>
      </c>
      <c r="K236" s="11" t="n">
        <v>310</v>
      </c>
      <c r="L236" s="11" t="s">
        <v>304</v>
      </c>
      <c r="M236" s="11" t="n">
        <v>310</v>
      </c>
      <c r="N236" s="11" t="s">
        <v>304</v>
      </c>
      <c r="O236" s="11" t="n">
        <v>300</v>
      </c>
      <c r="P236" s="11" t="s">
        <v>304</v>
      </c>
      <c r="Q236" s="11" t="n">
        <v>0</v>
      </c>
      <c r="R236" s="11" t="n">
        <v>10</v>
      </c>
      <c r="S236" s="11" t="s">
        <v>305</v>
      </c>
      <c r="T236" s="11" t="s">
        <v>306</v>
      </c>
      <c r="U236" s="11" t="s">
        <v>307</v>
      </c>
      <c r="V236" s="11" t="s">
        <v>308</v>
      </c>
      <c r="W236" s="11" t="s">
        <v>309</v>
      </c>
      <c r="X236" s="11" t="s">
        <v>310</v>
      </c>
      <c r="Y236" s="12" t="s">
        <v>311</v>
      </c>
    </row>
    <row r="237" customFormat="false" ht="32.8" hidden="false" customHeight="false" outlineLevel="0" collapsed="false">
      <c r="A237" s="10" t="s">
        <v>826</v>
      </c>
      <c r="B237" s="11" t="s">
        <v>261</v>
      </c>
      <c r="C237" s="11" t="s">
        <v>266</v>
      </c>
      <c r="D237" s="11" t="s">
        <v>267</v>
      </c>
      <c r="E237" s="11" t="s">
        <v>68</v>
      </c>
      <c r="F237" s="11" t="s">
        <v>449</v>
      </c>
      <c r="G237" s="11" t="s">
        <v>450</v>
      </c>
      <c r="H237" s="11" t="s">
        <v>301</v>
      </c>
      <c r="I237" s="11" t="s">
        <v>824</v>
      </c>
      <c r="J237" s="11" t="s">
        <v>825</v>
      </c>
      <c r="K237" s="11" t="n">
        <v>180</v>
      </c>
      <c r="L237" s="11" t="s">
        <v>304</v>
      </c>
      <c r="M237" s="11" t="n">
        <v>180</v>
      </c>
      <c r="N237" s="11" t="s">
        <v>304</v>
      </c>
      <c r="O237" s="11" t="n">
        <v>180</v>
      </c>
      <c r="P237" s="11" t="s">
        <v>304</v>
      </c>
      <c r="Q237" s="11" t="n">
        <v>0</v>
      </c>
      <c r="R237" s="11" t="n">
        <v>0</v>
      </c>
      <c r="S237" s="11" t="s">
        <v>305</v>
      </c>
      <c r="T237" s="11" t="s">
        <v>306</v>
      </c>
      <c r="U237" s="11" t="s">
        <v>307</v>
      </c>
      <c r="V237" s="11" t="s">
        <v>308</v>
      </c>
      <c r="W237" s="11" t="s">
        <v>309</v>
      </c>
      <c r="X237" s="11" t="s">
        <v>310</v>
      </c>
      <c r="Y237" s="12" t="s">
        <v>311</v>
      </c>
    </row>
    <row r="238" customFormat="false" ht="32.8" hidden="false" customHeight="false" outlineLevel="0" collapsed="false">
      <c r="A238" s="10" t="s">
        <v>827</v>
      </c>
      <c r="B238" s="11" t="s">
        <v>261</v>
      </c>
      <c r="C238" s="11" t="s">
        <v>266</v>
      </c>
      <c r="D238" s="11" t="s">
        <v>267</v>
      </c>
      <c r="E238" s="11" t="s">
        <v>68</v>
      </c>
      <c r="F238" s="11" t="s">
        <v>804</v>
      </c>
      <c r="G238" s="11" t="s">
        <v>805</v>
      </c>
      <c r="H238" s="11" t="s">
        <v>301</v>
      </c>
      <c r="I238" s="11" t="s">
        <v>824</v>
      </c>
      <c r="J238" s="11" t="s">
        <v>825</v>
      </c>
      <c r="K238" s="11" t="n">
        <v>70</v>
      </c>
      <c r="L238" s="11" t="s">
        <v>304</v>
      </c>
      <c r="M238" s="11" t="n">
        <v>70</v>
      </c>
      <c r="N238" s="11" t="s">
        <v>304</v>
      </c>
      <c r="O238" s="11" t="n">
        <v>70</v>
      </c>
      <c r="P238" s="11" t="s">
        <v>304</v>
      </c>
      <c r="Q238" s="11" t="n">
        <v>0</v>
      </c>
      <c r="R238" s="11" t="n">
        <v>0</v>
      </c>
      <c r="S238" s="11" t="s">
        <v>305</v>
      </c>
      <c r="T238" s="11" t="s">
        <v>306</v>
      </c>
      <c r="U238" s="11" t="s">
        <v>307</v>
      </c>
      <c r="V238" s="11" t="s">
        <v>308</v>
      </c>
      <c r="W238" s="11" t="s">
        <v>309</v>
      </c>
      <c r="X238" s="11" t="s">
        <v>310</v>
      </c>
      <c r="Y238" s="12" t="s">
        <v>311</v>
      </c>
    </row>
    <row r="239" customFormat="false" ht="32.8" hidden="false" customHeight="false" outlineLevel="0" collapsed="false">
      <c r="A239" s="10" t="s">
        <v>828</v>
      </c>
      <c r="B239" s="11" t="s">
        <v>261</v>
      </c>
      <c r="C239" s="11" t="s">
        <v>266</v>
      </c>
      <c r="D239" s="11" t="s">
        <v>267</v>
      </c>
      <c r="E239" s="11" t="s">
        <v>68</v>
      </c>
      <c r="F239" s="11" t="s">
        <v>446</v>
      </c>
      <c r="G239" s="11" t="s">
        <v>447</v>
      </c>
      <c r="H239" s="11" t="s">
        <v>301</v>
      </c>
      <c r="I239" s="11" t="s">
        <v>824</v>
      </c>
      <c r="J239" s="11" t="s">
        <v>825</v>
      </c>
      <c r="K239" s="11" t="n">
        <v>45</v>
      </c>
      <c r="L239" s="11" t="s">
        <v>304</v>
      </c>
      <c r="M239" s="11" t="n">
        <v>45</v>
      </c>
      <c r="N239" s="11" t="s">
        <v>304</v>
      </c>
      <c r="O239" s="11" t="n">
        <v>45</v>
      </c>
      <c r="P239" s="11" t="s">
        <v>304</v>
      </c>
      <c r="Q239" s="11" t="n">
        <v>0</v>
      </c>
      <c r="R239" s="11" t="n">
        <v>0</v>
      </c>
      <c r="S239" s="11" t="s">
        <v>305</v>
      </c>
      <c r="T239" s="11" t="s">
        <v>306</v>
      </c>
      <c r="U239" s="11" t="s">
        <v>307</v>
      </c>
      <c r="V239" s="11" t="s">
        <v>308</v>
      </c>
      <c r="W239" s="11" t="s">
        <v>309</v>
      </c>
      <c r="X239" s="11" t="s">
        <v>310</v>
      </c>
      <c r="Y239" s="12" t="s">
        <v>311</v>
      </c>
    </row>
    <row r="240" customFormat="false" ht="32.8" hidden="false" customHeight="false" outlineLevel="0" collapsed="false">
      <c r="A240" s="10" t="s">
        <v>829</v>
      </c>
      <c r="B240" s="11" t="s">
        <v>261</v>
      </c>
      <c r="C240" s="11" t="s">
        <v>266</v>
      </c>
      <c r="D240" s="11" t="s">
        <v>267</v>
      </c>
      <c r="E240" s="11" t="s">
        <v>68</v>
      </c>
      <c r="F240" s="11" t="s">
        <v>792</v>
      </c>
      <c r="G240" s="11" t="s">
        <v>793</v>
      </c>
      <c r="H240" s="11" t="s">
        <v>301</v>
      </c>
      <c r="I240" s="11" t="s">
        <v>824</v>
      </c>
      <c r="J240" s="11" t="s">
        <v>825</v>
      </c>
      <c r="K240" s="11" t="n">
        <v>5</v>
      </c>
      <c r="L240" s="11" t="s">
        <v>304</v>
      </c>
      <c r="M240" s="11" t="n">
        <v>5</v>
      </c>
      <c r="N240" s="11" t="s">
        <v>304</v>
      </c>
      <c r="O240" s="11" t="n">
        <v>5</v>
      </c>
      <c r="P240" s="11" t="s">
        <v>304</v>
      </c>
      <c r="Q240" s="11" t="n">
        <v>0</v>
      </c>
      <c r="R240" s="11" t="n">
        <v>0</v>
      </c>
      <c r="S240" s="11" t="s">
        <v>305</v>
      </c>
      <c r="T240" s="11" t="s">
        <v>306</v>
      </c>
      <c r="U240" s="11" t="s">
        <v>307</v>
      </c>
      <c r="V240" s="11" t="s">
        <v>308</v>
      </c>
      <c r="W240" s="11" t="s">
        <v>309</v>
      </c>
      <c r="X240" s="11" t="s">
        <v>310</v>
      </c>
      <c r="Y240" s="12" t="s">
        <v>311</v>
      </c>
    </row>
    <row r="241" customFormat="false" ht="32.8" hidden="false" customHeight="false" outlineLevel="0" collapsed="false">
      <c r="A241" s="10" t="s">
        <v>830</v>
      </c>
      <c r="B241" s="11" t="s">
        <v>261</v>
      </c>
      <c r="C241" s="11" t="s">
        <v>266</v>
      </c>
      <c r="D241" s="11" t="s">
        <v>267</v>
      </c>
      <c r="E241" s="11" t="s">
        <v>68</v>
      </c>
      <c r="F241" s="11" t="s">
        <v>452</v>
      </c>
      <c r="G241" s="11" t="s">
        <v>453</v>
      </c>
      <c r="H241" s="11" t="s">
        <v>301</v>
      </c>
      <c r="I241" s="11" t="s">
        <v>831</v>
      </c>
      <c r="J241" s="11" t="s">
        <v>832</v>
      </c>
      <c r="K241" s="11" t="n">
        <v>180</v>
      </c>
      <c r="L241" s="11" t="s">
        <v>304</v>
      </c>
      <c r="M241" s="11" t="n">
        <v>180</v>
      </c>
      <c r="N241" s="11" t="s">
        <v>304</v>
      </c>
      <c r="O241" s="11" t="n">
        <v>180</v>
      </c>
      <c r="P241" s="11" t="s">
        <v>304</v>
      </c>
      <c r="Q241" s="11" t="n">
        <v>0</v>
      </c>
      <c r="R241" s="11" t="n">
        <v>0</v>
      </c>
      <c r="S241" s="11" t="s">
        <v>305</v>
      </c>
      <c r="T241" s="11" t="s">
        <v>306</v>
      </c>
      <c r="U241" s="11" t="s">
        <v>307</v>
      </c>
      <c r="V241" s="11" t="s">
        <v>308</v>
      </c>
      <c r="W241" s="11" t="s">
        <v>309</v>
      </c>
      <c r="X241" s="11" t="s">
        <v>310</v>
      </c>
      <c r="Y241" s="12" t="s">
        <v>311</v>
      </c>
    </row>
    <row r="242" customFormat="false" ht="32.8" hidden="false" customHeight="false" outlineLevel="0" collapsed="false">
      <c r="A242" s="10" t="s">
        <v>833</v>
      </c>
      <c r="B242" s="11" t="s">
        <v>261</v>
      </c>
      <c r="C242" s="11" t="s">
        <v>266</v>
      </c>
      <c r="D242" s="11" t="s">
        <v>267</v>
      </c>
      <c r="E242" s="11" t="s">
        <v>68</v>
      </c>
      <c r="F242" s="11" t="s">
        <v>658</v>
      </c>
      <c r="G242" s="11" t="s">
        <v>659</v>
      </c>
      <c r="H242" s="11" t="s">
        <v>301</v>
      </c>
      <c r="I242" s="11" t="s">
        <v>831</v>
      </c>
      <c r="J242" s="11" t="s">
        <v>832</v>
      </c>
      <c r="K242" s="11" t="n">
        <v>105</v>
      </c>
      <c r="L242" s="11" t="s">
        <v>304</v>
      </c>
      <c r="M242" s="11" t="n">
        <v>105</v>
      </c>
      <c r="N242" s="11" t="s">
        <v>304</v>
      </c>
      <c r="O242" s="11" t="n">
        <v>100</v>
      </c>
      <c r="P242" s="11" t="s">
        <v>304</v>
      </c>
      <c r="Q242" s="11" t="n">
        <v>0</v>
      </c>
      <c r="R242" s="11" t="n">
        <v>5</v>
      </c>
      <c r="S242" s="11" t="s">
        <v>305</v>
      </c>
      <c r="T242" s="11" t="s">
        <v>306</v>
      </c>
      <c r="U242" s="11" t="s">
        <v>307</v>
      </c>
      <c r="V242" s="11" t="s">
        <v>308</v>
      </c>
      <c r="W242" s="11" t="s">
        <v>309</v>
      </c>
      <c r="X242" s="11" t="s">
        <v>310</v>
      </c>
      <c r="Y242" s="12" t="s">
        <v>311</v>
      </c>
    </row>
    <row r="243" customFormat="false" ht="32.8" hidden="false" customHeight="false" outlineLevel="0" collapsed="false">
      <c r="A243" s="10" t="s">
        <v>834</v>
      </c>
      <c r="B243" s="11" t="s">
        <v>261</v>
      </c>
      <c r="C243" s="11" t="s">
        <v>266</v>
      </c>
      <c r="D243" s="11" t="s">
        <v>267</v>
      </c>
      <c r="E243" s="11" t="s">
        <v>68</v>
      </c>
      <c r="F243" s="11" t="s">
        <v>449</v>
      </c>
      <c r="G243" s="11" t="s">
        <v>450</v>
      </c>
      <c r="H243" s="11" t="s">
        <v>301</v>
      </c>
      <c r="I243" s="11" t="s">
        <v>831</v>
      </c>
      <c r="J243" s="11" t="s">
        <v>832</v>
      </c>
      <c r="K243" s="11" t="n">
        <v>60</v>
      </c>
      <c r="L243" s="11" t="s">
        <v>304</v>
      </c>
      <c r="M243" s="11" t="n">
        <v>60</v>
      </c>
      <c r="N243" s="11" t="s">
        <v>304</v>
      </c>
      <c r="O243" s="11" t="n">
        <v>60</v>
      </c>
      <c r="P243" s="11" t="s">
        <v>304</v>
      </c>
      <c r="Q243" s="11" t="n">
        <v>0</v>
      </c>
      <c r="R243" s="11" t="n">
        <v>0</v>
      </c>
      <c r="S243" s="11" t="s">
        <v>305</v>
      </c>
      <c r="T243" s="11" t="s">
        <v>306</v>
      </c>
      <c r="U243" s="11" t="s">
        <v>307</v>
      </c>
      <c r="V243" s="11" t="s">
        <v>308</v>
      </c>
      <c r="W243" s="11" t="s">
        <v>309</v>
      </c>
      <c r="X243" s="11" t="s">
        <v>310</v>
      </c>
      <c r="Y243" s="12" t="s">
        <v>311</v>
      </c>
    </row>
    <row r="244" customFormat="false" ht="32.8" hidden="false" customHeight="false" outlineLevel="0" collapsed="false">
      <c r="A244" s="10" t="s">
        <v>835</v>
      </c>
      <c r="B244" s="11" t="s">
        <v>261</v>
      </c>
      <c r="C244" s="11" t="s">
        <v>266</v>
      </c>
      <c r="D244" s="11" t="s">
        <v>267</v>
      </c>
      <c r="E244" s="11" t="s">
        <v>68</v>
      </c>
      <c r="F244" s="11" t="s">
        <v>792</v>
      </c>
      <c r="G244" s="11" t="s">
        <v>793</v>
      </c>
      <c r="H244" s="11" t="s">
        <v>301</v>
      </c>
      <c r="I244" s="11" t="s">
        <v>831</v>
      </c>
      <c r="J244" s="11" t="s">
        <v>832</v>
      </c>
      <c r="K244" s="11" t="n">
        <v>10</v>
      </c>
      <c r="L244" s="11" t="s">
        <v>304</v>
      </c>
      <c r="M244" s="11" t="n">
        <v>10</v>
      </c>
      <c r="N244" s="11" t="s">
        <v>304</v>
      </c>
      <c r="O244" s="11" t="n">
        <v>10</v>
      </c>
      <c r="P244" s="11" t="s">
        <v>304</v>
      </c>
      <c r="Q244" s="11" t="n">
        <v>0</v>
      </c>
      <c r="R244" s="11" t="n">
        <v>0</v>
      </c>
      <c r="S244" s="11" t="s">
        <v>305</v>
      </c>
      <c r="T244" s="11" t="s">
        <v>306</v>
      </c>
      <c r="U244" s="11" t="s">
        <v>307</v>
      </c>
      <c r="V244" s="11" t="s">
        <v>308</v>
      </c>
      <c r="W244" s="11" t="s">
        <v>309</v>
      </c>
      <c r="X244" s="11" t="s">
        <v>310</v>
      </c>
      <c r="Y244" s="12" t="s">
        <v>311</v>
      </c>
    </row>
    <row r="245" customFormat="false" ht="32.8" hidden="false" customHeight="false" outlineLevel="0" collapsed="false">
      <c r="A245" s="10" t="s">
        <v>836</v>
      </c>
      <c r="B245" s="11" t="s">
        <v>261</v>
      </c>
      <c r="C245" s="11" t="s">
        <v>266</v>
      </c>
      <c r="D245" s="11" t="s">
        <v>267</v>
      </c>
      <c r="E245" s="11" t="s">
        <v>68</v>
      </c>
      <c r="F245" s="11" t="s">
        <v>800</v>
      </c>
      <c r="G245" s="11" t="s">
        <v>801</v>
      </c>
      <c r="H245" s="11" t="s">
        <v>301</v>
      </c>
      <c r="I245" s="11" t="s">
        <v>797</v>
      </c>
      <c r="J245" s="11" t="s">
        <v>837</v>
      </c>
      <c r="K245" s="11" t="n">
        <v>120</v>
      </c>
      <c r="L245" s="11" t="s">
        <v>304</v>
      </c>
      <c r="M245" s="11" t="n">
        <v>120</v>
      </c>
      <c r="N245" s="11" t="s">
        <v>304</v>
      </c>
      <c r="O245" s="11" t="n">
        <v>120</v>
      </c>
      <c r="P245" s="11" t="s">
        <v>304</v>
      </c>
      <c r="Q245" s="11" t="n">
        <v>0</v>
      </c>
      <c r="R245" s="11" t="n">
        <v>0</v>
      </c>
      <c r="S245" s="11" t="s">
        <v>305</v>
      </c>
      <c r="T245" s="11" t="s">
        <v>306</v>
      </c>
      <c r="U245" s="11" t="s">
        <v>307</v>
      </c>
      <c r="V245" s="11" t="s">
        <v>308</v>
      </c>
      <c r="W245" s="11" t="s">
        <v>309</v>
      </c>
      <c r="X245" s="11" t="s">
        <v>310</v>
      </c>
      <c r="Y245" s="12" t="s">
        <v>311</v>
      </c>
    </row>
    <row r="246" customFormat="false" ht="32.8" hidden="false" customHeight="false" outlineLevel="0" collapsed="false">
      <c r="A246" s="10" t="s">
        <v>838</v>
      </c>
      <c r="B246" s="11" t="s">
        <v>261</v>
      </c>
      <c r="C246" s="11" t="s">
        <v>266</v>
      </c>
      <c r="D246" s="11" t="s">
        <v>267</v>
      </c>
      <c r="E246" s="11" t="s">
        <v>68</v>
      </c>
      <c r="F246" s="11" t="s">
        <v>658</v>
      </c>
      <c r="G246" s="11" t="s">
        <v>659</v>
      </c>
      <c r="H246" s="11" t="s">
        <v>301</v>
      </c>
      <c r="I246" s="11" t="s">
        <v>797</v>
      </c>
      <c r="J246" s="11" t="s">
        <v>837</v>
      </c>
      <c r="K246" s="11" t="n">
        <v>60</v>
      </c>
      <c r="L246" s="11" t="s">
        <v>304</v>
      </c>
      <c r="M246" s="11" t="n">
        <v>60</v>
      </c>
      <c r="N246" s="11" t="s">
        <v>304</v>
      </c>
      <c r="O246" s="11" t="n">
        <v>60</v>
      </c>
      <c r="P246" s="11" t="s">
        <v>304</v>
      </c>
      <c r="Q246" s="11" t="n">
        <v>0</v>
      </c>
      <c r="R246" s="11" t="n">
        <v>0</v>
      </c>
      <c r="S246" s="11" t="s">
        <v>305</v>
      </c>
      <c r="T246" s="11" t="s">
        <v>306</v>
      </c>
      <c r="U246" s="11" t="s">
        <v>307</v>
      </c>
      <c r="V246" s="11" t="s">
        <v>308</v>
      </c>
      <c r="W246" s="11" t="s">
        <v>309</v>
      </c>
      <c r="X246" s="11" t="s">
        <v>310</v>
      </c>
      <c r="Y246" s="12" t="s">
        <v>311</v>
      </c>
    </row>
    <row r="247" customFormat="false" ht="32.8" hidden="false" customHeight="false" outlineLevel="0" collapsed="false">
      <c r="A247" s="10" t="s">
        <v>839</v>
      </c>
      <c r="B247" s="11" t="s">
        <v>261</v>
      </c>
      <c r="C247" s="11" t="s">
        <v>266</v>
      </c>
      <c r="D247" s="11" t="s">
        <v>267</v>
      </c>
      <c r="E247" s="11" t="s">
        <v>68</v>
      </c>
      <c r="F247" s="11" t="s">
        <v>804</v>
      </c>
      <c r="G247" s="11" t="s">
        <v>805</v>
      </c>
      <c r="H247" s="11" t="s">
        <v>301</v>
      </c>
      <c r="I247" s="11" t="s">
        <v>797</v>
      </c>
      <c r="J247" s="11" t="s">
        <v>837</v>
      </c>
      <c r="K247" s="11" t="n">
        <v>20</v>
      </c>
      <c r="L247" s="11" t="s">
        <v>304</v>
      </c>
      <c r="M247" s="11" t="n">
        <v>20</v>
      </c>
      <c r="N247" s="11" t="s">
        <v>304</v>
      </c>
      <c r="O247" s="11" t="n">
        <v>20</v>
      </c>
      <c r="P247" s="11" t="s">
        <v>304</v>
      </c>
      <c r="Q247" s="11" t="n">
        <v>0</v>
      </c>
      <c r="R247" s="11" t="n">
        <v>0</v>
      </c>
      <c r="S247" s="11" t="s">
        <v>305</v>
      </c>
      <c r="T247" s="11" t="s">
        <v>306</v>
      </c>
      <c r="U247" s="11" t="s">
        <v>307</v>
      </c>
      <c r="V247" s="11" t="s">
        <v>308</v>
      </c>
      <c r="W247" s="11" t="s">
        <v>309</v>
      </c>
      <c r="X247" s="11" t="s">
        <v>310</v>
      </c>
      <c r="Y247" s="12" t="s">
        <v>311</v>
      </c>
    </row>
    <row r="248" customFormat="false" ht="32.8" hidden="false" customHeight="false" outlineLevel="0" collapsed="false">
      <c r="A248" s="10" t="s">
        <v>840</v>
      </c>
      <c r="B248" s="11" t="s">
        <v>261</v>
      </c>
      <c r="C248" s="11" t="s">
        <v>266</v>
      </c>
      <c r="D248" s="11" t="s">
        <v>267</v>
      </c>
      <c r="E248" s="11" t="s">
        <v>68</v>
      </c>
      <c r="F248" s="11" t="s">
        <v>820</v>
      </c>
      <c r="G248" s="11" t="s">
        <v>821</v>
      </c>
      <c r="H248" s="11" t="s">
        <v>301</v>
      </c>
      <c r="I248" s="11" t="s">
        <v>822</v>
      </c>
      <c r="J248" s="11"/>
      <c r="K248" s="11" t="n">
        <v>52</v>
      </c>
      <c r="L248" s="11" t="s">
        <v>304</v>
      </c>
      <c r="M248" s="11" t="n">
        <v>50</v>
      </c>
      <c r="N248" s="11" t="s">
        <v>304</v>
      </c>
      <c r="O248" s="11" t="n">
        <v>50</v>
      </c>
      <c r="P248" s="11" t="s">
        <v>304</v>
      </c>
      <c r="Q248" s="11" t="n">
        <v>2</v>
      </c>
      <c r="R248" s="11" t="n">
        <v>0</v>
      </c>
      <c r="S248" s="11" t="s">
        <v>305</v>
      </c>
      <c r="T248" s="11" t="s">
        <v>306</v>
      </c>
      <c r="U248" s="11" t="s">
        <v>307</v>
      </c>
      <c r="V248" s="11" t="s">
        <v>308</v>
      </c>
      <c r="W248" s="11" t="s">
        <v>309</v>
      </c>
      <c r="X248" s="11" t="s">
        <v>310</v>
      </c>
      <c r="Y248" s="12" t="s">
        <v>311</v>
      </c>
    </row>
    <row r="249" customFormat="false" ht="32.8" hidden="false" customHeight="false" outlineLevel="0" collapsed="false">
      <c r="A249" s="10" t="s">
        <v>841</v>
      </c>
      <c r="B249" s="11" t="s">
        <v>269</v>
      </c>
      <c r="C249" s="11" t="s">
        <v>273</v>
      </c>
      <c r="D249" s="11" t="s">
        <v>274</v>
      </c>
      <c r="E249" s="11" t="s">
        <v>68</v>
      </c>
      <c r="F249" s="11" t="s">
        <v>780</v>
      </c>
      <c r="G249" s="11" t="s">
        <v>781</v>
      </c>
      <c r="H249" s="11" t="s">
        <v>301</v>
      </c>
      <c r="I249" s="11" t="s">
        <v>302</v>
      </c>
      <c r="J249" s="11" t="s">
        <v>842</v>
      </c>
      <c r="K249" s="11" t="n">
        <v>145</v>
      </c>
      <c r="L249" s="11" t="s">
        <v>304</v>
      </c>
      <c r="M249" s="11" t="n">
        <v>145</v>
      </c>
      <c r="N249" s="11" t="s">
        <v>304</v>
      </c>
      <c r="O249" s="11" t="n">
        <v>140</v>
      </c>
      <c r="P249" s="11" t="s">
        <v>304</v>
      </c>
      <c r="Q249" s="11" t="n">
        <v>0</v>
      </c>
      <c r="R249" s="11" t="n">
        <v>5</v>
      </c>
      <c r="S249" s="11" t="s">
        <v>305</v>
      </c>
      <c r="T249" s="11" t="s">
        <v>306</v>
      </c>
      <c r="U249" s="11" t="s">
        <v>307</v>
      </c>
      <c r="V249" s="11" t="s">
        <v>308</v>
      </c>
      <c r="W249" s="11" t="s">
        <v>309</v>
      </c>
      <c r="X249" s="11" t="s">
        <v>310</v>
      </c>
      <c r="Y249" s="12" t="s">
        <v>311</v>
      </c>
    </row>
    <row r="250" customFormat="false" ht="32.8" hidden="false" customHeight="false" outlineLevel="0" collapsed="false">
      <c r="A250" s="10" t="s">
        <v>843</v>
      </c>
      <c r="B250" s="11" t="s">
        <v>269</v>
      </c>
      <c r="C250" s="11" t="s">
        <v>273</v>
      </c>
      <c r="D250" s="11" t="s">
        <v>274</v>
      </c>
      <c r="E250" s="11" t="s">
        <v>68</v>
      </c>
      <c r="F250" s="11" t="s">
        <v>446</v>
      </c>
      <c r="G250" s="11" t="s">
        <v>447</v>
      </c>
      <c r="H250" s="11" t="s">
        <v>301</v>
      </c>
      <c r="I250" s="11" t="s">
        <v>302</v>
      </c>
      <c r="J250" s="11" t="s">
        <v>842</v>
      </c>
      <c r="K250" s="11" t="n">
        <v>145</v>
      </c>
      <c r="L250" s="11" t="s">
        <v>304</v>
      </c>
      <c r="M250" s="11" t="n">
        <v>145</v>
      </c>
      <c r="N250" s="11" t="s">
        <v>304</v>
      </c>
      <c r="O250" s="11" t="n">
        <v>140</v>
      </c>
      <c r="P250" s="11" t="s">
        <v>304</v>
      </c>
      <c r="Q250" s="11" t="n">
        <v>0</v>
      </c>
      <c r="R250" s="11" t="n">
        <v>5</v>
      </c>
      <c r="S250" s="11" t="s">
        <v>305</v>
      </c>
      <c r="T250" s="11" t="s">
        <v>306</v>
      </c>
      <c r="U250" s="11" t="s">
        <v>307</v>
      </c>
      <c r="V250" s="11" t="s">
        <v>308</v>
      </c>
      <c r="W250" s="11" t="s">
        <v>309</v>
      </c>
      <c r="X250" s="11" t="s">
        <v>310</v>
      </c>
      <c r="Y250" s="12" t="s">
        <v>311</v>
      </c>
    </row>
    <row r="251" customFormat="false" ht="32.8" hidden="false" customHeight="false" outlineLevel="0" collapsed="false">
      <c r="A251" s="10" t="s">
        <v>844</v>
      </c>
      <c r="B251" s="11" t="s">
        <v>269</v>
      </c>
      <c r="C251" s="11" t="s">
        <v>273</v>
      </c>
      <c r="D251" s="11" t="s">
        <v>274</v>
      </c>
      <c r="E251" s="11" t="s">
        <v>68</v>
      </c>
      <c r="F251" s="11" t="s">
        <v>452</v>
      </c>
      <c r="G251" s="11" t="s">
        <v>453</v>
      </c>
      <c r="H251" s="11" t="s">
        <v>301</v>
      </c>
      <c r="I251" s="11" t="s">
        <v>302</v>
      </c>
      <c r="J251" s="11" t="s">
        <v>842</v>
      </c>
      <c r="K251" s="11" t="n">
        <v>120</v>
      </c>
      <c r="L251" s="11" t="s">
        <v>304</v>
      </c>
      <c r="M251" s="11" t="n">
        <v>120</v>
      </c>
      <c r="N251" s="11" t="s">
        <v>304</v>
      </c>
      <c r="O251" s="11" t="n">
        <v>120</v>
      </c>
      <c r="P251" s="11" t="s">
        <v>304</v>
      </c>
      <c r="Q251" s="11" t="n">
        <v>0</v>
      </c>
      <c r="R251" s="11" t="n">
        <v>0</v>
      </c>
      <c r="S251" s="11" t="s">
        <v>305</v>
      </c>
      <c r="T251" s="11" t="s">
        <v>306</v>
      </c>
      <c r="U251" s="11" t="s">
        <v>307</v>
      </c>
      <c r="V251" s="11" t="s">
        <v>308</v>
      </c>
      <c r="W251" s="11" t="s">
        <v>309</v>
      </c>
      <c r="X251" s="11" t="s">
        <v>310</v>
      </c>
      <c r="Y251" s="12" t="s">
        <v>311</v>
      </c>
    </row>
    <row r="252" customFormat="false" ht="32.8" hidden="false" customHeight="false" outlineLevel="0" collapsed="false">
      <c r="A252" s="10" t="s">
        <v>845</v>
      </c>
      <c r="B252" s="11" t="s">
        <v>269</v>
      </c>
      <c r="C252" s="11" t="s">
        <v>273</v>
      </c>
      <c r="D252" s="11" t="s">
        <v>274</v>
      </c>
      <c r="E252" s="11" t="s">
        <v>68</v>
      </c>
      <c r="F252" s="11" t="s">
        <v>449</v>
      </c>
      <c r="G252" s="11" t="s">
        <v>450</v>
      </c>
      <c r="H252" s="11" t="s">
        <v>301</v>
      </c>
      <c r="I252" s="11" t="s">
        <v>302</v>
      </c>
      <c r="J252" s="11" t="s">
        <v>842</v>
      </c>
      <c r="K252" s="11" t="n">
        <v>140</v>
      </c>
      <c r="L252" s="11" t="s">
        <v>304</v>
      </c>
      <c r="M252" s="11" t="n">
        <v>140</v>
      </c>
      <c r="N252" s="11" t="s">
        <v>304</v>
      </c>
      <c r="O252" s="11" t="n">
        <v>140</v>
      </c>
      <c r="P252" s="11" t="s">
        <v>304</v>
      </c>
      <c r="Q252" s="11" t="n">
        <v>0</v>
      </c>
      <c r="R252" s="11" t="n">
        <v>0</v>
      </c>
      <c r="S252" s="11" t="s">
        <v>305</v>
      </c>
      <c r="T252" s="11" t="s">
        <v>306</v>
      </c>
      <c r="U252" s="11" t="s">
        <v>307</v>
      </c>
      <c r="V252" s="11" t="s">
        <v>308</v>
      </c>
      <c r="W252" s="11" t="s">
        <v>309</v>
      </c>
      <c r="X252" s="11" t="s">
        <v>310</v>
      </c>
      <c r="Y252" s="12" t="s">
        <v>311</v>
      </c>
    </row>
    <row r="253" customFormat="false" ht="32.8" hidden="false" customHeight="false" outlineLevel="0" collapsed="false">
      <c r="A253" s="10" t="s">
        <v>846</v>
      </c>
      <c r="B253" s="11" t="s">
        <v>269</v>
      </c>
      <c r="C253" s="11" t="s">
        <v>273</v>
      </c>
      <c r="D253" s="11" t="s">
        <v>274</v>
      </c>
      <c r="E253" s="11" t="s">
        <v>68</v>
      </c>
      <c r="F253" s="11" t="s">
        <v>443</v>
      </c>
      <c r="G253" s="11" t="s">
        <v>444</v>
      </c>
      <c r="H253" s="11" t="s">
        <v>301</v>
      </c>
      <c r="I253" s="11" t="s">
        <v>302</v>
      </c>
      <c r="J253" s="11" t="s">
        <v>842</v>
      </c>
      <c r="K253" s="11" t="n">
        <v>30</v>
      </c>
      <c r="L253" s="11" t="s">
        <v>304</v>
      </c>
      <c r="M253" s="11" t="n">
        <v>30</v>
      </c>
      <c r="N253" s="11" t="s">
        <v>304</v>
      </c>
      <c r="O253" s="11" t="n">
        <v>30</v>
      </c>
      <c r="P253" s="11" t="s">
        <v>304</v>
      </c>
      <c r="Q253" s="11" t="n">
        <v>0</v>
      </c>
      <c r="R253" s="11" t="n">
        <v>0</v>
      </c>
      <c r="S253" s="11" t="s">
        <v>305</v>
      </c>
      <c r="T253" s="11" t="s">
        <v>306</v>
      </c>
      <c r="U253" s="11" t="s">
        <v>307</v>
      </c>
      <c r="V253" s="11" t="s">
        <v>308</v>
      </c>
      <c r="W253" s="11" t="s">
        <v>309</v>
      </c>
      <c r="X253" s="11" t="s">
        <v>310</v>
      </c>
      <c r="Y253" s="12" t="s">
        <v>311</v>
      </c>
    </row>
    <row r="254" customFormat="false" ht="32.8" hidden="false" customHeight="false" outlineLevel="0" collapsed="false">
      <c r="A254" s="10" t="s">
        <v>847</v>
      </c>
      <c r="B254" s="11" t="s">
        <v>269</v>
      </c>
      <c r="C254" s="11" t="s">
        <v>273</v>
      </c>
      <c r="D254" s="11" t="s">
        <v>274</v>
      </c>
      <c r="E254" s="11" t="s">
        <v>68</v>
      </c>
      <c r="F254" s="11" t="s">
        <v>497</v>
      </c>
      <c r="G254" s="11" t="s">
        <v>498</v>
      </c>
      <c r="H254" s="11" t="s">
        <v>301</v>
      </c>
      <c r="I254" s="11" t="s">
        <v>302</v>
      </c>
      <c r="J254" s="11" t="s">
        <v>842</v>
      </c>
      <c r="K254" s="11" t="n">
        <v>15</v>
      </c>
      <c r="L254" s="11" t="s">
        <v>304</v>
      </c>
      <c r="M254" s="11" t="n">
        <v>15</v>
      </c>
      <c r="N254" s="11" t="s">
        <v>304</v>
      </c>
      <c r="O254" s="11" t="n">
        <v>15</v>
      </c>
      <c r="P254" s="11" t="s">
        <v>304</v>
      </c>
      <c r="Q254" s="11" t="n">
        <v>0</v>
      </c>
      <c r="R254" s="11" t="n">
        <v>0</v>
      </c>
      <c r="S254" s="11" t="s">
        <v>305</v>
      </c>
      <c r="T254" s="11" t="s">
        <v>306</v>
      </c>
      <c r="U254" s="11" t="s">
        <v>307</v>
      </c>
      <c r="V254" s="11" t="s">
        <v>308</v>
      </c>
      <c r="W254" s="11" t="s">
        <v>309</v>
      </c>
      <c r="X254" s="11" t="s">
        <v>310</v>
      </c>
      <c r="Y254" s="12" t="s">
        <v>311</v>
      </c>
    </row>
    <row r="255" customFormat="false" ht="32.8" hidden="false" customHeight="false" outlineLevel="0" collapsed="false">
      <c r="A255" s="10" t="s">
        <v>848</v>
      </c>
      <c r="B255" s="11" t="s">
        <v>269</v>
      </c>
      <c r="C255" s="11" t="s">
        <v>273</v>
      </c>
      <c r="D255" s="11" t="s">
        <v>274</v>
      </c>
      <c r="E255" s="11" t="s">
        <v>68</v>
      </c>
      <c r="F255" s="11" t="s">
        <v>789</v>
      </c>
      <c r="G255" s="11" t="s">
        <v>790</v>
      </c>
      <c r="H255" s="11" t="s">
        <v>301</v>
      </c>
      <c r="I255" s="11" t="s">
        <v>302</v>
      </c>
      <c r="J255" s="11" t="s">
        <v>842</v>
      </c>
      <c r="K255" s="11" t="n">
        <v>5</v>
      </c>
      <c r="L255" s="11" t="s">
        <v>304</v>
      </c>
      <c r="M255" s="11" t="n">
        <v>5</v>
      </c>
      <c r="N255" s="11" t="s">
        <v>304</v>
      </c>
      <c r="O255" s="11" t="n">
        <v>5</v>
      </c>
      <c r="P255" s="11" t="s">
        <v>304</v>
      </c>
      <c r="Q255" s="11" t="n">
        <v>0</v>
      </c>
      <c r="R255" s="11" t="n">
        <v>0</v>
      </c>
      <c r="S255" s="11" t="s">
        <v>305</v>
      </c>
      <c r="T255" s="11" t="s">
        <v>306</v>
      </c>
      <c r="U255" s="11" t="s">
        <v>307</v>
      </c>
      <c r="V255" s="11" t="s">
        <v>308</v>
      </c>
      <c r="W255" s="11" t="s">
        <v>309</v>
      </c>
      <c r="X255" s="11" t="s">
        <v>310</v>
      </c>
      <c r="Y255" s="12" t="s">
        <v>311</v>
      </c>
    </row>
    <row r="256" customFormat="false" ht="32.8" hidden="false" customHeight="false" outlineLevel="0" collapsed="false">
      <c r="A256" s="10" t="s">
        <v>849</v>
      </c>
      <c r="B256" s="11" t="s">
        <v>269</v>
      </c>
      <c r="C256" s="11" t="s">
        <v>273</v>
      </c>
      <c r="D256" s="11" t="s">
        <v>274</v>
      </c>
      <c r="E256" s="11" t="s">
        <v>68</v>
      </c>
      <c r="F256" s="11" t="s">
        <v>850</v>
      </c>
      <c r="G256" s="11" t="s">
        <v>851</v>
      </c>
      <c r="H256" s="11" t="s">
        <v>301</v>
      </c>
      <c r="I256" s="11" t="s">
        <v>302</v>
      </c>
      <c r="J256" s="11" t="s">
        <v>842</v>
      </c>
      <c r="K256" s="11" t="n">
        <v>7</v>
      </c>
      <c r="L256" s="11" t="s">
        <v>304</v>
      </c>
      <c r="M256" s="11" t="n">
        <v>5</v>
      </c>
      <c r="N256" s="11" t="s">
        <v>304</v>
      </c>
      <c r="O256" s="11" t="n">
        <v>5</v>
      </c>
      <c r="P256" s="11" t="s">
        <v>304</v>
      </c>
      <c r="Q256" s="11" t="n">
        <v>2</v>
      </c>
      <c r="R256" s="11" t="n">
        <v>0</v>
      </c>
      <c r="S256" s="11" t="s">
        <v>305</v>
      </c>
      <c r="T256" s="11" t="s">
        <v>306</v>
      </c>
      <c r="U256" s="11" t="s">
        <v>307</v>
      </c>
      <c r="V256" s="11" t="s">
        <v>308</v>
      </c>
      <c r="W256" s="11" t="s">
        <v>309</v>
      </c>
      <c r="X256" s="11" t="s">
        <v>310</v>
      </c>
      <c r="Y256" s="12" t="s">
        <v>311</v>
      </c>
    </row>
    <row r="257" customFormat="false" ht="32.8" hidden="false" customHeight="false" outlineLevel="0" collapsed="false">
      <c r="A257" s="10" t="s">
        <v>852</v>
      </c>
      <c r="B257" s="11" t="s">
        <v>269</v>
      </c>
      <c r="C257" s="11" t="s">
        <v>273</v>
      </c>
      <c r="D257" s="11" t="s">
        <v>274</v>
      </c>
      <c r="E257" s="11" t="s">
        <v>68</v>
      </c>
      <c r="F257" s="11" t="s">
        <v>792</v>
      </c>
      <c r="G257" s="11" t="s">
        <v>793</v>
      </c>
      <c r="H257" s="11" t="s">
        <v>301</v>
      </c>
      <c r="I257" s="11" t="s">
        <v>302</v>
      </c>
      <c r="J257" s="11" t="s">
        <v>842</v>
      </c>
      <c r="K257" s="11" t="n">
        <v>5</v>
      </c>
      <c r="L257" s="11" t="s">
        <v>304</v>
      </c>
      <c r="M257" s="11" t="n">
        <v>5</v>
      </c>
      <c r="N257" s="11" t="s">
        <v>304</v>
      </c>
      <c r="O257" s="11" t="n">
        <v>5</v>
      </c>
      <c r="P257" s="11" t="s">
        <v>304</v>
      </c>
      <c r="Q257" s="11" t="n">
        <v>0</v>
      </c>
      <c r="R257" s="11" t="n">
        <v>0</v>
      </c>
      <c r="S257" s="11" t="s">
        <v>305</v>
      </c>
      <c r="T257" s="11" t="s">
        <v>306</v>
      </c>
      <c r="U257" s="11" t="s">
        <v>307</v>
      </c>
      <c r="V257" s="11" t="s">
        <v>308</v>
      </c>
      <c r="W257" s="11" t="s">
        <v>309</v>
      </c>
      <c r="X257" s="11" t="s">
        <v>310</v>
      </c>
      <c r="Y257" s="12" t="s">
        <v>311</v>
      </c>
    </row>
    <row r="258" customFormat="false" ht="32.8" hidden="false" customHeight="false" outlineLevel="0" collapsed="false">
      <c r="A258" s="10" t="s">
        <v>853</v>
      </c>
      <c r="B258" s="11" t="s">
        <v>226</v>
      </c>
      <c r="C258" s="11" t="s">
        <v>232</v>
      </c>
      <c r="D258" s="11" t="s">
        <v>233</v>
      </c>
      <c r="E258" s="11" t="s">
        <v>854</v>
      </c>
      <c r="F258" s="11" t="s">
        <v>855</v>
      </c>
      <c r="G258" s="11" t="s">
        <v>856</v>
      </c>
      <c r="H258" s="11" t="s">
        <v>857</v>
      </c>
      <c r="I258" s="11" t="s">
        <v>858</v>
      </c>
      <c r="J258" s="11"/>
      <c r="K258" s="11" t="n">
        <v>2</v>
      </c>
      <c r="L258" s="11" t="s">
        <v>859</v>
      </c>
      <c r="M258" s="11" t="n">
        <v>126</v>
      </c>
      <c r="N258" s="11" t="s">
        <v>304</v>
      </c>
      <c r="O258" s="11" t="n">
        <v>114</v>
      </c>
      <c r="P258" s="11" t="s">
        <v>304</v>
      </c>
      <c r="Q258" s="11"/>
      <c r="R258" s="11"/>
      <c r="S258" s="11" t="s">
        <v>24</v>
      </c>
      <c r="T258" s="11"/>
      <c r="U258" s="11" t="s">
        <v>860</v>
      </c>
      <c r="V258" s="11" t="s">
        <v>861</v>
      </c>
      <c r="W258" s="11" t="s">
        <v>309</v>
      </c>
      <c r="X258" s="11" t="s">
        <v>862</v>
      </c>
      <c r="Y258" s="12" t="s">
        <v>863</v>
      </c>
    </row>
    <row r="259" customFormat="false" ht="32.8" hidden="false" customHeight="false" outlineLevel="0" collapsed="false">
      <c r="A259" s="10" t="s">
        <v>864</v>
      </c>
      <c r="B259" s="11" t="s">
        <v>226</v>
      </c>
      <c r="C259" s="11" t="s">
        <v>232</v>
      </c>
      <c r="D259" s="11" t="s">
        <v>233</v>
      </c>
      <c r="E259" s="11" t="s">
        <v>854</v>
      </c>
      <c r="F259" s="11" t="s">
        <v>865</v>
      </c>
      <c r="G259" s="11" t="s">
        <v>450</v>
      </c>
      <c r="H259" s="11" t="s">
        <v>857</v>
      </c>
      <c r="I259" s="11" t="s">
        <v>858</v>
      </c>
      <c r="J259" s="11"/>
      <c r="K259" s="11" t="n">
        <v>5</v>
      </c>
      <c r="L259" s="11" t="s">
        <v>304</v>
      </c>
      <c r="M259" s="11" t="n">
        <v>5</v>
      </c>
      <c r="N259" s="11" t="s">
        <v>304</v>
      </c>
      <c r="O259" s="11" t="n">
        <v>5</v>
      </c>
      <c r="P259" s="11" t="s">
        <v>304</v>
      </c>
      <c r="Q259" s="11"/>
      <c r="R259" s="11"/>
      <c r="S259" s="11" t="s">
        <v>24</v>
      </c>
      <c r="T259" s="11"/>
      <c r="U259" s="11" t="s">
        <v>860</v>
      </c>
      <c r="V259" s="11" t="s">
        <v>861</v>
      </c>
      <c r="W259" s="11" t="s">
        <v>309</v>
      </c>
      <c r="X259" s="11" t="s">
        <v>862</v>
      </c>
      <c r="Y259" s="12" t="s">
        <v>863</v>
      </c>
    </row>
    <row r="260" customFormat="false" ht="32.8" hidden="false" customHeight="false" outlineLevel="0" collapsed="false">
      <c r="A260" s="10" t="s">
        <v>866</v>
      </c>
      <c r="B260" s="11" t="s">
        <v>226</v>
      </c>
      <c r="C260" s="11" t="s">
        <v>232</v>
      </c>
      <c r="D260" s="11" t="s">
        <v>233</v>
      </c>
      <c r="E260" s="11" t="s">
        <v>854</v>
      </c>
      <c r="F260" s="11" t="s">
        <v>867</v>
      </c>
      <c r="G260" s="11" t="s">
        <v>793</v>
      </c>
      <c r="H260" s="11" t="s">
        <v>857</v>
      </c>
      <c r="I260" s="11" t="s">
        <v>858</v>
      </c>
      <c r="J260" s="11"/>
      <c r="K260" s="11" t="n">
        <v>1</v>
      </c>
      <c r="L260" s="11" t="s">
        <v>304</v>
      </c>
      <c r="M260" s="11" t="n">
        <v>1</v>
      </c>
      <c r="N260" s="11" t="s">
        <v>304</v>
      </c>
      <c r="O260" s="11" t="n">
        <v>1</v>
      </c>
      <c r="P260" s="11" t="s">
        <v>304</v>
      </c>
      <c r="Q260" s="11"/>
      <c r="R260" s="11"/>
      <c r="S260" s="11" t="s">
        <v>24</v>
      </c>
      <c r="T260" s="11"/>
      <c r="U260" s="11" t="s">
        <v>860</v>
      </c>
      <c r="V260" s="11" t="s">
        <v>861</v>
      </c>
      <c r="W260" s="11" t="s">
        <v>309</v>
      </c>
      <c r="X260" s="11" t="s">
        <v>862</v>
      </c>
      <c r="Y260" s="12" t="s">
        <v>863</v>
      </c>
    </row>
    <row r="261" customFormat="false" ht="32.8" hidden="false" customHeight="false" outlineLevel="0" collapsed="false">
      <c r="A261" s="10" t="s">
        <v>868</v>
      </c>
      <c r="B261" s="11" t="s">
        <v>226</v>
      </c>
      <c r="C261" s="11" t="s">
        <v>232</v>
      </c>
      <c r="D261" s="11" t="s">
        <v>233</v>
      </c>
      <c r="E261" s="11" t="s">
        <v>854</v>
      </c>
      <c r="F261" s="11" t="s">
        <v>869</v>
      </c>
      <c r="G261" s="11" t="s">
        <v>870</v>
      </c>
      <c r="H261" s="11" t="s">
        <v>857</v>
      </c>
      <c r="I261" s="11" t="s">
        <v>858</v>
      </c>
      <c r="J261" s="11"/>
      <c r="K261" s="11" t="n">
        <v>1</v>
      </c>
      <c r="L261" s="11" t="s">
        <v>859</v>
      </c>
      <c r="M261" s="11" t="n">
        <v>80</v>
      </c>
      <c r="N261" s="11" t="s">
        <v>304</v>
      </c>
      <c r="O261" s="11" t="n">
        <v>65</v>
      </c>
      <c r="P261" s="11" t="s">
        <v>304</v>
      </c>
      <c r="Q261" s="11"/>
      <c r="R261" s="11"/>
      <c r="S261" s="11" t="s">
        <v>24</v>
      </c>
      <c r="T261" s="11"/>
      <c r="U261" s="11" t="s">
        <v>860</v>
      </c>
      <c r="V261" s="11" t="s">
        <v>861</v>
      </c>
      <c r="W261" s="11" t="s">
        <v>309</v>
      </c>
      <c r="X261" s="11" t="s">
        <v>862</v>
      </c>
      <c r="Y261" s="12" t="s">
        <v>863</v>
      </c>
    </row>
    <row r="262" customFormat="false" ht="32.8" hidden="false" customHeight="false" outlineLevel="0" collapsed="false">
      <c r="A262" s="10" t="s">
        <v>871</v>
      </c>
      <c r="B262" s="11" t="s">
        <v>226</v>
      </c>
      <c r="C262" s="11" t="s">
        <v>232</v>
      </c>
      <c r="D262" s="11" t="s">
        <v>233</v>
      </c>
      <c r="E262" s="11" t="s">
        <v>854</v>
      </c>
      <c r="F262" s="11" t="s">
        <v>872</v>
      </c>
      <c r="G262" s="11" t="s">
        <v>873</v>
      </c>
      <c r="H262" s="11" t="s">
        <v>857</v>
      </c>
      <c r="I262" s="11" t="s">
        <v>858</v>
      </c>
      <c r="J262" s="11"/>
      <c r="K262" s="11" t="n">
        <v>20</v>
      </c>
      <c r="L262" s="11" t="s">
        <v>304</v>
      </c>
      <c r="M262" s="11" t="n">
        <v>20</v>
      </c>
      <c r="N262" s="11" t="s">
        <v>304</v>
      </c>
      <c r="O262" s="11" t="n">
        <v>20</v>
      </c>
      <c r="P262" s="11" t="s">
        <v>304</v>
      </c>
      <c r="Q262" s="11"/>
      <c r="R262" s="11"/>
      <c r="S262" s="11" t="s">
        <v>24</v>
      </c>
      <c r="T262" s="11"/>
      <c r="U262" s="11" t="s">
        <v>860</v>
      </c>
      <c r="V262" s="11" t="s">
        <v>861</v>
      </c>
      <c r="W262" s="11" t="s">
        <v>309</v>
      </c>
      <c r="X262" s="11" t="s">
        <v>862</v>
      </c>
      <c r="Y262" s="12" t="s">
        <v>863</v>
      </c>
    </row>
    <row r="263" customFormat="false" ht="32.8" hidden="false" customHeight="false" outlineLevel="0" collapsed="false">
      <c r="A263" s="10" t="s">
        <v>874</v>
      </c>
      <c r="B263" s="11" t="s">
        <v>226</v>
      </c>
      <c r="C263" s="11" t="s">
        <v>232</v>
      </c>
      <c r="D263" s="11" t="s">
        <v>233</v>
      </c>
      <c r="E263" s="11" t="s">
        <v>854</v>
      </c>
      <c r="F263" s="11" t="s">
        <v>875</v>
      </c>
      <c r="G263" s="11" t="s">
        <v>876</v>
      </c>
      <c r="H263" s="11" t="s">
        <v>857</v>
      </c>
      <c r="I263" s="11" t="s">
        <v>858</v>
      </c>
      <c r="J263" s="11"/>
      <c r="K263" s="11" t="n">
        <v>21</v>
      </c>
      <c r="L263" s="11" t="s">
        <v>304</v>
      </c>
      <c r="M263" s="11" t="n">
        <v>20</v>
      </c>
      <c r="N263" s="11" t="s">
        <v>304</v>
      </c>
      <c r="O263" s="11" t="n">
        <v>20</v>
      </c>
      <c r="P263" s="11" t="s">
        <v>304</v>
      </c>
      <c r="Q263" s="11"/>
      <c r="R263" s="11"/>
      <c r="S263" s="11" t="s">
        <v>305</v>
      </c>
      <c r="T263" s="11"/>
      <c r="U263" s="11" t="s">
        <v>860</v>
      </c>
      <c r="V263" s="11" t="s">
        <v>861</v>
      </c>
      <c r="W263" s="11" t="s">
        <v>309</v>
      </c>
      <c r="X263" s="11" t="s">
        <v>862</v>
      </c>
      <c r="Y263" s="12" t="s">
        <v>863</v>
      </c>
    </row>
    <row r="264" customFormat="false" ht="32.8" hidden="false" customHeight="false" outlineLevel="0" collapsed="false">
      <c r="A264" s="10" t="s">
        <v>877</v>
      </c>
      <c r="B264" s="11" t="s">
        <v>226</v>
      </c>
      <c r="C264" s="11" t="s">
        <v>232</v>
      </c>
      <c r="D264" s="11" t="s">
        <v>233</v>
      </c>
      <c r="E264" s="11" t="s">
        <v>854</v>
      </c>
      <c r="F264" s="11" t="s">
        <v>878</v>
      </c>
      <c r="G264" s="11" t="s">
        <v>879</v>
      </c>
      <c r="H264" s="11" t="s">
        <v>857</v>
      </c>
      <c r="I264" s="11" t="s">
        <v>858</v>
      </c>
      <c r="J264" s="11"/>
      <c r="K264" s="11" t="n">
        <v>1</v>
      </c>
      <c r="L264" s="11" t="s">
        <v>859</v>
      </c>
      <c r="M264" s="11" t="n">
        <v>1</v>
      </c>
      <c r="N264" s="11" t="s">
        <v>304</v>
      </c>
      <c r="O264" s="11"/>
      <c r="P264" s="11" t="s">
        <v>304</v>
      </c>
      <c r="Q264" s="11"/>
      <c r="R264" s="11"/>
      <c r="S264" s="11" t="s">
        <v>24</v>
      </c>
      <c r="T264" s="11"/>
      <c r="U264" s="11" t="s">
        <v>860</v>
      </c>
      <c r="V264" s="11" t="s">
        <v>861</v>
      </c>
      <c r="W264" s="11" t="s">
        <v>309</v>
      </c>
      <c r="X264" s="11" t="s">
        <v>862</v>
      </c>
      <c r="Y264" s="12" t="s">
        <v>863</v>
      </c>
    </row>
    <row r="265" customFormat="false" ht="32.8" hidden="false" customHeight="false" outlineLevel="0" collapsed="false">
      <c r="A265" s="10" t="s">
        <v>880</v>
      </c>
      <c r="B265" s="11" t="s">
        <v>240</v>
      </c>
      <c r="C265" s="11" t="s">
        <v>243</v>
      </c>
      <c r="D265" s="11" t="s">
        <v>244</v>
      </c>
      <c r="E265" s="11" t="s">
        <v>854</v>
      </c>
      <c r="F265" s="11" t="s">
        <v>881</v>
      </c>
      <c r="G265" s="11" t="s">
        <v>882</v>
      </c>
      <c r="H265" s="11" t="s">
        <v>857</v>
      </c>
      <c r="I265" s="11" t="s">
        <v>858</v>
      </c>
      <c r="J265" s="11"/>
      <c r="K265" s="11" t="n">
        <v>126</v>
      </c>
      <c r="L265" s="11" t="s">
        <v>304</v>
      </c>
      <c r="M265" s="11" t="n">
        <v>126</v>
      </c>
      <c r="N265" s="11" t="s">
        <v>304</v>
      </c>
      <c r="O265" s="11" t="n">
        <v>111</v>
      </c>
      <c r="P265" s="11" t="s">
        <v>304</v>
      </c>
      <c r="Q265" s="11"/>
      <c r="R265" s="11"/>
      <c r="S265" s="11" t="s">
        <v>24</v>
      </c>
      <c r="T265" s="11"/>
      <c r="U265" s="11" t="s">
        <v>860</v>
      </c>
      <c r="V265" s="11" t="s">
        <v>861</v>
      </c>
      <c r="W265" s="11" t="s">
        <v>309</v>
      </c>
      <c r="X265" s="11" t="s">
        <v>862</v>
      </c>
      <c r="Y265" s="12" t="s">
        <v>863</v>
      </c>
    </row>
    <row r="266" customFormat="false" ht="32.8" hidden="false" customHeight="false" outlineLevel="0" collapsed="false">
      <c r="A266" s="10" t="s">
        <v>883</v>
      </c>
      <c r="B266" s="11" t="s">
        <v>240</v>
      </c>
      <c r="C266" s="11" t="s">
        <v>243</v>
      </c>
      <c r="D266" s="11" t="s">
        <v>244</v>
      </c>
      <c r="E266" s="11" t="s">
        <v>854</v>
      </c>
      <c r="F266" s="11" t="s">
        <v>884</v>
      </c>
      <c r="G266" s="11" t="s">
        <v>444</v>
      </c>
      <c r="H266" s="11" t="s">
        <v>857</v>
      </c>
      <c r="I266" s="11" t="s">
        <v>858</v>
      </c>
      <c r="J266" s="11"/>
      <c r="K266" s="11" t="n">
        <v>50</v>
      </c>
      <c r="L266" s="11" t="s">
        <v>885</v>
      </c>
      <c r="M266" s="11" t="n">
        <v>50</v>
      </c>
      <c r="N266" s="11" t="s">
        <v>885</v>
      </c>
      <c r="O266" s="11" t="n">
        <v>44</v>
      </c>
      <c r="P266" s="11" t="s">
        <v>304</v>
      </c>
      <c r="Q266" s="11"/>
      <c r="R266" s="11"/>
      <c r="S266" s="11" t="s">
        <v>24</v>
      </c>
      <c r="T266" s="11"/>
      <c r="U266" s="11" t="s">
        <v>860</v>
      </c>
      <c r="V266" s="11" t="s">
        <v>861</v>
      </c>
      <c r="W266" s="11" t="s">
        <v>309</v>
      </c>
      <c r="X266" s="11" t="s">
        <v>862</v>
      </c>
      <c r="Y266" s="12" t="s">
        <v>863</v>
      </c>
    </row>
    <row r="267" customFormat="false" ht="32.8" hidden="false" customHeight="false" outlineLevel="0" collapsed="false">
      <c r="A267" s="10" t="s">
        <v>886</v>
      </c>
      <c r="B267" s="11" t="s">
        <v>240</v>
      </c>
      <c r="C267" s="11" t="s">
        <v>243</v>
      </c>
      <c r="D267" s="11" t="s">
        <v>244</v>
      </c>
      <c r="E267" s="11" t="s">
        <v>854</v>
      </c>
      <c r="F267" s="11" t="s">
        <v>865</v>
      </c>
      <c r="G267" s="11" t="s">
        <v>450</v>
      </c>
      <c r="H267" s="11" t="s">
        <v>857</v>
      </c>
      <c r="I267" s="11" t="s">
        <v>858</v>
      </c>
      <c r="J267" s="11"/>
      <c r="K267" s="11" t="n">
        <v>5</v>
      </c>
      <c r="L267" s="11" t="s">
        <v>304</v>
      </c>
      <c r="M267" s="11" t="n">
        <v>5</v>
      </c>
      <c r="N267" s="11" t="s">
        <v>304</v>
      </c>
      <c r="O267" s="11" t="n">
        <v>4</v>
      </c>
      <c r="P267" s="11" t="s">
        <v>304</v>
      </c>
      <c r="Q267" s="11"/>
      <c r="R267" s="11"/>
      <c r="S267" s="11" t="s">
        <v>24</v>
      </c>
      <c r="T267" s="11"/>
      <c r="U267" s="11" t="s">
        <v>860</v>
      </c>
      <c r="V267" s="11" t="s">
        <v>861</v>
      </c>
      <c r="W267" s="11" t="s">
        <v>309</v>
      </c>
      <c r="X267" s="11" t="s">
        <v>862</v>
      </c>
      <c r="Y267" s="12" t="s">
        <v>863</v>
      </c>
    </row>
    <row r="268" customFormat="false" ht="32.8" hidden="false" customHeight="false" outlineLevel="0" collapsed="false">
      <c r="A268" s="10" t="s">
        <v>887</v>
      </c>
      <c r="B268" s="11" t="s">
        <v>240</v>
      </c>
      <c r="C268" s="11" t="s">
        <v>243</v>
      </c>
      <c r="D268" s="11" t="s">
        <v>244</v>
      </c>
      <c r="E268" s="11" t="s">
        <v>854</v>
      </c>
      <c r="F268" s="11" t="s">
        <v>867</v>
      </c>
      <c r="G268" s="11" t="s">
        <v>793</v>
      </c>
      <c r="H268" s="11" t="s">
        <v>857</v>
      </c>
      <c r="I268" s="11" t="s">
        <v>858</v>
      </c>
      <c r="J268" s="11"/>
      <c r="K268" s="11" t="n">
        <v>1</v>
      </c>
      <c r="L268" s="11" t="s">
        <v>304</v>
      </c>
      <c r="M268" s="11" t="n">
        <v>1</v>
      </c>
      <c r="N268" s="11" t="s">
        <v>304</v>
      </c>
      <c r="O268" s="11" t="n">
        <v>1</v>
      </c>
      <c r="P268" s="11" t="s">
        <v>304</v>
      </c>
      <c r="Q268" s="11"/>
      <c r="R268" s="11"/>
      <c r="S268" s="11" t="s">
        <v>24</v>
      </c>
      <c r="T268" s="11"/>
      <c r="U268" s="11" t="s">
        <v>860</v>
      </c>
      <c r="V268" s="11" t="s">
        <v>861</v>
      </c>
      <c r="W268" s="11" t="s">
        <v>309</v>
      </c>
      <c r="X268" s="11" t="s">
        <v>862</v>
      </c>
      <c r="Y268" s="12" t="s">
        <v>863</v>
      </c>
    </row>
    <row r="269" customFormat="false" ht="32.8" hidden="false" customHeight="false" outlineLevel="0" collapsed="false">
      <c r="A269" s="10" t="s">
        <v>888</v>
      </c>
      <c r="B269" s="11" t="s">
        <v>240</v>
      </c>
      <c r="C269" s="11" t="s">
        <v>243</v>
      </c>
      <c r="D269" s="11" t="s">
        <v>244</v>
      </c>
      <c r="E269" s="11" t="s">
        <v>854</v>
      </c>
      <c r="F269" s="11" t="s">
        <v>869</v>
      </c>
      <c r="G269" s="11" t="s">
        <v>870</v>
      </c>
      <c r="H269" s="11" t="s">
        <v>857</v>
      </c>
      <c r="I269" s="11" t="s">
        <v>858</v>
      </c>
      <c r="J269" s="11"/>
      <c r="K269" s="11" t="n">
        <v>1</v>
      </c>
      <c r="L269" s="11" t="s">
        <v>859</v>
      </c>
      <c r="M269" s="11" t="n">
        <v>80</v>
      </c>
      <c r="N269" s="11" t="s">
        <v>304</v>
      </c>
      <c r="O269" s="11" t="n">
        <v>65</v>
      </c>
      <c r="P269" s="11" t="s">
        <v>304</v>
      </c>
      <c r="Q269" s="11"/>
      <c r="R269" s="11"/>
      <c r="S269" s="11" t="s">
        <v>24</v>
      </c>
      <c r="T269" s="11"/>
      <c r="U269" s="11" t="s">
        <v>860</v>
      </c>
      <c r="V269" s="11" t="s">
        <v>861</v>
      </c>
      <c r="W269" s="11" t="s">
        <v>309</v>
      </c>
      <c r="X269" s="11" t="s">
        <v>862</v>
      </c>
      <c r="Y269" s="12" t="s">
        <v>863</v>
      </c>
    </row>
    <row r="270" customFormat="false" ht="32.8" hidden="false" customHeight="false" outlineLevel="0" collapsed="false">
      <c r="A270" s="10" t="s">
        <v>889</v>
      </c>
      <c r="B270" s="11" t="s">
        <v>240</v>
      </c>
      <c r="C270" s="11" t="s">
        <v>243</v>
      </c>
      <c r="D270" s="11" t="s">
        <v>244</v>
      </c>
      <c r="E270" s="11" t="s">
        <v>854</v>
      </c>
      <c r="F270" s="11" t="s">
        <v>872</v>
      </c>
      <c r="G270" s="11" t="s">
        <v>873</v>
      </c>
      <c r="H270" s="11" t="s">
        <v>857</v>
      </c>
      <c r="I270" s="11" t="s">
        <v>858</v>
      </c>
      <c r="J270" s="11"/>
      <c r="K270" s="11" t="n">
        <v>20</v>
      </c>
      <c r="L270" s="11" t="s">
        <v>304</v>
      </c>
      <c r="M270" s="11" t="n">
        <v>20</v>
      </c>
      <c r="N270" s="11" t="s">
        <v>304</v>
      </c>
      <c r="O270" s="11" t="n">
        <v>20</v>
      </c>
      <c r="P270" s="11" t="s">
        <v>304</v>
      </c>
      <c r="Q270" s="11"/>
      <c r="R270" s="11"/>
      <c r="S270" s="11" t="s">
        <v>24</v>
      </c>
      <c r="T270" s="11"/>
      <c r="U270" s="11" t="s">
        <v>860</v>
      </c>
      <c r="V270" s="11" t="s">
        <v>861</v>
      </c>
      <c r="W270" s="11" t="s">
        <v>309</v>
      </c>
      <c r="X270" s="11" t="s">
        <v>862</v>
      </c>
      <c r="Y270" s="12" t="s">
        <v>863</v>
      </c>
    </row>
    <row r="271" customFormat="false" ht="32.8" hidden="false" customHeight="false" outlineLevel="0" collapsed="false">
      <c r="A271" s="10" t="s">
        <v>890</v>
      </c>
      <c r="B271" s="11" t="s">
        <v>240</v>
      </c>
      <c r="C271" s="11" t="s">
        <v>243</v>
      </c>
      <c r="D271" s="11" t="s">
        <v>244</v>
      </c>
      <c r="E271" s="11" t="s">
        <v>854</v>
      </c>
      <c r="F271" s="11" t="s">
        <v>875</v>
      </c>
      <c r="G271" s="11" t="s">
        <v>876</v>
      </c>
      <c r="H271" s="11" t="s">
        <v>857</v>
      </c>
      <c r="I271" s="11" t="s">
        <v>858</v>
      </c>
      <c r="J271" s="11"/>
      <c r="K271" s="11" t="n">
        <v>21</v>
      </c>
      <c r="L271" s="11" t="s">
        <v>304</v>
      </c>
      <c r="M271" s="11" t="n">
        <v>20</v>
      </c>
      <c r="N271" s="11" t="s">
        <v>304</v>
      </c>
      <c r="O271" s="11" t="n">
        <v>20</v>
      </c>
      <c r="P271" s="11" t="s">
        <v>304</v>
      </c>
      <c r="Q271" s="11"/>
      <c r="R271" s="11"/>
      <c r="S271" s="11" t="s">
        <v>305</v>
      </c>
      <c r="T271" s="11"/>
      <c r="U271" s="11" t="s">
        <v>860</v>
      </c>
      <c r="V271" s="11" t="s">
        <v>861</v>
      </c>
      <c r="W271" s="11" t="s">
        <v>309</v>
      </c>
      <c r="X271" s="11" t="s">
        <v>862</v>
      </c>
      <c r="Y271" s="12" t="s">
        <v>863</v>
      </c>
    </row>
    <row r="272" customFormat="false" ht="32.8" hidden="false" customHeight="false" outlineLevel="0" collapsed="false">
      <c r="A272" s="10" t="s">
        <v>891</v>
      </c>
      <c r="B272" s="11" t="s">
        <v>240</v>
      </c>
      <c r="C272" s="11" t="s">
        <v>243</v>
      </c>
      <c r="D272" s="11" t="s">
        <v>244</v>
      </c>
      <c r="E272" s="11" t="s">
        <v>854</v>
      </c>
      <c r="F272" s="11" t="s">
        <v>878</v>
      </c>
      <c r="G272" s="11" t="s">
        <v>879</v>
      </c>
      <c r="H272" s="11" t="s">
        <v>857</v>
      </c>
      <c r="I272" s="11" t="s">
        <v>858</v>
      </c>
      <c r="J272" s="11"/>
      <c r="K272" s="11" t="n">
        <v>1</v>
      </c>
      <c r="L272" s="11" t="s">
        <v>859</v>
      </c>
      <c r="M272" s="11" t="n">
        <v>1</v>
      </c>
      <c r="N272" s="11" t="s">
        <v>304</v>
      </c>
      <c r="O272" s="11"/>
      <c r="P272" s="11" t="s">
        <v>304</v>
      </c>
      <c r="Q272" s="11"/>
      <c r="R272" s="11"/>
      <c r="S272" s="11" t="s">
        <v>24</v>
      </c>
      <c r="T272" s="11"/>
      <c r="U272" s="11" t="s">
        <v>860</v>
      </c>
      <c r="V272" s="11" t="s">
        <v>861</v>
      </c>
      <c r="W272" s="11" t="s">
        <v>309</v>
      </c>
      <c r="X272" s="11" t="s">
        <v>862</v>
      </c>
      <c r="Y272" s="12" t="s">
        <v>863</v>
      </c>
    </row>
    <row r="273" customFormat="false" ht="32.8" hidden="false" customHeight="false" outlineLevel="0" collapsed="false">
      <c r="A273" s="10" t="s">
        <v>892</v>
      </c>
      <c r="B273" s="11" t="s">
        <v>246</v>
      </c>
      <c r="C273" s="11" t="s">
        <v>249</v>
      </c>
      <c r="D273" s="11" t="s">
        <v>250</v>
      </c>
      <c r="E273" s="11" t="s">
        <v>854</v>
      </c>
      <c r="F273" s="11" t="s">
        <v>893</v>
      </c>
      <c r="G273" s="11" t="s">
        <v>894</v>
      </c>
      <c r="H273" s="11" t="s">
        <v>857</v>
      </c>
      <c r="I273" s="11" t="s">
        <v>858</v>
      </c>
      <c r="J273" s="11"/>
      <c r="K273" s="11" t="n">
        <v>45</v>
      </c>
      <c r="L273" s="11" t="s">
        <v>304</v>
      </c>
      <c r="M273" s="11" t="n">
        <v>45</v>
      </c>
      <c r="N273" s="11" t="s">
        <v>304</v>
      </c>
      <c r="O273" s="11" t="n">
        <v>45</v>
      </c>
      <c r="P273" s="11" t="s">
        <v>304</v>
      </c>
      <c r="Q273" s="11"/>
      <c r="R273" s="11"/>
      <c r="S273" s="11" t="s">
        <v>24</v>
      </c>
      <c r="T273" s="11"/>
      <c r="U273" s="11" t="s">
        <v>860</v>
      </c>
      <c r="V273" s="11" t="s">
        <v>861</v>
      </c>
      <c r="W273" s="11" t="s">
        <v>309</v>
      </c>
      <c r="X273" s="11" t="s">
        <v>862</v>
      </c>
      <c r="Y273" s="12" t="s">
        <v>863</v>
      </c>
    </row>
    <row r="274" customFormat="false" ht="32.8" hidden="false" customHeight="false" outlineLevel="0" collapsed="false">
      <c r="A274" s="10" t="s">
        <v>895</v>
      </c>
      <c r="B274" s="11" t="s">
        <v>246</v>
      </c>
      <c r="C274" s="11" t="s">
        <v>249</v>
      </c>
      <c r="D274" s="11" t="s">
        <v>250</v>
      </c>
      <c r="E274" s="11" t="s">
        <v>854</v>
      </c>
      <c r="F274" s="11" t="s">
        <v>884</v>
      </c>
      <c r="G274" s="11" t="s">
        <v>444</v>
      </c>
      <c r="H274" s="11" t="s">
        <v>857</v>
      </c>
      <c r="I274" s="11" t="s">
        <v>858</v>
      </c>
      <c r="J274" s="11"/>
      <c r="K274" s="11" t="n">
        <v>125</v>
      </c>
      <c r="L274" s="11" t="s">
        <v>885</v>
      </c>
      <c r="M274" s="11" t="n">
        <v>125</v>
      </c>
      <c r="N274" s="11" t="s">
        <v>885</v>
      </c>
      <c r="O274" s="11" t="n">
        <v>108</v>
      </c>
      <c r="P274" s="11" t="s">
        <v>304</v>
      </c>
      <c r="Q274" s="11"/>
      <c r="R274" s="11"/>
      <c r="S274" s="11" t="s">
        <v>24</v>
      </c>
      <c r="T274" s="11"/>
      <c r="U274" s="11" t="s">
        <v>860</v>
      </c>
      <c r="V274" s="11" t="s">
        <v>861</v>
      </c>
      <c r="W274" s="11" t="s">
        <v>309</v>
      </c>
      <c r="X274" s="11" t="s">
        <v>862</v>
      </c>
      <c r="Y274" s="12" t="s">
        <v>863</v>
      </c>
    </row>
    <row r="275" customFormat="false" ht="32.8" hidden="false" customHeight="false" outlineLevel="0" collapsed="false">
      <c r="A275" s="10" t="s">
        <v>896</v>
      </c>
      <c r="B275" s="11" t="s">
        <v>246</v>
      </c>
      <c r="C275" s="11" t="s">
        <v>249</v>
      </c>
      <c r="D275" s="11" t="s">
        <v>250</v>
      </c>
      <c r="E275" s="11" t="s">
        <v>854</v>
      </c>
      <c r="F275" s="11" t="s">
        <v>897</v>
      </c>
      <c r="G275" s="11" t="s">
        <v>898</v>
      </c>
      <c r="H275" s="11" t="s">
        <v>857</v>
      </c>
      <c r="I275" s="11" t="s">
        <v>858</v>
      </c>
      <c r="J275" s="11"/>
      <c r="K275" s="11" t="n">
        <v>100</v>
      </c>
      <c r="L275" s="11" t="s">
        <v>304</v>
      </c>
      <c r="M275" s="11" t="n">
        <v>100</v>
      </c>
      <c r="N275" s="11" t="s">
        <v>304</v>
      </c>
      <c r="O275" s="11" t="n">
        <v>86</v>
      </c>
      <c r="P275" s="11" t="s">
        <v>304</v>
      </c>
      <c r="Q275" s="11"/>
      <c r="R275" s="11"/>
      <c r="S275" s="11" t="s">
        <v>24</v>
      </c>
      <c r="T275" s="11"/>
      <c r="U275" s="11" t="s">
        <v>860</v>
      </c>
      <c r="V275" s="11" t="s">
        <v>861</v>
      </c>
      <c r="W275" s="11" t="s">
        <v>309</v>
      </c>
      <c r="X275" s="11" t="s">
        <v>862</v>
      </c>
      <c r="Y275" s="12" t="s">
        <v>863</v>
      </c>
    </row>
    <row r="276" customFormat="false" ht="32.8" hidden="false" customHeight="false" outlineLevel="0" collapsed="false">
      <c r="A276" s="10" t="s">
        <v>899</v>
      </c>
      <c r="B276" s="11" t="s">
        <v>246</v>
      </c>
      <c r="C276" s="11" t="s">
        <v>249</v>
      </c>
      <c r="D276" s="11" t="s">
        <v>250</v>
      </c>
      <c r="E276" s="11" t="s">
        <v>854</v>
      </c>
      <c r="F276" s="11" t="s">
        <v>900</v>
      </c>
      <c r="G276" s="11" t="s">
        <v>453</v>
      </c>
      <c r="H276" s="11" t="s">
        <v>857</v>
      </c>
      <c r="I276" s="11" t="s">
        <v>858</v>
      </c>
      <c r="J276" s="11"/>
      <c r="K276" s="11" t="n">
        <v>5</v>
      </c>
      <c r="L276" s="11" t="s">
        <v>304</v>
      </c>
      <c r="M276" s="11" t="n">
        <v>5</v>
      </c>
      <c r="N276" s="11" t="s">
        <v>304</v>
      </c>
      <c r="O276" s="11" t="n">
        <v>5</v>
      </c>
      <c r="P276" s="11" t="s">
        <v>304</v>
      </c>
      <c r="Q276" s="11"/>
      <c r="R276" s="11"/>
      <c r="S276" s="11" t="s">
        <v>24</v>
      </c>
      <c r="T276" s="11"/>
      <c r="U276" s="11" t="s">
        <v>860</v>
      </c>
      <c r="V276" s="11" t="s">
        <v>861</v>
      </c>
      <c r="W276" s="11" t="s">
        <v>309</v>
      </c>
      <c r="X276" s="11" t="s">
        <v>862</v>
      </c>
      <c r="Y276" s="12" t="s">
        <v>863</v>
      </c>
    </row>
    <row r="277" customFormat="false" ht="32.8" hidden="false" customHeight="false" outlineLevel="0" collapsed="false">
      <c r="A277" s="10" t="s">
        <v>901</v>
      </c>
      <c r="B277" s="11" t="s">
        <v>246</v>
      </c>
      <c r="C277" s="11" t="s">
        <v>249</v>
      </c>
      <c r="D277" s="11" t="s">
        <v>250</v>
      </c>
      <c r="E277" s="11" t="s">
        <v>854</v>
      </c>
      <c r="F277" s="11" t="s">
        <v>865</v>
      </c>
      <c r="G277" s="11" t="s">
        <v>450</v>
      </c>
      <c r="H277" s="11" t="s">
        <v>857</v>
      </c>
      <c r="I277" s="11" t="s">
        <v>858</v>
      </c>
      <c r="J277" s="11"/>
      <c r="K277" s="11" t="n">
        <v>5</v>
      </c>
      <c r="L277" s="11" t="s">
        <v>304</v>
      </c>
      <c r="M277" s="11" t="n">
        <v>5</v>
      </c>
      <c r="N277" s="11" t="s">
        <v>304</v>
      </c>
      <c r="O277" s="11" t="n">
        <v>5</v>
      </c>
      <c r="P277" s="11" t="s">
        <v>304</v>
      </c>
      <c r="Q277" s="11"/>
      <c r="R277" s="11"/>
      <c r="S277" s="11" t="s">
        <v>24</v>
      </c>
      <c r="T277" s="11"/>
      <c r="U277" s="11" t="s">
        <v>860</v>
      </c>
      <c r="V277" s="11" t="s">
        <v>861</v>
      </c>
      <c r="W277" s="11" t="s">
        <v>309</v>
      </c>
      <c r="X277" s="11" t="s">
        <v>862</v>
      </c>
      <c r="Y277" s="12" t="s">
        <v>863</v>
      </c>
    </row>
    <row r="278" customFormat="false" ht="32.8" hidden="false" customHeight="false" outlineLevel="0" collapsed="false">
      <c r="A278" s="10" t="s">
        <v>902</v>
      </c>
      <c r="B278" s="11" t="s">
        <v>246</v>
      </c>
      <c r="C278" s="11" t="s">
        <v>249</v>
      </c>
      <c r="D278" s="11" t="s">
        <v>250</v>
      </c>
      <c r="E278" s="11" t="s">
        <v>854</v>
      </c>
      <c r="F278" s="11" t="s">
        <v>867</v>
      </c>
      <c r="G278" s="11" t="s">
        <v>793</v>
      </c>
      <c r="H278" s="11" t="s">
        <v>857</v>
      </c>
      <c r="I278" s="11" t="s">
        <v>858</v>
      </c>
      <c r="J278" s="11"/>
      <c r="K278" s="11" t="n">
        <v>1</v>
      </c>
      <c r="L278" s="11" t="s">
        <v>304</v>
      </c>
      <c r="M278" s="11" t="n">
        <v>1</v>
      </c>
      <c r="N278" s="11" t="s">
        <v>304</v>
      </c>
      <c r="O278" s="11" t="n">
        <v>1</v>
      </c>
      <c r="P278" s="11" t="s">
        <v>304</v>
      </c>
      <c r="Q278" s="11"/>
      <c r="R278" s="11"/>
      <c r="S278" s="11" t="s">
        <v>24</v>
      </c>
      <c r="T278" s="11"/>
      <c r="U278" s="11" t="s">
        <v>860</v>
      </c>
      <c r="V278" s="11" t="s">
        <v>861</v>
      </c>
      <c r="W278" s="11" t="s">
        <v>309</v>
      </c>
      <c r="X278" s="11" t="s">
        <v>862</v>
      </c>
      <c r="Y278" s="12" t="s">
        <v>863</v>
      </c>
    </row>
    <row r="279" customFormat="false" ht="32.8" hidden="false" customHeight="false" outlineLevel="0" collapsed="false">
      <c r="A279" s="10" t="s">
        <v>903</v>
      </c>
      <c r="B279" s="11" t="s">
        <v>246</v>
      </c>
      <c r="C279" s="11" t="s">
        <v>249</v>
      </c>
      <c r="D279" s="11" t="s">
        <v>250</v>
      </c>
      <c r="E279" s="11" t="s">
        <v>854</v>
      </c>
      <c r="F279" s="11" t="s">
        <v>869</v>
      </c>
      <c r="G279" s="11" t="s">
        <v>870</v>
      </c>
      <c r="H279" s="11" t="s">
        <v>857</v>
      </c>
      <c r="I279" s="11" t="s">
        <v>858</v>
      </c>
      <c r="J279" s="11"/>
      <c r="K279" s="11" t="n">
        <v>1</v>
      </c>
      <c r="L279" s="11" t="s">
        <v>859</v>
      </c>
      <c r="M279" s="11" t="n">
        <v>80</v>
      </c>
      <c r="N279" s="11" t="s">
        <v>304</v>
      </c>
      <c r="O279" s="11" t="n">
        <v>65</v>
      </c>
      <c r="P279" s="11" t="s">
        <v>304</v>
      </c>
      <c r="Q279" s="11"/>
      <c r="R279" s="11"/>
      <c r="S279" s="11" t="s">
        <v>24</v>
      </c>
      <c r="T279" s="11"/>
      <c r="U279" s="11" t="s">
        <v>860</v>
      </c>
      <c r="V279" s="11" t="s">
        <v>861</v>
      </c>
      <c r="W279" s="11" t="s">
        <v>309</v>
      </c>
      <c r="X279" s="11" t="s">
        <v>862</v>
      </c>
      <c r="Y279" s="12" t="s">
        <v>863</v>
      </c>
    </row>
    <row r="280" customFormat="false" ht="32.8" hidden="false" customHeight="false" outlineLevel="0" collapsed="false">
      <c r="A280" s="10" t="s">
        <v>904</v>
      </c>
      <c r="B280" s="11" t="s">
        <v>246</v>
      </c>
      <c r="C280" s="11" t="s">
        <v>249</v>
      </c>
      <c r="D280" s="11" t="s">
        <v>250</v>
      </c>
      <c r="E280" s="11" t="s">
        <v>854</v>
      </c>
      <c r="F280" s="11" t="s">
        <v>872</v>
      </c>
      <c r="G280" s="11" t="s">
        <v>873</v>
      </c>
      <c r="H280" s="11" t="s">
        <v>857</v>
      </c>
      <c r="I280" s="11" t="s">
        <v>858</v>
      </c>
      <c r="J280" s="11"/>
      <c r="K280" s="11" t="n">
        <v>20</v>
      </c>
      <c r="L280" s="11" t="s">
        <v>304</v>
      </c>
      <c r="M280" s="11" t="n">
        <v>20</v>
      </c>
      <c r="N280" s="11" t="s">
        <v>304</v>
      </c>
      <c r="O280" s="11" t="n">
        <v>20</v>
      </c>
      <c r="P280" s="11" t="s">
        <v>304</v>
      </c>
      <c r="Q280" s="11"/>
      <c r="R280" s="11"/>
      <c r="S280" s="11" t="s">
        <v>24</v>
      </c>
      <c r="T280" s="11"/>
      <c r="U280" s="11" t="s">
        <v>860</v>
      </c>
      <c r="V280" s="11" t="s">
        <v>861</v>
      </c>
      <c r="W280" s="11" t="s">
        <v>309</v>
      </c>
      <c r="X280" s="11" t="s">
        <v>862</v>
      </c>
      <c r="Y280" s="12" t="s">
        <v>863</v>
      </c>
    </row>
    <row r="281" customFormat="false" ht="32.8" hidden="false" customHeight="false" outlineLevel="0" collapsed="false">
      <c r="A281" s="10" t="s">
        <v>905</v>
      </c>
      <c r="B281" s="11" t="s">
        <v>246</v>
      </c>
      <c r="C281" s="11" t="s">
        <v>249</v>
      </c>
      <c r="D281" s="11" t="s">
        <v>250</v>
      </c>
      <c r="E281" s="11" t="s">
        <v>854</v>
      </c>
      <c r="F281" s="11" t="s">
        <v>875</v>
      </c>
      <c r="G281" s="11" t="s">
        <v>876</v>
      </c>
      <c r="H281" s="11" t="s">
        <v>857</v>
      </c>
      <c r="I281" s="11" t="s">
        <v>858</v>
      </c>
      <c r="J281" s="11"/>
      <c r="K281" s="11" t="n">
        <v>21</v>
      </c>
      <c r="L281" s="11" t="s">
        <v>304</v>
      </c>
      <c r="M281" s="11" t="n">
        <v>20</v>
      </c>
      <c r="N281" s="11" t="s">
        <v>304</v>
      </c>
      <c r="O281" s="11" t="n">
        <v>20</v>
      </c>
      <c r="P281" s="11" t="s">
        <v>304</v>
      </c>
      <c r="Q281" s="11"/>
      <c r="R281" s="11"/>
      <c r="S281" s="11" t="s">
        <v>305</v>
      </c>
      <c r="T281" s="11"/>
      <c r="U281" s="11" t="s">
        <v>860</v>
      </c>
      <c r="V281" s="11" t="s">
        <v>861</v>
      </c>
      <c r="W281" s="11" t="s">
        <v>309</v>
      </c>
      <c r="X281" s="11" t="s">
        <v>862</v>
      </c>
      <c r="Y281" s="12" t="s">
        <v>863</v>
      </c>
    </row>
    <row r="282" customFormat="false" ht="32.8" hidden="false" customHeight="false" outlineLevel="0" collapsed="false">
      <c r="A282" s="13" t="s">
        <v>906</v>
      </c>
      <c r="B282" s="14" t="s">
        <v>246</v>
      </c>
      <c r="C282" s="14" t="s">
        <v>249</v>
      </c>
      <c r="D282" s="14" t="s">
        <v>250</v>
      </c>
      <c r="E282" s="14" t="s">
        <v>854</v>
      </c>
      <c r="F282" s="14" t="s">
        <v>878</v>
      </c>
      <c r="G282" s="14" t="s">
        <v>879</v>
      </c>
      <c r="H282" s="14" t="s">
        <v>857</v>
      </c>
      <c r="I282" s="14" t="s">
        <v>858</v>
      </c>
      <c r="J282" s="14"/>
      <c r="K282" s="14" t="n">
        <v>1</v>
      </c>
      <c r="L282" s="14" t="s">
        <v>859</v>
      </c>
      <c r="M282" s="14" t="n">
        <v>1</v>
      </c>
      <c r="N282" s="14" t="s">
        <v>304</v>
      </c>
      <c r="O282" s="14"/>
      <c r="P282" s="14" t="s">
        <v>304</v>
      </c>
      <c r="Q282" s="14"/>
      <c r="R282" s="14"/>
      <c r="S282" s="14" t="s">
        <v>24</v>
      </c>
      <c r="T282" s="14"/>
      <c r="U282" s="14" t="s">
        <v>860</v>
      </c>
      <c r="V282" s="14" t="s">
        <v>861</v>
      </c>
      <c r="W282" s="14" t="s">
        <v>309</v>
      </c>
      <c r="X282" s="14" t="s">
        <v>862</v>
      </c>
      <c r="Y282" s="15" t="s">
        <v>863</v>
      </c>
    </row>
  </sheetData>
  <autoFilter ref="A1:Y282">
    <filterColumn colId="0" hiddenButton="1"/>
  </autoFilter>
  <mergeCells count="2">
    <mergeCell ref="A1:Y1"/>
    <mergeCell ref="A2:Y2"/>
  </mergeCells>
  <conditionalFormatting sqref="S5:S282">
    <cfRule type="containsText" priority="2" operator="containsText" aboveAverage="0" equalAverage="0" bottom="0" percent="0" rank="0" text="BLOCK" dxfId="19">
      <formula>NOT(ISERROR(SEARCH("BLOCK",S5)))</formula>
    </cfRule>
    <cfRule type="containsText" priority="3" operator="containsText" aboveAverage="0" equalAverage="0" bottom="0" percent="0" rank="0" text="DRAFT" dxfId="20">
      <formula>NOT(ISERROR(SEARCH("DRAFT",S5)))</formula>
    </cfRule>
    <cfRule type="containsText" priority="4" operator="containsText" aboveAverage="0" equalAverage="0" bottom="0" percent="0" rank="0" text="PASS" dxfId="21">
      <formula>NOT(ISERROR(SEARCH("PASS",S5)))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true">
    <pageSetUpPr fitToPage="false"/>
  </sheetPr>
  <dimension ref="A1:A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13" min="3" style="0" width="16"/>
    <col collapsed="false" customWidth="true" hidden="false" outlineLevel="0" max="15" min="14" style="0" width="24"/>
    <col collapsed="false" customWidth="true" hidden="false" outlineLevel="0" max="16" min="16" style="0" width="16"/>
    <col collapsed="false" customWidth="true" hidden="false" outlineLevel="0" max="17" min="17" style="0" width="38"/>
    <col collapsed="false" customWidth="true" hidden="false" outlineLevel="0" max="20" min="18" style="0" width="16"/>
    <col collapsed="false" customWidth="true" hidden="false" outlineLevel="0" max="21" min="21" style="0" width="24"/>
    <col collapsed="false" customWidth="true" hidden="false" outlineLevel="0" max="26" min="22" style="0" width="16"/>
    <col collapsed="false" customWidth="true" hidden="false" outlineLevel="0" max="28" min="27" style="0" width="24"/>
  </cols>
  <sheetData>
    <row r="1" customFormat="false" ht="17.35" hidden="false" customHeight="false" outlineLevel="0" collapsed="false">
      <c r="A1" s="4" t="s">
        <v>907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true" outlineLevel="0" collapsed="false">
      <c r="A2" s="5" t="s">
        <v>908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50" hidden="false" customHeight="true" outlineLevel="0" collapsed="false">
      <c r="A4" s="6" t="s">
        <v>909</v>
      </c>
      <c r="B4" s="6" t="s">
        <v>910</v>
      </c>
      <c r="C4" s="6" t="s">
        <v>53</v>
      </c>
      <c r="D4" s="6" t="s">
        <v>911</v>
      </c>
      <c r="E4" s="6" t="s">
        <v>912</v>
      </c>
      <c r="F4" s="6" t="s">
        <v>913</v>
      </c>
      <c r="G4" s="6" t="s">
        <v>914</v>
      </c>
      <c r="H4" s="6" t="s">
        <v>915</v>
      </c>
      <c r="I4" s="6" t="s">
        <v>916</v>
      </c>
      <c r="J4" s="6" t="s">
        <v>288</v>
      </c>
      <c r="K4" s="6" t="s">
        <v>917</v>
      </c>
      <c r="L4" s="6" t="s">
        <v>918</v>
      </c>
      <c r="M4" s="6" t="s">
        <v>919</v>
      </c>
      <c r="N4" s="6" t="s">
        <v>920</v>
      </c>
      <c r="O4" s="6" t="s">
        <v>291</v>
      </c>
      <c r="P4" s="6" t="s">
        <v>292</v>
      </c>
      <c r="Q4" s="6" t="s">
        <v>921</v>
      </c>
      <c r="R4" s="6" t="s">
        <v>294</v>
      </c>
      <c r="S4" s="6" t="s">
        <v>295</v>
      </c>
      <c r="T4" s="6" t="s">
        <v>296</v>
      </c>
      <c r="U4" s="6" t="s">
        <v>57</v>
      </c>
      <c r="V4" s="6" t="s">
        <v>922</v>
      </c>
      <c r="W4" s="6" t="s">
        <v>923</v>
      </c>
      <c r="X4" s="6" t="s">
        <v>924</v>
      </c>
      <c r="Y4" s="6" t="s">
        <v>925</v>
      </c>
      <c r="Z4" s="6" t="s">
        <v>926</v>
      </c>
      <c r="AA4" s="6" t="s">
        <v>927</v>
      </c>
      <c r="AB4" s="6" t="s">
        <v>928</v>
      </c>
    </row>
    <row r="5" customFormat="false" ht="116.4" hidden="false" customHeight="false" outlineLevel="0" collapsed="false">
      <c r="A5" s="7" t="s">
        <v>303</v>
      </c>
      <c r="B5" s="8" t="s">
        <v>929</v>
      </c>
      <c r="C5" s="8" t="s">
        <v>68</v>
      </c>
      <c r="D5" s="8" t="s">
        <v>930</v>
      </c>
      <c r="E5" s="8" t="n">
        <v>4</v>
      </c>
      <c r="F5" s="8" t="s">
        <v>931</v>
      </c>
      <c r="G5" s="8" t="n">
        <v>238</v>
      </c>
      <c r="H5" s="8" t="n">
        <v>238</v>
      </c>
      <c r="I5" s="8" t="n">
        <v>213</v>
      </c>
      <c r="J5" s="8" t="s">
        <v>304</v>
      </c>
      <c r="K5" s="8" t="s">
        <v>932</v>
      </c>
      <c r="L5" s="8" t="s">
        <v>933</v>
      </c>
      <c r="M5" s="8" t="s">
        <v>934</v>
      </c>
      <c r="N5" s="8" t="s">
        <v>935</v>
      </c>
      <c r="O5" s="8" t="s">
        <v>305</v>
      </c>
      <c r="P5" s="8" t="s">
        <v>936</v>
      </c>
      <c r="Q5" s="8" t="s">
        <v>937</v>
      </c>
      <c r="R5" s="8" t="s">
        <v>308</v>
      </c>
      <c r="S5" s="8" t="s">
        <v>938</v>
      </c>
      <c r="T5" s="8" t="s">
        <v>939</v>
      </c>
      <c r="U5" s="8" t="s">
        <v>935</v>
      </c>
      <c r="V5" s="8" t="s">
        <v>940</v>
      </c>
      <c r="W5" s="8" t="s">
        <v>941</v>
      </c>
      <c r="X5" s="8" t="s">
        <v>942</v>
      </c>
      <c r="Y5" s="8" t="s">
        <v>943</v>
      </c>
      <c r="Z5" s="8" t="s">
        <v>944</v>
      </c>
      <c r="AA5" s="8" t="s">
        <v>945</v>
      </c>
      <c r="AB5" s="9" t="s">
        <v>946</v>
      </c>
    </row>
    <row r="6" customFormat="false" ht="116.4" hidden="false" customHeight="false" outlineLevel="0" collapsed="false">
      <c r="A6" s="10" t="s">
        <v>328</v>
      </c>
      <c r="B6" s="11" t="s">
        <v>947</v>
      </c>
      <c r="C6" s="11" t="s">
        <v>68</v>
      </c>
      <c r="D6" s="11" t="s">
        <v>948</v>
      </c>
      <c r="E6" s="11" t="n">
        <v>4</v>
      </c>
      <c r="F6" s="11" t="s">
        <v>931</v>
      </c>
      <c r="G6" s="11" t="n">
        <v>83.2</v>
      </c>
      <c r="H6" s="11" t="n">
        <v>83</v>
      </c>
      <c r="I6" s="11" t="n">
        <v>80</v>
      </c>
      <c r="J6" s="11" t="s">
        <v>304</v>
      </c>
      <c r="K6" s="11" t="s">
        <v>932</v>
      </c>
      <c r="L6" s="11" t="s">
        <v>933</v>
      </c>
      <c r="M6" s="11" t="s">
        <v>934</v>
      </c>
      <c r="N6" s="11" t="s">
        <v>935</v>
      </c>
      <c r="O6" s="11" t="s">
        <v>305</v>
      </c>
      <c r="P6" s="11" t="s">
        <v>936</v>
      </c>
      <c r="Q6" s="11" t="s">
        <v>937</v>
      </c>
      <c r="R6" s="11" t="s">
        <v>308</v>
      </c>
      <c r="S6" s="11" t="s">
        <v>938</v>
      </c>
      <c r="T6" s="11" t="s">
        <v>939</v>
      </c>
      <c r="U6" s="11" t="s">
        <v>935</v>
      </c>
      <c r="V6" s="11" t="s">
        <v>940</v>
      </c>
      <c r="W6" s="11" t="s">
        <v>941</v>
      </c>
      <c r="X6" s="11" t="s">
        <v>942</v>
      </c>
      <c r="Y6" s="11" t="s">
        <v>943</v>
      </c>
      <c r="Z6" s="11" t="s">
        <v>944</v>
      </c>
      <c r="AA6" s="11" t="s">
        <v>945</v>
      </c>
      <c r="AB6" s="12" t="s">
        <v>946</v>
      </c>
    </row>
    <row r="7" customFormat="false" ht="116.4" hidden="false" customHeight="false" outlineLevel="0" collapsed="false">
      <c r="A7" s="10" t="s">
        <v>400</v>
      </c>
      <c r="B7" s="11" t="s">
        <v>949</v>
      </c>
      <c r="C7" s="11" t="s">
        <v>68</v>
      </c>
      <c r="D7" s="11" t="s">
        <v>950</v>
      </c>
      <c r="E7" s="11" t="n">
        <v>1</v>
      </c>
      <c r="F7" s="11" t="s">
        <v>931</v>
      </c>
      <c r="G7" s="11" t="n">
        <v>111</v>
      </c>
      <c r="H7" s="11" t="n">
        <v>111</v>
      </c>
      <c r="I7" s="11" t="n">
        <v>100</v>
      </c>
      <c r="J7" s="11" t="s">
        <v>304</v>
      </c>
      <c r="K7" s="11" t="s">
        <v>90</v>
      </c>
      <c r="L7" s="11" t="s">
        <v>933</v>
      </c>
      <c r="M7" s="11" t="s">
        <v>951</v>
      </c>
      <c r="N7" s="11" t="s">
        <v>952</v>
      </c>
      <c r="O7" s="11" t="s">
        <v>305</v>
      </c>
      <c r="P7" s="11" t="s">
        <v>936</v>
      </c>
      <c r="Q7" s="11" t="s">
        <v>953</v>
      </c>
      <c r="R7" s="11" t="s">
        <v>308</v>
      </c>
      <c r="S7" s="11" t="s">
        <v>938</v>
      </c>
      <c r="T7" s="11" t="s">
        <v>954</v>
      </c>
      <c r="U7" s="11" t="s">
        <v>935</v>
      </c>
      <c r="V7" s="11" t="s">
        <v>940</v>
      </c>
      <c r="W7" s="11" t="s">
        <v>941</v>
      </c>
      <c r="X7" s="11" t="s">
        <v>942</v>
      </c>
      <c r="Y7" s="11" t="s">
        <v>943</v>
      </c>
      <c r="Z7" s="11" t="s">
        <v>944</v>
      </c>
      <c r="AA7" s="11" t="s">
        <v>945</v>
      </c>
      <c r="AB7" s="12" t="s">
        <v>946</v>
      </c>
    </row>
    <row r="8" customFormat="false" ht="116.4" hidden="false" customHeight="false" outlineLevel="0" collapsed="false">
      <c r="A8" s="10" t="s">
        <v>406</v>
      </c>
      <c r="B8" s="11" t="s">
        <v>955</v>
      </c>
      <c r="C8" s="11" t="s">
        <v>68</v>
      </c>
      <c r="D8" s="11" t="s">
        <v>956</v>
      </c>
      <c r="E8" s="11" t="n">
        <v>1</v>
      </c>
      <c r="F8" s="11" t="s">
        <v>931</v>
      </c>
      <c r="G8" s="11" t="n">
        <v>112</v>
      </c>
      <c r="H8" s="11" t="n">
        <v>112</v>
      </c>
      <c r="I8" s="11" t="n">
        <v>100</v>
      </c>
      <c r="J8" s="11" t="s">
        <v>304</v>
      </c>
      <c r="K8" s="11" t="s">
        <v>99</v>
      </c>
      <c r="L8" s="11" t="s">
        <v>933</v>
      </c>
      <c r="M8" s="11" t="s">
        <v>951</v>
      </c>
      <c r="N8" s="11" t="s">
        <v>952</v>
      </c>
      <c r="O8" s="11" t="s">
        <v>305</v>
      </c>
      <c r="P8" s="11" t="s">
        <v>936</v>
      </c>
      <c r="Q8" s="11" t="s">
        <v>953</v>
      </c>
      <c r="R8" s="11" t="s">
        <v>308</v>
      </c>
      <c r="S8" s="11" t="s">
        <v>938</v>
      </c>
      <c r="T8" s="11" t="s">
        <v>954</v>
      </c>
      <c r="U8" s="11" t="s">
        <v>935</v>
      </c>
      <c r="V8" s="11" t="s">
        <v>940</v>
      </c>
      <c r="W8" s="11" t="s">
        <v>941</v>
      </c>
      <c r="X8" s="11" t="s">
        <v>942</v>
      </c>
      <c r="Y8" s="11" t="s">
        <v>943</v>
      </c>
      <c r="Z8" s="11" t="s">
        <v>944</v>
      </c>
      <c r="AA8" s="11" t="s">
        <v>945</v>
      </c>
      <c r="AB8" s="12" t="s">
        <v>946</v>
      </c>
    </row>
    <row r="9" customFormat="false" ht="116.4" hidden="false" customHeight="false" outlineLevel="0" collapsed="false">
      <c r="A9" s="10" t="s">
        <v>420</v>
      </c>
      <c r="B9" s="11" t="s">
        <v>957</v>
      </c>
      <c r="C9" s="11" t="s">
        <v>68</v>
      </c>
      <c r="D9" s="11" t="s">
        <v>958</v>
      </c>
      <c r="E9" s="11" t="n">
        <v>1</v>
      </c>
      <c r="F9" s="11" t="s">
        <v>931</v>
      </c>
      <c r="G9" s="11" t="n">
        <v>395</v>
      </c>
      <c r="H9" s="11" t="n">
        <v>395</v>
      </c>
      <c r="I9" s="11" t="n">
        <v>350</v>
      </c>
      <c r="J9" s="11" t="s">
        <v>304</v>
      </c>
      <c r="K9" s="11" t="s">
        <v>105</v>
      </c>
      <c r="L9" s="11" t="s">
        <v>933</v>
      </c>
      <c r="M9" s="11" t="s">
        <v>951</v>
      </c>
      <c r="N9" s="11" t="s">
        <v>952</v>
      </c>
      <c r="O9" s="11" t="s">
        <v>305</v>
      </c>
      <c r="P9" s="11" t="s">
        <v>936</v>
      </c>
      <c r="Q9" s="11" t="s">
        <v>953</v>
      </c>
      <c r="R9" s="11" t="s">
        <v>308</v>
      </c>
      <c r="S9" s="11" t="s">
        <v>938</v>
      </c>
      <c r="T9" s="11" t="s">
        <v>954</v>
      </c>
      <c r="U9" s="11" t="s">
        <v>935</v>
      </c>
      <c r="V9" s="11" t="s">
        <v>940</v>
      </c>
      <c r="W9" s="11" t="s">
        <v>941</v>
      </c>
      <c r="X9" s="11" t="s">
        <v>942</v>
      </c>
      <c r="Y9" s="11" t="s">
        <v>943</v>
      </c>
      <c r="Z9" s="11" t="s">
        <v>944</v>
      </c>
      <c r="AA9" s="11" t="s">
        <v>945</v>
      </c>
      <c r="AB9" s="12" t="s">
        <v>946</v>
      </c>
    </row>
    <row r="10" customFormat="false" ht="116.4" hidden="false" customHeight="false" outlineLevel="0" collapsed="false">
      <c r="A10" s="10" t="s">
        <v>441</v>
      </c>
      <c r="B10" s="11" t="s">
        <v>959</v>
      </c>
      <c r="C10" s="11" t="s">
        <v>68</v>
      </c>
      <c r="D10" s="11" t="s">
        <v>960</v>
      </c>
      <c r="E10" s="11" t="n">
        <v>1</v>
      </c>
      <c r="F10" s="11" t="s">
        <v>931</v>
      </c>
      <c r="G10" s="11" t="n">
        <v>90</v>
      </c>
      <c r="H10" s="11" t="n">
        <v>90</v>
      </c>
      <c r="I10" s="11" t="n">
        <v>85</v>
      </c>
      <c r="J10" s="11" t="s">
        <v>304</v>
      </c>
      <c r="K10" s="11" t="s">
        <v>961</v>
      </c>
      <c r="L10" s="11" t="s">
        <v>933</v>
      </c>
      <c r="M10" s="11" t="s">
        <v>934</v>
      </c>
      <c r="N10" s="11" t="s">
        <v>952</v>
      </c>
      <c r="O10" s="11" t="s">
        <v>305</v>
      </c>
      <c r="P10" s="11" t="s">
        <v>936</v>
      </c>
      <c r="Q10" s="11" t="s">
        <v>962</v>
      </c>
      <c r="R10" s="11" t="s">
        <v>308</v>
      </c>
      <c r="S10" s="11" t="s">
        <v>938</v>
      </c>
      <c r="T10" s="11" t="s">
        <v>954</v>
      </c>
      <c r="U10" s="11" t="s">
        <v>935</v>
      </c>
      <c r="V10" s="11" t="s">
        <v>940</v>
      </c>
      <c r="W10" s="11" t="s">
        <v>941</v>
      </c>
      <c r="X10" s="11" t="s">
        <v>942</v>
      </c>
      <c r="Y10" s="11" t="s">
        <v>943</v>
      </c>
      <c r="Z10" s="11" t="s">
        <v>944</v>
      </c>
      <c r="AA10" s="11" t="s">
        <v>945</v>
      </c>
      <c r="AB10" s="12" t="s">
        <v>946</v>
      </c>
    </row>
    <row r="11" customFormat="false" ht="116.4" hidden="false" customHeight="false" outlineLevel="0" collapsed="false">
      <c r="A11" s="10" t="s">
        <v>467</v>
      </c>
      <c r="B11" s="11" t="s">
        <v>963</v>
      </c>
      <c r="C11" s="11" t="s">
        <v>68</v>
      </c>
      <c r="D11" s="11" t="s">
        <v>964</v>
      </c>
      <c r="E11" s="11" t="n">
        <v>1</v>
      </c>
      <c r="F11" s="11" t="s">
        <v>931</v>
      </c>
      <c r="G11" s="11" t="n">
        <v>30</v>
      </c>
      <c r="H11" s="11" t="n">
        <v>30</v>
      </c>
      <c r="I11" s="11" t="n">
        <v>30</v>
      </c>
      <c r="J11" s="11" t="s">
        <v>304</v>
      </c>
      <c r="K11" s="11" t="s">
        <v>119</v>
      </c>
      <c r="L11" s="11" t="s">
        <v>933</v>
      </c>
      <c r="M11" s="11" t="s">
        <v>951</v>
      </c>
      <c r="N11" s="11" t="s">
        <v>952</v>
      </c>
      <c r="O11" s="11" t="s">
        <v>305</v>
      </c>
      <c r="P11" s="11" t="s">
        <v>936</v>
      </c>
      <c r="Q11" s="11" t="s">
        <v>953</v>
      </c>
      <c r="R11" s="11" t="s">
        <v>308</v>
      </c>
      <c r="S11" s="11" t="s">
        <v>938</v>
      </c>
      <c r="T11" s="11" t="s">
        <v>954</v>
      </c>
      <c r="U11" s="11" t="s">
        <v>935</v>
      </c>
      <c r="V11" s="11" t="s">
        <v>940</v>
      </c>
      <c r="W11" s="11" t="s">
        <v>941</v>
      </c>
      <c r="X11" s="11" t="s">
        <v>942</v>
      </c>
      <c r="Y11" s="11" t="s">
        <v>943</v>
      </c>
      <c r="Z11" s="11" t="s">
        <v>944</v>
      </c>
      <c r="AA11" s="11" t="s">
        <v>945</v>
      </c>
      <c r="AB11" s="12" t="s">
        <v>946</v>
      </c>
    </row>
    <row r="12" customFormat="false" ht="116.4" hidden="false" customHeight="false" outlineLevel="0" collapsed="false">
      <c r="A12" s="10" t="s">
        <v>492</v>
      </c>
      <c r="B12" s="11" t="s">
        <v>965</v>
      </c>
      <c r="C12" s="11" t="s">
        <v>68</v>
      </c>
      <c r="D12" s="11" t="s">
        <v>966</v>
      </c>
      <c r="E12" s="11" t="n">
        <v>1</v>
      </c>
      <c r="F12" s="11" t="s">
        <v>931</v>
      </c>
      <c r="G12" s="11" t="n">
        <v>22</v>
      </c>
      <c r="H12" s="11" t="n">
        <v>20</v>
      </c>
      <c r="I12" s="11" t="n">
        <v>20</v>
      </c>
      <c r="J12" s="11" t="s">
        <v>304</v>
      </c>
      <c r="K12" s="11" t="s">
        <v>127</v>
      </c>
      <c r="L12" s="11" t="s">
        <v>933</v>
      </c>
      <c r="M12" s="11" t="s">
        <v>951</v>
      </c>
      <c r="N12" s="11" t="s">
        <v>952</v>
      </c>
      <c r="O12" s="11" t="s">
        <v>305</v>
      </c>
      <c r="P12" s="11" t="s">
        <v>936</v>
      </c>
      <c r="Q12" s="11" t="s">
        <v>953</v>
      </c>
      <c r="R12" s="11" t="s">
        <v>308</v>
      </c>
      <c r="S12" s="11" t="s">
        <v>938</v>
      </c>
      <c r="T12" s="11" t="s">
        <v>954</v>
      </c>
      <c r="U12" s="11" t="s">
        <v>935</v>
      </c>
      <c r="V12" s="11" t="s">
        <v>940</v>
      </c>
      <c r="W12" s="11" t="s">
        <v>941</v>
      </c>
      <c r="X12" s="11" t="s">
        <v>942</v>
      </c>
      <c r="Y12" s="11" t="s">
        <v>943</v>
      </c>
      <c r="Z12" s="11" t="s">
        <v>944</v>
      </c>
      <c r="AA12" s="11" t="s">
        <v>945</v>
      </c>
      <c r="AB12" s="12" t="s">
        <v>946</v>
      </c>
    </row>
    <row r="13" customFormat="false" ht="116.4" hidden="false" customHeight="false" outlineLevel="0" collapsed="false">
      <c r="A13" s="10" t="s">
        <v>521</v>
      </c>
      <c r="B13" s="11" t="s">
        <v>967</v>
      </c>
      <c r="C13" s="11" t="s">
        <v>68</v>
      </c>
      <c r="D13" s="11" t="s">
        <v>968</v>
      </c>
      <c r="E13" s="11" t="n">
        <v>1</v>
      </c>
      <c r="F13" s="11" t="s">
        <v>931</v>
      </c>
      <c r="G13" s="11" t="n">
        <v>11</v>
      </c>
      <c r="H13" s="11" t="n">
        <v>10</v>
      </c>
      <c r="I13" s="11" t="n">
        <v>10</v>
      </c>
      <c r="J13" s="11" t="s">
        <v>304</v>
      </c>
      <c r="K13" s="11" t="s">
        <v>133</v>
      </c>
      <c r="L13" s="11" t="s">
        <v>933</v>
      </c>
      <c r="M13" s="11" t="s">
        <v>951</v>
      </c>
      <c r="N13" s="11" t="s">
        <v>952</v>
      </c>
      <c r="O13" s="11" t="s">
        <v>305</v>
      </c>
      <c r="P13" s="11" t="s">
        <v>936</v>
      </c>
      <c r="Q13" s="11" t="s">
        <v>953</v>
      </c>
      <c r="R13" s="11" t="s">
        <v>308</v>
      </c>
      <c r="S13" s="11" t="s">
        <v>938</v>
      </c>
      <c r="T13" s="11" t="s">
        <v>954</v>
      </c>
      <c r="U13" s="11" t="s">
        <v>935</v>
      </c>
      <c r="V13" s="11" t="s">
        <v>940</v>
      </c>
      <c r="W13" s="11" t="s">
        <v>941</v>
      </c>
      <c r="X13" s="11" t="s">
        <v>942</v>
      </c>
      <c r="Y13" s="11" t="s">
        <v>943</v>
      </c>
      <c r="Z13" s="11" t="s">
        <v>944</v>
      </c>
      <c r="AA13" s="11" t="s">
        <v>945</v>
      </c>
      <c r="AB13" s="12" t="s">
        <v>946</v>
      </c>
    </row>
    <row r="14" customFormat="false" ht="116.4" hidden="false" customHeight="false" outlineLevel="0" collapsed="false">
      <c r="A14" s="10" t="s">
        <v>530</v>
      </c>
      <c r="B14" s="11" t="s">
        <v>969</v>
      </c>
      <c r="C14" s="11" t="s">
        <v>68</v>
      </c>
      <c r="D14" s="11" t="s">
        <v>970</v>
      </c>
      <c r="E14" s="11" t="n">
        <v>1</v>
      </c>
      <c r="F14" s="11" t="s">
        <v>931</v>
      </c>
      <c r="G14" s="11" t="n">
        <v>198</v>
      </c>
      <c r="H14" s="11" t="n">
        <v>180</v>
      </c>
      <c r="I14" s="11" t="n">
        <v>160</v>
      </c>
      <c r="J14" s="11" t="s">
        <v>304</v>
      </c>
      <c r="K14" s="11" t="s">
        <v>139</v>
      </c>
      <c r="L14" s="11" t="s">
        <v>933</v>
      </c>
      <c r="M14" s="11" t="s">
        <v>951</v>
      </c>
      <c r="N14" s="11" t="s">
        <v>952</v>
      </c>
      <c r="O14" s="11" t="s">
        <v>305</v>
      </c>
      <c r="P14" s="11" t="s">
        <v>936</v>
      </c>
      <c r="Q14" s="11" t="s">
        <v>953</v>
      </c>
      <c r="R14" s="11" t="s">
        <v>308</v>
      </c>
      <c r="S14" s="11" t="s">
        <v>938</v>
      </c>
      <c r="T14" s="11" t="s">
        <v>954</v>
      </c>
      <c r="U14" s="11" t="s">
        <v>935</v>
      </c>
      <c r="V14" s="11" t="s">
        <v>940</v>
      </c>
      <c r="W14" s="11" t="s">
        <v>941</v>
      </c>
      <c r="X14" s="11" t="s">
        <v>942</v>
      </c>
      <c r="Y14" s="11" t="s">
        <v>943</v>
      </c>
      <c r="Z14" s="11" t="s">
        <v>944</v>
      </c>
      <c r="AA14" s="11" t="s">
        <v>945</v>
      </c>
      <c r="AB14" s="12" t="s">
        <v>946</v>
      </c>
    </row>
    <row r="15" customFormat="false" ht="116.4" hidden="false" customHeight="false" outlineLevel="0" collapsed="false">
      <c r="A15" s="10" t="s">
        <v>566</v>
      </c>
      <c r="B15" s="11" t="s">
        <v>971</v>
      </c>
      <c r="C15" s="11" t="s">
        <v>68</v>
      </c>
      <c r="D15" s="11" t="s">
        <v>972</v>
      </c>
      <c r="E15" s="11" t="n">
        <v>1</v>
      </c>
      <c r="F15" s="11" t="s">
        <v>931</v>
      </c>
      <c r="G15" s="11" t="n">
        <v>185</v>
      </c>
      <c r="H15" s="11" t="n">
        <v>165</v>
      </c>
      <c r="I15" s="11" t="n">
        <v>150</v>
      </c>
      <c r="J15" s="11" t="s">
        <v>304</v>
      </c>
      <c r="K15" s="11" t="s">
        <v>973</v>
      </c>
      <c r="L15" s="11" t="s">
        <v>933</v>
      </c>
      <c r="M15" s="11" t="s">
        <v>934</v>
      </c>
      <c r="N15" s="11" t="s">
        <v>952</v>
      </c>
      <c r="O15" s="11" t="s">
        <v>305</v>
      </c>
      <c r="P15" s="11" t="s">
        <v>936</v>
      </c>
      <c r="Q15" s="11" t="s">
        <v>974</v>
      </c>
      <c r="R15" s="11" t="s">
        <v>308</v>
      </c>
      <c r="S15" s="11" t="s">
        <v>938</v>
      </c>
      <c r="T15" s="11" t="s">
        <v>954</v>
      </c>
      <c r="U15" s="11" t="s">
        <v>935</v>
      </c>
      <c r="V15" s="11" t="s">
        <v>940</v>
      </c>
      <c r="W15" s="11" t="s">
        <v>941</v>
      </c>
      <c r="X15" s="11" t="s">
        <v>942</v>
      </c>
      <c r="Y15" s="11" t="s">
        <v>943</v>
      </c>
      <c r="Z15" s="11" t="s">
        <v>944</v>
      </c>
      <c r="AA15" s="11" t="s">
        <v>945</v>
      </c>
      <c r="AB15" s="12" t="s">
        <v>946</v>
      </c>
    </row>
    <row r="16" customFormat="false" ht="116.4" hidden="false" customHeight="false" outlineLevel="0" collapsed="false">
      <c r="A16" s="10" t="s">
        <v>581</v>
      </c>
      <c r="B16" s="11" t="s">
        <v>975</v>
      </c>
      <c r="C16" s="11" t="s">
        <v>68</v>
      </c>
      <c r="D16" s="11" t="s">
        <v>976</v>
      </c>
      <c r="E16" s="11" t="n">
        <v>1</v>
      </c>
      <c r="F16" s="11" t="s">
        <v>931</v>
      </c>
      <c r="G16" s="11" t="n">
        <v>22.3</v>
      </c>
      <c r="H16" s="11" t="n">
        <v>20</v>
      </c>
      <c r="I16" s="11" t="n">
        <v>20</v>
      </c>
      <c r="J16" s="11" t="s">
        <v>304</v>
      </c>
      <c r="K16" s="11" t="s">
        <v>159</v>
      </c>
      <c r="L16" s="11" t="s">
        <v>933</v>
      </c>
      <c r="M16" s="11" t="s">
        <v>951</v>
      </c>
      <c r="N16" s="11" t="s">
        <v>952</v>
      </c>
      <c r="O16" s="11" t="s">
        <v>305</v>
      </c>
      <c r="P16" s="11" t="s">
        <v>936</v>
      </c>
      <c r="Q16" s="11" t="s">
        <v>953</v>
      </c>
      <c r="R16" s="11" t="s">
        <v>308</v>
      </c>
      <c r="S16" s="11" t="s">
        <v>938</v>
      </c>
      <c r="T16" s="11" t="s">
        <v>954</v>
      </c>
      <c r="U16" s="11" t="s">
        <v>935</v>
      </c>
      <c r="V16" s="11" t="s">
        <v>940</v>
      </c>
      <c r="W16" s="11" t="s">
        <v>941</v>
      </c>
      <c r="X16" s="11" t="s">
        <v>942</v>
      </c>
      <c r="Y16" s="11" t="s">
        <v>943</v>
      </c>
      <c r="Z16" s="11" t="s">
        <v>944</v>
      </c>
      <c r="AA16" s="11" t="s">
        <v>945</v>
      </c>
      <c r="AB16" s="12" t="s">
        <v>946</v>
      </c>
    </row>
    <row r="17" customFormat="false" ht="116.4" hidden="false" customHeight="false" outlineLevel="0" collapsed="false">
      <c r="A17" s="10" t="s">
        <v>600</v>
      </c>
      <c r="B17" s="11" t="s">
        <v>977</v>
      </c>
      <c r="C17" s="11" t="s">
        <v>68</v>
      </c>
      <c r="D17" s="11" t="s">
        <v>978</v>
      </c>
      <c r="E17" s="11" t="n">
        <v>1</v>
      </c>
      <c r="F17" s="11" t="s">
        <v>931</v>
      </c>
      <c r="G17" s="11" t="n">
        <v>20</v>
      </c>
      <c r="H17" s="11" t="n">
        <v>20</v>
      </c>
      <c r="I17" s="11" t="n">
        <v>20</v>
      </c>
      <c r="J17" s="11" t="s">
        <v>304</v>
      </c>
      <c r="K17" s="11" t="s">
        <v>165</v>
      </c>
      <c r="L17" s="11" t="s">
        <v>933</v>
      </c>
      <c r="M17" s="11" t="s">
        <v>951</v>
      </c>
      <c r="N17" s="11" t="s">
        <v>952</v>
      </c>
      <c r="O17" s="11" t="s">
        <v>305</v>
      </c>
      <c r="P17" s="11" t="s">
        <v>936</v>
      </c>
      <c r="Q17" s="11" t="s">
        <v>962</v>
      </c>
      <c r="R17" s="11" t="s">
        <v>308</v>
      </c>
      <c r="S17" s="11" t="s">
        <v>938</v>
      </c>
      <c r="T17" s="11" t="s">
        <v>954</v>
      </c>
      <c r="U17" s="11" t="s">
        <v>935</v>
      </c>
      <c r="V17" s="11" t="s">
        <v>940</v>
      </c>
      <c r="W17" s="11" t="s">
        <v>941</v>
      </c>
      <c r="X17" s="11" t="s">
        <v>942</v>
      </c>
      <c r="Y17" s="11" t="s">
        <v>943</v>
      </c>
      <c r="Z17" s="11" t="s">
        <v>944</v>
      </c>
      <c r="AA17" s="11" t="s">
        <v>945</v>
      </c>
      <c r="AB17" s="12" t="s">
        <v>946</v>
      </c>
    </row>
    <row r="18" customFormat="false" ht="116.4" hidden="false" customHeight="false" outlineLevel="0" collapsed="false">
      <c r="A18" s="10" t="s">
        <v>591</v>
      </c>
      <c r="B18" s="11" t="s">
        <v>979</v>
      </c>
      <c r="C18" s="11" t="s">
        <v>68</v>
      </c>
      <c r="D18" s="11" t="s">
        <v>980</v>
      </c>
      <c r="E18" s="11" t="n">
        <v>1</v>
      </c>
      <c r="F18" s="11" t="s">
        <v>931</v>
      </c>
      <c r="G18" s="11" t="n">
        <v>206</v>
      </c>
      <c r="H18" s="11" t="n">
        <v>185</v>
      </c>
      <c r="I18" s="11" t="n">
        <v>180</v>
      </c>
      <c r="J18" s="11" t="s">
        <v>304</v>
      </c>
      <c r="K18" s="11" t="s">
        <v>165</v>
      </c>
      <c r="L18" s="11" t="s">
        <v>600</v>
      </c>
      <c r="M18" s="11" t="s">
        <v>951</v>
      </c>
      <c r="N18" s="11" t="s">
        <v>952</v>
      </c>
      <c r="O18" s="11" t="s">
        <v>305</v>
      </c>
      <c r="P18" s="11" t="s">
        <v>936</v>
      </c>
      <c r="Q18" s="11" t="s">
        <v>981</v>
      </c>
      <c r="R18" s="11" t="s">
        <v>308</v>
      </c>
      <c r="S18" s="11" t="s">
        <v>938</v>
      </c>
      <c r="T18" s="11" t="s">
        <v>954</v>
      </c>
      <c r="U18" s="11" t="s">
        <v>935</v>
      </c>
      <c r="V18" s="11" t="s">
        <v>940</v>
      </c>
      <c r="W18" s="11" t="s">
        <v>941</v>
      </c>
      <c r="X18" s="11" t="s">
        <v>942</v>
      </c>
      <c r="Y18" s="11" t="s">
        <v>943</v>
      </c>
      <c r="Z18" s="11" t="s">
        <v>944</v>
      </c>
      <c r="AA18" s="11" t="s">
        <v>945</v>
      </c>
      <c r="AB18" s="12" t="s">
        <v>946</v>
      </c>
    </row>
    <row r="19" customFormat="false" ht="116.4" hidden="false" customHeight="false" outlineLevel="0" collapsed="false">
      <c r="A19" s="10" t="s">
        <v>613</v>
      </c>
      <c r="B19" s="11" t="s">
        <v>612</v>
      </c>
      <c r="C19" s="11" t="s">
        <v>68</v>
      </c>
      <c r="D19" s="11" t="s">
        <v>982</v>
      </c>
      <c r="E19" s="11" t="n">
        <v>1</v>
      </c>
      <c r="F19" s="11" t="s">
        <v>931</v>
      </c>
      <c r="G19" s="11" t="n">
        <v>37</v>
      </c>
      <c r="H19" s="11" t="n">
        <v>35</v>
      </c>
      <c r="I19" s="11" t="n">
        <v>33</v>
      </c>
      <c r="J19" s="11" t="s">
        <v>304</v>
      </c>
      <c r="K19" s="11" t="s">
        <v>171</v>
      </c>
      <c r="L19" s="11" t="s">
        <v>933</v>
      </c>
      <c r="M19" s="11" t="s">
        <v>951</v>
      </c>
      <c r="N19" s="11" t="s">
        <v>952</v>
      </c>
      <c r="O19" s="11" t="s">
        <v>305</v>
      </c>
      <c r="P19" s="11" t="s">
        <v>936</v>
      </c>
      <c r="Q19" s="11" t="s">
        <v>953</v>
      </c>
      <c r="R19" s="11" t="s">
        <v>308</v>
      </c>
      <c r="S19" s="11" t="s">
        <v>938</v>
      </c>
      <c r="T19" s="11" t="s">
        <v>954</v>
      </c>
      <c r="U19" s="11" t="s">
        <v>935</v>
      </c>
      <c r="V19" s="11" t="s">
        <v>940</v>
      </c>
      <c r="W19" s="11" t="s">
        <v>941</v>
      </c>
      <c r="X19" s="11" t="s">
        <v>942</v>
      </c>
      <c r="Y19" s="11" t="s">
        <v>943</v>
      </c>
      <c r="Z19" s="11" t="s">
        <v>944</v>
      </c>
      <c r="AA19" s="11" t="s">
        <v>945</v>
      </c>
      <c r="AB19" s="12" t="s">
        <v>946</v>
      </c>
    </row>
    <row r="20" customFormat="false" ht="116.4" hidden="false" customHeight="false" outlineLevel="0" collapsed="false">
      <c r="A20" s="10" t="s">
        <v>616</v>
      </c>
      <c r="B20" s="11" t="s">
        <v>983</v>
      </c>
      <c r="C20" s="11" t="s">
        <v>68</v>
      </c>
      <c r="D20" s="11" t="s">
        <v>984</v>
      </c>
      <c r="E20" s="11" t="n">
        <v>1</v>
      </c>
      <c r="F20" s="11" t="s">
        <v>931</v>
      </c>
      <c r="G20" s="11" t="n">
        <v>15</v>
      </c>
      <c r="H20" s="11" t="n">
        <v>15</v>
      </c>
      <c r="I20" s="11" t="n">
        <v>15</v>
      </c>
      <c r="J20" s="11" t="s">
        <v>304</v>
      </c>
      <c r="K20" s="11" t="s">
        <v>171</v>
      </c>
      <c r="L20" s="11" t="s">
        <v>933</v>
      </c>
      <c r="M20" s="11" t="s">
        <v>951</v>
      </c>
      <c r="N20" s="11" t="s">
        <v>952</v>
      </c>
      <c r="O20" s="11" t="s">
        <v>305</v>
      </c>
      <c r="P20" s="11" t="s">
        <v>936</v>
      </c>
      <c r="Q20" s="11" t="s">
        <v>953</v>
      </c>
      <c r="R20" s="11" t="s">
        <v>308</v>
      </c>
      <c r="S20" s="11" t="s">
        <v>938</v>
      </c>
      <c r="T20" s="11" t="s">
        <v>954</v>
      </c>
      <c r="U20" s="11" t="s">
        <v>935</v>
      </c>
      <c r="V20" s="11" t="s">
        <v>940</v>
      </c>
      <c r="W20" s="11" t="s">
        <v>941</v>
      </c>
      <c r="X20" s="11" t="s">
        <v>942</v>
      </c>
      <c r="Y20" s="11" t="s">
        <v>943</v>
      </c>
      <c r="Z20" s="11" t="s">
        <v>944</v>
      </c>
      <c r="AA20" s="11" t="s">
        <v>945</v>
      </c>
      <c r="AB20" s="12" t="s">
        <v>946</v>
      </c>
    </row>
    <row r="21" customFormat="false" ht="116.4" hidden="false" customHeight="false" outlineLevel="0" collapsed="false">
      <c r="A21" s="10" t="s">
        <v>628</v>
      </c>
      <c r="B21" s="11" t="s">
        <v>626</v>
      </c>
      <c r="C21" s="11" t="s">
        <v>68</v>
      </c>
      <c r="D21" s="11" t="s">
        <v>985</v>
      </c>
      <c r="E21" s="11" t="n">
        <v>1</v>
      </c>
      <c r="F21" s="11" t="s">
        <v>931</v>
      </c>
      <c r="G21" s="11" t="n">
        <v>160</v>
      </c>
      <c r="H21" s="11" t="n">
        <v>160</v>
      </c>
      <c r="I21" s="11" t="n">
        <v>145</v>
      </c>
      <c r="J21" s="11" t="s">
        <v>304</v>
      </c>
      <c r="K21" s="11" t="s">
        <v>176</v>
      </c>
      <c r="L21" s="11" t="s">
        <v>933</v>
      </c>
      <c r="M21" s="11" t="s">
        <v>934</v>
      </c>
      <c r="N21" s="11" t="s">
        <v>935</v>
      </c>
      <c r="O21" s="11" t="s">
        <v>305</v>
      </c>
      <c r="P21" s="11" t="s">
        <v>936</v>
      </c>
      <c r="Q21" s="11" t="s">
        <v>986</v>
      </c>
      <c r="R21" s="11" t="s">
        <v>308</v>
      </c>
      <c r="S21" s="11" t="s">
        <v>938</v>
      </c>
      <c r="T21" s="11" t="s">
        <v>987</v>
      </c>
      <c r="U21" s="11" t="s">
        <v>935</v>
      </c>
      <c r="V21" s="11" t="s">
        <v>940</v>
      </c>
      <c r="W21" s="11" t="s">
        <v>941</v>
      </c>
      <c r="X21" s="11" t="s">
        <v>942</v>
      </c>
      <c r="Y21" s="11" t="s">
        <v>943</v>
      </c>
      <c r="Z21" s="11" t="s">
        <v>944</v>
      </c>
      <c r="AA21" s="11" t="s">
        <v>945</v>
      </c>
      <c r="AB21" s="12" t="s">
        <v>946</v>
      </c>
    </row>
    <row r="22" customFormat="false" ht="116.4" hidden="false" customHeight="false" outlineLevel="0" collapsed="false">
      <c r="A22" s="10" t="s">
        <v>633</v>
      </c>
      <c r="B22" s="11" t="s">
        <v>988</v>
      </c>
      <c r="C22" s="11" t="s">
        <v>68</v>
      </c>
      <c r="D22" s="11" t="s">
        <v>989</v>
      </c>
      <c r="E22" s="11" t="n">
        <v>1</v>
      </c>
      <c r="F22" s="11" t="s">
        <v>931</v>
      </c>
      <c r="G22" s="11" t="n">
        <v>131</v>
      </c>
      <c r="H22" s="11" t="n">
        <v>119</v>
      </c>
      <c r="I22" s="11" t="n">
        <v>105</v>
      </c>
      <c r="J22" s="11" t="s">
        <v>304</v>
      </c>
      <c r="K22" s="11" t="s">
        <v>176</v>
      </c>
      <c r="L22" s="11" t="s">
        <v>933</v>
      </c>
      <c r="M22" s="11" t="s">
        <v>951</v>
      </c>
      <c r="N22" s="11" t="s">
        <v>952</v>
      </c>
      <c r="O22" s="11" t="s">
        <v>305</v>
      </c>
      <c r="P22" s="11" t="s">
        <v>936</v>
      </c>
      <c r="Q22" s="11" t="s">
        <v>953</v>
      </c>
      <c r="R22" s="11" t="s">
        <v>308</v>
      </c>
      <c r="S22" s="11" t="s">
        <v>938</v>
      </c>
      <c r="T22" s="11" t="s">
        <v>954</v>
      </c>
      <c r="U22" s="11" t="s">
        <v>935</v>
      </c>
      <c r="V22" s="11" t="s">
        <v>940</v>
      </c>
      <c r="W22" s="11" t="s">
        <v>941</v>
      </c>
      <c r="X22" s="11" t="s">
        <v>942</v>
      </c>
      <c r="Y22" s="11" t="s">
        <v>943</v>
      </c>
      <c r="Z22" s="11" t="s">
        <v>944</v>
      </c>
      <c r="AA22" s="11" t="s">
        <v>945</v>
      </c>
      <c r="AB22" s="12" t="s">
        <v>946</v>
      </c>
    </row>
    <row r="23" customFormat="false" ht="116.4" hidden="false" customHeight="false" outlineLevel="0" collapsed="false">
      <c r="A23" s="10" t="s">
        <v>660</v>
      </c>
      <c r="B23" s="11" t="s">
        <v>990</v>
      </c>
      <c r="C23" s="11" t="s">
        <v>68</v>
      </c>
      <c r="D23" s="11" t="s">
        <v>991</v>
      </c>
      <c r="E23" s="11" t="n">
        <v>1</v>
      </c>
      <c r="F23" s="11" t="s">
        <v>931</v>
      </c>
      <c r="G23" s="11" t="n">
        <v>90</v>
      </c>
      <c r="H23" s="11" t="n">
        <v>90</v>
      </c>
      <c r="I23" s="11" t="n">
        <v>85</v>
      </c>
      <c r="J23" s="11" t="s">
        <v>304</v>
      </c>
      <c r="K23" s="11" t="s">
        <v>185</v>
      </c>
      <c r="L23" s="11" t="s">
        <v>933</v>
      </c>
      <c r="M23" s="11" t="s">
        <v>992</v>
      </c>
      <c r="N23" s="11" t="s">
        <v>952</v>
      </c>
      <c r="O23" s="11" t="s">
        <v>305</v>
      </c>
      <c r="P23" s="11" t="s">
        <v>936</v>
      </c>
      <c r="Q23" s="11" t="s">
        <v>953</v>
      </c>
      <c r="R23" s="11" t="s">
        <v>308</v>
      </c>
      <c r="S23" s="11" t="s">
        <v>938</v>
      </c>
      <c r="T23" s="11" t="s">
        <v>954</v>
      </c>
      <c r="U23" s="11" t="s">
        <v>935</v>
      </c>
      <c r="V23" s="11" t="s">
        <v>940</v>
      </c>
      <c r="W23" s="11" t="s">
        <v>941</v>
      </c>
      <c r="X23" s="11" t="s">
        <v>942</v>
      </c>
      <c r="Y23" s="11" t="s">
        <v>943</v>
      </c>
      <c r="Z23" s="11" t="s">
        <v>944</v>
      </c>
      <c r="AA23" s="11" t="s">
        <v>945</v>
      </c>
      <c r="AB23" s="12" t="s">
        <v>946</v>
      </c>
    </row>
    <row r="24" customFormat="false" ht="116.4" hidden="false" customHeight="false" outlineLevel="0" collapsed="false">
      <c r="A24" s="10" t="s">
        <v>676</v>
      </c>
      <c r="B24" s="11" t="s">
        <v>993</v>
      </c>
      <c r="C24" s="11" t="s">
        <v>68</v>
      </c>
      <c r="D24" s="11" t="s">
        <v>994</v>
      </c>
      <c r="E24" s="11" t="n">
        <v>1</v>
      </c>
      <c r="F24" s="11" t="s">
        <v>931</v>
      </c>
      <c r="G24" s="11" t="n">
        <v>129</v>
      </c>
      <c r="H24" s="11" t="n">
        <v>129</v>
      </c>
      <c r="I24" s="11" t="n">
        <v>120</v>
      </c>
      <c r="J24" s="11" t="s">
        <v>304</v>
      </c>
      <c r="K24" s="11" t="s">
        <v>191</v>
      </c>
      <c r="L24" s="11" t="s">
        <v>933</v>
      </c>
      <c r="M24" s="11" t="s">
        <v>992</v>
      </c>
      <c r="N24" s="11" t="s">
        <v>952</v>
      </c>
      <c r="O24" s="11" t="s">
        <v>305</v>
      </c>
      <c r="P24" s="11" t="s">
        <v>936</v>
      </c>
      <c r="Q24" s="11" t="s">
        <v>953</v>
      </c>
      <c r="R24" s="11" t="s">
        <v>308</v>
      </c>
      <c r="S24" s="11" t="s">
        <v>938</v>
      </c>
      <c r="T24" s="11" t="s">
        <v>954</v>
      </c>
      <c r="U24" s="11" t="s">
        <v>935</v>
      </c>
      <c r="V24" s="11" t="s">
        <v>940</v>
      </c>
      <c r="W24" s="11" t="s">
        <v>941</v>
      </c>
      <c r="X24" s="11" t="s">
        <v>942</v>
      </c>
      <c r="Y24" s="11" t="s">
        <v>943</v>
      </c>
      <c r="Z24" s="11" t="s">
        <v>944</v>
      </c>
      <c r="AA24" s="11" t="s">
        <v>945</v>
      </c>
      <c r="AB24" s="12" t="s">
        <v>946</v>
      </c>
    </row>
    <row r="25" customFormat="false" ht="116.4" hidden="false" customHeight="false" outlineLevel="0" collapsed="false">
      <c r="A25" s="10" t="s">
        <v>705</v>
      </c>
      <c r="B25" s="11" t="s">
        <v>995</v>
      </c>
      <c r="C25" s="11" t="s">
        <v>68</v>
      </c>
      <c r="D25" s="11" t="s">
        <v>996</v>
      </c>
      <c r="E25" s="11" t="n">
        <v>1</v>
      </c>
      <c r="F25" s="11" t="s">
        <v>931</v>
      </c>
      <c r="G25" s="11" t="n">
        <v>180</v>
      </c>
      <c r="H25" s="11" t="n">
        <v>170</v>
      </c>
      <c r="I25" s="11" t="n">
        <v>150</v>
      </c>
      <c r="J25" s="11" t="s">
        <v>304</v>
      </c>
      <c r="K25" s="11" t="s">
        <v>197</v>
      </c>
      <c r="L25" s="11" t="s">
        <v>933</v>
      </c>
      <c r="M25" s="11" t="s">
        <v>951</v>
      </c>
      <c r="N25" s="11" t="s">
        <v>952</v>
      </c>
      <c r="O25" s="11" t="s">
        <v>305</v>
      </c>
      <c r="P25" s="11" t="s">
        <v>936</v>
      </c>
      <c r="Q25" s="11" t="s">
        <v>953</v>
      </c>
      <c r="R25" s="11" t="s">
        <v>308</v>
      </c>
      <c r="S25" s="11" t="s">
        <v>938</v>
      </c>
      <c r="T25" s="11" t="s">
        <v>954</v>
      </c>
      <c r="U25" s="11" t="s">
        <v>935</v>
      </c>
      <c r="V25" s="11" t="s">
        <v>940</v>
      </c>
      <c r="W25" s="11" t="s">
        <v>941</v>
      </c>
      <c r="X25" s="11" t="s">
        <v>942</v>
      </c>
      <c r="Y25" s="11" t="s">
        <v>943</v>
      </c>
      <c r="Z25" s="11" t="s">
        <v>944</v>
      </c>
      <c r="AA25" s="11" t="s">
        <v>945</v>
      </c>
      <c r="AB25" s="12" t="s">
        <v>946</v>
      </c>
    </row>
    <row r="26" customFormat="false" ht="116.4" hidden="false" customHeight="false" outlineLevel="0" collapsed="false">
      <c r="A26" s="10" t="s">
        <v>724</v>
      </c>
      <c r="B26" s="11" t="s">
        <v>997</v>
      </c>
      <c r="C26" s="11" t="s">
        <v>68</v>
      </c>
      <c r="D26" s="11" t="s">
        <v>998</v>
      </c>
      <c r="E26" s="11" t="n">
        <v>1</v>
      </c>
      <c r="F26" s="11" t="s">
        <v>931</v>
      </c>
      <c r="G26" s="11" t="n">
        <v>25</v>
      </c>
      <c r="H26" s="11" t="n">
        <v>25</v>
      </c>
      <c r="I26" s="11" t="n">
        <v>25</v>
      </c>
      <c r="J26" s="11" t="s">
        <v>304</v>
      </c>
      <c r="K26" s="11" t="s">
        <v>197</v>
      </c>
      <c r="L26" s="11" t="s">
        <v>933</v>
      </c>
      <c r="M26" s="11" t="s">
        <v>992</v>
      </c>
      <c r="N26" s="11" t="s">
        <v>952</v>
      </c>
      <c r="O26" s="11" t="s">
        <v>305</v>
      </c>
      <c r="P26" s="11" t="s">
        <v>936</v>
      </c>
      <c r="Q26" s="11" t="s">
        <v>953</v>
      </c>
      <c r="R26" s="11" t="s">
        <v>308</v>
      </c>
      <c r="S26" s="11" t="s">
        <v>938</v>
      </c>
      <c r="T26" s="11" t="s">
        <v>954</v>
      </c>
      <c r="U26" s="11" t="s">
        <v>935</v>
      </c>
      <c r="V26" s="11" t="s">
        <v>940</v>
      </c>
      <c r="W26" s="11" t="s">
        <v>941</v>
      </c>
      <c r="X26" s="11" t="s">
        <v>942</v>
      </c>
      <c r="Y26" s="11" t="s">
        <v>943</v>
      </c>
      <c r="Z26" s="11" t="s">
        <v>944</v>
      </c>
      <c r="AA26" s="11" t="s">
        <v>945</v>
      </c>
      <c r="AB26" s="12" t="s">
        <v>946</v>
      </c>
    </row>
    <row r="27" customFormat="false" ht="116.4" hidden="false" customHeight="false" outlineLevel="0" collapsed="false">
      <c r="A27" s="10" t="s">
        <v>735</v>
      </c>
      <c r="B27" s="11" t="s">
        <v>999</v>
      </c>
      <c r="C27" s="11" t="s">
        <v>68</v>
      </c>
      <c r="D27" s="11" t="s">
        <v>1000</v>
      </c>
      <c r="E27" s="11" t="n">
        <v>1</v>
      </c>
      <c r="F27" s="11" t="s">
        <v>931</v>
      </c>
      <c r="G27" s="11" t="n">
        <v>255</v>
      </c>
      <c r="H27" s="11" t="n">
        <v>240</v>
      </c>
      <c r="I27" s="11" t="n">
        <v>220</v>
      </c>
      <c r="J27" s="11" t="s">
        <v>304</v>
      </c>
      <c r="K27" s="11" t="s">
        <v>203</v>
      </c>
      <c r="L27" s="11" t="s">
        <v>933</v>
      </c>
      <c r="M27" s="11" t="s">
        <v>951</v>
      </c>
      <c r="N27" s="11" t="s">
        <v>952</v>
      </c>
      <c r="O27" s="11" t="s">
        <v>305</v>
      </c>
      <c r="P27" s="11" t="s">
        <v>936</v>
      </c>
      <c r="Q27" s="11" t="s">
        <v>953</v>
      </c>
      <c r="R27" s="11" t="s">
        <v>308</v>
      </c>
      <c r="S27" s="11" t="s">
        <v>938</v>
      </c>
      <c r="T27" s="11" t="s">
        <v>954</v>
      </c>
      <c r="U27" s="11" t="s">
        <v>935</v>
      </c>
      <c r="V27" s="11" t="s">
        <v>940</v>
      </c>
      <c r="W27" s="11" t="s">
        <v>941</v>
      </c>
      <c r="X27" s="11" t="s">
        <v>942</v>
      </c>
      <c r="Y27" s="11" t="s">
        <v>943</v>
      </c>
      <c r="Z27" s="11" t="s">
        <v>944</v>
      </c>
      <c r="AA27" s="11" t="s">
        <v>945</v>
      </c>
      <c r="AB27" s="12" t="s">
        <v>946</v>
      </c>
    </row>
    <row r="28" customFormat="false" ht="116.4" hidden="false" customHeight="false" outlineLevel="0" collapsed="false">
      <c r="A28" s="10" t="s">
        <v>739</v>
      </c>
      <c r="B28" s="11" t="s">
        <v>1001</v>
      </c>
      <c r="C28" s="11" t="s">
        <v>68</v>
      </c>
      <c r="D28" s="11" t="s">
        <v>1002</v>
      </c>
      <c r="E28" s="11" t="n">
        <v>1</v>
      </c>
      <c r="F28" s="11" t="s">
        <v>931</v>
      </c>
      <c r="G28" s="11" t="n">
        <v>45</v>
      </c>
      <c r="H28" s="11" t="n">
        <v>45</v>
      </c>
      <c r="I28" s="11" t="n">
        <v>40</v>
      </c>
      <c r="J28" s="11" t="s">
        <v>304</v>
      </c>
      <c r="K28" s="11" t="s">
        <v>203</v>
      </c>
      <c r="L28" s="11" t="s">
        <v>933</v>
      </c>
      <c r="M28" s="11" t="s">
        <v>992</v>
      </c>
      <c r="N28" s="11" t="s">
        <v>952</v>
      </c>
      <c r="O28" s="11" t="s">
        <v>305</v>
      </c>
      <c r="P28" s="11" t="s">
        <v>936</v>
      </c>
      <c r="Q28" s="11" t="s">
        <v>953</v>
      </c>
      <c r="R28" s="11" t="s">
        <v>308</v>
      </c>
      <c r="S28" s="11" t="s">
        <v>938</v>
      </c>
      <c r="T28" s="11" t="s">
        <v>954</v>
      </c>
      <c r="U28" s="11" t="s">
        <v>935</v>
      </c>
      <c r="V28" s="11" t="s">
        <v>940</v>
      </c>
      <c r="W28" s="11" t="s">
        <v>941</v>
      </c>
      <c r="X28" s="11" t="s">
        <v>942</v>
      </c>
      <c r="Y28" s="11" t="s">
        <v>943</v>
      </c>
      <c r="Z28" s="11" t="s">
        <v>944</v>
      </c>
      <c r="AA28" s="11" t="s">
        <v>945</v>
      </c>
      <c r="AB28" s="12" t="s">
        <v>946</v>
      </c>
    </row>
    <row r="29" customFormat="false" ht="116.4" hidden="false" customHeight="false" outlineLevel="0" collapsed="false">
      <c r="A29" s="10" t="s">
        <v>759</v>
      </c>
      <c r="B29" s="11" t="s">
        <v>1003</v>
      </c>
      <c r="C29" s="11" t="s">
        <v>68</v>
      </c>
      <c r="D29" s="11" t="s">
        <v>1004</v>
      </c>
      <c r="E29" s="11" t="n">
        <v>1</v>
      </c>
      <c r="F29" s="11" t="s">
        <v>931</v>
      </c>
      <c r="G29" s="11" t="n">
        <v>175</v>
      </c>
      <c r="H29" s="11" t="n">
        <v>175</v>
      </c>
      <c r="I29" s="11" t="n">
        <v>138</v>
      </c>
      <c r="J29" s="11" t="s">
        <v>304</v>
      </c>
      <c r="K29" s="11" t="s">
        <v>216</v>
      </c>
      <c r="L29" s="11" t="s">
        <v>933</v>
      </c>
      <c r="M29" s="11" t="s">
        <v>951</v>
      </c>
      <c r="N29" s="11" t="s">
        <v>952</v>
      </c>
      <c r="O29" s="11" t="s">
        <v>305</v>
      </c>
      <c r="P29" s="11" t="s">
        <v>936</v>
      </c>
      <c r="Q29" s="11" t="s">
        <v>953</v>
      </c>
      <c r="R29" s="11" t="s">
        <v>308</v>
      </c>
      <c r="S29" s="11" t="s">
        <v>938</v>
      </c>
      <c r="T29" s="11" t="s">
        <v>954</v>
      </c>
      <c r="U29" s="11" t="s">
        <v>935</v>
      </c>
      <c r="V29" s="11" t="s">
        <v>940</v>
      </c>
      <c r="W29" s="11" t="s">
        <v>941</v>
      </c>
      <c r="X29" s="11" t="s">
        <v>942</v>
      </c>
      <c r="Y29" s="11" t="s">
        <v>943</v>
      </c>
      <c r="Z29" s="11" t="s">
        <v>944</v>
      </c>
      <c r="AA29" s="11" t="s">
        <v>945</v>
      </c>
      <c r="AB29" s="12" t="s">
        <v>946</v>
      </c>
    </row>
    <row r="30" customFormat="false" ht="116.4" hidden="false" customHeight="false" outlineLevel="0" collapsed="false">
      <c r="A30" s="10" t="s">
        <v>768</v>
      </c>
      <c r="B30" s="11" t="s">
        <v>1005</v>
      </c>
      <c r="C30" s="11" t="s">
        <v>68</v>
      </c>
      <c r="D30" s="11" t="s">
        <v>1006</v>
      </c>
      <c r="E30" s="11" t="n">
        <v>1</v>
      </c>
      <c r="F30" s="11" t="s">
        <v>931</v>
      </c>
      <c r="G30" s="11" t="n">
        <v>157</v>
      </c>
      <c r="H30" s="11" t="n">
        <v>142</v>
      </c>
      <c r="I30" s="11" t="n">
        <v>130</v>
      </c>
      <c r="J30" s="11" t="s">
        <v>304</v>
      </c>
      <c r="K30" s="11" t="s">
        <v>221</v>
      </c>
      <c r="L30" s="11" t="s">
        <v>933</v>
      </c>
      <c r="M30" s="11" t="s">
        <v>951</v>
      </c>
      <c r="N30" s="11" t="s">
        <v>952</v>
      </c>
      <c r="O30" s="11" t="s">
        <v>305</v>
      </c>
      <c r="P30" s="11" t="s">
        <v>936</v>
      </c>
      <c r="Q30" s="11" t="s">
        <v>953</v>
      </c>
      <c r="R30" s="11" t="s">
        <v>308</v>
      </c>
      <c r="S30" s="11" t="s">
        <v>938</v>
      </c>
      <c r="T30" s="11" t="s">
        <v>954</v>
      </c>
      <c r="U30" s="11" t="s">
        <v>935</v>
      </c>
      <c r="V30" s="11" t="s">
        <v>940</v>
      </c>
      <c r="W30" s="11" t="s">
        <v>941</v>
      </c>
      <c r="X30" s="11" t="s">
        <v>942</v>
      </c>
      <c r="Y30" s="11" t="s">
        <v>943</v>
      </c>
      <c r="Z30" s="11" t="s">
        <v>944</v>
      </c>
      <c r="AA30" s="11" t="s">
        <v>945</v>
      </c>
      <c r="AB30" s="12" t="s">
        <v>946</v>
      </c>
    </row>
    <row r="31" customFormat="false" ht="116.4" hidden="false" customHeight="false" outlineLevel="0" collapsed="false">
      <c r="A31" s="10" t="s">
        <v>783</v>
      </c>
      <c r="B31" s="11" t="s">
        <v>1007</v>
      </c>
      <c r="C31" s="11" t="s">
        <v>68</v>
      </c>
      <c r="D31" s="11" t="s">
        <v>1008</v>
      </c>
      <c r="E31" s="11" t="n">
        <v>1</v>
      </c>
      <c r="F31" s="11" t="s">
        <v>931</v>
      </c>
      <c r="G31" s="11" t="n">
        <v>622</v>
      </c>
      <c r="H31" s="11" t="n">
        <v>622</v>
      </c>
      <c r="I31" s="11" t="n">
        <v>607</v>
      </c>
      <c r="J31" s="11" t="s">
        <v>304</v>
      </c>
      <c r="K31" s="11" t="s">
        <v>252</v>
      </c>
      <c r="L31" s="11" t="s">
        <v>933</v>
      </c>
      <c r="M31" s="11" t="s">
        <v>951</v>
      </c>
      <c r="N31" s="11" t="s">
        <v>952</v>
      </c>
      <c r="O31" s="11" t="s">
        <v>305</v>
      </c>
      <c r="P31" s="11" t="s">
        <v>936</v>
      </c>
      <c r="Q31" s="11" t="s">
        <v>953</v>
      </c>
      <c r="R31" s="11" t="s">
        <v>308</v>
      </c>
      <c r="S31" s="11" t="s">
        <v>938</v>
      </c>
      <c r="T31" s="11" t="s">
        <v>954</v>
      </c>
      <c r="U31" s="11" t="s">
        <v>935</v>
      </c>
      <c r="V31" s="11" t="s">
        <v>940</v>
      </c>
      <c r="W31" s="11" t="s">
        <v>941</v>
      </c>
      <c r="X31" s="11" t="s">
        <v>942</v>
      </c>
      <c r="Y31" s="11" t="s">
        <v>943</v>
      </c>
      <c r="Z31" s="11" t="s">
        <v>944</v>
      </c>
      <c r="AA31" s="11" t="s">
        <v>945</v>
      </c>
      <c r="AB31" s="12" t="s">
        <v>946</v>
      </c>
    </row>
    <row r="32" customFormat="false" ht="116.4" hidden="false" customHeight="false" outlineLevel="0" collapsed="false">
      <c r="A32" s="10" t="s">
        <v>798</v>
      </c>
      <c r="B32" s="11" t="s">
        <v>1009</v>
      </c>
      <c r="C32" s="11" t="s">
        <v>68</v>
      </c>
      <c r="D32" s="11" t="s">
        <v>1010</v>
      </c>
      <c r="E32" s="11" t="n">
        <v>1</v>
      </c>
      <c r="F32" s="11" t="s">
        <v>931</v>
      </c>
      <c r="G32" s="11" t="n">
        <v>730</v>
      </c>
      <c r="H32" s="11" t="n">
        <v>715</v>
      </c>
      <c r="I32" s="11" t="n">
        <v>700</v>
      </c>
      <c r="J32" s="11" t="s">
        <v>304</v>
      </c>
      <c r="K32" s="11" t="s">
        <v>252</v>
      </c>
      <c r="L32" s="11" t="s">
        <v>933</v>
      </c>
      <c r="M32" s="11" t="s">
        <v>951</v>
      </c>
      <c r="N32" s="11" t="s">
        <v>952</v>
      </c>
      <c r="O32" s="11" t="s">
        <v>305</v>
      </c>
      <c r="P32" s="11" t="s">
        <v>936</v>
      </c>
      <c r="Q32" s="11" t="s">
        <v>953</v>
      </c>
      <c r="R32" s="11" t="s">
        <v>308</v>
      </c>
      <c r="S32" s="11" t="s">
        <v>938</v>
      </c>
      <c r="T32" s="11" t="s">
        <v>954</v>
      </c>
      <c r="U32" s="11" t="s">
        <v>935</v>
      </c>
      <c r="V32" s="11" t="s">
        <v>940</v>
      </c>
      <c r="W32" s="11" t="s">
        <v>941</v>
      </c>
      <c r="X32" s="11" t="s">
        <v>942</v>
      </c>
      <c r="Y32" s="11" t="s">
        <v>943</v>
      </c>
      <c r="Z32" s="11" t="s">
        <v>944</v>
      </c>
      <c r="AA32" s="11" t="s">
        <v>945</v>
      </c>
      <c r="AB32" s="12" t="s">
        <v>946</v>
      </c>
    </row>
    <row r="33" customFormat="false" ht="116.4" hidden="false" customHeight="false" outlineLevel="0" collapsed="false">
      <c r="A33" s="10" t="s">
        <v>808</v>
      </c>
      <c r="B33" s="11" t="s">
        <v>1011</v>
      </c>
      <c r="C33" s="11" t="s">
        <v>68</v>
      </c>
      <c r="D33" s="11" t="s">
        <v>1012</v>
      </c>
      <c r="E33" s="11" t="n">
        <v>1</v>
      </c>
      <c r="F33" s="11" t="s">
        <v>931</v>
      </c>
      <c r="G33" s="11" t="n">
        <v>330</v>
      </c>
      <c r="H33" s="11" t="n">
        <v>320</v>
      </c>
      <c r="I33" s="11" t="n">
        <v>300</v>
      </c>
      <c r="J33" s="11" t="s">
        <v>304</v>
      </c>
      <c r="K33" s="11" t="s">
        <v>252</v>
      </c>
      <c r="L33" s="11" t="s">
        <v>933</v>
      </c>
      <c r="M33" s="11" t="s">
        <v>992</v>
      </c>
      <c r="N33" s="11" t="s">
        <v>952</v>
      </c>
      <c r="O33" s="11" t="s">
        <v>305</v>
      </c>
      <c r="P33" s="11" t="s">
        <v>936</v>
      </c>
      <c r="Q33" s="11" t="s">
        <v>953</v>
      </c>
      <c r="R33" s="11" t="s">
        <v>308</v>
      </c>
      <c r="S33" s="11" t="s">
        <v>938</v>
      </c>
      <c r="T33" s="11" t="s">
        <v>954</v>
      </c>
      <c r="U33" s="11" t="s">
        <v>935</v>
      </c>
      <c r="V33" s="11" t="s">
        <v>940</v>
      </c>
      <c r="W33" s="11" t="s">
        <v>941</v>
      </c>
      <c r="X33" s="11" t="s">
        <v>942</v>
      </c>
      <c r="Y33" s="11" t="s">
        <v>943</v>
      </c>
      <c r="Z33" s="11" t="s">
        <v>944</v>
      </c>
      <c r="AA33" s="11" t="s">
        <v>945</v>
      </c>
      <c r="AB33" s="12" t="s">
        <v>946</v>
      </c>
    </row>
    <row r="34" customFormat="false" ht="116.4" hidden="false" customHeight="false" outlineLevel="0" collapsed="false">
      <c r="A34" s="10" t="s">
        <v>818</v>
      </c>
      <c r="B34" s="11" t="s">
        <v>1013</v>
      </c>
      <c r="C34" s="11" t="s">
        <v>68</v>
      </c>
      <c r="D34" s="11" t="s">
        <v>1014</v>
      </c>
      <c r="E34" s="11" t="n">
        <v>1</v>
      </c>
      <c r="F34" s="11" t="s">
        <v>931</v>
      </c>
      <c r="G34" s="11" t="n">
        <v>150</v>
      </c>
      <c r="H34" s="11" t="n">
        <v>150</v>
      </c>
      <c r="I34" s="11" t="n">
        <v>150</v>
      </c>
      <c r="J34" s="11" t="s">
        <v>304</v>
      </c>
      <c r="K34" s="11" t="s">
        <v>252</v>
      </c>
      <c r="L34" s="11" t="s">
        <v>933</v>
      </c>
      <c r="M34" s="11" t="s">
        <v>992</v>
      </c>
      <c r="N34" s="11" t="s">
        <v>935</v>
      </c>
      <c r="O34" s="11" t="s">
        <v>305</v>
      </c>
      <c r="P34" s="11" t="s">
        <v>936</v>
      </c>
      <c r="Q34" s="11" t="s">
        <v>986</v>
      </c>
      <c r="R34" s="11" t="s">
        <v>308</v>
      </c>
      <c r="S34" s="11" t="s">
        <v>938</v>
      </c>
      <c r="T34" s="11" t="s">
        <v>987</v>
      </c>
      <c r="U34" s="11" t="s">
        <v>935</v>
      </c>
      <c r="V34" s="11" t="s">
        <v>940</v>
      </c>
      <c r="W34" s="11" t="s">
        <v>941</v>
      </c>
      <c r="X34" s="11" t="s">
        <v>942</v>
      </c>
      <c r="Y34" s="11" t="s">
        <v>943</v>
      </c>
      <c r="Z34" s="11" t="s">
        <v>944</v>
      </c>
      <c r="AA34" s="11" t="s">
        <v>945</v>
      </c>
      <c r="AB34" s="12" t="s">
        <v>946</v>
      </c>
    </row>
    <row r="35" customFormat="false" ht="116.4" hidden="false" customHeight="false" outlineLevel="0" collapsed="false">
      <c r="A35" s="10" t="s">
        <v>825</v>
      </c>
      <c r="B35" s="11" t="s">
        <v>1015</v>
      </c>
      <c r="C35" s="11" t="s">
        <v>68</v>
      </c>
      <c r="D35" s="11" t="s">
        <v>1016</v>
      </c>
      <c r="E35" s="11" t="n">
        <v>1</v>
      </c>
      <c r="F35" s="11" t="s">
        <v>931</v>
      </c>
      <c r="G35" s="11" t="n">
        <v>610</v>
      </c>
      <c r="H35" s="11" t="n">
        <v>610</v>
      </c>
      <c r="I35" s="11" t="n">
        <v>600</v>
      </c>
      <c r="J35" s="11" t="s">
        <v>304</v>
      </c>
      <c r="K35" s="11" t="s">
        <v>261</v>
      </c>
      <c r="L35" s="11" t="s">
        <v>933</v>
      </c>
      <c r="M35" s="11" t="s">
        <v>992</v>
      </c>
      <c r="N35" s="11" t="s">
        <v>952</v>
      </c>
      <c r="O35" s="11" t="s">
        <v>305</v>
      </c>
      <c r="P35" s="11" t="s">
        <v>936</v>
      </c>
      <c r="Q35" s="11" t="s">
        <v>953</v>
      </c>
      <c r="R35" s="11" t="s">
        <v>308</v>
      </c>
      <c r="S35" s="11" t="s">
        <v>938</v>
      </c>
      <c r="T35" s="11" t="s">
        <v>954</v>
      </c>
      <c r="U35" s="11" t="s">
        <v>935</v>
      </c>
      <c r="V35" s="11" t="s">
        <v>940</v>
      </c>
      <c r="W35" s="11" t="s">
        <v>941</v>
      </c>
      <c r="X35" s="11" t="s">
        <v>942</v>
      </c>
      <c r="Y35" s="11" t="s">
        <v>943</v>
      </c>
      <c r="Z35" s="11" t="s">
        <v>944</v>
      </c>
      <c r="AA35" s="11" t="s">
        <v>945</v>
      </c>
      <c r="AB35" s="12" t="s">
        <v>946</v>
      </c>
    </row>
    <row r="36" customFormat="false" ht="116.4" hidden="false" customHeight="false" outlineLevel="0" collapsed="false">
      <c r="A36" s="10" t="s">
        <v>832</v>
      </c>
      <c r="B36" s="11" t="s">
        <v>831</v>
      </c>
      <c r="C36" s="11" t="s">
        <v>68</v>
      </c>
      <c r="D36" s="11" t="s">
        <v>1017</v>
      </c>
      <c r="E36" s="11" t="n">
        <v>1</v>
      </c>
      <c r="F36" s="11" t="s">
        <v>931</v>
      </c>
      <c r="G36" s="11" t="n">
        <v>355</v>
      </c>
      <c r="H36" s="11" t="n">
        <v>355</v>
      </c>
      <c r="I36" s="11" t="n">
        <v>350</v>
      </c>
      <c r="J36" s="11" t="s">
        <v>304</v>
      </c>
      <c r="K36" s="11" t="s">
        <v>261</v>
      </c>
      <c r="L36" s="11" t="s">
        <v>933</v>
      </c>
      <c r="M36" s="11" t="s">
        <v>934</v>
      </c>
      <c r="N36" s="11" t="s">
        <v>952</v>
      </c>
      <c r="O36" s="11" t="s">
        <v>305</v>
      </c>
      <c r="P36" s="11" t="s">
        <v>936</v>
      </c>
      <c r="Q36" s="11" t="s">
        <v>953</v>
      </c>
      <c r="R36" s="11" t="s">
        <v>308</v>
      </c>
      <c r="S36" s="11" t="s">
        <v>938</v>
      </c>
      <c r="T36" s="11" t="s">
        <v>954</v>
      </c>
      <c r="U36" s="11" t="s">
        <v>935</v>
      </c>
      <c r="V36" s="11" t="s">
        <v>940</v>
      </c>
      <c r="W36" s="11" t="s">
        <v>941</v>
      </c>
      <c r="X36" s="11" t="s">
        <v>942</v>
      </c>
      <c r="Y36" s="11" t="s">
        <v>943</v>
      </c>
      <c r="Z36" s="11" t="s">
        <v>944</v>
      </c>
      <c r="AA36" s="11" t="s">
        <v>945</v>
      </c>
      <c r="AB36" s="12" t="s">
        <v>946</v>
      </c>
    </row>
    <row r="37" customFormat="false" ht="116.4" hidden="false" customHeight="false" outlineLevel="0" collapsed="false">
      <c r="A37" s="10" t="s">
        <v>837</v>
      </c>
      <c r="B37" s="11" t="s">
        <v>1018</v>
      </c>
      <c r="C37" s="11" t="s">
        <v>68</v>
      </c>
      <c r="D37" s="11" t="s">
        <v>1019</v>
      </c>
      <c r="E37" s="11" t="n">
        <v>1</v>
      </c>
      <c r="F37" s="11" t="s">
        <v>931</v>
      </c>
      <c r="G37" s="11" t="n">
        <v>200</v>
      </c>
      <c r="H37" s="11" t="n">
        <v>200</v>
      </c>
      <c r="I37" s="11" t="n">
        <v>200</v>
      </c>
      <c r="J37" s="11" t="s">
        <v>304</v>
      </c>
      <c r="K37" s="11" t="s">
        <v>261</v>
      </c>
      <c r="L37" s="11" t="s">
        <v>933</v>
      </c>
      <c r="M37" s="11" t="s">
        <v>992</v>
      </c>
      <c r="N37" s="11" t="s">
        <v>952</v>
      </c>
      <c r="O37" s="11" t="s">
        <v>305</v>
      </c>
      <c r="P37" s="11" t="s">
        <v>936</v>
      </c>
      <c r="Q37" s="11" t="s">
        <v>953</v>
      </c>
      <c r="R37" s="11" t="s">
        <v>308</v>
      </c>
      <c r="S37" s="11" t="s">
        <v>938</v>
      </c>
      <c r="T37" s="11" t="s">
        <v>954</v>
      </c>
      <c r="U37" s="11" t="s">
        <v>935</v>
      </c>
      <c r="V37" s="11" t="s">
        <v>940</v>
      </c>
      <c r="W37" s="11" t="s">
        <v>941</v>
      </c>
      <c r="X37" s="11" t="s">
        <v>942</v>
      </c>
      <c r="Y37" s="11" t="s">
        <v>943</v>
      </c>
      <c r="Z37" s="11" t="s">
        <v>944</v>
      </c>
      <c r="AA37" s="11" t="s">
        <v>945</v>
      </c>
      <c r="AB37" s="12" t="s">
        <v>946</v>
      </c>
    </row>
    <row r="38" customFormat="false" ht="116.4" hidden="false" customHeight="false" outlineLevel="0" collapsed="false">
      <c r="A38" s="10" t="s">
        <v>842</v>
      </c>
      <c r="B38" s="11" t="s">
        <v>1020</v>
      </c>
      <c r="C38" s="11" t="s">
        <v>68</v>
      </c>
      <c r="D38" s="11" t="s">
        <v>1021</v>
      </c>
      <c r="E38" s="11" t="n">
        <v>1</v>
      </c>
      <c r="F38" s="11" t="s">
        <v>931</v>
      </c>
      <c r="G38" s="11" t="n">
        <v>612</v>
      </c>
      <c r="H38" s="11" t="n">
        <v>610</v>
      </c>
      <c r="I38" s="11" t="n">
        <v>600</v>
      </c>
      <c r="J38" s="11" t="s">
        <v>304</v>
      </c>
      <c r="K38" s="11" t="s">
        <v>269</v>
      </c>
      <c r="L38" s="11" t="s">
        <v>933</v>
      </c>
      <c r="M38" s="11" t="s">
        <v>951</v>
      </c>
      <c r="N38" s="11" t="s">
        <v>952</v>
      </c>
      <c r="O38" s="11" t="s">
        <v>305</v>
      </c>
      <c r="P38" s="11" t="s">
        <v>936</v>
      </c>
      <c r="Q38" s="11" t="s">
        <v>953</v>
      </c>
      <c r="R38" s="11" t="s">
        <v>308</v>
      </c>
      <c r="S38" s="11" t="s">
        <v>938</v>
      </c>
      <c r="T38" s="11" t="s">
        <v>954</v>
      </c>
      <c r="U38" s="11" t="s">
        <v>935</v>
      </c>
      <c r="V38" s="11" t="s">
        <v>940</v>
      </c>
      <c r="W38" s="11" t="s">
        <v>941</v>
      </c>
      <c r="X38" s="11" t="s">
        <v>942</v>
      </c>
      <c r="Y38" s="11" t="s">
        <v>943</v>
      </c>
      <c r="Z38" s="11" t="s">
        <v>944</v>
      </c>
      <c r="AA38" s="11" t="s">
        <v>945</v>
      </c>
      <c r="AB38" s="12" t="s">
        <v>946</v>
      </c>
    </row>
    <row r="39" customFormat="false" ht="53.7" hidden="false" customHeight="false" outlineLevel="0" collapsed="false">
      <c r="A39" s="10" t="s">
        <v>1022</v>
      </c>
      <c r="B39" s="11" t="s">
        <v>1023</v>
      </c>
      <c r="C39" s="11" t="s">
        <v>854</v>
      </c>
      <c r="D39" s="11" t="s">
        <v>1024</v>
      </c>
      <c r="E39" s="11" t="n">
        <v>0</v>
      </c>
      <c r="F39" s="11"/>
      <c r="G39" s="11"/>
      <c r="H39" s="11"/>
      <c r="I39" s="11"/>
      <c r="J39" s="11"/>
      <c r="K39" s="11" t="s">
        <v>226</v>
      </c>
      <c r="L39" s="11"/>
      <c r="M39" s="11"/>
      <c r="N39" s="11" t="s">
        <v>1025</v>
      </c>
      <c r="O39" s="11" t="s">
        <v>24</v>
      </c>
      <c r="P39" s="11"/>
      <c r="Q39" s="11"/>
      <c r="R39" s="11"/>
      <c r="S39" s="11" t="s">
        <v>309</v>
      </c>
      <c r="T39" s="11"/>
      <c r="U39" s="11"/>
      <c r="V39" s="11"/>
      <c r="W39" s="11" t="s">
        <v>1026</v>
      </c>
      <c r="X39" s="11"/>
      <c r="Y39" s="11" t="s">
        <v>1027</v>
      </c>
      <c r="Z39" s="11" t="s">
        <v>1028</v>
      </c>
      <c r="AA39" s="11" t="s">
        <v>1029</v>
      </c>
      <c r="AB39" s="12" t="s">
        <v>1030</v>
      </c>
    </row>
    <row r="40" customFormat="false" ht="53.7" hidden="false" customHeight="false" outlineLevel="0" collapsed="false">
      <c r="A40" s="10" t="s">
        <v>1031</v>
      </c>
      <c r="B40" s="11" t="s">
        <v>1023</v>
      </c>
      <c r="C40" s="11" t="s">
        <v>854</v>
      </c>
      <c r="D40" s="11" t="s">
        <v>1032</v>
      </c>
      <c r="E40" s="11" t="n">
        <v>0</v>
      </c>
      <c r="F40" s="11"/>
      <c r="G40" s="11"/>
      <c r="H40" s="11"/>
      <c r="I40" s="11"/>
      <c r="J40" s="11"/>
      <c r="K40" s="11" t="s">
        <v>240</v>
      </c>
      <c r="L40" s="11"/>
      <c r="M40" s="11"/>
      <c r="N40" s="11" t="s">
        <v>1025</v>
      </c>
      <c r="O40" s="11" t="s">
        <v>24</v>
      </c>
      <c r="P40" s="11"/>
      <c r="Q40" s="11"/>
      <c r="R40" s="11"/>
      <c r="S40" s="11" t="s">
        <v>309</v>
      </c>
      <c r="T40" s="11"/>
      <c r="U40" s="11"/>
      <c r="V40" s="11"/>
      <c r="W40" s="11" t="s">
        <v>1026</v>
      </c>
      <c r="X40" s="11"/>
      <c r="Y40" s="11" t="s">
        <v>1027</v>
      </c>
      <c r="Z40" s="11" t="s">
        <v>1028</v>
      </c>
      <c r="AA40" s="11" t="s">
        <v>1029</v>
      </c>
      <c r="AB40" s="12" t="s">
        <v>1030</v>
      </c>
    </row>
    <row r="41" customFormat="false" ht="53.7" hidden="false" customHeight="false" outlineLevel="0" collapsed="false">
      <c r="A41" s="13" t="s">
        <v>1033</v>
      </c>
      <c r="B41" s="14" t="s">
        <v>1023</v>
      </c>
      <c r="C41" s="14" t="s">
        <v>854</v>
      </c>
      <c r="D41" s="14" t="s">
        <v>1034</v>
      </c>
      <c r="E41" s="14" t="n">
        <v>0</v>
      </c>
      <c r="F41" s="14"/>
      <c r="G41" s="14"/>
      <c r="H41" s="14"/>
      <c r="I41" s="14"/>
      <c r="J41" s="14"/>
      <c r="K41" s="14" t="s">
        <v>246</v>
      </c>
      <c r="L41" s="14"/>
      <c r="M41" s="14"/>
      <c r="N41" s="14" t="s">
        <v>1025</v>
      </c>
      <c r="O41" s="14" t="s">
        <v>24</v>
      </c>
      <c r="P41" s="14"/>
      <c r="Q41" s="14"/>
      <c r="R41" s="14"/>
      <c r="S41" s="14" t="s">
        <v>309</v>
      </c>
      <c r="T41" s="14"/>
      <c r="U41" s="14"/>
      <c r="V41" s="14"/>
      <c r="W41" s="14" t="s">
        <v>1026</v>
      </c>
      <c r="X41" s="14"/>
      <c r="Y41" s="14" t="s">
        <v>1027</v>
      </c>
      <c r="Z41" s="14" t="s">
        <v>1028</v>
      </c>
      <c r="AA41" s="14" t="s">
        <v>1029</v>
      </c>
      <c r="AB41" s="15" t="s">
        <v>1030</v>
      </c>
    </row>
  </sheetData>
  <autoFilter ref="A1:AB41">
    <filterColumn colId="0" hiddenButton="1"/>
  </autoFilter>
  <mergeCells count="2">
    <mergeCell ref="A1:AB1"/>
    <mergeCell ref="A2:AB2"/>
  </mergeCells>
  <conditionalFormatting sqref="N5:N41">
    <cfRule type="containsText" priority="2" operator="containsText" aboveAverage="0" equalAverage="0" bottom="0" percent="0" rank="0" text="BLOCK" dxfId="22">
      <formula>NOT(ISERROR(SEARCH("BLOCK",N5)))</formula>
    </cfRule>
    <cfRule type="containsText" priority="3" operator="containsText" aboveAverage="0" equalAverage="0" bottom="0" percent="0" rank="0" text="DRAFT" dxfId="23">
      <formula>NOT(ISERROR(SEARCH("DRAFT",N5)))</formula>
    </cfRule>
    <cfRule type="containsText" priority="4" operator="containsText" aboveAverage="0" equalAverage="0" bottom="0" percent="0" rank="0" text="PASS" dxfId="24">
      <formula>NOT(ISERROR(SEARCH("PASS",N5)))</formula>
    </cfRule>
  </conditionalFormatting>
  <conditionalFormatting sqref="O5:O41">
    <cfRule type="containsText" priority="5" operator="containsText" aboveAverage="0" equalAverage="0" bottom="0" percent="0" rank="0" text="BLOCK" dxfId="25">
      <formula>NOT(ISERROR(SEARCH("BLOCK",O5)))</formula>
    </cfRule>
    <cfRule type="containsText" priority="6" operator="containsText" aboveAverage="0" equalAverage="0" bottom="0" percent="0" rank="0" text="DRAFT" dxfId="26">
      <formula>NOT(ISERROR(SEARCH("DRAFT",O5)))</formula>
    </cfRule>
    <cfRule type="containsText" priority="7" operator="containsText" aboveAverage="0" equalAverage="0" bottom="0" percent="0" rank="0" text="PASS" dxfId="27">
      <formula>NOT(ISERROR(SEARCH("PASS",O5)))</formula>
    </cfRule>
  </conditionalFormatting>
  <conditionalFormatting sqref="U5:U41">
    <cfRule type="containsText" priority="8" operator="containsText" aboveAverage="0" equalAverage="0" bottom="0" percent="0" rank="0" text="BLOCK" dxfId="28">
      <formula>NOT(ISERROR(SEARCH("BLOCK",U5)))</formula>
    </cfRule>
    <cfRule type="containsText" priority="9" operator="containsText" aboveAverage="0" equalAverage="0" bottom="0" percent="0" rank="0" text="DRAFT" dxfId="29">
      <formula>NOT(ISERROR(SEARCH("DRAFT",U5)))</formula>
    </cfRule>
    <cfRule type="containsText" priority="10" operator="containsText" aboveAverage="0" equalAverage="0" bottom="0" percent="0" rank="0" text="PASS" dxfId="30">
      <formula>NOT(ISERROR(SEARCH("PASS",U5)))</formula>
    </cfRule>
  </conditionalFormatting>
  <conditionalFormatting sqref="AA5:AA41">
    <cfRule type="containsText" priority="11" operator="containsText" aboveAverage="0" equalAverage="0" bottom="0" percent="0" rank="0" text="BLOCK" dxfId="31">
      <formula>NOT(ISERROR(SEARCH("BLOCK",AA5)))</formula>
    </cfRule>
    <cfRule type="containsText" priority="12" operator="containsText" aboveAverage="0" equalAverage="0" bottom="0" percent="0" rank="0" text="DRAFT" dxfId="32">
      <formula>NOT(ISERROR(SEARCH("DRAFT",AA5)))</formula>
    </cfRule>
    <cfRule type="containsText" priority="13" operator="containsText" aboveAverage="0" equalAverage="0" bottom="0" percent="0" rank="0" text="PASS" dxfId="33">
      <formula>NOT(ISERROR(SEARCH("PASS",AA5)))</formula>
    </cfRule>
  </conditionalFormatting>
  <conditionalFormatting sqref="AB5:AB41">
    <cfRule type="containsText" priority="14" operator="containsText" aboveAverage="0" equalAverage="0" bottom="0" percent="0" rank="0" text="BLOCK" dxfId="34">
      <formula>NOT(ISERROR(SEARCH("BLOCK",AB5)))</formula>
    </cfRule>
    <cfRule type="containsText" priority="15" operator="containsText" aboveAverage="0" equalAverage="0" bottom="0" percent="0" rank="0" text="DRAFT" dxfId="35">
      <formula>NOT(ISERROR(SEARCH("DRAFT",AB5)))</formula>
    </cfRule>
    <cfRule type="containsText" priority="16" operator="containsText" aboveAverage="0" equalAverage="0" bottom="0" percent="0" rank="0" text="PASS" dxfId="36">
      <formula>NOT(ISERROR(SEARCH("PASS",AB5)))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true">
    <pageSetUpPr fitToPage="false"/>
  </sheetPr>
  <dimension ref="A1:A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8"/>
    <col collapsed="false" customWidth="true" hidden="false" outlineLevel="0" max="7" min="4" style="0" width="16"/>
    <col collapsed="false" customWidth="true" hidden="false" outlineLevel="0" max="8" min="8" style="0" width="38"/>
    <col collapsed="false" customWidth="true" hidden="false" outlineLevel="0" max="11" min="9" style="0" width="16"/>
    <col collapsed="false" customWidth="true" hidden="false" outlineLevel="0" max="12" min="12" style="0" width="38"/>
    <col collapsed="false" customWidth="true" hidden="false" outlineLevel="0" max="29" min="13" style="0" width="16"/>
    <col collapsed="false" customWidth="true" hidden="false" outlineLevel="0" max="34" min="30" style="0" width="24"/>
    <col collapsed="false" customWidth="true" hidden="false" outlineLevel="0" max="38" min="35" style="0" width="16"/>
    <col collapsed="false" customWidth="true" hidden="false" outlineLevel="0" max="39" min="39" style="0" width="24"/>
  </cols>
  <sheetData>
    <row r="1" customFormat="false" ht="17.35" hidden="false" customHeight="false" outlineLevel="0" collapsed="false">
      <c r="A1" s="4" t="s">
        <v>1035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true" outlineLevel="0" collapsed="false">
      <c r="A2" s="5" t="s">
        <v>1036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4" customFormat="false" ht="50" hidden="false" customHeight="true" outlineLevel="0" collapsed="false">
      <c r="A4" s="6" t="s">
        <v>1037</v>
      </c>
      <c r="B4" s="6" t="s">
        <v>1038</v>
      </c>
      <c r="C4" s="6" t="s">
        <v>1039</v>
      </c>
      <c r="D4" s="6" t="s">
        <v>1040</v>
      </c>
      <c r="E4" s="6" t="s">
        <v>1041</v>
      </c>
      <c r="F4" s="6" t="s">
        <v>1042</v>
      </c>
      <c r="G4" s="6" t="s">
        <v>1043</v>
      </c>
      <c r="H4" s="6" t="s">
        <v>1044</v>
      </c>
      <c r="I4" s="6" t="s">
        <v>1045</v>
      </c>
      <c r="J4" s="6" t="s">
        <v>1046</v>
      </c>
      <c r="K4" s="6" t="s">
        <v>1047</v>
      </c>
      <c r="L4" s="6" t="s">
        <v>1048</v>
      </c>
      <c r="M4" s="6" t="s">
        <v>1049</v>
      </c>
      <c r="N4" s="6" t="s">
        <v>1050</v>
      </c>
      <c r="O4" s="6" t="s">
        <v>1051</v>
      </c>
      <c r="P4" s="6" t="s">
        <v>1052</v>
      </c>
      <c r="Q4" s="6" t="s">
        <v>1053</v>
      </c>
      <c r="R4" s="6" t="s">
        <v>1054</v>
      </c>
      <c r="S4" s="6" t="s">
        <v>1055</v>
      </c>
      <c r="T4" s="6" t="s">
        <v>1056</v>
      </c>
      <c r="U4" s="6" t="s">
        <v>1057</v>
      </c>
      <c r="V4" s="6" t="s">
        <v>1058</v>
      </c>
      <c r="W4" s="6" t="s">
        <v>1059</v>
      </c>
      <c r="X4" s="6" t="s">
        <v>1060</v>
      </c>
      <c r="Y4" s="6" t="s">
        <v>1061</v>
      </c>
      <c r="Z4" s="6" t="s">
        <v>1062</v>
      </c>
      <c r="AA4" s="6" t="s">
        <v>1063</v>
      </c>
      <c r="AB4" s="6" t="s">
        <v>1064</v>
      </c>
      <c r="AC4" s="6" t="s">
        <v>1065</v>
      </c>
      <c r="AD4" s="6" t="s">
        <v>1066</v>
      </c>
      <c r="AE4" s="6" t="s">
        <v>1067</v>
      </c>
      <c r="AF4" s="6" t="s">
        <v>1068</v>
      </c>
      <c r="AG4" s="6" t="s">
        <v>1069</v>
      </c>
      <c r="AH4" s="6" t="s">
        <v>1070</v>
      </c>
      <c r="AI4" s="6" t="s">
        <v>1071</v>
      </c>
      <c r="AJ4" s="6" t="s">
        <v>1072</v>
      </c>
      <c r="AK4" s="6" t="s">
        <v>1073</v>
      </c>
      <c r="AL4" s="6" t="s">
        <v>1074</v>
      </c>
      <c r="AM4" s="6" t="s">
        <v>1075</v>
      </c>
      <c r="AN4" s="0" t="s">
        <v>1076</v>
      </c>
      <c r="AO4" s="0" t="s">
        <v>1077</v>
      </c>
    </row>
    <row r="5" customFormat="false" ht="74.6" hidden="false" customHeight="false" outlineLevel="0" collapsed="false">
      <c r="A5" s="7" t="s">
        <v>1078</v>
      </c>
      <c r="B5" s="8" t="s">
        <v>60</v>
      </c>
      <c r="C5" s="8" t="s">
        <v>62</v>
      </c>
      <c r="D5" s="8" t="s">
        <v>61</v>
      </c>
      <c r="E5" s="8" t="s">
        <v>1079</v>
      </c>
      <c r="F5" s="8" t="s">
        <v>1080</v>
      </c>
      <c r="G5" s="8" t="s">
        <v>1081</v>
      </c>
      <c r="H5" s="8" t="s">
        <v>1082</v>
      </c>
      <c r="I5" s="8" t="s">
        <v>60</v>
      </c>
      <c r="J5" s="8" t="s">
        <v>308</v>
      </c>
      <c r="K5" s="8" t="s">
        <v>68</v>
      </c>
      <c r="L5" s="8" t="s">
        <v>1083</v>
      </c>
      <c r="M5" s="8"/>
      <c r="N5" s="8"/>
      <c r="O5" s="8"/>
      <c r="P5" s="8"/>
      <c r="Q5" s="8"/>
      <c r="R5" s="8"/>
      <c r="S5" s="8" t="n">
        <v>168.17102</v>
      </c>
      <c r="T5" s="8" t="n">
        <v>58.496792</v>
      </c>
      <c r="U5" s="8" t="n">
        <v>226.667812</v>
      </c>
      <c r="V5" s="8" t="n">
        <v>3.400017</v>
      </c>
      <c r="W5" s="8" t="n">
        <v>230.067829</v>
      </c>
      <c r="X5" s="8"/>
      <c r="Y5" s="8"/>
      <c r="Z5" s="8"/>
      <c r="AA5" s="8"/>
      <c r="AB5" s="8"/>
      <c r="AC5" s="8" t="s">
        <v>1084</v>
      </c>
      <c r="AD5" s="8" t="s">
        <v>1085</v>
      </c>
      <c r="AE5" s="8" t="s">
        <v>40</v>
      </c>
      <c r="AF5" s="8" t="s">
        <v>1086</v>
      </c>
      <c r="AG5" s="8" t="s">
        <v>35</v>
      </c>
      <c r="AH5" s="8" t="s">
        <v>1087</v>
      </c>
      <c r="AI5" s="8" t="s">
        <v>1088</v>
      </c>
      <c r="AJ5" s="8" t="n">
        <v>1</v>
      </c>
      <c r="AK5" s="8" t="n">
        <v>230.067829</v>
      </c>
      <c r="AL5" s="8"/>
      <c r="AM5" s="9" t="s">
        <v>1089</v>
      </c>
      <c r="AN5" s="16" t="n">
        <f aca="false">IF(COUNTA(W5,X5,Y5)=0,"",SUM(W5,X5,Y5))</f>
        <v>230.067829</v>
      </c>
      <c r="AO5" s="16" t="str">
        <f aca="false">IF(Z5="","", AN5-Z5)</f>
        <v/>
      </c>
    </row>
    <row r="6" customFormat="false" ht="74.6" hidden="false" customHeight="false" outlineLevel="0" collapsed="false">
      <c r="A6" s="10" t="s">
        <v>1090</v>
      </c>
      <c r="B6" s="11" t="s">
        <v>73</v>
      </c>
      <c r="C6" s="11" t="s">
        <v>74</v>
      </c>
      <c r="D6" s="11" t="s">
        <v>61</v>
      </c>
      <c r="E6" s="11" t="s">
        <v>1079</v>
      </c>
      <c r="F6" s="11" t="s">
        <v>1080</v>
      </c>
      <c r="G6" s="11" t="s">
        <v>1081</v>
      </c>
      <c r="H6" s="11" t="s">
        <v>1082</v>
      </c>
      <c r="I6" s="11" t="s">
        <v>73</v>
      </c>
      <c r="J6" s="11" t="s">
        <v>308</v>
      </c>
      <c r="K6" s="11" t="s">
        <v>68</v>
      </c>
      <c r="L6" s="11" t="s">
        <v>1083</v>
      </c>
      <c r="M6" s="11"/>
      <c r="N6" s="11"/>
      <c r="O6" s="11"/>
      <c r="P6" s="11"/>
      <c r="Q6" s="11"/>
      <c r="R6" s="11"/>
      <c r="S6" s="11" t="n">
        <v>253.04802</v>
      </c>
      <c r="T6" s="11" t="n">
        <v>76.196522</v>
      </c>
      <c r="U6" s="11" t="n">
        <v>329.244542</v>
      </c>
      <c r="V6" s="11" t="n">
        <v>4.938668</v>
      </c>
      <c r="W6" s="11" t="n">
        <v>334.18321</v>
      </c>
      <c r="X6" s="11"/>
      <c r="Y6" s="11"/>
      <c r="Z6" s="11"/>
      <c r="AA6" s="11"/>
      <c r="AB6" s="11"/>
      <c r="AC6" s="11" t="s">
        <v>1084</v>
      </c>
      <c r="AD6" s="11" t="s">
        <v>1085</v>
      </c>
      <c r="AE6" s="11" t="s">
        <v>40</v>
      </c>
      <c r="AF6" s="11" t="s">
        <v>1086</v>
      </c>
      <c r="AG6" s="11" t="s">
        <v>35</v>
      </c>
      <c r="AH6" s="11" t="s">
        <v>1087</v>
      </c>
      <c r="AI6" s="11" t="s">
        <v>1088</v>
      </c>
      <c r="AJ6" s="11" t="n">
        <v>1</v>
      </c>
      <c r="AK6" s="11" t="n">
        <v>334.18321</v>
      </c>
      <c r="AL6" s="11"/>
      <c r="AM6" s="12" t="s">
        <v>1089</v>
      </c>
      <c r="AN6" s="16" t="n">
        <f aca="false">IF(COUNTA(W6,X6,Y6)=0,"",SUM(W6,X6,Y6))</f>
        <v>334.18321</v>
      </c>
      <c r="AO6" s="16" t="str">
        <f aca="false">IF(Z6="","", AN6-Z6)</f>
        <v/>
      </c>
    </row>
    <row r="7" customFormat="false" ht="74.6" hidden="false" customHeight="false" outlineLevel="0" collapsed="false">
      <c r="A7" s="10" t="s">
        <v>1091</v>
      </c>
      <c r="B7" s="11" t="s">
        <v>79</v>
      </c>
      <c r="C7" s="11" t="s">
        <v>80</v>
      </c>
      <c r="D7" s="11" t="s">
        <v>61</v>
      </c>
      <c r="E7" s="11" t="s">
        <v>1079</v>
      </c>
      <c r="F7" s="11" t="s">
        <v>1080</v>
      </c>
      <c r="G7" s="11" t="s">
        <v>1081</v>
      </c>
      <c r="H7" s="11" t="s">
        <v>1082</v>
      </c>
      <c r="I7" s="11" t="s">
        <v>79</v>
      </c>
      <c r="J7" s="11" t="s">
        <v>308</v>
      </c>
      <c r="K7" s="11" t="s">
        <v>68</v>
      </c>
      <c r="L7" s="11" t="s">
        <v>1083</v>
      </c>
      <c r="M7" s="11"/>
      <c r="N7" s="11"/>
      <c r="O7" s="11"/>
      <c r="P7" s="11"/>
      <c r="Q7" s="11"/>
      <c r="R7" s="11"/>
      <c r="S7" s="11" t="n">
        <v>134.80496</v>
      </c>
      <c r="T7" s="11" t="n">
        <v>131.073822</v>
      </c>
      <c r="U7" s="11" t="n">
        <v>265.878782</v>
      </c>
      <c r="V7" s="11" t="n">
        <v>3.988182</v>
      </c>
      <c r="W7" s="11" t="n">
        <v>269.866963</v>
      </c>
      <c r="X7" s="11"/>
      <c r="Y7" s="11"/>
      <c r="Z7" s="11"/>
      <c r="AA7" s="11"/>
      <c r="AB7" s="11"/>
      <c r="AC7" s="11" t="s">
        <v>1084</v>
      </c>
      <c r="AD7" s="11" t="s">
        <v>1085</v>
      </c>
      <c r="AE7" s="11" t="s">
        <v>40</v>
      </c>
      <c r="AF7" s="11" t="s">
        <v>1086</v>
      </c>
      <c r="AG7" s="11" t="s">
        <v>35</v>
      </c>
      <c r="AH7" s="11" t="s">
        <v>1087</v>
      </c>
      <c r="AI7" s="11" t="s">
        <v>1088</v>
      </c>
      <c r="AJ7" s="11" t="n">
        <v>1</v>
      </c>
      <c r="AK7" s="11" t="n">
        <v>269.866963</v>
      </c>
      <c r="AL7" s="11"/>
      <c r="AM7" s="12" t="s">
        <v>1089</v>
      </c>
      <c r="AN7" s="16" t="n">
        <f aca="false">IF(COUNTA(W7,X7,Y7)=0,"",SUM(W7,X7,Y7))</f>
        <v>269.866963</v>
      </c>
      <c r="AO7" s="16" t="str">
        <f aca="false">IF(Z7="","", AN7-Z7)</f>
        <v/>
      </c>
    </row>
    <row r="8" customFormat="false" ht="74.6" hidden="false" customHeight="false" outlineLevel="0" collapsed="false">
      <c r="A8" s="10" t="s">
        <v>1092</v>
      </c>
      <c r="B8" s="11" t="s">
        <v>85</v>
      </c>
      <c r="C8" s="11" t="s">
        <v>86</v>
      </c>
      <c r="D8" s="11" t="s">
        <v>61</v>
      </c>
      <c r="E8" s="11" t="s">
        <v>1079</v>
      </c>
      <c r="F8" s="11" t="s">
        <v>1080</v>
      </c>
      <c r="G8" s="11" t="s">
        <v>1081</v>
      </c>
      <c r="H8" s="11" t="s">
        <v>1082</v>
      </c>
      <c r="I8" s="11" t="s">
        <v>85</v>
      </c>
      <c r="J8" s="11" t="s">
        <v>308</v>
      </c>
      <c r="K8" s="11" t="s">
        <v>68</v>
      </c>
      <c r="L8" s="11" t="s">
        <v>1083</v>
      </c>
      <c r="M8" s="11"/>
      <c r="N8" s="11"/>
      <c r="O8" s="11"/>
      <c r="P8" s="11"/>
      <c r="Q8" s="11"/>
      <c r="R8" s="11"/>
      <c r="S8" s="11" t="n">
        <v>258.40966</v>
      </c>
      <c r="T8" s="11" t="n">
        <v>51.886239</v>
      </c>
      <c r="U8" s="11" t="n">
        <v>310.295899</v>
      </c>
      <c r="V8" s="11" t="n">
        <v>4.654438</v>
      </c>
      <c r="W8" s="11" t="n">
        <v>314.950338</v>
      </c>
      <c r="X8" s="11"/>
      <c r="Y8" s="11"/>
      <c r="Z8" s="11"/>
      <c r="AA8" s="11"/>
      <c r="AB8" s="11"/>
      <c r="AC8" s="11" t="s">
        <v>1084</v>
      </c>
      <c r="AD8" s="11" t="s">
        <v>1085</v>
      </c>
      <c r="AE8" s="11" t="s">
        <v>40</v>
      </c>
      <c r="AF8" s="11" t="s">
        <v>1086</v>
      </c>
      <c r="AG8" s="11" t="s">
        <v>35</v>
      </c>
      <c r="AH8" s="11" t="s">
        <v>1087</v>
      </c>
      <c r="AI8" s="11" t="s">
        <v>1088</v>
      </c>
      <c r="AJ8" s="11" t="n">
        <v>1</v>
      </c>
      <c r="AK8" s="11" t="n">
        <v>314.950338</v>
      </c>
      <c r="AL8" s="11"/>
      <c r="AM8" s="12" t="s">
        <v>1089</v>
      </c>
      <c r="AN8" s="16" t="n">
        <f aca="false">IF(COUNTA(W8,X8,Y8)=0,"",SUM(W8,X8,Y8))</f>
        <v>314.950338</v>
      </c>
      <c r="AO8" s="16" t="str">
        <f aca="false">IF(Z8="","", AN8-Z8)</f>
        <v/>
      </c>
    </row>
    <row r="9" customFormat="false" ht="74.6" hidden="false" customHeight="false" outlineLevel="0" collapsed="false">
      <c r="A9" s="10" t="s">
        <v>1093</v>
      </c>
      <c r="B9" s="11" t="s">
        <v>90</v>
      </c>
      <c r="C9" s="11" t="s">
        <v>92</v>
      </c>
      <c r="D9" s="11" t="s">
        <v>91</v>
      </c>
      <c r="E9" s="11" t="s">
        <v>1079</v>
      </c>
      <c r="F9" s="11" t="s">
        <v>1080</v>
      </c>
      <c r="G9" s="11" t="s">
        <v>1081</v>
      </c>
      <c r="H9" s="11" t="s">
        <v>1082</v>
      </c>
      <c r="I9" s="11" t="s">
        <v>90</v>
      </c>
      <c r="J9" s="11" t="s">
        <v>308</v>
      </c>
      <c r="K9" s="11" t="s">
        <v>68</v>
      </c>
      <c r="L9" s="11" t="s">
        <v>1083</v>
      </c>
      <c r="M9" s="11"/>
      <c r="N9" s="11"/>
      <c r="O9" s="11"/>
      <c r="P9" s="11"/>
      <c r="Q9" s="11"/>
      <c r="R9" s="11"/>
      <c r="S9" s="11" t="n">
        <v>3.260405</v>
      </c>
      <c r="T9" s="11" t="n">
        <v>13.688935</v>
      </c>
      <c r="U9" s="11" t="n">
        <v>16.94934</v>
      </c>
      <c r="V9" s="11" t="n">
        <v>0.25424</v>
      </c>
      <c r="W9" s="11" t="n">
        <v>17.20358</v>
      </c>
      <c r="X9" s="11"/>
      <c r="Y9" s="11"/>
      <c r="Z9" s="11"/>
      <c r="AA9" s="11"/>
      <c r="AB9" s="11"/>
      <c r="AC9" s="11" t="s">
        <v>1084</v>
      </c>
      <c r="AD9" s="11" t="s">
        <v>1085</v>
      </c>
      <c r="AE9" s="11" t="s">
        <v>40</v>
      </c>
      <c r="AF9" s="11" t="s">
        <v>1086</v>
      </c>
      <c r="AG9" s="11" t="s">
        <v>35</v>
      </c>
      <c r="AH9" s="11" t="s">
        <v>1087</v>
      </c>
      <c r="AI9" s="11" t="s">
        <v>1088</v>
      </c>
      <c r="AJ9" s="11" t="n">
        <v>1</v>
      </c>
      <c r="AK9" s="11" t="n">
        <v>17.20358</v>
      </c>
      <c r="AL9" s="11"/>
      <c r="AM9" s="12" t="s">
        <v>1089</v>
      </c>
      <c r="AN9" s="16" t="n">
        <f aca="false">IF(COUNTA(W9,X9,Y9)=0,"",SUM(W9,X9,Y9))</f>
        <v>17.20358</v>
      </c>
      <c r="AO9" s="16" t="str">
        <f aca="false">IF(Z9="","", AN9-Z9)</f>
        <v/>
      </c>
    </row>
    <row r="10" customFormat="false" ht="74.6" hidden="false" customHeight="false" outlineLevel="0" collapsed="false">
      <c r="A10" s="10" t="s">
        <v>1094</v>
      </c>
      <c r="B10" s="11" t="s">
        <v>99</v>
      </c>
      <c r="C10" s="11" t="s">
        <v>100</v>
      </c>
      <c r="D10" s="11" t="s">
        <v>91</v>
      </c>
      <c r="E10" s="11" t="s">
        <v>1079</v>
      </c>
      <c r="F10" s="11" t="s">
        <v>1080</v>
      </c>
      <c r="G10" s="11" t="s">
        <v>1081</v>
      </c>
      <c r="H10" s="11" t="s">
        <v>1082</v>
      </c>
      <c r="I10" s="11" t="s">
        <v>99</v>
      </c>
      <c r="J10" s="11" t="s">
        <v>308</v>
      </c>
      <c r="K10" s="11" t="s">
        <v>68</v>
      </c>
      <c r="L10" s="11" t="s">
        <v>1083</v>
      </c>
      <c r="M10" s="11"/>
      <c r="N10" s="11"/>
      <c r="O10" s="11"/>
      <c r="P10" s="11"/>
      <c r="Q10" s="11"/>
      <c r="R10" s="11"/>
      <c r="S10" s="11" t="n">
        <v>3.004952</v>
      </c>
      <c r="T10" s="11" t="n">
        <v>12.546157</v>
      </c>
      <c r="U10" s="11" t="n">
        <v>15.55111</v>
      </c>
      <c r="V10" s="11" t="n">
        <v>0.233267</v>
      </c>
      <c r="W10" s="11" t="n">
        <v>15.784376</v>
      </c>
      <c r="X10" s="11"/>
      <c r="Y10" s="11"/>
      <c r="Z10" s="11"/>
      <c r="AA10" s="11"/>
      <c r="AB10" s="11"/>
      <c r="AC10" s="11" t="s">
        <v>1084</v>
      </c>
      <c r="AD10" s="11" t="s">
        <v>1085</v>
      </c>
      <c r="AE10" s="11" t="s">
        <v>40</v>
      </c>
      <c r="AF10" s="11" t="s">
        <v>1086</v>
      </c>
      <c r="AG10" s="11" t="s">
        <v>35</v>
      </c>
      <c r="AH10" s="11" t="s">
        <v>1087</v>
      </c>
      <c r="AI10" s="11" t="s">
        <v>1088</v>
      </c>
      <c r="AJ10" s="11" t="n">
        <v>1</v>
      </c>
      <c r="AK10" s="11" t="n">
        <v>15.784376</v>
      </c>
      <c r="AL10" s="11"/>
      <c r="AM10" s="12" t="s">
        <v>1089</v>
      </c>
      <c r="AN10" s="16" t="n">
        <f aca="false">IF(COUNTA(W10,X10,Y10)=0,"",SUM(W10,X10,Y10))</f>
        <v>15.784376</v>
      </c>
      <c r="AO10" s="16" t="str">
        <f aca="false">IF(Z10="","", AN10-Z10)</f>
        <v/>
      </c>
    </row>
    <row r="11" customFormat="false" ht="74.6" hidden="false" customHeight="false" outlineLevel="0" collapsed="false">
      <c r="A11" s="10" t="s">
        <v>1095</v>
      </c>
      <c r="B11" s="11" t="s">
        <v>105</v>
      </c>
      <c r="C11" s="11" t="s">
        <v>106</v>
      </c>
      <c r="D11" s="11" t="s">
        <v>91</v>
      </c>
      <c r="E11" s="11" t="s">
        <v>1079</v>
      </c>
      <c r="F11" s="11" t="s">
        <v>1080</v>
      </c>
      <c r="G11" s="11" t="s">
        <v>1081</v>
      </c>
      <c r="H11" s="11" t="s">
        <v>1082</v>
      </c>
      <c r="I11" s="11" t="s">
        <v>105</v>
      </c>
      <c r="J11" s="11" t="s">
        <v>308</v>
      </c>
      <c r="K11" s="11" t="s">
        <v>68</v>
      </c>
      <c r="L11" s="11" t="s">
        <v>1083</v>
      </c>
      <c r="M11" s="11"/>
      <c r="N11" s="11"/>
      <c r="O11" s="11"/>
      <c r="P11" s="11"/>
      <c r="Q11" s="11"/>
      <c r="R11" s="11"/>
      <c r="S11" s="11" t="n">
        <v>15.775013</v>
      </c>
      <c r="T11" s="11" t="n">
        <v>9.764072</v>
      </c>
      <c r="U11" s="11" t="n">
        <v>25.539084</v>
      </c>
      <c r="V11" s="11" t="n">
        <v>0.383086</v>
      </c>
      <c r="W11" s="11" t="n">
        <v>25.922171</v>
      </c>
      <c r="X11" s="11"/>
      <c r="Y11" s="11"/>
      <c r="Z11" s="11"/>
      <c r="AA11" s="11"/>
      <c r="AB11" s="11"/>
      <c r="AC11" s="11" t="s">
        <v>1084</v>
      </c>
      <c r="AD11" s="11" t="s">
        <v>1085</v>
      </c>
      <c r="AE11" s="11" t="s">
        <v>40</v>
      </c>
      <c r="AF11" s="11" t="s">
        <v>1086</v>
      </c>
      <c r="AG11" s="11" t="s">
        <v>35</v>
      </c>
      <c r="AH11" s="11" t="s">
        <v>1087</v>
      </c>
      <c r="AI11" s="11" t="s">
        <v>1088</v>
      </c>
      <c r="AJ11" s="11" t="n">
        <v>1</v>
      </c>
      <c r="AK11" s="11" t="n">
        <v>25.922171</v>
      </c>
      <c r="AL11" s="11"/>
      <c r="AM11" s="12" t="s">
        <v>1089</v>
      </c>
      <c r="AN11" s="16" t="n">
        <f aca="false">IF(COUNTA(W11,X11,Y11)=0,"",SUM(W11,X11,Y11))</f>
        <v>25.922171</v>
      </c>
      <c r="AO11" s="16" t="str">
        <f aca="false">IF(Z11="","", AN11-Z11)</f>
        <v/>
      </c>
    </row>
    <row r="12" customFormat="false" ht="74.6" hidden="false" customHeight="false" outlineLevel="0" collapsed="false">
      <c r="A12" s="10" t="s">
        <v>1096</v>
      </c>
      <c r="B12" s="11" t="s">
        <v>112</v>
      </c>
      <c r="C12" s="11" t="s">
        <v>113</v>
      </c>
      <c r="D12" s="11" t="s">
        <v>91</v>
      </c>
      <c r="E12" s="11" t="s">
        <v>1079</v>
      </c>
      <c r="F12" s="11" t="s">
        <v>1080</v>
      </c>
      <c r="G12" s="11" t="s">
        <v>1081</v>
      </c>
      <c r="H12" s="11" t="s">
        <v>1082</v>
      </c>
      <c r="I12" s="11" t="s">
        <v>112</v>
      </c>
      <c r="J12" s="11" t="s">
        <v>308</v>
      </c>
      <c r="K12" s="11" t="s">
        <v>68</v>
      </c>
      <c r="L12" s="11" t="s">
        <v>1083</v>
      </c>
      <c r="M12" s="11"/>
      <c r="N12" s="11"/>
      <c r="O12" s="11"/>
      <c r="P12" s="11"/>
      <c r="Q12" s="11"/>
      <c r="R12" s="11"/>
      <c r="S12" s="11" t="n">
        <v>25.87503</v>
      </c>
      <c r="T12" s="11" t="n">
        <v>1.285036</v>
      </c>
      <c r="U12" s="11" t="n">
        <v>27.160066</v>
      </c>
      <c r="V12" s="11" t="n">
        <v>0.407401</v>
      </c>
      <c r="W12" s="11" t="n">
        <v>27.567467</v>
      </c>
      <c r="X12" s="11"/>
      <c r="Y12" s="11"/>
      <c r="Z12" s="11"/>
      <c r="AA12" s="11"/>
      <c r="AB12" s="11"/>
      <c r="AC12" s="11" t="s">
        <v>1084</v>
      </c>
      <c r="AD12" s="11" t="s">
        <v>1085</v>
      </c>
      <c r="AE12" s="11" t="s">
        <v>40</v>
      </c>
      <c r="AF12" s="11" t="s">
        <v>1086</v>
      </c>
      <c r="AG12" s="11" t="s">
        <v>35</v>
      </c>
      <c r="AH12" s="11" t="s">
        <v>1087</v>
      </c>
      <c r="AI12" s="11" t="s">
        <v>1088</v>
      </c>
      <c r="AJ12" s="11" t="n">
        <v>1</v>
      </c>
      <c r="AK12" s="11" t="n">
        <v>27.567467</v>
      </c>
      <c r="AL12" s="11"/>
      <c r="AM12" s="12" t="s">
        <v>1089</v>
      </c>
      <c r="AN12" s="16" t="n">
        <f aca="false">IF(COUNTA(W12,X12,Y12)=0,"",SUM(W12,X12,Y12))</f>
        <v>27.567467</v>
      </c>
      <c r="AO12" s="16" t="str">
        <f aca="false">IF(Z12="","", AN12-Z12)</f>
        <v/>
      </c>
    </row>
    <row r="13" customFormat="false" ht="74.6" hidden="false" customHeight="false" outlineLevel="0" collapsed="false">
      <c r="A13" s="10" t="s">
        <v>1097</v>
      </c>
      <c r="B13" s="11" t="s">
        <v>119</v>
      </c>
      <c r="C13" s="11" t="s">
        <v>121</v>
      </c>
      <c r="D13" s="11" t="s">
        <v>120</v>
      </c>
      <c r="E13" s="11" t="s">
        <v>1079</v>
      </c>
      <c r="F13" s="11" t="s">
        <v>1080</v>
      </c>
      <c r="G13" s="11" t="s">
        <v>1081</v>
      </c>
      <c r="H13" s="11" t="s">
        <v>1082</v>
      </c>
      <c r="I13" s="11" t="s">
        <v>119</v>
      </c>
      <c r="J13" s="11" t="s">
        <v>308</v>
      </c>
      <c r="K13" s="11" t="s">
        <v>68</v>
      </c>
      <c r="L13" s="11" t="s">
        <v>1083</v>
      </c>
      <c r="M13" s="11"/>
      <c r="N13" s="11"/>
      <c r="O13" s="11"/>
      <c r="P13" s="11"/>
      <c r="Q13" s="11"/>
      <c r="R13" s="11"/>
      <c r="S13" s="11" t="n">
        <v>196.873867</v>
      </c>
      <c r="T13" s="11" t="n">
        <v>100.243274</v>
      </c>
      <c r="U13" s="11" t="n">
        <v>297.117141</v>
      </c>
      <c r="V13" s="11" t="n">
        <v>4.456757</v>
      </c>
      <c r="W13" s="11" t="n">
        <v>301.573898</v>
      </c>
      <c r="X13" s="11"/>
      <c r="Y13" s="11"/>
      <c r="Z13" s="11"/>
      <c r="AA13" s="11"/>
      <c r="AB13" s="11"/>
      <c r="AC13" s="11" t="s">
        <v>1084</v>
      </c>
      <c r="AD13" s="11" t="s">
        <v>1085</v>
      </c>
      <c r="AE13" s="11" t="s">
        <v>40</v>
      </c>
      <c r="AF13" s="11" t="s">
        <v>1086</v>
      </c>
      <c r="AG13" s="11" t="s">
        <v>35</v>
      </c>
      <c r="AH13" s="11" t="s">
        <v>1087</v>
      </c>
      <c r="AI13" s="11" t="s">
        <v>1088</v>
      </c>
      <c r="AJ13" s="11" t="n">
        <v>1</v>
      </c>
      <c r="AK13" s="11" t="n">
        <v>301.573898</v>
      </c>
      <c r="AL13" s="11"/>
      <c r="AM13" s="12" t="s">
        <v>1089</v>
      </c>
      <c r="AN13" s="16" t="n">
        <f aca="false">IF(COUNTA(W13,X13,Y13)=0,"",SUM(W13,X13,Y13))</f>
        <v>301.573898</v>
      </c>
      <c r="AO13" s="16" t="str">
        <f aca="false">IF(Z13="","", AN13-Z13)</f>
        <v/>
      </c>
    </row>
    <row r="14" customFormat="false" ht="74.6" hidden="false" customHeight="false" outlineLevel="0" collapsed="false">
      <c r="A14" s="10" t="s">
        <v>1098</v>
      </c>
      <c r="B14" s="11" t="s">
        <v>127</v>
      </c>
      <c r="C14" s="11" t="s">
        <v>128</v>
      </c>
      <c r="D14" s="11" t="s">
        <v>120</v>
      </c>
      <c r="E14" s="11" t="s">
        <v>1079</v>
      </c>
      <c r="F14" s="11" t="s">
        <v>1080</v>
      </c>
      <c r="G14" s="11" t="s">
        <v>1081</v>
      </c>
      <c r="H14" s="11" t="s">
        <v>1082</v>
      </c>
      <c r="I14" s="11" t="s">
        <v>127</v>
      </c>
      <c r="J14" s="11" t="s">
        <v>308</v>
      </c>
      <c r="K14" s="11" t="s">
        <v>68</v>
      </c>
      <c r="L14" s="11" t="s">
        <v>1083</v>
      </c>
      <c r="M14" s="11"/>
      <c r="N14" s="11"/>
      <c r="O14" s="11"/>
      <c r="P14" s="11"/>
      <c r="Q14" s="11"/>
      <c r="R14" s="11"/>
      <c r="S14" s="11" t="n">
        <v>179.2279</v>
      </c>
      <c r="T14" s="11" t="n">
        <v>155.441162</v>
      </c>
      <c r="U14" s="11" t="n">
        <v>334.669062</v>
      </c>
      <c r="V14" s="11" t="n">
        <v>5.020036</v>
      </c>
      <c r="W14" s="11" t="n">
        <v>339.689098</v>
      </c>
      <c r="X14" s="11"/>
      <c r="Y14" s="11"/>
      <c r="Z14" s="11"/>
      <c r="AA14" s="11"/>
      <c r="AB14" s="11"/>
      <c r="AC14" s="11" t="s">
        <v>1084</v>
      </c>
      <c r="AD14" s="11" t="s">
        <v>1085</v>
      </c>
      <c r="AE14" s="11" t="s">
        <v>40</v>
      </c>
      <c r="AF14" s="11" t="s">
        <v>1086</v>
      </c>
      <c r="AG14" s="11" t="s">
        <v>35</v>
      </c>
      <c r="AH14" s="11" t="s">
        <v>1087</v>
      </c>
      <c r="AI14" s="11" t="s">
        <v>1088</v>
      </c>
      <c r="AJ14" s="11" t="n">
        <v>1</v>
      </c>
      <c r="AK14" s="11" t="n">
        <v>339.689098</v>
      </c>
      <c r="AL14" s="11"/>
      <c r="AM14" s="12" t="s">
        <v>1089</v>
      </c>
      <c r="AN14" s="16" t="n">
        <f aca="false">IF(COUNTA(W14,X14,Y14)=0,"",SUM(W14,X14,Y14))</f>
        <v>339.689098</v>
      </c>
      <c r="AO14" s="16" t="str">
        <f aca="false">IF(Z14="","", AN14-Z14)</f>
        <v/>
      </c>
    </row>
    <row r="15" customFormat="false" ht="74.6" hidden="false" customHeight="false" outlineLevel="0" collapsed="false">
      <c r="A15" s="10" t="s">
        <v>1099</v>
      </c>
      <c r="B15" s="11" t="s">
        <v>133</v>
      </c>
      <c r="C15" s="11" t="s">
        <v>134</v>
      </c>
      <c r="D15" s="11" t="s">
        <v>120</v>
      </c>
      <c r="E15" s="11" t="s">
        <v>1079</v>
      </c>
      <c r="F15" s="11" t="s">
        <v>1080</v>
      </c>
      <c r="G15" s="11" t="s">
        <v>1081</v>
      </c>
      <c r="H15" s="11" t="s">
        <v>1082</v>
      </c>
      <c r="I15" s="11" t="s">
        <v>133</v>
      </c>
      <c r="J15" s="11" t="s">
        <v>308</v>
      </c>
      <c r="K15" s="11" t="s">
        <v>68</v>
      </c>
      <c r="L15" s="11" t="s">
        <v>1083</v>
      </c>
      <c r="M15" s="11"/>
      <c r="N15" s="11"/>
      <c r="O15" s="11"/>
      <c r="P15" s="11"/>
      <c r="Q15" s="11"/>
      <c r="R15" s="11"/>
      <c r="S15" s="11" t="n">
        <v>26.06</v>
      </c>
      <c r="T15" s="11" t="n">
        <v>102.840665</v>
      </c>
      <c r="U15" s="11" t="n">
        <v>128.900665</v>
      </c>
      <c r="V15" s="11" t="n">
        <v>1.93351</v>
      </c>
      <c r="W15" s="11" t="n">
        <v>130.834175</v>
      </c>
      <c r="X15" s="11"/>
      <c r="Y15" s="11"/>
      <c r="Z15" s="11"/>
      <c r="AA15" s="11"/>
      <c r="AB15" s="11"/>
      <c r="AC15" s="11" t="s">
        <v>1084</v>
      </c>
      <c r="AD15" s="11" t="s">
        <v>1085</v>
      </c>
      <c r="AE15" s="11" t="s">
        <v>40</v>
      </c>
      <c r="AF15" s="11" t="s">
        <v>1086</v>
      </c>
      <c r="AG15" s="11" t="s">
        <v>35</v>
      </c>
      <c r="AH15" s="11" t="s">
        <v>1087</v>
      </c>
      <c r="AI15" s="11" t="s">
        <v>1088</v>
      </c>
      <c r="AJ15" s="11" t="n">
        <v>1</v>
      </c>
      <c r="AK15" s="11" t="n">
        <v>130.834175</v>
      </c>
      <c r="AL15" s="11"/>
      <c r="AM15" s="12" t="s">
        <v>1089</v>
      </c>
      <c r="AN15" s="16" t="n">
        <f aca="false">IF(COUNTA(W15,X15,Y15)=0,"",SUM(W15,X15,Y15))</f>
        <v>130.834175</v>
      </c>
      <c r="AO15" s="16" t="str">
        <f aca="false">IF(Z15="","", AN15-Z15)</f>
        <v/>
      </c>
    </row>
    <row r="16" customFormat="false" ht="74.6" hidden="false" customHeight="false" outlineLevel="0" collapsed="false">
      <c r="A16" s="10" t="s">
        <v>1100</v>
      </c>
      <c r="B16" s="11" t="s">
        <v>139</v>
      </c>
      <c r="C16" s="11" t="s">
        <v>140</v>
      </c>
      <c r="D16" s="11" t="s">
        <v>120</v>
      </c>
      <c r="E16" s="11" t="s">
        <v>1079</v>
      </c>
      <c r="F16" s="11" t="s">
        <v>1080</v>
      </c>
      <c r="G16" s="11" t="s">
        <v>1081</v>
      </c>
      <c r="H16" s="11" t="s">
        <v>1082</v>
      </c>
      <c r="I16" s="11" t="s">
        <v>139</v>
      </c>
      <c r="J16" s="11" t="s">
        <v>308</v>
      </c>
      <c r="K16" s="11" t="s">
        <v>68</v>
      </c>
      <c r="L16" s="11" t="s">
        <v>1083</v>
      </c>
      <c r="M16" s="11"/>
      <c r="N16" s="11"/>
      <c r="O16" s="11"/>
      <c r="P16" s="11"/>
      <c r="Q16" s="11"/>
      <c r="R16" s="11"/>
      <c r="S16" s="11" t="n">
        <v>0.2934</v>
      </c>
      <c r="T16" s="11" t="n">
        <v>24.912711</v>
      </c>
      <c r="U16" s="11" t="n">
        <v>25.206111</v>
      </c>
      <c r="V16" s="11" t="n">
        <v>0.378092</v>
      </c>
      <c r="W16" s="11" t="n">
        <v>25.584202</v>
      </c>
      <c r="X16" s="11"/>
      <c r="Y16" s="11"/>
      <c r="Z16" s="11"/>
      <c r="AA16" s="11"/>
      <c r="AB16" s="11"/>
      <c r="AC16" s="11" t="s">
        <v>1084</v>
      </c>
      <c r="AD16" s="11" t="s">
        <v>1085</v>
      </c>
      <c r="AE16" s="11" t="s">
        <v>40</v>
      </c>
      <c r="AF16" s="11" t="s">
        <v>1086</v>
      </c>
      <c r="AG16" s="11" t="s">
        <v>35</v>
      </c>
      <c r="AH16" s="11" t="s">
        <v>1087</v>
      </c>
      <c r="AI16" s="11" t="s">
        <v>1088</v>
      </c>
      <c r="AJ16" s="11" t="n">
        <v>1</v>
      </c>
      <c r="AK16" s="11" t="n">
        <v>25.584202</v>
      </c>
      <c r="AL16" s="11"/>
      <c r="AM16" s="12" t="s">
        <v>1089</v>
      </c>
      <c r="AN16" s="16" t="n">
        <f aca="false">IF(COUNTA(W16,X16,Y16)=0,"",SUM(W16,X16,Y16))</f>
        <v>25.584202</v>
      </c>
      <c r="AO16" s="16" t="str">
        <f aca="false">IF(Z16="","", AN16-Z16)</f>
        <v/>
      </c>
    </row>
    <row r="17" customFormat="false" ht="74.6" hidden="false" customHeight="false" outlineLevel="0" collapsed="false">
      <c r="A17" s="10" t="s">
        <v>1101</v>
      </c>
      <c r="B17" s="11" t="s">
        <v>145</v>
      </c>
      <c r="C17" s="11" t="s">
        <v>147</v>
      </c>
      <c r="D17" s="11" t="s">
        <v>146</v>
      </c>
      <c r="E17" s="11" t="s">
        <v>1079</v>
      </c>
      <c r="F17" s="11" t="s">
        <v>1080</v>
      </c>
      <c r="G17" s="11" t="s">
        <v>1081</v>
      </c>
      <c r="H17" s="11" t="s">
        <v>1082</v>
      </c>
      <c r="I17" s="11" t="s">
        <v>145</v>
      </c>
      <c r="J17" s="11" t="s">
        <v>308</v>
      </c>
      <c r="K17" s="11" t="s">
        <v>68</v>
      </c>
      <c r="L17" s="11" t="s">
        <v>1083</v>
      </c>
      <c r="M17" s="11"/>
      <c r="N17" s="11"/>
      <c r="O17" s="11"/>
      <c r="P17" s="11"/>
      <c r="Q17" s="11"/>
      <c r="R17" s="11"/>
      <c r="S17" s="11" t="n">
        <v>442.076333</v>
      </c>
      <c r="T17" s="11" t="n">
        <v>25.113071</v>
      </c>
      <c r="U17" s="11" t="n">
        <v>467.189404</v>
      </c>
      <c r="V17" s="11" t="n">
        <v>7.007841</v>
      </c>
      <c r="W17" s="11" t="n">
        <v>474.197245</v>
      </c>
      <c r="X17" s="11"/>
      <c r="Y17" s="11"/>
      <c r="Z17" s="11"/>
      <c r="AA17" s="11"/>
      <c r="AB17" s="11"/>
      <c r="AC17" s="11" t="s">
        <v>1084</v>
      </c>
      <c r="AD17" s="11" t="s">
        <v>1085</v>
      </c>
      <c r="AE17" s="11" t="s">
        <v>40</v>
      </c>
      <c r="AF17" s="11" t="s">
        <v>1086</v>
      </c>
      <c r="AG17" s="11" t="s">
        <v>35</v>
      </c>
      <c r="AH17" s="11" t="s">
        <v>1087</v>
      </c>
      <c r="AI17" s="11" t="s">
        <v>1088</v>
      </c>
      <c r="AJ17" s="11" t="n">
        <v>1</v>
      </c>
      <c r="AK17" s="11" t="n">
        <v>474.197245</v>
      </c>
      <c r="AL17" s="11"/>
      <c r="AM17" s="12" t="s">
        <v>1089</v>
      </c>
      <c r="AN17" s="16" t="n">
        <f aca="false">IF(COUNTA(W17,X17,Y17)=0,"",SUM(W17,X17,Y17))</f>
        <v>474.197245</v>
      </c>
      <c r="AO17" s="16" t="str">
        <f aca="false">IF(Z17="","", AN17-Z17)</f>
        <v/>
      </c>
    </row>
    <row r="18" customFormat="false" ht="74.6" hidden="false" customHeight="false" outlineLevel="0" collapsed="false">
      <c r="A18" s="10" t="s">
        <v>1102</v>
      </c>
      <c r="B18" s="11" t="s">
        <v>153</v>
      </c>
      <c r="C18" s="11" t="s">
        <v>154</v>
      </c>
      <c r="D18" s="11" t="s">
        <v>146</v>
      </c>
      <c r="E18" s="11" t="s">
        <v>1079</v>
      </c>
      <c r="F18" s="11" t="s">
        <v>1080</v>
      </c>
      <c r="G18" s="11" t="s">
        <v>1081</v>
      </c>
      <c r="H18" s="11" t="s">
        <v>1082</v>
      </c>
      <c r="I18" s="11" t="s">
        <v>153</v>
      </c>
      <c r="J18" s="11" t="s">
        <v>308</v>
      </c>
      <c r="K18" s="11" t="s">
        <v>68</v>
      </c>
      <c r="L18" s="11" t="s">
        <v>1083</v>
      </c>
      <c r="M18" s="11"/>
      <c r="N18" s="11"/>
      <c r="O18" s="11"/>
      <c r="P18" s="11"/>
      <c r="Q18" s="11"/>
      <c r="R18" s="11"/>
      <c r="S18" s="11" t="n">
        <v>72.78102</v>
      </c>
      <c r="T18" s="11" t="n">
        <v>15.439572</v>
      </c>
      <c r="U18" s="11" t="n">
        <v>88.220592</v>
      </c>
      <c r="V18" s="11" t="n">
        <v>1.323309</v>
      </c>
      <c r="W18" s="11" t="n">
        <v>89.543901</v>
      </c>
      <c r="X18" s="11"/>
      <c r="Y18" s="11"/>
      <c r="Z18" s="11"/>
      <c r="AA18" s="11"/>
      <c r="AB18" s="11"/>
      <c r="AC18" s="11" t="s">
        <v>1084</v>
      </c>
      <c r="AD18" s="11" t="s">
        <v>1085</v>
      </c>
      <c r="AE18" s="11" t="s">
        <v>40</v>
      </c>
      <c r="AF18" s="11" t="s">
        <v>1086</v>
      </c>
      <c r="AG18" s="11" t="s">
        <v>35</v>
      </c>
      <c r="AH18" s="11" t="s">
        <v>1087</v>
      </c>
      <c r="AI18" s="11" t="s">
        <v>1088</v>
      </c>
      <c r="AJ18" s="11" t="n">
        <v>1</v>
      </c>
      <c r="AK18" s="11" t="n">
        <v>89.543901</v>
      </c>
      <c r="AL18" s="11"/>
      <c r="AM18" s="12" t="s">
        <v>1089</v>
      </c>
      <c r="AN18" s="16" t="n">
        <f aca="false">IF(COUNTA(W18,X18,Y18)=0,"",SUM(W18,X18,Y18))</f>
        <v>89.543901</v>
      </c>
      <c r="AO18" s="16" t="str">
        <f aca="false">IF(Z18="","", AN18-Z18)</f>
        <v/>
      </c>
    </row>
    <row r="19" customFormat="false" ht="74.6" hidden="false" customHeight="false" outlineLevel="0" collapsed="false">
      <c r="A19" s="10" t="s">
        <v>1103</v>
      </c>
      <c r="B19" s="11" t="s">
        <v>159</v>
      </c>
      <c r="C19" s="11" t="s">
        <v>160</v>
      </c>
      <c r="D19" s="11" t="s">
        <v>146</v>
      </c>
      <c r="E19" s="11" t="s">
        <v>1079</v>
      </c>
      <c r="F19" s="11" t="s">
        <v>1080</v>
      </c>
      <c r="G19" s="11" t="s">
        <v>1081</v>
      </c>
      <c r="H19" s="11" t="s">
        <v>1082</v>
      </c>
      <c r="I19" s="11" t="s">
        <v>159</v>
      </c>
      <c r="J19" s="11" t="s">
        <v>308</v>
      </c>
      <c r="K19" s="11" t="s">
        <v>68</v>
      </c>
      <c r="L19" s="11" t="s">
        <v>1083</v>
      </c>
      <c r="M19" s="11"/>
      <c r="N19" s="11"/>
      <c r="O19" s="11"/>
      <c r="P19" s="11"/>
      <c r="Q19" s="11"/>
      <c r="R19" s="11"/>
      <c r="S19" s="11" t="n">
        <v>0.874</v>
      </c>
      <c r="T19" s="11" t="n">
        <v>130.307168</v>
      </c>
      <c r="U19" s="11" t="n">
        <v>131.181168</v>
      </c>
      <c r="V19" s="11" t="n">
        <v>1.967718</v>
      </c>
      <c r="W19" s="11" t="n">
        <v>133.148886</v>
      </c>
      <c r="X19" s="11"/>
      <c r="Y19" s="11"/>
      <c r="Z19" s="11"/>
      <c r="AA19" s="11"/>
      <c r="AB19" s="11"/>
      <c r="AC19" s="11" t="s">
        <v>1084</v>
      </c>
      <c r="AD19" s="11" t="s">
        <v>1085</v>
      </c>
      <c r="AE19" s="11" t="s">
        <v>40</v>
      </c>
      <c r="AF19" s="11" t="s">
        <v>1086</v>
      </c>
      <c r="AG19" s="11" t="s">
        <v>35</v>
      </c>
      <c r="AH19" s="11" t="s">
        <v>1087</v>
      </c>
      <c r="AI19" s="11" t="s">
        <v>1088</v>
      </c>
      <c r="AJ19" s="11" t="n">
        <v>1</v>
      </c>
      <c r="AK19" s="11" t="n">
        <v>133.148886</v>
      </c>
      <c r="AL19" s="11"/>
      <c r="AM19" s="12" t="s">
        <v>1089</v>
      </c>
      <c r="AN19" s="16" t="n">
        <f aca="false">IF(COUNTA(W19,X19,Y19)=0,"",SUM(W19,X19,Y19))</f>
        <v>133.148886</v>
      </c>
      <c r="AO19" s="16" t="str">
        <f aca="false">IF(Z19="","", AN19-Z19)</f>
        <v/>
      </c>
    </row>
    <row r="20" customFormat="false" ht="74.6" hidden="false" customHeight="false" outlineLevel="0" collapsed="false">
      <c r="A20" s="10" t="s">
        <v>1104</v>
      </c>
      <c r="B20" s="11" t="s">
        <v>165</v>
      </c>
      <c r="C20" s="11" t="s">
        <v>166</v>
      </c>
      <c r="D20" s="11" t="s">
        <v>146</v>
      </c>
      <c r="E20" s="11" t="s">
        <v>1079</v>
      </c>
      <c r="F20" s="11" t="s">
        <v>1080</v>
      </c>
      <c r="G20" s="11" t="s">
        <v>1081</v>
      </c>
      <c r="H20" s="11" t="s">
        <v>1082</v>
      </c>
      <c r="I20" s="11" t="s">
        <v>165</v>
      </c>
      <c r="J20" s="11" t="s">
        <v>308</v>
      </c>
      <c r="K20" s="11" t="s">
        <v>68</v>
      </c>
      <c r="L20" s="11" t="s">
        <v>1083</v>
      </c>
      <c r="M20" s="11"/>
      <c r="N20" s="11"/>
      <c r="O20" s="11"/>
      <c r="P20" s="11"/>
      <c r="Q20" s="11"/>
      <c r="R20" s="11"/>
      <c r="S20" s="11" t="n">
        <v>22.27546</v>
      </c>
      <c r="T20" s="11" t="n">
        <v>16.352697</v>
      </c>
      <c r="U20" s="11" t="n">
        <v>38.628157</v>
      </c>
      <c r="V20" s="11" t="n">
        <v>0.579422</v>
      </c>
      <c r="W20" s="11" t="n">
        <v>39.207579</v>
      </c>
      <c r="X20" s="11"/>
      <c r="Y20" s="11"/>
      <c r="Z20" s="11"/>
      <c r="AA20" s="11"/>
      <c r="AB20" s="11"/>
      <c r="AC20" s="11" t="s">
        <v>1084</v>
      </c>
      <c r="AD20" s="11" t="s">
        <v>1085</v>
      </c>
      <c r="AE20" s="11" t="s">
        <v>40</v>
      </c>
      <c r="AF20" s="11" t="s">
        <v>1086</v>
      </c>
      <c r="AG20" s="11" t="s">
        <v>35</v>
      </c>
      <c r="AH20" s="11" t="s">
        <v>1087</v>
      </c>
      <c r="AI20" s="11" t="s">
        <v>1088</v>
      </c>
      <c r="AJ20" s="11" t="n">
        <v>1</v>
      </c>
      <c r="AK20" s="11" t="n">
        <v>39.207579</v>
      </c>
      <c r="AL20" s="11"/>
      <c r="AM20" s="12" t="s">
        <v>1089</v>
      </c>
      <c r="AN20" s="16" t="n">
        <f aca="false">IF(COUNTA(W20,X20,Y20)=0,"",SUM(W20,X20,Y20))</f>
        <v>39.207579</v>
      </c>
      <c r="AO20" s="16" t="str">
        <f aca="false">IF(Z20="","", AN20-Z20)</f>
        <v/>
      </c>
    </row>
    <row r="21" customFormat="false" ht="74.6" hidden="false" customHeight="false" outlineLevel="0" collapsed="false">
      <c r="A21" s="10" t="s">
        <v>1105</v>
      </c>
      <c r="B21" s="11" t="s">
        <v>171</v>
      </c>
      <c r="C21" s="11" t="s">
        <v>172</v>
      </c>
      <c r="D21" s="11" t="s">
        <v>146</v>
      </c>
      <c r="E21" s="11" t="s">
        <v>1079</v>
      </c>
      <c r="F21" s="11" t="s">
        <v>1080</v>
      </c>
      <c r="G21" s="11" t="s">
        <v>1081</v>
      </c>
      <c r="H21" s="11" t="s">
        <v>1082</v>
      </c>
      <c r="I21" s="11" t="s">
        <v>171</v>
      </c>
      <c r="J21" s="11" t="s">
        <v>308</v>
      </c>
      <c r="K21" s="11" t="s">
        <v>68</v>
      </c>
      <c r="L21" s="11" t="s">
        <v>1083</v>
      </c>
      <c r="M21" s="11"/>
      <c r="N21" s="11"/>
      <c r="O21" s="11"/>
      <c r="P21" s="11"/>
      <c r="Q21" s="11"/>
      <c r="R21" s="11"/>
      <c r="S21" s="11" t="n">
        <v>3.12</v>
      </c>
      <c r="T21" s="11" t="n">
        <v>148.447144</v>
      </c>
      <c r="U21" s="11" t="n">
        <v>151.567144</v>
      </c>
      <c r="V21" s="11" t="n">
        <v>2.273507</v>
      </c>
      <c r="W21" s="11" t="n">
        <v>153.840651</v>
      </c>
      <c r="X21" s="11"/>
      <c r="Y21" s="11"/>
      <c r="Z21" s="11"/>
      <c r="AA21" s="11"/>
      <c r="AB21" s="11"/>
      <c r="AC21" s="11" t="s">
        <v>1084</v>
      </c>
      <c r="AD21" s="11" t="s">
        <v>1085</v>
      </c>
      <c r="AE21" s="11" t="s">
        <v>40</v>
      </c>
      <c r="AF21" s="11" t="s">
        <v>1086</v>
      </c>
      <c r="AG21" s="11" t="s">
        <v>35</v>
      </c>
      <c r="AH21" s="11" t="s">
        <v>1087</v>
      </c>
      <c r="AI21" s="11" t="s">
        <v>1088</v>
      </c>
      <c r="AJ21" s="11" t="n">
        <v>1</v>
      </c>
      <c r="AK21" s="11" t="n">
        <v>153.840651</v>
      </c>
      <c r="AL21" s="11"/>
      <c r="AM21" s="12" t="s">
        <v>1089</v>
      </c>
      <c r="AN21" s="16" t="n">
        <f aca="false">IF(COUNTA(W21,X21,Y21)=0,"",SUM(W21,X21,Y21))</f>
        <v>153.840651</v>
      </c>
      <c r="AO21" s="16" t="str">
        <f aca="false">IF(Z21="","", AN21-Z21)</f>
        <v/>
      </c>
    </row>
    <row r="22" customFormat="false" ht="74.6" hidden="false" customHeight="false" outlineLevel="0" collapsed="false">
      <c r="A22" s="10" t="s">
        <v>1106</v>
      </c>
      <c r="B22" s="11" t="s">
        <v>176</v>
      </c>
      <c r="C22" s="11" t="s">
        <v>178</v>
      </c>
      <c r="D22" s="11" t="s">
        <v>177</v>
      </c>
      <c r="E22" s="11" t="s">
        <v>1079</v>
      </c>
      <c r="F22" s="11" t="s">
        <v>1080</v>
      </c>
      <c r="G22" s="11" t="s">
        <v>1081</v>
      </c>
      <c r="H22" s="11" t="s">
        <v>1082</v>
      </c>
      <c r="I22" s="11" t="s">
        <v>176</v>
      </c>
      <c r="J22" s="11" t="s">
        <v>308</v>
      </c>
      <c r="K22" s="11" t="s">
        <v>68</v>
      </c>
      <c r="L22" s="11" t="s">
        <v>1083</v>
      </c>
      <c r="M22" s="11"/>
      <c r="N22" s="11"/>
      <c r="O22" s="11"/>
      <c r="P22" s="11"/>
      <c r="Q22" s="11"/>
      <c r="R22" s="11"/>
      <c r="S22" s="11" t="n">
        <v>17.693725</v>
      </c>
      <c r="T22" s="11" t="n">
        <v>82.095067</v>
      </c>
      <c r="U22" s="11" t="n">
        <v>99.788792</v>
      </c>
      <c r="V22" s="11" t="n">
        <v>1.496832</v>
      </c>
      <c r="W22" s="11" t="n">
        <v>101.285624</v>
      </c>
      <c r="X22" s="11"/>
      <c r="Y22" s="11"/>
      <c r="Z22" s="11"/>
      <c r="AA22" s="11"/>
      <c r="AB22" s="11"/>
      <c r="AC22" s="11" t="s">
        <v>1084</v>
      </c>
      <c r="AD22" s="11" t="s">
        <v>1085</v>
      </c>
      <c r="AE22" s="11" t="s">
        <v>40</v>
      </c>
      <c r="AF22" s="11" t="s">
        <v>1086</v>
      </c>
      <c r="AG22" s="11" t="s">
        <v>35</v>
      </c>
      <c r="AH22" s="11" t="s">
        <v>1087</v>
      </c>
      <c r="AI22" s="11" t="s">
        <v>1088</v>
      </c>
      <c r="AJ22" s="11" t="n">
        <v>1</v>
      </c>
      <c r="AK22" s="11" t="n">
        <v>101.285624</v>
      </c>
      <c r="AL22" s="11"/>
      <c r="AM22" s="12" t="s">
        <v>1089</v>
      </c>
      <c r="AN22" s="16" t="n">
        <f aca="false">IF(COUNTA(W22,X22,Y22)=0,"",SUM(W22,X22,Y22))</f>
        <v>101.285624</v>
      </c>
      <c r="AO22" s="16" t="str">
        <f aca="false">IF(Z22="","", AN22-Z22)</f>
        <v/>
      </c>
    </row>
    <row r="23" customFormat="false" ht="74.6" hidden="false" customHeight="false" outlineLevel="0" collapsed="false">
      <c r="A23" s="10" t="s">
        <v>1107</v>
      </c>
      <c r="B23" s="11" t="s">
        <v>185</v>
      </c>
      <c r="C23" s="11" t="s">
        <v>187</v>
      </c>
      <c r="D23" s="11" t="s">
        <v>186</v>
      </c>
      <c r="E23" s="11" t="s">
        <v>1079</v>
      </c>
      <c r="F23" s="11" t="s">
        <v>1080</v>
      </c>
      <c r="G23" s="11" t="s">
        <v>1081</v>
      </c>
      <c r="H23" s="11" t="s">
        <v>1082</v>
      </c>
      <c r="I23" s="11" t="s">
        <v>185</v>
      </c>
      <c r="J23" s="11" t="s">
        <v>308</v>
      </c>
      <c r="K23" s="11" t="s">
        <v>68</v>
      </c>
      <c r="L23" s="11" t="s">
        <v>1083</v>
      </c>
      <c r="M23" s="11"/>
      <c r="N23" s="11"/>
      <c r="O23" s="11"/>
      <c r="P23" s="11"/>
      <c r="Q23" s="11"/>
      <c r="R23" s="11"/>
      <c r="S23" s="11" t="n">
        <v>303.757296</v>
      </c>
      <c r="T23" s="11" t="n">
        <v>62.187699</v>
      </c>
      <c r="U23" s="11" t="n">
        <v>365.944995</v>
      </c>
      <c r="V23" s="11" t="n">
        <v>5.489175</v>
      </c>
      <c r="W23" s="11" t="n">
        <v>371.43417</v>
      </c>
      <c r="X23" s="11"/>
      <c r="Y23" s="11"/>
      <c r="Z23" s="11"/>
      <c r="AA23" s="11"/>
      <c r="AB23" s="11"/>
      <c r="AC23" s="11" t="s">
        <v>1084</v>
      </c>
      <c r="AD23" s="11" t="s">
        <v>1085</v>
      </c>
      <c r="AE23" s="11" t="s">
        <v>40</v>
      </c>
      <c r="AF23" s="11" t="s">
        <v>1086</v>
      </c>
      <c r="AG23" s="11" t="s">
        <v>35</v>
      </c>
      <c r="AH23" s="11" t="s">
        <v>1087</v>
      </c>
      <c r="AI23" s="11" t="s">
        <v>1088</v>
      </c>
      <c r="AJ23" s="11" t="n">
        <v>1</v>
      </c>
      <c r="AK23" s="11" t="n">
        <v>371.43417</v>
      </c>
      <c r="AL23" s="11"/>
      <c r="AM23" s="12" t="s">
        <v>1089</v>
      </c>
      <c r="AN23" s="16" t="n">
        <f aca="false">IF(COUNTA(W23,X23,Y23)=0,"",SUM(W23,X23,Y23))</f>
        <v>371.43417</v>
      </c>
      <c r="AO23" s="16" t="str">
        <f aca="false">IF(Z23="","", AN23-Z23)</f>
        <v/>
      </c>
    </row>
    <row r="24" customFormat="false" ht="74.6" hidden="false" customHeight="false" outlineLevel="0" collapsed="false">
      <c r="A24" s="10" t="s">
        <v>1108</v>
      </c>
      <c r="B24" s="11" t="s">
        <v>191</v>
      </c>
      <c r="C24" s="11" t="s">
        <v>192</v>
      </c>
      <c r="D24" s="11" t="s">
        <v>186</v>
      </c>
      <c r="E24" s="11" t="s">
        <v>1079</v>
      </c>
      <c r="F24" s="11" t="s">
        <v>1080</v>
      </c>
      <c r="G24" s="11" t="s">
        <v>1081</v>
      </c>
      <c r="H24" s="11" t="s">
        <v>1082</v>
      </c>
      <c r="I24" s="11" t="s">
        <v>191</v>
      </c>
      <c r="J24" s="11" t="s">
        <v>308</v>
      </c>
      <c r="K24" s="11" t="s">
        <v>68</v>
      </c>
      <c r="L24" s="11" t="s">
        <v>1083</v>
      </c>
      <c r="M24" s="11"/>
      <c r="N24" s="11"/>
      <c r="O24" s="11"/>
      <c r="P24" s="11"/>
      <c r="Q24" s="11"/>
      <c r="R24" s="11"/>
      <c r="S24" s="11" t="n">
        <v>252.6062</v>
      </c>
      <c r="T24" s="11" t="n">
        <v>99.465476</v>
      </c>
      <c r="U24" s="11" t="n">
        <v>352.071676</v>
      </c>
      <c r="V24" s="11" t="n">
        <v>5.281075</v>
      </c>
      <c r="W24" s="11" t="n">
        <v>357.352751</v>
      </c>
      <c r="X24" s="11"/>
      <c r="Y24" s="11"/>
      <c r="Z24" s="11"/>
      <c r="AA24" s="11"/>
      <c r="AB24" s="11"/>
      <c r="AC24" s="11" t="s">
        <v>1084</v>
      </c>
      <c r="AD24" s="11" t="s">
        <v>1085</v>
      </c>
      <c r="AE24" s="11" t="s">
        <v>40</v>
      </c>
      <c r="AF24" s="11" t="s">
        <v>1086</v>
      </c>
      <c r="AG24" s="11" t="s">
        <v>35</v>
      </c>
      <c r="AH24" s="11" t="s">
        <v>1087</v>
      </c>
      <c r="AI24" s="11" t="s">
        <v>1088</v>
      </c>
      <c r="AJ24" s="11" t="n">
        <v>1</v>
      </c>
      <c r="AK24" s="11" t="n">
        <v>357.352751</v>
      </c>
      <c r="AL24" s="11"/>
      <c r="AM24" s="12" t="s">
        <v>1089</v>
      </c>
      <c r="AN24" s="16" t="n">
        <f aca="false">IF(COUNTA(W24,X24,Y24)=0,"",SUM(W24,X24,Y24))</f>
        <v>357.352751</v>
      </c>
      <c r="AO24" s="16" t="str">
        <f aca="false">IF(Z24="","", AN24-Z24)</f>
        <v/>
      </c>
    </row>
    <row r="25" customFormat="false" ht="74.6" hidden="false" customHeight="false" outlineLevel="0" collapsed="false">
      <c r="A25" s="10" t="s">
        <v>1109</v>
      </c>
      <c r="B25" s="11" t="s">
        <v>197</v>
      </c>
      <c r="C25" s="11" t="s">
        <v>198</v>
      </c>
      <c r="D25" s="11" t="s">
        <v>186</v>
      </c>
      <c r="E25" s="11" t="s">
        <v>1079</v>
      </c>
      <c r="F25" s="11" t="s">
        <v>1080</v>
      </c>
      <c r="G25" s="11" t="s">
        <v>1081</v>
      </c>
      <c r="H25" s="11" t="s">
        <v>1082</v>
      </c>
      <c r="I25" s="11" t="s">
        <v>197</v>
      </c>
      <c r="J25" s="11" t="s">
        <v>308</v>
      </c>
      <c r="K25" s="11" t="s">
        <v>68</v>
      </c>
      <c r="L25" s="11" t="s">
        <v>1083</v>
      </c>
      <c r="M25" s="11"/>
      <c r="N25" s="11"/>
      <c r="O25" s="11"/>
      <c r="P25" s="11"/>
      <c r="Q25" s="11"/>
      <c r="R25" s="11"/>
      <c r="S25" s="11" t="n">
        <v>164.12328</v>
      </c>
      <c r="T25" s="11" t="n">
        <v>62.834046</v>
      </c>
      <c r="U25" s="11" t="n">
        <v>226.957326</v>
      </c>
      <c r="V25" s="11" t="n">
        <v>3.40436</v>
      </c>
      <c r="W25" s="11" t="n">
        <v>230.361685</v>
      </c>
      <c r="X25" s="11"/>
      <c r="Y25" s="11"/>
      <c r="Z25" s="11"/>
      <c r="AA25" s="11"/>
      <c r="AB25" s="11"/>
      <c r="AC25" s="11" t="s">
        <v>1084</v>
      </c>
      <c r="AD25" s="11" t="s">
        <v>1085</v>
      </c>
      <c r="AE25" s="11" t="s">
        <v>40</v>
      </c>
      <c r="AF25" s="11" t="s">
        <v>1086</v>
      </c>
      <c r="AG25" s="11" t="s">
        <v>35</v>
      </c>
      <c r="AH25" s="11" t="s">
        <v>1087</v>
      </c>
      <c r="AI25" s="11" t="s">
        <v>1088</v>
      </c>
      <c r="AJ25" s="11" t="n">
        <v>1</v>
      </c>
      <c r="AK25" s="11" t="n">
        <v>230.361685</v>
      </c>
      <c r="AL25" s="11"/>
      <c r="AM25" s="12" t="s">
        <v>1089</v>
      </c>
      <c r="AN25" s="16" t="n">
        <f aca="false">IF(COUNTA(W25,X25,Y25)=0,"",SUM(W25,X25,Y25))</f>
        <v>230.361685</v>
      </c>
      <c r="AO25" s="16" t="str">
        <f aca="false">IF(Z25="","", AN25-Z25)</f>
        <v/>
      </c>
    </row>
    <row r="26" customFormat="false" ht="74.6" hidden="false" customHeight="false" outlineLevel="0" collapsed="false">
      <c r="A26" s="10" t="s">
        <v>1110</v>
      </c>
      <c r="B26" s="11" t="s">
        <v>203</v>
      </c>
      <c r="C26" s="11" t="s">
        <v>204</v>
      </c>
      <c r="D26" s="11" t="s">
        <v>186</v>
      </c>
      <c r="E26" s="11" t="s">
        <v>1079</v>
      </c>
      <c r="F26" s="11" t="s">
        <v>1080</v>
      </c>
      <c r="G26" s="11" t="s">
        <v>1081</v>
      </c>
      <c r="H26" s="11" t="s">
        <v>1082</v>
      </c>
      <c r="I26" s="11" t="s">
        <v>203</v>
      </c>
      <c r="J26" s="11" t="s">
        <v>308</v>
      </c>
      <c r="K26" s="11" t="s">
        <v>68</v>
      </c>
      <c r="L26" s="11" t="s">
        <v>1083</v>
      </c>
      <c r="M26" s="11"/>
      <c r="N26" s="11"/>
      <c r="O26" s="11"/>
      <c r="P26" s="11"/>
      <c r="Q26" s="11"/>
      <c r="R26" s="11"/>
      <c r="S26" s="11" t="n">
        <v>303.133006</v>
      </c>
      <c r="T26" s="11" t="n">
        <v>18.805907</v>
      </c>
      <c r="U26" s="11" t="n">
        <v>321.938912</v>
      </c>
      <c r="V26" s="11" t="n">
        <v>4.829084</v>
      </c>
      <c r="W26" s="11" t="n">
        <v>326.767996</v>
      </c>
      <c r="X26" s="11"/>
      <c r="Y26" s="11"/>
      <c r="Z26" s="11"/>
      <c r="AA26" s="11"/>
      <c r="AB26" s="11"/>
      <c r="AC26" s="11" t="s">
        <v>1084</v>
      </c>
      <c r="AD26" s="11" t="s">
        <v>1085</v>
      </c>
      <c r="AE26" s="11" t="s">
        <v>40</v>
      </c>
      <c r="AF26" s="11" t="s">
        <v>1086</v>
      </c>
      <c r="AG26" s="11" t="s">
        <v>35</v>
      </c>
      <c r="AH26" s="11" t="s">
        <v>1087</v>
      </c>
      <c r="AI26" s="11" t="s">
        <v>1088</v>
      </c>
      <c r="AJ26" s="11" t="n">
        <v>1</v>
      </c>
      <c r="AK26" s="11" t="n">
        <v>326.767996</v>
      </c>
      <c r="AL26" s="11"/>
      <c r="AM26" s="12" t="s">
        <v>1089</v>
      </c>
      <c r="AN26" s="16" t="n">
        <f aca="false">IF(COUNTA(W26,X26,Y26)=0,"",SUM(W26,X26,Y26))</f>
        <v>326.767996</v>
      </c>
      <c r="AO26" s="16" t="str">
        <f aca="false">IF(Z26="","", AN26-Z26)</f>
        <v/>
      </c>
    </row>
    <row r="27" customFormat="false" ht="74.6" hidden="false" customHeight="false" outlineLevel="0" collapsed="false">
      <c r="A27" s="10" t="s">
        <v>1111</v>
      </c>
      <c r="B27" s="11" t="s">
        <v>209</v>
      </c>
      <c r="C27" s="11" t="s">
        <v>211</v>
      </c>
      <c r="D27" s="11" t="s">
        <v>210</v>
      </c>
      <c r="E27" s="11" t="s">
        <v>1079</v>
      </c>
      <c r="F27" s="11" t="s">
        <v>1080</v>
      </c>
      <c r="G27" s="11" t="s">
        <v>1081</v>
      </c>
      <c r="H27" s="11" t="s">
        <v>1082</v>
      </c>
      <c r="I27" s="11" t="s">
        <v>209</v>
      </c>
      <c r="J27" s="11" t="s">
        <v>308</v>
      </c>
      <c r="K27" s="11" t="s">
        <v>68</v>
      </c>
      <c r="L27" s="11" t="s">
        <v>1083</v>
      </c>
      <c r="M27" s="11"/>
      <c r="N27" s="11"/>
      <c r="O27" s="11"/>
      <c r="P27" s="11"/>
      <c r="Q27" s="11"/>
      <c r="R27" s="11"/>
      <c r="S27" s="11" t="n">
        <v>16.9983</v>
      </c>
      <c r="T27" s="11" t="n">
        <v>2.654442</v>
      </c>
      <c r="U27" s="11" t="n">
        <v>19.652742</v>
      </c>
      <c r="V27" s="11" t="n">
        <v>0.294791</v>
      </c>
      <c r="W27" s="11" t="n">
        <v>19.947533</v>
      </c>
      <c r="X27" s="11"/>
      <c r="Y27" s="11"/>
      <c r="Z27" s="11"/>
      <c r="AA27" s="11"/>
      <c r="AB27" s="11"/>
      <c r="AC27" s="11" t="s">
        <v>1084</v>
      </c>
      <c r="AD27" s="11" t="s">
        <v>1085</v>
      </c>
      <c r="AE27" s="11" t="s">
        <v>40</v>
      </c>
      <c r="AF27" s="11" t="s">
        <v>1086</v>
      </c>
      <c r="AG27" s="11" t="s">
        <v>35</v>
      </c>
      <c r="AH27" s="11" t="s">
        <v>1087</v>
      </c>
      <c r="AI27" s="11" t="s">
        <v>1088</v>
      </c>
      <c r="AJ27" s="11" t="n">
        <v>1</v>
      </c>
      <c r="AK27" s="11" t="n">
        <v>19.947533</v>
      </c>
      <c r="AL27" s="11"/>
      <c r="AM27" s="12" t="s">
        <v>1089</v>
      </c>
      <c r="AN27" s="16" t="n">
        <f aca="false">IF(COUNTA(W27,X27,Y27)=0,"",SUM(W27,X27,Y27))</f>
        <v>19.947533</v>
      </c>
      <c r="AO27" s="16" t="str">
        <f aca="false">IF(Z27="","", AN27-Z27)</f>
        <v/>
      </c>
    </row>
    <row r="28" customFormat="false" ht="74.6" hidden="false" customHeight="false" outlineLevel="0" collapsed="false">
      <c r="A28" s="10" t="s">
        <v>1112</v>
      </c>
      <c r="B28" s="11" t="s">
        <v>216</v>
      </c>
      <c r="C28" s="11" t="s">
        <v>217</v>
      </c>
      <c r="D28" s="11" t="s">
        <v>210</v>
      </c>
      <c r="E28" s="11" t="s">
        <v>1079</v>
      </c>
      <c r="F28" s="11" t="s">
        <v>1080</v>
      </c>
      <c r="G28" s="11" t="s">
        <v>1081</v>
      </c>
      <c r="H28" s="11" t="s">
        <v>1082</v>
      </c>
      <c r="I28" s="11" t="s">
        <v>216</v>
      </c>
      <c r="J28" s="11" t="s">
        <v>308</v>
      </c>
      <c r="K28" s="11" t="s">
        <v>68</v>
      </c>
      <c r="L28" s="11" t="s">
        <v>1083</v>
      </c>
      <c r="M28" s="11"/>
      <c r="N28" s="11"/>
      <c r="O28" s="11"/>
      <c r="P28" s="11"/>
      <c r="Q28" s="11"/>
      <c r="R28" s="11"/>
      <c r="S28" s="11" t="n">
        <v>5.641258</v>
      </c>
      <c r="T28" s="11" t="n">
        <v>18.562331</v>
      </c>
      <c r="U28" s="11" t="n">
        <v>24.203589</v>
      </c>
      <c r="V28" s="11" t="n">
        <v>0.363054</v>
      </c>
      <c r="W28" s="11" t="n">
        <v>24.566642</v>
      </c>
      <c r="X28" s="11"/>
      <c r="Y28" s="11"/>
      <c r="Z28" s="11"/>
      <c r="AA28" s="11"/>
      <c r="AB28" s="11"/>
      <c r="AC28" s="11" t="s">
        <v>1084</v>
      </c>
      <c r="AD28" s="11" t="s">
        <v>1085</v>
      </c>
      <c r="AE28" s="11" t="s">
        <v>40</v>
      </c>
      <c r="AF28" s="11" t="s">
        <v>1086</v>
      </c>
      <c r="AG28" s="11" t="s">
        <v>35</v>
      </c>
      <c r="AH28" s="11" t="s">
        <v>1087</v>
      </c>
      <c r="AI28" s="11" t="s">
        <v>1088</v>
      </c>
      <c r="AJ28" s="11" t="n">
        <v>1</v>
      </c>
      <c r="AK28" s="11" t="n">
        <v>24.566642</v>
      </c>
      <c r="AL28" s="11"/>
      <c r="AM28" s="12" t="s">
        <v>1089</v>
      </c>
      <c r="AN28" s="16" t="n">
        <f aca="false">IF(COUNTA(W28,X28,Y28)=0,"",SUM(W28,X28,Y28))</f>
        <v>24.566642</v>
      </c>
      <c r="AO28" s="16" t="str">
        <f aca="false">IF(Z28="","", AN28-Z28)</f>
        <v/>
      </c>
    </row>
    <row r="29" customFormat="false" ht="74.6" hidden="false" customHeight="false" outlineLevel="0" collapsed="false">
      <c r="A29" s="10" t="s">
        <v>1113</v>
      </c>
      <c r="B29" s="11" t="s">
        <v>221</v>
      </c>
      <c r="C29" s="11" t="s">
        <v>222</v>
      </c>
      <c r="D29" s="11" t="s">
        <v>210</v>
      </c>
      <c r="E29" s="11" t="s">
        <v>1079</v>
      </c>
      <c r="F29" s="11" t="s">
        <v>1080</v>
      </c>
      <c r="G29" s="11" t="s">
        <v>1081</v>
      </c>
      <c r="H29" s="11" t="s">
        <v>1082</v>
      </c>
      <c r="I29" s="11" t="s">
        <v>221</v>
      </c>
      <c r="J29" s="11" t="s">
        <v>308</v>
      </c>
      <c r="K29" s="11" t="s">
        <v>68</v>
      </c>
      <c r="L29" s="11" t="s">
        <v>1083</v>
      </c>
      <c r="M29" s="11"/>
      <c r="N29" s="11"/>
      <c r="O29" s="11"/>
      <c r="P29" s="11"/>
      <c r="Q29" s="11"/>
      <c r="R29" s="11"/>
      <c r="S29" s="11" t="n">
        <v>31.829613</v>
      </c>
      <c r="T29" s="11" t="n">
        <v>16.328672</v>
      </c>
      <c r="U29" s="11" t="n">
        <v>48.158285</v>
      </c>
      <c r="V29" s="11" t="n">
        <v>0.722374</v>
      </c>
      <c r="W29" s="11" t="n">
        <v>48.880659</v>
      </c>
      <c r="X29" s="11"/>
      <c r="Y29" s="11"/>
      <c r="Z29" s="11"/>
      <c r="AA29" s="11"/>
      <c r="AB29" s="11"/>
      <c r="AC29" s="11" t="s">
        <v>1084</v>
      </c>
      <c r="AD29" s="11" t="s">
        <v>1085</v>
      </c>
      <c r="AE29" s="11" t="s">
        <v>40</v>
      </c>
      <c r="AF29" s="11" t="s">
        <v>1086</v>
      </c>
      <c r="AG29" s="11" t="s">
        <v>35</v>
      </c>
      <c r="AH29" s="11" t="s">
        <v>1087</v>
      </c>
      <c r="AI29" s="11" t="s">
        <v>1088</v>
      </c>
      <c r="AJ29" s="11" t="n">
        <v>1</v>
      </c>
      <c r="AK29" s="11" t="n">
        <v>48.880659</v>
      </c>
      <c r="AL29" s="11"/>
      <c r="AM29" s="12" t="s">
        <v>1089</v>
      </c>
      <c r="AN29" s="16" t="n">
        <f aca="false">IF(COUNTA(W29,X29,Y29)=0,"",SUM(W29,X29,Y29))</f>
        <v>48.880659</v>
      </c>
      <c r="AO29" s="16" t="str">
        <f aca="false">IF(Z29="","", AN29-Z29)</f>
        <v/>
      </c>
    </row>
    <row r="30" customFormat="false" ht="85.05" hidden="false" customHeight="false" outlineLevel="0" collapsed="false">
      <c r="A30" s="10" t="s">
        <v>1114</v>
      </c>
      <c r="B30" s="11" t="s">
        <v>226</v>
      </c>
      <c r="C30" s="11" t="s">
        <v>228</v>
      </c>
      <c r="D30" s="11" t="s">
        <v>227</v>
      </c>
      <c r="E30" s="11" t="s">
        <v>1115</v>
      </c>
      <c r="F30" s="11" t="s">
        <v>1116</v>
      </c>
      <c r="G30" s="11" t="s">
        <v>1117</v>
      </c>
      <c r="H30" s="11" t="s">
        <v>1118</v>
      </c>
      <c r="I30" s="11" t="s">
        <v>1119</v>
      </c>
      <c r="J30" s="11" t="s">
        <v>1120</v>
      </c>
      <c r="K30" s="11" t="s">
        <v>234</v>
      </c>
      <c r="L30" s="11" t="s">
        <v>1121</v>
      </c>
      <c r="M30" s="11"/>
      <c r="N30" s="11"/>
      <c r="O30" s="11"/>
      <c r="P30" s="11"/>
      <c r="Q30" s="11"/>
      <c r="R30" s="11"/>
      <c r="S30" s="11"/>
      <c r="T30" s="11"/>
      <c r="U30" s="11" t="n">
        <v>131.2826677778</v>
      </c>
      <c r="V30" s="11"/>
      <c r="W30" s="11" t="n">
        <v>131.2826677778</v>
      </c>
      <c r="X30" s="11" t="n">
        <v>0</v>
      </c>
      <c r="Y30" s="11" t="n">
        <v>60</v>
      </c>
      <c r="Z30" s="11" t="n">
        <v>191.2826677778</v>
      </c>
      <c r="AA30" s="11" t="n">
        <v>550</v>
      </c>
      <c r="AB30" s="11" t="n">
        <v>0.3477866686869</v>
      </c>
      <c r="AC30" s="11" t="s">
        <v>1122</v>
      </c>
      <c r="AD30" s="11" t="s">
        <v>1123</v>
      </c>
      <c r="AE30" s="11" t="s">
        <v>1124</v>
      </c>
      <c r="AF30" s="11" t="s">
        <v>1125</v>
      </c>
      <c r="AG30" s="11" t="s">
        <v>1126</v>
      </c>
      <c r="AH30" s="11" t="s">
        <v>1087</v>
      </c>
      <c r="AI30" s="11" t="s">
        <v>1127</v>
      </c>
      <c r="AJ30" s="11" t="n">
        <v>1</v>
      </c>
      <c r="AK30" s="11" t="n">
        <v>131.2826677778</v>
      </c>
      <c r="AL30" s="11" t="n">
        <v>191.2826677778</v>
      </c>
      <c r="AM30" s="12" t="s">
        <v>1089</v>
      </c>
      <c r="AN30" s="16" t="n">
        <f aca="false">IF(COUNTA(W30,X30,Y30)=0,"",SUM(W30,X30,Y30))</f>
        <v>191.2826677778</v>
      </c>
      <c r="AO30" s="16" t="n">
        <f aca="false">IF(Z30="","", AN30-Z30)</f>
        <v>0</v>
      </c>
    </row>
    <row r="31" customFormat="false" ht="85.05" hidden="false" customHeight="false" outlineLevel="0" collapsed="false">
      <c r="A31" s="10" t="s">
        <v>1128</v>
      </c>
      <c r="B31" s="11" t="s">
        <v>240</v>
      </c>
      <c r="C31" s="11" t="s">
        <v>241</v>
      </c>
      <c r="D31" s="11" t="s">
        <v>227</v>
      </c>
      <c r="E31" s="11" t="s">
        <v>1115</v>
      </c>
      <c r="F31" s="11" t="s">
        <v>1116</v>
      </c>
      <c r="G31" s="11" t="s">
        <v>1117</v>
      </c>
      <c r="H31" s="11" t="s">
        <v>1118</v>
      </c>
      <c r="I31" s="11" t="s">
        <v>1129</v>
      </c>
      <c r="J31" s="11" t="s">
        <v>1120</v>
      </c>
      <c r="K31" s="11" t="s">
        <v>234</v>
      </c>
      <c r="L31" s="11" t="s">
        <v>1121</v>
      </c>
      <c r="M31" s="11"/>
      <c r="N31" s="11"/>
      <c r="O31" s="11"/>
      <c r="P31" s="11"/>
      <c r="Q31" s="11"/>
      <c r="R31" s="11"/>
      <c r="S31" s="11"/>
      <c r="T31" s="11"/>
      <c r="U31" s="11" t="n">
        <v>163.1946677778</v>
      </c>
      <c r="V31" s="11"/>
      <c r="W31" s="11" t="n">
        <v>163.1946677778</v>
      </c>
      <c r="X31" s="11" t="n">
        <v>0</v>
      </c>
      <c r="Y31" s="11" t="n">
        <v>60</v>
      </c>
      <c r="Z31" s="11" t="n">
        <v>223.1946677778</v>
      </c>
      <c r="AA31" s="11" t="n">
        <v>550</v>
      </c>
      <c r="AB31" s="11" t="n">
        <v>0.4058084868687</v>
      </c>
      <c r="AC31" s="11" t="s">
        <v>1122</v>
      </c>
      <c r="AD31" s="11" t="s">
        <v>1123</v>
      </c>
      <c r="AE31" s="11" t="s">
        <v>1124</v>
      </c>
      <c r="AF31" s="11" t="s">
        <v>1125</v>
      </c>
      <c r="AG31" s="11" t="s">
        <v>1126</v>
      </c>
      <c r="AH31" s="11" t="s">
        <v>1087</v>
      </c>
      <c r="AI31" s="11" t="s">
        <v>1127</v>
      </c>
      <c r="AJ31" s="11" t="n">
        <v>1</v>
      </c>
      <c r="AK31" s="11" t="n">
        <v>163.1946677778</v>
      </c>
      <c r="AL31" s="11" t="n">
        <v>223.1946677778</v>
      </c>
      <c r="AM31" s="12" t="s">
        <v>1089</v>
      </c>
      <c r="AN31" s="16" t="n">
        <f aca="false">IF(COUNTA(W31,X31,Y31)=0,"",SUM(W31,X31,Y31))</f>
        <v>223.1946677778</v>
      </c>
      <c r="AO31" s="16" t="n">
        <f aca="false">IF(Z31="","", AN31-Z31)</f>
        <v>0</v>
      </c>
    </row>
    <row r="32" customFormat="false" ht="85.05" hidden="false" customHeight="false" outlineLevel="0" collapsed="false">
      <c r="A32" s="10" t="s">
        <v>1130</v>
      </c>
      <c r="B32" s="11" t="s">
        <v>246</v>
      </c>
      <c r="C32" s="11" t="s">
        <v>247</v>
      </c>
      <c r="D32" s="11" t="s">
        <v>227</v>
      </c>
      <c r="E32" s="11" t="s">
        <v>1115</v>
      </c>
      <c r="F32" s="11" t="s">
        <v>1116</v>
      </c>
      <c r="G32" s="11" t="s">
        <v>1117</v>
      </c>
      <c r="H32" s="11" t="s">
        <v>1118</v>
      </c>
      <c r="I32" s="11" t="s">
        <v>1131</v>
      </c>
      <c r="J32" s="11" t="s">
        <v>1120</v>
      </c>
      <c r="K32" s="11" t="s">
        <v>234</v>
      </c>
      <c r="L32" s="11" t="s">
        <v>1121</v>
      </c>
      <c r="M32" s="11"/>
      <c r="N32" s="11"/>
      <c r="O32" s="11"/>
      <c r="P32" s="11"/>
      <c r="Q32" s="11"/>
      <c r="R32" s="11"/>
      <c r="S32" s="11"/>
      <c r="T32" s="11"/>
      <c r="U32" s="11" t="n">
        <v>133.4837177778</v>
      </c>
      <c r="V32" s="11"/>
      <c r="W32" s="11" t="n">
        <v>133.4837177778</v>
      </c>
      <c r="X32" s="11" t="n">
        <v>0</v>
      </c>
      <c r="Y32" s="11" t="n">
        <v>60</v>
      </c>
      <c r="Z32" s="11" t="n">
        <v>193.4837177778</v>
      </c>
      <c r="AA32" s="11" t="n">
        <v>550</v>
      </c>
      <c r="AB32" s="11" t="n">
        <v>0.3517885777778</v>
      </c>
      <c r="AC32" s="11" t="s">
        <v>1122</v>
      </c>
      <c r="AD32" s="11" t="s">
        <v>1123</v>
      </c>
      <c r="AE32" s="11" t="s">
        <v>1124</v>
      </c>
      <c r="AF32" s="11" t="s">
        <v>1125</v>
      </c>
      <c r="AG32" s="11" t="s">
        <v>1126</v>
      </c>
      <c r="AH32" s="11" t="s">
        <v>1087</v>
      </c>
      <c r="AI32" s="11" t="s">
        <v>1127</v>
      </c>
      <c r="AJ32" s="11" t="n">
        <v>1</v>
      </c>
      <c r="AK32" s="11" t="n">
        <v>133.4837177778</v>
      </c>
      <c r="AL32" s="11" t="n">
        <v>193.4837177778</v>
      </c>
      <c r="AM32" s="12" t="s">
        <v>1089</v>
      </c>
      <c r="AN32" s="16" t="n">
        <f aca="false">IF(COUNTA(W32,X32,Y32)=0,"",SUM(W32,X32,Y32))</f>
        <v>193.4837177778</v>
      </c>
      <c r="AO32" s="16" t="n">
        <f aca="false">IF(Z32="","", AN32-Z32)</f>
        <v>0</v>
      </c>
    </row>
    <row r="33" customFormat="false" ht="74.6" hidden="false" customHeight="false" outlineLevel="0" collapsed="false">
      <c r="A33" s="10" t="s">
        <v>1132</v>
      </c>
      <c r="B33" s="11" t="s">
        <v>252</v>
      </c>
      <c r="C33" s="11" t="s">
        <v>254</v>
      </c>
      <c r="D33" s="11" t="s">
        <v>253</v>
      </c>
      <c r="E33" s="11" t="s">
        <v>1079</v>
      </c>
      <c r="F33" s="11" t="s">
        <v>1080</v>
      </c>
      <c r="G33" s="11" t="s">
        <v>1081</v>
      </c>
      <c r="H33" s="11" t="s">
        <v>1082</v>
      </c>
      <c r="I33" s="11" t="s">
        <v>252</v>
      </c>
      <c r="J33" s="11" t="s">
        <v>308</v>
      </c>
      <c r="K33" s="11" t="s">
        <v>68</v>
      </c>
      <c r="L33" s="11" t="s">
        <v>1083</v>
      </c>
      <c r="M33" s="11"/>
      <c r="N33" s="11"/>
      <c r="O33" s="11"/>
      <c r="P33" s="11"/>
      <c r="Q33" s="11"/>
      <c r="R33" s="11"/>
      <c r="S33" s="11" t="n">
        <v>861.862722</v>
      </c>
      <c r="T33" s="11" t="n">
        <v>34.370276</v>
      </c>
      <c r="U33" s="11" t="n">
        <v>896.232998</v>
      </c>
      <c r="V33" s="11" t="n">
        <v>13.443495</v>
      </c>
      <c r="W33" s="11" t="n">
        <v>909.676493</v>
      </c>
      <c r="X33" s="11"/>
      <c r="Y33" s="11"/>
      <c r="Z33" s="11"/>
      <c r="AA33" s="11"/>
      <c r="AB33" s="11"/>
      <c r="AC33" s="11" t="s">
        <v>1084</v>
      </c>
      <c r="AD33" s="11" t="s">
        <v>1085</v>
      </c>
      <c r="AE33" s="11" t="s">
        <v>40</v>
      </c>
      <c r="AF33" s="11" t="s">
        <v>1086</v>
      </c>
      <c r="AG33" s="11" t="s">
        <v>35</v>
      </c>
      <c r="AH33" s="11" t="s">
        <v>1087</v>
      </c>
      <c r="AI33" s="11" t="s">
        <v>1088</v>
      </c>
      <c r="AJ33" s="11" t="n">
        <v>12</v>
      </c>
      <c r="AK33" s="11" t="n">
        <v>75.8063744166667</v>
      </c>
      <c r="AL33" s="11"/>
      <c r="AM33" s="12" t="s">
        <v>1133</v>
      </c>
      <c r="AN33" s="16" t="n">
        <f aca="false">IF(COUNTA(W33,X33,Y33)=0,"",SUM(W33,X33,Y33))</f>
        <v>909.676493</v>
      </c>
      <c r="AO33" s="16" t="str">
        <f aca="false">IF(Z33="","", AN33-Z33)</f>
        <v/>
      </c>
    </row>
    <row r="34" customFormat="false" ht="74.6" hidden="false" customHeight="false" outlineLevel="0" collapsed="false">
      <c r="A34" s="10" t="s">
        <v>1134</v>
      </c>
      <c r="B34" s="11" t="s">
        <v>261</v>
      </c>
      <c r="C34" s="11" t="s">
        <v>262</v>
      </c>
      <c r="D34" s="11" t="s">
        <v>253</v>
      </c>
      <c r="E34" s="11" t="s">
        <v>1079</v>
      </c>
      <c r="F34" s="11" t="s">
        <v>1080</v>
      </c>
      <c r="G34" s="11" t="s">
        <v>1081</v>
      </c>
      <c r="H34" s="11" t="s">
        <v>1082</v>
      </c>
      <c r="I34" s="11" t="s">
        <v>261</v>
      </c>
      <c r="J34" s="11" t="s">
        <v>308</v>
      </c>
      <c r="K34" s="11" t="s">
        <v>68</v>
      </c>
      <c r="L34" s="11" t="s">
        <v>1083</v>
      </c>
      <c r="M34" s="11"/>
      <c r="N34" s="11"/>
      <c r="O34" s="11"/>
      <c r="P34" s="11"/>
      <c r="Q34" s="11"/>
      <c r="R34" s="11"/>
      <c r="S34" s="11" t="n">
        <v>551.765083</v>
      </c>
      <c r="T34" s="11" t="n">
        <v>8.96277</v>
      </c>
      <c r="U34" s="11" t="n">
        <v>560.727853</v>
      </c>
      <c r="V34" s="11" t="n">
        <v>8.410918</v>
      </c>
      <c r="W34" s="11" t="n">
        <v>569.138771</v>
      </c>
      <c r="X34" s="11"/>
      <c r="Y34" s="11"/>
      <c r="Z34" s="11"/>
      <c r="AA34" s="11"/>
      <c r="AB34" s="11"/>
      <c r="AC34" s="11" t="s">
        <v>1084</v>
      </c>
      <c r="AD34" s="11" t="s">
        <v>1085</v>
      </c>
      <c r="AE34" s="11" t="s">
        <v>40</v>
      </c>
      <c r="AF34" s="11" t="s">
        <v>1086</v>
      </c>
      <c r="AG34" s="11" t="s">
        <v>35</v>
      </c>
      <c r="AH34" s="11" t="s">
        <v>1087</v>
      </c>
      <c r="AI34" s="11" t="s">
        <v>1088</v>
      </c>
      <c r="AJ34" s="11" t="n">
        <v>10</v>
      </c>
      <c r="AK34" s="11" t="n">
        <v>56.9138771</v>
      </c>
      <c r="AL34" s="11"/>
      <c r="AM34" s="12" t="s">
        <v>1133</v>
      </c>
      <c r="AN34" s="16" t="n">
        <f aca="false">IF(COUNTA(W34,X34,Y34)=0,"",SUM(W34,X34,Y34))</f>
        <v>569.138771</v>
      </c>
      <c r="AO34" s="16" t="str">
        <f aca="false">IF(Z34="","", AN34-Z34)</f>
        <v/>
      </c>
    </row>
    <row r="35" customFormat="false" ht="74.6" hidden="false" customHeight="false" outlineLevel="0" collapsed="false">
      <c r="A35" s="13" t="s">
        <v>1135</v>
      </c>
      <c r="B35" s="14" t="s">
        <v>269</v>
      </c>
      <c r="C35" s="14" t="s">
        <v>270</v>
      </c>
      <c r="D35" s="14" t="s">
        <v>253</v>
      </c>
      <c r="E35" s="14" t="s">
        <v>1079</v>
      </c>
      <c r="F35" s="14" t="s">
        <v>1080</v>
      </c>
      <c r="G35" s="14" t="s">
        <v>1081</v>
      </c>
      <c r="H35" s="14" t="s">
        <v>1082</v>
      </c>
      <c r="I35" s="14" t="s">
        <v>269</v>
      </c>
      <c r="J35" s="14" t="s">
        <v>308</v>
      </c>
      <c r="K35" s="14" t="s">
        <v>68</v>
      </c>
      <c r="L35" s="14" t="s">
        <v>1083</v>
      </c>
      <c r="M35" s="14"/>
      <c r="N35" s="14"/>
      <c r="O35" s="14"/>
      <c r="P35" s="14"/>
      <c r="Q35" s="14"/>
      <c r="R35" s="14"/>
      <c r="S35" s="14" t="n">
        <v>241.707519</v>
      </c>
      <c r="T35" s="14" t="n">
        <v>7.873194</v>
      </c>
      <c r="U35" s="14" t="n">
        <v>249.580713</v>
      </c>
      <c r="V35" s="14" t="n">
        <v>3.743711</v>
      </c>
      <c r="W35" s="14" t="n">
        <v>253.324424</v>
      </c>
      <c r="X35" s="14"/>
      <c r="Y35" s="14"/>
      <c r="Z35" s="14"/>
      <c r="AA35" s="14"/>
      <c r="AB35" s="14"/>
      <c r="AC35" s="14" t="s">
        <v>1084</v>
      </c>
      <c r="AD35" s="14" t="s">
        <v>1085</v>
      </c>
      <c r="AE35" s="14" t="s">
        <v>40</v>
      </c>
      <c r="AF35" s="14" t="s">
        <v>1086</v>
      </c>
      <c r="AG35" s="14" t="s">
        <v>35</v>
      </c>
      <c r="AH35" s="14" t="s">
        <v>1087</v>
      </c>
      <c r="AI35" s="14" t="s">
        <v>1088</v>
      </c>
      <c r="AJ35" s="14" t="n">
        <v>10</v>
      </c>
      <c r="AK35" s="14" t="n">
        <v>25.3324424</v>
      </c>
      <c r="AL35" s="14"/>
      <c r="AM35" s="15" t="s">
        <v>1133</v>
      </c>
      <c r="AN35" s="16" t="n">
        <f aca="false">IF(COUNTA(W35,X35,Y35)=0,"",SUM(W35,X35,Y35))</f>
        <v>253.324424</v>
      </c>
      <c r="AO35" s="16" t="str">
        <f aca="false">IF(Z35="","", AN35-Z35)</f>
        <v/>
      </c>
    </row>
  </sheetData>
  <autoFilter ref="A1:AO35">
    <filterColumn colId="0" hiddenButton="1"/>
  </autoFilter>
  <mergeCells count="2">
    <mergeCell ref="A1:AM1"/>
    <mergeCell ref="A2:AM2"/>
  </mergeCells>
  <conditionalFormatting sqref="AD5:AD35">
    <cfRule type="containsText" priority="2" operator="containsText" aboveAverage="0" equalAverage="0" bottom="0" percent="0" rank="0" text="BLOCK" dxfId="37">
      <formula>NOT(ISERROR(SEARCH("BLOCK",AD5)))</formula>
    </cfRule>
    <cfRule type="containsText" priority="3" operator="containsText" aboveAverage="0" equalAverage="0" bottom="0" percent="0" rank="0" text="DRAFT" dxfId="38">
      <formula>NOT(ISERROR(SEARCH("DRAFT",AD5)))</formula>
    </cfRule>
    <cfRule type="containsText" priority="4" operator="containsText" aboveAverage="0" equalAverage="0" bottom="0" percent="0" rank="0" text="PASS" dxfId="39">
      <formula>NOT(ISERROR(SEARCH("PASS",AD5)))</formula>
    </cfRule>
  </conditionalFormatting>
  <conditionalFormatting sqref="AE5:AE35">
    <cfRule type="containsText" priority="5" operator="containsText" aboveAverage="0" equalAverage="0" bottom="0" percent="0" rank="0" text="BLOCK" dxfId="40">
      <formula>NOT(ISERROR(SEARCH("BLOCK",AE5)))</formula>
    </cfRule>
    <cfRule type="containsText" priority="6" operator="containsText" aboveAverage="0" equalAverage="0" bottom="0" percent="0" rank="0" text="DRAFT" dxfId="41">
      <formula>NOT(ISERROR(SEARCH("DRAFT",AE5)))</formula>
    </cfRule>
    <cfRule type="containsText" priority="7" operator="containsText" aboveAverage="0" equalAverage="0" bottom="0" percent="0" rank="0" text="PASS" dxfId="42">
      <formula>NOT(ISERROR(SEARCH("PASS",AE5)))</formula>
    </cfRule>
  </conditionalFormatting>
  <conditionalFormatting sqref="AF5:AF35">
    <cfRule type="containsText" priority="8" operator="containsText" aboveAverage="0" equalAverage="0" bottom="0" percent="0" rank="0" text="BLOCK" dxfId="43">
      <formula>NOT(ISERROR(SEARCH("BLOCK",AF5)))</formula>
    </cfRule>
    <cfRule type="containsText" priority="9" operator="containsText" aboveAverage="0" equalAverage="0" bottom="0" percent="0" rank="0" text="DRAFT" dxfId="44">
      <formula>NOT(ISERROR(SEARCH("DRAFT",AF5)))</formula>
    </cfRule>
    <cfRule type="containsText" priority="10" operator="containsText" aboveAverage="0" equalAverage="0" bottom="0" percent="0" rank="0" text="PASS" dxfId="45">
      <formula>NOT(ISERROR(SEARCH("PASS",AF5)))</formula>
    </cfRule>
  </conditionalFormatting>
  <conditionalFormatting sqref="AG5:AG35">
    <cfRule type="containsText" priority="11" operator="containsText" aboveAverage="0" equalAverage="0" bottom="0" percent="0" rank="0" text="BLOCK" dxfId="46">
      <formula>NOT(ISERROR(SEARCH("BLOCK",AG5)))</formula>
    </cfRule>
    <cfRule type="containsText" priority="12" operator="containsText" aboveAverage="0" equalAverage="0" bottom="0" percent="0" rank="0" text="DRAFT" dxfId="47">
      <formula>NOT(ISERROR(SEARCH("DRAFT",AG5)))</formula>
    </cfRule>
    <cfRule type="containsText" priority="13" operator="containsText" aboveAverage="0" equalAverage="0" bottom="0" percent="0" rank="0" text="PASS" dxfId="48">
      <formula>NOT(ISERROR(SEARCH("PASS",AG5)))</formula>
    </cfRule>
  </conditionalFormatting>
  <conditionalFormatting sqref="AH5:AH35">
    <cfRule type="containsText" priority="14" operator="containsText" aboveAverage="0" equalAverage="0" bottom="0" percent="0" rank="0" text="BLOCK" dxfId="49">
      <formula>NOT(ISERROR(SEARCH("BLOCK",AH5)))</formula>
    </cfRule>
    <cfRule type="containsText" priority="15" operator="containsText" aboveAverage="0" equalAverage="0" bottom="0" percent="0" rank="0" text="DRAFT" dxfId="50">
      <formula>NOT(ISERROR(SEARCH("DRAFT",AH5)))</formula>
    </cfRule>
    <cfRule type="containsText" priority="16" operator="containsText" aboveAverage="0" equalAverage="0" bottom="0" percent="0" rank="0" text="PASS" dxfId="51">
      <formula>NOT(ISERROR(SEARCH("PASS",AH5)))</formula>
    </cfRule>
  </conditionalFormatting>
  <conditionalFormatting sqref="AM5:AM35">
    <cfRule type="containsText" priority="17" operator="containsText" aboveAverage="0" equalAverage="0" bottom="0" percent="0" rank="0" text="BLOCK" dxfId="52">
      <formula>NOT(ISERROR(SEARCH("BLOCK",AM5)))</formula>
    </cfRule>
    <cfRule type="containsText" priority="18" operator="containsText" aboveAverage="0" equalAverage="0" bottom="0" percent="0" rank="0" text="DRAFT" dxfId="53">
      <formula>NOT(ISERROR(SEARCH("DRAFT",AM5)))</formula>
    </cfRule>
    <cfRule type="containsText" priority="19" operator="containsText" aboveAverage="0" equalAverage="0" bottom="0" percent="0" rank="0" text="PASS" dxfId="54">
      <formula>NOT(ISERROR(SEARCH("PASS",AM5)))</formula>
    </cfRule>
  </conditionalFormatting>
  <dataValidations count="12">
    <dataValidation allowBlank="true" errorStyle="stop" operator="between" showDropDown="false" showErrorMessage="true" showInputMessage="false" sqref="AD5:AD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E5:AE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F5:AF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G5:AG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H5:AH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M5:AM500" type="list">
      <formula1>"DRAFT,BLOCKED,OPEN,PASS,CALCULATED,ASSUMPTION,PRELIMINARY"</formula1>
      <formula2>0</formula2>
    </dataValidation>
    <dataValidation type="list" allowBlank="1" showErrorMessage="1" sqref="AD5:AD500">
      <formula1>"DRAFT,BLOCKED,OPEN,PASS,CALCULATED,ASSUMPTION,PRELIMINARY"</formula1>
    </dataValidation>
    <dataValidation type="list" allowBlank="1" showErrorMessage="1" sqref="AE5:AE500">
      <formula1>"DRAFT,BLOCKED,OPEN,PASS,CALCULATED,ASSUMPTION,PRELIMINARY"</formula1>
    </dataValidation>
    <dataValidation type="list" allowBlank="1" showErrorMessage="1" sqref="AF5:AF500">
      <formula1>"DRAFT,BLOCKED,OPEN,PASS,CALCULATED,ASSUMPTION,PRELIMINARY"</formula1>
    </dataValidation>
    <dataValidation type="list" allowBlank="1" showErrorMessage="1" sqref="AG5:AG500">
      <formula1>"DRAFT,BLOCKED,OPEN,PASS,CALCULATED,ASSUMPTION,PRELIMINARY"</formula1>
    </dataValidation>
    <dataValidation type="list" allowBlank="1" showErrorMessage="1" sqref="AH5:AH500">
      <formula1>"DRAFT,BLOCKED,OPEN,PASS,CALCULATED,ASSUMPTION,PRELIMINARY"</formula1>
    </dataValidation>
    <dataValidation type="list" allowBlank="1" showErrorMessage="1" sqref="AM5:AM500">
      <formula1>"DRAFT,BLOCKED,OPEN,PASS,CALCULATED,ASSUMPTION,PRELIMINARY"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true">
    <pageSetUpPr fitToPage="false"/>
  </sheetPr>
  <dimension ref="A1:A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false" outlineLevel="0" max="28" min="18" style="0" width="16"/>
    <col collapsed="false" customWidth="true" hidden="false" outlineLevel="0" max="29" min="29" style="0" width="24"/>
    <col collapsed="false" customWidth="true" hidden="false" outlineLevel="0" max="32" min="30" style="0" width="16"/>
    <col collapsed="false" customWidth="true" hidden="false" outlineLevel="0" max="33" min="33" style="0" width="24"/>
    <col collapsed="false" customWidth="true" hidden="false" outlineLevel="0" max="34" min="34" style="0" width="16"/>
    <col collapsed="false" customWidth="true" hidden="false" outlineLevel="0" max="35" min="35" style="0" width="38"/>
    <col collapsed="false" customWidth="true" hidden="false" outlineLevel="0" max="38" min="36" style="0" width="16"/>
    <col collapsed="false" customWidth="true" hidden="false" outlineLevel="0" max="39" min="39" style="0" width="38"/>
  </cols>
  <sheetData>
    <row r="1" customFormat="false" ht="17.35" hidden="false" customHeight="false" outlineLevel="0" collapsed="false">
      <c r="A1" s="4" t="s">
        <v>1136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true" outlineLevel="0" collapsed="false">
      <c r="A2" s="5" t="s">
        <v>1137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4" customFormat="false" ht="50" hidden="false" customHeight="true" outlineLevel="0" collapsed="false">
      <c r="A4" s="6" t="s">
        <v>1138</v>
      </c>
      <c r="B4" s="6" t="s">
        <v>52</v>
      </c>
      <c r="C4" s="6" t="s">
        <v>45</v>
      </c>
      <c r="D4" s="6" t="s">
        <v>53</v>
      </c>
      <c r="E4" s="6" t="s">
        <v>47</v>
      </c>
      <c r="F4" s="6" t="s">
        <v>1139</v>
      </c>
      <c r="G4" s="6" t="s">
        <v>1140</v>
      </c>
      <c r="H4" s="6" t="s">
        <v>1141</v>
      </c>
      <c r="I4" s="6" t="s">
        <v>1142</v>
      </c>
      <c r="J4" s="6" t="s">
        <v>1143</v>
      </c>
      <c r="K4" s="6" t="s">
        <v>1144</v>
      </c>
      <c r="L4" s="6" t="s">
        <v>1145</v>
      </c>
      <c r="M4" s="6" t="s">
        <v>1146</v>
      </c>
      <c r="N4" s="6" t="s">
        <v>1147</v>
      </c>
      <c r="O4" s="6" t="s">
        <v>1148</v>
      </c>
      <c r="P4" s="6" t="s">
        <v>1149</v>
      </c>
      <c r="Q4" s="6" t="s">
        <v>1150</v>
      </c>
      <c r="R4" s="6" t="s">
        <v>1151</v>
      </c>
      <c r="S4" s="6" t="s">
        <v>1152</v>
      </c>
      <c r="T4" s="6" t="s">
        <v>1153</v>
      </c>
      <c r="U4" s="6" t="s">
        <v>1154</v>
      </c>
      <c r="V4" s="6" t="s">
        <v>1155</v>
      </c>
      <c r="W4" s="6" t="s">
        <v>1156</v>
      </c>
      <c r="X4" s="6" t="s">
        <v>1157</v>
      </c>
      <c r="Y4" s="6" t="s">
        <v>1158</v>
      </c>
      <c r="Z4" s="6" t="s">
        <v>50</v>
      </c>
      <c r="AA4" s="6" t="s">
        <v>288</v>
      </c>
      <c r="AB4" s="6" t="s">
        <v>1159</v>
      </c>
      <c r="AC4" s="6" t="s">
        <v>57</v>
      </c>
      <c r="AD4" s="6" t="s">
        <v>1160</v>
      </c>
      <c r="AE4" s="6" t="s">
        <v>1161</v>
      </c>
      <c r="AF4" s="6" t="s">
        <v>922</v>
      </c>
      <c r="AG4" s="6" t="s">
        <v>291</v>
      </c>
      <c r="AH4" s="6" t="s">
        <v>292</v>
      </c>
      <c r="AI4" s="6" t="s">
        <v>921</v>
      </c>
      <c r="AJ4" s="6" t="s">
        <v>294</v>
      </c>
      <c r="AK4" s="6" t="s">
        <v>295</v>
      </c>
      <c r="AL4" s="6" t="s">
        <v>296</v>
      </c>
      <c r="AM4" s="6" t="s">
        <v>297</v>
      </c>
    </row>
    <row r="5" customFormat="false" ht="158.2" hidden="false" customHeight="false" outlineLevel="0" collapsed="false">
      <c r="A5" s="7" t="s">
        <v>1162</v>
      </c>
      <c r="B5" s="8" t="s">
        <v>67</v>
      </c>
      <c r="C5" s="8" t="s">
        <v>60</v>
      </c>
      <c r="D5" s="8" t="s">
        <v>68</v>
      </c>
      <c r="E5" s="8" t="s">
        <v>62</v>
      </c>
      <c r="F5" s="8" t="s">
        <v>1163</v>
      </c>
      <c r="G5" s="8" t="s">
        <v>24</v>
      </c>
      <c r="H5" s="8" t="s">
        <v>1164</v>
      </c>
      <c r="I5" s="8" t="s">
        <v>1165</v>
      </c>
      <c r="J5" s="8" t="s">
        <v>1166</v>
      </c>
      <c r="K5" s="8" t="s">
        <v>24</v>
      </c>
      <c r="L5" s="8" t="s">
        <v>1167</v>
      </c>
      <c r="M5" s="8" t="s">
        <v>1165</v>
      </c>
      <c r="N5" s="8" t="s">
        <v>1168</v>
      </c>
      <c r="O5" s="8" t="s">
        <v>24</v>
      </c>
      <c r="P5" s="8" t="s">
        <v>1169</v>
      </c>
      <c r="Q5" s="8" t="s">
        <v>1165</v>
      </c>
      <c r="R5" s="8" t="s">
        <v>1170</v>
      </c>
      <c r="S5" s="8" t="n">
        <v>19</v>
      </c>
      <c r="T5" s="8" t="s">
        <v>1171</v>
      </c>
      <c r="U5" s="8" t="n">
        <v>90</v>
      </c>
      <c r="V5" s="8" t="s">
        <v>1171</v>
      </c>
      <c r="W5" s="8" t="s">
        <v>1172</v>
      </c>
      <c r="X5" s="8" t="s">
        <v>1173</v>
      </c>
      <c r="Y5" s="8" t="s">
        <v>1174</v>
      </c>
      <c r="Z5" s="8" t="n">
        <v>450</v>
      </c>
      <c r="AA5" s="8" t="s">
        <v>304</v>
      </c>
      <c r="AB5" s="8" t="s">
        <v>933</v>
      </c>
      <c r="AC5" s="8" t="s">
        <v>935</v>
      </c>
      <c r="AD5" s="8" t="s">
        <v>1175</v>
      </c>
      <c r="AE5" s="8" t="s">
        <v>1176</v>
      </c>
      <c r="AF5" s="8" t="s">
        <v>940</v>
      </c>
      <c r="AG5" s="8" t="s">
        <v>305</v>
      </c>
      <c r="AH5" s="8" t="s">
        <v>1177</v>
      </c>
      <c r="AI5" s="8" t="s">
        <v>1178</v>
      </c>
      <c r="AJ5" s="8" t="s">
        <v>308</v>
      </c>
      <c r="AK5" s="8" t="s">
        <v>309</v>
      </c>
      <c r="AL5" s="8" t="s">
        <v>1179</v>
      </c>
      <c r="AM5" s="9" t="s">
        <v>1180</v>
      </c>
    </row>
    <row r="6" customFormat="false" ht="168.65" hidden="false" customHeight="false" outlineLevel="0" collapsed="false">
      <c r="A6" s="10" t="s">
        <v>1181</v>
      </c>
      <c r="B6" s="11" t="s">
        <v>77</v>
      </c>
      <c r="C6" s="11" t="s">
        <v>73</v>
      </c>
      <c r="D6" s="11" t="s">
        <v>68</v>
      </c>
      <c r="E6" s="11" t="s">
        <v>74</v>
      </c>
      <c r="F6" s="11" t="s">
        <v>1182</v>
      </c>
      <c r="G6" s="11" t="s">
        <v>24</v>
      </c>
      <c r="H6" s="11" t="s">
        <v>1164</v>
      </c>
      <c r="I6" s="11" t="s">
        <v>1165</v>
      </c>
      <c r="J6" s="11" t="s">
        <v>1166</v>
      </c>
      <c r="K6" s="11" t="s">
        <v>24</v>
      </c>
      <c r="L6" s="11" t="s">
        <v>1167</v>
      </c>
      <c r="M6" s="11" t="s">
        <v>1165</v>
      </c>
      <c r="N6" s="11" t="s">
        <v>1183</v>
      </c>
      <c r="O6" s="11" t="s">
        <v>24</v>
      </c>
      <c r="P6" s="11" t="s">
        <v>1169</v>
      </c>
      <c r="Q6" s="11" t="s">
        <v>1165</v>
      </c>
      <c r="R6" s="11" t="s">
        <v>1184</v>
      </c>
      <c r="S6" s="11" t="n">
        <v>20</v>
      </c>
      <c r="T6" s="11" t="s">
        <v>1171</v>
      </c>
      <c r="U6" s="11" t="n">
        <v>92</v>
      </c>
      <c r="V6" s="11" t="s">
        <v>1171</v>
      </c>
      <c r="W6" s="11" t="s">
        <v>1185</v>
      </c>
      <c r="X6" s="11" t="s">
        <v>1186</v>
      </c>
      <c r="Y6" s="11" t="s">
        <v>1187</v>
      </c>
      <c r="Z6" s="11" t="n">
        <v>480</v>
      </c>
      <c r="AA6" s="11" t="s">
        <v>304</v>
      </c>
      <c r="AB6" s="11" t="s">
        <v>933</v>
      </c>
      <c r="AC6" s="11" t="s">
        <v>935</v>
      </c>
      <c r="AD6" s="11" t="s">
        <v>1175</v>
      </c>
      <c r="AE6" s="11" t="s">
        <v>1176</v>
      </c>
      <c r="AF6" s="11" t="s">
        <v>940</v>
      </c>
      <c r="AG6" s="11" t="s">
        <v>305</v>
      </c>
      <c r="AH6" s="11" t="s">
        <v>1177</v>
      </c>
      <c r="AI6" s="11" t="s">
        <v>1178</v>
      </c>
      <c r="AJ6" s="11" t="s">
        <v>308</v>
      </c>
      <c r="AK6" s="11" t="s">
        <v>309</v>
      </c>
      <c r="AL6" s="11" t="s">
        <v>1179</v>
      </c>
      <c r="AM6" s="12" t="s">
        <v>1180</v>
      </c>
    </row>
    <row r="7" customFormat="false" ht="158.2" hidden="false" customHeight="false" outlineLevel="0" collapsed="false">
      <c r="A7" s="10" t="s">
        <v>1188</v>
      </c>
      <c r="B7" s="11" t="s">
        <v>83</v>
      </c>
      <c r="C7" s="11" t="s">
        <v>79</v>
      </c>
      <c r="D7" s="11" t="s">
        <v>68</v>
      </c>
      <c r="E7" s="11" t="s">
        <v>80</v>
      </c>
      <c r="F7" s="11" t="s">
        <v>1189</v>
      </c>
      <c r="G7" s="11" t="s">
        <v>24</v>
      </c>
      <c r="H7" s="11" t="s">
        <v>1164</v>
      </c>
      <c r="I7" s="11" t="s">
        <v>1165</v>
      </c>
      <c r="J7" s="11" t="s">
        <v>1166</v>
      </c>
      <c r="K7" s="11" t="s">
        <v>24</v>
      </c>
      <c r="L7" s="11" t="s">
        <v>1167</v>
      </c>
      <c r="M7" s="11" t="s">
        <v>1165</v>
      </c>
      <c r="N7" s="11" t="s">
        <v>1190</v>
      </c>
      <c r="O7" s="11" t="s">
        <v>24</v>
      </c>
      <c r="P7" s="11" t="s">
        <v>1169</v>
      </c>
      <c r="Q7" s="11" t="s">
        <v>1165</v>
      </c>
      <c r="R7" s="11" t="s">
        <v>1191</v>
      </c>
      <c r="S7" s="11" t="n">
        <v>22</v>
      </c>
      <c r="T7" s="11" t="s">
        <v>1171</v>
      </c>
      <c r="U7" s="11" t="n">
        <v>95</v>
      </c>
      <c r="V7" s="11" t="s">
        <v>1171</v>
      </c>
      <c r="W7" s="11" t="s">
        <v>1192</v>
      </c>
      <c r="X7" s="11" t="s">
        <v>1193</v>
      </c>
      <c r="Y7" s="11" t="s">
        <v>1194</v>
      </c>
      <c r="Z7" s="11" t="n">
        <v>500</v>
      </c>
      <c r="AA7" s="11" t="s">
        <v>304</v>
      </c>
      <c r="AB7" s="11" t="s">
        <v>933</v>
      </c>
      <c r="AC7" s="11" t="s">
        <v>935</v>
      </c>
      <c r="AD7" s="11" t="s">
        <v>1175</v>
      </c>
      <c r="AE7" s="11" t="s">
        <v>1176</v>
      </c>
      <c r="AF7" s="11" t="s">
        <v>940</v>
      </c>
      <c r="AG7" s="11" t="s">
        <v>305</v>
      </c>
      <c r="AH7" s="11" t="s">
        <v>1177</v>
      </c>
      <c r="AI7" s="11" t="s">
        <v>1178</v>
      </c>
      <c r="AJ7" s="11" t="s">
        <v>308</v>
      </c>
      <c r="AK7" s="11" t="s">
        <v>309</v>
      </c>
      <c r="AL7" s="11" t="s">
        <v>1179</v>
      </c>
      <c r="AM7" s="12" t="s">
        <v>1180</v>
      </c>
    </row>
    <row r="8" customFormat="false" ht="158.2" hidden="false" customHeight="false" outlineLevel="0" collapsed="false">
      <c r="A8" s="10" t="s">
        <v>1195</v>
      </c>
      <c r="B8" s="11" t="s">
        <v>88</v>
      </c>
      <c r="C8" s="11" t="s">
        <v>85</v>
      </c>
      <c r="D8" s="11" t="s">
        <v>68</v>
      </c>
      <c r="E8" s="11" t="s">
        <v>86</v>
      </c>
      <c r="F8" s="11" t="s">
        <v>1196</v>
      </c>
      <c r="G8" s="11" t="s">
        <v>24</v>
      </c>
      <c r="H8" s="11" t="s">
        <v>1164</v>
      </c>
      <c r="I8" s="11" t="s">
        <v>1165</v>
      </c>
      <c r="J8" s="11" t="s">
        <v>1166</v>
      </c>
      <c r="K8" s="11" t="s">
        <v>24</v>
      </c>
      <c r="L8" s="11" t="s">
        <v>1167</v>
      </c>
      <c r="M8" s="11" t="s">
        <v>1165</v>
      </c>
      <c r="N8" s="11" t="s">
        <v>1197</v>
      </c>
      <c r="O8" s="11" t="s">
        <v>24</v>
      </c>
      <c r="P8" s="11" t="s">
        <v>1169</v>
      </c>
      <c r="Q8" s="11" t="s">
        <v>1165</v>
      </c>
      <c r="R8" s="11" t="s">
        <v>1198</v>
      </c>
      <c r="S8" s="11" t="n">
        <v>20</v>
      </c>
      <c r="T8" s="11" t="s">
        <v>1171</v>
      </c>
      <c r="U8" s="11" t="n">
        <v>92</v>
      </c>
      <c r="V8" s="11" t="s">
        <v>1171</v>
      </c>
      <c r="W8" s="11" t="s">
        <v>1185</v>
      </c>
      <c r="X8" s="11" t="s">
        <v>1186</v>
      </c>
      <c r="Y8" s="11" t="s">
        <v>1199</v>
      </c>
      <c r="Z8" s="11" t="n">
        <v>500</v>
      </c>
      <c r="AA8" s="11" t="s">
        <v>304</v>
      </c>
      <c r="AB8" s="11" t="s">
        <v>933</v>
      </c>
      <c r="AC8" s="11" t="s">
        <v>935</v>
      </c>
      <c r="AD8" s="11" t="s">
        <v>1175</v>
      </c>
      <c r="AE8" s="11" t="s">
        <v>1176</v>
      </c>
      <c r="AF8" s="11" t="s">
        <v>940</v>
      </c>
      <c r="AG8" s="11" t="s">
        <v>305</v>
      </c>
      <c r="AH8" s="11" t="s">
        <v>1177</v>
      </c>
      <c r="AI8" s="11" t="s">
        <v>1178</v>
      </c>
      <c r="AJ8" s="11" t="s">
        <v>308</v>
      </c>
      <c r="AK8" s="11" t="s">
        <v>309</v>
      </c>
      <c r="AL8" s="11" t="s">
        <v>1179</v>
      </c>
      <c r="AM8" s="12" t="s">
        <v>1180</v>
      </c>
    </row>
    <row r="9" customFormat="false" ht="158.2" hidden="false" customHeight="false" outlineLevel="0" collapsed="false">
      <c r="A9" s="10" t="s">
        <v>1200</v>
      </c>
      <c r="B9" s="11" t="s">
        <v>97</v>
      </c>
      <c r="C9" s="11" t="s">
        <v>90</v>
      </c>
      <c r="D9" s="11" t="s">
        <v>68</v>
      </c>
      <c r="E9" s="11" t="s">
        <v>92</v>
      </c>
      <c r="F9" s="11" t="s">
        <v>1201</v>
      </c>
      <c r="G9" s="11" t="s">
        <v>24</v>
      </c>
      <c r="H9" s="11" t="s">
        <v>1164</v>
      </c>
      <c r="I9" s="11" t="s">
        <v>1165</v>
      </c>
      <c r="J9" s="11" t="s">
        <v>1166</v>
      </c>
      <c r="K9" s="11" t="s">
        <v>24</v>
      </c>
      <c r="L9" s="11" t="s">
        <v>1167</v>
      </c>
      <c r="M9" s="11" t="s">
        <v>1165</v>
      </c>
      <c r="N9" s="11" t="s">
        <v>1202</v>
      </c>
      <c r="O9" s="11" t="s">
        <v>24</v>
      </c>
      <c r="P9" s="11" t="s">
        <v>1169</v>
      </c>
      <c r="Q9" s="11" t="s">
        <v>1165</v>
      </c>
      <c r="R9" s="11" t="s">
        <v>1203</v>
      </c>
      <c r="S9" s="11" t="n">
        <v>18</v>
      </c>
      <c r="T9" s="11" t="s">
        <v>1171</v>
      </c>
      <c r="U9" s="11" t="n">
        <v>150</v>
      </c>
      <c r="V9" s="11" t="s">
        <v>1171</v>
      </c>
      <c r="W9" s="11" t="s">
        <v>1204</v>
      </c>
      <c r="X9" s="11" t="s">
        <v>1205</v>
      </c>
      <c r="Y9" s="11" t="s">
        <v>1206</v>
      </c>
      <c r="Z9" s="11" t="n">
        <v>100</v>
      </c>
      <c r="AA9" s="11" t="s">
        <v>304</v>
      </c>
      <c r="AB9" s="11" t="s">
        <v>933</v>
      </c>
      <c r="AC9" s="11" t="s">
        <v>935</v>
      </c>
      <c r="AD9" s="11" t="s">
        <v>1175</v>
      </c>
      <c r="AE9" s="11" t="s">
        <v>1176</v>
      </c>
      <c r="AF9" s="11" t="s">
        <v>940</v>
      </c>
      <c r="AG9" s="11" t="s">
        <v>305</v>
      </c>
      <c r="AH9" s="11" t="s">
        <v>1177</v>
      </c>
      <c r="AI9" s="11" t="s">
        <v>1178</v>
      </c>
      <c r="AJ9" s="11" t="s">
        <v>308</v>
      </c>
      <c r="AK9" s="11" t="s">
        <v>309</v>
      </c>
      <c r="AL9" s="11" t="s">
        <v>1179</v>
      </c>
      <c r="AM9" s="12" t="s">
        <v>1180</v>
      </c>
    </row>
    <row r="10" customFormat="false" ht="168.65" hidden="false" customHeight="false" outlineLevel="0" collapsed="false">
      <c r="A10" s="10" t="s">
        <v>1207</v>
      </c>
      <c r="B10" s="11" t="s">
        <v>103</v>
      </c>
      <c r="C10" s="11" t="s">
        <v>99</v>
      </c>
      <c r="D10" s="11" t="s">
        <v>68</v>
      </c>
      <c r="E10" s="11" t="s">
        <v>100</v>
      </c>
      <c r="F10" s="11" t="s">
        <v>1208</v>
      </c>
      <c r="G10" s="11" t="s">
        <v>24</v>
      </c>
      <c r="H10" s="11" t="s">
        <v>1164</v>
      </c>
      <c r="I10" s="11" t="s">
        <v>1165</v>
      </c>
      <c r="J10" s="11" t="s">
        <v>1166</v>
      </c>
      <c r="K10" s="11" t="s">
        <v>24</v>
      </c>
      <c r="L10" s="11" t="s">
        <v>1167</v>
      </c>
      <c r="M10" s="11" t="s">
        <v>1165</v>
      </c>
      <c r="N10" s="11" t="s">
        <v>1209</v>
      </c>
      <c r="O10" s="11" t="s">
        <v>24</v>
      </c>
      <c r="P10" s="11" t="s">
        <v>1169</v>
      </c>
      <c r="Q10" s="11" t="s">
        <v>1165</v>
      </c>
      <c r="R10" s="11" t="s">
        <v>1210</v>
      </c>
      <c r="S10" s="11" t="n">
        <v>18</v>
      </c>
      <c r="T10" s="11" t="s">
        <v>1171</v>
      </c>
      <c r="U10" s="11" t="n">
        <v>150</v>
      </c>
      <c r="V10" s="11" t="s">
        <v>1171</v>
      </c>
      <c r="W10" s="11" t="s">
        <v>1211</v>
      </c>
      <c r="X10" s="11" t="s">
        <v>1205</v>
      </c>
      <c r="Y10" s="11" t="s">
        <v>1212</v>
      </c>
      <c r="Z10" s="11" t="n">
        <v>100</v>
      </c>
      <c r="AA10" s="11" t="s">
        <v>304</v>
      </c>
      <c r="AB10" s="11" t="s">
        <v>933</v>
      </c>
      <c r="AC10" s="11" t="s">
        <v>935</v>
      </c>
      <c r="AD10" s="11" t="s">
        <v>1175</v>
      </c>
      <c r="AE10" s="11" t="s">
        <v>1176</v>
      </c>
      <c r="AF10" s="11" t="s">
        <v>940</v>
      </c>
      <c r="AG10" s="11" t="s">
        <v>305</v>
      </c>
      <c r="AH10" s="11" t="s">
        <v>1177</v>
      </c>
      <c r="AI10" s="11" t="s">
        <v>1178</v>
      </c>
      <c r="AJ10" s="11" t="s">
        <v>308</v>
      </c>
      <c r="AK10" s="11" t="s">
        <v>309</v>
      </c>
      <c r="AL10" s="11" t="s">
        <v>1179</v>
      </c>
      <c r="AM10" s="12" t="s">
        <v>1180</v>
      </c>
    </row>
    <row r="11" customFormat="false" ht="179.1" hidden="false" customHeight="false" outlineLevel="0" collapsed="false">
      <c r="A11" s="10" t="s">
        <v>1213</v>
      </c>
      <c r="B11" s="11" t="s">
        <v>110</v>
      </c>
      <c r="C11" s="11" t="s">
        <v>105</v>
      </c>
      <c r="D11" s="11" t="s">
        <v>68</v>
      </c>
      <c r="E11" s="11" t="s">
        <v>106</v>
      </c>
      <c r="F11" s="11" t="s">
        <v>1214</v>
      </c>
      <c r="G11" s="11" t="s">
        <v>24</v>
      </c>
      <c r="H11" s="11" t="s">
        <v>1164</v>
      </c>
      <c r="I11" s="11" t="s">
        <v>1165</v>
      </c>
      <c r="J11" s="11" t="s">
        <v>1166</v>
      </c>
      <c r="K11" s="11" t="s">
        <v>24</v>
      </c>
      <c r="L11" s="11" t="s">
        <v>1167</v>
      </c>
      <c r="M11" s="11" t="s">
        <v>1165</v>
      </c>
      <c r="N11" s="11" t="s">
        <v>1215</v>
      </c>
      <c r="O11" s="11" t="s">
        <v>24</v>
      </c>
      <c r="P11" s="11" t="s">
        <v>1169</v>
      </c>
      <c r="Q11" s="11" t="s">
        <v>1165</v>
      </c>
      <c r="R11" s="11" t="s">
        <v>1216</v>
      </c>
      <c r="S11" s="11" t="n">
        <v>25</v>
      </c>
      <c r="T11" s="11" t="s">
        <v>1171</v>
      </c>
      <c r="U11" s="11" t="n">
        <v>300</v>
      </c>
      <c r="V11" s="11" t="s">
        <v>1171</v>
      </c>
      <c r="W11" s="11" t="s">
        <v>1217</v>
      </c>
      <c r="X11" s="11" t="s">
        <v>1218</v>
      </c>
      <c r="Y11" s="11" t="s">
        <v>1219</v>
      </c>
      <c r="Z11" s="11" t="n">
        <v>350</v>
      </c>
      <c r="AA11" s="11" t="s">
        <v>304</v>
      </c>
      <c r="AB11" s="11" t="s">
        <v>933</v>
      </c>
      <c r="AC11" s="11" t="s">
        <v>935</v>
      </c>
      <c r="AD11" s="11" t="s">
        <v>1175</v>
      </c>
      <c r="AE11" s="11" t="s">
        <v>1176</v>
      </c>
      <c r="AF11" s="11" t="s">
        <v>940</v>
      </c>
      <c r="AG11" s="11" t="s">
        <v>305</v>
      </c>
      <c r="AH11" s="11" t="s">
        <v>1177</v>
      </c>
      <c r="AI11" s="11" t="s">
        <v>1178</v>
      </c>
      <c r="AJ11" s="11" t="s">
        <v>308</v>
      </c>
      <c r="AK11" s="11" t="s">
        <v>309</v>
      </c>
      <c r="AL11" s="11" t="s">
        <v>1179</v>
      </c>
      <c r="AM11" s="12" t="s">
        <v>1180</v>
      </c>
    </row>
    <row r="12" customFormat="false" ht="158.2" hidden="false" customHeight="false" outlineLevel="0" collapsed="false">
      <c r="A12" s="10" t="s">
        <v>1220</v>
      </c>
      <c r="B12" s="11" t="s">
        <v>117</v>
      </c>
      <c r="C12" s="11" t="s">
        <v>112</v>
      </c>
      <c r="D12" s="11" t="s">
        <v>68</v>
      </c>
      <c r="E12" s="11" t="s">
        <v>113</v>
      </c>
      <c r="F12" s="11" t="s">
        <v>1221</v>
      </c>
      <c r="G12" s="11" t="s">
        <v>24</v>
      </c>
      <c r="H12" s="11" t="s">
        <v>1164</v>
      </c>
      <c r="I12" s="11" t="s">
        <v>1165</v>
      </c>
      <c r="J12" s="11" t="s">
        <v>1166</v>
      </c>
      <c r="K12" s="11" t="s">
        <v>24</v>
      </c>
      <c r="L12" s="11" t="s">
        <v>1167</v>
      </c>
      <c r="M12" s="11" t="s">
        <v>1165</v>
      </c>
      <c r="N12" s="11" t="s">
        <v>1222</v>
      </c>
      <c r="O12" s="11" t="s">
        <v>24</v>
      </c>
      <c r="P12" s="11" t="s">
        <v>1169</v>
      </c>
      <c r="Q12" s="11" t="s">
        <v>1165</v>
      </c>
      <c r="R12" s="11" t="s">
        <v>1223</v>
      </c>
      <c r="S12" s="11" t="n">
        <v>22</v>
      </c>
      <c r="T12" s="11" t="s">
        <v>1171</v>
      </c>
      <c r="U12" s="11" t="n">
        <v>180</v>
      </c>
      <c r="V12" s="11" t="s">
        <v>1171</v>
      </c>
      <c r="W12" s="11" t="s">
        <v>1224</v>
      </c>
      <c r="X12" s="11" t="s">
        <v>1225</v>
      </c>
      <c r="Y12" s="11" t="s">
        <v>1226</v>
      </c>
      <c r="Z12" s="11" t="n">
        <v>85</v>
      </c>
      <c r="AA12" s="11" t="s">
        <v>304</v>
      </c>
      <c r="AB12" s="11" t="s">
        <v>933</v>
      </c>
      <c r="AC12" s="11" t="s">
        <v>935</v>
      </c>
      <c r="AD12" s="11" t="s">
        <v>1175</v>
      </c>
      <c r="AE12" s="11" t="s">
        <v>1176</v>
      </c>
      <c r="AF12" s="11" t="s">
        <v>940</v>
      </c>
      <c r="AG12" s="11" t="s">
        <v>305</v>
      </c>
      <c r="AH12" s="11" t="s">
        <v>1177</v>
      </c>
      <c r="AI12" s="11" t="s">
        <v>1178</v>
      </c>
      <c r="AJ12" s="11" t="s">
        <v>308</v>
      </c>
      <c r="AK12" s="11" t="s">
        <v>309</v>
      </c>
      <c r="AL12" s="11" t="s">
        <v>1179</v>
      </c>
      <c r="AM12" s="12" t="s">
        <v>1180</v>
      </c>
    </row>
    <row r="13" customFormat="false" ht="179.1" hidden="false" customHeight="false" outlineLevel="0" collapsed="false">
      <c r="A13" s="10" t="s">
        <v>1227</v>
      </c>
      <c r="B13" s="11" t="s">
        <v>125</v>
      </c>
      <c r="C13" s="11" t="s">
        <v>119</v>
      </c>
      <c r="D13" s="11" t="s">
        <v>68</v>
      </c>
      <c r="E13" s="11" t="s">
        <v>121</v>
      </c>
      <c r="F13" s="11" t="s">
        <v>1228</v>
      </c>
      <c r="G13" s="11" t="s">
        <v>24</v>
      </c>
      <c r="H13" s="11" t="s">
        <v>1164</v>
      </c>
      <c r="I13" s="11" t="s">
        <v>1165</v>
      </c>
      <c r="J13" s="11" t="s">
        <v>1166</v>
      </c>
      <c r="K13" s="11" t="s">
        <v>24</v>
      </c>
      <c r="L13" s="11" t="s">
        <v>1167</v>
      </c>
      <c r="M13" s="11" t="s">
        <v>1165</v>
      </c>
      <c r="N13" s="11" t="s">
        <v>1229</v>
      </c>
      <c r="O13" s="11" t="s">
        <v>24</v>
      </c>
      <c r="P13" s="11" t="s">
        <v>1169</v>
      </c>
      <c r="Q13" s="11" t="s">
        <v>1165</v>
      </c>
      <c r="R13" s="11" t="s">
        <v>1230</v>
      </c>
      <c r="S13" s="11" t="n">
        <v>8</v>
      </c>
      <c r="T13" s="11" t="s">
        <v>1171</v>
      </c>
      <c r="U13" s="11" t="n">
        <v>10</v>
      </c>
      <c r="V13" s="11" t="s">
        <v>1171</v>
      </c>
      <c r="W13" s="11" t="s">
        <v>1231</v>
      </c>
      <c r="X13" s="11" t="s">
        <v>1232</v>
      </c>
      <c r="Y13" s="11" t="s">
        <v>1233</v>
      </c>
      <c r="Z13" s="11" t="n">
        <v>300</v>
      </c>
      <c r="AA13" s="11" t="s">
        <v>304</v>
      </c>
      <c r="AB13" s="11" t="s">
        <v>933</v>
      </c>
      <c r="AC13" s="11" t="s">
        <v>935</v>
      </c>
      <c r="AD13" s="11" t="s">
        <v>1175</v>
      </c>
      <c r="AE13" s="11" t="s">
        <v>1176</v>
      </c>
      <c r="AF13" s="11" t="s">
        <v>940</v>
      </c>
      <c r="AG13" s="11" t="s">
        <v>305</v>
      </c>
      <c r="AH13" s="11" t="s">
        <v>1177</v>
      </c>
      <c r="AI13" s="11" t="s">
        <v>1178</v>
      </c>
      <c r="AJ13" s="11" t="s">
        <v>308</v>
      </c>
      <c r="AK13" s="11" t="s">
        <v>309</v>
      </c>
      <c r="AL13" s="11" t="s">
        <v>1179</v>
      </c>
      <c r="AM13" s="12" t="s">
        <v>1180</v>
      </c>
    </row>
    <row r="14" customFormat="false" ht="168.65" hidden="false" customHeight="false" outlineLevel="0" collapsed="false">
      <c r="A14" s="10" t="s">
        <v>1234</v>
      </c>
      <c r="B14" s="11" t="s">
        <v>131</v>
      </c>
      <c r="C14" s="11" t="s">
        <v>127</v>
      </c>
      <c r="D14" s="11" t="s">
        <v>68</v>
      </c>
      <c r="E14" s="11" t="s">
        <v>128</v>
      </c>
      <c r="F14" s="11" t="s">
        <v>1235</v>
      </c>
      <c r="G14" s="11" t="s">
        <v>24</v>
      </c>
      <c r="H14" s="11" t="s">
        <v>1164</v>
      </c>
      <c r="I14" s="11" t="s">
        <v>1165</v>
      </c>
      <c r="J14" s="11" t="s">
        <v>1166</v>
      </c>
      <c r="K14" s="11" t="s">
        <v>24</v>
      </c>
      <c r="L14" s="11" t="s">
        <v>1167</v>
      </c>
      <c r="M14" s="11" t="s">
        <v>1165</v>
      </c>
      <c r="N14" s="11" t="s">
        <v>1236</v>
      </c>
      <c r="O14" s="11" t="s">
        <v>24</v>
      </c>
      <c r="P14" s="11" t="s">
        <v>1169</v>
      </c>
      <c r="Q14" s="11" t="s">
        <v>1165</v>
      </c>
      <c r="R14" s="11" t="s">
        <v>1237</v>
      </c>
      <c r="S14" s="11" t="n">
        <v>12</v>
      </c>
      <c r="T14" s="11" t="s">
        <v>1171</v>
      </c>
      <c r="U14" s="11" t="n">
        <v>18</v>
      </c>
      <c r="V14" s="11" t="s">
        <v>1171</v>
      </c>
      <c r="W14" s="11" t="s">
        <v>1238</v>
      </c>
      <c r="X14" s="11" t="s">
        <v>1239</v>
      </c>
      <c r="Y14" s="11" t="s">
        <v>1240</v>
      </c>
      <c r="Z14" s="11" t="n">
        <v>280</v>
      </c>
      <c r="AA14" s="11" t="s">
        <v>304</v>
      </c>
      <c r="AB14" s="11" t="s">
        <v>933</v>
      </c>
      <c r="AC14" s="11" t="s">
        <v>935</v>
      </c>
      <c r="AD14" s="11" t="s">
        <v>1175</v>
      </c>
      <c r="AE14" s="11" t="s">
        <v>1176</v>
      </c>
      <c r="AF14" s="11" t="s">
        <v>940</v>
      </c>
      <c r="AG14" s="11" t="s">
        <v>305</v>
      </c>
      <c r="AH14" s="11" t="s">
        <v>1177</v>
      </c>
      <c r="AI14" s="11" t="s">
        <v>1178</v>
      </c>
      <c r="AJ14" s="11" t="s">
        <v>308</v>
      </c>
      <c r="AK14" s="11" t="s">
        <v>309</v>
      </c>
      <c r="AL14" s="11" t="s">
        <v>1179</v>
      </c>
      <c r="AM14" s="12" t="s">
        <v>1180</v>
      </c>
    </row>
    <row r="15" customFormat="false" ht="168.65" hidden="false" customHeight="false" outlineLevel="0" collapsed="false">
      <c r="A15" s="10" t="s">
        <v>1241</v>
      </c>
      <c r="B15" s="11" t="s">
        <v>137</v>
      </c>
      <c r="C15" s="11" t="s">
        <v>133</v>
      </c>
      <c r="D15" s="11" t="s">
        <v>68</v>
      </c>
      <c r="E15" s="11" t="s">
        <v>134</v>
      </c>
      <c r="F15" s="11" t="s">
        <v>1242</v>
      </c>
      <c r="G15" s="11" t="s">
        <v>24</v>
      </c>
      <c r="H15" s="11" t="s">
        <v>1164</v>
      </c>
      <c r="I15" s="11" t="s">
        <v>1165</v>
      </c>
      <c r="J15" s="11" t="s">
        <v>1166</v>
      </c>
      <c r="K15" s="11" t="s">
        <v>24</v>
      </c>
      <c r="L15" s="11" t="s">
        <v>1167</v>
      </c>
      <c r="M15" s="11" t="s">
        <v>1165</v>
      </c>
      <c r="N15" s="11" t="s">
        <v>1243</v>
      </c>
      <c r="O15" s="11" t="s">
        <v>24</v>
      </c>
      <c r="P15" s="11" t="s">
        <v>1169</v>
      </c>
      <c r="Q15" s="11" t="s">
        <v>1165</v>
      </c>
      <c r="R15" s="11" t="s">
        <v>1244</v>
      </c>
      <c r="S15" s="11" t="n">
        <v>10</v>
      </c>
      <c r="T15" s="11" t="s">
        <v>1171</v>
      </c>
      <c r="U15" s="11" t="n">
        <v>12</v>
      </c>
      <c r="V15" s="11" t="s">
        <v>1171</v>
      </c>
      <c r="W15" s="11" t="s">
        <v>1245</v>
      </c>
      <c r="X15" s="11" t="s">
        <v>1246</v>
      </c>
      <c r="Y15" s="11" t="s">
        <v>1247</v>
      </c>
      <c r="Z15" s="11" t="n">
        <v>270</v>
      </c>
      <c r="AA15" s="11" t="s">
        <v>304</v>
      </c>
      <c r="AB15" s="11" t="s">
        <v>933</v>
      </c>
      <c r="AC15" s="11" t="s">
        <v>935</v>
      </c>
      <c r="AD15" s="11" t="s">
        <v>1175</v>
      </c>
      <c r="AE15" s="11" t="s">
        <v>1176</v>
      </c>
      <c r="AF15" s="11" t="s">
        <v>940</v>
      </c>
      <c r="AG15" s="11" t="s">
        <v>305</v>
      </c>
      <c r="AH15" s="11" t="s">
        <v>1177</v>
      </c>
      <c r="AI15" s="11" t="s">
        <v>1178</v>
      </c>
      <c r="AJ15" s="11" t="s">
        <v>308</v>
      </c>
      <c r="AK15" s="11" t="s">
        <v>309</v>
      </c>
      <c r="AL15" s="11" t="s">
        <v>1179</v>
      </c>
      <c r="AM15" s="12" t="s">
        <v>1180</v>
      </c>
    </row>
    <row r="16" customFormat="false" ht="179.1" hidden="false" customHeight="false" outlineLevel="0" collapsed="false">
      <c r="A16" s="10" t="s">
        <v>1248</v>
      </c>
      <c r="B16" s="11" t="s">
        <v>143</v>
      </c>
      <c r="C16" s="11" t="s">
        <v>139</v>
      </c>
      <c r="D16" s="11" t="s">
        <v>68</v>
      </c>
      <c r="E16" s="11" t="s">
        <v>140</v>
      </c>
      <c r="F16" s="11" t="s">
        <v>1249</v>
      </c>
      <c r="G16" s="11" t="s">
        <v>24</v>
      </c>
      <c r="H16" s="11" t="s">
        <v>1164</v>
      </c>
      <c r="I16" s="11" t="s">
        <v>1165</v>
      </c>
      <c r="J16" s="11" t="s">
        <v>1166</v>
      </c>
      <c r="K16" s="11" t="s">
        <v>24</v>
      </c>
      <c r="L16" s="11" t="s">
        <v>1167</v>
      </c>
      <c r="M16" s="11" t="s">
        <v>1165</v>
      </c>
      <c r="N16" s="11" t="s">
        <v>1250</v>
      </c>
      <c r="O16" s="11" t="s">
        <v>24</v>
      </c>
      <c r="P16" s="11" t="s">
        <v>1169</v>
      </c>
      <c r="Q16" s="11" t="s">
        <v>1165</v>
      </c>
      <c r="R16" s="11" t="s">
        <v>1251</v>
      </c>
      <c r="S16" s="11" t="n">
        <v>18</v>
      </c>
      <c r="T16" s="11" t="s">
        <v>1171</v>
      </c>
      <c r="U16" s="11" t="n">
        <v>90</v>
      </c>
      <c r="V16" s="11" t="s">
        <v>1171</v>
      </c>
      <c r="W16" s="11" t="s">
        <v>1252</v>
      </c>
      <c r="X16" s="11" t="s">
        <v>1253</v>
      </c>
      <c r="Y16" s="11" t="s">
        <v>1254</v>
      </c>
      <c r="Z16" s="11" t="n">
        <v>240</v>
      </c>
      <c r="AA16" s="11" t="s">
        <v>304</v>
      </c>
      <c r="AB16" s="11" t="s">
        <v>933</v>
      </c>
      <c r="AC16" s="11" t="s">
        <v>935</v>
      </c>
      <c r="AD16" s="11" t="s">
        <v>1175</v>
      </c>
      <c r="AE16" s="11" t="s">
        <v>1176</v>
      </c>
      <c r="AF16" s="11" t="s">
        <v>940</v>
      </c>
      <c r="AG16" s="11" t="s">
        <v>305</v>
      </c>
      <c r="AH16" s="11" t="s">
        <v>1177</v>
      </c>
      <c r="AI16" s="11" t="s">
        <v>1178</v>
      </c>
      <c r="AJ16" s="11" t="s">
        <v>308</v>
      </c>
      <c r="AK16" s="11" t="s">
        <v>309</v>
      </c>
      <c r="AL16" s="11" t="s">
        <v>1179</v>
      </c>
      <c r="AM16" s="12" t="s">
        <v>1180</v>
      </c>
    </row>
    <row r="17" customFormat="false" ht="158.2" hidden="false" customHeight="false" outlineLevel="0" collapsed="false">
      <c r="A17" s="10" t="s">
        <v>1255</v>
      </c>
      <c r="B17" s="11" t="s">
        <v>151</v>
      </c>
      <c r="C17" s="11" t="s">
        <v>145</v>
      </c>
      <c r="D17" s="11" t="s">
        <v>68</v>
      </c>
      <c r="E17" s="11" t="s">
        <v>147</v>
      </c>
      <c r="F17" s="11" t="s">
        <v>1256</v>
      </c>
      <c r="G17" s="11" t="s">
        <v>24</v>
      </c>
      <c r="H17" s="11" t="s">
        <v>1164</v>
      </c>
      <c r="I17" s="11" t="s">
        <v>1165</v>
      </c>
      <c r="J17" s="11" t="s">
        <v>1166</v>
      </c>
      <c r="K17" s="11" t="s">
        <v>24</v>
      </c>
      <c r="L17" s="11" t="s">
        <v>1167</v>
      </c>
      <c r="M17" s="11" t="s">
        <v>1165</v>
      </c>
      <c r="N17" s="11" t="s">
        <v>1257</v>
      </c>
      <c r="O17" s="11" t="s">
        <v>24</v>
      </c>
      <c r="P17" s="11" t="s">
        <v>1169</v>
      </c>
      <c r="Q17" s="11" t="s">
        <v>1165</v>
      </c>
      <c r="R17" s="11" t="s">
        <v>1258</v>
      </c>
      <c r="S17" s="11" t="n">
        <v>7</v>
      </c>
      <c r="T17" s="11" t="s">
        <v>1171</v>
      </c>
      <c r="U17" s="11" t="n">
        <v>10</v>
      </c>
      <c r="V17" s="11" t="s">
        <v>1171</v>
      </c>
      <c r="W17" s="11" t="s">
        <v>1259</v>
      </c>
      <c r="X17" s="11" t="s">
        <v>1232</v>
      </c>
      <c r="Y17" s="11" t="s">
        <v>1260</v>
      </c>
      <c r="Z17" s="11" t="n">
        <v>130</v>
      </c>
      <c r="AA17" s="11" t="s">
        <v>304</v>
      </c>
      <c r="AB17" s="11" t="s">
        <v>933</v>
      </c>
      <c r="AC17" s="11" t="s">
        <v>935</v>
      </c>
      <c r="AD17" s="11" t="s">
        <v>1175</v>
      </c>
      <c r="AE17" s="11" t="s">
        <v>1176</v>
      </c>
      <c r="AF17" s="11" t="s">
        <v>940</v>
      </c>
      <c r="AG17" s="11" t="s">
        <v>305</v>
      </c>
      <c r="AH17" s="11" t="s">
        <v>1177</v>
      </c>
      <c r="AI17" s="11" t="s">
        <v>1178</v>
      </c>
      <c r="AJ17" s="11" t="s">
        <v>308</v>
      </c>
      <c r="AK17" s="11" t="s">
        <v>309</v>
      </c>
      <c r="AL17" s="11" t="s">
        <v>1179</v>
      </c>
      <c r="AM17" s="12" t="s">
        <v>1180</v>
      </c>
    </row>
    <row r="18" customFormat="false" ht="168.65" hidden="false" customHeight="false" outlineLevel="0" collapsed="false">
      <c r="A18" s="10" t="s">
        <v>1261</v>
      </c>
      <c r="B18" s="11" t="s">
        <v>157</v>
      </c>
      <c r="C18" s="11" t="s">
        <v>153</v>
      </c>
      <c r="D18" s="11" t="s">
        <v>68</v>
      </c>
      <c r="E18" s="11" t="s">
        <v>154</v>
      </c>
      <c r="F18" s="11" t="s">
        <v>1262</v>
      </c>
      <c r="G18" s="11" t="s">
        <v>24</v>
      </c>
      <c r="H18" s="11" t="s">
        <v>1164</v>
      </c>
      <c r="I18" s="11" t="s">
        <v>1165</v>
      </c>
      <c r="J18" s="11" t="s">
        <v>1166</v>
      </c>
      <c r="K18" s="11" t="s">
        <v>24</v>
      </c>
      <c r="L18" s="11" t="s">
        <v>1167</v>
      </c>
      <c r="M18" s="11" t="s">
        <v>1165</v>
      </c>
      <c r="N18" s="11" t="s">
        <v>1263</v>
      </c>
      <c r="O18" s="11" t="s">
        <v>24</v>
      </c>
      <c r="P18" s="11" t="s">
        <v>1169</v>
      </c>
      <c r="Q18" s="11" t="s">
        <v>1165</v>
      </c>
      <c r="R18" s="11" t="s">
        <v>1264</v>
      </c>
      <c r="S18" s="11" t="n">
        <v>14</v>
      </c>
      <c r="T18" s="11" t="s">
        <v>1171</v>
      </c>
      <c r="U18" s="11" t="n">
        <v>55</v>
      </c>
      <c r="V18" s="11" t="s">
        <v>1171</v>
      </c>
      <c r="W18" s="11" t="s">
        <v>1265</v>
      </c>
      <c r="X18" s="11" t="s">
        <v>1266</v>
      </c>
      <c r="Y18" s="11" t="s">
        <v>1267</v>
      </c>
      <c r="Z18" s="11" t="n">
        <v>250</v>
      </c>
      <c r="AA18" s="11" t="s">
        <v>304</v>
      </c>
      <c r="AB18" s="11" t="s">
        <v>933</v>
      </c>
      <c r="AC18" s="11" t="s">
        <v>935</v>
      </c>
      <c r="AD18" s="11" t="s">
        <v>1175</v>
      </c>
      <c r="AE18" s="11" t="s">
        <v>1176</v>
      </c>
      <c r="AF18" s="11" t="s">
        <v>940</v>
      </c>
      <c r="AG18" s="11" t="s">
        <v>305</v>
      </c>
      <c r="AH18" s="11" t="s">
        <v>1177</v>
      </c>
      <c r="AI18" s="11" t="s">
        <v>1178</v>
      </c>
      <c r="AJ18" s="11" t="s">
        <v>308</v>
      </c>
      <c r="AK18" s="11" t="s">
        <v>309</v>
      </c>
      <c r="AL18" s="11" t="s">
        <v>1179</v>
      </c>
      <c r="AM18" s="12" t="s">
        <v>1180</v>
      </c>
    </row>
    <row r="19" customFormat="false" ht="179.1" hidden="false" customHeight="false" outlineLevel="0" collapsed="false">
      <c r="A19" s="10" t="s">
        <v>1268</v>
      </c>
      <c r="B19" s="11" t="s">
        <v>163</v>
      </c>
      <c r="C19" s="11" t="s">
        <v>159</v>
      </c>
      <c r="D19" s="11" t="s">
        <v>68</v>
      </c>
      <c r="E19" s="11" t="s">
        <v>160</v>
      </c>
      <c r="F19" s="11" t="s">
        <v>1269</v>
      </c>
      <c r="G19" s="11" t="s">
        <v>24</v>
      </c>
      <c r="H19" s="11" t="s">
        <v>1164</v>
      </c>
      <c r="I19" s="11" t="s">
        <v>1165</v>
      </c>
      <c r="J19" s="11" t="s">
        <v>1166</v>
      </c>
      <c r="K19" s="11" t="s">
        <v>24</v>
      </c>
      <c r="L19" s="11" t="s">
        <v>1167</v>
      </c>
      <c r="M19" s="11" t="s">
        <v>1165</v>
      </c>
      <c r="N19" s="11" t="s">
        <v>1270</v>
      </c>
      <c r="O19" s="11" t="s">
        <v>24</v>
      </c>
      <c r="P19" s="11" t="s">
        <v>1169</v>
      </c>
      <c r="Q19" s="11" t="s">
        <v>1165</v>
      </c>
      <c r="R19" s="11" t="s">
        <v>1271</v>
      </c>
      <c r="S19" s="11" t="n">
        <v>8</v>
      </c>
      <c r="T19" s="11" t="s">
        <v>1171</v>
      </c>
      <c r="U19" s="11" t="n">
        <v>40</v>
      </c>
      <c r="V19" s="11" t="s">
        <v>1171</v>
      </c>
      <c r="W19" s="11" t="s">
        <v>1231</v>
      </c>
      <c r="X19" s="11" t="s">
        <v>1272</v>
      </c>
      <c r="Y19" s="11" t="s">
        <v>1273</v>
      </c>
      <c r="Z19" s="11" t="n">
        <v>120</v>
      </c>
      <c r="AA19" s="11" t="s">
        <v>304</v>
      </c>
      <c r="AB19" s="11" t="s">
        <v>933</v>
      </c>
      <c r="AC19" s="11" t="s">
        <v>935</v>
      </c>
      <c r="AD19" s="11" t="s">
        <v>1175</v>
      </c>
      <c r="AE19" s="11" t="s">
        <v>1176</v>
      </c>
      <c r="AF19" s="11" t="s">
        <v>940</v>
      </c>
      <c r="AG19" s="11" t="s">
        <v>305</v>
      </c>
      <c r="AH19" s="11" t="s">
        <v>1177</v>
      </c>
      <c r="AI19" s="11" t="s">
        <v>1178</v>
      </c>
      <c r="AJ19" s="11" t="s">
        <v>308</v>
      </c>
      <c r="AK19" s="11" t="s">
        <v>309</v>
      </c>
      <c r="AL19" s="11" t="s">
        <v>1179</v>
      </c>
      <c r="AM19" s="12" t="s">
        <v>1180</v>
      </c>
    </row>
    <row r="20" customFormat="false" ht="168.65" hidden="false" customHeight="false" outlineLevel="0" collapsed="false">
      <c r="A20" s="10" t="s">
        <v>1274</v>
      </c>
      <c r="B20" s="11" t="s">
        <v>169</v>
      </c>
      <c r="C20" s="11" t="s">
        <v>165</v>
      </c>
      <c r="D20" s="11" t="s">
        <v>68</v>
      </c>
      <c r="E20" s="11" t="s">
        <v>166</v>
      </c>
      <c r="F20" s="11" t="s">
        <v>1275</v>
      </c>
      <c r="G20" s="11" t="s">
        <v>24</v>
      </c>
      <c r="H20" s="11" t="s">
        <v>1164</v>
      </c>
      <c r="I20" s="11" t="s">
        <v>1165</v>
      </c>
      <c r="J20" s="11" t="s">
        <v>1166</v>
      </c>
      <c r="K20" s="11" t="s">
        <v>24</v>
      </c>
      <c r="L20" s="11" t="s">
        <v>1167</v>
      </c>
      <c r="M20" s="11" t="s">
        <v>1165</v>
      </c>
      <c r="N20" s="11" t="s">
        <v>1276</v>
      </c>
      <c r="O20" s="11" t="s">
        <v>24</v>
      </c>
      <c r="P20" s="11" t="s">
        <v>1169</v>
      </c>
      <c r="Q20" s="11" t="s">
        <v>1165</v>
      </c>
      <c r="R20" s="11" t="s">
        <v>1277</v>
      </c>
      <c r="S20" s="11" t="n">
        <v>23</v>
      </c>
      <c r="T20" s="11" t="s">
        <v>1171</v>
      </c>
      <c r="U20" s="11" t="n">
        <v>70</v>
      </c>
      <c r="V20" s="11" t="s">
        <v>1171</v>
      </c>
      <c r="W20" s="11" t="s">
        <v>1278</v>
      </c>
      <c r="X20" s="11" t="s">
        <v>1279</v>
      </c>
      <c r="Y20" s="11" t="s">
        <v>1280</v>
      </c>
      <c r="Z20" s="11" t="n">
        <v>180</v>
      </c>
      <c r="AA20" s="11" t="s">
        <v>304</v>
      </c>
      <c r="AB20" s="11" t="s">
        <v>933</v>
      </c>
      <c r="AC20" s="11" t="s">
        <v>935</v>
      </c>
      <c r="AD20" s="11" t="s">
        <v>1175</v>
      </c>
      <c r="AE20" s="11" t="s">
        <v>1176</v>
      </c>
      <c r="AF20" s="11" t="s">
        <v>940</v>
      </c>
      <c r="AG20" s="11" t="s">
        <v>305</v>
      </c>
      <c r="AH20" s="11" t="s">
        <v>1177</v>
      </c>
      <c r="AI20" s="11" t="s">
        <v>1178</v>
      </c>
      <c r="AJ20" s="11" t="s">
        <v>308</v>
      </c>
      <c r="AK20" s="11" t="s">
        <v>309</v>
      </c>
      <c r="AL20" s="11" t="s">
        <v>1179</v>
      </c>
      <c r="AM20" s="12" t="s">
        <v>1180</v>
      </c>
    </row>
    <row r="21" customFormat="false" ht="158.2" hidden="false" customHeight="false" outlineLevel="0" collapsed="false">
      <c r="A21" s="10" t="s">
        <v>1281</v>
      </c>
      <c r="B21" s="11" t="s">
        <v>174</v>
      </c>
      <c r="C21" s="11" t="s">
        <v>171</v>
      </c>
      <c r="D21" s="11" t="s">
        <v>68</v>
      </c>
      <c r="E21" s="11" t="s">
        <v>172</v>
      </c>
      <c r="F21" s="11" t="s">
        <v>1282</v>
      </c>
      <c r="G21" s="11" t="s">
        <v>24</v>
      </c>
      <c r="H21" s="11" t="s">
        <v>1164</v>
      </c>
      <c r="I21" s="11" t="s">
        <v>1165</v>
      </c>
      <c r="J21" s="11" t="s">
        <v>1166</v>
      </c>
      <c r="K21" s="11" t="s">
        <v>24</v>
      </c>
      <c r="L21" s="11" t="s">
        <v>1167</v>
      </c>
      <c r="M21" s="11" t="s">
        <v>1165</v>
      </c>
      <c r="N21" s="11" t="s">
        <v>1283</v>
      </c>
      <c r="O21" s="11" t="s">
        <v>24</v>
      </c>
      <c r="P21" s="11" t="s">
        <v>1169</v>
      </c>
      <c r="Q21" s="11" t="s">
        <v>1165</v>
      </c>
      <c r="R21" s="11" t="s">
        <v>1284</v>
      </c>
      <c r="S21" s="11" t="n">
        <v>12</v>
      </c>
      <c r="T21" s="11" t="s">
        <v>1171</v>
      </c>
      <c r="U21" s="11" t="n">
        <v>18</v>
      </c>
      <c r="V21" s="11" t="s">
        <v>1171</v>
      </c>
      <c r="W21" s="11" t="s">
        <v>1238</v>
      </c>
      <c r="X21" s="11" t="s">
        <v>1239</v>
      </c>
      <c r="Y21" s="11" t="s">
        <v>1285</v>
      </c>
      <c r="Z21" s="11" t="n">
        <v>180</v>
      </c>
      <c r="AA21" s="11" t="s">
        <v>304</v>
      </c>
      <c r="AB21" s="11" t="s">
        <v>933</v>
      </c>
      <c r="AC21" s="11" t="s">
        <v>935</v>
      </c>
      <c r="AD21" s="11" t="s">
        <v>1175</v>
      </c>
      <c r="AE21" s="11" t="s">
        <v>1176</v>
      </c>
      <c r="AF21" s="11" t="s">
        <v>940</v>
      </c>
      <c r="AG21" s="11" t="s">
        <v>305</v>
      </c>
      <c r="AH21" s="11" t="s">
        <v>1177</v>
      </c>
      <c r="AI21" s="11" t="s">
        <v>1178</v>
      </c>
      <c r="AJ21" s="11" t="s">
        <v>308</v>
      </c>
      <c r="AK21" s="11" t="s">
        <v>309</v>
      </c>
      <c r="AL21" s="11" t="s">
        <v>1179</v>
      </c>
      <c r="AM21" s="12" t="s">
        <v>1180</v>
      </c>
    </row>
    <row r="22" customFormat="false" ht="158.2" hidden="false" customHeight="false" outlineLevel="0" collapsed="false">
      <c r="A22" s="10" t="s">
        <v>1286</v>
      </c>
      <c r="B22" s="11" t="s">
        <v>183</v>
      </c>
      <c r="C22" s="11" t="s">
        <v>176</v>
      </c>
      <c r="D22" s="11" t="s">
        <v>68</v>
      </c>
      <c r="E22" s="11" t="s">
        <v>178</v>
      </c>
      <c r="F22" s="11" t="s">
        <v>1287</v>
      </c>
      <c r="G22" s="11" t="s">
        <v>24</v>
      </c>
      <c r="H22" s="11" t="s">
        <v>1164</v>
      </c>
      <c r="I22" s="11" t="s">
        <v>1165</v>
      </c>
      <c r="J22" s="11" t="s">
        <v>1166</v>
      </c>
      <c r="K22" s="11" t="s">
        <v>24</v>
      </c>
      <c r="L22" s="11" t="s">
        <v>1167</v>
      </c>
      <c r="M22" s="11" t="s">
        <v>1165</v>
      </c>
      <c r="N22" s="11" t="s">
        <v>1288</v>
      </c>
      <c r="O22" s="11" t="s">
        <v>24</v>
      </c>
      <c r="P22" s="11" t="s">
        <v>1169</v>
      </c>
      <c r="Q22" s="11" t="s">
        <v>1165</v>
      </c>
      <c r="R22" s="11" t="s">
        <v>1289</v>
      </c>
      <c r="S22" s="11" t="n">
        <v>35</v>
      </c>
      <c r="T22" s="11" t="s">
        <v>1171</v>
      </c>
      <c r="U22" s="11" t="n">
        <v>180</v>
      </c>
      <c r="V22" s="11" t="s">
        <v>1171</v>
      </c>
      <c r="W22" s="11" t="s">
        <v>1290</v>
      </c>
      <c r="X22" s="11" t="s">
        <v>1291</v>
      </c>
      <c r="Y22" s="11" t="s">
        <v>1292</v>
      </c>
      <c r="Z22" s="11" t="n">
        <v>400</v>
      </c>
      <c r="AA22" s="11" t="s">
        <v>304</v>
      </c>
      <c r="AB22" s="11" t="s">
        <v>933</v>
      </c>
      <c r="AC22" s="11" t="s">
        <v>935</v>
      </c>
      <c r="AD22" s="11" t="s">
        <v>1175</v>
      </c>
      <c r="AE22" s="11" t="s">
        <v>1176</v>
      </c>
      <c r="AF22" s="11" t="s">
        <v>940</v>
      </c>
      <c r="AG22" s="11" t="s">
        <v>305</v>
      </c>
      <c r="AH22" s="11" t="s">
        <v>1177</v>
      </c>
      <c r="AI22" s="11" t="s">
        <v>1178</v>
      </c>
      <c r="AJ22" s="11" t="s">
        <v>308</v>
      </c>
      <c r="AK22" s="11" t="s">
        <v>309</v>
      </c>
      <c r="AL22" s="11" t="s">
        <v>1179</v>
      </c>
      <c r="AM22" s="12" t="s">
        <v>1180</v>
      </c>
    </row>
    <row r="23" customFormat="false" ht="168.65" hidden="false" customHeight="false" outlineLevel="0" collapsed="false">
      <c r="A23" s="10" t="s">
        <v>1293</v>
      </c>
      <c r="B23" s="11" t="s">
        <v>189</v>
      </c>
      <c r="C23" s="11" t="s">
        <v>185</v>
      </c>
      <c r="D23" s="11" t="s">
        <v>68</v>
      </c>
      <c r="E23" s="11" t="s">
        <v>187</v>
      </c>
      <c r="F23" s="11" t="s">
        <v>1294</v>
      </c>
      <c r="G23" s="11" t="s">
        <v>24</v>
      </c>
      <c r="H23" s="11" t="s">
        <v>1164</v>
      </c>
      <c r="I23" s="11" t="s">
        <v>1165</v>
      </c>
      <c r="J23" s="11" t="s">
        <v>1166</v>
      </c>
      <c r="K23" s="11" t="s">
        <v>24</v>
      </c>
      <c r="L23" s="11" t="s">
        <v>1167</v>
      </c>
      <c r="M23" s="11" t="s">
        <v>1165</v>
      </c>
      <c r="N23" s="11" t="s">
        <v>1295</v>
      </c>
      <c r="O23" s="11" t="s">
        <v>24</v>
      </c>
      <c r="P23" s="11" t="s">
        <v>1169</v>
      </c>
      <c r="Q23" s="11" t="s">
        <v>1165</v>
      </c>
      <c r="R23" s="11" t="s">
        <v>1296</v>
      </c>
      <c r="S23" s="11" t="n">
        <v>18</v>
      </c>
      <c r="T23" s="11" t="s">
        <v>1171</v>
      </c>
      <c r="U23" s="11" t="n">
        <v>28</v>
      </c>
      <c r="V23" s="11" t="s">
        <v>1171</v>
      </c>
      <c r="W23" s="11" t="s">
        <v>1297</v>
      </c>
      <c r="X23" s="11" t="s">
        <v>1298</v>
      </c>
      <c r="Y23" s="11" t="s">
        <v>1299</v>
      </c>
      <c r="Z23" s="11" t="n">
        <v>300</v>
      </c>
      <c r="AA23" s="11" t="s">
        <v>304</v>
      </c>
      <c r="AB23" s="11" t="s">
        <v>933</v>
      </c>
      <c r="AC23" s="11" t="s">
        <v>935</v>
      </c>
      <c r="AD23" s="11" t="s">
        <v>1175</v>
      </c>
      <c r="AE23" s="11" t="s">
        <v>1176</v>
      </c>
      <c r="AF23" s="11" t="s">
        <v>940</v>
      </c>
      <c r="AG23" s="11" t="s">
        <v>305</v>
      </c>
      <c r="AH23" s="11" t="s">
        <v>1177</v>
      </c>
      <c r="AI23" s="11" t="s">
        <v>1178</v>
      </c>
      <c r="AJ23" s="11" t="s">
        <v>308</v>
      </c>
      <c r="AK23" s="11" t="s">
        <v>309</v>
      </c>
      <c r="AL23" s="11" t="s">
        <v>1179</v>
      </c>
      <c r="AM23" s="12" t="s">
        <v>1180</v>
      </c>
    </row>
    <row r="24" customFormat="false" ht="158.2" hidden="false" customHeight="false" outlineLevel="0" collapsed="false">
      <c r="A24" s="10" t="s">
        <v>1300</v>
      </c>
      <c r="B24" s="11" t="s">
        <v>195</v>
      </c>
      <c r="C24" s="11" t="s">
        <v>191</v>
      </c>
      <c r="D24" s="11" t="s">
        <v>68</v>
      </c>
      <c r="E24" s="11" t="s">
        <v>192</v>
      </c>
      <c r="F24" s="11" t="s">
        <v>1301</v>
      </c>
      <c r="G24" s="11" t="s">
        <v>24</v>
      </c>
      <c r="H24" s="11" t="s">
        <v>1164</v>
      </c>
      <c r="I24" s="11" t="s">
        <v>1165</v>
      </c>
      <c r="J24" s="11" t="s">
        <v>1166</v>
      </c>
      <c r="K24" s="11" t="s">
        <v>24</v>
      </c>
      <c r="L24" s="11" t="s">
        <v>1167</v>
      </c>
      <c r="M24" s="11" t="s">
        <v>1165</v>
      </c>
      <c r="N24" s="11" t="s">
        <v>1302</v>
      </c>
      <c r="O24" s="11" t="s">
        <v>24</v>
      </c>
      <c r="P24" s="11" t="s">
        <v>1169</v>
      </c>
      <c r="Q24" s="11" t="s">
        <v>1165</v>
      </c>
      <c r="R24" s="11" t="s">
        <v>1303</v>
      </c>
      <c r="S24" s="11" t="n">
        <v>20</v>
      </c>
      <c r="T24" s="11" t="s">
        <v>1171</v>
      </c>
      <c r="U24" s="11" t="n">
        <v>30</v>
      </c>
      <c r="V24" s="11" t="s">
        <v>1171</v>
      </c>
      <c r="W24" s="11" t="s">
        <v>1304</v>
      </c>
      <c r="X24" s="11" t="s">
        <v>1305</v>
      </c>
      <c r="Y24" s="11" t="s">
        <v>1306</v>
      </c>
      <c r="Z24" s="11" t="n">
        <v>360</v>
      </c>
      <c r="AA24" s="11" t="s">
        <v>304</v>
      </c>
      <c r="AB24" s="11" t="s">
        <v>933</v>
      </c>
      <c r="AC24" s="11" t="s">
        <v>935</v>
      </c>
      <c r="AD24" s="11" t="s">
        <v>1175</v>
      </c>
      <c r="AE24" s="11" t="s">
        <v>1176</v>
      </c>
      <c r="AF24" s="11" t="s">
        <v>940</v>
      </c>
      <c r="AG24" s="11" t="s">
        <v>305</v>
      </c>
      <c r="AH24" s="11" t="s">
        <v>1177</v>
      </c>
      <c r="AI24" s="11" t="s">
        <v>1178</v>
      </c>
      <c r="AJ24" s="11" t="s">
        <v>308</v>
      </c>
      <c r="AK24" s="11" t="s">
        <v>309</v>
      </c>
      <c r="AL24" s="11" t="s">
        <v>1179</v>
      </c>
      <c r="AM24" s="12" t="s">
        <v>1180</v>
      </c>
    </row>
    <row r="25" customFormat="false" ht="168.65" hidden="false" customHeight="false" outlineLevel="0" collapsed="false">
      <c r="A25" s="10" t="s">
        <v>1307</v>
      </c>
      <c r="B25" s="11" t="s">
        <v>201</v>
      </c>
      <c r="C25" s="11" t="s">
        <v>197</v>
      </c>
      <c r="D25" s="11" t="s">
        <v>68</v>
      </c>
      <c r="E25" s="11" t="s">
        <v>198</v>
      </c>
      <c r="F25" s="11" t="s">
        <v>1308</v>
      </c>
      <c r="G25" s="11" t="s">
        <v>24</v>
      </c>
      <c r="H25" s="11" t="s">
        <v>1164</v>
      </c>
      <c r="I25" s="11" t="s">
        <v>1165</v>
      </c>
      <c r="J25" s="11" t="s">
        <v>1166</v>
      </c>
      <c r="K25" s="11" t="s">
        <v>24</v>
      </c>
      <c r="L25" s="11" t="s">
        <v>1167</v>
      </c>
      <c r="M25" s="11" t="s">
        <v>1165</v>
      </c>
      <c r="N25" s="11" t="s">
        <v>1309</v>
      </c>
      <c r="O25" s="11" t="s">
        <v>24</v>
      </c>
      <c r="P25" s="11" t="s">
        <v>1169</v>
      </c>
      <c r="Q25" s="11" t="s">
        <v>1165</v>
      </c>
      <c r="R25" s="11" t="s">
        <v>1310</v>
      </c>
      <c r="S25" s="11" t="n">
        <v>15</v>
      </c>
      <c r="T25" s="11" t="s">
        <v>1171</v>
      </c>
      <c r="U25" s="11" t="n">
        <v>25</v>
      </c>
      <c r="V25" s="11" t="s">
        <v>1171</v>
      </c>
      <c r="W25" s="11" t="s">
        <v>1311</v>
      </c>
      <c r="X25" s="11" t="s">
        <v>1312</v>
      </c>
      <c r="Y25" s="11" t="s">
        <v>1313</v>
      </c>
      <c r="Z25" s="11" t="n">
        <v>350</v>
      </c>
      <c r="AA25" s="11" t="s">
        <v>304</v>
      </c>
      <c r="AB25" s="11" t="s">
        <v>933</v>
      </c>
      <c r="AC25" s="11" t="s">
        <v>935</v>
      </c>
      <c r="AD25" s="11" t="s">
        <v>1175</v>
      </c>
      <c r="AE25" s="11" t="s">
        <v>1176</v>
      </c>
      <c r="AF25" s="11" t="s">
        <v>940</v>
      </c>
      <c r="AG25" s="11" t="s">
        <v>305</v>
      </c>
      <c r="AH25" s="11" t="s">
        <v>1177</v>
      </c>
      <c r="AI25" s="11" t="s">
        <v>1178</v>
      </c>
      <c r="AJ25" s="11" t="s">
        <v>308</v>
      </c>
      <c r="AK25" s="11" t="s">
        <v>309</v>
      </c>
      <c r="AL25" s="11" t="s">
        <v>1179</v>
      </c>
      <c r="AM25" s="12" t="s">
        <v>1180</v>
      </c>
    </row>
    <row r="26" customFormat="false" ht="168.65" hidden="false" customHeight="false" outlineLevel="0" collapsed="false">
      <c r="A26" s="10" t="s">
        <v>1314</v>
      </c>
      <c r="B26" s="11" t="s">
        <v>207</v>
      </c>
      <c r="C26" s="11" t="s">
        <v>203</v>
      </c>
      <c r="D26" s="11" t="s">
        <v>68</v>
      </c>
      <c r="E26" s="11" t="s">
        <v>204</v>
      </c>
      <c r="F26" s="11" t="s">
        <v>1315</v>
      </c>
      <c r="G26" s="11" t="s">
        <v>24</v>
      </c>
      <c r="H26" s="11" t="s">
        <v>1164</v>
      </c>
      <c r="I26" s="11" t="s">
        <v>1165</v>
      </c>
      <c r="J26" s="11" t="s">
        <v>1166</v>
      </c>
      <c r="K26" s="11" t="s">
        <v>24</v>
      </c>
      <c r="L26" s="11" t="s">
        <v>1167</v>
      </c>
      <c r="M26" s="11" t="s">
        <v>1165</v>
      </c>
      <c r="N26" s="11" t="s">
        <v>1316</v>
      </c>
      <c r="O26" s="11" t="s">
        <v>24</v>
      </c>
      <c r="P26" s="11" t="s">
        <v>1169</v>
      </c>
      <c r="Q26" s="11" t="s">
        <v>1165</v>
      </c>
      <c r="R26" s="11" t="s">
        <v>1317</v>
      </c>
      <c r="S26" s="11" t="n">
        <v>22</v>
      </c>
      <c r="T26" s="11" t="s">
        <v>1171</v>
      </c>
      <c r="U26" s="11" t="n">
        <v>35</v>
      </c>
      <c r="V26" s="11" t="s">
        <v>1171</v>
      </c>
      <c r="W26" s="11" t="s">
        <v>1318</v>
      </c>
      <c r="X26" s="11" t="s">
        <v>1319</v>
      </c>
      <c r="Y26" s="11" t="s">
        <v>1320</v>
      </c>
      <c r="Z26" s="11" t="n">
        <v>300</v>
      </c>
      <c r="AA26" s="11" t="s">
        <v>304</v>
      </c>
      <c r="AB26" s="11" t="s">
        <v>933</v>
      </c>
      <c r="AC26" s="11" t="s">
        <v>935</v>
      </c>
      <c r="AD26" s="11" t="s">
        <v>1175</v>
      </c>
      <c r="AE26" s="11" t="s">
        <v>1176</v>
      </c>
      <c r="AF26" s="11" t="s">
        <v>940</v>
      </c>
      <c r="AG26" s="11" t="s">
        <v>305</v>
      </c>
      <c r="AH26" s="11" t="s">
        <v>1177</v>
      </c>
      <c r="AI26" s="11" t="s">
        <v>1178</v>
      </c>
      <c r="AJ26" s="11" t="s">
        <v>308</v>
      </c>
      <c r="AK26" s="11" t="s">
        <v>309</v>
      </c>
      <c r="AL26" s="11" t="s">
        <v>1179</v>
      </c>
      <c r="AM26" s="12" t="s">
        <v>1180</v>
      </c>
    </row>
    <row r="27" customFormat="false" ht="168.65" hidden="false" customHeight="false" outlineLevel="0" collapsed="false">
      <c r="A27" s="10" t="s">
        <v>1321</v>
      </c>
      <c r="B27" s="11" t="s">
        <v>214</v>
      </c>
      <c r="C27" s="11" t="s">
        <v>209</v>
      </c>
      <c r="D27" s="11" t="s">
        <v>68</v>
      </c>
      <c r="E27" s="11" t="s">
        <v>211</v>
      </c>
      <c r="F27" s="11" t="s">
        <v>1322</v>
      </c>
      <c r="G27" s="11" t="s">
        <v>24</v>
      </c>
      <c r="H27" s="11" t="s">
        <v>1164</v>
      </c>
      <c r="I27" s="11" t="s">
        <v>1165</v>
      </c>
      <c r="J27" s="11" t="s">
        <v>1166</v>
      </c>
      <c r="K27" s="11" t="s">
        <v>24</v>
      </c>
      <c r="L27" s="11" t="s">
        <v>1167</v>
      </c>
      <c r="M27" s="11" t="s">
        <v>1165</v>
      </c>
      <c r="N27" s="11" t="s">
        <v>1323</v>
      </c>
      <c r="O27" s="11" t="s">
        <v>24</v>
      </c>
      <c r="P27" s="11" t="s">
        <v>1169</v>
      </c>
      <c r="Q27" s="11" t="s">
        <v>1165</v>
      </c>
      <c r="R27" s="11" t="s">
        <v>1324</v>
      </c>
      <c r="S27" s="11" t="n">
        <v>13</v>
      </c>
      <c r="T27" s="11" t="s">
        <v>1171</v>
      </c>
      <c r="U27" s="11" t="n">
        <v>45</v>
      </c>
      <c r="V27" s="11" t="s">
        <v>1171</v>
      </c>
      <c r="W27" s="11" t="s">
        <v>1325</v>
      </c>
      <c r="X27" s="11" t="s">
        <v>1326</v>
      </c>
      <c r="Y27" s="11" t="s">
        <v>1327</v>
      </c>
      <c r="Z27" s="11" t="n">
        <v>150</v>
      </c>
      <c r="AA27" s="11" t="s">
        <v>304</v>
      </c>
      <c r="AB27" s="11" t="s">
        <v>933</v>
      </c>
      <c r="AC27" s="11" t="s">
        <v>935</v>
      </c>
      <c r="AD27" s="11" t="s">
        <v>1175</v>
      </c>
      <c r="AE27" s="11" t="s">
        <v>1176</v>
      </c>
      <c r="AF27" s="11" t="s">
        <v>940</v>
      </c>
      <c r="AG27" s="11" t="s">
        <v>305</v>
      </c>
      <c r="AH27" s="11" t="s">
        <v>1177</v>
      </c>
      <c r="AI27" s="11" t="s">
        <v>1178</v>
      </c>
      <c r="AJ27" s="11" t="s">
        <v>308</v>
      </c>
      <c r="AK27" s="11" t="s">
        <v>309</v>
      </c>
      <c r="AL27" s="11" t="s">
        <v>1179</v>
      </c>
      <c r="AM27" s="12" t="s">
        <v>1180</v>
      </c>
    </row>
    <row r="28" customFormat="false" ht="168.65" hidden="false" customHeight="false" outlineLevel="0" collapsed="false">
      <c r="A28" s="10" t="s">
        <v>1328</v>
      </c>
      <c r="B28" s="11" t="s">
        <v>219</v>
      </c>
      <c r="C28" s="11" t="s">
        <v>216</v>
      </c>
      <c r="D28" s="11" t="s">
        <v>68</v>
      </c>
      <c r="E28" s="11" t="s">
        <v>217</v>
      </c>
      <c r="F28" s="11" t="s">
        <v>1329</v>
      </c>
      <c r="G28" s="11" t="s">
        <v>24</v>
      </c>
      <c r="H28" s="11" t="s">
        <v>1164</v>
      </c>
      <c r="I28" s="11" t="s">
        <v>1165</v>
      </c>
      <c r="J28" s="11" t="s">
        <v>1166</v>
      </c>
      <c r="K28" s="11" t="s">
        <v>24</v>
      </c>
      <c r="L28" s="11" t="s">
        <v>1167</v>
      </c>
      <c r="M28" s="11" t="s">
        <v>1165</v>
      </c>
      <c r="N28" s="11" t="s">
        <v>1330</v>
      </c>
      <c r="O28" s="11" t="s">
        <v>24</v>
      </c>
      <c r="P28" s="11" t="s">
        <v>1169</v>
      </c>
      <c r="Q28" s="11" t="s">
        <v>1165</v>
      </c>
      <c r="R28" s="11" t="s">
        <v>1331</v>
      </c>
      <c r="S28" s="11" t="n">
        <v>8</v>
      </c>
      <c r="T28" s="11" t="s">
        <v>1171</v>
      </c>
      <c r="U28" s="11" t="n">
        <v>35</v>
      </c>
      <c r="V28" s="11" t="s">
        <v>1171</v>
      </c>
      <c r="W28" s="11" t="s">
        <v>1332</v>
      </c>
      <c r="X28" s="11" t="s">
        <v>1319</v>
      </c>
      <c r="Y28" s="11" t="s">
        <v>1333</v>
      </c>
      <c r="Z28" s="11" t="n">
        <v>150</v>
      </c>
      <c r="AA28" s="11" t="s">
        <v>304</v>
      </c>
      <c r="AB28" s="11" t="s">
        <v>933</v>
      </c>
      <c r="AC28" s="11" t="s">
        <v>935</v>
      </c>
      <c r="AD28" s="11" t="s">
        <v>1175</v>
      </c>
      <c r="AE28" s="11" t="s">
        <v>1176</v>
      </c>
      <c r="AF28" s="11" t="s">
        <v>940</v>
      </c>
      <c r="AG28" s="11" t="s">
        <v>305</v>
      </c>
      <c r="AH28" s="11" t="s">
        <v>1177</v>
      </c>
      <c r="AI28" s="11" t="s">
        <v>1178</v>
      </c>
      <c r="AJ28" s="11" t="s">
        <v>308</v>
      </c>
      <c r="AK28" s="11" t="s">
        <v>309</v>
      </c>
      <c r="AL28" s="11" t="s">
        <v>1179</v>
      </c>
      <c r="AM28" s="12" t="s">
        <v>1180</v>
      </c>
    </row>
    <row r="29" customFormat="false" ht="179.1" hidden="false" customHeight="false" outlineLevel="0" collapsed="false">
      <c r="A29" s="10" t="s">
        <v>1334</v>
      </c>
      <c r="B29" s="11" t="s">
        <v>224</v>
      </c>
      <c r="C29" s="11" t="s">
        <v>221</v>
      </c>
      <c r="D29" s="11" t="s">
        <v>68</v>
      </c>
      <c r="E29" s="11" t="s">
        <v>222</v>
      </c>
      <c r="F29" s="11" t="s">
        <v>1335</v>
      </c>
      <c r="G29" s="11" t="s">
        <v>24</v>
      </c>
      <c r="H29" s="11" t="s">
        <v>1164</v>
      </c>
      <c r="I29" s="11" t="s">
        <v>1165</v>
      </c>
      <c r="J29" s="11" t="s">
        <v>1166</v>
      </c>
      <c r="K29" s="11" t="s">
        <v>24</v>
      </c>
      <c r="L29" s="11" t="s">
        <v>1167</v>
      </c>
      <c r="M29" s="11" t="s">
        <v>1165</v>
      </c>
      <c r="N29" s="11" t="s">
        <v>1336</v>
      </c>
      <c r="O29" s="11" t="s">
        <v>24</v>
      </c>
      <c r="P29" s="11" t="s">
        <v>1169</v>
      </c>
      <c r="Q29" s="11" t="s">
        <v>1165</v>
      </c>
      <c r="R29" s="11" t="s">
        <v>1337</v>
      </c>
      <c r="S29" s="11" t="n">
        <v>15</v>
      </c>
      <c r="T29" s="11" t="s">
        <v>1171</v>
      </c>
      <c r="U29" s="11" t="n">
        <v>22</v>
      </c>
      <c r="V29" s="11" t="s">
        <v>1171</v>
      </c>
      <c r="W29" s="11" t="s">
        <v>1338</v>
      </c>
      <c r="X29" s="11" t="s">
        <v>1339</v>
      </c>
      <c r="Y29" s="11" t="s">
        <v>1340</v>
      </c>
      <c r="Z29" s="11" t="n">
        <v>150</v>
      </c>
      <c r="AA29" s="11" t="s">
        <v>304</v>
      </c>
      <c r="AB29" s="11" t="s">
        <v>933</v>
      </c>
      <c r="AC29" s="11" t="s">
        <v>935</v>
      </c>
      <c r="AD29" s="11" t="s">
        <v>1175</v>
      </c>
      <c r="AE29" s="11" t="s">
        <v>1176</v>
      </c>
      <c r="AF29" s="11" t="s">
        <v>940</v>
      </c>
      <c r="AG29" s="11" t="s">
        <v>305</v>
      </c>
      <c r="AH29" s="11" t="s">
        <v>1177</v>
      </c>
      <c r="AI29" s="11" t="s">
        <v>1178</v>
      </c>
      <c r="AJ29" s="11" t="s">
        <v>308</v>
      </c>
      <c r="AK29" s="11" t="s">
        <v>309</v>
      </c>
      <c r="AL29" s="11" t="s">
        <v>1179</v>
      </c>
      <c r="AM29" s="12" t="s">
        <v>1180</v>
      </c>
    </row>
    <row r="30" customFormat="false" ht="158.2" hidden="false" customHeight="false" outlineLevel="0" collapsed="false">
      <c r="A30" s="10" t="s">
        <v>1341</v>
      </c>
      <c r="B30" s="11" t="s">
        <v>259</v>
      </c>
      <c r="C30" s="11" t="s">
        <v>252</v>
      </c>
      <c r="D30" s="11" t="s">
        <v>68</v>
      </c>
      <c r="E30" s="11" t="s">
        <v>254</v>
      </c>
      <c r="F30" s="11" t="s">
        <v>1342</v>
      </c>
      <c r="G30" s="11" t="s">
        <v>24</v>
      </c>
      <c r="H30" s="11" t="s">
        <v>1164</v>
      </c>
      <c r="I30" s="11" t="s">
        <v>1165</v>
      </c>
      <c r="J30" s="11" t="s">
        <v>1166</v>
      </c>
      <c r="K30" s="11" t="s">
        <v>24</v>
      </c>
      <c r="L30" s="11" t="s">
        <v>1167</v>
      </c>
      <c r="M30" s="11" t="s">
        <v>1165</v>
      </c>
      <c r="N30" s="11" t="s">
        <v>1343</v>
      </c>
      <c r="O30" s="11" t="s">
        <v>24</v>
      </c>
      <c r="P30" s="11" t="s">
        <v>1169</v>
      </c>
      <c r="Q30" s="11" t="s">
        <v>1165</v>
      </c>
      <c r="R30" s="11" t="s">
        <v>1344</v>
      </c>
      <c r="S30" s="11" t="n">
        <v>120</v>
      </c>
      <c r="T30" s="11" t="s">
        <v>1171</v>
      </c>
      <c r="U30" s="11" t="n">
        <v>600</v>
      </c>
      <c r="V30" s="11" t="s">
        <v>1171</v>
      </c>
      <c r="W30" s="11" t="s">
        <v>1345</v>
      </c>
      <c r="X30" s="11" t="s">
        <v>1346</v>
      </c>
      <c r="Y30" s="11" t="s">
        <v>1347</v>
      </c>
      <c r="Z30" s="11" t="n">
        <v>1800</v>
      </c>
      <c r="AA30" s="11" t="s">
        <v>304</v>
      </c>
      <c r="AB30" s="11" t="s">
        <v>933</v>
      </c>
      <c r="AC30" s="11" t="s">
        <v>935</v>
      </c>
      <c r="AD30" s="11" t="s">
        <v>1175</v>
      </c>
      <c r="AE30" s="11" t="s">
        <v>1176</v>
      </c>
      <c r="AF30" s="11" t="s">
        <v>940</v>
      </c>
      <c r="AG30" s="11" t="s">
        <v>305</v>
      </c>
      <c r="AH30" s="11" t="s">
        <v>1177</v>
      </c>
      <c r="AI30" s="11" t="s">
        <v>1178</v>
      </c>
      <c r="AJ30" s="11" t="s">
        <v>308</v>
      </c>
      <c r="AK30" s="11" t="s">
        <v>309</v>
      </c>
      <c r="AL30" s="11" t="s">
        <v>1179</v>
      </c>
      <c r="AM30" s="12" t="s">
        <v>1180</v>
      </c>
    </row>
    <row r="31" customFormat="false" ht="158.2" hidden="false" customHeight="false" outlineLevel="0" collapsed="false">
      <c r="A31" s="10" t="s">
        <v>1348</v>
      </c>
      <c r="B31" s="11" t="s">
        <v>267</v>
      </c>
      <c r="C31" s="11" t="s">
        <v>261</v>
      </c>
      <c r="D31" s="11" t="s">
        <v>68</v>
      </c>
      <c r="E31" s="11" t="s">
        <v>262</v>
      </c>
      <c r="F31" s="11" t="s">
        <v>1349</v>
      </c>
      <c r="G31" s="11" t="s">
        <v>24</v>
      </c>
      <c r="H31" s="11" t="s">
        <v>1164</v>
      </c>
      <c r="I31" s="11" t="s">
        <v>1165</v>
      </c>
      <c r="J31" s="11" t="s">
        <v>1166</v>
      </c>
      <c r="K31" s="11" t="s">
        <v>24</v>
      </c>
      <c r="L31" s="11" t="s">
        <v>1167</v>
      </c>
      <c r="M31" s="11" t="s">
        <v>1165</v>
      </c>
      <c r="N31" s="11" t="s">
        <v>1350</v>
      </c>
      <c r="O31" s="11" t="s">
        <v>24</v>
      </c>
      <c r="P31" s="11" t="s">
        <v>1169</v>
      </c>
      <c r="Q31" s="11" t="s">
        <v>1165</v>
      </c>
      <c r="R31" s="11" t="s">
        <v>1351</v>
      </c>
      <c r="S31" s="11" t="n">
        <v>90</v>
      </c>
      <c r="T31" s="11" t="s">
        <v>1171</v>
      </c>
      <c r="U31" s="11" t="n">
        <v>420</v>
      </c>
      <c r="V31" s="11" t="s">
        <v>1171</v>
      </c>
      <c r="W31" s="11" t="s">
        <v>1352</v>
      </c>
      <c r="X31" s="11" t="s">
        <v>1353</v>
      </c>
      <c r="Y31" s="11" t="s">
        <v>1354</v>
      </c>
      <c r="Z31" s="11" t="n">
        <v>1200</v>
      </c>
      <c r="AA31" s="11" t="s">
        <v>304</v>
      </c>
      <c r="AB31" s="11" t="s">
        <v>933</v>
      </c>
      <c r="AC31" s="11" t="s">
        <v>935</v>
      </c>
      <c r="AD31" s="11" t="s">
        <v>1175</v>
      </c>
      <c r="AE31" s="11" t="s">
        <v>1176</v>
      </c>
      <c r="AF31" s="11" t="s">
        <v>940</v>
      </c>
      <c r="AG31" s="11" t="s">
        <v>305</v>
      </c>
      <c r="AH31" s="11" t="s">
        <v>1177</v>
      </c>
      <c r="AI31" s="11" t="s">
        <v>1178</v>
      </c>
      <c r="AJ31" s="11" t="s">
        <v>308</v>
      </c>
      <c r="AK31" s="11" t="s">
        <v>309</v>
      </c>
      <c r="AL31" s="11" t="s">
        <v>1179</v>
      </c>
      <c r="AM31" s="12" t="s">
        <v>1180</v>
      </c>
    </row>
    <row r="32" customFormat="false" ht="158.2" hidden="false" customHeight="false" outlineLevel="0" collapsed="false">
      <c r="A32" s="10" t="s">
        <v>1355</v>
      </c>
      <c r="B32" s="11" t="s">
        <v>274</v>
      </c>
      <c r="C32" s="11" t="s">
        <v>269</v>
      </c>
      <c r="D32" s="11" t="s">
        <v>68</v>
      </c>
      <c r="E32" s="11" t="s">
        <v>270</v>
      </c>
      <c r="F32" s="11" t="s">
        <v>1356</v>
      </c>
      <c r="G32" s="11" t="s">
        <v>24</v>
      </c>
      <c r="H32" s="11" t="s">
        <v>1164</v>
      </c>
      <c r="I32" s="11" t="s">
        <v>1165</v>
      </c>
      <c r="J32" s="11" t="s">
        <v>1166</v>
      </c>
      <c r="K32" s="11" t="s">
        <v>24</v>
      </c>
      <c r="L32" s="11" t="s">
        <v>1167</v>
      </c>
      <c r="M32" s="11" t="s">
        <v>1165</v>
      </c>
      <c r="N32" s="11" t="s">
        <v>1357</v>
      </c>
      <c r="O32" s="11" t="s">
        <v>24</v>
      </c>
      <c r="P32" s="11" t="s">
        <v>1169</v>
      </c>
      <c r="Q32" s="11" t="s">
        <v>1165</v>
      </c>
      <c r="R32" s="11" t="s">
        <v>1358</v>
      </c>
      <c r="S32" s="11" t="n">
        <v>30</v>
      </c>
      <c r="T32" s="11" t="s">
        <v>1171</v>
      </c>
      <c r="U32" s="11" t="n">
        <v>120</v>
      </c>
      <c r="V32" s="11" t="s">
        <v>1171</v>
      </c>
      <c r="W32" s="11" t="s">
        <v>1359</v>
      </c>
      <c r="X32" s="11" t="s">
        <v>1360</v>
      </c>
      <c r="Y32" s="11" t="s">
        <v>1361</v>
      </c>
      <c r="Z32" s="11" t="n">
        <v>600</v>
      </c>
      <c r="AA32" s="11" t="s">
        <v>304</v>
      </c>
      <c r="AB32" s="11" t="s">
        <v>933</v>
      </c>
      <c r="AC32" s="11" t="s">
        <v>935</v>
      </c>
      <c r="AD32" s="11" t="s">
        <v>1175</v>
      </c>
      <c r="AE32" s="11" t="s">
        <v>1176</v>
      </c>
      <c r="AF32" s="11" t="s">
        <v>940</v>
      </c>
      <c r="AG32" s="11" t="s">
        <v>305</v>
      </c>
      <c r="AH32" s="11" t="s">
        <v>1177</v>
      </c>
      <c r="AI32" s="11" t="s">
        <v>1178</v>
      </c>
      <c r="AJ32" s="11" t="s">
        <v>308</v>
      </c>
      <c r="AK32" s="11" t="s">
        <v>309</v>
      </c>
      <c r="AL32" s="11" t="s">
        <v>1179</v>
      </c>
      <c r="AM32" s="12" t="s">
        <v>1180</v>
      </c>
    </row>
    <row r="33" customFormat="false" ht="53.7" hidden="false" customHeight="false" outlineLevel="0" collapsed="false">
      <c r="A33" s="10" t="s">
        <v>1362</v>
      </c>
      <c r="B33" s="11" t="s">
        <v>233</v>
      </c>
      <c r="C33" s="11" t="s">
        <v>226</v>
      </c>
      <c r="D33" s="11" t="s">
        <v>854</v>
      </c>
      <c r="E33" s="11" t="s">
        <v>228</v>
      </c>
      <c r="F33" s="11" t="s">
        <v>1363</v>
      </c>
      <c r="G33" s="11" t="s">
        <v>24</v>
      </c>
      <c r="H33" s="11" t="s">
        <v>1364</v>
      </c>
      <c r="I33" s="11" t="s">
        <v>1165</v>
      </c>
      <c r="J33" s="11" t="s">
        <v>1365</v>
      </c>
      <c r="K33" s="11" t="s">
        <v>24</v>
      </c>
      <c r="L33" s="11" t="s">
        <v>1366</v>
      </c>
      <c r="M33" s="11" t="s">
        <v>1165</v>
      </c>
      <c r="N33" s="11" t="s">
        <v>1367</v>
      </c>
      <c r="O33" s="11" t="s">
        <v>24</v>
      </c>
      <c r="P33" s="11" t="s">
        <v>1368</v>
      </c>
      <c r="Q33" s="11" t="s">
        <v>1165</v>
      </c>
      <c r="R33" s="11" t="s">
        <v>1369</v>
      </c>
      <c r="S33" s="11"/>
      <c r="T33" s="11"/>
      <c r="U33" s="11"/>
      <c r="V33" s="11"/>
      <c r="W33" s="11"/>
      <c r="X33" s="11"/>
      <c r="Y33" s="11"/>
      <c r="Z33" s="11"/>
      <c r="AA33" s="11"/>
      <c r="AB33" s="11" t="s">
        <v>1370</v>
      </c>
      <c r="AC33" s="11" t="s">
        <v>35</v>
      </c>
      <c r="AD33" s="11"/>
      <c r="AE33" s="11" t="s">
        <v>1371</v>
      </c>
      <c r="AF33" s="11" t="s">
        <v>1372</v>
      </c>
      <c r="AG33" s="11" t="s">
        <v>952</v>
      </c>
      <c r="AH33" s="11"/>
      <c r="AI33" s="11"/>
      <c r="AJ33" s="11"/>
      <c r="AK33" s="11"/>
      <c r="AL33" s="11"/>
      <c r="AM33" s="12" t="s">
        <v>1373</v>
      </c>
    </row>
    <row r="34" customFormat="false" ht="53.7" hidden="false" customHeight="false" outlineLevel="0" collapsed="false">
      <c r="A34" s="10" t="s">
        <v>1374</v>
      </c>
      <c r="B34" s="11" t="s">
        <v>244</v>
      </c>
      <c r="C34" s="11" t="s">
        <v>240</v>
      </c>
      <c r="D34" s="11" t="s">
        <v>854</v>
      </c>
      <c r="E34" s="11" t="s">
        <v>241</v>
      </c>
      <c r="F34" s="11" t="s">
        <v>1363</v>
      </c>
      <c r="G34" s="11" t="s">
        <v>24</v>
      </c>
      <c r="H34" s="11" t="s">
        <v>1364</v>
      </c>
      <c r="I34" s="11" t="s">
        <v>1165</v>
      </c>
      <c r="J34" s="11" t="s">
        <v>1365</v>
      </c>
      <c r="K34" s="11" t="s">
        <v>24</v>
      </c>
      <c r="L34" s="11" t="s">
        <v>1366</v>
      </c>
      <c r="M34" s="11" t="s">
        <v>1165</v>
      </c>
      <c r="N34" s="11" t="s">
        <v>1367</v>
      </c>
      <c r="O34" s="11" t="s">
        <v>24</v>
      </c>
      <c r="P34" s="11" t="s">
        <v>1368</v>
      </c>
      <c r="Q34" s="11" t="s">
        <v>1165</v>
      </c>
      <c r="R34" s="11" t="s">
        <v>1369</v>
      </c>
      <c r="S34" s="11"/>
      <c r="T34" s="11"/>
      <c r="U34" s="11"/>
      <c r="V34" s="11"/>
      <c r="W34" s="11"/>
      <c r="X34" s="11"/>
      <c r="Y34" s="11"/>
      <c r="Z34" s="11"/>
      <c r="AA34" s="11"/>
      <c r="AB34" s="11" t="s">
        <v>1370</v>
      </c>
      <c r="AC34" s="11" t="s">
        <v>35</v>
      </c>
      <c r="AD34" s="11"/>
      <c r="AE34" s="11" t="s">
        <v>1371</v>
      </c>
      <c r="AF34" s="11" t="s">
        <v>1375</v>
      </c>
      <c r="AG34" s="11" t="s">
        <v>952</v>
      </c>
      <c r="AH34" s="11"/>
      <c r="AI34" s="11"/>
      <c r="AJ34" s="11"/>
      <c r="AK34" s="11"/>
      <c r="AL34" s="11"/>
      <c r="AM34" s="12" t="s">
        <v>1373</v>
      </c>
    </row>
    <row r="35" customFormat="false" ht="53.7" hidden="false" customHeight="false" outlineLevel="0" collapsed="false">
      <c r="A35" s="13" t="s">
        <v>1376</v>
      </c>
      <c r="B35" s="14" t="s">
        <v>250</v>
      </c>
      <c r="C35" s="14" t="s">
        <v>246</v>
      </c>
      <c r="D35" s="14" t="s">
        <v>854</v>
      </c>
      <c r="E35" s="14" t="s">
        <v>247</v>
      </c>
      <c r="F35" s="14" t="s">
        <v>1363</v>
      </c>
      <c r="G35" s="14" t="s">
        <v>24</v>
      </c>
      <c r="H35" s="14" t="s">
        <v>1364</v>
      </c>
      <c r="I35" s="14" t="s">
        <v>1165</v>
      </c>
      <c r="J35" s="14" t="s">
        <v>1365</v>
      </c>
      <c r="K35" s="14" t="s">
        <v>24</v>
      </c>
      <c r="L35" s="14" t="s">
        <v>1366</v>
      </c>
      <c r="M35" s="14" t="s">
        <v>1165</v>
      </c>
      <c r="N35" s="14" t="s">
        <v>1367</v>
      </c>
      <c r="O35" s="14" t="s">
        <v>24</v>
      </c>
      <c r="P35" s="14" t="s">
        <v>1368</v>
      </c>
      <c r="Q35" s="14" t="s">
        <v>1165</v>
      </c>
      <c r="R35" s="14" t="s">
        <v>1369</v>
      </c>
      <c r="S35" s="14"/>
      <c r="T35" s="14"/>
      <c r="U35" s="14"/>
      <c r="V35" s="14"/>
      <c r="W35" s="14"/>
      <c r="X35" s="14"/>
      <c r="Y35" s="14"/>
      <c r="Z35" s="14"/>
      <c r="AA35" s="14"/>
      <c r="AB35" s="14" t="s">
        <v>1370</v>
      </c>
      <c r="AC35" s="14" t="s">
        <v>35</v>
      </c>
      <c r="AD35" s="14"/>
      <c r="AE35" s="14" t="s">
        <v>1371</v>
      </c>
      <c r="AF35" s="14" t="s">
        <v>1377</v>
      </c>
      <c r="AG35" s="14" t="s">
        <v>952</v>
      </c>
      <c r="AH35" s="14"/>
      <c r="AI35" s="14"/>
      <c r="AJ35" s="14"/>
      <c r="AK35" s="14"/>
      <c r="AL35" s="14"/>
      <c r="AM35" s="15" t="s">
        <v>1373</v>
      </c>
    </row>
  </sheetData>
  <autoFilter ref="A1:AM35">
    <filterColumn colId="0" hiddenButton="1"/>
  </autoFilter>
  <mergeCells count="2">
    <mergeCell ref="A1:AM1"/>
    <mergeCell ref="A2:AM2"/>
  </mergeCells>
  <conditionalFormatting sqref="G5:G35">
    <cfRule type="containsText" priority="2" operator="containsText" aboveAverage="0" equalAverage="0" bottom="0" percent="0" rank="0" text="BLOCK" dxfId="55">
      <formula>NOT(ISERROR(SEARCH("BLOCK",G5)))</formula>
    </cfRule>
    <cfRule type="containsText" priority="3" operator="containsText" aboveAverage="0" equalAverage="0" bottom="0" percent="0" rank="0" text="DRAFT" dxfId="56">
      <formula>NOT(ISERROR(SEARCH("DRAFT",G5)))</formula>
    </cfRule>
    <cfRule type="containsText" priority="4" operator="containsText" aboveAverage="0" equalAverage="0" bottom="0" percent="0" rank="0" text="PASS" dxfId="57">
      <formula>NOT(ISERROR(SEARCH("PASS",G5)))</formula>
    </cfRule>
  </conditionalFormatting>
  <conditionalFormatting sqref="I5:I35">
    <cfRule type="containsText" priority="5" operator="containsText" aboveAverage="0" equalAverage="0" bottom="0" percent="0" rank="0" text="BLOCK" dxfId="58">
      <formula>NOT(ISERROR(SEARCH("BLOCK",I5)))</formula>
    </cfRule>
    <cfRule type="containsText" priority="6" operator="containsText" aboveAverage="0" equalAverage="0" bottom="0" percent="0" rank="0" text="DRAFT" dxfId="59">
      <formula>NOT(ISERROR(SEARCH("DRAFT",I5)))</formula>
    </cfRule>
    <cfRule type="containsText" priority="7" operator="containsText" aboveAverage="0" equalAverage="0" bottom="0" percent="0" rank="0" text="PASS" dxfId="60">
      <formula>NOT(ISERROR(SEARCH("PASS",I5)))</formula>
    </cfRule>
  </conditionalFormatting>
  <conditionalFormatting sqref="K5:K35">
    <cfRule type="containsText" priority="8" operator="containsText" aboveAverage="0" equalAverage="0" bottom="0" percent="0" rank="0" text="BLOCK" dxfId="61">
      <formula>NOT(ISERROR(SEARCH("BLOCK",K5)))</formula>
    </cfRule>
    <cfRule type="containsText" priority="9" operator="containsText" aboveAverage="0" equalAverage="0" bottom="0" percent="0" rank="0" text="DRAFT" dxfId="62">
      <formula>NOT(ISERROR(SEARCH("DRAFT",K5)))</formula>
    </cfRule>
    <cfRule type="containsText" priority="10" operator="containsText" aboveAverage="0" equalAverage="0" bottom="0" percent="0" rank="0" text="PASS" dxfId="63">
      <formula>NOT(ISERROR(SEARCH("PASS",K5)))</formula>
    </cfRule>
  </conditionalFormatting>
  <conditionalFormatting sqref="M5:M35">
    <cfRule type="containsText" priority="11" operator="containsText" aboveAverage="0" equalAverage="0" bottom="0" percent="0" rank="0" text="BLOCK" dxfId="64">
      <formula>NOT(ISERROR(SEARCH("BLOCK",M5)))</formula>
    </cfRule>
    <cfRule type="containsText" priority="12" operator="containsText" aboveAverage="0" equalAverage="0" bottom="0" percent="0" rank="0" text="DRAFT" dxfId="65">
      <formula>NOT(ISERROR(SEARCH("DRAFT",M5)))</formula>
    </cfRule>
    <cfRule type="containsText" priority="13" operator="containsText" aboveAverage="0" equalAverage="0" bottom="0" percent="0" rank="0" text="PASS" dxfId="66">
      <formula>NOT(ISERROR(SEARCH("PASS",M5)))</formula>
    </cfRule>
  </conditionalFormatting>
  <conditionalFormatting sqref="O5:O35">
    <cfRule type="containsText" priority="14" operator="containsText" aboveAverage="0" equalAverage="0" bottom="0" percent="0" rank="0" text="BLOCK" dxfId="67">
      <formula>NOT(ISERROR(SEARCH("BLOCK",O5)))</formula>
    </cfRule>
    <cfRule type="containsText" priority="15" operator="containsText" aboveAverage="0" equalAverage="0" bottom="0" percent="0" rank="0" text="DRAFT" dxfId="68">
      <formula>NOT(ISERROR(SEARCH("DRAFT",O5)))</formula>
    </cfRule>
    <cfRule type="containsText" priority="16" operator="containsText" aboveAverage="0" equalAverage="0" bottom="0" percent="0" rank="0" text="PASS" dxfId="69">
      <formula>NOT(ISERROR(SEARCH("PASS",O5)))</formula>
    </cfRule>
  </conditionalFormatting>
  <conditionalFormatting sqref="Q5:Q35">
    <cfRule type="containsText" priority="17" operator="containsText" aboveAverage="0" equalAverage="0" bottom="0" percent="0" rank="0" text="BLOCK" dxfId="70">
      <formula>NOT(ISERROR(SEARCH("BLOCK",Q5)))</formula>
    </cfRule>
    <cfRule type="containsText" priority="18" operator="containsText" aboveAverage="0" equalAverage="0" bottom="0" percent="0" rank="0" text="DRAFT" dxfId="71">
      <formula>NOT(ISERROR(SEARCH("DRAFT",Q5)))</formula>
    </cfRule>
    <cfRule type="containsText" priority="19" operator="containsText" aboveAverage="0" equalAverage="0" bottom="0" percent="0" rank="0" text="PASS" dxfId="72">
      <formula>NOT(ISERROR(SEARCH("PASS",Q5)))</formula>
    </cfRule>
  </conditionalFormatting>
  <conditionalFormatting sqref="AC5:AC35">
    <cfRule type="containsText" priority="20" operator="containsText" aboveAverage="0" equalAverage="0" bottom="0" percent="0" rank="0" text="BLOCK" dxfId="73">
      <formula>NOT(ISERROR(SEARCH("BLOCK",AC5)))</formula>
    </cfRule>
    <cfRule type="containsText" priority="21" operator="containsText" aboveAverage="0" equalAverage="0" bottom="0" percent="0" rank="0" text="DRAFT" dxfId="74">
      <formula>NOT(ISERROR(SEARCH("DRAFT",AC5)))</formula>
    </cfRule>
    <cfRule type="containsText" priority="22" operator="containsText" aboveAverage="0" equalAverage="0" bottom="0" percent="0" rank="0" text="PASS" dxfId="75">
      <formula>NOT(ISERROR(SEARCH("PASS",AC5)))</formula>
    </cfRule>
  </conditionalFormatting>
  <conditionalFormatting sqref="AG5:AG35">
    <cfRule type="containsText" priority="23" operator="containsText" aboveAverage="0" equalAverage="0" bottom="0" percent="0" rank="0" text="BLOCK" dxfId="76">
      <formula>NOT(ISERROR(SEARCH("BLOCK",AG5)))</formula>
    </cfRule>
    <cfRule type="containsText" priority="24" operator="containsText" aboveAverage="0" equalAverage="0" bottom="0" percent="0" rank="0" text="DRAFT" dxfId="77">
      <formula>NOT(ISERROR(SEARCH("DRAFT",AG5)))</formula>
    </cfRule>
    <cfRule type="containsText" priority="25" operator="containsText" aboveAverage="0" equalAverage="0" bottom="0" percent="0" rank="0" text="PASS" dxfId="78">
      <formula>NOT(ISERROR(SEARCH("PASS",AG5)))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true">
    <pageSetUpPr fitToPage="false"/>
  </sheetPr>
  <dimension ref="A1:Q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9" min="3" style="0" width="16"/>
    <col collapsed="false" customWidth="true" hidden="false" outlineLevel="0" max="10" min="10" style="0" width="24"/>
    <col collapsed="false" customWidth="true" hidden="false" outlineLevel="0" max="12" min="11" style="0" width="16"/>
    <col collapsed="false" customWidth="true" hidden="false" outlineLevel="0" max="13" min="13" style="0" width="24"/>
    <col collapsed="false" customWidth="true" hidden="false" outlineLevel="0" max="17" min="14" style="0" width="16"/>
  </cols>
  <sheetData>
    <row r="1" customFormat="false" ht="17.35" hidden="false" customHeight="false" outlineLevel="0" collapsed="false">
      <c r="A1" s="4" t="s">
        <v>1378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true" outlineLevel="0" collapsed="false">
      <c r="A2" s="5" t="s">
        <v>1379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4" customFormat="false" ht="50" hidden="false" customHeight="true" outlineLevel="0" collapsed="false">
      <c r="A4" s="6" t="s">
        <v>278</v>
      </c>
      <c r="B4" s="6" t="s">
        <v>279</v>
      </c>
      <c r="C4" s="6" t="s">
        <v>1380</v>
      </c>
      <c r="D4" s="6" t="s">
        <v>1381</v>
      </c>
      <c r="E4" s="6" t="s">
        <v>1382</v>
      </c>
      <c r="F4" s="6" t="s">
        <v>1383</v>
      </c>
      <c r="G4" s="6" t="s">
        <v>1384</v>
      </c>
      <c r="H4" s="6" t="s">
        <v>1385</v>
      </c>
      <c r="I4" s="6" t="s">
        <v>1386</v>
      </c>
      <c r="J4" s="6" t="s">
        <v>291</v>
      </c>
      <c r="K4" s="6" t="s">
        <v>1387</v>
      </c>
      <c r="L4" s="6" t="s">
        <v>1388</v>
      </c>
      <c r="M4" s="6" t="s">
        <v>1389</v>
      </c>
      <c r="N4" s="6" t="s">
        <v>1390</v>
      </c>
      <c r="O4" s="6" t="s">
        <v>1391</v>
      </c>
      <c r="P4" s="6" t="s">
        <v>1392</v>
      </c>
      <c r="Q4" s="6" t="s">
        <v>923</v>
      </c>
    </row>
    <row r="5" customFormat="false" ht="53.7" hidden="false" customHeight="false" outlineLevel="0" collapsed="false">
      <c r="A5" s="7" t="s">
        <v>299</v>
      </c>
      <c r="B5" s="8" t="s">
        <v>300</v>
      </c>
      <c r="C5" s="8" t="n">
        <v>788</v>
      </c>
      <c r="D5" s="8" t="s">
        <v>1393</v>
      </c>
      <c r="E5" s="8" t="n">
        <v>42.4925</v>
      </c>
      <c r="F5" s="8" t="s">
        <v>1394</v>
      </c>
      <c r="G5" s="8" t="n">
        <v>2</v>
      </c>
      <c r="H5" s="8" t="s">
        <v>1395</v>
      </c>
      <c r="I5" s="8" t="s">
        <v>308</v>
      </c>
      <c r="J5" s="8" t="s">
        <v>1396</v>
      </c>
      <c r="K5" s="8" t="s">
        <v>1397</v>
      </c>
      <c r="L5" s="8" t="s">
        <v>1398</v>
      </c>
      <c r="M5" s="8" t="s">
        <v>1399</v>
      </c>
      <c r="N5" s="8"/>
      <c r="O5" s="8"/>
      <c r="P5" s="8" t="s">
        <v>1400</v>
      </c>
      <c r="Q5" s="9" t="s">
        <v>1401</v>
      </c>
    </row>
    <row r="6" customFormat="false" ht="53.7" hidden="false" customHeight="false" outlineLevel="0" collapsed="false">
      <c r="A6" s="10" t="s">
        <v>313</v>
      </c>
      <c r="B6" s="11" t="s">
        <v>314</v>
      </c>
      <c r="C6" s="11" t="n">
        <v>580</v>
      </c>
      <c r="D6" s="11" t="s">
        <v>1402</v>
      </c>
      <c r="E6" s="11"/>
      <c r="F6" s="11"/>
      <c r="G6" s="11" t="n">
        <v>0</v>
      </c>
      <c r="H6" s="11"/>
      <c r="I6" s="11"/>
      <c r="J6" s="11" t="s">
        <v>1165</v>
      </c>
      <c r="K6" s="11" t="s">
        <v>1165</v>
      </c>
      <c r="L6" s="11" t="s">
        <v>1403</v>
      </c>
      <c r="M6" s="11"/>
      <c r="N6" s="11"/>
      <c r="O6" s="11"/>
      <c r="P6" s="11" t="s">
        <v>1400</v>
      </c>
      <c r="Q6" s="12" t="s">
        <v>1401</v>
      </c>
    </row>
    <row r="7" customFormat="false" ht="32.8" hidden="false" customHeight="false" outlineLevel="0" collapsed="false">
      <c r="A7" s="10" t="s">
        <v>316</v>
      </c>
      <c r="B7" s="11" t="s">
        <v>317</v>
      </c>
      <c r="C7" s="11" t="n">
        <v>14</v>
      </c>
      <c r="D7" s="11" t="s">
        <v>1402</v>
      </c>
      <c r="E7" s="11" t="n">
        <v>624.875</v>
      </c>
      <c r="F7" s="11" t="s">
        <v>1394</v>
      </c>
      <c r="G7" s="11" t="n">
        <v>3</v>
      </c>
      <c r="H7" s="11" t="s">
        <v>1404</v>
      </c>
      <c r="I7" s="11" t="s">
        <v>308</v>
      </c>
      <c r="J7" s="11" t="s">
        <v>1396</v>
      </c>
      <c r="K7" s="11" t="s">
        <v>1405</v>
      </c>
      <c r="L7" s="11" t="s">
        <v>1406</v>
      </c>
      <c r="M7" s="11" t="s">
        <v>1399</v>
      </c>
      <c r="N7" s="11"/>
      <c r="O7" s="11"/>
      <c r="P7" s="11" t="s">
        <v>1400</v>
      </c>
      <c r="Q7" s="12" t="s">
        <v>1407</v>
      </c>
    </row>
    <row r="8" customFormat="false" ht="53.7" hidden="false" customHeight="false" outlineLevel="0" collapsed="false">
      <c r="A8" s="10" t="s">
        <v>319</v>
      </c>
      <c r="B8" s="11" t="s">
        <v>320</v>
      </c>
      <c r="C8" s="11" t="n">
        <v>25</v>
      </c>
      <c r="D8" s="11" t="s">
        <v>1402</v>
      </c>
      <c r="E8" s="11" t="n">
        <v>42.99</v>
      </c>
      <c r="F8" s="11" t="s">
        <v>1394</v>
      </c>
      <c r="G8" s="11" t="n">
        <v>1</v>
      </c>
      <c r="H8" s="11" t="s">
        <v>1408</v>
      </c>
      <c r="I8" s="11" t="s">
        <v>308</v>
      </c>
      <c r="J8" s="11" t="s">
        <v>1396</v>
      </c>
      <c r="K8" s="11" t="s">
        <v>1397</v>
      </c>
      <c r="L8" s="11" t="s">
        <v>1398</v>
      </c>
      <c r="M8" s="11" t="s">
        <v>1399</v>
      </c>
      <c r="N8" s="11"/>
      <c r="O8" s="11"/>
      <c r="P8" s="11" t="s">
        <v>1400</v>
      </c>
      <c r="Q8" s="12" t="s">
        <v>1401</v>
      </c>
    </row>
    <row r="9" customFormat="false" ht="53.7" hidden="false" customHeight="false" outlineLevel="0" collapsed="false">
      <c r="A9" s="10" t="s">
        <v>322</v>
      </c>
      <c r="B9" s="11" t="s">
        <v>323</v>
      </c>
      <c r="C9" s="11" t="n">
        <v>167</v>
      </c>
      <c r="D9" s="11" t="s">
        <v>1402</v>
      </c>
      <c r="E9" s="11"/>
      <c r="F9" s="11"/>
      <c r="G9" s="11" t="n">
        <v>0</v>
      </c>
      <c r="H9" s="11"/>
      <c r="I9" s="11"/>
      <c r="J9" s="11" t="s">
        <v>1165</v>
      </c>
      <c r="K9" s="11" t="s">
        <v>1165</v>
      </c>
      <c r="L9" s="11" t="s">
        <v>1403</v>
      </c>
      <c r="M9" s="11"/>
      <c r="N9" s="11"/>
      <c r="O9" s="11"/>
      <c r="P9" s="11" t="s">
        <v>1400</v>
      </c>
      <c r="Q9" s="12" t="s">
        <v>1401</v>
      </c>
    </row>
    <row r="10" customFormat="false" ht="53.7" hidden="false" customHeight="false" outlineLevel="0" collapsed="false">
      <c r="A10" s="10" t="s">
        <v>325</v>
      </c>
      <c r="B10" s="11" t="s">
        <v>326</v>
      </c>
      <c r="C10" s="11" t="n">
        <v>272</v>
      </c>
      <c r="D10" s="11" t="s">
        <v>1402</v>
      </c>
      <c r="E10" s="11" t="n">
        <v>319.98</v>
      </c>
      <c r="F10" s="11" t="s">
        <v>1394</v>
      </c>
      <c r="G10" s="11" t="n">
        <v>2</v>
      </c>
      <c r="H10" s="11" t="s">
        <v>1409</v>
      </c>
      <c r="I10" s="11" t="s">
        <v>308</v>
      </c>
      <c r="J10" s="11" t="s">
        <v>1396</v>
      </c>
      <c r="K10" s="11" t="s">
        <v>1397</v>
      </c>
      <c r="L10" s="11" t="s">
        <v>1398</v>
      </c>
      <c r="M10" s="11" t="s">
        <v>1399</v>
      </c>
      <c r="N10" s="11"/>
      <c r="O10" s="11"/>
      <c r="P10" s="11" t="s">
        <v>1400</v>
      </c>
      <c r="Q10" s="12" t="s">
        <v>1401</v>
      </c>
    </row>
    <row r="11" customFormat="false" ht="53.7" hidden="false" customHeight="false" outlineLevel="0" collapsed="false">
      <c r="A11" s="10" t="s">
        <v>330</v>
      </c>
      <c r="B11" s="11" t="s">
        <v>331</v>
      </c>
      <c r="C11" s="11" t="n">
        <v>16.6</v>
      </c>
      <c r="D11" s="11" t="s">
        <v>1402</v>
      </c>
      <c r="E11" s="11" t="n">
        <v>380</v>
      </c>
      <c r="F11" s="11" t="s">
        <v>1394</v>
      </c>
      <c r="G11" s="11" t="n">
        <v>1</v>
      </c>
      <c r="H11" s="11" t="s">
        <v>1410</v>
      </c>
      <c r="I11" s="11" t="s">
        <v>308</v>
      </c>
      <c r="J11" s="11" t="s">
        <v>1396</v>
      </c>
      <c r="K11" s="11" t="s">
        <v>1397</v>
      </c>
      <c r="L11" s="11" t="s">
        <v>1398</v>
      </c>
      <c r="M11" s="11" t="s">
        <v>1399</v>
      </c>
      <c r="N11" s="11"/>
      <c r="O11" s="11"/>
      <c r="P11" s="11" t="s">
        <v>1400</v>
      </c>
      <c r="Q11" s="12" t="s">
        <v>1401</v>
      </c>
    </row>
    <row r="12" customFormat="false" ht="53.7" hidden="false" customHeight="false" outlineLevel="0" collapsed="false">
      <c r="A12" s="10" t="s">
        <v>333</v>
      </c>
      <c r="B12" s="11" t="s">
        <v>334</v>
      </c>
      <c r="C12" s="11" t="n">
        <v>4</v>
      </c>
      <c r="D12" s="11" t="s">
        <v>1402</v>
      </c>
      <c r="E12" s="11"/>
      <c r="F12" s="11"/>
      <c r="G12" s="11" t="n">
        <v>0</v>
      </c>
      <c r="H12" s="11"/>
      <c r="I12" s="11"/>
      <c r="J12" s="11" t="s">
        <v>1165</v>
      </c>
      <c r="K12" s="11" t="s">
        <v>1165</v>
      </c>
      <c r="L12" s="11" t="s">
        <v>1403</v>
      </c>
      <c r="M12" s="11"/>
      <c r="N12" s="11"/>
      <c r="O12" s="11"/>
      <c r="P12" s="11" t="s">
        <v>1400</v>
      </c>
      <c r="Q12" s="12" t="s">
        <v>1401</v>
      </c>
    </row>
    <row r="13" customFormat="false" ht="53.7" hidden="false" customHeight="false" outlineLevel="0" collapsed="false">
      <c r="A13" s="10" t="s">
        <v>337</v>
      </c>
      <c r="B13" s="11" t="s">
        <v>338</v>
      </c>
      <c r="C13" s="11" t="n">
        <v>420</v>
      </c>
      <c r="D13" s="11" t="s">
        <v>1393</v>
      </c>
      <c r="E13" s="11" t="n">
        <v>909.975</v>
      </c>
      <c r="F13" s="11" t="s">
        <v>1394</v>
      </c>
      <c r="G13" s="11" t="n">
        <v>2</v>
      </c>
      <c r="H13" s="11" t="s">
        <v>1411</v>
      </c>
      <c r="I13" s="11" t="s">
        <v>308</v>
      </c>
      <c r="J13" s="11" t="s">
        <v>1396</v>
      </c>
      <c r="K13" s="11" t="s">
        <v>1397</v>
      </c>
      <c r="L13" s="11" t="s">
        <v>1398</v>
      </c>
      <c r="M13" s="11" t="s">
        <v>1399</v>
      </c>
      <c r="N13" s="11"/>
      <c r="O13" s="11"/>
      <c r="P13" s="11" t="s">
        <v>1400</v>
      </c>
      <c r="Q13" s="12" t="s">
        <v>1401</v>
      </c>
    </row>
    <row r="14" customFormat="false" ht="32.8" hidden="false" customHeight="false" outlineLevel="0" collapsed="false">
      <c r="A14" s="10" t="s">
        <v>341</v>
      </c>
      <c r="B14" s="11" t="s">
        <v>342</v>
      </c>
      <c r="C14" s="11" t="n">
        <v>45</v>
      </c>
      <c r="D14" s="11" t="s">
        <v>1393</v>
      </c>
      <c r="E14" s="11" t="n">
        <v>1931.2</v>
      </c>
      <c r="F14" s="11" t="s">
        <v>1394</v>
      </c>
      <c r="G14" s="11" t="n">
        <v>4</v>
      </c>
      <c r="H14" s="11" t="s">
        <v>1412</v>
      </c>
      <c r="I14" s="11" t="s">
        <v>308</v>
      </c>
      <c r="J14" s="11" t="s">
        <v>1396</v>
      </c>
      <c r="K14" s="11" t="s">
        <v>1405</v>
      </c>
      <c r="L14" s="11" t="s">
        <v>1406</v>
      </c>
      <c r="M14" s="11" t="s">
        <v>1399</v>
      </c>
      <c r="N14" s="11"/>
      <c r="O14" s="11"/>
      <c r="P14" s="11" t="s">
        <v>1400</v>
      </c>
      <c r="Q14" s="12" t="s">
        <v>1407</v>
      </c>
    </row>
    <row r="15" customFormat="false" ht="53.7" hidden="false" customHeight="false" outlineLevel="0" collapsed="false">
      <c r="A15" s="10" t="s">
        <v>344</v>
      </c>
      <c r="B15" s="11" t="s">
        <v>345</v>
      </c>
      <c r="C15" s="11" t="n">
        <v>6</v>
      </c>
      <c r="D15" s="11" t="s">
        <v>1402</v>
      </c>
      <c r="E15" s="11"/>
      <c r="F15" s="11"/>
      <c r="G15" s="11" t="n">
        <v>0</v>
      </c>
      <c r="H15" s="11"/>
      <c r="I15" s="11"/>
      <c r="J15" s="11" t="s">
        <v>1165</v>
      </c>
      <c r="K15" s="11" t="s">
        <v>1165</v>
      </c>
      <c r="L15" s="11" t="s">
        <v>1403</v>
      </c>
      <c r="M15" s="11"/>
      <c r="N15" s="11"/>
      <c r="O15" s="11"/>
      <c r="P15" s="11" t="s">
        <v>1400</v>
      </c>
      <c r="Q15" s="12" t="s">
        <v>1401</v>
      </c>
    </row>
    <row r="16" customFormat="false" ht="53.7" hidden="false" customHeight="false" outlineLevel="0" collapsed="false">
      <c r="A16" s="10" t="s">
        <v>359</v>
      </c>
      <c r="B16" s="11" t="s">
        <v>360</v>
      </c>
      <c r="C16" s="11" t="n">
        <v>45</v>
      </c>
      <c r="D16" s="11" t="s">
        <v>1393</v>
      </c>
      <c r="E16" s="11" t="n">
        <v>1799.9</v>
      </c>
      <c r="F16" s="11" t="s">
        <v>1394</v>
      </c>
      <c r="G16" s="11" t="n">
        <v>2</v>
      </c>
      <c r="H16" s="11" t="s">
        <v>1413</v>
      </c>
      <c r="I16" s="11" t="s">
        <v>308</v>
      </c>
      <c r="J16" s="11" t="s">
        <v>1396</v>
      </c>
      <c r="K16" s="11" t="s">
        <v>1397</v>
      </c>
      <c r="L16" s="11" t="s">
        <v>1398</v>
      </c>
      <c r="M16" s="11" t="s">
        <v>1399</v>
      </c>
      <c r="N16" s="11"/>
      <c r="O16" s="11"/>
      <c r="P16" s="11" t="s">
        <v>1400</v>
      </c>
      <c r="Q16" s="12" t="s">
        <v>1401</v>
      </c>
    </row>
    <row r="17" customFormat="false" ht="53.7" hidden="false" customHeight="false" outlineLevel="0" collapsed="false">
      <c r="A17" s="10" t="s">
        <v>363</v>
      </c>
      <c r="B17" s="11" t="s">
        <v>364</v>
      </c>
      <c r="C17" s="11" t="n">
        <v>30</v>
      </c>
      <c r="D17" s="11" t="s">
        <v>1402</v>
      </c>
      <c r="E17" s="11"/>
      <c r="F17" s="11"/>
      <c r="G17" s="11" t="n">
        <v>0</v>
      </c>
      <c r="H17" s="11"/>
      <c r="I17" s="11"/>
      <c r="J17" s="11" t="s">
        <v>1165</v>
      </c>
      <c r="K17" s="11" t="s">
        <v>1165</v>
      </c>
      <c r="L17" s="11" t="s">
        <v>1403</v>
      </c>
      <c r="M17" s="11"/>
      <c r="N17" s="11"/>
      <c r="O17" s="11"/>
      <c r="P17" s="11" t="s">
        <v>1400</v>
      </c>
      <c r="Q17" s="12" t="s">
        <v>1401</v>
      </c>
    </row>
    <row r="18" customFormat="false" ht="53.7" hidden="false" customHeight="false" outlineLevel="0" collapsed="false">
      <c r="A18" s="10" t="s">
        <v>377</v>
      </c>
      <c r="B18" s="11" t="s">
        <v>378</v>
      </c>
      <c r="C18" s="11" t="n">
        <v>60</v>
      </c>
      <c r="D18" s="11" t="s">
        <v>1402</v>
      </c>
      <c r="E18" s="11"/>
      <c r="F18" s="11"/>
      <c r="G18" s="11" t="n">
        <v>0</v>
      </c>
      <c r="H18" s="11"/>
      <c r="I18" s="11"/>
      <c r="J18" s="11" t="s">
        <v>1165</v>
      </c>
      <c r="K18" s="11" t="s">
        <v>1165</v>
      </c>
      <c r="L18" s="11" t="s">
        <v>1403</v>
      </c>
      <c r="M18" s="11"/>
      <c r="N18" s="11"/>
      <c r="O18" s="11"/>
      <c r="P18" s="11" t="s">
        <v>1400</v>
      </c>
      <c r="Q18" s="12" t="s">
        <v>1401</v>
      </c>
    </row>
    <row r="19" customFormat="false" ht="53.7" hidden="false" customHeight="false" outlineLevel="0" collapsed="false">
      <c r="A19" s="10" t="s">
        <v>380</v>
      </c>
      <c r="B19" s="11" t="s">
        <v>381</v>
      </c>
      <c r="C19" s="11" t="n">
        <v>50</v>
      </c>
      <c r="D19" s="11" t="s">
        <v>1402</v>
      </c>
      <c r="E19" s="11" t="n">
        <v>479.96</v>
      </c>
      <c r="F19" s="11" t="s">
        <v>1394</v>
      </c>
      <c r="G19" s="11" t="n">
        <v>1</v>
      </c>
      <c r="H19" s="11" t="s">
        <v>1414</v>
      </c>
      <c r="I19" s="11" t="s">
        <v>308</v>
      </c>
      <c r="J19" s="11" t="s">
        <v>1396</v>
      </c>
      <c r="K19" s="11" t="s">
        <v>1397</v>
      </c>
      <c r="L19" s="11" t="s">
        <v>1398</v>
      </c>
      <c r="M19" s="11" t="s">
        <v>1399</v>
      </c>
      <c r="N19" s="11"/>
      <c r="O19" s="11"/>
      <c r="P19" s="11" t="s">
        <v>1400</v>
      </c>
      <c r="Q19" s="12" t="s">
        <v>1401</v>
      </c>
    </row>
    <row r="20" customFormat="false" ht="53.7" hidden="false" customHeight="false" outlineLevel="0" collapsed="false">
      <c r="A20" s="10" t="s">
        <v>383</v>
      </c>
      <c r="B20" s="11" t="s">
        <v>384</v>
      </c>
      <c r="C20" s="11" t="n">
        <v>50</v>
      </c>
      <c r="D20" s="11" t="s">
        <v>1402</v>
      </c>
      <c r="E20" s="11" t="n">
        <v>48.9</v>
      </c>
      <c r="F20" s="11" t="s">
        <v>1394</v>
      </c>
      <c r="G20" s="11" t="n">
        <v>1</v>
      </c>
      <c r="H20" s="11" t="s">
        <v>1415</v>
      </c>
      <c r="I20" s="11" t="s">
        <v>308</v>
      </c>
      <c r="J20" s="11" t="s">
        <v>1396</v>
      </c>
      <c r="K20" s="11" t="s">
        <v>1397</v>
      </c>
      <c r="L20" s="11" t="s">
        <v>1398</v>
      </c>
      <c r="M20" s="11" t="s">
        <v>1399</v>
      </c>
      <c r="N20" s="11"/>
      <c r="O20" s="11"/>
      <c r="P20" s="11" t="s">
        <v>1400</v>
      </c>
      <c r="Q20" s="12" t="s">
        <v>1401</v>
      </c>
    </row>
    <row r="21" customFormat="false" ht="53.7" hidden="false" customHeight="false" outlineLevel="0" collapsed="false">
      <c r="A21" s="10" t="s">
        <v>397</v>
      </c>
      <c r="B21" s="11" t="s">
        <v>86</v>
      </c>
      <c r="C21" s="11" t="n">
        <v>90</v>
      </c>
      <c r="D21" s="11" t="s">
        <v>1402</v>
      </c>
      <c r="E21" s="11" t="n">
        <v>1444.333333</v>
      </c>
      <c r="F21" s="11" t="s">
        <v>1394</v>
      </c>
      <c r="G21" s="11" t="n">
        <v>1</v>
      </c>
      <c r="H21" s="11" t="s">
        <v>1416</v>
      </c>
      <c r="I21" s="11" t="s">
        <v>308</v>
      </c>
      <c r="J21" s="11" t="s">
        <v>1396</v>
      </c>
      <c r="K21" s="11" t="s">
        <v>1397</v>
      </c>
      <c r="L21" s="11" t="s">
        <v>1398</v>
      </c>
      <c r="M21" s="11" t="s">
        <v>1399</v>
      </c>
      <c r="N21" s="11"/>
      <c r="O21" s="11"/>
      <c r="P21" s="11" t="s">
        <v>1400</v>
      </c>
      <c r="Q21" s="12" t="s">
        <v>1401</v>
      </c>
    </row>
    <row r="22" customFormat="false" ht="53.7" hidden="false" customHeight="false" outlineLevel="0" collapsed="false">
      <c r="A22" s="10" t="s">
        <v>409</v>
      </c>
      <c r="B22" s="11" t="s">
        <v>410</v>
      </c>
      <c r="C22" s="11" t="n">
        <v>13</v>
      </c>
      <c r="D22" s="11" t="s">
        <v>1402</v>
      </c>
      <c r="E22" s="11"/>
      <c r="F22" s="11"/>
      <c r="G22" s="11" t="n">
        <v>0</v>
      </c>
      <c r="H22" s="11"/>
      <c r="I22" s="11"/>
      <c r="J22" s="11" t="s">
        <v>1165</v>
      </c>
      <c r="K22" s="11" t="s">
        <v>1165</v>
      </c>
      <c r="L22" s="11" t="s">
        <v>1403</v>
      </c>
      <c r="M22" s="11"/>
      <c r="N22" s="11"/>
      <c r="O22" s="11"/>
      <c r="P22" s="11" t="s">
        <v>1400</v>
      </c>
      <c r="Q22" s="12" t="s">
        <v>1401</v>
      </c>
    </row>
    <row r="23" customFormat="false" ht="53.7" hidden="false" customHeight="false" outlineLevel="0" collapsed="false">
      <c r="A23" s="10" t="s">
        <v>412</v>
      </c>
      <c r="B23" s="11" t="s">
        <v>413</v>
      </c>
      <c r="C23" s="11" t="n">
        <v>8</v>
      </c>
      <c r="D23" s="11" t="s">
        <v>1402</v>
      </c>
      <c r="E23" s="11"/>
      <c r="F23" s="11"/>
      <c r="G23" s="11" t="n">
        <v>0</v>
      </c>
      <c r="H23" s="11"/>
      <c r="I23" s="11"/>
      <c r="J23" s="11" t="s">
        <v>1165</v>
      </c>
      <c r="K23" s="11" t="s">
        <v>1165</v>
      </c>
      <c r="L23" s="11" t="s">
        <v>1403</v>
      </c>
      <c r="M23" s="11"/>
      <c r="N23" s="11"/>
      <c r="O23" s="11"/>
      <c r="P23" s="11" t="s">
        <v>1400</v>
      </c>
      <c r="Q23" s="12" t="s">
        <v>1401</v>
      </c>
    </row>
    <row r="24" customFormat="false" ht="53.7" hidden="false" customHeight="false" outlineLevel="0" collapsed="false">
      <c r="A24" s="10" t="s">
        <v>418</v>
      </c>
      <c r="B24" s="11" t="s">
        <v>419</v>
      </c>
      <c r="C24" s="11" t="n">
        <v>150</v>
      </c>
      <c r="D24" s="11" t="s">
        <v>1402</v>
      </c>
      <c r="E24" s="11" t="n">
        <v>69.99</v>
      </c>
      <c r="F24" s="11" t="s">
        <v>1394</v>
      </c>
      <c r="G24" s="11" t="n">
        <v>1</v>
      </c>
      <c r="H24" s="11" t="s">
        <v>1417</v>
      </c>
      <c r="I24" s="11" t="s">
        <v>308</v>
      </c>
      <c r="J24" s="11" t="s">
        <v>1396</v>
      </c>
      <c r="K24" s="11" t="s">
        <v>1397</v>
      </c>
      <c r="L24" s="11" t="s">
        <v>1398</v>
      </c>
      <c r="M24" s="11" t="s">
        <v>1399</v>
      </c>
      <c r="N24" s="11"/>
      <c r="O24" s="11"/>
      <c r="P24" s="11" t="s">
        <v>1400</v>
      </c>
      <c r="Q24" s="12" t="s">
        <v>1401</v>
      </c>
    </row>
    <row r="25" customFormat="false" ht="53.7" hidden="false" customHeight="false" outlineLevel="0" collapsed="false">
      <c r="A25" s="10" t="s">
        <v>424</v>
      </c>
      <c r="B25" s="11" t="s">
        <v>425</v>
      </c>
      <c r="C25" s="11" t="n">
        <v>20</v>
      </c>
      <c r="D25" s="11" t="s">
        <v>1402</v>
      </c>
      <c r="E25" s="11"/>
      <c r="F25" s="11"/>
      <c r="G25" s="11" t="n">
        <v>0</v>
      </c>
      <c r="H25" s="11"/>
      <c r="I25" s="11"/>
      <c r="J25" s="11" t="s">
        <v>1165</v>
      </c>
      <c r="K25" s="11" t="s">
        <v>1165</v>
      </c>
      <c r="L25" s="11" t="s">
        <v>1403</v>
      </c>
      <c r="M25" s="11"/>
      <c r="N25" s="11"/>
      <c r="O25" s="11"/>
      <c r="P25" s="11" t="s">
        <v>1400</v>
      </c>
      <c r="Q25" s="12" t="s">
        <v>1401</v>
      </c>
    </row>
    <row r="26" customFormat="false" ht="53.7" hidden="false" customHeight="false" outlineLevel="0" collapsed="false">
      <c r="A26" s="10" t="s">
        <v>428</v>
      </c>
      <c r="B26" s="11" t="s">
        <v>429</v>
      </c>
      <c r="C26" s="11" t="n">
        <v>10</v>
      </c>
      <c r="D26" s="11" t="s">
        <v>1402</v>
      </c>
      <c r="E26" s="11"/>
      <c r="F26" s="11"/>
      <c r="G26" s="11" t="n">
        <v>0</v>
      </c>
      <c r="H26" s="11"/>
      <c r="I26" s="11"/>
      <c r="J26" s="11" t="s">
        <v>1165</v>
      </c>
      <c r="K26" s="11" t="s">
        <v>1165</v>
      </c>
      <c r="L26" s="11" t="s">
        <v>1403</v>
      </c>
      <c r="M26" s="11"/>
      <c r="N26" s="11"/>
      <c r="O26" s="11"/>
      <c r="P26" s="11" t="s">
        <v>1400</v>
      </c>
      <c r="Q26" s="12" t="s">
        <v>1401</v>
      </c>
    </row>
    <row r="27" customFormat="false" ht="53.7" hidden="false" customHeight="false" outlineLevel="0" collapsed="false">
      <c r="A27" s="10" t="s">
        <v>431</v>
      </c>
      <c r="B27" s="11" t="s">
        <v>432</v>
      </c>
      <c r="C27" s="11" t="n">
        <v>4</v>
      </c>
      <c r="D27" s="11" t="s">
        <v>1402</v>
      </c>
      <c r="E27" s="11"/>
      <c r="F27" s="11"/>
      <c r="G27" s="11" t="n">
        <v>0</v>
      </c>
      <c r="H27" s="11"/>
      <c r="I27" s="11"/>
      <c r="J27" s="11" t="s">
        <v>1165</v>
      </c>
      <c r="K27" s="11" t="s">
        <v>1165</v>
      </c>
      <c r="L27" s="11" t="s">
        <v>1403</v>
      </c>
      <c r="M27" s="11"/>
      <c r="N27" s="11"/>
      <c r="O27" s="11"/>
      <c r="P27" s="11" t="s">
        <v>1400</v>
      </c>
      <c r="Q27" s="12" t="s">
        <v>1401</v>
      </c>
    </row>
    <row r="28" customFormat="false" ht="53.7" hidden="false" customHeight="false" outlineLevel="0" collapsed="false">
      <c r="A28" s="10" t="s">
        <v>437</v>
      </c>
      <c r="B28" s="11" t="s">
        <v>438</v>
      </c>
      <c r="C28" s="11" t="n">
        <v>86</v>
      </c>
      <c r="D28" s="11" t="s">
        <v>1402</v>
      </c>
      <c r="E28" s="11"/>
      <c r="F28" s="11"/>
      <c r="G28" s="11" t="n">
        <v>0</v>
      </c>
      <c r="H28" s="11"/>
      <c r="I28" s="11"/>
      <c r="J28" s="11" t="s">
        <v>1165</v>
      </c>
      <c r="K28" s="11" t="s">
        <v>1165</v>
      </c>
      <c r="L28" s="11" t="s">
        <v>1403</v>
      </c>
      <c r="M28" s="11"/>
      <c r="N28" s="11"/>
      <c r="O28" s="11"/>
      <c r="P28" s="11" t="s">
        <v>1400</v>
      </c>
      <c r="Q28" s="12" t="s">
        <v>1401</v>
      </c>
    </row>
    <row r="29" customFormat="false" ht="53.7" hidden="false" customHeight="false" outlineLevel="0" collapsed="false">
      <c r="A29" s="10" t="s">
        <v>443</v>
      </c>
      <c r="B29" s="11" t="s">
        <v>444</v>
      </c>
      <c r="C29" s="11" t="n">
        <v>63</v>
      </c>
      <c r="D29" s="11" t="s">
        <v>1402</v>
      </c>
      <c r="E29" s="11"/>
      <c r="F29" s="11"/>
      <c r="G29" s="11" t="n">
        <v>0</v>
      </c>
      <c r="H29" s="11"/>
      <c r="I29" s="11"/>
      <c r="J29" s="11" t="s">
        <v>1165</v>
      </c>
      <c r="K29" s="11" t="s">
        <v>1165</v>
      </c>
      <c r="L29" s="11" t="s">
        <v>1403</v>
      </c>
      <c r="M29" s="11"/>
      <c r="N29" s="11"/>
      <c r="O29" s="11"/>
      <c r="P29" s="11" t="s">
        <v>1400</v>
      </c>
      <c r="Q29" s="12" t="s">
        <v>1401</v>
      </c>
    </row>
    <row r="30" customFormat="false" ht="53.7" hidden="false" customHeight="false" outlineLevel="0" collapsed="false">
      <c r="A30" s="10" t="s">
        <v>446</v>
      </c>
      <c r="B30" s="11" t="s">
        <v>447</v>
      </c>
      <c r="C30" s="11" t="n">
        <v>391</v>
      </c>
      <c r="D30" s="11" t="s">
        <v>1402</v>
      </c>
      <c r="E30" s="11" t="n">
        <v>401.666667</v>
      </c>
      <c r="F30" s="11" t="s">
        <v>1394</v>
      </c>
      <c r="G30" s="11" t="n">
        <v>1</v>
      </c>
      <c r="H30" s="11" t="s">
        <v>1418</v>
      </c>
      <c r="I30" s="11" t="s">
        <v>308</v>
      </c>
      <c r="J30" s="11" t="s">
        <v>1396</v>
      </c>
      <c r="K30" s="11" t="s">
        <v>1397</v>
      </c>
      <c r="L30" s="11" t="s">
        <v>1398</v>
      </c>
      <c r="M30" s="11" t="s">
        <v>1399</v>
      </c>
      <c r="N30" s="11"/>
      <c r="O30" s="11"/>
      <c r="P30" s="11" t="s">
        <v>1400</v>
      </c>
      <c r="Q30" s="12" t="s">
        <v>1401</v>
      </c>
    </row>
    <row r="31" customFormat="false" ht="53.7" hidden="false" customHeight="false" outlineLevel="0" collapsed="false">
      <c r="A31" s="10" t="s">
        <v>449</v>
      </c>
      <c r="B31" s="11" t="s">
        <v>450</v>
      </c>
      <c r="C31" s="11" t="n">
        <v>490</v>
      </c>
      <c r="D31" s="11" t="s">
        <v>1393</v>
      </c>
      <c r="E31" s="11" t="n">
        <v>1111.055556</v>
      </c>
      <c r="F31" s="11" t="s">
        <v>1394</v>
      </c>
      <c r="G31" s="11" t="n">
        <v>1</v>
      </c>
      <c r="H31" s="11" t="s">
        <v>1419</v>
      </c>
      <c r="I31" s="11" t="s">
        <v>308</v>
      </c>
      <c r="J31" s="11" t="s">
        <v>1396</v>
      </c>
      <c r="K31" s="11" t="s">
        <v>1397</v>
      </c>
      <c r="L31" s="11" t="s">
        <v>1398</v>
      </c>
      <c r="M31" s="11" t="s">
        <v>1399</v>
      </c>
      <c r="N31" s="11"/>
      <c r="O31" s="11"/>
      <c r="P31" s="11" t="s">
        <v>1400</v>
      </c>
      <c r="Q31" s="12" t="s">
        <v>1401</v>
      </c>
    </row>
    <row r="32" customFormat="false" ht="53.7" hidden="false" customHeight="false" outlineLevel="0" collapsed="false">
      <c r="A32" s="10" t="s">
        <v>452</v>
      </c>
      <c r="B32" s="11" t="s">
        <v>453</v>
      </c>
      <c r="C32" s="11" t="n">
        <v>529</v>
      </c>
      <c r="D32" s="11" t="s">
        <v>1402</v>
      </c>
      <c r="E32" s="11" t="n">
        <v>99.99</v>
      </c>
      <c r="F32" s="11" t="s">
        <v>1394</v>
      </c>
      <c r="G32" s="11" t="n">
        <v>1</v>
      </c>
      <c r="H32" s="11" t="s">
        <v>1420</v>
      </c>
      <c r="I32" s="11" t="s">
        <v>308</v>
      </c>
      <c r="J32" s="11" t="s">
        <v>1396</v>
      </c>
      <c r="K32" s="11" t="s">
        <v>1397</v>
      </c>
      <c r="L32" s="11" t="s">
        <v>1398</v>
      </c>
      <c r="M32" s="11" t="s">
        <v>1399</v>
      </c>
      <c r="N32" s="11"/>
      <c r="O32" s="11"/>
      <c r="P32" s="11" t="s">
        <v>1400</v>
      </c>
      <c r="Q32" s="12" t="s">
        <v>1401</v>
      </c>
    </row>
    <row r="33" customFormat="false" ht="53.7" hidden="false" customHeight="false" outlineLevel="0" collapsed="false">
      <c r="A33" s="10" t="s">
        <v>457</v>
      </c>
      <c r="B33" s="11" t="s">
        <v>458</v>
      </c>
      <c r="C33" s="11" t="n">
        <v>1</v>
      </c>
      <c r="D33" s="11" t="s">
        <v>1402</v>
      </c>
      <c r="E33" s="11"/>
      <c r="F33" s="11"/>
      <c r="G33" s="11" t="n">
        <v>0</v>
      </c>
      <c r="H33" s="11"/>
      <c r="I33" s="11"/>
      <c r="J33" s="11" t="s">
        <v>1165</v>
      </c>
      <c r="K33" s="11" t="s">
        <v>1165</v>
      </c>
      <c r="L33" s="11" t="s">
        <v>1403</v>
      </c>
      <c r="M33" s="11"/>
      <c r="N33" s="11"/>
      <c r="O33" s="11"/>
      <c r="P33" s="11" t="s">
        <v>1400</v>
      </c>
      <c r="Q33" s="12" t="s">
        <v>1401</v>
      </c>
    </row>
    <row r="34" customFormat="false" ht="32.8" hidden="false" customHeight="false" outlineLevel="0" collapsed="false">
      <c r="A34" s="10" t="s">
        <v>460</v>
      </c>
      <c r="B34" s="11" t="s">
        <v>461</v>
      </c>
      <c r="C34" s="11" t="n">
        <v>125</v>
      </c>
      <c r="D34" s="11" t="s">
        <v>1393</v>
      </c>
      <c r="E34" s="11" t="n">
        <v>1536.593333</v>
      </c>
      <c r="F34" s="11" t="s">
        <v>1394</v>
      </c>
      <c r="G34" s="11" t="n">
        <v>4</v>
      </c>
      <c r="H34" s="11" t="s">
        <v>1421</v>
      </c>
      <c r="I34" s="11" t="s">
        <v>308</v>
      </c>
      <c r="J34" s="11" t="s">
        <v>1396</v>
      </c>
      <c r="K34" s="11" t="s">
        <v>1405</v>
      </c>
      <c r="L34" s="11" t="s">
        <v>1406</v>
      </c>
      <c r="M34" s="11" t="s">
        <v>1399</v>
      </c>
      <c r="N34" s="11"/>
      <c r="O34" s="11"/>
      <c r="P34" s="11" t="s">
        <v>1400</v>
      </c>
      <c r="Q34" s="12" t="s">
        <v>1407</v>
      </c>
    </row>
    <row r="35" customFormat="false" ht="53.7" hidden="false" customHeight="false" outlineLevel="0" collapsed="false">
      <c r="A35" s="10" t="s">
        <v>463</v>
      </c>
      <c r="B35" s="11" t="s">
        <v>464</v>
      </c>
      <c r="C35" s="11" t="n">
        <v>264</v>
      </c>
      <c r="D35" s="11" t="s">
        <v>1402</v>
      </c>
      <c r="E35" s="11"/>
      <c r="F35" s="11"/>
      <c r="G35" s="11" t="n">
        <v>0</v>
      </c>
      <c r="H35" s="11"/>
      <c r="I35" s="11"/>
      <c r="J35" s="11" t="s">
        <v>1165</v>
      </c>
      <c r="K35" s="11" t="s">
        <v>1165</v>
      </c>
      <c r="L35" s="11" t="s">
        <v>1403</v>
      </c>
      <c r="M35" s="11"/>
      <c r="N35" s="11"/>
      <c r="O35" s="11"/>
      <c r="P35" s="11" t="s">
        <v>1400</v>
      </c>
      <c r="Q35" s="12" t="s">
        <v>1401</v>
      </c>
    </row>
    <row r="36" customFormat="false" ht="53.7" hidden="false" customHeight="false" outlineLevel="0" collapsed="false">
      <c r="A36" s="10" t="s">
        <v>470</v>
      </c>
      <c r="B36" s="11" t="s">
        <v>471</v>
      </c>
      <c r="C36" s="11" t="n">
        <v>3</v>
      </c>
      <c r="D36" s="11" t="s">
        <v>1402</v>
      </c>
      <c r="E36" s="11"/>
      <c r="F36" s="11"/>
      <c r="G36" s="11" t="n">
        <v>0</v>
      </c>
      <c r="H36" s="11"/>
      <c r="I36" s="11"/>
      <c r="J36" s="11" t="s">
        <v>1165</v>
      </c>
      <c r="K36" s="11" t="s">
        <v>1165</v>
      </c>
      <c r="L36" s="11" t="s">
        <v>1403</v>
      </c>
      <c r="M36" s="11"/>
      <c r="N36" s="11"/>
      <c r="O36" s="11"/>
      <c r="P36" s="11" t="s">
        <v>1400</v>
      </c>
      <c r="Q36" s="12" t="s">
        <v>1401</v>
      </c>
    </row>
    <row r="37" customFormat="false" ht="53.7" hidden="false" customHeight="false" outlineLevel="0" collapsed="false">
      <c r="A37" s="10" t="s">
        <v>473</v>
      </c>
      <c r="B37" s="11" t="s">
        <v>474</v>
      </c>
      <c r="C37" s="11" t="n">
        <v>8</v>
      </c>
      <c r="D37" s="11" t="s">
        <v>1402</v>
      </c>
      <c r="E37" s="11"/>
      <c r="F37" s="11"/>
      <c r="G37" s="11" t="n">
        <v>0</v>
      </c>
      <c r="H37" s="11"/>
      <c r="I37" s="11"/>
      <c r="J37" s="11" t="s">
        <v>1165</v>
      </c>
      <c r="K37" s="11" t="s">
        <v>1165</v>
      </c>
      <c r="L37" s="11" t="s">
        <v>1403</v>
      </c>
      <c r="M37" s="11"/>
      <c r="N37" s="11"/>
      <c r="O37" s="11"/>
      <c r="P37" s="11" t="s">
        <v>1400</v>
      </c>
      <c r="Q37" s="12" t="s">
        <v>1401</v>
      </c>
    </row>
    <row r="38" customFormat="false" ht="53.7" hidden="false" customHeight="false" outlineLevel="0" collapsed="false">
      <c r="A38" s="10" t="s">
        <v>476</v>
      </c>
      <c r="B38" s="11" t="s">
        <v>477</v>
      </c>
      <c r="C38" s="11" t="n">
        <v>29</v>
      </c>
      <c r="D38" s="11" t="s">
        <v>1402</v>
      </c>
      <c r="E38" s="11"/>
      <c r="F38" s="11"/>
      <c r="G38" s="11" t="n">
        <v>0</v>
      </c>
      <c r="H38" s="11"/>
      <c r="I38" s="11"/>
      <c r="J38" s="11" t="s">
        <v>1165</v>
      </c>
      <c r="K38" s="11" t="s">
        <v>1165</v>
      </c>
      <c r="L38" s="11" t="s">
        <v>1403</v>
      </c>
      <c r="M38" s="11"/>
      <c r="N38" s="11"/>
      <c r="O38" s="11"/>
      <c r="P38" s="11" t="s">
        <v>1400</v>
      </c>
      <c r="Q38" s="12" t="s">
        <v>1401</v>
      </c>
    </row>
    <row r="39" customFormat="false" ht="53.7" hidden="false" customHeight="false" outlineLevel="0" collapsed="false">
      <c r="A39" s="10" t="s">
        <v>480</v>
      </c>
      <c r="B39" s="11" t="s">
        <v>481</v>
      </c>
      <c r="C39" s="11" t="n">
        <v>90</v>
      </c>
      <c r="D39" s="11" t="s">
        <v>1402</v>
      </c>
      <c r="E39" s="11"/>
      <c r="F39" s="11"/>
      <c r="G39" s="11" t="n">
        <v>0</v>
      </c>
      <c r="H39" s="11"/>
      <c r="I39" s="11"/>
      <c r="J39" s="11" t="s">
        <v>1165</v>
      </c>
      <c r="K39" s="11" t="s">
        <v>1165</v>
      </c>
      <c r="L39" s="11" t="s">
        <v>1403</v>
      </c>
      <c r="M39" s="11"/>
      <c r="N39" s="11"/>
      <c r="O39" s="11"/>
      <c r="P39" s="11" t="s">
        <v>1400</v>
      </c>
      <c r="Q39" s="12" t="s">
        <v>1401</v>
      </c>
    </row>
    <row r="40" customFormat="false" ht="32.8" hidden="false" customHeight="false" outlineLevel="0" collapsed="false">
      <c r="A40" s="10" t="s">
        <v>483</v>
      </c>
      <c r="B40" s="11" t="s">
        <v>484</v>
      </c>
      <c r="C40" s="11" t="n">
        <v>250</v>
      </c>
      <c r="D40" s="11" t="s">
        <v>1393</v>
      </c>
      <c r="E40" s="11" t="n">
        <v>1659.98</v>
      </c>
      <c r="F40" s="11" t="s">
        <v>1394</v>
      </c>
      <c r="G40" s="11" t="n">
        <v>5</v>
      </c>
      <c r="H40" s="11" t="s">
        <v>1422</v>
      </c>
      <c r="I40" s="11" t="s">
        <v>308</v>
      </c>
      <c r="J40" s="11" t="s">
        <v>1396</v>
      </c>
      <c r="K40" s="11" t="s">
        <v>1405</v>
      </c>
      <c r="L40" s="11" t="s">
        <v>1406</v>
      </c>
      <c r="M40" s="11" t="s">
        <v>1399</v>
      </c>
      <c r="N40" s="11"/>
      <c r="O40" s="11"/>
      <c r="P40" s="11" t="s">
        <v>1400</v>
      </c>
      <c r="Q40" s="12" t="s">
        <v>1407</v>
      </c>
    </row>
    <row r="41" customFormat="false" ht="53.7" hidden="false" customHeight="false" outlineLevel="0" collapsed="false">
      <c r="A41" s="10" t="s">
        <v>486</v>
      </c>
      <c r="B41" s="11" t="s">
        <v>487</v>
      </c>
      <c r="C41" s="11" t="n">
        <v>65</v>
      </c>
      <c r="D41" s="11" t="s">
        <v>1402</v>
      </c>
      <c r="E41" s="11"/>
      <c r="F41" s="11"/>
      <c r="G41" s="11" t="n">
        <v>0</v>
      </c>
      <c r="H41" s="11"/>
      <c r="I41" s="11"/>
      <c r="J41" s="11" t="s">
        <v>1165</v>
      </c>
      <c r="K41" s="11" t="s">
        <v>1165</v>
      </c>
      <c r="L41" s="11" t="s">
        <v>1403</v>
      </c>
      <c r="M41" s="11"/>
      <c r="N41" s="11"/>
      <c r="O41" s="11"/>
      <c r="P41" s="11" t="s">
        <v>1400</v>
      </c>
      <c r="Q41" s="12" t="s">
        <v>1401</v>
      </c>
    </row>
    <row r="42" customFormat="false" ht="53.7" hidden="false" customHeight="false" outlineLevel="0" collapsed="false">
      <c r="A42" s="10" t="s">
        <v>489</v>
      </c>
      <c r="B42" s="11" t="s">
        <v>490</v>
      </c>
      <c r="C42" s="11" t="n">
        <v>160</v>
      </c>
      <c r="D42" s="11" t="s">
        <v>1402</v>
      </c>
      <c r="E42" s="11" t="n">
        <v>145</v>
      </c>
      <c r="F42" s="11" t="s">
        <v>1394</v>
      </c>
      <c r="G42" s="11" t="n">
        <v>1</v>
      </c>
      <c r="H42" s="11" t="s">
        <v>1423</v>
      </c>
      <c r="I42" s="11" t="s">
        <v>308</v>
      </c>
      <c r="J42" s="11" t="s">
        <v>1396</v>
      </c>
      <c r="K42" s="11" t="s">
        <v>1397</v>
      </c>
      <c r="L42" s="11" t="s">
        <v>1398</v>
      </c>
      <c r="M42" s="11" t="s">
        <v>1399</v>
      </c>
      <c r="N42" s="11"/>
      <c r="O42" s="11"/>
      <c r="P42" s="11" t="s">
        <v>1400</v>
      </c>
      <c r="Q42" s="12" t="s">
        <v>1401</v>
      </c>
    </row>
    <row r="43" customFormat="false" ht="53.7" hidden="false" customHeight="false" outlineLevel="0" collapsed="false">
      <c r="A43" s="10" t="s">
        <v>494</v>
      </c>
      <c r="B43" s="11" t="s">
        <v>495</v>
      </c>
      <c r="C43" s="11" t="n">
        <v>10</v>
      </c>
      <c r="D43" s="11" t="s">
        <v>1402</v>
      </c>
      <c r="E43" s="11"/>
      <c r="F43" s="11"/>
      <c r="G43" s="11" t="n">
        <v>0</v>
      </c>
      <c r="H43" s="11"/>
      <c r="I43" s="11"/>
      <c r="J43" s="11" t="s">
        <v>1165</v>
      </c>
      <c r="K43" s="11" t="s">
        <v>1165</v>
      </c>
      <c r="L43" s="11" t="s">
        <v>1403</v>
      </c>
      <c r="M43" s="11"/>
      <c r="N43" s="11"/>
      <c r="O43" s="11"/>
      <c r="P43" s="11" t="s">
        <v>1400</v>
      </c>
      <c r="Q43" s="12" t="s">
        <v>1401</v>
      </c>
    </row>
    <row r="44" customFormat="false" ht="53.7" hidden="false" customHeight="false" outlineLevel="0" collapsed="false">
      <c r="A44" s="10" t="s">
        <v>497</v>
      </c>
      <c r="B44" s="11" t="s">
        <v>498</v>
      </c>
      <c r="C44" s="11" t="n">
        <v>18</v>
      </c>
      <c r="D44" s="11" t="s">
        <v>1402</v>
      </c>
      <c r="E44" s="11"/>
      <c r="F44" s="11"/>
      <c r="G44" s="11" t="n">
        <v>0</v>
      </c>
      <c r="H44" s="11"/>
      <c r="I44" s="11"/>
      <c r="J44" s="11" t="s">
        <v>1165</v>
      </c>
      <c r="K44" s="11" t="s">
        <v>1165</v>
      </c>
      <c r="L44" s="11" t="s">
        <v>1403</v>
      </c>
      <c r="M44" s="11"/>
      <c r="N44" s="11"/>
      <c r="O44" s="11"/>
      <c r="P44" s="11" t="s">
        <v>1400</v>
      </c>
      <c r="Q44" s="12" t="s">
        <v>1401</v>
      </c>
    </row>
    <row r="45" customFormat="false" ht="53.7" hidden="false" customHeight="false" outlineLevel="0" collapsed="false">
      <c r="A45" s="10" t="s">
        <v>500</v>
      </c>
      <c r="B45" s="11" t="s">
        <v>501</v>
      </c>
      <c r="C45" s="11" t="n">
        <v>17</v>
      </c>
      <c r="D45" s="11" t="s">
        <v>1402</v>
      </c>
      <c r="E45" s="11"/>
      <c r="F45" s="11"/>
      <c r="G45" s="11" t="n">
        <v>0</v>
      </c>
      <c r="H45" s="11"/>
      <c r="I45" s="11"/>
      <c r="J45" s="11" t="s">
        <v>1165</v>
      </c>
      <c r="K45" s="11" t="s">
        <v>1165</v>
      </c>
      <c r="L45" s="11" t="s">
        <v>1403</v>
      </c>
      <c r="M45" s="11"/>
      <c r="N45" s="11"/>
      <c r="O45" s="11"/>
      <c r="P45" s="11" t="s">
        <v>1400</v>
      </c>
      <c r="Q45" s="12" t="s">
        <v>1401</v>
      </c>
    </row>
    <row r="46" customFormat="false" ht="53.7" hidden="false" customHeight="false" outlineLevel="0" collapsed="false">
      <c r="A46" s="10" t="s">
        <v>503</v>
      </c>
      <c r="B46" s="11" t="s">
        <v>504</v>
      </c>
      <c r="C46" s="11" t="n">
        <v>5</v>
      </c>
      <c r="D46" s="11" t="s">
        <v>1402</v>
      </c>
      <c r="E46" s="11"/>
      <c r="F46" s="11"/>
      <c r="G46" s="11" t="n">
        <v>0</v>
      </c>
      <c r="H46" s="11"/>
      <c r="I46" s="11"/>
      <c r="J46" s="11" t="s">
        <v>1165</v>
      </c>
      <c r="K46" s="11" t="s">
        <v>1165</v>
      </c>
      <c r="L46" s="11" t="s">
        <v>1403</v>
      </c>
      <c r="M46" s="11"/>
      <c r="N46" s="11"/>
      <c r="O46" s="11"/>
      <c r="P46" s="11" t="s">
        <v>1400</v>
      </c>
      <c r="Q46" s="12" t="s">
        <v>1401</v>
      </c>
    </row>
    <row r="47" customFormat="false" ht="53.7" hidden="false" customHeight="false" outlineLevel="0" collapsed="false">
      <c r="A47" s="10" t="s">
        <v>509</v>
      </c>
      <c r="B47" s="11" t="s">
        <v>510</v>
      </c>
      <c r="C47" s="11" t="n">
        <v>162</v>
      </c>
      <c r="D47" s="11" t="s">
        <v>1402</v>
      </c>
      <c r="E47" s="11" t="n">
        <v>305</v>
      </c>
      <c r="F47" s="11" t="s">
        <v>1394</v>
      </c>
      <c r="G47" s="11" t="n">
        <v>1</v>
      </c>
      <c r="H47" s="11" t="s">
        <v>1424</v>
      </c>
      <c r="I47" s="11" t="s">
        <v>308</v>
      </c>
      <c r="J47" s="11" t="s">
        <v>1396</v>
      </c>
      <c r="K47" s="11" t="s">
        <v>1397</v>
      </c>
      <c r="L47" s="11" t="s">
        <v>1398</v>
      </c>
      <c r="M47" s="11" t="s">
        <v>1399</v>
      </c>
      <c r="N47" s="11"/>
      <c r="O47" s="11"/>
      <c r="P47" s="11" t="s">
        <v>1400</v>
      </c>
      <c r="Q47" s="12" t="s">
        <v>1401</v>
      </c>
    </row>
    <row r="48" customFormat="false" ht="53.7" hidden="false" customHeight="false" outlineLevel="0" collapsed="false">
      <c r="A48" s="10" t="s">
        <v>512</v>
      </c>
      <c r="B48" s="11" t="s">
        <v>513</v>
      </c>
      <c r="C48" s="11" t="n">
        <v>50</v>
      </c>
      <c r="D48" s="11" t="s">
        <v>1402</v>
      </c>
      <c r="E48" s="11"/>
      <c r="F48" s="11"/>
      <c r="G48" s="11" t="n">
        <v>0</v>
      </c>
      <c r="H48" s="11"/>
      <c r="I48" s="11"/>
      <c r="J48" s="11" t="s">
        <v>1165</v>
      </c>
      <c r="K48" s="11" t="s">
        <v>1165</v>
      </c>
      <c r="L48" s="11" t="s">
        <v>1403</v>
      </c>
      <c r="M48" s="11"/>
      <c r="N48" s="11"/>
      <c r="O48" s="11"/>
      <c r="P48" s="11" t="s">
        <v>1400</v>
      </c>
      <c r="Q48" s="12" t="s">
        <v>1401</v>
      </c>
    </row>
    <row r="49" customFormat="false" ht="53.7" hidden="false" customHeight="false" outlineLevel="0" collapsed="false">
      <c r="A49" s="10" t="s">
        <v>515</v>
      </c>
      <c r="B49" s="11" t="s">
        <v>516</v>
      </c>
      <c r="C49" s="11" t="n">
        <v>21</v>
      </c>
      <c r="D49" s="11" t="s">
        <v>1402</v>
      </c>
      <c r="E49" s="11"/>
      <c r="F49" s="11"/>
      <c r="G49" s="11" t="n">
        <v>0</v>
      </c>
      <c r="H49" s="11"/>
      <c r="I49" s="11"/>
      <c r="J49" s="11" t="s">
        <v>1165</v>
      </c>
      <c r="K49" s="11" t="s">
        <v>1165</v>
      </c>
      <c r="L49" s="11" t="s">
        <v>1403</v>
      </c>
      <c r="M49" s="11"/>
      <c r="N49" s="11"/>
      <c r="O49" s="11"/>
      <c r="P49" s="11" t="s">
        <v>1400</v>
      </c>
      <c r="Q49" s="12" t="s">
        <v>1401</v>
      </c>
    </row>
    <row r="50" customFormat="false" ht="53.7" hidden="false" customHeight="false" outlineLevel="0" collapsed="false">
      <c r="A50" s="10" t="s">
        <v>518</v>
      </c>
      <c r="B50" s="11" t="s">
        <v>519</v>
      </c>
      <c r="C50" s="11" t="n">
        <v>60</v>
      </c>
      <c r="D50" s="11" t="s">
        <v>1402</v>
      </c>
      <c r="E50" s="11" t="n">
        <v>130</v>
      </c>
      <c r="F50" s="11" t="s">
        <v>1394</v>
      </c>
      <c r="G50" s="11" t="n">
        <v>1</v>
      </c>
      <c r="H50" s="11" t="s">
        <v>1425</v>
      </c>
      <c r="I50" s="11" t="s">
        <v>308</v>
      </c>
      <c r="J50" s="11" t="s">
        <v>1396</v>
      </c>
      <c r="K50" s="11" t="s">
        <v>1397</v>
      </c>
      <c r="L50" s="11" t="s">
        <v>1398</v>
      </c>
      <c r="M50" s="11" t="s">
        <v>1399</v>
      </c>
      <c r="N50" s="11"/>
      <c r="O50" s="11"/>
      <c r="P50" s="11" t="s">
        <v>1400</v>
      </c>
      <c r="Q50" s="12" t="s">
        <v>1401</v>
      </c>
    </row>
    <row r="51" customFormat="false" ht="53.7" hidden="false" customHeight="false" outlineLevel="0" collapsed="false">
      <c r="A51" s="10" t="s">
        <v>524</v>
      </c>
      <c r="B51" s="11" t="s">
        <v>525</v>
      </c>
      <c r="C51" s="11" t="n">
        <v>1</v>
      </c>
      <c r="D51" s="11" t="s">
        <v>1402</v>
      </c>
      <c r="E51" s="11"/>
      <c r="F51" s="11"/>
      <c r="G51" s="11" t="n">
        <v>0</v>
      </c>
      <c r="H51" s="11"/>
      <c r="I51" s="11"/>
      <c r="J51" s="11" t="s">
        <v>1165</v>
      </c>
      <c r="K51" s="11" t="s">
        <v>1165</v>
      </c>
      <c r="L51" s="11" t="s">
        <v>1403</v>
      </c>
      <c r="M51" s="11"/>
      <c r="N51" s="11"/>
      <c r="O51" s="11"/>
      <c r="P51" s="11" t="s">
        <v>1400</v>
      </c>
      <c r="Q51" s="12" t="s">
        <v>1401</v>
      </c>
    </row>
    <row r="52" customFormat="false" ht="53.7" hidden="false" customHeight="false" outlineLevel="0" collapsed="false">
      <c r="A52" s="10" t="s">
        <v>527</v>
      </c>
      <c r="B52" s="11" t="s">
        <v>528</v>
      </c>
      <c r="C52" s="11" t="n">
        <v>95</v>
      </c>
      <c r="D52" s="11" t="s">
        <v>1402</v>
      </c>
      <c r="E52" s="11"/>
      <c r="F52" s="11"/>
      <c r="G52" s="11" t="n">
        <v>0</v>
      </c>
      <c r="H52" s="11"/>
      <c r="I52" s="11"/>
      <c r="J52" s="11" t="s">
        <v>1165</v>
      </c>
      <c r="K52" s="11" t="s">
        <v>1165</v>
      </c>
      <c r="L52" s="11" t="s">
        <v>1403</v>
      </c>
      <c r="M52" s="11"/>
      <c r="N52" s="11"/>
      <c r="O52" s="11"/>
      <c r="P52" s="11" t="s">
        <v>1400</v>
      </c>
      <c r="Q52" s="12" t="s">
        <v>1401</v>
      </c>
    </row>
    <row r="53" customFormat="false" ht="53.7" hidden="false" customHeight="false" outlineLevel="0" collapsed="false">
      <c r="A53" s="10" t="s">
        <v>532</v>
      </c>
      <c r="B53" s="11" t="s">
        <v>533</v>
      </c>
      <c r="C53" s="11" t="n">
        <v>65</v>
      </c>
      <c r="D53" s="11" t="s">
        <v>1402</v>
      </c>
      <c r="E53" s="11"/>
      <c r="F53" s="11"/>
      <c r="G53" s="11" t="n">
        <v>0</v>
      </c>
      <c r="H53" s="11"/>
      <c r="I53" s="11"/>
      <c r="J53" s="11" t="s">
        <v>1165</v>
      </c>
      <c r="K53" s="11" t="s">
        <v>1165</v>
      </c>
      <c r="L53" s="11" t="s">
        <v>1403</v>
      </c>
      <c r="M53" s="11"/>
      <c r="N53" s="11"/>
      <c r="O53" s="11"/>
      <c r="P53" s="11" t="s">
        <v>1400</v>
      </c>
      <c r="Q53" s="12" t="s">
        <v>1401</v>
      </c>
    </row>
    <row r="54" customFormat="false" ht="53.7" hidden="false" customHeight="false" outlineLevel="0" collapsed="false">
      <c r="A54" s="10" t="s">
        <v>535</v>
      </c>
      <c r="B54" s="11" t="s">
        <v>536</v>
      </c>
      <c r="C54" s="11" t="n">
        <v>38</v>
      </c>
      <c r="D54" s="11" t="s">
        <v>1402</v>
      </c>
      <c r="E54" s="11"/>
      <c r="F54" s="11"/>
      <c r="G54" s="11" t="n">
        <v>0</v>
      </c>
      <c r="H54" s="11"/>
      <c r="I54" s="11"/>
      <c r="J54" s="11" t="s">
        <v>1165</v>
      </c>
      <c r="K54" s="11" t="s">
        <v>1165</v>
      </c>
      <c r="L54" s="11" t="s">
        <v>1403</v>
      </c>
      <c r="M54" s="11"/>
      <c r="N54" s="11"/>
      <c r="O54" s="11"/>
      <c r="P54" s="11" t="s">
        <v>1400</v>
      </c>
      <c r="Q54" s="12" t="s">
        <v>1401</v>
      </c>
    </row>
    <row r="55" customFormat="false" ht="53.7" hidden="false" customHeight="false" outlineLevel="0" collapsed="false">
      <c r="A55" s="10" t="s">
        <v>538</v>
      </c>
      <c r="B55" s="11" t="s">
        <v>539</v>
      </c>
      <c r="C55" s="11" t="n">
        <v>57</v>
      </c>
      <c r="D55" s="11" t="s">
        <v>1402</v>
      </c>
      <c r="E55" s="11"/>
      <c r="F55" s="11"/>
      <c r="G55" s="11" t="n">
        <v>0</v>
      </c>
      <c r="H55" s="11"/>
      <c r="I55" s="11"/>
      <c r="J55" s="11" t="s">
        <v>1165</v>
      </c>
      <c r="K55" s="11" t="s">
        <v>1165</v>
      </c>
      <c r="L55" s="11" t="s">
        <v>1403</v>
      </c>
      <c r="M55" s="11"/>
      <c r="N55" s="11"/>
      <c r="O55" s="11"/>
      <c r="P55" s="11" t="s">
        <v>1400</v>
      </c>
      <c r="Q55" s="12" t="s">
        <v>1401</v>
      </c>
    </row>
    <row r="56" customFormat="false" ht="53.7" hidden="false" customHeight="false" outlineLevel="0" collapsed="false">
      <c r="A56" s="10" t="s">
        <v>541</v>
      </c>
      <c r="B56" s="11" t="s">
        <v>542</v>
      </c>
      <c r="C56" s="11" t="n">
        <v>28</v>
      </c>
      <c r="D56" s="11" t="s">
        <v>1402</v>
      </c>
      <c r="E56" s="11"/>
      <c r="F56" s="11"/>
      <c r="G56" s="11" t="n">
        <v>0</v>
      </c>
      <c r="H56" s="11"/>
      <c r="I56" s="11"/>
      <c r="J56" s="11" t="s">
        <v>1165</v>
      </c>
      <c r="K56" s="11" t="s">
        <v>1165</v>
      </c>
      <c r="L56" s="11" t="s">
        <v>1403</v>
      </c>
      <c r="M56" s="11"/>
      <c r="N56" s="11"/>
      <c r="O56" s="11"/>
      <c r="P56" s="11" t="s">
        <v>1400</v>
      </c>
      <c r="Q56" s="12" t="s">
        <v>1401</v>
      </c>
    </row>
    <row r="57" customFormat="false" ht="53.7" hidden="false" customHeight="false" outlineLevel="0" collapsed="false">
      <c r="A57" s="10" t="s">
        <v>544</v>
      </c>
      <c r="B57" s="11" t="s">
        <v>545</v>
      </c>
      <c r="C57" s="11" t="n">
        <v>16</v>
      </c>
      <c r="D57" s="11" t="s">
        <v>1402</v>
      </c>
      <c r="E57" s="11"/>
      <c r="F57" s="11"/>
      <c r="G57" s="11" t="n">
        <v>0</v>
      </c>
      <c r="H57" s="11"/>
      <c r="I57" s="11"/>
      <c r="J57" s="11" t="s">
        <v>1165</v>
      </c>
      <c r="K57" s="11" t="s">
        <v>1165</v>
      </c>
      <c r="L57" s="11" t="s">
        <v>1403</v>
      </c>
      <c r="M57" s="11"/>
      <c r="N57" s="11"/>
      <c r="O57" s="11"/>
      <c r="P57" s="11" t="s">
        <v>1400</v>
      </c>
      <c r="Q57" s="12" t="s">
        <v>1401</v>
      </c>
    </row>
    <row r="58" customFormat="false" ht="32.8" hidden="false" customHeight="false" outlineLevel="0" collapsed="false">
      <c r="A58" s="10" t="s">
        <v>549</v>
      </c>
      <c r="B58" s="11" t="s">
        <v>550</v>
      </c>
      <c r="C58" s="11" t="n">
        <v>110</v>
      </c>
      <c r="D58" s="11" t="s">
        <v>1393</v>
      </c>
      <c r="E58" s="11" t="n">
        <v>3999.966667</v>
      </c>
      <c r="F58" s="11" t="s">
        <v>1394</v>
      </c>
      <c r="G58" s="11" t="n">
        <v>3</v>
      </c>
      <c r="H58" s="11" t="s">
        <v>1426</v>
      </c>
      <c r="I58" s="11" t="s">
        <v>308</v>
      </c>
      <c r="J58" s="11" t="s">
        <v>1396</v>
      </c>
      <c r="K58" s="11" t="s">
        <v>1405</v>
      </c>
      <c r="L58" s="11" t="s">
        <v>1406</v>
      </c>
      <c r="M58" s="11" t="s">
        <v>1399</v>
      </c>
      <c r="N58" s="11"/>
      <c r="O58" s="11"/>
      <c r="P58" s="11" t="s">
        <v>1400</v>
      </c>
      <c r="Q58" s="12" t="s">
        <v>1407</v>
      </c>
    </row>
    <row r="59" customFormat="false" ht="53.7" hidden="false" customHeight="false" outlineLevel="0" collapsed="false">
      <c r="A59" s="10" t="s">
        <v>552</v>
      </c>
      <c r="B59" s="11" t="s">
        <v>553</v>
      </c>
      <c r="C59" s="11" t="n">
        <v>13</v>
      </c>
      <c r="D59" s="11" t="s">
        <v>1402</v>
      </c>
      <c r="E59" s="11" t="n">
        <v>160</v>
      </c>
      <c r="F59" s="11" t="s">
        <v>1394</v>
      </c>
      <c r="G59" s="11" t="n">
        <v>1</v>
      </c>
      <c r="H59" s="11" t="s">
        <v>1427</v>
      </c>
      <c r="I59" s="11" t="s">
        <v>308</v>
      </c>
      <c r="J59" s="11" t="s">
        <v>1396</v>
      </c>
      <c r="K59" s="11" t="s">
        <v>1397</v>
      </c>
      <c r="L59" s="11" t="s">
        <v>1398</v>
      </c>
      <c r="M59" s="11" t="s">
        <v>1399</v>
      </c>
      <c r="N59" s="11"/>
      <c r="O59" s="11"/>
      <c r="P59" s="11" t="s">
        <v>1400</v>
      </c>
      <c r="Q59" s="12" t="s">
        <v>1401</v>
      </c>
    </row>
    <row r="60" customFormat="false" ht="53.7" hidden="false" customHeight="false" outlineLevel="0" collapsed="false">
      <c r="A60" s="10" t="s">
        <v>556</v>
      </c>
      <c r="B60" s="11" t="s">
        <v>557</v>
      </c>
      <c r="C60" s="11" t="n">
        <v>6</v>
      </c>
      <c r="D60" s="11" t="s">
        <v>1402</v>
      </c>
      <c r="E60" s="11"/>
      <c r="F60" s="11"/>
      <c r="G60" s="11" t="n">
        <v>0</v>
      </c>
      <c r="H60" s="11"/>
      <c r="I60" s="11"/>
      <c r="J60" s="11" t="s">
        <v>1165</v>
      </c>
      <c r="K60" s="11" t="s">
        <v>1165</v>
      </c>
      <c r="L60" s="11" t="s">
        <v>1403</v>
      </c>
      <c r="M60" s="11"/>
      <c r="N60" s="11"/>
      <c r="O60" s="11"/>
      <c r="P60" s="11" t="s">
        <v>1400</v>
      </c>
      <c r="Q60" s="12" t="s">
        <v>1401</v>
      </c>
    </row>
    <row r="61" customFormat="false" ht="53.7" hidden="false" customHeight="false" outlineLevel="0" collapsed="false">
      <c r="A61" s="10" t="s">
        <v>560</v>
      </c>
      <c r="B61" s="11" t="s">
        <v>561</v>
      </c>
      <c r="C61" s="11" t="n">
        <v>110</v>
      </c>
      <c r="D61" s="11" t="s">
        <v>1402</v>
      </c>
      <c r="E61" s="11" t="n">
        <v>519.96</v>
      </c>
      <c r="F61" s="11" t="s">
        <v>1394</v>
      </c>
      <c r="G61" s="11" t="n">
        <v>1</v>
      </c>
      <c r="H61" s="11" t="s">
        <v>1428</v>
      </c>
      <c r="I61" s="11" t="s">
        <v>308</v>
      </c>
      <c r="J61" s="11" t="s">
        <v>1396</v>
      </c>
      <c r="K61" s="11" t="s">
        <v>1397</v>
      </c>
      <c r="L61" s="11" t="s">
        <v>1398</v>
      </c>
      <c r="M61" s="11" t="s">
        <v>1399</v>
      </c>
      <c r="N61" s="11"/>
      <c r="O61" s="11"/>
      <c r="P61" s="11" t="s">
        <v>1400</v>
      </c>
      <c r="Q61" s="12" t="s">
        <v>1401</v>
      </c>
    </row>
    <row r="62" customFormat="false" ht="53.7" hidden="false" customHeight="false" outlineLevel="0" collapsed="false">
      <c r="A62" s="10" t="s">
        <v>563</v>
      </c>
      <c r="B62" s="11" t="s">
        <v>564</v>
      </c>
      <c r="C62" s="11" t="n">
        <v>135</v>
      </c>
      <c r="D62" s="11" t="s">
        <v>1402</v>
      </c>
      <c r="E62" s="11"/>
      <c r="F62" s="11"/>
      <c r="G62" s="11" t="n">
        <v>0</v>
      </c>
      <c r="H62" s="11"/>
      <c r="I62" s="11"/>
      <c r="J62" s="11" t="s">
        <v>1165</v>
      </c>
      <c r="K62" s="11" t="s">
        <v>1165</v>
      </c>
      <c r="L62" s="11" t="s">
        <v>1403</v>
      </c>
      <c r="M62" s="11"/>
      <c r="N62" s="11"/>
      <c r="O62" s="11"/>
      <c r="P62" s="11" t="s">
        <v>1400</v>
      </c>
      <c r="Q62" s="12" t="s">
        <v>1401</v>
      </c>
    </row>
    <row r="63" customFormat="false" ht="53.7" hidden="false" customHeight="false" outlineLevel="0" collapsed="false">
      <c r="A63" s="10" t="s">
        <v>571</v>
      </c>
      <c r="B63" s="11" t="s">
        <v>572</v>
      </c>
      <c r="C63" s="11" t="n">
        <v>26.5</v>
      </c>
      <c r="D63" s="11" t="s">
        <v>1402</v>
      </c>
      <c r="E63" s="11"/>
      <c r="F63" s="11"/>
      <c r="G63" s="11" t="n">
        <v>0</v>
      </c>
      <c r="H63" s="11"/>
      <c r="I63" s="11"/>
      <c r="J63" s="11" t="s">
        <v>1165</v>
      </c>
      <c r="K63" s="11" t="s">
        <v>1165</v>
      </c>
      <c r="L63" s="11" t="s">
        <v>1403</v>
      </c>
      <c r="M63" s="11"/>
      <c r="N63" s="11"/>
      <c r="O63" s="11"/>
      <c r="P63" s="11" t="s">
        <v>1400</v>
      </c>
      <c r="Q63" s="12" t="s">
        <v>1401</v>
      </c>
    </row>
    <row r="64" customFormat="false" ht="53.7" hidden="false" customHeight="false" outlineLevel="0" collapsed="false">
      <c r="A64" s="10" t="s">
        <v>574</v>
      </c>
      <c r="B64" s="11" t="s">
        <v>575</v>
      </c>
      <c r="C64" s="11" t="n">
        <v>65</v>
      </c>
      <c r="D64" s="11" t="s">
        <v>1402</v>
      </c>
      <c r="E64" s="11"/>
      <c r="F64" s="11"/>
      <c r="G64" s="11" t="n">
        <v>0</v>
      </c>
      <c r="H64" s="11"/>
      <c r="I64" s="11"/>
      <c r="J64" s="11" t="s">
        <v>1165</v>
      </c>
      <c r="K64" s="11" t="s">
        <v>1165</v>
      </c>
      <c r="L64" s="11" t="s">
        <v>1403</v>
      </c>
      <c r="M64" s="11"/>
      <c r="N64" s="11"/>
      <c r="O64" s="11"/>
      <c r="P64" s="11" t="s">
        <v>1400</v>
      </c>
      <c r="Q64" s="12" t="s">
        <v>1401</v>
      </c>
    </row>
    <row r="65" customFormat="false" ht="53.7" hidden="false" customHeight="false" outlineLevel="0" collapsed="false">
      <c r="A65" s="10" t="s">
        <v>577</v>
      </c>
      <c r="B65" s="11" t="s">
        <v>578</v>
      </c>
      <c r="C65" s="11" t="n">
        <v>65</v>
      </c>
      <c r="D65" s="11" t="s">
        <v>1402</v>
      </c>
      <c r="E65" s="11"/>
      <c r="F65" s="11"/>
      <c r="G65" s="11" t="n">
        <v>0</v>
      </c>
      <c r="H65" s="11"/>
      <c r="I65" s="11"/>
      <c r="J65" s="11" t="s">
        <v>1165</v>
      </c>
      <c r="K65" s="11" t="s">
        <v>1165</v>
      </c>
      <c r="L65" s="11" t="s">
        <v>1403</v>
      </c>
      <c r="M65" s="11"/>
      <c r="N65" s="11"/>
      <c r="O65" s="11"/>
      <c r="P65" s="11" t="s">
        <v>1400</v>
      </c>
      <c r="Q65" s="12" t="s">
        <v>1401</v>
      </c>
    </row>
    <row r="66" customFormat="false" ht="53.7" hidden="false" customHeight="false" outlineLevel="0" collapsed="false">
      <c r="A66" s="10" t="s">
        <v>583</v>
      </c>
      <c r="B66" s="11" t="s">
        <v>584</v>
      </c>
      <c r="C66" s="11" t="n">
        <v>5</v>
      </c>
      <c r="D66" s="11" t="s">
        <v>1402</v>
      </c>
      <c r="E66" s="11"/>
      <c r="F66" s="11"/>
      <c r="G66" s="11" t="n">
        <v>0</v>
      </c>
      <c r="H66" s="11"/>
      <c r="I66" s="11"/>
      <c r="J66" s="11" t="s">
        <v>1165</v>
      </c>
      <c r="K66" s="11" t="s">
        <v>1165</v>
      </c>
      <c r="L66" s="11" t="s">
        <v>1403</v>
      </c>
      <c r="M66" s="11"/>
      <c r="N66" s="11"/>
      <c r="O66" s="11"/>
      <c r="P66" s="11" t="s">
        <v>1400</v>
      </c>
      <c r="Q66" s="12" t="s">
        <v>1401</v>
      </c>
    </row>
    <row r="67" customFormat="false" ht="53.7" hidden="false" customHeight="false" outlineLevel="0" collapsed="false">
      <c r="A67" s="10" t="s">
        <v>587</v>
      </c>
      <c r="B67" s="11" t="s">
        <v>588</v>
      </c>
      <c r="C67" s="11" t="n">
        <v>16</v>
      </c>
      <c r="D67" s="11" t="s">
        <v>1402</v>
      </c>
      <c r="E67" s="11"/>
      <c r="F67" s="11"/>
      <c r="G67" s="11" t="n">
        <v>0</v>
      </c>
      <c r="H67" s="11"/>
      <c r="I67" s="11"/>
      <c r="J67" s="11" t="s">
        <v>1165</v>
      </c>
      <c r="K67" s="11" t="s">
        <v>1165</v>
      </c>
      <c r="L67" s="11" t="s">
        <v>1403</v>
      </c>
      <c r="M67" s="11"/>
      <c r="N67" s="11"/>
      <c r="O67" s="11"/>
      <c r="P67" s="11" t="s">
        <v>1400</v>
      </c>
      <c r="Q67" s="12" t="s">
        <v>1401</v>
      </c>
    </row>
    <row r="68" customFormat="false" ht="53.7" hidden="false" customHeight="false" outlineLevel="0" collapsed="false">
      <c r="A68" s="10" t="s">
        <v>593</v>
      </c>
      <c r="B68" s="11" t="s">
        <v>594</v>
      </c>
      <c r="C68" s="11" t="n">
        <v>102</v>
      </c>
      <c r="D68" s="11" t="s">
        <v>1402</v>
      </c>
      <c r="E68" s="11" t="n">
        <v>49.99</v>
      </c>
      <c r="F68" s="11" t="s">
        <v>1394</v>
      </c>
      <c r="G68" s="11" t="n">
        <v>1</v>
      </c>
      <c r="H68" s="11" t="s">
        <v>1429</v>
      </c>
      <c r="I68" s="11" t="s">
        <v>308</v>
      </c>
      <c r="J68" s="11" t="s">
        <v>1396</v>
      </c>
      <c r="K68" s="11" t="s">
        <v>1397</v>
      </c>
      <c r="L68" s="11" t="s">
        <v>1398</v>
      </c>
      <c r="M68" s="11" t="s">
        <v>1399</v>
      </c>
      <c r="N68" s="11"/>
      <c r="O68" s="11"/>
      <c r="P68" s="11" t="s">
        <v>1400</v>
      </c>
      <c r="Q68" s="12" t="s">
        <v>1401</v>
      </c>
    </row>
    <row r="69" customFormat="false" ht="53.7" hidden="false" customHeight="false" outlineLevel="0" collapsed="false">
      <c r="A69" s="10" t="s">
        <v>598</v>
      </c>
      <c r="B69" s="11" t="s">
        <v>599</v>
      </c>
      <c r="C69" s="11" t="n">
        <v>5</v>
      </c>
      <c r="D69" s="11" t="s">
        <v>1402</v>
      </c>
      <c r="E69" s="11"/>
      <c r="F69" s="11"/>
      <c r="G69" s="11" t="n">
        <v>0</v>
      </c>
      <c r="H69" s="11"/>
      <c r="I69" s="11"/>
      <c r="J69" s="11" t="s">
        <v>1165</v>
      </c>
      <c r="K69" s="11" t="s">
        <v>1165</v>
      </c>
      <c r="L69" s="11" t="s">
        <v>1403</v>
      </c>
      <c r="M69" s="11"/>
      <c r="N69" s="11"/>
      <c r="O69" s="11"/>
      <c r="P69" s="11" t="s">
        <v>1400</v>
      </c>
      <c r="Q69" s="12" t="s">
        <v>1401</v>
      </c>
    </row>
    <row r="70" customFormat="false" ht="53.7" hidden="false" customHeight="false" outlineLevel="0" collapsed="false">
      <c r="A70" s="10" t="s">
        <v>606</v>
      </c>
      <c r="B70" s="11" t="s">
        <v>607</v>
      </c>
      <c r="C70" s="11" t="n">
        <v>115</v>
      </c>
      <c r="D70" s="11" t="s">
        <v>1402</v>
      </c>
      <c r="E70" s="11"/>
      <c r="F70" s="11"/>
      <c r="G70" s="11" t="n">
        <v>0</v>
      </c>
      <c r="H70" s="11"/>
      <c r="I70" s="11"/>
      <c r="J70" s="11" t="s">
        <v>1165</v>
      </c>
      <c r="K70" s="11" t="s">
        <v>1165</v>
      </c>
      <c r="L70" s="11" t="s">
        <v>1403</v>
      </c>
      <c r="M70" s="11"/>
      <c r="N70" s="11"/>
      <c r="O70" s="11"/>
      <c r="P70" s="11" t="s">
        <v>1400</v>
      </c>
      <c r="Q70" s="12" t="s">
        <v>1401</v>
      </c>
    </row>
    <row r="71" customFormat="false" ht="53.7" hidden="false" customHeight="false" outlineLevel="0" collapsed="false">
      <c r="A71" s="10" t="s">
        <v>610</v>
      </c>
      <c r="B71" s="11" t="s">
        <v>611</v>
      </c>
      <c r="C71" s="11" t="n">
        <v>34</v>
      </c>
      <c r="D71" s="11" t="s">
        <v>1402</v>
      </c>
      <c r="E71" s="11"/>
      <c r="F71" s="11"/>
      <c r="G71" s="11" t="n">
        <v>0</v>
      </c>
      <c r="H71" s="11"/>
      <c r="I71" s="11"/>
      <c r="J71" s="11" t="s">
        <v>1165</v>
      </c>
      <c r="K71" s="11" t="s">
        <v>1165</v>
      </c>
      <c r="L71" s="11" t="s">
        <v>1403</v>
      </c>
      <c r="M71" s="11"/>
      <c r="N71" s="11"/>
      <c r="O71" s="11"/>
      <c r="P71" s="11" t="s">
        <v>1400</v>
      </c>
      <c r="Q71" s="12" t="s">
        <v>1401</v>
      </c>
    </row>
    <row r="72" customFormat="false" ht="53.7" hidden="false" customHeight="false" outlineLevel="0" collapsed="false">
      <c r="A72" s="10" t="s">
        <v>618</v>
      </c>
      <c r="B72" s="11" t="s">
        <v>619</v>
      </c>
      <c r="C72" s="11" t="n">
        <v>7</v>
      </c>
      <c r="D72" s="11" t="s">
        <v>1402</v>
      </c>
      <c r="E72" s="11"/>
      <c r="F72" s="11"/>
      <c r="G72" s="11" t="n">
        <v>0</v>
      </c>
      <c r="H72" s="11"/>
      <c r="I72" s="11"/>
      <c r="J72" s="11" t="s">
        <v>1165</v>
      </c>
      <c r="K72" s="11" t="s">
        <v>1165</v>
      </c>
      <c r="L72" s="11" t="s">
        <v>1403</v>
      </c>
      <c r="M72" s="11"/>
      <c r="N72" s="11"/>
      <c r="O72" s="11"/>
      <c r="P72" s="11" t="s">
        <v>1400</v>
      </c>
      <c r="Q72" s="12" t="s">
        <v>1401</v>
      </c>
    </row>
    <row r="73" customFormat="false" ht="53.7" hidden="false" customHeight="false" outlineLevel="0" collapsed="false">
      <c r="A73" s="10" t="s">
        <v>621</v>
      </c>
      <c r="B73" s="11" t="s">
        <v>622</v>
      </c>
      <c r="C73" s="11" t="n">
        <v>3</v>
      </c>
      <c r="D73" s="11" t="s">
        <v>1402</v>
      </c>
      <c r="E73" s="11"/>
      <c r="F73" s="11"/>
      <c r="G73" s="11" t="n">
        <v>0</v>
      </c>
      <c r="H73" s="11"/>
      <c r="I73" s="11"/>
      <c r="J73" s="11" t="s">
        <v>1165</v>
      </c>
      <c r="K73" s="11" t="s">
        <v>1165</v>
      </c>
      <c r="L73" s="11" t="s">
        <v>1403</v>
      </c>
      <c r="M73" s="11"/>
      <c r="N73" s="11"/>
      <c r="O73" s="11"/>
      <c r="P73" s="11" t="s">
        <v>1400</v>
      </c>
      <c r="Q73" s="12" t="s">
        <v>1401</v>
      </c>
    </row>
    <row r="74" customFormat="false" ht="53.7" hidden="false" customHeight="false" outlineLevel="0" collapsed="false">
      <c r="A74" s="10" t="s">
        <v>625</v>
      </c>
      <c r="B74" s="11" t="s">
        <v>626</v>
      </c>
      <c r="C74" s="11" t="n">
        <v>160</v>
      </c>
      <c r="D74" s="11" t="s">
        <v>1402</v>
      </c>
      <c r="E74" s="11"/>
      <c r="F74" s="11"/>
      <c r="G74" s="11" t="n">
        <v>0</v>
      </c>
      <c r="H74" s="11"/>
      <c r="I74" s="11"/>
      <c r="J74" s="11" t="s">
        <v>1165</v>
      </c>
      <c r="K74" s="11" t="s">
        <v>1165</v>
      </c>
      <c r="L74" s="11" t="s">
        <v>1403</v>
      </c>
      <c r="M74" s="11"/>
      <c r="N74" s="11"/>
      <c r="O74" s="11"/>
      <c r="P74" s="11" t="s">
        <v>1400</v>
      </c>
      <c r="Q74" s="12" t="s">
        <v>1401</v>
      </c>
    </row>
    <row r="75" customFormat="false" ht="53.7" hidden="false" customHeight="false" outlineLevel="0" collapsed="false">
      <c r="A75" s="10" t="s">
        <v>630</v>
      </c>
      <c r="B75" s="11" t="s">
        <v>631</v>
      </c>
      <c r="C75" s="11" t="n">
        <v>78</v>
      </c>
      <c r="D75" s="11" t="s">
        <v>1402</v>
      </c>
      <c r="E75" s="11" t="n">
        <v>39</v>
      </c>
      <c r="F75" s="11" t="s">
        <v>1394</v>
      </c>
      <c r="G75" s="11" t="n">
        <v>1</v>
      </c>
      <c r="H75" s="11" t="s">
        <v>1430</v>
      </c>
      <c r="I75" s="11" t="s">
        <v>308</v>
      </c>
      <c r="J75" s="11" t="s">
        <v>1396</v>
      </c>
      <c r="K75" s="11" t="s">
        <v>1397</v>
      </c>
      <c r="L75" s="11" t="s">
        <v>1398</v>
      </c>
      <c r="M75" s="11" t="s">
        <v>1399</v>
      </c>
      <c r="N75" s="11"/>
      <c r="O75" s="11"/>
      <c r="P75" s="11" t="s">
        <v>1400</v>
      </c>
      <c r="Q75" s="12" t="s">
        <v>1401</v>
      </c>
    </row>
    <row r="76" customFormat="false" ht="53.7" hidden="false" customHeight="false" outlineLevel="0" collapsed="false">
      <c r="A76" s="10" t="s">
        <v>637</v>
      </c>
      <c r="B76" s="11" t="s">
        <v>638</v>
      </c>
      <c r="C76" s="11" t="n">
        <v>222</v>
      </c>
      <c r="D76" s="11" t="s">
        <v>1402</v>
      </c>
      <c r="E76" s="11" t="n">
        <v>99.99</v>
      </c>
      <c r="F76" s="11" t="s">
        <v>1394</v>
      </c>
      <c r="G76" s="11" t="n">
        <v>1</v>
      </c>
      <c r="H76" s="11" t="s">
        <v>1431</v>
      </c>
      <c r="I76" s="11" t="s">
        <v>308</v>
      </c>
      <c r="J76" s="11" t="s">
        <v>1396</v>
      </c>
      <c r="K76" s="11" t="s">
        <v>1397</v>
      </c>
      <c r="L76" s="11" t="s">
        <v>1398</v>
      </c>
      <c r="M76" s="11" t="s">
        <v>1399</v>
      </c>
      <c r="N76" s="11"/>
      <c r="O76" s="11"/>
      <c r="P76" s="11" t="s">
        <v>1400</v>
      </c>
      <c r="Q76" s="12" t="s">
        <v>1401</v>
      </c>
    </row>
    <row r="77" customFormat="false" ht="53.7" hidden="false" customHeight="false" outlineLevel="0" collapsed="false">
      <c r="A77" s="10" t="s">
        <v>640</v>
      </c>
      <c r="B77" s="11" t="s">
        <v>641</v>
      </c>
      <c r="C77" s="11" t="n">
        <v>65</v>
      </c>
      <c r="D77" s="11" t="s">
        <v>1402</v>
      </c>
      <c r="E77" s="11"/>
      <c r="F77" s="11"/>
      <c r="G77" s="11" t="n">
        <v>0</v>
      </c>
      <c r="H77" s="11"/>
      <c r="I77" s="11"/>
      <c r="J77" s="11" t="s">
        <v>1165</v>
      </c>
      <c r="K77" s="11" t="s">
        <v>1165</v>
      </c>
      <c r="L77" s="11" t="s">
        <v>1403</v>
      </c>
      <c r="M77" s="11"/>
      <c r="N77" s="11"/>
      <c r="O77" s="11"/>
      <c r="P77" s="11" t="s">
        <v>1400</v>
      </c>
      <c r="Q77" s="12" t="s">
        <v>1401</v>
      </c>
    </row>
    <row r="78" customFormat="false" ht="53.7" hidden="false" customHeight="false" outlineLevel="0" collapsed="false">
      <c r="A78" s="10" t="s">
        <v>644</v>
      </c>
      <c r="B78" s="11" t="s">
        <v>645</v>
      </c>
      <c r="C78" s="11" t="n">
        <v>19</v>
      </c>
      <c r="D78" s="11" t="s">
        <v>1402</v>
      </c>
      <c r="E78" s="11" t="n">
        <v>52.495</v>
      </c>
      <c r="F78" s="11" t="s">
        <v>1394</v>
      </c>
      <c r="G78" s="11" t="n">
        <v>2</v>
      </c>
      <c r="H78" s="11" t="s">
        <v>1432</v>
      </c>
      <c r="I78" s="11" t="s">
        <v>308</v>
      </c>
      <c r="J78" s="11" t="s">
        <v>1396</v>
      </c>
      <c r="K78" s="11" t="s">
        <v>1397</v>
      </c>
      <c r="L78" s="11" t="s">
        <v>1398</v>
      </c>
      <c r="M78" s="11" t="s">
        <v>1399</v>
      </c>
      <c r="N78" s="11"/>
      <c r="O78" s="11"/>
      <c r="P78" s="11" t="s">
        <v>1400</v>
      </c>
      <c r="Q78" s="12" t="s">
        <v>1401</v>
      </c>
    </row>
    <row r="79" customFormat="false" ht="53.7" hidden="false" customHeight="false" outlineLevel="0" collapsed="false">
      <c r="A79" s="10" t="s">
        <v>650</v>
      </c>
      <c r="B79" s="11" t="s">
        <v>651</v>
      </c>
      <c r="C79" s="11" t="n">
        <v>15</v>
      </c>
      <c r="D79" s="11" t="s">
        <v>1402</v>
      </c>
      <c r="E79" s="11"/>
      <c r="F79" s="11"/>
      <c r="G79" s="11" t="n">
        <v>0</v>
      </c>
      <c r="H79" s="11"/>
      <c r="I79" s="11"/>
      <c r="J79" s="11" t="s">
        <v>1165</v>
      </c>
      <c r="K79" s="11" t="s">
        <v>1165</v>
      </c>
      <c r="L79" s="11" t="s">
        <v>1403</v>
      </c>
      <c r="M79" s="11"/>
      <c r="N79" s="11"/>
      <c r="O79" s="11"/>
      <c r="P79" s="11" t="s">
        <v>1400</v>
      </c>
      <c r="Q79" s="12" t="s">
        <v>1401</v>
      </c>
    </row>
    <row r="80" customFormat="false" ht="32.8" hidden="false" customHeight="false" outlineLevel="0" collapsed="false">
      <c r="A80" s="10" t="s">
        <v>654</v>
      </c>
      <c r="B80" s="11" t="s">
        <v>655</v>
      </c>
      <c r="C80" s="11" t="n">
        <v>210</v>
      </c>
      <c r="D80" s="11" t="s">
        <v>1393</v>
      </c>
      <c r="E80" s="11" t="n">
        <v>1144.99</v>
      </c>
      <c r="F80" s="11" t="s">
        <v>1394</v>
      </c>
      <c r="G80" s="11" t="n">
        <v>4</v>
      </c>
      <c r="H80" s="11" t="s">
        <v>1433</v>
      </c>
      <c r="I80" s="11" t="s">
        <v>308</v>
      </c>
      <c r="J80" s="11" t="s">
        <v>1396</v>
      </c>
      <c r="K80" s="11" t="s">
        <v>1405</v>
      </c>
      <c r="L80" s="11" t="s">
        <v>1406</v>
      </c>
      <c r="M80" s="11" t="s">
        <v>1399</v>
      </c>
      <c r="N80" s="11"/>
      <c r="O80" s="11"/>
      <c r="P80" s="11" t="s">
        <v>1400</v>
      </c>
      <c r="Q80" s="12" t="s">
        <v>1407</v>
      </c>
    </row>
    <row r="81" customFormat="false" ht="32.8" hidden="false" customHeight="false" outlineLevel="0" collapsed="false">
      <c r="A81" s="10" t="s">
        <v>658</v>
      </c>
      <c r="B81" s="11" t="s">
        <v>659</v>
      </c>
      <c r="C81" s="11" t="n">
        <v>343</v>
      </c>
      <c r="D81" s="11" t="s">
        <v>1393</v>
      </c>
      <c r="E81" s="11" t="n">
        <v>899.98</v>
      </c>
      <c r="F81" s="11" t="s">
        <v>1394</v>
      </c>
      <c r="G81" s="11" t="n">
        <v>3</v>
      </c>
      <c r="H81" s="11" t="s">
        <v>1434</v>
      </c>
      <c r="I81" s="11" t="s">
        <v>308</v>
      </c>
      <c r="J81" s="11" t="s">
        <v>1396</v>
      </c>
      <c r="K81" s="11" t="s">
        <v>1405</v>
      </c>
      <c r="L81" s="11" t="s">
        <v>1406</v>
      </c>
      <c r="M81" s="11" t="s">
        <v>1399</v>
      </c>
      <c r="N81" s="11"/>
      <c r="O81" s="11"/>
      <c r="P81" s="11" t="s">
        <v>1400</v>
      </c>
      <c r="Q81" s="12" t="s">
        <v>1407</v>
      </c>
    </row>
    <row r="82" customFormat="false" ht="53.7" hidden="false" customHeight="false" outlineLevel="0" collapsed="false">
      <c r="A82" s="10" t="s">
        <v>663</v>
      </c>
      <c r="B82" s="11" t="s">
        <v>664</v>
      </c>
      <c r="C82" s="11" t="n">
        <v>12</v>
      </c>
      <c r="D82" s="11" t="s">
        <v>1402</v>
      </c>
      <c r="E82" s="11"/>
      <c r="F82" s="11"/>
      <c r="G82" s="11" t="n">
        <v>0</v>
      </c>
      <c r="H82" s="11"/>
      <c r="I82" s="11"/>
      <c r="J82" s="11" t="s">
        <v>1165</v>
      </c>
      <c r="K82" s="11" t="s">
        <v>1165</v>
      </c>
      <c r="L82" s="11" t="s">
        <v>1403</v>
      </c>
      <c r="M82" s="11"/>
      <c r="N82" s="11"/>
      <c r="O82" s="11"/>
      <c r="P82" s="11" t="s">
        <v>1400</v>
      </c>
      <c r="Q82" s="12" t="s">
        <v>1401</v>
      </c>
    </row>
    <row r="83" customFormat="false" ht="53.7" hidden="false" customHeight="false" outlineLevel="0" collapsed="false">
      <c r="A83" s="10" t="s">
        <v>667</v>
      </c>
      <c r="B83" s="11" t="s">
        <v>668</v>
      </c>
      <c r="C83" s="11" t="n">
        <v>30</v>
      </c>
      <c r="D83" s="11" t="s">
        <v>1402</v>
      </c>
      <c r="E83" s="11"/>
      <c r="F83" s="11"/>
      <c r="G83" s="11" t="n">
        <v>0</v>
      </c>
      <c r="H83" s="11"/>
      <c r="I83" s="11"/>
      <c r="J83" s="11" t="s">
        <v>1165</v>
      </c>
      <c r="K83" s="11" t="s">
        <v>1165</v>
      </c>
      <c r="L83" s="11" t="s">
        <v>1403</v>
      </c>
      <c r="M83" s="11"/>
      <c r="N83" s="11"/>
      <c r="O83" s="11"/>
      <c r="P83" s="11" t="s">
        <v>1400</v>
      </c>
      <c r="Q83" s="12" t="s">
        <v>1401</v>
      </c>
    </row>
    <row r="84" customFormat="false" ht="53.7" hidden="false" customHeight="false" outlineLevel="0" collapsed="false">
      <c r="A84" s="10" t="s">
        <v>674</v>
      </c>
      <c r="B84" s="11" t="s">
        <v>675</v>
      </c>
      <c r="C84" s="11" t="n">
        <v>84</v>
      </c>
      <c r="D84" s="11" t="s">
        <v>1402</v>
      </c>
      <c r="E84" s="11"/>
      <c r="F84" s="11"/>
      <c r="G84" s="11" t="n">
        <v>0</v>
      </c>
      <c r="H84" s="11"/>
      <c r="I84" s="11"/>
      <c r="J84" s="11" t="s">
        <v>1165</v>
      </c>
      <c r="K84" s="11" t="s">
        <v>1165</v>
      </c>
      <c r="L84" s="11" t="s">
        <v>1403</v>
      </c>
      <c r="M84" s="11"/>
      <c r="N84" s="11"/>
      <c r="O84" s="11"/>
      <c r="P84" s="11" t="s">
        <v>1400</v>
      </c>
      <c r="Q84" s="12" t="s">
        <v>1401</v>
      </c>
    </row>
    <row r="85" customFormat="false" ht="53.7" hidden="false" customHeight="false" outlineLevel="0" collapsed="false">
      <c r="A85" s="10" t="s">
        <v>678</v>
      </c>
      <c r="B85" s="11" t="s">
        <v>679</v>
      </c>
      <c r="C85" s="11" t="n">
        <v>15</v>
      </c>
      <c r="D85" s="11" t="s">
        <v>1402</v>
      </c>
      <c r="E85" s="11"/>
      <c r="F85" s="11"/>
      <c r="G85" s="11" t="n">
        <v>0</v>
      </c>
      <c r="H85" s="11"/>
      <c r="I85" s="11"/>
      <c r="J85" s="11" t="s">
        <v>1165</v>
      </c>
      <c r="K85" s="11" t="s">
        <v>1165</v>
      </c>
      <c r="L85" s="11" t="s">
        <v>1403</v>
      </c>
      <c r="M85" s="11"/>
      <c r="N85" s="11"/>
      <c r="O85" s="11"/>
      <c r="P85" s="11" t="s">
        <v>1400</v>
      </c>
      <c r="Q85" s="12" t="s">
        <v>1401</v>
      </c>
    </row>
    <row r="86" customFormat="false" ht="53.7" hidden="false" customHeight="false" outlineLevel="0" collapsed="false">
      <c r="A86" s="10" t="s">
        <v>681</v>
      </c>
      <c r="B86" s="11" t="s">
        <v>682</v>
      </c>
      <c r="C86" s="11" t="n">
        <v>20</v>
      </c>
      <c r="D86" s="11" t="s">
        <v>1402</v>
      </c>
      <c r="E86" s="11"/>
      <c r="F86" s="11"/>
      <c r="G86" s="11" t="n">
        <v>0</v>
      </c>
      <c r="H86" s="11"/>
      <c r="I86" s="11"/>
      <c r="J86" s="11" t="s">
        <v>1165</v>
      </c>
      <c r="K86" s="11" t="s">
        <v>1165</v>
      </c>
      <c r="L86" s="11" t="s">
        <v>1403</v>
      </c>
      <c r="M86" s="11"/>
      <c r="N86" s="11"/>
      <c r="O86" s="11"/>
      <c r="P86" s="11" t="s">
        <v>1400</v>
      </c>
      <c r="Q86" s="12" t="s">
        <v>1401</v>
      </c>
    </row>
    <row r="87" customFormat="false" ht="53.7" hidden="false" customHeight="false" outlineLevel="0" collapsed="false">
      <c r="A87" s="10" t="s">
        <v>684</v>
      </c>
      <c r="B87" s="11" t="s">
        <v>685</v>
      </c>
      <c r="C87" s="11" t="n">
        <v>10</v>
      </c>
      <c r="D87" s="11" t="s">
        <v>1402</v>
      </c>
      <c r="E87" s="11"/>
      <c r="F87" s="11"/>
      <c r="G87" s="11" t="n">
        <v>0</v>
      </c>
      <c r="H87" s="11"/>
      <c r="I87" s="11"/>
      <c r="J87" s="11" t="s">
        <v>1165</v>
      </c>
      <c r="K87" s="11" t="s">
        <v>1165</v>
      </c>
      <c r="L87" s="11" t="s">
        <v>1403</v>
      </c>
      <c r="M87" s="11"/>
      <c r="N87" s="11"/>
      <c r="O87" s="11"/>
      <c r="P87" s="11" t="s">
        <v>1400</v>
      </c>
      <c r="Q87" s="12" t="s">
        <v>1401</v>
      </c>
    </row>
    <row r="88" customFormat="false" ht="53.7" hidden="false" customHeight="false" outlineLevel="0" collapsed="false">
      <c r="A88" s="10" t="s">
        <v>689</v>
      </c>
      <c r="B88" s="11" t="s">
        <v>690</v>
      </c>
      <c r="C88" s="11" t="n">
        <v>78</v>
      </c>
      <c r="D88" s="11" t="s">
        <v>1402</v>
      </c>
      <c r="E88" s="11"/>
      <c r="F88" s="11"/>
      <c r="G88" s="11" t="n">
        <v>0</v>
      </c>
      <c r="H88" s="11"/>
      <c r="I88" s="11"/>
      <c r="J88" s="11" t="s">
        <v>1165</v>
      </c>
      <c r="K88" s="11" t="s">
        <v>1165</v>
      </c>
      <c r="L88" s="11" t="s">
        <v>1403</v>
      </c>
      <c r="M88" s="11"/>
      <c r="N88" s="11"/>
      <c r="O88" s="11"/>
      <c r="P88" s="11" t="s">
        <v>1400</v>
      </c>
      <c r="Q88" s="12" t="s">
        <v>1401</v>
      </c>
    </row>
    <row r="89" customFormat="false" ht="53.7" hidden="false" customHeight="false" outlineLevel="0" collapsed="false">
      <c r="A89" s="10" t="s">
        <v>693</v>
      </c>
      <c r="B89" s="11" t="s">
        <v>694</v>
      </c>
      <c r="C89" s="11" t="n">
        <v>45</v>
      </c>
      <c r="D89" s="11" t="s">
        <v>1402</v>
      </c>
      <c r="E89" s="11"/>
      <c r="F89" s="11"/>
      <c r="G89" s="11" t="n">
        <v>0</v>
      </c>
      <c r="H89" s="11"/>
      <c r="I89" s="11"/>
      <c r="J89" s="11" t="s">
        <v>1165</v>
      </c>
      <c r="K89" s="11" t="s">
        <v>1165</v>
      </c>
      <c r="L89" s="11" t="s">
        <v>1403</v>
      </c>
      <c r="M89" s="11"/>
      <c r="N89" s="11"/>
      <c r="O89" s="11"/>
      <c r="P89" s="11" t="s">
        <v>1400</v>
      </c>
      <c r="Q89" s="12" t="s">
        <v>1401</v>
      </c>
    </row>
    <row r="90" customFormat="false" ht="53.7" hidden="false" customHeight="false" outlineLevel="0" collapsed="false">
      <c r="A90" s="10" t="s">
        <v>696</v>
      </c>
      <c r="B90" s="11" t="s">
        <v>697</v>
      </c>
      <c r="C90" s="11" t="n">
        <v>13</v>
      </c>
      <c r="D90" s="11" t="s">
        <v>1402</v>
      </c>
      <c r="E90" s="11"/>
      <c r="F90" s="11"/>
      <c r="G90" s="11" t="n">
        <v>0</v>
      </c>
      <c r="H90" s="11"/>
      <c r="I90" s="11"/>
      <c r="J90" s="11" t="s">
        <v>1165</v>
      </c>
      <c r="K90" s="11" t="s">
        <v>1165</v>
      </c>
      <c r="L90" s="11" t="s">
        <v>1403</v>
      </c>
      <c r="M90" s="11"/>
      <c r="N90" s="11"/>
      <c r="O90" s="11"/>
      <c r="P90" s="11" t="s">
        <v>1400</v>
      </c>
      <c r="Q90" s="12" t="s">
        <v>1401</v>
      </c>
    </row>
    <row r="91" customFormat="false" ht="53.7" hidden="false" customHeight="false" outlineLevel="0" collapsed="false">
      <c r="A91" s="10" t="s">
        <v>699</v>
      </c>
      <c r="B91" s="11" t="s">
        <v>700</v>
      </c>
      <c r="C91" s="11" t="n">
        <v>85</v>
      </c>
      <c r="D91" s="11" t="s">
        <v>1402</v>
      </c>
      <c r="E91" s="11"/>
      <c r="F91" s="11"/>
      <c r="G91" s="11" t="n">
        <v>0</v>
      </c>
      <c r="H91" s="11"/>
      <c r="I91" s="11"/>
      <c r="J91" s="11" t="s">
        <v>1165</v>
      </c>
      <c r="K91" s="11" t="s">
        <v>1165</v>
      </c>
      <c r="L91" s="11" t="s">
        <v>1403</v>
      </c>
      <c r="M91" s="11"/>
      <c r="N91" s="11"/>
      <c r="O91" s="11"/>
      <c r="P91" s="11" t="s">
        <v>1400</v>
      </c>
      <c r="Q91" s="12" t="s">
        <v>1401</v>
      </c>
    </row>
    <row r="92" customFormat="false" ht="53.7" hidden="false" customHeight="false" outlineLevel="0" collapsed="false">
      <c r="A92" s="10" t="s">
        <v>702</v>
      </c>
      <c r="B92" s="11" t="s">
        <v>703</v>
      </c>
      <c r="C92" s="11" t="n">
        <v>175</v>
      </c>
      <c r="D92" s="11" t="s">
        <v>1402</v>
      </c>
      <c r="E92" s="11" t="n">
        <v>789.99</v>
      </c>
      <c r="F92" s="11" t="s">
        <v>1394</v>
      </c>
      <c r="G92" s="11" t="n">
        <v>1</v>
      </c>
      <c r="H92" s="11" t="s">
        <v>1435</v>
      </c>
      <c r="I92" s="11" t="s">
        <v>308</v>
      </c>
      <c r="J92" s="11" t="s">
        <v>1396</v>
      </c>
      <c r="K92" s="11" t="s">
        <v>1397</v>
      </c>
      <c r="L92" s="11" t="s">
        <v>1398</v>
      </c>
      <c r="M92" s="11" t="s">
        <v>1399</v>
      </c>
      <c r="N92" s="11"/>
      <c r="O92" s="11"/>
      <c r="P92" s="11" t="s">
        <v>1400</v>
      </c>
      <c r="Q92" s="12" t="s">
        <v>1401</v>
      </c>
    </row>
    <row r="93" customFormat="false" ht="53.7" hidden="false" customHeight="false" outlineLevel="0" collapsed="false">
      <c r="A93" s="10" t="s">
        <v>707</v>
      </c>
      <c r="B93" s="11" t="s">
        <v>708</v>
      </c>
      <c r="C93" s="11" t="n">
        <v>5</v>
      </c>
      <c r="D93" s="11" t="s">
        <v>1402</v>
      </c>
      <c r="E93" s="11"/>
      <c r="F93" s="11"/>
      <c r="G93" s="11" t="n">
        <v>0</v>
      </c>
      <c r="H93" s="11"/>
      <c r="I93" s="11"/>
      <c r="J93" s="11" t="s">
        <v>1165</v>
      </c>
      <c r="K93" s="11" t="s">
        <v>1165</v>
      </c>
      <c r="L93" s="11" t="s">
        <v>1403</v>
      </c>
      <c r="M93" s="11"/>
      <c r="N93" s="11"/>
      <c r="O93" s="11"/>
      <c r="P93" s="11" t="s">
        <v>1400</v>
      </c>
      <c r="Q93" s="12" t="s">
        <v>1401</v>
      </c>
    </row>
    <row r="94" customFormat="false" ht="53.7" hidden="false" customHeight="false" outlineLevel="0" collapsed="false">
      <c r="A94" s="10" t="s">
        <v>710</v>
      </c>
      <c r="B94" s="11" t="s">
        <v>711</v>
      </c>
      <c r="C94" s="11" t="n">
        <v>20</v>
      </c>
      <c r="D94" s="11" t="s">
        <v>1402</v>
      </c>
      <c r="E94" s="11"/>
      <c r="F94" s="11"/>
      <c r="G94" s="11" t="n">
        <v>0</v>
      </c>
      <c r="H94" s="11"/>
      <c r="I94" s="11"/>
      <c r="J94" s="11" t="s">
        <v>1165</v>
      </c>
      <c r="K94" s="11" t="s">
        <v>1165</v>
      </c>
      <c r="L94" s="11" t="s">
        <v>1403</v>
      </c>
      <c r="M94" s="11"/>
      <c r="N94" s="11"/>
      <c r="O94" s="11"/>
      <c r="P94" s="11" t="s">
        <v>1400</v>
      </c>
      <c r="Q94" s="12" t="s">
        <v>1401</v>
      </c>
    </row>
    <row r="95" customFormat="false" ht="53.7" hidden="false" customHeight="false" outlineLevel="0" collapsed="false">
      <c r="A95" s="10" t="s">
        <v>713</v>
      </c>
      <c r="B95" s="11" t="s">
        <v>714</v>
      </c>
      <c r="C95" s="11" t="n">
        <v>34</v>
      </c>
      <c r="D95" s="11" t="s">
        <v>1402</v>
      </c>
      <c r="E95" s="11"/>
      <c r="F95" s="11"/>
      <c r="G95" s="11" t="n">
        <v>0</v>
      </c>
      <c r="H95" s="11"/>
      <c r="I95" s="11"/>
      <c r="J95" s="11" t="s">
        <v>1165</v>
      </c>
      <c r="K95" s="11" t="s">
        <v>1165</v>
      </c>
      <c r="L95" s="11" t="s">
        <v>1403</v>
      </c>
      <c r="M95" s="11"/>
      <c r="N95" s="11"/>
      <c r="O95" s="11"/>
      <c r="P95" s="11" t="s">
        <v>1400</v>
      </c>
      <c r="Q95" s="12" t="s">
        <v>1401</v>
      </c>
    </row>
    <row r="96" customFormat="false" ht="53.7" hidden="false" customHeight="false" outlineLevel="0" collapsed="false">
      <c r="A96" s="10" t="s">
        <v>716</v>
      </c>
      <c r="B96" s="11" t="s">
        <v>717</v>
      </c>
      <c r="C96" s="11" t="n">
        <v>23</v>
      </c>
      <c r="D96" s="11" t="s">
        <v>1402</v>
      </c>
      <c r="E96" s="11"/>
      <c r="F96" s="11"/>
      <c r="G96" s="11" t="n">
        <v>0</v>
      </c>
      <c r="H96" s="11"/>
      <c r="I96" s="11"/>
      <c r="J96" s="11" t="s">
        <v>1165</v>
      </c>
      <c r="K96" s="11" t="s">
        <v>1165</v>
      </c>
      <c r="L96" s="11" t="s">
        <v>1403</v>
      </c>
      <c r="M96" s="11"/>
      <c r="N96" s="11"/>
      <c r="O96" s="11"/>
      <c r="P96" s="11" t="s">
        <v>1400</v>
      </c>
      <c r="Q96" s="12" t="s">
        <v>1401</v>
      </c>
    </row>
    <row r="97" customFormat="false" ht="53.7" hidden="false" customHeight="false" outlineLevel="0" collapsed="false">
      <c r="A97" s="10" t="s">
        <v>719</v>
      </c>
      <c r="B97" s="11" t="s">
        <v>720</v>
      </c>
      <c r="C97" s="11" t="n">
        <v>12</v>
      </c>
      <c r="D97" s="11" t="s">
        <v>1402</v>
      </c>
      <c r="E97" s="11"/>
      <c r="F97" s="11"/>
      <c r="G97" s="11" t="n">
        <v>0</v>
      </c>
      <c r="H97" s="11"/>
      <c r="I97" s="11"/>
      <c r="J97" s="11" t="s">
        <v>1165</v>
      </c>
      <c r="K97" s="11" t="s">
        <v>1165</v>
      </c>
      <c r="L97" s="11" t="s">
        <v>1403</v>
      </c>
      <c r="M97" s="11"/>
      <c r="N97" s="11"/>
      <c r="O97" s="11"/>
      <c r="P97" s="11" t="s">
        <v>1400</v>
      </c>
      <c r="Q97" s="12" t="s">
        <v>1401</v>
      </c>
    </row>
    <row r="98" customFormat="false" ht="53.7" hidden="false" customHeight="false" outlineLevel="0" collapsed="false">
      <c r="A98" s="10" t="s">
        <v>722</v>
      </c>
      <c r="B98" s="11" t="s">
        <v>723</v>
      </c>
      <c r="C98" s="11" t="n">
        <v>20</v>
      </c>
      <c r="D98" s="11" t="s">
        <v>1402</v>
      </c>
      <c r="E98" s="11"/>
      <c r="F98" s="11"/>
      <c r="G98" s="11" t="n">
        <v>0</v>
      </c>
      <c r="H98" s="11"/>
      <c r="I98" s="11"/>
      <c r="J98" s="11" t="s">
        <v>1165</v>
      </c>
      <c r="K98" s="11" t="s">
        <v>1165</v>
      </c>
      <c r="L98" s="11" t="s">
        <v>1403</v>
      </c>
      <c r="M98" s="11"/>
      <c r="N98" s="11"/>
      <c r="O98" s="11"/>
      <c r="P98" s="11" t="s">
        <v>1400</v>
      </c>
      <c r="Q98" s="12" t="s">
        <v>1401</v>
      </c>
    </row>
    <row r="99" customFormat="false" ht="53.7" hidden="false" customHeight="false" outlineLevel="0" collapsed="false">
      <c r="A99" s="10" t="s">
        <v>726</v>
      </c>
      <c r="B99" s="11" t="s">
        <v>727</v>
      </c>
      <c r="C99" s="11" t="n">
        <v>5</v>
      </c>
      <c r="D99" s="11" t="s">
        <v>1402</v>
      </c>
      <c r="E99" s="11"/>
      <c r="F99" s="11"/>
      <c r="G99" s="11" t="n">
        <v>0</v>
      </c>
      <c r="H99" s="11"/>
      <c r="I99" s="11"/>
      <c r="J99" s="11" t="s">
        <v>1165</v>
      </c>
      <c r="K99" s="11" t="s">
        <v>1165</v>
      </c>
      <c r="L99" s="11" t="s">
        <v>1403</v>
      </c>
      <c r="M99" s="11"/>
      <c r="N99" s="11"/>
      <c r="O99" s="11"/>
      <c r="P99" s="11" t="s">
        <v>1400</v>
      </c>
      <c r="Q99" s="12" t="s">
        <v>1401</v>
      </c>
    </row>
    <row r="100" customFormat="false" ht="53.7" hidden="false" customHeight="false" outlineLevel="0" collapsed="false">
      <c r="A100" s="10" t="s">
        <v>729</v>
      </c>
      <c r="B100" s="11" t="s">
        <v>730</v>
      </c>
      <c r="C100" s="11" t="n">
        <v>12</v>
      </c>
      <c r="D100" s="11" t="s">
        <v>1402</v>
      </c>
      <c r="E100" s="11"/>
      <c r="F100" s="11"/>
      <c r="G100" s="11" t="n">
        <v>0</v>
      </c>
      <c r="H100" s="11"/>
      <c r="I100" s="11"/>
      <c r="J100" s="11" t="s">
        <v>1165</v>
      </c>
      <c r="K100" s="11" t="s">
        <v>1165</v>
      </c>
      <c r="L100" s="11" t="s">
        <v>1403</v>
      </c>
      <c r="M100" s="11"/>
      <c r="N100" s="11"/>
      <c r="O100" s="11"/>
      <c r="P100" s="11" t="s">
        <v>1400</v>
      </c>
      <c r="Q100" s="12" t="s">
        <v>1401</v>
      </c>
    </row>
    <row r="101" customFormat="false" ht="32.8" hidden="false" customHeight="false" outlineLevel="0" collapsed="false">
      <c r="A101" s="10" t="s">
        <v>732</v>
      </c>
      <c r="B101" s="11" t="s">
        <v>733</v>
      </c>
      <c r="C101" s="11" t="n">
        <v>255</v>
      </c>
      <c r="D101" s="11" t="s">
        <v>1393</v>
      </c>
      <c r="E101" s="11" t="n">
        <v>1136.99</v>
      </c>
      <c r="F101" s="11" t="s">
        <v>1394</v>
      </c>
      <c r="G101" s="11" t="n">
        <v>4</v>
      </c>
      <c r="H101" s="11" t="s">
        <v>1436</v>
      </c>
      <c r="I101" s="11" t="s">
        <v>308</v>
      </c>
      <c r="J101" s="11" t="s">
        <v>1396</v>
      </c>
      <c r="K101" s="11" t="s">
        <v>1405</v>
      </c>
      <c r="L101" s="11" t="s">
        <v>1406</v>
      </c>
      <c r="M101" s="11" t="s">
        <v>1399</v>
      </c>
      <c r="N101" s="11"/>
      <c r="O101" s="11"/>
      <c r="P101" s="11" t="s">
        <v>1400</v>
      </c>
      <c r="Q101" s="12" t="s">
        <v>1407</v>
      </c>
    </row>
    <row r="102" customFormat="false" ht="53.7" hidden="false" customHeight="false" outlineLevel="0" collapsed="false">
      <c r="A102" s="10" t="s">
        <v>737</v>
      </c>
      <c r="B102" s="11" t="s">
        <v>738</v>
      </c>
      <c r="C102" s="11" t="n">
        <v>35</v>
      </c>
      <c r="D102" s="11" t="s">
        <v>1402</v>
      </c>
      <c r="E102" s="11"/>
      <c r="F102" s="11"/>
      <c r="G102" s="11" t="n">
        <v>0</v>
      </c>
      <c r="H102" s="11"/>
      <c r="I102" s="11"/>
      <c r="J102" s="11" t="s">
        <v>1165</v>
      </c>
      <c r="K102" s="11" t="s">
        <v>1165</v>
      </c>
      <c r="L102" s="11" t="s">
        <v>1403</v>
      </c>
      <c r="M102" s="11"/>
      <c r="N102" s="11"/>
      <c r="O102" s="11"/>
      <c r="P102" s="11" t="s">
        <v>1400</v>
      </c>
      <c r="Q102" s="12" t="s">
        <v>1401</v>
      </c>
    </row>
    <row r="103" customFormat="false" ht="53.7" hidden="false" customHeight="false" outlineLevel="0" collapsed="false">
      <c r="A103" s="10" t="s">
        <v>747</v>
      </c>
      <c r="B103" s="11" t="s">
        <v>748</v>
      </c>
      <c r="C103" s="11" t="n">
        <v>18</v>
      </c>
      <c r="D103" s="11" t="s">
        <v>1402</v>
      </c>
      <c r="E103" s="11"/>
      <c r="F103" s="11"/>
      <c r="G103" s="11" t="n">
        <v>0</v>
      </c>
      <c r="H103" s="11"/>
      <c r="I103" s="11"/>
      <c r="J103" s="11" t="s">
        <v>1165</v>
      </c>
      <c r="K103" s="11" t="s">
        <v>1165</v>
      </c>
      <c r="L103" s="11" t="s">
        <v>1403</v>
      </c>
      <c r="M103" s="11"/>
      <c r="N103" s="11"/>
      <c r="O103" s="11"/>
      <c r="P103" s="11" t="s">
        <v>1400</v>
      </c>
      <c r="Q103" s="12" t="s">
        <v>1401</v>
      </c>
    </row>
    <row r="104" customFormat="false" ht="53.7" hidden="false" customHeight="false" outlineLevel="0" collapsed="false">
      <c r="A104" s="10" t="s">
        <v>756</v>
      </c>
      <c r="B104" s="11" t="s">
        <v>757</v>
      </c>
      <c r="C104" s="11" t="n">
        <v>55</v>
      </c>
      <c r="D104" s="11" t="s">
        <v>1402</v>
      </c>
      <c r="E104" s="11"/>
      <c r="F104" s="11"/>
      <c r="G104" s="11" t="n">
        <v>0</v>
      </c>
      <c r="H104" s="11"/>
      <c r="I104" s="11"/>
      <c r="J104" s="11" t="s">
        <v>1165</v>
      </c>
      <c r="K104" s="11" t="s">
        <v>1165</v>
      </c>
      <c r="L104" s="11" t="s">
        <v>1403</v>
      </c>
      <c r="M104" s="11"/>
      <c r="N104" s="11"/>
      <c r="O104" s="11"/>
      <c r="P104" s="11" t="s">
        <v>1400</v>
      </c>
      <c r="Q104" s="12" t="s">
        <v>1401</v>
      </c>
    </row>
    <row r="105" customFormat="false" ht="53.7" hidden="false" customHeight="false" outlineLevel="0" collapsed="false">
      <c r="A105" s="10" t="s">
        <v>761</v>
      </c>
      <c r="B105" s="11" t="s">
        <v>762</v>
      </c>
      <c r="C105" s="11" t="n">
        <v>120</v>
      </c>
      <c r="D105" s="11" t="s">
        <v>1402</v>
      </c>
      <c r="E105" s="11"/>
      <c r="F105" s="11"/>
      <c r="G105" s="11" t="n">
        <v>0</v>
      </c>
      <c r="H105" s="11"/>
      <c r="I105" s="11"/>
      <c r="J105" s="11" t="s">
        <v>1165</v>
      </c>
      <c r="K105" s="11" t="s">
        <v>1165</v>
      </c>
      <c r="L105" s="11" t="s">
        <v>1403</v>
      </c>
      <c r="M105" s="11"/>
      <c r="N105" s="11"/>
      <c r="O105" s="11"/>
      <c r="P105" s="11" t="s">
        <v>1400</v>
      </c>
      <c r="Q105" s="12" t="s">
        <v>1401</v>
      </c>
    </row>
    <row r="106" customFormat="false" ht="53.7" hidden="false" customHeight="false" outlineLevel="0" collapsed="false">
      <c r="A106" s="10" t="s">
        <v>771</v>
      </c>
      <c r="B106" s="11" t="s">
        <v>772</v>
      </c>
      <c r="C106" s="11" t="n">
        <v>36</v>
      </c>
      <c r="D106" s="11" t="s">
        <v>1402</v>
      </c>
      <c r="E106" s="11" t="n">
        <v>270</v>
      </c>
      <c r="F106" s="11" t="s">
        <v>1394</v>
      </c>
      <c r="G106" s="11" t="n">
        <v>1</v>
      </c>
      <c r="H106" s="11" t="s">
        <v>1437</v>
      </c>
      <c r="I106" s="11" t="s">
        <v>308</v>
      </c>
      <c r="J106" s="11" t="s">
        <v>1396</v>
      </c>
      <c r="K106" s="11" t="s">
        <v>1397</v>
      </c>
      <c r="L106" s="11" t="s">
        <v>1398</v>
      </c>
      <c r="M106" s="11" t="s">
        <v>1399</v>
      </c>
      <c r="N106" s="11"/>
      <c r="O106" s="11"/>
      <c r="P106" s="11" t="s">
        <v>1400</v>
      </c>
      <c r="Q106" s="12" t="s">
        <v>1401</v>
      </c>
    </row>
    <row r="107" customFormat="false" ht="53.7" hidden="false" customHeight="false" outlineLevel="0" collapsed="false">
      <c r="A107" s="10" t="s">
        <v>774</v>
      </c>
      <c r="B107" s="11" t="s">
        <v>775</v>
      </c>
      <c r="C107" s="11" t="n">
        <v>31</v>
      </c>
      <c r="D107" s="11" t="s">
        <v>1402</v>
      </c>
      <c r="E107" s="11" t="n">
        <v>299.9875</v>
      </c>
      <c r="F107" s="11" t="s">
        <v>1394</v>
      </c>
      <c r="G107" s="11" t="n">
        <v>1</v>
      </c>
      <c r="H107" s="11" t="s">
        <v>1438</v>
      </c>
      <c r="I107" s="11" t="s">
        <v>308</v>
      </c>
      <c r="J107" s="11" t="s">
        <v>1396</v>
      </c>
      <c r="K107" s="11" t="s">
        <v>1397</v>
      </c>
      <c r="L107" s="11" t="s">
        <v>1398</v>
      </c>
      <c r="M107" s="11" t="s">
        <v>1399</v>
      </c>
      <c r="N107" s="11"/>
      <c r="O107" s="11"/>
      <c r="P107" s="11" t="s">
        <v>1400</v>
      </c>
      <c r="Q107" s="12" t="s">
        <v>1401</v>
      </c>
    </row>
    <row r="108" customFormat="false" ht="53.7" hidden="false" customHeight="false" outlineLevel="0" collapsed="false">
      <c r="A108" s="10" t="s">
        <v>780</v>
      </c>
      <c r="B108" s="11" t="s">
        <v>781</v>
      </c>
      <c r="C108" s="11" t="n">
        <v>645</v>
      </c>
      <c r="D108" s="11" t="s">
        <v>1402</v>
      </c>
      <c r="E108" s="11" t="n">
        <v>64.995</v>
      </c>
      <c r="F108" s="11" t="s">
        <v>1394</v>
      </c>
      <c r="G108" s="11" t="n">
        <v>1</v>
      </c>
      <c r="H108" s="11" t="s">
        <v>1439</v>
      </c>
      <c r="I108" s="11" t="s">
        <v>308</v>
      </c>
      <c r="J108" s="11" t="s">
        <v>1396</v>
      </c>
      <c r="K108" s="11" t="s">
        <v>1397</v>
      </c>
      <c r="L108" s="11" t="s">
        <v>1398</v>
      </c>
      <c r="M108" s="11" t="s">
        <v>1399</v>
      </c>
      <c r="N108" s="11"/>
      <c r="O108" s="11"/>
      <c r="P108" s="11" t="s">
        <v>1400</v>
      </c>
      <c r="Q108" s="12" t="s">
        <v>1401</v>
      </c>
    </row>
    <row r="109" customFormat="false" ht="53.7" hidden="false" customHeight="false" outlineLevel="0" collapsed="false">
      <c r="A109" s="10" t="s">
        <v>789</v>
      </c>
      <c r="B109" s="11" t="s">
        <v>790</v>
      </c>
      <c r="C109" s="11" t="n">
        <v>10</v>
      </c>
      <c r="D109" s="11" t="s">
        <v>1402</v>
      </c>
      <c r="E109" s="11" t="n">
        <v>1299</v>
      </c>
      <c r="F109" s="11" t="s">
        <v>1394</v>
      </c>
      <c r="G109" s="11" t="n">
        <v>1</v>
      </c>
      <c r="H109" s="11" t="s">
        <v>1440</v>
      </c>
      <c r="I109" s="11" t="s">
        <v>308</v>
      </c>
      <c r="J109" s="11" t="s">
        <v>1396</v>
      </c>
      <c r="K109" s="11" t="s">
        <v>1397</v>
      </c>
      <c r="L109" s="11" t="s">
        <v>1398</v>
      </c>
      <c r="M109" s="11" t="s">
        <v>1399</v>
      </c>
      <c r="N109" s="11"/>
      <c r="O109" s="11"/>
      <c r="P109" s="11" t="s">
        <v>1400</v>
      </c>
      <c r="Q109" s="12" t="s">
        <v>1401</v>
      </c>
    </row>
    <row r="110" customFormat="false" ht="53.7" hidden="false" customHeight="false" outlineLevel="0" collapsed="false">
      <c r="A110" s="10" t="s">
        <v>792</v>
      </c>
      <c r="B110" s="11" t="s">
        <v>793</v>
      </c>
      <c r="C110" s="11" t="n">
        <v>22</v>
      </c>
      <c r="D110" s="11" t="s">
        <v>1402</v>
      </c>
      <c r="E110" s="11"/>
      <c r="F110" s="11"/>
      <c r="G110" s="11" t="n">
        <v>0</v>
      </c>
      <c r="H110" s="11"/>
      <c r="I110" s="11"/>
      <c r="J110" s="11" t="s">
        <v>1165</v>
      </c>
      <c r="K110" s="11" t="s">
        <v>1165</v>
      </c>
      <c r="L110" s="11" t="s">
        <v>1403</v>
      </c>
      <c r="M110" s="11"/>
      <c r="N110" s="11"/>
      <c r="O110" s="11"/>
      <c r="P110" s="11" t="s">
        <v>1400</v>
      </c>
      <c r="Q110" s="12" t="s">
        <v>1401</v>
      </c>
    </row>
    <row r="111" customFormat="false" ht="32.8" hidden="false" customHeight="false" outlineLevel="0" collapsed="false">
      <c r="A111" s="10" t="s">
        <v>795</v>
      </c>
      <c r="B111" s="11" t="s">
        <v>796</v>
      </c>
      <c r="C111" s="11" t="n">
        <v>530</v>
      </c>
      <c r="D111" s="11" t="s">
        <v>1393</v>
      </c>
      <c r="E111" s="11" t="n">
        <v>783.3</v>
      </c>
      <c r="F111" s="11" t="s">
        <v>1394</v>
      </c>
      <c r="G111" s="11" t="n">
        <v>3</v>
      </c>
      <c r="H111" s="11" t="s">
        <v>1441</v>
      </c>
      <c r="I111" s="11" t="s">
        <v>308</v>
      </c>
      <c r="J111" s="11" t="s">
        <v>1396</v>
      </c>
      <c r="K111" s="11" t="s">
        <v>1405</v>
      </c>
      <c r="L111" s="11" t="s">
        <v>1406</v>
      </c>
      <c r="M111" s="11" t="s">
        <v>1399</v>
      </c>
      <c r="N111" s="11"/>
      <c r="O111" s="11"/>
      <c r="P111" s="11" t="s">
        <v>1400</v>
      </c>
      <c r="Q111" s="12" t="s">
        <v>1407</v>
      </c>
    </row>
    <row r="112" customFormat="false" ht="53.7" hidden="false" customHeight="false" outlineLevel="0" collapsed="false">
      <c r="A112" s="10" t="s">
        <v>800</v>
      </c>
      <c r="B112" s="11" t="s">
        <v>801</v>
      </c>
      <c r="C112" s="11" t="n">
        <v>370</v>
      </c>
      <c r="D112" s="11" t="s">
        <v>1393</v>
      </c>
      <c r="E112" s="11" t="n">
        <v>549.975</v>
      </c>
      <c r="F112" s="11" t="s">
        <v>1394</v>
      </c>
      <c r="G112" s="11" t="n">
        <v>1</v>
      </c>
      <c r="H112" s="11" t="s">
        <v>1442</v>
      </c>
      <c r="I112" s="11" t="s">
        <v>308</v>
      </c>
      <c r="J112" s="11" t="s">
        <v>1396</v>
      </c>
      <c r="K112" s="11" t="s">
        <v>1397</v>
      </c>
      <c r="L112" s="11" t="s">
        <v>1398</v>
      </c>
      <c r="M112" s="11" t="s">
        <v>1399</v>
      </c>
      <c r="N112" s="11"/>
      <c r="O112" s="11"/>
      <c r="P112" s="11" t="s">
        <v>1400</v>
      </c>
      <c r="Q112" s="12" t="s">
        <v>1401</v>
      </c>
    </row>
    <row r="113" customFormat="false" ht="53.7" hidden="false" customHeight="false" outlineLevel="0" collapsed="false">
      <c r="A113" s="10" t="s">
        <v>804</v>
      </c>
      <c r="B113" s="11" t="s">
        <v>805</v>
      </c>
      <c r="C113" s="11" t="n">
        <v>120</v>
      </c>
      <c r="D113" s="11" t="s">
        <v>1402</v>
      </c>
      <c r="E113" s="11" t="n">
        <v>159.96</v>
      </c>
      <c r="F113" s="11" t="s">
        <v>1394</v>
      </c>
      <c r="G113" s="11" t="n">
        <v>1</v>
      </c>
      <c r="H113" s="11" t="s">
        <v>1443</v>
      </c>
      <c r="I113" s="11" t="s">
        <v>308</v>
      </c>
      <c r="J113" s="11" t="s">
        <v>1396</v>
      </c>
      <c r="K113" s="11" t="s">
        <v>1397</v>
      </c>
      <c r="L113" s="11" t="s">
        <v>1398</v>
      </c>
      <c r="M113" s="11" t="s">
        <v>1399</v>
      </c>
      <c r="N113" s="11"/>
      <c r="O113" s="11"/>
      <c r="P113" s="11" t="s">
        <v>1400</v>
      </c>
      <c r="Q113" s="12" t="s">
        <v>1401</v>
      </c>
    </row>
    <row r="114" customFormat="false" ht="53.7" hidden="false" customHeight="false" outlineLevel="0" collapsed="false">
      <c r="A114" s="10" t="s">
        <v>811</v>
      </c>
      <c r="B114" s="11" t="s">
        <v>812</v>
      </c>
      <c r="C114" s="11" t="n">
        <v>20</v>
      </c>
      <c r="D114" s="11" t="s">
        <v>1402</v>
      </c>
      <c r="E114" s="11" t="n">
        <v>174.975</v>
      </c>
      <c r="F114" s="11" t="s">
        <v>1394</v>
      </c>
      <c r="G114" s="11" t="n">
        <v>1</v>
      </c>
      <c r="H114" s="11" t="s">
        <v>1444</v>
      </c>
      <c r="I114" s="11" t="s">
        <v>308</v>
      </c>
      <c r="J114" s="11" t="s">
        <v>1396</v>
      </c>
      <c r="K114" s="11" t="s">
        <v>1397</v>
      </c>
      <c r="L114" s="11" t="s">
        <v>1398</v>
      </c>
      <c r="M114" s="11" t="s">
        <v>1399</v>
      </c>
      <c r="N114" s="11"/>
      <c r="O114" s="11"/>
      <c r="P114" s="11" t="s">
        <v>1400</v>
      </c>
      <c r="Q114" s="12" t="s">
        <v>1401</v>
      </c>
    </row>
    <row r="115" customFormat="false" ht="53.7" hidden="false" customHeight="false" outlineLevel="0" collapsed="false">
      <c r="A115" s="10" t="s">
        <v>815</v>
      </c>
      <c r="B115" s="11" t="s">
        <v>816</v>
      </c>
      <c r="C115" s="11" t="n">
        <v>150</v>
      </c>
      <c r="D115" s="11" t="s">
        <v>1402</v>
      </c>
      <c r="E115" s="11"/>
      <c r="F115" s="11"/>
      <c r="G115" s="11" t="n">
        <v>0</v>
      </c>
      <c r="H115" s="11"/>
      <c r="I115" s="11"/>
      <c r="J115" s="11" t="s">
        <v>1165</v>
      </c>
      <c r="K115" s="11" t="s">
        <v>1165</v>
      </c>
      <c r="L115" s="11" t="s">
        <v>1403</v>
      </c>
      <c r="M115" s="11"/>
      <c r="N115" s="11"/>
      <c r="O115" s="11"/>
      <c r="P115" s="11" t="s">
        <v>1400</v>
      </c>
      <c r="Q115" s="12" t="s">
        <v>1401</v>
      </c>
    </row>
    <row r="116" customFormat="false" ht="53.7" hidden="false" customHeight="false" outlineLevel="0" collapsed="false">
      <c r="A116" s="10" t="s">
        <v>820</v>
      </c>
      <c r="B116" s="11" t="s">
        <v>821</v>
      </c>
      <c r="C116" s="11" t="n">
        <v>97</v>
      </c>
      <c r="D116" s="11" t="s">
        <v>1402</v>
      </c>
      <c r="E116" s="11"/>
      <c r="F116" s="11"/>
      <c r="G116" s="11" t="n">
        <v>0</v>
      </c>
      <c r="H116" s="11"/>
      <c r="I116" s="11"/>
      <c r="J116" s="11" t="s">
        <v>1165</v>
      </c>
      <c r="K116" s="11" t="s">
        <v>1165</v>
      </c>
      <c r="L116" s="11" t="s">
        <v>1403</v>
      </c>
      <c r="M116" s="11"/>
      <c r="N116" s="11"/>
      <c r="O116" s="11"/>
      <c r="P116" s="11" t="s">
        <v>1400</v>
      </c>
      <c r="Q116" s="12" t="s">
        <v>1401</v>
      </c>
    </row>
    <row r="117" customFormat="false" ht="53.7" hidden="false" customHeight="false" outlineLevel="0" collapsed="false">
      <c r="A117" s="13" t="s">
        <v>850</v>
      </c>
      <c r="B117" s="14" t="s">
        <v>851</v>
      </c>
      <c r="C117" s="14" t="n">
        <v>7</v>
      </c>
      <c r="D117" s="14" t="s">
        <v>1402</v>
      </c>
      <c r="E117" s="14"/>
      <c r="F117" s="14"/>
      <c r="G117" s="14" t="n">
        <v>0</v>
      </c>
      <c r="H117" s="14"/>
      <c r="I117" s="14"/>
      <c r="J117" s="14" t="s">
        <v>1165</v>
      </c>
      <c r="K117" s="14" t="s">
        <v>1165</v>
      </c>
      <c r="L117" s="14" t="s">
        <v>1403</v>
      </c>
      <c r="M117" s="14"/>
      <c r="N117" s="14"/>
      <c r="O117" s="14"/>
      <c r="P117" s="14" t="s">
        <v>1400</v>
      </c>
      <c r="Q117" s="15" t="s">
        <v>1401</v>
      </c>
    </row>
  </sheetData>
  <autoFilter ref="A1:Q117">
    <filterColumn colId="0" hiddenButton="1"/>
  </autoFilter>
  <mergeCells count="2">
    <mergeCell ref="A1:Q1"/>
    <mergeCell ref="A2:Q2"/>
  </mergeCells>
  <conditionalFormatting sqref="J5:J117">
    <cfRule type="containsText" priority="2" operator="containsText" aboveAverage="0" equalAverage="0" bottom="0" percent="0" rank="0" text="BLOCK" dxfId="79">
      <formula>NOT(ISERROR(SEARCH("BLOCK",J5)))</formula>
    </cfRule>
    <cfRule type="containsText" priority="3" operator="containsText" aboveAverage="0" equalAverage="0" bottom="0" percent="0" rank="0" text="DRAFT" dxfId="80">
      <formula>NOT(ISERROR(SEARCH("DRAFT",J5)))</formula>
    </cfRule>
    <cfRule type="containsText" priority="4" operator="containsText" aboveAverage="0" equalAverage="0" bottom="0" percent="0" rank="0" text="PASS" dxfId="81">
      <formula>NOT(ISERROR(SEARCH("PASS",J5)))</formula>
    </cfRule>
  </conditionalFormatting>
  <conditionalFormatting sqref="M5:M117">
    <cfRule type="containsText" priority="5" operator="containsText" aboveAverage="0" equalAverage="0" bottom="0" percent="0" rank="0" text="BLOCK" dxfId="82">
      <formula>NOT(ISERROR(SEARCH("BLOCK",M5)))</formula>
    </cfRule>
    <cfRule type="containsText" priority="6" operator="containsText" aboveAverage="0" equalAverage="0" bottom="0" percent="0" rank="0" text="DRAFT" dxfId="83">
      <formula>NOT(ISERROR(SEARCH("DRAFT",M5)))</formula>
    </cfRule>
    <cfRule type="containsText" priority="7" operator="containsText" aboveAverage="0" equalAverage="0" bottom="0" percent="0" rank="0" text="PASS" dxfId="84">
      <formula>NOT(ISERROR(SEARCH("PASS",M5)))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true">
    <pageSetUpPr fitToPage="false"/>
  </sheetPr>
  <dimension ref="A1:AN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8"/>
    <col collapsed="false" customWidth="true" hidden="false" outlineLevel="0" max="26" min="7" style="0" width="16"/>
    <col collapsed="false" customWidth="true" hidden="false" outlineLevel="0" max="28" min="27" style="0" width="24"/>
    <col collapsed="false" customWidth="true" hidden="false" outlineLevel="0" max="34" min="29" style="0" width="16"/>
    <col collapsed="false" customWidth="true" hidden="false" outlineLevel="0" max="35" min="35" style="0" width="24"/>
    <col collapsed="false" customWidth="true" hidden="false" outlineLevel="0" max="36" min="36" style="0" width="16"/>
    <col collapsed="false" customWidth="true" hidden="false" outlineLevel="0" max="37" min="37" style="0" width="38"/>
    <col collapsed="false" customWidth="true" hidden="false" outlineLevel="0" max="38" min="38" style="0" width="16"/>
  </cols>
  <sheetData>
    <row r="1" customFormat="false" ht="17.35" hidden="false" customHeight="false" outlineLevel="0" collapsed="false">
      <c r="A1" s="4" t="s">
        <v>1445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true" outlineLevel="0" collapsed="false">
      <c r="A2" s="5" t="s">
        <v>1446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4" customFormat="false" ht="50" hidden="false" customHeight="true" outlineLevel="0" collapsed="false">
      <c r="A4" s="6" t="s">
        <v>1447</v>
      </c>
      <c r="B4" s="6" t="s">
        <v>1038</v>
      </c>
      <c r="C4" s="6" t="s">
        <v>1448</v>
      </c>
      <c r="D4" s="6" t="s">
        <v>1042</v>
      </c>
      <c r="E4" s="6" t="s">
        <v>1043</v>
      </c>
      <c r="F4" s="6" t="s">
        <v>1044</v>
      </c>
      <c r="G4" s="6" t="s">
        <v>1045</v>
      </c>
      <c r="H4" s="6" t="s">
        <v>1051</v>
      </c>
      <c r="I4" s="6" t="s">
        <v>1052</v>
      </c>
      <c r="J4" s="6" t="s">
        <v>1053</v>
      </c>
      <c r="K4" s="6" t="s">
        <v>1054</v>
      </c>
      <c r="L4" s="6" t="s">
        <v>1449</v>
      </c>
      <c r="M4" s="6" t="s">
        <v>1450</v>
      </c>
      <c r="N4" s="6" t="s">
        <v>1451</v>
      </c>
      <c r="O4" s="6" t="s">
        <v>1059</v>
      </c>
      <c r="P4" s="6" t="s">
        <v>1060</v>
      </c>
      <c r="Q4" s="6" t="s">
        <v>1061</v>
      </c>
      <c r="R4" s="6" t="s">
        <v>1062</v>
      </c>
      <c r="S4" s="6" t="s">
        <v>1452</v>
      </c>
      <c r="T4" s="6" t="s">
        <v>1453</v>
      </c>
      <c r="U4" s="6" t="s">
        <v>1064</v>
      </c>
      <c r="V4" s="6" t="s">
        <v>1454</v>
      </c>
      <c r="W4" s="6" t="s">
        <v>1455</v>
      </c>
      <c r="X4" s="6" t="s">
        <v>1456</v>
      </c>
      <c r="Y4" s="6" t="s">
        <v>1457</v>
      </c>
      <c r="Z4" s="6" t="s">
        <v>1065</v>
      </c>
      <c r="AA4" s="6" t="s">
        <v>1066</v>
      </c>
      <c r="AB4" s="6" t="s">
        <v>1458</v>
      </c>
      <c r="AC4" s="6" t="s">
        <v>1071</v>
      </c>
      <c r="AD4" s="6" t="s">
        <v>1459</v>
      </c>
      <c r="AE4" s="6" t="s">
        <v>1072</v>
      </c>
      <c r="AF4" s="6" t="s">
        <v>1074</v>
      </c>
      <c r="AG4" s="6" t="s">
        <v>1460</v>
      </c>
      <c r="AH4" s="6" t="s">
        <v>1461</v>
      </c>
      <c r="AI4" s="6" t="s">
        <v>1075</v>
      </c>
      <c r="AJ4" s="6" t="s">
        <v>1462</v>
      </c>
      <c r="AK4" s="6" t="s">
        <v>1463</v>
      </c>
      <c r="AL4" s="6" t="s">
        <v>1464</v>
      </c>
      <c r="AM4" s="0" t="s">
        <v>1465</v>
      </c>
      <c r="AN4" s="0" t="s">
        <v>1466</v>
      </c>
    </row>
    <row r="5" customFormat="false" ht="74.6" hidden="false" customHeight="false" outlineLevel="0" collapsed="false">
      <c r="A5" s="7" t="s">
        <v>1467</v>
      </c>
      <c r="B5" s="8" t="s">
        <v>60</v>
      </c>
      <c r="C5" s="8" t="s">
        <v>1468</v>
      </c>
      <c r="D5" s="8" t="s">
        <v>1469</v>
      </c>
      <c r="E5" s="8" t="s">
        <v>1081</v>
      </c>
      <c r="F5" s="8" t="s">
        <v>1470</v>
      </c>
      <c r="G5" s="8" t="s">
        <v>1471</v>
      </c>
      <c r="H5" s="8"/>
      <c r="I5" s="8"/>
      <c r="J5" s="8"/>
      <c r="K5" s="8"/>
      <c r="L5" s="8"/>
      <c r="M5" s="8"/>
      <c r="N5" s="8"/>
      <c r="O5" s="8" t="n">
        <v>230.067829</v>
      </c>
      <c r="P5" s="8" t="n">
        <v>0</v>
      </c>
      <c r="Q5" s="8"/>
      <c r="R5" s="8" t="n">
        <v>230.067829</v>
      </c>
      <c r="S5" s="8" t="n">
        <v>766.892764</v>
      </c>
      <c r="T5" s="8" t="n">
        <v>0.3</v>
      </c>
      <c r="U5" s="8" t="n">
        <v>0.299999999739207</v>
      </c>
      <c r="V5" s="8" t="n">
        <v>536.824935</v>
      </c>
      <c r="W5" s="8"/>
      <c r="X5" s="8"/>
      <c r="Y5" s="8" t="n">
        <v>536.824935</v>
      </c>
      <c r="Z5" s="8" t="s">
        <v>1084</v>
      </c>
      <c r="AA5" s="8" t="s">
        <v>1085</v>
      </c>
      <c r="AB5" s="8" t="s">
        <v>1472</v>
      </c>
      <c r="AC5" s="8" t="s">
        <v>1473</v>
      </c>
      <c r="AD5" s="8" t="n">
        <v>0.3</v>
      </c>
      <c r="AE5" s="8" t="n">
        <v>1</v>
      </c>
      <c r="AF5" s="8" t="n">
        <v>230.067829</v>
      </c>
      <c r="AG5" s="8" t="n">
        <v>766.892764</v>
      </c>
      <c r="AH5" s="8" t="n">
        <v>536.824935</v>
      </c>
      <c r="AI5" s="8" t="s">
        <v>1089</v>
      </c>
      <c r="AJ5" s="8" t="s">
        <v>1474</v>
      </c>
      <c r="AK5" s="8" t="s">
        <v>1475</v>
      </c>
      <c r="AL5" s="9" t="s">
        <v>1476</v>
      </c>
      <c r="AM5" s="17" t="n">
        <f aca="false">IFERROR(O5/S5,"")</f>
        <v>0.299999999739207</v>
      </c>
      <c r="AN5" s="16" t="n">
        <f aca="false">IF(OR(S5="",O5=""),"", S5-O5)</f>
        <v>536.824935</v>
      </c>
    </row>
    <row r="6" customFormat="false" ht="74.6" hidden="false" customHeight="false" outlineLevel="0" collapsed="false">
      <c r="A6" s="10" t="s">
        <v>1477</v>
      </c>
      <c r="B6" s="11" t="s">
        <v>60</v>
      </c>
      <c r="C6" s="11" t="s">
        <v>1478</v>
      </c>
      <c r="D6" s="11" t="s">
        <v>1469</v>
      </c>
      <c r="E6" s="11" t="s">
        <v>1081</v>
      </c>
      <c r="F6" s="11" t="s">
        <v>1470</v>
      </c>
      <c r="G6" s="11" t="s">
        <v>1479</v>
      </c>
      <c r="H6" s="11"/>
      <c r="I6" s="11"/>
      <c r="J6" s="11"/>
      <c r="K6" s="11"/>
      <c r="L6" s="11"/>
      <c r="M6" s="11"/>
      <c r="N6" s="11"/>
      <c r="O6" s="11" t="n">
        <v>230.067829</v>
      </c>
      <c r="P6" s="11" t="n">
        <v>0</v>
      </c>
      <c r="Q6" s="11"/>
      <c r="R6" s="11" t="n">
        <v>230.067829</v>
      </c>
      <c r="S6" s="11" t="n">
        <v>575.169573</v>
      </c>
      <c r="T6" s="11" t="n">
        <v>0.4</v>
      </c>
      <c r="U6" s="11" t="n">
        <v>0.399999999652276</v>
      </c>
      <c r="V6" s="11" t="n">
        <v>345.101744</v>
      </c>
      <c r="W6" s="11"/>
      <c r="X6" s="11"/>
      <c r="Y6" s="11" t="n">
        <v>345.101744</v>
      </c>
      <c r="Z6" s="11" t="s">
        <v>1084</v>
      </c>
      <c r="AA6" s="11" t="s">
        <v>1085</v>
      </c>
      <c r="AB6" s="11" t="s">
        <v>1472</v>
      </c>
      <c r="AC6" s="11" t="s">
        <v>1473</v>
      </c>
      <c r="AD6" s="11" t="n">
        <v>0.4</v>
      </c>
      <c r="AE6" s="11" t="n">
        <v>1</v>
      </c>
      <c r="AF6" s="11" t="n">
        <v>230.067829</v>
      </c>
      <c r="AG6" s="11" t="n">
        <v>575.169573</v>
      </c>
      <c r="AH6" s="11" t="n">
        <v>345.101744</v>
      </c>
      <c r="AI6" s="11" t="s">
        <v>1089</v>
      </c>
      <c r="AJ6" s="11" t="s">
        <v>1474</v>
      </c>
      <c r="AK6" s="11" t="s">
        <v>1475</v>
      </c>
      <c r="AL6" s="12" t="s">
        <v>1476</v>
      </c>
      <c r="AM6" s="17" t="n">
        <f aca="false">IFERROR(O6/S6,"")</f>
        <v>0.399999999652276</v>
      </c>
      <c r="AN6" s="16" t="n">
        <f aca="false">IF(OR(S6="",O6=""),"", S6-O6)</f>
        <v>345.101744</v>
      </c>
    </row>
    <row r="7" customFormat="false" ht="74.6" hidden="false" customHeight="false" outlineLevel="0" collapsed="false">
      <c r="A7" s="10" t="s">
        <v>1480</v>
      </c>
      <c r="B7" s="11" t="s">
        <v>60</v>
      </c>
      <c r="C7" s="11" t="s">
        <v>1481</v>
      </c>
      <c r="D7" s="11" t="s">
        <v>1469</v>
      </c>
      <c r="E7" s="11" t="s">
        <v>1081</v>
      </c>
      <c r="F7" s="11" t="s">
        <v>1470</v>
      </c>
      <c r="G7" s="11" t="s">
        <v>1482</v>
      </c>
      <c r="H7" s="11"/>
      <c r="I7" s="11"/>
      <c r="J7" s="11"/>
      <c r="K7" s="11"/>
      <c r="L7" s="11"/>
      <c r="M7" s="11"/>
      <c r="N7" s="11"/>
      <c r="O7" s="11" t="n">
        <v>230.067829</v>
      </c>
      <c r="P7" s="11" t="n">
        <v>0</v>
      </c>
      <c r="Q7" s="11"/>
      <c r="R7" s="11" t="n">
        <v>230.067829</v>
      </c>
      <c r="S7" s="11" t="n">
        <v>766.892764</v>
      </c>
      <c r="T7" s="11" t="n">
        <v>0.3</v>
      </c>
      <c r="U7" s="11" t="n">
        <v>0.299999999739207</v>
      </c>
      <c r="V7" s="11" t="n">
        <v>536.824935</v>
      </c>
      <c r="W7" s="11"/>
      <c r="X7" s="11"/>
      <c r="Y7" s="11" t="n">
        <v>536.824935</v>
      </c>
      <c r="Z7" s="11" t="s">
        <v>1084</v>
      </c>
      <c r="AA7" s="11" t="s">
        <v>1085</v>
      </c>
      <c r="AB7" s="11" t="s">
        <v>1472</v>
      </c>
      <c r="AC7" s="11" t="s">
        <v>1473</v>
      </c>
      <c r="AD7" s="11" t="n">
        <v>0.3</v>
      </c>
      <c r="AE7" s="11" t="n">
        <v>1</v>
      </c>
      <c r="AF7" s="11" t="n">
        <v>230.067829</v>
      </c>
      <c r="AG7" s="11" t="n">
        <v>766.892764</v>
      </c>
      <c r="AH7" s="11" t="n">
        <v>536.824935</v>
      </c>
      <c r="AI7" s="11" t="s">
        <v>1089</v>
      </c>
      <c r="AJ7" s="11" t="s">
        <v>1474</v>
      </c>
      <c r="AK7" s="11" t="s">
        <v>1475</v>
      </c>
      <c r="AL7" s="12" t="s">
        <v>1476</v>
      </c>
      <c r="AM7" s="17" t="n">
        <f aca="false">IFERROR(O7/S7,"")</f>
        <v>0.299999999739207</v>
      </c>
      <c r="AN7" s="16" t="n">
        <f aca="false">IF(OR(S7="",O7=""),"", S7-O7)</f>
        <v>536.824935</v>
      </c>
    </row>
    <row r="8" customFormat="false" ht="74.6" hidden="false" customHeight="false" outlineLevel="0" collapsed="false">
      <c r="A8" s="10" t="s">
        <v>1483</v>
      </c>
      <c r="B8" s="11" t="s">
        <v>60</v>
      </c>
      <c r="C8" s="11" t="s">
        <v>1484</v>
      </c>
      <c r="D8" s="11" t="s">
        <v>1469</v>
      </c>
      <c r="E8" s="11" t="s">
        <v>1081</v>
      </c>
      <c r="F8" s="11" t="s">
        <v>1470</v>
      </c>
      <c r="G8" s="11" t="s">
        <v>1485</v>
      </c>
      <c r="H8" s="11"/>
      <c r="I8" s="11"/>
      <c r="J8" s="11"/>
      <c r="K8" s="11"/>
      <c r="L8" s="11"/>
      <c r="M8" s="11"/>
      <c r="N8" s="11"/>
      <c r="O8" s="11" t="n">
        <v>230.067829</v>
      </c>
      <c r="P8" s="11" t="n">
        <v>65</v>
      </c>
      <c r="Q8" s="11"/>
      <c r="R8" s="11" t="n">
        <v>295.067829</v>
      </c>
      <c r="S8" s="11" t="n">
        <v>983.559431</v>
      </c>
      <c r="T8" s="11" t="n">
        <v>0.3</v>
      </c>
      <c r="U8" s="11" t="n">
        <v>0.233913500037396</v>
      </c>
      <c r="V8" s="11" t="n">
        <v>753.491602</v>
      </c>
      <c r="W8" s="11"/>
      <c r="X8" s="11"/>
      <c r="Y8" s="11" t="n">
        <v>688.491602</v>
      </c>
      <c r="Z8" s="11" t="s">
        <v>1084</v>
      </c>
      <c r="AA8" s="11" t="s">
        <v>1085</v>
      </c>
      <c r="AB8" s="11" t="s">
        <v>1472</v>
      </c>
      <c r="AC8" s="11" t="s">
        <v>1473</v>
      </c>
      <c r="AD8" s="11" t="n">
        <v>0.233914</v>
      </c>
      <c r="AE8" s="11" t="n">
        <v>1</v>
      </c>
      <c r="AF8" s="11" t="n">
        <v>295.067829</v>
      </c>
      <c r="AG8" s="11" t="n">
        <v>983.559431</v>
      </c>
      <c r="AH8" s="11" t="n">
        <v>753.491602</v>
      </c>
      <c r="AI8" s="11" t="s">
        <v>1089</v>
      </c>
      <c r="AJ8" s="11" t="s">
        <v>1486</v>
      </c>
      <c r="AK8" s="11" t="s">
        <v>1475</v>
      </c>
      <c r="AL8" s="12" t="s">
        <v>1476</v>
      </c>
      <c r="AM8" s="17" t="n">
        <f aca="false">IFERROR(O8/S8,"")</f>
        <v>0.233913500037396</v>
      </c>
      <c r="AN8" s="16" t="n">
        <f aca="false">IF(OR(S8="",O8=""),"", S8-O8)</f>
        <v>753.491602</v>
      </c>
    </row>
    <row r="9" customFormat="false" ht="74.6" hidden="false" customHeight="false" outlineLevel="0" collapsed="false">
      <c r="A9" s="10" t="s">
        <v>1487</v>
      </c>
      <c r="B9" s="11" t="s">
        <v>73</v>
      </c>
      <c r="C9" s="11" t="s">
        <v>1468</v>
      </c>
      <c r="D9" s="11" t="s">
        <v>1469</v>
      </c>
      <c r="E9" s="11" t="s">
        <v>1081</v>
      </c>
      <c r="F9" s="11" t="s">
        <v>1470</v>
      </c>
      <c r="G9" s="11" t="s">
        <v>1488</v>
      </c>
      <c r="H9" s="11"/>
      <c r="I9" s="11"/>
      <c r="J9" s="11"/>
      <c r="K9" s="11"/>
      <c r="L9" s="11"/>
      <c r="M9" s="11"/>
      <c r="N9" s="11"/>
      <c r="O9" s="11" t="n">
        <v>334.18321</v>
      </c>
      <c r="P9" s="11" t="n">
        <v>0</v>
      </c>
      <c r="Q9" s="11"/>
      <c r="R9" s="11" t="n">
        <v>334.18321</v>
      </c>
      <c r="S9" s="11" t="n">
        <v>1113.944034</v>
      </c>
      <c r="T9" s="11" t="n">
        <v>0.3</v>
      </c>
      <c r="U9" s="11" t="n">
        <v>0.299999999820458</v>
      </c>
      <c r="V9" s="11" t="n">
        <v>779.760824</v>
      </c>
      <c r="W9" s="11"/>
      <c r="X9" s="11"/>
      <c r="Y9" s="11" t="n">
        <v>779.760824</v>
      </c>
      <c r="Z9" s="11" t="s">
        <v>1084</v>
      </c>
      <c r="AA9" s="11" t="s">
        <v>1085</v>
      </c>
      <c r="AB9" s="11" t="s">
        <v>1472</v>
      </c>
      <c r="AC9" s="11" t="s">
        <v>1473</v>
      </c>
      <c r="AD9" s="11" t="n">
        <v>0.3</v>
      </c>
      <c r="AE9" s="11" t="n">
        <v>1</v>
      </c>
      <c r="AF9" s="11" t="n">
        <v>334.18321</v>
      </c>
      <c r="AG9" s="11" t="n">
        <v>1113.944034</v>
      </c>
      <c r="AH9" s="11" t="n">
        <v>779.760824</v>
      </c>
      <c r="AI9" s="11" t="s">
        <v>1089</v>
      </c>
      <c r="AJ9" s="11" t="s">
        <v>1474</v>
      </c>
      <c r="AK9" s="11" t="s">
        <v>1475</v>
      </c>
      <c r="AL9" s="12" t="s">
        <v>1476</v>
      </c>
      <c r="AM9" s="17" t="n">
        <f aca="false">IFERROR(O9/S9,"")</f>
        <v>0.299999999820458</v>
      </c>
      <c r="AN9" s="16" t="n">
        <f aca="false">IF(OR(S9="",O9=""),"", S9-O9)</f>
        <v>779.760824</v>
      </c>
    </row>
    <row r="10" customFormat="false" ht="74.6" hidden="false" customHeight="false" outlineLevel="0" collapsed="false">
      <c r="A10" s="10" t="s">
        <v>1489</v>
      </c>
      <c r="B10" s="11" t="s">
        <v>73</v>
      </c>
      <c r="C10" s="11" t="s">
        <v>1478</v>
      </c>
      <c r="D10" s="11" t="s">
        <v>1469</v>
      </c>
      <c r="E10" s="11" t="s">
        <v>1081</v>
      </c>
      <c r="F10" s="11" t="s">
        <v>1470</v>
      </c>
      <c r="G10" s="11" t="s">
        <v>1490</v>
      </c>
      <c r="H10" s="11"/>
      <c r="I10" s="11"/>
      <c r="J10" s="11"/>
      <c r="K10" s="11"/>
      <c r="L10" s="11"/>
      <c r="M10" s="11"/>
      <c r="N10" s="11"/>
      <c r="O10" s="11" t="n">
        <v>334.18321</v>
      </c>
      <c r="P10" s="11" t="n">
        <v>0</v>
      </c>
      <c r="Q10" s="11"/>
      <c r="R10" s="11" t="n">
        <v>334.18321</v>
      </c>
      <c r="S10" s="11" t="n">
        <v>835.458026</v>
      </c>
      <c r="T10" s="11" t="n">
        <v>0.4</v>
      </c>
      <c r="U10" s="11" t="n">
        <v>0.399999999521221</v>
      </c>
      <c r="V10" s="11" t="n">
        <v>501.274815</v>
      </c>
      <c r="W10" s="11"/>
      <c r="X10" s="11"/>
      <c r="Y10" s="11" t="n">
        <v>501.274815</v>
      </c>
      <c r="Z10" s="11" t="s">
        <v>1084</v>
      </c>
      <c r="AA10" s="11" t="s">
        <v>1085</v>
      </c>
      <c r="AB10" s="11" t="s">
        <v>1472</v>
      </c>
      <c r="AC10" s="11" t="s">
        <v>1473</v>
      </c>
      <c r="AD10" s="11" t="n">
        <v>0.4</v>
      </c>
      <c r="AE10" s="11" t="n">
        <v>1</v>
      </c>
      <c r="AF10" s="11" t="n">
        <v>334.18321</v>
      </c>
      <c r="AG10" s="11" t="n">
        <v>835.458026</v>
      </c>
      <c r="AH10" s="11" t="n">
        <v>501.274815</v>
      </c>
      <c r="AI10" s="11" t="s">
        <v>1089</v>
      </c>
      <c r="AJ10" s="11" t="s">
        <v>1474</v>
      </c>
      <c r="AK10" s="11" t="s">
        <v>1475</v>
      </c>
      <c r="AL10" s="12" t="s">
        <v>1476</v>
      </c>
      <c r="AM10" s="17" t="n">
        <f aca="false">IFERROR(O10/S10,"")</f>
        <v>0.399999999521221</v>
      </c>
      <c r="AN10" s="16" t="n">
        <f aca="false">IF(OR(S10="",O10=""),"", S10-O10)</f>
        <v>501.274816</v>
      </c>
    </row>
    <row r="11" customFormat="false" ht="74.6" hidden="false" customHeight="false" outlineLevel="0" collapsed="false">
      <c r="A11" s="10" t="s">
        <v>1491</v>
      </c>
      <c r="B11" s="11" t="s">
        <v>73</v>
      </c>
      <c r="C11" s="11" t="s">
        <v>1481</v>
      </c>
      <c r="D11" s="11" t="s">
        <v>1469</v>
      </c>
      <c r="E11" s="11" t="s">
        <v>1081</v>
      </c>
      <c r="F11" s="11" t="s">
        <v>1470</v>
      </c>
      <c r="G11" s="11" t="s">
        <v>1492</v>
      </c>
      <c r="H11" s="11"/>
      <c r="I11" s="11"/>
      <c r="J11" s="11"/>
      <c r="K11" s="11"/>
      <c r="L11" s="11"/>
      <c r="M11" s="11"/>
      <c r="N11" s="11"/>
      <c r="O11" s="11" t="n">
        <v>334.18321</v>
      </c>
      <c r="P11" s="11" t="n">
        <v>0</v>
      </c>
      <c r="Q11" s="11"/>
      <c r="R11" s="11" t="n">
        <v>334.18321</v>
      </c>
      <c r="S11" s="11" t="n">
        <v>1113.944034</v>
      </c>
      <c r="T11" s="11" t="n">
        <v>0.3</v>
      </c>
      <c r="U11" s="11" t="n">
        <v>0.299999999820458</v>
      </c>
      <c r="V11" s="11" t="n">
        <v>779.760824</v>
      </c>
      <c r="W11" s="11"/>
      <c r="X11" s="11"/>
      <c r="Y11" s="11" t="n">
        <v>779.760824</v>
      </c>
      <c r="Z11" s="11" t="s">
        <v>1084</v>
      </c>
      <c r="AA11" s="11" t="s">
        <v>1085</v>
      </c>
      <c r="AB11" s="11" t="s">
        <v>1472</v>
      </c>
      <c r="AC11" s="11" t="s">
        <v>1473</v>
      </c>
      <c r="AD11" s="11" t="n">
        <v>0.3</v>
      </c>
      <c r="AE11" s="11" t="n">
        <v>1</v>
      </c>
      <c r="AF11" s="11" t="n">
        <v>334.18321</v>
      </c>
      <c r="AG11" s="11" t="n">
        <v>1113.944034</v>
      </c>
      <c r="AH11" s="11" t="n">
        <v>779.760824</v>
      </c>
      <c r="AI11" s="11" t="s">
        <v>1089</v>
      </c>
      <c r="AJ11" s="11" t="s">
        <v>1474</v>
      </c>
      <c r="AK11" s="11" t="s">
        <v>1475</v>
      </c>
      <c r="AL11" s="12" t="s">
        <v>1476</v>
      </c>
      <c r="AM11" s="17" t="n">
        <f aca="false">IFERROR(O11/S11,"")</f>
        <v>0.299999999820458</v>
      </c>
      <c r="AN11" s="16" t="n">
        <f aca="false">IF(OR(S11="",O11=""),"", S11-O11)</f>
        <v>779.760824</v>
      </c>
    </row>
    <row r="12" customFormat="false" ht="74.6" hidden="false" customHeight="false" outlineLevel="0" collapsed="false">
      <c r="A12" s="10" t="s">
        <v>1493</v>
      </c>
      <c r="B12" s="11" t="s">
        <v>73</v>
      </c>
      <c r="C12" s="11" t="s">
        <v>1484</v>
      </c>
      <c r="D12" s="11" t="s">
        <v>1469</v>
      </c>
      <c r="E12" s="11" t="s">
        <v>1081</v>
      </c>
      <c r="F12" s="11" t="s">
        <v>1470</v>
      </c>
      <c r="G12" s="11" t="s">
        <v>1494</v>
      </c>
      <c r="H12" s="11"/>
      <c r="I12" s="11"/>
      <c r="J12" s="11"/>
      <c r="K12" s="11"/>
      <c r="L12" s="11"/>
      <c r="M12" s="11"/>
      <c r="N12" s="11"/>
      <c r="O12" s="11" t="n">
        <v>334.18321</v>
      </c>
      <c r="P12" s="11" t="n">
        <v>65</v>
      </c>
      <c r="Q12" s="11"/>
      <c r="R12" s="11" t="n">
        <v>399.18321</v>
      </c>
      <c r="S12" s="11" t="n">
        <v>1330.610701</v>
      </c>
      <c r="T12" s="11" t="n">
        <v>0.3</v>
      </c>
      <c r="U12" s="11" t="n">
        <v>0.251150249843061</v>
      </c>
      <c r="V12" s="11" t="n">
        <v>996.427491</v>
      </c>
      <c r="W12" s="11"/>
      <c r="X12" s="11"/>
      <c r="Y12" s="11" t="n">
        <v>931.427491</v>
      </c>
      <c r="Z12" s="11" t="s">
        <v>1084</v>
      </c>
      <c r="AA12" s="11" t="s">
        <v>1085</v>
      </c>
      <c r="AB12" s="11" t="s">
        <v>1472</v>
      </c>
      <c r="AC12" s="11" t="s">
        <v>1473</v>
      </c>
      <c r="AD12" s="11" t="n">
        <v>0.25115</v>
      </c>
      <c r="AE12" s="11" t="n">
        <v>1</v>
      </c>
      <c r="AF12" s="11" t="n">
        <v>399.18321</v>
      </c>
      <c r="AG12" s="11" t="n">
        <v>1330.610701</v>
      </c>
      <c r="AH12" s="11" t="n">
        <v>996.427491</v>
      </c>
      <c r="AI12" s="11" t="s">
        <v>1089</v>
      </c>
      <c r="AJ12" s="11" t="s">
        <v>1486</v>
      </c>
      <c r="AK12" s="11" t="s">
        <v>1475</v>
      </c>
      <c r="AL12" s="12" t="s">
        <v>1476</v>
      </c>
      <c r="AM12" s="17" t="n">
        <f aca="false">IFERROR(O12/S12,"")</f>
        <v>0.251150249843061</v>
      </c>
      <c r="AN12" s="16" t="n">
        <f aca="false">IF(OR(S12="",O12=""),"", S12-O12)</f>
        <v>996.427491</v>
      </c>
    </row>
    <row r="13" customFormat="false" ht="74.6" hidden="false" customHeight="false" outlineLevel="0" collapsed="false">
      <c r="A13" s="10" t="s">
        <v>1495</v>
      </c>
      <c r="B13" s="11" t="s">
        <v>79</v>
      </c>
      <c r="C13" s="11" t="s">
        <v>1468</v>
      </c>
      <c r="D13" s="11" t="s">
        <v>1469</v>
      </c>
      <c r="E13" s="11" t="s">
        <v>1081</v>
      </c>
      <c r="F13" s="11" t="s">
        <v>1470</v>
      </c>
      <c r="G13" s="11" t="s">
        <v>1496</v>
      </c>
      <c r="H13" s="11"/>
      <c r="I13" s="11"/>
      <c r="J13" s="11"/>
      <c r="K13" s="11"/>
      <c r="L13" s="11"/>
      <c r="M13" s="11"/>
      <c r="N13" s="11"/>
      <c r="O13" s="11" t="n">
        <v>269.866963</v>
      </c>
      <c r="P13" s="11" t="n">
        <v>0</v>
      </c>
      <c r="Q13" s="11"/>
      <c r="R13" s="11" t="n">
        <v>269.866963</v>
      </c>
      <c r="S13" s="11" t="n">
        <v>899.556544</v>
      </c>
      <c r="T13" s="11" t="n">
        <v>0.3</v>
      </c>
      <c r="U13" s="11" t="n">
        <v>0.299999999777668</v>
      </c>
      <c r="V13" s="11" t="n">
        <v>629.689581</v>
      </c>
      <c r="W13" s="11"/>
      <c r="X13" s="11"/>
      <c r="Y13" s="11" t="n">
        <v>629.689581</v>
      </c>
      <c r="Z13" s="11" t="s">
        <v>1084</v>
      </c>
      <c r="AA13" s="11" t="s">
        <v>1085</v>
      </c>
      <c r="AB13" s="11" t="s">
        <v>1472</v>
      </c>
      <c r="AC13" s="11" t="s">
        <v>1473</v>
      </c>
      <c r="AD13" s="11" t="n">
        <v>0.3</v>
      </c>
      <c r="AE13" s="11" t="n">
        <v>1</v>
      </c>
      <c r="AF13" s="11" t="n">
        <v>269.866963</v>
      </c>
      <c r="AG13" s="11" t="n">
        <v>899.556544</v>
      </c>
      <c r="AH13" s="11" t="n">
        <v>629.689581</v>
      </c>
      <c r="AI13" s="11" t="s">
        <v>1089</v>
      </c>
      <c r="AJ13" s="11" t="s">
        <v>1474</v>
      </c>
      <c r="AK13" s="11" t="s">
        <v>1475</v>
      </c>
      <c r="AL13" s="12" t="s">
        <v>1476</v>
      </c>
      <c r="AM13" s="17" t="n">
        <f aca="false">IFERROR(O13/S13,"")</f>
        <v>0.299999999777668</v>
      </c>
      <c r="AN13" s="16" t="n">
        <f aca="false">IF(OR(S13="",O13=""),"", S13-O13)</f>
        <v>629.689581</v>
      </c>
    </row>
    <row r="14" customFormat="false" ht="74.6" hidden="false" customHeight="false" outlineLevel="0" collapsed="false">
      <c r="A14" s="10" t="s">
        <v>1497</v>
      </c>
      <c r="B14" s="11" t="s">
        <v>79</v>
      </c>
      <c r="C14" s="11" t="s">
        <v>1478</v>
      </c>
      <c r="D14" s="11" t="s">
        <v>1469</v>
      </c>
      <c r="E14" s="11" t="s">
        <v>1081</v>
      </c>
      <c r="F14" s="11" t="s">
        <v>1470</v>
      </c>
      <c r="G14" s="11" t="s">
        <v>1498</v>
      </c>
      <c r="H14" s="11"/>
      <c r="I14" s="11"/>
      <c r="J14" s="11"/>
      <c r="K14" s="11"/>
      <c r="L14" s="11"/>
      <c r="M14" s="11"/>
      <c r="N14" s="11"/>
      <c r="O14" s="11" t="n">
        <v>269.866963</v>
      </c>
      <c r="P14" s="11" t="n">
        <v>0</v>
      </c>
      <c r="Q14" s="11"/>
      <c r="R14" s="11" t="n">
        <v>269.866963</v>
      </c>
      <c r="S14" s="11" t="n">
        <v>674.667408</v>
      </c>
      <c r="T14" s="11" t="n">
        <v>0.4</v>
      </c>
      <c r="U14" s="11" t="n">
        <v>0.399999999703558</v>
      </c>
      <c r="V14" s="11" t="n">
        <v>404.800445</v>
      </c>
      <c r="W14" s="11"/>
      <c r="X14" s="11"/>
      <c r="Y14" s="11" t="n">
        <v>404.800445</v>
      </c>
      <c r="Z14" s="11" t="s">
        <v>1084</v>
      </c>
      <c r="AA14" s="11" t="s">
        <v>1085</v>
      </c>
      <c r="AB14" s="11" t="s">
        <v>1472</v>
      </c>
      <c r="AC14" s="11" t="s">
        <v>1473</v>
      </c>
      <c r="AD14" s="11" t="n">
        <v>0.4</v>
      </c>
      <c r="AE14" s="11" t="n">
        <v>1</v>
      </c>
      <c r="AF14" s="11" t="n">
        <v>269.866963</v>
      </c>
      <c r="AG14" s="11" t="n">
        <v>674.667408</v>
      </c>
      <c r="AH14" s="11" t="n">
        <v>404.800445</v>
      </c>
      <c r="AI14" s="11" t="s">
        <v>1089</v>
      </c>
      <c r="AJ14" s="11" t="s">
        <v>1474</v>
      </c>
      <c r="AK14" s="11" t="s">
        <v>1475</v>
      </c>
      <c r="AL14" s="12" t="s">
        <v>1476</v>
      </c>
      <c r="AM14" s="17" t="n">
        <f aca="false">IFERROR(O14/S14,"")</f>
        <v>0.399999999703558</v>
      </c>
      <c r="AN14" s="16" t="n">
        <f aca="false">IF(OR(S14="",O14=""),"", S14-O14)</f>
        <v>404.800445</v>
      </c>
    </row>
    <row r="15" customFormat="false" ht="74.6" hidden="false" customHeight="false" outlineLevel="0" collapsed="false">
      <c r="A15" s="10" t="s">
        <v>1499</v>
      </c>
      <c r="B15" s="11" t="s">
        <v>79</v>
      </c>
      <c r="C15" s="11" t="s">
        <v>1481</v>
      </c>
      <c r="D15" s="11" t="s">
        <v>1469</v>
      </c>
      <c r="E15" s="11" t="s">
        <v>1081</v>
      </c>
      <c r="F15" s="11" t="s">
        <v>1470</v>
      </c>
      <c r="G15" s="11" t="s">
        <v>1500</v>
      </c>
      <c r="H15" s="11"/>
      <c r="I15" s="11"/>
      <c r="J15" s="11"/>
      <c r="K15" s="11"/>
      <c r="L15" s="11"/>
      <c r="M15" s="11"/>
      <c r="N15" s="11"/>
      <c r="O15" s="11" t="n">
        <v>269.866963</v>
      </c>
      <c r="P15" s="11" t="n">
        <v>0</v>
      </c>
      <c r="Q15" s="11"/>
      <c r="R15" s="11" t="n">
        <v>269.866963</v>
      </c>
      <c r="S15" s="11" t="n">
        <v>899.556544</v>
      </c>
      <c r="T15" s="11" t="n">
        <v>0.3</v>
      </c>
      <c r="U15" s="11" t="n">
        <v>0.299999999777668</v>
      </c>
      <c r="V15" s="11" t="n">
        <v>629.689581</v>
      </c>
      <c r="W15" s="11"/>
      <c r="X15" s="11"/>
      <c r="Y15" s="11" t="n">
        <v>629.689581</v>
      </c>
      <c r="Z15" s="11" t="s">
        <v>1084</v>
      </c>
      <c r="AA15" s="11" t="s">
        <v>1085</v>
      </c>
      <c r="AB15" s="11" t="s">
        <v>1472</v>
      </c>
      <c r="AC15" s="11" t="s">
        <v>1473</v>
      </c>
      <c r="AD15" s="11" t="n">
        <v>0.3</v>
      </c>
      <c r="AE15" s="11" t="n">
        <v>1</v>
      </c>
      <c r="AF15" s="11" t="n">
        <v>269.866963</v>
      </c>
      <c r="AG15" s="11" t="n">
        <v>899.556544</v>
      </c>
      <c r="AH15" s="11" t="n">
        <v>629.689581</v>
      </c>
      <c r="AI15" s="11" t="s">
        <v>1089</v>
      </c>
      <c r="AJ15" s="11" t="s">
        <v>1474</v>
      </c>
      <c r="AK15" s="11" t="s">
        <v>1475</v>
      </c>
      <c r="AL15" s="12" t="s">
        <v>1476</v>
      </c>
      <c r="AM15" s="17" t="n">
        <f aca="false">IFERROR(O15/S15,"")</f>
        <v>0.299999999777668</v>
      </c>
      <c r="AN15" s="16" t="n">
        <f aca="false">IF(OR(S15="",O15=""),"", S15-O15)</f>
        <v>629.689581</v>
      </c>
    </row>
    <row r="16" customFormat="false" ht="74.6" hidden="false" customHeight="false" outlineLevel="0" collapsed="false">
      <c r="A16" s="10" t="s">
        <v>1501</v>
      </c>
      <c r="B16" s="11" t="s">
        <v>79</v>
      </c>
      <c r="C16" s="11" t="s">
        <v>1484</v>
      </c>
      <c r="D16" s="11" t="s">
        <v>1469</v>
      </c>
      <c r="E16" s="11" t="s">
        <v>1081</v>
      </c>
      <c r="F16" s="11" t="s">
        <v>1470</v>
      </c>
      <c r="G16" s="11" t="s">
        <v>1502</v>
      </c>
      <c r="H16" s="11"/>
      <c r="I16" s="11"/>
      <c r="J16" s="11"/>
      <c r="K16" s="11"/>
      <c r="L16" s="11"/>
      <c r="M16" s="11"/>
      <c r="N16" s="11"/>
      <c r="O16" s="11" t="n">
        <v>269.866963</v>
      </c>
      <c r="P16" s="11" t="n">
        <v>65</v>
      </c>
      <c r="Q16" s="11"/>
      <c r="R16" s="11" t="n">
        <v>334.866963</v>
      </c>
      <c r="S16" s="11" t="n">
        <v>1116.223211</v>
      </c>
      <c r="T16" s="11" t="n">
        <v>0.3</v>
      </c>
      <c r="U16" s="11" t="n">
        <v>0.241767919122764</v>
      </c>
      <c r="V16" s="11" t="n">
        <v>846.356248</v>
      </c>
      <c r="W16" s="11"/>
      <c r="X16" s="11"/>
      <c r="Y16" s="11" t="n">
        <v>781.356248</v>
      </c>
      <c r="Z16" s="11" t="s">
        <v>1084</v>
      </c>
      <c r="AA16" s="11" t="s">
        <v>1085</v>
      </c>
      <c r="AB16" s="11" t="s">
        <v>1472</v>
      </c>
      <c r="AC16" s="11" t="s">
        <v>1473</v>
      </c>
      <c r="AD16" s="11" t="n">
        <v>0.241768</v>
      </c>
      <c r="AE16" s="11" t="n">
        <v>1</v>
      </c>
      <c r="AF16" s="11" t="n">
        <v>334.866963</v>
      </c>
      <c r="AG16" s="11" t="n">
        <v>1116.223211</v>
      </c>
      <c r="AH16" s="11" t="n">
        <v>846.356248</v>
      </c>
      <c r="AI16" s="11" t="s">
        <v>1089</v>
      </c>
      <c r="AJ16" s="11" t="s">
        <v>1486</v>
      </c>
      <c r="AK16" s="11" t="s">
        <v>1475</v>
      </c>
      <c r="AL16" s="12" t="s">
        <v>1476</v>
      </c>
      <c r="AM16" s="17" t="n">
        <f aca="false">IFERROR(O16/S16,"")</f>
        <v>0.241767919122764</v>
      </c>
      <c r="AN16" s="16" t="n">
        <f aca="false">IF(OR(S16="",O16=""),"", S16-O16)</f>
        <v>846.356248</v>
      </c>
    </row>
    <row r="17" customFormat="false" ht="74.6" hidden="false" customHeight="false" outlineLevel="0" collapsed="false">
      <c r="A17" s="10" t="s">
        <v>1503</v>
      </c>
      <c r="B17" s="11" t="s">
        <v>85</v>
      </c>
      <c r="C17" s="11" t="s">
        <v>1468</v>
      </c>
      <c r="D17" s="11" t="s">
        <v>1469</v>
      </c>
      <c r="E17" s="11" t="s">
        <v>1081</v>
      </c>
      <c r="F17" s="11" t="s">
        <v>1470</v>
      </c>
      <c r="G17" s="11" t="s">
        <v>1504</v>
      </c>
      <c r="H17" s="11"/>
      <c r="I17" s="11"/>
      <c r="J17" s="11"/>
      <c r="K17" s="11"/>
      <c r="L17" s="11"/>
      <c r="M17" s="11"/>
      <c r="N17" s="11"/>
      <c r="O17" s="11" t="n">
        <v>314.950338</v>
      </c>
      <c r="P17" s="11" t="n">
        <v>0</v>
      </c>
      <c r="Q17" s="11"/>
      <c r="R17" s="11" t="n">
        <v>314.950338</v>
      </c>
      <c r="S17" s="11" t="n">
        <v>1049.834459</v>
      </c>
      <c r="T17" s="11" t="n">
        <v>0.3</v>
      </c>
      <c r="U17" s="11" t="n">
        <v>0.300000000285759</v>
      </c>
      <c r="V17" s="11" t="n">
        <v>734.884121</v>
      </c>
      <c r="W17" s="11"/>
      <c r="X17" s="11"/>
      <c r="Y17" s="11" t="n">
        <v>734.884121</v>
      </c>
      <c r="Z17" s="11" t="s">
        <v>1084</v>
      </c>
      <c r="AA17" s="11" t="s">
        <v>1085</v>
      </c>
      <c r="AB17" s="11" t="s">
        <v>1472</v>
      </c>
      <c r="AC17" s="11" t="s">
        <v>1473</v>
      </c>
      <c r="AD17" s="11" t="n">
        <v>0.3</v>
      </c>
      <c r="AE17" s="11" t="n">
        <v>1</v>
      </c>
      <c r="AF17" s="11" t="n">
        <v>314.950338</v>
      </c>
      <c r="AG17" s="11" t="n">
        <v>1049.834459</v>
      </c>
      <c r="AH17" s="11" t="n">
        <v>734.884121</v>
      </c>
      <c r="AI17" s="11" t="s">
        <v>1089</v>
      </c>
      <c r="AJ17" s="11" t="s">
        <v>1474</v>
      </c>
      <c r="AK17" s="11" t="s">
        <v>1475</v>
      </c>
      <c r="AL17" s="12" t="s">
        <v>1476</v>
      </c>
      <c r="AM17" s="17" t="n">
        <f aca="false">IFERROR(O17/S17,"")</f>
        <v>0.300000000285759</v>
      </c>
      <c r="AN17" s="16" t="n">
        <f aca="false">IF(OR(S17="",O17=""),"", S17-O17)</f>
        <v>734.884121</v>
      </c>
    </row>
    <row r="18" customFormat="false" ht="74.6" hidden="false" customHeight="false" outlineLevel="0" collapsed="false">
      <c r="A18" s="10" t="s">
        <v>1505</v>
      </c>
      <c r="B18" s="11" t="s">
        <v>85</v>
      </c>
      <c r="C18" s="11" t="s">
        <v>1478</v>
      </c>
      <c r="D18" s="11" t="s">
        <v>1469</v>
      </c>
      <c r="E18" s="11" t="s">
        <v>1081</v>
      </c>
      <c r="F18" s="11" t="s">
        <v>1470</v>
      </c>
      <c r="G18" s="11" t="s">
        <v>1506</v>
      </c>
      <c r="H18" s="11"/>
      <c r="I18" s="11"/>
      <c r="J18" s="11"/>
      <c r="K18" s="11"/>
      <c r="L18" s="11"/>
      <c r="M18" s="11"/>
      <c r="N18" s="11"/>
      <c r="O18" s="11" t="n">
        <v>314.950338</v>
      </c>
      <c r="P18" s="11" t="n">
        <v>0</v>
      </c>
      <c r="Q18" s="11"/>
      <c r="R18" s="11" t="n">
        <v>314.950338</v>
      </c>
      <c r="S18" s="11" t="n">
        <v>787.375844</v>
      </c>
      <c r="T18" s="11" t="n">
        <v>0.4</v>
      </c>
      <c r="U18" s="11" t="n">
        <v>0.400000000508017</v>
      </c>
      <c r="V18" s="11" t="n">
        <v>472.425507</v>
      </c>
      <c r="W18" s="11"/>
      <c r="X18" s="11"/>
      <c r="Y18" s="11" t="n">
        <v>472.425507</v>
      </c>
      <c r="Z18" s="11" t="s">
        <v>1084</v>
      </c>
      <c r="AA18" s="11" t="s">
        <v>1085</v>
      </c>
      <c r="AB18" s="11" t="s">
        <v>1472</v>
      </c>
      <c r="AC18" s="11" t="s">
        <v>1473</v>
      </c>
      <c r="AD18" s="11" t="n">
        <v>0.4</v>
      </c>
      <c r="AE18" s="11" t="n">
        <v>1</v>
      </c>
      <c r="AF18" s="11" t="n">
        <v>314.950338</v>
      </c>
      <c r="AG18" s="11" t="n">
        <v>787.375844</v>
      </c>
      <c r="AH18" s="11" t="n">
        <v>472.425507</v>
      </c>
      <c r="AI18" s="11" t="s">
        <v>1089</v>
      </c>
      <c r="AJ18" s="11" t="s">
        <v>1474</v>
      </c>
      <c r="AK18" s="11" t="s">
        <v>1475</v>
      </c>
      <c r="AL18" s="12" t="s">
        <v>1476</v>
      </c>
      <c r="AM18" s="17" t="n">
        <f aca="false">IFERROR(O18/S18,"")</f>
        <v>0.400000000508017</v>
      </c>
      <c r="AN18" s="16" t="n">
        <f aca="false">IF(OR(S18="",O18=""),"", S18-O18)</f>
        <v>472.425506</v>
      </c>
    </row>
    <row r="19" customFormat="false" ht="74.6" hidden="false" customHeight="false" outlineLevel="0" collapsed="false">
      <c r="A19" s="10" t="s">
        <v>1507</v>
      </c>
      <c r="B19" s="11" t="s">
        <v>85</v>
      </c>
      <c r="C19" s="11" t="s">
        <v>1481</v>
      </c>
      <c r="D19" s="11" t="s">
        <v>1469</v>
      </c>
      <c r="E19" s="11" t="s">
        <v>1081</v>
      </c>
      <c r="F19" s="11" t="s">
        <v>1470</v>
      </c>
      <c r="G19" s="11" t="s">
        <v>1508</v>
      </c>
      <c r="H19" s="11"/>
      <c r="I19" s="11"/>
      <c r="J19" s="11"/>
      <c r="K19" s="11"/>
      <c r="L19" s="11"/>
      <c r="M19" s="11"/>
      <c r="N19" s="11"/>
      <c r="O19" s="11" t="n">
        <v>314.950338</v>
      </c>
      <c r="P19" s="11" t="n">
        <v>0</v>
      </c>
      <c r="Q19" s="11"/>
      <c r="R19" s="11" t="n">
        <v>314.950338</v>
      </c>
      <c r="S19" s="11" t="n">
        <v>1049.834459</v>
      </c>
      <c r="T19" s="11" t="n">
        <v>0.3</v>
      </c>
      <c r="U19" s="11" t="n">
        <v>0.300000000285759</v>
      </c>
      <c r="V19" s="11" t="n">
        <v>734.884121</v>
      </c>
      <c r="W19" s="11"/>
      <c r="X19" s="11"/>
      <c r="Y19" s="11" t="n">
        <v>734.884121</v>
      </c>
      <c r="Z19" s="11" t="s">
        <v>1084</v>
      </c>
      <c r="AA19" s="11" t="s">
        <v>1085</v>
      </c>
      <c r="AB19" s="11" t="s">
        <v>1472</v>
      </c>
      <c r="AC19" s="11" t="s">
        <v>1473</v>
      </c>
      <c r="AD19" s="11" t="n">
        <v>0.3</v>
      </c>
      <c r="AE19" s="11" t="n">
        <v>1</v>
      </c>
      <c r="AF19" s="11" t="n">
        <v>314.950338</v>
      </c>
      <c r="AG19" s="11" t="n">
        <v>1049.834459</v>
      </c>
      <c r="AH19" s="11" t="n">
        <v>734.884121</v>
      </c>
      <c r="AI19" s="11" t="s">
        <v>1089</v>
      </c>
      <c r="AJ19" s="11" t="s">
        <v>1474</v>
      </c>
      <c r="AK19" s="11" t="s">
        <v>1475</v>
      </c>
      <c r="AL19" s="12" t="s">
        <v>1476</v>
      </c>
      <c r="AM19" s="17" t="n">
        <f aca="false">IFERROR(O19/S19,"")</f>
        <v>0.300000000285759</v>
      </c>
      <c r="AN19" s="16" t="n">
        <f aca="false">IF(OR(S19="",O19=""),"", S19-O19)</f>
        <v>734.884121</v>
      </c>
    </row>
    <row r="20" customFormat="false" ht="74.6" hidden="false" customHeight="false" outlineLevel="0" collapsed="false">
      <c r="A20" s="10" t="s">
        <v>1509</v>
      </c>
      <c r="B20" s="11" t="s">
        <v>85</v>
      </c>
      <c r="C20" s="11" t="s">
        <v>1484</v>
      </c>
      <c r="D20" s="11" t="s">
        <v>1469</v>
      </c>
      <c r="E20" s="11" t="s">
        <v>1081</v>
      </c>
      <c r="F20" s="11" t="s">
        <v>1470</v>
      </c>
      <c r="G20" s="11" t="s">
        <v>1510</v>
      </c>
      <c r="H20" s="11"/>
      <c r="I20" s="11"/>
      <c r="J20" s="11"/>
      <c r="K20" s="11"/>
      <c r="L20" s="11"/>
      <c r="M20" s="11"/>
      <c r="N20" s="11"/>
      <c r="O20" s="11" t="n">
        <v>314.950338</v>
      </c>
      <c r="P20" s="11" t="n">
        <v>65</v>
      </c>
      <c r="Q20" s="11"/>
      <c r="R20" s="11" t="n">
        <v>379.950338</v>
      </c>
      <c r="S20" s="11" t="n">
        <v>1266.501126</v>
      </c>
      <c r="T20" s="11" t="n">
        <v>0.3</v>
      </c>
      <c r="U20" s="11" t="n">
        <v>0.248677503347123</v>
      </c>
      <c r="V20" s="11" t="n">
        <v>951.550788</v>
      </c>
      <c r="W20" s="11"/>
      <c r="X20" s="11"/>
      <c r="Y20" s="11" t="n">
        <v>886.550788</v>
      </c>
      <c r="Z20" s="11" t="s">
        <v>1084</v>
      </c>
      <c r="AA20" s="11" t="s">
        <v>1085</v>
      </c>
      <c r="AB20" s="11" t="s">
        <v>1472</v>
      </c>
      <c r="AC20" s="11" t="s">
        <v>1473</v>
      </c>
      <c r="AD20" s="11" t="n">
        <v>0.248678</v>
      </c>
      <c r="AE20" s="11" t="n">
        <v>1</v>
      </c>
      <c r="AF20" s="11" t="n">
        <v>379.950338</v>
      </c>
      <c r="AG20" s="11" t="n">
        <v>1266.501126</v>
      </c>
      <c r="AH20" s="11" t="n">
        <v>951.550788</v>
      </c>
      <c r="AI20" s="11" t="s">
        <v>1089</v>
      </c>
      <c r="AJ20" s="11" t="s">
        <v>1486</v>
      </c>
      <c r="AK20" s="11" t="s">
        <v>1475</v>
      </c>
      <c r="AL20" s="12" t="s">
        <v>1476</v>
      </c>
      <c r="AM20" s="17" t="n">
        <f aca="false">IFERROR(O20/S20,"")</f>
        <v>0.248677503347123</v>
      </c>
      <c r="AN20" s="16" t="n">
        <f aca="false">IF(OR(S20="",O20=""),"", S20-O20)</f>
        <v>951.550788</v>
      </c>
    </row>
    <row r="21" customFormat="false" ht="74.6" hidden="false" customHeight="false" outlineLevel="0" collapsed="false">
      <c r="A21" s="10" t="s">
        <v>1511</v>
      </c>
      <c r="B21" s="11" t="s">
        <v>90</v>
      </c>
      <c r="C21" s="11" t="s">
        <v>1468</v>
      </c>
      <c r="D21" s="11" t="s">
        <v>1469</v>
      </c>
      <c r="E21" s="11" t="s">
        <v>1081</v>
      </c>
      <c r="F21" s="11" t="s">
        <v>1470</v>
      </c>
      <c r="G21" s="11" t="s">
        <v>1512</v>
      </c>
      <c r="H21" s="11"/>
      <c r="I21" s="11"/>
      <c r="J21" s="11"/>
      <c r="K21" s="11"/>
      <c r="L21" s="11"/>
      <c r="M21" s="11"/>
      <c r="N21" s="11"/>
      <c r="O21" s="11" t="n">
        <v>17.20358</v>
      </c>
      <c r="P21" s="11" t="n">
        <v>0</v>
      </c>
      <c r="Q21" s="11"/>
      <c r="R21" s="11" t="n">
        <v>17.20358</v>
      </c>
      <c r="S21" s="11" t="n">
        <v>57.345266</v>
      </c>
      <c r="T21" s="11" t="n">
        <v>0.3</v>
      </c>
      <c r="U21" s="11" t="n">
        <v>0.300000003487646</v>
      </c>
      <c r="V21" s="11" t="n">
        <v>40.141686</v>
      </c>
      <c r="W21" s="11"/>
      <c r="X21" s="11"/>
      <c r="Y21" s="11" t="n">
        <v>40.141686</v>
      </c>
      <c r="Z21" s="11" t="s">
        <v>1084</v>
      </c>
      <c r="AA21" s="11" t="s">
        <v>1085</v>
      </c>
      <c r="AB21" s="11" t="s">
        <v>1472</v>
      </c>
      <c r="AC21" s="11" t="s">
        <v>1473</v>
      </c>
      <c r="AD21" s="11" t="n">
        <v>0.3</v>
      </c>
      <c r="AE21" s="11" t="n">
        <v>1</v>
      </c>
      <c r="AF21" s="11" t="n">
        <v>17.20358</v>
      </c>
      <c r="AG21" s="11" t="n">
        <v>57.345266</v>
      </c>
      <c r="AH21" s="11" t="n">
        <v>40.141686</v>
      </c>
      <c r="AI21" s="11" t="s">
        <v>1089</v>
      </c>
      <c r="AJ21" s="11" t="s">
        <v>1474</v>
      </c>
      <c r="AK21" s="11" t="s">
        <v>1475</v>
      </c>
      <c r="AL21" s="12" t="s">
        <v>1476</v>
      </c>
      <c r="AM21" s="17" t="n">
        <f aca="false">IFERROR(O21/S21,"")</f>
        <v>0.300000003487646</v>
      </c>
      <c r="AN21" s="16" t="n">
        <f aca="false">IF(OR(S21="",O21=""),"", S21-O21)</f>
        <v>40.141686</v>
      </c>
    </row>
    <row r="22" customFormat="false" ht="74.6" hidden="false" customHeight="false" outlineLevel="0" collapsed="false">
      <c r="A22" s="10" t="s">
        <v>1513</v>
      </c>
      <c r="B22" s="11" t="s">
        <v>90</v>
      </c>
      <c r="C22" s="11" t="s">
        <v>1478</v>
      </c>
      <c r="D22" s="11" t="s">
        <v>1469</v>
      </c>
      <c r="E22" s="11" t="s">
        <v>1081</v>
      </c>
      <c r="F22" s="11" t="s">
        <v>1470</v>
      </c>
      <c r="G22" s="11" t="s">
        <v>1514</v>
      </c>
      <c r="H22" s="11"/>
      <c r="I22" s="11"/>
      <c r="J22" s="11"/>
      <c r="K22" s="11"/>
      <c r="L22" s="11"/>
      <c r="M22" s="11"/>
      <c r="N22" s="11"/>
      <c r="O22" s="11" t="n">
        <v>17.20358</v>
      </c>
      <c r="P22" s="11" t="n">
        <v>0</v>
      </c>
      <c r="Q22" s="11"/>
      <c r="R22" s="11" t="n">
        <v>17.20358</v>
      </c>
      <c r="S22" s="11" t="n">
        <v>43.00895</v>
      </c>
      <c r="T22" s="11" t="n">
        <v>0.4</v>
      </c>
      <c r="U22" s="11" t="n">
        <v>0.4</v>
      </c>
      <c r="V22" s="11" t="n">
        <v>25.80537</v>
      </c>
      <c r="W22" s="11"/>
      <c r="X22" s="11"/>
      <c r="Y22" s="11" t="n">
        <v>25.80537</v>
      </c>
      <c r="Z22" s="11" t="s">
        <v>1084</v>
      </c>
      <c r="AA22" s="11" t="s">
        <v>1085</v>
      </c>
      <c r="AB22" s="11" t="s">
        <v>1472</v>
      </c>
      <c r="AC22" s="11" t="s">
        <v>1473</v>
      </c>
      <c r="AD22" s="11" t="n">
        <v>0.4</v>
      </c>
      <c r="AE22" s="11" t="n">
        <v>1</v>
      </c>
      <c r="AF22" s="11" t="n">
        <v>17.20358</v>
      </c>
      <c r="AG22" s="11" t="n">
        <v>43.00895</v>
      </c>
      <c r="AH22" s="11" t="n">
        <v>25.80537</v>
      </c>
      <c r="AI22" s="11" t="s">
        <v>1089</v>
      </c>
      <c r="AJ22" s="11" t="s">
        <v>1474</v>
      </c>
      <c r="AK22" s="11" t="s">
        <v>1475</v>
      </c>
      <c r="AL22" s="12" t="s">
        <v>1476</v>
      </c>
      <c r="AM22" s="17" t="n">
        <f aca="false">IFERROR(O22/S22,"")</f>
        <v>0.4</v>
      </c>
      <c r="AN22" s="16" t="n">
        <f aca="false">IF(OR(S22="",O22=""),"", S22-O22)</f>
        <v>25.80537</v>
      </c>
    </row>
    <row r="23" customFormat="false" ht="74.6" hidden="false" customHeight="false" outlineLevel="0" collapsed="false">
      <c r="A23" s="10" t="s">
        <v>1515</v>
      </c>
      <c r="B23" s="11" t="s">
        <v>90</v>
      </c>
      <c r="C23" s="11" t="s">
        <v>1481</v>
      </c>
      <c r="D23" s="11" t="s">
        <v>1469</v>
      </c>
      <c r="E23" s="11" t="s">
        <v>1081</v>
      </c>
      <c r="F23" s="11" t="s">
        <v>1470</v>
      </c>
      <c r="G23" s="11" t="s">
        <v>1516</v>
      </c>
      <c r="H23" s="11"/>
      <c r="I23" s="11"/>
      <c r="J23" s="11"/>
      <c r="K23" s="11"/>
      <c r="L23" s="11"/>
      <c r="M23" s="11"/>
      <c r="N23" s="11"/>
      <c r="O23" s="11" t="n">
        <v>17.20358</v>
      </c>
      <c r="P23" s="11" t="n">
        <v>0</v>
      </c>
      <c r="Q23" s="11"/>
      <c r="R23" s="11" t="n">
        <v>17.20358</v>
      </c>
      <c r="S23" s="11" t="n">
        <v>57.345266</v>
      </c>
      <c r="T23" s="11" t="n">
        <v>0.3</v>
      </c>
      <c r="U23" s="11" t="n">
        <v>0.300000003487646</v>
      </c>
      <c r="V23" s="11" t="n">
        <v>40.141686</v>
      </c>
      <c r="W23" s="11"/>
      <c r="X23" s="11"/>
      <c r="Y23" s="11" t="n">
        <v>40.141686</v>
      </c>
      <c r="Z23" s="11" t="s">
        <v>1084</v>
      </c>
      <c r="AA23" s="11" t="s">
        <v>1085</v>
      </c>
      <c r="AB23" s="11" t="s">
        <v>1472</v>
      </c>
      <c r="AC23" s="11" t="s">
        <v>1473</v>
      </c>
      <c r="AD23" s="11" t="n">
        <v>0.3</v>
      </c>
      <c r="AE23" s="11" t="n">
        <v>1</v>
      </c>
      <c r="AF23" s="11" t="n">
        <v>17.20358</v>
      </c>
      <c r="AG23" s="11" t="n">
        <v>57.345266</v>
      </c>
      <c r="AH23" s="11" t="n">
        <v>40.141686</v>
      </c>
      <c r="AI23" s="11" t="s">
        <v>1089</v>
      </c>
      <c r="AJ23" s="11" t="s">
        <v>1474</v>
      </c>
      <c r="AK23" s="11" t="s">
        <v>1475</v>
      </c>
      <c r="AL23" s="12" t="s">
        <v>1476</v>
      </c>
      <c r="AM23" s="17" t="n">
        <f aca="false">IFERROR(O23/S23,"")</f>
        <v>0.300000003487646</v>
      </c>
      <c r="AN23" s="16" t="n">
        <f aca="false">IF(OR(S23="",O23=""),"", S23-O23)</f>
        <v>40.141686</v>
      </c>
    </row>
    <row r="24" customFormat="false" ht="74.6" hidden="false" customHeight="false" outlineLevel="0" collapsed="false">
      <c r="A24" s="10" t="s">
        <v>1517</v>
      </c>
      <c r="B24" s="11" t="s">
        <v>90</v>
      </c>
      <c r="C24" s="11" t="s">
        <v>1484</v>
      </c>
      <c r="D24" s="11" t="s">
        <v>1469</v>
      </c>
      <c r="E24" s="11" t="s">
        <v>1081</v>
      </c>
      <c r="F24" s="11" t="s">
        <v>1470</v>
      </c>
      <c r="G24" s="11" t="s">
        <v>1518</v>
      </c>
      <c r="H24" s="11"/>
      <c r="I24" s="11"/>
      <c r="J24" s="11"/>
      <c r="K24" s="11"/>
      <c r="L24" s="11"/>
      <c r="M24" s="11"/>
      <c r="N24" s="11"/>
      <c r="O24" s="11" t="n">
        <v>17.20358</v>
      </c>
      <c r="P24" s="11" t="n">
        <v>65</v>
      </c>
      <c r="Q24" s="11"/>
      <c r="R24" s="11" t="n">
        <v>82.20358</v>
      </c>
      <c r="S24" s="11" t="n">
        <v>274.011933</v>
      </c>
      <c r="T24" s="11" t="n">
        <v>0.3</v>
      </c>
      <c r="U24" s="11" t="n">
        <v>0.0627840540068742</v>
      </c>
      <c r="V24" s="11" t="n">
        <v>256.808353</v>
      </c>
      <c r="W24" s="11"/>
      <c r="X24" s="11"/>
      <c r="Y24" s="11" t="n">
        <v>191.808353</v>
      </c>
      <c r="Z24" s="11" t="s">
        <v>1084</v>
      </c>
      <c r="AA24" s="11" t="s">
        <v>1085</v>
      </c>
      <c r="AB24" s="11" t="s">
        <v>1472</v>
      </c>
      <c r="AC24" s="11" t="s">
        <v>1473</v>
      </c>
      <c r="AD24" s="11" t="n">
        <v>0.062784</v>
      </c>
      <c r="AE24" s="11" t="n">
        <v>1</v>
      </c>
      <c r="AF24" s="11" t="n">
        <v>82.20358</v>
      </c>
      <c r="AG24" s="11" t="n">
        <v>274.011933</v>
      </c>
      <c r="AH24" s="11" t="n">
        <v>256.808353</v>
      </c>
      <c r="AI24" s="11" t="s">
        <v>1089</v>
      </c>
      <c r="AJ24" s="11" t="s">
        <v>1486</v>
      </c>
      <c r="AK24" s="11" t="s">
        <v>1475</v>
      </c>
      <c r="AL24" s="12" t="s">
        <v>1476</v>
      </c>
      <c r="AM24" s="17" t="n">
        <f aca="false">IFERROR(O24/S24,"")</f>
        <v>0.0627840540068742</v>
      </c>
      <c r="AN24" s="16" t="n">
        <f aca="false">IF(OR(S24="",O24=""),"", S24-O24)</f>
        <v>256.808353</v>
      </c>
    </row>
    <row r="25" customFormat="false" ht="74.6" hidden="false" customHeight="false" outlineLevel="0" collapsed="false">
      <c r="A25" s="10" t="s">
        <v>1519</v>
      </c>
      <c r="B25" s="11" t="s">
        <v>90</v>
      </c>
      <c r="C25" s="11" t="s">
        <v>1520</v>
      </c>
      <c r="D25" s="11" t="s">
        <v>1469</v>
      </c>
      <c r="E25" s="11" t="s">
        <v>1081</v>
      </c>
      <c r="F25" s="11" t="s">
        <v>1470</v>
      </c>
      <c r="G25" s="11" t="s">
        <v>1521</v>
      </c>
      <c r="H25" s="11"/>
      <c r="I25" s="11"/>
      <c r="J25" s="11"/>
      <c r="K25" s="11"/>
      <c r="L25" s="11"/>
      <c r="M25" s="11"/>
      <c r="N25" s="11"/>
      <c r="O25" s="11" t="n">
        <v>17.20358</v>
      </c>
      <c r="P25" s="11" t="n">
        <v>40</v>
      </c>
      <c r="Q25" s="11"/>
      <c r="R25" s="11" t="n">
        <v>57.20358</v>
      </c>
      <c r="S25" s="11" t="n">
        <v>133.475153</v>
      </c>
      <c r="T25" s="11" t="n">
        <v>0.428571</v>
      </c>
      <c r="U25" s="11" t="n">
        <v>0.128889756732476</v>
      </c>
      <c r="V25" s="11" t="n">
        <v>116.271573</v>
      </c>
      <c r="W25" s="11"/>
      <c r="X25" s="11"/>
      <c r="Y25" s="11" t="n">
        <v>76.271573</v>
      </c>
      <c r="Z25" s="11" t="s">
        <v>1084</v>
      </c>
      <c r="AA25" s="11" t="s">
        <v>1085</v>
      </c>
      <c r="AB25" s="11" t="s">
        <v>1472</v>
      </c>
      <c r="AC25" s="11" t="s">
        <v>1473</v>
      </c>
      <c r="AD25" s="11" t="n">
        <v>0.12889</v>
      </c>
      <c r="AE25" s="11" t="n">
        <v>1</v>
      </c>
      <c r="AF25" s="11" t="n">
        <v>57.20358</v>
      </c>
      <c r="AG25" s="11" t="n">
        <v>133.475153</v>
      </c>
      <c r="AH25" s="11" t="n">
        <v>116.271573</v>
      </c>
      <c r="AI25" s="11" t="s">
        <v>1089</v>
      </c>
      <c r="AJ25" s="11" t="s">
        <v>1486</v>
      </c>
      <c r="AK25" s="11" t="s">
        <v>1475</v>
      </c>
      <c r="AL25" s="12" t="s">
        <v>1476</v>
      </c>
      <c r="AM25" s="17" t="n">
        <f aca="false">IFERROR(O25/S25,"")</f>
        <v>0.128889756732476</v>
      </c>
      <c r="AN25" s="16" t="n">
        <f aca="false">IF(OR(S25="",O25=""),"", S25-O25)</f>
        <v>116.271573</v>
      </c>
    </row>
    <row r="26" customFormat="false" ht="74.6" hidden="false" customHeight="false" outlineLevel="0" collapsed="false">
      <c r="A26" s="10" t="s">
        <v>1522</v>
      </c>
      <c r="B26" s="11" t="s">
        <v>99</v>
      </c>
      <c r="C26" s="11" t="s">
        <v>1468</v>
      </c>
      <c r="D26" s="11" t="s">
        <v>1469</v>
      </c>
      <c r="E26" s="11" t="s">
        <v>1081</v>
      </c>
      <c r="F26" s="11" t="s">
        <v>1470</v>
      </c>
      <c r="G26" s="11" t="s">
        <v>1523</v>
      </c>
      <c r="H26" s="11"/>
      <c r="I26" s="11"/>
      <c r="J26" s="11"/>
      <c r="K26" s="11"/>
      <c r="L26" s="11"/>
      <c r="M26" s="11"/>
      <c r="N26" s="11"/>
      <c r="O26" s="11" t="n">
        <v>15.784376</v>
      </c>
      <c r="P26" s="11" t="n">
        <v>0</v>
      </c>
      <c r="Q26" s="11"/>
      <c r="R26" s="11" t="n">
        <v>15.784376</v>
      </c>
      <c r="S26" s="11" t="n">
        <v>52.614588</v>
      </c>
      <c r="T26" s="11" t="n">
        <v>0.3</v>
      </c>
      <c r="U26" s="11" t="n">
        <v>0.299999992397546</v>
      </c>
      <c r="V26" s="11" t="n">
        <v>36.830212</v>
      </c>
      <c r="W26" s="11"/>
      <c r="X26" s="11"/>
      <c r="Y26" s="11" t="n">
        <v>36.830212</v>
      </c>
      <c r="Z26" s="11" t="s">
        <v>1084</v>
      </c>
      <c r="AA26" s="11" t="s">
        <v>1085</v>
      </c>
      <c r="AB26" s="11" t="s">
        <v>1472</v>
      </c>
      <c r="AC26" s="11" t="s">
        <v>1473</v>
      </c>
      <c r="AD26" s="11" t="n">
        <v>0.3</v>
      </c>
      <c r="AE26" s="11" t="n">
        <v>1</v>
      </c>
      <c r="AF26" s="11" t="n">
        <v>15.784376</v>
      </c>
      <c r="AG26" s="11" t="n">
        <v>52.614588</v>
      </c>
      <c r="AH26" s="11" t="n">
        <v>36.830212</v>
      </c>
      <c r="AI26" s="11" t="s">
        <v>1089</v>
      </c>
      <c r="AJ26" s="11" t="s">
        <v>1474</v>
      </c>
      <c r="AK26" s="11" t="s">
        <v>1475</v>
      </c>
      <c r="AL26" s="12" t="s">
        <v>1476</v>
      </c>
      <c r="AM26" s="17" t="n">
        <f aca="false">IFERROR(O26/S26,"")</f>
        <v>0.299999992397546</v>
      </c>
      <c r="AN26" s="16" t="n">
        <f aca="false">IF(OR(S26="",O26=""),"", S26-O26)</f>
        <v>36.830212</v>
      </c>
    </row>
    <row r="27" customFormat="false" ht="74.6" hidden="false" customHeight="false" outlineLevel="0" collapsed="false">
      <c r="A27" s="10" t="s">
        <v>1524</v>
      </c>
      <c r="B27" s="11" t="s">
        <v>99</v>
      </c>
      <c r="C27" s="11" t="s">
        <v>1478</v>
      </c>
      <c r="D27" s="11" t="s">
        <v>1469</v>
      </c>
      <c r="E27" s="11" t="s">
        <v>1081</v>
      </c>
      <c r="F27" s="11" t="s">
        <v>1470</v>
      </c>
      <c r="G27" s="11" t="s">
        <v>1525</v>
      </c>
      <c r="H27" s="11"/>
      <c r="I27" s="11"/>
      <c r="J27" s="11"/>
      <c r="K27" s="11"/>
      <c r="L27" s="11"/>
      <c r="M27" s="11"/>
      <c r="N27" s="11"/>
      <c r="O27" s="11" t="n">
        <v>15.784376</v>
      </c>
      <c r="P27" s="11" t="n">
        <v>0</v>
      </c>
      <c r="Q27" s="11"/>
      <c r="R27" s="11" t="n">
        <v>15.784376</v>
      </c>
      <c r="S27" s="11" t="n">
        <v>39.460941</v>
      </c>
      <c r="T27" s="11" t="n">
        <v>0.4</v>
      </c>
      <c r="U27" s="11" t="n">
        <v>0.399999989863394</v>
      </c>
      <c r="V27" s="11" t="n">
        <v>23.676565</v>
      </c>
      <c r="W27" s="11"/>
      <c r="X27" s="11"/>
      <c r="Y27" s="11" t="n">
        <v>23.676565</v>
      </c>
      <c r="Z27" s="11" t="s">
        <v>1084</v>
      </c>
      <c r="AA27" s="11" t="s">
        <v>1085</v>
      </c>
      <c r="AB27" s="11" t="s">
        <v>1472</v>
      </c>
      <c r="AC27" s="11" t="s">
        <v>1473</v>
      </c>
      <c r="AD27" s="11" t="n">
        <v>0.4</v>
      </c>
      <c r="AE27" s="11" t="n">
        <v>1</v>
      </c>
      <c r="AF27" s="11" t="n">
        <v>15.784376</v>
      </c>
      <c r="AG27" s="11" t="n">
        <v>39.460941</v>
      </c>
      <c r="AH27" s="11" t="n">
        <v>23.676565</v>
      </c>
      <c r="AI27" s="11" t="s">
        <v>1089</v>
      </c>
      <c r="AJ27" s="11" t="s">
        <v>1474</v>
      </c>
      <c r="AK27" s="11" t="s">
        <v>1475</v>
      </c>
      <c r="AL27" s="12" t="s">
        <v>1476</v>
      </c>
      <c r="AM27" s="17" t="n">
        <f aca="false">IFERROR(O27/S27,"")</f>
        <v>0.399999989863394</v>
      </c>
      <c r="AN27" s="16" t="n">
        <f aca="false">IF(OR(S27="",O27=""),"", S27-O27)</f>
        <v>23.676565</v>
      </c>
    </row>
    <row r="28" customFormat="false" ht="74.6" hidden="false" customHeight="false" outlineLevel="0" collapsed="false">
      <c r="A28" s="10" t="s">
        <v>1526</v>
      </c>
      <c r="B28" s="11" t="s">
        <v>99</v>
      </c>
      <c r="C28" s="11" t="s">
        <v>1481</v>
      </c>
      <c r="D28" s="11" t="s">
        <v>1469</v>
      </c>
      <c r="E28" s="11" t="s">
        <v>1081</v>
      </c>
      <c r="F28" s="11" t="s">
        <v>1470</v>
      </c>
      <c r="G28" s="11" t="s">
        <v>1527</v>
      </c>
      <c r="H28" s="11"/>
      <c r="I28" s="11"/>
      <c r="J28" s="11"/>
      <c r="K28" s="11"/>
      <c r="L28" s="11"/>
      <c r="M28" s="11"/>
      <c r="N28" s="11"/>
      <c r="O28" s="11" t="n">
        <v>15.784376</v>
      </c>
      <c r="P28" s="11" t="n">
        <v>0</v>
      </c>
      <c r="Q28" s="11"/>
      <c r="R28" s="11" t="n">
        <v>15.784376</v>
      </c>
      <c r="S28" s="11" t="n">
        <v>52.614588</v>
      </c>
      <c r="T28" s="11" t="n">
        <v>0.3</v>
      </c>
      <c r="U28" s="11" t="n">
        <v>0.299999992397546</v>
      </c>
      <c r="V28" s="11" t="n">
        <v>36.830212</v>
      </c>
      <c r="W28" s="11"/>
      <c r="X28" s="11"/>
      <c r="Y28" s="11" t="n">
        <v>36.830212</v>
      </c>
      <c r="Z28" s="11" t="s">
        <v>1084</v>
      </c>
      <c r="AA28" s="11" t="s">
        <v>1085</v>
      </c>
      <c r="AB28" s="11" t="s">
        <v>1472</v>
      </c>
      <c r="AC28" s="11" t="s">
        <v>1473</v>
      </c>
      <c r="AD28" s="11" t="n">
        <v>0.3</v>
      </c>
      <c r="AE28" s="11" t="n">
        <v>1</v>
      </c>
      <c r="AF28" s="11" t="n">
        <v>15.784376</v>
      </c>
      <c r="AG28" s="11" t="n">
        <v>52.614588</v>
      </c>
      <c r="AH28" s="11" t="n">
        <v>36.830212</v>
      </c>
      <c r="AI28" s="11" t="s">
        <v>1089</v>
      </c>
      <c r="AJ28" s="11" t="s">
        <v>1474</v>
      </c>
      <c r="AK28" s="11" t="s">
        <v>1475</v>
      </c>
      <c r="AL28" s="12" t="s">
        <v>1476</v>
      </c>
      <c r="AM28" s="17" t="n">
        <f aca="false">IFERROR(O28/S28,"")</f>
        <v>0.299999992397546</v>
      </c>
      <c r="AN28" s="16" t="n">
        <f aca="false">IF(OR(S28="",O28=""),"", S28-O28)</f>
        <v>36.830212</v>
      </c>
    </row>
    <row r="29" customFormat="false" ht="74.6" hidden="false" customHeight="false" outlineLevel="0" collapsed="false">
      <c r="A29" s="10" t="s">
        <v>1528</v>
      </c>
      <c r="B29" s="11" t="s">
        <v>99</v>
      </c>
      <c r="C29" s="11" t="s">
        <v>1484</v>
      </c>
      <c r="D29" s="11" t="s">
        <v>1469</v>
      </c>
      <c r="E29" s="11" t="s">
        <v>1081</v>
      </c>
      <c r="F29" s="11" t="s">
        <v>1470</v>
      </c>
      <c r="G29" s="11" t="s">
        <v>1529</v>
      </c>
      <c r="H29" s="11"/>
      <c r="I29" s="11"/>
      <c r="J29" s="11"/>
      <c r="K29" s="11"/>
      <c r="L29" s="11"/>
      <c r="M29" s="11"/>
      <c r="N29" s="11"/>
      <c r="O29" s="11" t="n">
        <v>15.784376</v>
      </c>
      <c r="P29" s="11" t="n">
        <v>65</v>
      </c>
      <c r="Q29" s="11"/>
      <c r="R29" s="11" t="n">
        <v>80.784376</v>
      </c>
      <c r="S29" s="11" t="n">
        <v>269.281255</v>
      </c>
      <c r="T29" s="11" t="n">
        <v>0.3</v>
      </c>
      <c r="U29" s="11" t="n">
        <v>0.0586166905676372</v>
      </c>
      <c r="V29" s="11" t="n">
        <v>253.496878</v>
      </c>
      <c r="W29" s="11"/>
      <c r="X29" s="11"/>
      <c r="Y29" s="11" t="n">
        <v>188.496878</v>
      </c>
      <c r="Z29" s="11" t="s">
        <v>1084</v>
      </c>
      <c r="AA29" s="11" t="s">
        <v>1085</v>
      </c>
      <c r="AB29" s="11" t="s">
        <v>1472</v>
      </c>
      <c r="AC29" s="11" t="s">
        <v>1473</v>
      </c>
      <c r="AD29" s="11" t="n">
        <v>0.058617</v>
      </c>
      <c r="AE29" s="11" t="n">
        <v>1</v>
      </c>
      <c r="AF29" s="11" t="n">
        <v>80.784376</v>
      </c>
      <c r="AG29" s="11" t="n">
        <v>269.281255</v>
      </c>
      <c r="AH29" s="11" t="n">
        <v>253.496878</v>
      </c>
      <c r="AI29" s="11" t="s">
        <v>1089</v>
      </c>
      <c r="AJ29" s="11" t="s">
        <v>1486</v>
      </c>
      <c r="AK29" s="11" t="s">
        <v>1475</v>
      </c>
      <c r="AL29" s="12" t="s">
        <v>1476</v>
      </c>
      <c r="AM29" s="17" t="n">
        <f aca="false">IFERROR(O29/S29,"")</f>
        <v>0.0586166905676372</v>
      </c>
      <c r="AN29" s="16" t="n">
        <f aca="false">IF(OR(S29="",O29=""),"", S29-O29)</f>
        <v>253.496879</v>
      </c>
    </row>
    <row r="30" customFormat="false" ht="74.6" hidden="false" customHeight="false" outlineLevel="0" collapsed="false">
      <c r="A30" s="10" t="s">
        <v>1530</v>
      </c>
      <c r="B30" s="11" t="s">
        <v>99</v>
      </c>
      <c r="C30" s="11" t="s">
        <v>1520</v>
      </c>
      <c r="D30" s="11" t="s">
        <v>1469</v>
      </c>
      <c r="E30" s="11" t="s">
        <v>1081</v>
      </c>
      <c r="F30" s="11" t="s">
        <v>1470</v>
      </c>
      <c r="G30" s="11" t="s">
        <v>1531</v>
      </c>
      <c r="H30" s="11"/>
      <c r="I30" s="11"/>
      <c r="J30" s="11"/>
      <c r="K30" s="11"/>
      <c r="L30" s="11"/>
      <c r="M30" s="11"/>
      <c r="N30" s="11"/>
      <c r="O30" s="11" t="n">
        <v>15.784376</v>
      </c>
      <c r="P30" s="11" t="n">
        <v>40</v>
      </c>
      <c r="Q30" s="11"/>
      <c r="R30" s="11" t="n">
        <v>55.784376</v>
      </c>
      <c r="S30" s="11" t="n">
        <v>130.163675</v>
      </c>
      <c r="T30" s="11" t="n">
        <v>0.428571</v>
      </c>
      <c r="U30" s="11" t="n">
        <v>0.121265598870038</v>
      </c>
      <c r="V30" s="11" t="n">
        <v>114.379299</v>
      </c>
      <c r="W30" s="11"/>
      <c r="X30" s="11"/>
      <c r="Y30" s="11" t="n">
        <v>74.379299</v>
      </c>
      <c r="Z30" s="11" t="s">
        <v>1084</v>
      </c>
      <c r="AA30" s="11" t="s">
        <v>1085</v>
      </c>
      <c r="AB30" s="11" t="s">
        <v>1472</v>
      </c>
      <c r="AC30" s="11" t="s">
        <v>1473</v>
      </c>
      <c r="AD30" s="11" t="n">
        <v>0.121266</v>
      </c>
      <c r="AE30" s="11" t="n">
        <v>1</v>
      </c>
      <c r="AF30" s="11" t="n">
        <v>55.784376</v>
      </c>
      <c r="AG30" s="11" t="n">
        <v>130.163675</v>
      </c>
      <c r="AH30" s="11" t="n">
        <v>114.379299</v>
      </c>
      <c r="AI30" s="11" t="s">
        <v>1089</v>
      </c>
      <c r="AJ30" s="11" t="s">
        <v>1486</v>
      </c>
      <c r="AK30" s="11" t="s">
        <v>1475</v>
      </c>
      <c r="AL30" s="12" t="s">
        <v>1476</v>
      </c>
      <c r="AM30" s="17" t="n">
        <f aca="false">IFERROR(O30/S30,"")</f>
        <v>0.121265598870038</v>
      </c>
      <c r="AN30" s="16" t="n">
        <f aca="false">IF(OR(S30="",O30=""),"", S30-O30)</f>
        <v>114.379299</v>
      </c>
    </row>
    <row r="31" customFormat="false" ht="74.6" hidden="false" customHeight="false" outlineLevel="0" collapsed="false">
      <c r="A31" s="10" t="s">
        <v>1532</v>
      </c>
      <c r="B31" s="11" t="s">
        <v>105</v>
      </c>
      <c r="C31" s="11" t="s">
        <v>1468</v>
      </c>
      <c r="D31" s="11" t="s">
        <v>1469</v>
      </c>
      <c r="E31" s="11" t="s">
        <v>1081</v>
      </c>
      <c r="F31" s="11" t="s">
        <v>1470</v>
      </c>
      <c r="G31" s="11" t="s">
        <v>1533</v>
      </c>
      <c r="H31" s="11"/>
      <c r="I31" s="11"/>
      <c r="J31" s="11"/>
      <c r="K31" s="11"/>
      <c r="L31" s="11"/>
      <c r="M31" s="11"/>
      <c r="N31" s="11"/>
      <c r="O31" s="11" t="n">
        <v>25.922171</v>
      </c>
      <c r="P31" s="11" t="n">
        <v>0</v>
      </c>
      <c r="Q31" s="11"/>
      <c r="R31" s="11" t="n">
        <v>25.922171</v>
      </c>
      <c r="S31" s="11" t="n">
        <v>86.407235</v>
      </c>
      <c r="T31" s="11" t="n">
        <v>0.3</v>
      </c>
      <c r="U31" s="11" t="n">
        <v>0.300000005786552</v>
      </c>
      <c r="V31" s="11" t="n">
        <v>60.485065</v>
      </c>
      <c r="W31" s="11"/>
      <c r="X31" s="11"/>
      <c r="Y31" s="11" t="n">
        <v>60.485065</v>
      </c>
      <c r="Z31" s="11" t="s">
        <v>1084</v>
      </c>
      <c r="AA31" s="11" t="s">
        <v>1085</v>
      </c>
      <c r="AB31" s="11" t="s">
        <v>1472</v>
      </c>
      <c r="AC31" s="11" t="s">
        <v>1473</v>
      </c>
      <c r="AD31" s="11" t="n">
        <v>0.3</v>
      </c>
      <c r="AE31" s="11" t="n">
        <v>1</v>
      </c>
      <c r="AF31" s="11" t="n">
        <v>25.922171</v>
      </c>
      <c r="AG31" s="11" t="n">
        <v>86.407235</v>
      </c>
      <c r="AH31" s="11" t="n">
        <v>60.485065</v>
      </c>
      <c r="AI31" s="11" t="s">
        <v>1089</v>
      </c>
      <c r="AJ31" s="11" t="s">
        <v>1474</v>
      </c>
      <c r="AK31" s="11" t="s">
        <v>1475</v>
      </c>
      <c r="AL31" s="12" t="s">
        <v>1476</v>
      </c>
      <c r="AM31" s="17" t="n">
        <f aca="false">IFERROR(O31/S31,"")</f>
        <v>0.300000005786552</v>
      </c>
      <c r="AN31" s="16" t="n">
        <f aca="false">IF(OR(S31="",O31=""),"", S31-O31)</f>
        <v>60.485064</v>
      </c>
    </row>
    <row r="32" customFormat="false" ht="74.6" hidden="false" customHeight="false" outlineLevel="0" collapsed="false">
      <c r="A32" s="10" t="s">
        <v>1534</v>
      </c>
      <c r="B32" s="11" t="s">
        <v>105</v>
      </c>
      <c r="C32" s="11" t="s">
        <v>1478</v>
      </c>
      <c r="D32" s="11" t="s">
        <v>1469</v>
      </c>
      <c r="E32" s="11" t="s">
        <v>1081</v>
      </c>
      <c r="F32" s="11" t="s">
        <v>1470</v>
      </c>
      <c r="G32" s="11" t="s">
        <v>1535</v>
      </c>
      <c r="H32" s="11"/>
      <c r="I32" s="11"/>
      <c r="J32" s="11"/>
      <c r="K32" s="11"/>
      <c r="L32" s="11"/>
      <c r="M32" s="11"/>
      <c r="N32" s="11"/>
      <c r="O32" s="11" t="n">
        <v>25.922171</v>
      </c>
      <c r="P32" s="11" t="n">
        <v>0</v>
      </c>
      <c r="Q32" s="11"/>
      <c r="R32" s="11" t="n">
        <v>25.922171</v>
      </c>
      <c r="S32" s="11" t="n">
        <v>64.805426</v>
      </c>
      <c r="T32" s="11" t="n">
        <v>0.4</v>
      </c>
      <c r="U32" s="11" t="n">
        <v>0.400000009258484</v>
      </c>
      <c r="V32" s="11" t="n">
        <v>38.883256</v>
      </c>
      <c r="W32" s="11"/>
      <c r="X32" s="11"/>
      <c r="Y32" s="11" t="n">
        <v>38.883256</v>
      </c>
      <c r="Z32" s="11" t="s">
        <v>1084</v>
      </c>
      <c r="AA32" s="11" t="s">
        <v>1085</v>
      </c>
      <c r="AB32" s="11" t="s">
        <v>1472</v>
      </c>
      <c r="AC32" s="11" t="s">
        <v>1473</v>
      </c>
      <c r="AD32" s="11" t="n">
        <v>0.4</v>
      </c>
      <c r="AE32" s="11" t="n">
        <v>1</v>
      </c>
      <c r="AF32" s="11" t="n">
        <v>25.922171</v>
      </c>
      <c r="AG32" s="11" t="n">
        <v>64.805426</v>
      </c>
      <c r="AH32" s="11" t="n">
        <v>38.883256</v>
      </c>
      <c r="AI32" s="11" t="s">
        <v>1089</v>
      </c>
      <c r="AJ32" s="11" t="s">
        <v>1474</v>
      </c>
      <c r="AK32" s="11" t="s">
        <v>1475</v>
      </c>
      <c r="AL32" s="12" t="s">
        <v>1476</v>
      </c>
      <c r="AM32" s="17" t="n">
        <f aca="false">IFERROR(O32/S32,"")</f>
        <v>0.400000009258484</v>
      </c>
      <c r="AN32" s="16" t="n">
        <f aca="false">IF(OR(S32="",O32=""),"", S32-O32)</f>
        <v>38.883255</v>
      </c>
    </row>
    <row r="33" customFormat="false" ht="74.6" hidden="false" customHeight="false" outlineLevel="0" collapsed="false">
      <c r="A33" s="10" t="s">
        <v>1536</v>
      </c>
      <c r="B33" s="11" t="s">
        <v>105</v>
      </c>
      <c r="C33" s="11" t="s">
        <v>1481</v>
      </c>
      <c r="D33" s="11" t="s">
        <v>1469</v>
      </c>
      <c r="E33" s="11" t="s">
        <v>1081</v>
      </c>
      <c r="F33" s="11" t="s">
        <v>1470</v>
      </c>
      <c r="G33" s="11" t="s">
        <v>1537</v>
      </c>
      <c r="H33" s="11"/>
      <c r="I33" s="11"/>
      <c r="J33" s="11"/>
      <c r="K33" s="11"/>
      <c r="L33" s="11"/>
      <c r="M33" s="11"/>
      <c r="N33" s="11"/>
      <c r="O33" s="11" t="n">
        <v>25.922171</v>
      </c>
      <c r="P33" s="11" t="n">
        <v>0</v>
      </c>
      <c r="Q33" s="11"/>
      <c r="R33" s="11" t="n">
        <v>25.922171</v>
      </c>
      <c r="S33" s="11" t="n">
        <v>86.407235</v>
      </c>
      <c r="T33" s="11" t="n">
        <v>0.3</v>
      </c>
      <c r="U33" s="11" t="n">
        <v>0.300000005786552</v>
      </c>
      <c r="V33" s="11" t="n">
        <v>60.485065</v>
      </c>
      <c r="W33" s="11"/>
      <c r="X33" s="11"/>
      <c r="Y33" s="11" t="n">
        <v>60.485065</v>
      </c>
      <c r="Z33" s="11" t="s">
        <v>1084</v>
      </c>
      <c r="AA33" s="11" t="s">
        <v>1085</v>
      </c>
      <c r="AB33" s="11" t="s">
        <v>1472</v>
      </c>
      <c r="AC33" s="11" t="s">
        <v>1473</v>
      </c>
      <c r="AD33" s="11" t="n">
        <v>0.3</v>
      </c>
      <c r="AE33" s="11" t="n">
        <v>1</v>
      </c>
      <c r="AF33" s="11" t="n">
        <v>25.922171</v>
      </c>
      <c r="AG33" s="11" t="n">
        <v>86.407235</v>
      </c>
      <c r="AH33" s="11" t="n">
        <v>60.485065</v>
      </c>
      <c r="AI33" s="11" t="s">
        <v>1089</v>
      </c>
      <c r="AJ33" s="11" t="s">
        <v>1474</v>
      </c>
      <c r="AK33" s="11" t="s">
        <v>1475</v>
      </c>
      <c r="AL33" s="12" t="s">
        <v>1476</v>
      </c>
      <c r="AM33" s="17" t="n">
        <f aca="false">IFERROR(O33/S33,"")</f>
        <v>0.300000005786552</v>
      </c>
      <c r="AN33" s="16" t="n">
        <f aca="false">IF(OR(S33="",O33=""),"", S33-O33)</f>
        <v>60.485064</v>
      </c>
    </row>
    <row r="34" customFormat="false" ht="74.6" hidden="false" customHeight="false" outlineLevel="0" collapsed="false">
      <c r="A34" s="10" t="s">
        <v>1538</v>
      </c>
      <c r="B34" s="11" t="s">
        <v>105</v>
      </c>
      <c r="C34" s="11" t="s">
        <v>1484</v>
      </c>
      <c r="D34" s="11" t="s">
        <v>1469</v>
      </c>
      <c r="E34" s="11" t="s">
        <v>1081</v>
      </c>
      <c r="F34" s="11" t="s">
        <v>1470</v>
      </c>
      <c r="G34" s="11" t="s">
        <v>1539</v>
      </c>
      <c r="H34" s="11"/>
      <c r="I34" s="11"/>
      <c r="J34" s="11"/>
      <c r="K34" s="11"/>
      <c r="L34" s="11"/>
      <c r="M34" s="11"/>
      <c r="N34" s="11"/>
      <c r="O34" s="11" t="n">
        <v>25.922171</v>
      </c>
      <c r="P34" s="11" t="n">
        <v>65</v>
      </c>
      <c r="Q34" s="11"/>
      <c r="R34" s="11" t="n">
        <v>90.922171</v>
      </c>
      <c r="S34" s="11" t="n">
        <v>303.073902</v>
      </c>
      <c r="T34" s="11" t="n">
        <v>0.3</v>
      </c>
      <c r="U34" s="11" t="n">
        <v>0.0855308584108968</v>
      </c>
      <c r="V34" s="11" t="n">
        <v>277.151731</v>
      </c>
      <c r="W34" s="11"/>
      <c r="X34" s="11"/>
      <c r="Y34" s="11" t="n">
        <v>212.151731</v>
      </c>
      <c r="Z34" s="11" t="s">
        <v>1084</v>
      </c>
      <c r="AA34" s="11" t="s">
        <v>1085</v>
      </c>
      <c r="AB34" s="11" t="s">
        <v>1472</v>
      </c>
      <c r="AC34" s="11" t="s">
        <v>1473</v>
      </c>
      <c r="AD34" s="11" t="n">
        <v>0.085531</v>
      </c>
      <c r="AE34" s="11" t="n">
        <v>1</v>
      </c>
      <c r="AF34" s="11" t="n">
        <v>90.922171</v>
      </c>
      <c r="AG34" s="11" t="n">
        <v>303.073902</v>
      </c>
      <c r="AH34" s="11" t="n">
        <v>277.151731</v>
      </c>
      <c r="AI34" s="11" t="s">
        <v>1089</v>
      </c>
      <c r="AJ34" s="11" t="s">
        <v>1486</v>
      </c>
      <c r="AK34" s="11" t="s">
        <v>1475</v>
      </c>
      <c r="AL34" s="12" t="s">
        <v>1476</v>
      </c>
      <c r="AM34" s="17" t="n">
        <f aca="false">IFERROR(O34/S34,"")</f>
        <v>0.0855308584108968</v>
      </c>
      <c r="AN34" s="16" t="n">
        <f aca="false">IF(OR(S34="",O34=""),"", S34-O34)</f>
        <v>277.151731</v>
      </c>
    </row>
    <row r="35" customFormat="false" ht="74.6" hidden="false" customHeight="false" outlineLevel="0" collapsed="false">
      <c r="A35" s="10" t="s">
        <v>1540</v>
      </c>
      <c r="B35" s="11" t="s">
        <v>105</v>
      </c>
      <c r="C35" s="11" t="s">
        <v>1520</v>
      </c>
      <c r="D35" s="11" t="s">
        <v>1469</v>
      </c>
      <c r="E35" s="11" t="s">
        <v>1081</v>
      </c>
      <c r="F35" s="11" t="s">
        <v>1470</v>
      </c>
      <c r="G35" s="11" t="s">
        <v>1541</v>
      </c>
      <c r="H35" s="11"/>
      <c r="I35" s="11"/>
      <c r="J35" s="11"/>
      <c r="K35" s="11"/>
      <c r="L35" s="11"/>
      <c r="M35" s="11"/>
      <c r="N35" s="11"/>
      <c r="O35" s="11" t="n">
        <v>25.922171</v>
      </c>
      <c r="P35" s="11" t="n">
        <v>40</v>
      </c>
      <c r="Q35" s="11"/>
      <c r="R35" s="11" t="n">
        <v>65.922171</v>
      </c>
      <c r="S35" s="11" t="n">
        <v>153.818552</v>
      </c>
      <c r="T35" s="11" t="n">
        <v>0.428571</v>
      </c>
      <c r="U35" s="11" t="n">
        <v>0.168524346790106</v>
      </c>
      <c r="V35" s="11" t="n">
        <v>127.896381</v>
      </c>
      <c r="W35" s="11"/>
      <c r="X35" s="11"/>
      <c r="Y35" s="11" t="n">
        <v>87.896381</v>
      </c>
      <c r="Z35" s="11" t="s">
        <v>1084</v>
      </c>
      <c r="AA35" s="11" t="s">
        <v>1085</v>
      </c>
      <c r="AB35" s="11" t="s">
        <v>1472</v>
      </c>
      <c r="AC35" s="11" t="s">
        <v>1473</v>
      </c>
      <c r="AD35" s="11" t="n">
        <v>0.168524</v>
      </c>
      <c r="AE35" s="11" t="n">
        <v>1</v>
      </c>
      <c r="AF35" s="11" t="n">
        <v>65.922171</v>
      </c>
      <c r="AG35" s="11" t="n">
        <v>153.818552</v>
      </c>
      <c r="AH35" s="11" t="n">
        <v>127.896381</v>
      </c>
      <c r="AI35" s="11" t="s">
        <v>1089</v>
      </c>
      <c r="AJ35" s="11" t="s">
        <v>1486</v>
      </c>
      <c r="AK35" s="11" t="s">
        <v>1475</v>
      </c>
      <c r="AL35" s="12" t="s">
        <v>1476</v>
      </c>
      <c r="AM35" s="17" t="n">
        <f aca="false">IFERROR(O35/S35,"")</f>
        <v>0.168524346790106</v>
      </c>
      <c r="AN35" s="16" t="n">
        <f aca="false">IF(OR(S35="",O35=""),"", S35-O35)</f>
        <v>127.896381</v>
      </c>
    </row>
    <row r="36" customFormat="false" ht="74.6" hidden="false" customHeight="false" outlineLevel="0" collapsed="false">
      <c r="A36" s="10" t="s">
        <v>1542</v>
      </c>
      <c r="B36" s="11" t="s">
        <v>112</v>
      </c>
      <c r="C36" s="11" t="s">
        <v>1468</v>
      </c>
      <c r="D36" s="11" t="s">
        <v>1469</v>
      </c>
      <c r="E36" s="11" t="s">
        <v>1081</v>
      </c>
      <c r="F36" s="11" t="s">
        <v>1470</v>
      </c>
      <c r="G36" s="11" t="s">
        <v>1543</v>
      </c>
      <c r="H36" s="11"/>
      <c r="I36" s="11"/>
      <c r="J36" s="11"/>
      <c r="K36" s="11"/>
      <c r="L36" s="11"/>
      <c r="M36" s="11"/>
      <c r="N36" s="11"/>
      <c r="O36" s="11" t="n">
        <v>27.567467</v>
      </c>
      <c r="P36" s="11" t="n">
        <v>0</v>
      </c>
      <c r="Q36" s="11"/>
      <c r="R36" s="11" t="n">
        <v>27.567467</v>
      </c>
      <c r="S36" s="11" t="n">
        <v>91.891555</v>
      </c>
      <c r="T36" s="11" t="n">
        <v>0.3</v>
      </c>
      <c r="U36" s="11" t="n">
        <v>0.300000005441196</v>
      </c>
      <c r="V36" s="11" t="n">
        <v>64.324089</v>
      </c>
      <c r="W36" s="11"/>
      <c r="X36" s="11"/>
      <c r="Y36" s="11" t="n">
        <v>64.324089</v>
      </c>
      <c r="Z36" s="11" t="s">
        <v>1084</v>
      </c>
      <c r="AA36" s="11" t="s">
        <v>1085</v>
      </c>
      <c r="AB36" s="11" t="s">
        <v>1472</v>
      </c>
      <c r="AC36" s="11" t="s">
        <v>1473</v>
      </c>
      <c r="AD36" s="11" t="n">
        <v>0.3</v>
      </c>
      <c r="AE36" s="11" t="n">
        <v>1</v>
      </c>
      <c r="AF36" s="11" t="n">
        <v>27.567467</v>
      </c>
      <c r="AG36" s="11" t="n">
        <v>91.891555</v>
      </c>
      <c r="AH36" s="11" t="n">
        <v>64.324089</v>
      </c>
      <c r="AI36" s="11" t="s">
        <v>1089</v>
      </c>
      <c r="AJ36" s="11" t="s">
        <v>1474</v>
      </c>
      <c r="AK36" s="11" t="s">
        <v>1475</v>
      </c>
      <c r="AL36" s="12" t="s">
        <v>1476</v>
      </c>
      <c r="AM36" s="17" t="n">
        <f aca="false">IFERROR(O36/S36,"")</f>
        <v>0.300000005441196</v>
      </c>
      <c r="AN36" s="16" t="n">
        <f aca="false">IF(OR(S36="",O36=""),"", S36-O36)</f>
        <v>64.324088</v>
      </c>
    </row>
    <row r="37" customFormat="false" ht="74.6" hidden="false" customHeight="false" outlineLevel="0" collapsed="false">
      <c r="A37" s="10" t="s">
        <v>1544</v>
      </c>
      <c r="B37" s="11" t="s">
        <v>112</v>
      </c>
      <c r="C37" s="11" t="s">
        <v>1478</v>
      </c>
      <c r="D37" s="11" t="s">
        <v>1469</v>
      </c>
      <c r="E37" s="11" t="s">
        <v>1081</v>
      </c>
      <c r="F37" s="11" t="s">
        <v>1470</v>
      </c>
      <c r="G37" s="11" t="s">
        <v>1545</v>
      </c>
      <c r="H37" s="11"/>
      <c r="I37" s="11"/>
      <c r="J37" s="11"/>
      <c r="K37" s="11"/>
      <c r="L37" s="11"/>
      <c r="M37" s="11"/>
      <c r="N37" s="11"/>
      <c r="O37" s="11" t="n">
        <v>27.567467</v>
      </c>
      <c r="P37" s="11" t="n">
        <v>0</v>
      </c>
      <c r="Q37" s="11"/>
      <c r="R37" s="11" t="n">
        <v>27.567467</v>
      </c>
      <c r="S37" s="11" t="n">
        <v>68.918666</v>
      </c>
      <c r="T37" s="11" t="n">
        <v>0.4</v>
      </c>
      <c r="U37" s="11" t="n">
        <v>0.400000008705914</v>
      </c>
      <c r="V37" s="11" t="n">
        <v>41.3512</v>
      </c>
      <c r="W37" s="11"/>
      <c r="X37" s="11"/>
      <c r="Y37" s="11" t="n">
        <v>41.3512</v>
      </c>
      <c r="Z37" s="11" t="s">
        <v>1084</v>
      </c>
      <c r="AA37" s="11" t="s">
        <v>1085</v>
      </c>
      <c r="AB37" s="11" t="s">
        <v>1472</v>
      </c>
      <c r="AC37" s="11" t="s">
        <v>1473</v>
      </c>
      <c r="AD37" s="11" t="n">
        <v>0.4</v>
      </c>
      <c r="AE37" s="11" t="n">
        <v>1</v>
      </c>
      <c r="AF37" s="11" t="n">
        <v>27.567467</v>
      </c>
      <c r="AG37" s="11" t="n">
        <v>68.918666</v>
      </c>
      <c r="AH37" s="11" t="n">
        <v>41.3512</v>
      </c>
      <c r="AI37" s="11" t="s">
        <v>1089</v>
      </c>
      <c r="AJ37" s="11" t="s">
        <v>1474</v>
      </c>
      <c r="AK37" s="11" t="s">
        <v>1475</v>
      </c>
      <c r="AL37" s="12" t="s">
        <v>1476</v>
      </c>
      <c r="AM37" s="17" t="n">
        <f aca="false">IFERROR(O37/S37,"")</f>
        <v>0.400000008705914</v>
      </c>
      <c r="AN37" s="16" t="n">
        <f aca="false">IF(OR(S37="",O37=""),"", S37-O37)</f>
        <v>41.351199</v>
      </c>
    </row>
    <row r="38" customFormat="false" ht="74.6" hidden="false" customHeight="false" outlineLevel="0" collapsed="false">
      <c r="A38" s="10" t="s">
        <v>1546</v>
      </c>
      <c r="B38" s="11" t="s">
        <v>112</v>
      </c>
      <c r="C38" s="11" t="s">
        <v>1481</v>
      </c>
      <c r="D38" s="11" t="s">
        <v>1469</v>
      </c>
      <c r="E38" s="11" t="s">
        <v>1081</v>
      </c>
      <c r="F38" s="11" t="s">
        <v>1470</v>
      </c>
      <c r="G38" s="11" t="s">
        <v>1547</v>
      </c>
      <c r="H38" s="11"/>
      <c r="I38" s="11"/>
      <c r="J38" s="11"/>
      <c r="K38" s="11"/>
      <c r="L38" s="11"/>
      <c r="M38" s="11"/>
      <c r="N38" s="11"/>
      <c r="O38" s="11" t="n">
        <v>27.567467</v>
      </c>
      <c r="P38" s="11" t="n">
        <v>0</v>
      </c>
      <c r="Q38" s="11"/>
      <c r="R38" s="11" t="n">
        <v>27.567467</v>
      </c>
      <c r="S38" s="11" t="n">
        <v>91.891555</v>
      </c>
      <c r="T38" s="11" t="n">
        <v>0.3</v>
      </c>
      <c r="U38" s="11" t="n">
        <v>0.300000005441196</v>
      </c>
      <c r="V38" s="11" t="n">
        <v>64.324089</v>
      </c>
      <c r="W38" s="11"/>
      <c r="X38" s="11"/>
      <c r="Y38" s="11" t="n">
        <v>64.324089</v>
      </c>
      <c r="Z38" s="11" t="s">
        <v>1084</v>
      </c>
      <c r="AA38" s="11" t="s">
        <v>1085</v>
      </c>
      <c r="AB38" s="11" t="s">
        <v>1472</v>
      </c>
      <c r="AC38" s="11" t="s">
        <v>1473</v>
      </c>
      <c r="AD38" s="11" t="n">
        <v>0.3</v>
      </c>
      <c r="AE38" s="11" t="n">
        <v>1</v>
      </c>
      <c r="AF38" s="11" t="n">
        <v>27.567467</v>
      </c>
      <c r="AG38" s="11" t="n">
        <v>91.891555</v>
      </c>
      <c r="AH38" s="11" t="n">
        <v>64.324089</v>
      </c>
      <c r="AI38" s="11" t="s">
        <v>1089</v>
      </c>
      <c r="AJ38" s="11" t="s">
        <v>1474</v>
      </c>
      <c r="AK38" s="11" t="s">
        <v>1475</v>
      </c>
      <c r="AL38" s="12" t="s">
        <v>1476</v>
      </c>
      <c r="AM38" s="17" t="n">
        <f aca="false">IFERROR(O38/S38,"")</f>
        <v>0.300000005441196</v>
      </c>
      <c r="AN38" s="16" t="n">
        <f aca="false">IF(OR(S38="",O38=""),"", S38-O38)</f>
        <v>64.324088</v>
      </c>
    </row>
    <row r="39" customFormat="false" ht="74.6" hidden="false" customHeight="false" outlineLevel="0" collapsed="false">
      <c r="A39" s="10" t="s">
        <v>1548</v>
      </c>
      <c r="B39" s="11" t="s">
        <v>112</v>
      </c>
      <c r="C39" s="11" t="s">
        <v>1484</v>
      </c>
      <c r="D39" s="11" t="s">
        <v>1469</v>
      </c>
      <c r="E39" s="11" t="s">
        <v>1081</v>
      </c>
      <c r="F39" s="11" t="s">
        <v>1470</v>
      </c>
      <c r="G39" s="11" t="s">
        <v>1549</v>
      </c>
      <c r="H39" s="11"/>
      <c r="I39" s="11"/>
      <c r="J39" s="11"/>
      <c r="K39" s="11"/>
      <c r="L39" s="11"/>
      <c r="M39" s="11"/>
      <c r="N39" s="11"/>
      <c r="O39" s="11" t="n">
        <v>27.567467</v>
      </c>
      <c r="P39" s="11" t="n">
        <v>65</v>
      </c>
      <c r="Q39" s="11"/>
      <c r="R39" s="11" t="n">
        <v>92.567467</v>
      </c>
      <c r="S39" s="11" t="n">
        <v>308.558222</v>
      </c>
      <c r="T39" s="11" t="n">
        <v>0.3</v>
      </c>
      <c r="U39" s="11" t="n">
        <v>0.089342837216634</v>
      </c>
      <c r="V39" s="11" t="n">
        <v>280.990755</v>
      </c>
      <c r="W39" s="11"/>
      <c r="X39" s="11"/>
      <c r="Y39" s="11" t="n">
        <v>215.990755</v>
      </c>
      <c r="Z39" s="11" t="s">
        <v>1084</v>
      </c>
      <c r="AA39" s="11" t="s">
        <v>1085</v>
      </c>
      <c r="AB39" s="11" t="s">
        <v>1472</v>
      </c>
      <c r="AC39" s="11" t="s">
        <v>1473</v>
      </c>
      <c r="AD39" s="11" t="n">
        <v>0.089343</v>
      </c>
      <c r="AE39" s="11" t="n">
        <v>1</v>
      </c>
      <c r="AF39" s="11" t="n">
        <v>92.567467</v>
      </c>
      <c r="AG39" s="11" t="n">
        <v>308.558222</v>
      </c>
      <c r="AH39" s="11" t="n">
        <v>280.990755</v>
      </c>
      <c r="AI39" s="11" t="s">
        <v>1089</v>
      </c>
      <c r="AJ39" s="11" t="s">
        <v>1486</v>
      </c>
      <c r="AK39" s="11" t="s">
        <v>1475</v>
      </c>
      <c r="AL39" s="12" t="s">
        <v>1476</v>
      </c>
      <c r="AM39" s="17" t="n">
        <f aca="false">IFERROR(O39/S39,"")</f>
        <v>0.089342837216634</v>
      </c>
      <c r="AN39" s="16" t="n">
        <f aca="false">IF(OR(S39="",O39=""),"", S39-O39)</f>
        <v>280.990755</v>
      </c>
    </row>
    <row r="40" customFormat="false" ht="74.6" hidden="false" customHeight="false" outlineLevel="0" collapsed="false">
      <c r="A40" s="10" t="s">
        <v>1550</v>
      </c>
      <c r="B40" s="11" t="s">
        <v>112</v>
      </c>
      <c r="C40" s="11" t="s">
        <v>1520</v>
      </c>
      <c r="D40" s="11" t="s">
        <v>1469</v>
      </c>
      <c r="E40" s="11" t="s">
        <v>1081</v>
      </c>
      <c r="F40" s="11" t="s">
        <v>1470</v>
      </c>
      <c r="G40" s="11" t="s">
        <v>1551</v>
      </c>
      <c r="H40" s="11"/>
      <c r="I40" s="11"/>
      <c r="J40" s="11"/>
      <c r="K40" s="11"/>
      <c r="L40" s="11"/>
      <c r="M40" s="11"/>
      <c r="N40" s="11"/>
      <c r="O40" s="11" t="n">
        <v>27.567467</v>
      </c>
      <c r="P40" s="11" t="n">
        <v>40</v>
      </c>
      <c r="Q40" s="11"/>
      <c r="R40" s="11" t="n">
        <v>67.567467</v>
      </c>
      <c r="S40" s="11" t="n">
        <v>157.65758</v>
      </c>
      <c r="T40" s="11" t="n">
        <v>0.428571</v>
      </c>
      <c r="U40" s="11" t="n">
        <v>0.174856591100789</v>
      </c>
      <c r="V40" s="11" t="n">
        <v>130.090113</v>
      </c>
      <c r="W40" s="11"/>
      <c r="X40" s="11"/>
      <c r="Y40" s="11" t="n">
        <v>90.090113</v>
      </c>
      <c r="Z40" s="11" t="s">
        <v>1084</v>
      </c>
      <c r="AA40" s="11" t="s">
        <v>1085</v>
      </c>
      <c r="AB40" s="11" t="s">
        <v>1472</v>
      </c>
      <c r="AC40" s="11" t="s">
        <v>1473</v>
      </c>
      <c r="AD40" s="11" t="n">
        <v>0.174857</v>
      </c>
      <c r="AE40" s="11" t="n">
        <v>1</v>
      </c>
      <c r="AF40" s="11" t="n">
        <v>67.567467</v>
      </c>
      <c r="AG40" s="11" t="n">
        <v>157.65758</v>
      </c>
      <c r="AH40" s="11" t="n">
        <v>130.090113</v>
      </c>
      <c r="AI40" s="11" t="s">
        <v>1089</v>
      </c>
      <c r="AJ40" s="11" t="s">
        <v>1486</v>
      </c>
      <c r="AK40" s="11" t="s">
        <v>1475</v>
      </c>
      <c r="AL40" s="12" t="s">
        <v>1476</v>
      </c>
      <c r="AM40" s="17" t="n">
        <f aca="false">IFERROR(O40/S40,"")</f>
        <v>0.174856591100789</v>
      </c>
      <c r="AN40" s="16" t="n">
        <f aca="false">IF(OR(S40="",O40=""),"", S40-O40)</f>
        <v>130.090113</v>
      </c>
    </row>
    <row r="41" customFormat="false" ht="74.6" hidden="false" customHeight="false" outlineLevel="0" collapsed="false">
      <c r="A41" s="10" t="s">
        <v>1552</v>
      </c>
      <c r="B41" s="11" t="s">
        <v>119</v>
      </c>
      <c r="C41" s="11" t="s">
        <v>1468</v>
      </c>
      <c r="D41" s="11" t="s">
        <v>1469</v>
      </c>
      <c r="E41" s="11" t="s">
        <v>1081</v>
      </c>
      <c r="F41" s="11" t="s">
        <v>1470</v>
      </c>
      <c r="G41" s="11" t="s">
        <v>1553</v>
      </c>
      <c r="H41" s="11"/>
      <c r="I41" s="11"/>
      <c r="J41" s="11"/>
      <c r="K41" s="11"/>
      <c r="L41" s="11"/>
      <c r="M41" s="11"/>
      <c r="N41" s="11"/>
      <c r="O41" s="11" t="n">
        <v>301.573898</v>
      </c>
      <c r="P41" s="11" t="n">
        <v>0</v>
      </c>
      <c r="Q41" s="11"/>
      <c r="R41" s="11" t="n">
        <v>301.573898</v>
      </c>
      <c r="S41" s="11" t="n">
        <v>1005.246326</v>
      </c>
      <c r="T41" s="11" t="n">
        <v>0.3</v>
      </c>
      <c r="U41" s="11" t="n">
        <v>0.300000000198956</v>
      </c>
      <c r="V41" s="11" t="n">
        <v>703.672428</v>
      </c>
      <c r="W41" s="11"/>
      <c r="X41" s="11"/>
      <c r="Y41" s="11" t="n">
        <v>703.672428</v>
      </c>
      <c r="Z41" s="11" t="s">
        <v>1084</v>
      </c>
      <c r="AA41" s="11" t="s">
        <v>1085</v>
      </c>
      <c r="AB41" s="11" t="s">
        <v>1472</v>
      </c>
      <c r="AC41" s="11" t="s">
        <v>1473</v>
      </c>
      <c r="AD41" s="11" t="n">
        <v>0.3</v>
      </c>
      <c r="AE41" s="11" t="n">
        <v>1</v>
      </c>
      <c r="AF41" s="11" t="n">
        <v>301.573898</v>
      </c>
      <c r="AG41" s="11" t="n">
        <v>1005.246326</v>
      </c>
      <c r="AH41" s="11" t="n">
        <v>703.672428</v>
      </c>
      <c r="AI41" s="11" t="s">
        <v>1089</v>
      </c>
      <c r="AJ41" s="11" t="s">
        <v>1474</v>
      </c>
      <c r="AK41" s="11" t="s">
        <v>1475</v>
      </c>
      <c r="AL41" s="12" t="s">
        <v>1476</v>
      </c>
      <c r="AM41" s="17" t="n">
        <f aca="false">IFERROR(O41/S41,"")</f>
        <v>0.300000000198956</v>
      </c>
      <c r="AN41" s="16" t="n">
        <f aca="false">IF(OR(S41="",O41=""),"", S41-O41)</f>
        <v>703.672428</v>
      </c>
    </row>
    <row r="42" customFormat="false" ht="74.6" hidden="false" customHeight="false" outlineLevel="0" collapsed="false">
      <c r="A42" s="10" t="s">
        <v>1554</v>
      </c>
      <c r="B42" s="11" t="s">
        <v>119</v>
      </c>
      <c r="C42" s="11" t="s">
        <v>1478</v>
      </c>
      <c r="D42" s="11" t="s">
        <v>1469</v>
      </c>
      <c r="E42" s="11" t="s">
        <v>1081</v>
      </c>
      <c r="F42" s="11" t="s">
        <v>1470</v>
      </c>
      <c r="G42" s="11" t="s">
        <v>1555</v>
      </c>
      <c r="H42" s="11"/>
      <c r="I42" s="11"/>
      <c r="J42" s="11"/>
      <c r="K42" s="11"/>
      <c r="L42" s="11"/>
      <c r="M42" s="11"/>
      <c r="N42" s="11"/>
      <c r="O42" s="11" t="n">
        <v>301.573898</v>
      </c>
      <c r="P42" s="11" t="n">
        <v>0</v>
      </c>
      <c r="Q42" s="11"/>
      <c r="R42" s="11" t="n">
        <v>301.573898</v>
      </c>
      <c r="S42" s="11" t="n">
        <v>753.934745</v>
      </c>
      <c r="T42" s="11" t="n">
        <v>0.4</v>
      </c>
      <c r="U42" s="11" t="n">
        <v>0.4</v>
      </c>
      <c r="V42" s="11" t="n">
        <v>452.360847</v>
      </c>
      <c r="W42" s="11"/>
      <c r="X42" s="11"/>
      <c r="Y42" s="11" t="n">
        <v>452.360847</v>
      </c>
      <c r="Z42" s="11" t="s">
        <v>1084</v>
      </c>
      <c r="AA42" s="11" t="s">
        <v>1085</v>
      </c>
      <c r="AB42" s="11" t="s">
        <v>1472</v>
      </c>
      <c r="AC42" s="11" t="s">
        <v>1473</v>
      </c>
      <c r="AD42" s="11" t="n">
        <v>0.4</v>
      </c>
      <c r="AE42" s="11" t="n">
        <v>1</v>
      </c>
      <c r="AF42" s="11" t="n">
        <v>301.573898</v>
      </c>
      <c r="AG42" s="11" t="n">
        <v>753.934745</v>
      </c>
      <c r="AH42" s="11" t="n">
        <v>452.360847</v>
      </c>
      <c r="AI42" s="11" t="s">
        <v>1089</v>
      </c>
      <c r="AJ42" s="11" t="s">
        <v>1474</v>
      </c>
      <c r="AK42" s="11" t="s">
        <v>1475</v>
      </c>
      <c r="AL42" s="12" t="s">
        <v>1476</v>
      </c>
      <c r="AM42" s="17" t="n">
        <f aca="false">IFERROR(O42/S42,"")</f>
        <v>0.4</v>
      </c>
      <c r="AN42" s="16" t="n">
        <f aca="false">IF(OR(S42="",O42=""),"", S42-O42)</f>
        <v>452.360847</v>
      </c>
    </row>
    <row r="43" customFormat="false" ht="74.6" hidden="false" customHeight="false" outlineLevel="0" collapsed="false">
      <c r="A43" s="10" t="s">
        <v>1556</v>
      </c>
      <c r="B43" s="11" t="s">
        <v>119</v>
      </c>
      <c r="C43" s="11" t="s">
        <v>1481</v>
      </c>
      <c r="D43" s="11" t="s">
        <v>1469</v>
      </c>
      <c r="E43" s="11" t="s">
        <v>1081</v>
      </c>
      <c r="F43" s="11" t="s">
        <v>1470</v>
      </c>
      <c r="G43" s="11" t="s">
        <v>1557</v>
      </c>
      <c r="H43" s="11"/>
      <c r="I43" s="11"/>
      <c r="J43" s="11"/>
      <c r="K43" s="11"/>
      <c r="L43" s="11"/>
      <c r="M43" s="11"/>
      <c r="N43" s="11"/>
      <c r="O43" s="11" t="n">
        <v>301.573898</v>
      </c>
      <c r="P43" s="11" t="n">
        <v>0</v>
      </c>
      <c r="Q43" s="11"/>
      <c r="R43" s="11" t="n">
        <v>301.573898</v>
      </c>
      <c r="S43" s="11" t="n">
        <v>1005.246326</v>
      </c>
      <c r="T43" s="11" t="n">
        <v>0.3</v>
      </c>
      <c r="U43" s="11" t="n">
        <v>0.300000000198956</v>
      </c>
      <c r="V43" s="11" t="n">
        <v>703.672428</v>
      </c>
      <c r="W43" s="11"/>
      <c r="X43" s="11"/>
      <c r="Y43" s="11" t="n">
        <v>703.672428</v>
      </c>
      <c r="Z43" s="11" t="s">
        <v>1084</v>
      </c>
      <c r="AA43" s="11" t="s">
        <v>1085</v>
      </c>
      <c r="AB43" s="11" t="s">
        <v>1472</v>
      </c>
      <c r="AC43" s="11" t="s">
        <v>1473</v>
      </c>
      <c r="AD43" s="11" t="n">
        <v>0.3</v>
      </c>
      <c r="AE43" s="11" t="n">
        <v>1</v>
      </c>
      <c r="AF43" s="11" t="n">
        <v>301.573898</v>
      </c>
      <c r="AG43" s="11" t="n">
        <v>1005.246326</v>
      </c>
      <c r="AH43" s="11" t="n">
        <v>703.672428</v>
      </c>
      <c r="AI43" s="11" t="s">
        <v>1089</v>
      </c>
      <c r="AJ43" s="11" t="s">
        <v>1474</v>
      </c>
      <c r="AK43" s="11" t="s">
        <v>1475</v>
      </c>
      <c r="AL43" s="12" t="s">
        <v>1476</v>
      </c>
      <c r="AM43" s="17" t="n">
        <f aca="false">IFERROR(O43/S43,"")</f>
        <v>0.300000000198956</v>
      </c>
      <c r="AN43" s="16" t="n">
        <f aca="false">IF(OR(S43="",O43=""),"", S43-O43)</f>
        <v>703.672428</v>
      </c>
    </row>
    <row r="44" customFormat="false" ht="74.6" hidden="false" customHeight="false" outlineLevel="0" collapsed="false">
      <c r="A44" s="10" t="s">
        <v>1558</v>
      </c>
      <c r="B44" s="11" t="s">
        <v>119</v>
      </c>
      <c r="C44" s="11" t="s">
        <v>1484</v>
      </c>
      <c r="D44" s="11" t="s">
        <v>1469</v>
      </c>
      <c r="E44" s="11" t="s">
        <v>1081</v>
      </c>
      <c r="F44" s="11" t="s">
        <v>1470</v>
      </c>
      <c r="G44" s="11" t="s">
        <v>1559</v>
      </c>
      <c r="H44" s="11"/>
      <c r="I44" s="11"/>
      <c r="J44" s="11"/>
      <c r="K44" s="11"/>
      <c r="L44" s="11"/>
      <c r="M44" s="11"/>
      <c r="N44" s="11"/>
      <c r="O44" s="11" t="n">
        <v>301.573898</v>
      </c>
      <c r="P44" s="11" t="n">
        <v>65</v>
      </c>
      <c r="Q44" s="11"/>
      <c r="R44" s="11" t="n">
        <v>366.573898</v>
      </c>
      <c r="S44" s="11" t="n">
        <v>1221.912993</v>
      </c>
      <c r="T44" s="11" t="n">
        <v>0.3</v>
      </c>
      <c r="U44" s="11" t="n">
        <v>0.246804723190303</v>
      </c>
      <c r="V44" s="11" t="n">
        <v>920.339095</v>
      </c>
      <c r="W44" s="11"/>
      <c r="X44" s="11"/>
      <c r="Y44" s="11" t="n">
        <v>855.339095</v>
      </c>
      <c r="Z44" s="11" t="s">
        <v>1084</v>
      </c>
      <c r="AA44" s="11" t="s">
        <v>1085</v>
      </c>
      <c r="AB44" s="11" t="s">
        <v>1472</v>
      </c>
      <c r="AC44" s="11" t="s">
        <v>1473</v>
      </c>
      <c r="AD44" s="11" t="n">
        <v>0.246805</v>
      </c>
      <c r="AE44" s="11" t="n">
        <v>1</v>
      </c>
      <c r="AF44" s="11" t="n">
        <v>366.573898</v>
      </c>
      <c r="AG44" s="11" t="n">
        <v>1221.912993</v>
      </c>
      <c r="AH44" s="11" t="n">
        <v>920.339095</v>
      </c>
      <c r="AI44" s="11" t="s">
        <v>1089</v>
      </c>
      <c r="AJ44" s="11" t="s">
        <v>1486</v>
      </c>
      <c r="AK44" s="11" t="s">
        <v>1475</v>
      </c>
      <c r="AL44" s="12" t="s">
        <v>1476</v>
      </c>
      <c r="AM44" s="17" t="n">
        <f aca="false">IFERROR(O44/S44,"")</f>
        <v>0.246804723190303</v>
      </c>
      <c r="AN44" s="16" t="n">
        <f aca="false">IF(OR(S44="",O44=""),"", S44-O44)</f>
        <v>920.339095</v>
      </c>
    </row>
    <row r="45" customFormat="false" ht="74.6" hidden="false" customHeight="false" outlineLevel="0" collapsed="false">
      <c r="A45" s="10" t="s">
        <v>1560</v>
      </c>
      <c r="B45" s="11" t="s">
        <v>127</v>
      </c>
      <c r="C45" s="11" t="s">
        <v>1468</v>
      </c>
      <c r="D45" s="11" t="s">
        <v>1469</v>
      </c>
      <c r="E45" s="11" t="s">
        <v>1081</v>
      </c>
      <c r="F45" s="11" t="s">
        <v>1470</v>
      </c>
      <c r="G45" s="11" t="s">
        <v>1561</v>
      </c>
      <c r="H45" s="11"/>
      <c r="I45" s="11"/>
      <c r="J45" s="11"/>
      <c r="K45" s="11"/>
      <c r="L45" s="11"/>
      <c r="M45" s="11"/>
      <c r="N45" s="11"/>
      <c r="O45" s="11" t="n">
        <v>339.689098</v>
      </c>
      <c r="P45" s="11" t="n">
        <v>0</v>
      </c>
      <c r="Q45" s="11"/>
      <c r="R45" s="11" t="n">
        <v>339.689098</v>
      </c>
      <c r="S45" s="11" t="n">
        <v>1132.296994</v>
      </c>
      <c r="T45" s="11" t="n">
        <v>0.3</v>
      </c>
      <c r="U45" s="11" t="n">
        <v>0.299999999823368</v>
      </c>
      <c r="V45" s="11" t="n">
        <v>792.607896</v>
      </c>
      <c r="W45" s="11"/>
      <c r="X45" s="11"/>
      <c r="Y45" s="11" t="n">
        <v>792.607896</v>
      </c>
      <c r="Z45" s="11" t="s">
        <v>1084</v>
      </c>
      <c r="AA45" s="11" t="s">
        <v>1085</v>
      </c>
      <c r="AB45" s="11" t="s">
        <v>1472</v>
      </c>
      <c r="AC45" s="11" t="s">
        <v>1473</v>
      </c>
      <c r="AD45" s="11" t="n">
        <v>0.3</v>
      </c>
      <c r="AE45" s="11" t="n">
        <v>1</v>
      </c>
      <c r="AF45" s="11" t="n">
        <v>339.689098</v>
      </c>
      <c r="AG45" s="11" t="n">
        <v>1132.296994</v>
      </c>
      <c r="AH45" s="11" t="n">
        <v>792.607896</v>
      </c>
      <c r="AI45" s="11" t="s">
        <v>1089</v>
      </c>
      <c r="AJ45" s="11" t="s">
        <v>1474</v>
      </c>
      <c r="AK45" s="11" t="s">
        <v>1475</v>
      </c>
      <c r="AL45" s="12" t="s">
        <v>1476</v>
      </c>
      <c r="AM45" s="17" t="n">
        <f aca="false">IFERROR(O45/S45,"")</f>
        <v>0.299999999823368</v>
      </c>
      <c r="AN45" s="16" t="n">
        <f aca="false">IF(OR(S45="",O45=""),"", S45-O45)</f>
        <v>792.607896</v>
      </c>
    </row>
    <row r="46" customFormat="false" ht="74.6" hidden="false" customHeight="false" outlineLevel="0" collapsed="false">
      <c r="A46" s="10" t="s">
        <v>1562</v>
      </c>
      <c r="B46" s="11" t="s">
        <v>127</v>
      </c>
      <c r="C46" s="11" t="s">
        <v>1478</v>
      </c>
      <c r="D46" s="11" t="s">
        <v>1469</v>
      </c>
      <c r="E46" s="11" t="s">
        <v>1081</v>
      </c>
      <c r="F46" s="11" t="s">
        <v>1470</v>
      </c>
      <c r="G46" s="11" t="s">
        <v>1563</v>
      </c>
      <c r="H46" s="11"/>
      <c r="I46" s="11"/>
      <c r="J46" s="11"/>
      <c r="K46" s="11"/>
      <c r="L46" s="11"/>
      <c r="M46" s="11"/>
      <c r="N46" s="11"/>
      <c r="O46" s="11" t="n">
        <v>339.689098</v>
      </c>
      <c r="P46" s="11" t="n">
        <v>0</v>
      </c>
      <c r="Q46" s="11"/>
      <c r="R46" s="11" t="n">
        <v>339.689098</v>
      </c>
      <c r="S46" s="11" t="n">
        <v>849.222745</v>
      </c>
      <c r="T46" s="11" t="n">
        <v>0.4</v>
      </c>
      <c r="U46" s="11" t="n">
        <v>0.4</v>
      </c>
      <c r="V46" s="11" t="n">
        <v>509.533647</v>
      </c>
      <c r="W46" s="11"/>
      <c r="X46" s="11"/>
      <c r="Y46" s="11" t="n">
        <v>509.533647</v>
      </c>
      <c r="Z46" s="11" t="s">
        <v>1084</v>
      </c>
      <c r="AA46" s="11" t="s">
        <v>1085</v>
      </c>
      <c r="AB46" s="11" t="s">
        <v>1472</v>
      </c>
      <c r="AC46" s="11" t="s">
        <v>1473</v>
      </c>
      <c r="AD46" s="11" t="n">
        <v>0.4</v>
      </c>
      <c r="AE46" s="11" t="n">
        <v>1</v>
      </c>
      <c r="AF46" s="11" t="n">
        <v>339.689098</v>
      </c>
      <c r="AG46" s="11" t="n">
        <v>849.222745</v>
      </c>
      <c r="AH46" s="11" t="n">
        <v>509.533647</v>
      </c>
      <c r="AI46" s="11" t="s">
        <v>1089</v>
      </c>
      <c r="AJ46" s="11" t="s">
        <v>1474</v>
      </c>
      <c r="AK46" s="11" t="s">
        <v>1475</v>
      </c>
      <c r="AL46" s="12" t="s">
        <v>1476</v>
      </c>
      <c r="AM46" s="17" t="n">
        <f aca="false">IFERROR(O46/S46,"")</f>
        <v>0.4</v>
      </c>
      <c r="AN46" s="16" t="n">
        <f aca="false">IF(OR(S46="",O46=""),"", S46-O46)</f>
        <v>509.533647</v>
      </c>
    </row>
    <row r="47" customFormat="false" ht="74.6" hidden="false" customHeight="false" outlineLevel="0" collapsed="false">
      <c r="A47" s="10" t="s">
        <v>1564</v>
      </c>
      <c r="B47" s="11" t="s">
        <v>127</v>
      </c>
      <c r="C47" s="11" t="s">
        <v>1481</v>
      </c>
      <c r="D47" s="11" t="s">
        <v>1469</v>
      </c>
      <c r="E47" s="11" t="s">
        <v>1081</v>
      </c>
      <c r="F47" s="11" t="s">
        <v>1470</v>
      </c>
      <c r="G47" s="11" t="s">
        <v>1565</v>
      </c>
      <c r="H47" s="11"/>
      <c r="I47" s="11"/>
      <c r="J47" s="11"/>
      <c r="K47" s="11"/>
      <c r="L47" s="11"/>
      <c r="M47" s="11"/>
      <c r="N47" s="11"/>
      <c r="O47" s="11" t="n">
        <v>339.689098</v>
      </c>
      <c r="P47" s="11" t="n">
        <v>0</v>
      </c>
      <c r="Q47" s="11"/>
      <c r="R47" s="11" t="n">
        <v>339.689098</v>
      </c>
      <c r="S47" s="11" t="n">
        <v>1132.296994</v>
      </c>
      <c r="T47" s="11" t="n">
        <v>0.3</v>
      </c>
      <c r="U47" s="11" t="n">
        <v>0.299999999823368</v>
      </c>
      <c r="V47" s="11" t="n">
        <v>792.607896</v>
      </c>
      <c r="W47" s="11"/>
      <c r="X47" s="11"/>
      <c r="Y47" s="11" t="n">
        <v>792.607896</v>
      </c>
      <c r="Z47" s="11" t="s">
        <v>1084</v>
      </c>
      <c r="AA47" s="11" t="s">
        <v>1085</v>
      </c>
      <c r="AB47" s="11" t="s">
        <v>1472</v>
      </c>
      <c r="AC47" s="11" t="s">
        <v>1473</v>
      </c>
      <c r="AD47" s="11" t="n">
        <v>0.3</v>
      </c>
      <c r="AE47" s="11" t="n">
        <v>1</v>
      </c>
      <c r="AF47" s="11" t="n">
        <v>339.689098</v>
      </c>
      <c r="AG47" s="11" t="n">
        <v>1132.296994</v>
      </c>
      <c r="AH47" s="11" t="n">
        <v>792.607896</v>
      </c>
      <c r="AI47" s="11" t="s">
        <v>1089</v>
      </c>
      <c r="AJ47" s="11" t="s">
        <v>1474</v>
      </c>
      <c r="AK47" s="11" t="s">
        <v>1475</v>
      </c>
      <c r="AL47" s="12" t="s">
        <v>1476</v>
      </c>
      <c r="AM47" s="17" t="n">
        <f aca="false">IFERROR(O47/S47,"")</f>
        <v>0.299999999823368</v>
      </c>
      <c r="AN47" s="16" t="n">
        <f aca="false">IF(OR(S47="",O47=""),"", S47-O47)</f>
        <v>792.607896</v>
      </c>
    </row>
    <row r="48" customFormat="false" ht="74.6" hidden="false" customHeight="false" outlineLevel="0" collapsed="false">
      <c r="A48" s="10" t="s">
        <v>1566</v>
      </c>
      <c r="B48" s="11" t="s">
        <v>127</v>
      </c>
      <c r="C48" s="11" t="s">
        <v>1484</v>
      </c>
      <c r="D48" s="11" t="s">
        <v>1469</v>
      </c>
      <c r="E48" s="11" t="s">
        <v>1081</v>
      </c>
      <c r="F48" s="11" t="s">
        <v>1470</v>
      </c>
      <c r="G48" s="11" t="s">
        <v>1567</v>
      </c>
      <c r="H48" s="11"/>
      <c r="I48" s="11"/>
      <c r="J48" s="11"/>
      <c r="K48" s="11"/>
      <c r="L48" s="11"/>
      <c r="M48" s="11"/>
      <c r="N48" s="11"/>
      <c r="O48" s="11" t="n">
        <v>339.689098</v>
      </c>
      <c r="P48" s="11" t="n">
        <v>65</v>
      </c>
      <c r="Q48" s="11"/>
      <c r="R48" s="11" t="n">
        <v>404.689098</v>
      </c>
      <c r="S48" s="11" t="n">
        <v>1348.963661</v>
      </c>
      <c r="T48" s="11" t="n">
        <v>0.3</v>
      </c>
      <c r="U48" s="11" t="n">
        <v>0.2518148618979</v>
      </c>
      <c r="V48" s="11" t="n">
        <v>1009.274562</v>
      </c>
      <c r="W48" s="11"/>
      <c r="X48" s="11"/>
      <c r="Y48" s="11" t="n">
        <v>944.274562</v>
      </c>
      <c r="Z48" s="11" t="s">
        <v>1084</v>
      </c>
      <c r="AA48" s="11" t="s">
        <v>1085</v>
      </c>
      <c r="AB48" s="11" t="s">
        <v>1472</v>
      </c>
      <c r="AC48" s="11" t="s">
        <v>1473</v>
      </c>
      <c r="AD48" s="11" t="n">
        <v>0.251815</v>
      </c>
      <c r="AE48" s="11" t="n">
        <v>1</v>
      </c>
      <c r="AF48" s="11" t="n">
        <v>404.689098</v>
      </c>
      <c r="AG48" s="11" t="n">
        <v>1348.963661</v>
      </c>
      <c r="AH48" s="11" t="n">
        <v>1009.274562</v>
      </c>
      <c r="AI48" s="11" t="s">
        <v>1089</v>
      </c>
      <c r="AJ48" s="11" t="s">
        <v>1486</v>
      </c>
      <c r="AK48" s="11" t="s">
        <v>1475</v>
      </c>
      <c r="AL48" s="12" t="s">
        <v>1476</v>
      </c>
      <c r="AM48" s="17" t="n">
        <f aca="false">IFERROR(O48/S48,"")</f>
        <v>0.2518148618979</v>
      </c>
      <c r="AN48" s="16" t="n">
        <f aca="false">IF(OR(S48="",O48=""),"", S48-O48)</f>
        <v>1009.274563</v>
      </c>
    </row>
    <row r="49" customFormat="false" ht="74.6" hidden="false" customHeight="false" outlineLevel="0" collapsed="false">
      <c r="A49" s="10" t="s">
        <v>1568</v>
      </c>
      <c r="B49" s="11" t="s">
        <v>133</v>
      </c>
      <c r="C49" s="11" t="s">
        <v>1468</v>
      </c>
      <c r="D49" s="11" t="s">
        <v>1469</v>
      </c>
      <c r="E49" s="11" t="s">
        <v>1081</v>
      </c>
      <c r="F49" s="11" t="s">
        <v>1470</v>
      </c>
      <c r="G49" s="11" t="s">
        <v>1569</v>
      </c>
      <c r="H49" s="11"/>
      <c r="I49" s="11"/>
      <c r="J49" s="11"/>
      <c r="K49" s="11"/>
      <c r="L49" s="11"/>
      <c r="M49" s="11"/>
      <c r="N49" s="11"/>
      <c r="O49" s="11" t="n">
        <v>130.834175</v>
      </c>
      <c r="P49" s="11" t="n">
        <v>0</v>
      </c>
      <c r="Q49" s="11"/>
      <c r="R49" s="11" t="n">
        <v>130.834175</v>
      </c>
      <c r="S49" s="11" t="n">
        <v>436.113915</v>
      </c>
      <c r="T49" s="11" t="n">
        <v>0.3</v>
      </c>
      <c r="U49" s="11" t="n">
        <v>0.300000001146489</v>
      </c>
      <c r="V49" s="11" t="n">
        <v>305.279741</v>
      </c>
      <c r="W49" s="11"/>
      <c r="X49" s="11"/>
      <c r="Y49" s="11" t="n">
        <v>305.279741</v>
      </c>
      <c r="Z49" s="11" t="s">
        <v>1084</v>
      </c>
      <c r="AA49" s="11" t="s">
        <v>1085</v>
      </c>
      <c r="AB49" s="11" t="s">
        <v>1472</v>
      </c>
      <c r="AC49" s="11" t="s">
        <v>1473</v>
      </c>
      <c r="AD49" s="11" t="n">
        <v>0.3</v>
      </c>
      <c r="AE49" s="11" t="n">
        <v>1</v>
      </c>
      <c r="AF49" s="11" t="n">
        <v>130.834175</v>
      </c>
      <c r="AG49" s="11" t="n">
        <v>436.113915</v>
      </c>
      <c r="AH49" s="11" t="n">
        <v>305.279741</v>
      </c>
      <c r="AI49" s="11" t="s">
        <v>1089</v>
      </c>
      <c r="AJ49" s="11" t="s">
        <v>1474</v>
      </c>
      <c r="AK49" s="11" t="s">
        <v>1475</v>
      </c>
      <c r="AL49" s="12" t="s">
        <v>1476</v>
      </c>
      <c r="AM49" s="17" t="n">
        <f aca="false">IFERROR(O49/S49,"")</f>
        <v>0.300000001146489</v>
      </c>
      <c r="AN49" s="16" t="n">
        <f aca="false">IF(OR(S49="",O49=""),"", S49-O49)</f>
        <v>305.27974</v>
      </c>
    </row>
    <row r="50" customFormat="false" ht="74.6" hidden="false" customHeight="false" outlineLevel="0" collapsed="false">
      <c r="A50" s="10" t="s">
        <v>1570</v>
      </c>
      <c r="B50" s="11" t="s">
        <v>133</v>
      </c>
      <c r="C50" s="11" t="s">
        <v>1478</v>
      </c>
      <c r="D50" s="11" t="s">
        <v>1469</v>
      </c>
      <c r="E50" s="11" t="s">
        <v>1081</v>
      </c>
      <c r="F50" s="11" t="s">
        <v>1470</v>
      </c>
      <c r="G50" s="11" t="s">
        <v>1571</v>
      </c>
      <c r="H50" s="11"/>
      <c r="I50" s="11"/>
      <c r="J50" s="11"/>
      <c r="K50" s="11"/>
      <c r="L50" s="11"/>
      <c r="M50" s="11"/>
      <c r="N50" s="11"/>
      <c r="O50" s="11" t="n">
        <v>130.834175</v>
      </c>
      <c r="P50" s="11" t="n">
        <v>0</v>
      </c>
      <c r="Q50" s="11"/>
      <c r="R50" s="11" t="n">
        <v>130.834175</v>
      </c>
      <c r="S50" s="11" t="n">
        <v>327.085436</v>
      </c>
      <c r="T50" s="11" t="n">
        <v>0.4</v>
      </c>
      <c r="U50" s="11" t="n">
        <v>0.400000001834383</v>
      </c>
      <c r="V50" s="11" t="n">
        <v>196.251262</v>
      </c>
      <c r="W50" s="11"/>
      <c r="X50" s="11"/>
      <c r="Y50" s="11" t="n">
        <v>196.251262</v>
      </c>
      <c r="Z50" s="11" t="s">
        <v>1084</v>
      </c>
      <c r="AA50" s="11" t="s">
        <v>1085</v>
      </c>
      <c r="AB50" s="11" t="s">
        <v>1472</v>
      </c>
      <c r="AC50" s="11" t="s">
        <v>1473</v>
      </c>
      <c r="AD50" s="11" t="n">
        <v>0.4</v>
      </c>
      <c r="AE50" s="11" t="n">
        <v>1</v>
      </c>
      <c r="AF50" s="11" t="n">
        <v>130.834175</v>
      </c>
      <c r="AG50" s="11" t="n">
        <v>327.085436</v>
      </c>
      <c r="AH50" s="11" t="n">
        <v>196.251262</v>
      </c>
      <c r="AI50" s="11" t="s">
        <v>1089</v>
      </c>
      <c r="AJ50" s="11" t="s">
        <v>1474</v>
      </c>
      <c r="AK50" s="11" t="s">
        <v>1475</v>
      </c>
      <c r="AL50" s="12" t="s">
        <v>1476</v>
      </c>
      <c r="AM50" s="17" t="n">
        <f aca="false">IFERROR(O50/S50,"")</f>
        <v>0.400000001834383</v>
      </c>
      <c r="AN50" s="16" t="n">
        <f aca="false">IF(OR(S50="",O50=""),"", S50-O50)</f>
        <v>196.251261</v>
      </c>
    </row>
    <row r="51" customFormat="false" ht="74.6" hidden="false" customHeight="false" outlineLevel="0" collapsed="false">
      <c r="A51" s="10" t="s">
        <v>1572</v>
      </c>
      <c r="B51" s="11" t="s">
        <v>133</v>
      </c>
      <c r="C51" s="11" t="s">
        <v>1481</v>
      </c>
      <c r="D51" s="11" t="s">
        <v>1469</v>
      </c>
      <c r="E51" s="11" t="s">
        <v>1081</v>
      </c>
      <c r="F51" s="11" t="s">
        <v>1470</v>
      </c>
      <c r="G51" s="11" t="s">
        <v>1573</v>
      </c>
      <c r="H51" s="11"/>
      <c r="I51" s="11"/>
      <c r="J51" s="11"/>
      <c r="K51" s="11"/>
      <c r="L51" s="11"/>
      <c r="M51" s="11"/>
      <c r="N51" s="11"/>
      <c r="O51" s="11" t="n">
        <v>130.834175</v>
      </c>
      <c r="P51" s="11" t="n">
        <v>0</v>
      </c>
      <c r="Q51" s="11"/>
      <c r="R51" s="11" t="n">
        <v>130.834175</v>
      </c>
      <c r="S51" s="11" t="n">
        <v>436.113915</v>
      </c>
      <c r="T51" s="11" t="n">
        <v>0.3</v>
      </c>
      <c r="U51" s="11" t="n">
        <v>0.300000001146489</v>
      </c>
      <c r="V51" s="11" t="n">
        <v>305.279741</v>
      </c>
      <c r="W51" s="11"/>
      <c r="X51" s="11"/>
      <c r="Y51" s="11" t="n">
        <v>305.279741</v>
      </c>
      <c r="Z51" s="11" t="s">
        <v>1084</v>
      </c>
      <c r="AA51" s="11" t="s">
        <v>1085</v>
      </c>
      <c r="AB51" s="11" t="s">
        <v>1472</v>
      </c>
      <c r="AC51" s="11" t="s">
        <v>1473</v>
      </c>
      <c r="AD51" s="11" t="n">
        <v>0.3</v>
      </c>
      <c r="AE51" s="11" t="n">
        <v>1</v>
      </c>
      <c r="AF51" s="11" t="n">
        <v>130.834175</v>
      </c>
      <c r="AG51" s="11" t="n">
        <v>436.113915</v>
      </c>
      <c r="AH51" s="11" t="n">
        <v>305.279741</v>
      </c>
      <c r="AI51" s="11" t="s">
        <v>1089</v>
      </c>
      <c r="AJ51" s="11" t="s">
        <v>1474</v>
      </c>
      <c r="AK51" s="11" t="s">
        <v>1475</v>
      </c>
      <c r="AL51" s="12" t="s">
        <v>1476</v>
      </c>
      <c r="AM51" s="17" t="n">
        <f aca="false">IFERROR(O51/S51,"")</f>
        <v>0.300000001146489</v>
      </c>
      <c r="AN51" s="16" t="n">
        <f aca="false">IF(OR(S51="",O51=""),"", S51-O51)</f>
        <v>305.27974</v>
      </c>
    </row>
    <row r="52" customFormat="false" ht="74.6" hidden="false" customHeight="false" outlineLevel="0" collapsed="false">
      <c r="A52" s="10" t="s">
        <v>1574</v>
      </c>
      <c r="B52" s="11" t="s">
        <v>133</v>
      </c>
      <c r="C52" s="11" t="s">
        <v>1484</v>
      </c>
      <c r="D52" s="11" t="s">
        <v>1469</v>
      </c>
      <c r="E52" s="11" t="s">
        <v>1081</v>
      </c>
      <c r="F52" s="11" t="s">
        <v>1470</v>
      </c>
      <c r="G52" s="11" t="s">
        <v>1575</v>
      </c>
      <c r="H52" s="11"/>
      <c r="I52" s="11"/>
      <c r="J52" s="11"/>
      <c r="K52" s="11"/>
      <c r="L52" s="11"/>
      <c r="M52" s="11"/>
      <c r="N52" s="11"/>
      <c r="O52" s="11" t="n">
        <v>130.834175</v>
      </c>
      <c r="P52" s="11" t="n">
        <v>65</v>
      </c>
      <c r="Q52" s="11"/>
      <c r="R52" s="11" t="n">
        <v>195.834175</v>
      </c>
      <c r="S52" s="11" t="n">
        <v>652.780582</v>
      </c>
      <c r="T52" s="11" t="n">
        <v>0.3</v>
      </c>
      <c r="U52" s="11" t="n">
        <v>0.200425960280785</v>
      </c>
      <c r="V52" s="11" t="n">
        <v>521.946407</v>
      </c>
      <c r="W52" s="11"/>
      <c r="X52" s="11"/>
      <c r="Y52" s="11" t="n">
        <v>456.946407</v>
      </c>
      <c r="Z52" s="11" t="s">
        <v>1084</v>
      </c>
      <c r="AA52" s="11" t="s">
        <v>1085</v>
      </c>
      <c r="AB52" s="11" t="s">
        <v>1472</v>
      </c>
      <c r="AC52" s="11" t="s">
        <v>1473</v>
      </c>
      <c r="AD52" s="11" t="n">
        <v>0.200426</v>
      </c>
      <c r="AE52" s="11" t="n">
        <v>1</v>
      </c>
      <c r="AF52" s="11" t="n">
        <v>195.834175</v>
      </c>
      <c r="AG52" s="11" t="n">
        <v>652.780582</v>
      </c>
      <c r="AH52" s="11" t="n">
        <v>521.946407</v>
      </c>
      <c r="AI52" s="11" t="s">
        <v>1089</v>
      </c>
      <c r="AJ52" s="11" t="s">
        <v>1486</v>
      </c>
      <c r="AK52" s="11" t="s">
        <v>1475</v>
      </c>
      <c r="AL52" s="12" t="s">
        <v>1476</v>
      </c>
      <c r="AM52" s="17" t="n">
        <f aca="false">IFERROR(O52/S52,"")</f>
        <v>0.200425960280785</v>
      </c>
      <c r="AN52" s="16" t="n">
        <f aca="false">IF(OR(S52="",O52=""),"", S52-O52)</f>
        <v>521.946407</v>
      </c>
    </row>
    <row r="53" customFormat="false" ht="74.6" hidden="false" customHeight="false" outlineLevel="0" collapsed="false">
      <c r="A53" s="10" t="s">
        <v>1576</v>
      </c>
      <c r="B53" s="11" t="s">
        <v>139</v>
      </c>
      <c r="C53" s="11" t="s">
        <v>1468</v>
      </c>
      <c r="D53" s="11" t="s">
        <v>1469</v>
      </c>
      <c r="E53" s="11" t="s">
        <v>1081</v>
      </c>
      <c r="F53" s="11" t="s">
        <v>1470</v>
      </c>
      <c r="G53" s="11" t="s">
        <v>1577</v>
      </c>
      <c r="H53" s="11"/>
      <c r="I53" s="11"/>
      <c r="J53" s="11"/>
      <c r="K53" s="11"/>
      <c r="L53" s="11"/>
      <c r="M53" s="11"/>
      <c r="N53" s="11"/>
      <c r="O53" s="11" t="n">
        <v>25.584202</v>
      </c>
      <c r="P53" s="11" t="n">
        <v>0</v>
      </c>
      <c r="Q53" s="11"/>
      <c r="R53" s="11" t="n">
        <v>25.584202</v>
      </c>
      <c r="S53" s="11" t="n">
        <v>85.280675</v>
      </c>
      <c r="T53" s="11" t="n">
        <v>0.3</v>
      </c>
      <c r="U53" s="11" t="n">
        <v>0.299999994137007</v>
      </c>
      <c r="V53" s="11" t="n">
        <v>59.696472</v>
      </c>
      <c r="W53" s="11"/>
      <c r="X53" s="11"/>
      <c r="Y53" s="11" t="n">
        <v>59.696472</v>
      </c>
      <c r="Z53" s="11" t="s">
        <v>1084</v>
      </c>
      <c r="AA53" s="11" t="s">
        <v>1085</v>
      </c>
      <c r="AB53" s="11" t="s">
        <v>1472</v>
      </c>
      <c r="AC53" s="11" t="s">
        <v>1473</v>
      </c>
      <c r="AD53" s="11" t="n">
        <v>0.3</v>
      </c>
      <c r="AE53" s="11" t="n">
        <v>1</v>
      </c>
      <c r="AF53" s="11" t="n">
        <v>25.584202</v>
      </c>
      <c r="AG53" s="11" t="n">
        <v>85.280675</v>
      </c>
      <c r="AH53" s="11" t="n">
        <v>59.696472</v>
      </c>
      <c r="AI53" s="11" t="s">
        <v>1089</v>
      </c>
      <c r="AJ53" s="11" t="s">
        <v>1474</v>
      </c>
      <c r="AK53" s="11" t="s">
        <v>1475</v>
      </c>
      <c r="AL53" s="12" t="s">
        <v>1476</v>
      </c>
      <c r="AM53" s="17" t="n">
        <f aca="false">IFERROR(O53/S53,"")</f>
        <v>0.299999994137007</v>
      </c>
      <c r="AN53" s="16" t="n">
        <f aca="false">IF(OR(S53="",O53=""),"", S53-O53)</f>
        <v>59.696473</v>
      </c>
    </row>
    <row r="54" customFormat="false" ht="74.6" hidden="false" customHeight="false" outlineLevel="0" collapsed="false">
      <c r="A54" s="10" t="s">
        <v>1578</v>
      </c>
      <c r="B54" s="11" t="s">
        <v>139</v>
      </c>
      <c r="C54" s="11" t="s">
        <v>1478</v>
      </c>
      <c r="D54" s="11" t="s">
        <v>1469</v>
      </c>
      <c r="E54" s="11" t="s">
        <v>1081</v>
      </c>
      <c r="F54" s="11" t="s">
        <v>1470</v>
      </c>
      <c r="G54" s="11" t="s">
        <v>1579</v>
      </c>
      <c r="H54" s="11"/>
      <c r="I54" s="11"/>
      <c r="J54" s="11"/>
      <c r="K54" s="11"/>
      <c r="L54" s="11"/>
      <c r="M54" s="11"/>
      <c r="N54" s="11"/>
      <c r="O54" s="11" t="n">
        <v>25.584202</v>
      </c>
      <c r="P54" s="11" t="n">
        <v>0</v>
      </c>
      <c r="Q54" s="11"/>
      <c r="R54" s="11" t="n">
        <v>25.584202</v>
      </c>
      <c r="S54" s="11" t="n">
        <v>63.960506</v>
      </c>
      <c r="T54" s="11" t="n">
        <v>0.4</v>
      </c>
      <c r="U54" s="11" t="n">
        <v>0.399999993746141</v>
      </c>
      <c r="V54" s="11" t="n">
        <v>38.376304</v>
      </c>
      <c r="W54" s="11"/>
      <c r="X54" s="11"/>
      <c r="Y54" s="11" t="n">
        <v>38.376304</v>
      </c>
      <c r="Z54" s="11" t="s">
        <v>1084</v>
      </c>
      <c r="AA54" s="11" t="s">
        <v>1085</v>
      </c>
      <c r="AB54" s="11" t="s">
        <v>1472</v>
      </c>
      <c r="AC54" s="11" t="s">
        <v>1473</v>
      </c>
      <c r="AD54" s="11" t="n">
        <v>0.4</v>
      </c>
      <c r="AE54" s="11" t="n">
        <v>1</v>
      </c>
      <c r="AF54" s="11" t="n">
        <v>25.584202</v>
      </c>
      <c r="AG54" s="11" t="n">
        <v>63.960506</v>
      </c>
      <c r="AH54" s="11" t="n">
        <v>38.376304</v>
      </c>
      <c r="AI54" s="11" t="s">
        <v>1089</v>
      </c>
      <c r="AJ54" s="11" t="s">
        <v>1474</v>
      </c>
      <c r="AK54" s="11" t="s">
        <v>1475</v>
      </c>
      <c r="AL54" s="12" t="s">
        <v>1476</v>
      </c>
      <c r="AM54" s="17" t="n">
        <f aca="false">IFERROR(O54/S54,"")</f>
        <v>0.399999993746141</v>
      </c>
      <c r="AN54" s="16" t="n">
        <f aca="false">IF(OR(S54="",O54=""),"", S54-O54)</f>
        <v>38.376304</v>
      </c>
    </row>
    <row r="55" customFormat="false" ht="74.6" hidden="false" customHeight="false" outlineLevel="0" collapsed="false">
      <c r="A55" s="10" t="s">
        <v>1580</v>
      </c>
      <c r="B55" s="11" t="s">
        <v>139</v>
      </c>
      <c r="C55" s="11" t="s">
        <v>1481</v>
      </c>
      <c r="D55" s="11" t="s">
        <v>1469</v>
      </c>
      <c r="E55" s="11" t="s">
        <v>1081</v>
      </c>
      <c r="F55" s="11" t="s">
        <v>1470</v>
      </c>
      <c r="G55" s="11" t="s">
        <v>1581</v>
      </c>
      <c r="H55" s="11"/>
      <c r="I55" s="11"/>
      <c r="J55" s="11"/>
      <c r="K55" s="11"/>
      <c r="L55" s="11"/>
      <c r="M55" s="11"/>
      <c r="N55" s="11"/>
      <c r="O55" s="11" t="n">
        <v>25.584202</v>
      </c>
      <c r="P55" s="11" t="n">
        <v>0</v>
      </c>
      <c r="Q55" s="11"/>
      <c r="R55" s="11" t="n">
        <v>25.584202</v>
      </c>
      <c r="S55" s="11" t="n">
        <v>85.280675</v>
      </c>
      <c r="T55" s="11" t="n">
        <v>0.3</v>
      </c>
      <c r="U55" s="11" t="n">
        <v>0.299999994137007</v>
      </c>
      <c r="V55" s="11" t="n">
        <v>59.696472</v>
      </c>
      <c r="W55" s="11"/>
      <c r="X55" s="11"/>
      <c r="Y55" s="11" t="n">
        <v>59.696472</v>
      </c>
      <c r="Z55" s="11" t="s">
        <v>1084</v>
      </c>
      <c r="AA55" s="11" t="s">
        <v>1085</v>
      </c>
      <c r="AB55" s="11" t="s">
        <v>1472</v>
      </c>
      <c r="AC55" s="11" t="s">
        <v>1473</v>
      </c>
      <c r="AD55" s="11" t="n">
        <v>0.3</v>
      </c>
      <c r="AE55" s="11" t="n">
        <v>1</v>
      </c>
      <c r="AF55" s="11" t="n">
        <v>25.584202</v>
      </c>
      <c r="AG55" s="11" t="n">
        <v>85.280675</v>
      </c>
      <c r="AH55" s="11" t="n">
        <v>59.696472</v>
      </c>
      <c r="AI55" s="11" t="s">
        <v>1089</v>
      </c>
      <c r="AJ55" s="11" t="s">
        <v>1474</v>
      </c>
      <c r="AK55" s="11" t="s">
        <v>1475</v>
      </c>
      <c r="AL55" s="12" t="s">
        <v>1476</v>
      </c>
      <c r="AM55" s="17" t="n">
        <f aca="false">IFERROR(O55/S55,"")</f>
        <v>0.299999994137007</v>
      </c>
      <c r="AN55" s="16" t="n">
        <f aca="false">IF(OR(S55="",O55=""),"", S55-O55)</f>
        <v>59.696473</v>
      </c>
    </row>
    <row r="56" customFormat="false" ht="74.6" hidden="false" customHeight="false" outlineLevel="0" collapsed="false">
      <c r="A56" s="10" t="s">
        <v>1582</v>
      </c>
      <c r="B56" s="11" t="s">
        <v>139</v>
      </c>
      <c r="C56" s="11" t="s">
        <v>1484</v>
      </c>
      <c r="D56" s="11" t="s">
        <v>1469</v>
      </c>
      <c r="E56" s="11" t="s">
        <v>1081</v>
      </c>
      <c r="F56" s="11" t="s">
        <v>1470</v>
      </c>
      <c r="G56" s="11" t="s">
        <v>1583</v>
      </c>
      <c r="H56" s="11"/>
      <c r="I56" s="11"/>
      <c r="J56" s="11"/>
      <c r="K56" s="11"/>
      <c r="L56" s="11"/>
      <c r="M56" s="11"/>
      <c r="N56" s="11"/>
      <c r="O56" s="11" t="n">
        <v>25.584202</v>
      </c>
      <c r="P56" s="11" t="n">
        <v>65</v>
      </c>
      <c r="Q56" s="11"/>
      <c r="R56" s="11" t="n">
        <v>90.584202</v>
      </c>
      <c r="S56" s="11" t="n">
        <v>301.947341</v>
      </c>
      <c r="T56" s="11" t="n">
        <v>0.3</v>
      </c>
      <c r="U56" s="11" t="n">
        <v>0.0847306749424232</v>
      </c>
      <c r="V56" s="11" t="n">
        <v>276.363139</v>
      </c>
      <c r="W56" s="11"/>
      <c r="X56" s="11"/>
      <c r="Y56" s="11" t="n">
        <v>211.363139</v>
      </c>
      <c r="Z56" s="11" t="s">
        <v>1084</v>
      </c>
      <c r="AA56" s="11" t="s">
        <v>1085</v>
      </c>
      <c r="AB56" s="11" t="s">
        <v>1472</v>
      </c>
      <c r="AC56" s="11" t="s">
        <v>1473</v>
      </c>
      <c r="AD56" s="11" t="n">
        <v>0.084731</v>
      </c>
      <c r="AE56" s="11" t="n">
        <v>1</v>
      </c>
      <c r="AF56" s="11" t="n">
        <v>90.584202</v>
      </c>
      <c r="AG56" s="11" t="n">
        <v>301.947341</v>
      </c>
      <c r="AH56" s="11" t="n">
        <v>276.363139</v>
      </c>
      <c r="AI56" s="11" t="s">
        <v>1089</v>
      </c>
      <c r="AJ56" s="11" t="s">
        <v>1486</v>
      </c>
      <c r="AK56" s="11" t="s">
        <v>1475</v>
      </c>
      <c r="AL56" s="12" t="s">
        <v>1476</v>
      </c>
      <c r="AM56" s="17" t="n">
        <f aca="false">IFERROR(O56/S56,"")</f>
        <v>0.0847306749424232</v>
      </c>
      <c r="AN56" s="16" t="n">
        <f aca="false">IF(OR(S56="",O56=""),"", S56-O56)</f>
        <v>276.363139</v>
      </c>
    </row>
    <row r="57" customFormat="false" ht="74.6" hidden="false" customHeight="false" outlineLevel="0" collapsed="false">
      <c r="A57" s="10" t="s">
        <v>1584</v>
      </c>
      <c r="B57" s="11" t="s">
        <v>145</v>
      </c>
      <c r="C57" s="11" t="s">
        <v>1468</v>
      </c>
      <c r="D57" s="11" t="s">
        <v>1469</v>
      </c>
      <c r="E57" s="11" t="s">
        <v>1081</v>
      </c>
      <c r="F57" s="11" t="s">
        <v>1470</v>
      </c>
      <c r="G57" s="11" t="s">
        <v>1585</v>
      </c>
      <c r="H57" s="11"/>
      <c r="I57" s="11"/>
      <c r="J57" s="11"/>
      <c r="K57" s="11"/>
      <c r="L57" s="11"/>
      <c r="M57" s="11"/>
      <c r="N57" s="11"/>
      <c r="O57" s="11" t="n">
        <v>474.197245</v>
      </c>
      <c r="P57" s="11" t="n">
        <v>0</v>
      </c>
      <c r="Q57" s="11"/>
      <c r="R57" s="11" t="n">
        <v>474.197245</v>
      </c>
      <c r="S57" s="11" t="n">
        <v>1580.657484</v>
      </c>
      <c r="T57" s="11" t="n">
        <v>0.3</v>
      </c>
      <c r="U57" s="11" t="n">
        <v>0.29999999987347</v>
      </c>
      <c r="V57" s="11" t="n">
        <v>1106.460239</v>
      </c>
      <c r="W57" s="11"/>
      <c r="X57" s="11"/>
      <c r="Y57" s="11" t="n">
        <v>1106.460239</v>
      </c>
      <c r="Z57" s="11" t="s">
        <v>1084</v>
      </c>
      <c r="AA57" s="11" t="s">
        <v>1085</v>
      </c>
      <c r="AB57" s="11" t="s">
        <v>1472</v>
      </c>
      <c r="AC57" s="11" t="s">
        <v>1473</v>
      </c>
      <c r="AD57" s="11" t="n">
        <v>0.3</v>
      </c>
      <c r="AE57" s="11" t="n">
        <v>1</v>
      </c>
      <c r="AF57" s="11" t="n">
        <v>474.197245</v>
      </c>
      <c r="AG57" s="11" t="n">
        <v>1580.657484</v>
      </c>
      <c r="AH57" s="11" t="n">
        <v>1106.460239</v>
      </c>
      <c r="AI57" s="11" t="s">
        <v>1089</v>
      </c>
      <c r="AJ57" s="11" t="s">
        <v>1474</v>
      </c>
      <c r="AK57" s="11" t="s">
        <v>1475</v>
      </c>
      <c r="AL57" s="12" t="s">
        <v>1476</v>
      </c>
      <c r="AM57" s="17" t="n">
        <f aca="false">IFERROR(O57/S57,"")</f>
        <v>0.29999999987347</v>
      </c>
      <c r="AN57" s="16" t="n">
        <f aca="false">IF(OR(S57="",O57=""),"", S57-O57)</f>
        <v>1106.460239</v>
      </c>
    </row>
    <row r="58" customFormat="false" ht="74.6" hidden="false" customHeight="false" outlineLevel="0" collapsed="false">
      <c r="A58" s="10" t="s">
        <v>1586</v>
      </c>
      <c r="B58" s="11" t="s">
        <v>145</v>
      </c>
      <c r="C58" s="11" t="s">
        <v>1478</v>
      </c>
      <c r="D58" s="11" t="s">
        <v>1469</v>
      </c>
      <c r="E58" s="11" t="s">
        <v>1081</v>
      </c>
      <c r="F58" s="11" t="s">
        <v>1470</v>
      </c>
      <c r="G58" s="11" t="s">
        <v>1587</v>
      </c>
      <c r="H58" s="11"/>
      <c r="I58" s="11"/>
      <c r="J58" s="11"/>
      <c r="K58" s="11"/>
      <c r="L58" s="11"/>
      <c r="M58" s="11"/>
      <c r="N58" s="11"/>
      <c r="O58" s="11" t="n">
        <v>474.197245</v>
      </c>
      <c r="P58" s="11" t="n">
        <v>0</v>
      </c>
      <c r="Q58" s="11"/>
      <c r="R58" s="11" t="n">
        <v>474.197245</v>
      </c>
      <c r="S58" s="11" t="n">
        <v>1185.493113</v>
      </c>
      <c r="T58" s="11" t="n">
        <v>0.4</v>
      </c>
      <c r="U58" s="11" t="n">
        <v>0.399999999831294</v>
      </c>
      <c r="V58" s="11" t="n">
        <v>711.295868</v>
      </c>
      <c r="W58" s="11"/>
      <c r="X58" s="11"/>
      <c r="Y58" s="11" t="n">
        <v>711.295868</v>
      </c>
      <c r="Z58" s="11" t="s">
        <v>1084</v>
      </c>
      <c r="AA58" s="11" t="s">
        <v>1085</v>
      </c>
      <c r="AB58" s="11" t="s">
        <v>1472</v>
      </c>
      <c r="AC58" s="11" t="s">
        <v>1473</v>
      </c>
      <c r="AD58" s="11" t="n">
        <v>0.4</v>
      </c>
      <c r="AE58" s="11" t="n">
        <v>1</v>
      </c>
      <c r="AF58" s="11" t="n">
        <v>474.197245</v>
      </c>
      <c r="AG58" s="11" t="n">
        <v>1185.493113</v>
      </c>
      <c r="AH58" s="11" t="n">
        <v>711.295868</v>
      </c>
      <c r="AI58" s="11" t="s">
        <v>1089</v>
      </c>
      <c r="AJ58" s="11" t="s">
        <v>1474</v>
      </c>
      <c r="AK58" s="11" t="s">
        <v>1475</v>
      </c>
      <c r="AL58" s="12" t="s">
        <v>1476</v>
      </c>
      <c r="AM58" s="17" t="n">
        <f aca="false">IFERROR(O58/S58,"")</f>
        <v>0.399999999831294</v>
      </c>
      <c r="AN58" s="16" t="n">
        <f aca="false">IF(OR(S58="",O58=""),"", S58-O58)</f>
        <v>711.295868</v>
      </c>
    </row>
    <row r="59" customFormat="false" ht="74.6" hidden="false" customHeight="false" outlineLevel="0" collapsed="false">
      <c r="A59" s="10" t="s">
        <v>1588</v>
      </c>
      <c r="B59" s="11" t="s">
        <v>145</v>
      </c>
      <c r="C59" s="11" t="s">
        <v>1481</v>
      </c>
      <c r="D59" s="11" t="s">
        <v>1469</v>
      </c>
      <c r="E59" s="11" t="s">
        <v>1081</v>
      </c>
      <c r="F59" s="11" t="s">
        <v>1470</v>
      </c>
      <c r="G59" s="11" t="s">
        <v>1589</v>
      </c>
      <c r="H59" s="11"/>
      <c r="I59" s="11"/>
      <c r="J59" s="11"/>
      <c r="K59" s="11"/>
      <c r="L59" s="11"/>
      <c r="M59" s="11"/>
      <c r="N59" s="11"/>
      <c r="O59" s="11" t="n">
        <v>474.197245</v>
      </c>
      <c r="P59" s="11" t="n">
        <v>0</v>
      </c>
      <c r="Q59" s="11"/>
      <c r="R59" s="11" t="n">
        <v>474.197245</v>
      </c>
      <c r="S59" s="11" t="n">
        <v>1580.657484</v>
      </c>
      <c r="T59" s="11" t="n">
        <v>0.3</v>
      </c>
      <c r="U59" s="11" t="n">
        <v>0.29999999987347</v>
      </c>
      <c r="V59" s="11" t="n">
        <v>1106.460239</v>
      </c>
      <c r="W59" s="11"/>
      <c r="X59" s="11"/>
      <c r="Y59" s="11" t="n">
        <v>1106.460239</v>
      </c>
      <c r="Z59" s="11" t="s">
        <v>1084</v>
      </c>
      <c r="AA59" s="11" t="s">
        <v>1085</v>
      </c>
      <c r="AB59" s="11" t="s">
        <v>1472</v>
      </c>
      <c r="AC59" s="11" t="s">
        <v>1473</v>
      </c>
      <c r="AD59" s="11" t="n">
        <v>0.3</v>
      </c>
      <c r="AE59" s="11" t="n">
        <v>1</v>
      </c>
      <c r="AF59" s="11" t="n">
        <v>474.197245</v>
      </c>
      <c r="AG59" s="11" t="n">
        <v>1580.657484</v>
      </c>
      <c r="AH59" s="11" t="n">
        <v>1106.460239</v>
      </c>
      <c r="AI59" s="11" t="s">
        <v>1089</v>
      </c>
      <c r="AJ59" s="11" t="s">
        <v>1474</v>
      </c>
      <c r="AK59" s="11" t="s">
        <v>1475</v>
      </c>
      <c r="AL59" s="12" t="s">
        <v>1476</v>
      </c>
      <c r="AM59" s="17" t="n">
        <f aca="false">IFERROR(O59/S59,"")</f>
        <v>0.29999999987347</v>
      </c>
      <c r="AN59" s="16" t="n">
        <f aca="false">IF(OR(S59="",O59=""),"", S59-O59)</f>
        <v>1106.460239</v>
      </c>
    </row>
    <row r="60" customFormat="false" ht="74.6" hidden="false" customHeight="false" outlineLevel="0" collapsed="false">
      <c r="A60" s="10" t="s">
        <v>1590</v>
      </c>
      <c r="B60" s="11" t="s">
        <v>153</v>
      </c>
      <c r="C60" s="11" t="s">
        <v>1468</v>
      </c>
      <c r="D60" s="11" t="s">
        <v>1469</v>
      </c>
      <c r="E60" s="11" t="s">
        <v>1081</v>
      </c>
      <c r="F60" s="11" t="s">
        <v>1470</v>
      </c>
      <c r="G60" s="11" t="s">
        <v>1591</v>
      </c>
      <c r="H60" s="11"/>
      <c r="I60" s="11"/>
      <c r="J60" s="11"/>
      <c r="K60" s="11"/>
      <c r="L60" s="11"/>
      <c r="M60" s="11"/>
      <c r="N60" s="11"/>
      <c r="O60" s="11" t="n">
        <v>89.543901</v>
      </c>
      <c r="P60" s="11" t="n">
        <v>0</v>
      </c>
      <c r="Q60" s="11"/>
      <c r="R60" s="11" t="n">
        <v>89.543901</v>
      </c>
      <c r="S60" s="11" t="n">
        <v>298.47967</v>
      </c>
      <c r="T60" s="11" t="n">
        <v>0.3</v>
      </c>
      <c r="U60" s="11" t="n">
        <v>0.3</v>
      </c>
      <c r="V60" s="11" t="n">
        <v>208.935769</v>
      </c>
      <c r="W60" s="11"/>
      <c r="X60" s="11"/>
      <c r="Y60" s="11" t="n">
        <v>208.935769</v>
      </c>
      <c r="Z60" s="11" t="s">
        <v>1084</v>
      </c>
      <c r="AA60" s="11" t="s">
        <v>1085</v>
      </c>
      <c r="AB60" s="11" t="s">
        <v>1472</v>
      </c>
      <c r="AC60" s="11" t="s">
        <v>1473</v>
      </c>
      <c r="AD60" s="11" t="n">
        <v>0.3</v>
      </c>
      <c r="AE60" s="11" t="n">
        <v>1</v>
      </c>
      <c r="AF60" s="11" t="n">
        <v>89.543901</v>
      </c>
      <c r="AG60" s="11" t="n">
        <v>298.47967</v>
      </c>
      <c r="AH60" s="11" t="n">
        <v>208.935769</v>
      </c>
      <c r="AI60" s="11" t="s">
        <v>1089</v>
      </c>
      <c r="AJ60" s="11" t="s">
        <v>1474</v>
      </c>
      <c r="AK60" s="11" t="s">
        <v>1475</v>
      </c>
      <c r="AL60" s="12" t="s">
        <v>1476</v>
      </c>
      <c r="AM60" s="17" t="n">
        <f aca="false">IFERROR(O60/S60,"")</f>
        <v>0.3</v>
      </c>
      <c r="AN60" s="16" t="n">
        <f aca="false">IF(OR(S60="",O60=""),"", S60-O60)</f>
        <v>208.935769</v>
      </c>
    </row>
    <row r="61" customFormat="false" ht="74.6" hidden="false" customHeight="false" outlineLevel="0" collapsed="false">
      <c r="A61" s="10" t="s">
        <v>1592</v>
      </c>
      <c r="B61" s="11" t="s">
        <v>153</v>
      </c>
      <c r="C61" s="11" t="s">
        <v>1478</v>
      </c>
      <c r="D61" s="11" t="s">
        <v>1469</v>
      </c>
      <c r="E61" s="11" t="s">
        <v>1081</v>
      </c>
      <c r="F61" s="11" t="s">
        <v>1470</v>
      </c>
      <c r="G61" s="11" t="s">
        <v>1593</v>
      </c>
      <c r="H61" s="11"/>
      <c r="I61" s="11"/>
      <c r="J61" s="11"/>
      <c r="K61" s="11"/>
      <c r="L61" s="11"/>
      <c r="M61" s="11"/>
      <c r="N61" s="11"/>
      <c r="O61" s="11" t="n">
        <v>89.543901</v>
      </c>
      <c r="P61" s="11" t="n">
        <v>0</v>
      </c>
      <c r="Q61" s="11"/>
      <c r="R61" s="11" t="n">
        <v>89.543901</v>
      </c>
      <c r="S61" s="11" t="n">
        <v>223.859752</v>
      </c>
      <c r="T61" s="11" t="n">
        <v>0.4</v>
      </c>
      <c r="U61" s="11" t="n">
        <v>0.400000000893417</v>
      </c>
      <c r="V61" s="11" t="n">
        <v>134.315851</v>
      </c>
      <c r="W61" s="11"/>
      <c r="X61" s="11"/>
      <c r="Y61" s="11" t="n">
        <v>134.315851</v>
      </c>
      <c r="Z61" s="11" t="s">
        <v>1084</v>
      </c>
      <c r="AA61" s="11" t="s">
        <v>1085</v>
      </c>
      <c r="AB61" s="11" t="s">
        <v>1472</v>
      </c>
      <c r="AC61" s="11" t="s">
        <v>1473</v>
      </c>
      <c r="AD61" s="11" t="n">
        <v>0.4</v>
      </c>
      <c r="AE61" s="11" t="n">
        <v>1</v>
      </c>
      <c r="AF61" s="11" t="n">
        <v>89.543901</v>
      </c>
      <c r="AG61" s="11" t="n">
        <v>223.859752</v>
      </c>
      <c r="AH61" s="11" t="n">
        <v>134.315851</v>
      </c>
      <c r="AI61" s="11" t="s">
        <v>1089</v>
      </c>
      <c r="AJ61" s="11" t="s">
        <v>1474</v>
      </c>
      <c r="AK61" s="11" t="s">
        <v>1475</v>
      </c>
      <c r="AL61" s="12" t="s">
        <v>1476</v>
      </c>
      <c r="AM61" s="17" t="n">
        <f aca="false">IFERROR(O61/S61,"")</f>
        <v>0.400000000893417</v>
      </c>
      <c r="AN61" s="16" t="n">
        <f aca="false">IF(OR(S61="",O61=""),"", S61-O61)</f>
        <v>134.315851</v>
      </c>
    </row>
    <row r="62" customFormat="false" ht="74.6" hidden="false" customHeight="false" outlineLevel="0" collapsed="false">
      <c r="A62" s="10" t="s">
        <v>1594</v>
      </c>
      <c r="B62" s="11" t="s">
        <v>153</v>
      </c>
      <c r="C62" s="11" t="s">
        <v>1481</v>
      </c>
      <c r="D62" s="11" t="s">
        <v>1469</v>
      </c>
      <c r="E62" s="11" t="s">
        <v>1081</v>
      </c>
      <c r="F62" s="11" t="s">
        <v>1470</v>
      </c>
      <c r="G62" s="11" t="s">
        <v>1595</v>
      </c>
      <c r="H62" s="11"/>
      <c r="I62" s="11"/>
      <c r="J62" s="11"/>
      <c r="K62" s="11"/>
      <c r="L62" s="11"/>
      <c r="M62" s="11"/>
      <c r="N62" s="11"/>
      <c r="O62" s="11" t="n">
        <v>89.543901</v>
      </c>
      <c r="P62" s="11" t="n">
        <v>0</v>
      </c>
      <c r="Q62" s="11"/>
      <c r="R62" s="11" t="n">
        <v>89.543901</v>
      </c>
      <c r="S62" s="11" t="n">
        <v>298.47967</v>
      </c>
      <c r="T62" s="11" t="n">
        <v>0.3</v>
      </c>
      <c r="U62" s="11" t="n">
        <v>0.3</v>
      </c>
      <c r="V62" s="11" t="n">
        <v>208.935769</v>
      </c>
      <c r="W62" s="11"/>
      <c r="X62" s="11"/>
      <c r="Y62" s="11" t="n">
        <v>208.935769</v>
      </c>
      <c r="Z62" s="11" t="s">
        <v>1084</v>
      </c>
      <c r="AA62" s="11" t="s">
        <v>1085</v>
      </c>
      <c r="AB62" s="11" t="s">
        <v>1472</v>
      </c>
      <c r="AC62" s="11" t="s">
        <v>1473</v>
      </c>
      <c r="AD62" s="11" t="n">
        <v>0.3</v>
      </c>
      <c r="AE62" s="11" t="n">
        <v>1</v>
      </c>
      <c r="AF62" s="11" t="n">
        <v>89.543901</v>
      </c>
      <c r="AG62" s="11" t="n">
        <v>298.47967</v>
      </c>
      <c r="AH62" s="11" t="n">
        <v>208.935769</v>
      </c>
      <c r="AI62" s="11" t="s">
        <v>1089</v>
      </c>
      <c r="AJ62" s="11" t="s">
        <v>1474</v>
      </c>
      <c r="AK62" s="11" t="s">
        <v>1475</v>
      </c>
      <c r="AL62" s="12" t="s">
        <v>1476</v>
      </c>
      <c r="AM62" s="17" t="n">
        <f aca="false">IFERROR(O62/S62,"")</f>
        <v>0.3</v>
      </c>
      <c r="AN62" s="16" t="n">
        <f aca="false">IF(OR(S62="",O62=""),"", S62-O62)</f>
        <v>208.935769</v>
      </c>
    </row>
    <row r="63" customFormat="false" ht="74.6" hidden="false" customHeight="false" outlineLevel="0" collapsed="false">
      <c r="A63" s="10" t="s">
        <v>1596</v>
      </c>
      <c r="B63" s="11" t="s">
        <v>159</v>
      </c>
      <c r="C63" s="11" t="s">
        <v>1468</v>
      </c>
      <c r="D63" s="11" t="s">
        <v>1469</v>
      </c>
      <c r="E63" s="11" t="s">
        <v>1081</v>
      </c>
      <c r="F63" s="11" t="s">
        <v>1470</v>
      </c>
      <c r="G63" s="11" t="s">
        <v>1597</v>
      </c>
      <c r="H63" s="11"/>
      <c r="I63" s="11"/>
      <c r="J63" s="11"/>
      <c r="K63" s="11"/>
      <c r="L63" s="11"/>
      <c r="M63" s="11"/>
      <c r="N63" s="11"/>
      <c r="O63" s="11" t="n">
        <v>133.148886</v>
      </c>
      <c r="P63" s="11" t="n">
        <v>0</v>
      </c>
      <c r="Q63" s="11"/>
      <c r="R63" s="11" t="n">
        <v>133.148886</v>
      </c>
      <c r="S63" s="11" t="n">
        <v>443.82962</v>
      </c>
      <c r="T63" s="11" t="n">
        <v>0.3</v>
      </c>
      <c r="U63" s="11" t="n">
        <v>0.3</v>
      </c>
      <c r="V63" s="11" t="n">
        <v>310.680734</v>
      </c>
      <c r="W63" s="11"/>
      <c r="X63" s="11"/>
      <c r="Y63" s="11" t="n">
        <v>310.680734</v>
      </c>
      <c r="Z63" s="11" t="s">
        <v>1084</v>
      </c>
      <c r="AA63" s="11" t="s">
        <v>1085</v>
      </c>
      <c r="AB63" s="11" t="s">
        <v>1472</v>
      </c>
      <c r="AC63" s="11" t="s">
        <v>1473</v>
      </c>
      <c r="AD63" s="11" t="n">
        <v>0.3</v>
      </c>
      <c r="AE63" s="11" t="n">
        <v>1</v>
      </c>
      <c r="AF63" s="11" t="n">
        <v>133.148886</v>
      </c>
      <c r="AG63" s="11" t="n">
        <v>443.82962</v>
      </c>
      <c r="AH63" s="11" t="n">
        <v>310.680734</v>
      </c>
      <c r="AI63" s="11" t="s">
        <v>1089</v>
      </c>
      <c r="AJ63" s="11" t="s">
        <v>1474</v>
      </c>
      <c r="AK63" s="11" t="s">
        <v>1475</v>
      </c>
      <c r="AL63" s="12" t="s">
        <v>1476</v>
      </c>
      <c r="AM63" s="17" t="n">
        <f aca="false">IFERROR(O63/S63,"")</f>
        <v>0.3</v>
      </c>
      <c r="AN63" s="16" t="n">
        <f aca="false">IF(OR(S63="",O63=""),"", S63-O63)</f>
        <v>310.680734</v>
      </c>
    </row>
    <row r="64" customFormat="false" ht="74.6" hidden="false" customHeight="false" outlineLevel="0" collapsed="false">
      <c r="A64" s="10" t="s">
        <v>1598</v>
      </c>
      <c r="B64" s="11" t="s">
        <v>159</v>
      </c>
      <c r="C64" s="11" t="s">
        <v>1478</v>
      </c>
      <c r="D64" s="11" t="s">
        <v>1469</v>
      </c>
      <c r="E64" s="11" t="s">
        <v>1081</v>
      </c>
      <c r="F64" s="11" t="s">
        <v>1470</v>
      </c>
      <c r="G64" s="11" t="s">
        <v>1599</v>
      </c>
      <c r="H64" s="11"/>
      <c r="I64" s="11"/>
      <c r="J64" s="11"/>
      <c r="K64" s="11"/>
      <c r="L64" s="11"/>
      <c r="M64" s="11"/>
      <c r="N64" s="11"/>
      <c r="O64" s="11" t="n">
        <v>133.148886</v>
      </c>
      <c r="P64" s="11" t="n">
        <v>0</v>
      </c>
      <c r="Q64" s="11"/>
      <c r="R64" s="11" t="n">
        <v>133.148886</v>
      </c>
      <c r="S64" s="11" t="n">
        <v>332.872215</v>
      </c>
      <c r="T64" s="11" t="n">
        <v>0.4</v>
      </c>
      <c r="U64" s="11" t="n">
        <v>0.4</v>
      </c>
      <c r="V64" s="11" t="n">
        <v>199.723329</v>
      </c>
      <c r="W64" s="11"/>
      <c r="X64" s="11"/>
      <c r="Y64" s="11" t="n">
        <v>199.723329</v>
      </c>
      <c r="Z64" s="11" t="s">
        <v>1084</v>
      </c>
      <c r="AA64" s="11" t="s">
        <v>1085</v>
      </c>
      <c r="AB64" s="11" t="s">
        <v>1472</v>
      </c>
      <c r="AC64" s="11" t="s">
        <v>1473</v>
      </c>
      <c r="AD64" s="11" t="n">
        <v>0.4</v>
      </c>
      <c r="AE64" s="11" t="n">
        <v>1</v>
      </c>
      <c r="AF64" s="11" t="n">
        <v>133.148886</v>
      </c>
      <c r="AG64" s="11" t="n">
        <v>332.872215</v>
      </c>
      <c r="AH64" s="11" t="n">
        <v>199.723329</v>
      </c>
      <c r="AI64" s="11" t="s">
        <v>1089</v>
      </c>
      <c r="AJ64" s="11" t="s">
        <v>1474</v>
      </c>
      <c r="AK64" s="11" t="s">
        <v>1475</v>
      </c>
      <c r="AL64" s="12" t="s">
        <v>1476</v>
      </c>
      <c r="AM64" s="17" t="n">
        <f aca="false">IFERROR(O64/S64,"")</f>
        <v>0.4</v>
      </c>
      <c r="AN64" s="16" t="n">
        <f aca="false">IF(OR(S64="",O64=""),"", S64-O64)</f>
        <v>199.723329</v>
      </c>
    </row>
    <row r="65" customFormat="false" ht="74.6" hidden="false" customHeight="false" outlineLevel="0" collapsed="false">
      <c r="A65" s="10" t="s">
        <v>1600</v>
      </c>
      <c r="B65" s="11" t="s">
        <v>159</v>
      </c>
      <c r="C65" s="11" t="s">
        <v>1481</v>
      </c>
      <c r="D65" s="11" t="s">
        <v>1469</v>
      </c>
      <c r="E65" s="11" t="s">
        <v>1081</v>
      </c>
      <c r="F65" s="11" t="s">
        <v>1470</v>
      </c>
      <c r="G65" s="11" t="s">
        <v>1601</v>
      </c>
      <c r="H65" s="11"/>
      <c r="I65" s="11"/>
      <c r="J65" s="11"/>
      <c r="K65" s="11"/>
      <c r="L65" s="11"/>
      <c r="M65" s="11"/>
      <c r="N65" s="11"/>
      <c r="O65" s="11" t="n">
        <v>133.148886</v>
      </c>
      <c r="P65" s="11" t="n">
        <v>0</v>
      </c>
      <c r="Q65" s="11"/>
      <c r="R65" s="11" t="n">
        <v>133.148886</v>
      </c>
      <c r="S65" s="11" t="n">
        <v>443.82962</v>
      </c>
      <c r="T65" s="11" t="n">
        <v>0.3</v>
      </c>
      <c r="U65" s="11" t="n">
        <v>0.3</v>
      </c>
      <c r="V65" s="11" t="n">
        <v>310.680734</v>
      </c>
      <c r="W65" s="11"/>
      <c r="X65" s="11"/>
      <c r="Y65" s="11" t="n">
        <v>310.680734</v>
      </c>
      <c r="Z65" s="11" t="s">
        <v>1084</v>
      </c>
      <c r="AA65" s="11" t="s">
        <v>1085</v>
      </c>
      <c r="AB65" s="11" t="s">
        <v>1472</v>
      </c>
      <c r="AC65" s="11" t="s">
        <v>1473</v>
      </c>
      <c r="AD65" s="11" t="n">
        <v>0.3</v>
      </c>
      <c r="AE65" s="11" t="n">
        <v>1</v>
      </c>
      <c r="AF65" s="11" t="n">
        <v>133.148886</v>
      </c>
      <c r="AG65" s="11" t="n">
        <v>443.82962</v>
      </c>
      <c r="AH65" s="11" t="n">
        <v>310.680734</v>
      </c>
      <c r="AI65" s="11" t="s">
        <v>1089</v>
      </c>
      <c r="AJ65" s="11" t="s">
        <v>1474</v>
      </c>
      <c r="AK65" s="11" t="s">
        <v>1475</v>
      </c>
      <c r="AL65" s="12" t="s">
        <v>1476</v>
      </c>
      <c r="AM65" s="17" t="n">
        <f aca="false">IFERROR(O65/S65,"")</f>
        <v>0.3</v>
      </c>
      <c r="AN65" s="16" t="n">
        <f aca="false">IF(OR(S65="",O65=""),"", S65-O65)</f>
        <v>310.680734</v>
      </c>
    </row>
    <row r="66" customFormat="false" ht="74.6" hidden="false" customHeight="false" outlineLevel="0" collapsed="false">
      <c r="A66" s="10" t="s">
        <v>1602</v>
      </c>
      <c r="B66" s="11" t="s">
        <v>165</v>
      </c>
      <c r="C66" s="11" t="s">
        <v>1468</v>
      </c>
      <c r="D66" s="11" t="s">
        <v>1469</v>
      </c>
      <c r="E66" s="11" t="s">
        <v>1081</v>
      </c>
      <c r="F66" s="11" t="s">
        <v>1470</v>
      </c>
      <c r="G66" s="11" t="s">
        <v>1603</v>
      </c>
      <c r="H66" s="11"/>
      <c r="I66" s="11"/>
      <c r="J66" s="11"/>
      <c r="K66" s="11"/>
      <c r="L66" s="11"/>
      <c r="M66" s="11"/>
      <c r="N66" s="11"/>
      <c r="O66" s="11" t="n">
        <v>39.207579</v>
      </c>
      <c r="P66" s="11" t="n">
        <v>0</v>
      </c>
      <c r="Q66" s="11"/>
      <c r="R66" s="11" t="n">
        <v>39.207579</v>
      </c>
      <c r="S66" s="11" t="n">
        <v>130.691931</v>
      </c>
      <c r="T66" s="11" t="n">
        <v>0.3</v>
      </c>
      <c r="U66" s="11" t="n">
        <v>0.299999997704525</v>
      </c>
      <c r="V66" s="11" t="n">
        <v>91.484352</v>
      </c>
      <c r="W66" s="11"/>
      <c r="X66" s="11"/>
      <c r="Y66" s="11" t="n">
        <v>91.484352</v>
      </c>
      <c r="Z66" s="11" t="s">
        <v>1084</v>
      </c>
      <c r="AA66" s="11" t="s">
        <v>1085</v>
      </c>
      <c r="AB66" s="11" t="s">
        <v>1472</v>
      </c>
      <c r="AC66" s="11" t="s">
        <v>1473</v>
      </c>
      <c r="AD66" s="11" t="n">
        <v>0.3</v>
      </c>
      <c r="AE66" s="11" t="n">
        <v>1</v>
      </c>
      <c r="AF66" s="11" t="n">
        <v>39.207579</v>
      </c>
      <c r="AG66" s="11" t="n">
        <v>130.691931</v>
      </c>
      <c r="AH66" s="11" t="n">
        <v>91.484352</v>
      </c>
      <c r="AI66" s="11" t="s">
        <v>1089</v>
      </c>
      <c r="AJ66" s="11" t="s">
        <v>1474</v>
      </c>
      <c r="AK66" s="11" t="s">
        <v>1475</v>
      </c>
      <c r="AL66" s="12" t="s">
        <v>1476</v>
      </c>
      <c r="AM66" s="17" t="n">
        <f aca="false">IFERROR(O66/S66,"")</f>
        <v>0.299999997704525</v>
      </c>
      <c r="AN66" s="16" t="n">
        <f aca="false">IF(OR(S66="",O66=""),"", S66-O66)</f>
        <v>91.484352</v>
      </c>
    </row>
    <row r="67" customFormat="false" ht="74.6" hidden="false" customHeight="false" outlineLevel="0" collapsed="false">
      <c r="A67" s="10" t="s">
        <v>1604</v>
      </c>
      <c r="B67" s="11" t="s">
        <v>165</v>
      </c>
      <c r="C67" s="11" t="s">
        <v>1478</v>
      </c>
      <c r="D67" s="11" t="s">
        <v>1469</v>
      </c>
      <c r="E67" s="11" t="s">
        <v>1081</v>
      </c>
      <c r="F67" s="11" t="s">
        <v>1470</v>
      </c>
      <c r="G67" s="11" t="s">
        <v>1605</v>
      </c>
      <c r="H67" s="11"/>
      <c r="I67" s="11"/>
      <c r="J67" s="11"/>
      <c r="K67" s="11"/>
      <c r="L67" s="11"/>
      <c r="M67" s="11"/>
      <c r="N67" s="11"/>
      <c r="O67" s="11" t="n">
        <v>39.207579</v>
      </c>
      <c r="P67" s="11" t="n">
        <v>0</v>
      </c>
      <c r="Q67" s="11"/>
      <c r="R67" s="11" t="n">
        <v>39.207579</v>
      </c>
      <c r="S67" s="11" t="n">
        <v>98.018948</v>
      </c>
      <c r="T67" s="11" t="n">
        <v>0.4</v>
      </c>
      <c r="U67" s="11" t="n">
        <v>0.399999997959578</v>
      </c>
      <c r="V67" s="11" t="n">
        <v>58.811369</v>
      </c>
      <c r="W67" s="11"/>
      <c r="X67" s="11"/>
      <c r="Y67" s="11" t="n">
        <v>58.811369</v>
      </c>
      <c r="Z67" s="11" t="s">
        <v>1084</v>
      </c>
      <c r="AA67" s="11" t="s">
        <v>1085</v>
      </c>
      <c r="AB67" s="11" t="s">
        <v>1472</v>
      </c>
      <c r="AC67" s="11" t="s">
        <v>1473</v>
      </c>
      <c r="AD67" s="11" t="n">
        <v>0.4</v>
      </c>
      <c r="AE67" s="11" t="n">
        <v>1</v>
      </c>
      <c r="AF67" s="11" t="n">
        <v>39.207579</v>
      </c>
      <c r="AG67" s="11" t="n">
        <v>98.018948</v>
      </c>
      <c r="AH67" s="11" t="n">
        <v>58.811369</v>
      </c>
      <c r="AI67" s="11" t="s">
        <v>1089</v>
      </c>
      <c r="AJ67" s="11" t="s">
        <v>1474</v>
      </c>
      <c r="AK67" s="11" t="s">
        <v>1475</v>
      </c>
      <c r="AL67" s="12" t="s">
        <v>1476</v>
      </c>
      <c r="AM67" s="17" t="n">
        <f aca="false">IFERROR(O67/S67,"")</f>
        <v>0.399999997959578</v>
      </c>
      <c r="AN67" s="16" t="n">
        <f aca="false">IF(OR(S67="",O67=""),"", S67-O67)</f>
        <v>58.811369</v>
      </c>
    </row>
    <row r="68" customFormat="false" ht="74.6" hidden="false" customHeight="false" outlineLevel="0" collapsed="false">
      <c r="A68" s="10" t="s">
        <v>1606</v>
      </c>
      <c r="B68" s="11" t="s">
        <v>165</v>
      </c>
      <c r="C68" s="11" t="s">
        <v>1481</v>
      </c>
      <c r="D68" s="11" t="s">
        <v>1469</v>
      </c>
      <c r="E68" s="11" t="s">
        <v>1081</v>
      </c>
      <c r="F68" s="11" t="s">
        <v>1470</v>
      </c>
      <c r="G68" s="11" t="s">
        <v>1607</v>
      </c>
      <c r="H68" s="11"/>
      <c r="I68" s="11"/>
      <c r="J68" s="11"/>
      <c r="K68" s="11"/>
      <c r="L68" s="11"/>
      <c r="M68" s="11"/>
      <c r="N68" s="11"/>
      <c r="O68" s="11" t="n">
        <v>39.207579</v>
      </c>
      <c r="P68" s="11" t="n">
        <v>0</v>
      </c>
      <c r="Q68" s="11"/>
      <c r="R68" s="11" t="n">
        <v>39.207579</v>
      </c>
      <c r="S68" s="11" t="n">
        <v>130.691931</v>
      </c>
      <c r="T68" s="11" t="n">
        <v>0.3</v>
      </c>
      <c r="U68" s="11" t="n">
        <v>0.299999997704525</v>
      </c>
      <c r="V68" s="11" t="n">
        <v>91.484352</v>
      </c>
      <c r="W68" s="11"/>
      <c r="X68" s="11"/>
      <c r="Y68" s="11" t="n">
        <v>91.484352</v>
      </c>
      <c r="Z68" s="11" t="s">
        <v>1084</v>
      </c>
      <c r="AA68" s="11" t="s">
        <v>1085</v>
      </c>
      <c r="AB68" s="11" t="s">
        <v>1472</v>
      </c>
      <c r="AC68" s="11" t="s">
        <v>1473</v>
      </c>
      <c r="AD68" s="11" t="n">
        <v>0.3</v>
      </c>
      <c r="AE68" s="11" t="n">
        <v>1</v>
      </c>
      <c r="AF68" s="11" t="n">
        <v>39.207579</v>
      </c>
      <c r="AG68" s="11" t="n">
        <v>130.691931</v>
      </c>
      <c r="AH68" s="11" t="n">
        <v>91.484352</v>
      </c>
      <c r="AI68" s="11" t="s">
        <v>1089</v>
      </c>
      <c r="AJ68" s="11" t="s">
        <v>1474</v>
      </c>
      <c r="AK68" s="11" t="s">
        <v>1475</v>
      </c>
      <c r="AL68" s="12" t="s">
        <v>1476</v>
      </c>
      <c r="AM68" s="17" t="n">
        <f aca="false">IFERROR(O68/S68,"")</f>
        <v>0.299999997704525</v>
      </c>
      <c r="AN68" s="16" t="n">
        <f aca="false">IF(OR(S68="",O68=""),"", S68-O68)</f>
        <v>91.484352</v>
      </c>
    </row>
    <row r="69" customFormat="false" ht="74.6" hidden="false" customHeight="false" outlineLevel="0" collapsed="false">
      <c r="A69" s="10" t="s">
        <v>1608</v>
      </c>
      <c r="B69" s="11" t="s">
        <v>171</v>
      </c>
      <c r="C69" s="11" t="s">
        <v>1468</v>
      </c>
      <c r="D69" s="11" t="s">
        <v>1469</v>
      </c>
      <c r="E69" s="11" t="s">
        <v>1081</v>
      </c>
      <c r="F69" s="11" t="s">
        <v>1470</v>
      </c>
      <c r="G69" s="11" t="s">
        <v>1609</v>
      </c>
      <c r="H69" s="11"/>
      <c r="I69" s="11"/>
      <c r="J69" s="11"/>
      <c r="K69" s="11"/>
      <c r="L69" s="11"/>
      <c r="M69" s="11"/>
      <c r="N69" s="11"/>
      <c r="O69" s="11" t="n">
        <v>153.840651</v>
      </c>
      <c r="P69" s="11" t="n">
        <v>0</v>
      </c>
      <c r="Q69" s="11"/>
      <c r="R69" s="11" t="n">
        <v>153.840651</v>
      </c>
      <c r="S69" s="11" t="n">
        <v>512.80217</v>
      </c>
      <c r="T69" s="11" t="n">
        <v>0.3</v>
      </c>
      <c r="U69" s="11" t="n">
        <v>0.3</v>
      </c>
      <c r="V69" s="11" t="n">
        <v>358.961519</v>
      </c>
      <c r="W69" s="11"/>
      <c r="X69" s="11"/>
      <c r="Y69" s="11" t="n">
        <v>358.961519</v>
      </c>
      <c r="Z69" s="11" t="s">
        <v>1084</v>
      </c>
      <c r="AA69" s="11" t="s">
        <v>1085</v>
      </c>
      <c r="AB69" s="11" t="s">
        <v>1472</v>
      </c>
      <c r="AC69" s="11" t="s">
        <v>1473</v>
      </c>
      <c r="AD69" s="11" t="n">
        <v>0.3</v>
      </c>
      <c r="AE69" s="11" t="n">
        <v>1</v>
      </c>
      <c r="AF69" s="11" t="n">
        <v>153.840651</v>
      </c>
      <c r="AG69" s="11" t="n">
        <v>512.80217</v>
      </c>
      <c r="AH69" s="11" t="n">
        <v>358.961519</v>
      </c>
      <c r="AI69" s="11" t="s">
        <v>1089</v>
      </c>
      <c r="AJ69" s="11" t="s">
        <v>1474</v>
      </c>
      <c r="AK69" s="11" t="s">
        <v>1475</v>
      </c>
      <c r="AL69" s="12" t="s">
        <v>1476</v>
      </c>
      <c r="AM69" s="17" t="n">
        <f aca="false">IFERROR(O69/S69,"")</f>
        <v>0.3</v>
      </c>
      <c r="AN69" s="16" t="n">
        <f aca="false">IF(OR(S69="",O69=""),"", S69-O69)</f>
        <v>358.961519</v>
      </c>
    </row>
    <row r="70" customFormat="false" ht="74.6" hidden="false" customHeight="false" outlineLevel="0" collapsed="false">
      <c r="A70" s="10" t="s">
        <v>1610</v>
      </c>
      <c r="B70" s="11" t="s">
        <v>171</v>
      </c>
      <c r="C70" s="11" t="s">
        <v>1478</v>
      </c>
      <c r="D70" s="11" t="s">
        <v>1469</v>
      </c>
      <c r="E70" s="11" t="s">
        <v>1081</v>
      </c>
      <c r="F70" s="11" t="s">
        <v>1470</v>
      </c>
      <c r="G70" s="11" t="s">
        <v>1611</v>
      </c>
      <c r="H70" s="11"/>
      <c r="I70" s="11"/>
      <c r="J70" s="11"/>
      <c r="K70" s="11"/>
      <c r="L70" s="11"/>
      <c r="M70" s="11"/>
      <c r="N70" s="11"/>
      <c r="O70" s="11" t="n">
        <v>153.840651</v>
      </c>
      <c r="P70" s="11" t="n">
        <v>0</v>
      </c>
      <c r="Q70" s="11"/>
      <c r="R70" s="11" t="n">
        <v>153.840651</v>
      </c>
      <c r="S70" s="11" t="n">
        <v>384.601628</v>
      </c>
      <c r="T70" s="11" t="n">
        <v>0.4</v>
      </c>
      <c r="U70" s="11" t="n">
        <v>0.399999999479981</v>
      </c>
      <c r="V70" s="11" t="n">
        <v>230.760977</v>
      </c>
      <c r="W70" s="11"/>
      <c r="X70" s="11"/>
      <c r="Y70" s="11" t="n">
        <v>230.760977</v>
      </c>
      <c r="Z70" s="11" t="s">
        <v>1084</v>
      </c>
      <c r="AA70" s="11" t="s">
        <v>1085</v>
      </c>
      <c r="AB70" s="11" t="s">
        <v>1472</v>
      </c>
      <c r="AC70" s="11" t="s">
        <v>1473</v>
      </c>
      <c r="AD70" s="11" t="n">
        <v>0.4</v>
      </c>
      <c r="AE70" s="11" t="n">
        <v>1</v>
      </c>
      <c r="AF70" s="11" t="n">
        <v>153.840651</v>
      </c>
      <c r="AG70" s="11" t="n">
        <v>384.601628</v>
      </c>
      <c r="AH70" s="11" t="n">
        <v>230.760977</v>
      </c>
      <c r="AI70" s="11" t="s">
        <v>1089</v>
      </c>
      <c r="AJ70" s="11" t="s">
        <v>1474</v>
      </c>
      <c r="AK70" s="11" t="s">
        <v>1475</v>
      </c>
      <c r="AL70" s="12" t="s">
        <v>1476</v>
      </c>
      <c r="AM70" s="17" t="n">
        <f aca="false">IFERROR(O70/S70,"")</f>
        <v>0.399999999479981</v>
      </c>
      <c r="AN70" s="16" t="n">
        <f aca="false">IF(OR(S70="",O70=""),"", S70-O70)</f>
        <v>230.760977</v>
      </c>
    </row>
    <row r="71" customFormat="false" ht="74.6" hidden="false" customHeight="false" outlineLevel="0" collapsed="false">
      <c r="A71" s="10" t="s">
        <v>1612</v>
      </c>
      <c r="B71" s="11" t="s">
        <v>171</v>
      </c>
      <c r="C71" s="11" t="s">
        <v>1481</v>
      </c>
      <c r="D71" s="11" t="s">
        <v>1469</v>
      </c>
      <c r="E71" s="11" t="s">
        <v>1081</v>
      </c>
      <c r="F71" s="11" t="s">
        <v>1470</v>
      </c>
      <c r="G71" s="11" t="s">
        <v>1613</v>
      </c>
      <c r="H71" s="11"/>
      <c r="I71" s="11"/>
      <c r="J71" s="11"/>
      <c r="K71" s="11"/>
      <c r="L71" s="11"/>
      <c r="M71" s="11"/>
      <c r="N71" s="11"/>
      <c r="O71" s="11" t="n">
        <v>153.840651</v>
      </c>
      <c r="P71" s="11" t="n">
        <v>0</v>
      </c>
      <c r="Q71" s="11"/>
      <c r="R71" s="11" t="n">
        <v>153.840651</v>
      </c>
      <c r="S71" s="11" t="n">
        <v>512.80217</v>
      </c>
      <c r="T71" s="11" t="n">
        <v>0.3</v>
      </c>
      <c r="U71" s="11" t="n">
        <v>0.3</v>
      </c>
      <c r="V71" s="11" t="n">
        <v>358.961519</v>
      </c>
      <c r="W71" s="11"/>
      <c r="X71" s="11"/>
      <c r="Y71" s="11" t="n">
        <v>358.961519</v>
      </c>
      <c r="Z71" s="11" t="s">
        <v>1084</v>
      </c>
      <c r="AA71" s="11" t="s">
        <v>1085</v>
      </c>
      <c r="AB71" s="11" t="s">
        <v>1472</v>
      </c>
      <c r="AC71" s="11" t="s">
        <v>1473</v>
      </c>
      <c r="AD71" s="11" t="n">
        <v>0.3</v>
      </c>
      <c r="AE71" s="11" t="n">
        <v>1</v>
      </c>
      <c r="AF71" s="11" t="n">
        <v>153.840651</v>
      </c>
      <c r="AG71" s="11" t="n">
        <v>512.80217</v>
      </c>
      <c r="AH71" s="11" t="n">
        <v>358.961519</v>
      </c>
      <c r="AI71" s="11" t="s">
        <v>1089</v>
      </c>
      <c r="AJ71" s="11" t="s">
        <v>1474</v>
      </c>
      <c r="AK71" s="11" t="s">
        <v>1475</v>
      </c>
      <c r="AL71" s="12" t="s">
        <v>1476</v>
      </c>
      <c r="AM71" s="17" t="n">
        <f aca="false">IFERROR(O71/S71,"")</f>
        <v>0.3</v>
      </c>
      <c r="AN71" s="16" t="n">
        <f aca="false">IF(OR(S71="",O71=""),"", S71-O71)</f>
        <v>358.961519</v>
      </c>
    </row>
    <row r="72" customFormat="false" ht="74.6" hidden="false" customHeight="false" outlineLevel="0" collapsed="false">
      <c r="A72" s="10" t="s">
        <v>1614</v>
      </c>
      <c r="B72" s="11" t="s">
        <v>176</v>
      </c>
      <c r="C72" s="11" t="s">
        <v>1468</v>
      </c>
      <c r="D72" s="11" t="s">
        <v>1469</v>
      </c>
      <c r="E72" s="11" t="s">
        <v>1081</v>
      </c>
      <c r="F72" s="11" t="s">
        <v>1470</v>
      </c>
      <c r="G72" s="11" t="s">
        <v>1615</v>
      </c>
      <c r="H72" s="11"/>
      <c r="I72" s="11"/>
      <c r="J72" s="11"/>
      <c r="K72" s="11"/>
      <c r="L72" s="11"/>
      <c r="M72" s="11"/>
      <c r="N72" s="11"/>
      <c r="O72" s="11" t="n">
        <v>101.285624</v>
      </c>
      <c r="P72" s="11" t="n">
        <v>0</v>
      </c>
      <c r="Q72" s="11"/>
      <c r="R72" s="11" t="n">
        <v>101.285624</v>
      </c>
      <c r="S72" s="11" t="n">
        <v>337.618748</v>
      </c>
      <c r="T72" s="11" t="n">
        <v>0.3</v>
      </c>
      <c r="U72" s="11" t="n">
        <v>0.299999998815232</v>
      </c>
      <c r="V72" s="11" t="n">
        <v>236.333123</v>
      </c>
      <c r="W72" s="11"/>
      <c r="X72" s="11"/>
      <c r="Y72" s="11" t="n">
        <v>236.333123</v>
      </c>
      <c r="Z72" s="11" t="s">
        <v>1084</v>
      </c>
      <c r="AA72" s="11" t="s">
        <v>1085</v>
      </c>
      <c r="AB72" s="11" t="s">
        <v>1472</v>
      </c>
      <c r="AC72" s="11" t="s">
        <v>1473</v>
      </c>
      <c r="AD72" s="11" t="n">
        <v>0.3</v>
      </c>
      <c r="AE72" s="11" t="n">
        <v>1</v>
      </c>
      <c r="AF72" s="11" t="n">
        <v>101.285624</v>
      </c>
      <c r="AG72" s="11" t="n">
        <v>337.618748</v>
      </c>
      <c r="AH72" s="11" t="n">
        <v>236.333123</v>
      </c>
      <c r="AI72" s="11" t="s">
        <v>1089</v>
      </c>
      <c r="AJ72" s="11" t="s">
        <v>1474</v>
      </c>
      <c r="AK72" s="11" t="s">
        <v>1475</v>
      </c>
      <c r="AL72" s="12" t="s">
        <v>1476</v>
      </c>
      <c r="AM72" s="17" t="n">
        <f aca="false">IFERROR(O72/S72,"")</f>
        <v>0.299999998815232</v>
      </c>
      <c r="AN72" s="16" t="n">
        <f aca="false">IF(OR(S72="",O72=""),"", S72-O72)</f>
        <v>236.333124</v>
      </c>
    </row>
    <row r="73" customFormat="false" ht="74.6" hidden="false" customHeight="false" outlineLevel="0" collapsed="false">
      <c r="A73" s="10" t="s">
        <v>1616</v>
      </c>
      <c r="B73" s="11" t="s">
        <v>176</v>
      </c>
      <c r="C73" s="11" t="s">
        <v>1478</v>
      </c>
      <c r="D73" s="11" t="s">
        <v>1469</v>
      </c>
      <c r="E73" s="11" t="s">
        <v>1081</v>
      </c>
      <c r="F73" s="11" t="s">
        <v>1470</v>
      </c>
      <c r="G73" s="11" t="s">
        <v>1617</v>
      </c>
      <c r="H73" s="11"/>
      <c r="I73" s="11"/>
      <c r="J73" s="11"/>
      <c r="K73" s="11"/>
      <c r="L73" s="11"/>
      <c r="M73" s="11"/>
      <c r="N73" s="11"/>
      <c r="O73" s="11" t="n">
        <v>101.285624</v>
      </c>
      <c r="P73" s="11" t="n">
        <v>0</v>
      </c>
      <c r="Q73" s="11"/>
      <c r="R73" s="11" t="n">
        <v>101.285624</v>
      </c>
      <c r="S73" s="11" t="n">
        <v>253.214061</v>
      </c>
      <c r="T73" s="11" t="n">
        <v>0.4</v>
      </c>
      <c r="U73" s="11" t="n">
        <v>0.399999998420309</v>
      </c>
      <c r="V73" s="11" t="n">
        <v>151.928436</v>
      </c>
      <c r="W73" s="11"/>
      <c r="X73" s="11"/>
      <c r="Y73" s="11" t="n">
        <v>151.928436</v>
      </c>
      <c r="Z73" s="11" t="s">
        <v>1084</v>
      </c>
      <c r="AA73" s="11" t="s">
        <v>1085</v>
      </c>
      <c r="AB73" s="11" t="s">
        <v>1472</v>
      </c>
      <c r="AC73" s="11" t="s">
        <v>1473</v>
      </c>
      <c r="AD73" s="11" t="n">
        <v>0.4</v>
      </c>
      <c r="AE73" s="11" t="n">
        <v>1</v>
      </c>
      <c r="AF73" s="11" t="n">
        <v>101.285624</v>
      </c>
      <c r="AG73" s="11" t="n">
        <v>253.214061</v>
      </c>
      <c r="AH73" s="11" t="n">
        <v>151.928436</v>
      </c>
      <c r="AI73" s="11" t="s">
        <v>1089</v>
      </c>
      <c r="AJ73" s="11" t="s">
        <v>1474</v>
      </c>
      <c r="AK73" s="11" t="s">
        <v>1475</v>
      </c>
      <c r="AL73" s="12" t="s">
        <v>1476</v>
      </c>
      <c r="AM73" s="17" t="n">
        <f aca="false">IFERROR(O73/S73,"")</f>
        <v>0.399999998420309</v>
      </c>
      <c r="AN73" s="16" t="n">
        <f aca="false">IF(OR(S73="",O73=""),"", S73-O73)</f>
        <v>151.928437</v>
      </c>
    </row>
    <row r="74" customFormat="false" ht="74.6" hidden="false" customHeight="false" outlineLevel="0" collapsed="false">
      <c r="A74" s="10" t="s">
        <v>1618</v>
      </c>
      <c r="B74" s="11" t="s">
        <v>185</v>
      </c>
      <c r="C74" s="11" t="s">
        <v>1468</v>
      </c>
      <c r="D74" s="11" t="s">
        <v>1469</v>
      </c>
      <c r="E74" s="11" t="s">
        <v>1081</v>
      </c>
      <c r="F74" s="11" t="s">
        <v>1470</v>
      </c>
      <c r="G74" s="11" t="s">
        <v>1619</v>
      </c>
      <c r="H74" s="11"/>
      <c r="I74" s="11"/>
      <c r="J74" s="11"/>
      <c r="K74" s="11"/>
      <c r="L74" s="11"/>
      <c r="M74" s="11"/>
      <c r="N74" s="11"/>
      <c r="O74" s="11" t="n">
        <v>371.43417</v>
      </c>
      <c r="P74" s="11" t="n">
        <v>0</v>
      </c>
      <c r="Q74" s="11"/>
      <c r="R74" s="11" t="n">
        <v>371.43417</v>
      </c>
      <c r="S74" s="11" t="n">
        <v>1238.113899</v>
      </c>
      <c r="T74" s="11" t="n">
        <v>0.3</v>
      </c>
      <c r="U74" s="11" t="n">
        <v>0.300000000242304</v>
      </c>
      <c r="V74" s="11" t="n">
        <v>866.67973</v>
      </c>
      <c r="W74" s="11"/>
      <c r="X74" s="11"/>
      <c r="Y74" s="11" t="n">
        <v>866.67973</v>
      </c>
      <c r="Z74" s="11" t="s">
        <v>1084</v>
      </c>
      <c r="AA74" s="11" t="s">
        <v>1085</v>
      </c>
      <c r="AB74" s="11" t="s">
        <v>1472</v>
      </c>
      <c r="AC74" s="11" t="s">
        <v>1473</v>
      </c>
      <c r="AD74" s="11" t="n">
        <v>0.3</v>
      </c>
      <c r="AE74" s="11" t="n">
        <v>1</v>
      </c>
      <c r="AF74" s="11" t="n">
        <v>371.43417</v>
      </c>
      <c r="AG74" s="11" t="n">
        <v>1238.113899</v>
      </c>
      <c r="AH74" s="11" t="n">
        <v>866.67973</v>
      </c>
      <c r="AI74" s="11" t="s">
        <v>1089</v>
      </c>
      <c r="AJ74" s="11" t="s">
        <v>1474</v>
      </c>
      <c r="AK74" s="11" t="s">
        <v>1475</v>
      </c>
      <c r="AL74" s="12" t="s">
        <v>1476</v>
      </c>
      <c r="AM74" s="17" t="n">
        <f aca="false">IFERROR(O74/S74,"")</f>
        <v>0.300000000242304</v>
      </c>
      <c r="AN74" s="16" t="n">
        <f aca="false">IF(OR(S74="",O74=""),"", S74-O74)</f>
        <v>866.679729</v>
      </c>
    </row>
    <row r="75" customFormat="false" ht="74.6" hidden="false" customHeight="false" outlineLevel="0" collapsed="false">
      <c r="A75" s="10" t="s">
        <v>1620</v>
      </c>
      <c r="B75" s="11" t="s">
        <v>185</v>
      </c>
      <c r="C75" s="11" t="s">
        <v>1478</v>
      </c>
      <c r="D75" s="11" t="s">
        <v>1469</v>
      </c>
      <c r="E75" s="11" t="s">
        <v>1081</v>
      </c>
      <c r="F75" s="11" t="s">
        <v>1470</v>
      </c>
      <c r="G75" s="11" t="s">
        <v>1621</v>
      </c>
      <c r="H75" s="11"/>
      <c r="I75" s="11"/>
      <c r="J75" s="11"/>
      <c r="K75" s="11"/>
      <c r="L75" s="11"/>
      <c r="M75" s="11"/>
      <c r="N75" s="11"/>
      <c r="O75" s="11" t="n">
        <v>371.43417</v>
      </c>
      <c r="P75" s="11" t="n">
        <v>0</v>
      </c>
      <c r="Q75" s="11"/>
      <c r="R75" s="11" t="n">
        <v>371.43417</v>
      </c>
      <c r="S75" s="11" t="n">
        <v>928.585425</v>
      </c>
      <c r="T75" s="11" t="n">
        <v>0.4</v>
      </c>
      <c r="U75" s="11" t="n">
        <v>0.4</v>
      </c>
      <c r="V75" s="11" t="n">
        <v>557.151255</v>
      </c>
      <c r="W75" s="11"/>
      <c r="X75" s="11"/>
      <c r="Y75" s="11" t="n">
        <v>557.151255</v>
      </c>
      <c r="Z75" s="11" t="s">
        <v>1084</v>
      </c>
      <c r="AA75" s="11" t="s">
        <v>1085</v>
      </c>
      <c r="AB75" s="11" t="s">
        <v>1472</v>
      </c>
      <c r="AC75" s="11" t="s">
        <v>1473</v>
      </c>
      <c r="AD75" s="11" t="n">
        <v>0.4</v>
      </c>
      <c r="AE75" s="11" t="n">
        <v>1</v>
      </c>
      <c r="AF75" s="11" t="n">
        <v>371.43417</v>
      </c>
      <c r="AG75" s="11" t="n">
        <v>928.585425</v>
      </c>
      <c r="AH75" s="11" t="n">
        <v>557.151255</v>
      </c>
      <c r="AI75" s="11" t="s">
        <v>1089</v>
      </c>
      <c r="AJ75" s="11" t="s">
        <v>1474</v>
      </c>
      <c r="AK75" s="11" t="s">
        <v>1475</v>
      </c>
      <c r="AL75" s="12" t="s">
        <v>1476</v>
      </c>
      <c r="AM75" s="17" t="n">
        <f aca="false">IFERROR(O75/S75,"")</f>
        <v>0.4</v>
      </c>
      <c r="AN75" s="16" t="n">
        <f aca="false">IF(OR(S75="",O75=""),"", S75-O75)</f>
        <v>557.151255</v>
      </c>
    </row>
    <row r="76" customFormat="false" ht="74.6" hidden="false" customHeight="false" outlineLevel="0" collapsed="false">
      <c r="A76" s="10" t="s">
        <v>1622</v>
      </c>
      <c r="B76" s="11" t="s">
        <v>185</v>
      </c>
      <c r="C76" s="11" t="s">
        <v>1481</v>
      </c>
      <c r="D76" s="11" t="s">
        <v>1469</v>
      </c>
      <c r="E76" s="11" t="s">
        <v>1081</v>
      </c>
      <c r="F76" s="11" t="s">
        <v>1470</v>
      </c>
      <c r="G76" s="11" t="s">
        <v>1623</v>
      </c>
      <c r="H76" s="11"/>
      <c r="I76" s="11"/>
      <c r="J76" s="11"/>
      <c r="K76" s="11"/>
      <c r="L76" s="11"/>
      <c r="M76" s="11"/>
      <c r="N76" s="11"/>
      <c r="O76" s="11" t="n">
        <v>371.43417</v>
      </c>
      <c r="P76" s="11" t="n">
        <v>0</v>
      </c>
      <c r="Q76" s="11"/>
      <c r="R76" s="11" t="n">
        <v>371.43417</v>
      </c>
      <c r="S76" s="11" t="n">
        <v>1238.113899</v>
      </c>
      <c r="T76" s="11" t="n">
        <v>0.3</v>
      </c>
      <c r="U76" s="11" t="n">
        <v>0.300000000242304</v>
      </c>
      <c r="V76" s="11" t="n">
        <v>866.67973</v>
      </c>
      <c r="W76" s="11"/>
      <c r="X76" s="11"/>
      <c r="Y76" s="11" t="n">
        <v>866.67973</v>
      </c>
      <c r="Z76" s="11" t="s">
        <v>1084</v>
      </c>
      <c r="AA76" s="11" t="s">
        <v>1085</v>
      </c>
      <c r="AB76" s="11" t="s">
        <v>1472</v>
      </c>
      <c r="AC76" s="11" t="s">
        <v>1473</v>
      </c>
      <c r="AD76" s="11" t="n">
        <v>0.3</v>
      </c>
      <c r="AE76" s="11" t="n">
        <v>1</v>
      </c>
      <c r="AF76" s="11" t="n">
        <v>371.43417</v>
      </c>
      <c r="AG76" s="11" t="n">
        <v>1238.113899</v>
      </c>
      <c r="AH76" s="11" t="n">
        <v>866.67973</v>
      </c>
      <c r="AI76" s="11" t="s">
        <v>1089</v>
      </c>
      <c r="AJ76" s="11" t="s">
        <v>1474</v>
      </c>
      <c r="AK76" s="11" t="s">
        <v>1475</v>
      </c>
      <c r="AL76" s="12" t="s">
        <v>1476</v>
      </c>
      <c r="AM76" s="17" t="n">
        <f aca="false">IFERROR(O76/S76,"")</f>
        <v>0.300000000242304</v>
      </c>
      <c r="AN76" s="16" t="n">
        <f aca="false">IF(OR(S76="",O76=""),"", S76-O76)</f>
        <v>866.679729</v>
      </c>
    </row>
    <row r="77" customFormat="false" ht="74.6" hidden="false" customHeight="false" outlineLevel="0" collapsed="false">
      <c r="A77" s="10" t="s">
        <v>1624</v>
      </c>
      <c r="B77" s="11" t="s">
        <v>185</v>
      </c>
      <c r="C77" s="11" t="s">
        <v>1484</v>
      </c>
      <c r="D77" s="11" t="s">
        <v>1469</v>
      </c>
      <c r="E77" s="11" t="s">
        <v>1081</v>
      </c>
      <c r="F77" s="11" t="s">
        <v>1470</v>
      </c>
      <c r="G77" s="11" t="s">
        <v>1625</v>
      </c>
      <c r="H77" s="11"/>
      <c r="I77" s="11"/>
      <c r="J77" s="11"/>
      <c r="K77" s="11"/>
      <c r="L77" s="11"/>
      <c r="M77" s="11"/>
      <c r="N77" s="11"/>
      <c r="O77" s="11" t="n">
        <v>371.43417</v>
      </c>
      <c r="P77" s="11" t="n">
        <v>65</v>
      </c>
      <c r="Q77" s="11"/>
      <c r="R77" s="11" t="n">
        <v>436.43417</v>
      </c>
      <c r="S77" s="11" t="n">
        <v>1454.780566</v>
      </c>
      <c r="T77" s="11" t="n">
        <v>0.3</v>
      </c>
      <c r="U77" s="11" t="n">
        <v>0.255319722218505</v>
      </c>
      <c r="V77" s="11" t="n">
        <v>1083.346396</v>
      </c>
      <c r="W77" s="11"/>
      <c r="X77" s="11"/>
      <c r="Y77" s="11" t="n">
        <v>1018.346396</v>
      </c>
      <c r="Z77" s="11" t="s">
        <v>1084</v>
      </c>
      <c r="AA77" s="11" t="s">
        <v>1085</v>
      </c>
      <c r="AB77" s="11" t="s">
        <v>1472</v>
      </c>
      <c r="AC77" s="11" t="s">
        <v>1473</v>
      </c>
      <c r="AD77" s="11" t="n">
        <v>0.25532</v>
      </c>
      <c r="AE77" s="11" t="n">
        <v>1</v>
      </c>
      <c r="AF77" s="11" t="n">
        <v>436.43417</v>
      </c>
      <c r="AG77" s="11" t="n">
        <v>1454.780566</v>
      </c>
      <c r="AH77" s="11" t="n">
        <v>1083.346396</v>
      </c>
      <c r="AI77" s="11" t="s">
        <v>1089</v>
      </c>
      <c r="AJ77" s="11" t="s">
        <v>1486</v>
      </c>
      <c r="AK77" s="11" t="s">
        <v>1475</v>
      </c>
      <c r="AL77" s="12" t="s">
        <v>1476</v>
      </c>
      <c r="AM77" s="17" t="n">
        <f aca="false">IFERROR(O77/S77,"")</f>
        <v>0.255319722218505</v>
      </c>
      <c r="AN77" s="16" t="n">
        <f aca="false">IF(OR(S77="",O77=""),"", S77-O77)</f>
        <v>1083.346396</v>
      </c>
    </row>
    <row r="78" customFormat="false" ht="74.6" hidden="false" customHeight="false" outlineLevel="0" collapsed="false">
      <c r="A78" s="10" t="s">
        <v>1626</v>
      </c>
      <c r="B78" s="11" t="s">
        <v>191</v>
      </c>
      <c r="C78" s="11" t="s">
        <v>1468</v>
      </c>
      <c r="D78" s="11" t="s">
        <v>1469</v>
      </c>
      <c r="E78" s="11" t="s">
        <v>1081</v>
      </c>
      <c r="F78" s="11" t="s">
        <v>1470</v>
      </c>
      <c r="G78" s="11" t="s">
        <v>1627</v>
      </c>
      <c r="H78" s="11"/>
      <c r="I78" s="11"/>
      <c r="J78" s="11"/>
      <c r="K78" s="11"/>
      <c r="L78" s="11"/>
      <c r="M78" s="11"/>
      <c r="N78" s="11"/>
      <c r="O78" s="11" t="n">
        <v>357.352751</v>
      </c>
      <c r="P78" s="11" t="n">
        <v>0</v>
      </c>
      <c r="Q78" s="11"/>
      <c r="R78" s="11" t="n">
        <v>357.352751</v>
      </c>
      <c r="S78" s="11" t="n">
        <v>1191.175838</v>
      </c>
      <c r="T78" s="11" t="n">
        <v>0.3</v>
      </c>
      <c r="U78" s="11" t="n">
        <v>0.299999999664197</v>
      </c>
      <c r="V78" s="11" t="n">
        <v>833.823086</v>
      </c>
      <c r="W78" s="11"/>
      <c r="X78" s="11"/>
      <c r="Y78" s="11" t="n">
        <v>833.823086</v>
      </c>
      <c r="Z78" s="11" t="s">
        <v>1084</v>
      </c>
      <c r="AA78" s="11" t="s">
        <v>1085</v>
      </c>
      <c r="AB78" s="11" t="s">
        <v>1472</v>
      </c>
      <c r="AC78" s="11" t="s">
        <v>1473</v>
      </c>
      <c r="AD78" s="11" t="n">
        <v>0.3</v>
      </c>
      <c r="AE78" s="11" t="n">
        <v>1</v>
      </c>
      <c r="AF78" s="11" t="n">
        <v>357.352751</v>
      </c>
      <c r="AG78" s="11" t="n">
        <v>1191.175838</v>
      </c>
      <c r="AH78" s="11" t="n">
        <v>833.823086</v>
      </c>
      <c r="AI78" s="11" t="s">
        <v>1089</v>
      </c>
      <c r="AJ78" s="11" t="s">
        <v>1474</v>
      </c>
      <c r="AK78" s="11" t="s">
        <v>1475</v>
      </c>
      <c r="AL78" s="12" t="s">
        <v>1476</v>
      </c>
      <c r="AM78" s="17" t="n">
        <f aca="false">IFERROR(O78/S78,"")</f>
        <v>0.299999999664197</v>
      </c>
      <c r="AN78" s="16" t="n">
        <f aca="false">IF(OR(S78="",O78=""),"", S78-O78)</f>
        <v>833.823087</v>
      </c>
    </row>
    <row r="79" customFormat="false" ht="74.6" hidden="false" customHeight="false" outlineLevel="0" collapsed="false">
      <c r="A79" s="10" t="s">
        <v>1628</v>
      </c>
      <c r="B79" s="11" t="s">
        <v>191</v>
      </c>
      <c r="C79" s="11" t="s">
        <v>1478</v>
      </c>
      <c r="D79" s="11" t="s">
        <v>1469</v>
      </c>
      <c r="E79" s="11" t="s">
        <v>1081</v>
      </c>
      <c r="F79" s="11" t="s">
        <v>1470</v>
      </c>
      <c r="G79" s="11" t="s">
        <v>1629</v>
      </c>
      <c r="H79" s="11"/>
      <c r="I79" s="11"/>
      <c r="J79" s="11"/>
      <c r="K79" s="11"/>
      <c r="L79" s="11"/>
      <c r="M79" s="11"/>
      <c r="N79" s="11"/>
      <c r="O79" s="11" t="n">
        <v>357.352751</v>
      </c>
      <c r="P79" s="11" t="n">
        <v>0</v>
      </c>
      <c r="Q79" s="11"/>
      <c r="R79" s="11" t="n">
        <v>357.352751</v>
      </c>
      <c r="S79" s="11" t="n">
        <v>893.381878</v>
      </c>
      <c r="T79" s="11" t="n">
        <v>0.4</v>
      </c>
      <c r="U79" s="11" t="n">
        <v>0.399999999776132</v>
      </c>
      <c r="V79" s="11" t="n">
        <v>536.029127</v>
      </c>
      <c r="W79" s="11"/>
      <c r="X79" s="11"/>
      <c r="Y79" s="11" t="n">
        <v>536.029127</v>
      </c>
      <c r="Z79" s="11" t="s">
        <v>1084</v>
      </c>
      <c r="AA79" s="11" t="s">
        <v>1085</v>
      </c>
      <c r="AB79" s="11" t="s">
        <v>1472</v>
      </c>
      <c r="AC79" s="11" t="s">
        <v>1473</v>
      </c>
      <c r="AD79" s="11" t="n">
        <v>0.4</v>
      </c>
      <c r="AE79" s="11" t="n">
        <v>1</v>
      </c>
      <c r="AF79" s="11" t="n">
        <v>357.352751</v>
      </c>
      <c r="AG79" s="11" t="n">
        <v>893.381878</v>
      </c>
      <c r="AH79" s="11" t="n">
        <v>536.029127</v>
      </c>
      <c r="AI79" s="11" t="s">
        <v>1089</v>
      </c>
      <c r="AJ79" s="11" t="s">
        <v>1474</v>
      </c>
      <c r="AK79" s="11" t="s">
        <v>1475</v>
      </c>
      <c r="AL79" s="12" t="s">
        <v>1476</v>
      </c>
      <c r="AM79" s="17" t="n">
        <f aca="false">IFERROR(O79/S79,"")</f>
        <v>0.399999999776132</v>
      </c>
      <c r="AN79" s="16" t="n">
        <f aca="false">IF(OR(S79="",O79=""),"", S79-O79)</f>
        <v>536.029127</v>
      </c>
    </row>
    <row r="80" customFormat="false" ht="74.6" hidden="false" customHeight="false" outlineLevel="0" collapsed="false">
      <c r="A80" s="10" t="s">
        <v>1630</v>
      </c>
      <c r="B80" s="11" t="s">
        <v>191</v>
      </c>
      <c r="C80" s="11" t="s">
        <v>1481</v>
      </c>
      <c r="D80" s="11" t="s">
        <v>1469</v>
      </c>
      <c r="E80" s="11" t="s">
        <v>1081</v>
      </c>
      <c r="F80" s="11" t="s">
        <v>1470</v>
      </c>
      <c r="G80" s="11" t="s">
        <v>1631</v>
      </c>
      <c r="H80" s="11"/>
      <c r="I80" s="11"/>
      <c r="J80" s="11"/>
      <c r="K80" s="11"/>
      <c r="L80" s="11"/>
      <c r="M80" s="11"/>
      <c r="N80" s="11"/>
      <c r="O80" s="11" t="n">
        <v>357.352751</v>
      </c>
      <c r="P80" s="11" t="n">
        <v>0</v>
      </c>
      <c r="Q80" s="11"/>
      <c r="R80" s="11" t="n">
        <v>357.352751</v>
      </c>
      <c r="S80" s="11" t="n">
        <v>1191.175838</v>
      </c>
      <c r="T80" s="11" t="n">
        <v>0.3</v>
      </c>
      <c r="U80" s="11" t="n">
        <v>0.299999999664197</v>
      </c>
      <c r="V80" s="11" t="n">
        <v>833.823086</v>
      </c>
      <c r="W80" s="11"/>
      <c r="X80" s="11"/>
      <c r="Y80" s="11" t="n">
        <v>833.823086</v>
      </c>
      <c r="Z80" s="11" t="s">
        <v>1084</v>
      </c>
      <c r="AA80" s="11" t="s">
        <v>1085</v>
      </c>
      <c r="AB80" s="11" t="s">
        <v>1472</v>
      </c>
      <c r="AC80" s="11" t="s">
        <v>1473</v>
      </c>
      <c r="AD80" s="11" t="n">
        <v>0.3</v>
      </c>
      <c r="AE80" s="11" t="n">
        <v>1</v>
      </c>
      <c r="AF80" s="11" t="n">
        <v>357.352751</v>
      </c>
      <c r="AG80" s="11" t="n">
        <v>1191.175838</v>
      </c>
      <c r="AH80" s="11" t="n">
        <v>833.823086</v>
      </c>
      <c r="AI80" s="11" t="s">
        <v>1089</v>
      </c>
      <c r="AJ80" s="11" t="s">
        <v>1474</v>
      </c>
      <c r="AK80" s="11" t="s">
        <v>1475</v>
      </c>
      <c r="AL80" s="12" t="s">
        <v>1476</v>
      </c>
      <c r="AM80" s="17" t="n">
        <f aca="false">IFERROR(O80/S80,"")</f>
        <v>0.299999999664197</v>
      </c>
      <c r="AN80" s="16" t="n">
        <f aca="false">IF(OR(S80="",O80=""),"", S80-O80)</f>
        <v>833.823087</v>
      </c>
    </row>
    <row r="81" customFormat="false" ht="74.6" hidden="false" customHeight="false" outlineLevel="0" collapsed="false">
      <c r="A81" s="10" t="s">
        <v>1632</v>
      </c>
      <c r="B81" s="11" t="s">
        <v>191</v>
      </c>
      <c r="C81" s="11" t="s">
        <v>1484</v>
      </c>
      <c r="D81" s="11" t="s">
        <v>1469</v>
      </c>
      <c r="E81" s="11" t="s">
        <v>1081</v>
      </c>
      <c r="F81" s="11" t="s">
        <v>1470</v>
      </c>
      <c r="G81" s="11" t="s">
        <v>1633</v>
      </c>
      <c r="H81" s="11"/>
      <c r="I81" s="11"/>
      <c r="J81" s="11"/>
      <c r="K81" s="11"/>
      <c r="L81" s="11"/>
      <c r="M81" s="11"/>
      <c r="N81" s="11"/>
      <c r="O81" s="11" t="n">
        <v>357.352751</v>
      </c>
      <c r="P81" s="11" t="n">
        <v>65</v>
      </c>
      <c r="Q81" s="11"/>
      <c r="R81" s="11" t="n">
        <v>422.352751</v>
      </c>
      <c r="S81" s="11" t="n">
        <v>1407.842504</v>
      </c>
      <c r="T81" s="11" t="n">
        <v>0.3</v>
      </c>
      <c r="U81" s="11" t="n">
        <v>0.253830062655929</v>
      </c>
      <c r="V81" s="11" t="n">
        <v>1050.489753</v>
      </c>
      <c r="W81" s="11"/>
      <c r="X81" s="11"/>
      <c r="Y81" s="11" t="n">
        <v>985.489753</v>
      </c>
      <c r="Z81" s="11" t="s">
        <v>1084</v>
      </c>
      <c r="AA81" s="11" t="s">
        <v>1085</v>
      </c>
      <c r="AB81" s="11" t="s">
        <v>1472</v>
      </c>
      <c r="AC81" s="11" t="s">
        <v>1473</v>
      </c>
      <c r="AD81" s="11" t="n">
        <v>0.25383</v>
      </c>
      <c r="AE81" s="11" t="n">
        <v>1</v>
      </c>
      <c r="AF81" s="11" t="n">
        <v>422.352751</v>
      </c>
      <c r="AG81" s="11" t="n">
        <v>1407.842504</v>
      </c>
      <c r="AH81" s="11" t="n">
        <v>1050.489753</v>
      </c>
      <c r="AI81" s="11" t="s">
        <v>1089</v>
      </c>
      <c r="AJ81" s="11" t="s">
        <v>1486</v>
      </c>
      <c r="AK81" s="11" t="s">
        <v>1475</v>
      </c>
      <c r="AL81" s="12" t="s">
        <v>1476</v>
      </c>
      <c r="AM81" s="17" t="n">
        <f aca="false">IFERROR(O81/S81,"")</f>
        <v>0.253830062655929</v>
      </c>
      <c r="AN81" s="16" t="n">
        <f aca="false">IF(OR(S81="",O81=""),"", S81-O81)</f>
        <v>1050.489753</v>
      </c>
    </row>
    <row r="82" customFormat="false" ht="74.6" hidden="false" customHeight="false" outlineLevel="0" collapsed="false">
      <c r="A82" s="10" t="s">
        <v>1634</v>
      </c>
      <c r="B82" s="11" t="s">
        <v>197</v>
      </c>
      <c r="C82" s="11" t="s">
        <v>1468</v>
      </c>
      <c r="D82" s="11" t="s">
        <v>1469</v>
      </c>
      <c r="E82" s="11" t="s">
        <v>1081</v>
      </c>
      <c r="F82" s="11" t="s">
        <v>1470</v>
      </c>
      <c r="G82" s="11" t="s">
        <v>1635</v>
      </c>
      <c r="H82" s="11"/>
      <c r="I82" s="11"/>
      <c r="J82" s="11"/>
      <c r="K82" s="11"/>
      <c r="L82" s="11"/>
      <c r="M82" s="11"/>
      <c r="N82" s="11"/>
      <c r="O82" s="11" t="n">
        <v>230.361685</v>
      </c>
      <c r="P82" s="11" t="n">
        <v>0</v>
      </c>
      <c r="Q82" s="11"/>
      <c r="R82" s="11" t="n">
        <v>230.361685</v>
      </c>
      <c r="S82" s="11" t="n">
        <v>767.872285</v>
      </c>
      <c r="T82" s="11" t="n">
        <v>0.3</v>
      </c>
      <c r="U82" s="11" t="n">
        <v>0.29999999934885</v>
      </c>
      <c r="V82" s="11" t="n">
        <v>537.510599</v>
      </c>
      <c r="W82" s="11"/>
      <c r="X82" s="11"/>
      <c r="Y82" s="11" t="n">
        <v>537.510599</v>
      </c>
      <c r="Z82" s="11" t="s">
        <v>1084</v>
      </c>
      <c r="AA82" s="11" t="s">
        <v>1085</v>
      </c>
      <c r="AB82" s="11" t="s">
        <v>1472</v>
      </c>
      <c r="AC82" s="11" t="s">
        <v>1473</v>
      </c>
      <c r="AD82" s="11" t="n">
        <v>0.3</v>
      </c>
      <c r="AE82" s="11" t="n">
        <v>1</v>
      </c>
      <c r="AF82" s="11" t="n">
        <v>230.361685</v>
      </c>
      <c r="AG82" s="11" t="n">
        <v>767.872285</v>
      </c>
      <c r="AH82" s="11" t="n">
        <v>537.510599</v>
      </c>
      <c r="AI82" s="11" t="s">
        <v>1089</v>
      </c>
      <c r="AJ82" s="11" t="s">
        <v>1474</v>
      </c>
      <c r="AK82" s="11" t="s">
        <v>1475</v>
      </c>
      <c r="AL82" s="12" t="s">
        <v>1476</v>
      </c>
      <c r="AM82" s="17" t="n">
        <f aca="false">IFERROR(O82/S82,"")</f>
        <v>0.29999999934885</v>
      </c>
      <c r="AN82" s="16" t="n">
        <f aca="false">IF(OR(S82="",O82=""),"", S82-O82)</f>
        <v>537.5106</v>
      </c>
    </row>
    <row r="83" customFormat="false" ht="74.6" hidden="false" customHeight="false" outlineLevel="0" collapsed="false">
      <c r="A83" s="10" t="s">
        <v>1636</v>
      </c>
      <c r="B83" s="11" t="s">
        <v>197</v>
      </c>
      <c r="C83" s="11" t="s">
        <v>1478</v>
      </c>
      <c r="D83" s="11" t="s">
        <v>1469</v>
      </c>
      <c r="E83" s="11" t="s">
        <v>1081</v>
      </c>
      <c r="F83" s="11" t="s">
        <v>1470</v>
      </c>
      <c r="G83" s="11" t="s">
        <v>1637</v>
      </c>
      <c r="H83" s="11"/>
      <c r="I83" s="11"/>
      <c r="J83" s="11"/>
      <c r="K83" s="11"/>
      <c r="L83" s="11"/>
      <c r="M83" s="11"/>
      <c r="N83" s="11"/>
      <c r="O83" s="11" t="n">
        <v>230.361685</v>
      </c>
      <c r="P83" s="11" t="n">
        <v>0</v>
      </c>
      <c r="Q83" s="11"/>
      <c r="R83" s="11" t="n">
        <v>230.361685</v>
      </c>
      <c r="S83" s="11" t="n">
        <v>575.904214</v>
      </c>
      <c r="T83" s="11" t="n">
        <v>0.4</v>
      </c>
      <c r="U83" s="11" t="n">
        <v>0.39999999895816</v>
      </c>
      <c r="V83" s="11" t="n">
        <v>345.542528</v>
      </c>
      <c r="W83" s="11"/>
      <c r="X83" s="11"/>
      <c r="Y83" s="11" t="n">
        <v>345.542528</v>
      </c>
      <c r="Z83" s="11" t="s">
        <v>1084</v>
      </c>
      <c r="AA83" s="11" t="s">
        <v>1085</v>
      </c>
      <c r="AB83" s="11" t="s">
        <v>1472</v>
      </c>
      <c r="AC83" s="11" t="s">
        <v>1473</v>
      </c>
      <c r="AD83" s="11" t="n">
        <v>0.4</v>
      </c>
      <c r="AE83" s="11" t="n">
        <v>1</v>
      </c>
      <c r="AF83" s="11" t="n">
        <v>230.361685</v>
      </c>
      <c r="AG83" s="11" t="n">
        <v>575.904214</v>
      </c>
      <c r="AH83" s="11" t="n">
        <v>345.542528</v>
      </c>
      <c r="AI83" s="11" t="s">
        <v>1089</v>
      </c>
      <c r="AJ83" s="11" t="s">
        <v>1474</v>
      </c>
      <c r="AK83" s="11" t="s">
        <v>1475</v>
      </c>
      <c r="AL83" s="12" t="s">
        <v>1476</v>
      </c>
      <c r="AM83" s="17" t="n">
        <f aca="false">IFERROR(O83/S83,"")</f>
        <v>0.39999999895816</v>
      </c>
      <c r="AN83" s="16" t="n">
        <f aca="false">IF(OR(S83="",O83=""),"", S83-O83)</f>
        <v>345.542529</v>
      </c>
    </row>
    <row r="84" customFormat="false" ht="74.6" hidden="false" customHeight="false" outlineLevel="0" collapsed="false">
      <c r="A84" s="10" t="s">
        <v>1638</v>
      </c>
      <c r="B84" s="11" t="s">
        <v>197</v>
      </c>
      <c r="C84" s="11" t="s">
        <v>1481</v>
      </c>
      <c r="D84" s="11" t="s">
        <v>1469</v>
      </c>
      <c r="E84" s="11" t="s">
        <v>1081</v>
      </c>
      <c r="F84" s="11" t="s">
        <v>1470</v>
      </c>
      <c r="G84" s="11" t="s">
        <v>1639</v>
      </c>
      <c r="H84" s="11"/>
      <c r="I84" s="11"/>
      <c r="J84" s="11"/>
      <c r="K84" s="11"/>
      <c r="L84" s="11"/>
      <c r="M84" s="11"/>
      <c r="N84" s="11"/>
      <c r="O84" s="11" t="n">
        <v>230.361685</v>
      </c>
      <c r="P84" s="11" t="n">
        <v>0</v>
      </c>
      <c r="Q84" s="11"/>
      <c r="R84" s="11" t="n">
        <v>230.361685</v>
      </c>
      <c r="S84" s="11" t="n">
        <v>767.872285</v>
      </c>
      <c r="T84" s="11" t="n">
        <v>0.3</v>
      </c>
      <c r="U84" s="11" t="n">
        <v>0.29999999934885</v>
      </c>
      <c r="V84" s="11" t="n">
        <v>537.510599</v>
      </c>
      <c r="W84" s="11"/>
      <c r="X84" s="11"/>
      <c r="Y84" s="11" t="n">
        <v>537.510599</v>
      </c>
      <c r="Z84" s="11" t="s">
        <v>1084</v>
      </c>
      <c r="AA84" s="11" t="s">
        <v>1085</v>
      </c>
      <c r="AB84" s="11" t="s">
        <v>1472</v>
      </c>
      <c r="AC84" s="11" t="s">
        <v>1473</v>
      </c>
      <c r="AD84" s="11" t="n">
        <v>0.3</v>
      </c>
      <c r="AE84" s="11" t="n">
        <v>1</v>
      </c>
      <c r="AF84" s="11" t="n">
        <v>230.361685</v>
      </c>
      <c r="AG84" s="11" t="n">
        <v>767.872285</v>
      </c>
      <c r="AH84" s="11" t="n">
        <v>537.510599</v>
      </c>
      <c r="AI84" s="11" t="s">
        <v>1089</v>
      </c>
      <c r="AJ84" s="11" t="s">
        <v>1474</v>
      </c>
      <c r="AK84" s="11" t="s">
        <v>1475</v>
      </c>
      <c r="AL84" s="12" t="s">
        <v>1476</v>
      </c>
      <c r="AM84" s="17" t="n">
        <f aca="false">IFERROR(O84/S84,"")</f>
        <v>0.29999999934885</v>
      </c>
      <c r="AN84" s="16" t="n">
        <f aca="false">IF(OR(S84="",O84=""),"", S84-O84)</f>
        <v>537.5106</v>
      </c>
    </row>
    <row r="85" customFormat="false" ht="74.6" hidden="false" customHeight="false" outlineLevel="0" collapsed="false">
      <c r="A85" s="10" t="s">
        <v>1640</v>
      </c>
      <c r="B85" s="11" t="s">
        <v>197</v>
      </c>
      <c r="C85" s="11" t="s">
        <v>1484</v>
      </c>
      <c r="D85" s="11" t="s">
        <v>1469</v>
      </c>
      <c r="E85" s="11" t="s">
        <v>1081</v>
      </c>
      <c r="F85" s="11" t="s">
        <v>1470</v>
      </c>
      <c r="G85" s="11" t="s">
        <v>1641</v>
      </c>
      <c r="H85" s="11"/>
      <c r="I85" s="11"/>
      <c r="J85" s="11"/>
      <c r="K85" s="11"/>
      <c r="L85" s="11"/>
      <c r="M85" s="11"/>
      <c r="N85" s="11"/>
      <c r="O85" s="11" t="n">
        <v>230.361685</v>
      </c>
      <c r="P85" s="11" t="n">
        <v>65</v>
      </c>
      <c r="Q85" s="11"/>
      <c r="R85" s="11" t="n">
        <v>295.361685</v>
      </c>
      <c r="S85" s="11" t="n">
        <v>984.538952</v>
      </c>
      <c r="T85" s="11" t="n">
        <v>0.3</v>
      </c>
      <c r="U85" s="11" t="n">
        <v>0.233979249406071</v>
      </c>
      <c r="V85" s="11" t="n">
        <v>754.177266</v>
      </c>
      <c r="W85" s="11"/>
      <c r="X85" s="11"/>
      <c r="Y85" s="11" t="n">
        <v>689.177266</v>
      </c>
      <c r="Z85" s="11" t="s">
        <v>1084</v>
      </c>
      <c r="AA85" s="11" t="s">
        <v>1085</v>
      </c>
      <c r="AB85" s="11" t="s">
        <v>1472</v>
      </c>
      <c r="AC85" s="11" t="s">
        <v>1473</v>
      </c>
      <c r="AD85" s="11" t="n">
        <v>0.233979</v>
      </c>
      <c r="AE85" s="11" t="n">
        <v>1</v>
      </c>
      <c r="AF85" s="11" t="n">
        <v>295.361685</v>
      </c>
      <c r="AG85" s="11" t="n">
        <v>984.538952</v>
      </c>
      <c r="AH85" s="11" t="n">
        <v>754.177266</v>
      </c>
      <c r="AI85" s="11" t="s">
        <v>1089</v>
      </c>
      <c r="AJ85" s="11" t="s">
        <v>1486</v>
      </c>
      <c r="AK85" s="11" t="s">
        <v>1475</v>
      </c>
      <c r="AL85" s="12" t="s">
        <v>1476</v>
      </c>
      <c r="AM85" s="17" t="n">
        <f aca="false">IFERROR(O85/S85,"")</f>
        <v>0.233979249406071</v>
      </c>
      <c r="AN85" s="16" t="n">
        <f aca="false">IF(OR(S85="",O85=""),"", S85-O85)</f>
        <v>754.177267</v>
      </c>
    </row>
    <row r="86" customFormat="false" ht="74.6" hidden="false" customHeight="false" outlineLevel="0" collapsed="false">
      <c r="A86" s="10" t="s">
        <v>1642</v>
      </c>
      <c r="B86" s="11" t="s">
        <v>203</v>
      </c>
      <c r="C86" s="11" t="s">
        <v>1468</v>
      </c>
      <c r="D86" s="11" t="s">
        <v>1469</v>
      </c>
      <c r="E86" s="11" t="s">
        <v>1081</v>
      </c>
      <c r="F86" s="11" t="s">
        <v>1470</v>
      </c>
      <c r="G86" s="11" t="s">
        <v>1643</v>
      </c>
      <c r="H86" s="11"/>
      <c r="I86" s="11"/>
      <c r="J86" s="11"/>
      <c r="K86" s="11"/>
      <c r="L86" s="11"/>
      <c r="M86" s="11"/>
      <c r="N86" s="11"/>
      <c r="O86" s="11" t="n">
        <v>326.767996</v>
      </c>
      <c r="P86" s="11" t="n">
        <v>0</v>
      </c>
      <c r="Q86" s="11"/>
      <c r="R86" s="11" t="n">
        <v>326.767996</v>
      </c>
      <c r="S86" s="11" t="n">
        <v>1089.226653</v>
      </c>
      <c r="T86" s="11" t="n">
        <v>0.3</v>
      </c>
      <c r="U86" s="11" t="n">
        <v>0.300000000091808</v>
      </c>
      <c r="V86" s="11" t="n">
        <v>762.458657</v>
      </c>
      <c r="W86" s="11"/>
      <c r="X86" s="11"/>
      <c r="Y86" s="11" t="n">
        <v>762.458657</v>
      </c>
      <c r="Z86" s="11" t="s">
        <v>1084</v>
      </c>
      <c r="AA86" s="11" t="s">
        <v>1085</v>
      </c>
      <c r="AB86" s="11" t="s">
        <v>1472</v>
      </c>
      <c r="AC86" s="11" t="s">
        <v>1473</v>
      </c>
      <c r="AD86" s="11" t="n">
        <v>0.3</v>
      </c>
      <c r="AE86" s="11" t="n">
        <v>1</v>
      </c>
      <c r="AF86" s="11" t="n">
        <v>326.767996</v>
      </c>
      <c r="AG86" s="11" t="n">
        <v>1089.226653</v>
      </c>
      <c r="AH86" s="11" t="n">
        <v>762.458657</v>
      </c>
      <c r="AI86" s="11" t="s">
        <v>1089</v>
      </c>
      <c r="AJ86" s="11" t="s">
        <v>1474</v>
      </c>
      <c r="AK86" s="11" t="s">
        <v>1475</v>
      </c>
      <c r="AL86" s="12" t="s">
        <v>1476</v>
      </c>
      <c r="AM86" s="17" t="n">
        <f aca="false">IFERROR(O86/S86,"")</f>
        <v>0.300000000091808</v>
      </c>
      <c r="AN86" s="16" t="n">
        <f aca="false">IF(OR(S86="",O86=""),"", S86-O86)</f>
        <v>762.458657</v>
      </c>
    </row>
    <row r="87" customFormat="false" ht="74.6" hidden="false" customHeight="false" outlineLevel="0" collapsed="false">
      <c r="A87" s="10" t="s">
        <v>1644</v>
      </c>
      <c r="B87" s="11" t="s">
        <v>203</v>
      </c>
      <c r="C87" s="11" t="s">
        <v>1478</v>
      </c>
      <c r="D87" s="11" t="s">
        <v>1469</v>
      </c>
      <c r="E87" s="11" t="s">
        <v>1081</v>
      </c>
      <c r="F87" s="11" t="s">
        <v>1470</v>
      </c>
      <c r="G87" s="11" t="s">
        <v>1645</v>
      </c>
      <c r="H87" s="11"/>
      <c r="I87" s="11"/>
      <c r="J87" s="11"/>
      <c r="K87" s="11"/>
      <c r="L87" s="11"/>
      <c r="M87" s="11"/>
      <c r="N87" s="11"/>
      <c r="O87" s="11" t="n">
        <v>326.767996</v>
      </c>
      <c r="P87" s="11" t="n">
        <v>0</v>
      </c>
      <c r="Q87" s="11"/>
      <c r="R87" s="11" t="n">
        <v>326.767996</v>
      </c>
      <c r="S87" s="11" t="n">
        <v>816.91999</v>
      </c>
      <c r="T87" s="11" t="n">
        <v>0.4</v>
      </c>
      <c r="U87" s="11" t="n">
        <v>0.4</v>
      </c>
      <c r="V87" s="11" t="n">
        <v>490.151994</v>
      </c>
      <c r="W87" s="11"/>
      <c r="X87" s="11"/>
      <c r="Y87" s="11" t="n">
        <v>490.151994</v>
      </c>
      <c r="Z87" s="11" t="s">
        <v>1084</v>
      </c>
      <c r="AA87" s="11" t="s">
        <v>1085</v>
      </c>
      <c r="AB87" s="11" t="s">
        <v>1472</v>
      </c>
      <c r="AC87" s="11" t="s">
        <v>1473</v>
      </c>
      <c r="AD87" s="11" t="n">
        <v>0.4</v>
      </c>
      <c r="AE87" s="11" t="n">
        <v>1</v>
      </c>
      <c r="AF87" s="11" t="n">
        <v>326.767996</v>
      </c>
      <c r="AG87" s="11" t="n">
        <v>816.91999</v>
      </c>
      <c r="AH87" s="11" t="n">
        <v>490.151994</v>
      </c>
      <c r="AI87" s="11" t="s">
        <v>1089</v>
      </c>
      <c r="AJ87" s="11" t="s">
        <v>1474</v>
      </c>
      <c r="AK87" s="11" t="s">
        <v>1475</v>
      </c>
      <c r="AL87" s="12" t="s">
        <v>1476</v>
      </c>
      <c r="AM87" s="17" t="n">
        <f aca="false">IFERROR(O87/S87,"")</f>
        <v>0.4</v>
      </c>
      <c r="AN87" s="16" t="n">
        <f aca="false">IF(OR(S87="",O87=""),"", S87-O87)</f>
        <v>490.151994</v>
      </c>
    </row>
    <row r="88" customFormat="false" ht="74.6" hidden="false" customHeight="false" outlineLevel="0" collapsed="false">
      <c r="A88" s="10" t="s">
        <v>1646</v>
      </c>
      <c r="B88" s="11" t="s">
        <v>203</v>
      </c>
      <c r="C88" s="11" t="s">
        <v>1481</v>
      </c>
      <c r="D88" s="11" t="s">
        <v>1469</v>
      </c>
      <c r="E88" s="11" t="s">
        <v>1081</v>
      </c>
      <c r="F88" s="11" t="s">
        <v>1470</v>
      </c>
      <c r="G88" s="11" t="s">
        <v>1647</v>
      </c>
      <c r="H88" s="11"/>
      <c r="I88" s="11"/>
      <c r="J88" s="11"/>
      <c r="K88" s="11"/>
      <c r="L88" s="11"/>
      <c r="M88" s="11"/>
      <c r="N88" s="11"/>
      <c r="O88" s="11" t="n">
        <v>326.767996</v>
      </c>
      <c r="P88" s="11" t="n">
        <v>0</v>
      </c>
      <c r="Q88" s="11"/>
      <c r="R88" s="11" t="n">
        <v>326.767996</v>
      </c>
      <c r="S88" s="11" t="n">
        <v>1089.226653</v>
      </c>
      <c r="T88" s="11" t="n">
        <v>0.3</v>
      </c>
      <c r="U88" s="11" t="n">
        <v>0.300000000091808</v>
      </c>
      <c r="V88" s="11" t="n">
        <v>762.458657</v>
      </c>
      <c r="W88" s="11"/>
      <c r="X88" s="11"/>
      <c r="Y88" s="11" t="n">
        <v>762.458657</v>
      </c>
      <c r="Z88" s="11" t="s">
        <v>1084</v>
      </c>
      <c r="AA88" s="11" t="s">
        <v>1085</v>
      </c>
      <c r="AB88" s="11" t="s">
        <v>1472</v>
      </c>
      <c r="AC88" s="11" t="s">
        <v>1473</v>
      </c>
      <c r="AD88" s="11" t="n">
        <v>0.3</v>
      </c>
      <c r="AE88" s="11" t="n">
        <v>1</v>
      </c>
      <c r="AF88" s="11" t="n">
        <v>326.767996</v>
      </c>
      <c r="AG88" s="11" t="n">
        <v>1089.226653</v>
      </c>
      <c r="AH88" s="11" t="n">
        <v>762.458657</v>
      </c>
      <c r="AI88" s="11" t="s">
        <v>1089</v>
      </c>
      <c r="AJ88" s="11" t="s">
        <v>1474</v>
      </c>
      <c r="AK88" s="11" t="s">
        <v>1475</v>
      </c>
      <c r="AL88" s="12" t="s">
        <v>1476</v>
      </c>
      <c r="AM88" s="17" t="n">
        <f aca="false">IFERROR(O88/S88,"")</f>
        <v>0.300000000091808</v>
      </c>
      <c r="AN88" s="16" t="n">
        <f aca="false">IF(OR(S88="",O88=""),"", S88-O88)</f>
        <v>762.458657</v>
      </c>
    </row>
    <row r="89" customFormat="false" ht="74.6" hidden="false" customHeight="false" outlineLevel="0" collapsed="false">
      <c r="A89" s="10" t="s">
        <v>1648</v>
      </c>
      <c r="B89" s="11" t="s">
        <v>203</v>
      </c>
      <c r="C89" s="11" t="s">
        <v>1484</v>
      </c>
      <c r="D89" s="11" t="s">
        <v>1469</v>
      </c>
      <c r="E89" s="11" t="s">
        <v>1081</v>
      </c>
      <c r="F89" s="11" t="s">
        <v>1470</v>
      </c>
      <c r="G89" s="11" t="s">
        <v>1649</v>
      </c>
      <c r="H89" s="11"/>
      <c r="I89" s="11"/>
      <c r="J89" s="11"/>
      <c r="K89" s="11"/>
      <c r="L89" s="11"/>
      <c r="M89" s="11"/>
      <c r="N89" s="11"/>
      <c r="O89" s="11" t="n">
        <v>326.767996</v>
      </c>
      <c r="P89" s="11" t="n">
        <v>65</v>
      </c>
      <c r="Q89" s="11"/>
      <c r="R89" s="11" t="n">
        <v>391.767996</v>
      </c>
      <c r="S89" s="11" t="n">
        <v>1305.89332</v>
      </c>
      <c r="T89" s="11" t="n">
        <v>0.3</v>
      </c>
      <c r="U89" s="11" t="n">
        <v>0.250225643240138</v>
      </c>
      <c r="V89" s="11" t="n">
        <v>979.125324</v>
      </c>
      <c r="W89" s="11"/>
      <c r="X89" s="11"/>
      <c r="Y89" s="11" t="n">
        <v>914.125324</v>
      </c>
      <c r="Z89" s="11" t="s">
        <v>1084</v>
      </c>
      <c r="AA89" s="11" t="s">
        <v>1085</v>
      </c>
      <c r="AB89" s="11" t="s">
        <v>1472</v>
      </c>
      <c r="AC89" s="11" t="s">
        <v>1473</v>
      </c>
      <c r="AD89" s="11" t="n">
        <v>0.250226</v>
      </c>
      <c r="AE89" s="11" t="n">
        <v>1</v>
      </c>
      <c r="AF89" s="11" t="n">
        <v>391.767996</v>
      </c>
      <c r="AG89" s="11" t="n">
        <v>1305.89332</v>
      </c>
      <c r="AH89" s="11" t="n">
        <v>979.125324</v>
      </c>
      <c r="AI89" s="11" t="s">
        <v>1089</v>
      </c>
      <c r="AJ89" s="11" t="s">
        <v>1486</v>
      </c>
      <c r="AK89" s="11" t="s">
        <v>1475</v>
      </c>
      <c r="AL89" s="12" t="s">
        <v>1476</v>
      </c>
      <c r="AM89" s="17" t="n">
        <f aca="false">IFERROR(O89/S89,"")</f>
        <v>0.250225643240138</v>
      </c>
      <c r="AN89" s="16" t="n">
        <f aca="false">IF(OR(S89="",O89=""),"", S89-O89)</f>
        <v>979.125324</v>
      </c>
    </row>
    <row r="90" customFormat="false" ht="74.6" hidden="false" customHeight="false" outlineLevel="0" collapsed="false">
      <c r="A90" s="10" t="s">
        <v>1650</v>
      </c>
      <c r="B90" s="11" t="s">
        <v>209</v>
      </c>
      <c r="C90" s="11" t="s">
        <v>1468</v>
      </c>
      <c r="D90" s="11" t="s">
        <v>1469</v>
      </c>
      <c r="E90" s="11" t="s">
        <v>1081</v>
      </c>
      <c r="F90" s="11" t="s">
        <v>1470</v>
      </c>
      <c r="G90" s="11" t="s">
        <v>1651</v>
      </c>
      <c r="H90" s="11"/>
      <c r="I90" s="11"/>
      <c r="J90" s="11"/>
      <c r="K90" s="11"/>
      <c r="L90" s="11"/>
      <c r="M90" s="11"/>
      <c r="N90" s="11"/>
      <c r="O90" s="11" t="n">
        <v>19.947533</v>
      </c>
      <c r="P90" s="11" t="n">
        <v>0</v>
      </c>
      <c r="Q90" s="11"/>
      <c r="R90" s="11" t="n">
        <v>19.947533</v>
      </c>
      <c r="S90" s="11" t="n">
        <v>66.491776</v>
      </c>
      <c r="T90" s="11" t="n">
        <v>0.3</v>
      </c>
      <c r="U90" s="11" t="n">
        <v>0.300000003007891</v>
      </c>
      <c r="V90" s="11" t="n">
        <v>46.544243</v>
      </c>
      <c r="W90" s="11"/>
      <c r="X90" s="11"/>
      <c r="Y90" s="11" t="n">
        <v>46.544243</v>
      </c>
      <c r="Z90" s="11" t="s">
        <v>1084</v>
      </c>
      <c r="AA90" s="11" t="s">
        <v>1085</v>
      </c>
      <c r="AB90" s="11" t="s">
        <v>1472</v>
      </c>
      <c r="AC90" s="11" t="s">
        <v>1473</v>
      </c>
      <c r="AD90" s="11" t="n">
        <v>0.3</v>
      </c>
      <c r="AE90" s="11" t="n">
        <v>1</v>
      </c>
      <c r="AF90" s="11" t="n">
        <v>19.947533</v>
      </c>
      <c r="AG90" s="11" t="n">
        <v>66.491776</v>
      </c>
      <c r="AH90" s="11" t="n">
        <v>46.544243</v>
      </c>
      <c r="AI90" s="11" t="s">
        <v>1089</v>
      </c>
      <c r="AJ90" s="11" t="s">
        <v>1474</v>
      </c>
      <c r="AK90" s="11" t="s">
        <v>1475</v>
      </c>
      <c r="AL90" s="12" t="s">
        <v>1476</v>
      </c>
      <c r="AM90" s="17" t="n">
        <f aca="false">IFERROR(O90/S90,"")</f>
        <v>0.300000003007891</v>
      </c>
      <c r="AN90" s="16" t="n">
        <f aca="false">IF(OR(S90="",O90=""),"", S90-O90)</f>
        <v>46.544243</v>
      </c>
    </row>
    <row r="91" customFormat="false" ht="74.6" hidden="false" customHeight="false" outlineLevel="0" collapsed="false">
      <c r="A91" s="10" t="s">
        <v>1652</v>
      </c>
      <c r="B91" s="11" t="s">
        <v>209</v>
      </c>
      <c r="C91" s="11" t="s">
        <v>1478</v>
      </c>
      <c r="D91" s="11" t="s">
        <v>1469</v>
      </c>
      <c r="E91" s="11" t="s">
        <v>1081</v>
      </c>
      <c r="F91" s="11" t="s">
        <v>1470</v>
      </c>
      <c r="G91" s="11" t="s">
        <v>1653</v>
      </c>
      <c r="H91" s="11"/>
      <c r="I91" s="11"/>
      <c r="J91" s="11"/>
      <c r="K91" s="11"/>
      <c r="L91" s="11"/>
      <c r="M91" s="11"/>
      <c r="N91" s="11"/>
      <c r="O91" s="11" t="n">
        <v>19.947533</v>
      </c>
      <c r="P91" s="11" t="n">
        <v>0</v>
      </c>
      <c r="Q91" s="11"/>
      <c r="R91" s="11" t="n">
        <v>19.947533</v>
      </c>
      <c r="S91" s="11" t="n">
        <v>49.868832</v>
      </c>
      <c r="T91" s="11" t="n">
        <v>0.4</v>
      </c>
      <c r="U91" s="11" t="n">
        <v>0.400000004010521</v>
      </c>
      <c r="V91" s="11" t="n">
        <v>29.921299</v>
      </c>
      <c r="W91" s="11"/>
      <c r="X91" s="11"/>
      <c r="Y91" s="11" t="n">
        <v>29.921299</v>
      </c>
      <c r="Z91" s="11" t="s">
        <v>1084</v>
      </c>
      <c r="AA91" s="11" t="s">
        <v>1085</v>
      </c>
      <c r="AB91" s="11" t="s">
        <v>1472</v>
      </c>
      <c r="AC91" s="11" t="s">
        <v>1473</v>
      </c>
      <c r="AD91" s="11" t="n">
        <v>0.4</v>
      </c>
      <c r="AE91" s="11" t="n">
        <v>1</v>
      </c>
      <c r="AF91" s="11" t="n">
        <v>19.947533</v>
      </c>
      <c r="AG91" s="11" t="n">
        <v>49.868832</v>
      </c>
      <c r="AH91" s="11" t="n">
        <v>29.921299</v>
      </c>
      <c r="AI91" s="11" t="s">
        <v>1089</v>
      </c>
      <c r="AJ91" s="11" t="s">
        <v>1474</v>
      </c>
      <c r="AK91" s="11" t="s">
        <v>1475</v>
      </c>
      <c r="AL91" s="12" t="s">
        <v>1476</v>
      </c>
      <c r="AM91" s="17" t="n">
        <f aca="false">IFERROR(O91/S91,"")</f>
        <v>0.400000004010521</v>
      </c>
      <c r="AN91" s="16" t="n">
        <f aca="false">IF(OR(S91="",O91=""),"", S91-O91)</f>
        <v>29.921299</v>
      </c>
    </row>
    <row r="92" customFormat="false" ht="74.6" hidden="false" customHeight="false" outlineLevel="0" collapsed="false">
      <c r="A92" s="10" t="s">
        <v>1654</v>
      </c>
      <c r="B92" s="11" t="s">
        <v>209</v>
      </c>
      <c r="C92" s="11" t="s">
        <v>1481</v>
      </c>
      <c r="D92" s="11" t="s">
        <v>1469</v>
      </c>
      <c r="E92" s="11" t="s">
        <v>1081</v>
      </c>
      <c r="F92" s="11" t="s">
        <v>1470</v>
      </c>
      <c r="G92" s="11" t="s">
        <v>1655</v>
      </c>
      <c r="H92" s="11"/>
      <c r="I92" s="11"/>
      <c r="J92" s="11"/>
      <c r="K92" s="11"/>
      <c r="L92" s="11"/>
      <c r="M92" s="11"/>
      <c r="N92" s="11"/>
      <c r="O92" s="11" t="n">
        <v>19.947533</v>
      </c>
      <c r="P92" s="11" t="n">
        <v>0</v>
      </c>
      <c r="Q92" s="11"/>
      <c r="R92" s="11" t="n">
        <v>19.947533</v>
      </c>
      <c r="S92" s="11" t="n">
        <v>66.491776</v>
      </c>
      <c r="T92" s="11" t="n">
        <v>0.3</v>
      </c>
      <c r="U92" s="11" t="n">
        <v>0.300000003007891</v>
      </c>
      <c r="V92" s="11" t="n">
        <v>46.544243</v>
      </c>
      <c r="W92" s="11"/>
      <c r="X92" s="11"/>
      <c r="Y92" s="11" t="n">
        <v>46.544243</v>
      </c>
      <c r="Z92" s="11" t="s">
        <v>1084</v>
      </c>
      <c r="AA92" s="11" t="s">
        <v>1085</v>
      </c>
      <c r="AB92" s="11" t="s">
        <v>1472</v>
      </c>
      <c r="AC92" s="11" t="s">
        <v>1473</v>
      </c>
      <c r="AD92" s="11" t="n">
        <v>0.3</v>
      </c>
      <c r="AE92" s="11" t="n">
        <v>1</v>
      </c>
      <c r="AF92" s="11" t="n">
        <v>19.947533</v>
      </c>
      <c r="AG92" s="11" t="n">
        <v>66.491776</v>
      </c>
      <c r="AH92" s="11" t="n">
        <v>46.544243</v>
      </c>
      <c r="AI92" s="11" t="s">
        <v>1089</v>
      </c>
      <c r="AJ92" s="11" t="s">
        <v>1474</v>
      </c>
      <c r="AK92" s="11" t="s">
        <v>1475</v>
      </c>
      <c r="AL92" s="12" t="s">
        <v>1476</v>
      </c>
      <c r="AM92" s="17" t="n">
        <f aca="false">IFERROR(O92/S92,"")</f>
        <v>0.300000003007891</v>
      </c>
      <c r="AN92" s="16" t="n">
        <f aca="false">IF(OR(S92="",O92=""),"", S92-O92)</f>
        <v>46.544243</v>
      </c>
    </row>
    <row r="93" customFormat="false" ht="74.6" hidden="false" customHeight="false" outlineLevel="0" collapsed="false">
      <c r="A93" s="10" t="s">
        <v>1656</v>
      </c>
      <c r="B93" s="11" t="s">
        <v>216</v>
      </c>
      <c r="C93" s="11" t="s">
        <v>1468</v>
      </c>
      <c r="D93" s="11" t="s">
        <v>1469</v>
      </c>
      <c r="E93" s="11" t="s">
        <v>1081</v>
      </c>
      <c r="F93" s="11" t="s">
        <v>1470</v>
      </c>
      <c r="G93" s="11" t="s">
        <v>1657</v>
      </c>
      <c r="H93" s="11"/>
      <c r="I93" s="11"/>
      <c r="J93" s="11"/>
      <c r="K93" s="11"/>
      <c r="L93" s="11"/>
      <c r="M93" s="11"/>
      <c r="N93" s="11"/>
      <c r="O93" s="11" t="n">
        <v>24.566642</v>
      </c>
      <c r="P93" s="11" t="n">
        <v>0</v>
      </c>
      <c r="Q93" s="11"/>
      <c r="R93" s="11" t="n">
        <v>24.566642</v>
      </c>
      <c r="S93" s="11" t="n">
        <v>81.888808</v>
      </c>
      <c r="T93" s="11" t="n">
        <v>0.3</v>
      </c>
      <c r="U93" s="11" t="n">
        <v>0.299999995115328</v>
      </c>
      <c r="V93" s="11" t="n">
        <v>57.322166</v>
      </c>
      <c r="W93" s="11"/>
      <c r="X93" s="11"/>
      <c r="Y93" s="11" t="n">
        <v>57.322166</v>
      </c>
      <c r="Z93" s="11" t="s">
        <v>1084</v>
      </c>
      <c r="AA93" s="11" t="s">
        <v>1085</v>
      </c>
      <c r="AB93" s="11" t="s">
        <v>1472</v>
      </c>
      <c r="AC93" s="11" t="s">
        <v>1473</v>
      </c>
      <c r="AD93" s="11" t="n">
        <v>0.3</v>
      </c>
      <c r="AE93" s="11" t="n">
        <v>1</v>
      </c>
      <c r="AF93" s="11" t="n">
        <v>24.566642</v>
      </c>
      <c r="AG93" s="11" t="n">
        <v>81.888808</v>
      </c>
      <c r="AH93" s="11" t="n">
        <v>57.322166</v>
      </c>
      <c r="AI93" s="11" t="s">
        <v>1089</v>
      </c>
      <c r="AJ93" s="11" t="s">
        <v>1474</v>
      </c>
      <c r="AK93" s="11" t="s">
        <v>1475</v>
      </c>
      <c r="AL93" s="12" t="s">
        <v>1476</v>
      </c>
      <c r="AM93" s="17" t="n">
        <f aca="false">IFERROR(O93/S93,"")</f>
        <v>0.299999995115328</v>
      </c>
      <c r="AN93" s="16" t="n">
        <f aca="false">IF(OR(S93="",O93=""),"", S93-O93)</f>
        <v>57.322166</v>
      </c>
    </row>
    <row r="94" customFormat="false" ht="74.6" hidden="false" customHeight="false" outlineLevel="0" collapsed="false">
      <c r="A94" s="10" t="s">
        <v>1658</v>
      </c>
      <c r="B94" s="11" t="s">
        <v>216</v>
      </c>
      <c r="C94" s="11" t="s">
        <v>1478</v>
      </c>
      <c r="D94" s="11" t="s">
        <v>1469</v>
      </c>
      <c r="E94" s="11" t="s">
        <v>1081</v>
      </c>
      <c r="F94" s="11" t="s">
        <v>1470</v>
      </c>
      <c r="G94" s="11" t="s">
        <v>1659</v>
      </c>
      <c r="H94" s="11"/>
      <c r="I94" s="11"/>
      <c r="J94" s="11"/>
      <c r="K94" s="11"/>
      <c r="L94" s="11"/>
      <c r="M94" s="11"/>
      <c r="N94" s="11"/>
      <c r="O94" s="11" t="n">
        <v>24.566642</v>
      </c>
      <c r="P94" s="11" t="n">
        <v>0</v>
      </c>
      <c r="Q94" s="11"/>
      <c r="R94" s="11" t="n">
        <v>24.566642</v>
      </c>
      <c r="S94" s="11" t="n">
        <v>61.416606</v>
      </c>
      <c r="T94" s="11" t="n">
        <v>0.4</v>
      </c>
      <c r="U94" s="11" t="n">
        <v>0.399999993487103</v>
      </c>
      <c r="V94" s="11" t="n">
        <v>36.849964</v>
      </c>
      <c r="W94" s="11"/>
      <c r="X94" s="11"/>
      <c r="Y94" s="11" t="n">
        <v>36.849964</v>
      </c>
      <c r="Z94" s="11" t="s">
        <v>1084</v>
      </c>
      <c r="AA94" s="11" t="s">
        <v>1085</v>
      </c>
      <c r="AB94" s="11" t="s">
        <v>1472</v>
      </c>
      <c r="AC94" s="11" t="s">
        <v>1473</v>
      </c>
      <c r="AD94" s="11" t="n">
        <v>0.4</v>
      </c>
      <c r="AE94" s="11" t="n">
        <v>1</v>
      </c>
      <c r="AF94" s="11" t="n">
        <v>24.566642</v>
      </c>
      <c r="AG94" s="11" t="n">
        <v>61.416606</v>
      </c>
      <c r="AH94" s="11" t="n">
        <v>36.849964</v>
      </c>
      <c r="AI94" s="11" t="s">
        <v>1089</v>
      </c>
      <c r="AJ94" s="11" t="s">
        <v>1474</v>
      </c>
      <c r="AK94" s="11" t="s">
        <v>1475</v>
      </c>
      <c r="AL94" s="12" t="s">
        <v>1476</v>
      </c>
      <c r="AM94" s="17" t="n">
        <f aca="false">IFERROR(O94/S94,"")</f>
        <v>0.399999993487103</v>
      </c>
      <c r="AN94" s="16" t="n">
        <f aca="false">IF(OR(S94="",O94=""),"", S94-O94)</f>
        <v>36.849964</v>
      </c>
    </row>
    <row r="95" customFormat="false" ht="74.6" hidden="false" customHeight="false" outlineLevel="0" collapsed="false">
      <c r="A95" s="10" t="s">
        <v>1660</v>
      </c>
      <c r="B95" s="11" t="s">
        <v>216</v>
      </c>
      <c r="C95" s="11" t="s">
        <v>1481</v>
      </c>
      <c r="D95" s="11" t="s">
        <v>1469</v>
      </c>
      <c r="E95" s="11" t="s">
        <v>1081</v>
      </c>
      <c r="F95" s="11" t="s">
        <v>1470</v>
      </c>
      <c r="G95" s="11" t="s">
        <v>1661</v>
      </c>
      <c r="H95" s="11"/>
      <c r="I95" s="11"/>
      <c r="J95" s="11"/>
      <c r="K95" s="11"/>
      <c r="L95" s="11"/>
      <c r="M95" s="11"/>
      <c r="N95" s="11"/>
      <c r="O95" s="11" t="n">
        <v>24.566642</v>
      </c>
      <c r="P95" s="11" t="n">
        <v>0</v>
      </c>
      <c r="Q95" s="11"/>
      <c r="R95" s="11" t="n">
        <v>24.566642</v>
      </c>
      <c r="S95" s="11" t="n">
        <v>81.888808</v>
      </c>
      <c r="T95" s="11" t="n">
        <v>0.3</v>
      </c>
      <c r="U95" s="11" t="n">
        <v>0.299999995115328</v>
      </c>
      <c r="V95" s="11" t="n">
        <v>57.322166</v>
      </c>
      <c r="W95" s="11"/>
      <c r="X95" s="11"/>
      <c r="Y95" s="11" t="n">
        <v>57.322166</v>
      </c>
      <c r="Z95" s="11" t="s">
        <v>1084</v>
      </c>
      <c r="AA95" s="11" t="s">
        <v>1085</v>
      </c>
      <c r="AB95" s="11" t="s">
        <v>1472</v>
      </c>
      <c r="AC95" s="11" t="s">
        <v>1473</v>
      </c>
      <c r="AD95" s="11" t="n">
        <v>0.3</v>
      </c>
      <c r="AE95" s="11" t="n">
        <v>1</v>
      </c>
      <c r="AF95" s="11" t="n">
        <v>24.566642</v>
      </c>
      <c r="AG95" s="11" t="n">
        <v>81.888808</v>
      </c>
      <c r="AH95" s="11" t="n">
        <v>57.322166</v>
      </c>
      <c r="AI95" s="11" t="s">
        <v>1089</v>
      </c>
      <c r="AJ95" s="11" t="s">
        <v>1474</v>
      </c>
      <c r="AK95" s="11" t="s">
        <v>1475</v>
      </c>
      <c r="AL95" s="12" t="s">
        <v>1476</v>
      </c>
      <c r="AM95" s="17" t="n">
        <f aca="false">IFERROR(O95/S95,"")</f>
        <v>0.299999995115328</v>
      </c>
      <c r="AN95" s="16" t="n">
        <f aca="false">IF(OR(S95="",O95=""),"", S95-O95)</f>
        <v>57.322166</v>
      </c>
    </row>
    <row r="96" customFormat="false" ht="74.6" hidden="false" customHeight="false" outlineLevel="0" collapsed="false">
      <c r="A96" s="10" t="s">
        <v>1662</v>
      </c>
      <c r="B96" s="11" t="s">
        <v>221</v>
      </c>
      <c r="C96" s="11" t="s">
        <v>1468</v>
      </c>
      <c r="D96" s="11" t="s">
        <v>1469</v>
      </c>
      <c r="E96" s="11" t="s">
        <v>1081</v>
      </c>
      <c r="F96" s="11" t="s">
        <v>1470</v>
      </c>
      <c r="G96" s="11" t="s">
        <v>1663</v>
      </c>
      <c r="H96" s="11"/>
      <c r="I96" s="11"/>
      <c r="J96" s="11"/>
      <c r="K96" s="11"/>
      <c r="L96" s="11"/>
      <c r="M96" s="11"/>
      <c r="N96" s="11"/>
      <c r="O96" s="11" t="n">
        <v>48.880659</v>
      </c>
      <c r="P96" s="11" t="n">
        <v>0</v>
      </c>
      <c r="Q96" s="11"/>
      <c r="R96" s="11" t="n">
        <v>48.880659</v>
      </c>
      <c r="S96" s="11" t="n">
        <v>162.93553</v>
      </c>
      <c r="T96" s="11" t="n">
        <v>0.3</v>
      </c>
      <c r="U96" s="11" t="n">
        <v>0.3</v>
      </c>
      <c r="V96" s="11" t="n">
        <v>114.054871</v>
      </c>
      <c r="W96" s="11"/>
      <c r="X96" s="11"/>
      <c r="Y96" s="11" t="n">
        <v>114.054871</v>
      </c>
      <c r="Z96" s="11" t="s">
        <v>1084</v>
      </c>
      <c r="AA96" s="11" t="s">
        <v>1085</v>
      </c>
      <c r="AB96" s="11" t="s">
        <v>1472</v>
      </c>
      <c r="AC96" s="11" t="s">
        <v>1473</v>
      </c>
      <c r="AD96" s="11" t="n">
        <v>0.3</v>
      </c>
      <c r="AE96" s="11" t="n">
        <v>1</v>
      </c>
      <c r="AF96" s="11" t="n">
        <v>48.880659</v>
      </c>
      <c r="AG96" s="11" t="n">
        <v>162.93553</v>
      </c>
      <c r="AH96" s="11" t="n">
        <v>114.054871</v>
      </c>
      <c r="AI96" s="11" t="s">
        <v>1089</v>
      </c>
      <c r="AJ96" s="11" t="s">
        <v>1474</v>
      </c>
      <c r="AK96" s="11" t="s">
        <v>1475</v>
      </c>
      <c r="AL96" s="12" t="s">
        <v>1476</v>
      </c>
      <c r="AM96" s="17" t="n">
        <f aca="false">IFERROR(O96/S96,"")</f>
        <v>0.3</v>
      </c>
      <c r="AN96" s="16" t="n">
        <f aca="false">IF(OR(S96="",O96=""),"", S96-O96)</f>
        <v>114.054871</v>
      </c>
    </row>
    <row r="97" customFormat="false" ht="74.6" hidden="false" customHeight="false" outlineLevel="0" collapsed="false">
      <c r="A97" s="10" t="s">
        <v>1664</v>
      </c>
      <c r="B97" s="11" t="s">
        <v>221</v>
      </c>
      <c r="C97" s="11" t="s">
        <v>1478</v>
      </c>
      <c r="D97" s="11" t="s">
        <v>1469</v>
      </c>
      <c r="E97" s="11" t="s">
        <v>1081</v>
      </c>
      <c r="F97" s="11" t="s">
        <v>1470</v>
      </c>
      <c r="G97" s="11" t="s">
        <v>1665</v>
      </c>
      <c r="H97" s="11"/>
      <c r="I97" s="11"/>
      <c r="J97" s="11"/>
      <c r="K97" s="11"/>
      <c r="L97" s="11"/>
      <c r="M97" s="11"/>
      <c r="N97" s="11"/>
      <c r="O97" s="11" t="n">
        <v>48.880659</v>
      </c>
      <c r="P97" s="11" t="n">
        <v>0</v>
      </c>
      <c r="Q97" s="11"/>
      <c r="R97" s="11" t="n">
        <v>48.880659</v>
      </c>
      <c r="S97" s="11" t="n">
        <v>122.201648</v>
      </c>
      <c r="T97" s="11" t="n">
        <v>0.4</v>
      </c>
      <c r="U97" s="11" t="n">
        <v>0.399999998363361</v>
      </c>
      <c r="V97" s="11" t="n">
        <v>73.320989</v>
      </c>
      <c r="W97" s="11"/>
      <c r="X97" s="11"/>
      <c r="Y97" s="11" t="n">
        <v>73.320989</v>
      </c>
      <c r="Z97" s="11" t="s">
        <v>1084</v>
      </c>
      <c r="AA97" s="11" t="s">
        <v>1085</v>
      </c>
      <c r="AB97" s="11" t="s">
        <v>1472</v>
      </c>
      <c r="AC97" s="11" t="s">
        <v>1473</v>
      </c>
      <c r="AD97" s="11" t="n">
        <v>0.4</v>
      </c>
      <c r="AE97" s="11" t="n">
        <v>1</v>
      </c>
      <c r="AF97" s="11" t="n">
        <v>48.880659</v>
      </c>
      <c r="AG97" s="11" t="n">
        <v>122.201648</v>
      </c>
      <c r="AH97" s="11" t="n">
        <v>73.320989</v>
      </c>
      <c r="AI97" s="11" t="s">
        <v>1089</v>
      </c>
      <c r="AJ97" s="11" t="s">
        <v>1474</v>
      </c>
      <c r="AK97" s="11" t="s">
        <v>1475</v>
      </c>
      <c r="AL97" s="12" t="s">
        <v>1476</v>
      </c>
      <c r="AM97" s="17" t="n">
        <f aca="false">IFERROR(O97/S97,"")</f>
        <v>0.399999998363361</v>
      </c>
      <c r="AN97" s="16" t="n">
        <f aca="false">IF(OR(S97="",O97=""),"", S97-O97)</f>
        <v>73.320989</v>
      </c>
    </row>
    <row r="98" customFormat="false" ht="74.6" hidden="false" customHeight="false" outlineLevel="0" collapsed="false">
      <c r="A98" s="10" t="s">
        <v>1666</v>
      </c>
      <c r="B98" s="11" t="s">
        <v>221</v>
      </c>
      <c r="C98" s="11" t="s">
        <v>1481</v>
      </c>
      <c r="D98" s="11" t="s">
        <v>1469</v>
      </c>
      <c r="E98" s="11" t="s">
        <v>1081</v>
      </c>
      <c r="F98" s="11" t="s">
        <v>1470</v>
      </c>
      <c r="G98" s="11" t="s">
        <v>1667</v>
      </c>
      <c r="H98" s="11"/>
      <c r="I98" s="11"/>
      <c r="J98" s="11"/>
      <c r="K98" s="11"/>
      <c r="L98" s="11"/>
      <c r="M98" s="11"/>
      <c r="N98" s="11"/>
      <c r="O98" s="11" t="n">
        <v>48.880659</v>
      </c>
      <c r="P98" s="11" t="n">
        <v>0</v>
      </c>
      <c r="Q98" s="11"/>
      <c r="R98" s="11" t="n">
        <v>48.880659</v>
      </c>
      <c r="S98" s="11" t="n">
        <v>162.93553</v>
      </c>
      <c r="T98" s="11" t="n">
        <v>0.3</v>
      </c>
      <c r="U98" s="11" t="n">
        <v>0.3</v>
      </c>
      <c r="V98" s="11" t="n">
        <v>114.054871</v>
      </c>
      <c r="W98" s="11"/>
      <c r="X98" s="11"/>
      <c r="Y98" s="11" t="n">
        <v>114.054871</v>
      </c>
      <c r="Z98" s="11" t="s">
        <v>1084</v>
      </c>
      <c r="AA98" s="11" t="s">
        <v>1085</v>
      </c>
      <c r="AB98" s="11" t="s">
        <v>1472</v>
      </c>
      <c r="AC98" s="11" t="s">
        <v>1473</v>
      </c>
      <c r="AD98" s="11" t="n">
        <v>0.3</v>
      </c>
      <c r="AE98" s="11" t="n">
        <v>1</v>
      </c>
      <c r="AF98" s="11" t="n">
        <v>48.880659</v>
      </c>
      <c r="AG98" s="11" t="n">
        <v>162.93553</v>
      </c>
      <c r="AH98" s="11" t="n">
        <v>114.054871</v>
      </c>
      <c r="AI98" s="11" t="s">
        <v>1089</v>
      </c>
      <c r="AJ98" s="11" t="s">
        <v>1474</v>
      </c>
      <c r="AK98" s="11" t="s">
        <v>1475</v>
      </c>
      <c r="AL98" s="12" t="s">
        <v>1476</v>
      </c>
      <c r="AM98" s="17" t="n">
        <f aca="false">IFERROR(O98/S98,"")</f>
        <v>0.3</v>
      </c>
      <c r="AN98" s="16" t="n">
        <f aca="false">IF(OR(S98="",O98=""),"", S98-O98)</f>
        <v>114.054871</v>
      </c>
    </row>
    <row r="99" customFormat="false" ht="74.6" hidden="false" customHeight="false" outlineLevel="0" collapsed="false">
      <c r="A99" s="10" t="s">
        <v>1668</v>
      </c>
      <c r="B99" s="11" t="s">
        <v>252</v>
      </c>
      <c r="C99" s="11" t="s">
        <v>1468</v>
      </c>
      <c r="D99" s="11" t="s">
        <v>1469</v>
      </c>
      <c r="E99" s="11" t="s">
        <v>1081</v>
      </c>
      <c r="F99" s="11" t="s">
        <v>1470</v>
      </c>
      <c r="G99" s="11" t="s">
        <v>1669</v>
      </c>
      <c r="H99" s="11"/>
      <c r="I99" s="11"/>
      <c r="J99" s="11"/>
      <c r="K99" s="11"/>
      <c r="L99" s="11"/>
      <c r="M99" s="11"/>
      <c r="N99" s="11"/>
      <c r="O99" s="11" t="n">
        <v>909.676493</v>
      </c>
      <c r="P99" s="11" t="n">
        <v>0</v>
      </c>
      <c r="Q99" s="11"/>
      <c r="R99" s="11" t="n">
        <v>909.676493</v>
      </c>
      <c r="S99" s="11" t="n">
        <v>3032.254977</v>
      </c>
      <c r="T99" s="11" t="n">
        <v>0.3</v>
      </c>
      <c r="U99" s="11" t="n">
        <v>0.299999999967021</v>
      </c>
      <c r="V99" s="11" t="n">
        <v>2122.578484</v>
      </c>
      <c r="W99" s="11"/>
      <c r="X99" s="11"/>
      <c r="Y99" s="11" t="n">
        <v>2122.578484</v>
      </c>
      <c r="Z99" s="11" t="s">
        <v>1084</v>
      </c>
      <c r="AA99" s="11" t="s">
        <v>1085</v>
      </c>
      <c r="AB99" s="11" t="s">
        <v>1472</v>
      </c>
      <c r="AC99" s="11" t="s">
        <v>1473</v>
      </c>
      <c r="AD99" s="11" t="n">
        <v>0.3</v>
      </c>
      <c r="AE99" s="11" t="n">
        <v>12</v>
      </c>
      <c r="AF99" s="11" t="n">
        <v>75.8063744166667</v>
      </c>
      <c r="AG99" s="11" t="n">
        <v>252.68791475</v>
      </c>
      <c r="AH99" s="11" t="n">
        <v>176.881540333333</v>
      </c>
      <c r="AI99" s="11" t="s">
        <v>1133</v>
      </c>
      <c r="AJ99" s="11" t="s">
        <v>1474</v>
      </c>
      <c r="AK99" s="11" t="s">
        <v>1475</v>
      </c>
      <c r="AL99" s="12" t="s">
        <v>1476</v>
      </c>
      <c r="AM99" s="17" t="n">
        <f aca="false">IFERROR(O99/S99,"")</f>
        <v>0.299999999967021</v>
      </c>
      <c r="AN99" s="16" t="n">
        <f aca="false">IF(OR(S99="",O99=""),"", S99-O99)</f>
        <v>2122.578484</v>
      </c>
    </row>
    <row r="100" customFormat="false" ht="74.6" hidden="false" customHeight="false" outlineLevel="0" collapsed="false">
      <c r="A100" s="10" t="s">
        <v>1670</v>
      </c>
      <c r="B100" s="11" t="s">
        <v>252</v>
      </c>
      <c r="C100" s="11" t="s">
        <v>1520</v>
      </c>
      <c r="D100" s="11" t="s">
        <v>1469</v>
      </c>
      <c r="E100" s="11" t="s">
        <v>1081</v>
      </c>
      <c r="F100" s="11" t="s">
        <v>1470</v>
      </c>
      <c r="G100" s="11" t="s">
        <v>1671</v>
      </c>
      <c r="H100" s="11"/>
      <c r="I100" s="11"/>
      <c r="J100" s="11"/>
      <c r="K100" s="11"/>
      <c r="L100" s="11"/>
      <c r="M100" s="11"/>
      <c r="N100" s="11"/>
      <c r="O100" s="11" t="n">
        <v>909.676493</v>
      </c>
      <c r="P100" s="11" t="n">
        <v>40</v>
      </c>
      <c r="Q100" s="11"/>
      <c r="R100" s="11" t="n">
        <v>949.676493</v>
      </c>
      <c r="S100" s="11" t="n">
        <v>2215.914033</v>
      </c>
      <c r="T100" s="11" t="n">
        <v>0.428571</v>
      </c>
      <c r="U100" s="11" t="n">
        <v>0.410519758191359</v>
      </c>
      <c r="V100" s="11" t="n">
        <v>1306.23754</v>
      </c>
      <c r="W100" s="11"/>
      <c r="X100" s="11"/>
      <c r="Y100" s="11" t="n">
        <v>1266.23754</v>
      </c>
      <c r="Z100" s="11" t="s">
        <v>1084</v>
      </c>
      <c r="AA100" s="11" t="s">
        <v>1085</v>
      </c>
      <c r="AB100" s="11" t="s">
        <v>1472</v>
      </c>
      <c r="AC100" s="11" t="s">
        <v>1473</v>
      </c>
      <c r="AD100" s="11" t="n">
        <v>0.41052</v>
      </c>
      <c r="AE100" s="11" t="n">
        <v>12</v>
      </c>
      <c r="AF100" s="11" t="n">
        <v>79.13970775</v>
      </c>
      <c r="AG100" s="11" t="n">
        <v>184.65950275</v>
      </c>
      <c r="AH100" s="11" t="n">
        <v>108.853128333333</v>
      </c>
      <c r="AI100" s="11" t="s">
        <v>1133</v>
      </c>
      <c r="AJ100" s="11" t="s">
        <v>1486</v>
      </c>
      <c r="AK100" s="11" t="s">
        <v>1475</v>
      </c>
      <c r="AL100" s="12" t="s">
        <v>1476</v>
      </c>
      <c r="AM100" s="17" t="n">
        <f aca="false">IFERROR(O100/S100,"")</f>
        <v>0.410519758191359</v>
      </c>
      <c r="AN100" s="16" t="n">
        <f aca="false">IF(OR(S100="",O100=""),"", S100-O100)</f>
        <v>1306.23754</v>
      </c>
    </row>
    <row r="101" customFormat="false" ht="74.6" hidden="false" customHeight="false" outlineLevel="0" collapsed="false">
      <c r="A101" s="10" t="s">
        <v>1672</v>
      </c>
      <c r="B101" s="11" t="s">
        <v>261</v>
      </c>
      <c r="C101" s="11" t="s">
        <v>1468</v>
      </c>
      <c r="D101" s="11" t="s">
        <v>1469</v>
      </c>
      <c r="E101" s="11" t="s">
        <v>1081</v>
      </c>
      <c r="F101" s="11" t="s">
        <v>1470</v>
      </c>
      <c r="G101" s="11" t="s">
        <v>1673</v>
      </c>
      <c r="H101" s="11"/>
      <c r="I101" s="11"/>
      <c r="J101" s="11"/>
      <c r="K101" s="11"/>
      <c r="L101" s="11"/>
      <c r="M101" s="11"/>
      <c r="N101" s="11"/>
      <c r="O101" s="11" t="n">
        <v>569.138771</v>
      </c>
      <c r="P101" s="11" t="n">
        <v>0</v>
      </c>
      <c r="Q101" s="11"/>
      <c r="R101" s="11" t="n">
        <v>569.138771</v>
      </c>
      <c r="S101" s="11" t="n">
        <v>1897.129237</v>
      </c>
      <c r="T101" s="11" t="n">
        <v>0.3</v>
      </c>
      <c r="U101" s="11" t="n">
        <v>0.299999999947289</v>
      </c>
      <c r="V101" s="11" t="n">
        <v>1327.990466</v>
      </c>
      <c r="W101" s="11"/>
      <c r="X101" s="11"/>
      <c r="Y101" s="11" t="n">
        <v>1327.990466</v>
      </c>
      <c r="Z101" s="11" t="s">
        <v>1084</v>
      </c>
      <c r="AA101" s="11" t="s">
        <v>1085</v>
      </c>
      <c r="AB101" s="11" t="s">
        <v>1472</v>
      </c>
      <c r="AC101" s="11" t="s">
        <v>1473</v>
      </c>
      <c r="AD101" s="11" t="n">
        <v>0.3</v>
      </c>
      <c r="AE101" s="11" t="n">
        <v>10</v>
      </c>
      <c r="AF101" s="11" t="n">
        <v>56.9138771</v>
      </c>
      <c r="AG101" s="11" t="n">
        <v>189.7129237</v>
      </c>
      <c r="AH101" s="11" t="n">
        <v>132.7990466</v>
      </c>
      <c r="AI101" s="11" t="s">
        <v>1133</v>
      </c>
      <c r="AJ101" s="11" t="s">
        <v>1474</v>
      </c>
      <c r="AK101" s="11" t="s">
        <v>1475</v>
      </c>
      <c r="AL101" s="12" t="s">
        <v>1476</v>
      </c>
      <c r="AM101" s="17" t="n">
        <f aca="false">IFERROR(O101/S101,"")</f>
        <v>0.299999999947289</v>
      </c>
      <c r="AN101" s="16" t="n">
        <f aca="false">IF(OR(S101="",O101=""),"", S101-O101)</f>
        <v>1327.990466</v>
      </c>
    </row>
    <row r="102" customFormat="false" ht="74.6" hidden="false" customHeight="false" outlineLevel="0" collapsed="false">
      <c r="A102" s="10" t="s">
        <v>1674</v>
      </c>
      <c r="B102" s="11" t="s">
        <v>261</v>
      </c>
      <c r="C102" s="11" t="s">
        <v>1481</v>
      </c>
      <c r="D102" s="11" t="s">
        <v>1469</v>
      </c>
      <c r="E102" s="11" t="s">
        <v>1081</v>
      </c>
      <c r="F102" s="11" t="s">
        <v>1470</v>
      </c>
      <c r="G102" s="11" t="s">
        <v>1675</v>
      </c>
      <c r="H102" s="11"/>
      <c r="I102" s="11"/>
      <c r="J102" s="11"/>
      <c r="K102" s="11"/>
      <c r="L102" s="11"/>
      <c r="M102" s="11"/>
      <c r="N102" s="11"/>
      <c r="O102" s="11" t="n">
        <v>569.138771</v>
      </c>
      <c r="P102" s="11" t="n">
        <v>0</v>
      </c>
      <c r="Q102" s="11"/>
      <c r="R102" s="11" t="n">
        <v>569.138771</v>
      </c>
      <c r="S102" s="11" t="n">
        <v>1897.129237</v>
      </c>
      <c r="T102" s="11" t="n">
        <v>0.3</v>
      </c>
      <c r="U102" s="11" t="n">
        <v>0.299999999947289</v>
      </c>
      <c r="V102" s="11" t="n">
        <v>1327.990466</v>
      </c>
      <c r="W102" s="11"/>
      <c r="X102" s="11"/>
      <c r="Y102" s="11" t="n">
        <v>1327.990466</v>
      </c>
      <c r="Z102" s="11" t="s">
        <v>1084</v>
      </c>
      <c r="AA102" s="11" t="s">
        <v>1085</v>
      </c>
      <c r="AB102" s="11" t="s">
        <v>1472</v>
      </c>
      <c r="AC102" s="11" t="s">
        <v>1473</v>
      </c>
      <c r="AD102" s="11" t="n">
        <v>0.3</v>
      </c>
      <c r="AE102" s="11" t="n">
        <v>10</v>
      </c>
      <c r="AF102" s="11" t="n">
        <v>56.9138771</v>
      </c>
      <c r="AG102" s="11" t="n">
        <v>189.7129237</v>
      </c>
      <c r="AH102" s="11" t="n">
        <v>132.7990466</v>
      </c>
      <c r="AI102" s="11" t="s">
        <v>1133</v>
      </c>
      <c r="AJ102" s="11" t="s">
        <v>1474</v>
      </c>
      <c r="AK102" s="11" t="s">
        <v>1475</v>
      </c>
      <c r="AL102" s="12" t="s">
        <v>1476</v>
      </c>
      <c r="AM102" s="17" t="n">
        <f aca="false">IFERROR(O102/S102,"")</f>
        <v>0.299999999947289</v>
      </c>
      <c r="AN102" s="16" t="n">
        <f aca="false">IF(OR(S102="",O102=""),"", S102-O102)</f>
        <v>1327.990466</v>
      </c>
    </row>
    <row r="103" customFormat="false" ht="74.6" hidden="false" customHeight="false" outlineLevel="0" collapsed="false">
      <c r="A103" s="10" t="s">
        <v>1676</v>
      </c>
      <c r="B103" s="11" t="s">
        <v>261</v>
      </c>
      <c r="C103" s="11" t="s">
        <v>1520</v>
      </c>
      <c r="D103" s="11" t="s">
        <v>1469</v>
      </c>
      <c r="E103" s="11" t="s">
        <v>1081</v>
      </c>
      <c r="F103" s="11" t="s">
        <v>1470</v>
      </c>
      <c r="G103" s="11" t="s">
        <v>1677</v>
      </c>
      <c r="H103" s="11"/>
      <c r="I103" s="11"/>
      <c r="J103" s="11"/>
      <c r="K103" s="11"/>
      <c r="L103" s="11"/>
      <c r="M103" s="11"/>
      <c r="N103" s="11"/>
      <c r="O103" s="11" t="n">
        <v>569.138771</v>
      </c>
      <c r="P103" s="11" t="n">
        <v>40</v>
      </c>
      <c r="Q103" s="11"/>
      <c r="R103" s="11" t="n">
        <v>609.138771</v>
      </c>
      <c r="S103" s="11" t="n">
        <v>1421.325221</v>
      </c>
      <c r="T103" s="11" t="n">
        <v>0.428571</v>
      </c>
      <c r="U103" s="11" t="n">
        <v>0.400428250052139</v>
      </c>
      <c r="V103" s="11" t="n">
        <v>852.18645</v>
      </c>
      <c r="W103" s="11"/>
      <c r="X103" s="11"/>
      <c r="Y103" s="11" t="n">
        <v>812.18645</v>
      </c>
      <c r="Z103" s="11" t="s">
        <v>1084</v>
      </c>
      <c r="AA103" s="11" t="s">
        <v>1085</v>
      </c>
      <c r="AB103" s="11" t="s">
        <v>1472</v>
      </c>
      <c r="AC103" s="11" t="s">
        <v>1473</v>
      </c>
      <c r="AD103" s="11" t="n">
        <v>0.400428</v>
      </c>
      <c r="AE103" s="11" t="n">
        <v>10</v>
      </c>
      <c r="AF103" s="11" t="n">
        <v>60.9138771</v>
      </c>
      <c r="AG103" s="11" t="n">
        <v>142.1325221</v>
      </c>
      <c r="AH103" s="11" t="n">
        <v>85.218645</v>
      </c>
      <c r="AI103" s="11" t="s">
        <v>1133</v>
      </c>
      <c r="AJ103" s="11" t="s">
        <v>1486</v>
      </c>
      <c r="AK103" s="11" t="s">
        <v>1475</v>
      </c>
      <c r="AL103" s="12" t="s">
        <v>1476</v>
      </c>
      <c r="AM103" s="17" t="n">
        <f aca="false">IFERROR(O103/S103,"")</f>
        <v>0.400428250052139</v>
      </c>
      <c r="AN103" s="16" t="n">
        <f aca="false">IF(OR(S103="",O103=""),"", S103-O103)</f>
        <v>852.18645</v>
      </c>
    </row>
    <row r="104" customFormat="false" ht="74.6" hidden="false" customHeight="false" outlineLevel="0" collapsed="false">
      <c r="A104" s="10" t="s">
        <v>1678</v>
      </c>
      <c r="B104" s="11" t="s">
        <v>269</v>
      </c>
      <c r="C104" s="11" t="s">
        <v>1468</v>
      </c>
      <c r="D104" s="11" t="s">
        <v>1469</v>
      </c>
      <c r="E104" s="11" t="s">
        <v>1081</v>
      </c>
      <c r="F104" s="11" t="s">
        <v>1470</v>
      </c>
      <c r="G104" s="11" t="s">
        <v>1679</v>
      </c>
      <c r="H104" s="11"/>
      <c r="I104" s="11"/>
      <c r="J104" s="11"/>
      <c r="K104" s="11"/>
      <c r="L104" s="11"/>
      <c r="M104" s="11"/>
      <c r="N104" s="11"/>
      <c r="O104" s="11" t="n">
        <v>253.324424</v>
      </c>
      <c r="P104" s="11" t="n">
        <v>0</v>
      </c>
      <c r="Q104" s="11"/>
      <c r="R104" s="11" t="n">
        <v>253.324424</v>
      </c>
      <c r="S104" s="11" t="n">
        <v>844.414746</v>
      </c>
      <c r="T104" s="11" t="n">
        <v>0.3</v>
      </c>
      <c r="U104" s="11" t="n">
        <v>0.30000000023685</v>
      </c>
      <c r="V104" s="11" t="n">
        <v>591.090322</v>
      </c>
      <c r="W104" s="11"/>
      <c r="X104" s="11"/>
      <c r="Y104" s="11" t="n">
        <v>591.090322</v>
      </c>
      <c r="Z104" s="11" t="s">
        <v>1084</v>
      </c>
      <c r="AA104" s="11" t="s">
        <v>1085</v>
      </c>
      <c r="AB104" s="11" t="s">
        <v>1472</v>
      </c>
      <c r="AC104" s="11" t="s">
        <v>1473</v>
      </c>
      <c r="AD104" s="11" t="n">
        <v>0.3</v>
      </c>
      <c r="AE104" s="11" t="n">
        <v>10</v>
      </c>
      <c r="AF104" s="11" t="n">
        <v>25.3324424</v>
      </c>
      <c r="AG104" s="11" t="n">
        <v>84.4414746</v>
      </c>
      <c r="AH104" s="11" t="n">
        <v>59.1090322</v>
      </c>
      <c r="AI104" s="11" t="s">
        <v>1133</v>
      </c>
      <c r="AJ104" s="11" t="s">
        <v>1474</v>
      </c>
      <c r="AK104" s="11" t="s">
        <v>1475</v>
      </c>
      <c r="AL104" s="12" t="s">
        <v>1476</v>
      </c>
      <c r="AM104" s="17" t="n">
        <f aca="false">IFERROR(O104/S104,"")</f>
        <v>0.30000000023685</v>
      </c>
      <c r="AN104" s="16" t="n">
        <f aca="false">IF(OR(S104="",O104=""),"", S104-O104)</f>
        <v>591.090322</v>
      </c>
    </row>
    <row r="105" customFormat="false" ht="74.6" hidden="false" customHeight="false" outlineLevel="0" collapsed="false">
      <c r="A105" s="10" t="s">
        <v>1680</v>
      </c>
      <c r="B105" s="11" t="s">
        <v>269</v>
      </c>
      <c r="C105" s="11" t="s">
        <v>1520</v>
      </c>
      <c r="D105" s="11" t="s">
        <v>1469</v>
      </c>
      <c r="E105" s="11" t="s">
        <v>1081</v>
      </c>
      <c r="F105" s="11" t="s">
        <v>1470</v>
      </c>
      <c r="G105" s="11" t="s">
        <v>1681</v>
      </c>
      <c r="H105" s="11"/>
      <c r="I105" s="11"/>
      <c r="J105" s="11"/>
      <c r="K105" s="11"/>
      <c r="L105" s="11"/>
      <c r="M105" s="11"/>
      <c r="N105" s="11"/>
      <c r="O105" s="11" t="n">
        <v>253.324424</v>
      </c>
      <c r="P105" s="11" t="n">
        <v>40</v>
      </c>
      <c r="Q105" s="11"/>
      <c r="R105" s="11" t="n">
        <v>293.324424</v>
      </c>
      <c r="S105" s="11" t="n">
        <v>684.42434</v>
      </c>
      <c r="T105" s="11" t="n">
        <v>0.428571</v>
      </c>
      <c r="U105" s="11" t="n">
        <v>0.370127725147823</v>
      </c>
      <c r="V105" s="11" t="n">
        <v>431.099916</v>
      </c>
      <c r="W105" s="11"/>
      <c r="X105" s="11"/>
      <c r="Y105" s="11" t="n">
        <v>391.099916</v>
      </c>
      <c r="Z105" s="11" t="s">
        <v>1084</v>
      </c>
      <c r="AA105" s="11" t="s">
        <v>1085</v>
      </c>
      <c r="AB105" s="11" t="s">
        <v>1472</v>
      </c>
      <c r="AC105" s="11" t="s">
        <v>1473</v>
      </c>
      <c r="AD105" s="11" t="n">
        <v>0.370128</v>
      </c>
      <c r="AE105" s="11" t="n">
        <v>10</v>
      </c>
      <c r="AF105" s="11" t="n">
        <v>29.3324424</v>
      </c>
      <c r="AG105" s="11" t="n">
        <v>68.442434</v>
      </c>
      <c r="AH105" s="11" t="n">
        <v>43.1099916</v>
      </c>
      <c r="AI105" s="11" t="s">
        <v>1133</v>
      </c>
      <c r="AJ105" s="11" t="s">
        <v>1486</v>
      </c>
      <c r="AK105" s="11" t="s">
        <v>1475</v>
      </c>
      <c r="AL105" s="12" t="s">
        <v>1476</v>
      </c>
      <c r="AM105" s="17" t="n">
        <f aca="false">IFERROR(O105/S105,"")</f>
        <v>0.370127725147823</v>
      </c>
      <c r="AN105" s="16" t="n">
        <f aca="false">IF(OR(S105="",O105=""),"", S105-O105)</f>
        <v>431.099916</v>
      </c>
    </row>
    <row r="106" customFormat="false" ht="64.15" hidden="false" customHeight="false" outlineLevel="0" collapsed="false">
      <c r="A106" s="10" t="s">
        <v>1682</v>
      </c>
      <c r="B106" s="11" t="s">
        <v>226</v>
      </c>
      <c r="C106" s="11" t="s">
        <v>229</v>
      </c>
      <c r="D106" s="11" t="s">
        <v>1116</v>
      </c>
      <c r="E106" s="11" t="s">
        <v>1117</v>
      </c>
      <c r="F106" s="11" t="s">
        <v>1118</v>
      </c>
      <c r="G106" s="11" t="s">
        <v>1119</v>
      </c>
      <c r="H106" s="11"/>
      <c r="I106" s="11"/>
      <c r="J106" s="11"/>
      <c r="K106" s="11"/>
      <c r="L106" s="11"/>
      <c r="M106" s="11"/>
      <c r="N106" s="11"/>
      <c r="O106" s="11" t="n">
        <v>131.2826677778</v>
      </c>
      <c r="P106" s="11" t="n">
        <v>0</v>
      </c>
      <c r="Q106" s="11" t="n">
        <v>60</v>
      </c>
      <c r="R106" s="11" t="n">
        <v>191.2826677778</v>
      </c>
      <c r="S106" s="11" t="n">
        <v>550</v>
      </c>
      <c r="T106" s="11"/>
      <c r="U106" s="11" t="n">
        <v>0.238695759596</v>
      </c>
      <c r="V106" s="11" t="n">
        <v>418.7173322222</v>
      </c>
      <c r="W106" s="11"/>
      <c r="X106" s="11" t="n">
        <v>0</v>
      </c>
      <c r="Y106" s="11" t="n">
        <v>358.7173322222</v>
      </c>
      <c r="Z106" s="11" t="s">
        <v>1122</v>
      </c>
      <c r="AA106" s="11" t="s">
        <v>1123</v>
      </c>
      <c r="AB106" s="11" t="s">
        <v>1683</v>
      </c>
      <c r="AC106" s="11" t="s">
        <v>1684</v>
      </c>
      <c r="AD106" s="11" t="n">
        <v>0.3477866686869</v>
      </c>
      <c r="AE106" s="11" t="n">
        <v>1</v>
      </c>
      <c r="AF106" s="11" t="n">
        <v>191.2826677778</v>
      </c>
      <c r="AG106" s="11" t="n">
        <v>550</v>
      </c>
      <c r="AH106" s="11" t="n">
        <v>418.7173322222</v>
      </c>
      <c r="AI106" s="11" t="s">
        <v>1089</v>
      </c>
      <c r="AJ106" s="11" t="s">
        <v>1474</v>
      </c>
      <c r="AK106" s="11" t="s">
        <v>1475</v>
      </c>
      <c r="AL106" s="12" t="s">
        <v>1476</v>
      </c>
      <c r="AM106" s="17" t="n">
        <f aca="false">IFERROR(O106/S106,"")</f>
        <v>0.238695759596</v>
      </c>
      <c r="AN106" s="16" t="n">
        <f aca="false">IF(OR(S106="",O106=""),"", S106-O106)</f>
        <v>418.7173322222</v>
      </c>
    </row>
    <row r="107" customFormat="false" ht="64.15" hidden="false" customHeight="false" outlineLevel="0" collapsed="false">
      <c r="A107" s="10" t="s">
        <v>1685</v>
      </c>
      <c r="B107" s="11" t="s">
        <v>240</v>
      </c>
      <c r="C107" s="11" t="s">
        <v>229</v>
      </c>
      <c r="D107" s="11" t="s">
        <v>1116</v>
      </c>
      <c r="E107" s="11" t="s">
        <v>1117</v>
      </c>
      <c r="F107" s="11" t="s">
        <v>1118</v>
      </c>
      <c r="G107" s="11" t="s">
        <v>1129</v>
      </c>
      <c r="H107" s="11"/>
      <c r="I107" s="11"/>
      <c r="J107" s="11"/>
      <c r="K107" s="11"/>
      <c r="L107" s="11"/>
      <c r="M107" s="11"/>
      <c r="N107" s="11"/>
      <c r="O107" s="11" t="n">
        <v>163.1946677778</v>
      </c>
      <c r="P107" s="11" t="n">
        <v>0</v>
      </c>
      <c r="Q107" s="11" t="n">
        <v>60</v>
      </c>
      <c r="R107" s="11" t="n">
        <v>223.1946677778</v>
      </c>
      <c r="S107" s="11" t="n">
        <v>550</v>
      </c>
      <c r="T107" s="11"/>
      <c r="U107" s="11" t="n">
        <v>0.296717577777818</v>
      </c>
      <c r="V107" s="11" t="n">
        <v>386.8053322222</v>
      </c>
      <c r="W107" s="11"/>
      <c r="X107" s="11" t="n">
        <v>0</v>
      </c>
      <c r="Y107" s="11" t="n">
        <v>326.8053322222</v>
      </c>
      <c r="Z107" s="11" t="s">
        <v>1122</v>
      </c>
      <c r="AA107" s="11" t="s">
        <v>1123</v>
      </c>
      <c r="AB107" s="11" t="s">
        <v>1683</v>
      </c>
      <c r="AC107" s="11" t="s">
        <v>1684</v>
      </c>
      <c r="AD107" s="11" t="n">
        <v>0.4058084868687</v>
      </c>
      <c r="AE107" s="11" t="n">
        <v>1</v>
      </c>
      <c r="AF107" s="11" t="n">
        <v>223.1946677778</v>
      </c>
      <c r="AG107" s="11" t="n">
        <v>550</v>
      </c>
      <c r="AH107" s="11" t="n">
        <v>386.8053322222</v>
      </c>
      <c r="AI107" s="11" t="s">
        <v>1089</v>
      </c>
      <c r="AJ107" s="11" t="s">
        <v>1474</v>
      </c>
      <c r="AK107" s="11" t="s">
        <v>1475</v>
      </c>
      <c r="AL107" s="12" t="s">
        <v>1476</v>
      </c>
      <c r="AM107" s="17" t="n">
        <f aca="false">IFERROR(O107/S107,"")</f>
        <v>0.296717577777818</v>
      </c>
      <c r="AN107" s="16" t="n">
        <f aca="false">IF(OR(S107="",O107=""),"", S107-O107)</f>
        <v>386.8053322222</v>
      </c>
    </row>
    <row r="108" customFormat="false" ht="64.15" hidden="false" customHeight="false" outlineLevel="0" collapsed="false">
      <c r="A108" s="13" t="s">
        <v>1686</v>
      </c>
      <c r="B108" s="14" t="s">
        <v>246</v>
      </c>
      <c r="C108" s="14" t="s">
        <v>229</v>
      </c>
      <c r="D108" s="14" t="s">
        <v>1116</v>
      </c>
      <c r="E108" s="14" t="s">
        <v>1117</v>
      </c>
      <c r="F108" s="14" t="s">
        <v>1118</v>
      </c>
      <c r="G108" s="14" t="s">
        <v>1131</v>
      </c>
      <c r="H108" s="14"/>
      <c r="I108" s="14"/>
      <c r="J108" s="14"/>
      <c r="K108" s="14"/>
      <c r="L108" s="14"/>
      <c r="M108" s="14"/>
      <c r="N108" s="14"/>
      <c r="O108" s="14" t="n">
        <v>133.4837177778</v>
      </c>
      <c r="P108" s="14" t="n">
        <v>0</v>
      </c>
      <c r="Q108" s="14" t="n">
        <v>60</v>
      </c>
      <c r="R108" s="14" t="n">
        <v>193.4837177778</v>
      </c>
      <c r="S108" s="14" t="n">
        <v>550</v>
      </c>
      <c r="T108" s="14"/>
      <c r="U108" s="14" t="n">
        <v>0.242697668686909</v>
      </c>
      <c r="V108" s="14" t="n">
        <v>416.5162822222</v>
      </c>
      <c r="W108" s="14"/>
      <c r="X108" s="14" t="n">
        <v>0</v>
      </c>
      <c r="Y108" s="14" t="n">
        <v>356.5162822222</v>
      </c>
      <c r="Z108" s="14" t="s">
        <v>1122</v>
      </c>
      <c r="AA108" s="14" t="s">
        <v>1123</v>
      </c>
      <c r="AB108" s="14" t="s">
        <v>1683</v>
      </c>
      <c r="AC108" s="14" t="s">
        <v>1684</v>
      </c>
      <c r="AD108" s="14" t="n">
        <v>0.3517885777778</v>
      </c>
      <c r="AE108" s="14" t="n">
        <v>1</v>
      </c>
      <c r="AF108" s="14" t="n">
        <v>193.4837177778</v>
      </c>
      <c r="AG108" s="14" t="n">
        <v>550</v>
      </c>
      <c r="AH108" s="14" t="n">
        <v>416.5162822222</v>
      </c>
      <c r="AI108" s="14" t="s">
        <v>1089</v>
      </c>
      <c r="AJ108" s="14" t="s">
        <v>1474</v>
      </c>
      <c r="AK108" s="14" t="s">
        <v>1475</v>
      </c>
      <c r="AL108" s="15" t="s">
        <v>1476</v>
      </c>
      <c r="AM108" s="17" t="n">
        <f aca="false">IFERROR(O108/S108,"")</f>
        <v>0.242697668686909</v>
      </c>
      <c r="AN108" s="16" t="n">
        <f aca="false">IF(OR(S108="",O108=""),"", S108-O108)</f>
        <v>416.5162822222</v>
      </c>
    </row>
  </sheetData>
  <autoFilter ref="A1:AN108">
    <filterColumn colId="0" hiddenButton="1"/>
  </autoFilter>
  <mergeCells count="2">
    <mergeCell ref="A1:AL1"/>
    <mergeCell ref="A2:AL2"/>
  </mergeCells>
  <conditionalFormatting sqref="AA5:AA108">
    <cfRule type="containsText" priority="2" operator="containsText" aboveAverage="0" equalAverage="0" bottom="0" percent="0" rank="0" text="BLOCK" dxfId="85">
      <formula>NOT(ISERROR(SEARCH("BLOCK",AA5)))</formula>
    </cfRule>
    <cfRule type="containsText" priority="3" operator="containsText" aboveAverage="0" equalAverage="0" bottom="0" percent="0" rank="0" text="DRAFT" dxfId="86">
      <formula>NOT(ISERROR(SEARCH("DRAFT",AA5)))</formula>
    </cfRule>
    <cfRule type="containsText" priority="4" operator="containsText" aboveAverage="0" equalAverage="0" bottom="0" percent="0" rank="0" text="PASS" dxfId="87">
      <formula>NOT(ISERROR(SEARCH("PASS",AA5)))</formula>
    </cfRule>
  </conditionalFormatting>
  <conditionalFormatting sqref="AB5:AB108">
    <cfRule type="containsText" priority="5" operator="containsText" aboveAverage="0" equalAverage="0" bottom="0" percent="0" rank="0" text="BLOCK" dxfId="88">
      <formula>NOT(ISERROR(SEARCH("BLOCK",AB5)))</formula>
    </cfRule>
    <cfRule type="containsText" priority="6" operator="containsText" aboveAverage="0" equalAverage="0" bottom="0" percent="0" rank="0" text="DRAFT" dxfId="89">
      <formula>NOT(ISERROR(SEARCH("DRAFT",AB5)))</formula>
    </cfRule>
    <cfRule type="containsText" priority="7" operator="containsText" aboveAverage="0" equalAverage="0" bottom="0" percent="0" rank="0" text="PASS" dxfId="90">
      <formula>NOT(ISERROR(SEARCH("PASS",AB5)))</formula>
    </cfRule>
  </conditionalFormatting>
  <conditionalFormatting sqref="AI5:AI108">
    <cfRule type="containsText" priority="8" operator="containsText" aboveAverage="0" equalAverage="0" bottom="0" percent="0" rank="0" text="BLOCK" dxfId="91">
      <formula>NOT(ISERROR(SEARCH("BLOCK",AI5)))</formula>
    </cfRule>
    <cfRule type="containsText" priority="9" operator="containsText" aboveAverage="0" equalAverage="0" bottom="0" percent="0" rank="0" text="DRAFT" dxfId="92">
      <formula>NOT(ISERROR(SEARCH("DRAFT",AI5)))</formula>
    </cfRule>
    <cfRule type="containsText" priority="10" operator="containsText" aboveAverage="0" equalAverage="0" bottom="0" percent="0" rank="0" text="PASS" dxfId="93">
      <formula>NOT(ISERROR(SEARCH("PASS",AI5)))</formula>
    </cfRule>
  </conditionalFormatting>
  <dataValidations count="6">
    <dataValidation allowBlank="true" errorStyle="stop" operator="between" showDropDown="false" showErrorMessage="true" showInputMessage="false" sqref="AA5:AA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B5:AB500" type="list">
      <formula1>"DRAFT,BLOCKED,OPEN,PASS,CALCULATED,ASSUMPTION,PRELIMINARY"</formula1>
      <formula2>0</formula2>
    </dataValidation>
    <dataValidation allowBlank="true" errorStyle="stop" operator="between" showDropDown="false" showErrorMessage="true" showInputMessage="false" sqref="AI5:AI500" type="list">
      <formula1>"DRAFT,BLOCKED,OPEN,PASS,CALCULATED,ASSUMPTION,PRELIMINARY"</formula1>
      <formula2>0</formula2>
    </dataValidation>
    <dataValidation type="list" allowBlank="1" showErrorMessage="1" sqref="AA5:AA500">
      <formula1>"DRAFT,BLOCKED,OPEN,PASS,CALCULATED,ASSUMPTION,PRELIMINARY"</formula1>
    </dataValidation>
    <dataValidation type="list" allowBlank="1" showErrorMessage="1" sqref="AB5:AB500">
      <formula1>"DRAFT,BLOCKED,OPEN,PASS,CALCULATED,ASSUMPTION,PRELIMINARY"</formula1>
    </dataValidation>
    <dataValidation type="list" allowBlank="1" showErrorMessage="1" sqref="AI5:AI500">
      <formula1>"DRAFT,BLOCKED,OPEN,PASS,CALCULATED,ASSUMPTION,PRELIMINARY"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true">
    <pageSetUpPr fitToPage="false"/>
  </sheetPr>
  <dimension ref="A1:AO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8"/>
    <col collapsed="false" customWidth="true" hidden="false" outlineLevel="0" max="8" min="4" style="0" width="16"/>
    <col collapsed="false" customWidth="true" hidden="false" outlineLevel="0" max="9" min="9" style="0" width="38"/>
    <col collapsed="false" customWidth="true" hidden="false" outlineLevel="0" max="10" min="10" style="0" width="16"/>
    <col collapsed="false" customWidth="true" hidden="false" outlineLevel="0" max="12" min="11" style="0" width="24"/>
    <col collapsed="false" customWidth="true" hidden="false" outlineLevel="0" max="14" min="13" style="0" width="16"/>
    <col collapsed="false" customWidth="true" hidden="false" outlineLevel="0" max="15" min="15" style="0" width="24"/>
    <col collapsed="false" customWidth="true" hidden="false" outlineLevel="0" max="18" min="16" style="0" width="16"/>
    <col collapsed="false" customWidth="true" hidden="false" outlineLevel="0" max="19" min="19" style="0" width="24"/>
    <col collapsed="false" customWidth="true" hidden="false" outlineLevel="0" max="21" min="20" style="0" width="16"/>
    <col collapsed="false" customWidth="true" hidden="false" outlineLevel="0" max="22" min="22" style="0" width="24"/>
    <col collapsed="false" customWidth="true" hidden="false" outlineLevel="0" max="23" min="23" style="0" width="16"/>
    <col collapsed="false" customWidth="true" hidden="false" outlineLevel="0" max="24" min="24" style="0" width="24"/>
    <col collapsed="false" customWidth="true" hidden="false" outlineLevel="0" max="25" min="25" style="0" width="38"/>
    <col collapsed="false" customWidth="true" hidden="false" outlineLevel="0" max="30" min="26" style="0" width="16"/>
    <col collapsed="false" customWidth="true" hidden="false" outlineLevel="0" max="35" min="31" style="0" width="24"/>
    <col collapsed="false" customWidth="true" hidden="false" outlineLevel="0" max="39" min="36" style="0" width="16"/>
    <col collapsed="false" customWidth="true" hidden="false" outlineLevel="0" max="40" min="40" style="0" width="38"/>
    <col collapsed="false" customWidth="true" hidden="false" outlineLevel="0" max="41" min="41" style="0" width="16"/>
  </cols>
  <sheetData>
    <row r="1" customFormat="false" ht="17.35" hidden="false" customHeight="false" outlineLevel="0" collapsed="false">
      <c r="A1" s="4" t="s">
        <v>1687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customFormat="false" ht="15" hidden="false" customHeight="true" outlineLevel="0" collapsed="false">
      <c r="A2" s="5" t="s">
        <v>1688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4" customFormat="false" ht="50" hidden="false" customHeight="true" outlineLevel="0" collapsed="false">
      <c r="A4" s="6" t="s">
        <v>1689</v>
      </c>
      <c r="B4" s="6" t="s">
        <v>45</v>
      </c>
      <c r="C4" s="6" t="s">
        <v>47</v>
      </c>
      <c r="D4" s="6" t="s">
        <v>46</v>
      </c>
      <c r="E4" s="6" t="s">
        <v>53</v>
      </c>
      <c r="F4" s="6" t="s">
        <v>1690</v>
      </c>
      <c r="G4" s="6" t="s">
        <v>1691</v>
      </c>
      <c r="H4" s="6" t="s">
        <v>1692</v>
      </c>
      <c r="I4" s="6" t="s">
        <v>1693</v>
      </c>
      <c r="J4" s="6" t="s">
        <v>1694</v>
      </c>
      <c r="K4" s="6" t="s">
        <v>1695</v>
      </c>
      <c r="L4" s="6" t="s">
        <v>1696</v>
      </c>
      <c r="M4" s="6" t="s">
        <v>1697</v>
      </c>
      <c r="N4" s="6" t="s">
        <v>1698</v>
      </c>
      <c r="O4" s="6" t="s">
        <v>1699</v>
      </c>
      <c r="P4" s="6" t="s">
        <v>1700</v>
      </c>
      <c r="Q4" s="6" t="s">
        <v>1701</v>
      </c>
      <c r="R4" s="6" t="s">
        <v>1702</v>
      </c>
      <c r="S4" s="6" t="s">
        <v>1703</v>
      </c>
      <c r="T4" s="6" t="s">
        <v>1704</v>
      </c>
      <c r="U4" s="6" t="s">
        <v>1705</v>
      </c>
      <c r="V4" s="6" t="s">
        <v>1706</v>
      </c>
      <c r="W4" s="6" t="s">
        <v>1707</v>
      </c>
      <c r="X4" s="6" t="s">
        <v>1708</v>
      </c>
      <c r="Y4" s="6" t="s">
        <v>1709</v>
      </c>
      <c r="Z4" s="6" t="s">
        <v>1710</v>
      </c>
      <c r="AA4" s="6" t="s">
        <v>1711</v>
      </c>
      <c r="AB4" s="6" t="s">
        <v>1712</v>
      </c>
      <c r="AC4" s="6" t="s">
        <v>1713</v>
      </c>
      <c r="AD4" s="6" t="s">
        <v>1714</v>
      </c>
      <c r="AE4" s="6" t="s">
        <v>1715</v>
      </c>
      <c r="AF4" s="6" t="s">
        <v>1716</v>
      </c>
      <c r="AG4" s="6" t="s">
        <v>1717</v>
      </c>
      <c r="AH4" s="6" t="s">
        <v>1718</v>
      </c>
      <c r="AI4" s="6" t="s">
        <v>291</v>
      </c>
      <c r="AJ4" s="6" t="s">
        <v>292</v>
      </c>
      <c r="AK4" s="6" t="s">
        <v>294</v>
      </c>
      <c r="AL4" s="6" t="s">
        <v>296</v>
      </c>
      <c r="AM4" s="6" t="s">
        <v>295</v>
      </c>
      <c r="AN4" s="6" t="s">
        <v>1719</v>
      </c>
      <c r="AO4" s="6" t="s">
        <v>923</v>
      </c>
    </row>
    <row r="5" customFormat="false" ht="95.5" hidden="false" customHeight="false" outlineLevel="0" collapsed="false">
      <c r="A5" s="7" t="s">
        <v>1720</v>
      </c>
      <c r="B5" s="8" t="s">
        <v>60</v>
      </c>
      <c r="C5" s="8" t="s">
        <v>62</v>
      </c>
      <c r="D5" s="8" t="s">
        <v>61</v>
      </c>
      <c r="E5" s="8" t="s">
        <v>68</v>
      </c>
      <c r="F5" s="8" t="n">
        <v>1</v>
      </c>
      <c r="G5" s="8" t="s">
        <v>1721</v>
      </c>
      <c r="H5" s="8" t="s">
        <v>1722</v>
      </c>
      <c r="I5" s="8" t="s">
        <v>1723</v>
      </c>
      <c r="J5" s="8" t="s">
        <v>1724</v>
      </c>
      <c r="K5" s="8" t="s">
        <v>1725</v>
      </c>
      <c r="L5" s="8" t="s">
        <v>1726</v>
      </c>
      <c r="M5" s="8" t="s">
        <v>1727</v>
      </c>
      <c r="N5" s="8"/>
      <c r="O5" s="8" t="s">
        <v>1165</v>
      </c>
      <c r="P5" s="8" t="s">
        <v>1728</v>
      </c>
      <c r="Q5" s="8" t="s">
        <v>1729</v>
      </c>
      <c r="R5" s="8" t="s">
        <v>1730</v>
      </c>
      <c r="S5" s="8" t="s">
        <v>1731</v>
      </c>
      <c r="T5" s="8"/>
      <c r="U5" s="8"/>
      <c r="V5" s="8" t="s">
        <v>1165</v>
      </c>
      <c r="W5" s="8"/>
      <c r="X5" s="8" t="s">
        <v>1732</v>
      </c>
      <c r="Y5" s="8" t="s">
        <v>1733</v>
      </c>
      <c r="Z5" s="8"/>
      <c r="AA5" s="8"/>
      <c r="AB5" s="8"/>
      <c r="AC5" s="8"/>
      <c r="AD5" s="8"/>
      <c r="AE5" s="8" t="s">
        <v>1734</v>
      </c>
      <c r="AF5" s="8" t="s">
        <v>1165</v>
      </c>
      <c r="AG5" s="8" t="s">
        <v>1165</v>
      </c>
      <c r="AH5" s="8" t="s">
        <v>1735</v>
      </c>
      <c r="AI5" s="8" t="s">
        <v>1396</v>
      </c>
      <c r="AJ5" s="8" t="s">
        <v>1736</v>
      </c>
      <c r="AK5" s="8" t="s">
        <v>308</v>
      </c>
      <c r="AL5" s="8" t="s">
        <v>1737</v>
      </c>
      <c r="AM5" s="8" t="s">
        <v>1738</v>
      </c>
      <c r="AN5" s="8" t="s">
        <v>1739</v>
      </c>
      <c r="AO5" s="9" t="s">
        <v>1740</v>
      </c>
    </row>
    <row r="6" customFormat="false" ht="95.5" hidden="false" customHeight="false" outlineLevel="0" collapsed="false">
      <c r="A6" s="10" t="s">
        <v>1741</v>
      </c>
      <c r="B6" s="11" t="s">
        <v>60</v>
      </c>
      <c r="C6" s="11" t="s">
        <v>62</v>
      </c>
      <c r="D6" s="11" t="s">
        <v>61</v>
      </c>
      <c r="E6" s="11" t="s">
        <v>68</v>
      </c>
      <c r="F6" s="11" t="n">
        <v>2</v>
      </c>
      <c r="G6" s="11" t="s">
        <v>1742</v>
      </c>
      <c r="H6" s="11" t="s">
        <v>1743</v>
      </c>
      <c r="I6" s="11" t="s">
        <v>1744</v>
      </c>
      <c r="J6" s="11" t="s">
        <v>1745</v>
      </c>
      <c r="K6" s="11" t="s">
        <v>1725</v>
      </c>
      <c r="L6" s="11" t="s">
        <v>1726</v>
      </c>
      <c r="M6" s="11" t="s">
        <v>1746</v>
      </c>
      <c r="N6" s="11"/>
      <c r="O6" s="11" t="s">
        <v>1165</v>
      </c>
      <c r="P6" s="11" t="s">
        <v>1728</v>
      </c>
      <c r="Q6" s="11" t="s">
        <v>1747</v>
      </c>
      <c r="R6" s="11" t="s">
        <v>1730</v>
      </c>
      <c r="S6" s="11" t="s">
        <v>1731</v>
      </c>
      <c r="T6" s="11"/>
      <c r="U6" s="11"/>
      <c r="V6" s="11" t="s">
        <v>1165</v>
      </c>
      <c r="W6" s="11"/>
      <c r="X6" s="11" t="s">
        <v>1732</v>
      </c>
      <c r="Y6" s="11" t="s">
        <v>1733</v>
      </c>
      <c r="Z6" s="11"/>
      <c r="AA6" s="11"/>
      <c r="AB6" s="11"/>
      <c r="AC6" s="11"/>
      <c r="AD6" s="11"/>
      <c r="AE6" s="11" t="s">
        <v>1734</v>
      </c>
      <c r="AF6" s="11" t="s">
        <v>1165</v>
      </c>
      <c r="AG6" s="11" t="s">
        <v>1165</v>
      </c>
      <c r="AH6" s="11" t="s">
        <v>1735</v>
      </c>
      <c r="AI6" s="11" t="s">
        <v>1396</v>
      </c>
      <c r="AJ6" s="11" t="s">
        <v>1736</v>
      </c>
      <c r="AK6" s="11" t="s">
        <v>308</v>
      </c>
      <c r="AL6" s="11" t="s">
        <v>1737</v>
      </c>
      <c r="AM6" s="11" t="s">
        <v>1738</v>
      </c>
      <c r="AN6" s="11" t="s">
        <v>1739</v>
      </c>
      <c r="AO6" s="12" t="s">
        <v>1740</v>
      </c>
    </row>
    <row r="7" customFormat="false" ht="95.5" hidden="false" customHeight="false" outlineLevel="0" collapsed="false">
      <c r="A7" s="10" t="s">
        <v>1748</v>
      </c>
      <c r="B7" s="11" t="s">
        <v>60</v>
      </c>
      <c r="C7" s="11" t="s">
        <v>62</v>
      </c>
      <c r="D7" s="11" t="s">
        <v>61</v>
      </c>
      <c r="E7" s="11" t="s">
        <v>68</v>
      </c>
      <c r="F7" s="11" t="n">
        <v>3</v>
      </c>
      <c r="G7" s="11" t="s">
        <v>1749</v>
      </c>
      <c r="H7" s="11" t="s">
        <v>1750</v>
      </c>
      <c r="I7" s="11" t="s">
        <v>1751</v>
      </c>
      <c r="J7" s="11" t="s">
        <v>1752</v>
      </c>
      <c r="K7" s="11" t="s">
        <v>1725</v>
      </c>
      <c r="L7" s="11" t="s">
        <v>1726</v>
      </c>
      <c r="M7" s="11" t="s">
        <v>1753</v>
      </c>
      <c r="N7" s="11"/>
      <c r="O7" s="11" t="s">
        <v>1165</v>
      </c>
      <c r="P7" s="11" t="s">
        <v>1728</v>
      </c>
      <c r="Q7" s="11" t="s">
        <v>1754</v>
      </c>
      <c r="R7" s="11" t="s">
        <v>1730</v>
      </c>
      <c r="S7" s="11" t="s">
        <v>1731</v>
      </c>
      <c r="T7" s="11"/>
      <c r="U7" s="11"/>
      <c r="V7" s="11" t="s">
        <v>1165</v>
      </c>
      <c r="W7" s="11"/>
      <c r="X7" s="11" t="s">
        <v>1732</v>
      </c>
      <c r="Y7" s="11" t="s">
        <v>1733</v>
      </c>
      <c r="Z7" s="11"/>
      <c r="AA7" s="11"/>
      <c r="AB7" s="11"/>
      <c r="AC7" s="11"/>
      <c r="AD7" s="11"/>
      <c r="AE7" s="11" t="s">
        <v>1734</v>
      </c>
      <c r="AF7" s="11" t="s">
        <v>1165</v>
      </c>
      <c r="AG7" s="11" t="s">
        <v>1165</v>
      </c>
      <c r="AH7" s="11" t="s">
        <v>1735</v>
      </c>
      <c r="AI7" s="11" t="s">
        <v>1396</v>
      </c>
      <c r="AJ7" s="11" t="s">
        <v>1736</v>
      </c>
      <c r="AK7" s="11" t="s">
        <v>308</v>
      </c>
      <c r="AL7" s="11" t="s">
        <v>1737</v>
      </c>
      <c r="AM7" s="11" t="s">
        <v>1738</v>
      </c>
      <c r="AN7" s="11" t="s">
        <v>1739</v>
      </c>
      <c r="AO7" s="12" t="s">
        <v>1740</v>
      </c>
    </row>
    <row r="8" customFormat="false" ht="95.5" hidden="false" customHeight="false" outlineLevel="0" collapsed="false">
      <c r="A8" s="10" t="s">
        <v>1755</v>
      </c>
      <c r="B8" s="11" t="s">
        <v>60</v>
      </c>
      <c r="C8" s="11" t="s">
        <v>62</v>
      </c>
      <c r="D8" s="11" t="s">
        <v>61</v>
      </c>
      <c r="E8" s="11" t="s">
        <v>68</v>
      </c>
      <c r="F8" s="11" t="n">
        <v>4</v>
      </c>
      <c r="G8" s="11" t="s">
        <v>1756</v>
      </c>
      <c r="H8" s="11" t="s">
        <v>1757</v>
      </c>
      <c r="I8" s="11" t="s">
        <v>1758</v>
      </c>
      <c r="J8" s="11" t="s">
        <v>1759</v>
      </c>
      <c r="K8" s="11" t="s">
        <v>1725</v>
      </c>
      <c r="L8" s="11" t="s">
        <v>1726</v>
      </c>
      <c r="M8" s="11" t="s">
        <v>1760</v>
      </c>
      <c r="N8" s="11"/>
      <c r="O8" s="11" t="s">
        <v>1165</v>
      </c>
      <c r="P8" s="11" t="s">
        <v>1728</v>
      </c>
      <c r="Q8" s="11" t="s">
        <v>1761</v>
      </c>
      <c r="R8" s="11" t="s">
        <v>1730</v>
      </c>
      <c r="S8" s="11" t="s">
        <v>1731</v>
      </c>
      <c r="T8" s="11"/>
      <c r="U8" s="11"/>
      <c r="V8" s="11" t="s">
        <v>1165</v>
      </c>
      <c r="W8" s="11"/>
      <c r="X8" s="11" t="s">
        <v>1732</v>
      </c>
      <c r="Y8" s="11" t="s">
        <v>1733</v>
      </c>
      <c r="Z8" s="11"/>
      <c r="AA8" s="11"/>
      <c r="AB8" s="11"/>
      <c r="AC8" s="11"/>
      <c r="AD8" s="11"/>
      <c r="AE8" s="11" t="s">
        <v>1734</v>
      </c>
      <c r="AF8" s="11" t="s">
        <v>1165</v>
      </c>
      <c r="AG8" s="11" t="s">
        <v>1165</v>
      </c>
      <c r="AH8" s="11" t="s">
        <v>1735</v>
      </c>
      <c r="AI8" s="11" t="s">
        <v>1396</v>
      </c>
      <c r="AJ8" s="11" t="s">
        <v>1736</v>
      </c>
      <c r="AK8" s="11" t="s">
        <v>308</v>
      </c>
      <c r="AL8" s="11" t="s">
        <v>1737</v>
      </c>
      <c r="AM8" s="11" t="s">
        <v>1738</v>
      </c>
      <c r="AN8" s="11" t="s">
        <v>1739</v>
      </c>
      <c r="AO8" s="12" t="s">
        <v>1740</v>
      </c>
    </row>
    <row r="9" customFormat="false" ht="95.5" hidden="false" customHeight="false" outlineLevel="0" collapsed="false">
      <c r="A9" s="10" t="s">
        <v>1762</v>
      </c>
      <c r="B9" s="11" t="s">
        <v>60</v>
      </c>
      <c r="C9" s="11" t="s">
        <v>62</v>
      </c>
      <c r="D9" s="11" t="s">
        <v>61</v>
      </c>
      <c r="E9" s="11" t="s">
        <v>68</v>
      </c>
      <c r="F9" s="11" t="n">
        <v>5</v>
      </c>
      <c r="G9" s="11" t="s">
        <v>1763</v>
      </c>
      <c r="H9" s="11" t="s">
        <v>1764</v>
      </c>
      <c r="I9" s="11" t="s">
        <v>1765</v>
      </c>
      <c r="J9" s="11" t="s">
        <v>1766</v>
      </c>
      <c r="K9" s="11" t="s">
        <v>1725</v>
      </c>
      <c r="L9" s="11" t="s">
        <v>1726</v>
      </c>
      <c r="M9" s="11" t="s">
        <v>1767</v>
      </c>
      <c r="N9" s="11"/>
      <c r="O9" s="11" t="s">
        <v>1165</v>
      </c>
      <c r="P9" s="11" t="s">
        <v>1728</v>
      </c>
      <c r="Q9" s="11" t="s">
        <v>1768</v>
      </c>
      <c r="R9" s="11" t="s">
        <v>1730</v>
      </c>
      <c r="S9" s="11" t="s">
        <v>1731</v>
      </c>
      <c r="T9" s="11" t="n">
        <v>1</v>
      </c>
      <c r="U9" s="11" t="s">
        <v>1769</v>
      </c>
      <c r="V9" s="11" t="s">
        <v>1770</v>
      </c>
      <c r="W9" s="11" t="n">
        <v>1</v>
      </c>
      <c r="X9" s="11" t="s">
        <v>1771</v>
      </c>
      <c r="Y9" s="11" t="s">
        <v>1772</v>
      </c>
      <c r="Z9" s="11"/>
      <c r="AA9" s="11"/>
      <c r="AB9" s="11"/>
      <c r="AC9" s="11"/>
      <c r="AD9" s="11"/>
      <c r="AE9" s="11" t="s">
        <v>1734</v>
      </c>
      <c r="AF9" s="11" t="s">
        <v>1165</v>
      </c>
      <c r="AG9" s="11" t="s">
        <v>1165</v>
      </c>
      <c r="AH9" s="11" t="s">
        <v>1735</v>
      </c>
      <c r="AI9" s="11" t="s">
        <v>1396</v>
      </c>
      <c r="AJ9" s="11" t="s">
        <v>1736</v>
      </c>
      <c r="AK9" s="11" t="s">
        <v>308</v>
      </c>
      <c r="AL9" s="11" t="s">
        <v>1737</v>
      </c>
      <c r="AM9" s="11" t="s">
        <v>1738</v>
      </c>
      <c r="AN9" s="11" t="s">
        <v>1739</v>
      </c>
      <c r="AO9" s="12" t="s">
        <v>1740</v>
      </c>
    </row>
    <row r="10" customFormat="false" ht="95.5" hidden="false" customHeight="false" outlineLevel="0" collapsed="false">
      <c r="A10" s="10" t="s">
        <v>1773</v>
      </c>
      <c r="B10" s="11" t="s">
        <v>60</v>
      </c>
      <c r="C10" s="11" t="s">
        <v>62</v>
      </c>
      <c r="D10" s="11" t="s">
        <v>61</v>
      </c>
      <c r="E10" s="11" t="s">
        <v>68</v>
      </c>
      <c r="F10" s="11" t="n">
        <v>6</v>
      </c>
      <c r="G10" s="11" t="s">
        <v>1774</v>
      </c>
      <c r="H10" s="11" t="s">
        <v>1750</v>
      </c>
      <c r="I10" s="11" t="s">
        <v>1751</v>
      </c>
      <c r="J10" s="11" t="s">
        <v>1752</v>
      </c>
      <c r="K10" s="11" t="s">
        <v>1725</v>
      </c>
      <c r="L10" s="11" t="s">
        <v>1726</v>
      </c>
      <c r="M10" s="11" t="s">
        <v>1753</v>
      </c>
      <c r="N10" s="11"/>
      <c r="O10" s="11" t="s">
        <v>1165</v>
      </c>
      <c r="P10" s="11" t="s">
        <v>1728</v>
      </c>
      <c r="Q10" s="11" t="s">
        <v>1754</v>
      </c>
      <c r="R10" s="11" t="s">
        <v>1730</v>
      </c>
      <c r="S10" s="11" t="s">
        <v>1731</v>
      </c>
      <c r="T10" s="11"/>
      <c r="U10" s="11"/>
      <c r="V10" s="11" t="s">
        <v>1165</v>
      </c>
      <c r="W10" s="11"/>
      <c r="X10" s="11" t="s">
        <v>1732</v>
      </c>
      <c r="Y10" s="11" t="s">
        <v>1733</v>
      </c>
      <c r="Z10" s="11"/>
      <c r="AA10" s="11"/>
      <c r="AB10" s="11"/>
      <c r="AC10" s="11"/>
      <c r="AD10" s="11"/>
      <c r="AE10" s="11" t="s">
        <v>1734</v>
      </c>
      <c r="AF10" s="11" t="s">
        <v>1165</v>
      </c>
      <c r="AG10" s="11" t="s">
        <v>1165</v>
      </c>
      <c r="AH10" s="11" t="s">
        <v>1735</v>
      </c>
      <c r="AI10" s="11" t="s">
        <v>1396</v>
      </c>
      <c r="AJ10" s="11" t="s">
        <v>1736</v>
      </c>
      <c r="AK10" s="11" t="s">
        <v>308</v>
      </c>
      <c r="AL10" s="11" t="s">
        <v>1737</v>
      </c>
      <c r="AM10" s="11" t="s">
        <v>1738</v>
      </c>
      <c r="AN10" s="11" t="s">
        <v>1739</v>
      </c>
      <c r="AO10" s="12" t="s">
        <v>1740</v>
      </c>
    </row>
    <row r="11" customFormat="false" ht="95.5" hidden="false" customHeight="false" outlineLevel="0" collapsed="false">
      <c r="A11" s="10" t="s">
        <v>1775</v>
      </c>
      <c r="B11" s="11" t="s">
        <v>73</v>
      </c>
      <c r="C11" s="11" t="s">
        <v>74</v>
      </c>
      <c r="D11" s="11" t="s">
        <v>61</v>
      </c>
      <c r="E11" s="11" t="s">
        <v>68</v>
      </c>
      <c r="F11" s="11" t="n">
        <v>1</v>
      </c>
      <c r="G11" s="11" t="s">
        <v>1721</v>
      </c>
      <c r="H11" s="11" t="s">
        <v>1722</v>
      </c>
      <c r="I11" s="11" t="s">
        <v>1723</v>
      </c>
      <c r="J11" s="11" t="s">
        <v>1724</v>
      </c>
      <c r="K11" s="11" t="s">
        <v>1725</v>
      </c>
      <c r="L11" s="11" t="s">
        <v>1726</v>
      </c>
      <c r="M11" s="11" t="s">
        <v>1727</v>
      </c>
      <c r="N11" s="11"/>
      <c r="O11" s="11" t="s">
        <v>1165</v>
      </c>
      <c r="P11" s="11" t="s">
        <v>1776</v>
      </c>
      <c r="Q11" s="11" t="s">
        <v>1729</v>
      </c>
      <c r="R11" s="11" t="s">
        <v>1730</v>
      </c>
      <c r="S11" s="11" t="s">
        <v>1731</v>
      </c>
      <c r="T11" s="11"/>
      <c r="U11" s="11"/>
      <c r="V11" s="11" t="s">
        <v>1165</v>
      </c>
      <c r="W11" s="11"/>
      <c r="X11" s="11" t="s">
        <v>1732</v>
      </c>
      <c r="Y11" s="11" t="s">
        <v>1733</v>
      </c>
      <c r="Z11" s="11"/>
      <c r="AA11" s="11"/>
      <c r="AB11" s="11"/>
      <c r="AC11" s="11"/>
      <c r="AD11" s="11"/>
      <c r="AE11" s="11" t="s">
        <v>1734</v>
      </c>
      <c r="AF11" s="11" t="s">
        <v>1165</v>
      </c>
      <c r="AG11" s="11" t="s">
        <v>1165</v>
      </c>
      <c r="AH11" s="11" t="s">
        <v>1735</v>
      </c>
      <c r="AI11" s="11" t="s">
        <v>1396</v>
      </c>
      <c r="AJ11" s="11" t="s">
        <v>1736</v>
      </c>
      <c r="AK11" s="11" t="s">
        <v>308</v>
      </c>
      <c r="AL11" s="11" t="s">
        <v>1737</v>
      </c>
      <c r="AM11" s="11" t="s">
        <v>1738</v>
      </c>
      <c r="AN11" s="11" t="s">
        <v>1739</v>
      </c>
      <c r="AO11" s="12" t="s">
        <v>1740</v>
      </c>
    </row>
    <row r="12" customFormat="false" ht="95.5" hidden="false" customHeight="false" outlineLevel="0" collapsed="false">
      <c r="A12" s="10" t="s">
        <v>1777</v>
      </c>
      <c r="B12" s="11" t="s">
        <v>73</v>
      </c>
      <c r="C12" s="11" t="s">
        <v>74</v>
      </c>
      <c r="D12" s="11" t="s">
        <v>61</v>
      </c>
      <c r="E12" s="11" t="s">
        <v>68</v>
      </c>
      <c r="F12" s="11" t="n">
        <v>2</v>
      </c>
      <c r="G12" s="11" t="s">
        <v>1778</v>
      </c>
      <c r="H12" s="11" t="s">
        <v>1750</v>
      </c>
      <c r="I12" s="11" t="s">
        <v>1751</v>
      </c>
      <c r="J12" s="11" t="s">
        <v>1752</v>
      </c>
      <c r="K12" s="11" t="s">
        <v>1725</v>
      </c>
      <c r="L12" s="11" t="s">
        <v>1726</v>
      </c>
      <c r="M12" s="11" t="s">
        <v>1753</v>
      </c>
      <c r="N12" s="11"/>
      <c r="O12" s="11" t="s">
        <v>1165</v>
      </c>
      <c r="P12" s="11" t="s">
        <v>1776</v>
      </c>
      <c r="Q12" s="11" t="s">
        <v>1754</v>
      </c>
      <c r="R12" s="11" t="s">
        <v>1730</v>
      </c>
      <c r="S12" s="11" t="s">
        <v>1731</v>
      </c>
      <c r="T12" s="11"/>
      <c r="U12" s="11"/>
      <c r="V12" s="11" t="s">
        <v>1165</v>
      </c>
      <c r="W12" s="11"/>
      <c r="X12" s="11" t="s">
        <v>1732</v>
      </c>
      <c r="Y12" s="11" t="s">
        <v>1733</v>
      </c>
      <c r="Z12" s="11"/>
      <c r="AA12" s="11"/>
      <c r="AB12" s="11"/>
      <c r="AC12" s="11"/>
      <c r="AD12" s="11"/>
      <c r="AE12" s="11" t="s">
        <v>1734</v>
      </c>
      <c r="AF12" s="11" t="s">
        <v>1165</v>
      </c>
      <c r="AG12" s="11" t="s">
        <v>1165</v>
      </c>
      <c r="AH12" s="11" t="s">
        <v>1735</v>
      </c>
      <c r="AI12" s="11" t="s">
        <v>1396</v>
      </c>
      <c r="AJ12" s="11" t="s">
        <v>1736</v>
      </c>
      <c r="AK12" s="11" t="s">
        <v>308</v>
      </c>
      <c r="AL12" s="11" t="s">
        <v>1737</v>
      </c>
      <c r="AM12" s="11" t="s">
        <v>1738</v>
      </c>
      <c r="AN12" s="11" t="s">
        <v>1739</v>
      </c>
      <c r="AO12" s="12" t="s">
        <v>1740</v>
      </c>
    </row>
    <row r="13" customFormat="false" ht="95.5" hidden="false" customHeight="false" outlineLevel="0" collapsed="false">
      <c r="A13" s="10" t="s">
        <v>1779</v>
      </c>
      <c r="B13" s="11" t="s">
        <v>73</v>
      </c>
      <c r="C13" s="11" t="s">
        <v>74</v>
      </c>
      <c r="D13" s="11" t="s">
        <v>61</v>
      </c>
      <c r="E13" s="11" t="s">
        <v>68</v>
      </c>
      <c r="F13" s="11" t="n">
        <v>3</v>
      </c>
      <c r="G13" s="11" t="s">
        <v>1780</v>
      </c>
      <c r="H13" s="11" t="s">
        <v>1750</v>
      </c>
      <c r="I13" s="11" t="s">
        <v>1751</v>
      </c>
      <c r="J13" s="11" t="s">
        <v>1752</v>
      </c>
      <c r="K13" s="11" t="s">
        <v>1725</v>
      </c>
      <c r="L13" s="11" t="s">
        <v>1726</v>
      </c>
      <c r="M13" s="11" t="s">
        <v>1753</v>
      </c>
      <c r="N13" s="11"/>
      <c r="O13" s="11" t="s">
        <v>1165</v>
      </c>
      <c r="P13" s="11" t="s">
        <v>1776</v>
      </c>
      <c r="Q13" s="11" t="s">
        <v>1754</v>
      </c>
      <c r="R13" s="11" t="s">
        <v>1730</v>
      </c>
      <c r="S13" s="11" t="s">
        <v>1731</v>
      </c>
      <c r="T13" s="11"/>
      <c r="U13" s="11"/>
      <c r="V13" s="11" t="s">
        <v>1165</v>
      </c>
      <c r="W13" s="11"/>
      <c r="X13" s="11" t="s">
        <v>1732</v>
      </c>
      <c r="Y13" s="11" t="s">
        <v>1733</v>
      </c>
      <c r="Z13" s="11"/>
      <c r="AA13" s="11"/>
      <c r="AB13" s="11"/>
      <c r="AC13" s="11"/>
      <c r="AD13" s="11"/>
      <c r="AE13" s="11" t="s">
        <v>1734</v>
      </c>
      <c r="AF13" s="11" t="s">
        <v>1165</v>
      </c>
      <c r="AG13" s="11" t="s">
        <v>1165</v>
      </c>
      <c r="AH13" s="11" t="s">
        <v>1735</v>
      </c>
      <c r="AI13" s="11" t="s">
        <v>1396</v>
      </c>
      <c r="AJ13" s="11" t="s">
        <v>1736</v>
      </c>
      <c r="AK13" s="11" t="s">
        <v>308</v>
      </c>
      <c r="AL13" s="11" t="s">
        <v>1737</v>
      </c>
      <c r="AM13" s="11" t="s">
        <v>1738</v>
      </c>
      <c r="AN13" s="11" t="s">
        <v>1739</v>
      </c>
      <c r="AO13" s="12" t="s">
        <v>1740</v>
      </c>
    </row>
    <row r="14" customFormat="false" ht="95.5" hidden="false" customHeight="false" outlineLevel="0" collapsed="false">
      <c r="A14" s="10" t="s">
        <v>1781</v>
      </c>
      <c r="B14" s="11" t="s">
        <v>73</v>
      </c>
      <c r="C14" s="11" t="s">
        <v>74</v>
      </c>
      <c r="D14" s="11" t="s">
        <v>61</v>
      </c>
      <c r="E14" s="11" t="s">
        <v>68</v>
      </c>
      <c r="F14" s="11" t="n">
        <v>4</v>
      </c>
      <c r="G14" s="11" t="s">
        <v>1763</v>
      </c>
      <c r="H14" s="11" t="s">
        <v>1764</v>
      </c>
      <c r="I14" s="11" t="s">
        <v>1765</v>
      </c>
      <c r="J14" s="11" t="s">
        <v>1766</v>
      </c>
      <c r="K14" s="11" t="s">
        <v>1725</v>
      </c>
      <c r="L14" s="11" t="s">
        <v>1726</v>
      </c>
      <c r="M14" s="11" t="s">
        <v>1767</v>
      </c>
      <c r="N14" s="11"/>
      <c r="O14" s="11" t="s">
        <v>1165</v>
      </c>
      <c r="P14" s="11" t="s">
        <v>1776</v>
      </c>
      <c r="Q14" s="11" t="s">
        <v>1768</v>
      </c>
      <c r="R14" s="11" t="s">
        <v>1730</v>
      </c>
      <c r="S14" s="11" t="s">
        <v>1731</v>
      </c>
      <c r="T14" s="11" t="n">
        <v>1</v>
      </c>
      <c r="U14" s="11" t="s">
        <v>1769</v>
      </c>
      <c r="V14" s="11" t="s">
        <v>1770</v>
      </c>
      <c r="W14" s="11" t="n">
        <v>1</v>
      </c>
      <c r="X14" s="11" t="s">
        <v>1771</v>
      </c>
      <c r="Y14" s="11" t="s">
        <v>1772</v>
      </c>
      <c r="Z14" s="11"/>
      <c r="AA14" s="11"/>
      <c r="AB14" s="11"/>
      <c r="AC14" s="11"/>
      <c r="AD14" s="11"/>
      <c r="AE14" s="11" t="s">
        <v>1734</v>
      </c>
      <c r="AF14" s="11" t="s">
        <v>1165</v>
      </c>
      <c r="AG14" s="11" t="s">
        <v>1165</v>
      </c>
      <c r="AH14" s="11" t="s">
        <v>1735</v>
      </c>
      <c r="AI14" s="11" t="s">
        <v>1396</v>
      </c>
      <c r="AJ14" s="11" t="s">
        <v>1736</v>
      </c>
      <c r="AK14" s="11" t="s">
        <v>308</v>
      </c>
      <c r="AL14" s="11" t="s">
        <v>1737</v>
      </c>
      <c r="AM14" s="11" t="s">
        <v>1738</v>
      </c>
      <c r="AN14" s="11" t="s">
        <v>1739</v>
      </c>
      <c r="AO14" s="12" t="s">
        <v>1740</v>
      </c>
    </row>
    <row r="15" customFormat="false" ht="95.5" hidden="false" customHeight="false" outlineLevel="0" collapsed="false">
      <c r="A15" s="10" t="s">
        <v>1782</v>
      </c>
      <c r="B15" s="11" t="s">
        <v>73</v>
      </c>
      <c r="C15" s="11" t="s">
        <v>74</v>
      </c>
      <c r="D15" s="11" t="s">
        <v>61</v>
      </c>
      <c r="E15" s="11" t="s">
        <v>68</v>
      </c>
      <c r="F15" s="11" t="n">
        <v>5</v>
      </c>
      <c r="G15" s="11" t="s">
        <v>1783</v>
      </c>
      <c r="H15" s="11" t="s">
        <v>1750</v>
      </c>
      <c r="I15" s="11" t="s">
        <v>1751</v>
      </c>
      <c r="J15" s="11" t="s">
        <v>1752</v>
      </c>
      <c r="K15" s="11" t="s">
        <v>1725</v>
      </c>
      <c r="L15" s="11" t="s">
        <v>1726</v>
      </c>
      <c r="M15" s="11" t="s">
        <v>1753</v>
      </c>
      <c r="N15" s="11"/>
      <c r="O15" s="11" t="s">
        <v>1165</v>
      </c>
      <c r="P15" s="11" t="s">
        <v>1776</v>
      </c>
      <c r="Q15" s="11" t="s">
        <v>1754</v>
      </c>
      <c r="R15" s="11" t="s">
        <v>1730</v>
      </c>
      <c r="S15" s="11" t="s">
        <v>1731</v>
      </c>
      <c r="T15" s="11"/>
      <c r="U15" s="11"/>
      <c r="V15" s="11" t="s">
        <v>1165</v>
      </c>
      <c r="W15" s="11"/>
      <c r="X15" s="11" t="s">
        <v>1732</v>
      </c>
      <c r="Y15" s="11" t="s">
        <v>1733</v>
      </c>
      <c r="Z15" s="11"/>
      <c r="AA15" s="11"/>
      <c r="AB15" s="11"/>
      <c r="AC15" s="11"/>
      <c r="AD15" s="11"/>
      <c r="AE15" s="11" t="s">
        <v>1734</v>
      </c>
      <c r="AF15" s="11" t="s">
        <v>1165</v>
      </c>
      <c r="AG15" s="11" t="s">
        <v>1165</v>
      </c>
      <c r="AH15" s="11" t="s">
        <v>1735</v>
      </c>
      <c r="AI15" s="11" t="s">
        <v>1396</v>
      </c>
      <c r="AJ15" s="11" t="s">
        <v>1736</v>
      </c>
      <c r="AK15" s="11" t="s">
        <v>308</v>
      </c>
      <c r="AL15" s="11" t="s">
        <v>1737</v>
      </c>
      <c r="AM15" s="11" t="s">
        <v>1738</v>
      </c>
      <c r="AN15" s="11" t="s">
        <v>1739</v>
      </c>
      <c r="AO15" s="12" t="s">
        <v>1740</v>
      </c>
    </row>
    <row r="16" customFormat="false" ht="95.5" hidden="false" customHeight="false" outlineLevel="0" collapsed="false">
      <c r="A16" s="10" t="s">
        <v>1784</v>
      </c>
      <c r="B16" s="11" t="s">
        <v>79</v>
      </c>
      <c r="C16" s="11" t="s">
        <v>80</v>
      </c>
      <c r="D16" s="11" t="s">
        <v>61</v>
      </c>
      <c r="E16" s="11" t="s">
        <v>68</v>
      </c>
      <c r="F16" s="11" t="n">
        <v>1</v>
      </c>
      <c r="G16" s="11" t="s">
        <v>1721</v>
      </c>
      <c r="H16" s="11" t="s">
        <v>1722</v>
      </c>
      <c r="I16" s="11" t="s">
        <v>1723</v>
      </c>
      <c r="J16" s="11" t="s">
        <v>1724</v>
      </c>
      <c r="K16" s="11" t="s">
        <v>1725</v>
      </c>
      <c r="L16" s="11" t="s">
        <v>1726</v>
      </c>
      <c r="M16" s="11" t="s">
        <v>1727</v>
      </c>
      <c r="N16" s="11"/>
      <c r="O16" s="11" t="s">
        <v>1165</v>
      </c>
      <c r="P16" s="11" t="s">
        <v>1785</v>
      </c>
      <c r="Q16" s="11" t="s">
        <v>1729</v>
      </c>
      <c r="R16" s="11" t="s">
        <v>1730</v>
      </c>
      <c r="S16" s="11" t="s">
        <v>1731</v>
      </c>
      <c r="T16" s="11"/>
      <c r="U16" s="11"/>
      <c r="V16" s="11" t="s">
        <v>1165</v>
      </c>
      <c r="W16" s="11"/>
      <c r="X16" s="11" t="s">
        <v>1732</v>
      </c>
      <c r="Y16" s="11" t="s">
        <v>1733</v>
      </c>
      <c r="Z16" s="11"/>
      <c r="AA16" s="11"/>
      <c r="AB16" s="11"/>
      <c r="AC16" s="11"/>
      <c r="AD16" s="11"/>
      <c r="AE16" s="11" t="s">
        <v>1734</v>
      </c>
      <c r="AF16" s="11" t="s">
        <v>1165</v>
      </c>
      <c r="AG16" s="11" t="s">
        <v>1165</v>
      </c>
      <c r="AH16" s="11" t="s">
        <v>1735</v>
      </c>
      <c r="AI16" s="11" t="s">
        <v>1396</v>
      </c>
      <c r="AJ16" s="11" t="s">
        <v>1736</v>
      </c>
      <c r="AK16" s="11" t="s">
        <v>308</v>
      </c>
      <c r="AL16" s="11" t="s">
        <v>1737</v>
      </c>
      <c r="AM16" s="11" t="s">
        <v>1738</v>
      </c>
      <c r="AN16" s="11" t="s">
        <v>1739</v>
      </c>
      <c r="AO16" s="12" t="s">
        <v>1740</v>
      </c>
    </row>
    <row r="17" customFormat="false" ht="95.5" hidden="false" customHeight="false" outlineLevel="0" collapsed="false">
      <c r="A17" s="10" t="s">
        <v>1786</v>
      </c>
      <c r="B17" s="11" t="s">
        <v>79</v>
      </c>
      <c r="C17" s="11" t="s">
        <v>80</v>
      </c>
      <c r="D17" s="11" t="s">
        <v>61</v>
      </c>
      <c r="E17" s="11" t="s">
        <v>68</v>
      </c>
      <c r="F17" s="11" t="n">
        <v>2</v>
      </c>
      <c r="G17" s="11" t="s">
        <v>1787</v>
      </c>
      <c r="H17" s="11" t="s">
        <v>1750</v>
      </c>
      <c r="I17" s="11" t="s">
        <v>1751</v>
      </c>
      <c r="J17" s="11" t="s">
        <v>1752</v>
      </c>
      <c r="K17" s="11" t="s">
        <v>1725</v>
      </c>
      <c r="L17" s="11" t="s">
        <v>1726</v>
      </c>
      <c r="M17" s="11" t="s">
        <v>1753</v>
      </c>
      <c r="N17" s="11"/>
      <c r="O17" s="11" t="s">
        <v>1165</v>
      </c>
      <c r="P17" s="11" t="s">
        <v>1785</v>
      </c>
      <c r="Q17" s="11" t="s">
        <v>1754</v>
      </c>
      <c r="R17" s="11" t="s">
        <v>1730</v>
      </c>
      <c r="S17" s="11" t="s">
        <v>1731</v>
      </c>
      <c r="T17" s="11"/>
      <c r="U17" s="11"/>
      <c r="V17" s="11" t="s">
        <v>1165</v>
      </c>
      <c r="W17" s="11"/>
      <c r="X17" s="11" t="s">
        <v>1732</v>
      </c>
      <c r="Y17" s="11" t="s">
        <v>1733</v>
      </c>
      <c r="Z17" s="11"/>
      <c r="AA17" s="11"/>
      <c r="AB17" s="11"/>
      <c r="AC17" s="11"/>
      <c r="AD17" s="11"/>
      <c r="AE17" s="11" t="s">
        <v>1734</v>
      </c>
      <c r="AF17" s="11" t="s">
        <v>1165</v>
      </c>
      <c r="AG17" s="11" t="s">
        <v>1165</v>
      </c>
      <c r="AH17" s="11" t="s">
        <v>1735</v>
      </c>
      <c r="AI17" s="11" t="s">
        <v>1396</v>
      </c>
      <c r="AJ17" s="11" t="s">
        <v>1736</v>
      </c>
      <c r="AK17" s="11" t="s">
        <v>308</v>
      </c>
      <c r="AL17" s="11" t="s">
        <v>1737</v>
      </c>
      <c r="AM17" s="11" t="s">
        <v>1738</v>
      </c>
      <c r="AN17" s="11" t="s">
        <v>1739</v>
      </c>
      <c r="AO17" s="12" t="s">
        <v>1740</v>
      </c>
    </row>
    <row r="18" customFormat="false" ht="95.5" hidden="false" customHeight="false" outlineLevel="0" collapsed="false">
      <c r="A18" s="10" t="s">
        <v>1788</v>
      </c>
      <c r="B18" s="11" t="s">
        <v>79</v>
      </c>
      <c r="C18" s="11" t="s">
        <v>80</v>
      </c>
      <c r="D18" s="11" t="s">
        <v>61</v>
      </c>
      <c r="E18" s="11" t="s">
        <v>68</v>
      </c>
      <c r="F18" s="11" t="n">
        <v>3</v>
      </c>
      <c r="G18" s="11" t="s">
        <v>1778</v>
      </c>
      <c r="H18" s="11" t="s">
        <v>1750</v>
      </c>
      <c r="I18" s="11" t="s">
        <v>1751</v>
      </c>
      <c r="J18" s="11" t="s">
        <v>1752</v>
      </c>
      <c r="K18" s="11" t="s">
        <v>1725</v>
      </c>
      <c r="L18" s="11" t="s">
        <v>1726</v>
      </c>
      <c r="M18" s="11" t="s">
        <v>1753</v>
      </c>
      <c r="N18" s="11"/>
      <c r="O18" s="11" t="s">
        <v>1165</v>
      </c>
      <c r="P18" s="11" t="s">
        <v>1785</v>
      </c>
      <c r="Q18" s="11" t="s">
        <v>1754</v>
      </c>
      <c r="R18" s="11" t="s">
        <v>1730</v>
      </c>
      <c r="S18" s="11" t="s">
        <v>1731</v>
      </c>
      <c r="T18" s="11"/>
      <c r="U18" s="11"/>
      <c r="V18" s="11" t="s">
        <v>1165</v>
      </c>
      <c r="W18" s="11"/>
      <c r="X18" s="11" t="s">
        <v>1732</v>
      </c>
      <c r="Y18" s="11" t="s">
        <v>1733</v>
      </c>
      <c r="Z18" s="11"/>
      <c r="AA18" s="11"/>
      <c r="AB18" s="11"/>
      <c r="AC18" s="11"/>
      <c r="AD18" s="11"/>
      <c r="AE18" s="11" t="s">
        <v>1734</v>
      </c>
      <c r="AF18" s="11" t="s">
        <v>1165</v>
      </c>
      <c r="AG18" s="11" t="s">
        <v>1165</v>
      </c>
      <c r="AH18" s="11" t="s">
        <v>1735</v>
      </c>
      <c r="AI18" s="11" t="s">
        <v>1396</v>
      </c>
      <c r="AJ18" s="11" t="s">
        <v>1736</v>
      </c>
      <c r="AK18" s="11" t="s">
        <v>308</v>
      </c>
      <c r="AL18" s="11" t="s">
        <v>1737</v>
      </c>
      <c r="AM18" s="11" t="s">
        <v>1738</v>
      </c>
      <c r="AN18" s="11" t="s">
        <v>1739</v>
      </c>
      <c r="AO18" s="12" t="s">
        <v>1740</v>
      </c>
    </row>
    <row r="19" customFormat="false" ht="95.5" hidden="false" customHeight="false" outlineLevel="0" collapsed="false">
      <c r="A19" s="10" t="s">
        <v>1789</v>
      </c>
      <c r="B19" s="11" t="s">
        <v>79</v>
      </c>
      <c r="C19" s="11" t="s">
        <v>80</v>
      </c>
      <c r="D19" s="11" t="s">
        <v>61</v>
      </c>
      <c r="E19" s="11" t="s">
        <v>68</v>
      </c>
      <c r="F19" s="11" t="n">
        <v>4</v>
      </c>
      <c r="G19" s="11" t="s">
        <v>1790</v>
      </c>
      <c r="H19" s="11" t="s">
        <v>1750</v>
      </c>
      <c r="I19" s="11" t="s">
        <v>1751</v>
      </c>
      <c r="J19" s="11" t="s">
        <v>1752</v>
      </c>
      <c r="K19" s="11" t="s">
        <v>1725</v>
      </c>
      <c r="L19" s="11" t="s">
        <v>1726</v>
      </c>
      <c r="M19" s="11" t="s">
        <v>1753</v>
      </c>
      <c r="N19" s="11"/>
      <c r="O19" s="11" t="s">
        <v>1165</v>
      </c>
      <c r="P19" s="11" t="s">
        <v>1785</v>
      </c>
      <c r="Q19" s="11" t="s">
        <v>1754</v>
      </c>
      <c r="R19" s="11" t="s">
        <v>1730</v>
      </c>
      <c r="S19" s="11" t="s">
        <v>1731</v>
      </c>
      <c r="T19" s="11"/>
      <c r="U19" s="11"/>
      <c r="V19" s="11" t="s">
        <v>1165</v>
      </c>
      <c r="W19" s="11"/>
      <c r="X19" s="11" t="s">
        <v>1732</v>
      </c>
      <c r="Y19" s="11" t="s">
        <v>1733</v>
      </c>
      <c r="Z19" s="11"/>
      <c r="AA19" s="11"/>
      <c r="AB19" s="11"/>
      <c r="AC19" s="11"/>
      <c r="AD19" s="11"/>
      <c r="AE19" s="11" t="s">
        <v>1734</v>
      </c>
      <c r="AF19" s="11" t="s">
        <v>1165</v>
      </c>
      <c r="AG19" s="11" t="s">
        <v>1165</v>
      </c>
      <c r="AH19" s="11" t="s">
        <v>1735</v>
      </c>
      <c r="AI19" s="11" t="s">
        <v>1396</v>
      </c>
      <c r="AJ19" s="11" t="s">
        <v>1736</v>
      </c>
      <c r="AK19" s="11" t="s">
        <v>308</v>
      </c>
      <c r="AL19" s="11" t="s">
        <v>1737</v>
      </c>
      <c r="AM19" s="11" t="s">
        <v>1738</v>
      </c>
      <c r="AN19" s="11" t="s">
        <v>1739</v>
      </c>
      <c r="AO19" s="12" t="s">
        <v>1740</v>
      </c>
    </row>
    <row r="20" customFormat="false" ht="95.5" hidden="false" customHeight="false" outlineLevel="0" collapsed="false">
      <c r="A20" s="10" t="s">
        <v>1791</v>
      </c>
      <c r="B20" s="11" t="s">
        <v>79</v>
      </c>
      <c r="C20" s="11" t="s">
        <v>80</v>
      </c>
      <c r="D20" s="11" t="s">
        <v>61</v>
      </c>
      <c r="E20" s="11" t="s">
        <v>68</v>
      </c>
      <c r="F20" s="11" t="n">
        <v>5</v>
      </c>
      <c r="G20" s="11" t="s">
        <v>1763</v>
      </c>
      <c r="H20" s="11" t="s">
        <v>1764</v>
      </c>
      <c r="I20" s="11" t="s">
        <v>1765</v>
      </c>
      <c r="J20" s="11" t="s">
        <v>1766</v>
      </c>
      <c r="K20" s="11" t="s">
        <v>1725</v>
      </c>
      <c r="L20" s="11" t="s">
        <v>1726</v>
      </c>
      <c r="M20" s="11" t="s">
        <v>1767</v>
      </c>
      <c r="N20" s="11"/>
      <c r="O20" s="11" t="s">
        <v>1165</v>
      </c>
      <c r="P20" s="11" t="s">
        <v>1785</v>
      </c>
      <c r="Q20" s="11" t="s">
        <v>1768</v>
      </c>
      <c r="R20" s="11" t="s">
        <v>1730</v>
      </c>
      <c r="S20" s="11" t="s">
        <v>1731</v>
      </c>
      <c r="T20" s="11" t="n">
        <v>1</v>
      </c>
      <c r="U20" s="11" t="s">
        <v>1769</v>
      </c>
      <c r="V20" s="11" t="s">
        <v>1770</v>
      </c>
      <c r="W20" s="11" t="n">
        <v>1</v>
      </c>
      <c r="X20" s="11" t="s">
        <v>1771</v>
      </c>
      <c r="Y20" s="11" t="s">
        <v>1772</v>
      </c>
      <c r="Z20" s="11"/>
      <c r="AA20" s="11"/>
      <c r="AB20" s="11"/>
      <c r="AC20" s="11"/>
      <c r="AD20" s="11"/>
      <c r="AE20" s="11" t="s">
        <v>1734</v>
      </c>
      <c r="AF20" s="11" t="s">
        <v>1165</v>
      </c>
      <c r="AG20" s="11" t="s">
        <v>1165</v>
      </c>
      <c r="AH20" s="11" t="s">
        <v>1735</v>
      </c>
      <c r="AI20" s="11" t="s">
        <v>1396</v>
      </c>
      <c r="AJ20" s="11" t="s">
        <v>1736</v>
      </c>
      <c r="AK20" s="11" t="s">
        <v>308</v>
      </c>
      <c r="AL20" s="11" t="s">
        <v>1737</v>
      </c>
      <c r="AM20" s="11" t="s">
        <v>1738</v>
      </c>
      <c r="AN20" s="11" t="s">
        <v>1739</v>
      </c>
      <c r="AO20" s="12" t="s">
        <v>1740</v>
      </c>
    </row>
    <row r="21" customFormat="false" ht="95.5" hidden="false" customHeight="false" outlineLevel="0" collapsed="false">
      <c r="A21" s="10" t="s">
        <v>1792</v>
      </c>
      <c r="B21" s="11" t="s">
        <v>85</v>
      </c>
      <c r="C21" s="11" t="s">
        <v>86</v>
      </c>
      <c r="D21" s="11" t="s">
        <v>61</v>
      </c>
      <c r="E21" s="11" t="s">
        <v>68</v>
      </c>
      <c r="F21" s="11" t="n">
        <v>1</v>
      </c>
      <c r="G21" s="11" t="s">
        <v>1721</v>
      </c>
      <c r="H21" s="11" t="s">
        <v>1722</v>
      </c>
      <c r="I21" s="11" t="s">
        <v>1723</v>
      </c>
      <c r="J21" s="11" t="s">
        <v>1724</v>
      </c>
      <c r="K21" s="11" t="s">
        <v>1725</v>
      </c>
      <c r="L21" s="11" t="s">
        <v>1726</v>
      </c>
      <c r="M21" s="11" t="s">
        <v>1727</v>
      </c>
      <c r="N21" s="11"/>
      <c r="O21" s="11" t="s">
        <v>1165</v>
      </c>
      <c r="P21" s="11" t="s">
        <v>1776</v>
      </c>
      <c r="Q21" s="11" t="s">
        <v>1729</v>
      </c>
      <c r="R21" s="11" t="s">
        <v>1730</v>
      </c>
      <c r="S21" s="11" t="s">
        <v>1731</v>
      </c>
      <c r="T21" s="11"/>
      <c r="U21" s="11"/>
      <c r="V21" s="11" t="s">
        <v>1165</v>
      </c>
      <c r="W21" s="11"/>
      <c r="X21" s="11" t="s">
        <v>1732</v>
      </c>
      <c r="Y21" s="11" t="s">
        <v>1733</v>
      </c>
      <c r="Z21" s="11"/>
      <c r="AA21" s="11"/>
      <c r="AB21" s="11"/>
      <c r="AC21" s="11"/>
      <c r="AD21" s="11"/>
      <c r="AE21" s="11" t="s">
        <v>1734</v>
      </c>
      <c r="AF21" s="11" t="s">
        <v>1165</v>
      </c>
      <c r="AG21" s="11" t="s">
        <v>1165</v>
      </c>
      <c r="AH21" s="11" t="s">
        <v>1735</v>
      </c>
      <c r="AI21" s="11" t="s">
        <v>1396</v>
      </c>
      <c r="AJ21" s="11" t="s">
        <v>1736</v>
      </c>
      <c r="AK21" s="11" t="s">
        <v>308</v>
      </c>
      <c r="AL21" s="11" t="s">
        <v>1737</v>
      </c>
      <c r="AM21" s="11" t="s">
        <v>1738</v>
      </c>
      <c r="AN21" s="11" t="s">
        <v>1739</v>
      </c>
      <c r="AO21" s="12" t="s">
        <v>1740</v>
      </c>
    </row>
    <row r="22" customFormat="false" ht="95.5" hidden="false" customHeight="false" outlineLevel="0" collapsed="false">
      <c r="A22" s="10" t="s">
        <v>1793</v>
      </c>
      <c r="B22" s="11" t="s">
        <v>85</v>
      </c>
      <c r="C22" s="11" t="s">
        <v>86</v>
      </c>
      <c r="D22" s="11" t="s">
        <v>61</v>
      </c>
      <c r="E22" s="11" t="s">
        <v>68</v>
      </c>
      <c r="F22" s="11" t="n">
        <v>2</v>
      </c>
      <c r="G22" s="11" t="s">
        <v>1778</v>
      </c>
      <c r="H22" s="11" t="s">
        <v>1750</v>
      </c>
      <c r="I22" s="11" t="s">
        <v>1751</v>
      </c>
      <c r="J22" s="11" t="s">
        <v>1752</v>
      </c>
      <c r="K22" s="11" t="s">
        <v>1725</v>
      </c>
      <c r="L22" s="11" t="s">
        <v>1726</v>
      </c>
      <c r="M22" s="11" t="s">
        <v>1753</v>
      </c>
      <c r="N22" s="11"/>
      <c r="O22" s="11" t="s">
        <v>1165</v>
      </c>
      <c r="P22" s="11" t="s">
        <v>1776</v>
      </c>
      <c r="Q22" s="11" t="s">
        <v>1754</v>
      </c>
      <c r="R22" s="11" t="s">
        <v>1730</v>
      </c>
      <c r="S22" s="11" t="s">
        <v>1731</v>
      </c>
      <c r="T22" s="11"/>
      <c r="U22" s="11"/>
      <c r="V22" s="11" t="s">
        <v>1165</v>
      </c>
      <c r="W22" s="11"/>
      <c r="X22" s="11" t="s">
        <v>1732</v>
      </c>
      <c r="Y22" s="11" t="s">
        <v>1733</v>
      </c>
      <c r="Z22" s="11"/>
      <c r="AA22" s="11"/>
      <c r="AB22" s="11"/>
      <c r="AC22" s="11"/>
      <c r="AD22" s="11"/>
      <c r="AE22" s="11" t="s">
        <v>1734</v>
      </c>
      <c r="AF22" s="11" t="s">
        <v>1165</v>
      </c>
      <c r="AG22" s="11" t="s">
        <v>1165</v>
      </c>
      <c r="AH22" s="11" t="s">
        <v>1735</v>
      </c>
      <c r="AI22" s="11" t="s">
        <v>1396</v>
      </c>
      <c r="AJ22" s="11" t="s">
        <v>1736</v>
      </c>
      <c r="AK22" s="11" t="s">
        <v>308</v>
      </c>
      <c r="AL22" s="11" t="s">
        <v>1737</v>
      </c>
      <c r="AM22" s="11" t="s">
        <v>1738</v>
      </c>
      <c r="AN22" s="11" t="s">
        <v>1739</v>
      </c>
      <c r="AO22" s="12" t="s">
        <v>1740</v>
      </c>
    </row>
    <row r="23" customFormat="false" ht="95.5" hidden="false" customHeight="false" outlineLevel="0" collapsed="false">
      <c r="A23" s="10" t="s">
        <v>1794</v>
      </c>
      <c r="B23" s="11" t="s">
        <v>85</v>
      </c>
      <c r="C23" s="11" t="s">
        <v>86</v>
      </c>
      <c r="D23" s="11" t="s">
        <v>61</v>
      </c>
      <c r="E23" s="11" t="s">
        <v>68</v>
      </c>
      <c r="F23" s="11" t="n">
        <v>3</v>
      </c>
      <c r="G23" s="11" t="s">
        <v>1795</v>
      </c>
      <c r="H23" s="11" t="s">
        <v>1750</v>
      </c>
      <c r="I23" s="11" t="s">
        <v>1751</v>
      </c>
      <c r="J23" s="11" t="s">
        <v>1752</v>
      </c>
      <c r="K23" s="11" t="s">
        <v>1725</v>
      </c>
      <c r="L23" s="11" t="s">
        <v>1726</v>
      </c>
      <c r="M23" s="11" t="s">
        <v>1753</v>
      </c>
      <c r="N23" s="11"/>
      <c r="O23" s="11" t="s">
        <v>1165</v>
      </c>
      <c r="P23" s="11" t="s">
        <v>1776</v>
      </c>
      <c r="Q23" s="11" t="s">
        <v>1754</v>
      </c>
      <c r="R23" s="11" t="s">
        <v>1730</v>
      </c>
      <c r="S23" s="11" t="s">
        <v>1731</v>
      </c>
      <c r="T23" s="11"/>
      <c r="U23" s="11"/>
      <c r="V23" s="11" t="s">
        <v>1165</v>
      </c>
      <c r="W23" s="11"/>
      <c r="X23" s="11" t="s">
        <v>1732</v>
      </c>
      <c r="Y23" s="11" t="s">
        <v>1733</v>
      </c>
      <c r="Z23" s="11"/>
      <c r="AA23" s="11"/>
      <c r="AB23" s="11"/>
      <c r="AC23" s="11"/>
      <c r="AD23" s="11"/>
      <c r="AE23" s="11" t="s">
        <v>1734</v>
      </c>
      <c r="AF23" s="11" t="s">
        <v>1165</v>
      </c>
      <c r="AG23" s="11" t="s">
        <v>1165</v>
      </c>
      <c r="AH23" s="11" t="s">
        <v>1735</v>
      </c>
      <c r="AI23" s="11" t="s">
        <v>1396</v>
      </c>
      <c r="AJ23" s="11" t="s">
        <v>1736</v>
      </c>
      <c r="AK23" s="11" t="s">
        <v>308</v>
      </c>
      <c r="AL23" s="11" t="s">
        <v>1737</v>
      </c>
      <c r="AM23" s="11" t="s">
        <v>1738</v>
      </c>
      <c r="AN23" s="11" t="s">
        <v>1739</v>
      </c>
      <c r="AO23" s="12" t="s">
        <v>1740</v>
      </c>
    </row>
    <row r="24" customFormat="false" ht="95.5" hidden="false" customHeight="false" outlineLevel="0" collapsed="false">
      <c r="A24" s="10" t="s">
        <v>1796</v>
      </c>
      <c r="B24" s="11" t="s">
        <v>85</v>
      </c>
      <c r="C24" s="11" t="s">
        <v>86</v>
      </c>
      <c r="D24" s="11" t="s">
        <v>61</v>
      </c>
      <c r="E24" s="11" t="s">
        <v>68</v>
      </c>
      <c r="F24" s="11" t="n">
        <v>4</v>
      </c>
      <c r="G24" s="11" t="s">
        <v>1763</v>
      </c>
      <c r="H24" s="11" t="s">
        <v>1764</v>
      </c>
      <c r="I24" s="11" t="s">
        <v>1765</v>
      </c>
      <c r="J24" s="11" t="s">
        <v>1766</v>
      </c>
      <c r="K24" s="11" t="s">
        <v>1725</v>
      </c>
      <c r="L24" s="11" t="s">
        <v>1726</v>
      </c>
      <c r="M24" s="11" t="s">
        <v>1767</v>
      </c>
      <c r="N24" s="11"/>
      <c r="O24" s="11" t="s">
        <v>1165</v>
      </c>
      <c r="P24" s="11" t="s">
        <v>1776</v>
      </c>
      <c r="Q24" s="11" t="s">
        <v>1768</v>
      </c>
      <c r="R24" s="11" t="s">
        <v>1730</v>
      </c>
      <c r="S24" s="11" t="s">
        <v>1731</v>
      </c>
      <c r="T24" s="11" t="n">
        <v>1</v>
      </c>
      <c r="U24" s="11" t="s">
        <v>1769</v>
      </c>
      <c r="V24" s="11" t="s">
        <v>1770</v>
      </c>
      <c r="W24" s="11" t="n">
        <v>1</v>
      </c>
      <c r="X24" s="11" t="s">
        <v>1771</v>
      </c>
      <c r="Y24" s="11" t="s">
        <v>1772</v>
      </c>
      <c r="Z24" s="11"/>
      <c r="AA24" s="11"/>
      <c r="AB24" s="11"/>
      <c r="AC24" s="11"/>
      <c r="AD24" s="11"/>
      <c r="AE24" s="11" t="s">
        <v>1734</v>
      </c>
      <c r="AF24" s="11" t="s">
        <v>1165</v>
      </c>
      <c r="AG24" s="11" t="s">
        <v>1165</v>
      </c>
      <c r="AH24" s="11" t="s">
        <v>1735</v>
      </c>
      <c r="AI24" s="11" t="s">
        <v>1396</v>
      </c>
      <c r="AJ24" s="11" t="s">
        <v>1736</v>
      </c>
      <c r="AK24" s="11" t="s">
        <v>308</v>
      </c>
      <c r="AL24" s="11" t="s">
        <v>1737</v>
      </c>
      <c r="AM24" s="11" t="s">
        <v>1738</v>
      </c>
      <c r="AN24" s="11" t="s">
        <v>1739</v>
      </c>
      <c r="AO24" s="12" t="s">
        <v>1740</v>
      </c>
    </row>
    <row r="25" customFormat="false" ht="95.5" hidden="false" customHeight="false" outlineLevel="0" collapsed="false">
      <c r="A25" s="10" t="s">
        <v>1797</v>
      </c>
      <c r="B25" s="11" t="s">
        <v>85</v>
      </c>
      <c r="C25" s="11" t="s">
        <v>86</v>
      </c>
      <c r="D25" s="11" t="s">
        <v>61</v>
      </c>
      <c r="E25" s="11" t="s">
        <v>68</v>
      </c>
      <c r="F25" s="11" t="n">
        <v>5</v>
      </c>
      <c r="G25" s="11" t="s">
        <v>1798</v>
      </c>
      <c r="H25" s="11" t="s">
        <v>1750</v>
      </c>
      <c r="I25" s="11" t="s">
        <v>1751</v>
      </c>
      <c r="J25" s="11" t="s">
        <v>1752</v>
      </c>
      <c r="K25" s="11" t="s">
        <v>1725</v>
      </c>
      <c r="L25" s="11" t="s">
        <v>1726</v>
      </c>
      <c r="M25" s="11" t="s">
        <v>1753</v>
      </c>
      <c r="N25" s="11"/>
      <c r="O25" s="11" t="s">
        <v>1165</v>
      </c>
      <c r="P25" s="11" t="s">
        <v>1776</v>
      </c>
      <c r="Q25" s="11" t="s">
        <v>1754</v>
      </c>
      <c r="R25" s="11" t="s">
        <v>1730</v>
      </c>
      <c r="S25" s="11" t="s">
        <v>1731</v>
      </c>
      <c r="T25" s="11"/>
      <c r="U25" s="11"/>
      <c r="V25" s="11" t="s">
        <v>1165</v>
      </c>
      <c r="W25" s="11"/>
      <c r="X25" s="11" t="s">
        <v>1732</v>
      </c>
      <c r="Y25" s="11" t="s">
        <v>1733</v>
      </c>
      <c r="Z25" s="11"/>
      <c r="AA25" s="11"/>
      <c r="AB25" s="11"/>
      <c r="AC25" s="11"/>
      <c r="AD25" s="11"/>
      <c r="AE25" s="11" t="s">
        <v>1734</v>
      </c>
      <c r="AF25" s="11" t="s">
        <v>1165</v>
      </c>
      <c r="AG25" s="11" t="s">
        <v>1165</v>
      </c>
      <c r="AH25" s="11" t="s">
        <v>1735</v>
      </c>
      <c r="AI25" s="11" t="s">
        <v>1396</v>
      </c>
      <c r="AJ25" s="11" t="s">
        <v>1736</v>
      </c>
      <c r="AK25" s="11" t="s">
        <v>308</v>
      </c>
      <c r="AL25" s="11" t="s">
        <v>1737</v>
      </c>
      <c r="AM25" s="11" t="s">
        <v>1738</v>
      </c>
      <c r="AN25" s="11" t="s">
        <v>1739</v>
      </c>
      <c r="AO25" s="12" t="s">
        <v>1740</v>
      </c>
    </row>
    <row r="26" customFormat="false" ht="95.5" hidden="false" customHeight="false" outlineLevel="0" collapsed="false">
      <c r="A26" s="10" t="s">
        <v>1799</v>
      </c>
      <c r="B26" s="11" t="s">
        <v>90</v>
      </c>
      <c r="C26" s="11" t="s">
        <v>92</v>
      </c>
      <c r="D26" s="11" t="s">
        <v>91</v>
      </c>
      <c r="E26" s="11" t="s">
        <v>68</v>
      </c>
      <c r="F26" s="11" t="n">
        <v>1</v>
      </c>
      <c r="G26" s="11" t="s">
        <v>1800</v>
      </c>
      <c r="H26" s="11" t="s">
        <v>1801</v>
      </c>
      <c r="I26" s="11" t="s">
        <v>1802</v>
      </c>
      <c r="J26" s="11" t="s">
        <v>1803</v>
      </c>
      <c r="K26" s="11" t="s">
        <v>1725</v>
      </c>
      <c r="L26" s="11" t="s">
        <v>1726</v>
      </c>
      <c r="M26" s="11" t="s">
        <v>1804</v>
      </c>
      <c r="N26" s="11"/>
      <c r="O26" s="11" t="s">
        <v>1165</v>
      </c>
      <c r="P26" s="11" t="s">
        <v>1805</v>
      </c>
      <c r="Q26" s="11" t="s">
        <v>1806</v>
      </c>
      <c r="R26" s="11" t="s">
        <v>1730</v>
      </c>
      <c r="S26" s="11" t="s">
        <v>1731</v>
      </c>
      <c r="T26" s="11"/>
      <c r="U26" s="11"/>
      <c r="V26" s="11" t="s">
        <v>1165</v>
      </c>
      <c r="W26" s="11"/>
      <c r="X26" s="11" t="s">
        <v>1732</v>
      </c>
      <c r="Y26" s="11" t="s">
        <v>1733</v>
      </c>
      <c r="Z26" s="11"/>
      <c r="AA26" s="11"/>
      <c r="AB26" s="11"/>
      <c r="AC26" s="11"/>
      <c r="AD26" s="11"/>
      <c r="AE26" s="11" t="s">
        <v>1734</v>
      </c>
      <c r="AF26" s="11" t="s">
        <v>1165</v>
      </c>
      <c r="AG26" s="11" t="s">
        <v>1165</v>
      </c>
      <c r="AH26" s="11" t="s">
        <v>1735</v>
      </c>
      <c r="AI26" s="11" t="s">
        <v>1396</v>
      </c>
      <c r="AJ26" s="11" t="s">
        <v>1736</v>
      </c>
      <c r="AK26" s="11" t="s">
        <v>308</v>
      </c>
      <c r="AL26" s="11" t="s">
        <v>1737</v>
      </c>
      <c r="AM26" s="11" t="s">
        <v>1738</v>
      </c>
      <c r="AN26" s="11" t="s">
        <v>1739</v>
      </c>
      <c r="AO26" s="12" t="s">
        <v>1740</v>
      </c>
    </row>
    <row r="27" customFormat="false" ht="95.5" hidden="false" customHeight="false" outlineLevel="0" collapsed="false">
      <c r="A27" s="10" t="s">
        <v>1807</v>
      </c>
      <c r="B27" s="11" t="s">
        <v>90</v>
      </c>
      <c r="C27" s="11" t="s">
        <v>92</v>
      </c>
      <c r="D27" s="11" t="s">
        <v>91</v>
      </c>
      <c r="E27" s="11" t="s">
        <v>68</v>
      </c>
      <c r="F27" s="11" t="n">
        <v>2</v>
      </c>
      <c r="G27" s="11" t="s">
        <v>1808</v>
      </c>
      <c r="H27" s="11" t="s">
        <v>1801</v>
      </c>
      <c r="I27" s="11" t="s">
        <v>1802</v>
      </c>
      <c r="J27" s="11" t="s">
        <v>1803</v>
      </c>
      <c r="K27" s="11" t="s">
        <v>1725</v>
      </c>
      <c r="L27" s="11" t="s">
        <v>1726</v>
      </c>
      <c r="M27" s="11" t="s">
        <v>1804</v>
      </c>
      <c r="N27" s="11"/>
      <c r="O27" s="11" t="s">
        <v>1165</v>
      </c>
      <c r="P27" s="11" t="s">
        <v>1805</v>
      </c>
      <c r="Q27" s="11" t="s">
        <v>1806</v>
      </c>
      <c r="R27" s="11" t="s">
        <v>1730</v>
      </c>
      <c r="S27" s="11" t="s">
        <v>1731</v>
      </c>
      <c r="T27" s="11"/>
      <c r="U27" s="11"/>
      <c r="V27" s="11" t="s">
        <v>1165</v>
      </c>
      <c r="W27" s="11"/>
      <c r="X27" s="11" t="s">
        <v>1732</v>
      </c>
      <c r="Y27" s="11" t="s">
        <v>1733</v>
      </c>
      <c r="Z27" s="11"/>
      <c r="AA27" s="11"/>
      <c r="AB27" s="11"/>
      <c r="AC27" s="11"/>
      <c r="AD27" s="11"/>
      <c r="AE27" s="11" t="s">
        <v>1734</v>
      </c>
      <c r="AF27" s="11" t="s">
        <v>1165</v>
      </c>
      <c r="AG27" s="11" t="s">
        <v>1165</v>
      </c>
      <c r="AH27" s="11" t="s">
        <v>1735</v>
      </c>
      <c r="AI27" s="11" t="s">
        <v>1396</v>
      </c>
      <c r="AJ27" s="11" t="s">
        <v>1736</v>
      </c>
      <c r="AK27" s="11" t="s">
        <v>308</v>
      </c>
      <c r="AL27" s="11" t="s">
        <v>1737</v>
      </c>
      <c r="AM27" s="11" t="s">
        <v>1738</v>
      </c>
      <c r="AN27" s="11" t="s">
        <v>1739</v>
      </c>
      <c r="AO27" s="12" t="s">
        <v>1740</v>
      </c>
    </row>
    <row r="28" customFormat="false" ht="95.5" hidden="false" customHeight="false" outlineLevel="0" collapsed="false">
      <c r="A28" s="10" t="s">
        <v>1809</v>
      </c>
      <c r="B28" s="11" t="s">
        <v>90</v>
      </c>
      <c r="C28" s="11" t="s">
        <v>92</v>
      </c>
      <c r="D28" s="11" t="s">
        <v>91</v>
      </c>
      <c r="E28" s="11" t="s">
        <v>68</v>
      </c>
      <c r="F28" s="11" t="n">
        <v>3</v>
      </c>
      <c r="G28" s="11" t="s">
        <v>1810</v>
      </c>
      <c r="H28" s="11" t="s">
        <v>1743</v>
      </c>
      <c r="I28" s="11" t="s">
        <v>1744</v>
      </c>
      <c r="J28" s="11" t="s">
        <v>1745</v>
      </c>
      <c r="K28" s="11" t="s">
        <v>1725</v>
      </c>
      <c r="L28" s="11" t="s">
        <v>1726</v>
      </c>
      <c r="M28" s="11" t="s">
        <v>1811</v>
      </c>
      <c r="N28" s="11"/>
      <c r="O28" s="11" t="s">
        <v>1165</v>
      </c>
      <c r="P28" s="11" t="s">
        <v>1805</v>
      </c>
      <c r="Q28" s="11" t="s">
        <v>1747</v>
      </c>
      <c r="R28" s="11" t="s">
        <v>1730</v>
      </c>
      <c r="S28" s="11" t="s">
        <v>1731</v>
      </c>
      <c r="T28" s="11"/>
      <c r="U28" s="11"/>
      <c r="V28" s="11" t="s">
        <v>1165</v>
      </c>
      <c r="W28" s="11"/>
      <c r="X28" s="11" t="s">
        <v>1732</v>
      </c>
      <c r="Y28" s="11" t="s">
        <v>1733</v>
      </c>
      <c r="Z28" s="11"/>
      <c r="AA28" s="11"/>
      <c r="AB28" s="11"/>
      <c r="AC28" s="11"/>
      <c r="AD28" s="11"/>
      <c r="AE28" s="11" t="s">
        <v>1734</v>
      </c>
      <c r="AF28" s="11" t="s">
        <v>1165</v>
      </c>
      <c r="AG28" s="11" t="s">
        <v>1165</v>
      </c>
      <c r="AH28" s="11" t="s">
        <v>1735</v>
      </c>
      <c r="AI28" s="11" t="s">
        <v>1396</v>
      </c>
      <c r="AJ28" s="11" t="s">
        <v>1736</v>
      </c>
      <c r="AK28" s="11" t="s">
        <v>308</v>
      </c>
      <c r="AL28" s="11" t="s">
        <v>1737</v>
      </c>
      <c r="AM28" s="11" t="s">
        <v>1738</v>
      </c>
      <c r="AN28" s="11" t="s">
        <v>1739</v>
      </c>
      <c r="AO28" s="12" t="s">
        <v>1740</v>
      </c>
    </row>
    <row r="29" customFormat="false" ht="95.5" hidden="false" customHeight="false" outlineLevel="0" collapsed="false">
      <c r="A29" s="10" t="s">
        <v>1812</v>
      </c>
      <c r="B29" s="11" t="s">
        <v>90</v>
      </c>
      <c r="C29" s="11" t="s">
        <v>92</v>
      </c>
      <c r="D29" s="11" t="s">
        <v>91</v>
      </c>
      <c r="E29" s="11" t="s">
        <v>68</v>
      </c>
      <c r="F29" s="11" t="n">
        <v>4</v>
      </c>
      <c r="G29" s="11" t="s">
        <v>1778</v>
      </c>
      <c r="H29" s="11" t="s">
        <v>1813</v>
      </c>
      <c r="I29" s="11" t="s">
        <v>1814</v>
      </c>
      <c r="J29" s="11"/>
      <c r="K29" s="11"/>
      <c r="L29" s="11"/>
      <c r="M29" s="11" t="s">
        <v>1815</v>
      </c>
      <c r="N29" s="11"/>
      <c r="O29" s="11" t="s">
        <v>1165</v>
      </c>
      <c r="P29" s="11" t="s">
        <v>1805</v>
      </c>
      <c r="Q29" s="11"/>
      <c r="R29" s="11"/>
      <c r="S29" s="11" t="s">
        <v>1165</v>
      </c>
      <c r="T29" s="11"/>
      <c r="U29" s="11"/>
      <c r="V29" s="11" t="s">
        <v>1165</v>
      </c>
      <c r="W29" s="11"/>
      <c r="X29" s="11" t="s">
        <v>1732</v>
      </c>
      <c r="Y29" s="11" t="s">
        <v>1733</v>
      </c>
      <c r="Z29" s="11"/>
      <c r="AA29" s="11"/>
      <c r="AB29" s="11"/>
      <c r="AC29" s="11"/>
      <c r="AD29" s="11"/>
      <c r="AE29" s="11" t="s">
        <v>1734</v>
      </c>
      <c r="AF29" s="11" t="s">
        <v>1165</v>
      </c>
      <c r="AG29" s="11" t="s">
        <v>1165</v>
      </c>
      <c r="AH29" s="11" t="s">
        <v>1816</v>
      </c>
      <c r="AI29" s="11" t="s">
        <v>1396</v>
      </c>
      <c r="AJ29" s="11" t="s">
        <v>1736</v>
      </c>
      <c r="AK29" s="11" t="s">
        <v>308</v>
      </c>
      <c r="AL29" s="11" t="s">
        <v>1737</v>
      </c>
      <c r="AM29" s="11" t="s">
        <v>1738</v>
      </c>
      <c r="AN29" s="11" t="s">
        <v>1817</v>
      </c>
      <c r="AO29" s="12" t="s">
        <v>1740</v>
      </c>
    </row>
    <row r="30" customFormat="false" ht="95.5" hidden="false" customHeight="false" outlineLevel="0" collapsed="false">
      <c r="A30" s="10" t="s">
        <v>1818</v>
      </c>
      <c r="B30" s="11" t="s">
        <v>90</v>
      </c>
      <c r="C30" s="11" t="s">
        <v>92</v>
      </c>
      <c r="D30" s="11" t="s">
        <v>91</v>
      </c>
      <c r="E30" s="11" t="s">
        <v>68</v>
      </c>
      <c r="F30" s="11" t="n">
        <v>5</v>
      </c>
      <c r="G30" s="11" t="s">
        <v>1819</v>
      </c>
      <c r="H30" s="11" t="s">
        <v>1820</v>
      </c>
      <c r="I30" s="11" t="s">
        <v>1821</v>
      </c>
      <c r="J30" s="11" t="s">
        <v>1822</v>
      </c>
      <c r="K30" s="11" t="s">
        <v>1725</v>
      </c>
      <c r="L30" s="11" t="s">
        <v>1726</v>
      </c>
      <c r="M30" s="11" t="s">
        <v>1823</v>
      </c>
      <c r="N30" s="11"/>
      <c r="O30" s="11" t="s">
        <v>1165</v>
      </c>
      <c r="P30" s="11" t="s">
        <v>1805</v>
      </c>
      <c r="Q30" s="11" t="s">
        <v>1824</v>
      </c>
      <c r="R30" s="11" t="s">
        <v>1730</v>
      </c>
      <c r="S30" s="11" t="s">
        <v>1731</v>
      </c>
      <c r="T30" s="11"/>
      <c r="U30" s="11"/>
      <c r="V30" s="11" t="s">
        <v>1165</v>
      </c>
      <c r="W30" s="11"/>
      <c r="X30" s="11" t="s">
        <v>1732</v>
      </c>
      <c r="Y30" s="11" t="s">
        <v>1733</v>
      </c>
      <c r="Z30" s="11"/>
      <c r="AA30" s="11"/>
      <c r="AB30" s="11"/>
      <c r="AC30" s="11"/>
      <c r="AD30" s="11"/>
      <c r="AE30" s="11" t="s">
        <v>1734</v>
      </c>
      <c r="AF30" s="11" t="s">
        <v>1165</v>
      </c>
      <c r="AG30" s="11" t="s">
        <v>1165</v>
      </c>
      <c r="AH30" s="11" t="s">
        <v>1735</v>
      </c>
      <c r="AI30" s="11" t="s">
        <v>1396</v>
      </c>
      <c r="AJ30" s="11" t="s">
        <v>1736</v>
      </c>
      <c r="AK30" s="11" t="s">
        <v>308</v>
      </c>
      <c r="AL30" s="11" t="s">
        <v>1737</v>
      </c>
      <c r="AM30" s="11" t="s">
        <v>1738</v>
      </c>
      <c r="AN30" s="11" t="s">
        <v>1739</v>
      </c>
      <c r="AO30" s="12" t="s">
        <v>1740</v>
      </c>
    </row>
    <row r="31" customFormat="false" ht="95.5" hidden="false" customHeight="false" outlineLevel="0" collapsed="false">
      <c r="A31" s="10" t="s">
        <v>1825</v>
      </c>
      <c r="B31" s="11" t="s">
        <v>90</v>
      </c>
      <c r="C31" s="11" t="s">
        <v>92</v>
      </c>
      <c r="D31" s="11" t="s">
        <v>91</v>
      </c>
      <c r="E31" s="11" t="s">
        <v>68</v>
      </c>
      <c r="F31" s="11" t="n">
        <v>6</v>
      </c>
      <c r="G31" s="11" t="s">
        <v>1763</v>
      </c>
      <c r="H31" s="11" t="s">
        <v>1826</v>
      </c>
      <c r="I31" s="11" t="s">
        <v>1827</v>
      </c>
      <c r="J31" s="11" t="s">
        <v>1828</v>
      </c>
      <c r="K31" s="11" t="s">
        <v>1725</v>
      </c>
      <c r="L31" s="11" t="s">
        <v>1726</v>
      </c>
      <c r="M31" s="11" t="s">
        <v>1767</v>
      </c>
      <c r="N31" s="11"/>
      <c r="O31" s="11" t="s">
        <v>1165</v>
      </c>
      <c r="P31" s="11" t="s">
        <v>1805</v>
      </c>
      <c r="Q31" s="11" t="s">
        <v>1829</v>
      </c>
      <c r="R31" s="11" t="s">
        <v>1730</v>
      </c>
      <c r="S31" s="11" t="s">
        <v>1731</v>
      </c>
      <c r="T31" s="11"/>
      <c r="U31" s="11"/>
      <c r="V31" s="11" t="s">
        <v>1165</v>
      </c>
      <c r="W31" s="11"/>
      <c r="X31" s="11" t="s">
        <v>1732</v>
      </c>
      <c r="Y31" s="11" t="s">
        <v>1733</v>
      </c>
      <c r="Z31" s="11"/>
      <c r="AA31" s="11"/>
      <c r="AB31" s="11"/>
      <c r="AC31" s="11"/>
      <c r="AD31" s="11"/>
      <c r="AE31" s="11" t="s">
        <v>1734</v>
      </c>
      <c r="AF31" s="11" t="s">
        <v>1165</v>
      </c>
      <c r="AG31" s="11" t="s">
        <v>1165</v>
      </c>
      <c r="AH31" s="11" t="s">
        <v>1735</v>
      </c>
      <c r="AI31" s="11" t="s">
        <v>1396</v>
      </c>
      <c r="AJ31" s="11" t="s">
        <v>1736</v>
      </c>
      <c r="AK31" s="11" t="s">
        <v>308</v>
      </c>
      <c r="AL31" s="11" t="s">
        <v>1737</v>
      </c>
      <c r="AM31" s="11" t="s">
        <v>1738</v>
      </c>
      <c r="AN31" s="11" t="s">
        <v>1739</v>
      </c>
      <c r="AO31" s="12" t="s">
        <v>1740</v>
      </c>
    </row>
    <row r="32" customFormat="false" ht="95.5" hidden="false" customHeight="false" outlineLevel="0" collapsed="false">
      <c r="A32" s="10" t="s">
        <v>1830</v>
      </c>
      <c r="B32" s="11" t="s">
        <v>90</v>
      </c>
      <c r="C32" s="11" t="s">
        <v>92</v>
      </c>
      <c r="D32" s="11" t="s">
        <v>91</v>
      </c>
      <c r="E32" s="11" t="s">
        <v>68</v>
      </c>
      <c r="F32" s="11" t="n">
        <v>7</v>
      </c>
      <c r="G32" s="11" t="s">
        <v>1831</v>
      </c>
      <c r="H32" s="11" t="s">
        <v>1832</v>
      </c>
      <c r="I32" s="11" t="s">
        <v>1833</v>
      </c>
      <c r="J32" s="11" t="s">
        <v>1834</v>
      </c>
      <c r="K32" s="11" t="s">
        <v>1725</v>
      </c>
      <c r="L32" s="11" t="s">
        <v>1726</v>
      </c>
      <c r="M32" s="11" t="s">
        <v>1835</v>
      </c>
      <c r="N32" s="11"/>
      <c r="O32" s="11" t="s">
        <v>1165</v>
      </c>
      <c r="P32" s="11" t="s">
        <v>1805</v>
      </c>
      <c r="Q32" s="11" t="s">
        <v>1836</v>
      </c>
      <c r="R32" s="11" t="s">
        <v>1730</v>
      </c>
      <c r="S32" s="11" t="s">
        <v>1731</v>
      </c>
      <c r="T32" s="11"/>
      <c r="U32" s="11"/>
      <c r="V32" s="11" t="s">
        <v>1165</v>
      </c>
      <c r="W32" s="11"/>
      <c r="X32" s="11" t="s">
        <v>1732</v>
      </c>
      <c r="Y32" s="11" t="s">
        <v>1733</v>
      </c>
      <c r="Z32" s="11"/>
      <c r="AA32" s="11"/>
      <c r="AB32" s="11"/>
      <c r="AC32" s="11"/>
      <c r="AD32" s="11"/>
      <c r="AE32" s="11" t="s">
        <v>1734</v>
      </c>
      <c r="AF32" s="11" t="s">
        <v>1165</v>
      </c>
      <c r="AG32" s="11" t="s">
        <v>1165</v>
      </c>
      <c r="AH32" s="11" t="s">
        <v>1735</v>
      </c>
      <c r="AI32" s="11" t="s">
        <v>1396</v>
      </c>
      <c r="AJ32" s="11" t="s">
        <v>1736</v>
      </c>
      <c r="AK32" s="11" t="s">
        <v>308</v>
      </c>
      <c r="AL32" s="11" t="s">
        <v>1737</v>
      </c>
      <c r="AM32" s="11" t="s">
        <v>1738</v>
      </c>
      <c r="AN32" s="11" t="s">
        <v>1739</v>
      </c>
      <c r="AO32" s="12" t="s">
        <v>1740</v>
      </c>
    </row>
    <row r="33" customFormat="false" ht="95.5" hidden="false" customHeight="false" outlineLevel="0" collapsed="false">
      <c r="A33" s="10" t="s">
        <v>1837</v>
      </c>
      <c r="B33" s="11" t="s">
        <v>99</v>
      </c>
      <c r="C33" s="11" t="s">
        <v>100</v>
      </c>
      <c r="D33" s="11" t="s">
        <v>91</v>
      </c>
      <c r="E33" s="11" t="s">
        <v>68</v>
      </c>
      <c r="F33" s="11" t="n">
        <v>1</v>
      </c>
      <c r="G33" s="11" t="s">
        <v>1838</v>
      </c>
      <c r="H33" s="11" t="s">
        <v>1801</v>
      </c>
      <c r="I33" s="11" t="s">
        <v>1802</v>
      </c>
      <c r="J33" s="11" t="s">
        <v>1803</v>
      </c>
      <c r="K33" s="11" t="s">
        <v>1725</v>
      </c>
      <c r="L33" s="11" t="s">
        <v>1726</v>
      </c>
      <c r="M33" s="11" t="s">
        <v>1804</v>
      </c>
      <c r="N33" s="11"/>
      <c r="O33" s="11" t="s">
        <v>1165</v>
      </c>
      <c r="P33" s="11" t="s">
        <v>1805</v>
      </c>
      <c r="Q33" s="11" t="s">
        <v>1806</v>
      </c>
      <c r="R33" s="11" t="s">
        <v>1730</v>
      </c>
      <c r="S33" s="11" t="s">
        <v>1731</v>
      </c>
      <c r="T33" s="11"/>
      <c r="U33" s="11"/>
      <c r="V33" s="11" t="s">
        <v>1165</v>
      </c>
      <c r="W33" s="11"/>
      <c r="X33" s="11" t="s">
        <v>1732</v>
      </c>
      <c r="Y33" s="11" t="s">
        <v>1733</v>
      </c>
      <c r="Z33" s="11"/>
      <c r="AA33" s="11"/>
      <c r="AB33" s="11"/>
      <c r="AC33" s="11"/>
      <c r="AD33" s="11"/>
      <c r="AE33" s="11" t="s">
        <v>1734</v>
      </c>
      <c r="AF33" s="11" t="s">
        <v>1165</v>
      </c>
      <c r="AG33" s="11" t="s">
        <v>1165</v>
      </c>
      <c r="AH33" s="11" t="s">
        <v>1735</v>
      </c>
      <c r="AI33" s="11" t="s">
        <v>1396</v>
      </c>
      <c r="AJ33" s="11" t="s">
        <v>1736</v>
      </c>
      <c r="AK33" s="11" t="s">
        <v>308</v>
      </c>
      <c r="AL33" s="11" t="s">
        <v>1737</v>
      </c>
      <c r="AM33" s="11" t="s">
        <v>1738</v>
      </c>
      <c r="AN33" s="11" t="s">
        <v>1739</v>
      </c>
      <c r="AO33" s="12" t="s">
        <v>1740</v>
      </c>
    </row>
    <row r="34" customFormat="false" ht="95.5" hidden="false" customHeight="false" outlineLevel="0" collapsed="false">
      <c r="A34" s="10" t="s">
        <v>1839</v>
      </c>
      <c r="B34" s="11" t="s">
        <v>99</v>
      </c>
      <c r="C34" s="11" t="s">
        <v>100</v>
      </c>
      <c r="D34" s="11" t="s">
        <v>91</v>
      </c>
      <c r="E34" s="11" t="s">
        <v>68</v>
      </c>
      <c r="F34" s="11" t="n">
        <v>2</v>
      </c>
      <c r="G34" s="11" t="s">
        <v>1808</v>
      </c>
      <c r="H34" s="11" t="s">
        <v>1801</v>
      </c>
      <c r="I34" s="11" t="s">
        <v>1802</v>
      </c>
      <c r="J34" s="11" t="s">
        <v>1803</v>
      </c>
      <c r="K34" s="11" t="s">
        <v>1725</v>
      </c>
      <c r="L34" s="11" t="s">
        <v>1726</v>
      </c>
      <c r="M34" s="11" t="s">
        <v>1804</v>
      </c>
      <c r="N34" s="11"/>
      <c r="O34" s="11" t="s">
        <v>1165</v>
      </c>
      <c r="P34" s="11" t="s">
        <v>1805</v>
      </c>
      <c r="Q34" s="11" t="s">
        <v>1806</v>
      </c>
      <c r="R34" s="11" t="s">
        <v>1730</v>
      </c>
      <c r="S34" s="11" t="s">
        <v>1731</v>
      </c>
      <c r="T34" s="11"/>
      <c r="U34" s="11"/>
      <c r="V34" s="11" t="s">
        <v>1165</v>
      </c>
      <c r="W34" s="11"/>
      <c r="X34" s="11" t="s">
        <v>1732</v>
      </c>
      <c r="Y34" s="11" t="s">
        <v>1733</v>
      </c>
      <c r="Z34" s="11"/>
      <c r="AA34" s="11"/>
      <c r="AB34" s="11"/>
      <c r="AC34" s="11"/>
      <c r="AD34" s="11"/>
      <c r="AE34" s="11" t="s">
        <v>1734</v>
      </c>
      <c r="AF34" s="11" t="s">
        <v>1165</v>
      </c>
      <c r="AG34" s="11" t="s">
        <v>1165</v>
      </c>
      <c r="AH34" s="11" t="s">
        <v>1735</v>
      </c>
      <c r="AI34" s="11" t="s">
        <v>1396</v>
      </c>
      <c r="AJ34" s="11" t="s">
        <v>1736</v>
      </c>
      <c r="AK34" s="11" t="s">
        <v>308</v>
      </c>
      <c r="AL34" s="11" t="s">
        <v>1737</v>
      </c>
      <c r="AM34" s="11" t="s">
        <v>1738</v>
      </c>
      <c r="AN34" s="11" t="s">
        <v>1739</v>
      </c>
      <c r="AO34" s="12" t="s">
        <v>1740</v>
      </c>
    </row>
    <row r="35" customFormat="false" ht="95.5" hidden="false" customHeight="false" outlineLevel="0" collapsed="false">
      <c r="A35" s="10" t="s">
        <v>1840</v>
      </c>
      <c r="B35" s="11" t="s">
        <v>99</v>
      </c>
      <c r="C35" s="11" t="s">
        <v>100</v>
      </c>
      <c r="D35" s="11" t="s">
        <v>91</v>
      </c>
      <c r="E35" s="11" t="s">
        <v>68</v>
      </c>
      <c r="F35" s="11" t="n">
        <v>3</v>
      </c>
      <c r="G35" s="11" t="s">
        <v>1841</v>
      </c>
      <c r="H35" s="11" t="s">
        <v>1743</v>
      </c>
      <c r="I35" s="11" t="s">
        <v>1744</v>
      </c>
      <c r="J35" s="11" t="s">
        <v>1745</v>
      </c>
      <c r="K35" s="11" t="s">
        <v>1725</v>
      </c>
      <c r="L35" s="11" t="s">
        <v>1726</v>
      </c>
      <c r="M35" s="11" t="s">
        <v>1811</v>
      </c>
      <c r="N35" s="11"/>
      <c r="O35" s="11" t="s">
        <v>1165</v>
      </c>
      <c r="P35" s="11" t="s">
        <v>1805</v>
      </c>
      <c r="Q35" s="11" t="s">
        <v>1747</v>
      </c>
      <c r="R35" s="11" t="s">
        <v>1730</v>
      </c>
      <c r="S35" s="11" t="s">
        <v>1731</v>
      </c>
      <c r="T35" s="11"/>
      <c r="U35" s="11"/>
      <c r="V35" s="11" t="s">
        <v>1165</v>
      </c>
      <c r="W35" s="11"/>
      <c r="X35" s="11" t="s">
        <v>1732</v>
      </c>
      <c r="Y35" s="11" t="s">
        <v>1733</v>
      </c>
      <c r="Z35" s="11"/>
      <c r="AA35" s="11"/>
      <c r="AB35" s="11"/>
      <c r="AC35" s="11"/>
      <c r="AD35" s="11"/>
      <c r="AE35" s="11" t="s">
        <v>1734</v>
      </c>
      <c r="AF35" s="11" t="s">
        <v>1165</v>
      </c>
      <c r="AG35" s="11" t="s">
        <v>1165</v>
      </c>
      <c r="AH35" s="11" t="s">
        <v>1735</v>
      </c>
      <c r="AI35" s="11" t="s">
        <v>1396</v>
      </c>
      <c r="AJ35" s="11" t="s">
        <v>1736</v>
      </c>
      <c r="AK35" s="11" t="s">
        <v>308</v>
      </c>
      <c r="AL35" s="11" t="s">
        <v>1737</v>
      </c>
      <c r="AM35" s="11" t="s">
        <v>1738</v>
      </c>
      <c r="AN35" s="11" t="s">
        <v>1739</v>
      </c>
      <c r="AO35" s="12" t="s">
        <v>1740</v>
      </c>
    </row>
    <row r="36" customFormat="false" ht="95.5" hidden="false" customHeight="false" outlineLevel="0" collapsed="false">
      <c r="A36" s="10" t="s">
        <v>1842</v>
      </c>
      <c r="B36" s="11" t="s">
        <v>99</v>
      </c>
      <c r="C36" s="11" t="s">
        <v>100</v>
      </c>
      <c r="D36" s="11" t="s">
        <v>91</v>
      </c>
      <c r="E36" s="11" t="s">
        <v>68</v>
      </c>
      <c r="F36" s="11" t="n">
        <v>4</v>
      </c>
      <c r="G36" s="11" t="s">
        <v>1778</v>
      </c>
      <c r="H36" s="11" t="s">
        <v>1813</v>
      </c>
      <c r="I36" s="11" t="s">
        <v>1814</v>
      </c>
      <c r="J36" s="11"/>
      <c r="K36" s="11"/>
      <c r="L36" s="11"/>
      <c r="M36" s="11" t="s">
        <v>1815</v>
      </c>
      <c r="N36" s="11"/>
      <c r="O36" s="11" t="s">
        <v>1165</v>
      </c>
      <c r="P36" s="11" t="s">
        <v>1805</v>
      </c>
      <c r="Q36" s="11"/>
      <c r="R36" s="11"/>
      <c r="S36" s="11" t="s">
        <v>1165</v>
      </c>
      <c r="T36" s="11"/>
      <c r="U36" s="11"/>
      <c r="V36" s="11" t="s">
        <v>1165</v>
      </c>
      <c r="W36" s="11"/>
      <c r="X36" s="11" t="s">
        <v>1732</v>
      </c>
      <c r="Y36" s="11" t="s">
        <v>1733</v>
      </c>
      <c r="Z36" s="11"/>
      <c r="AA36" s="11"/>
      <c r="AB36" s="11"/>
      <c r="AC36" s="11"/>
      <c r="AD36" s="11"/>
      <c r="AE36" s="11" t="s">
        <v>1734</v>
      </c>
      <c r="AF36" s="11" t="s">
        <v>1165</v>
      </c>
      <c r="AG36" s="11" t="s">
        <v>1165</v>
      </c>
      <c r="AH36" s="11" t="s">
        <v>1816</v>
      </c>
      <c r="AI36" s="11" t="s">
        <v>1396</v>
      </c>
      <c r="AJ36" s="11" t="s">
        <v>1736</v>
      </c>
      <c r="AK36" s="11" t="s">
        <v>308</v>
      </c>
      <c r="AL36" s="11" t="s">
        <v>1737</v>
      </c>
      <c r="AM36" s="11" t="s">
        <v>1738</v>
      </c>
      <c r="AN36" s="11" t="s">
        <v>1817</v>
      </c>
      <c r="AO36" s="12" t="s">
        <v>1740</v>
      </c>
    </row>
    <row r="37" customFormat="false" ht="95.5" hidden="false" customHeight="false" outlineLevel="0" collapsed="false">
      <c r="A37" s="10" t="s">
        <v>1843</v>
      </c>
      <c r="B37" s="11" t="s">
        <v>99</v>
      </c>
      <c r="C37" s="11" t="s">
        <v>100</v>
      </c>
      <c r="D37" s="11" t="s">
        <v>91</v>
      </c>
      <c r="E37" s="11" t="s">
        <v>68</v>
      </c>
      <c r="F37" s="11" t="n">
        <v>5</v>
      </c>
      <c r="G37" s="11" t="s">
        <v>1819</v>
      </c>
      <c r="H37" s="11" t="s">
        <v>1820</v>
      </c>
      <c r="I37" s="11" t="s">
        <v>1821</v>
      </c>
      <c r="J37" s="11" t="s">
        <v>1822</v>
      </c>
      <c r="K37" s="11" t="s">
        <v>1725</v>
      </c>
      <c r="L37" s="11" t="s">
        <v>1726</v>
      </c>
      <c r="M37" s="11" t="s">
        <v>1823</v>
      </c>
      <c r="N37" s="11"/>
      <c r="O37" s="11" t="s">
        <v>1165</v>
      </c>
      <c r="P37" s="11" t="s">
        <v>1805</v>
      </c>
      <c r="Q37" s="11" t="s">
        <v>1824</v>
      </c>
      <c r="R37" s="11" t="s">
        <v>1730</v>
      </c>
      <c r="S37" s="11" t="s">
        <v>1731</v>
      </c>
      <c r="T37" s="11"/>
      <c r="U37" s="11"/>
      <c r="V37" s="11" t="s">
        <v>1165</v>
      </c>
      <c r="W37" s="11"/>
      <c r="X37" s="11" t="s">
        <v>1732</v>
      </c>
      <c r="Y37" s="11" t="s">
        <v>1733</v>
      </c>
      <c r="Z37" s="11"/>
      <c r="AA37" s="11"/>
      <c r="AB37" s="11"/>
      <c r="AC37" s="11"/>
      <c r="AD37" s="11"/>
      <c r="AE37" s="11" t="s">
        <v>1734</v>
      </c>
      <c r="AF37" s="11" t="s">
        <v>1165</v>
      </c>
      <c r="AG37" s="11" t="s">
        <v>1165</v>
      </c>
      <c r="AH37" s="11" t="s">
        <v>1735</v>
      </c>
      <c r="AI37" s="11" t="s">
        <v>1396</v>
      </c>
      <c r="AJ37" s="11" t="s">
        <v>1736</v>
      </c>
      <c r="AK37" s="11" t="s">
        <v>308</v>
      </c>
      <c r="AL37" s="11" t="s">
        <v>1737</v>
      </c>
      <c r="AM37" s="11" t="s">
        <v>1738</v>
      </c>
      <c r="AN37" s="11" t="s">
        <v>1739</v>
      </c>
      <c r="AO37" s="12" t="s">
        <v>1740</v>
      </c>
    </row>
    <row r="38" customFormat="false" ht="95.5" hidden="false" customHeight="false" outlineLevel="0" collapsed="false">
      <c r="A38" s="10" t="s">
        <v>1844</v>
      </c>
      <c r="B38" s="11" t="s">
        <v>99</v>
      </c>
      <c r="C38" s="11" t="s">
        <v>100</v>
      </c>
      <c r="D38" s="11" t="s">
        <v>91</v>
      </c>
      <c r="E38" s="11" t="s">
        <v>68</v>
      </c>
      <c r="F38" s="11" t="n">
        <v>6</v>
      </c>
      <c r="G38" s="11" t="s">
        <v>1763</v>
      </c>
      <c r="H38" s="11" t="s">
        <v>1826</v>
      </c>
      <c r="I38" s="11" t="s">
        <v>1827</v>
      </c>
      <c r="J38" s="11" t="s">
        <v>1828</v>
      </c>
      <c r="K38" s="11" t="s">
        <v>1725</v>
      </c>
      <c r="L38" s="11" t="s">
        <v>1726</v>
      </c>
      <c r="M38" s="11" t="s">
        <v>1767</v>
      </c>
      <c r="N38" s="11"/>
      <c r="O38" s="11" t="s">
        <v>1165</v>
      </c>
      <c r="P38" s="11" t="s">
        <v>1805</v>
      </c>
      <c r="Q38" s="11" t="s">
        <v>1829</v>
      </c>
      <c r="R38" s="11" t="s">
        <v>1730</v>
      </c>
      <c r="S38" s="11" t="s">
        <v>1731</v>
      </c>
      <c r="T38" s="11"/>
      <c r="U38" s="11"/>
      <c r="V38" s="11" t="s">
        <v>1165</v>
      </c>
      <c r="W38" s="11"/>
      <c r="X38" s="11" t="s">
        <v>1732</v>
      </c>
      <c r="Y38" s="11" t="s">
        <v>1733</v>
      </c>
      <c r="Z38" s="11"/>
      <c r="AA38" s="11"/>
      <c r="AB38" s="11"/>
      <c r="AC38" s="11"/>
      <c r="AD38" s="11"/>
      <c r="AE38" s="11" t="s">
        <v>1734</v>
      </c>
      <c r="AF38" s="11" t="s">
        <v>1165</v>
      </c>
      <c r="AG38" s="11" t="s">
        <v>1165</v>
      </c>
      <c r="AH38" s="11" t="s">
        <v>1735</v>
      </c>
      <c r="AI38" s="11" t="s">
        <v>1396</v>
      </c>
      <c r="AJ38" s="11" t="s">
        <v>1736</v>
      </c>
      <c r="AK38" s="11" t="s">
        <v>308</v>
      </c>
      <c r="AL38" s="11" t="s">
        <v>1737</v>
      </c>
      <c r="AM38" s="11" t="s">
        <v>1738</v>
      </c>
      <c r="AN38" s="11" t="s">
        <v>1739</v>
      </c>
      <c r="AO38" s="12" t="s">
        <v>1740</v>
      </c>
    </row>
    <row r="39" customFormat="false" ht="95.5" hidden="false" customHeight="false" outlineLevel="0" collapsed="false">
      <c r="A39" s="10" t="s">
        <v>1845</v>
      </c>
      <c r="B39" s="11" t="s">
        <v>99</v>
      </c>
      <c r="C39" s="11" t="s">
        <v>100</v>
      </c>
      <c r="D39" s="11" t="s">
        <v>91</v>
      </c>
      <c r="E39" s="11" t="s">
        <v>68</v>
      </c>
      <c r="F39" s="11" t="n">
        <v>7</v>
      </c>
      <c r="G39" s="11" t="s">
        <v>1831</v>
      </c>
      <c r="H39" s="11" t="s">
        <v>1832</v>
      </c>
      <c r="I39" s="11" t="s">
        <v>1833</v>
      </c>
      <c r="J39" s="11" t="s">
        <v>1834</v>
      </c>
      <c r="K39" s="11" t="s">
        <v>1725</v>
      </c>
      <c r="L39" s="11" t="s">
        <v>1726</v>
      </c>
      <c r="M39" s="11" t="s">
        <v>1835</v>
      </c>
      <c r="N39" s="11"/>
      <c r="O39" s="11" t="s">
        <v>1165</v>
      </c>
      <c r="P39" s="11" t="s">
        <v>1805</v>
      </c>
      <c r="Q39" s="11" t="s">
        <v>1836</v>
      </c>
      <c r="R39" s="11" t="s">
        <v>1730</v>
      </c>
      <c r="S39" s="11" t="s">
        <v>1731</v>
      </c>
      <c r="T39" s="11"/>
      <c r="U39" s="11"/>
      <c r="V39" s="11" t="s">
        <v>1165</v>
      </c>
      <c r="W39" s="11"/>
      <c r="X39" s="11" t="s">
        <v>1732</v>
      </c>
      <c r="Y39" s="11" t="s">
        <v>1733</v>
      </c>
      <c r="Z39" s="11"/>
      <c r="AA39" s="11"/>
      <c r="AB39" s="11"/>
      <c r="AC39" s="11"/>
      <c r="AD39" s="11"/>
      <c r="AE39" s="11" t="s">
        <v>1734</v>
      </c>
      <c r="AF39" s="11" t="s">
        <v>1165</v>
      </c>
      <c r="AG39" s="11" t="s">
        <v>1165</v>
      </c>
      <c r="AH39" s="11" t="s">
        <v>1735</v>
      </c>
      <c r="AI39" s="11" t="s">
        <v>1396</v>
      </c>
      <c r="AJ39" s="11" t="s">
        <v>1736</v>
      </c>
      <c r="AK39" s="11" t="s">
        <v>308</v>
      </c>
      <c r="AL39" s="11" t="s">
        <v>1737</v>
      </c>
      <c r="AM39" s="11" t="s">
        <v>1738</v>
      </c>
      <c r="AN39" s="11" t="s">
        <v>1739</v>
      </c>
      <c r="AO39" s="12" t="s">
        <v>1740</v>
      </c>
    </row>
    <row r="40" customFormat="false" ht="95.5" hidden="false" customHeight="false" outlineLevel="0" collapsed="false">
      <c r="A40" s="10" t="s">
        <v>1846</v>
      </c>
      <c r="B40" s="11" t="s">
        <v>105</v>
      </c>
      <c r="C40" s="11" t="s">
        <v>106</v>
      </c>
      <c r="D40" s="11" t="s">
        <v>91</v>
      </c>
      <c r="E40" s="11" t="s">
        <v>68</v>
      </c>
      <c r="F40" s="11" t="n">
        <v>1</v>
      </c>
      <c r="G40" s="11" t="s">
        <v>1847</v>
      </c>
      <c r="H40" s="11" t="s">
        <v>1848</v>
      </c>
      <c r="I40" s="11" t="s">
        <v>1849</v>
      </c>
      <c r="J40" s="11" t="s">
        <v>1850</v>
      </c>
      <c r="K40" s="11" t="s">
        <v>1725</v>
      </c>
      <c r="L40" s="11" t="s">
        <v>1726</v>
      </c>
      <c r="M40" s="11" t="s">
        <v>1851</v>
      </c>
      <c r="N40" s="11"/>
      <c r="O40" s="11" t="s">
        <v>1165</v>
      </c>
      <c r="P40" s="11" t="s">
        <v>1852</v>
      </c>
      <c r="Q40" s="11" t="s">
        <v>1853</v>
      </c>
      <c r="R40" s="11" t="s">
        <v>1730</v>
      </c>
      <c r="S40" s="11" t="s">
        <v>1731</v>
      </c>
      <c r="T40" s="11"/>
      <c r="U40" s="11"/>
      <c r="V40" s="11" t="s">
        <v>1165</v>
      </c>
      <c r="W40" s="11"/>
      <c r="X40" s="11" t="s">
        <v>1732</v>
      </c>
      <c r="Y40" s="11" t="s">
        <v>1733</v>
      </c>
      <c r="Z40" s="11"/>
      <c r="AA40" s="11"/>
      <c r="AB40" s="11"/>
      <c r="AC40" s="11"/>
      <c r="AD40" s="11"/>
      <c r="AE40" s="11" t="s">
        <v>1734</v>
      </c>
      <c r="AF40" s="11" t="s">
        <v>1165</v>
      </c>
      <c r="AG40" s="11" t="s">
        <v>1165</v>
      </c>
      <c r="AH40" s="11" t="s">
        <v>1735</v>
      </c>
      <c r="AI40" s="11" t="s">
        <v>1396</v>
      </c>
      <c r="AJ40" s="11" t="s">
        <v>1736</v>
      </c>
      <c r="AK40" s="11" t="s">
        <v>308</v>
      </c>
      <c r="AL40" s="11" t="s">
        <v>1737</v>
      </c>
      <c r="AM40" s="11" t="s">
        <v>1738</v>
      </c>
      <c r="AN40" s="11" t="s">
        <v>1739</v>
      </c>
      <c r="AO40" s="12" t="s">
        <v>1740</v>
      </c>
    </row>
    <row r="41" customFormat="false" ht="95.5" hidden="false" customHeight="false" outlineLevel="0" collapsed="false">
      <c r="A41" s="10" t="s">
        <v>1854</v>
      </c>
      <c r="B41" s="11" t="s">
        <v>105</v>
      </c>
      <c r="C41" s="11" t="s">
        <v>106</v>
      </c>
      <c r="D41" s="11" t="s">
        <v>91</v>
      </c>
      <c r="E41" s="11" t="s">
        <v>68</v>
      </c>
      <c r="F41" s="11" t="n">
        <v>2</v>
      </c>
      <c r="G41" s="11" t="s">
        <v>1855</v>
      </c>
      <c r="H41" s="11" t="s">
        <v>1801</v>
      </c>
      <c r="I41" s="11" t="s">
        <v>1802</v>
      </c>
      <c r="J41" s="11" t="s">
        <v>1803</v>
      </c>
      <c r="K41" s="11" t="s">
        <v>1725</v>
      </c>
      <c r="L41" s="11" t="s">
        <v>1726</v>
      </c>
      <c r="M41" s="11" t="s">
        <v>1804</v>
      </c>
      <c r="N41" s="11"/>
      <c r="O41" s="11" t="s">
        <v>1165</v>
      </c>
      <c r="P41" s="11" t="s">
        <v>1852</v>
      </c>
      <c r="Q41" s="11" t="s">
        <v>1806</v>
      </c>
      <c r="R41" s="11" t="s">
        <v>1730</v>
      </c>
      <c r="S41" s="11" t="s">
        <v>1731</v>
      </c>
      <c r="T41" s="11"/>
      <c r="U41" s="11"/>
      <c r="V41" s="11" t="s">
        <v>1165</v>
      </c>
      <c r="W41" s="11"/>
      <c r="X41" s="11" t="s">
        <v>1732</v>
      </c>
      <c r="Y41" s="11" t="s">
        <v>1733</v>
      </c>
      <c r="Z41" s="11"/>
      <c r="AA41" s="11"/>
      <c r="AB41" s="11"/>
      <c r="AC41" s="11"/>
      <c r="AD41" s="11"/>
      <c r="AE41" s="11" t="s">
        <v>1734</v>
      </c>
      <c r="AF41" s="11" t="s">
        <v>1165</v>
      </c>
      <c r="AG41" s="11" t="s">
        <v>1165</v>
      </c>
      <c r="AH41" s="11" t="s">
        <v>1735</v>
      </c>
      <c r="AI41" s="11" t="s">
        <v>1396</v>
      </c>
      <c r="AJ41" s="11" t="s">
        <v>1736</v>
      </c>
      <c r="AK41" s="11" t="s">
        <v>308</v>
      </c>
      <c r="AL41" s="11" t="s">
        <v>1737</v>
      </c>
      <c r="AM41" s="11" t="s">
        <v>1738</v>
      </c>
      <c r="AN41" s="11" t="s">
        <v>1739</v>
      </c>
      <c r="AO41" s="12" t="s">
        <v>1740</v>
      </c>
    </row>
    <row r="42" customFormat="false" ht="95.5" hidden="false" customHeight="false" outlineLevel="0" collapsed="false">
      <c r="A42" s="10" t="s">
        <v>1856</v>
      </c>
      <c r="B42" s="11" t="s">
        <v>105</v>
      </c>
      <c r="C42" s="11" t="s">
        <v>106</v>
      </c>
      <c r="D42" s="11" t="s">
        <v>91</v>
      </c>
      <c r="E42" s="11" t="s">
        <v>68</v>
      </c>
      <c r="F42" s="11" t="n">
        <v>3</v>
      </c>
      <c r="G42" s="11" t="s">
        <v>1841</v>
      </c>
      <c r="H42" s="11" t="s">
        <v>1743</v>
      </c>
      <c r="I42" s="11" t="s">
        <v>1744</v>
      </c>
      <c r="J42" s="11" t="s">
        <v>1745</v>
      </c>
      <c r="K42" s="11" t="s">
        <v>1725</v>
      </c>
      <c r="L42" s="11" t="s">
        <v>1726</v>
      </c>
      <c r="M42" s="11" t="s">
        <v>1811</v>
      </c>
      <c r="N42" s="11"/>
      <c r="O42" s="11" t="s">
        <v>1165</v>
      </c>
      <c r="P42" s="11" t="s">
        <v>1852</v>
      </c>
      <c r="Q42" s="11" t="s">
        <v>1747</v>
      </c>
      <c r="R42" s="11" t="s">
        <v>1730</v>
      </c>
      <c r="S42" s="11" t="s">
        <v>1731</v>
      </c>
      <c r="T42" s="11"/>
      <c r="U42" s="11"/>
      <c r="V42" s="11" t="s">
        <v>1165</v>
      </c>
      <c r="W42" s="11"/>
      <c r="X42" s="11" t="s">
        <v>1732</v>
      </c>
      <c r="Y42" s="11" t="s">
        <v>1733</v>
      </c>
      <c r="Z42" s="11"/>
      <c r="AA42" s="11"/>
      <c r="AB42" s="11"/>
      <c r="AC42" s="11"/>
      <c r="AD42" s="11"/>
      <c r="AE42" s="11" t="s">
        <v>1734</v>
      </c>
      <c r="AF42" s="11" t="s">
        <v>1165</v>
      </c>
      <c r="AG42" s="11" t="s">
        <v>1165</v>
      </c>
      <c r="AH42" s="11" t="s">
        <v>1735</v>
      </c>
      <c r="AI42" s="11" t="s">
        <v>1396</v>
      </c>
      <c r="AJ42" s="11" t="s">
        <v>1736</v>
      </c>
      <c r="AK42" s="11" t="s">
        <v>308</v>
      </c>
      <c r="AL42" s="11" t="s">
        <v>1737</v>
      </c>
      <c r="AM42" s="11" t="s">
        <v>1738</v>
      </c>
      <c r="AN42" s="11" t="s">
        <v>1739</v>
      </c>
      <c r="AO42" s="12" t="s">
        <v>1740</v>
      </c>
    </row>
    <row r="43" customFormat="false" ht="95.5" hidden="false" customHeight="false" outlineLevel="0" collapsed="false">
      <c r="A43" s="10" t="s">
        <v>1857</v>
      </c>
      <c r="B43" s="11" t="s">
        <v>105</v>
      </c>
      <c r="C43" s="11" t="s">
        <v>106</v>
      </c>
      <c r="D43" s="11" t="s">
        <v>91</v>
      </c>
      <c r="E43" s="11" t="s">
        <v>68</v>
      </c>
      <c r="F43" s="11" t="n">
        <v>4</v>
      </c>
      <c r="G43" s="11" t="s">
        <v>1858</v>
      </c>
      <c r="H43" s="11" t="s">
        <v>1813</v>
      </c>
      <c r="I43" s="11" t="s">
        <v>1814</v>
      </c>
      <c r="J43" s="11"/>
      <c r="K43" s="11"/>
      <c r="L43" s="11"/>
      <c r="M43" s="11" t="s">
        <v>1815</v>
      </c>
      <c r="N43" s="11"/>
      <c r="O43" s="11" t="s">
        <v>1165</v>
      </c>
      <c r="P43" s="11" t="s">
        <v>1852</v>
      </c>
      <c r="Q43" s="11"/>
      <c r="R43" s="11"/>
      <c r="S43" s="11" t="s">
        <v>1165</v>
      </c>
      <c r="T43" s="11"/>
      <c r="U43" s="11"/>
      <c r="V43" s="11" t="s">
        <v>1165</v>
      </c>
      <c r="W43" s="11"/>
      <c r="X43" s="11" t="s">
        <v>1732</v>
      </c>
      <c r="Y43" s="11" t="s">
        <v>1733</v>
      </c>
      <c r="Z43" s="11"/>
      <c r="AA43" s="11"/>
      <c r="AB43" s="11"/>
      <c r="AC43" s="11"/>
      <c r="AD43" s="11"/>
      <c r="AE43" s="11" t="s">
        <v>1734</v>
      </c>
      <c r="AF43" s="11" t="s">
        <v>1165</v>
      </c>
      <c r="AG43" s="11" t="s">
        <v>1165</v>
      </c>
      <c r="AH43" s="11" t="s">
        <v>1816</v>
      </c>
      <c r="AI43" s="11" t="s">
        <v>1396</v>
      </c>
      <c r="AJ43" s="11" t="s">
        <v>1736</v>
      </c>
      <c r="AK43" s="11" t="s">
        <v>308</v>
      </c>
      <c r="AL43" s="11" t="s">
        <v>1737</v>
      </c>
      <c r="AM43" s="11" t="s">
        <v>1738</v>
      </c>
      <c r="AN43" s="11" t="s">
        <v>1817</v>
      </c>
      <c r="AO43" s="12" t="s">
        <v>1740</v>
      </c>
    </row>
    <row r="44" customFormat="false" ht="95.5" hidden="false" customHeight="false" outlineLevel="0" collapsed="false">
      <c r="A44" s="10" t="s">
        <v>1859</v>
      </c>
      <c r="B44" s="11" t="s">
        <v>105</v>
      </c>
      <c r="C44" s="11" t="s">
        <v>106</v>
      </c>
      <c r="D44" s="11" t="s">
        <v>91</v>
      </c>
      <c r="E44" s="11" t="s">
        <v>68</v>
      </c>
      <c r="F44" s="11" t="n">
        <v>5</v>
      </c>
      <c r="G44" s="11" t="s">
        <v>1819</v>
      </c>
      <c r="H44" s="11" t="s">
        <v>1820</v>
      </c>
      <c r="I44" s="11" t="s">
        <v>1821</v>
      </c>
      <c r="J44" s="11" t="s">
        <v>1822</v>
      </c>
      <c r="K44" s="11" t="s">
        <v>1725</v>
      </c>
      <c r="L44" s="11" t="s">
        <v>1726</v>
      </c>
      <c r="M44" s="11" t="s">
        <v>1823</v>
      </c>
      <c r="N44" s="11"/>
      <c r="O44" s="11" t="s">
        <v>1165</v>
      </c>
      <c r="P44" s="11" t="s">
        <v>1852</v>
      </c>
      <c r="Q44" s="11" t="s">
        <v>1824</v>
      </c>
      <c r="R44" s="11" t="s">
        <v>1730</v>
      </c>
      <c r="S44" s="11" t="s">
        <v>1731</v>
      </c>
      <c r="T44" s="11"/>
      <c r="U44" s="11"/>
      <c r="V44" s="11" t="s">
        <v>1165</v>
      </c>
      <c r="W44" s="11"/>
      <c r="X44" s="11" t="s">
        <v>1732</v>
      </c>
      <c r="Y44" s="11" t="s">
        <v>1733</v>
      </c>
      <c r="Z44" s="11"/>
      <c r="AA44" s="11"/>
      <c r="AB44" s="11"/>
      <c r="AC44" s="11"/>
      <c r="AD44" s="11"/>
      <c r="AE44" s="11" t="s">
        <v>1734</v>
      </c>
      <c r="AF44" s="11" t="s">
        <v>1165</v>
      </c>
      <c r="AG44" s="11" t="s">
        <v>1165</v>
      </c>
      <c r="AH44" s="11" t="s">
        <v>1735</v>
      </c>
      <c r="AI44" s="11" t="s">
        <v>1396</v>
      </c>
      <c r="AJ44" s="11" t="s">
        <v>1736</v>
      </c>
      <c r="AK44" s="11" t="s">
        <v>308</v>
      </c>
      <c r="AL44" s="11" t="s">
        <v>1737</v>
      </c>
      <c r="AM44" s="11" t="s">
        <v>1738</v>
      </c>
      <c r="AN44" s="11" t="s">
        <v>1739</v>
      </c>
      <c r="AO44" s="12" t="s">
        <v>1740</v>
      </c>
    </row>
    <row r="45" customFormat="false" ht="95.5" hidden="false" customHeight="false" outlineLevel="0" collapsed="false">
      <c r="A45" s="10" t="s">
        <v>1860</v>
      </c>
      <c r="B45" s="11" t="s">
        <v>105</v>
      </c>
      <c r="C45" s="11" t="s">
        <v>106</v>
      </c>
      <c r="D45" s="11" t="s">
        <v>91</v>
      </c>
      <c r="E45" s="11" t="s">
        <v>68</v>
      </c>
      <c r="F45" s="11" t="n">
        <v>6</v>
      </c>
      <c r="G45" s="11" t="s">
        <v>1763</v>
      </c>
      <c r="H45" s="11" t="s">
        <v>1826</v>
      </c>
      <c r="I45" s="11" t="s">
        <v>1827</v>
      </c>
      <c r="J45" s="11" t="s">
        <v>1828</v>
      </c>
      <c r="K45" s="11" t="s">
        <v>1725</v>
      </c>
      <c r="L45" s="11" t="s">
        <v>1726</v>
      </c>
      <c r="M45" s="11" t="s">
        <v>1767</v>
      </c>
      <c r="N45" s="11"/>
      <c r="O45" s="11" t="s">
        <v>1165</v>
      </c>
      <c r="P45" s="11" t="s">
        <v>1852</v>
      </c>
      <c r="Q45" s="11" t="s">
        <v>1829</v>
      </c>
      <c r="R45" s="11" t="s">
        <v>1730</v>
      </c>
      <c r="S45" s="11" t="s">
        <v>1731</v>
      </c>
      <c r="T45" s="11"/>
      <c r="U45" s="11"/>
      <c r="V45" s="11" t="s">
        <v>1165</v>
      </c>
      <c r="W45" s="11"/>
      <c r="X45" s="11" t="s">
        <v>1732</v>
      </c>
      <c r="Y45" s="11" t="s">
        <v>1733</v>
      </c>
      <c r="Z45" s="11"/>
      <c r="AA45" s="11"/>
      <c r="AB45" s="11"/>
      <c r="AC45" s="11"/>
      <c r="AD45" s="11"/>
      <c r="AE45" s="11" t="s">
        <v>1734</v>
      </c>
      <c r="AF45" s="11" t="s">
        <v>1165</v>
      </c>
      <c r="AG45" s="11" t="s">
        <v>1165</v>
      </c>
      <c r="AH45" s="11" t="s">
        <v>1735</v>
      </c>
      <c r="AI45" s="11" t="s">
        <v>1396</v>
      </c>
      <c r="AJ45" s="11" t="s">
        <v>1736</v>
      </c>
      <c r="AK45" s="11" t="s">
        <v>308</v>
      </c>
      <c r="AL45" s="11" t="s">
        <v>1737</v>
      </c>
      <c r="AM45" s="11" t="s">
        <v>1738</v>
      </c>
      <c r="AN45" s="11" t="s">
        <v>1739</v>
      </c>
      <c r="AO45" s="12" t="s">
        <v>1740</v>
      </c>
    </row>
    <row r="46" customFormat="false" ht="95.5" hidden="false" customHeight="false" outlineLevel="0" collapsed="false">
      <c r="A46" s="10" t="s">
        <v>1861</v>
      </c>
      <c r="B46" s="11" t="s">
        <v>105</v>
      </c>
      <c r="C46" s="11" t="s">
        <v>106</v>
      </c>
      <c r="D46" s="11" t="s">
        <v>91</v>
      </c>
      <c r="E46" s="11" t="s">
        <v>68</v>
      </c>
      <c r="F46" s="11" t="n">
        <v>7</v>
      </c>
      <c r="G46" s="11" t="s">
        <v>1862</v>
      </c>
      <c r="H46" s="11" t="s">
        <v>1832</v>
      </c>
      <c r="I46" s="11" t="s">
        <v>1833</v>
      </c>
      <c r="J46" s="11" t="s">
        <v>1834</v>
      </c>
      <c r="K46" s="11" t="s">
        <v>1725</v>
      </c>
      <c r="L46" s="11" t="s">
        <v>1726</v>
      </c>
      <c r="M46" s="11" t="s">
        <v>1835</v>
      </c>
      <c r="N46" s="11"/>
      <c r="O46" s="11" t="s">
        <v>1165</v>
      </c>
      <c r="P46" s="11" t="s">
        <v>1852</v>
      </c>
      <c r="Q46" s="11" t="s">
        <v>1836</v>
      </c>
      <c r="R46" s="11" t="s">
        <v>1730</v>
      </c>
      <c r="S46" s="11" t="s">
        <v>1731</v>
      </c>
      <c r="T46" s="11"/>
      <c r="U46" s="11"/>
      <c r="V46" s="11" t="s">
        <v>1165</v>
      </c>
      <c r="W46" s="11"/>
      <c r="X46" s="11" t="s">
        <v>1732</v>
      </c>
      <c r="Y46" s="11" t="s">
        <v>1733</v>
      </c>
      <c r="Z46" s="11"/>
      <c r="AA46" s="11"/>
      <c r="AB46" s="11"/>
      <c r="AC46" s="11"/>
      <c r="AD46" s="11"/>
      <c r="AE46" s="11" t="s">
        <v>1734</v>
      </c>
      <c r="AF46" s="11" t="s">
        <v>1165</v>
      </c>
      <c r="AG46" s="11" t="s">
        <v>1165</v>
      </c>
      <c r="AH46" s="11" t="s">
        <v>1735</v>
      </c>
      <c r="AI46" s="11" t="s">
        <v>1396</v>
      </c>
      <c r="AJ46" s="11" t="s">
        <v>1736</v>
      </c>
      <c r="AK46" s="11" t="s">
        <v>308</v>
      </c>
      <c r="AL46" s="11" t="s">
        <v>1737</v>
      </c>
      <c r="AM46" s="11" t="s">
        <v>1738</v>
      </c>
      <c r="AN46" s="11" t="s">
        <v>1739</v>
      </c>
      <c r="AO46" s="12" t="s">
        <v>1740</v>
      </c>
    </row>
    <row r="47" customFormat="false" ht="95.5" hidden="false" customHeight="false" outlineLevel="0" collapsed="false">
      <c r="A47" s="10" t="s">
        <v>1863</v>
      </c>
      <c r="B47" s="11" t="s">
        <v>112</v>
      </c>
      <c r="C47" s="11" t="s">
        <v>113</v>
      </c>
      <c r="D47" s="11" t="s">
        <v>91</v>
      </c>
      <c r="E47" s="11" t="s">
        <v>68</v>
      </c>
      <c r="F47" s="11" t="n">
        <v>1</v>
      </c>
      <c r="G47" s="11" t="s">
        <v>1864</v>
      </c>
      <c r="H47" s="11" t="s">
        <v>1801</v>
      </c>
      <c r="I47" s="11" t="s">
        <v>1802</v>
      </c>
      <c r="J47" s="11" t="s">
        <v>1803</v>
      </c>
      <c r="K47" s="11" t="s">
        <v>1725</v>
      </c>
      <c r="L47" s="11" t="s">
        <v>1726</v>
      </c>
      <c r="M47" s="11" t="s">
        <v>1804</v>
      </c>
      <c r="N47" s="11"/>
      <c r="O47" s="11" t="s">
        <v>1165</v>
      </c>
      <c r="P47" s="11" t="s">
        <v>1865</v>
      </c>
      <c r="Q47" s="11" t="s">
        <v>1806</v>
      </c>
      <c r="R47" s="11" t="s">
        <v>1730</v>
      </c>
      <c r="S47" s="11" t="s">
        <v>1731</v>
      </c>
      <c r="T47" s="11"/>
      <c r="U47" s="11"/>
      <c r="V47" s="11" t="s">
        <v>1165</v>
      </c>
      <c r="W47" s="11"/>
      <c r="X47" s="11" t="s">
        <v>1732</v>
      </c>
      <c r="Y47" s="11" t="s">
        <v>1733</v>
      </c>
      <c r="Z47" s="11"/>
      <c r="AA47" s="11"/>
      <c r="AB47" s="11"/>
      <c r="AC47" s="11"/>
      <c r="AD47" s="11"/>
      <c r="AE47" s="11" t="s">
        <v>1734</v>
      </c>
      <c r="AF47" s="11" t="s">
        <v>1165</v>
      </c>
      <c r="AG47" s="11" t="s">
        <v>1165</v>
      </c>
      <c r="AH47" s="11" t="s">
        <v>1735</v>
      </c>
      <c r="AI47" s="11" t="s">
        <v>1396</v>
      </c>
      <c r="AJ47" s="11" t="s">
        <v>1736</v>
      </c>
      <c r="AK47" s="11" t="s">
        <v>308</v>
      </c>
      <c r="AL47" s="11" t="s">
        <v>1737</v>
      </c>
      <c r="AM47" s="11" t="s">
        <v>1738</v>
      </c>
      <c r="AN47" s="11" t="s">
        <v>1739</v>
      </c>
      <c r="AO47" s="12" t="s">
        <v>1740</v>
      </c>
    </row>
    <row r="48" customFormat="false" ht="95.5" hidden="false" customHeight="false" outlineLevel="0" collapsed="false">
      <c r="A48" s="10" t="s">
        <v>1866</v>
      </c>
      <c r="B48" s="11" t="s">
        <v>112</v>
      </c>
      <c r="C48" s="11" t="s">
        <v>113</v>
      </c>
      <c r="D48" s="11" t="s">
        <v>91</v>
      </c>
      <c r="E48" s="11" t="s">
        <v>68</v>
      </c>
      <c r="F48" s="11" t="n">
        <v>2</v>
      </c>
      <c r="G48" s="11" t="s">
        <v>1867</v>
      </c>
      <c r="H48" s="11" t="s">
        <v>1801</v>
      </c>
      <c r="I48" s="11" t="s">
        <v>1802</v>
      </c>
      <c r="J48" s="11" t="s">
        <v>1803</v>
      </c>
      <c r="K48" s="11" t="s">
        <v>1725</v>
      </c>
      <c r="L48" s="11" t="s">
        <v>1726</v>
      </c>
      <c r="M48" s="11" t="s">
        <v>1804</v>
      </c>
      <c r="N48" s="11"/>
      <c r="O48" s="11" t="s">
        <v>1165</v>
      </c>
      <c r="P48" s="11" t="s">
        <v>1865</v>
      </c>
      <c r="Q48" s="11" t="s">
        <v>1806</v>
      </c>
      <c r="R48" s="11" t="s">
        <v>1730</v>
      </c>
      <c r="S48" s="11" t="s">
        <v>1731</v>
      </c>
      <c r="T48" s="11"/>
      <c r="U48" s="11"/>
      <c r="V48" s="11" t="s">
        <v>1165</v>
      </c>
      <c r="W48" s="11"/>
      <c r="X48" s="11" t="s">
        <v>1732</v>
      </c>
      <c r="Y48" s="11" t="s">
        <v>1733</v>
      </c>
      <c r="Z48" s="11"/>
      <c r="AA48" s="11"/>
      <c r="AB48" s="11"/>
      <c r="AC48" s="11"/>
      <c r="AD48" s="11"/>
      <c r="AE48" s="11" t="s">
        <v>1734</v>
      </c>
      <c r="AF48" s="11" t="s">
        <v>1165</v>
      </c>
      <c r="AG48" s="11" t="s">
        <v>1165</v>
      </c>
      <c r="AH48" s="11" t="s">
        <v>1735</v>
      </c>
      <c r="AI48" s="11" t="s">
        <v>1396</v>
      </c>
      <c r="AJ48" s="11" t="s">
        <v>1736</v>
      </c>
      <c r="AK48" s="11" t="s">
        <v>308</v>
      </c>
      <c r="AL48" s="11" t="s">
        <v>1737</v>
      </c>
      <c r="AM48" s="11" t="s">
        <v>1738</v>
      </c>
      <c r="AN48" s="11" t="s">
        <v>1739</v>
      </c>
      <c r="AO48" s="12" t="s">
        <v>1740</v>
      </c>
    </row>
    <row r="49" customFormat="false" ht="95.5" hidden="false" customHeight="false" outlineLevel="0" collapsed="false">
      <c r="A49" s="10" t="s">
        <v>1868</v>
      </c>
      <c r="B49" s="11" t="s">
        <v>112</v>
      </c>
      <c r="C49" s="11" t="s">
        <v>113</v>
      </c>
      <c r="D49" s="11" t="s">
        <v>91</v>
      </c>
      <c r="E49" s="11" t="s">
        <v>68</v>
      </c>
      <c r="F49" s="11" t="n">
        <v>3</v>
      </c>
      <c r="G49" s="11" t="s">
        <v>1841</v>
      </c>
      <c r="H49" s="11" t="s">
        <v>1743</v>
      </c>
      <c r="I49" s="11" t="s">
        <v>1744</v>
      </c>
      <c r="J49" s="11" t="s">
        <v>1745</v>
      </c>
      <c r="K49" s="11" t="s">
        <v>1725</v>
      </c>
      <c r="L49" s="11" t="s">
        <v>1726</v>
      </c>
      <c r="M49" s="11" t="s">
        <v>1811</v>
      </c>
      <c r="N49" s="11"/>
      <c r="O49" s="11" t="s">
        <v>1165</v>
      </c>
      <c r="P49" s="11" t="s">
        <v>1865</v>
      </c>
      <c r="Q49" s="11" t="s">
        <v>1747</v>
      </c>
      <c r="R49" s="11" t="s">
        <v>1730</v>
      </c>
      <c r="S49" s="11" t="s">
        <v>1731</v>
      </c>
      <c r="T49" s="11"/>
      <c r="U49" s="11"/>
      <c r="V49" s="11" t="s">
        <v>1165</v>
      </c>
      <c r="W49" s="11"/>
      <c r="X49" s="11" t="s">
        <v>1732</v>
      </c>
      <c r="Y49" s="11" t="s">
        <v>1733</v>
      </c>
      <c r="Z49" s="11"/>
      <c r="AA49" s="11"/>
      <c r="AB49" s="11"/>
      <c r="AC49" s="11"/>
      <c r="AD49" s="11"/>
      <c r="AE49" s="11" t="s">
        <v>1734</v>
      </c>
      <c r="AF49" s="11" t="s">
        <v>1165</v>
      </c>
      <c r="AG49" s="11" t="s">
        <v>1165</v>
      </c>
      <c r="AH49" s="11" t="s">
        <v>1735</v>
      </c>
      <c r="AI49" s="11" t="s">
        <v>1396</v>
      </c>
      <c r="AJ49" s="11" t="s">
        <v>1736</v>
      </c>
      <c r="AK49" s="11" t="s">
        <v>308</v>
      </c>
      <c r="AL49" s="11" t="s">
        <v>1737</v>
      </c>
      <c r="AM49" s="11" t="s">
        <v>1738</v>
      </c>
      <c r="AN49" s="11" t="s">
        <v>1739</v>
      </c>
      <c r="AO49" s="12" t="s">
        <v>1740</v>
      </c>
    </row>
    <row r="50" customFormat="false" ht="95.5" hidden="false" customHeight="false" outlineLevel="0" collapsed="false">
      <c r="A50" s="10" t="s">
        <v>1869</v>
      </c>
      <c r="B50" s="11" t="s">
        <v>112</v>
      </c>
      <c r="C50" s="11" t="s">
        <v>113</v>
      </c>
      <c r="D50" s="11" t="s">
        <v>91</v>
      </c>
      <c r="E50" s="11" t="s">
        <v>68</v>
      </c>
      <c r="F50" s="11" t="n">
        <v>4</v>
      </c>
      <c r="G50" s="11" t="s">
        <v>1778</v>
      </c>
      <c r="H50" s="11" t="s">
        <v>1813</v>
      </c>
      <c r="I50" s="11" t="s">
        <v>1814</v>
      </c>
      <c r="J50" s="11"/>
      <c r="K50" s="11"/>
      <c r="L50" s="11"/>
      <c r="M50" s="11" t="s">
        <v>1815</v>
      </c>
      <c r="N50" s="11"/>
      <c r="O50" s="11" t="s">
        <v>1165</v>
      </c>
      <c r="P50" s="11" t="s">
        <v>1865</v>
      </c>
      <c r="Q50" s="11"/>
      <c r="R50" s="11"/>
      <c r="S50" s="11" t="s">
        <v>1165</v>
      </c>
      <c r="T50" s="11"/>
      <c r="U50" s="11"/>
      <c r="V50" s="11" t="s">
        <v>1165</v>
      </c>
      <c r="W50" s="11"/>
      <c r="X50" s="11" t="s">
        <v>1732</v>
      </c>
      <c r="Y50" s="11" t="s">
        <v>1733</v>
      </c>
      <c r="Z50" s="11"/>
      <c r="AA50" s="11"/>
      <c r="AB50" s="11"/>
      <c r="AC50" s="11"/>
      <c r="AD50" s="11"/>
      <c r="AE50" s="11" t="s">
        <v>1734</v>
      </c>
      <c r="AF50" s="11" t="s">
        <v>1165</v>
      </c>
      <c r="AG50" s="11" t="s">
        <v>1165</v>
      </c>
      <c r="AH50" s="11" t="s">
        <v>1816</v>
      </c>
      <c r="AI50" s="11" t="s">
        <v>1396</v>
      </c>
      <c r="AJ50" s="11" t="s">
        <v>1736</v>
      </c>
      <c r="AK50" s="11" t="s">
        <v>308</v>
      </c>
      <c r="AL50" s="11" t="s">
        <v>1737</v>
      </c>
      <c r="AM50" s="11" t="s">
        <v>1738</v>
      </c>
      <c r="AN50" s="11" t="s">
        <v>1817</v>
      </c>
      <c r="AO50" s="12" t="s">
        <v>1740</v>
      </c>
    </row>
    <row r="51" customFormat="false" ht="95.5" hidden="false" customHeight="false" outlineLevel="0" collapsed="false">
      <c r="A51" s="10" t="s">
        <v>1870</v>
      </c>
      <c r="B51" s="11" t="s">
        <v>112</v>
      </c>
      <c r="C51" s="11" t="s">
        <v>113</v>
      </c>
      <c r="D51" s="11" t="s">
        <v>91</v>
      </c>
      <c r="E51" s="11" t="s">
        <v>68</v>
      </c>
      <c r="F51" s="11" t="n">
        <v>5</v>
      </c>
      <c r="G51" s="11" t="s">
        <v>1819</v>
      </c>
      <c r="H51" s="11" t="s">
        <v>1820</v>
      </c>
      <c r="I51" s="11" t="s">
        <v>1821</v>
      </c>
      <c r="J51" s="11" t="s">
        <v>1822</v>
      </c>
      <c r="K51" s="11" t="s">
        <v>1725</v>
      </c>
      <c r="L51" s="11" t="s">
        <v>1726</v>
      </c>
      <c r="M51" s="11" t="s">
        <v>1823</v>
      </c>
      <c r="N51" s="11"/>
      <c r="O51" s="11" t="s">
        <v>1165</v>
      </c>
      <c r="P51" s="11" t="s">
        <v>1865</v>
      </c>
      <c r="Q51" s="11" t="s">
        <v>1824</v>
      </c>
      <c r="R51" s="11" t="s">
        <v>1730</v>
      </c>
      <c r="S51" s="11" t="s">
        <v>1731</v>
      </c>
      <c r="T51" s="11"/>
      <c r="U51" s="11"/>
      <c r="V51" s="11" t="s">
        <v>1165</v>
      </c>
      <c r="W51" s="11"/>
      <c r="X51" s="11" t="s">
        <v>1732</v>
      </c>
      <c r="Y51" s="11" t="s">
        <v>1733</v>
      </c>
      <c r="Z51" s="11"/>
      <c r="AA51" s="11"/>
      <c r="AB51" s="11"/>
      <c r="AC51" s="11"/>
      <c r="AD51" s="11"/>
      <c r="AE51" s="11" t="s">
        <v>1734</v>
      </c>
      <c r="AF51" s="11" t="s">
        <v>1165</v>
      </c>
      <c r="AG51" s="11" t="s">
        <v>1165</v>
      </c>
      <c r="AH51" s="11" t="s">
        <v>1735</v>
      </c>
      <c r="AI51" s="11" t="s">
        <v>1396</v>
      </c>
      <c r="AJ51" s="11" t="s">
        <v>1736</v>
      </c>
      <c r="AK51" s="11" t="s">
        <v>308</v>
      </c>
      <c r="AL51" s="11" t="s">
        <v>1737</v>
      </c>
      <c r="AM51" s="11" t="s">
        <v>1738</v>
      </c>
      <c r="AN51" s="11" t="s">
        <v>1739</v>
      </c>
      <c r="AO51" s="12" t="s">
        <v>1740</v>
      </c>
    </row>
    <row r="52" customFormat="false" ht="95.5" hidden="false" customHeight="false" outlineLevel="0" collapsed="false">
      <c r="A52" s="10" t="s">
        <v>1871</v>
      </c>
      <c r="B52" s="11" t="s">
        <v>112</v>
      </c>
      <c r="C52" s="11" t="s">
        <v>113</v>
      </c>
      <c r="D52" s="11" t="s">
        <v>91</v>
      </c>
      <c r="E52" s="11" t="s">
        <v>68</v>
      </c>
      <c r="F52" s="11" t="n">
        <v>6</v>
      </c>
      <c r="G52" s="11" t="s">
        <v>1872</v>
      </c>
      <c r="H52" s="11" t="s">
        <v>1873</v>
      </c>
      <c r="I52" s="11" t="s">
        <v>1874</v>
      </c>
      <c r="J52" s="11" t="s">
        <v>1875</v>
      </c>
      <c r="K52" s="11" t="s">
        <v>1725</v>
      </c>
      <c r="L52" s="11" t="s">
        <v>1726</v>
      </c>
      <c r="M52" s="11" t="s">
        <v>1876</v>
      </c>
      <c r="N52" s="11"/>
      <c r="O52" s="11" t="s">
        <v>1165</v>
      </c>
      <c r="P52" s="11" t="s">
        <v>1865</v>
      </c>
      <c r="Q52" s="11" t="s">
        <v>1877</v>
      </c>
      <c r="R52" s="11" t="s">
        <v>1730</v>
      </c>
      <c r="S52" s="11" t="s">
        <v>1731</v>
      </c>
      <c r="T52" s="11"/>
      <c r="U52" s="11"/>
      <c r="V52" s="11" t="s">
        <v>1165</v>
      </c>
      <c r="W52" s="11"/>
      <c r="X52" s="11" t="s">
        <v>1732</v>
      </c>
      <c r="Y52" s="11" t="s">
        <v>1733</v>
      </c>
      <c r="Z52" s="11"/>
      <c r="AA52" s="11"/>
      <c r="AB52" s="11"/>
      <c r="AC52" s="11"/>
      <c r="AD52" s="11"/>
      <c r="AE52" s="11" t="s">
        <v>1734</v>
      </c>
      <c r="AF52" s="11" t="s">
        <v>1165</v>
      </c>
      <c r="AG52" s="11" t="s">
        <v>1165</v>
      </c>
      <c r="AH52" s="11" t="s">
        <v>1735</v>
      </c>
      <c r="AI52" s="11" t="s">
        <v>1396</v>
      </c>
      <c r="AJ52" s="11" t="s">
        <v>1736</v>
      </c>
      <c r="AK52" s="11" t="s">
        <v>308</v>
      </c>
      <c r="AL52" s="11" t="s">
        <v>1737</v>
      </c>
      <c r="AM52" s="11" t="s">
        <v>1738</v>
      </c>
      <c r="AN52" s="11" t="s">
        <v>1739</v>
      </c>
      <c r="AO52" s="12" t="s">
        <v>1740</v>
      </c>
    </row>
    <row r="53" customFormat="false" ht="95.5" hidden="false" customHeight="false" outlineLevel="0" collapsed="false">
      <c r="A53" s="10" t="s">
        <v>1878</v>
      </c>
      <c r="B53" s="11" t="s">
        <v>112</v>
      </c>
      <c r="C53" s="11" t="s">
        <v>113</v>
      </c>
      <c r="D53" s="11" t="s">
        <v>91</v>
      </c>
      <c r="E53" s="11" t="s">
        <v>68</v>
      </c>
      <c r="F53" s="11" t="n">
        <v>7</v>
      </c>
      <c r="G53" s="11" t="s">
        <v>1763</v>
      </c>
      <c r="H53" s="11" t="s">
        <v>1826</v>
      </c>
      <c r="I53" s="11" t="s">
        <v>1827</v>
      </c>
      <c r="J53" s="11" t="s">
        <v>1828</v>
      </c>
      <c r="K53" s="11" t="s">
        <v>1725</v>
      </c>
      <c r="L53" s="11" t="s">
        <v>1726</v>
      </c>
      <c r="M53" s="11" t="s">
        <v>1767</v>
      </c>
      <c r="N53" s="11"/>
      <c r="O53" s="11" t="s">
        <v>1165</v>
      </c>
      <c r="P53" s="11" t="s">
        <v>1865</v>
      </c>
      <c r="Q53" s="11" t="s">
        <v>1829</v>
      </c>
      <c r="R53" s="11" t="s">
        <v>1730</v>
      </c>
      <c r="S53" s="11" t="s">
        <v>1731</v>
      </c>
      <c r="T53" s="11"/>
      <c r="U53" s="11"/>
      <c r="V53" s="11" t="s">
        <v>1165</v>
      </c>
      <c r="W53" s="11"/>
      <c r="X53" s="11" t="s">
        <v>1732</v>
      </c>
      <c r="Y53" s="11" t="s">
        <v>1733</v>
      </c>
      <c r="Z53" s="11"/>
      <c r="AA53" s="11"/>
      <c r="AB53" s="11"/>
      <c r="AC53" s="11"/>
      <c r="AD53" s="11"/>
      <c r="AE53" s="11" t="s">
        <v>1734</v>
      </c>
      <c r="AF53" s="11" t="s">
        <v>1165</v>
      </c>
      <c r="AG53" s="11" t="s">
        <v>1165</v>
      </c>
      <c r="AH53" s="11" t="s">
        <v>1735</v>
      </c>
      <c r="AI53" s="11" t="s">
        <v>1396</v>
      </c>
      <c r="AJ53" s="11" t="s">
        <v>1736</v>
      </c>
      <c r="AK53" s="11" t="s">
        <v>308</v>
      </c>
      <c r="AL53" s="11" t="s">
        <v>1737</v>
      </c>
      <c r="AM53" s="11" t="s">
        <v>1738</v>
      </c>
      <c r="AN53" s="11" t="s">
        <v>1739</v>
      </c>
      <c r="AO53" s="12" t="s">
        <v>1740</v>
      </c>
    </row>
    <row r="54" customFormat="false" ht="95.5" hidden="false" customHeight="false" outlineLevel="0" collapsed="false">
      <c r="A54" s="10" t="s">
        <v>1879</v>
      </c>
      <c r="B54" s="11" t="s">
        <v>112</v>
      </c>
      <c r="C54" s="11" t="s">
        <v>113</v>
      </c>
      <c r="D54" s="11" t="s">
        <v>91</v>
      </c>
      <c r="E54" s="11" t="s">
        <v>68</v>
      </c>
      <c r="F54" s="11" t="n">
        <v>8</v>
      </c>
      <c r="G54" s="11" t="s">
        <v>1831</v>
      </c>
      <c r="H54" s="11" t="s">
        <v>1832</v>
      </c>
      <c r="I54" s="11" t="s">
        <v>1833</v>
      </c>
      <c r="J54" s="11" t="s">
        <v>1834</v>
      </c>
      <c r="K54" s="11" t="s">
        <v>1725</v>
      </c>
      <c r="L54" s="11" t="s">
        <v>1726</v>
      </c>
      <c r="M54" s="11" t="s">
        <v>1835</v>
      </c>
      <c r="N54" s="11"/>
      <c r="O54" s="11" t="s">
        <v>1165</v>
      </c>
      <c r="P54" s="11" t="s">
        <v>1865</v>
      </c>
      <c r="Q54" s="11" t="s">
        <v>1836</v>
      </c>
      <c r="R54" s="11" t="s">
        <v>1730</v>
      </c>
      <c r="S54" s="11" t="s">
        <v>1731</v>
      </c>
      <c r="T54" s="11"/>
      <c r="U54" s="11"/>
      <c r="V54" s="11" t="s">
        <v>1165</v>
      </c>
      <c r="W54" s="11"/>
      <c r="X54" s="11" t="s">
        <v>1732</v>
      </c>
      <c r="Y54" s="11" t="s">
        <v>1733</v>
      </c>
      <c r="Z54" s="11"/>
      <c r="AA54" s="11"/>
      <c r="AB54" s="11"/>
      <c r="AC54" s="11"/>
      <c r="AD54" s="11"/>
      <c r="AE54" s="11" t="s">
        <v>1734</v>
      </c>
      <c r="AF54" s="11" t="s">
        <v>1165</v>
      </c>
      <c r="AG54" s="11" t="s">
        <v>1165</v>
      </c>
      <c r="AH54" s="11" t="s">
        <v>1735</v>
      </c>
      <c r="AI54" s="11" t="s">
        <v>1396</v>
      </c>
      <c r="AJ54" s="11" t="s">
        <v>1736</v>
      </c>
      <c r="AK54" s="11" t="s">
        <v>308</v>
      </c>
      <c r="AL54" s="11" t="s">
        <v>1737</v>
      </c>
      <c r="AM54" s="11" t="s">
        <v>1738</v>
      </c>
      <c r="AN54" s="11" t="s">
        <v>1739</v>
      </c>
      <c r="AO54" s="12" t="s">
        <v>1740</v>
      </c>
    </row>
    <row r="55" customFormat="false" ht="95.5" hidden="false" customHeight="false" outlineLevel="0" collapsed="false">
      <c r="A55" s="10" t="s">
        <v>1880</v>
      </c>
      <c r="B55" s="11" t="s">
        <v>119</v>
      </c>
      <c r="C55" s="11" t="s">
        <v>121</v>
      </c>
      <c r="D55" s="11" t="s">
        <v>120</v>
      </c>
      <c r="E55" s="11" t="s">
        <v>68</v>
      </c>
      <c r="F55" s="11" t="n">
        <v>1</v>
      </c>
      <c r="G55" s="11" t="s">
        <v>1881</v>
      </c>
      <c r="H55" s="11" t="s">
        <v>1882</v>
      </c>
      <c r="I55" s="11" t="s">
        <v>1883</v>
      </c>
      <c r="J55" s="11" t="s">
        <v>1884</v>
      </c>
      <c r="K55" s="11" t="s">
        <v>1725</v>
      </c>
      <c r="L55" s="11" t="s">
        <v>1726</v>
      </c>
      <c r="M55" s="11" t="s">
        <v>1885</v>
      </c>
      <c r="N55" s="11"/>
      <c r="O55" s="11" t="s">
        <v>1165</v>
      </c>
      <c r="P55" s="11" t="s">
        <v>1886</v>
      </c>
      <c r="Q55" s="11" t="s">
        <v>1887</v>
      </c>
      <c r="R55" s="11" t="s">
        <v>1730</v>
      </c>
      <c r="S55" s="11" t="s">
        <v>1731</v>
      </c>
      <c r="T55" s="11"/>
      <c r="U55" s="11"/>
      <c r="V55" s="11" t="s">
        <v>1165</v>
      </c>
      <c r="W55" s="11"/>
      <c r="X55" s="11" t="s">
        <v>1732</v>
      </c>
      <c r="Y55" s="11" t="s">
        <v>1733</v>
      </c>
      <c r="Z55" s="11"/>
      <c r="AA55" s="11"/>
      <c r="AB55" s="11"/>
      <c r="AC55" s="11"/>
      <c r="AD55" s="11"/>
      <c r="AE55" s="11" t="s">
        <v>1734</v>
      </c>
      <c r="AF55" s="11" t="s">
        <v>1165</v>
      </c>
      <c r="AG55" s="11" t="s">
        <v>1165</v>
      </c>
      <c r="AH55" s="11" t="s">
        <v>1735</v>
      </c>
      <c r="AI55" s="11" t="s">
        <v>1396</v>
      </c>
      <c r="AJ55" s="11" t="s">
        <v>1736</v>
      </c>
      <c r="AK55" s="11" t="s">
        <v>308</v>
      </c>
      <c r="AL55" s="11" t="s">
        <v>1737</v>
      </c>
      <c r="AM55" s="11" t="s">
        <v>1738</v>
      </c>
      <c r="AN55" s="11" t="s">
        <v>1739</v>
      </c>
      <c r="AO55" s="12" t="s">
        <v>1740</v>
      </c>
    </row>
    <row r="56" customFormat="false" ht="95.5" hidden="false" customHeight="false" outlineLevel="0" collapsed="false">
      <c r="A56" s="10" t="s">
        <v>1888</v>
      </c>
      <c r="B56" s="11" t="s">
        <v>119</v>
      </c>
      <c r="C56" s="11" t="s">
        <v>121</v>
      </c>
      <c r="D56" s="11" t="s">
        <v>120</v>
      </c>
      <c r="E56" s="11" t="s">
        <v>68</v>
      </c>
      <c r="F56" s="11" t="n">
        <v>2</v>
      </c>
      <c r="G56" s="11" t="s">
        <v>1889</v>
      </c>
      <c r="H56" s="11" t="s">
        <v>1882</v>
      </c>
      <c r="I56" s="11" t="s">
        <v>1883</v>
      </c>
      <c r="J56" s="11" t="s">
        <v>1884</v>
      </c>
      <c r="K56" s="11" t="s">
        <v>1725</v>
      </c>
      <c r="L56" s="11" t="s">
        <v>1726</v>
      </c>
      <c r="M56" s="11" t="s">
        <v>1885</v>
      </c>
      <c r="N56" s="11"/>
      <c r="O56" s="11" t="s">
        <v>1165</v>
      </c>
      <c r="P56" s="11" t="s">
        <v>1886</v>
      </c>
      <c r="Q56" s="11" t="s">
        <v>1887</v>
      </c>
      <c r="R56" s="11" t="s">
        <v>1730</v>
      </c>
      <c r="S56" s="11" t="s">
        <v>1731</v>
      </c>
      <c r="T56" s="11"/>
      <c r="U56" s="11"/>
      <c r="V56" s="11" t="s">
        <v>1165</v>
      </c>
      <c r="W56" s="11"/>
      <c r="X56" s="11" t="s">
        <v>1732</v>
      </c>
      <c r="Y56" s="11" t="s">
        <v>1733</v>
      </c>
      <c r="Z56" s="11"/>
      <c r="AA56" s="11"/>
      <c r="AB56" s="11"/>
      <c r="AC56" s="11"/>
      <c r="AD56" s="11"/>
      <c r="AE56" s="11" t="s">
        <v>1734</v>
      </c>
      <c r="AF56" s="11" t="s">
        <v>1165</v>
      </c>
      <c r="AG56" s="11" t="s">
        <v>1165</v>
      </c>
      <c r="AH56" s="11" t="s">
        <v>1735</v>
      </c>
      <c r="AI56" s="11" t="s">
        <v>1396</v>
      </c>
      <c r="AJ56" s="11" t="s">
        <v>1736</v>
      </c>
      <c r="AK56" s="11" t="s">
        <v>308</v>
      </c>
      <c r="AL56" s="11" t="s">
        <v>1737</v>
      </c>
      <c r="AM56" s="11" t="s">
        <v>1738</v>
      </c>
      <c r="AN56" s="11" t="s">
        <v>1739</v>
      </c>
      <c r="AO56" s="12" t="s">
        <v>1740</v>
      </c>
    </row>
    <row r="57" customFormat="false" ht="95.5" hidden="false" customHeight="false" outlineLevel="0" collapsed="false">
      <c r="A57" s="10" t="s">
        <v>1890</v>
      </c>
      <c r="B57" s="11" t="s">
        <v>119</v>
      </c>
      <c r="C57" s="11" t="s">
        <v>121</v>
      </c>
      <c r="D57" s="11" t="s">
        <v>120</v>
      </c>
      <c r="E57" s="11" t="s">
        <v>68</v>
      </c>
      <c r="F57" s="11" t="n">
        <v>3</v>
      </c>
      <c r="G57" s="11" t="s">
        <v>1891</v>
      </c>
      <c r="H57" s="11" t="s">
        <v>1882</v>
      </c>
      <c r="I57" s="11" t="s">
        <v>1883</v>
      </c>
      <c r="J57" s="11" t="s">
        <v>1884</v>
      </c>
      <c r="K57" s="11" t="s">
        <v>1725</v>
      </c>
      <c r="L57" s="11" t="s">
        <v>1726</v>
      </c>
      <c r="M57" s="11" t="s">
        <v>1885</v>
      </c>
      <c r="N57" s="11"/>
      <c r="O57" s="11" t="s">
        <v>1165</v>
      </c>
      <c r="P57" s="11" t="s">
        <v>1886</v>
      </c>
      <c r="Q57" s="11" t="s">
        <v>1887</v>
      </c>
      <c r="R57" s="11" t="s">
        <v>1730</v>
      </c>
      <c r="S57" s="11" t="s">
        <v>1731</v>
      </c>
      <c r="T57" s="11"/>
      <c r="U57" s="11"/>
      <c r="V57" s="11" t="s">
        <v>1165</v>
      </c>
      <c r="W57" s="11"/>
      <c r="X57" s="11" t="s">
        <v>1732</v>
      </c>
      <c r="Y57" s="11" t="s">
        <v>1733</v>
      </c>
      <c r="Z57" s="11"/>
      <c r="AA57" s="11"/>
      <c r="AB57" s="11"/>
      <c r="AC57" s="11"/>
      <c r="AD57" s="11"/>
      <c r="AE57" s="11" t="s">
        <v>1734</v>
      </c>
      <c r="AF57" s="11" t="s">
        <v>1165</v>
      </c>
      <c r="AG57" s="11" t="s">
        <v>1165</v>
      </c>
      <c r="AH57" s="11" t="s">
        <v>1735</v>
      </c>
      <c r="AI57" s="11" t="s">
        <v>1396</v>
      </c>
      <c r="AJ57" s="11" t="s">
        <v>1736</v>
      </c>
      <c r="AK57" s="11" t="s">
        <v>308</v>
      </c>
      <c r="AL57" s="11" t="s">
        <v>1737</v>
      </c>
      <c r="AM57" s="11" t="s">
        <v>1738</v>
      </c>
      <c r="AN57" s="11" t="s">
        <v>1739</v>
      </c>
      <c r="AO57" s="12" t="s">
        <v>1740</v>
      </c>
    </row>
    <row r="58" customFormat="false" ht="95.5" hidden="false" customHeight="false" outlineLevel="0" collapsed="false">
      <c r="A58" s="10" t="s">
        <v>1892</v>
      </c>
      <c r="B58" s="11" t="s">
        <v>119</v>
      </c>
      <c r="C58" s="11" t="s">
        <v>121</v>
      </c>
      <c r="D58" s="11" t="s">
        <v>120</v>
      </c>
      <c r="E58" s="11" t="s">
        <v>68</v>
      </c>
      <c r="F58" s="11" t="n">
        <v>4</v>
      </c>
      <c r="G58" s="11" t="s">
        <v>1893</v>
      </c>
      <c r="H58" s="11" t="s">
        <v>1882</v>
      </c>
      <c r="I58" s="11" t="s">
        <v>1883</v>
      </c>
      <c r="J58" s="11" t="s">
        <v>1884</v>
      </c>
      <c r="K58" s="11" t="s">
        <v>1725</v>
      </c>
      <c r="L58" s="11" t="s">
        <v>1726</v>
      </c>
      <c r="M58" s="11" t="s">
        <v>1885</v>
      </c>
      <c r="N58" s="11"/>
      <c r="O58" s="11" t="s">
        <v>1165</v>
      </c>
      <c r="P58" s="11" t="s">
        <v>1886</v>
      </c>
      <c r="Q58" s="11" t="s">
        <v>1887</v>
      </c>
      <c r="R58" s="11" t="s">
        <v>1730</v>
      </c>
      <c r="S58" s="11" t="s">
        <v>1731</v>
      </c>
      <c r="T58" s="11"/>
      <c r="U58" s="11"/>
      <c r="V58" s="11" t="s">
        <v>1165</v>
      </c>
      <c r="W58" s="11"/>
      <c r="X58" s="11" t="s">
        <v>1732</v>
      </c>
      <c r="Y58" s="11" t="s">
        <v>1733</v>
      </c>
      <c r="Z58" s="11"/>
      <c r="AA58" s="11"/>
      <c r="AB58" s="11"/>
      <c r="AC58" s="11"/>
      <c r="AD58" s="11"/>
      <c r="AE58" s="11" t="s">
        <v>1734</v>
      </c>
      <c r="AF58" s="11" t="s">
        <v>1165</v>
      </c>
      <c r="AG58" s="11" t="s">
        <v>1165</v>
      </c>
      <c r="AH58" s="11" t="s">
        <v>1735</v>
      </c>
      <c r="AI58" s="11" t="s">
        <v>1396</v>
      </c>
      <c r="AJ58" s="11" t="s">
        <v>1736</v>
      </c>
      <c r="AK58" s="11" t="s">
        <v>308</v>
      </c>
      <c r="AL58" s="11" t="s">
        <v>1737</v>
      </c>
      <c r="AM58" s="11" t="s">
        <v>1738</v>
      </c>
      <c r="AN58" s="11" t="s">
        <v>1739</v>
      </c>
      <c r="AO58" s="12" t="s">
        <v>1740</v>
      </c>
    </row>
    <row r="59" customFormat="false" ht="95.5" hidden="false" customHeight="false" outlineLevel="0" collapsed="false">
      <c r="A59" s="10" t="s">
        <v>1894</v>
      </c>
      <c r="B59" s="11" t="s">
        <v>127</v>
      </c>
      <c r="C59" s="11" t="s">
        <v>128</v>
      </c>
      <c r="D59" s="11" t="s">
        <v>120</v>
      </c>
      <c r="E59" s="11" t="s">
        <v>68</v>
      </c>
      <c r="F59" s="11" t="n">
        <v>1</v>
      </c>
      <c r="G59" s="11" t="s">
        <v>1895</v>
      </c>
      <c r="H59" s="11" t="s">
        <v>1882</v>
      </c>
      <c r="I59" s="11" t="s">
        <v>1883</v>
      </c>
      <c r="J59" s="11" t="s">
        <v>1884</v>
      </c>
      <c r="K59" s="11" t="s">
        <v>1725</v>
      </c>
      <c r="L59" s="11" t="s">
        <v>1726</v>
      </c>
      <c r="M59" s="11" t="s">
        <v>1885</v>
      </c>
      <c r="N59" s="11"/>
      <c r="O59" s="11" t="s">
        <v>1165</v>
      </c>
      <c r="P59" s="11" t="s">
        <v>1896</v>
      </c>
      <c r="Q59" s="11" t="s">
        <v>1887</v>
      </c>
      <c r="R59" s="11" t="s">
        <v>1730</v>
      </c>
      <c r="S59" s="11" t="s">
        <v>1731</v>
      </c>
      <c r="T59" s="11"/>
      <c r="U59" s="11"/>
      <c r="V59" s="11" t="s">
        <v>1165</v>
      </c>
      <c r="W59" s="11"/>
      <c r="X59" s="11" t="s">
        <v>1732</v>
      </c>
      <c r="Y59" s="11" t="s">
        <v>1733</v>
      </c>
      <c r="Z59" s="11"/>
      <c r="AA59" s="11"/>
      <c r="AB59" s="11"/>
      <c r="AC59" s="11"/>
      <c r="AD59" s="11"/>
      <c r="AE59" s="11" t="s">
        <v>1734</v>
      </c>
      <c r="AF59" s="11" t="s">
        <v>1165</v>
      </c>
      <c r="AG59" s="11" t="s">
        <v>1165</v>
      </c>
      <c r="AH59" s="11" t="s">
        <v>1735</v>
      </c>
      <c r="AI59" s="11" t="s">
        <v>1396</v>
      </c>
      <c r="AJ59" s="11" t="s">
        <v>1736</v>
      </c>
      <c r="AK59" s="11" t="s">
        <v>308</v>
      </c>
      <c r="AL59" s="11" t="s">
        <v>1737</v>
      </c>
      <c r="AM59" s="11" t="s">
        <v>1738</v>
      </c>
      <c r="AN59" s="11" t="s">
        <v>1739</v>
      </c>
      <c r="AO59" s="12" t="s">
        <v>1740</v>
      </c>
    </row>
    <row r="60" customFormat="false" ht="95.5" hidden="false" customHeight="false" outlineLevel="0" collapsed="false">
      <c r="A60" s="10" t="s">
        <v>1897</v>
      </c>
      <c r="B60" s="11" t="s">
        <v>127</v>
      </c>
      <c r="C60" s="11" t="s">
        <v>128</v>
      </c>
      <c r="D60" s="11" t="s">
        <v>120</v>
      </c>
      <c r="E60" s="11" t="s">
        <v>68</v>
      </c>
      <c r="F60" s="11" t="n">
        <v>2</v>
      </c>
      <c r="G60" s="11" t="s">
        <v>1898</v>
      </c>
      <c r="H60" s="11" t="s">
        <v>1882</v>
      </c>
      <c r="I60" s="11" t="s">
        <v>1883</v>
      </c>
      <c r="J60" s="11" t="s">
        <v>1884</v>
      </c>
      <c r="K60" s="11" t="s">
        <v>1725</v>
      </c>
      <c r="L60" s="11" t="s">
        <v>1726</v>
      </c>
      <c r="M60" s="11" t="s">
        <v>1885</v>
      </c>
      <c r="N60" s="11"/>
      <c r="O60" s="11" t="s">
        <v>1165</v>
      </c>
      <c r="P60" s="11" t="s">
        <v>1896</v>
      </c>
      <c r="Q60" s="11" t="s">
        <v>1887</v>
      </c>
      <c r="R60" s="11" t="s">
        <v>1730</v>
      </c>
      <c r="S60" s="11" t="s">
        <v>1731</v>
      </c>
      <c r="T60" s="11"/>
      <c r="U60" s="11"/>
      <c r="V60" s="11" t="s">
        <v>1165</v>
      </c>
      <c r="W60" s="11"/>
      <c r="X60" s="11" t="s">
        <v>1732</v>
      </c>
      <c r="Y60" s="11" t="s">
        <v>1733</v>
      </c>
      <c r="Z60" s="11"/>
      <c r="AA60" s="11"/>
      <c r="AB60" s="11"/>
      <c r="AC60" s="11"/>
      <c r="AD60" s="11"/>
      <c r="AE60" s="11" t="s">
        <v>1734</v>
      </c>
      <c r="AF60" s="11" t="s">
        <v>1165</v>
      </c>
      <c r="AG60" s="11" t="s">
        <v>1165</v>
      </c>
      <c r="AH60" s="11" t="s">
        <v>1735</v>
      </c>
      <c r="AI60" s="11" t="s">
        <v>1396</v>
      </c>
      <c r="AJ60" s="11" t="s">
        <v>1736</v>
      </c>
      <c r="AK60" s="11" t="s">
        <v>308</v>
      </c>
      <c r="AL60" s="11" t="s">
        <v>1737</v>
      </c>
      <c r="AM60" s="11" t="s">
        <v>1738</v>
      </c>
      <c r="AN60" s="11" t="s">
        <v>1739</v>
      </c>
      <c r="AO60" s="12" t="s">
        <v>1740</v>
      </c>
    </row>
    <row r="61" customFormat="false" ht="95.5" hidden="false" customHeight="false" outlineLevel="0" collapsed="false">
      <c r="A61" s="10" t="s">
        <v>1899</v>
      </c>
      <c r="B61" s="11" t="s">
        <v>127</v>
      </c>
      <c r="C61" s="11" t="s">
        <v>128</v>
      </c>
      <c r="D61" s="11" t="s">
        <v>120</v>
      </c>
      <c r="E61" s="11" t="s">
        <v>68</v>
      </c>
      <c r="F61" s="11" t="n">
        <v>3</v>
      </c>
      <c r="G61" s="11" t="s">
        <v>1889</v>
      </c>
      <c r="H61" s="11" t="s">
        <v>1882</v>
      </c>
      <c r="I61" s="11" t="s">
        <v>1883</v>
      </c>
      <c r="J61" s="11" t="s">
        <v>1884</v>
      </c>
      <c r="K61" s="11" t="s">
        <v>1725</v>
      </c>
      <c r="L61" s="11" t="s">
        <v>1726</v>
      </c>
      <c r="M61" s="11" t="s">
        <v>1885</v>
      </c>
      <c r="N61" s="11"/>
      <c r="O61" s="11" t="s">
        <v>1165</v>
      </c>
      <c r="P61" s="11" t="s">
        <v>1896</v>
      </c>
      <c r="Q61" s="11" t="s">
        <v>1887</v>
      </c>
      <c r="R61" s="11" t="s">
        <v>1730</v>
      </c>
      <c r="S61" s="11" t="s">
        <v>1731</v>
      </c>
      <c r="T61" s="11"/>
      <c r="U61" s="11"/>
      <c r="V61" s="11" t="s">
        <v>1165</v>
      </c>
      <c r="W61" s="11"/>
      <c r="X61" s="11" t="s">
        <v>1732</v>
      </c>
      <c r="Y61" s="11" t="s">
        <v>1733</v>
      </c>
      <c r="Z61" s="11"/>
      <c r="AA61" s="11"/>
      <c r="AB61" s="11"/>
      <c r="AC61" s="11"/>
      <c r="AD61" s="11"/>
      <c r="AE61" s="11" t="s">
        <v>1734</v>
      </c>
      <c r="AF61" s="11" t="s">
        <v>1165</v>
      </c>
      <c r="AG61" s="11" t="s">
        <v>1165</v>
      </c>
      <c r="AH61" s="11" t="s">
        <v>1735</v>
      </c>
      <c r="AI61" s="11" t="s">
        <v>1396</v>
      </c>
      <c r="AJ61" s="11" t="s">
        <v>1736</v>
      </c>
      <c r="AK61" s="11" t="s">
        <v>308</v>
      </c>
      <c r="AL61" s="11" t="s">
        <v>1737</v>
      </c>
      <c r="AM61" s="11" t="s">
        <v>1738</v>
      </c>
      <c r="AN61" s="11" t="s">
        <v>1739</v>
      </c>
      <c r="AO61" s="12" t="s">
        <v>1740</v>
      </c>
    </row>
    <row r="62" customFormat="false" ht="95.5" hidden="false" customHeight="false" outlineLevel="0" collapsed="false">
      <c r="A62" s="10" t="s">
        <v>1900</v>
      </c>
      <c r="B62" s="11" t="s">
        <v>127</v>
      </c>
      <c r="C62" s="11" t="s">
        <v>128</v>
      </c>
      <c r="D62" s="11" t="s">
        <v>120</v>
      </c>
      <c r="E62" s="11" t="s">
        <v>68</v>
      </c>
      <c r="F62" s="11" t="n">
        <v>4</v>
      </c>
      <c r="G62" s="11" t="s">
        <v>1901</v>
      </c>
      <c r="H62" s="11" t="s">
        <v>1882</v>
      </c>
      <c r="I62" s="11" t="s">
        <v>1883</v>
      </c>
      <c r="J62" s="11" t="s">
        <v>1884</v>
      </c>
      <c r="K62" s="11" t="s">
        <v>1725</v>
      </c>
      <c r="L62" s="11" t="s">
        <v>1726</v>
      </c>
      <c r="M62" s="11" t="s">
        <v>1885</v>
      </c>
      <c r="N62" s="11"/>
      <c r="O62" s="11" t="s">
        <v>1165</v>
      </c>
      <c r="P62" s="11" t="s">
        <v>1896</v>
      </c>
      <c r="Q62" s="11" t="s">
        <v>1887</v>
      </c>
      <c r="R62" s="11" t="s">
        <v>1730</v>
      </c>
      <c r="S62" s="11" t="s">
        <v>1731</v>
      </c>
      <c r="T62" s="11"/>
      <c r="U62" s="11"/>
      <c r="V62" s="11" t="s">
        <v>1165</v>
      </c>
      <c r="W62" s="11"/>
      <c r="X62" s="11" t="s">
        <v>1732</v>
      </c>
      <c r="Y62" s="11" t="s">
        <v>1733</v>
      </c>
      <c r="Z62" s="11"/>
      <c r="AA62" s="11"/>
      <c r="AB62" s="11"/>
      <c r="AC62" s="11"/>
      <c r="AD62" s="11"/>
      <c r="AE62" s="11" t="s">
        <v>1734</v>
      </c>
      <c r="AF62" s="11" t="s">
        <v>1165</v>
      </c>
      <c r="AG62" s="11" t="s">
        <v>1165</v>
      </c>
      <c r="AH62" s="11" t="s">
        <v>1735</v>
      </c>
      <c r="AI62" s="11" t="s">
        <v>1396</v>
      </c>
      <c r="AJ62" s="11" t="s">
        <v>1736</v>
      </c>
      <c r="AK62" s="11" t="s">
        <v>308</v>
      </c>
      <c r="AL62" s="11" t="s">
        <v>1737</v>
      </c>
      <c r="AM62" s="11" t="s">
        <v>1738</v>
      </c>
      <c r="AN62" s="11" t="s">
        <v>1739</v>
      </c>
      <c r="AO62" s="12" t="s">
        <v>1740</v>
      </c>
    </row>
    <row r="63" customFormat="false" ht="95.5" hidden="false" customHeight="false" outlineLevel="0" collapsed="false">
      <c r="A63" s="10" t="s">
        <v>1902</v>
      </c>
      <c r="B63" s="11" t="s">
        <v>127</v>
      </c>
      <c r="C63" s="11" t="s">
        <v>128</v>
      </c>
      <c r="D63" s="11" t="s">
        <v>120</v>
      </c>
      <c r="E63" s="11" t="s">
        <v>68</v>
      </c>
      <c r="F63" s="11" t="n">
        <v>5</v>
      </c>
      <c r="G63" s="11" t="s">
        <v>1903</v>
      </c>
      <c r="H63" s="11" t="s">
        <v>1882</v>
      </c>
      <c r="I63" s="11" t="s">
        <v>1883</v>
      </c>
      <c r="J63" s="11" t="s">
        <v>1884</v>
      </c>
      <c r="K63" s="11" t="s">
        <v>1725</v>
      </c>
      <c r="L63" s="11" t="s">
        <v>1726</v>
      </c>
      <c r="M63" s="11" t="s">
        <v>1885</v>
      </c>
      <c r="N63" s="11"/>
      <c r="O63" s="11" t="s">
        <v>1165</v>
      </c>
      <c r="P63" s="11" t="s">
        <v>1896</v>
      </c>
      <c r="Q63" s="11" t="s">
        <v>1887</v>
      </c>
      <c r="R63" s="11" t="s">
        <v>1730</v>
      </c>
      <c r="S63" s="11" t="s">
        <v>1731</v>
      </c>
      <c r="T63" s="11"/>
      <c r="U63" s="11"/>
      <c r="V63" s="11" t="s">
        <v>1165</v>
      </c>
      <c r="W63" s="11"/>
      <c r="X63" s="11" t="s">
        <v>1732</v>
      </c>
      <c r="Y63" s="11" t="s">
        <v>1733</v>
      </c>
      <c r="Z63" s="11"/>
      <c r="AA63" s="11"/>
      <c r="AB63" s="11"/>
      <c r="AC63" s="11"/>
      <c r="AD63" s="11"/>
      <c r="AE63" s="11" t="s">
        <v>1734</v>
      </c>
      <c r="AF63" s="11" t="s">
        <v>1165</v>
      </c>
      <c r="AG63" s="11" t="s">
        <v>1165</v>
      </c>
      <c r="AH63" s="11" t="s">
        <v>1735</v>
      </c>
      <c r="AI63" s="11" t="s">
        <v>1396</v>
      </c>
      <c r="AJ63" s="11" t="s">
        <v>1736</v>
      </c>
      <c r="AK63" s="11" t="s">
        <v>308</v>
      </c>
      <c r="AL63" s="11" t="s">
        <v>1737</v>
      </c>
      <c r="AM63" s="11" t="s">
        <v>1738</v>
      </c>
      <c r="AN63" s="11" t="s">
        <v>1739</v>
      </c>
      <c r="AO63" s="12" t="s">
        <v>1740</v>
      </c>
    </row>
    <row r="64" customFormat="false" ht="95.5" hidden="false" customHeight="false" outlineLevel="0" collapsed="false">
      <c r="A64" s="10" t="s">
        <v>1904</v>
      </c>
      <c r="B64" s="11" t="s">
        <v>133</v>
      </c>
      <c r="C64" s="11" t="s">
        <v>134</v>
      </c>
      <c r="D64" s="11" t="s">
        <v>120</v>
      </c>
      <c r="E64" s="11" t="s">
        <v>68</v>
      </c>
      <c r="F64" s="11" t="n">
        <v>1</v>
      </c>
      <c r="G64" s="11" t="s">
        <v>1905</v>
      </c>
      <c r="H64" s="11" t="s">
        <v>1882</v>
      </c>
      <c r="I64" s="11" t="s">
        <v>1883</v>
      </c>
      <c r="J64" s="11" t="s">
        <v>1884</v>
      </c>
      <c r="K64" s="11" t="s">
        <v>1725</v>
      </c>
      <c r="L64" s="11" t="s">
        <v>1726</v>
      </c>
      <c r="M64" s="11" t="s">
        <v>1885</v>
      </c>
      <c r="N64" s="11"/>
      <c r="O64" s="11" t="s">
        <v>1165</v>
      </c>
      <c r="P64" s="11" t="s">
        <v>1906</v>
      </c>
      <c r="Q64" s="11" t="s">
        <v>1887</v>
      </c>
      <c r="R64" s="11" t="s">
        <v>1730</v>
      </c>
      <c r="S64" s="11" t="s">
        <v>1731</v>
      </c>
      <c r="T64" s="11"/>
      <c r="U64" s="11"/>
      <c r="V64" s="11" t="s">
        <v>1165</v>
      </c>
      <c r="W64" s="11"/>
      <c r="X64" s="11" t="s">
        <v>1732</v>
      </c>
      <c r="Y64" s="11" t="s">
        <v>1733</v>
      </c>
      <c r="Z64" s="11"/>
      <c r="AA64" s="11"/>
      <c r="AB64" s="11"/>
      <c r="AC64" s="11"/>
      <c r="AD64" s="11"/>
      <c r="AE64" s="11" t="s">
        <v>1734</v>
      </c>
      <c r="AF64" s="11" t="s">
        <v>1165</v>
      </c>
      <c r="AG64" s="11" t="s">
        <v>1165</v>
      </c>
      <c r="AH64" s="11" t="s">
        <v>1735</v>
      </c>
      <c r="AI64" s="11" t="s">
        <v>1396</v>
      </c>
      <c r="AJ64" s="11" t="s">
        <v>1736</v>
      </c>
      <c r="AK64" s="11" t="s">
        <v>308</v>
      </c>
      <c r="AL64" s="11" t="s">
        <v>1737</v>
      </c>
      <c r="AM64" s="11" t="s">
        <v>1738</v>
      </c>
      <c r="AN64" s="11" t="s">
        <v>1907</v>
      </c>
      <c r="AO64" s="12" t="s">
        <v>1740</v>
      </c>
    </row>
    <row r="65" customFormat="false" ht="95.5" hidden="false" customHeight="false" outlineLevel="0" collapsed="false">
      <c r="A65" s="10" t="s">
        <v>1908</v>
      </c>
      <c r="B65" s="11" t="s">
        <v>133</v>
      </c>
      <c r="C65" s="11" t="s">
        <v>134</v>
      </c>
      <c r="D65" s="11" t="s">
        <v>120</v>
      </c>
      <c r="E65" s="11" t="s">
        <v>68</v>
      </c>
      <c r="F65" s="11" t="n">
        <v>2</v>
      </c>
      <c r="G65" s="11" t="s">
        <v>1909</v>
      </c>
      <c r="H65" s="11" t="s">
        <v>1882</v>
      </c>
      <c r="I65" s="11" t="s">
        <v>1883</v>
      </c>
      <c r="J65" s="11" t="s">
        <v>1884</v>
      </c>
      <c r="K65" s="11" t="s">
        <v>1725</v>
      </c>
      <c r="L65" s="11" t="s">
        <v>1726</v>
      </c>
      <c r="M65" s="11" t="s">
        <v>1885</v>
      </c>
      <c r="N65" s="11"/>
      <c r="O65" s="11" t="s">
        <v>1165</v>
      </c>
      <c r="P65" s="11" t="s">
        <v>1906</v>
      </c>
      <c r="Q65" s="11" t="s">
        <v>1887</v>
      </c>
      <c r="R65" s="11" t="s">
        <v>1730</v>
      </c>
      <c r="S65" s="11" t="s">
        <v>1731</v>
      </c>
      <c r="T65" s="11"/>
      <c r="U65" s="11"/>
      <c r="V65" s="11" t="s">
        <v>1165</v>
      </c>
      <c r="W65" s="11"/>
      <c r="X65" s="11" t="s">
        <v>1732</v>
      </c>
      <c r="Y65" s="11" t="s">
        <v>1733</v>
      </c>
      <c r="Z65" s="11"/>
      <c r="AA65" s="11"/>
      <c r="AB65" s="11"/>
      <c r="AC65" s="11"/>
      <c r="AD65" s="11"/>
      <c r="AE65" s="11" t="s">
        <v>1734</v>
      </c>
      <c r="AF65" s="11" t="s">
        <v>1165</v>
      </c>
      <c r="AG65" s="11" t="s">
        <v>1165</v>
      </c>
      <c r="AH65" s="11" t="s">
        <v>1735</v>
      </c>
      <c r="AI65" s="11" t="s">
        <v>1396</v>
      </c>
      <c r="AJ65" s="11" t="s">
        <v>1736</v>
      </c>
      <c r="AK65" s="11" t="s">
        <v>308</v>
      </c>
      <c r="AL65" s="11" t="s">
        <v>1737</v>
      </c>
      <c r="AM65" s="11" t="s">
        <v>1738</v>
      </c>
      <c r="AN65" s="11" t="s">
        <v>1739</v>
      </c>
      <c r="AO65" s="12" t="s">
        <v>1740</v>
      </c>
    </row>
    <row r="66" customFormat="false" ht="95.5" hidden="false" customHeight="false" outlineLevel="0" collapsed="false">
      <c r="A66" s="10" t="s">
        <v>1910</v>
      </c>
      <c r="B66" s="11" t="s">
        <v>133</v>
      </c>
      <c r="C66" s="11" t="s">
        <v>134</v>
      </c>
      <c r="D66" s="11" t="s">
        <v>120</v>
      </c>
      <c r="E66" s="11" t="s">
        <v>68</v>
      </c>
      <c r="F66" s="11" t="n">
        <v>3</v>
      </c>
      <c r="G66" s="11" t="s">
        <v>1889</v>
      </c>
      <c r="H66" s="11" t="s">
        <v>1882</v>
      </c>
      <c r="I66" s="11" t="s">
        <v>1883</v>
      </c>
      <c r="J66" s="11" t="s">
        <v>1884</v>
      </c>
      <c r="K66" s="11" t="s">
        <v>1725</v>
      </c>
      <c r="L66" s="11" t="s">
        <v>1726</v>
      </c>
      <c r="M66" s="11" t="s">
        <v>1885</v>
      </c>
      <c r="N66" s="11"/>
      <c r="O66" s="11" t="s">
        <v>1165</v>
      </c>
      <c r="P66" s="11" t="s">
        <v>1906</v>
      </c>
      <c r="Q66" s="11" t="s">
        <v>1887</v>
      </c>
      <c r="R66" s="11" t="s">
        <v>1730</v>
      </c>
      <c r="S66" s="11" t="s">
        <v>1731</v>
      </c>
      <c r="T66" s="11"/>
      <c r="U66" s="11"/>
      <c r="V66" s="11" t="s">
        <v>1165</v>
      </c>
      <c r="W66" s="11"/>
      <c r="X66" s="11" t="s">
        <v>1732</v>
      </c>
      <c r="Y66" s="11" t="s">
        <v>1733</v>
      </c>
      <c r="Z66" s="11"/>
      <c r="AA66" s="11"/>
      <c r="AB66" s="11"/>
      <c r="AC66" s="11"/>
      <c r="AD66" s="11"/>
      <c r="AE66" s="11" t="s">
        <v>1734</v>
      </c>
      <c r="AF66" s="11" t="s">
        <v>1165</v>
      </c>
      <c r="AG66" s="11" t="s">
        <v>1165</v>
      </c>
      <c r="AH66" s="11" t="s">
        <v>1735</v>
      </c>
      <c r="AI66" s="11" t="s">
        <v>1396</v>
      </c>
      <c r="AJ66" s="11" t="s">
        <v>1736</v>
      </c>
      <c r="AK66" s="11" t="s">
        <v>308</v>
      </c>
      <c r="AL66" s="11" t="s">
        <v>1737</v>
      </c>
      <c r="AM66" s="11" t="s">
        <v>1738</v>
      </c>
      <c r="AN66" s="11" t="s">
        <v>1739</v>
      </c>
      <c r="AO66" s="12" t="s">
        <v>1740</v>
      </c>
    </row>
    <row r="67" customFormat="false" ht="95.5" hidden="false" customHeight="false" outlineLevel="0" collapsed="false">
      <c r="A67" s="10" t="s">
        <v>1911</v>
      </c>
      <c r="B67" s="11" t="s">
        <v>133</v>
      </c>
      <c r="C67" s="11" t="s">
        <v>134</v>
      </c>
      <c r="D67" s="11" t="s">
        <v>120</v>
      </c>
      <c r="E67" s="11" t="s">
        <v>68</v>
      </c>
      <c r="F67" s="11" t="n">
        <v>4</v>
      </c>
      <c r="G67" s="11" t="s">
        <v>1912</v>
      </c>
      <c r="H67" s="11" t="s">
        <v>1882</v>
      </c>
      <c r="I67" s="11" t="s">
        <v>1883</v>
      </c>
      <c r="J67" s="11" t="s">
        <v>1884</v>
      </c>
      <c r="K67" s="11" t="s">
        <v>1725</v>
      </c>
      <c r="L67" s="11" t="s">
        <v>1726</v>
      </c>
      <c r="M67" s="11" t="s">
        <v>1885</v>
      </c>
      <c r="N67" s="11"/>
      <c r="O67" s="11" t="s">
        <v>1165</v>
      </c>
      <c r="P67" s="11" t="s">
        <v>1906</v>
      </c>
      <c r="Q67" s="11" t="s">
        <v>1887</v>
      </c>
      <c r="R67" s="11" t="s">
        <v>1730</v>
      </c>
      <c r="S67" s="11" t="s">
        <v>1731</v>
      </c>
      <c r="T67" s="11"/>
      <c r="U67" s="11"/>
      <c r="V67" s="11" t="s">
        <v>1165</v>
      </c>
      <c r="W67" s="11"/>
      <c r="X67" s="11" t="s">
        <v>1732</v>
      </c>
      <c r="Y67" s="11" t="s">
        <v>1733</v>
      </c>
      <c r="Z67" s="11"/>
      <c r="AA67" s="11"/>
      <c r="AB67" s="11"/>
      <c r="AC67" s="11"/>
      <c r="AD67" s="11"/>
      <c r="AE67" s="11" t="s">
        <v>1734</v>
      </c>
      <c r="AF67" s="11" t="s">
        <v>1165</v>
      </c>
      <c r="AG67" s="11" t="s">
        <v>1165</v>
      </c>
      <c r="AH67" s="11" t="s">
        <v>1735</v>
      </c>
      <c r="AI67" s="11" t="s">
        <v>1396</v>
      </c>
      <c r="AJ67" s="11" t="s">
        <v>1736</v>
      </c>
      <c r="AK67" s="11" t="s">
        <v>308</v>
      </c>
      <c r="AL67" s="11" t="s">
        <v>1737</v>
      </c>
      <c r="AM67" s="11" t="s">
        <v>1738</v>
      </c>
      <c r="AN67" s="11" t="s">
        <v>1739</v>
      </c>
      <c r="AO67" s="12" t="s">
        <v>1740</v>
      </c>
    </row>
    <row r="68" customFormat="false" ht="95.5" hidden="false" customHeight="false" outlineLevel="0" collapsed="false">
      <c r="A68" s="10" t="s">
        <v>1913</v>
      </c>
      <c r="B68" s="11" t="s">
        <v>139</v>
      </c>
      <c r="C68" s="11" t="s">
        <v>140</v>
      </c>
      <c r="D68" s="11" t="s">
        <v>120</v>
      </c>
      <c r="E68" s="11" t="s">
        <v>68</v>
      </c>
      <c r="F68" s="11" t="n">
        <v>1</v>
      </c>
      <c r="G68" s="11" t="s">
        <v>1914</v>
      </c>
      <c r="H68" s="11" t="s">
        <v>1882</v>
      </c>
      <c r="I68" s="11" t="s">
        <v>1883</v>
      </c>
      <c r="J68" s="11" t="s">
        <v>1884</v>
      </c>
      <c r="K68" s="11" t="s">
        <v>1725</v>
      </c>
      <c r="L68" s="11" t="s">
        <v>1726</v>
      </c>
      <c r="M68" s="11" t="s">
        <v>1885</v>
      </c>
      <c r="N68" s="11"/>
      <c r="O68" s="11" t="s">
        <v>1165</v>
      </c>
      <c r="P68" s="11" t="s">
        <v>1915</v>
      </c>
      <c r="Q68" s="11" t="s">
        <v>1887</v>
      </c>
      <c r="R68" s="11" t="s">
        <v>1730</v>
      </c>
      <c r="S68" s="11" t="s">
        <v>1731</v>
      </c>
      <c r="T68" s="11"/>
      <c r="U68" s="11"/>
      <c r="V68" s="11" t="s">
        <v>1165</v>
      </c>
      <c r="W68" s="11"/>
      <c r="X68" s="11" t="s">
        <v>1732</v>
      </c>
      <c r="Y68" s="11" t="s">
        <v>1733</v>
      </c>
      <c r="Z68" s="11"/>
      <c r="AA68" s="11"/>
      <c r="AB68" s="11"/>
      <c r="AC68" s="11"/>
      <c r="AD68" s="11"/>
      <c r="AE68" s="11" t="s">
        <v>1734</v>
      </c>
      <c r="AF68" s="11" t="s">
        <v>1165</v>
      </c>
      <c r="AG68" s="11" t="s">
        <v>1165</v>
      </c>
      <c r="AH68" s="11" t="s">
        <v>1735</v>
      </c>
      <c r="AI68" s="11" t="s">
        <v>1396</v>
      </c>
      <c r="AJ68" s="11" t="s">
        <v>1736</v>
      </c>
      <c r="AK68" s="11" t="s">
        <v>308</v>
      </c>
      <c r="AL68" s="11" t="s">
        <v>1737</v>
      </c>
      <c r="AM68" s="11" t="s">
        <v>1738</v>
      </c>
      <c r="AN68" s="11" t="s">
        <v>1739</v>
      </c>
      <c r="AO68" s="12" t="s">
        <v>1740</v>
      </c>
    </row>
    <row r="69" customFormat="false" ht="95.5" hidden="false" customHeight="false" outlineLevel="0" collapsed="false">
      <c r="A69" s="10" t="s">
        <v>1916</v>
      </c>
      <c r="B69" s="11" t="s">
        <v>139</v>
      </c>
      <c r="C69" s="11" t="s">
        <v>140</v>
      </c>
      <c r="D69" s="11" t="s">
        <v>120</v>
      </c>
      <c r="E69" s="11" t="s">
        <v>68</v>
      </c>
      <c r="F69" s="11" t="n">
        <v>2</v>
      </c>
      <c r="G69" s="11" t="s">
        <v>1831</v>
      </c>
      <c r="H69" s="11" t="s">
        <v>1917</v>
      </c>
      <c r="I69" s="11" t="s">
        <v>1918</v>
      </c>
      <c r="J69" s="11" t="s">
        <v>1919</v>
      </c>
      <c r="K69" s="11" t="s">
        <v>1725</v>
      </c>
      <c r="L69" s="11" t="s">
        <v>1726</v>
      </c>
      <c r="M69" s="11" t="s">
        <v>1835</v>
      </c>
      <c r="N69" s="11"/>
      <c r="O69" s="11" t="s">
        <v>1165</v>
      </c>
      <c r="P69" s="11" t="s">
        <v>1915</v>
      </c>
      <c r="Q69" s="11" t="s">
        <v>1920</v>
      </c>
      <c r="R69" s="11" t="s">
        <v>1730</v>
      </c>
      <c r="S69" s="11" t="s">
        <v>1731</v>
      </c>
      <c r="T69" s="11"/>
      <c r="U69" s="11"/>
      <c r="V69" s="11" t="s">
        <v>1165</v>
      </c>
      <c r="W69" s="11"/>
      <c r="X69" s="11" t="s">
        <v>1732</v>
      </c>
      <c r="Y69" s="11" t="s">
        <v>1733</v>
      </c>
      <c r="Z69" s="11"/>
      <c r="AA69" s="11"/>
      <c r="AB69" s="11"/>
      <c r="AC69" s="11"/>
      <c r="AD69" s="11"/>
      <c r="AE69" s="11" t="s">
        <v>1734</v>
      </c>
      <c r="AF69" s="11" t="s">
        <v>1165</v>
      </c>
      <c r="AG69" s="11" t="s">
        <v>1165</v>
      </c>
      <c r="AH69" s="11" t="s">
        <v>1735</v>
      </c>
      <c r="AI69" s="11" t="s">
        <v>1396</v>
      </c>
      <c r="AJ69" s="11" t="s">
        <v>1736</v>
      </c>
      <c r="AK69" s="11" t="s">
        <v>308</v>
      </c>
      <c r="AL69" s="11" t="s">
        <v>1737</v>
      </c>
      <c r="AM69" s="11" t="s">
        <v>1738</v>
      </c>
      <c r="AN69" s="11" t="s">
        <v>1739</v>
      </c>
      <c r="AO69" s="12" t="s">
        <v>1740</v>
      </c>
    </row>
    <row r="70" customFormat="false" ht="95.5" hidden="false" customHeight="false" outlineLevel="0" collapsed="false">
      <c r="A70" s="10" t="s">
        <v>1921</v>
      </c>
      <c r="B70" s="11" t="s">
        <v>139</v>
      </c>
      <c r="C70" s="11" t="s">
        <v>140</v>
      </c>
      <c r="D70" s="11" t="s">
        <v>120</v>
      </c>
      <c r="E70" s="11" t="s">
        <v>68</v>
      </c>
      <c r="F70" s="11" t="n">
        <v>3</v>
      </c>
      <c r="G70" s="11" t="s">
        <v>1922</v>
      </c>
      <c r="H70" s="11" t="s">
        <v>1882</v>
      </c>
      <c r="I70" s="11" t="s">
        <v>1883</v>
      </c>
      <c r="J70" s="11" t="s">
        <v>1884</v>
      </c>
      <c r="K70" s="11" t="s">
        <v>1725</v>
      </c>
      <c r="L70" s="11" t="s">
        <v>1726</v>
      </c>
      <c r="M70" s="11" t="s">
        <v>1885</v>
      </c>
      <c r="N70" s="11"/>
      <c r="O70" s="11" t="s">
        <v>1165</v>
      </c>
      <c r="P70" s="11" t="s">
        <v>1915</v>
      </c>
      <c r="Q70" s="11" t="s">
        <v>1887</v>
      </c>
      <c r="R70" s="11" t="s">
        <v>1730</v>
      </c>
      <c r="S70" s="11" t="s">
        <v>1731</v>
      </c>
      <c r="T70" s="11"/>
      <c r="U70" s="11"/>
      <c r="V70" s="11" t="s">
        <v>1165</v>
      </c>
      <c r="W70" s="11"/>
      <c r="X70" s="11" t="s">
        <v>1732</v>
      </c>
      <c r="Y70" s="11" t="s">
        <v>1733</v>
      </c>
      <c r="Z70" s="11"/>
      <c r="AA70" s="11"/>
      <c r="AB70" s="11"/>
      <c r="AC70" s="11"/>
      <c r="AD70" s="11"/>
      <c r="AE70" s="11" t="s">
        <v>1734</v>
      </c>
      <c r="AF70" s="11" t="s">
        <v>1165</v>
      </c>
      <c r="AG70" s="11" t="s">
        <v>1165</v>
      </c>
      <c r="AH70" s="11" t="s">
        <v>1735</v>
      </c>
      <c r="AI70" s="11" t="s">
        <v>1396</v>
      </c>
      <c r="AJ70" s="11" t="s">
        <v>1736</v>
      </c>
      <c r="AK70" s="11" t="s">
        <v>308</v>
      </c>
      <c r="AL70" s="11" t="s">
        <v>1737</v>
      </c>
      <c r="AM70" s="11" t="s">
        <v>1738</v>
      </c>
      <c r="AN70" s="11" t="s">
        <v>1907</v>
      </c>
      <c r="AO70" s="12" t="s">
        <v>1740</v>
      </c>
    </row>
    <row r="71" customFormat="false" ht="95.5" hidden="false" customHeight="false" outlineLevel="0" collapsed="false">
      <c r="A71" s="10" t="s">
        <v>1923</v>
      </c>
      <c r="B71" s="11" t="s">
        <v>139</v>
      </c>
      <c r="C71" s="11" t="s">
        <v>140</v>
      </c>
      <c r="D71" s="11" t="s">
        <v>120</v>
      </c>
      <c r="E71" s="11" t="s">
        <v>68</v>
      </c>
      <c r="F71" s="11" t="n">
        <v>4</v>
      </c>
      <c r="G71" s="11" t="s">
        <v>1924</v>
      </c>
      <c r="H71" s="11" t="s">
        <v>1882</v>
      </c>
      <c r="I71" s="11" t="s">
        <v>1883</v>
      </c>
      <c r="J71" s="11" t="s">
        <v>1884</v>
      </c>
      <c r="K71" s="11" t="s">
        <v>1725</v>
      </c>
      <c r="L71" s="11" t="s">
        <v>1726</v>
      </c>
      <c r="M71" s="11" t="s">
        <v>1885</v>
      </c>
      <c r="N71" s="11"/>
      <c r="O71" s="11" t="s">
        <v>1165</v>
      </c>
      <c r="P71" s="11" t="s">
        <v>1915</v>
      </c>
      <c r="Q71" s="11" t="s">
        <v>1887</v>
      </c>
      <c r="R71" s="11" t="s">
        <v>1730</v>
      </c>
      <c r="S71" s="11" t="s">
        <v>1731</v>
      </c>
      <c r="T71" s="11"/>
      <c r="U71" s="11"/>
      <c r="V71" s="11" t="s">
        <v>1165</v>
      </c>
      <c r="W71" s="11"/>
      <c r="X71" s="11" t="s">
        <v>1732</v>
      </c>
      <c r="Y71" s="11" t="s">
        <v>1733</v>
      </c>
      <c r="Z71" s="11"/>
      <c r="AA71" s="11"/>
      <c r="AB71" s="11"/>
      <c r="AC71" s="11"/>
      <c r="AD71" s="11"/>
      <c r="AE71" s="11" t="s">
        <v>1734</v>
      </c>
      <c r="AF71" s="11" t="s">
        <v>1165</v>
      </c>
      <c r="AG71" s="11" t="s">
        <v>1165</v>
      </c>
      <c r="AH71" s="11" t="s">
        <v>1735</v>
      </c>
      <c r="AI71" s="11" t="s">
        <v>1396</v>
      </c>
      <c r="AJ71" s="11" t="s">
        <v>1736</v>
      </c>
      <c r="AK71" s="11" t="s">
        <v>308</v>
      </c>
      <c r="AL71" s="11" t="s">
        <v>1737</v>
      </c>
      <c r="AM71" s="11" t="s">
        <v>1738</v>
      </c>
      <c r="AN71" s="11" t="s">
        <v>1739</v>
      </c>
      <c r="AO71" s="12" t="s">
        <v>1740</v>
      </c>
    </row>
    <row r="72" customFormat="false" ht="95.5" hidden="false" customHeight="false" outlineLevel="0" collapsed="false">
      <c r="A72" s="10" t="s">
        <v>1925</v>
      </c>
      <c r="B72" s="11" t="s">
        <v>139</v>
      </c>
      <c r="C72" s="11" t="s">
        <v>140</v>
      </c>
      <c r="D72" s="11" t="s">
        <v>120</v>
      </c>
      <c r="E72" s="11" t="s">
        <v>68</v>
      </c>
      <c r="F72" s="11" t="n">
        <v>5</v>
      </c>
      <c r="G72" s="11" t="s">
        <v>1926</v>
      </c>
      <c r="H72" s="11" t="s">
        <v>1882</v>
      </c>
      <c r="I72" s="11" t="s">
        <v>1883</v>
      </c>
      <c r="J72" s="11" t="s">
        <v>1884</v>
      </c>
      <c r="K72" s="11" t="s">
        <v>1725</v>
      </c>
      <c r="L72" s="11" t="s">
        <v>1726</v>
      </c>
      <c r="M72" s="11" t="s">
        <v>1885</v>
      </c>
      <c r="N72" s="11"/>
      <c r="O72" s="11" t="s">
        <v>1165</v>
      </c>
      <c r="P72" s="11" t="s">
        <v>1915</v>
      </c>
      <c r="Q72" s="11" t="s">
        <v>1887</v>
      </c>
      <c r="R72" s="11" t="s">
        <v>1730</v>
      </c>
      <c r="S72" s="11" t="s">
        <v>1731</v>
      </c>
      <c r="T72" s="11"/>
      <c r="U72" s="11"/>
      <c r="V72" s="11" t="s">
        <v>1165</v>
      </c>
      <c r="W72" s="11"/>
      <c r="X72" s="11" t="s">
        <v>1732</v>
      </c>
      <c r="Y72" s="11" t="s">
        <v>1733</v>
      </c>
      <c r="Z72" s="11"/>
      <c r="AA72" s="11"/>
      <c r="AB72" s="11"/>
      <c r="AC72" s="11"/>
      <c r="AD72" s="11"/>
      <c r="AE72" s="11" t="s">
        <v>1734</v>
      </c>
      <c r="AF72" s="11" t="s">
        <v>1165</v>
      </c>
      <c r="AG72" s="11" t="s">
        <v>1165</v>
      </c>
      <c r="AH72" s="11" t="s">
        <v>1735</v>
      </c>
      <c r="AI72" s="11" t="s">
        <v>1396</v>
      </c>
      <c r="AJ72" s="11" t="s">
        <v>1736</v>
      </c>
      <c r="AK72" s="11" t="s">
        <v>308</v>
      </c>
      <c r="AL72" s="11" t="s">
        <v>1737</v>
      </c>
      <c r="AM72" s="11" t="s">
        <v>1738</v>
      </c>
      <c r="AN72" s="11" t="s">
        <v>1739</v>
      </c>
      <c r="AO72" s="12" t="s">
        <v>1740</v>
      </c>
    </row>
    <row r="73" customFormat="false" ht="95.5" hidden="false" customHeight="false" outlineLevel="0" collapsed="false">
      <c r="A73" s="10" t="s">
        <v>1927</v>
      </c>
      <c r="B73" s="11" t="s">
        <v>145</v>
      </c>
      <c r="C73" s="11" t="s">
        <v>147</v>
      </c>
      <c r="D73" s="11" t="s">
        <v>146</v>
      </c>
      <c r="E73" s="11" t="s">
        <v>68</v>
      </c>
      <c r="F73" s="11" t="n">
        <v>1</v>
      </c>
      <c r="G73" s="11" t="s">
        <v>1928</v>
      </c>
      <c r="H73" s="11" t="s">
        <v>1882</v>
      </c>
      <c r="I73" s="11" t="s">
        <v>1883</v>
      </c>
      <c r="J73" s="11" t="s">
        <v>1884</v>
      </c>
      <c r="K73" s="11" t="s">
        <v>1725</v>
      </c>
      <c r="L73" s="11" t="s">
        <v>1726</v>
      </c>
      <c r="M73" s="11" t="s">
        <v>1885</v>
      </c>
      <c r="N73" s="11"/>
      <c r="O73" s="11" t="s">
        <v>1165</v>
      </c>
      <c r="P73" s="11" t="s">
        <v>1929</v>
      </c>
      <c r="Q73" s="11" t="s">
        <v>1887</v>
      </c>
      <c r="R73" s="11" t="s">
        <v>1730</v>
      </c>
      <c r="S73" s="11" t="s">
        <v>1731</v>
      </c>
      <c r="T73" s="11"/>
      <c r="U73" s="11"/>
      <c r="V73" s="11" t="s">
        <v>1165</v>
      </c>
      <c r="W73" s="11"/>
      <c r="X73" s="11" t="s">
        <v>1732</v>
      </c>
      <c r="Y73" s="11" t="s">
        <v>1733</v>
      </c>
      <c r="Z73" s="11"/>
      <c r="AA73" s="11"/>
      <c r="AB73" s="11"/>
      <c r="AC73" s="11"/>
      <c r="AD73" s="11"/>
      <c r="AE73" s="11" t="s">
        <v>1734</v>
      </c>
      <c r="AF73" s="11" t="s">
        <v>1165</v>
      </c>
      <c r="AG73" s="11" t="s">
        <v>1165</v>
      </c>
      <c r="AH73" s="11" t="s">
        <v>1735</v>
      </c>
      <c r="AI73" s="11" t="s">
        <v>1396</v>
      </c>
      <c r="AJ73" s="11" t="s">
        <v>1736</v>
      </c>
      <c r="AK73" s="11" t="s">
        <v>308</v>
      </c>
      <c r="AL73" s="11" t="s">
        <v>1737</v>
      </c>
      <c r="AM73" s="11" t="s">
        <v>1738</v>
      </c>
      <c r="AN73" s="11" t="s">
        <v>1739</v>
      </c>
      <c r="AO73" s="12" t="s">
        <v>1740</v>
      </c>
    </row>
    <row r="74" customFormat="false" ht="95.5" hidden="false" customHeight="false" outlineLevel="0" collapsed="false">
      <c r="A74" s="10" t="s">
        <v>1930</v>
      </c>
      <c r="B74" s="11" t="s">
        <v>145</v>
      </c>
      <c r="C74" s="11" t="s">
        <v>147</v>
      </c>
      <c r="D74" s="11" t="s">
        <v>146</v>
      </c>
      <c r="E74" s="11" t="s">
        <v>68</v>
      </c>
      <c r="F74" s="11" t="n">
        <v>2</v>
      </c>
      <c r="G74" s="11" t="s">
        <v>1931</v>
      </c>
      <c r="H74" s="11" t="s">
        <v>1882</v>
      </c>
      <c r="I74" s="11" t="s">
        <v>1883</v>
      </c>
      <c r="J74" s="11" t="s">
        <v>1884</v>
      </c>
      <c r="K74" s="11" t="s">
        <v>1725</v>
      </c>
      <c r="L74" s="11" t="s">
        <v>1726</v>
      </c>
      <c r="M74" s="11" t="s">
        <v>1885</v>
      </c>
      <c r="N74" s="11"/>
      <c r="O74" s="11" t="s">
        <v>1165</v>
      </c>
      <c r="P74" s="11" t="s">
        <v>1929</v>
      </c>
      <c r="Q74" s="11" t="s">
        <v>1887</v>
      </c>
      <c r="R74" s="11" t="s">
        <v>1730</v>
      </c>
      <c r="S74" s="11" t="s">
        <v>1731</v>
      </c>
      <c r="T74" s="11"/>
      <c r="U74" s="11"/>
      <c r="V74" s="11" t="s">
        <v>1165</v>
      </c>
      <c r="W74" s="11"/>
      <c r="X74" s="11" t="s">
        <v>1732</v>
      </c>
      <c r="Y74" s="11" t="s">
        <v>1733</v>
      </c>
      <c r="Z74" s="11"/>
      <c r="AA74" s="11"/>
      <c r="AB74" s="11"/>
      <c r="AC74" s="11"/>
      <c r="AD74" s="11"/>
      <c r="AE74" s="11" t="s">
        <v>1734</v>
      </c>
      <c r="AF74" s="11" t="s">
        <v>1165</v>
      </c>
      <c r="AG74" s="11" t="s">
        <v>1165</v>
      </c>
      <c r="AH74" s="11" t="s">
        <v>1735</v>
      </c>
      <c r="AI74" s="11" t="s">
        <v>1396</v>
      </c>
      <c r="AJ74" s="11" t="s">
        <v>1736</v>
      </c>
      <c r="AK74" s="11" t="s">
        <v>308</v>
      </c>
      <c r="AL74" s="11" t="s">
        <v>1737</v>
      </c>
      <c r="AM74" s="11" t="s">
        <v>1738</v>
      </c>
      <c r="AN74" s="11" t="s">
        <v>1739</v>
      </c>
      <c r="AO74" s="12" t="s">
        <v>1740</v>
      </c>
    </row>
    <row r="75" customFormat="false" ht="95.5" hidden="false" customHeight="false" outlineLevel="0" collapsed="false">
      <c r="A75" s="10" t="s">
        <v>1932</v>
      </c>
      <c r="B75" s="11" t="s">
        <v>145</v>
      </c>
      <c r="C75" s="11" t="s">
        <v>147</v>
      </c>
      <c r="D75" s="11" t="s">
        <v>146</v>
      </c>
      <c r="E75" s="11" t="s">
        <v>68</v>
      </c>
      <c r="F75" s="11" t="n">
        <v>3</v>
      </c>
      <c r="G75" s="11" t="s">
        <v>1933</v>
      </c>
      <c r="H75" s="11" t="s">
        <v>1882</v>
      </c>
      <c r="I75" s="11" t="s">
        <v>1883</v>
      </c>
      <c r="J75" s="11" t="s">
        <v>1884</v>
      </c>
      <c r="K75" s="11" t="s">
        <v>1725</v>
      </c>
      <c r="L75" s="11" t="s">
        <v>1726</v>
      </c>
      <c r="M75" s="11" t="s">
        <v>1885</v>
      </c>
      <c r="N75" s="11"/>
      <c r="O75" s="11" t="s">
        <v>1165</v>
      </c>
      <c r="P75" s="11" t="s">
        <v>1929</v>
      </c>
      <c r="Q75" s="11" t="s">
        <v>1887</v>
      </c>
      <c r="R75" s="11" t="s">
        <v>1730</v>
      </c>
      <c r="S75" s="11" t="s">
        <v>1731</v>
      </c>
      <c r="T75" s="11"/>
      <c r="U75" s="11"/>
      <c r="V75" s="11" t="s">
        <v>1165</v>
      </c>
      <c r="W75" s="11"/>
      <c r="X75" s="11" t="s">
        <v>1732</v>
      </c>
      <c r="Y75" s="11" t="s">
        <v>1733</v>
      </c>
      <c r="Z75" s="11"/>
      <c r="AA75" s="11"/>
      <c r="AB75" s="11"/>
      <c r="AC75" s="11"/>
      <c r="AD75" s="11"/>
      <c r="AE75" s="11" t="s">
        <v>1734</v>
      </c>
      <c r="AF75" s="11" t="s">
        <v>1165</v>
      </c>
      <c r="AG75" s="11" t="s">
        <v>1165</v>
      </c>
      <c r="AH75" s="11" t="s">
        <v>1735</v>
      </c>
      <c r="AI75" s="11" t="s">
        <v>1396</v>
      </c>
      <c r="AJ75" s="11" t="s">
        <v>1736</v>
      </c>
      <c r="AK75" s="11" t="s">
        <v>308</v>
      </c>
      <c r="AL75" s="11" t="s">
        <v>1737</v>
      </c>
      <c r="AM75" s="11" t="s">
        <v>1738</v>
      </c>
      <c r="AN75" s="11" t="s">
        <v>1907</v>
      </c>
      <c r="AO75" s="12" t="s">
        <v>1740</v>
      </c>
    </row>
    <row r="76" customFormat="false" ht="95.5" hidden="false" customHeight="false" outlineLevel="0" collapsed="false">
      <c r="A76" s="10" t="s">
        <v>1934</v>
      </c>
      <c r="B76" s="11" t="s">
        <v>145</v>
      </c>
      <c r="C76" s="11" t="s">
        <v>147</v>
      </c>
      <c r="D76" s="11" t="s">
        <v>146</v>
      </c>
      <c r="E76" s="11" t="s">
        <v>68</v>
      </c>
      <c r="F76" s="11" t="n">
        <v>4</v>
      </c>
      <c r="G76" s="11" t="s">
        <v>1935</v>
      </c>
      <c r="H76" s="11" t="s">
        <v>1882</v>
      </c>
      <c r="I76" s="11" t="s">
        <v>1883</v>
      </c>
      <c r="J76" s="11" t="s">
        <v>1884</v>
      </c>
      <c r="K76" s="11" t="s">
        <v>1725</v>
      </c>
      <c r="L76" s="11" t="s">
        <v>1726</v>
      </c>
      <c r="M76" s="11" t="s">
        <v>1885</v>
      </c>
      <c r="N76" s="11"/>
      <c r="O76" s="11" t="s">
        <v>1165</v>
      </c>
      <c r="P76" s="11" t="s">
        <v>1929</v>
      </c>
      <c r="Q76" s="11" t="s">
        <v>1887</v>
      </c>
      <c r="R76" s="11" t="s">
        <v>1730</v>
      </c>
      <c r="S76" s="11" t="s">
        <v>1731</v>
      </c>
      <c r="T76" s="11"/>
      <c r="U76" s="11"/>
      <c r="V76" s="11" t="s">
        <v>1165</v>
      </c>
      <c r="W76" s="11"/>
      <c r="X76" s="11" t="s">
        <v>1732</v>
      </c>
      <c r="Y76" s="11" t="s">
        <v>1733</v>
      </c>
      <c r="Z76" s="11"/>
      <c r="AA76" s="11"/>
      <c r="AB76" s="11"/>
      <c r="AC76" s="11"/>
      <c r="AD76" s="11"/>
      <c r="AE76" s="11" t="s">
        <v>1734</v>
      </c>
      <c r="AF76" s="11" t="s">
        <v>1165</v>
      </c>
      <c r="AG76" s="11" t="s">
        <v>1165</v>
      </c>
      <c r="AH76" s="11" t="s">
        <v>1735</v>
      </c>
      <c r="AI76" s="11" t="s">
        <v>1396</v>
      </c>
      <c r="AJ76" s="11" t="s">
        <v>1736</v>
      </c>
      <c r="AK76" s="11" t="s">
        <v>308</v>
      </c>
      <c r="AL76" s="11" t="s">
        <v>1737</v>
      </c>
      <c r="AM76" s="11" t="s">
        <v>1738</v>
      </c>
      <c r="AN76" s="11" t="s">
        <v>1739</v>
      </c>
      <c r="AO76" s="12" t="s">
        <v>1740</v>
      </c>
    </row>
    <row r="77" customFormat="false" ht="95.5" hidden="false" customHeight="false" outlineLevel="0" collapsed="false">
      <c r="A77" s="10" t="s">
        <v>1936</v>
      </c>
      <c r="B77" s="11" t="s">
        <v>145</v>
      </c>
      <c r="C77" s="11" t="s">
        <v>147</v>
      </c>
      <c r="D77" s="11" t="s">
        <v>146</v>
      </c>
      <c r="E77" s="11" t="s">
        <v>68</v>
      </c>
      <c r="F77" s="11" t="n">
        <v>5</v>
      </c>
      <c r="G77" s="11" t="s">
        <v>1937</v>
      </c>
      <c r="H77" s="11" t="s">
        <v>1882</v>
      </c>
      <c r="I77" s="11" t="s">
        <v>1883</v>
      </c>
      <c r="J77" s="11" t="s">
        <v>1884</v>
      </c>
      <c r="K77" s="11" t="s">
        <v>1725</v>
      </c>
      <c r="L77" s="11" t="s">
        <v>1726</v>
      </c>
      <c r="M77" s="11" t="s">
        <v>1885</v>
      </c>
      <c r="N77" s="11"/>
      <c r="O77" s="11" t="s">
        <v>1165</v>
      </c>
      <c r="P77" s="11" t="s">
        <v>1929</v>
      </c>
      <c r="Q77" s="11" t="s">
        <v>1887</v>
      </c>
      <c r="R77" s="11" t="s">
        <v>1730</v>
      </c>
      <c r="S77" s="11" t="s">
        <v>1731</v>
      </c>
      <c r="T77" s="11"/>
      <c r="U77" s="11"/>
      <c r="V77" s="11" t="s">
        <v>1165</v>
      </c>
      <c r="W77" s="11"/>
      <c r="X77" s="11" t="s">
        <v>1732</v>
      </c>
      <c r="Y77" s="11" t="s">
        <v>1733</v>
      </c>
      <c r="Z77" s="11"/>
      <c r="AA77" s="11"/>
      <c r="AB77" s="11"/>
      <c r="AC77" s="11"/>
      <c r="AD77" s="11"/>
      <c r="AE77" s="11" t="s">
        <v>1734</v>
      </c>
      <c r="AF77" s="11" t="s">
        <v>1165</v>
      </c>
      <c r="AG77" s="11" t="s">
        <v>1165</v>
      </c>
      <c r="AH77" s="11" t="s">
        <v>1735</v>
      </c>
      <c r="AI77" s="11" t="s">
        <v>1396</v>
      </c>
      <c r="AJ77" s="11" t="s">
        <v>1736</v>
      </c>
      <c r="AK77" s="11" t="s">
        <v>308</v>
      </c>
      <c r="AL77" s="11" t="s">
        <v>1737</v>
      </c>
      <c r="AM77" s="11" t="s">
        <v>1738</v>
      </c>
      <c r="AN77" s="11" t="s">
        <v>1739</v>
      </c>
      <c r="AO77" s="12" t="s">
        <v>1740</v>
      </c>
    </row>
    <row r="78" customFormat="false" ht="95.5" hidden="false" customHeight="false" outlineLevel="0" collapsed="false">
      <c r="A78" s="10" t="s">
        <v>1938</v>
      </c>
      <c r="B78" s="11" t="s">
        <v>153</v>
      </c>
      <c r="C78" s="11" t="s">
        <v>154</v>
      </c>
      <c r="D78" s="11" t="s">
        <v>146</v>
      </c>
      <c r="E78" s="11" t="s">
        <v>68</v>
      </c>
      <c r="F78" s="11" t="n">
        <v>1</v>
      </c>
      <c r="G78" s="11" t="s">
        <v>1939</v>
      </c>
      <c r="H78" s="11" t="s">
        <v>1940</v>
      </c>
      <c r="I78" s="11" t="s">
        <v>1941</v>
      </c>
      <c r="J78" s="11" t="s">
        <v>1942</v>
      </c>
      <c r="K78" s="11" t="s">
        <v>1725</v>
      </c>
      <c r="L78" s="11" t="s">
        <v>1726</v>
      </c>
      <c r="M78" s="11" t="s">
        <v>1767</v>
      </c>
      <c r="N78" s="11"/>
      <c r="O78" s="11" t="s">
        <v>1165</v>
      </c>
      <c r="P78" s="11" t="s">
        <v>1943</v>
      </c>
      <c r="Q78" s="11" t="s">
        <v>1944</v>
      </c>
      <c r="R78" s="11" t="s">
        <v>1730</v>
      </c>
      <c r="S78" s="11" t="s">
        <v>1731</v>
      </c>
      <c r="T78" s="11"/>
      <c r="U78" s="11"/>
      <c r="V78" s="11" t="s">
        <v>1165</v>
      </c>
      <c r="W78" s="11"/>
      <c r="X78" s="11" t="s">
        <v>1732</v>
      </c>
      <c r="Y78" s="11" t="s">
        <v>1733</v>
      </c>
      <c r="Z78" s="11"/>
      <c r="AA78" s="11"/>
      <c r="AB78" s="11"/>
      <c r="AC78" s="11"/>
      <c r="AD78" s="11"/>
      <c r="AE78" s="11" t="s">
        <v>1734</v>
      </c>
      <c r="AF78" s="11" t="s">
        <v>1165</v>
      </c>
      <c r="AG78" s="11" t="s">
        <v>1165</v>
      </c>
      <c r="AH78" s="11" t="s">
        <v>1735</v>
      </c>
      <c r="AI78" s="11" t="s">
        <v>1396</v>
      </c>
      <c r="AJ78" s="11" t="s">
        <v>1736</v>
      </c>
      <c r="AK78" s="11" t="s">
        <v>308</v>
      </c>
      <c r="AL78" s="11" t="s">
        <v>1737</v>
      </c>
      <c r="AM78" s="11" t="s">
        <v>1738</v>
      </c>
      <c r="AN78" s="11" t="s">
        <v>1739</v>
      </c>
      <c r="AO78" s="12" t="s">
        <v>1740</v>
      </c>
    </row>
    <row r="79" customFormat="false" ht="95.5" hidden="false" customHeight="false" outlineLevel="0" collapsed="false">
      <c r="A79" s="10" t="s">
        <v>1945</v>
      </c>
      <c r="B79" s="11" t="s">
        <v>153</v>
      </c>
      <c r="C79" s="11" t="s">
        <v>154</v>
      </c>
      <c r="D79" s="11" t="s">
        <v>146</v>
      </c>
      <c r="E79" s="11" t="s">
        <v>68</v>
      </c>
      <c r="F79" s="11" t="n">
        <v>2</v>
      </c>
      <c r="G79" s="11" t="s">
        <v>1946</v>
      </c>
      <c r="H79" s="11" t="s">
        <v>1882</v>
      </c>
      <c r="I79" s="11" t="s">
        <v>1883</v>
      </c>
      <c r="J79" s="11" t="s">
        <v>1884</v>
      </c>
      <c r="K79" s="11" t="s">
        <v>1725</v>
      </c>
      <c r="L79" s="11" t="s">
        <v>1726</v>
      </c>
      <c r="M79" s="11" t="s">
        <v>1885</v>
      </c>
      <c r="N79" s="11"/>
      <c r="O79" s="11" t="s">
        <v>1165</v>
      </c>
      <c r="P79" s="11" t="s">
        <v>1943</v>
      </c>
      <c r="Q79" s="11" t="s">
        <v>1887</v>
      </c>
      <c r="R79" s="11" t="s">
        <v>1730</v>
      </c>
      <c r="S79" s="11" t="s">
        <v>1731</v>
      </c>
      <c r="T79" s="11"/>
      <c r="U79" s="11"/>
      <c r="V79" s="11" t="s">
        <v>1165</v>
      </c>
      <c r="W79" s="11"/>
      <c r="X79" s="11" t="s">
        <v>1732</v>
      </c>
      <c r="Y79" s="11" t="s">
        <v>1733</v>
      </c>
      <c r="Z79" s="11"/>
      <c r="AA79" s="11"/>
      <c r="AB79" s="11"/>
      <c r="AC79" s="11"/>
      <c r="AD79" s="11"/>
      <c r="AE79" s="11" t="s">
        <v>1734</v>
      </c>
      <c r="AF79" s="11" t="s">
        <v>1165</v>
      </c>
      <c r="AG79" s="11" t="s">
        <v>1165</v>
      </c>
      <c r="AH79" s="11" t="s">
        <v>1735</v>
      </c>
      <c r="AI79" s="11" t="s">
        <v>1396</v>
      </c>
      <c r="AJ79" s="11" t="s">
        <v>1736</v>
      </c>
      <c r="AK79" s="11" t="s">
        <v>308</v>
      </c>
      <c r="AL79" s="11" t="s">
        <v>1737</v>
      </c>
      <c r="AM79" s="11" t="s">
        <v>1738</v>
      </c>
      <c r="AN79" s="11" t="s">
        <v>1739</v>
      </c>
      <c r="AO79" s="12" t="s">
        <v>1740</v>
      </c>
    </row>
    <row r="80" customFormat="false" ht="95.5" hidden="false" customHeight="false" outlineLevel="0" collapsed="false">
      <c r="A80" s="10" t="s">
        <v>1947</v>
      </c>
      <c r="B80" s="11" t="s">
        <v>153</v>
      </c>
      <c r="C80" s="11" t="s">
        <v>154</v>
      </c>
      <c r="D80" s="11" t="s">
        <v>146</v>
      </c>
      <c r="E80" s="11" t="s">
        <v>68</v>
      </c>
      <c r="F80" s="11" t="n">
        <v>3</v>
      </c>
      <c r="G80" s="11" t="s">
        <v>1948</v>
      </c>
      <c r="H80" s="11" t="s">
        <v>1917</v>
      </c>
      <c r="I80" s="11" t="s">
        <v>1918</v>
      </c>
      <c r="J80" s="11" t="s">
        <v>1919</v>
      </c>
      <c r="K80" s="11" t="s">
        <v>1725</v>
      </c>
      <c r="L80" s="11" t="s">
        <v>1726</v>
      </c>
      <c r="M80" s="11" t="s">
        <v>1835</v>
      </c>
      <c r="N80" s="11"/>
      <c r="O80" s="11" t="s">
        <v>1165</v>
      </c>
      <c r="P80" s="11" t="s">
        <v>1943</v>
      </c>
      <c r="Q80" s="11" t="s">
        <v>1920</v>
      </c>
      <c r="R80" s="11" t="s">
        <v>1730</v>
      </c>
      <c r="S80" s="11" t="s">
        <v>1731</v>
      </c>
      <c r="T80" s="11"/>
      <c r="U80" s="11"/>
      <c r="V80" s="11" t="s">
        <v>1165</v>
      </c>
      <c r="W80" s="11"/>
      <c r="X80" s="11" t="s">
        <v>1732</v>
      </c>
      <c r="Y80" s="11" t="s">
        <v>1733</v>
      </c>
      <c r="Z80" s="11"/>
      <c r="AA80" s="11"/>
      <c r="AB80" s="11"/>
      <c r="AC80" s="11"/>
      <c r="AD80" s="11"/>
      <c r="AE80" s="11" t="s">
        <v>1734</v>
      </c>
      <c r="AF80" s="11" t="s">
        <v>1165</v>
      </c>
      <c r="AG80" s="11" t="s">
        <v>1165</v>
      </c>
      <c r="AH80" s="11" t="s">
        <v>1735</v>
      </c>
      <c r="AI80" s="11" t="s">
        <v>1396</v>
      </c>
      <c r="AJ80" s="11" t="s">
        <v>1736</v>
      </c>
      <c r="AK80" s="11" t="s">
        <v>308</v>
      </c>
      <c r="AL80" s="11" t="s">
        <v>1737</v>
      </c>
      <c r="AM80" s="11" t="s">
        <v>1738</v>
      </c>
      <c r="AN80" s="11" t="s">
        <v>1739</v>
      </c>
      <c r="AO80" s="12" t="s">
        <v>1740</v>
      </c>
    </row>
    <row r="81" customFormat="false" ht="95.5" hidden="false" customHeight="false" outlineLevel="0" collapsed="false">
      <c r="A81" s="10" t="s">
        <v>1949</v>
      </c>
      <c r="B81" s="11" t="s">
        <v>153</v>
      </c>
      <c r="C81" s="11" t="s">
        <v>154</v>
      </c>
      <c r="D81" s="11" t="s">
        <v>146</v>
      </c>
      <c r="E81" s="11" t="s">
        <v>68</v>
      </c>
      <c r="F81" s="11" t="n">
        <v>4</v>
      </c>
      <c r="G81" s="11" t="s">
        <v>1950</v>
      </c>
      <c r="H81" s="11" t="s">
        <v>1882</v>
      </c>
      <c r="I81" s="11" t="s">
        <v>1883</v>
      </c>
      <c r="J81" s="11" t="s">
        <v>1884</v>
      </c>
      <c r="K81" s="11" t="s">
        <v>1725</v>
      </c>
      <c r="L81" s="11" t="s">
        <v>1726</v>
      </c>
      <c r="M81" s="11" t="s">
        <v>1885</v>
      </c>
      <c r="N81" s="11"/>
      <c r="O81" s="11" t="s">
        <v>1165</v>
      </c>
      <c r="P81" s="11" t="s">
        <v>1943</v>
      </c>
      <c r="Q81" s="11" t="s">
        <v>1887</v>
      </c>
      <c r="R81" s="11" t="s">
        <v>1730</v>
      </c>
      <c r="S81" s="11" t="s">
        <v>1731</v>
      </c>
      <c r="T81" s="11"/>
      <c r="U81" s="11"/>
      <c r="V81" s="11" t="s">
        <v>1165</v>
      </c>
      <c r="W81" s="11"/>
      <c r="X81" s="11" t="s">
        <v>1732</v>
      </c>
      <c r="Y81" s="11" t="s">
        <v>1733</v>
      </c>
      <c r="Z81" s="11"/>
      <c r="AA81" s="11"/>
      <c r="AB81" s="11"/>
      <c r="AC81" s="11"/>
      <c r="AD81" s="11"/>
      <c r="AE81" s="11" t="s">
        <v>1734</v>
      </c>
      <c r="AF81" s="11" t="s">
        <v>1165</v>
      </c>
      <c r="AG81" s="11" t="s">
        <v>1165</v>
      </c>
      <c r="AH81" s="11" t="s">
        <v>1735</v>
      </c>
      <c r="AI81" s="11" t="s">
        <v>1396</v>
      </c>
      <c r="AJ81" s="11" t="s">
        <v>1736</v>
      </c>
      <c r="AK81" s="11" t="s">
        <v>308</v>
      </c>
      <c r="AL81" s="11" t="s">
        <v>1737</v>
      </c>
      <c r="AM81" s="11" t="s">
        <v>1738</v>
      </c>
      <c r="AN81" s="11" t="s">
        <v>1739</v>
      </c>
      <c r="AO81" s="12" t="s">
        <v>1740</v>
      </c>
    </row>
    <row r="82" customFormat="false" ht="95.5" hidden="false" customHeight="false" outlineLevel="0" collapsed="false">
      <c r="A82" s="10" t="s">
        <v>1951</v>
      </c>
      <c r="B82" s="11" t="s">
        <v>159</v>
      </c>
      <c r="C82" s="11" t="s">
        <v>160</v>
      </c>
      <c r="D82" s="11" t="s">
        <v>146</v>
      </c>
      <c r="E82" s="11" t="s">
        <v>68</v>
      </c>
      <c r="F82" s="11" t="n">
        <v>1</v>
      </c>
      <c r="G82" s="11" t="s">
        <v>1952</v>
      </c>
      <c r="H82" s="11" t="s">
        <v>1882</v>
      </c>
      <c r="I82" s="11" t="s">
        <v>1883</v>
      </c>
      <c r="J82" s="11" t="s">
        <v>1884</v>
      </c>
      <c r="K82" s="11" t="s">
        <v>1725</v>
      </c>
      <c r="L82" s="11" t="s">
        <v>1726</v>
      </c>
      <c r="M82" s="11" t="s">
        <v>1885</v>
      </c>
      <c r="N82" s="11"/>
      <c r="O82" s="11" t="s">
        <v>1165</v>
      </c>
      <c r="P82" s="11" t="s">
        <v>1953</v>
      </c>
      <c r="Q82" s="11" t="s">
        <v>1887</v>
      </c>
      <c r="R82" s="11" t="s">
        <v>1730</v>
      </c>
      <c r="S82" s="11" t="s">
        <v>1731</v>
      </c>
      <c r="T82" s="11"/>
      <c r="U82" s="11"/>
      <c r="V82" s="11" t="s">
        <v>1165</v>
      </c>
      <c r="W82" s="11"/>
      <c r="X82" s="11" t="s">
        <v>1732</v>
      </c>
      <c r="Y82" s="11" t="s">
        <v>1733</v>
      </c>
      <c r="Z82" s="11"/>
      <c r="AA82" s="11"/>
      <c r="AB82" s="11"/>
      <c r="AC82" s="11"/>
      <c r="AD82" s="11"/>
      <c r="AE82" s="11" t="s">
        <v>1734</v>
      </c>
      <c r="AF82" s="11" t="s">
        <v>1165</v>
      </c>
      <c r="AG82" s="11" t="s">
        <v>1165</v>
      </c>
      <c r="AH82" s="11" t="s">
        <v>1735</v>
      </c>
      <c r="AI82" s="11" t="s">
        <v>1396</v>
      </c>
      <c r="AJ82" s="11" t="s">
        <v>1736</v>
      </c>
      <c r="AK82" s="11" t="s">
        <v>308</v>
      </c>
      <c r="AL82" s="11" t="s">
        <v>1737</v>
      </c>
      <c r="AM82" s="11" t="s">
        <v>1738</v>
      </c>
      <c r="AN82" s="11" t="s">
        <v>1739</v>
      </c>
      <c r="AO82" s="12" t="s">
        <v>1740</v>
      </c>
    </row>
    <row r="83" customFormat="false" ht="95.5" hidden="false" customHeight="false" outlineLevel="0" collapsed="false">
      <c r="A83" s="10" t="s">
        <v>1954</v>
      </c>
      <c r="B83" s="11" t="s">
        <v>159</v>
      </c>
      <c r="C83" s="11" t="s">
        <v>160</v>
      </c>
      <c r="D83" s="11" t="s">
        <v>146</v>
      </c>
      <c r="E83" s="11" t="s">
        <v>68</v>
      </c>
      <c r="F83" s="11" t="n">
        <v>2</v>
      </c>
      <c r="G83" s="11" t="s">
        <v>1955</v>
      </c>
      <c r="H83" s="11" t="s">
        <v>1882</v>
      </c>
      <c r="I83" s="11" t="s">
        <v>1883</v>
      </c>
      <c r="J83" s="11" t="s">
        <v>1884</v>
      </c>
      <c r="K83" s="11" t="s">
        <v>1725</v>
      </c>
      <c r="L83" s="11" t="s">
        <v>1726</v>
      </c>
      <c r="M83" s="11" t="s">
        <v>1885</v>
      </c>
      <c r="N83" s="11"/>
      <c r="O83" s="11" t="s">
        <v>1165</v>
      </c>
      <c r="P83" s="11" t="s">
        <v>1953</v>
      </c>
      <c r="Q83" s="11" t="s">
        <v>1887</v>
      </c>
      <c r="R83" s="11" t="s">
        <v>1730</v>
      </c>
      <c r="S83" s="11" t="s">
        <v>1731</v>
      </c>
      <c r="T83" s="11"/>
      <c r="U83" s="11"/>
      <c r="V83" s="11" t="s">
        <v>1165</v>
      </c>
      <c r="W83" s="11"/>
      <c r="X83" s="11" t="s">
        <v>1732</v>
      </c>
      <c r="Y83" s="11" t="s">
        <v>1733</v>
      </c>
      <c r="Z83" s="11"/>
      <c r="AA83" s="11"/>
      <c r="AB83" s="11"/>
      <c r="AC83" s="11"/>
      <c r="AD83" s="11"/>
      <c r="AE83" s="11" t="s">
        <v>1734</v>
      </c>
      <c r="AF83" s="11" t="s">
        <v>1165</v>
      </c>
      <c r="AG83" s="11" t="s">
        <v>1165</v>
      </c>
      <c r="AH83" s="11" t="s">
        <v>1735</v>
      </c>
      <c r="AI83" s="11" t="s">
        <v>1396</v>
      </c>
      <c r="AJ83" s="11" t="s">
        <v>1736</v>
      </c>
      <c r="AK83" s="11" t="s">
        <v>308</v>
      </c>
      <c r="AL83" s="11" t="s">
        <v>1737</v>
      </c>
      <c r="AM83" s="11" t="s">
        <v>1738</v>
      </c>
      <c r="AN83" s="11" t="s">
        <v>1739</v>
      </c>
      <c r="AO83" s="12" t="s">
        <v>1740</v>
      </c>
    </row>
    <row r="84" customFormat="false" ht="95.5" hidden="false" customHeight="false" outlineLevel="0" collapsed="false">
      <c r="A84" s="10" t="s">
        <v>1956</v>
      </c>
      <c r="B84" s="11" t="s">
        <v>159</v>
      </c>
      <c r="C84" s="11" t="s">
        <v>160</v>
      </c>
      <c r="D84" s="11" t="s">
        <v>146</v>
      </c>
      <c r="E84" s="11" t="s">
        <v>68</v>
      </c>
      <c r="F84" s="11" t="n">
        <v>3</v>
      </c>
      <c r="G84" s="11" t="s">
        <v>1957</v>
      </c>
      <c r="H84" s="11" t="s">
        <v>1882</v>
      </c>
      <c r="I84" s="11" t="s">
        <v>1883</v>
      </c>
      <c r="J84" s="11" t="s">
        <v>1884</v>
      </c>
      <c r="K84" s="11" t="s">
        <v>1725</v>
      </c>
      <c r="L84" s="11" t="s">
        <v>1726</v>
      </c>
      <c r="M84" s="11" t="s">
        <v>1885</v>
      </c>
      <c r="N84" s="11"/>
      <c r="O84" s="11" t="s">
        <v>1165</v>
      </c>
      <c r="P84" s="11" t="s">
        <v>1953</v>
      </c>
      <c r="Q84" s="11" t="s">
        <v>1887</v>
      </c>
      <c r="R84" s="11" t="s">
        <v>1730</v>
      </c>
      <c r="S84" s="11" t="s">
        <v>1731</v>
      </c>
      <c r="T84" s="11"/>
      <c r="U84" s="11"/>
      <c r="V84" s="11" t="s">
        <v>1165</v>
      </c>
      <c r="W84" s="11"/>
      <c r="X84" s="11" t="s">
        <v>1732</v>
      </c>
      <c r="Y84" s="11" t="s">
        <v>1733</v>
      </c>
      <c r="Z84" s="11"/>
      <c r="AA84" s="11"/>
      <c r="AB84" s="11"/>
      <c r="AC84" s="11"/>
      <c r="AD84" s="11"/>
      <c r="AE84" s="11" t="s">
        <v>1734</v>
      </c>
      <c r="AF84" s="11" t="s">
        <v>1165</v>
      </c>
      <c r="AG84" s="11" t="s">
        <v>1165</v>
      </c>
      <c r="AH84" s="11" t="s">
        <v>1735</v>
      </c>
      <c r="AI84" s="11" t="s">
        <v>1396</v>
      </c>
      <c r="AJ84" s="11" t="s">
        <v>1736</v>
      </c>
      <c r="AK84" s="11" t="s">
        <v>308</v>
      </c>
      <c r="AL84" s="11" t="s">
        <v>1737</v>
      </c>
      <c r="AM84" s="11" t="s">
        <v>1738</v>
      </c>
      <c r="AN84" s="11" t="s">
        <v>1739</v>
      </c>
      <c r="AO84" s="12" t="s">
        <v>1740</v>
      </c>
    </row>
    <row r="85" customFormat="false" ht="95.5" hidden="false" customHeight="false" outlineLevel="0" collapsed="false">
      <c r="A85" s="10" t="s">
        <v>1958</v>
      </c>
      <c r="B85" s="11" t="s">
        <v>159</v>
      </c>
      <c r="C85" s="11" t="s">
        <v>160</v>
      </c>
      <c r="D85" s="11" t="s">
        <v>146</v>
      </c>
      <c r="E85" s="11" t="s">
        <v>68</v>
      </c>
      <c r="F85" s="11" t="n">
        <v>4</v>
      </c>
      <c r="G85" s="11" t="s">
        <v>1959</v>
      </c>
      <c r="H85" s="11" t="s">
        <v>1882</v>
      </c>
      <c r="I85" s="11" t="s">
        <v>1883</v>
      </c>
      <c r="J85" s="11" t="s">
        <v>1884</v>
      </c>
      <c r="K85" s="11" t="s">
        <v>1725</v>
      </c>
      <c r="L85" s="11" t="s">
        <v>1726</v>
      </c>
      <c r="M85" s="11" t="s">
        <v>1885</v>
      </c>
      <c r="N85" s="11"/>
      <c r="O85" s="11" t="s">
        <v>1165</v>
      </c>
      <c r="P85" s="11" t="s">
        <v>1953</v>
      </c>
      <c r="Q85" s="11" t="s">
        <v>1887</v>
      </c>
      <c r="R85" s="11" t="s">
        <v>1730</v>
      </c>
      <c r="S85" s="11" t="s">
        <v>1731</v>
      </c>
      <c r="T85" s="11"/>
      <c r="U85" s="11"/>
      <c r="V85" s="11" t="s">
        <v>1165</v>
      </c>
      <c r="W85" s="11"/>
      <c r="X85" s="11" t="s">
        <v>1732</v>
      </c>
      <c r="Y85" s="11" t="s">
        <v>1733</v>
      </c>
      <c r="Z85" s="11"/>
      <c r="AA85" s="11"/>
      <c r="AB85" s="11"/>
      <c r="AC85" s="11"/>
      <c r="AD85" s="11"/>
      <c r="AE85" s="11" t="s">
        <v>1734</v>
      </c>
      <c r="AF85" s="11" t="s">
        <v>1165</v>
      </c>
      <c r="AG85" s="11" t="s">
        <v>1165</v>
      </c>
      <c r="AH85" s="11" t="s">
        <v>1735</v>
      </c>
      <c r="AI85" s="11" t="s">
        <v>1396</v>
      </c>
      <c r="AJ85" s="11" t="s">
        <v>1736</v>
      </c>
      <c r="AK85" s="11" t="s">
        <v>308</v>
      </c>
      <c r="AL85" s="11" t="s">
        <v>1737</v>
      </c>
      <c r="AM85" s="11" t="s">
        <v>1738</v>
      </c>
      <c r="AN85" s="11" t="s">
        <v>1739</v>
      </c>
      <c r="AO85" s="12" t="s">
        <v>1740</v>
      </c>
    </row>
    <row r="86" customFormat="false" ht="95.5" hidden="false" customHeight="false" outlineLevel="0" collapsed="false">
      <c r="A86" s="10" t="s">
        <v>1960</v>
      </c>
      <c r="B86" s="11" t="s">
        <v>159</v>
      </c>
      <c r="C86" s="11" t="s">
        <v>160</v>
      </c>
      <c r="D86" s="11" t="s">
        <v>146</v>
      </c>
      <c r="E86" s="11" t="s">
        <v>68</v>
      </c>
      <c r="F86" s="11" t="n">
        <v>5</v>
      </c>
      <c r="G86" s="11" t="s">
        <v>1933</v>
      </c>
      <c r="H86" s="11" t="s">
        <v>1882</v>
      </c>
      <c r="I86" s="11" t="s">
        <v>1883</v>
      </c>
      <c r="J86" s="11" t="s">
        <v>1884</v>
      </c>
      <c r="K86" s="11" t="s">
        <v>1725</v>
      </c>
      <c r="L86" s="11" t="s">
        <v>1726</v>
      </c>
      <c r="M86" s="11" t="s">
        <v>1885</v>
      </c>
      <c r="N86" s="11"/>
      <c r="O86" s="11" t="s">
        <v>1165</v>
      </c>
      <c r="P86" s="11" t="s">
        <v>1953</v>
      </c>
      <c r="Q86" s="11" t="s">
        <v>1887</v>
      </c>
      <c r="R86" s="11" t="s">
        <v>1730</v>
      </c>
      <c r="S86" s="11" t="s">
        <v>1731</v>
      </c>
      <c r="T86" s="11"/>
      <c r="U86" s="11"/>
      <c r="V86" s="11" t="s">
        <v>1165</v>
      </c>
      <c r="W86" s="11"/>
      <c r="X86" s="11" t="s">
        <v>1732</v>
      </c>
      <c r="Y86" s="11" t="s">
        <v>1733</v>
      </c>
      <c r="Z86" s="11"/>
      <c r="AA86" s="11"/>
      <c r="AB86" s="11"/>
      <c r="AC86" s="11"/>
      <c r="AD86" s="11"/>
      <c r="AE86" s="11" t="s">
        <v>1734</v>
      </c>
      <c r="AF86" s="11" t="s">
        <v>1165</v>
      </c>
      <c r="AG86" s="11" t="s">
        <v>1165</v>
      </c>
      <c r="AH86" s="11" t="s">
        <v>1735</v>
      </c>
      <c r="AI86" s="11" t="s">
        <v>1396</v>
      </c>
      <c r="AJ86" s="11" t="s">
        <v>1736</v>
      </c>
      <c r="AK86" s="11" t="s">
        <v>308</v>
      </c>
      <c r="AL86" s="11" t="s">
        <v>1737</v>
      </c>
      <c r="AM86" s="11" t="s">
        <v>1738</v>
      </c>
      <c r="AN86" s="11" t="s">
        <v>1907</v>
      </c>
      <c r="AO86" s="12" t="s">
        <v>1740</v>
      </c>
    </row>
    <row r="87" customFormat="false" ht="95.5" hidden="false" customHeight="false" outlineLevel="0" collapsed="false">
      <c r="A87" s="10" t="s">
        <v>1961</v>
      </c>
      <c r="B87" s="11" t="s">
        <v>165</v>
      </c>
      <c r="C87" s="11" t="s">
        <v>166</v>
      </c>
      <c r="D87" s="11" t="s">
        <v>146</v>
      </c>
      <c r="E87" s="11" t="s">
        <v>68</v>
      </c>
      <c r="F87" s="11" t="n">
        <v>1</v>
      </c>
      <c r="G87" s="11" t="s">
        <v>1962</v>
      </c>
      <c r="H87" s="11" t="s">
        <v>1882</v>
      </c>
      <c r="I87" s="11" t="s">
        <v>1883</v>
      </c>
      <c r="J87" s="11" t="s">
        <v>1884</v>
      </c>
      <c r="K87" s="11" t="s">
        <v>1725</v>
      </c>
      <c r="L87" s="11" t="s">
        <v>1726</v>
      </c>
      <c r="M87" s="11" t="s">
        <v>1885</v>
      </c>
      <c r="N87" s="11"/>
      <c r="O87" s="11" t="s">
        <v>1165</v>
      </c>
      <c r="P87" s="11" t="s">
        <v>1963</v>
      </c>
      <c r="Q87" s="11" t="s">
        <v>1887</v>
      </c>
      <c r="R87" s="11" t="s">
        <v>1730</v>
      </c>
      <c r="S87" s="11" t="s">
        <v>1731</v>
      </c>
      <c r="T87" s="11"/>
      <c r="U87" s="11"/>
      <c r="V87" s="11" t="s">
        <v>1165</v>
      </c>
      <c r="W87" s="11"/>
      <c r="X87" s="11" t="s">
        <v>1732</v>
      </c>
      <c r="Y87" s="11" t="s">
        <v>1733</v>
      </c>
      <c r="Z87" s="11"/>
      <c r="AA87" s="11"/>
      <c r="AB87" s="11"/>
      <c r="AC87" s="11"/>
      <c r="AD87" s="11"/>
      <c r="AE87" s="11" t="s">
        <v>1734</v>
      </c>
      <c r="AF87" s="11" t="s">
        <v>1165</v>
      </c>
      <c r="AG87" s="11" t="s">
        <v>1165</v>
      </c>
      <c r="AH87" s="11" t="s">
        <v>1735</v>
      </c>
      <c r="AI87" s="11" t="s">
        <v>1396</v>
      </c>
      <c r="AJ87" s="11" t="s">
        <v>1736</v>
      </c>
      <c r="AK87" s="11" t="s">
        <v>308</v>
      </c>
      <c r="AL87" s="11" t="s">
        <v>1737</v>
      </c>
      <c r="AM87" s="11" t="s">
        <v>1738</v>
      </c>
      <c r="AN87" s="11" t="s">
        <v>1907</v>
      </c>
      <c r="AO87" s="12" t="s">
        <v>1740</v>
      </c>
    </row>
    <row r="88" customFormat="false" ht="95.5" hidden="false" customHeight="false" outlineLevel="0" collapsed="false">
      <c r="A88" s="10" t="s">
        <v>1964</v>
      </c>
      <c r="B88" s="11" t="s">
        <v>165</v>
      </c>
      <c r="C88" s="11" t="s">
        <v>166</v>
      </c>
      <c r="D88" s="11" t="s">
        <v>146</v>
      </c>
      <c r="E88" s="11" t="s">
        <v>68</v>
      </c>
      <c r="F88" s="11" t="n">
        <v>2</v>
      </c>
      <c r="G88" s="11" t="s">
        <v>1965</v>
      </c>
      <c r="H88" s="11" t="s">
        <v>1882</v>
      </c>
      <c r="I88" s="11" t="s">
        <v>1883</v>
      </c>
      <c r="J88" s="11" t="s">
        <v>1884</v>
      </c>
      <c r="K88" s="11" t="s">
        <v>1725</v>
      </c>
      <c r="L88" s="11" t="s">
        <v>1726</v>
      </c>
      <c r="M88" s="11" t="s">
        <v>1885</v>
      </c>
      <c r="N88" s="11"/>
      <c r="O88" s="11" t="s">
        <v>1165</v>
      </c>
      <c r="P88" s="11" t="s">
        <v>1963</v>
      </c>
      <c r="Q88" s="11" t="s">
        <v>1887</v>
      </c>
      <c r="R88" s="11" t="s">
        <v>1730</v>
      </c>
      <c r="S88" s="11" t="s">
        <v>1731</v>
      </c>
      <c r="T88" s="11"/>
      <c r="U88" s="11"/>
      <c r="V88" s="11" t="s">
        <v>1165</v>
      </c>
      <c r="W88" s="11"/>
      <c r="X88" s="11" t="s">
        <v>1732</v>
      </c>
      <c r="Y88" s="11" t="s">
        <v>1733</v>
      </c>
      <c r="Z88" s="11"/>
      <c r="AA88" s="11"/>
      <c r="AB88" s="11"/>
      <c r="AC88" s="11"/>
      <c r="AD88" s="11"/>
      <c r="AE88" s="11" t="s">
        <v>1734</v>
      </c>
      <c r="AF88" s="11" t="s">
        <v>1165</v>
      </c>
      <c r="AG88" s="11" t="s">
        <v>1165</v>
      </c>
      <c r="AH88" s="11" t="s">
        <v>1735</v>
      </c>
      <c r="AI88" s="11" t="s">
        <v>1396</v>
      </c>
      <c r="AJ88" s="11" t="s">
        <v>1736</v>
      </c>
      <c r="AK88" s="11" t="s">
        <v>308</v>
      </c>
      <c r="AL88" s="11" t="s">
        <v>1737</v>
      </c>
      <c r="AM88" s="11" t="s">
        <v>1738</v>
      </c>
      <c r="AN88" s="11" t="s">
        <v>1739</v>
      </c>
      <c r="AO88" s="12" t="s">
        <v>1740</v>
      </c>
    </row>
    <row r="89" customFormat="false" ht="95.5" hidden="false" customHeight="false" outlineLevel="0" collapsed="false">
      <c r="A89" s="10" t="s">
        <v>1966</v>
      </c>
      <c r="B89" s="11" t="s">
        <v>165</v>
      </c>
      <c r="C89" s="11" t="s">
        <v>166</v>
      </c>
      <c r="D89" s="11" t="s">
        <v>146</v>
      </c>
      <c r="E89" s="11" t="s">
        <v>68</v>
      </c>
      <c r="F89" s="11" t="n">
        <v>3</v>
      </c>
      <c r="G89" s="11" t="s">
        <v>1967</v>
      </c>
      <c r="H89" s="11" t="s">
        <v>1882</v>
      </c>
      <c r="I89" s="11" t="s">
        <v>1883</v>
      </c>
      <c r="J89" s="11" t="s">
        <v>1884</v>
      </c>
      <c r="K89" s="11" t="s">
        <v>1725</v>
      </c>
      <c r="L89" s="11" t="s">
        <v>1726</v>
      </c>
      <c r="M89" s="11" t="s">
        <v>1885</v>
      </c>
      <c r="N89" s="11"/>
      <c r="O89" s="11" t="s">
        <v>1165</v>
      </c>
      <c r="P89" s="11" t="s">
        <v>1963</v>
      </c>
      <c r="Q89" s="11" t="s">
        <v>1887</v>
      </c>
      <c r="R89" s="11" t="s">
        <v>1730</v>
      </c>
      <c r="S89" s="11" t="s">
        <v>1731</v>
      </c>
      <c r="T89" s="11"/>
      <c r="U89" s="11"/>
      <c r="V89" s="11" t="s">
        <v>1165</v>
      </c>
      <c r="W89" s="11"/>
      <c r="X89" s="11" t="s">
        <v>1732</v>
      </c>
      <c r="Y89" s="11" t="s">
        <v>1733</v>
      </c>
      <c r="Z89" s="11"/>
      <c r="AA89" s="11"/>
      <c r="AB89" s="11"/>
      <c r="AC89" s="11"/>
      <c r="AD89" s="11"/>
      <c r="AE89" s="11" t="s">
        <v>1734</v>
      </c>
      <c r="AF89" s="11" t="s">
        <v>1165</v>
      </c>
      <c r="AG89" s="11" t="s">
        <v>1165</v>
      </c>
      <c r="AH89" s="11" t="s">
        <v>1735</v>
      </c>
      <c r="AI89" s="11" t="s">
        <v>1396</v>
      </c>
      <c r="AJ89" s="11" t="s">
        <v>1736</v>
      </c>
      <c r="AK89" s="11" t="s">
        <v>308</v>
      </c>
      <c r="AL89" s="11" t="s">
        <v>1737</v>
      </c>
      <c r="AM89" s="11" t="s">
        <v>1738</v>
      </c>
      <c r="AN89" s="11" t="s">
        <v>1739</v>
      </c>
      <c r="AO89" s="12" t="s">
        <v>1740</v>
      </c>
    </row>
    <row r="90" customFormat="false" ht="95.5" hidden="false" customHeight="false" outlineLevel="0" collapsed="false">
      <c r="A90" s="10" t="s">
        <v>1968</v>
      </c>
      <c r="B90" s="11" t="s">
        <v>165</v>
      </c>
      <c r="C90" s="11" t="s">
        <v>166</v>
      </c>
      <c r="D90" s="11" t="s">
        <v>146</v>
      </c>
      <c r="E90" s="11" t="s">
        <v>68</v>
      </c>
      <c r="F90" s="11" t="n">
        <v>4</v>
      </c>
      <c r="G90" s="11" t="s">
        <v>1969</v>
      </c>
      <c r="H90" s="11" t="s">
        <v>1882</v>
      </c>
      <c r="I90" s="11" t="s">
        <v>1883</v>
      </c>
      <c r="J90" s="11" t="s">
        <v>1884</v>
      </c>
      <c r="K90" s="11" t="s">
        <v>1725</v>
      </c>
      <c r="L90" s="11" t="s">
        <v>1726</v>
      </c>
      <c r="M90" s="11" t="s">
        <v>1885</v>
      </c>
      <c r="N90" s="11"/>
      <c r="O90" s="11" t="s">
        <v>1165</v>
      </c>
      <c r="P90" s="11" t="s">
        <v>1963</v>
      </c>
      <c r="Q90" s="11" t="s">
        <v>1887</v>
      </c>
      <c r="R90" s="11" t="s">
        <v>1730</v>
      </c>
      <c r="S90" s="11" t="s">
        <v>1731</v>
      </c>
      <c r="T90" s="11"/>
      <c r="U90" s="11"/>
      <c r="V90" s="11" t="s">
        <v>1165</v>
      </c>
      <c r="W90" s="11"/>
      <c r="X90" s="11" t="s">
        <v>1732</v>
      </c>
      <c r="Y90" s="11" t="s">
        <v>1733</v>
      </c>
      <c r="Z90" s="11"/>
      <c r="AA90" s="11"/>
      <c r="AB90" s="11"/>
      <c r="AC90" s="11"/>
      <c r="AD90" s="11"/>
      <c r="AE90" s="11" t="s">
        <v>1734</v>
      </c>
      <c r="AF90" s="11" t="s">
        <v>1165</v>
      </c>
      <c r="AG90" s="11" t="s">
        <v>1165</v>
      </c>
      <c r="AH90" s="11" t="s">
        <v>1735</v>
      </c>
      <c r="AI90" s="11" t="s">
        <v>1396</v>
      </c>
      <c r="AJ90" s="11" t="s">
        <v>1736</v>
      </c>
      <c r="AK90" s="11" t="s">
        <v>308</v>
      </c>
      <c r="AL90" s="11" t="s">
        <v>1737</v>
      </c>
      <c r="AM90" s="11" t="s">
        <v>1738</v>
      </c>
      <c r="AN90" s="11" t="s">
        <v>1739</v>
      </c>
      <c r="AO90" s="12" t="s">
        <v>1740</v>
      </c>
    </row>
    <row r="91" customFormat="false" ht="95.5" hidden="false" customHeight="false" outlineLevel="0" collapsed="false">
      <c r="A91" s="10" t="s">
        <v>1970</v>
      </c>
      <c r="B91" s="11" t="s">
        <v>171</v>
      </c>
      <c r="C91" s="11" t="s">
        <v>172</v>
      </c>
      <c r="D91" s="11" t="s">
        <v>146</v>
      </c>
      <c r="E91" s="11" t="s">
        <v>68</v>
      </c>
      <c r="F91" s="11" t="n">
        <v>1</v>
      </c>
      <c r="G91" s="11" t="s">
        <v>1971</v>
      </c>
      <c r="H91" s="11" t="s">
        <v>1882</v>
      </c>
      <c r="I91" s="11" t="s">
        <v>1883</v>
      </c>
      <c r="J91" s="11" t="s">
        <v>1884</v>
      </c>
      <c r="K91" s="11" t="s">
        <v>1725</v>
      </c>
      <c r="L91" s="11" t="s">
        <v>1726</v>
      </c>
      <c r="M91" s="11" t="s">
        <v>1885</v>
      </c>
      <c r="N91" s="11"/>
      <c r="O91" s="11" t="s">
        <v>1165</v>
      </c>
      <c r="P91" s="11" t="s">
        <v>1896</v>
      </c>
      <c r="Q91" s="11" t="s">
        <v>1887</v>
      </c>
      <c r="R91" s="11" t="s">
        <v>1730</v>
      </c>
      <c r="S91" s="11" t="s">
        <v>1731</v>
      </c>
      <c r="T91" s="11"/>
      <c r="U91" s="11"/>
      <c r="V91" s="11" t="s">
        <v>1165</v>
      </c>
      <c r="W91" s="11"/>
      <c r="X91" s="11" t="s">
        <v>1732</v>
      </c>
      <c r="Y91" s="11" t="s">
        <v>1733</v>
      </c>
      <c r="Z91" s="11"/>
      <c r="AA91" s="11"/>
      <c r="AB91" s="11"/>
      <c r="AC91" s="11"/>
      <c r="AD91" s="11"/>
      <c r="AE91" s="11" t="s">
        <v>1734</v>
      </c>
      <c r="AF91" s="11" t="s">
        <v>1165</v>
      </c>
      <c r="AG91" s="11" t="s">
        <v>1165</v>
      </c>
      <c r="AH91" s="11" t="s">
        <v>1735</v>
      </c>
      <c r="AI91" s="11" t="s">
        <v>1396</v>
      </c>
      <c r="AJ91" s="11" t="s">
        <v>1736</v>
      </c>
      <c r="AK91" s="11" t="s">
        <v>308</v>
      </c>
      <c r="AL91" s="11" t="s">
        <v>1737</v>
      </c>
      <c r="AM91" s="11" t="s">
        <v>1738</v>
      </c>
      <c r="AN91" s="11" t="s">
        <v>1907</v>
      </c>
      <c r="AO91" s="12" t="s">
        <v>1740</v>
      </c>
    </row>
    <row r="92" customFormat="false" ht="95.5" hidden="false" customHeight="false" outlineLevel="0" collapsed="false">
      <c r="A92" s="10" t="s">
        <v>1972</v>
      </c>
      <c r="B92" s="11" t="s">
        <v>171</v>
      </c>
      <c r="C92" s="11" t="s">
        <v>172</v>
      </c>
      <c r="D92" s="11" t="s">
        <v>146</v>
      </c>
      <c r="E92" s="11" t="s">
        <v>68</v>
      </c>
      <c r="F92" s="11" t="n">
        <v>2</v>
      </c>
      <c r="G92" s="11" t="s">
        <v>1973</v>
      </c>
      <c r="H92" s="11" t="s">
        <v>1882</v>
      </c>
      <c r="I92" s="11" t="s">
        <v>1883</v>
      </c>
      <c r="J92" s="11" t="s">
        <v>1884</v>
      </c>
      <c r="K92" s="11" t="s">
        <v>1725</v>
      </c>
      <c r="L92" s="11" t="s">
        <v>1726</v>
      </c>
      <c r="M92" s="11" t="s">
        <v>1885</v>
      </c>
      <c r="N92" s="11"/>
      <c r="O92" s="11" t="s">
        <v>1165</v>
      </c>
      <c r="P92" s="11" t="s">
        <v>1896</v>
      </c>
      <c r="Q92" s="11" t="s">
        <v>1887</v>
      </c>
      <c r="R92" s="11" t="s">
        <v>1730</v>
      </c>
      <c r="S92" s="11" t="s">
        <v>1731</v>
      </c>
      <c r="T92" s="11"/>
      <c r="U92" s="11"/>
      <c r="V92" s="11" t="s">
        <v>1165</v>
      </c>
      <c r="W92" s="11"/>
      <c r="X92" s="11" t="s">
        <v>1732</v>
      </c>
      <c r="Y92" s="11" t="s">
        <v>1733</v>
      </c>
      <c r="Z92" s="11"/>
      <c r="AA92" s="11"/>
      <c r="AB92" s="11"/>
      <c r="AC92" s="11"/>
      <c r="AD92" s="11"/>
      <c r="AE92" s="11" t="s">
        <v>1734</v>
      </c>
      <c r="AF92" s="11" t="s">
        <v>1165</v>
      </c>
      <c r="AG92" s="11" t="s">
        <v>1165</v>
      </c>
      <c r="AH92" s="11" t="s">
        <v>1735</v>
      </c>
      <c r="AI92" s="11" t="s">
        <v>1396</v>
      </c>
      <c r="AJ92" s="11" t="s">
        <v>1736</v>
      </c>
      <c r="AK92" s="11" t="s">
        <v>308</v>
      </c>
      <c r="AL92" s="11" t="s">
        <v>1737</v>
      </c>
      <c r="AM92" s="11" t="s">
        <v>1738</v>
      </c>
      <c r="AN92" s="11" t="s">
        <v>1739</v>
      </c>
      <c r="AO92" s="12" t="s">
        <v>1740</v>
      </c>
    </row>
    <row r="93" customFormat="false" ht="95.5" hidden="false" customHeight="false" outlineLevel="0" collapsed="false">
      <c r="A93" s="10" t="s">
        <v>1974</v>
      </c>
      <c r="B93" s="11" t="s">
        <v>171</v>
      </c>
      <c r="C93" s="11" t="s">
        <v>172</v>
      </c>
      <c r="D93" s="11" t="s">
        <v>146</v>
      </c>
      <c r="E93" s="11" t="s">
        <v>68</v>
      </c>
      <c r="F93" s="11" t="n">
        <v>3</v>
      </c>
      <c r="G93" s="11" t="s">
        <v>1975</v>
      </c>
      <c r="H93" s="11" t="s">
        <v>1826</v>
      </c>
      <c r="I93" s="11" t="s">
        <v>1827</v>
      </c>
      <c r="J93" s="11" t="s">
        <v>1828</v>
      </c>
      <c r="K93" s="11" t="s">
        <v>1725</v>
      </c>
      <c r="L93" s="11" t="s">
        <v>1726</v>
      </c>
      <c r="M93" s="11" t="s">
        <v>1767</v>
      </c>
      <c r="N93" s="11"/>
      <c r="O93" s="11" t="s">
        <v>1165</v>
      </c>
      <c r="P93" s="11" t="s">
        <v>1896</v>
      </c>
      <c r="Q93" s="11" t="s">
        <v>1829</v>
      </c>
      <c r="R93" s="11" t="s">
        <v>1730</v>
      </c>
      <c r="S93" s="11" t="s">
        <v>1731</v>
      </c>
      <c r="T93" s="11"/>
      <c r="U93" s="11"/>
      <c r="V93" s="11" t="s">
        <v>1165</v>
      </c>
      <c r="W93" s="11"/>
      <c r="X93" s="11" t="s">
        <v>1732</v>
      </c>
      <c r="Y93" s="11" t="s">
        <v>1733</v>
      </c>
      <c r="Z93" s="11"/>
      <c r="AA93" s="11"/>
      <c r="AB93" s="11"/>
      <c r="AC93" s="11"/>
      <c r="AD93" s="11"/>
      <c r="AE93" s="11" t="s">
        <v>1734</v>
      </c>
      <c r="AF93" s="11" t="s">
        <v>1165</v>
      </c>
      <c r="AG93" s="11" t="s">
        <v>1165</v>
      </c>
      <c r="AH93" s="11" t="s">
        <v>1735</v>
      </c>
      <c r="AI93" s="11" t="s">
        <v>1396</v>
      </c>
      <c r="AJ93" s="11" t="s">
        <v>1736</v>
      </c>
      <c r="AK93" s="11" t="s">
        <v>308</v>
      </c>
      <c r="AL93" s="11" t="s">
        <v>1737</v>
      </c>
      <c r="AM93" s="11" t="s">
        <v>1738</v>
      </c>
      <c r="AN93" s="11" t="s">
        <v>1739</v>
      </c>
      <c r="AO93" s="12" t="s">
        <v>1740</v>
      </c>
    </row>
    <row r="94" customFormat="false" ht="95.5" hidden="false" customHeight="false" outlineLevel="0" collapsed="false">
      <c r="A94" s="10" t="s">
        <v>1976</v>
      </c>
      <c r="B94" s="11" t="s">
        <v>171</v>
      </c>
      <c r="C94" s="11" t="s">
        <v>172</v>
      </c>
      <c r="D94" s="11" t="s">
        <v>146</v>
      </c>
      <c r="E94" s="11" t="s">
        <v>68</v>
      </c>
      <c r="F94" s="11" t="n">
        <v>4</v>
      </c>
      <c r="G94" s="11" t="s">
        <v>1977</v>
      </c>
      <c r="H94" s="11" t="s">
        <v>1882</v>
      </c>
      <c r="I94" s="11" t="s">
        <v>1883</v>
      </c>
      <c r="J94" s="11" t="s">
        <v>1884</v>
      </c>
      <c r="K94" s="11" t="s">
        <v>1725</v>
      </c>
      <c r="L94" s="11" t="s">
        <v>1726</v>
      </c>
      <c r="M94" s="11" t="s">
        <v>1885</v>
      </c>
      <c r="N94" s="11"/>
      <c r="O94" s="11" t="s">
        <v>1165</v>
      </c>
      <c r="P94" s="11" t="s">
        <v>1896</v>
      </c>
      <c r="Q94" s="11" t="s">
        <v>1887</v>
      </c>
      <c r="R94" s="11" t="s">
        <v>1730</v>
      </c>
      <c r="S94" s="11" t="s">
        <v>1731</v>
      </c>
      <c r="T94" s="11"/>
      <c r="U94" s="11"/>
      <c r="V94" s="11" t="s">
        <v>1165</v>
      </c>
      <c r="W94" s="11"/>
      <c r="X94" s="11" t="s">
        <v>1732</v>
      </c>
      <c r="Y94" s="11" t="s">
        <v>1733</v>
      </c>
      <c r="Z94" s="11"/>
      <c r="AA94" s="11"/>
      <c r="AB94" s="11"/>
      <c r="AC94" s="11"/>
      <c r="AD94" s="11"/>
      <c r="AE94" s="11" t="s">
        <v>1734</v>
      </c>
      <c r="AF94" s="11" t="s">
        <v>1165</v>
      </c>
      <c r="AG94" s="11" t="s">
        <v>1165</v>
      </c>
      <c r="AH94" s="11" t="s">
        <v>1735</v>
      </c>
      <c r="AI94" s="11" t="s">
        <v>1396</v>
      </c>
      <c r="AJ94" s="11" t="s">
        <v>1736</v>
      </c>
      <c r="AK94" s="11" t="s">
        <v>308</v>
      </c>
      <c r="AL94" s="11" t="s">
        <v>1737</v>
      </c>
      <c r="AM94" s="11" t="s">
        <v>1738</v>
      </c>
      <c r="AN94" s="11" t="s">
        <v>1739</v>
      </c>
      <c r="AO94" s="12" t="s">
        <v>1740</v>
      </c>
    </row>
    <row r="95" customFormat="false" ht="95.5" hidden="false" customHeight="false" outlineLevel="0" collapsed="false">
      <c r="A95" s="10" t="s">
        <v>1978</v>
      </c>
      <c r="B95" s="11" t="s">
        <v>171</v>
      </c>
      <c r="C95" s="11" t="s">
        <v>172</v>
      </c>
      <c r="D95" s="11" t="s">
        <v>146</v>
      </c>
      <c r="E95" s="11" t="s">
        <v>68</v>
      </c>
      <c r="F95" s="11" t="n">
        <v>5</v>
      </c>
      <c r="G95" s="11" t="s">
        <v>1979</v>
      </c>
      <c r="H95" s="11" t="s">
        <v>1882</v>
      </c>
      <c r="I95" s="11" t="s">
        <v>1883</v>
      </c>
      <c r="J95" s="11" t="s">
        <v>1884</v>
      </c>
      <c r="K95" s="11" t="s">
        <v>1725</v>
      </c>
      <c r="L95" s="11" t="s">
        <v>1726</v>
      </c>
      <c r="M95" s="11" t="s">
        <v>1885</v>
      </c>
      <c r="N95" s="11"/>
      <c r="O95" s="11" t="s">
        <v>1165</v>
      </c>
      <c r="P95" s="11" t="s">
        <v>1896</v>
      </c>
      <c r="Q95" s="11" t="s">
        <v>1887</v>
      </c>
      <c r="R95" s="11" t="s">
        <v>1730</v>
      </c>
      <c r="S95" s="11" t="s">
        <v>1731</v>
      </c>
      <c r="T95" s="11"/>
      <c r="U95" s="11"/>
      <c r="V95" s="11" t="s">
        <v>1165</v>
      </c>
      <c r="W95" s="11"/>
      <c r="X95" s="11" t="s">
        <v>1732</v>
      </c>
      <c r="Y95" s="11" t="s">
        <v>1733</v>
      </c>
      <c r="Z95" s="11"/>
      <c r="AA95" s="11"/>
      <c r="AB95" s="11"/>
      <c r="AC95" s="11"/>
      <c r="AD95" s="11"/>
      <c r="AE95" s="11" t="s">
        <v>1734</v>
      </c>
      <c r="AF95" s="11" t="s">
        <v>1165</v>
      </c>
      <c r="AG95" s="11" t="s">
        <v>1165</v>
      </c>
      <c r="AH95" s="11" t="s">
        <v>1735</v>
      </c>
      <c r="AI95" s="11" t="s">
        <v>1396</v>
      </c>
      <c r="AJ95" s="11" t="s">
        <v>1736</v>
      </c>
      <c r="AK95" s="11" t="s">
        <v>308</v>
      </c>
      <c r="AL95" s="11" t="s">
        <v>1737</v>
      </c>
      <c r="AM95" s="11" t="s">
        <v>1738</v>
      </c>
      <c r="AN95" s="11" t="s">
        <v>1739</v>
      </c>
      <c r="AO95" s="12" t="s">
        <v>1740</v>
      </c>
    </row>
    <row r="96" customFormat="false" ht="95.5" hidden="false" customHeight="false" outlineLevel="0" collapsed="false">
      <c r="A96" s="10" t="s">
        <v>1980</v>
      </c>
      <c r="B96" s="11" t="s">
        <v>176</v>
      </c>
      <c r="C96" s="11" t="s">
        <v>178</v>
      </c>
      <c r="D96" s="11" t="s">
        <v>177</v>
      </c>
      <c r="E96" s="11" t="s">
        <v>68</v>
      </c>
      <c r="F96" s="11" t="n">
        <v>1</v>
      </c>
      <c r="G96" s="11" t="s">
        <v>1981</v>
      </c>
      <c r="H96" s="11" t="s">
        <v>1982</v>
      </c>
      <c r="I96" s="11" t="s">
        <v>1983</v>
      </c>
      <c r="J96" s="11" t="s">
        <v>1984</v>
      </c>
      <c r="K96" s="11" t="s">
        <v>1725</v>
      </c>
      <c r="L96" s="11" t="s">
        <v>1726</v>
      </c>
      <c r="M96" s="11" t="s">
        <v>1985</v>
      </c>
      <c r="N96" s="11"/>
      <c r="O96" s="11" t="s">
        <v>1165</v>
      </c>
      <c r="P96" s="11" t="s">
        <v>1986</v>
      </c>
      <c r="Q96" s="11" t="s">
        <v>1987</v>
      </c>
      <c r="R96" s="11" t="s">
        <v>1730</v>
      </c>
      <c r="S96" s="11" t="s">
        <v>1731</v>
      </c>
      <c r="T96" s="11"/>
      <c r="U96" s="11"/>
      <c r="V96" s="11" t="s">
        <v>1165</v>
      </c>
      <c r="W96" s="11"/>
      <c r="X96" s="11" t="s">
        <v>1732</v>
      </c>
      <c r="Y96" s="11" t="s">
        <v>1733</v>
      </c>
      <c r="Z96" s="11"/>
      <c r="AA96" s="11"/>
      <c r="AB96" s="11"/>
      <c r="AC96" s="11"/>
      <c r="AD96" s="11"/>
      <c r="AE96" s="11" t="s">
        <v>1734</v>
      </c>
      <c r="AF96" s="11" t="s">
        <v>1165</v>
      </c>
      <c r="AG96" s="11" t="s">
        <v>1165</v>
      </c>
      <c r="AH96" s="11" t="s">
        <v>1735</v>
      </c>
      <c r="AI96" s="11" t="s">
        <v>1396</v>
      </c>
      <c r="AJ96" s="11" t="s">
        <v>1736</v>
      </c>
      <c r="AK96" s="11" t="s">
        <v>308</v>
      </c>
      <c r="AL96" s="11" t="s">
        <v>1737</v>
      </c>
      <c r="AM96" s="11" t="s">
        <v>1738</v>
      </c>
      <c r="AN96" s="11" t="s">
        <v>1739</v>
      </c>
      <c r="AO96" s="12" t="s">
        <v>1740</v>
      </c>
    </row>
    <row r="97" customFormat="false" ht="95.5" hidden="false" customHeight="false" outlineLevel="0" collapsed="false">
      <c r="A97" s="10" t="s">
        <v>1988</v>
      </c>
      <c r="B97" s="11" t="s">
        <v>176</v>
      </c>
      <c r="C97" s="11" t="s">
        <v>178</v>
      </c>
      <c r="D97" s="11" t="s">
        <v>177</v>
      </c>
      <c r="E97" s="11" t="s">
        <v>68</v>
      </c>
      <c r="F97" s="11" t="n">
        <v>2</v>
      </c>
      <c r="G97" s="11" t="s">
        <v>1989</v>
      </c>
      <c r="H97" s="11" t="s">
        <v>1990</v>
      </c>
      <c r="I97" s="11" t="s">
        <v>1991</v>
      </c>
      <c r="J97" s="11" t="s">
        <v>1992</v>
      </c>
      <c r="K97" s="11" t="s">
        <v>1725</v>
      </c>
      <c r="L97" s="11" t="s">
        <v>1726</v>
      </c>
      <c r="M97" s="11" t="s">
        <v>1993</v>
      </c>
      <c r="N97" s="11"/>
      <c r="O97" s="11" t="s">
        <v>1165</v>
      </c>
      <c r="P97" s="11" t="s">
        <v>1986</v>
      </c>
      <c r="Q97" s="11" t="s">
        <v>1994</v>
      </c>
      <c r="R97" s="11" t="s">
        <v>1730</v>
      </c>
      <c r="S97" s="11" t="s">
        <v>1731</v>
      </c>
      <c r="T97" s="11"/>
      <c r="U97" s="11"/>
      <c r="V97" s="11" t="s">
        <v>1165</v>
      </c>
      <c r="W97" s="11"/>
      <c r="X97" s="11" t="s">
        <v>1732</v>
      </c>
      <c r="Y97" s="11" t="s">
        <v>1733</v>
      </c>
      <c r="Z97" s="11"/>
      <c r="AA97" s="11"/>
      <c r="AB97" s="11"/>
      <c r="AC97" s="11"/>
      <c r="AD97" s="11"/>
      <c r="AE97" s="11" t="s">
        <v>1734</v>
      </c>
      <c r="AF97" s="11" t="s">
        <v>1165</v>
      </c>
      <c r="AG97" s="11" t="s">
        <v>1165</v>
      </c>
      <c r="AH97" s="11" t="s">
        <v>1735</v>
      </c>
      <c r="AI97" s="11" t="s">
        <v>1396</v>
      </c>
      <c r="AJ97" s="11" t="s">
        <v>1736</v>
      </c>
      <c r="AK97" s="11" t="s">
        <v>308</v>
      </c>
      <c r="AL97" s="11" t="s">
        <v>1737</v>
      </c>
      <c r="AM97" s="11" t="s">
        <v>1738</v>
      </c>
      <c r="AN97" s="11" t="s">
        <v>1739</v>
      </c>
      <c r="AO97" s="12" t="s">
        <v>1740</v>
      </c>
    </row>
    <row r="98" customFormat="false" ht="95.5" hidden="false" customHeight="false" outlineLevel="0" collapsed="false">
      <c r="A98" s="10" t="s">
        <v>1995</v>
      </c>
      <c r="B98" s="11" t="s">
        <v>176</v>
      </c>
      <c r="C98" s="11" t="s">
        <v>178</v>
      </c>
      <c r="D98" s="11" t="s">
        <v>177</v>
      </c>
      <c r="E98" s="11" t="s">
        <v>68</v>
      </c>
      <c r="F98" s="11" t="n">
        <v>3</v>
      </c>
      <c r="G98" s="11" t="s">
        <v>1996</v>
      </c>
      <c r="H98" s="11" t="s">
        <v>1982</v>
      </c>
      <c r="I98" s="11" t="s">
        <v>1983</v>
      </c>
      <c r="J98" s="11" t="s">
        <v>1984</v>
      </c>
      <c r="K98" s="11" t="s">
        <v>1725</v>
      </c>
      <c r="L98" s="11" t="s">
        <v>1726</v>
      </c>
      <c r="M98" s="11" t="s">
        <v>1985</v>
      </c>
      <c r="N98" s="11"/>
      <c r="O98" s="11" t="s">
        <v>1165</v>
      </c>
      <c r="P98" s="11" t="s">
        <v>1986</v>
      </c>
      <c r="Q98" s="11" t="s">
        <v>1987</v>
      </c>
      <c r="R98" s="11" t="s">
        <v>1730</v>
      </c>
      <c r="S98" s="11" t="s">
        <v>1731</v>
      </c>
      <c r="T98" s="11"/>
      <c r="U98" s="11"/>
      <c r="V98" s="11" t="s">
        <v>1165</v>
      </c>
      <c r="W98" s="11"/>
      <c r="X98" s="11" t="s">
        <v>1732</v>
      </c>
      <c r="Y98" s="11" t="s">
        <v>1733</v>
      </c>
      <c r="Z98" s="11"/>
      <c r="AA98" s="11"/>
      <c r="AB98" s="11"/>
      <c r="AC98" s="11"/>
      <c r="AD98" s="11"/>
      <c r="AE98" s="11" t="s">
        <v>1734</v>
      </c>
      <c r="AF98" s="11" t="s">
        <v>1165</v>
      </c>
      <c r="AG98" s="11" t="s">
        <v>1165</v>
      </c>
      <c r="AH98" s="11" t="s">
        <v>1735</v>
      </c>
      <c r="AI98" s="11" t="s">
        <v>1396</v>
      </c>
      <c r="AJ98" s="11" t="s">
        <v>1736</v>
      </c>
      <c r="AK98" s="11" t="s">
        <v>308</v>
      </c>
      <c r="AL98" s="11" t="s">
        <v>1737</v>
      </c>
      <c r="AM98" s="11" t="s">
        <v>1738</v>
      </c>
      <c r="AN98" s="11" t="s">
        <v>1739</v>
      </c>
      <c r="AO98" s="12" t="s">
        <v>1740</v>
      </c>
    </row>
    <row r="99" customFormat="false" ht="95.5" hidden="false" customHeight="false" outlineLevel="0" collapsed="false">
      <c r="A99" s="10" t="s">
        <v>1997</v>
      </c>
      <c r="B99" s="11" t="s">
        <v>176</v>
      </c>
      <c r="C99" s="11" t="s">
        <v>178</v>
      </c>
      <c r="D99" s="11" t="s">
        <v>177</v>
      </c>
      <c r="E99" s="11" t="s">
        <v>68</v>
      </c>
      <c r="F99" s="11" t="n">
        <v>4</v>
      </c>
      <c r="G99" s="11" t="s">
        <v>1998</v>
      </c>
      <c r="H99" s="11" t="s">
        <v>1982</v>
      </c>
      <c r="I99" s="11" t="s">
        <v>1983</v>
      </c>
      <c r="J99" s="11" t="s">
        <v>1984</v>
      </c>
      <c r="K99" s="11" t="s">
        <v>1725</v>
      </c>
      <c r="L99" s="11" t="s">
        <v>1726</v>
      </c>
      <c r="M99" s="11" t="s">
        <v>1985</v>
      </c>
      <c r="N99" s="11"/>
      <c r="O99" s="11" t="s">
        <v>1165</v>
      </c>
      <c r="P99" s="11" t="s">
        <v>1986</v>
      </c>
      <c r="Q99" s="11" t="s">
        <v>1987</v>
      </c>
      <c r="R99" s="11" t="s">
        <v>1730</v>
      </c>
      <c r="S99" s="11" t="s">
        <v>1731</v>
      </c>
      <c r="T99" s="11"/>
      <c r="U99" s="11"/>
      <c r="V99" s="11" t="s">
        <v>1165</v>
      </c>
      <c r="W99" s="11"/>
      <c r="X99" s="11" t="s">
        <v>1732</v>
      </c>
      <c r="Y99" s="11" t="s">
        <v>1733</v>
      </c>
      <c r="Z99" s="11"/>
      <c r="AA99" s="11"/>
      <c r="AB99" s="11"/>
      <c r="AC99" s="11"/>
      <c r="AD99" s="11"/>
      <c r="AE99" s="11" t="s">
        <v>1734</v>
      </c>
      <c r="AF99" s="11" t="s">
        <v>1165</v>
      </c>
      <c r="AG99" s="11" t="s">
        <v>1165</v>
      </c>
      <c r="AH99" s="11" t="s">
        <v>1735</v>
      </c>
      <c r="AI99" s="11" t="s">
        <v>1396</v>
      </c>
      <c r="AJ99" s="11" t="s">
        <v>1736</v>
      </c>
      <c r="AK99" s="11" t="s">
        <v>308</v>
      </c>
      <c r="AL99" s="11" t="s">
        <v>1737</v>
      </c>
      <c r="AM99" s="11" t="s">
        <v>1738</v>
      </c>
      <c r="AN99" s="11" t="s">
        <v>1739</v>
      </c>
      <c r="AO99" s="12" t="s">
        <v>1740</v>
      </c>
    </row>
    <row r="100" customFormat="false" ht="95.5" hidden="false" customHeight="false" outlineLevel="0" collapsed="false">
      <c r="A100" s="10" t="s">
        <v>1999</v>
      </c>
      <c r="B100" s="11" t="s">
        <v>176</v>
      </c>
      <c r="C100" s="11" t="s">
        <v>178</v>
      </c>
      <c r="D100" s="11" t="s">
        <v>177</v>
      </c>
      <c r="E100" s="11" t="s">
        <v>68</v>
      </c>
      <c r="F100" s="11" t="n">
        <v>5</v>
      </c>
      <c r="G100" s="11" t="s">
        <v>2000</v>
      </c>
      <c r="H100" s="11" t="s">
        <v>1982</v>
      </c>
      <c r="I100" s="11" t="s">
        <v>1983</v>
      </c>
      <c r="J100" s="11" t="s">
        <v>1984</v>
      </c>
      <c r="K100" s="11" t="s">
        <v>1725</v>
      </c>
      <c r="L100" s="11" t="s">
        <v>1726</v>
      </c>
      <c r="M100" s="11" t="s">
        <v>1985</v>
      </c>
      <c r="N100" s="11"/>
      <c r="O100" s="11" t="s">
        <v>1165</v>
      </c>
      <c r="P100" s="11" t="s">
        <v>1986</v>
      </c>
      <c r="Q100" s="11" t="s">
        <v>1987</v>
      </c>
      <c r="R100" s="11" t="s">
        <v>1730</v>
      </c>
      <c r="S100" s="11" t="s">
        <v>1731</v>
      </c>
      <c r="T100" s="11"/>
      <c r="U100" s="11"/>
      <c r="V100" s="11" t="s">
        <v>1165</v>
      </c>
      <c r="W100" s="11"/>
      <c r="X100" s="11" t="s">
        <v>1732</v>
      </c>
      <c r="Y100" s="11" t="s">
        <v>1733</v>
      </c>
      <c r="Z100" s="11"/>
      <c r="AA100" s="11"/>
      <c r="AB100" s="11"/>
      <c r="AC100" s="11"/>
      <c r="AD100" s="11"/>
      <c r="AE100" s="11" t="s">
        <v>1734</v>
      </c>
      <c r="AF100" s="11" t="s">
        <v>1165</v>
      </c>
      <c r="AG100" s="11" t="s">
        <v>1165</v>
      </c>
      <c r="AH100" s="11" t="s">
        <v>1735</v>
      </c>
      <c r="AI100" s="11" t="s">
        <v>1396</v>
      </c>
      <c r="AJ100" s="11" t="s">
        <v>1736</v>
      </c>
      <c r="AK100" s="11" t="s">
        <v>308</v>
      </c>
      <c r="AL100" s="11" t="s">
        <v>1737</v>
      </c>
      <c r="AM100" s="11" t="s">
        <v>1738</v>
      </c>
      <c r="AN100" s="11" t="s">
        <v>1739</v>
      </c>
      <c r="AO100" s="12" t="s">
        <v>1740</v>
      </c>
    </row>
    <row r="101" customFormat="false" ht="95.5" hidden="false" customHeight="false" outlineLevel="0" collapsed="false">
      <c r="A101" s="10" t="s">
        <v>2001</v>
      </c>
      <c r="B101" s="11" t="s">
        <v>176</v>
      </c>
      <c r="C101" s="11" t="s">
        <v>178</v>
      </c>
      <c r="D101" s="11" t="s">
        <v>177</v>
      </c>
      <c r="E101" s="11" t="s">
        <v>68</v>
      </c>
      <c r="F101" s="11" t="n">
        <v>6</v>
      </c>
      <c r="G101" s="11" t="s">
        <v>2002</v>
      </c>
      <c r="H101" s="11" t="s">
        <v>1990</v>
      </c>
      <c r="I101" s="11" t="s">
        <v>1991</v>
      </c>
      <c r="J101" s="11" t="s">
        <v>1992</v>
      </c>
      <c r="K101" s="11" t="s">
        <v>1725</v>
      </c>
      <c r="L101" s="11" t="s">
        <v>1726</v>
      </c>
      <c r="M101" s="11" t="s">
        <v>1993</v>
      </c>
      <c r="N101" s="11"/>
      <c r="O101" s="11" t="s">
        <v>1165</v>
      </c>
      <c r="P101" s="11" t="s">
        <v>1986</v>
      </c>
      <c r="Q101" s="11" t="s">
        <v>1994</v>
      </c>
      <c r="R101" s="11" t="s">
        <v>1730</v>
      </c>
      <c r="S101" s="11" t="s">
        <v>1731</v>
      </c>
      <c r="T101" s="11"/>
      <c r="U101" s="11"/>
      <c r="V101" s="11" t="s">
        <v>1165</v>
      </c>
      <c r="W101" s="11"/>
      <c r="X101" s="11" t="s">
        <v>1732</v>
      </c>
      <c r="Y101" s="11" t="s">
        <v>1733</v>
      </c>
      <c r="Z101" s="11"/>
      <c r="AA101" s="11"/>
      <c r="AB101" s="11"/>
      <c r="AC101" s="11"/>
      <c r="AD101" s="11"/>
      <c r="AE101" s="11" t="s">
        <v>1734</v>
      </c>
      <c r="AF101" s="11" t="s">
        <v>1165</v>
      </c>
      <c r="AG101" s="11" t="s">
        <v>1165</v>
      </c>
      <c r="AH101" s="11" t="s">
        <v>1735</v>
      </c>
      <c r="AI101" s="11" t="s">
        <v>1396</v>
      </c>
      <c r="AJ101" s="11" t="s">
        <v>1736</v>
      </c>
      <c r="AK101" s="11" t="s">
        <v>308</v>
      </c>
      <c r="AL101" s="11" t="s">
        <v>1737</v>
      </c>
      <c r="AM101" s="11" t="s">
        <v>1738</v>
      </c>
      <c r="AN101" s="11" t="s">
        <v>1739</v>
      </c>
      <c r="AO101" s="12" t="s">
        <v>1740</v>
      </c>
    </row>
    <row r="102" customFormat="false" ht="95.5" hidden="false" customHeight="false" outlineLevel="0" collapsed="false">
      <c r="A102" s="10" t="s">
        <v>2003</v>
      </c>
      <c r="B102" s="11" t="s">
        <v>185</v>
      </c>
      <c r="C102" s="11" t="s">
        <v>187</v>
      </c>
      <c r="D102" s="11" t="s">
        <v>186</v>
      </c>
      <c r="E102" s="11" t="s">
        <v>68</v>
      </c>
      <c r="F102" s="11" t="n">
        <v>1</v>
      </c>
      <c r="G102" s="11" t="s">
        <v>2004</v>
      </c>
      <c r="H102" s="11" t="s">
        <v>1990</v>
      </c>
      <c r="I102" s="11" t="s">
        <v>1991</v>
      </c>
      <c r="J102" s="11" t="s">
        <v>1992</v>
      </c>
      <c r="K102" s="11" t="s">
        <v>1725</v>
      </c>
      <c r="L102" s="11" t="s">
        <v>1726</v>
      </c>
      <c r="M102" s="11" t="s">
        <v>2005</v>
      </c>
      <c r="N102" s="11"/>
      <c r="O102" s="11" t="s">
        <v>1165</v>
      </c>
      <c r="P102" s="11" t="s">
        <v>2006</v>
      </c>
      <c r="Q102" s="11" t="s">
        <v>1994</v>
      </c>
      <c r="R102" s="11" t="s">
        <v>1730</v>
      </c>
      <c r="S102" s="11" t="s">
        <v>1731</v>
      </c>
      <c r="T102" s="11"/>
      <c r="U102" s="11"/>
      <c r="V102" s="11" t="s">
        <v>1165</v>
      </c>
      <c r="W102" s="11"/>
      <c r="X102" s="11" t="s">
        <v>1732</v>
      </c>
      <c r="Y102" s="11" t="s">
        <v>1733</v>
      </c>
      <c r="Z102" s="11"/>
      <c r="AA102" s="11"/>
      <c r="AB102" s="11"/>
      <c r="AC102" s="11"/>
      <c r="AD102" s="11"/>
      <c r="AE102" s="11" t="s">
        <v>1734</v>
      </c>
      <c r="AF102" s="11" t="s">
        <v>1165</v>
      </c>
      <c r="AG102" s="11" t="s">
        <v>1165</v>
      </c>
      <c r="AH102" s="11" t="s">
        <v>1735</v>
      </c>
      <c r="AI102" s="11" t="s">
        <v>1396</v>
      </c>
      <c r="AJ102" s="11" t="s">
        <v>1736</v>
      </c>
      <c r="AK102" s="11" t="s">
        <v>308</v>
      </c>
      <c r="AL102" s="11" t="s">
        <v>1737</v>
      </c>
      <c r="AM102" s="11" t="s">
        <v>1738</v>
      </c>
      <c r="AN102" s="11" t="s">
        <v>1739</v>
      </c>
      <c r="AO102" s="12" t="s">
        <v>1740</v>
      </c>
    </row>
    <row r="103" customFormat="false" ht="95.5" hidden="false" customHeight="false" outlineLevel="0" collapsed="false">
      <c r="A103" s="10" t="s">
        <v>2007</v>
      </c>
      <c r="B103" s="11" t="s">
        <v>185</v>
      </c>
      <c r="C103" s="11" t="s">
        <v>187</v>
      </c>
      <c r="D103" s="11" t="s">
        <v>186</v>
      </c>
      <c r="E103" s="11" t="s">
        <v>68</v>
      </c>
      <c r="F103" s="11" t="n">
        <v>2</v>
      </c>
      <c r="G103" s="11" t="s">
        <v>2008</v>
      </c>
      <c r="H103" s="11" t="s">
        <v>1848</v>
      </c>
      <c r="I103" s="11" t="s">
        <v>1849</v>
      </c>
      <c r="J103" s="11" t="s">
        <v>1850</v>
      </c>
      <c r="K103" s="11" t="s">
        <v>1725</v>
      </c>
      <c r="L103" s="11" t="s">
        <v>1726</v>
      </c>
      <c r="M103" s="11" t="s">
        <v>2009</v>
      </c>
      <c r="N103" s="11"/>
      <c r="O103" s="11" t="s">
        <v>1165</v>
      </c>
      <c r="P103" s="11" t="s">
        <v>2006</v>
      </c>
      <c r="Q103" s="11" t="s">
        <v>1853</v>
      </c>
      <c r="R103" s="11" t="s">
        <v>1730</v>
      </c>
      <c r="S103" s="11" t="s">
        <v>1731</v>
      </c>
      <c r="T103" s="11"/>
      <c r="U103" s="11"/>
      <c r="V103" s="11" t="s">
        <v>1165</v>
      </c>
      <c r="W103" s="11"/>
      <c r="X103" s="11" t="s">
        <v>1732</v>
      </c>
      <c r="Y103" s="11" t="s">
        <v>1733</v>
      </c>
      <c r="Z103" s="11"/>
      <c r="AA103" s="11"/>
      <c r="AB103" s="11"/>
      <c r="AC103" s="11"/>
      <c r="AD103" s="11"/>
      <c r="AE103" s="11" t="s">
        <v>1734</v>
      </c>
      <c r="AF103" s="11" t="s">
        <v>1165</v>
      </c>
      <c r="AG103" s="11" t="s">
        <v>1165</v>
      </c>
      <c r="AH103" s="11" t="s">
        <v>1735</v>
      </c>
      <c r="AI103" s="11" t="s">
        <v>1396</v>
      </c>
      <c r="AJ103" s="11" t="s">
        <v>1736</v>
      </c>
      <c r="AK103" s="11" t="s">
        <v>308</v>
      </c>
      <c r="AL103" s="11" t="s">
        <v>1737</v>
      </c>
      <c r="AM103" s="11" t="s">
        <v>1738</v>
      </c>
      <c r="AN103" s="11" t="s">
        <v>1739</v>
      </c>
      <c r="AO103" s="12" t="s">
        <v>1740</v>
      </c>
    </row>
    <row r="104" customFormat="false" ht="95.5" hidden="false" customHeight="false" outlineLevel="0" collapsed="false">
      <c r="A104" s="10" t="s">
        <v>2010</v>
      </c>
      <c r="B104" s="11" t="s">
        <v>185</v>
      </c>
      <c r="C104" s="11" t="s">
        <v>187</v>
      </c>
      <c r="D104" s="11" t="s">
        <v>186</v>
      </c>
      <c r="E104" s="11" t="s">
        <v>68</v>
      </c>
      <c r="F104" s="11" t="n">
        <v>3</v>
      </c>
      <c r="G104" s="11" t="s">
        <v>2011</v>
      </c>
      <c r="H104" s="11" t="s">
        <v>2012</v>
      </c>
      <c r="I104" s="11" t="s">
        <v>2013</v>
      </c>
      <c r="J104" s="11" t="s">
        <v>2014</v>
      </c>
      <c r="K104" s="11" t="s">
        <v>1725</v>
      </c>
      <c r="L104" s="11" t="s">
        <v>1726</v>
      </c>
      <c r="M104" s="11" t="s">
        <v>2015</v>
      </c>
      <c r="N104" s="11"/>
      <c r="O104" s="11" t="s">
        <v>1165</v>
      </c>
      <c r="P104" s="11" t="s">
        <v>2006</v>
      </c>
      <c r="Q104" s="11" t="s">
        <v>2016</v>
      </c>
      <c r="R104" s="11" t="s">
        <v>1730</v>
      </c>
      <c r="S104" s="11" t="s">
        <v>1731</v>
      </c>
      <c r="T104" s="11"/>
      <c r="U104" s="11"/>
      <c r="V104" s="11" t="s">
        <v>1165</v>
      </c>
      <c r="W104" s="11"/>
      <c r="X104" s="11" t="s">
        <v>1732</v>
      </c>
      <c r="Y104" s="11" t="s">
        <v>1733</v>
      </c>
      <c r="Z104" s="11"/>
      <c r="AA104" s="11"/>
      <c r="AB104" s="11"/>
      <c r="AC104" s="11"/>
      <c r="AD104" s="11"/>
      <c r="AE104" s="11" t="s">
        <v>1734</v>
      </c>
      <c r="AF104" s="11" t="s">
        <v>1165</v>
      </c>
      <c r="AG104" s="11" t="s">
        <v>1165</v>
      </c>
      <c r="AH104" s="11" t="s">
        <v>1735</v>
      </c>
      <c r="AI104" s="11" t="s">
        <v>1396</v>
      </c>
      <c r="AJ104" s="11" t="s">
        <v>1736</v>
      </c>
      <c r="AK104" s="11" t="s">
        <v>308</v>
      </c>
      <c r="AL104" s="11" t="s">
        <v>1737</v>
      </c>
      <c r="AM104" s="11" t="s">
        <v>1738</v>
      </c>
      <c r="AN104" s="11" t="s">
        <v>1739</v>
      </c>
      <c r="AO104" s="12" t="s">
        <v>1740</v>
      </c>
    </row>
    <row r="105" customFormat="false" ht="95.5" hidden="false" customHeight="false" outlineLevel="0" collapsed="false">
      <c r="A105" s="10" t="s">
        <v>2017</v>
      </c>
      <c r="B105" s="11" t="s">
        <v>185</v>
      </c>
      <c r="C105" s="11" t="s">
        <v>187</v>
      </c>
      <c r="D105" s="11" t="s">
        <v>186</v>
      </c>
      <c r="E105" s="11" t="s">
        <v>68</v>
      </c>
      <c r="F105" s="11" t="n">
        <v>4</v>
      </c>
      <c r="G105" s="11" t="s">
        <v>2018</v>
      </c>
      <c r="H105" s="11" t="s">
        <v>1848</v>
      </c>
      <c r="I105" s="11" t="s">
        <v>1849</v>
      </c>
      <c r="J105" s="11" t="s">
        <v>1850</v>
      </c>
      <c r="K105" s="11" t="s">
        <v>1725</v>
      </c>
      <c r="L105" s="11" t="s">
        <v>1726</v>
      </c>
      <c r="M105" s="11" t="s">
        <v>2009</v>
      </c>
      <c r="N105" s="11"/>
      <c r="O105" s="11" t="s">
        <v>1165</v>
      </c>
      <c r="P105" s="11" t="s">
        <v>2006</v>
      </c>
      <c r="Q105" s="11" t="s">
        <v>1853</v>
      </c>
      <c r="R105" s="11" t="s">
        <v>1730</v>
      </c>
      <c r="S105" s="11" t="s">
        <v>1731</v>
      </c>
      <c r="T105" s="11"/>
      <c r="U105" s="11"/>
      <c r="V105" s="11" t="s">
        <v>1165</v>
      </c>
      <c r="W105" s="11"/>
      <c r="X105" s="11" t="s">
        <v>1732</v>
      </c>
      <c r="Y105" s="11" t="s">
        <v>1733</v>
      </c>
      <c r="Z105" s="11"/>
      <c r="AA105" s="11"/>
      <c r="AB105" s="11"/>
      <c r="AC105" s="11"/>
      <c r="AD105" s="11"/>
      <c r="AE105" s="11" t="s">
        <v>1734</v>
      </c>
      <c r="AF105" s="11" t="s">
        <v>1165</v>
      </c>
      <c r="AG105" s="11" t="s">
        <v>1165</v>
      </c>
      <c r="AH105" s="11" t="s">
        <v>1735</v>
      </c>
      <c r="AI105" s="11" t="s">
        <v>1396</v>
      </c>
      <c r="AJ105" s="11" t="s">
        <v>1736</v>
      </c>
      <c r="AK105" s="11" t="s">
        <v>308</v>
      </c>
      <c r="AL105" s="11" t="s">
        <v>1737</v>
      </c>
      <c r="AM105" s="11" t="s">
        <v>1738</v>
      </c>
      <c r="AN105" s="11" t="s">
        <v>1739</v>
      </c>
      <c r="AO105" s="12" t="s">
        <v>1740</v>
      </c>
    </row>
    <row r="106" customFormat="false" ht="95.5" hidden="false" customHeight="false" outlineLevel="0" collapsed="false">
      <c r="A106" s="10" t="s">
        <v>2019</v>
      </c>
      <c r="B106" s="11" t="s">
        <v>185</v>
      </c>
      <c r="C106" s="11" t="s">
        <v>187</v>
      </c>
      <c r="D106" s="11" t="s">
        <v>186</v>
      </c>
      <c r="E106" s="11" t="s">
        <v>68</v>
      </c>
      <c r="F106" s="11" t="n">
        <v>5</v>
      </c>
      <c r="G106" s="11" t="s">
        <v>1893</v>
      </c>
      <c r="H106" s="11" t="s">
        <v>1990</v>
      </c>
      <c r="I106" s="11" t="s">
        <v>1991</v>
      </c>
      <c r="J106" s="11" t="s">
        <v>1992</v>
      </c>
      <c r="K106" s="11" t="s">
        <v>1725</v>
      </c>
      <c r="L106" s="11" t="s">
        <v>1726</v>
      </c>
      <c r="M106" s="11" t="s">
        <v>2020</v>
      </c>
      <c r="N106" s="11"/>
      <c r="O106" s="11" t="s">
        <v>1165</v>
      </c>
      <c r="P106" s="11" t="s">
        <v>2006</v>
      </c>
      <c r="Q106" s="11" t="s">
        <v>1994</v>
      </c>
      <c r="R106" s="11" t="s">
        <v>1730</v>
      </c>
      <c r="S106" s="11" t="s">
        <v>1731</v>
      </c>
      <c r="T106" s="11"/>
      <c r="U106" s="11"/>
      <c r="V106" s="11" t="s">
        <v>1165</v>
      </c>
      <c r="W106" s="11"/>
      <c r="X106" s="11" t="s">
        <v>1732</v>
      </c>
      <c r="Y106" s="11" t="s">
        <v>1733</v>
      </c>
      <c r="Z106" s="11"/>
      <c r="AA106" s="11"/>
      <c r="AB106" s="11"/>
      <c r="AC106" s="11"/>
      <c r="AD106" s="11"/>
      <c r="AE106" s="11" t="s">
        <v>1734</v>
      </c>
      <c r="AF106" s="11" t="s">
        <v>1165</v>
      </c>
      <c r="AG106" s="11" t="s">
        <v>1165</v>
      </c>
      <c r="AH106" s="11" t="s">
        <v>1735</v>
      </c>
      <c r="AI106" s="11" t="s">
        <v>1396</v>
      </c>
      <c r="AJ106" s="11" t="s">
        <v>1736</v>
      </c>
      <c r="AK106" s="11" t="s">
        <v>308</v>
      </c>
      <c r="AL106" s="11" t="s">
        <v>1737</v>
      </c>
      <c r="AM106" s="11" t="s">
        <v>1738</v>
      </c>
      <c r="AN106" s="11" t="s">
        <v>1739</v>
      </c>
      <c r="AO106" s="12" t="s">
        <v>1740</v>
      </c>
    </row>
    <row r="107" customFormat="false" ht="95.5" hidden="false" customHeight="false" outlineLevel="0" collapsed="false">
      <c r="A107" s="10" t="s">
        <v>2021</v>
      </c>
      <c r="B107" s="11" t="s">
        <v>191</v>
      </c>
      <c r="C107" s="11" t="s">
        <v>192</v>
      </c>
      <c r="D107" s="11" t="s">
        <v>186</v>
      </c>
      <c r="E107" s="11" t="s">
        <v>68</v>
      </c>
      <c r="F107" s="11" t="n">
        <v>1</v>
      </c>
      <c r="G107" s="11" t="s">
        <v>2022</v>
      </c>
      <c r="H107" s="11" t="s">
        <v>1990</v>
      </c>
      <c r="I107" s="11" t="s">
        <v>1991</v>
      </c>
      <c r="J107" s="11" t="s">
        <v>1992</v>
      </c>
      <c r="K107" s="11" t="s">
        <v>1725</v>
      </c>
      <c r="L107" s="11" t="s">
        <v>1726</v>
      </c>
      <c r="M107" s="11" t="s">
        <v>2005</v>
      </c>
      <c r="N107" s="11"/>
      <c r="O107" s="11" t="s">
        <v>1165</v>
      </c>
      <c r="P107" s="11" t="s">
        <v>2023</v>
      </c>
      <c r="Q107" s="11" t="s">
        <v>1994</v>
      </c>
      <c r="R107" s="11" t="s">
        <v>1730</v>
      </c>
      <c r="S107" s="11" t="s">
        <v>1731</v>
      </c>
      <c r="T107" s="11"/>
      <c r="U107" s="11"/>
      <c r="V107" s="11" t="s">
        <v>1165</v>
      </c>
      <c r="W107" s="11"/>
      <c r="X107" s="11" t="s">
        <v>1732</v>
      </c>
      <c r="Y107" s="11" t="s">
        <v>1733</v>
      </c>
      <c r="Z107" s="11"/>
      <c r="AA107" s="11"/>
      <c r="AB107" s="11"/>
      <c r="AC107" s="11"/>
      <c r="AD107" s="11"/>
      <c r="AE107" s="11" t="s">
        <v>1734</v>
      </c>
      <c r="AF107" s="11" t="s">
        <v>1165</v>
      </c>
      <c r="AG107" s="11" t="s">
        <v>1165</v>
      </c>
      <c r="AH107" s="11" t="s">
        <v>1735</v>
      </c>
      <c r="AI107" s="11" t="s">
        <v>1396</v>
      </c>
      <c r="AJ107" s="11" t="s">
        <v>1736</v>
      </c>
      <c r="AK107" s="11" t="s">
        <v>308</v>
      </c>
      <c r="AL107" s="11" t="s">
        <v>1737</v>
      </c>
      <c r="AM107" s="11" t="s">
        <v>1738</v>
      </c>
      <c r="AN107" s="11" t="s">
        <v>1739</v>
      </c>
      <c r="AO107" s="12" t="s">
        <v>1740</v>
      </c>
    </row>
    <row r="108" customFormat="false" ht="95.5" hidden="false" customHeight="false" outlineLevel="0" collapsed="false">
      <c r="A108" s="10" t="s">
        <v>2024</v>
      </c>
      <c r="B108" s="11" t="s">
        <v>191</v>
      </c>
      <c r="C108" s="11" t="s">
        <v>192</v>
      </c>
      <c r="D108" s="11" t="s">
        <v>186</v>
      </c>
      <c r="E108" s="11" t="s">
        <v>68</v>
      </c>
      <c r="F108" s="11" t="n">
        <v>2</v>
      </c>
      <c r="G108" s="11" t="s">
        <v>2025</v>
      </c>
      <c r="H108" s="11" t="s">
        <v>2026</v>
      </c>
      <c r="I108" s="11" t="s">
        <v>2027</v>
      </c>
      <c r="J108" s="11" t="s">
        <v>2028</v>
      </c>
      <c r="K108" s="11" t="s">
        <v>1725</v>
      </c>
      <c r="L108" s="11" t="s">
        <v>1726</v>
      </c>
      <c r="M108" s="11" t="s">
        <v>2029</v>
      </c>
      <c r="N108" s="11"/>
      <c r="O108" s="11" t="s">
        <v>1165</v>
      </c>
      <c r="P108" s="11" t="s">
        <v>2023</v>
      </c>
      <c r="Q108" s="11" t="s">
        <v>2030</v>
      </c>
      <c r="R108" s="11" t="s">
        <v>1730</v>
      </c>
      <c r="S108" s="11" t="s">
        <v>1731</v>
      </c>
      <c r="T108" s="11" t="n">
        <v>1</v>
      </c>
      <c r="U108" s="11" t="s">
        <v>2031</v>
      </c>
      <c r="V108" s="11" t="s">
        <v>1770</v>
      </c>
      <c r="W108" s="11" t="n">
        <v>1</v>
      </c>
      <c r="X108" s="11" t="s">
        <v>2032</v>
      </c>
      <c r="Y108" s="11" t="s">
        <v>2033</v>
      </c>
      <c r="Z108" s="11"/>
      <c r="AA108" s="11"/>
      <c r="AB108" s="11"/>
      <c r="AC108" s="11"/>
      <c r="AD108" s="11"/>
      <c r="AE108" s="11" t="s">
        <v>1734</v>
      </c>
      <c r="AF108" s="11" t="s">
        <v>1165</v>
      </c>
      <c r="AG108" s="11" t="s">
        <v>1165</v>
      </c>
      <c r="AH108" s="11" t="s">
        <v>1735</v>
      </c>
      <c r="AI108" s="11" t="s">
        <v>1396</v>
      </c>
      <c r="AJ108" s="11" t="s">
        <v>1736</v>
      </c>
      <c r="AK108" s="11" t="s">
        <v>308</v>
      </c>
      <c r="AL108" s="11" t="s">
        <v>1737</v>
      </c>
      <c r="AM108" s="11" t="s">
        <v>1738</v>
      </c>
      <c r="AN108" s="11" t="s">
        <v>1739</v>
      </c>
      <c r="AO108" s="12" t="s">
        <v>1740</v>
      </c>
    </row>
    <row r="109" customFormat="false" ht="95.5" hidden="false" customHeight="false" outlineLevel="0" collapsed="false">
      <c r="A109" s="10" t="s">
        <v>2034</v>
      </c>
      <c r="B109" s="11" t="s">
        <v>191</v>
      </c>
      <c r="C109" s="11" t="s">
        <v>192</v>
      </c>
      <c r="D109" s="11" t="s">
        <v>186</v>
      </c>
      <c r="E109" s="11" t="s">
        <v>68</v>
      </c>
      <c r="F109" s="11" t="n">
        <v>3</v>
      </c>
      <c r="G109" s="11" t="s">
        <v>2035</v>
      </c>
      <c r="H109" s="11" t="s">
        <v>2026</v>
      </c>
      <c r="I109" s="11" t="s">
        <v>2027</v>
      </c>
      <c r="J109" s="11" t="s">
        <v>2028</v>
      </c>
      <c r="K109" s="11" t="s">
        <v>1725</v>
      </c>
      <c r="L109" s="11" t="s">
        <v>1726</v>
      </c>
      <c r="M109" s="11" t="s">
        <v>2029</v>
      </c>
      <c r="N109" s="11"/>
      <c r="O109" s="11" t="s">
        <v>1165</v>
      </c>
      <c r="P109" s="11" t="s">
        <v>2023</v>
      </c>
      <c r="Q109" s="11" t="s">
        <v>2030</v>
      </c>
      <c r="R109" s="11" t="s">
        <v>1730</v>
      </c>
      <c r="S109" s="11" t="s">
        <v>1731</v>
      </c>
      <c r="T109" s="11" t="n">
        <v>1</v>
      </c>
      <c r="U109" s="11" t="s">
        <v>2031</v>
      </c>
      <c r="V109" s="11" t="s">
        <v>1770</v>
      </c>
      <c r="W109" s="11" t="n">
        <v>1</v>
      </c>
      <c r="X109" s="11" t="s">
        <v>2032</v>
      </c>
      <c r="Y109" s="11" t="s">
        <v>2033</v>
      </c>
      <c r="Z109" s="11"/>
      <c r="AA109" s="11"/>
      <c r="AB109" s="11"/>
      <c r="AC109" s="11"/>
      <c r="AD109" s="11"/>
      <c r="AE109" s="11" t="s">
        <v>1734</v>
      </c>
      <c r="AF109" s="11" t="s">
        <v>1165</v>
      </c>
      <c r="AG109" s="11" t="s">
        <v>1165</v>
      </c>
      <c r="AH109" s="11" t="s">
        <v>1735</v>
      </c>
      <c r="AI109" s="11" t="s">
        <v>1396</v>
      </c>
      <c r="AJ109" s="11" t="s">
        <v>1736</v>
      </c>
      <c r="AK109" s="11" t="s">
        <v>308</v>
      </c>
      <c r="AL109" s="11" t="s">
        <v>1737</v>
      </c>
      <c r="AM109" s="11" t="s">
        <v>1738</v>
      </c>
      <c r="AN109" s="11" t="s">
        <v>1739</v>
      </c>
      <c r="AO109" s="12" t="s">
        <v>1740</v>
      </c>
    </row>
    <row r="110" customFormat="false" ht="95.5" hidden="false" customHeight="false" outlineLevel="0" collapsed="false">
      <c r="A110" s="10" t="s">
        <v>2036</v>
      </c>
      <c r="B110" s="11" t="s">
        <v>191</v>
      </c>
      <c r="C110" s="11" t="s">
        <v>192</v>
      </c>
      <c r="D110" s="11" t="s">
        <v>186</v>
      </c>
      <c r="E110" s="11" t="s">
        <v>68</v>
      </c>
      <c r="F110" s="11" t="n">
        <v>4</v>
      </c>
      <c r="G110" s="11" t="s">
        <v>2037</v>
      </c>
      <c r="H110" s="11" t="s">
        <v>2026</v>
      </c>
      <c r="I110" s="11" t="s">
        <v>2027</v>
      </c>
      <c r="J110" s="11" t="s">
        <v>2028</v>
      </c>
      <c r="K110" s="11" t="s">
        <v>1725</v>
      </c>
      <c r="L110" s="11" t="s">
        <v>1726</v>
      </c>
      <c r="M110" s="11" t="s">
        <v>2029</v>
      </c>
      <c r="N110" s="11"/>
      <c r="O110" s="11" t="s">
        <v>1165</v>
      </c>
      <c r="P110" s="11" t="s">
        <v>2023</v>
      </c>
      <c r="Q110" s="11" t="s">
        <v>2030</v>
      </c>
      <c r="R110" s="11" t="s">
        <v>1730</v>
      </c>
      <c r="S110" s="11" t="s">
        <v>1731</v>
      </c>
      <c r="T110" s="11" t="n">
        <v>1</v>
      </c>
      <c r="U110" s="11" t="s">
        <v>2031</v>
      </c>
      <c r="V110" s="11" t="s">
        <v>1770</v>
      </c>
      <c r="W110" s="11" t="n">
        <v>1</v>
      </c>
      <c r="X110" s="11" t="s">
        <v>2032</v>
      </c>
      <c r="Y110" s="11" t="s">
        <v>2033</v>
      </c>
      <c r="Z110" s="11"/>
      <c r="AA110" s="11"/>
      <c r="AB110" s="11"/>
      <c r="AC110" s="11"/>
      <c r="AD110" s="11"/>
      <c r="AE110" s="11" t="s">
        <v>1734</v>
      </c>
      <c r="AF110" s="11" t="s">
        <v>1165</v>
      </c>
      <c r="AG110" s="11" t="s">
        <v>1165</v>
      </c>
      <c r="AH110" s="11" t="s">
        <v>1735</v>
      </c>
      <c r="AI110" s="11" t="s">
        <v>1396</v>
      </c>
      <c r="AJ110" s="11" t="s">
        <v>1736</v>
      </c>
      <c r="AK110" s="11" t="s">
        <v>308</v>
      </c>
      <c r="AL110" s="11" t="s">
        <v>1737</v>
      </c>
      <c r="AM110" s="11" t="s">
        <v>1738</v>
      </c>
      <c r="AN110" s="11" t="s">
        <v>1739</v>
      </c>
      <c r="AO110" s="12" t="s">
        <v>1740</v>
      </c>
    </row>
    <row r="111" customFormat="false" ht="95.5" hidden="false" customHeight="false" outlineLevel="0" collapsed="false">
      <c r="A111" s="10" t="s">
        <v>2038</v>
      </c>
      <c r="B111" s="11" t="s">
        <v>191</v>
      </c>
      <c r="C111" s="11" t="s">
        <v>192</v>
      </c>
      <c r="D111" s="11" t="s">
        <v>186</v>
      </c>
      <c r="E111" s="11" t="s">
        <v>68</v>
      </c>
      <c r="F111" s="11" t="n">
        <v>5</v>
      </c>
      <c r="G111" s="11" t="s">
        <v>2039</v>
      </c>
      <c r="H111" s="11" t="s">
        <v>1990</v>
      </c>
      <c r="I111" s="11" t="s">
        <v>1991</v>
      </c>
      <c r="J111" s="11" t="s">
        <v>1992</v>
      </c>
      <c r="K111" s="11" t="s">
        <v>1725</v>
      </c>
      <c r="L111" s="11" t="s">
        <v>1726</v>
      </c>
      <c r="M111" s="11" t="s">
        <v>2020</v>
      </c>
      <c r="N111" s="11"/>
      <c r="O111" s="11" t="s">
        <v>1165</v>
      </c>
      <c r="P111" s="11" t="s">
        <v>2023</v>
      </c>
      <c r="Q111" s="11" t="s">
        <v>1994</v>
      </c>
      <c r="R111" s="11" t="s">
        <v>1730</v>
      </c>
      <c r="S111" s="11" t="s">
        <v>1731</v>
      </c>
      <c r="T111" s="11"/>
      <c r="U111" s="11"/>
      <c r="V111" s="11" t="s">
        <v>1165</v>
      </c>
      <c r="W111" s="11"/>
      <c r="X111" s="11" t="s">
        <v>1732</v>
      </c>
      <c r="Y111" s="11" t="s">
        <v>1733</v>
      </c>
      <c r="Z111" s="11"/>
      <c r="AA111" s="11"/>
      <c r="AB111" s="11"/>
      <c r="AC111" s="11"/>
      <c r="AD111" s="11"/>
      <c r="AE111" s="11" t="s">
        <v>1734</v>
      </c>
      <c r="AF111" s="11" t="s">
        <v>1165</v>
      </c>
      <c r="AG111" s="11" t="s">
        <v>1165</v>
      </c>
      <c r="AH111" s="11" t="s">
        <v>1735</v>
      </c>
      <c r="AI111" s="11" t="s">
        <v>1396</v>
      </c>
      <c r="AJ111" s="11" t="s">
        <v>1736</v>
      </c>
      <c r="AK111" s="11" t="s">
        <v>308</v>
      </c>
      <c r="AL111" s="11" t="s">
        <v>1737</v>
      </c>
      <c r="AM111" s="11" t="s">
        <v>1738</v>
      </c>
      <c r="AN111" s="11" t="s">
        <v>1739</v>
      </c>
      <c r="AO111" s="12" t="s">
        <v>1740</v>
      </c>
    </row>
    <row r="112" customFormat="false" ht="95.5" hidden="false" customHeight="false" outlineLevel="0" collapsed="false">
      <c r="A112" s="10" t="s">
        <v>2040</v>
      </c>
      <c r="B112" s="11" t="s">
        <v>197</v>
      </c>
      <c r="C112" s="11" t="s">
        <v>198</v>
      </c>
      <c r="D112" s="11" t="s">
        <v>186</v>
      </c>
      <c r="E112" s="11" t="s">
        <v>68</v>
      </c>
      <c r="F112" s="11" t="n">
        <v>1</v>
      </c>
      <c r="G112" s="11" t="s">
        <v>2041</v>
      </c>
      <c r="H112" s="11" t="s">
        <v>1990</v>
      </c>
      <c r="I112" s="11" t="s">
        <v>1991</v>
      </c>
      <c r="J112" s="11" t="s">
        <v>1992</v>
      </c>
      <c r="K112" s="11" t="s">
        <v>1725</v>
      </c>
      <c r="L112" s="11" t="s">
        <v>1726</v>
      </c>
      <c r="M112" s="11" t="s">
        <v>2005</v>
      </c>
      <c r="N112" s="11"/>
      <c r="O112" s="11" t="s">
        <v>1165</v>
      </c>
      <c r="P112" s="11" t="s">
        <v>2042</v>
      </c>
      <c r="Q112" s="11" t="s">
        <v>1994</v>
      </c>
      <c r="R112" s="11" t="s">
        <v>1730</v>
      </c>
      <c r="S112" s="11" t="s">
        <v>1731</v>
      </c>
      <c r="T112" s="11"/>
      <c r="U112" s="11"/>
      <c r="V112" s="11" t="s">
        <v>1165</v>
      </c>
      <c r="W112" s="11"/>
      <c r="X112" s="11" t="s">
        <v>1732</v>
      </c>
      <c r="Y112" s="11" t="s">
        <v>1733</v>
      </c>
      <c r="Z112" s="11"/>
      <c r="AA112" s="11"/>
      <c r="AB112" s="11"/>
      <c r="AC112" s="11"/>
      <c r="AD112" s="11"/>
      <c r="AE112" s="11" t="s">
        <v>1734</v>
      </c>
      <c r="AF112" s="11" t="s">
        <v>1165</v>
      </c>
      <c r="AG112" s="11" t="s">
        <v>1165</v>
      </c>
      <c r="AH112" s="11" t="s">
        <v>1735</v>
      </c>
      <c r="AI112" s="11" t="s">
        <v>1396</v>
      </c>
      <c r="AJ112" s="11" t="s">
        <v>1736</v>
      </c>
      <c r="AK112" s="11" t="s">
        <v>308</v>
      </c>
      <c r="AL112" s="11" t="s">
        <v>1737</v>
      </c>
      <c r="AM112" s="11" t="s">
        <v>1738</v>
      </c>
      <c r="AN112" s="11" t="s">
        <v>1739</v>
      </c>
      <c r="AO112" s="12" t="s">
        <v>1740</v>
      </c>
    </row>
    <row r="113" customFormat="false" ht="95.5" hidden="false" customHeight="false" outlineLevel="0" collapsed="false">
      <c r="A113" s="10" t="s">
        <v>2043</v>
      </c>
      <c r="B113" s="11" t="s">
        <v>197</v>
      </c>
      <c r="C113" s="11" t="s">
        <v>198</v>
      </c>
      <c r="D113" s="11" t="s">
        <v>186</v>
      </c>
      <c r="E113" s="11" t="s">
        <v>68</v>
      </c>
      <c r="F113" s="11" t="n">
        <v>2</v>
      </c>
      <c r="G113" s="11" t="s">
        <v>2044</v>
      </c>
      <c r="H113" s="11" t="s">
        <v>1990</v>
      </c>
      <c r="I113" s="11" t="s">
        <v>1991</v>
      </c>
      <c r="J113" s="11" t="s">
        <v>1992</v>
      </c>
      <c r="K113" s="11" t="s">
        <v>1725</v>
      </c>
      <c r="L113" s="11" t="s">
        <v>1726</v>
      </c>
      <c r="M113" s="11" t="s">
        <v>2020</v>
      </c>
      <c r="N113" s="11"/>
      <c r="O113" s="11" t="s">
        <v>1165</v>
      </c>
      <c r="P113" s="11" t="s">
        <v>2042</v>
      </c>
      <c r="Q113" s="11" t="s">
        <v>1994</v>
      </c>
      <c r="R113" s="11" t="s">
        <v>1730</v>
      </c>
      <c r="S113" s="11" t="s">
        <v>1731</v>
      </c>
      <c r="T113" s="11"/>
      <c r="U113" s="11"/>
      <c r="V113" s="11" t="s">
        <v>1165</v>
      </c>
      <c r="W113" s="11"/>
      <c r="X113" s="11" t="s">
        <v>1732</v>
      </c>
      <c r="Y113" s="11" t="s">
        <v>1733</v>
      </c>
      <c r="Z113" s="11"/>
      <c r="AA113" s="11"/>
      <c r="AB113" s="11"/>
      <c r="AC113" s="11"/>
      <c r="AD113" s="11"/>
      <c r="AE113" s="11" t="s">
        <v>1734</v>
      </c>
      <c r="AF113" s="11" t="s">
        <v>1165</v>
      </c>
      <c r="AG113" s="11" t="s">
        <v>1165</v>
      </c>
      <c r="AH113" s="11" t="s">
        <v>1735</v>
      </c>
      <c r="AI113" s="11" t="s">
        <v>1396</v>
      </c>
      <c r="AJ113" s="11" t="s">
        <v>1736</v>
      </c>
      <c r="AK113" s="11" t="s">
        <v>308</v>
      </c>
      <c r="AL113" s="11" t="s">
        <v>1737</v>
      </c>
      <c r="AM113" s="11" t="s">
        <v>1738</v>
      </c>
      <c r="AN113" s="11" t="s">
        <v>1739</v>
      </c>
      <c r="AO113" s="12" t="s">
        <v>1740</v>
      </c>
    </row>
    <row r="114" customFormat="false" ht="95.5" hidden="false" customHeight="false" outlineLevel="0" collapsed="false">
      <c r="A114" s="10" t="s">
        <v>2045</v>
      </c>
      <c r="B114" s="11" t="s">
        <v>197</v>
      </c>
      <c r="C114" s="11" t="s">
        <v>198</v>
      </c>
      <c r="D114" s="11" t="s">
        <v>186</v>
      </c>
      <c r="E114" s="11" t="s">
        <v>68</v>
      </c>
      <c r="F114" s="11" t="n">
        <v>3</v>
      </c>
      <c r="G114" s="11" t="s">
        <v>2046</v>
      </c>
      <c r="H114" s="11" t="s">
        <v>2047</v>
      </c>
      <c r="I114" s="11" t="s">
        <v>2048</v>
      </c>
      <c r="J114" s="11" t="s">
        <v>2049</v>
      </c>
      <c r="K114" s="11" t="s">
        <v>1725</v>
      </c>
      <c r="L114" s="11" t="s">
        <v>1726</v>
      </c>
      <c r="M114" s="11" t="s">
        <v>2050</v>
      </c>
      <c r="N114" s="11"/>
      <c r="O114" s="11" t="s">
        <v>1165</v>
      </c>
      <c r="P114" s="11" t="s">
        <v>2042</v>
      </c>
      <c r="Q114" s="11" t="s">
        <v>2051</v>
      </c>
      <c r="R114" s="11" t="s">
        <v>1730</v>
      </c>
      <c r="S114" s="11" t="s">
        <v>1731</v>
      </c>
      <c r="T114" s="11"/>
      <c r="U114" s="11"/>
      <c r="V114" s="11" t="s">
        <v>1165</v>
      </c>
      <c r="W114" s="11"/>
      <c r="X114" s="11" t="s">
        <v>1732</v>
      </c>
      <c r="Y114" s="11" t="s">
        <v>1733</v>
      </c>
      <c r="Z114" s="11"/>
      <c r="AA114" s="11"/>
      <c r="AB114" s="11"/>
      <c r="AC114" s="11"/>
      <c r="AD114" s="11"/>
      <c r="AE114" s="11" t="s">
        <v>1734</v>
      </c>
      <c r="AF114" s="11" t="s">
        <v>1165</v>
      </c>
      <c r="AG114" s="11" t="s">
        <v>1165</v>
      </c>
      <c r="AH114" s="11" t="s">
        <v>1735</v>
      </c>
      <c r="AI114" s="11" t="s">
        <v>1396</v>
      </c>
      <c r="AJ114" s="11" t="s">
        <v>1736</v>
      </c>
      <c r="AK114" s="11" t="s">
        <v>308</v>
      </c>
      <c r="AL114" s="11" t="s">
        <v>1737</v>
      </c>
      <c r="AM114" s="11" t="s">
        <v>1738</v>
      </c>
      <c r="AN114" s="11" t="s">
        <v>1739</v>
      </c>
      <c r="AO114" s="12" t="s">
        <v>1740</v>
      </c>
    </row>
    <row r="115" customFormat="false" ht="95.5" hidden="false" customHeight="false" outlineLevel="0" collapsed="false">
      <c r="A115" s="10" t="s">
        <v>2052</v>
      </c>
      <c r="B115" s="11" t="s">
        <v>197</v>
      </c>
      <c r="C115" s="11" t="s">
        <v>198</v>
      </c>
      <c r="D115" s="11" t="s">
        <v>186</v>
      </c>
      <c r="E115" s="11" t="s">
        <v>68</v>
      </c>
      <c r="F115" s="11" t="n">
        <v>4</v>
      </c>
      <c r="G115" s="11" t="s">
        <v>2053</v>
      </c>
      <c r="H115" s="11" t="s">
        <v>1990</v>
      </c>
      <c r="I115" s="11" t="s">
        <v>1991</v>
      </c>
      <c r="J115" s="11" t="s">
        <v>1992</v>
      </c>
      <c r="K115" s="11" t="s">
        <v>1725</v>
      </c>
      <c r="L115" s="11" t="s">
        <v>1726</v>
      </c>
      <c r="M115" s="11" t="s">
        <v>2020</v>
      </c>
      <c r="N115" s="11"/>
      <c r="O115" s="11" t="s">
        <v>1165</v>
      </c>
      <c r="P115" s="11" t="s">
        <v>2042</v>
      </c>
      <c r="Q115" s="11" t="s">
        <v>1994</v>
      </c>
      <c r="R115" s="11" t="s">
        <v>1730</v>
      </c>
      <c r="S115" s="11" t="s">
        <v>1731</v>
      </c>
      <c r="T115" s="11"/>
      <c r="U115" s="11"/>
      <c r="V115" s="11" t="s">
        <v>1165</v>
      </c>
      <c r="W115" s="11"/>
      <c r="X115" s="11" t="s">
        <v>1732</v>
      </c>
      <c r="Y115" s="11" t="s">
        <v>1733</v>
      </c>
      <c r="Z115" s="11"/>
      <c r="AA115" s="11"/>
      <c r="AB115" s="11"/>
      <c r="AC115" s="11"/>
      <c r="AD115" s="11"/>
      <c r="AE115" s="11" t="s">
        <v>1734</v>
      </c>
      <c r="AF115" s="11" t="s">
        <v>1165</v>
      </c>
      <c r="AG115" s="11" t="s">
        <v>1165</v>
      </c>
      <c r="AH115" s="11" t="s">
        <v>1735</v>
      </c>
      <c r="AI115" s="11" t="s">
        <v>1396</v>
      </c>
      <c r="AJ115" s="11" t="s">
        <v>1736</v>
      </c>
      <c r="AK115" s="11" t="s">
        <v>308</v>
      </c>
      <c r="AL115" s="11" t="s">
        <v>1737</v>
      </c>
      <c r="AM115" s="11" t="s">
        <v>1738</v>
      </c>
      <c r="AN115" s="11" t="s">
        <v>1739</v>
      </c>
      <c r="AO115" s="12" t="s">
        <v>1740</v>
      </c>
    </row>
    <row r="116" customFormat="false" ht="95.5" hidden="false" customHeight="false" outlineLevel="0" collapsed="false">
      <c r="A116" s="10" t="s">
        <v>2054</v>
      </c>
      <c r="B116" s="11" t="s">
        <v>197</v>
      </c>
      <c r="C116" s="11" t="s">
        <v>198</v>
      </c>
      <c r="D116" s="11" t="s">
        <v>186</v>
      </c>
      <c r="E116" s="11" t="s">
        <v>68</v>
      </c>
      <c r="F116" s="11" t="n">
        <v>5</v>
      </c>
      <c r="G116" s="11" t="s">
        <v>2055</v>
      </c>
      <c r="H116" s="11" t="s">
        <v>1990</v>
      </c>
      <c r="I116" s="11" t="s">
        <v>1991</v>
      </c>
      <c r="J116" s="11" t="s">
        <v>1992</v>
      </c>
      <c r="K116" s="11" t="s">
        <v>1725</v>
      </c>
      <c r="L116" s="11" t="s">
        <v>1726</v>
      </c>
      <c r="M116" s="11" t="s">
        <v>2020</v>
      </c>
      <c r="N116" s="11"/>
      <c r="O116" s="11" t="s">
        <v>1165</v>
      </c>
      <c r="P116" s="11" t="s">
        <v>2042</v>
      </c>
      <c r="Q116" s="11" t="s">
        <v>1994</v>
      </c>
      <c r="R116" s="11" t="s">
        <v>1730</v>
      </c>
      <c r="S116" s="11" t="s">
        <v>1731</v>
      </c>
      <c r="T116" s="11"/>
      <c r="U116" s="11"/>
      <c r="V116" s="11" t="s">
        <v>1165</v>
      </c>
      <c r="W116" s="11"/>
      <c r="X116" s="11" t="s">
        <v>1732</v>
      </c>
      <c r="Y116" s="11" t="s">
        <v>1733</v>
      </c>
      <c r="Z116" s="11"/>
      <c r="AA116" s="11"/>
      <c r="AB116" s="11"/>
      <c r="AC116" s="11"/>
      <c r="AD116" s="11"/>
      <c r="AE116" s="11" t="s">
        <v>1734</v>
      </c>
      <c r="AF116" s="11" t="s">
        <v>1165</v>
      </c>
      <c r="AG116" s="11" t="s">
        <v>1165</v>
      </c>
      <c r="AH116" s="11" t="s">
        <v>1735</v>
      </c>
      <c r="AI116" s="11" t="s">
        <v>1396</v>
      </c>
      <c r="AJ116" s="11" t="s">
        <v>1736</v>
      </c>
      <c r="AK116" s="11" t="s">
        <v>308</v>
      </c>
      <c r="AL116" s="11" t="s">
        <v>1737</v>
      </c>
      <c r="AM116" s="11" t="s">
        <v>1738</v>
      </c>
      <c r="AN116" s="11" t="s">
        <v>1739</v>
      </c>
      <c r="AO116" s="12" t="s">
        <v>1740</v>
      </c>
    </row>
    <row r="117" customFormat="false" ht="95.5" hidden="false" customHeight="false" outlineLevel="0" collapsed="false">
      <c r="A117" s="10" t="s">
        <v>2056</v>
      </c>
      <c r="B117" s="11" t="s">
        <v>203</v>
      </c>
      <c r="C117" s="11" t="s">
        <v>204</v>
      </c>
      <c r="D117" s="11" t="s">
        <v>186</v>
      </c>
      <c r="E117" s="11" t="s">
        <v>68</v>
      </c>
      <c r="F117" s="11" t="n">
        <v>1</v>
      </c>
      <c r="G117" s="11" t="s">
        <v>2057</v>
      </c>
      <c r="H117" s="11" t="s">
        <v>1990</v>
      </c>
      <c r="I117" s="11" t="s">
        <v>1991</v>
      </c>
      <c r="J117" s="11" t="s">
        <v>1992</v>
      </c>
      <c r="K117" s="11" t="s">
        <v>1725</v>
      </c>
      <c r="L117" s="11" t="s">
        <v>1726</v>
      </c>
      <c r="M117" s="11" t="s">
        <v>2005</v>
      </c>
      <c r="N117" s="11"/>
      <c r="O117" s="11" t="s">
        <v>1165</v>
      </c>
      <c r="P117" s="11" t="s">
        <v>2058</v>
      </c>
      <c r="Q117" s="11" t="s">
        <v>1994</v>
      </c>
      <c r="R117" s="11" t="s">
        <v>1730</v>
      </c>
      <c r="S117" s="11" t="s">
        <v>1731</v>
      </c>
      <c r="T117" s="11"/>
      <c r="U117" s="11"/>
      <c r="V117" s="11" t="s">
        <v>1165</v>
      </c>
      <c r="W117" s="11"/>
      <c r="X117" s="11" t="s">
        <v>1732</v>
      </c>
      <c r="Y117" s="11" t="s">
        <v>1733</v>
      </c>
      <c r="Z117" s="11"/>
      <c r="AA117" s="11"/>
      <c r="AB117" s="11"/>
      <c r="AC117" s="11"/>
      <c r="AD117" s="11"/>
      <c r="AE117" s="11" t="s">
        <v>1734</v>
      </c>
      <c r="AF117" s="11" t="s">
        <v>1165</v>
      </c>
      <c r="AG117" s="11" t="s">
        <v>1165</v>
      </c>
      <c r="AH117" s="11" t="s">
        <v>1735</v>
      </c>
      <c r="AI117" s="11" t="s">
        <v>1396</v>
      </c>
      <c r="AJ117" s="11" t="s">
        <v>1736</v>
      </c>
      <c r="AK117" s="11" t="s">
        <v>308</v>
      </c>
      <c r="AL117" s="11" t="s">
        <v>1737</v>
      </c>
      <c r="AM117" s="11" t="s">
        <v>1738</v>
      </c>
      <c r="AN117" s="11" t="s">
        <v>1739</v>
      </c>
      <c r="AO117" s="12" t="s">
        <v>1740</v>
      </c>
    </row>
    <row r="118" customFormat="false" ht="95.5" hidden="false" customHeight="false" outlineLevel="0" collapsed="false">
      <c r="A118" s="10" t="s">
        <v>2059</v>
      </c>
      <c r="B118" s="11" t="s">
        <v>203</v>
      </c>
      <c r="C118" s="11" t="s">
        <v>204</v>
      </c>
      <c r="D118" s="11" t="s">
        <v>186</v>
      </c>
      <c r="E118" s="11" t="s">
        <v>68</v>
      </c>
      <c r="F118" s="11" t="n">
        <v>2</v>
      </c>
      <c r="G118" s="11" t="s">
        <v>2060</v>
      </c>
      <c r="H118" s="11" t="s">
        <v>1990</v>
      </c>
      <c r="I118" s="11" t="s">
        <v>1991</v>
      </c>
      <c r="J118" s="11" t="s">
        <v>1992</v>
      </c>
      <c r="K118" s="11" t="s">
        <v>1725</v>
      </c>
      <c r="L118" s="11" t="s">
        <v>1726</v>
      </c>
      <c r="M118" s="11" t="s">
        <v>2005</v>
      </c>
      <c r="N118" s="11"/>
      <c r="O118" s="11" t="s">
        <v>1165</v>
      </c>
      <c r="P118" s="11" t="s">
        <v>2058</v>
      </c>
      <c r="Q118" s="11" t="s">
        <v>1994</v>
      </c>
      <c r="R118" s="11" t="s">
        <v>1730</v>
      </c>
      <c r="S118" s="11" t="s">
        <v>1731</v>
      </c>
      <c r="T118" s="11"/>
      <c r="U118" s="11"/>
      <c r="V118" s="11" t="s">
        <v>1165</v>
      </c>
      <c r="W118" s="11"/>
      <c r="X118" s="11" t="s">
        <v>1732</v>
      </c>
      <c r="Y118" s="11" t="s">
        <v>1733</v>
      </c>
      <c r="Z118" s="11"/>
      <c r="AA118" s="11"/>
      <c r="AB118" s="11"/>
      <c r="AC118" s="11"/>
      <c r="AD118" s="11"/>
      <c r="AE118" s="11" t="s">
        <v>1734</v>
      </c>
      <c r="AF118" s="11" t="s">
        <v>1165</v>
      </c>
      <c r="AG118" s="11" t="s">
        <v>1165</v>
      </c>
      <c r="AH118" s="11" t="s">
        <v>1735</v>
      </c>
      <c r="AI118" s="11" t="s">
        <v>1396</v>
      </c>
      <c r="AJ118" s="11" t="s">
        <v>1736</v>
      </c>
      <c r="AK118" s="11" t="s">
        <v>308</v>
      </c>
      <c r="AL118" s="11" t="s">
        <v>1737</v>
      </c>
      <c r="AM118" s="11" t="s">
        <v>1738</v>
      </c>
      <c r="AN118" s="11" t="s">
        <v>1739</v>
      </c>
      <c r="AO118" s="12" t="s">
        <v>1740</v>
      </c>
    </row>
    <row r="119" customFormat="false" ht="95.5" hidden="false" customHeight="false" outlineLevel="0" collapsed="false">
      <c r="A119" s="10" t="s">
        <v>2061</v>
      </c>
      <c r="B119" s="11" t="s">
        <v>203</v>
      </c>
      <c r="C119" s="11" t="s">
        <v>204</v>
      </c>
      <c r="D119" s="11" t="s">
        <v>186</v>
      </c>
      <c r="E119" s="11" t="s">
        <v>68</v>
      </c>
      <c r="F119" s="11" t="n">
        <v>3</v>
      </c>
      <c r="G119" s="11" t="s">
        <v>2062</v>
      </c>
      <c r="H119" s="11" t="s">
        <v>1990</v>
      </c>
      <c r="I119" s="11" t="s">
        <v>1991</v>
      </c>
      <c r="J119" s="11" t="s">
        <v>1992</v>
      </c>
      <c r="K119" s="11" t="s">
        <v>1725</v>
      </c>
      <c r="L119" s="11" t="s">
        <v>1726</v>
      </c>
      <c r="M119" s="11" t="s">
        <v>2020</v>
      </c>
      <c r="N119" s="11"/>
      <c r="O119" s="11" t="s">
        <v>1165</v>
      </c>
      <c r="P119" s="11" t="s">
        <v>2058</v>
      </c>
      <c r="Q119" s="11" t="s">
        <v>1994</v>
      </c>
      <c r="R119" s="11" t="s">
        <v>1730</v>
      </c>
      <c r="S119" s="11" t="s">
        <v>1731</v>
      </c>
      <c r="T119" s="11"/>
      <c r="U119" s="11"/>
      <c r="V119" s="11" t="s">
        <v>1165</v>
      </c>
      <c r="W119" s="11"/>
      <c r="X119" s="11" t="s">
        <v>1732</v>
      </c>
      <c r="Y119" s="11" t="s">
        <v>1733</v>
      </c>
      <c r="Z119" s="11"/>
      <c r="AA119" s="11"/>
      <c r="AB119" s="11"/>
      <c r="AC119" s="11"/>
      <c r="AD119" s="11"/>
      <c r="AE119" s="11" t="s">
        <v>1734</v>
      </c>
      <c r="AF119" s="11" t="s">
        <v>1165</v>
      </c>
      <c r="AG119" s="11" t="s">
        <v>1165</v>
      </c>
      <c r="AH119" s="11" t="s">
        <v>1735</v>
      </c>
      <c r="AI119" s="11" t="s">
        <v>1396</v>
      </c>
      <c r="AJ119" s="11" t="s">
        <v>1736</v>
      </c>
      <c r="AK119" s="11" t="s">
        <v>308</v>
      </c>
      <c r="AL119" s="11" t="s">
        <v>1737</v>
      </c>
      <c r="AM119" s="11" t="s">
        <v>1738</v>
      </c>
      <c r="AN119" s="11" t="s">
        <v>1739</v>
      </c>
      <c r="AO119" s="12" t="s">
        <v>1740</v>
      </c>
    </row>
    <row r="120" customFormat="false" ht="95.5" hidden="false" customHeight="false" outlineLevel="0" collapsed="false">
      <c r="A120" s="10" t="s">
        <v>2063</v>
      </c>
      <c r="B120" s="11" t="s">
        <v>203</v>
      </c>
      <c r="C120" s="11" t="s">
        <v>204</v>
      </c>
      <c r="D120" s="11" t="s">
        <v>186</v>
      </c>
      <c r="E120" s="11" t="s">
        <v>68</v>
      </c>
      <c r="F120" s="11" t="n">
        <v>4</v>
      </c>
      <c r="G120" s="11" t="s">
        <v>2064</v>
      </c>
      <c r="H120" s="11" t="s">
        <v>1848</v>
      </c>
      <c r="I120" s="11" t="s">
        <v>1849</v>
      </c>
      <c r="J120" s="11" t="s">
        <v>1850</v>
      </c>
      <c r="K120" s="11" t="s">
        <v>1725</v>
      </c>
      <c r="L120" s="11" t="s">
        <v>1726</v>
      </c>
      <c r="M120" s="11" t="s">
        <v>2009</v>
      </c>
      <c r="N120" s="11"/>
      <c r="O120" s="11" t="s">
        <v>1165</v>
      </c>
      <c r="P120" s="11" t="s">
        <v>2058</v>
      </c>
      <c r="Q120" s="11" t="s">
        <v>1853</v>
      </c>
      <c r="R120" s="11" t="s">
        <v>1730</v>
      </c>
      <c r="S120" s="11" t="s">
        <v>1731</v>
      </c>
      <c r="T120" s="11"/>
      <c r="U120" s="11"/>
      <c r="V120" s="11" t="s">
        <v>1165</v>
      </c>
      <c r="W120" s="11"/>
      <c r="X120" s="11" t="s">
        <v>1732</v>
      </c>
      <c r="Y120" s="11" t="s">
        <v>1733</v>
      </c>
      <c r="Z120" s="11"/>
      <c r="AA120" s="11"/>
      <c r="AB120" s="11"/>
      <c r="AC120" s="11"/>
      <c r="AD120" s="11"/>
      <c r="AE120" s="11" t="s">
        <v>1734</v>
      </c>
      <c r="AF120" s="11" t="s">
        <v>1165</v>
      </c>
      <c r="AG120" s="11" t="s">
        <v>1165</v>
      </c>
      <c r="AH120" s="11" t="s">
        <v>1735</v>
      </c>
      <c r="AI120" s="11" t="s">
        <v>1396</v>
      </c>
      <c r="AJ120" s="11" t="s">
        <v>1736</v>
      </c>
      <c r="AK120" s="11" t="s">
        <v>308</v>
      </c>
      <c r="AL120" s="11" t="s">
        <v>1737</v>
      </c>
      <c r="AM120" s="11" t="s">
        <v>1738</v>
      </c>
      <c r="AN120" s="11" t="s">
        <v>1739</v>
      </c>
      <c r="AO120" s="12" t="s">
        <v>1740</v>
      </c>
    </row>
    <row r="121" customFormat="false" ht="95.5" hidden="false" customHeight="false" outlineLevel="0" collapsed="false">
      <c r="A121" s="10" t="s">
        <v>2065</v>
      </c>
      <c r="B121" s="11" t="s">
        <v>203</v>
      </c>
      <c r="C121" s="11" t="s">
        <v>204</v>
      </c>
      <c r="D121" s="11" t="s">
        <v>186</v>
      </c>
      <c r="E121" s="11" t="s">
        <v>68</v>
      </c>
      <c r="F121" s="11" t="n">
        <v>5</v>
      </c>
      <c r="G121" s="11" t="s">
        <v>2066</v>
      </c>
      <c r="H121" s="11" t="s">
        <v>1990</v>
      </c>
      <c r="I121" s="11" t="s">
        <v>1991</v>
      </c>
      <c r="J121" s="11" t="s">
        <v>1992</v>
      </c>
      <c r="K121" s="11" t="s">
        <v>1725</v>
      </c>
      <c r="L121" s="11" t="s">
        <v>1726</v>
      </c>
      <c r="M121" s="11" t="s">
        <v>2020</v>
      </c>
      <c r="N121" s="11"/>
      <c r="O121" s="11" t="s">
        <v>1165</v>
      </c>
      <c r="P121" s="11" t="s">
        <v>2058</v>
      </c>
      <c r="Q121" s="11" t="s">
        <v>1994</v>
      </c>
      <c r="R121" s="11" t="s">
        <v>1730</v>
      </c>
      <c r="S121" s="11" t="s">
        <v>1731</v>
      </c>
      <c r="T121" s="11"/>
      <c r="U121" s="11"/>
      <c r="V121" s="11" t="s">
        <v>1165</v>
      </c>
      <c r="W121" s="11"/>
      <c r="X121" s="11" t="s">
        <v>1732</v>
      </c>
      <c r="Y121" s="11" t="s">
        <v>1733</v>
      </c>
      <c r="Z121" s="11"/>
      <c r="AA121" s="11"/>
      <c r="AB121" s="11"/>
      <c r="AC121" s="11"/>
      <c r="AD121" s="11"/>
      <c r="AE121" s="11" t="s">
        <v>1734</v>
      </c>
      <c r="AF121" s="11" t="s">
        <v>1165</v>
      </c>
      <c r="AG121" s="11" t="s">
        <v>1165</v>
      </c>
      <c r="AH121" s="11" t="s">
        <v>1735</v>
      </c>
      <c r="AI121" s="11" t="s">
        <v>1396</v>
      </c>
      <c r="AJ121" s="11" t="s">
        <v>1736</v>
      </c>
      <c r="AK121" s="11" t="s">
        <v>308</v>
      </c>
      <c r="AL121" s="11" t="s">
        <v>1737</v>
      </c>
      <c r="AM121" s="11" t="s">
        <v>1738</v>
      </c>
      <c r="AN121" s="11" t="s">
        <v>1739</v>
      </c>
      <c r="AO121" s="12" t="s">
        <v>1740</v>
      </c>
    </row>
    <row r="122" customFormat="false" ht="95.5" hidden="false" customHeight="false" outlineLevel="0" collapsed="false">
      <c r="A122" s="10" t="s">
        <v>2067</v>
      </c>
      <c r="B122" s="11" t="s">
        <v>203</v>
      </c>
      <c r="C122" s="11" t="s">
        <v>204</v>
      </c>
      <c r="D122" s="11" t="s">
        <v>186</v>
      </c>
      <c r="E122" s="11" t="s">
        <v>68</v>
      </c>
      <c r="F122" s="11" t="n">
        <v>6</v>
      </c>
      <c r="G122" s="11" t="s">
        <v>1937</v>
      </c>
      <c r="H122" s="11" t="s">
        <v>1990</v>
      </c>
      <c r="I122" s="11" t="s">
        <v>1991</v>
      </c>
      <c r="J122" s="11" t="s">
        <v>1992</v>
      </c>
      <c r="K122" s="11" t="s">
        <v>1725</v>
      </c>
      <c r="L122" s="11" t="s">
        <v>1726</v>
      </c>
      <c r="M122" s="11" t="s">
        <v>2020</v>
      </c>
      <c r="N122" s="11"/>
      <c r="O122" s="11" t="s">
        <v>1165</v>
      </c>
      <c r="P122" s="11" t="s">
        <v>2058</v>
      </c>
      <c r="Q122" s="11" t="s">
        <v>1994</v>
      </c>
      <c r="R122" s="11" t="s">
        <v>1730</v>
      </c>
      <c r="S122" s="11" t="s">
        <v>1731</v>
      </c>
      <c r="T122" s="11"/>
      <c r="U122" s="11"/>
      <c r="V122" s="11" t="s">
        <v>1165</v>
      </c>
      <c r="W122" s="11"/>
      <c r="X122" s="11" t="s">
        <v>1732</v>
      </c>
      <c r="Y122" s="11" t="s">
        <v>1733</v>
      </c>
      <c r="Z122" s="11"/>
      <c r="AA122" s="11"/>
      <c r="AB122" s="11"/>
      <c r="AC122" s="11"/>
      <c r="AD122" s="11"/>
      <c r="AE122" s="11" t="s">
        <v>1734</v>
      </c>
      <c r="AF122" s="11" t="s">
        <v>1165</v>
      </c>
      <c r="AG122" s="11" t="s">
        <v>1165</v>
      </c>
      <c r="AH122" s="11" t="s">
        <v>1735</v>
      </c>
      <c r="AI122" s="11" t="s">
        <v>1396</v>
      </c>
      <c r="AJ122" s="11" t="s">
        <v>1736</v>
      </c>
      <c r="AK122" s="11" t="s">
        <v>308</v>
      </c>
      <c r="AL122" s="11" t="s">
        <v>1737</v>
      </c>
      <c r="AM122" s="11" t="s">
        <v>1738</v>
      </c>
      <c r="AN122" s="11" t="s">
        <v>1739</v>
      </c>
      <c r="AO122" s="12" t="s">
        <v>1740</v>
      </c>
    </row>
    <row r="123" customFormat="false" ht="95.5" hidden="false" customHeight="false" outlineLevel="0" collapsed="false">
      <c r="A123" s="10" t="s">
        <v>2068</v>
      </c>
      <c r="B123" s="11" t="s">
        <v>209</v>
      </c>
      <c r="C123" s="11" t="s">
        <v>211</v>
      </c>
      <c r="D123" s="11" t="s">
        <v>210</v>
      </c>
      <c r="E123" s="11" t="s">
        <v>68</v>
      </c>
      <c r="F123" s="11" t="n">
        <v>1</v>
      </c>
      <c r="G123" s="11" t="s">
        <v>2069</v>
      </c>
      <c r="H123" s="11" t="s">
        <v>1990</v>
      </c>
      <c r="I123" s="11" t="s">
        <v>1991</v>
      </c>
      <c r="J123" s="11" t="s">
        <v>1992</v>
      </c>
      <c r="K123" s="11" t="s">
        <v>1725</v>
      </c>
      <c r="L123" s="11" t="s">
        <v>1726</v>
      </c>
      <c r="M123" s="11" t="s">
        <v>1993</v>
      </c>
      <c r="N123" s="11"/>
      <c r="O123" s="11" t="s">
        <v>1165</v>
      </c>
      <c r="P123" s="11" t="s">
        <v>2070</v>
      </c>
      <c r="Q123" s="11" t="s">
        <v>1994</v>
      </c>
      <c r="R123" s="11" t="s">
        <v>1730</v>
      </c>
      <c r="S123" s="11" t="s">
        <v>1731</v>
      </c>
      <c r="T123" s="11"/>
      <c r="U123" s="11"/>
      <c r="V123" s="11" t="s">
        <v>1165</v>
      </c>
      <c r="W123" s="11"/>
      <c r="X123" s="11" t="s">
        <v>1732</v>
      </c>
      <c r="Y123" s="11" t="s">
        <v>1733</v>
      </c>
      <c r="Z123" s="11"/>
      <c r="AA123" s="11"/>
      <c r="AB123" s="11"/>
      <c r="AC123" s="11"/>
      <c r="AD123" s="11"/>
      <c r="AE123" s="11" t="s">
        <v>1734</v>
      </c>
      <c r="AF123" s="11" t="s">
        <v>1165</v>
      </c>
      <c r="AG123" s="11" t="s">
        <v>1165</v>
      </c>
      <c r="AH123" s="11" t="s">
        <v>1735</v>
      </c>
      <c r="AI123" s="11" t="s">
        <v>1396</v>
      </c>
      <c r="AJ123" s="11" t="s">
        <v>1736</v>
      </c>
      <c r="AK123" s="11" t="s">
        <v>308</v>
      </c>
      <c r="AL123" s="11" t="s">
        <v>1737</v>
      </c>
      <c r="AM123" s="11" t="s">
        <v>1738</v>
      </c>
      <c r="AN123" s="11" t="s">
        <v>1739</v>
      </c>
      <c r="AO123" s="12" t="s">
        <v>1740</v>
      </c>
    </row>
    <row r="124" customFormat="false" ht="95.5" hidden="false" customHeight="false" outlineLevel="0" collapsed="false">
      <c r="A124" s="10" t="s">
        <v>2071</v>
      </c>
      <c r="B124" s="11" t="s">
        <v>209</v>
      </c>
      <c r="C124" s="11" t="s">
        <v>211</v>
      </c>
      <c r="D124" s="11" t="s">
        <v>210</v>
      </c>
      <c r="E124" s="11" t="s">
        <v>68</v>
      </c>
      <c r="F124" s="11" t="n">
        <v>2</v>
      </c>
      <c r="G124" s="11" t="s">
        <v>2072</v>
      </c>
      <c r="H124" s="11" t="s">
        <v>1990</v>
      </c>
      <c r="I124" s="11" t="s">
        <v>1991</v>
      </c>
      <c r="J124" s="11" t="s">
        <v>1992</v>
      </c>
      <c r="K124" s="11" t="s">
        <v>1725</v>
      </c>
      <c r="L124" s="11" t="s">
        <v>1726</v>
      </c>
      <c r="M124" s="11" t="s">
        <v>1993</v>
      </c>
      <c r="N124" s="11"/>
      <c r="O124" s="11" t="s">
        <v>1165</v>
      </c>
      <c r="P124" s="11" t="s">
        <v>2070</v>
      </c>
      <c r="Q124" s="11" t="s">
        <v>1994</v>
      </c>
      <c r="R124" s="11" t="s">
        <v>1730</v>
      </c>
      <c r="S124" s="11" t="s">
        <v>1731</v>
      </c>
      <c r="T124" s="11"/>
      <c r="U124" s="11"/>
      <c r="V124" s="11" t="s">
        <v>1165</v>
      </c>
      <c r="W124" s="11"/>
      <c r="X124" s="11" t="s">
        <v>1732</v>
      </c>
      <c r="Y124" s="11" t="s">
        <v>1733</v>
      </c>
      <c r="Z124" s="11"/>
      <c r="AA124" s="11"/>
      <c r="AB124" s="11"/>
      <c r="AC124" s="11"/>
      <c r="AD124" s="11"/>
      <c r="AE124" s="11" t="s">
        <v>1734</v>
      </c>
      <c r="AF124" s="11" t="s">
        <v>1165</v>
      </c>
      <c r="AG124" s="11" t="s">
        <v>1165</v>
      </c>
      <c r="AH124" s="11" t="s">
        <v>1735</v>
      </c>
      <c r="AI124" s="11" t="s">
        <v>1396</v>
      </c>
      <c r="AJ124" s="11" t="s">
        <v>1736</v>
      </c>
      <c r="AK124" s="11" t="s">
        <v>308</v>
      </c>
      <c r="AL124" s="11" t="s">
        <v>1737</v>
      </c>
      <c r="AM124" s="11" t="s">
        <v>1738</v>
      </c>
      <c r="AN124" s="11" t="s">
        <v>1739</v>
      </c>
      <c r="AO124" s="12" t="s">
        <v>1740</v>
      </c>
    </row>
    <row r="125" customFormat="false" ht="95.5" hidden="false" customHeight="false" outlineLevel="0" collapsed="false">
      <c r="A125" s="10" t="s">
        <v>2073</v>
      </c>
      <c r="B125" s="11" t="s">
        <v>209</v>
      </c>
      <c r="C125" s="11" t="s">
        <v>211</v>
      </c>
      <c r="D125" s="11" t="s">
        <v>210</v>
      </c>
      <c r="E125" s="11" t="s">
        <v>68</v>
      </c>
      <c r="F125" s="11" t="n">
        <v>3</v>
      </c>
      <c r="G125" s="11" t="s">
        <v>2074</v>
      </c>
      <c r="H125" s="11" t="s">
        <v>1990</v>
      </c>
      <c r="I125" s="11" t="s">
        <v>1991</v>
      </c>
      <c r="J125" s="11" t="s">
        <v>1992</v>
      </c>
      <c r="K125" s="11" t="s">
        <v>1725</v>
      </c>
      <c r="L125" s="11" t="s">
        <v>1726</v>
      </c>
      <c r="M125" s="11" t="s">
        <v>1993</v>
      </c>
      <c r="N125" s="11"/>
      <c r="O125" s="11" t="s">
        <v>1165</v>
      </c>
      <c r="P125" s="11" t="s">
        <v>2070</v>
      </c>
      <c r="Q125" s="11" t="s">
        <v>1994</v>
      </c>
      <c r="R125" s="11" t="s">
        <v>1730</v>
      </c>
      <c r="S125" s="11" t="s">
        <v>1731</v>
      </c>
      <c r="T125" s="11"/>
      <c r="U125" s="11"/>
      <c r="V125" s="11" t="s">
        <v>1165</v>
      </c>
      <c r="W125" s="11"/>
      <c r="X125" s="11" t="s">
        <v>1732</v>
      </c>
      <c r="Y125" s="11" t="s">
        <v>1733</v>
      </c>
      <c r="Z125" s="11"/>
      <c r="AA125" s="11"/>
      <c r="AB125" s="11"/>
      <c r="AC125" s="11"/>
      <c r="AD125" s="11"/>
      <c r="AE125" s="11" t="s">
        <v>1734</v>
      </c>
      <c r="AF125" s="11" t="s">
        <v>1165</v>
      </c>
      <c r="AG125" s="11" t="s">
        <v>1165</v>
      </c>
      <c r="AH125" s="11" t="s">
        <v>1735</v>
      </c>
      <c r="AI125" s="11" t="s">
        <v>1396</v>
      </c>
      <c r="AJ125" s="11" t="s">
        <v>1736</v>
      </c>
      <c r="AK125" s="11" t="s">
        <v>308</v>
      </c>
      <c r="AL125" s="11" t="s">
        <v>1737</v>
      </c>
      <c r="AM125" s="11" t="s">
        <v>1738</v>
      </c>
      <c r="AN125" s="11" t="s">
        <v>1739</v>
      </c>
      <c r="AO125" s="12" t="s">
        <v>1740</v>
      </c>
    </row>
    <row r="126" customFormat="false" ht="95.5" hidden="false" customHeight="false" outlineLevel="0" collapsed="false">
      <c r="A126" s="10" t="s">
        <v>2075</v>
      </c>
      <c r="B126" s="11" t="s">
        <v>209</v>
      </c>
      <c r="C126" s="11" t="s">
        <v>211</v>
      </c>
      <c r="D126" s="11" t="s">
        <v>210</v>
      </c>
      <c r="E126" s="11" t="s">
        <v>68</v>
      </c>
      <c r="F126" s="11" t="n">
        <v>4</v>
      </c>
      <c r="G126" s="11" t="s">
        <v>2076</v>
      </c>
      <c r="H126" s="11" t="s">
        <v>2012</v>
      </c>
      <c r="I126" s="11" t="s">
        <v>2013</v>
      </c>
      <c r="J126" s="11" t="s">
        <v>2014</v>
      </c>
      <c r="K126" s="11" t="s">
        <v>1725</v>
      </c>
      <c r="L126" s="11" t="s">
        <v>1726</v>
      </c>
      <c r="M126" s="11" t="s">
        <v>2077</v>
      </c>
      <c r="N126" s="11"/>
      <c r="O126" s="11" t="s">
        <v>1165</v>
      </c>
      <c r="P126" s="11" t="s">
        <v>2070</v>
      </c>
      <c r="Q126" s="11" t="s">
        <v>2016</v>
      </c>
      <c r="R126" s="11" t="s">
        <v>1730</v>
      </c>
      <c r="S126" s="11" t="s">
        <v>1731</v>
      </c>
      <c r="T126" s="11"/>
      <c r="U126" s="11"/>
      <c r="V126" s="11" t="s">
        <v>1165</v>
      </c>
      <c r="W126" s="11"/>
      <c r="X126" s="11" t="s">
        <v>1732</v>
      </c>
      <c r="Y126" s="11" t="s">
        <v>1733</v>
      </c>
      <c r="Z126" s="11"/>
      <c r="AA126" s="11"/>
      <c r="AB126" s="11"/>
      <c r="AC126" s="11"/>
      <c r="AD126" s="11"/>
      <c r="AE126" s="11" t="s">
        <v>1734</v>
      </c>
      <c r="AF126" s="11" t="s">
        <v>1165</v>
      </c>
      <c r="AG126" s="11" t="s">
        <v>1165</v>
      </c>
      <c r="AH126" s="11" t="s">
        <v>1735</v>
      </c>
      <c r="AI126" s="11" t="s">
        <v>1396</v>
      </c>
      <c r="AJ126" s="11" t="s">
        <v>1736</v>
      </c>
      <c r="AK126" s="11" t="s">
        <v>308</v>
      </c>
      <c r="AL126" s="11" t="s">
        <v>1737</v>
      </c>
      <c r="AM126" s="11" t="s">
        <v>1738</v>
      </c>
      <c r="AN126" s="11" t="s">
        <v>1739</v>
      </c>
      <c r="AO126" s="12" t="s">
        <v>1740</v>
      </c>
    </row>
    <row r="127" customFormat="false" ht="95.5" hidden="false" customHeight="false" outlineLevel="0" collapsed="false">
      <c r="A127" s="10" t="s">
        <v>2078</v>
      </c>
      <c r="B127" s="11" t="s">
        <v>209</v>
      </c>
      <c r="C127" s="11" t="s">
        <v>211</v>
      </c>
      <c r="D127" s="11" t="s">
        <v>210</v>
      </c>
      <c r="E127" s="11" t="s">
        <v>68</v>
      </c>
      <c r="F127" s="11" t="n">
        <v>5</v>
      </c>
      <c r="G127" s="11" t="s">
        <v>1933</v>
      </c>
      <c r="H127" s="11" t="s">
        <v>1990</v>
      </c>
      <c r="I127" s="11" t="s">
        <v>1991</v>
      </c>
      <c r="J127" s="11" t="s">
        <v>1992</v>
      </c>
      <c r="K127" s="11" t="s">
        <v>1725</v>
      </c>
      <c r="L127" s="11" t="s">
        <v>1726</v>
      </c>
      <c r="M127" s="11" t="s">
        <v>1993</v>
      </c>
      <c r="N127" s="11"/>
      <c r="O127" s="11" t="s">
        <v>1165</v>
      </c>
      <c r="P127" s="11" t="s">
        <v>2070</v>
      </c>
      <c r="Q127" s="11" t="s">
        <v>1994</v>
      </c>
      <c r="R127" s="11" t="s">
        <v>1730</v>
      </c>
      <c r="S127" s="11" t="s">
        <v>1731</v>
      </c>
      <c r="T127" s="11"/>
      <c r="U127" s="11"/>
      <c r="V127" s="11" t="s">
        <v>1165</v>
      </c>
      <c r="W127" s="11"/>
      <c r="X127" s="11" t="s">
        <v>1732</v>
      </c>
      <c r="Y127" s="11" t="s">
        <v>1733</v>
      </c>
      <c r="Z127" s="11"/>
      <c r="AA127" s="11"/>
      <c r="AB127" s="11"/>
      <c r="AC127" s="11"/>
      <c r="AD127" s="11"/>
      <c r="AE127" s="11" t="s">
        <v>1734</v>
      </c>
      <c r="AF127" s="11" t="s">
        <v>1165</v>
      </c>
      <c r="AG127" s="11" t="s">
        <v>1165</v>
      </c>
      <c r="AH127" s="11" t="s">
        <v>1735</v>
      </c>
      <c r="AI127" s="11" t="s">
        <v>1396</v>
      </c>
      <c r="AJ127" s="11" t="s">
        <v>1736</v>
      </c>
      <c r="AK127" s="11" t="s">
        <v>308</v>
      </c>
      <c r="AL127" s="11" t="s">
        <v>1737</v>
      </c>
      <c r="AM127" s="11" t="s">
        <v>1738</v>
      </c>
      <c r="AN127" s="11" t="s">
        <v>1739</v>
      </c>
      <c r="AO127" s="12" t="s">
        <v>1740</v>
      </c>
    </row>
    <row r="128" customFormat="false" ht="95.5" hidden="false" customHeight="false" outlineLevel="0" collapsed="false">
      <c r="A128" s="10" t="s">
        <v>2079</v>
      </c>
      <c r="B128" s="11" t="s">
        <v>216</v>
      </c>
      <c r="C128" s="11" t="s">
        <v>217</v>
      </c>
      <c r="D128" s="11" t="s">
        <v>210</v>
      </c>
      <c r="E128" s="11" t="s">
        <v>68</v>
      </c>
      <c r="F128" s="11" t="n">
        <v>1</v>
      </c>
      <c r="G128" s="11" t="s">
        <v>2080</v>
      </c>
      <c r="H128" s="11" t="s">
        <v>2081</v>
      </c>
      <c r="I128" s="11" t="s">
        <v>2082</v>
      </c>
      <c r="J128" s="11" t="s">
        <v>2083</v>
      </c>
      <c r="K128" s="11" t="s">
        <v>1725</v>
      </c>
      <c r="L128" s="11" t="s">
        <v>1726</v>
      </c>
      <c r="M128" s="11" t="s">
        <v>2084</v>
      </c>
      <c r="N128" s="11"/>
      <c r="O128" s="11" t="s">
        <v>1165</v>
      </c>
      <c r="P128" s="11" t="s">
        <v>2085</v>
      </c>
      <c r="Q128" s="11" t="s">
        <v>2086</v>
      </c>
      <c r="R128" s="11" t="s">
        <v>1730</v>
      </c>
      <c r="S128" s="11" t="s">
        <v>1731</v>
      </c>
      <c r="T128" s="11" t="n">
        <v>1</v>
      </c>
      <c r="U128" s="11" t="s">
        <v>2031</v>
      </c>
      <c r="V128" s="11" t="s">
        <v>1770</v>
      </c>
      <c r="W128" s="11" t="n">
        <v>1</v>
      </c>
      <c r="X128" s="11" t="s">
        <v>1771</v>
      </c>
      <c r="Y128" s="11" t="s">
        <v>2087</v>
      </c>
      <c r="Z128" s="11"/>
      <c r="AA128" s="11"/>
      <c r="AB128" s="11"/>
      <c r="AC128" s="11"/>
      <c r="AD128" s="11"/>
      <c r="AE128" s="11" t="s">
        <v>1734</v>
      </c>
      <c r="AF128" s="11" t="s">
        <v>1165</v>
      </c>
      <c r="AG128" s="11" t="s">
        <v>1165</v>
      </c>
      <c r="AH128" s="11" t="s">
        <v>1735</v>
      </c>
      <c r="AI128" s="11" t="s">
        <v>1396</v>
      </c>
      <c r="AJ128" s="11" t="s">
        <v>1736</v>
      </c>
      <c r="AK128" s="11" t="s">
        <v>308</v>
      </c>
      <c r="AL128" s="11" t="s">
        <v>1737</v>
      </c>
      <c r="AM128" s="11" t="s">
        <v>1738</v>
      </c>
      <c r="AN128" s="11" t="s">
        <v>1739</v>
      </c>
      <c r="AO128" s="12" t="s">
        <v>1740</v>
      </c>
    </row>
    <row r="129" customFormat="false" ht="95.5" hidden="false" customHeight="false" outlineLevel="0" collapsed="false">
      <c r="A129" s="10" t="s">
        <v>2088</v>
      </c>
      <c r="B129" s="11" t="s">
        <v>216</v>
      </c>
      <c r="C129" s="11" t="s">
        <v>217</v>
      </c>
      <c r="D129" s="11" t="s">
        <v>210</v>
      </c>
      <c r="E129" s="11" t="s">
        <v>68</v>
      </c>
      <c r="F129" s="11" t="n">
        <v>2</v>
      </c>
      <c r="G129" s="11" t="s">
        <v>2089</v>
      </c>
      <c r="H129" s="11" t="s">
        <v>1990</v>
      </c>
      <c r="I129" s="11" t="s">
        <v>1991</v>
      </c>
      <c r="J129" s="11" t="s">
        <v>1992</v>
      </c>
      <c r="K129" s="11" t="s">
        <v>1725</v>
      </c>
      <c r="L129" s="11" t="s">
        <v>1726</v>
      </c>
      <c r="M129" s="11" t="s">
        <v>1993</v>
      </c>
      <c r="N129" s="11"/>
      <c r="O129" s="11" t="s">
        <v>1165</v>
      </c>
      <c r="P129" s="11" t="s">
        <v>2085</v>
      </c>
      <c r="Q129" s="11" t="s">
        <v>1994</v>
      </c>
      <c r="R129" s="11" t="s">
        <v>1730</v>
      </c>
      <c r="S129" s="11" t="s">
        <v>1731</v>
      </c>
      <c r="T129" s="11"/>
      <c r="U129" s="11"/>
      <c r="V129" s="11" t="s">
        <v>1165</v>
      </c>
      <c r="W129" s="11"/>
      <c r="X129" s="11" t="s">
        <v>1732</v>
      </c>
      <c r="Y129" s="11" t="s">
        <v>1733</v>
      </c>
      <c r="Z129" s="11"/>
      <c r="AA129" s="11"/>
      <c r="AB129" s="11"/>
      <c r="AC129" s="11"/>
      <c r="AD129" s="11"/>
      <c r="AE129" s="11" t="s">
        <v>1734</v>
      </c>
      <c r="AF129" s="11" t="s">
        <v>1165</v>
      </c>
      <c r="AG129" s="11" t="s">
        <v>1165</v>
      </c>
      <c r="AH129" s="11" t="s">
        <v>1735</v>
      </c>
      <c r="AI129" s="11" t="s">
        <v>1396</v>
      </c>
      <c r="AJ129" s="11" t="s">
        <v>1736</v>
      </c>
      <c r="AK129" s="11" t="s">
        <v>308</v>
      </c>
      <c r="AL129" s="11" t="s">
        <v>1737</v>
      </c>
      <c r="AM129" s="11" t="s">
        <v>1738</v>
      </c>
      <c r="AN129" s="11" t="s">
        <v>1739</v>
      </c>
      <c r="AO129" s="12" t="s">
        <v>1740</v>
      </c>
    </row>
    <row r="130" customFormat="false" ht="95.5" hidden="false" customHeight="false" outlineLevel="0" collapsed="false">
      <c r="A130" s="10" t="s">
        <v>2090</v>
      </c>
      <c r="B130" s="11" t="s">
        <v>216</v>
      </c>
      <c r="C130" s="11" t="s">
        <v>217</v>
      </c>
      <c r="D130" s="11" t="s">
        <v>210</v>
      </c>
      <c r="E130" s="11" t="s">
        <v>68</v>
      </c>
      <c r="F130" s="11" t="n">
        <v>3</v>
      </c>
      <c r="G130" s="11" t="s">
        <v>2091</v>
      </c>
      <c r="H130" s="11" t="s">
        <v>2081</v>
      </c>
      <c r="I130" s="11" t="s">
        <v>2082</v>
      </c>
      <c r="J130" s="11" t="s">
        <v>2083</v>
      </c>
      <c r="K130" s="11" t="s">
        <v>1725</v>
      </c>
      <c r="L130" s="11" t="s">
        <v>1726</v>
      </c>
      <c r="M130" s="11" t="s">
        <v>2084</v>
      </c>
      <c r="N130" s="11"/>
      <c r="O130" s="11" t="s">
        <v>1165</v>
      </c>
      <c r="P130" s="11" t="s">
        <v>2085</v>
      </c>
      <c r="Q130" s="11" t="s">
        <v>2086</v>
      </c>
      <c r="R130" s="11" t="s">
        <v>1730</v>
      </c>
      <c r="S130" s="11" t="s">
        <v>1731</v>
      </c>
      <c r="T130" s="11" t="n">
        <v>1</v>
      </c>
      <c r="U130" s="11" t="s">
        <v>2031</v>
      </c>
      <c r="V130" s="11" t="s">
        <v>1770</v>
      </c>
      <c r="W130" s="11" t="n">
        <v>1</v>
      </c>
      <c r="X130" s="11" t="s">
        <v>1771</v>
      </c>
      <c r="Y130" s="11" t="s">
        <v>2087</v>
      </c>
      <c r="Z130" s="11"/>
      <c r="AA130" s="11"/>
      <c r="AB130" s="11"/>
      <c r="AC130" s="11"/>
      <c r="AD130" s="11"/>
      <c r="AE130" s="11" t="s">
        <v>1734</v>
      </c>
      <c r="AF130" s="11" t="s">
        <v>1165</v>
      </c>
      <c r="AG130" s="11" t="s">
        <v>1165</v>
      </c>
      <c r="AH130" s="11" t="s">
        <v>1735</v>
      </c>
      <c r="AI130" s="11" t="s">
        <v>1396</v>
      </c>
      <c r="AJ130" s="11" t="s">
        <v>1736</v>
      </c>
      <c r="AK130" s="11" t="s">
        <v>308</v>
      </c>
      <c r="AL130" s="11" t="s">
        <v>1737</v>
      </c>
      <c r="AM130" s="11" t="s">
        <v>1738</v>
      </c>
      <c r="AN130" s="11" t="s">
        <v>1739</v>
      </c>
      <c r="AO130" s="12" t="s">
        <v>1740</v>
      </c>
    </row>
    <row r="131" customFormat="false" ht="95.5" hidden="false" customHeight="false" outlineLevel="0" collapsed="false">
      <c r="A131" s="10" t="s">
        <v>2092</v>
      </c>
      <c r="B131" s="11" t="s">
        <v>216</v>
      </c>
      <c r="C131" s="11" t="s">
        <v>217</v>
      </c>
      <c r="D131" s="11" t="s">
        <v>210</v>
      </c>
      <c r="E131" s="11" t="s">
        <v>68</v>
      </c>
      <c r="F131" s="11" t="n">
        <v>4</v>
      </c>
      <c r="G131" s="11" t="s">
        <v>2093</v>
      </c>
      <c r="H131" s="11" t="s">
        <v>1990</v>
      </c>
      <c r="I131" s="11" t="s">
        <v>1991</v>
      </c>
      <c r="J131" s="11" t="s">
        <v>1992</v>
      </c>
      <c r="K131" s="11" t="s">
        <v>1725</v>
      </c>
      <c r="L131" s="11" t="s">
        <v>1726</v>
      </c>
      <c r="M131" s="11" t="s">
        <v>1993</v>
      </c>
      <c r="N131" s="11"/>
      <c r="O131" s="11" t="s">
        <v>1165</v>
      </c>
      <c r="P131" s="11" t="s">
        <v>2085</v>
      </c>
      <c r="Q131" s="11" t="s">
        <v>1994</v>
      </c>
      <c r="R131" s="11" t="s">
        <v>1730</v>
      </c>
      <c r="S131" s="11" t="s">
        <v>1731</v>
      </c>
      <c r="T131" s="11"/>
      <c r="U131" s="11"/>
      <c r="V131" s="11" t="s">
        <v>1165</v>
      </c>
      <c r="W131" s="11"/>
      <c r="X131" s="11" t="s">
        <v>1732</v>
      </c>
      <c r="Y131" s="11" t="s">
        <v>1733</v>
      </c>
      <c r="Z131" s="11"/>
      <c r="AA131" s="11"/>
      <c r="AB131" s="11"/>
      <c r="AC131" s="11"/>
      <c r="AD131" s="11"/>
      <c r="AE131" s="11" t="s">
        <v>1734</v>
      </c>
      <c r="AF131" s="11" t="s">
        <v>1165</v>
      </c>
      <c r="AG131" s="11" t="s">
        <v>1165</v>
      </c>
      <c r="AH131" s="11" t="s">
        <v>1735</v>
      </c>
      <c r="AI131" s="11" t="s">
        <v>1396</v>
      </c>
      <c r="AJ131" s="11" t="s">
        <v>1736</v>
      </c>
      <c r="AK131" s="11" t="s">
        <v>308</v>
      </c>
      <c r="AL131" s="11" t="s">
        <v>1737</v>
      </c>
      <c r="AM131" s="11" t="s">
        <v>1738</v>
      </c>
      <c r="AN131" s="11" t="s">
        <v>1739</v>
      </c>
      <c r="AO131" s="12" t="s">
        <v>1740</v>
      </c>
    </row>
    <row r="132" customFormat="false" ht="95.5" hidden="false" customHeight="false" outlineLevel="0" collapsed="false">
      <c r="A132" s="10" t="s">
        <v>2094</v>
      </c>
      <c r="B132" s="11" t="s">
        <v>216</v>
      </c>
      <c r="C132" s="11" t="s">
        <v>217</v>
      </c>
      <c r="D132" s="11" t="s">
        <v>210</v>
      </c>
      <c r="E132" s="11" t="s">
        <v>68</v>
      </c>
      <c r="F132" s="11" t="n">
        <v>5</v>
      </c>
      <c r="G132" s="11" t="s">
        <v>2095</v>
      </c>
      <c r="H132" s="11" t="s">
        <v>1990</v>
      </c>
      <c r="I132" s="11" t="s">
        <v>1991</v>
      </c>
      <c r="J132" s="11" t="s">
        <v>1992</v>
      </c>
      <c r="K132" s="11" t="s">
        <v>1725</v>
      </c>
      <c r="L132" s="11" t="s">
        <v>1726</v>
      </c>
      <c r="M132" s="11" t="s">
        <v>1993</v>
      </c>
      <c r="N132" s="11"/>
      <c r="O132" s="11" t="s">
        <v>1165</v>
      </c>
      <c r="P132" s="11" t="s">
        <v>2085</v>
      </c>
      <c r="Q132" s="11" t="s">
        <v>1994</v>
      </c>
      <c r="R132" s="11" t="s">
        <v>1730</v>
      </c>
      <c r="S132" s="11" t="s">
        <v>1731</v>
      </c>
      <c r="T132" s="11"/>
      <c r="U132" s="11"/>
      <c r="V132" s="11" t="s">
        <v>1165</v>
      </c>
      <c r="W132" s="11"/>
      <c r="X132" s="11" t="s">
        <v>1732</v>
      </c>
      <c r="Y132" s="11" t="s">
        <v>1733</v>
      </c>
      <c r="Z132" s="11"/>
      <c r="AA132" s="11"/>
      <c r="AB132" s="11"/>
      <c r="AC132" s="11"/>
      <c r="AD132" s="11"/>
      <c r="AE132" s="11" t="s">
        <v>1734</v>
      </c>
      <c r="AF132" s="11" t="s">
        <v>1165</v>
      </c>
      <c r="AG132" s="11" t="s">
        <v>1165</v>
      </c>
      <c r="AH132" s="11" t="s">
        <v>1735</v>
      </c>
      <c r="AI132" s="11" t="s">
        <v>1396</v>
      </c>
      <c r="AJ132" s="11" t="s">
        <v>1736</v>
      </c>
      <c r="AK132" s="11" t="s">
        <v>308</v>
      </c>
      <c r="AL132" s="11" t="s">
        <v>1737</v>
      </c>
      <c r="AM132" s="11" t="s">
        <v>1738</v>
      </c>
      <c r="AN132" s="11" t="s">
        <v>1739</v>
      </c>
      <c r="AO132" s="12" t="s">
        <v>1740</v>
      </c>
    </row>
    <row r="133" customFormat="false" ht="95.5" hidden="false" customHeight="false" outlineLevel="0" collapsed="false">
      <c r="A133" s="10" t="s">
        <v>2096</v>
      </c>
      <c r="B133" s="11" t="s">
        <v>216</v>
      </c>
      <c r="C133" s="11" t="s">
        <v>217</v>
      </c>
      <c r="D133" s="11" t="s">
        <v>210</v>
      </c>
      <c r="E133" s="11" t="s">
        <v>68</v>
      </c>
      <c r="F133" s="11" t="n">
        <v>6</v>
      </c>
      <c r="G133" s="11" t="s">
        <v>2097</v>
      </c>
      <c r="H133" s="11" t="s">
        <v>1990</v>
      </c>
      <c r="I133" s="11" t="s">
        <v>1991</v>
      </c>
      <c r="J133" s="11" t="s">
        <v>1992</v>
      </c>
      <c r="K133" s="11" t="s">
        <v>1725</v>
      </c>
      <c r="L133" s="11" t="s">
        <v>1726</v>
      </c>
      <c r="M133" s="11" t="s">
        <v>1993</v>
      </c>
      <c r="N133" s="11"/>
      <c r="O133" s="11" t="s">
        <v>1165</v>
      </c>
      <c r="P133" s="11" t="s">
        <v>2085</v>
      </c>
      <c r="Q133" s="11" t="s">
        <v>1994</v>
      </c>
      <c r="R133" s="11" t="s">
        <v>1730</v>
      </c>
      <c r="S133" s="11" t="s">
        <v>1731</v>
      </c>
      <c r="T133" s="11"/>
      <c r="U133" s="11"/>
      <c r="V133" s="11" t="s">
        <v>1165</v>
      </c>
      <c r="W133" s="11"/>
      <c r="X133" s="11" t="s">
        <v>1732</v>
      </c>
      <c r="Y133" s="11" t="s">
        <v>1733</v>
      </c>
      <c r="Z133" s="11"/>
      <c r="AA133" s="11"/>
      <c r="AB133" s="11"/>
      <c r="AC133" s="11"/>
      <c r="AD133" s="11"/>
      <c r="AE133" s="11" t="s">
        <v>1734</v>
      </c>
      <c r="AF133" s="11" t="s">
        <v>1165</v>
      </c>
      <c r="AG133" s="11" t="s">
        <v>1165</v>
      </c>
      <c r="AH133" s="11" t="s">
        <v>1735</v>
      </c>
      <c r="AI133" s="11" t="s">
        <v>1396</v>
      </c>
      <c r="AJ133" s="11" t="s">
        <v>1736</v>
      </c>
      <c r="AK133" s="11" t="s">
        <v>308</v>
      </c>
      <c r="AL133" s="11" t="s">
        <v>1737</v>
      </c>
      <c r="AM133" s="11" t="s">
        <v>1738</v>
      </c>
      <c r="AN133" s="11" t="s">
        <v>1739</v>
      </c>
      <c r="AO133" s="12" t="s">
        <v>1740</v>
      </c>
    </row>
    <row r="134" customFormat="false" ht="95.5" hidden="false" customHeight="false" outlineLevel="0" collapsed="false">
      <c r="A134" s="10" t="s">
        <v>2098</v>
      </c>
      <c r="B134" s="11" t="s">
        <v>221</v>
      </c>
      <c r="C134" s="11" t="s">
        <v>222</v>
      </c>
      <c r="D134" s="11" t="s">
        <v>210</v>
      </c>
      <c r="E134" s="11" t="s">
        <v>68</v>
      </c>
      <c r="F134" s="11" t="n">
        <v>1</v>
      </c>
      <c r="G134" s="11" t="s">
        <v>2099</v>
      </c>
      <c r="H134" s="11" t="s">
        <v>1990</v>
      </c>
      <c r="I134" s="11" t="s">
        <v>1991</v>
      </c>
      <c r="J134" s="11" t="s">
        <v>1992</v>
      </c>
      <c r="K134" s="11" t="s">
        <v>1725</v>
      </c>
      <c r="L134" s="11" t="s">
        <v>1726</v>
      </c>
      <c r="M134" s="11" t="s">
        <v>1993</v>
      </c>
      <c r="N134" s="11"/>
      <c r="O134" s="11" t="s">
        <v>1165</v>
      </c>
      <c r="P134" s="11" t="s">
        <v>2100</v>
      </c>
      <c r="Q134" s="11" t="s">
        <v>1994</v>
      </c>
      <c r="R134" s="11" t="s">
        <v>1730</v>
      </c>
      <c r="S134" s="11" t="s">
        <v>1731</v>
      </c>
      <c r="T134" s="11"/>
      <c r="U134" s="11"/>
      <c r="V134" s="11" t="s">
        <v>1165</v>
      </c>
      <c r="W134" s="11"/>
      <c r="X134" s="11" t="s">
        <v>1732</v>
      </c>
      <c r="Y134" s="11" t="s">
        <v>1733</v>
      </c>
      <c r="Z134" s="11"/>
      <c r="AA134" s="11"/>
      <c r="AB134" s="11"/>
      <c r="AC134" s="11"/>
      <c r="AD134" s="11"/>
      <c r="AE134" s="11" t="s">
        <v>1734</v>
      </c>
      <c r="AF134" s="11" t="s">
        <v>1165</v>
      </c>
      <c r="AG134" s="11" t="s">
        <v>1165</v>
      </c>
      <c r="AH134" s="11" t="s">
        <v>1735</v>
      </c>
      <c r="AI134" s="11" t="s">
        <v>1396</v>
      </c>
      <c r="AJ134" s="11" t="s">
        <v>1736</v>
      </c>
      <c r="AK134" s="11" t="s">
        <v>308</v>
      </c>
      <c r="AL134" s="11" t="s">
        <v>1737</v>
      </c>
      <c r="AM134" s="11" t="s">
        <v>1738</v>
      </c>
      <c r="AN134" s="11" t="s">
        <v>1739</v>
      </c>
      <c r="AO134" s="12" t="s">
        <v>1740</v>
      </c>
    </row>
    <row r="135" customFormat="false" ht="95.5" hidden="false" customHeight="false" outlineLevel="0" collapsed="false">
      <c r="A135" s="10" t="s">
        <v>2101</v>
      </c>
      <c r="B135" s="11" t="s">
        <v>221</v>
      </c>
      <c r="C135" s="11" t="s">
        <v>222</v>
      </c>
      <c r="D135" s="11" t="s">
        <v>210</v>
      </c>
      <c r="E135" s="11" t="s">
        <v>68</v>
      </c>
      <c r="F135" s="11" t="n">
        <v>2</v>
      </c>
      <c r="G135" s="11" t="s">
        <v>2102</v>
      </c>
      <c r="H135" s="11" t="s">
        <v>2026</v>
      </c>
      <c r="I135" s="11" t="s">
        <v>2027</v>
      </c>
      <c r="J135" s="11" t="s">
        <v>2028</v>
      </c>
      <c r="K135" s="11" t="s">
        <v>1725</v>
      </c>
      <c r="L135" s="11" t="s">
        <v>1726</v>
      </c>
      <c r="M135" s="11" t="s">
        <v>2029</v>
      </c>
      <c r="N135" s="11"/>
      <c r="O135" s="11" t="s">
        <v>1165</v>
      </c>
      <c r="P135" s="11" t="s">
        <v>2100</v>
      </c>
      <c r="Q135" s="11" t="s">
        <v>2030</v>
      </c>
      <c r="R135" s="11" t="s">
        <v>1730</v>
      </c>
      <c r="S135" s="11" t="s">
        <v>1731</v>
      </c>
      <c r="T135" s="11" t="n">
        <v>1</v>
      </c>
      <c r="U135" s="11" t="s">
        <v>2031</v>
      </c>
      <c r="V135" s="11" t="s">
        <v>1770</v>
      </c>
      <c r="W135" s="11" t="n">
        <v>1</v>
      </c>
      <c r="X135" s="11" t="s">
        <v>2032</v>
      </c>
      <c r="Y135" s="11" t="s">
        <v>2033</v>
      </c>
      <c r="Z135" s="11"/>
      <c r="AA135" s="11"/>
      <c r="AB135" s="11"/>
      <c r="AC135" s="11"/>
      <c r="AD135" s="11"/>
      <c r="AE135" s="11" t="s">
        <v>1734</v>
      </c>
      <c r="AF135" s="11" t="s">
        <v>1165</v>
      </c>
      <c r="AG135" s="11" t="s">
        <v>1165</v>
      </c>
      <c r="AH135" s="11" t="s">
        <v>1735</v>
      </c>
      <c r="AI135" s="11" t="s">
        <v>1396</v>
      </c>
      <c r="AJ135" s="11" t="s">
        <v>1736</v>
      </c>
      <c r="AK135" s="11" t="s">
        <v>308</v>
      </c>
      <c r="AL135" s="11" t="s">
        <v>1737</v>
      </c>
      <c r="AM135" s="11" t="s">
        <v>1738</v>
      </c>
      <c r="AN135" s="11" t="s">
        <v>1739</v>
      </c>
      <c r="AO135" s="12" t="s">
        <v>1740</v>
      </c>
    </row>
    <row r="136" customFormat="false" ht="95.5" hidden="false" customHeight="false" outlineLevel="0" collapsed="false">
      <c r="A136" s="10" t="s">
        <v>2103</v>
      </c>
      <c r="B136" s="11" t="s">
        <v>221</v>
      </c>
      <c r="C136" s="11" t="s">
        <v>222</v>
      </c>
      <c r="D136" s="11" t="s">
        <v>210</v>
      </c>
      <c r="E136" s="11" t="s">
        <v>68</v>
      </c>
      <c r="F136" s="11" t="n">
        <v>3</v>
      </c>
      <c r="G136" s="11" t="s">
        <v>2104</v>
      </c>
      <c r="H136" s="11" t="s">
        <v>1990</v>
      </c>
      <c r="I136" s="11" t="s">
        <v>1991</v>
      </c>
      <c r="J136" s="11" t="s">
        <v>1992</v>
      </c>
      <c r="K136" s="11" t="s">
        <v>1725</v>
      </c>
      <c r="L136" s="11" t="s">
        <v>1726</v>
      </c>
      <c r="M136" s="11" t="s">
        <v>1993</v>
      </c>
      <c r="N136" s="11"/>
      <c r="O136" s="11" t="s">
        <v>1165</v>
      </c>
      <c r="P136" s="11" t="s">
        <v>2100</v>
      </c>
      <c r="Q136" s="11" t="s">
        <v>1994</v>
      </c>
      <c r="R136" s="11" t="s">
        <v>1730</v>
      </c>
      <c r="S136" s="11" t="s">
        <v>1731</v>
      </c>
      <c r="T136" s="11"/>
      <c r="U136" s="11"/>
      <c r="V136" s="11" t="s">
        <v>1165</v>
      </c>
      <c r="W136" s="11"/>
      <c r="X136" s="11" t="s">
        <v>1732</v>
      </c>
      <c r="Y136" s="11" t="s">
        <v>1733</v>
      </c>
      <c r="Z136" s="11"/>
      <c r="AA136" s="11"/>
      <c r="AB136" s="11"/>
      <c r="AC136" s="11"/>
      <c r="AD136" s="11"/>
      <c r="AE136" s="11" t="s">
        <v>1734</v>
      </c>
      <c r="AF136" s="11" t="s">
        <v>1165</v>
      </c>
      <c r="AG136" s="11" t="s">
        <v>1165</v>
      </c>
      <c r="AH136" s="11" t="s">
        <v>1735</v>
      </c>
      <c r="AI136" s="11" t="s">
        <v>1396</v>
      </c>
      <c r="AJ136" s="11" t="s">
        <v>1736</v>
      </c>
      <c r="AK136" s="11" t="s">
        <v>308</v>
      </c>
      <c r="AL136" s="11" t="s">
        <v>1737</v>
      </c>
      <c r="AM136" s="11" t="s">
        <v>1738</v>
      </c>
      <c r="AN136" s="11" t="s">
        <v>1739</v>
      </c>
      <c r="AO136" s="12" t="s">
        <v>1740</v>
      </c>
    </row>
    <row r="137" customFormat="false" ht="95.5" hidden="false" customHeight="false" outlineLevel="0" collapsed="false">
      <c r="A137" s="10" t="s">
        <v>2105</v>
      </c>
      <c r="B137" s="11" t="s">
        <v>221</v>
      </c>
      <c r="C137" s="11" t="s">
        <v>222</v>
      </c>
      <c r="D137" s="11" t="s">
        <v>210</v>
      </c>
      <c r="E137" s="11" t="s">
        <v>68</v>
      </c>
      <c r="F137" s="11" t="n">
        <v>4</v>
      </c>
      <c r="G137" s="11" t="s">
        <v>2106</v>
      </c>
      <c r="H137" s="11" t="s">
        <v>1990</v>
      </c>
      <c r="I137" s="11" t="s">
        <v>1991</v>
      </c>
      <c r="J137" s="11" t="s">
        <v>1992</v>
      </c>
      <c r="K137" s="11" t="s">
        <v>1725</v>
      </c>
      <c r="L137" s="11" t="s">
        <v>1726</v>
      </c>
      <c r="M137" s="11" t="s">
        <v>1993</v>
      </c>
      <c r="N137" s="11"/>
      <c r="O137" s="11" t="s">
        <v>1165</v>
      </c>
      <c r="P137" s="11" t="s">
        <v>2100</v>
      </c>
      <c r="Q137" s="11" t="s">
        <v>1994</v>
      </c>
      <c r="R137" s="11" t="s">
        <v>1730</v>
      </c>
      <c r="S137" s="11" t="s">
        <v>1731</v>
      </c>
      <c r="T137" s="11"/>
      <c r="U137" s="11"/>
      <c r="V137" s="11" t="s">
        <v>1165</v>
      </c>
      <c r="W137" s="11"/>
      <c r="X137" s="11" t="s">
        <v>1732</v>
      </c>
      <c r="Y137" s="11" t="s">
        <v>1733</v>
      </c>
      <c r="Z137" s="11"/>
      <c r="AA137" s="11"/>
      <c r="AB137" s="11"/>
      <c r="AC137" s="11"/>
      <c r="AD137" s="11"/>
      <c r="AE137" s="11" t="s">
        <v>1734</v>
      </c>
      <c r="AF137" s="11" t="s">
        <v>1165</v>
      </c>
      <c r="AG137" s="11" t="s">
        <v>1165</v>
      </c>
      <c r="AH137" s="11" t="s">
        <v>1735</v>
      </c>
      <c r="AI137" s="11" t="s">
        <v>1396</v>
      </c>
      <c r="AJ137" s="11" t="s">
        <v>1736</v>
      </c>
      <c r="AK137" s="11" t="s">
        <v>308</v>
      </c>
      <c r="AL137" s="11" t="s">
        <v>1737</v>
      </c>
      <c r="AM137" s="11" t="s">
        <v>1738</v>
      </c>
      <c r="AN137" s="11" t="s">
        <v>1739</v>
      </c>
      <c r="AO137" s="12" t="s">
        <v>1740</v>
      </c>
    </row>
    <row r="138" customFormat="false" ht="95.5" hidden="false" customHeight="false" outlineLevel="0" collapsed="false">
      <c r="A138" s="10" t="s">
        <v>2107</v>
      </c>
      <c r="B138" s="11" t="s">
        <v>221</v>
      </c>
      <c r="C138" s="11" t="s">
        <v>222</v>
      </c>
      <c r="D138" s="11" t="s">
        <v>210</v>
      </c>
      <c r="E138" s="11" t="s">
        <v>68</v>
      </c>
      <c r="F138" s="11" t="n">
        <v>5</v>
      </c>
      <c r="G138" s="11" t="s">
        <v>1933</v>
      </c>
      <c r="H138" s="11" t="s">
        <v>1990</v>
      </c>
      <c r="I138" s="11" t="s">
        <v>1991</v>
      </c>
      <c r="J138" s="11" t="s">
        <v>1992</v>
      </c>
      <c r="K138" s="11" t="s">
        <v>1725</v>
      </c>
      <c r="L138" s="11" t="s">
        <v>1726</v>
      </c>
      <c r="M138" s="11" t="s">
        <v>1993</v>
      </c>
      <c r="N138" s="11"/>
      <c r="O138" s="11" t="s">
        <v>1165</v>
      </c>
      <c r="P138" s="11" t="s">
        <v>2100</v>
      </c>
      <c r="Q138" s="11" t="s">
        <v>1994</v>
      </c>
      <c r="R138" s="11" t="s">
        <v>1730</v>
      </c>
      <c r="S138" s="11" t="s">
        <v>1731</v>
      </c>
      <c r="T138" s="11"/>
      <c r="U138" s="11"/>
      <c r="V138" s="11" t="s">
        <v>1165</v>
      </c>
      <c r="W138" s="11"/>
      <c r="X138" s="11" t="s">
        <v>1732</v>
      </c>
      <c r="Y138" s="11" t="s">
        <v>1733</v>
      </c>
      <c r="Z138" s="11"/>
      <c r="AA138" s="11"/>
      <c r="AB138" s="11"/>
      <c r="AC138" s="11"/>
      <c r="AD138" s="11"/>
      <c r="AE138" s="11" t="s">
        <v>1734</v>
      </c>
      <c r="AF138" s="11" t="s">
        <v>1165</v>
      </c>
      <c r="AG138" s="11" t="s">
        <v>1165</v>
      </c>
      <c r="AH138" s="11" t="s">
        <v>1735</v>
      </c>
      <c r="AI138" s="11" t="s">
        <v>1396</v>
      </c>
      <c r="AJ138" s="11" t="s">
        <v>1736</v>
      </c>
      <c r="AK138" s="11" t="s">
        <v>308</v>
      </c>
      <c r="AL138" s="11" t="s">
        <v>1737</v>
      </c>
      <c r="AM138" s="11" t="s">
        <v>1738</v>
      </c>
      <c r="AN138" s="11" t="s">
        <v>1739</v>
      </c>
      <c r="AO138" s="12" t="s">
        <v>1740</v>
      </c>
    </row>
    <row r="139" customFormat="false" ht="95.5" hidden="false" customHeight="false" outlineLevel="0" collapsed="false">
      <c r="A139" s="10" t="s">
        <v>2108</v>
      </c>
      <c r="B139" s="11" t="s">
        <v>252</v>
      </c>
      <c r="C139" s="11" t="s">
        <v>254</v>
      </c>
      <c r="D139" s="11" t="s">
        <v>253</v>
      </c>
      <c r="E139" s="11" t="s">
        <v>68</v>
      </c>
      <c r="F139" s="11" t="n">
        <v>1</v>
      </c>
      <c r="G139" s="11" t="s">
        <v>2109</v>
      </c>
      <c r="H139" s="11" t="s">
        <v>2110</v>
      </c>
      <c r="I139" s="11" t="s">
        <v>2111</v>
      </c>
      <c r="J139" s="11" t="s">
        <v>2112</v>
      </c>
      <c r="K139" s="11" t="s">
        <v>1725</v>
      </c>
      <c r="L139" s="11" t="s">
        <v>1726</v>
      </c>
      <c r="M139" s="11" t="s">
        <v>2113</v>
      </c>
      <c r="N139" s="11"/>
      <c r="O139" s="11" t="s">
        <v>1165</v>
      </c>
      <c r="P139" s="11" t="s">
        <v>2114</v>
      </c>
      <c r="Q139" s="11" t="s">
        <v>2115</v>
      </c>
      <c r="R139" s="11" t="s">
        <v>1730</v>
      </c>
      <c r="S139" s="11" t="s">
        <v>1731</v>
      </c>
      <c r="T139" s="11"/>
      <c r="U139" s="11"/>
      <c r="V139" s="11" t="s">
        <v>1165</v>
      </c>
      <c r="W139" s="11"/>
      <c r="X139" s="11" t="s">
        <v>1732</v>
      </c>
      <c r="Y139" s="11" t="s">
        <v>1733</v>
      </c>
      <c r="Z139" s="11"/>
      <c r="AA139" s="11"/>
      <c r="AB139" s="11"/>
      <c r="AC139" s="11"/>
      <c r="AD139" s="11"/>
      <c r="AE139" s="11" t="s">
        <v>1734</v>
      </c>
      <c r="AF139" s="11" t="s">
        <v>1165</v>
      </c>
      <c r="AG139" s="11" t="s">
        <v>1165</v>
      </c>
      <c r="AH139" s="11" t="s">
        <v>1735</v>
      </c>
      <c r="AI139" s="11" t="s">
        <v>1396</v>
      </c>
      <c r="AJ139" s="11" t="s">
        <v>1736</v>
      </c>
      <c r="AK139" s="11" t="s">
        <v>308</v>
      </c>
      <c r="AL139" s="11" t="s">
        <v>1737</v>
      </c>
      <c r="AM139" s="11" t="s">
        <v>1738</v>
      </c>
      <c r="AN139" s="11" t="s">
        <v>1739</v>
      </c>
      <c r="AO139" s="12" t="s">
        <v>1740</v>
      </c>
    </row>
    <row r="140" customFormat="false" ht="95.5" hidden="false" customHeight="false" outlineLevel="0" collapsed="false">
      <c r="A140" s="10" t="s">
        <v>2116</v>
      </c>
      <c r="B140" s="11" t="s">
        <v>252</v>
      </c>
      <c r="C140" s="11" t="s">
        <v>254</v>
      </c>
      <c r="D140" s="11" t="s">
        <v>253</v>
      </c>
      <c r="E140" s="11" t="s">
        <v>68</v>
      </c>
      <c r="F140" s="11" t="n">
        <v>2</v>
      </c>
      <c r="G140" s="11" t="s">
        <v>1831</v>
      </c>
      <c r="H140" s="11" t="s">
        <v>2117</v>
      </c>
      <c r="I140" s="11" t="s">
        <v>2118</v>
      </c>
      <c r="J140" s="11" t="s">
        <v>2119</v>
      </c>
      <c r="K140" s="11" t="s">
        <v>1725</v>
      </c>
      <c r="L140" s="11" t="s">
        <v>1726</v>
      </c>
      <c r="M140" s="11" t="s">
        <v>2120</v>
      </c>
      <c r="N140" s="11"/>
      <c r="O140" s="11" t="s">
        <v>1165</v>
      </c>
      <c r="P140" s="11" t="s">
        <v>2114</v>
      </c>
      <c r="Q140" s="11" t="s">
        <v>2121</v>
      </c>
      <c r="R140" s="11" t="s">
        <v>1730</v>
      </c>
      <c r="S140" s="11" t="s">
        <v>1731</v>
      </c>
      <c r="T140" s="11"/>
      <c r="U140" s="11"/>
      <c r="V140" s="11" t="s">
        <v>1165</v>
      </c>
      <c r="W140" s="11"/>
      <c r="X140" s="11" t="s">
        <v>1732</v>
      </c>
      <c r="Y140" s="11" t="s">
        <v>1733</v>
      </c>
      <c r="Z140" s="11"/>
      <c r="AA140" s="11"/>
      <c r="AB140" s="11"/>
      <c r="AC140" s="11"/>
      <c r="AD140" s="11"/>
      <c r="AE140" s="11" t="s">
        <v>1734</v>
      </c>
      <c r="AF140" s="11" t="s">
        <v>1165</v>
      </c>
      <c r="AG140" s="11" t="s">
        <v>1165</v>
      </c>
      <c r="AH140" s="11" t="s">
        <v>1735</v>
      </c>
      <c r="AI140" s="11" t="s">
        <v>1396</v>
      </c>
      <c r="AJ140" s="11" t="s">
        <v>1736</v>
      </c>
      <c r="AK140" s="11" t="s">
        <v>308</v>
      </c>
      <c r="AL140" s="11" t="s">
        <v>1737</v>
      </c>
      <c r="AM140" s="11" t="s">
        <v>1738</v>
      </c>
      <c r="AN140" s="11" t="s">
        <v>1739</v>
      </c>
      <c r="AO140" s="12" t="s">
        <v>1740</v>
      </c>
    </row>
    <row r="141" customFormat="false" ht="95.5" hidden="false" customHeight="false" outlineLevel="0" collapsed="false">
      <c r="A141" s="10" t="s">
        <v>2122</v>
      </c>
      <c r="B141" s="11" t="s">
        <v>252</v>
      </c>
      <c r="C141" s="11" t="s">
        <v>254</v>
      </c>
      <c r="D141" s="11" t="s">
        <v>253</v>
      </c>
      <c r="E141" s="11" t="s">
        <v>68</v>
      </c>
      <c r="F141" s="11" t="n">
        <v>3</v>
      </c>
      <c r="G141" s="11" t="s">
        <v>2123</v>
      </c>
      <c r="H141" s="11" t="s">
        <v>2124</v>
      </c>
      <c r="I141" s="11" t="s">
        <v>2125</v>
      </c>
      <c r="J141" s="11" t="s">
        <v>2126</v>
      </c>
      <c r="K141" s="11" t="s">
        <v>1725</v>
      </c>
      <c r="L141" s="11" t="s">
        <v>1726</v>
      </c>
      <c r="M141" s="11" t="s">
        <v>2127</v>
      </c>
      <c r="N141" s="11"/>
      <c r="O141" s="11" t="s">
        <v>1165</v>
      </c>
      <c r="P141" s="11" t="s">
        <v>2114</v>
      </c>
      <c r="Q141" s="11" t="s">
        <v>2128</v>
      </c>
      <c r="R141" s="11" t="s">
        <v>1730</v>
      </c>
      <c r="S141" s="11" t="s">
        <v>1731</v>
      </c>
      <c r="T141" s="11"/>
      <c r="U141" s="11"/>
      <c r="V141" s="11" t="s">
        <v>1165</v>
      </c>
      <c r="W141" s="11"/>
      <c r="X141" s="11" t="s">
        <v>1732</v>
      </c>
      <c r="Y141" s="11" t="s">
        <v>1733</v>
      </c>
      <c r="Z141" s="11"/>
      <c r="AA141" s="11"/>
      <c r="AB141" s="11"/>
      <c r="AC141" s="11"/>
      <c r="AD141" s="11"/>
      <c r="AE141" s="11" t="s">
        <v>1734</v>
      </c>
      <c r="AF141" s="11" t="s">
        <v>1165</v>
      </c>
      <c r="AG141" s="11" t="s">
        <v>1165</v>
      </c>
      <c r="AH141" s="11" t="s">
        <v>1735</v>
      </c>
      <c r="AI141" s="11" t="s">
        <v>1396</v>
      </c>
      <c r="AJ141" s="11" t="s">
        <v>1736</v>
      </c>
      <c r="AK141" s="11" t="s">
        <v>308</v>
      </c>
      <c r="AL141" s="11" t="s">
        <v>1737</v>
      </c>
      <c r="AM141" s="11" t="s">
        <v>1738</v>
      </c>
      <c r="AN141" s="11" t="s">
        <v>1739</v>
      </c>
      <c r="AO141" s="12" t="s">
        <v>1740</v>
      </c>
    </row>
    <row r="142" customFormat="false" ht="95.5" hidden="false" customHeight="false" outlineLevel="0" collapsed="false">
      <c r="A142" s="10" t="s">
        <v>2129</v>
      </c>
      <c r="B142" s="11" t="s">
        <v>252</v>
      </c>
      <c r="C142" s="11" t="s">
        <v>254</v>
      </c>
      <c r="D142" s="11" t="s">
        <v>253</v>
      </c>
      <c r="E142" s="11" t="s">
        <v>68</v>
      </c>
      <c r="F142" s="11" t="n">
        <v>4</v>
      </c>
      <c r="G142" s="11" t="s">
        <v>2130</v>
      </c>
      <c r="H142" s="11" t="s">
        <v>1873</v>
      </c>
      <c r="I142" s="11" t="s">
        <v>1874</v>
      </c>
      <c r="J142" s="11" t="s">
        <v>1875</v>
      </c>
      <c r="K142" s="11" t="s">
        <v>1725</v>
      </c>
      <c r="L142" s="11" t="s">
        <v>1726</v>
      </c>
      <c r="M142" s="11" t="s">
        <v>2131</v>
      </c>
      <c r="N142" s="11"/>
      <c r="O142" s="11" t="s">
        <v>1165</v>
      </c>
      <c r="P142" s="11" t="s">
        <v>2114</v>
      </c>
      <c r="Q142" s="11" t="s">
        <v>1877</v>
      </c>
      <c r="R142" s="11" t="s">
        <v>1730</v>
      </c>
      <c r="S142" s="11" t="s">
        <v>1731</v>
      </c>
      <c r="T142" s="11"/>
      <c r="U142" s="11"/>
      <c r="V142" s="11" t="s">
        <v>1165</v>
      </c>
      <c r="W142" s="11"/>
      <c r="X142" s="11" t="s">
        <v>1732</v>
      </c>
      <c r="Y142" s="11" t="s">
        <v>1733</v>
      </c>
      <c r="Z142" s="11"/>
      <c r="AA142" s="11"/>
      <c r="AB142" s="11"/>
      <c r="AC142" s="11"/>
      <c r="AD142" s="11"/>
      <c r="AE142" s="11" t="s">
        <v>1734</v>
      </c>
      <c r="AF142" s="11" t="s">
        <v>1165</v>
      </c>
      <c r="AG142" s="11" t="s">
        <v>1165</v>
      </c>
      <c r="AH142" s="11" t="s">
        <v>1735</v>
      </c>
      <c r="AI142" s="11" t="s">
        <v>1396</v>
      </c>
      <c r="AJ142" s="11" t="s">
        <v>1736</v>
      </c>
      <c r="AK142" s="11" t="s">
        <v>308</v>
      </c>
      <c r="AL142" s="11" t="s">
        <v>1737</v>
      </c>
      <c r="AM142" s="11" t="s">
        <v>1738</v>
      </c>
      <c r="AN142" s="11" t="s">
        <v>1739</v>
      </c>
      <c r="AO142" s="12" t="s">
        <v>1740</v>
      </c>
    </row>
    <row r="143" customFormat="false" ht="95.5" hidden="false" customHeight="false" outlineLevel="0" collapsed="false">
      <c r="A143" s="10" t="s">
        <v>2132</v>
      </c>
      <c r="B143" s="11" t="s">
        <v>252</v>
      </c>
      <c r="C143" s="11" t="s">
        <v>254</v>
      </c>
      <c r="D143" s="11" t="s">
        <v>253</v>
      </c>
      <c r="E143" s="11" t="s">
        <v>68</v>
      </c>
      <c r="F143" s="11" t="n">
        <v>5</v>
      </c>
      <c r="G143" s="11" t="s">
        <v>2133</v>
      </c>
      <c r="H143" s="11" t="s">
        <v>2134</v>
      </c>
      <c r="I143" s="11" t="s">
        <v>2135</v>
      </c>
      <c r="J143" s="11" t="s">
        <v>2136</v>
      </c>
      <c r="K143" s="11" t="s">
        <v>1725</v>
      </c>
      <c r="L143" s="11" t="s">
        <v>1726</v>
      </c>
      <c r="M143" s="11" t="s">
        <v>1746</v>
      </c>
      <c r="N143" s="11"/>
      <c r="O143" s="11" t="s">
        <v>1165</v>
      </c>
      <c r="P143" s="11" t="s">
        <v>2114</v>
      </c>
      <c r="Q143" s="11" t="s">
        <v>2137</v>
      </c>
      <c r="R143" s="11" t="s">
        <v>1730</v>
      </c>
      <c r="S143" s="11" t="s">
        <v>1731</v>
      </c>
      <c r="T143" s="11"/>
      <c r="U143" s="11"/>
      <c r="V143" s="11" t="s">
        <v>1165</v>
      </c>
      <c r="W143" s="11"/>
      <c r="X143" s="11" t="s">
        <v>1732</v>
      </c>
      <c r="Y143" s="11" t="s">
        <v>1733</v>
      </c>
      <c r="Z143" s="11"/>
      <c r="AA143" s="11"/>
      <c r="AB143" s="11"/>
      <c r="AC143" s="11"/>
      <c r="AD143" s="11"/>
      <c r="AE143" s="11" t="s">
        <v>1734</v>
      </c>
      <c r="AF143" s="11" t="s">
        <v>1165</v>
      </c>
      <c r="AG143" s="11" t="s">
        <v>1165</v>
      </c>
      <c r="AH143" s="11" t="s">
        <v>1735</v>
      </c>
      <c r="AI143" s="11" t="s">
        <v>1396</v>
      </c>
      <c r="AJ143" s="11" t="s">
        <v>1736</v>
      </c>
      <c r="AK143" s="11" t="s">
        <v>308</v>
      </c>
      <c r="AL143" s="11" t="s">
        <v>1737</v>
      </c>
      <c r="AM143" s="11" t="s">
        <v>1738</v>
      </c>
      <c r="AN143" s="11" t="s">
        <v>1739</v>
      </c>
      <c r="AO143" s="12" t="s">
        <v>1740</v>
      </c>
    </row>
    <row r="144" customFormat="false" ht="95.5" hidden="false" customHeight="false" outlineLevel="0" collapsed="false">
      <c r="A144" s="10" t="s">
        <v>2138</v>
      </c>
      <c r="B144" s="11" t="s">
        <v>252</v>
      </c>
      <c r="C144" s="11" t="s">
        <v>254</v>
      </c>
      <c r="D144" s="11" t="s">
        <v>253</v>
      </c>
      <c r="E144" s="11" t="s">
        <v>68</v>
      </c>
      <c r="F144" s="11" t="n">
        <v>6</v>
      </c>
      <c r="G144" s="11" t="s">
        <v>2139</v>
      </c>
      <c r="H144" s="11" t="s">
        <v>1873</v>
      </c>
      <c r="I144" s="11" t="s">
        <v>1874</v>
      </c>
      <c r="J144" s="11" t="s">
        <v>1875</v>
      </c>
      <c r="K144" s="11" t="s">
        <v>1725</v>
      </c>
      <c r="L144" s="11" t="s">
        <v>1726</v>
      </c>
      <c r="M144" s="11" t="s">
        <v>2131</v>
      </c>
      <c r="N144" s="11"/>
      <c r="O144" s="11" t="s">
        <v>1165</v>
      </c>
      <c r="P144" s="11" t="s">
        <v>2114</v>
      </c>
      <c r="Q144" s="11" t="s">
        <v>1877</v>
      </c>
      <c r="R144" s="11" t="s">
        <v>1730</v>
      </c>
      <c r="S144" s="11" t="s">
        <v>1731</v>
      </c>
      <c r="T144" s="11"/>
      <c r="U144" s="11"/>
      <c r="V144" s="11" t="s">
        <v>1165</v>
      </c>
      <c r="W144" s="11"/>
      <c r="X144" s="11" t="s">
        <v>1732</v>
      </c>
      <c r="Y144" s="11" t="s">
        <v>1733</v>
      </c>
      <c r="Z144" s="11"/>
      <c r="AA144" s="11"/>
      <c r="AB144" s="11"/>
      <c r="AC144" s="11"/>
      <c r="AD144" s="11"/>
      <c r="AE144" s="11" t="s">
        <v>1734</v>
      </c>
      <c r="AF144" s="11" t="s">
        <v>1165</v>
      </c>
      <c r="AG144" s="11" t="s">
        <v>1165</v>
      </c>
      <c r="AH144" s="11" t="s">
        <v>1735</v>
      </c>
      <c r="AI144" s="11" t="s">
        <v>1396</v>
      </c>
      <c r="AJ144" s="11" t="s">
        <v>1736</v>
      </c>
      <c r="AK144" s="11" t="s">
        <v>308</v>
      </c>
      <c r="AL144" s="11" t="s">
        <v>1737</v>
      </c>
      <c r="AM144" s="11" t="s">
        <v>1738</v>
      </c>
      <c r="AN144" s="11" t="s">
        <v>1739</v>
      </c>
      <c r="AO144" s="12" t="s">
        <v>1740</v>
      </c>
    </row>
    <row r="145" customFormat="false" ht="95.5" hidden="false" customHeight="false" outlineLevel="0" collapsed="false">
      <c r="A145" s="10" t="s">
        <v>2140</v>
      </c>
      <c r="B145" s="11" t="s">
        <v>252</v>
      </c>
      <c r="C145" s="11" t="s">
        <v>254</v>
      </c>
      <c r="D145" s="11" t="s">
        <v>253</v>
      </c>
      <c r="E145" s="11" t="s">
        <v>68</v>
      </c>
      <c r="F145" s="11" t="n">
        <v>7</v>
      </c>
      <c r="G145" s="11" t="s">
        <v>2141</v>
      </c>
      <c r="H145" s="11" t="s">
        <v>1873</v>
      </c>
      <c r="I145" s="11" t="s">
        <v>1874</v>
      </c>
      <c r="J145" s="11" t="s">
        <v>1875</v>
      </c>
      <c r="K145" s="11" t="s">
        <v>1725</v>
      </c>
      <c r="L145" s="11" t="s">
        <v>1726</v>
      </c>
      <c r="M145" s="11" t="s">
        <v>2131</v>
      </c>
      <c r="N145" s="11"/>
      <c r="O145" s="11" t="s">
        <v>1165</v>
      </c>
      <c r="P145" s="11" t="s">
        <v>2114</v>
      </c>
      <c r="Q145" s="11" t="s">
        <v>1877</v>
      </c>
      <c r="R145" s="11" t="s">
        <v>1730</v>
      </c>
      <c r="S145" s="11" t="s">
        <v>1731</v>
      </c>
      <c r="T145" s="11"/>
      <c r="U145" s="11"/>
      <c r="V145" s="11" t="s">
        <v>1165</v>
      </c>
      <c r="W145" s="11"/>
      <c r="X145" s="11" t="s">
        <v>1732</v>
      </c>
      <c r="Y145" s="11" t="s">
        <v>1733</v>
      </c>
      <c r="Z145" s="11"/>
      <c r="AA145" s="11"/>
      <c r="AB145" s="11"/>
      <c r="AC145" s="11"/>
      <c r="AD145" s="11"/>
      <c r="AE145" s="11" t="s">
        <v>1734</v>
      </c>
      <c r="AF145" s="11" t="s">
        <v>1165</v>
      </c>
      <c r="AG145" s="11" t="s">
        <v>1165</v>
      </c>
      <c r="AH145" s="11" t="s">
        <v>1735</v>
      </c>
      <c r="AI145" s="11" t="s">
        <v>1396</v>
      </c>
      <c r="AJ145" s="11" t="s">
        <v>1736</v>
      </c>
      <c r="AK145" s="11" t="s">
        <v>308</v>
      </c>
      <c r="AL145" s="11" t="s">
        <v>1737</v>
      </c>
      <c r="AM145" s="11" t="s">
        <v>1738</v>
      </c>
      <c r="AN145" s="11" t="s">
        <v>1739</v>
      </c>
      <c r="AO145" s="12" t="s">
        <v>1740</v>
      </c>
    </row>
    <row r="146" customFormat="false" ht="95.5" hidden="false" customHeight="false" outlineLevel="0" collapsed="false">
      <c r="A146" s="10" t="s">
        <v>2142</v>
      </c>
      <c r="B146" s="11" t="s">
        <v>261</v>
      </c>
      <c r="C146" s="11" t="s">
        <v>262</v>
      </c>
      <c r="D146" s="11" t="s">
        <v>253</v>
      </c>
      <c r="E146" s="11" t="s">
        <v>68</v>
      </c>
      <c r="F146" s="11" t="n">
        <v>1</v>
      </c>
      <c r="G146" s="11" t="s">
        <v>2143</v>
      </c>
      <c r="H146" s="11" t="s">
        <v>2144</v>
      </c>
      <c r="I146" s="11" t="s">
        <v>2145</v>
      </c>
      <c r="J146" s="11" t="s">
        <v>2146</v>
      </c>
      <c r="K146" s="11" t="s">
        <v>1725</v>
      </c>
      <c r="L146" s="11" t="s">
        <v>1726</v>
      </c>
      <c r="M146" s="11" t="s">
        <v>2147</v>
      </c>
      <c r="N146" s="11"/>
      <c r="O146" s="11" t="s">
        <v>1165</v>
      </c>
      <c r="P146" s="11" t="s">
        <v>2148</v>
      </c>
      <c r="Q146" s="11" t="s">
        <v>2149</v>
      </c>
      <c r="R146" s="11" t="s">
        <v>1730</v>
      </c>
      <c r="S146" s="11" t="s">
        <v>1731</v>
      </c>
      <c r="T146" s="11"/>
      <c r="U146" s="11"/>
      <c r="V146" s="11" t="s">
        <v>1165</v>
      </c>
      <c r="W146" s="11"/>
      <c r="X146" s="11" t="s">
        <v>1732</v>
      </c>
      <c r="Y146" s="11" t="s">
        <v>1733</v>
      </c>
      <c r="Z146" s="11"/>
      <c r="AA146" s="11"/>
      <c r="AB146" s="11"/>
      <c r="AC146" s="11"/>
      <c r="AD146" s="11"/>
      <c r="AE146" s="11" t="s">
        <v>1734</v>
      </c>
      <c r="AF146" s="11" t="s">
        <v>1165</v>
      </c>
      <c r="AG146" s="11" t="s">
        <v>1165</v>
      </c>
      <c r="AH146" s="11" t="s">
        <v>1735</v>
      </c>
      <c r="AI146" s="11" t="s">
        <v>1396</v>
      </c>
      <c r="AJ146" s="11" t="s">
        <v>1736</v>
      </c>
      <c r="AK146" s="11" t="s">
        <v>308</v>
      </c>
      <c r="AL146" s="11" t="s">
        <v>1737</v>
      </c>
      <c r="AM146" s="11" t="s">
        <v>1738</v>
      </c>
      <c r="AN146" s="11" t="s">
        <v>1739</v>
      </c>
      <c r="AO146" s="12" t="s">
        <v>1740</v>
      </c>
    </row>
    <row r="147" customFormat="false" ht="95.5" hidden="false" customHeight="false" outlineLevel="0" collapsed="false">
      <c r="A147" s="10" t="s">
        <v>2150</v>
      </c>
      <c r="B147" s="11" t="s">
        <v>261</v>
      </c>
      <c r="C147" s="11" t="s">
        <v>262</v>
      </c>
      <c r="D147" s="11" t="s">
        <v>253</v>
      </c>
      <c r="E147" s="11" t="s">
        <v>68</v>
      </c>
      <c r="F147" s="11" t="n">
        <v>2</v>
      </c>
      <c r="G147" s="11" t="s">
        <v>1831</v>
      </c>
      <c r="H147" s="11" t="s">
        <v>2117</v>
      </c>
      <c r="I147" s="11" t="s">
        <v>2118</v>
      </c>
      <c r="J147" s="11" t="s">
        <v>2119</v>
      </c>
      <c r="K147" s="11" t="s">
        <v>1725</v>
      </c>
      <c r="L147" s="11" t="s">
        <v>1726</v>
      </c>
      <c r="M147" s="11" t="s">
        <v>2120</v>
      </c>
      <c r="N147" s="11"/>
      <c r="O147" s="11" t="s">
        <v>1165</v>
      </c>
      <c r="P147" s="11" t="s">
        <v>2148</v>
      </c>
      <c r="Q147" s="11" t="s">
        <v>2121</v>
      </c>
      <c r="R147" s="11" t="s">
        <v>1730</v>
      </c>
      <c r="S147" s="11" t="s">
        <v>1731</v>
      </c>
      <c r="T147" s="11"/>
      <c r="U147" s="11"/>
      <c r="V147" s="11" t="s">
        <v>1165</v>
      </c>
      <c r="W147" s="11"/>
      <c r="X147" s="11" t="s">
        <v>1732</v>
      </c>
      <c r="Y147" s="11" t="s">
        <v>1733</v>
      </c>
      <c r="Z147" s="11"/>
      <c r="AA147" s="11"/>
      <c r="AB147" s="11"/>
      <c r="AC147" s="11"/>
      <c r="AD147" s="11"/>
      <c r="AE147" s="11" t="s">
        <v>1734</v>
      </c>
      <c r="AF147" s="11" t="s">
        <v>1165</v>
      </c>
      <c r="AG147" s="11" t="s">
        <v>1165</v>
      </c>
      <c r="AH147" s="11" t="s">
        <v>1735</v>
      </c>
      <c r="AI147" s="11" t="s">
        <v>1396</v>
      </c>
      <c r="AJ147" s="11" t="s">
        <v>1736</v>
      </c>
      <c r="AK147" s="11" t="s">
        <v>308</v>
      </c>
      <c r="AL147" s="11" t="s">
        <v>1737</v>
      </c>
      <c r="AM147" s="11" t="s">
        <v>1738</v>
      </c>
      <c r="AN147" s="11" t="s">
        <v>1739</v>
      </c>
      <c r="AO147" s="12" t="s">
        <v>1740</v>
      </c>
    </row>
    <row r="148" customFormat="false" ht="95.5" hidden="false" customHeight="false" outlineLevel="0" collapsed="false">
      <c r="A148" s="10" t="s">
        <v>2151</v>
      </c>
      <c r="B148" s="11" t="s">
        <v>261</v>
      </c>
      <c r="C148" s="11" t="s">
        <v>262</v>
      </c>
      <c r="D148" s="11" t="s">
        <v>253</v>
      </c>
      <c r="E148" s="11" t="s">
        <v>68</v>
      </c>
      <c r="F148" s="11" t="n">
        <v>3</v>
      </c>
      <c r="G148" s="11" t="s">
        <v>2152</v>
      </c>
      <c r="H148" s="11" t="s">
        <v>2153</v>
      </c>
      <c r="I148" s="11" t="s">
        <v>2154</v>
      </c>
      <c r="J148" s="11" t="s">
        <v>2155</v>
      </c>
      <c r="K148" s="11" t="s">
        <v>1725</v>
      </c>
      <c r="L148" s="11" t="s">
        <v>1726</v>
      </c>
      <c r="M148" s="11" t="s">
        <v>1767</v>
      </c>
      <c r="N148" s="11"/>
      <c r="O148" s="11" t="s">
        <v>1165</v>
      </c>
      <c r="P148" s="11" t="s">
        <v>2148</v>
      </c>
      <c r="Q148" s="11" t="s">
        <v>2156</v>
      </c>
      <c r="R148" s="11" t="s">
        <v>1730</v>
      </c>
      <c r="S148" s="11" t="s">
        <v>1731</v>
      </c>
      <c r="T148" s="11"/>
      <c r="U148" s="11"/>
      <c r="V148" s="11" t="s">
        <v>1165</v>
      </c>
      <c r="W148" s="11"/>
      <c r="X148" s="11" t="s">
        <v>1732</v>
      </c>
      <c r="Y148" s="11" t="s">
        <v>1733</v>
      </c>
      <c r="Z148" s="11"/>
      <c r="AA148" s="11"/>
      <c r="AB148" s="11"/>
      <c r="AC148" s="11"/>
      <c r="AD148" s="11"/>
      <c r="AE148" s="11" t="s">
        <v>1734</v>
      </c>
      <c r="AF148" s="11" t="s">
        <v>1165</v>
      </c>
      <c r="AG148" s="11" t="s">
        <v>1165</v>
      </c>
      <c r="AH148" s="11" t="s">
        <v>1735</v>
      </c>
      <c r="AI148" s="11" t="s">
        <v>1396</v>
      </c>
      <c r="AJ148" s="11" t="s">
        <v>1736</v>
      </c>
      <c r="AK148" s="11" t="s">
        <v>308</v>
      </c>
      <c r="AL148" s="11" t="s">
        <v>1737</v>
      </c>
      <c r="AM148" s="11" t="s">
        <v>1738</v>
      </c>
      <c r="AN148" s="11" t="s">
        <v>1739</v>
      </c>
      <c r="AO148" s="12" t="s">
        <v>1740</v>
      </c>
    </row>
    <row r="149" customFormat="false" ht="95.5" hidden="false" customHeight="false" outlineLevel="0" collapsed="false">
      <c r="A149" s="10" t="s">
        <v>2157</v>
      </c>
      <c r="B149" s="11" t="s">
        <v>261</v>
      </c>
      <c r="C149" s="11" t="s">
        <v>262</v>
      </c>
      <c r="D149" s="11" t="s">
        <v>253</v>
      </c>
      <c r="E149" s="11" t="s">
        <v>68</v>
      </c>
      <c r="F149" s="11" t="n">
        <v>4</v>
      </c>
      <c r="G149" s="11" t="s">
        <v>2158</v>
      </c>
      <c r="H149" s="11" t="s">
        <v>2124</v>
      </c>
      <c r="I149" s="11" t="s">
        <v>2125</v>
      </c>
      <c r="J149" s="11" t="s">
        <v>2126</v>
      </c>
      <c r="K149" s="11" t="s">
        <v>1725</v>
      </c>
      <c r="L149" s="11" t="s">
        <v>1726</v>
      </c>
      <c r="M149" s="11" t="s">
        <v>2127</v>
      </c>
      <c r="N149" s="11"/>
      <c r="O149" s="11" t="s">
        <v>1165</v>
      </c>
      <c r="P149" s="11" t="s">
        <v>2148</v>
      </c>
      <c r="Q149" s="11" t="s">
        <v>2128</v>
      </c>
      <c r="R149" s="11" t="s">
        <v>1730</v>
      </c>
      <c r="S149" s="11" t="s">
        <v>1731</v>
      </c>
      <c r="T149" s="11"/>
      <c r="U149" s="11"/>
      <c r="V149" s="11" t="s">
        <v>1165</v>
      </c>
      <c r="W149" s="11"/>
      <c r="X149" s="11" t="s">
        <v>1732</v>
      </c>
      <c r="Y149" s="11" t="s">
        <v>1733</v>
      </c>
      <c r="Z149" s="11"/>
      <c r="AA149" s="11"/>
      <c r="AB149" s="11"/>
      <c r="AC149" s="11"/>
      <c r="AD149" s="11"/>
      <c r="AE149" s="11" t="s">
        <v>1734</v>
      </c>
      <c r="AF149" s="11" t="s">
        <v>1165</v>
      </c>
      <c r="AG149" s="11" t="s">
        <v>1165</v>
      </c>
      <c r="AH149" s="11" t="s">
        <v>1735</v>
      </c>
      <c r="AI149" s="11" t="s">
        <v>1396</v>
      </c>
      <c r="AJ149" s="11" t="s">
        <v>1736</v>
      </c>
      <c r="AK149" s="11" t="s">
        <v>308</v>
      </c>
      <c r="AL149" s="11" t="s">
        <v>1737</v>
      </c>
      <c r="AM149" s="11" t="s">
        <v>1738</v>
      </c>
      <c r="AN149" s="11" t="s">
        <v>1739</v>
      </c>
      <c r="AO149" s="12" t="s">
        <v>1740</v>
      </c>
    </row>
    <row r="150" customFormat="false" ht="95.5" hidden="false" customHeight="false" outlineLevel="0" collapsed="false">
      <c r="A150" s="10" t="s">
        <v>2159</v>
      </c>
      <c r="B150" s="11" t="s">
        <v>261</v>
      </c>
      <c r="C150" s="11" t="s">
        <v>262</v>
      </c>
      <c r="D150" s="11" t="s">
        <v>253</v>
      </c>
      <c r="E150" s="11" t="s">
        <v>68</v>
      </c>
      <c r="F150" s="11" t="n">
        <v>5</v>
      </c>
      <c r="G150" s="11" t="s">
        <v>2160</v>
      </c>
      <c r="H150" s="11" t="s">
        <v>1873</v>
      </c>
      <c r="I150" s="11" t="s">
        <v>1874</v>
      </c>
      <c r="J150" s="11" t="s">
        <v>1875</v>
      </c>
      <c r="K150" s="11" t="s">
        <v>1725</v>
      </c>
      <c r="L150" s="11" t="s">
        <v>1726</v>
      </c>
      <c r="M150" s="11" t="s">
        <v>2131</v>
      </c>
      <c r="N150" s="11"/>
      <c r="O150" s="11" t="s">
        <v>1165</v>
      </c>
      <c r="P150" s="11" t="s">
        <v>2148</v>
      </c>
      <c r="Q150" s="11" t="s">
        <v>1877</v>
      </c>
      <c r="R150" s="11" t="s">
        <v>1730</v>
      </c>
      <c r="S150" s="11" t="s">
        <v>1731</v>
      </c>
      <c r="T150" s="11"/>
      <c r="U150" s="11"/>
      <c r="V150" s="11" t="s">
        <v>1165</v>
      </c>
      <c r="W150" s="11"/>
      <c r="X150" s="11" t="s">
        <v>1732</v>
      </c>
      <c r="Y150" s="11" t="s">
        <v>1733</v>
      </c>
      <c r="Z150" s="11"/>
      <c r="AA150" s="11"/>
      <c r="AB150" s="11"/>
      <c r="AC150" s="11"/>
      <c r="AD150" s="11"/>
      <c r="AE150" s="11" t="s">
        <v>1734</v>
      </c>
      <c r="AF150" s="11" t="s">
        <v>1165</v>
      </c>
      <c r="AG150" s="11" t="s">
        <v>1165</v>
      </c>
      <c r="AH150" s="11" t="s">
        <v>1735</v>
      </c>
      <c r="AI150" s="11" t="s">
        <v>1396</v>
      </c>
      <c r="AJ150" s="11" t="s">
        <v>1736</v>
      </c>
      <c r="AK150" s="11" t="s">
        <v>308</v>
      </c>
      <c r="AL150" s="11" t="s">
        <v>1737</v>
      </c>
      <c r="AM150" s="11" t="s">
        <v>1738</v>
      </c>
      <c r="AN150" s="11" t="s">
        <v>1739</v>
      </c>
      <c r="AO150" s="12" t="s">
        <v>1740</v>
      </c>
    </row>
    <row r="151" customFormat="false" ht="95.5" hidden="false" customHeight="false" outlineLevel="0" collapsed="false">
      <c r="A151" s="10" t="s">
        <v>2161</v>
      </c>
      <c r="B151" s="11" t="s">
        <v>261</v>
      </c>
      <c r="C151" s="11" t="s">
        <v>262</v>
      </c>
      <c r="D151" s="11" t="s">
        <v>253</v>
      </c>
      <c r="E151" s="11" t="s">
        <v>68</v>
      </c>
      <c r="F151" s="11" t="n">
        <v>6</v>
      </c>
      <c r="G151" s="11" t="s">
        <v>2133</v>
      </c>
      <c r="H151" s="11" t="s">
        <v>2134</v>
      </c>
      <c r="I151" s="11" t="s">
        <v>2135</v>
      </c>
      <c r="J151" s="11" t="s">
        <v>2136</v>
      </c>
      <c r="K151" s="11" t="s">
        <v>1725</v>
      </c>
      <c r="L151" s="11" t="s">
        <v>1726</v>
      </c>
      <c r="M151" s="11" t="s">
        <v>1746</v>
      </c>
      <c r="N151" s="11"/>
      <c r="O151" s="11" t="s">
        <v>1165</v>
      </c>
      <c r="P151" s="11" t="s">
        <v>2148</v>
      </c>
      <c r="Q151" s="11" t="s">
        <v>2137</v>
      </c>
      <c r="R151" s="11" t="s">
        <v>1730</v>
      </c>
      <c r="S151" s="11" t="s">
        <v>1731</v>
      </c>
      <c r="T151" s="11"/>
      <c r="U151" s="11"/>
      <c r="V151" s="11" t="s">
        <v>1165</v>
      </c>
      <c r="W151" s="11"/>
      <c r="X151" s="11" t="s">
        <v>1732</v>
      </c>
      <c r="Y151" s="11" t="s">
        <v>1733</v>
      </c>
      <c r="Z151" s="11"/>
      <c r="AA151" s="11"/>
      <c r="AB151" s="11"/>
      <c r="AC151" s="11"/>
      <c r="AD151" s="11"/>
      <c r="AE151" s="11" t="s">
        <v>1734</v>
      </c>
      <c r="AF151" s="11" t="s">
        <v>1165</v>
      </c>
      <c r="AG151" s="11" t="s">
        <v>1165</v>
      </c>
      <c r="AH151" s="11" t="s">
        <v>1735</v>
      </c>
      <c r="AI151" s="11" t="s">
        <v>1396</v>
      </c>
      <c r="AJ151" s="11" t="s">
        <v>1736</v>
      </c>
      <c r="AK151" s="11" t="s">
        <v>308</v>
      </c>
      <c r="AL151" s="11" t="s">
        <v>1737</v>
      </c>
      <c r="AM151" s="11" t="s">
        <v>1738</v>
      </c>
      <c r="AN151" s="11" t="s">
        <v>1739</v>
      </c>
      <c r="AO151" s="12" t="s">
        <v>1740</v>
      </c>
    </row>
    <row r="152" customFormat="false" ht="95.5" hidden="false" customHeight="false" outlineLevel="0" collapsed="false">
      <c r="A152" s="10" t="s">
        <v>2162</v>
      </c>
      <c r="B152" s="11" t="s">
        <v>261</v>
      </c>
      <c r="C152" s="11" t="s">
        <v>262</v>
      </c>
      <c r="D152" s="11" t="s">
        <v>253</v>
      </c>
      <c r="E152" s="11" t="s">
        <v>68</v>
      </c>
      <c r="F152" s="11" t="n">
        <v>7</v>
      </c>
      <c r="G152" s="11" t="s">
        <v>2163</v>
      </c>
      <c r="H152" s="11" t="s">
        <v>1873</v>
      </c>
      <c r="I152" s="11" t="s">
        <v>1874</v>
      </c>
      <c r="J152" s="11" t="s">
        <v>1875</v>
      </c>
      <c r="K152" s="11" t="s">
        <v>1725</v>
      </c>
      <c r="L152" s="11" t="s">
        <v>1726</v>
      </c>
      <c r="M152" s="11" t="s">
        <v>2131</v>
      </c>
      <c r="N152" s="11"/>
      <c r="O152" s="11" t="s">
        <v>1165</v>
      </c>
      <c r="P152" s="11" t="s">
        <v>2148</v>
      </c>
      <c r="Q152" s="11" t="s">
        <v>1877</v>
      </c>
      <c r="R152" s="11" t="s">
        <v>1730</v>
      </c>
      <c r="S152" s="11" t="s">
        <v>1731</v>
      </c>
      <c r="T152" s="11"/>
      <c r="U152" s="11"/>
      <c r="V152" s="11" t="s">
        <v>1165</v>
      </c>
      <c r="W152" s="11"/>
      <c r="X152" s="11" t="s">
        <v>1732</v>
      </c>
      <c r="Y152" s="11" t="s">
        <v>1733</v>
      </c>
      <c r="Z152" s="11"/>
      <c r="AA152" s="11"/>
      <c r="AB152" s="11"/>
      <c r="AC152" s="11"/>
      <c r="AD152" s="11"/>
      <c r="AE152" s="11" t="s">
        <v>1734</v>
      </c>
      <c r="AF152" s="11" t="s">
        <v>1165</v>
      </c>
      <c r="AG152" s="11" t="s">
        <v>1165</v>
      </c>
      <c r="AH152" s="11" t="s">
        <v>1735</v>
      </c>
      <c r="AI152" s="11" t="s">
        <v>1396</v>
      </c>
      <c r="AJ152" s="11" t="s">
        <v>1736</v>
      </c>
      <c r="AK152" s="11" t="s">
        <v>308</v>
      </c>
      <c r="AL152" s="11" t="s">
        <v>1737</v>
      </c>
      <c r="AM152" s="11" t="s">
        <v>1738</v>
      </c>
      <c r="AN152" s="11" t="s">
        <v>1739</v>
      </c>
      <c r="AO152" s="12" t="s">
        <v>1740</v>
      </c>
    </row>
    <row r="153" customFormat="false" ht="95.5" hidden="false" customHeight="false" outlineLevel="0" collapsed="false">
      <c r="A153" s="10" t="s">
        <v>2164</v>
      </c>
      <c r="B153" s="11" t="s">
        <v>261</v>
      </c>
      <c r="C153" s="11" t="s">
        <v>262</v>
      </c>
      <c r="D153" s="11" t="s">
        <v>253</v>
      </c>
      <c r="E153" s="11" t="s">
        <v>68</v>
      </c>
      <c r="F153" s="11" t="n">
        <v>8</v>
      </c>
      <c r="G153" s="11" t="s">
        <v>2165</v>
      </c>
      <c r="H153" s="11" t="s">
        <v>1873</v>
      </c>
      <c r="I153" s="11" t="s">
        <v>1874</v>
      </c>
      <c r="J153" s="11" t="s">
        <v>1875</v>
      </c>
      <c r="K153" s="11" t="s">
        <v>1725</v>
      </c>
      <c r="L153" s="11" t="s">
        <v>1726</v>
      </c>
      <c r="M153" s="11" t="s">
        <v>2131</v>
      </c>
      <c r="N153" s="11"/>
      <c r="O153" s="11" t="s">
        <v>1165</v>
      </c>
      <c r="P153" s="11" t="s">
        <v>2148</v>
      </c>
      <c r="Q153" s="11" t="s">
        <v>1877</v>
      </c>
      <c r="R153" s="11" t="s">
        <v>1730</v>
      </c>
      <c r="S153" s="11" t="s">
        <v>1731</v>
      </c>
      <c r="T153" s="11"/>
      <c r="U153" s="11"/>
      <c r="V153" s="11" t="s">
        <v>1165</v>
      </c>
      <c r="W153" s="11"/>
      <c r="X153" s="11" t="s">
        <v>1732</v>
      </c>
      <c r="Y153" s="11" t="s">
        <v>1733</v>
      </c>
      <c r="Z153" s="11"/>
      <c r="AA153" s="11"/>
      <c r="AB153" s="11"/>
      <c r="AC153" s="11"/>
      <c r="AD153" s="11"/>
      <c r="AE153" s="11" t="s">
        <v>1734</v>
      </c>
      <c r="AF153" s="11" t="s">
        <v>1165</v>
      </c>
      <c r="AG153" s="11" t="s">
        <v>1165</v>
      </c>
      <c r="AH153" s="11" t="s">
        <v>1735</v>
      </c>
      <c r="AI153" s="11" t="s">
        <v>1396</v>
      </c>
      <c r="AJ153" s="11" t="s">
        <v>1736</v>
      </c>
      <c r="AK153" s="11" t="s">
        <v>308</v>
      </c>
      <c r="AL153" s="11" t="s">
        <v>1737</v>
      </c>
      <c r="AM153" s="11" t="s">
        <v>1738</v>
      </c>
      <c r="AN153" s="11" t="s">
        <v>1739</v>
      </c>
      <c r="AO153" s="12" t="s">
        <v>1740</v>
      </c>
    </row>
    <row r="154" customFormat="false" ht="95.5" hidden="false" customHeight="false" outlineLevel="0" collapsed="false">
      <c r="A154" s="10" t="s">
        <v>2166</v>
      </c>
      <c r="B154" s="11" t="s">
        <v>269</v>
      </c>
      <c r="C154" s="11" t="s">
        <v>270</v>
      </c>
      <c r="D154" s="11" t="s">
        <v>253</v>
      </c>
      <c r="E154" s="11" t="s">
        <v>68</v>
      </c>
      <c r="F154" s="11" t="n">
        <v>1</v>
      </c>
      <c r="G154" s="11" t="s">
        <v>2167</v>
      </c>
      <c r="H154" s="11" t="s">
        <v>2144</v>
      </c>
      <c r="I154" s="11" t="s">
        <v>2145</v>
      </c>
      <c r="J154" s="11" t="s">
        <v>2146</v>
      </c>
      <c r="K154" s="11" t="s">
        <v>1725</v>
      </c>
      <c r="L154" s="11" t="s">
        <v>1726</v>
      </c>
      <c r="M154" s="11" t="s">
        <v>2147</v>
      </c>
      <c r="N154" s="11"/>
      <c r="O154" s="11" t="s">
        <v>1165</v>
      </c>
      <c r="P154" s="11" t="s">
        <v>2168</v>
      </c>
      <c r="Q154" s="11" t="s">
        <v>2149</v>
      </c>
      <c r="R154" s="11" t="s">
        <v>1730</v>
      </c>
      <c r="S154" s="11" t="s">
        <v>1731</v>
      </c>
      <c r="T154" s="11"/>
      <c r="U154" s="11"/>
      <c r="V154" s="11" t="s">
        <v>1165</v>
      </c>
      <c r="W154" s="11"/>
      <c r="X154" s="11" t="s">
        <v>1732</v>
      </c>
      <c r="Y154" s="11" t="s">
        <v>1733</v>
      </c>
      <c r="Z154" s="11"/>
      <c r="AA154" s="11"/>
      <c r="AB154" s="11"/>
      <c r="AC154" s="11"/>
      <c r="AD154" s="11"/>
      <c r="AE154" s="11" t="s">
        <v>1734</v>
      </c>
      <c r="AF154" s="11" t="s">
        <v>1165</v>
      </c>
      <c r="AG154" s="11" t="s">
        <v>1165</v>
      </c>
      <c r="AH154" s="11" t="s">
        <v>1735</v>
      </c>
      <c r="AI154" s="11" t="s">
        <v>1396</v>
      </c>
      <c r="AJ154" s="11" t="s">
        <v>1736</v>
      </c>
      <c r="AK154" s="11" t="s">
        <v>308</v>
      </c>
      <c r="AL154" s="11" t="s">
        <v>1737</v>
      </c>
      <c r="AM154" s="11" t="s">
        <v>1738</v>
      </c>
      <c r="AN154" s="11" t="s">
        <v>1739</v>
      </c>
      <c r="AO154" s="12" t="s">
        <v>1740</v>
      </c>
    </row>
    <row r="155" customFormat="false" ht="95.5" hidden="false" customHeight="false" outlineLevel="0" collapsed="false">
      <c r="A155" s="10" t="s">
        <v>2169</v>
      </c>
      <c r="B155" s="11" t="s">
        <v>269</v>
      </c>
      <c r="C155" s="11" t="s">
        <v>270</v>
      </c>
      <c r="D155" s="11" t="s">
        <v>253</v>
      </c>
      <c r="E155" s="11" t="s">
        <v>68</v>
      </c>
      <c r="F155" s="11" t="n">
        <v>2</v>
      </c>
      <c r="G155" s="11" t="s">
        <v>2170</v>
      </c>
      <c r="H155" s="11" t="s">
        <v>2134</v>
      </c>
      <c r="I155" s="11" t="s">
        <v>2135</v>
      </c>
      <c r="J155" s="11" t="s">
        <v>2136</v>
      </c>
      <c r="K155" s="11" t="s">
        <v>1725</v>
      </c>
      <c r="L155" s="11" t="s">
        <v>1726</v>
      </c>
      <c r="M155" s="11" t="s">
        <v>1746</v>
      </c>
      <c r="N155" s="11"/>
      <c r="O155" s="11" t="s">
        <v>1165</v>
      </c>
      <c r="P155" s="11" t="s">
        <v>2168</v>
      </c>
      <c r="Q155" s="11" t="s">
        <v>2137</v>
      </c>
      <c r="R155" s="11" t="s">
        <v>1730</v>
      </c>
      <c r="S155" s="11" t="s">
        <v>1731</v>
      </c>
      <c r="T155" s="11"/>
      <c r="U155" s="11"/>
      <c r="V155" s="11" t="s">
        <v>1165</v>
      </c>
      <c r="W155" s="11"/>
      <c r="X155" s="11" t="s">
        <v>1732</v>
      </c>
      <c r="Y155" s="11" t="s">
        <v>1733</v>
      </c>
      <c r="Z155" s="11"/>
      <c r="AA155" s="11"/>
      <c r="AB155" s="11"/>
      <c r="AC155" s="11"/>
      <c r="AD155" s="11"/>
      <c r="AE155" s="11" t="s">
        <v>1734</v>
      </c>
      <c r="AF155" s="11" t="s">
        <v>1165</v>
      </c>
      <c r="AG155" s="11" t="s">
        <v>1165</v>
      </c>
      <c r="AH155" s="11" t="s">
        <v>1735</v>
      </c>
      <c r="AI155" s="11" t="s">
        <v>1396</v>
      </c>
      <c r="AJ155" s="11" t="s">
        <v>1736</v>
      </c>
      <c r="AK155" s="11" t="s">
        <v>308</v>
      </c>
      <c r="AL155" s="11" t="s">
        <v>1737</v>
      </c>
      <c r="AM155" s="11" t="s">
        <v>1738</v>
      </c>
      <c r="AN155" s="11" t="s">
        <v>1739</v>
      </c>
      <c r="AO155" s="12" t="s">
        <v>1740</v>
      </c>
    </row>
    <row r="156" customFormat="false" ht="95.5" hidden="false" customHeight="false" outlineLevel="0" collapsed="false">
      <c r="A156" s="10" t="s">
        <v>2171</v>
      </c>
      <c r="B156" s="11" t="s">
        <v>269</v>
      </c>
      <c r="C156" s="11" t="s">
        <v>270</v>
      </c>
      <c r="D156" s="11" t="s">
        <v>253</v>
      </c>
      <c r="E156" s="11" t="s">
        <v>68</v>
      </c>
      <c r="F156" s="11" t="n">
        <v>3</v>
      </c>
      <c r="G156" s="11" t="s">
        <v>2172</v>
      </c>
      <c r="H156" s="11" t="s">
        <v>1873</v>
      </c>
      <c r="I156" s="11" t="s">
        <v>1874</v>
      </c>
      <c r="J156" s="11" t="s">
        <v>1875</v>
      </c>
      <c r="K156" s="11" t="s">
        <v>1725</v>
      </c>
      <c r="L156" s="11" t="s">
        <v>1726</v>
      </c>
      <c r="M156" s="11" t="s">
        <v>2131</v>
      </c>
      <c r="N156" s="11"/>
      <c r="O156" s="11" t="s">
        <v>1165</v>
      </c>
      <c r="P156" s="11" t="s">
        <v>2168</v>
      </c>
      <c r="Q156" s="11" t="s">
        <v>1877</v>
      </c>
      <c r="R156" s="11" t="s">
        <v>1730</v>
      </c>
      <c r="S156" s="11" t="s">
        <v>1731</v>
      </c>
      <c r="T156" s="11"/>
      <c r="U156" s="11"/>
      <c r="V156" s="11" t="s">
        <v>1165</v>
      </c>
      <c r="W156" s="11"/>
      <c r="X156" s="11" t="s">
        <v>1732</v>
      </c>
      <c r="Y156" s="11" t="s">
        <v>1733</v>
      </c>
      <c r="Z156" s="11"/>
      <c r="AA156" s="11"/>
      <c r="AB156" s="11"/>
      <c r="AC156" s="11"/>
      <c r="AD156" s="11"/>
      <c r="AE156" s="11" t="s">
        <v>1734</v>
      </c>
      <c r="AF156" s="11" t="s">
        <v>1165</v>
      </c>
      <c r="AG156" s="11" t="s">
        <v>1165</v>
      </c>
      <c r="AH156" s="11" t="s">
        <v>1735</v>
      </c>
      <c r="AI156" s="11" t="s">
        <v>1396</v>
      </c>
      <c r="AJ156" s="11" t="s">
        <v>1736</v>
      </c>
      <c r="AK156" s="11" t="s">
        <v>308</v>
      </c>
      <c r="AL156" s="11" t="s">
        <v>1737</v>
      </c>
      <c r="AM156" s="11" t="s">
        <v>1738</v>
      </c>
      <c r="AN156" s="11" t="s">
        <v>1739</v>
      </c>
      <c r="AO156" s="12" t="s">
        <v>1740</v>
      </c>
    </row>
    <row r="157" customFormat="false" ht="95.5" hidden="false" customHeight="false" outlineLevel="0" collapsed="false">
      <c r="A157" s="10" t="s">
        <v>2173</v>
      </c>
      <c r="B157" s="11" t="s">
        <v>269</v>
      </c>
      <c r="C157" s="11" t="s">
        <v>270</v>
      </c>
      <c r="D157" s="11" t="s">
        <v>253</v>
      </c>
      <c r="E157" s="11" t="s">
        <v>68</v>
      </c>
      <c r="F157" s="11" t="n">
        <v>4</v>
      </c>
      <c r="G157" s="11" t="s">
        <v>1763</v>
      </c>
      <c r="H157" s="11" t="s">
        <v>2153</v>
      </c>
      <c r="I157" s="11" t="s">
        <v>2154</v>
      </c>
      <c r="J157" s="11" t="s">
        <v>2155</v>
      </c>
      <c r="K157" s="11" t="s">
        <v>1725</v>
      </c>
      <c r="L157" s="11" t="s">
        <v>1726</v>
      </c>
      <c r="M157" s="11" t="s">
        <v>1767</v>
      </c>
      <c r="N157" s="11"/>
      <c r="O157" s="11" t="s">
        <v>1165</v>
      </c>
      <c r="P157" s="11" t="s">
        <v>2168</v>
      </c>
      <c r="Q157" s="11" t="s">
        <v>2156</v>
      </c>
      <c r="R157" s="11" t="s">
        <v>1730</v>
      </c>
      <c r="S157" s="11" t="s">
        <v>1731</v>
      </c>
      <c r="T157" s="11"/>
      <c r="U157" s="11"/>
      <c r="V157" s="11" t="s">
        <v>1165</v>
      </c>
      <c r="W157" s="11"/>
      <c r="X157" s="11" t="s">
        <v>1732</v>
      </c>
      <c r="Y157" s="11" t="s">
        <v>1733</v>
      </c>
      <c r="Z157" s="11"/>
      <c r="AA157" s="11"/>
      <c r="AB157" s="11"/>
      <c r="AC157" s="11"/>
      <c r="AD157" s="11"/>
      <c r="AE157" s="11" t="s">
        <v>1734</v>
      </c>
      <c r="AF157" s="11" t="s">
        <v>1165</v>
      </c>
      <c r="AG157" s="11" t="s">
        <v>1165</v>
      </c>
      <c r="AH157" s="11" t="s">
        <v>1735</v>
      </c>
      <c r="AI157" s="11" t="s">
        <v>1396</v>
      </c>
      <c r="AJ157" s="11" t="s">
        <v>1736</v>
      </c>
      <c r="AK157" s="11" t="s">
        <v>308</v>
      </c>
      <c r="AL157" s="11" t="s">
        <v>1737</v>
      </c>
      <c r="AM157" s="11" t="s">
        <v>1738</v>
      </c>
      <c r="AN157" s="11" t="s">
        <v>1739</v>
      </c>
      <c r="AO157" s="12" t="s">
        <v>1740</v>
      </c>
    </row>
    <row r="158" customFormat="false" ht="95.5" hidden="false" customHeight="false" outlineLevel="0" collapsed="false">
      <c r="A158" s="10" t="s">
        <v>2174</v>
      </c>
      <c r="B158" s="11" t="s">
        <v>269</v>
      </c>
      <c r="C158" s="11" t="s">
        <v>270</v>
      </c>
      <c r="D158" s="11" t="s">
        <v>253</v>
      </c>
      <c r="E158" s="11" t="s">
        <v>68</v>
      </c>
      <c r="F158" s="11" t="n">
        <v>5</v>
      </c>
      <c r="G158" s="11" t="s">
        <v>1831</v>
      </c>
      <c r="H158" s="11" t="s">
        <v>2117</v>
      </c>
      <c r="I158" s="11" t="s">
        <v>2118</v>
      </c>
      <c r="J158" s="11" t="s">
        <v>2119</v>
      </c>
      <c r="K158" s="11" t="s">
        <v>1725</v>
      </c>
      <c r="L158" s="11" t="s">
        <v>1726</v>
      </c>
      <c r="M158" s="11" t="s">
        <v>2120</v>
      </c>
      <c r="N158" s="11"/>
      <c r="O158" s="11" t="s">
        <v>1165</v>
      </c>
      <c r="P158" s="11" t="s">
        <v>2168</v>
      </c>
      <c r="Q158" s="11" t="s">
        <v>2121</v>
      </c>
      <c r="R158" s="11" t="s">
        <v>1730</v>
      </c>
      <c r="S158" s="11" t="s">
        <v>1731</v>
      </c>
      <c r="T158" s="11"/>
      <c r="U158" s="11"/>
      <c r="V158" s="11" t="s">
        <v>1165</v>
      </c>
      <c r="W158" s="11"/>
      <c r="X158" s="11" t="s">
        <v>1732</v>
      </c>
      <c r="Y158" s="11" t="s">
        <v>1733</v>
      </c>
      <c r="Z158" s="11"/>
      <c r="AA158" s="11"/>
      <c r="AB158" s="11"/>
      <c r="AC158" s="11"/>
      <c r="AD158" s="11"/>
      <c r="AE158" s="11" t="s">
        <v>1734</v>
      </c>
      <c r="AF158" s="11" t="s">
        <v>1165</v>
      </c>
      <c r="AG158" s="11" t="s">
        <v>1165</v>
      </c>
      <c r="AH158" s="11" t="s">
        <v>1735</v>
      </c>
      <c r="AI158" s="11" t="s">
        <v>1396</v>
      </c>
      <c r="AJ158" s="11" t="s">
        <v>1736</v>
      </c>
      <c r="AK158" s="11" t="s">
        <v>308</v>
      </c>
      <c r="AL158" s="11" t="s">
        <v>1737</v>
      </c>
      <c r="AM158" s="11" t="s">
        <v>1738</v>
      </c>
      <c r="AN158" s="11" t="s">
        <v>1739</v>
      </c>
      <c r="AO158" s="12" t="s">
        <v>1740</v>
      </c>
    </row>
    <row r="159" customFormat="false" ht="95.5" hidden="false" customHeight="false" outlineLevel="0" collapsed="false">
      <c r="A159" s="10" t="s">
        <v>2175</v>
      </c>
      <c r="B159" s="11" t="s">
        <v>269</v>
      </c>
      <c r="C159" s="11" t="s">
        <v>270</v>
      </c>
      <c r="D159" s="11" t="s">
        <v>253</v>
      </c>
      <c r="E159" s="11" t="s">
        <v>68</v>
      </c>
      <c r="F159" s="11" t="n">
        <v>6</v>
      </c>
      <c r="G159" s="11" t="s">
        <v>2176</v>
      </c>
      <c r="H159" s="11" t="s">
        <v>1873</v>
      </c>
      <c r="I159" s="11" t="s">
        <v>1874</v>
      </c>
      <c r="J159" s="11" t="s">
        <v>1875</v>
      </c>
      <c r="K159" s="11" t="s">
        <v>1725</v>
      </c>
      <c r="L159" s="11" t="s">
        <v>1726</v>
      </c>
      <c r="M159" s="11" t="s">
        <v>2131</v>
      </c>
      <c r="N159" s="11"/>
      <c r="O159" s="11" t="s">
        <v>1165</v>
      </c>
      <c r="P159" s="11" t="s">
        <v>2168</v>
      </c>
      <c r="Q159" s="11" t="s">
        <v>1877</v>
      </c>
      <c r="R159" s="11" t="s">
        <v>1730</v>
      </c>
      <c r="S159" s="11" t="s">
        <v>1731</v>
      </c>
      <c r="T159" s="11"/>
      <c r="U159" s="11"/>
      <c r="V159" s="11" t="s">
        <v>1165</v>
      </c>
      <c r="W159" s="11"/>
      <c r="X159" s="11" t="s">
        <v>1732</v>
      </c>
      <c r="Y159" s="11" t="s">
        <v>1733</v>
      </c>
      <c r="Z159" s="11"/>
      <c r="AA159" s="11"/>
      <c r="AB159" s="11"/>
      <c r="AC159" s="11"/>
      <c r="AD159" s="11"/>
      <c r="AE159" s="11" t="s">
        <v>1734</v>
      </c>
      <c r="AF159" s="11" t="s">
        <v>1165</v>
      </c>
      <c r="AG159" s="11" t="s">
        <v>1165</v>
      </c>
      <c r="AH159" s="11" t="s">
        <v>1735</v>
      </c>
      <c r="AI159" s="11" t="s">
        <v>1396</v>
      </c>
      <c r="AJ159" s="11" t="s">
        <v>1736</v>
      </c>
      <c r="AK159" s="11" t="s">
        <v>308</v>
      </c>
      <c r="AL159" s="11" t="s">
        <v>1737</v>
      </c>
      <c r="AM159" s="11" t="s">
        <v>1738</v>
      </c>
      <c r="AN159" s="11" t="s">
        <v>1739</v>
      </c>
      <c r="AO159" s="12" t="s">
        <v>1740</v>
      </c>
    </row>
    <row r="160" customFormat="false" ht="43.25" hidden="false" customHeight="false" outlineLevel="0" collapsed="false">
      <c r="A160" s="10" t="s">
        <v>2177</v>
      </c>
      <c r="B160" s="11" t="s">
        <v>226</v>
      </c>
      <c r="C160" s="11" t="s">
        <v>228</v>
      </c>
      <c r="D160" s="11" t="s">
        <v>227</v>
      </c>
      <c r="E160" s="11" t="s">
        <v>854</v>
      </c>
      <c r="F160" s="11" t="n">
        <v>1</v>
      </c>
      <c r="G160" s="11" t="s">
        <v>2178</v>
      </c>
      <c r="H160" s="11"/>
      <c r="I160" s="11" t="s">
        <v>2179</v>
      </c>
      <c r="J160" s="11"/>
      <c r="K160" s="11" t="s">
        <v>24</v>
      </c>
      <c r="L160" s="11"/>
      <c r="M160" s="11"/>
      <c r="N160" s="11"/>
      <c r="O160" s="11" t="s">
        <v>1165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 t="s">
        <v>1165</v>
      </c>
      <c r="AF160" s="11" t="s">
        <v>2180</v>
      </c>
      <c r="AG160" s="11" t="s">
        <v>2180</v>
      </c>
      <c r="AH160" s="11" t="s">
        <v>2180</v>
      </c>
      <c r="AI160" s="11" t="s">
        <v>24</v>
      </c>
      <c r="AJ160" s="11"/>
      <c r="AK160" s="11" t="s">
        <v>15</v>
      </c>
      <c r="AL160" s="11" t="s">
        <v>2181</v>
      </c>
      <c r="AM160" s="11" t="s">
        <v>2182</v>
      </c>
      <c r="AN160" s="11"/>
      <c r="AO160" s="12" t="s">
        <v>2183</v>
      </c>
    </row>
    <row r="161" customFormat="false" ht="43.25" hidden="false" customHeight="false" outlineLevel="0" collapsed="false">
      <c r="A161" s="10" t="s">
        <v>2184</v>
      </c>
      <c r="B161" s="11" t="s">
        <v>240</v>
      </c>
      <c r="C161" s="11" t="s">
        <v>241</v>
      </c>
      <c r="D161" s="11" t="s">
        <v>227</v>
      </c>
      <c r="E161" s="11" t="s">
        <v>854</v>
      </c>
      <c r="F161" s="11" t="n">
        <v>1</v>
      </c>
      <c r="G161" s="11" t="s">
        <v>2178</v>
      </c>
      <c r="H161" s="11"/>
      <c r="I161" s="11" t="s">
        <v>2185</v>
      </c>
      <c r="J161" s="11"/>
      <c r="K161" s="11" t="s">
        <v>24</v>
      </c>
      <c r="L161" s="11"/>
      <c r="M161" s="11"/>
      <c r="N161" s="11"/>
      <c r="O161" s="11" t="s">
        <v>1165</v>
      </c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 t="s">
        <v>1165</v>
      </c>
      <c r="AF161" s="11" t="s">
        <v>2180</v>
      </c>
      <c r="AG161" s="11" t="s">
        <v>2180</v>
      </c>
      <c r="AH161" s="11" t="s">
        <v>2180</v>
      </c>
      <c r="AI161" s="11" t="s">
        <v>24</v>
      </c>
      <c r="AJ161" s="11"/>
      <c r="AK161" s="11" t="s">
        <v>15</v>
      </c>
      <c r="AL161" s="11" t="s">
        <v>2181</v>
      </c>
      <c r="AM161" s="11" t="s">
        <v>2182</v>
      </c>
      <c r="AN161" s="11"/>
      <c r="AO161" s="12" t="s">
        <v>2183</v>
      </c>
    </row>
    <row r="162" customFormat="false" ht="43.25" hidden="false" customHeight="false" outlineLevel="0" collapsed="false">
      <c r="A162" s="13" t="s">
        <v>2186</v>
      </c>
      <c r="B162" s="14" t="s">
        <v>246</v>
      </c>
      <c r="C162" s="14" t="s">
        <v>247</v>
      </c>
      <c r="D162" s="14" t="s">
        <v>227</v>
      </c>
      <c r="E162" s="14" t="s">
        <v>854</v>
      </c>
      <c r="F162" s="14" t="n">
        <v>1</v>
      </c>
      <c r="G162" s="14" t="s">
        <v>2178</v>
      </c>
      <c r="H162" s="14"/>
      <c r="I162" s="14" t="s">
        <v>2187</v>
      </c>
      <c r="J162" s="14"/>
      <c r="K162" s="14" t="s">
        <v>24</v>
      </c>
      <c r="L162" s="14"/>
      <c r="M162" s="14"/>
      <c r="N162" s="14"/>
      <c r="O162" s="14" t="s">
        <v>1165</v>
      </c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 t="s">
        <v>1165</v>
      </c>
      <c r="AF162" s="14" t="s">
        <v>2180</v>
      </c>
      <c r="AG162" s="14" t="s">
        <v>2180</v>
      </c>
      <c r="AH162" s="14" t="s">
        <v>2180</v>
      </c>
      <c r="AI162" s="14" t="s">
        <v>24</v>
      </c>
      <c r="AJ162" s="14"/>
      <c r="AK162" s="14" t="s">
        <v>15</v>
      </c>
      <c r="AL162" s="14" t="s">
        <v>2181</v>
      </c>
      <c r="AM162" s="14" t="s">
        <v>2182</v>
      </c>
      <c r="AN162" s="14"/>
      <c r="AO162" s="15" t="s">
        <v>2183</v>
      </c>
    </row>
  </sheetData>
  <autoFilter ref="A1:AO162">
    <filterColumn colId="0" hiddenButton="1"/>
  </autoFilter>
  <mergeCells count="2">
    <mergeCell ref="A1:AO1"/>
    <mergeCell ref="A2:AO2"/>
  </mergeCells>
  <conditionalFormatting sqref="K5:K162">
    <cfRule type="containsText" priority="2" operator="containsText" aboveAverage="0" equalAverage="0" bottom="0" percent="0" rank="0" text="BLOCK" dxfId="94">
      <formula>NOT(ISERROR(SEARCH("BLOCK",K5)))</formula>
    </cfRule>
    <cfRule type="containsText" priority="3" operator="containsText" aboveAverage="0" equalAverage="0" bottom="0" percent="0" rank="0" text="DRAFT" dxfId="95">
      <formula>NOT(ISERROR(SEARCH("DRAFT",K5)))</formula>
    </cfRule>
    <cfRule type="containsText" priority="4" operator="containsText" aboveAverage="0" equalAverage="0" bottom="0" percent="0" rank="0" text="PASS" dxfId="96">
      <formula>NOT(ISERROR(SEARCH("PASS",K5)))</formula>
    </cfRule>
  </conditionalFormatting>
  <conditionalFormatting sqref="L5:L162">
    <cfRule type="containsText" priority="5" operator="containsText" aboveAverage="0" equalAverage="0" bottom="0" percent="0" rank="0" text="BLOCK" dxfId="97">
      <formula>NOT(ISERROR(SEARCH("BLOCK",L5)))</formula>
    </cfRule>
    <cfRule type="containsText" priority="6" operator="containsText" aboveAverage="0" equalAverage="0" bottom="0" percent="0" rank="0" text="DRAFT" dxfId="98">
      <formula>NOT(ISERROR(SEARCH("DRAFT",L5)))</formula>
    </cfRule>
    <cfRule type="containsText" priority="7" operator="containsText" aboveAverage="0" equalAverage="0" bottom="0" percent="0" rank="0" text="PASS" dxfId="99">
      <formula>NOT(ISERROR(SEARCH("PASS",L5)))</formula>
    </cfRule>
  </conditionalFormatting>
  <conditionalFormatting sqref="O5:O162">
    <cfRule type="containsText" priority="8" operator="containsText" aboveAverage="0" equalAverage="0" bottom="0" percent="0" rank="0" text="BLOCK" dxfId="100">
      <formula>NOT(ISERROR(SEARCH("BLOCK",O5)))</formula>
    </cfRule>
    <cfRule type="containsText" priority="9" operator="containsText" aboveAverage="0" equalAverage="0" bottom="0" percent="0" rank="0" text="DRAFT" dxfId="101">
      <formula>NOT(ISERROR(SEARCH("DRAFT",O5)))</formula>
    </cfRule>
    <cfRule type="containsText" priority="10" operator="containsText" aboveAverage="0" equalAverage="0" bottom="0" percent="0" rank="0" text="PASS" dxfId="102">
      <formula>NOT(ISERROR(SEARCH("PASS",O5)))</formula>
    </cfRule>
  </conditionalFormatting>
  <conditionalFormatting sqref="S5:S162">
    <cfRule type="containsText" priority="11" operator="containsText" aboveAverage="0" equalAverage="0" bottom="0" percent="0" rank="0" text="BLOCK" dxfId="103">
      <formula>NOT(ISERROR(SEARCH("BLOCK",S5)))</formula>
    </cfRule>
    <cfRule type="containsText" priority="12" operator="containsText" aboveAverage="0" equalAverage="0" bottom="0" percent="0" rank="0" text="DRAFT" dxfId="104">
      <formula>NOT(ISERROR(SEARCH("DRAFT",S5)))</formula>
    </cfRule>
    <cfRule type="containsText" priority="13" operator="containsText" aboveAverage="0" equalAverage="0" bottom="0" percent="0" rank="0" text="PASS" dxfId="105">
      <formula>NOT(ISERROR(SEARCH("PASS",S5)))</formula>
    </cfRule>
  </conditionalFormatting>
  <conditionalFormatting sqref="V5:V162">
    <cfRule type="containsText" priority="14" operator="containsText" aboveAverage="0" equalAverage="0" bottom="0" percent="0" rank="0" text="BLOCK" dxfId="106">
      <formula>NOT(ISERROR(SEARCH("BLOCK",V5)))</formula>
    </cfRule>
    <cfRule type="containsText" priority="15" operator="containsText" aboveAverage="0" equalAverage="0" bottom="0" percent="0" rank="0" text="DRAFT" dxfId="107">
      <formula>NOT(ISERROR(SEARCH("DRAFT",V5)))</formula>
    </cfRule>
    <cfRule type="containsText" priority="16" operator="containsText" aboveAverage="0" equalAverage="0" bottom="0" percent="0" rank="0" text="PASS" dxfId="108">
      <formula>NOT(ISERROR(SEARCH("PASS",V5)))</formula>
    </cfRule>
  </conditionalFormatting>
  <conditionalFormatting sqref="X5:X162">
    <cfRule type="containsText" priority="17" operator="containsText" aboveAverage="0" equalAverage="0" bottom="0" percent="0" rank="0" text="BLOCK" dxfId="109">
      <formula>NOT(ISERROR(SEARCH("BLOCK",X5)))</formula>
    </cfRule>
    <cfRule type="containsText" priority="18" operator="containsText" aboveAverage="0" equalAverage="0" bottom="0" percent="0" rank="0" text="DRAFT" dxfId="110">
      <formula>NOT(ISERROR(SEARCH("DRAFT",X5)))</formula>
    </cfRule>
    <cfRule type="containsText" priority="19" operator="containsText" aboveAverage="0" equalAverage="0" bottom="0" percent="0" rank="0" text="PASS" dxfId="111">
      <formula>NOT(ISERROR(SEARCH("PASS",X5)))</formula>
    </cfRule>
  </conditionalFormatting>
  <conditionalFormatting sqref="AE5:AE162">
    <cfRule type="containsText" priority="20" operator="containsText" aboveAverage="0" equalAverage="0" bottom="0" percent="0" rank="0" text="BLOCK" dxfId="112">
      <formula>NOT(ISERROR(SEARCH("BLOCK",AE5)))</formula>
    </cfRule>
    <cfRule type="containsText" priority="21" operator="containsText" aboveAverage="0" equalAverage="0" bottom="0" percent="0" rank="0" text="DRAFT" dxfId="113">
      <formula>NOT(ISERROR(SEARCH("DRAFT",AE5)))</formula>
    </cfRule>
    <cfRule type="containsText" priority="22" operator="containsText" aboveAverage="0" equalAverage="0" bottom="0" percent="0" rank="0" text="PASS" dxfId="114">
      <formula>NOT(ISERROR(SEARCH("PASS",AE5)))</formula>
    </cfRule>
  </conditionalFormatting>
  <conditionalFormatting sqref="AF5:AF162">
    <cfRule type="containsText" priority="23" operator="containsText" aboveAverage="0" equalAverage="0" bottom="0" percent="0" rank="0" text="BLOCK" dxfId="115">
      <formula>NOT(ISERROR(SEARCH("BLOCK",AF5)))</formula>
    </cfRule>
    <cfRule type="containsText" priority="24" operator="containsText" aboveAverage="0" equalAverage="0" bottom="0" percent="0" rank="0" text="DRAFT" dxfId="116">
      <formula>NOT(ISERROR(SEARCH("DRAFT",AF5)))</formula>
    </cfRule>
    <cfRule type="containsText" priority="25" operator="containsText" aboveAverage="0" equalAverage="0" bottom="0" percent="0" rank="0" text="PASS" dxfId="117">
      <formula>NOT(ISERROR(SEARCH("PASS",AF5)))</formula>
    </cfRule>
  </conditionalFormatting>
  <conditionalFormatting sqref="AG5:AG162">
    <cfRule type="containsText" priority="26" operator="containsText" aboveAverage="0" equalAverage="0" bottom="0" percent="0" rank="0" text="BLOCK" dxfId="118">
      <formula>NOT(ISERROR(SEARCH("BLOCK",AG5)))</formula>
    </cfRule>
    <cfRule type="containsText" priority="27" operator="containsText" aboveAverage="0" equalAverage="0" bottom="0" percent="0" rank="0" text="DRAFT" dxfId="119">
      <formula>NOT(ISERROR(SEARCH("DRAFT",AG5)))</formula>
    </cfRule>
    <cfRule type="containsText" priority="28" operator="containsText" aboveAverage="0" equalAverage="0" bottom="0" percent="0" rank="0" text="PASS" dxfId="120">
      <formula>NOT(ISERROR(SEARCH("PASS",AG5)))</formula>
    </cfRule>
  </conditionalFormatting>
  <conditionalFormatting sqref="AH5:AH162">
    <cfRule type="containsText" priority="29" operator="containsText" aboveAverage="0" equalAverage="0" bottom="0" percent="0" rank="0" text="BLOCK" dxfId="121">
      <formula>NOT(ISERROR(SEARCH("BLOCK",AH5)))</formula>
    </cfRule>
    <cfRule type="containsText" priority="30" operator="containsText" aboveAverage="0" equalAverage="0" bottom="0" percent="0" rank="0" text="DRAFT" dxfId="122">
      <formula>NOT(ISERROR(SEARCH("DRAFT",AH5)))</formula>
    </cfRule>
    <cfRule type="containsText" priority="31" operator="containsText" aboveAverage="0" equalAverage="0" bottom="0" percent="0" rank="0" text="PASS" dxfId="123">
      <formula>NOT(ISERROR(SEARCH("PASS",AH5)))</formula>
    </cfRule>
  </conditionalFormatting>
  <conditionalFormatting sqref="AI5:AI162">
    <cfRule type="containsText" priority="32" operator="containsText" aboveAverage="0" equalAverage="0" bottom="0" percent="0" rank="0" text="BLOCK" dxfId="124">
      <formula>NOT(ISERROR(SEARCH("BLOCK",AI5)))</formula>
    </cfRule>
    <cfRule type="containsText" priority="33" operator="containsText" aboveAverage="0" equalAverage="0" bottom="0" percent="0" rank="0" text="DRAFT" dxfId="125">
      <formula>NOT(ISERROR(SEARCH("DRAFT",AI5)))</formula>
    </cfRule>
    <cfRule type="containsText" priority="34" operator="containsText" aboveAverage="0" equalAverage="0" bottom="0" percent="0" rank="0" text="PASS" dxfId="126">
      <formula>NOT(ISERROR(SEARCH("PASS",AI5)))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true">
    <pageSetUpPr fitToPage="fals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8"/>
    <col collapsed="false" customWidth="true" hidden="false" outlineLevel="0" max="8" min="4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38"/>
    <col collapsed="false" customWidth="true" hidden="false" outlineLevel="0" max="12" min="12" style="0" width="24"/>
    <col collapsed="false" customWidth="true" hidden="false" outlineLevel="0" max="17" min="13" style="0" width="16"/>
  </cols>
  <sheetData>
    <row r="1" customFormat="false" ht="17.35" hidden="false" customHeight="false" outlineLevel="0" collapsed="false">
      <c r="A1" s="4" t="s">
        <v>2188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true" outlineLevel="0" collapsed="false">
      <c r="A2" s="5" t="s">
        <v>2189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4" customFormat="false" ht="50" hidden="false" customHeight="true" outlineLevel="0" collapsed="false">
      <c r="A4" s="6" t="s">
        <v>2190</v>
      </c>
      <c r="B4" s="6" t="s">
        <v>45</v>
      </c>
      <c r="C4" s="6" t="s">
        <v>47</v>
      </c>
      <c r="D4" s="6" t="s">
        <v>46</v>
      </c>
      <c r="E4" s="6" t="s">
        <v>2191</v>
      </c>
      <c r="F4" s="6" t="s">
        <v>2192</v>
      </c>
      <c r="G4" s="6" t="s">
        <v>2193</v>
      </c>
      <c r="H4" s="6" t="s">
        <v>2194</v>
      </c>
      <c r="I4" s="6" t="s">
        <v>2195</v>
      </c>
      <c r="J4" s="6" t="s">
        <v>2196</v>
      </c>
      <c r="K4" s="6" t="s">
        <v>2197</v>
      </c>
      <c r="L4" s="6" t="s">
        <v>291</v>
      </c>
      <c r="M4" s="6" t="s">
        <v>292</v>
      </c>
      <c r="N4" s="6" t="s">
        <v>296</v>
      </c>
      <c r="O4" s="6" t="s">
        <v>294</v>
      </c>
      <c r="P4" s="6" t="s">
        <v>295</v>
      </c>
      <c r="Q4" s="6" t="s">
        <v>923</v>
      </c>
    </row>
    <row r="5" customFormat="false" ht="95.5" hidden="false" customHeight="false" outlineLevel="0" collapsed="false">
      <c r="A5" s="7" t="s">
        <v>2198</v>
      </c>
      <c r="B5" s="8" t="s">
        <v>60</v>
      </c>
      <c r="C5" s="8" t="s">
        <v>62</v>
      </c>
      <c r="D5" s="8" t="s">
        <v>61</v>
      </c>
      <c r="E5" s="8" t="s">
        <v>2199</v>
      </c>
      <c r="F5" s="8" t="s">
        <v>2200</v>
      </c>
      <c r="G5" s="8"/>
      <c r="H5" s="8"/>
      <c r="I5" s="8" t="s">
        <v>1165</v>
      </c>
      <c r="J5" s="8" t="s">
        <v>2201</v>
      </c>
      <c r="K5" s="8" t="s">
        <v>2202</v>
      </c>
      <c r="L5" s="8" t="s">
        <v>1396</v>
      </c>
      <c r="M5" s="8" t="s">
        <v>2203</v>
      </c>
      <c r="N5" s="8" t="s">
        <v>2204</v>
      </c>
      <c r="O5" s="8" t="s">
        <v>308</v>
      </c>
      <c r="P5" s="8" t="s">
        <v>2205</v>
      </c>
      <c r="Q5" s="9" t="s">
        <v>2206</v>
      </c>
    </row>
    <row r="6" customFormat="false" ht="95.5" hidden="false" customHeight="false" outlineLevel="0" collapsed="false">
      <c r="A6" s="10" t="s">
        <v>2207</v>
      </c>
      <c r="B6" s="11" t="s">
        <v>73</v>
      </c>
      <c r="C6" s="11" t="s">
        <v>74</v>
      </c>
      <c r="D6" s="11" t="s">
        <v>61</v>
      </c>
      <c r="E6" s="11" t="s">
        <v>2199</v>
      </c>
      <c r="F6" s="11" t="s">
        <v>2200</v>
      </c>
      <c r="G6" s="11"/>
      <c r="H6" s="11"/>
      <c r="I6" s="11" t="s">
        <v>1165</v>
      </c>
      <c r="J6" s="11" t="s">
        <v>2201</v>
      </c>
      <c r="K6" s="11" t="s">
        <v>2202</v>
      </c>
      <c r="L6" s="11" t="s">
        <v>1396</v>
      </c>
      <c r="M6" s="11" t="s">
        <v>2203</v>
      </c>
      <c r="N6" s="11" t="s">
        <v>2204</v>
      </c>
      <c r="O6" s="11" t="s">
        <v>308</v>
      </c>
      <c r="P6" s="11" t="s">
        <v>2205</v>
      </c>
      <c r="Q6" s="12" t="s">
        <v>2206</v>
      </c>
    </row>
    <row r="7" customFormat="false" ht="95.5" hidden="false" customHeight="false" outlineLevel="0" collapsed="false">
      <c r="A7" s="10" t="s">
        <v>2208</v>
      </c>
      <c r="B7" s="11" t="s">
        <v>79</v>
      </c>
      <c r="C7" s="11" t="s">
        <v>80</v>
      </c>
      <c r="D7" s="11" t="s">
        <v>61</v>
      </c>
      <c r="E7" s="11" t="s">
        <v>2199</v>
      </c>
      <c r="F7" s="11" t="s">
        <v>2200</v>
      </c>
      <c r="G7" s="11"/>
      <c r="H7" s="11"/>
      <c r="I7" s="11" t="s">
        <v>1165</v>
      </c>
      <c r="J7" s="11" t="s">
        <v>2201</v>
      </c>
      <c r="K7" s="11" t="s">
        <v>2202</v>
      </c>
      <c r="L7" s="11" t="s">
        <v>1396</v>
      </c>
      <c r="M7" s="11" t="s">
        <v>2203</v>
      </c>
      <c r="N7" s="11" t="s">
        <v>2204</v>
      </c>
      <c r="O7" s="11" t="s">
        <v>308</v>
      </c>
      <c r="P7" s="11" t="s">
        <v>2205</v>
      </c>
      <c r="Q7" s="12" t="s">
        <v>2206</v>
      </c>
    </row>
    <row r="8" customFormat="false" ht="95.5" hidden="false" customHeight="false" outlineLevel="0" collapsed="false">
      <c r="A8" s="10" t="s">
        <v>2209</v>
      </c>
      <c r="B8" s="11" t="s">
        <v>85</v>
      </c>
      <c r="C8" s="11" t="s">
        <v>86</v>
      </c>
      <c r="D8" s="11" t="s">
        <v>61</v>
      </c>
      <c r="E8" s="11" t="s">
        <v>2199</v>
      </c>
      <c r="F8" s="11" t="s">
        <v>2200</v>
      </c>
      <c r="G8" s="11"/>
      <c r="H8" s="11"/>
      <c r="I8" s="11" t="s">
        <v>1165</v>
      </c>
      <c r="J8" s="11" t="s">
        <v>2201</v>
      </c>
      <c r="K8" s="11" t="s">
        <v>2202</v>
      </c>
      <c r="L8" s="11" t="s">
        <v>1396</v>
      </c>
      <c r="M8" s="11" t="s">
        <v>2203</v>
      </c>
      <c r="N8" s="11" t="s">
        <v>2204</v>
      </c>
      <c r="O8" s="11" t="s">
        <v>308</v>
      </c>
      <c r="P8" s="11" t="s">
        <v>2205</v>
      </c>
      <c r="Q8" s="12" t="s">
        <v>2206</v>
      </c>
    </row>
    <row r="9" customFormat="false" ht="95.5" hidden="false" customHeight="false" outlineLevel="0" collapsed="false">
      <c r="A9" s="10" t="s">
        <v>2210</v>
      </c>
      <c r="B9" s="11" t="s">
        <v>90</v>
      </c>
      <c r="C9" s="11" t="s">
        <v>92</v>
      </c>
      <c r="D9" s="11" t="s">
        <v>91</v>
      </c>
      <c r="E9" s="11" t="s">
        <v>2211</v>
      </c>
      <c r="F9" s="11" t="s">
        <v>2212</v>
      </c>
      <c r="G9" s="11"/>
      <c r="H9" s="11"/>
      <c r="I9" s="11" t="s">
        <v>1165</v>
      </c>
      <c r="J9" s="11" t="s">
        <v>2201</v>
      </c>
      <c r="K9" s="11" t="s">
        <v>2202</v>
      </c>
      <c r="L9" s="11" t="s">
        <v>1396</v>
      </c>
      <c r="M9" s="11" t="s">
        <v>2203</v>
      </c>
      <c r="N9" s="11" t="s">
        <v>2204</v>
      </c>
      <c r="O9" s="11" t="s">
        <v>308</v>
      </c>
      <c r="P9" s="11" t="s">
        <v>2205</v>
      </c>
      <c r="Q9" s="12" t="s">
        <v>2206</v>
      </c>
    </row>
    <row r="10" customFormat="false" ht="95.5" hidden="false" customHeight="false" outlineLevel="0" collapsed="false">
      <c r="A10" s="10" t="s">
        <v>2213</v>
      </c>
      <c r="B10" s="11" t="s">
        <v>99</v>
      </c>
      <c r="C10" s="11" t="s">
        <v>100</v>
      </c>
      <c r="D10" s="11" t="s">
        <v>91</v>
      </c>
      <c r="E10" s="11" t="s">
        <v>2211</v>
      </c>
      <c r="F10" s="11" t="s">
        <v>2212</v>
      </c>
      <c r="G10" s="11"/>
      <c r="H10" s="11"/>
      <c r="I10" s="11" t="s">
        <v>1165</v>
      </c>
      <c r="J10" s="11" t="s">
        <v>2201</v>
      </c>
      <c r="K10" s="11" t="s">
        <v>2202</v>
      </c>
      <c r="L10" s="11" t="s">
        <v>1396</v>
      </c>
      <c r="M10" s="11" t="s">
        <v>2203</v>
      </c>
      <c r="N10" s="11" t="s">
        <v>2204</v>
      </c>
      <c r="O10" s="11" t="s">
        <v>308</v>
      </c>
      <c r="P10" s="11" t="s">
        <v>2205</v>
      </c>
      <c r="Q10" s="12" t="s">
        <v>2206</v>
      </c>
    </row>
    <row r="11" customFormat="false" ht="95.5" hidden="false" customHeight="false" outlineLevel="0" collapsed="false">
      <c r="A11" s="10" t="s">
        <v>2214</v>
      </c>
      <c r="B11" s="11" t="s">
        <v>105</v>
      </c>
      <c r="C11" s="11" t="s">
        <v>106</v>
      </c>
      <c r="D11" s="11" t="s">
        <v>91</v>
      </c>
      <c r="E11" s="11" t="s">
        <v>2211</v>
      </c>
      <c r="F11" s="11" t="s">
        <v>2212</v>
      </c>
      <c r="G11" s="11"/>
      <c r="H11" s="11"/>
      <c r="I11" s="11" t="s">
        <v>1165</v>
      </c>
      <c r="J11" s="11" t="s">
        <v>2201</v>
      </c>
      <c r="K11" s="11" t="s">
        <v>2202</v>
      </c>
      <c r="L11" s="11" t="s">
        <v>1396</v>
      </c>
      <c r="M11" s="11" t="s">
        <v>2203</v>
      </c>
      <c r="N11" s="11" t="s">
        <v>2204</v>
      </c>
      <c r="O11" s="11" t="s">
        <v>308</v>
      </c>
      <c r="P11" s="11" t="s">
        <v>2205</v>
      </c>
      <c r="Q11" s="12" t="s">
        <v>2206</v>
      </c>
    </row>
    <row r="12" customFormat="false" ht="95.5" hidden="false" customHeight="false" outlineLevel="0" collapsed="false">
      <c r="A12" s="10" t="s">
        <v>2215</v>
      </c>
      <c r="B12" s="11" t="s">
        <v>112</v>
      </c>
      <c r="C12" s="11" t="s">
        <v>113</v>
      </c>
      <c r="D12" s="11" t="s">
        <v>91</v>
      </c>
      <c r="E12" s="11" t="s">
        <v>2211</v>
      </c>
      <c r="F12" s="11" t="s">
        <v>2212</v>
      </c>
      <c r="G12" s="11"/>
      <c r="H12" s="11"/>
      <c r="I12" s="11" t="s">
        <v>1165</v>
      </c>
      <c r="J12" s="11" t="s">
        <v>2201</v>
      </c>
      <c r="K12" s="11" t="s">
        <v>2202</v>
      </c>
      <c r="L12" s="11" t="s">
        <v>1396</v>
      </c>
      <c r="M12" s="11" t="s">
        <v>2203</v>
      </c>
      <c r="N12" s="11" t="s">
        <v>2204</v>
      </c>
      <c r="O12" s="11" t="s">
        <v>308</v>
      </c>
      <c r="P12" s="11" t="s">
        <v>2205</v>
      </c>
      <c r="Q12" s="12" t="s">
        <v>2206</v>
      </c>
    </row>
    <row r="13" customFormat="false" ht="95.5" hidden="false" customHeight="false" outlineLevel="0" collapsed="false">
      <c r="A13" s="10" t="s">
        <v>2216</v>
      </c>
      <c r="B13" s="11" t="s">
        <v>119</v>
      </c>
      <c r="C13" s="11" t="s">
        <v>121</v>
      </c>
      <c r="D13" s="11" t="s">
        <v>120</v>
      </c>
      <c r="E13" s="11" t="s">
        <v>2217</v>
      </c>
      <c r="F13" s="11" t="s">
        <v>2218</v>
      </c>
      <c r="G13" s="11"/>
      <c r="H13" s="11"/>
      <c r="I13" s="11" t="s">
        <v>1165</v>
      </c>
      <c r="J13" s="11" t="s">
        <v>2201</v>
      </c>
      <c r="K13" s="11" t="s">
        <v>2202</v>
      </c>
      <c r="L13" s="11" t="s">
        <v>1396</v>
      </c>
      <c r="M13" s="11" t="s">
        <v>2203</v>
      </c>
      <c r="N13" s="11" t="s">
        <v>2204</v>
      </c>
      <c r="O13" s="11" t="s">
        <v>308</v>
      </c>
      <c r="P13" s="11" t="s">
        <v>2205</v>
      </c>
      <c r="Q13" s="12" t="s">
        <v>2206</v>
      </c>
    </row>
    <row r="14" customFormat="false" ht="95.5" hidden="false" customHeight="false" outlineLevel="0" collapsed="false">
      <c r="A14" s="10" t="s">
        <v>2219</v>
      </c>
      <c r="B14" s="11" t="s">
        <v>127</v>
      </c>
      <c r="C14" s="11" t="s">
        <v>128</v>
      </c>
      <c r="D14" s="11" t="s">
        <v>120</v>
      </c>
      <c r="E14" s="11" t="s">
        <v>2217</v>
      </c>
      <c r="F14" s="11" t="s">
        <v>2218</v>
      </c>
      <c r="G14" s="11"/>
      <c r="H14" s="11"/>
      <c r="I14" s="11" t="s">
        <v>1165</v>
      </c>
      <c r="J14" s="11" t="s">
        <v>2201</v>
      </c>
      <c r="K14" s="11" t="s">
        <v>2202</v>
      </c>
      <c r="L14" s="11" t="s">
        <v>1396</v>
      </c>
      <c r="M14" s="11" t="s">
        <v>2203</v>
      </c>
      <c r="N14" s="11" t="s">
        <v>2204</v>
      </c>
      <c r="O14" s="11" t="s">
        <v>308</v>
      </c>
      <c r="P14" s="11" t="s">
        <v>2205</v>
      </c>
      <c r="Q14" s="12" t="s">
        <v>2206</v>
      </c>
    </row>
    <row r="15" customFormat="false" ht="95.5" hidden="false" customHeight="false" outlineLevel="0" collapsed="false">
      <c r="A15" s="10" t="s">
        <v>2220</v>
      </c>
      <c r="B15" s="11" t="s">
        <v>133</v>
      </c>
      <c r="C15" s="11" t="s">
        <v>134</v>
      </c>
      <c r="D15" s="11" t="s">
        <v>120</v>
      </c>
      <c r="E15" s="11" t="s">
        <v>2217</v>
      </c>
      <c r="F15" s="11" t="s">
        <v>2218</v>
      </c>
      <c r="G15" s="11"/>
      <c r="H15" s="11"/>
      <c r="I15" s="11" t="s">
        <v>1165</v>
      </c>
      <c r="J15" s="11" t="s">
        <v>2201</v>
      </c>
      <c r="K15" s="11" t="s">
        <v>2202</v>
      </c>
      <c r="L15" s="11" t="s">
        <v>1396</v>
      </c>
      <c r="M15" s="11" t="s">
        <v>2203</v>
      </c>
      <c r="N15" s="11" t="s">
        <v>2204</v>
      </c>
      <c r="O15" s="11" t="s">
        <v>308</v>
      </c>
      <c r="P15" s="11" t="s">
        <v>2205</v>
      </c>
      <c r="Q15" s="12" t="s">
        <v>2206</v>
      </c>
    </row>
    <row r="16" customFormat="false" ht="95.5" hidden="false" customHeight="false" outlineLevel="0" collapsed="false">
      <c r="A16" s="10" t="s">
        <v>2221</v>
      </c>
      <c r="B16" s="11" t="s">
        <v>139</v>
      </c>
      <c r="C16" s="11" t="s">
        <v>140</v>
      </c>
      <c r="D16" s="11" t="s">
        <v>120</v>
      </c>
      <c r="E16" s="11" t="s">
        <v>2217</v>
      </c>
      <c r="F16" s="11" t="s">
        <v>2218</v>
      </c>
      <c r="G16" s="11"/>
      <c r="H16" s="11"/>
      <c r="I16" s="11" t="s">
        <v>1165</v>
      </c>
      <c r="J16" s="11" t="s">
        <v>2201</v>
      </c>
      <c r="K16" s="11" t="s">
        <v>2202</v>
      </c>
      <c r="L16" s="11" t="s">
        <v>1396</v>
      </c>
      <c r="M16" s="11" t="s">
        <v>2203</v>
      </c>
      <c r="N16" s="11" t="s">
        <v>2204</v>
      </c>
      <c r="O16" s="11" t="s">
        <v>308</v>
      </c>
      <c r="P16" s="11" t="s">
        <v>2205</v>
      </c>
      <c r="Q16" s="12" t="s">
        <v>2206</v>
      </c>
    </row>
    <row r="17" customFormat="false" ht="95.5" hidden="false" customHeight="false" outlineLevel="0" collapsed="false">
      <c r="A17" s="10" t="s">
        <v>2222</v>
      </c>
      <c r="B17" s="11" t="s">
        <v>145</v>
      </c>
      <c r="C17" s="11" t="s">
        <v>147</v>
      </c>
      <c r="D17" s="11" t="s">
        <v>146</v>
      </c>
      <c r="E17" s="11" t="s">
        <v>2217</v>
      </c>
      <c r="F17" s="11" t="s">
        <v>2218</v>
      </c>
      <c r="G17" s="11"/>
      <c r="H17" s="11"/>
      <c r="I17" s="11" t="s">
        <v>1165</v>
      </c>
      <c r="J17" s="11" t="s">
        <v>2201</v>
      </c>
      <c r="K17" s="11" t="s">
        <v>2202</v>
      </c>
      <c r="L17" s="11" t="s">
        <v>1396</v>
      </c>
      <c r="M17" s="11" t="s">
        <v>2203</v>
      </c>
      <c r="N17" s="11" t="s">
        <v>2204</v>
      </c>
      <c r="O17" s="11" t="s">
        <v>308</v>
      </c>
      <c r="P17" s="11" t="s">
        <v>2205</v>
      </c>
      <c r="Q17" s="12" t="s">
        <v>2206</v>
      </c>
    </row>
    <row r="18" customFormat="false" ht="95.5" hidden="false" customHeight="false" outlineLevel="0" collapsed="false">
      <c r="A18" s="10" t="s">
        <v>2223</v>
      </c>
      <c r="B18" s="11" t="s">
        <v>153</v>
      </c>
      <c r="C18" s="11" t="s">
        <v>154</v>
      </c>
      <c r="D18" s="11" t="s">
        <v>146</v>
      </c>
      <c r="E18" s="11" t="s">
        <v>2217</v>
      </c>
      <c r="F18" s="11" t="s">
        <v>2218</v>
      </c>
      <c r="G18" s="11"/>
      <c r="H18" s="11"/>
      <c r="I18" s="11" t="s">
        <v>1165</v>
      </c>
      <c r="J18" s="11" t="s">
        <v>2201</v>
      </c>
      <c r="K18" s="11" t="s">
        <v>2202</v>
      </c>
      <c r="L18" s="11" t="s">
        <v>1396</v>
      </c>
      <c r="M18" s="11" t="s">
        <v>2203</v>
      </c>
      <c r="N18" s="11" t="s">
        <v>2204</v>
      </c>
      <c r="O18" s="11" t="s">
        <v>308</v>
      </c>
      <c r="P18" s="11" t="s">
        <v>2205</v>
      </c>
      <c r="Q18" s="12" t="s">
        <v>2206</v>
      </c>
    </row>
    <row r="19" customFormat="false" ht="95.5" hidden="false" customHeight="false" outlineLevel="0" collapsed="false">
      <c r="A19" s="10" t="s">
        <v>2224</v>
      </c>
      <c r="B19" s="11" t="s">
        <v>159</v>
      </c>
      <c r="C19" s="11" t="s">
        <v>160</v>
      </c>
      <c r="D19" s="11" t="s">
        <v>146</v>
      </c>
      <c r="E19" s="11" t="s">
        <v>2217</v>
      </c>
      <c r="F19" s="11" t="s">
        <v>2218</v>
      </c>
      <c r="G19" s="11"/>
      <c r="H19" s="11"/>
      <c r="I19" s="11" t="s">
        <v>1165</v>
      </c>
      <c r="J19" s="11" t="s">
        <v>2201</v>
      </c>
      <c r="K19" s="11" t="s">
        <v>2202</v>
      </c>
      <c r="L19" s="11" t="s">
        <v>1396</v>
      </c>
      <c r="M19" s="11" t="s">
        <v>2203</v>
      </c>
      <c r="N19" s="11" t="s">
        <v>2204</v>
      </c>
      <c r="O19" s="11" t="s">
        <v>308</v>
      </c>
      <c r="P19" s="11" t="s">
        <v>2205</v>
      </c>
      <c r="Q19" s="12" t="s">
        <v>2206</v>
      </c>
    </row>
    <row r="20" customFormat="false" ht="95.5" hidden="false" customHeight="false" outlineLevel="0" collapsed="false">
      <c r="A20" s="10" t="s">
        <v>2225</v>
      </c>
      <c r="B20" s="11" t="s">
        <v>165</v>
      </c>
      <c r="C20" s="11" t="s">
        <v>166</v>
      </c>
      <c r="D20" s="11" t="s">
        <v>146</v>
      </c>
      <c r="E20" s="11" t="s">
        <v>2217</v>
      </c>
      <c r="F20" s="11" t="s">
        <v>2218</v>
      </c>
      <c r="G20" s="11"/>
      <c r="H20" s="11"/>
      <c r="I20" s="11" t="s">
        <v>1165</v>
      </c>
      <c r="J20" s="11" t="s">
        <v>2201</v>
      </c>
      <c r="K20" s="11" t="s">
        <v>2202</v>
      </c>
      <c r="L20" s="11" t="s">
        <v>1396</v>
      </c>
      <c r="M20" s="11" t="s">
        <v>2203</v>
      </c>
      <c r="N20" s="11" t="s">
        <v>2204</v>
      </c>
      <c r="O20" s="11" t="s">
        <v>308</v>
      </c>
      <c r="P20" s="11" t="s">
        <v>2205</v>
      </c>
      <c r="Q20" s="12" t="s">
        <v>2206</v>
      </c>
    </row>
    <row r="21" customFormat="false" ht="95.5" hidden="false" customHeight="false" outlineLevel="0" collapsed="false">
      <c r="A21" s="10" t="s">
        <v>2226</v>
      </c>
      <c r="B21" s="11" t="s">
        <v>171</v>
      </c>
      <c r="C21" s="11" t="s">
        <v>172</v>
      </c>
      <c r="D21" s="11" t="s">
        <v>146</v>
      </c>
      <c r="E21" s="11" t="s">
        <v>2217</v>
      </c>
      <c r="F21" s="11" t="s">
        <v>2218</v>
      </c>
      <c r="G21" s="11"/>
      <c r="H21" s="11"/>
      <c r="I21" s="11" t="s">
        <v>1165</v>
      </c>
      <c r="J21" s="11" t="s">
        <v>2201</v>
      </c>
      <c r="K21" s="11" t="s">
        <v>2202</v>
      </c>
      <c r="L21" s="11" t="s">
        <v>1396</v>
      </c>
      <c r="M21" s="11" t="s">
        <v>2203</v>
      </c>
      <c r="N21" s="11" t="s">
        <v>2204</v>
      </c>
      <c r="O21" s="11" t="s">
        <v>308</v>
      </c>
      <c r="P21" s="11" t="s">
        <v>2205</v>
      </c>
      <c r="Q21" s="12" t="s">
        <v>2206</v>
      </c>
    </row>
    <row r="22" customFormat="false" ht="95.5" hidden="false" customHeight="false" outlineLevel="0" collapsed="false">
      <c r="A22" s="10" t="s">
        <v>2227</v>
      </c>
      <c r="B22" s="11" t="s">
        <v>176</v>
      </c>
      <c r="C22" s="11" t="s">
        <v>178</v>
      </c>
      <c r="D22" s="11" t="s">
        <v>177</v>
      </c>
      <c r="E22" s="11" t="s">
        <v>2228</v>
      </c>
      <c r="F22" s="11" t="s">
        <v>2229</v>
      </c>
      <c r="G22" s="11"/>
      <c r="H22" s="11"/>
      <c r="I22" s="11" t="s">
        <v>1165</v>
      </c>
      <c r="J22" s="11" t="s">
        <v>2201</v>
      </c>
      <c r="K22" s="11" t="s">
        <v>2202</v>
      </c>
      <c r="L22" s="11" t="s">
        <v>1396</v>
      </c>
      <c r="M22" s="11" t="s">
        <v>2203</v>
      </c>
      <c r="N22" s="11" t="s">
        <v>2204</v>
      </c>
      <c r="O22" s="11" t="s">
        <v>308</v>
      </c>
      <c r="P22" s="11" t="s">
        <v>2205</v>
      </c>
      <c r="Q22" s="12" t="s">
        <v>2206</v>
      </c>
    </row>
    <row r="23" customFormat="false" ht="95.5" hidden="false" customHeight="false" outlineLevel="0" collapsed="false">
      <c r="A23" s="10" t="s">
        <v>2230</v>
      </c>
      <c r="B23" s="11" t="s">
        <v>185</v>
      </c>
      <c r="C23" s="11" t="s">
        <v>187</v>
      </c>
      <c r="D23" s="11" t="s">
        <v>186</v>
      </c>
      <c r="E23" s="11" t="s">
        <v>2231</v>
      </c>
      <c r="F23" s="11" t="s">
        <v>2229</v>
      </c>
      <c r="G23" s="11"/>
      <c r="H23" s="11"/>
      <c r="I23" s="11" t="s">
        <v>1165</v>
      </c>
      <c r="J23" s="11" t="s">
        <v>2201</v>
      </c>
      <c r="K23" s="11" t="s">
        <v>2202</v>
      </c>
      <c r="L23" s="11" t="s">
        <v>1396</v>
      </c>
      <c r="M23" s="11" t="s">
        <v>2203</v>
      </c>
      <c r="N23" s="11" t="s">
        <v>2204</v>
      </c>
      <c r="O23" s="11" t="s">
        <v>308</v>
      </c>
      <c r="P23" s="11" t="s">
        <v>2205</v>
      </c>
      <c r="Q23" s="12" t="s">
        <v>2206</v>
      </c>
    </row>
    <row r="24" customFormat="false" ht="95.5" hidden="false" customHeight="false" outlineLevel="0" collapsed="false">
      <c r="A24" s="10" t="s">
        <v>2232</v>
      </c>
      <c r="B24" s="11" t="s">
        <v>191</v>
      </c>
      <c r="C24" s="11" t="s">
        <v>192</v>
      </c>
      <c r="D24" s="11" t="s">
        <v>186</v>
      </c>
      <c r="E24" s="11" t="s">
        <v>2231</v>
      </c>
      <c r="F24" s="11" t="s">
        <v>2229</v>
      </c>
      <c r="G24" s="11"/>
      <c r="H24" s="11"/>
      <c r="I24" s="11" t="s">
        <v>1165</v>
      </c>
      <c r="J24" s="11" t="s">
        <v>2201</v>
      </c>
      <c r="K24" s="11" t="s">
        <v>2202</v>
      </c>
      <c r="L24" s="11" t="s">
        <v>1396</v>
      </c>
      <c r="M24" s="11" t="s">
        <v>2203</v>
      </c>
      <c r="N24" s="11" t="s">
        <v>2204</v>
      </c>
      <c r="O24" s="11" t="s">
        <v>308</v>
      </c>
      <c r="P24" s="11" t="s">
        <v>2205</v>
      </c>
      <c r="Q24" s="12" t="s">
        <v>2206</v>
      </c>
    </row>
    <row r="25" customFormat="false" ht="95.5" hidden="false" customHeight="false" outlineLevel="0" collapsed="false">
      <c r="A25" s="10" t="s">
        <v>2233</v>
      </c>
      <c r="B25" s="11" t="s">
        <v>197</v>
      </c>
      <c r="C25" s="11" t="s">
        <v>198</v>
      </c>
      <c r="D25" s="11" t="s">
        <v>186</v>
      </c>
      <c r="E25" s="11" t="s">
        <v>2231</v>
      </c>
      <c r="F25" s="11" t="s">
        <v>2229</v>
      </c>
      <c r="G25" s="11"/>
      <c r="H25" s="11"/>
      <c r="I25" s="11" t="s">
        <v>1165</v>
      </c>
      <c r="J25" s="11" t="s">
        <v>2201</v>
      </c>
      <c r="K25" s="11" t="s">
        <v>2202</v>
      </c>
      <c r="L25" s="11" t="s">
        <v>1396</v>
      </c>
      <c r="M25" s="11" t="s">
        <v>2203</v>
      </c>
      <c r="N25" s="11" t="s">
        <v>2204</v>
      </c>
      <c r="O25" s="11" t="s">
        <v>308</v>
      </c>
      <c r="P25" s="11" t="s">
        <v>2205</v>
      </c>
      <c r="Q25" s="12" t="s">
        <v>2206</v>
      </c>
    </row>
    <row r="26" customFormat="false" ht="95.5" hidden="false" customHeight="false" outlineLevel="0" collapsed="false">
      <c r="A26" s="10" t="s">
        <v>2234</v>
      </c>
      <c r="B26" s="11" t="s">
        <v>203</v>
      </c>
      <c r="C26" s="11" t="s">
        <v>204</v>
      </c>
      <c r="D26" s="11" t="s">
        <v>186</v>
      </c>
      <c r="E26" s="11" t="s">
        <v>2231</v>
      </c>
      <c r="F26" s="11" t="s">
        <v>2229</v>
      </c>
      <c r="G26" s="11"/>
      <c r="H26" s="11"/>
      <c r="I26" s="11" t="s">
        <v>1165</v>
      </c>
      <c r="J26" s="11" t="s">
        <v>2201</v>
      </c>
      <c r="K26" s="11" t="s">
        <v>2202</v>
      </c>
      <c r="L26" s="11" t="s">
        <v>1396</v>
      </c>
      <c r="M26" s="11" t="s">
        <v>2203</v>
      </c>
      <c r="N26" s="11" t="s">
        <v>2204</v>
      </c>
      <c r="O26" s="11" t="s">
        <v>308</v>
      </c>
      <c r="P26" s="11" t="s">
        <v>2205</v>
      </c>
      <c r="Q26" s="12" t="s">
        <v>2206</v>
      </c>
    </row>
    <row r="27" customFormat="false" ht="95.5" hidden="false" customHeight="false" outlineLevel="0" collapsed="false">
      <c r="A27" s="10" t="s">
        <v>2235</v>
      </c>
      <c r="B27" s="11" t="s">
        <v>209</v>
      </c>
      <c r="C27" s="11" t="s">
        <v>211</v>
      </c>
      <c r="D27" s="11" t="s">
        <v>210</v>
      </c>
      <c r="E27" s="11" t="s">
        <v>2236</v>
      </c>
      <c r="F27" s="11" t="s">
        <v>2229</v>
      </c>
      <c r="G27" s="11"/>
      <c r="H27" s="11"/>
      <c r="I27" s="11" t="s">
        <v>1165</v>
      </c>
      <c r="J27" s="11" t="s">
        <v>2201</v>
      </c>
      <c r="K27" s="11" t="s">
        <v>2202</v>
      </c>
      <c r="L27" s="11" t="s">
        <v>1396</v>
      </c>
      <c r="M27" s="11" t="s">
        <v>2203</v>
      </c>
      <c r="N27" s="11" t="s">
        <v>2204</v>
      </c>
      <c r="O27" s="11" t="s">
        <v>308</v>
      </c>
      <c r="P27" s="11" t="s">
        <v>2205</v>
      </c>
      <c r="Q27" s="12" t="s">
        <v>2206</v>
      </c>
    </row>
    <row r="28" customFormat="false" ht="95.5" hidden="false" customHeight="false" outlineLevel="0" collapsed="false">
      <c r="A28" s="10" t="s">
        <v>2237</v>
      </c>
      <c r="B28" s="11" t="s">
        <v>216</v>
      </c>
      <c r="C28" s="11" t="s">
        <v>217</v>
      </c>
      <c r="D28" s="11" t="s">
        <v>210</v>
      </c>
      <c r="E28" s="11" t="s">
        <v>2236</v>
      </c>
      <c r="F28" s="11" t="s">
        <v>2229</v>
      </c>
      <c r="G28" s="11"/>
      <c r="H28" s="11"/>
      <c r="I28" s="11" t="s">
        <v>1165</v>
      </c>
      <c r="J28" s="11" t="s">
        <v>2201</v>
      </c>
      <c r="K28" s="11" t="s">
        <v>2202</v>
      </c>
      <c r="L28" s="11" t="s">
        <v>1396</v>
      </c>
      <c r="M28" s="11" t="s">
        <v>2203</v>
      </c>
      <c r="N28" s="11" t="s">
        <v>2204</v>
      </c>
      <c r="O28" s="11" t="s">
        <v>308</v>
      </c>
      <c r="P28" s="11" t="s">
        <v>2205</v>
      </c>
      <c r="Q28" s="12" t="s">
        <v>2206</v>
      </c>
    </row>
    <row r="29" customFormat="false" ht="95.5" hidden="false" customHeight="false" outlineLevel="0" collapsed="false">
      <c r="A29" s="10" t="s">
        <v>2238</v>
      </c>
      <c r="B29" s="11" t="s">
        <v>221</v>
      </c>
      <c r="C29" s="11" t="s">
        <v>222</v>
      </c>
      <c r="D29" s="11" t="s">
        <v>210</v>
      </c>
      <c r="E29" s="11" t="s">
        <v>2236</v>
      </c>
      <c r="F29" s="11" t="s">
        <v>2229</v>
      </c>
      <c r="G29" s="11"/>
      <c r="H29" s="11"/>
      <c r="I29" s="11" t="s">
        <v>1165</v>
      </c>
      <c r="J29" s="11" t="s">
        <v>2201</v>
      </c>
      <c r="K29" s="11" t="s">
        <v>2202</v>
      </c>
      <c r="L29" s="11" t="s">
        <v>1396</v>
      </c>
      <c r="M29" s="11" t="s">
        <v>2203</v>
      </c>
      <c r="N29" s="11" t="s">
        <v>2204</v>
      </c>
      <c r="O29" s="11" t="s">
        <v>308</v>
      </c>
      <c r="P29" s="11" t="s">
        <v>2205</v>
      </c>
      <c r="Q29" s="12" t="s">
        <v>2206</v>
      </c>
    </row>
    <row r="30" customFormat="false" ht="95.5" hidden="false" customHeight="false" outlineLevel="0" collapsed="false">
      <c r="A30" s="10" t="s">
        <v>2239</v>
      </c>
      <c r="B30" s="11" t="s">
        <v>252</v>
      </c>
      <c r="C30" s="11" t="s">
        <v>254</v>
      </c>
      <c r="D30" s="11" t="s">
        <v>253</v>
      </c>
      <c r="E30" s="11" t="s">
        <v>2240</v>
      </c>
      <c r="F30" s="11" t="s">
        <v>2241</v>
      </c>
      <c r="G30" s="11"/>
      <c r="H30" s="11"/>
      <c r="I30" s="11" t="s">
        <v>1165</v>
      </c>
      <c r="J30" s="11" t="s">
        <v>2201</v>
      </c>
      <c r="K30" s="11" t="s">
        <v>2202</v>
      </c>
      <c r="L30" s="11" t="s">
        <v>1396</v>
      </c>
      <c r="M30" s="11" t="s">
        <v>2203</v>
      </c>
      <c r="N30" s="11" t="s">
        <v>2204</v>
      </c>
      <c r="O30" s="11" t="s">
        <v>308</v>
      </c>
      <c r="P30" s="11" t="s">
        <v>2205</v>
      </c>
      <c r="Q30" s="12" t="s">
        <v>2206</v>
      </c>
    </row>
    <row r="31" customFormat="false" ht="95.5" hidden="false" customHeight="false" outlineLevel="0" collapsed="false">
      <c r="A31" s="10" t="s">
        <v>2242</v>
      </c>
      <c r="B31" s="11" t="s">
        <v>261</v>
      </c>
      <c r="C31" s="11" t="s">
        <v>262</v>
      </c>
      <c r="D31" s="11" t="s">
        <v>253</v>
      </c>
      <c r="E31" s="11" t="s">
        <v>2240</v>
      </c>
      <c r="F31" s="11" t="s">
        <v>2241</v>
      </c>
      <c r="G31" s="11"/>
      <c r="H31" s="11"/>
      <c r="I31" s="11" t="s">
        <v>1165</v>
      </c>
      <c r="J31" s="11" t="s">
        <v>2201</v>
      </c>
      <c r="K31" s="11" t="s">
        <v>2202</v>
      </c>
      <c r="L31" s="11" t="s">
        <v>1396</v>
      </c>
      <c r="M31" s="11" t="s">
        <v>2203</v>
      </c>
      <c r="N31" s="11" t="s">
        <v>2204</v>
      </c>
      <c r="O31" s="11" t="s">
        <v>308</v>
      </c>
      <c r="P31" s="11" t="s">
        <v>2205</v>
      </c>
      <c r="Q31" s="12" t="s">
        <v>2206</v>
      </c>
    </row>
    <row r="32" customFormat="false" ht="95.5" hidden="false" customHeight="false" outlineLevel="0" collapsed="false">
      <c r="A32" s="10" t="s">
        <v>2243</v>
      </c>
      <c r="B32" s="11" t="s">
        <v>269</v>
      </c>
      <c r="C32" s="11" t="s">
        <v>270</v>
      </c>
      <c r="D32" s="11" t="s">
        <v>253</v>
      </c>
      <c r="E32" s="11" t="s">
        <v>2240</v>
      </c>
      <c r="F32" s="11" t="s">
        <v>2241</v>
      </c>
      <c r="G32" s="11"/>
      <c r="H32" s="11"/>
      <c r="I32" s="11" t="s">
        <v>1165</v>
      </c>
      <c r="J32" s="11" t="s">
        <v>2201</v>
      </c>
      <c r="K32" s="11" t="s">
        <v>2202</v>
      </c>
      <c r="L32" s="11" t="s">
        <v>1396</v>
      </c>
      <c r="M32" s="11" t="s">
        <v>2203</v>
      </c>
      <c r="N32" s="11" t="s">
        <v>2204</v>
      </c>
      <c r="O32" s="11" t="s">
        <v>308</v>
      </c>
      <c r="P32" s="11" t="s">
        <v>2205</v>
      </c>
      <c r="Q32" s="12" t="s">
        <v>2206</v>
      </c>
    </row>
    <row r="33" customFormat="false" ht="43.25" hidden="false" customHeight="false" outlineLevel="0" collapsed="false">
      <c r="A33" s="10" t="s">
        <v>2244</v>
      </c>
      <c r="B33" s="11" t="s">
        <v>226</v>
      </c>
      <c r="C33" s="11" t="s">
        <v>228</v>
      </c>
      <c r="D33" s="11" t="s">
        <v>227</v>
      </c>
      <c r="E33" s="11" t="s">
        <v>2245</v>
      </c>
      <c r="F33" s="11"/>
      <c r="G33" s="11"/>
      <c r="H33" s="11"/>
      <c r="I33" s="11" t="s">
        <v>1165</v>
      </c>
      <c r="J33" s="11" t="s">
        <v>2246</v>
      </c>
      <c r="K33" s="11" t="s">
        <v>2247</v>
      </c>
      <c r="L33" s="11" t="s">
        <v>24</v>
      </c>
      <c r="M33" s="11"/>
      <c r="N33" s="11" t="s">
        <v>2248</v>
      </c>
      <c r="O33" s="11" t="s">
        <v>15</v>
      </c>
      <c r="P33" s="11" t="s">
        <v>2249</v>
      </c>
      <c r="Q33" s="12" t="s">
        <v>2250</v>
      </c>
    </row>
    <row r="34" customFormat="false" ht="43.25" hidden="false" customHeight="false" outlineLevel="0" collapsed="false">
      <c r="A34" s="10" t="s">
        <v>2251</v>
      </c>
      <c r="B34" s="11" t="s">
        <v>240</v>
      </c>
      <c r="C34" s="11" t="s">
        <v>241</v>
      </c>
      <c r="D34" s="11" t="s">
        <v>227</v>
      </c>
      <c r="E34" s="11" t="s">
        <v>2245</v>
      </c>
      <c r="F34" s="11"/>
      <c r="G34" s="11"/>
      <c r="H34" s="11"/>
      <c r="I34" s="11" t="s">
        <v>1165</v>
      </c>
      <c r="J34" s="11" t="s">
        <v>2246</v>
      </c>
      <c r="K34" s="11" t="s">
        <v>2247</v>
      </c>
      <c r="L34" s="11" t="s">
        <v>24</v>
      </c>
      <c r="M34" s="11"/>
      <c r="N34" s="11" t="s">
        <v>2248</v>
      </c>
      <c r="O34" s="11" t="s">
        <v>15</v>
      </c>
      <c r="P34" s="11" t="s">
        <v>2249</v>
      </c>
      <c r="Q34" s="12" t="s">
        <v>2250</v>
      </c>
    </row>
    <row r="35" customFormat="false" ht="43.25" hidden="false" customHeight="false" outlineLevel="0" collapsed="false">
      <c r="A35" s="13" t="s">
        <v>2252</v>
      </c>
      <c r="B35" s="14" t="s">
        <v>246</v>
      </c>
      <c r="C35" s="14" t="s">
        <v>247</v>
      </c>
      <c r="D35" s="14" t="s">
        <v>227</v>
      </c>
      <c r="E35" s="14" t="s">
        <v>2245</v>
      </c>
      <c r="F35" s="14"/>
      <c r="G35" s="14"/>
      <c r="H35" s="14"/>
      <c r="I35" s="14" t="s">
        <v>1165</v>
      </c>
      <c r="J35" s="14" t="s">
        <v>2246</v>
      </c>
      <c r="K35" s="14" t="s">
        <v>2247</v>
      </c>
      <c r="L35" s="14" t="s">
        <v>24</v>
      </c>
      <c r="M35" s="14"/>
      <c r="N35" s="14" t="s">
        <v>2248</v>
      </c>
      <c r="O35" s="14" t="s">
        <v>15</v>
      </c>
      <c r="P35" s="14" t="s">
        <v>2249</v>
      </c>
      <c r="Q35" s="15" t="s">
        <v>2250</v>
      </c>
    </row>
  </sheetData>
  <autoFilter ref="A1:Q35">
    <filterColumn colId="0" hiddenButton="1"/>
  </autoFilter>
  <mergeCells count="2">
    <mergeCell ref="A1:Q1"/>
    <mergeCell ref="A2:Q2"/>
  </mergeCells>
  <conditionalFormatting sqref="I5:I35">
    <cfRule type="containsText" priority="2" operator="containsText" aboveAverage="0" equalAverage="0" bottom="0" percent="0" rank="0" text="BLOCK" dxfId="127">
      <formula>NOT(ISERROR(SEARCH("BLOCK",I5)))</formula>
    </cfRule>
    <cfRule type="containsText" priority="3" operator="containsText" aboveAverage="0" equalAverage="0" bottom="0" percent="0" rank="0" text="DRAFT" dxfId="128">
      <formula>NOT(ISERROR(SEARCH("DRAFT",I5)))</formula>
    </cfRule>
    <cfRule type="containsText" priority="4" operator="containsText" aboveAverage="0" equalAverage="0" bottom="0" percent="0" rank="0" text="PASS" dxfId="129">
      <formula>NOT(ISERROR(SEARCH("PASS",I5)))</formula>
    </cfRule>
  </conditionalFormatting>
  <conditionalFormatting sqref="L5:L35">
    <cfRule type="containsText" priority="5" operator="containsText" aboveAverage="0" equalAverage="0" bottom="0" percent="0" rank="0" text="BLOCK" dxfId="130">
      <formula>NOT(ISERROR(SEARCH("BLOCK",L5)))</formula>
    </cfRule>
    <cfRule type="containsText" priority="6" operator="containsText" aboveAverage="0" equalAverage="0" bottom="0" percent="0" rank="0" text="DRAFT" dxfId="131">
      <formula>NOT(ISERROR(SEARCH("DRAFT",L5)))</formula>
    </cfRule>
    <cfRule type="containsText" priority="7" operator="containsText" aboveAverage="0" equalAverage="0" bottom="0" percent="0" rank="0" text="PASS" dxfId="132">
      <formula>NOT(ISERROR(SEARCH("PASS",L5)))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true">
    <pageSetUpPr fitToPage="false"/>
  </sheetPr>
  <dimension ref="A1:A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21" min="3" style="0" width="16"/>
    <col collapsed="false" customWidth="true" hidden="false" outlineLevel="0" max="22" min="22" style="0" width="24"/>
    <col collapsed="false" customWidth="true" hidden="false" outlineLevel="0" max="23" min="23" style="0" width="16"/>
    <col collapsed="false" customWidth="true" hidden="false" outlineLevel="0" max="24" min="24" style="0" width="38"/>
    <col collapsed="false" customWidth="true" hidden="false" outlineLevel="0" max="25" min="25" style="0" width="16"/>
    <col collapsed="false" customWidth="true" hidden="false" outlineLevel="0" max="26" min="26" style="0" width="24"/>
    <col collapsed="false" customWidth="true" hidden="false" outlineLevel="0" max="27" min="27" style="0" width="16"/>
  </cols>
  <sheetData>
    <row r="1" customFormat="false" ht="17.35" hidden="false" customHeight="false" outlineLevel="0" collapsed="false">
      <c r="A1" s="4" t="s">
        <v>2253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5" hidden="false" customHeight="true" outlineLevel="0" collapsed="false">
      <c r="A2" s="5" t="s">
        <v>2254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4" customFormat="false" ht="50" hidden="false" customHeight="true" outlineLevel="0" collapsed="false">
      <c r="A4" s="6" t="s">
        <v>45</v>
      </c>
      <c r="B4" s="6" t="s">
        <v>47</v>
      </c>
      <c r="C4" s="6" t="s">
        <v>2255</v>
      </c>
      <c r="D4" s="6" t="s">
        <v>2256</v>
      </c>
      <c r="E4" s="6" t="s">
        <v>2257</v>
      </c>
      <c r="F4" s="6" t="s">
        <v>2258</v>
      </c>
      <c r="G4" s="6" t="s">
        <v>2259</v>
      </c>
      <c r="H4" s="6" t="s">
        <v>2260</v>
      </c>
      <c r="I4" s="6" t="s">
        <v>2261</v>
      </c>
      <c r="J4" s="6" t="s">
        <v>2262</v>
      </c>
      <c r="K4" s="6" t="s">
        <v>2263</v>
      </c>
      <c r="L4" s="6" t="s">
        <v>2264</v>
      </c>
      <c r="M4" s="6" t="s">
        <v>2265</v>
      </c>
      <c r="N4" s="6" t="s">
        <v>2266</v>
      </c>
      <c r="O4" s="6" t="s">
        <v>2267</v>
      </c>
      <c r="P4" s="6" t="s">
        <v>2268</v>
      </c>
      <c r="Q4" s="6" t="s">
        <v>2269</v>
      </c>
      <c r="R4" s="6" t="s">
        <v>2270</v>
      </c>
      <c r="S4" s="6" t="s">
        <v>2271</v>
      </c>
      <c r="T4" s="6" t="s">
        <v>2272</v>
      </c>
      <c r="U4" s="6" t="s">
        <v>2273</v>
      </c>
      <c r="V4" s="6" t="s">
        <v>2274</v>
      </c>
      <c r="W4" s="6" t="s">
        <v>292</v>
      </c>
      <c r="X4" s="6" t="s">
        <v>2275</v>
      </c>
      <c r="Y4" s="6" t="s">
        <v>2276</v>
      </c>
      <c r="Z4" s="6" t="s">
        <v>2277</v>
      </c>
      <c r="AA4" s="6" t="s">
        <v>2278</v>
      </c>
    </row>
    <row r="5" customFormat="false" ht="95.5" hidden="false" customHeight="false" outlineLevel="0" collapsed="false">
      <c r="A5" s="7" t="s">
        <v>60</v>
      </c>
      <c r="B5" s="8" t="s">
        <v>62</v>
      </c>
      <c r="C5" s="8" t="s">
        <v>2279</v>
      </c>
      <c r="D5" s="8" t="s">
        <v>308</v>
      </c>
      <c r="E5" s="8" t="s">
        <v>68</v>
      </c>
      <c r="F5" s="8" t="s">
        <v>2280</v>
      </c>
      <c r="G5" s="8" t="s">
        <v>2281</v>
      </c>
      <c r="H5" s="8" t="s">
        <v>2281</v>
      </c>
      <c r="I5" s="8" t="s">
        <v>2281</v>
      </c>
      <c r="J5" s="8" t="s">
        <v>2281</v>
      </c>
      <c r="K5" s="8" t="s">
        <v>2282</v>
      </c>
      <c r="L5" s="8" t="s">
        <v>2281</v>
      </c>
      <c r="M5" s="8" t="s">
        <v>2281</v>
      </c>
      <c r="N5" s="8" t="s">
        <v>2281</v>
      </c>
      <c r="O5" s="8" t="s">
        <v>2282</v>
      </c>
      <c r="P5" s="8" t="s">
        <v>2281</v>
      </c>
      <c r="Q5" s="8" t="s">
        <v>2281</v>
      </c>
      <c r="R5" s="8" t="s">
        <v>2281</v>
      </c>
      <c r="S5" s="8" t="s">
        <v>2281</v>
      </c>
      <c r="T5" s="8" t="s">
        <v>2281</v>
      </c>
      <c r="U5" s="8" t="s">
        <v>2281</v>
      </c>
      <c r="V5" s="8" t="s">
        <v>2283</v>
      </c>
      <c r="W5" s="8" t="s">
        <v>2284</v>
      </c>
      <c r="X5" s="8" t="s">
        <v>2285</v>
      </c>
      <c r="Y5" s="8" t="s">
        <v>2286</v>
      </c>
      <c r="Z5" s="8" t="s">
        <v>2287</v>
      </c>
      <c r="AA5" s="9" t="s">
        <v>2288</v>
      </c>
    </row>
    <row r="6" customFormat="false" ht="95.5" hidden="false" customHeight="false" outlineLevel="0" collapsed="false">
      <c r="A6" s="10" t="s">
        <v>73</v>
      </c>
      <c r="B6" s="11" t="s">
        <v>74</v>
      </c>
      <c r="C6" s="11" t="s">
        <v>2279</v>
      </c>
      <c r="D6" s="11" t="s">
        <v>308</v>
      </c>
      <c r="E6" s="11" t="s">
        <v>68</v>
      </c>
      <c r="F6" s="11" t="s">
        <v>2280</v>
      </c>
      <c r="G6" s="11" t="s">
        <v>2281</v>
      </c>
      <c r="H6" s="11" t="s">
        <v>2281</v>
      </c>
      <c r="I6" s="11" t="s">
        <v>2281</v>
      </c>
      <c r="J6" s="11" t="s">
        <v>2281</v>
      </c>
      <c r="K6" s="11" t="s">
        <v>2282</v>
      </c>
      <c r="L6" s="11" t="s">
        <v>2281</v>
      </c>
      <c r="M6" s="11" t="s">
        <v>2281</v>
      </c>
      <c r="N6" s="11" t="s">
        <v>2281</v>
      </c>
      <c r="O6" s="11" t="s">
        <v>2282</v>
      </c>
      <c r="P6" s="11" t="s">
        <v>2281</v>
      </c>
      <c r="Q6" s="11" t="s">
        <v>2281</v>
      </c>
      <c r="R6" s="11" t="s">
        <v>2281</v>
      </c>
      <c r="S6" s="11" t="s">
        <v>2281</v>
      </c>
      <c r="T6" s="11" t="s">
        <v>2281</v>
      </c>
      <c r="U6" s="11" t="s">
        <v>2281</v>
      </c>
      <c r="V6" s="11" t="s">
        <v>2283</v>
      </c>
      <c r="W6" s="11" t="s">
        <v>2284</v>
      </c>
      <c r="X6" s="11" t="s">
        <v>2285</v>
      </c>
      <c r="Y6" s="11" t="s">
        <v>2286</v>
      </c>
      <c r="Z6" s="11" t="s">
        <v>2287</v>
      </c>
      <c r="AA6" s="12" t="s">
        <v>2288</v>
      </c>
    </row>
    <row r="7" customFormat="false" ht="95.5" hidden="false" customHeight="false" outlineLevel="0" collapsed="false">
      <c r="A7" s="10" t="s">
        <v>79</v>
      </c>
      <c r="B7" s="11" t="s">
        <v>80</v>
      </c>
      <c r="C7" s="11" t="s">
        <v>2279</v>
      </c>
      <c r="D7" s="11" t="s">
        <v>308</v>
      </c>
      <c r="E7" s="11" t="s">
        <v>68</v>
      </c>
      <c r="F7" s="11" t="s">
        <v>2280</v>
      </c>
      <c r="G7" s="11" t="s">
        <v>2281</v>
      </c>
      <c r="H7" s="11" t="s">
        <v>2281</v>
      </c>
      <c r="I7" s="11" t="s">
        <v>2281</v>
      </c>
      <c r="J7" s="11" t="s">
        <v>2281</v>
      </c>
      <c r="K7" s="11" t="s">
        <v>2282</v>
      </c>
      <c r="L7" s="11" t="s">
        <v>2281</v>
      </c>
      <c r="M7" s="11" t="s">
        <v>2281</v>
      </c>
      <c r="N7" s="11" t="s">
        <v>2281</v>
      </c>
      <c r="O7" s="11" t="s">
        <v>2282</v>
      </c>
      <c r="P7" s="11" t="s">
        <v>2281</v>
      </c>
      <c r="Q7" s="11" t="s">
        <v>2281</v>
      </c>
      <c r="R7" s="11" t="s">
        <v>2281</v>
      </c>
      <c r="S7" s="11" t="s">
        <v>2281</v>
      </c>
      <c r="T7" s="11" t="s">
        <v>2281</v>
      </c>
      <c r="U7" s="11" t="s">
        <v>2281</v>
      </c>
      <c r="V7" s="11" t="s">
        <v>2283</v>
      </c>
      <c r="W7" s="11" t="s">
        <v>2284</v>
      </c>
      <c r="X7" s="11" t="s">
        <v>2285</v>
      </c>
      <c r="Y7" s="11" t="s">
        <v>2286</v>
      </c>
      <c r="Z7" s="11" t="s">
        <v>2287</v>
      </c>
      <c r="AA7" s="12" t="s">
        <v>2288</v>
      </c>
    </row>
    <row r="8" customFormat="false" ht="95.5" hidden="false" customHeight="false" outlineLevel="0" collapsed="false">
      <c r="A8" s="10" t="s">
        <v>85</v>
      </c>
      <c r="B8" s="11" t="s">
        <v>86</v>
      </c>
      <c r="C8" s="11" t="s">
        <v>2279</v>
      </c>
      <c r="D8" s="11" t="s">
        <v>308</v>
      </c>
      <c r="E8" s="11" t="s">
        <v>68</v>
      </c>
      <c r="F8" s="11" t="s">
        <v>2280</v>
      </c>
      <c r="G8" s="11" t="s">
        <v>2281</v>
      </c>
      <c r="H8" s="11" t="s">
        <v>2281</v>
      </c>
      <c r="I8" s="11" t="s">
        <v>2281</v>
      </c>
      <c r="J8" s="11" t="s">
        <v>2281</v>
      </c>
      <c r="K8" s="11" t="s">
        <v>2282</v>
      </c>
      <c r="L8" s="11" t="s">
        <v>2281</v>
      </c>
      <c r="M8" s="11" t="s">
        <v>2281</v>
      </c>
      <c r="N8" s="11" t="s">
        <v>2281</v>
      </c>
      <c r="O8" s="11" t="s">
        <v>2282</v>
      </c>
      <c r="P8" s="11" t="s">
        <v>2281</v>
      </c>
      <c r="Q8" s="11" t="s">
        <v>2281</v>
      </c>
      <c r="R8" s="11" t="s">
        <v>2281</v>
      </c>
      <c r="S8" s="11" t="s">
        <v>2281</v>
      </c>
      <c r="T8" s="11" t="s">
        <v>2281</v>
      </c>
      <c r="U8" s="11" t="s">
        <v>2281</v>
      </c>
      <c r="V8" s="11" t="s">
        <v>2283</v>
      </c>
      <c r="W8" s="11" t="s">
        <v>2284</v>
      </c>
      <c r="X8" s="11" t="s">
        <v>2285</v>
      </c>
      <c r="Y8" s="11" t="s">
        <v>2286</v>
      </c>
      <c r="Z8" s="11" t="s">
        <v>2287</v>
      </c>
      <c r="AA8" s="12" t="s">
        <v>2288</v>
      </c>
    </row>
    <row r="9" customFormat="false" ht="95.5" hidden="false" customHeight="false" outlineLevel="0" collapsed="false">
      <c r="A9" s="10" t="s">
        <v>90</v>
      </c>
      <c r="B9" s="11" t="s">
        <v>92</v>
      </c>
      <c r="C9" s="11" t="s">
        <v>2279</v>
      </c>
      <c r="D9" s="11" t="s">
        <v>308</v>
      </c>
      <c r="E9" s="11" t="s">
        <v>68</v>
      </c>
      <c r="F9" s="11" t="s">
        <v>2280</v>
      </c>
      <c r="G9" s="11" t="s">
        <v>2281</v>
      </c>
      <c r="H9" s="11" t="s">
        <v>2281</v>
      </c>
      <c r="I9" s="11" t="s">
        <v>2281</v>
      </c>
      <c r="J9" s="11" t="s">
        <v>2281</v>
      </c>
      <c r="K9" s="11" t="s">
        <v>2282</v>
      </c>
      <c r="L9" s="11" t="s">
        <v>2281</v>
      </c>
      <c r="M9" s="11" t="s">
        <v>2281</v>
      </c>
      <c r="N9" s="11" t="s">
        <v>2281</v>
      </c>
      <c r="O9" s="11" t="s">
        <v>2281</v>
      </c>
      <c r="P9" s="11" t="s">
        <v>2281</v>
      </c>
      <c r="Q9" s="11" t="s">
        <v>2281</v>
      </c>
      <c r="R9" s="11" t="s">
        <v>2281</v>
      </c>
      <c r="S9" s="11" t="s">
        <v>2281</v>
      </c>
      <c r="T9" s="11" t="s">
        <v>2281</v>
      </c>
      <c r="U9" s="11" t="s">
        <v>2281</v>
      </c>
      <c r="V9" s="11" t="s">
        <v>2283</v>
      </c>
      <c r="W9" s="11" t="s">
        <v>2284</v>
      </c>
      <c r="X9" s="11" t="s">
        <v>2285</v>
      </c>
      <c r="Y9" s="11" t="s">
        <v>2286</v>
      </c>
      <c r="Z9" s="11" t="s">
        <v>2287</v>
      </c>
      <c r="AA9" s="12" t="s">
        <v>2288</v>
      </c>
    </row>
    <row r="10" customFormat="false" ht="95.5" hidden="false" customHeight="false" outlineLevel="0" collapsed="false">
      <c r="A10" s="10" t="s">
        <v>99</v>
      </c>
      <c r="B10" s="11" t="s">
        <v>100</v>
      </c>
      <c r="C10" s="11" t="s">
        <v>2279</v>
      </c>
      <c r="D10" s="11" t="s">
        <v>308</v>
      </c>
      <c r="E10" s="11" t="s">
        <v>68</v>
      </c>
      <c r="F10" s="11" t="s">
        <v>2280</v>
      </c>
      <c r="G10" s="11" t="s">
        <v>2281</v>
      </c>
      <c r="H10" s="11" t="s">
        <v>2281</v>
      </c>
      <c r="I10" s="11" t="s">
        <v>2281</v>
      </c>
      <c r="J10" s="11" t="s">
        <v>2281</v>
      </c>
      <c r="K10" s="11" t="s">
        <v>2282</v>
      </c>
      <c r="L10" s="11" t="s">
        <v>2281</v>
      </c>
      <c r="M10" s="11" t="s">
        <v>2281</v>
      </c>
      <c r="N10" s="11" t="s">
        <v>2281</v>
      </c>
      <c r="O10" s="11" t="s">
        <v>2281</v>
      </c>
      <c r="P10" s="11" t="s">
        <v>2281</v>
      </c>
      <c r="Q10" s="11" t="s">
        <v>2281</v>
      </c>
      <c r="R10" s="11" t="s">
        <v>2281</v>
      </c>
      <c r="S10" s="11" t="s">
        <v>2281</v>
      </c>
      <c r="T10" s="11" t="s">
        <v>2281</v>
      </c>
      <c r="U10" s="11" t="s">
        <v>2281</v>
      </c>
      <c r="V10" s="11" t="s">
        <v>2283</v>
      </c>
      <c r="W10" s="11" t="s">
        <v>2284</v>
      </c>
      <c r="X10" s="11" t="s">
        <v>2285</v>
      </c>
      <c r="Y10" s="11" t="s">
        <v>2286</v>
      </c>
      <c r="Z10" s="11" t="s">
        <v>2287</v>
      </c>
      <c r="AA10" s="12" t="s">
        <v>2288</v>
      </c>
    </row>
    <row r="11" customFormat="false" ht="95.5" hidden="false" customHeight="false" outlineLevel="0" collapsed="false">
      <c r="A11" s="10" t="s">
        <v>105</v>
      </c>
      <c r="B11" s="11" t="s">
        <v>106</v>
      </c>
      <c r="C11" s="11" t="s">
        <v>2279</v>
      </c>
      <c r="D11" s="11" t="s">
        <v>308</v>
      </c>
      <c r="E11" s="11" t="s">
        <v>68</v>
      </c>
      <c r="F11" s="11" t="s">
        <v>2280</v>
      </c>
      <c r="G11" s="11" t="s">
        <v>2281</v>
      </c>
      <c r="H11" s="11" t="s">
        <v>2281</v>
      </c>
      <c r="I11" s="11" t="s">
        <v>2281</v>
      </c>
      <c r="J11" s="11" t="s">
        <v>2281</v>
      </c>
      <c r="K11" s="11" t="s">
        <v>2282</v>
      </c>
      <c r="L11" s="11" t="s">
        <v>2281</v>
      </c>
      <c r="M11" s="11" t="s">
        <v>2281</v>
      </c>
      <c r="N11" s="11" t="s">
        <v>2281</v>
      </c>
      <c r="O11" s="11" t="s">
        <v>2281</v>
      </c>
      <c r="P11" s="11" t="s">
        <v>2281</v>
      </c>
      <c r="Q11" s="11" t="s">
        <v>2281</v>
      </c>
      <c r="R11" s="11" t="s">
        <v>2281</v>
      </c>
      <c r="S11" s="11" t="s">
        <v>2281</v>
      </c>
      <c r="T11" s="11" t="s">
        <v>2281</v>
      </c>
      <c r="U11" s="11" t="s">
        <v>2281</v>
      </c>
      <c r="V11" s="11" t="s">
        <v>2283</v>
      </c>
      <c r="W11" s="11" t="s">
        <v>2284</v>
      </c>
      <c r="X11" s="11" t="s">
        <v>2285</v>
      </c>
      <c r="Y11" s="11" t="s">
        <v>2286</v>
      </c>
      <c r="Z11" s="11" t="s">
        <v>2287</v>
      </c>
      <c r="AA11" s="12" t="s">
        <v>2288</v>
      </c>
    </row>
    <row r="12" customFormat="false" ht="95.5" hidden="false" customHeight="false" outlineLevel="0" collapsed="false">
      <c r="A12" s="10" t="s">
        <v>112</v>
      </c>
      <c r="B12" s="11" t="s">
        <v>113</v>
      </c>
      <c r="C12" s="11" t="s">
        <v>2279</v>
      </c>
      <c r="D12" s="11" t="s">
        <v>308</v>
      </c>
      <c r="E12" s="11" t="s">
        <v>68</v>
      </c>
      <c r="F12" s="11" t="s">
        <v>2280</v>
      </c>
      <c r="G12" s="11" t="s">
        <v>2281</v>
      </c>
      <c r="H12" s="11" t="s">
        <v>2281</v>
      </c>
      <c r="I12" s="11" t="s">
        <v>2281</v>
      </c>
      <c r="J12" s="11" t="s">
        <v>2281</v>
      </c>
      <c r="K12" s="11" t="s">
        <v>2282</v>
      </c>
      <c r="L12" s="11" t="s">
        <v>2281</v>
      </c>
      <c r="M12" s="11" t="s">
        <v>2281</v>
      </c>
      <c r="N12" s="11" t="s">
        <v>2281</v>
      </c>
      <c r="O12" s="11" t="s">
        <v>2282</v>
      </c>
      <c r="P12" s="11" t="s">
        <v>2281</v>
      </c>
      <c r="Q12" s="11" t="s">
        <v>2281</v>
      </c>
      <c r="R12" s="11" t="s">
        <v>2281</v>
      </c>
      <c r="S12" s="11" t="s">
        <v>2281</v>
      </c>
      <c r="T12" s="11" t="s">
        <v>2281</v>
      </c>
      <c r="U12" s="11" t="s">
        <v>2282</v>
      </c>
      <c r="V12" s="11" t="s">
        <v>2283</v>
      </c>
      <c r="W12" s="11" t="s">
        <v>2284</v>
      </c>
      <c r="X12" s="11" t="s">
        <v>2285</v>
      </c>
      <c r="Y12" s="11" t="s">
        <v>2286</v>
      </c>
      <c r="Z12" s="11" t="s">
        <v>2287</v>
      </c>
      <c r="AA12" s="12" t="s">
        <v>2288</v>
      </c>
    </row>
    <row r="13" customFormat="false" ht="95.5" hidden="false" customHeight="false" outlineLevel="0" collapsed="false">
      <c r="A13" s="10" t="s">
        <v>119</v>
      </c>
      <c r="B13" s="11" t="s">
        <v>121</v>
      </c>
      <c r="C13" s="11" t="s">
        <v>2279</v>
      </c>
      <c r="D13" s="11" t="s">
        <v>308</v>
      </c>
      <c r="E13" s="11" t="s">
        <v>68</v>
      </c>
      <c r="F13" s="11" t="s">
        <v>2280</v>
      </c>
      <c r="G13" s="11" t="s">
        <v>2281</v>
      </c>
      <c r="H13" s="11" t="s">
        <v>2281</v>
      </c>
      <c r="I13" s="11" t="s">
        <v>2281</v>
      </c>
      <c r="J13" s="11" t="s">
        <v>2281</v>
      </c>
      <c r="K13" s="11" t="s">
        <v>2281</v>
      </c>
      <c r="L13" s="11" t="s">
        <v>2281</v>
      </c>
      <c r="M13" s="11" t="s">
        <v>2281</v>
      </c>
      <c r="N13" s="11" t="s">
        <v>2281</v>
      </c>
      <c r="O13" s="11" t="s">
        <v>2282</v>
      </c>
      <c r="P13" s="11" t="s">
        <v>2281</v>
      </c>
      <c r="Q13" s="11" t="s">
        <v>2281</v>
      </c>
      <c r="R13" s="11" t="s">
        <v>2281</v>
      </c>
      <c r="S13" s="11" t="s">
        <v>2281</v>
      </c>
      <c r="T13" s="11" t="s">
        <v>2281</v>
      </c>
      <c r="U13" s="11" t="s">
        <v>2281</v>
      </c>
      <c r="V13" s="11" t="s">
        <v>2283</v>
      </c>
      <c r="W13" s="11" t="s">
        <v>2284</v>
      </c>
      <c r="X13" s="11" t="s">
        <v>2285</v>
      </c>
      <c r="Y13" s="11" t="s">
        <v>2286</v>
      </c>
      <c r="Z13" s="11" t="s">
        <v>2287</v>
      </c>
      <c r="AA13" s="12" t="s">
        <v>2288</v>
      </c>
    </row>
    <row r="14" customFormat="false" ht="95.5" hidden="false" customHeight="false" outlineLevel="0" collapsed="false">
      <c r="A14" s="10" t="s">
        <v>127</v>
      </c>
      <c r="B14" s="11" t="s">
        <v>128</v>
      </c>
      <c r="C14" s="11" t="s">
        <v>2279</v>
      </c>
      <c r="D14" s="11" t="s">
        <v>308</v>
      </c>
      <c r="E14" s="11" t="s">
        <v>68</v>
      </c>
      <c r="F14" s="11" t="s">
        <v>2280</v>
      </c>
      <c r="G14" s="11" t="s">
        <v>2281</v>
      </c>
      <c r="H14" s="11" t="s">
        <v>2281</v>
      </c>
      <c r="I14" s="11" t="s">
        <v>2282</v>
      </c>
      <c r="J14" s="11" t="s">
        <v>2281</v>
      </c>
      <c r="K14" s="11" t="s">
        <v>2281</v>
      </c>
      <c r="L14" s="11" t="s">
        <v>2289</v>
      </c>
      <c r="M14" s="11" t="s">
        <v>2281</v>
      </c>
      <c r="N14" s="11" t="s">
        <v>2281</v>
      </c>
      <c r="O14" s="11" t="s">
        <v>2281</v>
      </c>
      <c r="P14" s="11" t="s">
        <v>2289</v>
      </c>
      <c r="Q14" s="11" t="s">
        <v>2282</v>
      </c>
      <c r="R14" s="11" t="s">
        <v>2281</v>
      </c>
      <c r="S14" s="11" t="s">
        <v>2281</v>
      </c>
      <c r="T14" s="11" t="s">
        <v>2281</v>
      </c>
      <c r="U14" s="11" t="s">
        <v>2281</v>
      </c>
      <c r="V14" s="11" t="s">
        <v>2283</v>
      </c>
      <c r="W14" s="11" t="s">
        <v>2284</v>
      </c>
      <c r="X14" s="11" t="s">
        <v>2285</v>
      </c>
      <c r="Y14" s="11" t="s">
        <v>2286</v>
      </c>
      <c r="Z14" s="11" t="s">
        <v>2287</v>
      </c>
      <c r="AA14" s="12" t="s">
        <v>2288</v>
      </c>
    </row>
    <row r="15" customFormat="false" ht="95.5" hidden="false" customHeight="false" outlineLevel="0" collapsed="false">
      <c r="A15" s="10" t="s">
        <v>133</v>
      </c>
      <c r="B15" s="11" t="s">
        <v>134</v>
      </c>
      <c r="C15" s="11" t="s">
        <v>2279</v>
      </c>
      <c r="D15" s="11" t="s">
        <v>308</v>
      </c>
      <c r="E15" s="11" t="s">
        <v>68</v>
      </c>
      <c r="F15" s="11" t="s">
        <v>2280</v>
      </c>
      <c r="G15" s="11" t="s">
        <v>2281</v>
      </c>
      <c r="H15" s="11" t="s">
        <v>2281</v>
      </c>
      <c r="I15" s="11" t="s">
        <v>2281</v>
      </c>
      <c r="J15" s="11" t="s">
        <v>2281</v>
      </c>
      <c r="K15" s="11" t="s">
        <v>2281</v>
      </c>
      <c r="L15" s="11" t="s">
        <v>2281</v>
      </c>
      <c r="M15" s="11" t="s">
        <v>2281</v>
      </c>
      <c r="N15" s="11" t="s">
        <v>2281</v>
      </c>
      <c r="O15" s="11" t="s">
        <v>2282</v>
      </c>
      <c r="P15" s="11" t="s">
        <v>2281</v>
      </c>
      <c r="Q15" s="11" t="s">
        <v>2281</v>
      </c>
      <c r="R15" s="11" t="s">
        <v>2281</v>
      </c>
      <c r="S15" s="11" t="s">
        <v>2281</v>
      </c>
      <c r="T15" s="11" t="s">
        <v>2281</v>
      </c>
      <c r="U15" s="11" t="s">
        <v>2281</v>
      </c>
      <c r="V15" s="11" t="s">
        <v>2283</v>
      </c>
      <c r="W15" s="11" t="s">
        <v>2284</v>
      </c>
      <c r="X15" s="11" t="s">
        <v>2285</v>
      </c>
      <c r="Y15" s="11" t="s">
        <v>2286</v>
      </c>
      <c r="Z15" s="11" t="s">
        <v>2287</v>
      </c>
      <c r="AA15" s="12" t="s">
        <v>2288</v>
      </c>
    </row>
    <row r="16" customFormat="false" ht="95.5" hidden="false" customHeight="false" outlineLevel="0" collapsed="false">
      <c r="A16" s="10" t="s">
        <v>139</v>
      </c>
      <c r="B16" s="11" t="s">
        <v>140</v>
      </c>
      <c r="C16" s="11" t="s">
        <v>2279</v>
      </c>
      <c r="D16" s="11" t="s">
        <v>308</v>
      </c>
      <c r="E16" s="11" t="s">
        <v>68</v>
      </c>
      <c r="F16" s="11" t="s">
        <v>2280</v>
      </c>
      <c r="G16" s="11" t="s">
        <v>2281</v>
      </c>
      <c r="H16" s="11" t="s">
        <v>2281</v>
      </c>
      <c r="I16" s="11" t="s">
        <v>2281</v>
      </c>
      <c r="J16" s="11" t="s">
        <v>2281</v>
      </c>
      <c r="K16" s="11" t="s">
        <v>2281</v>
      </c>
      <c r="L16" s="11" t="s">
        <v>2281</v>
      </c>
      <c r="M16" s="11" t="s">
        <v>2281</v>
      </c>
      <c r="N16" s="11" t="s">
        <v>2281</v>
      </c>
      <c r="O16" s="11" t="s">
        <v>2281</v>
      </c>
      <c r="P16" s="11" t="s">
        <v>2281</v>
      </c>
      <c r="Q16" s="11" t="s">
        <v>2281</v>
      </c>
      <c r="R16" s="11" t="s">
        <v>2281</v>
      </c>
      <c r="S16" s="11" t="s">
        <v>2281</v>
      </c>
      <c r="T16" s="11" t="s">
        <v>2281</v>
      </c>
      <c r="U16" s="11" t="s">
        <v>2281</v>
      </c>
      <c r="V16" s="11" t="s">
        <v>2283</v>
      </c>
      <c r="W16" s="11" t="s">
        <v>2284</v>
      </c>
      <c r="X16" s="11" t="s">
        <v>2285</v>
      </c>
      <c r="Y16" s="11" t="s">
        <v>2286</v>
      </c>
      <c r="Z16" s="11" t="s">
        <v>2287</v>
      </c>
      <c r="AA16" s="12" t="s">
        <v>2288</v>
      </c>
    </row>
    <row r="17" customFormat="false" ht="95.5" hidden="false" customHeight="false" outlineLevel="0" collapsed="false">
      <c r="A17" s="10" t="s">
        <v>145</v>
      </c>
      <c r="B17" s="11" t="s">
        <v>147</v>
      </c>
      <c r="C17" s="11" t="s">
        <v>2279</v>
      </c>
      <c r="D17" s="11" t="s">
        <v>308</v>
      </c>
      <c r="E17" s="11" t="s">
        <v>68</v>
      </c>
      <c r="F17" s="11" t="s">
        <v>2280</v>
      </c>
      <c r="G17" s="11" t="s">
        <v>2281</v>
      </c>
      <c r="H17" s="11" t="s">
        <v>2281</v>
      </c>
      <c r="I17" s="11" t="s">
        <v>2281</v>
      </c>
      <c r="J17" s="11" t="s">
        <v>2281</v>
      </c>
      <c r="K17" s="11" t="s">
        <v>2281</v>
      </c>
      <c r="L17" s="11" t="s">
        <v>2281</v>
      </c>
      <c r="M17" s="11" t="s">
        <v>2281</v>
      </c>
      <c r="N17" s="11" t="s">
        <v>2281</v>
      </c>
      <c r="O17" s="11" t="s">
        <v>2281</v>
      </c>
      <c r="P17" s="11" t="s">
        <v>2281</v>
      </c>
      <c r="Q17" s="11" t="s">
        <v>2281</v>
      </c>
      <c r="R17" s="11" t="s">
        <v>2282</v>
      </c>
      <c r="S17" s="11" t="s">
        <v>2281</v>
      </c>
      <c r="T17" s="11" t="s">
        <v>2281</v>
      </c>
      <c r="U17" s="11" t="s">
        <v>2281</v>
      </c>
      <c r="V17" s="11" t="s">
        <v>2283</v>
      </c>
      <c r="W17" s="11" t="s">
        <v>2284</v>
      </c>
      <c r="X17" s="11" t="s">
        <v>2285</v>
      </c>
      <c r="Y17" s="11" t="s">
        <v>2286</v>
      </c>
      <c r="Z17" s="11" t="s">
        <v>2287</v>
      </c>
      <c r="AA17" s="12" t="s">
        <v>2288</v>
      </c>
    </row>
    <row r="18" customFormat="false" ht="95.5" hidden="false" customHeight="false" outlineLevel="0" collapsed="false">
      <c r="A18" s="10" t="s">
        <v>153</v>
      </c>
      <c r="B18" s="11" t="s">
        <v>154</v>
      </c>
      <c r="C18" s="11" t="s">
        <v>2279</v>
      </c>
      <c r="D18" s="11" t="s">
        <v>308</v>
      </c>
      <c r="E18" s="11" t="s">
        <v>68</v>
      </c>
      <c r="F18" s="11" t="s">
        <v>2280</v>
      </c>
      <c r="G18" s="11" t="s">
        <v>2281</v>
      </c>
      <c r="H18" s="11" t="s">
        <v>2281</v>
      </c>
      <c r="I18" s="11" t="s">
        <v>2281</v>
      </c>
      <c r="J18" s="11" t="s">
        <v>2281</v>
      </c>
      <c r="K18" s="11" t="s">
        <v>2281</v>
      </c>
      <c r="L18" s="11" t="s">
        <v>2281</v>
      </c>
      <c r="M18" s="11" t="s">
        <v>2281</v>
      </c>
      <c r="N18" s="11" t="s">
        <v>2281</v>
      </c>
      <c r="O18" s="11" t="s">
        <v>2281</v>
      </c>
      <c r="P18" s="11" t="s">
        <v>2281</v>
      </c>
      <c r="Q18" s="11" t="s">
        <v>2281</v>
      </c>
      <c r="R18" s="11" t="s">
        <v>2282</v>
      </c>
      <c r="S18" s="11" t="s">
        <v>2281</v>
      </c>
      <c r="T18" s="11" t="s">
        <v>2281</v>
      </c>
      <c r="U18" s="11" t="s">
        <v>2281</v>
      </c>
      <c r="V18" s="11" t="s">
        <v>2283</v>
      </c>
      <c r="W18" s="11" t="s">
        <v>2284</v>
      </c>
      <c r="X18" s="11" t="s">
        <v>2285</v>
      </c>
      <c r="Y18" s="11" t="s">
        <v>2286</v>
      </c>
      <c r="Z18" s="11" t="s">
        <v>2287</v>
      </c>
      <c r="AA18" s="12" t="s">
        <v>2288</v>
      </c>
    </row>
    <row r="19" customFormat="false" ht="95.5" hidden="false" customHeight="false" outlineLevel="0" collapsed="false">
      <c r="A19" s="10" t="s">
        <v>159</v>
      </c>
      <c r="B19" s="11" t="s">
        <v>160</v>
      </c>
      <c r="C19" s="11" t="s">
        <v>2279</v>
      </c>
      <c r="D19" s="11" t="s">
        <v>308</v>
      </c>
      <c r="E19" s="11" t="s">
        <v>68</v>
      </c>
      <c r="F19" s="11" t="s">
        <v>2280</v>
      </c>
      <c r="G19" s="11" t="s">
        <v>2281</v>
      </c>
      <c r="H19" s="11" t="s">
        <v>2281</v>
      </c>
      <c r="I19" s="11" t="s">
        <v>2281</v>
      </c>
      <c r="J19" s="11" t="s">
        <v>2281</v>
      </c>
      <c r="K19" s="11" t="s">
        <v>2281</v>
      </c>
      <c r="L19" s="11" t="s">
        <v>2281</v>
      </c>
      <c r="M19" s="11" t="s">
        <v>2281</v>
      </c>
      <c r="N19" s="11" t="s">
        <v>2281</v>
      </c>
      <c r="O19" s="11" t="s">
        <v>2281</v>
      </c>
      <c r="P19" s="11" t="s">
        <v>2281</v>
      </c>
      <c r="Q19" s="11" t="s">
        <v>2281</v>
      </c>
      <c r="R19" s="11" t="s">
        <v>2281</v>
      </c>
      <c r="S19" s="11" t="s">
        <v>2281</v>
      </c>
      <c r="T19" s="11" t="s">
        <v>2281</v>
      </c>
      <c r="U19" s="11" t="s">
        <v>2281</v>
      </c>
      <c r="V19" s="11" t="s">
        <v>2283</v>
      </c>
      <c r="W19" s="11" t="s">
        <v>2284</v>
      </c>
      <c r="X19" s="11" t="s">
        <v>2285</v>
      </c>
      <c r="Y19" s="11" t="s">
        <v>2286</v>
      </c>
      <c r="Z19" s="11" t="s">
        <v>2287</v>
      </c>
      <c r="AA19" s="12" t="s">
        <v>2288</v>
      </c>
    </row>
    <row r="20" customFormat="false" ht="95.5" hidden="false" customHeight="false" outlineLevel="0" collapsed="false">
      <c r="A20" s="10" t="s">
        <v>165</v>
      </c>
      <c r="B20" s="11" t="s">
        <v>166</v>
      </c>
      <c r="C20" s="11" t="s">
        <v>2279</v>
      </c>
      <c r="D20" s="11" t="s">
        <v>308</v>
      </c>
      <c r="E20" s="11" t="s">
        <v>68</v>
      </c>
      <c r="F20" s="11" t="s">
        <v>2280</v>
      </c>
      <c r="G20" s="11" t="s">
        <v>2281</v>
      </c>
      <c r="H20" s="11" t="s">
        <v>2281</v>
      </c>
      <c r="I20" s="11" t="s">
        <v>2281</v>
      </c>
      <c r="J20" s="11" t="s">
        <v>2281</v>
      </c>
      <c r="K20" s="11" t="s">
        <v>2281</v>
      </c>
      <c r="L20" s="11" t="s">
        <v>2281</v>
      </c>
      <c r="M20" s="11" t="s">
        <v>2281</v>
      </c>
      <c r="N20" s="11" t="s">
        <v>2281</v>
      </c>
      <c r="O20" s="11" t="s">
        <v>2281</v>
      </c>
      <c r="P20" s="11" t="s">
        <v>2281</v>
      </c>
      <c r="Q20" s="11" t="s">
        <v>2281</v>
      </c>
      <c r="R20" s="11" t="s">
        <v>2281</v>
      </c>
      <c r="S20" s="11" t="s">
        <v>2281</v>
      </c>
      <c r="T20" s="11" t="s">
        <v>2281</v>
      </c>
      <c r="U20" s="11" t="s">
        <v>2281</v>
      </c>
      <c r="V20" s="11" t="s">
        <v>2283</v>
      </c>
      <c r="W20" s="11" t="s">
        <v>2284</v>
      </c>
      <c r="X20" s="11" t="s">
        <v>2285</v>
      </c>
      <c r="Y20" s="11" t="s">
        <v>2286</v>
      </c>
      <c r="Z20" s="11" t="s">
        <v>2287</v>
      </c>
      <c r="AA20" s="12" t="s">
        <v>2288</v>
      </c>
    </row>
    <row r="21" customFormat="false" ht="95.5" hidden="false" customHeight="false" outlineLevel="0" collapsed="false">
      <c r="A21" s="10" t="s">
        <v>171</v>
      </c>
      <c r="B21" s="11" t="s">
        <v>172</v>
      </c>
      <c r="C21" s="11" t="s">
        <v>2279</v>
      </c>
      <c r="D21" s="11" t="s">
        <v>308</v>
      </c>
      <c r="E21" s="11" t="s">
        <v>68</v>
      </c>
      <c r="F21" s="11" t="s">
        <v>2280</v>
      </c>
      <c r="G21" s="11" t="s">
        <v>2281</v>
      </c>
      <c r="H21" s="11" t="s">
        <v>2281</v>
      </c>
      <c r="I21" s="11" t="s">
        <v>2282</v>
      </c>
      <c r="J21" s="11" t="s">
        <v>2281</v>
      </c>
      <c r="K21" s="11" t="s">
        <v>2282</v>
      </c>
      <c r="L21" s="11" t="s">
        <v>2281</v>
      </c>
      <c r="M21" s="11" t="s">
        <v>2281</v>
      </c>
      <c r="N21" s="11" t="s">
        <v>2281</v>
      </c>
      <c r="O21" s="11" t="s">
        <v>2281</v>
      </c>
      <c r="P21" s="11" t="s">
        <v>2281</v>
      </c>
      <c r="Q21" s="11" t="s">
        <v>2281</v>
      </c>
      <c r="R21" s="11" t="s">
        <v>2281</v>
      </c>
      <c r="S21" s="11" t="s">
        <v>2281</v>
      </c>
      <c r="T21" s="11" t="s">
        <v>2281</v>
      </c>
      <c r="U21" s="11" t="s">
        <v>2282</v>
      </c>
      <c r="V21" s="11" t="s">
        <v>2283</v>
      </c>
      <c r="W21" s="11" t="s">
        <v>2284</v>
      </c>
      <c r="X21" s="11" t="s">
        <v>2285</v>
      </c>
      <c r="Y21" s="11" t="s">
        <v>2286</v>
      </c>
      <c r="Z21" s="11" t="s">
        <v>2287</v>
      </c>
      <c r="AA21" s="12" t="s">
        <v>2288</v>
      </c>
    </row>
    <row r="22" customFormat="false" ht="95.5" hidden="false" customHeight="false" outlineLevel="0" collapsed="false">
      <c r="A22" s="10" t="s">
        <v>176</v>
      </c>
      <c r="B22" s="11" t="s">
        <v>178</v>
      </c>
      <c r="C22" s="11" t="s">
        <v>2279</v>
      </c>
      <c r="D22" s="11" t="s">
        <v>308</v>
      </c>
      <c r="E22" s="11" t="s">
        <v>68</v>
      </c>
      <c r="F22" s="11" t="s">
        <v>2280</v>
      </c>
      <c r="G22" s="11" t="s">
        <v>2281</v>
      </c>
      <c r="H22" s="11" t="s">
        <v>2281</v>
      </c>
      <c r="I22" s="11" t="s">
        <v>2281</v>
      </c>
      <c r="J22" s="11" t="s">
        <v>2281</v>
      </c>
      <c r="K22" s="11" t="s">
        <v>2281</v>
      </c>
      <c r="L22" s="11" t="s">
        <v>2281</v>
      </c>
      <c r="M22" s="11" t="s">
        <v>2281</v>
      </c>
      <c r="N22" s="11" t="s">
        <v>2281</v>
      </c>
      <c r="O22" s="11" t="s">
        <v>2282</v>
      </c>
      <c r="P22" s="11" t="s">
        <v>2281</v>
      </c>
      <c r="Q22" s="11" t="s">
        <v>2281</v>
      </c>
      <c r="R22" s="11" t="s">
        <v>2281</v>
      </c>
      <c r="S22" s="11" t="s">
        <v>2281</v>
      </c>
      <c r="T22" s="11" t="s">
        <v>2281</v>
      </c>
      <c r="U22" s="11" t="s">
        <v>2281</v>
      </c>
      <c r="V22" s="11" t="s">
        <v>2283</v>
      </c>
      <c r="W22" s="11" t="s">
        <v>2284</v>
      </c>
      <c r="X22" s="11" t="s">
        <v>2285</v>
      </c>
      <c r="Y22" s="11" t="s">
        <v>2286</v>
      </c>
      <c r="Z22" s="11" t="s">
        <v>2287</v>
      </c>
      <c r="AA22" s="12" t="s">
        <v>2288</v>
      </c>
    </row>
    <row r="23" customFormat="false" ht="95.5" hidden="false" customHeight="false" outlineLevel="0" collapsed="false">
      <c r="A23" s="10" t="s">
        <v>185</v>
      </c>
      <c r="B23" s="11" t="s">
        <v>187</v>
      </c>
      <c r="C23" s="11" t="s">
        <v>2279</v>
      </c>
      <c r="D23" s="11" t="s">
        <v>308</v>
      </c>
      <c r="E23" s="11" t="s">
        <v>68</v>
      </c>
      <c r="F23" s="11" t="s">
        <v>2280</v>
      </c>
      <c r="G23" s="11" t="s">
        <v>2281</v>
      </c>
      <c r="H23" s="11" t="s">
        <v>2281</v>
      </c>
      <c r="I23" s="11" t="s">
        <v>2282</v>
      </c>
      <c r="J23" s="11" t="s">
        <v>2281</v>
      </c>
      <c r="K23" s="11" t="s">
        <v>2281</v>
      </c>
      <c r="L23" s="11" t="s">
        <v>2281</v>
      </c>
      <c r="M23" s="11" t="s">
        <v>2281</v>
      </c>
      <c r="N23" s="11" t="s">
        <v>2281</v>
      </c>
      <c r="O23" s="11" t="s">
        <v>2282</v>
      </c>
      <c r="P23" s="11" t="s">
        <v>2281</v>
      </c>
      <c r="Q23" s="11" t="s">
        <v>2281</v>
      </c>
      <c r="R23" s="11" t="s">
        <v>2282</v>
      </c>
      <c r="S23" s="11" t="s">
        <v>2281</v>
      </c>
      <c r="T23" s="11" t="s">
        <v>2281</v>
      </c>
      <c r="U23" s="11" t="s">
        <v>2281</v>
      </c>
      <c r="V23" s="11" t="s">
        <v>2283</v>
      </c>
      <c r="W23" s="11" t="s">
        <v>2284</v>
      </c>
      <c r="X23" s="11" t="s">
        <v>2285</v>
      </c>
      <c r="Y23" s="11" t="s">
        <v>2286</v>
      </c>
      <c r="Z23" s="11" t="s">
        <v>2287</v>
      </c>
      <c r="AA23" s="12" t="s">
        <v>2288</v>
      </c>
    </row>
    <row r="24" customFormat="false" ht="95.5" hidden="false" customHeight="false" outlineLevel="0" collapsed="false">
      <c r="A24" s="10" t="s">
        <v>191</v>
      </c>
      <c r="B24" s="11" t="s">
        <v>192</v>
      </c>
      <c r="C24" s="11" t="s">
        <v>2279</v>
      </c>
      <c r="D24" s="11" t="s">
        <v>308</v>
      </c>
      <c r="E24" s="11" t="s">
        <v>68</v>
      </c>
      <c r="F24" s="11" t="s">
        <v>2280</v>
      </c>
      <c r="G24" s="11" t="s">
        <v>2281</v>
      </c>
      <c r="H24" s="11" t="s">
        <v>2281</v>
      </c>
      <c r="I24" s="11" t="s">
        <v>2281</v>
      </c>
      <c r="J24" s="11" t="s">
        <v>2281</v>
      </c>
      <c r="K24" s="11" t="s">
        <v>2281</v>
      </c>
      <c r="L24" s="11" t="s">
        <v>2281</v>
      </c>
      <c r="M24" s="11" t="s">
        <v>2281</v>
      </c>
      <c r="N24" s="11" t="s">
        <v>2281</v>
      </c>
      <c r="O24" s="11" t="s">
        <v>2281</v>
      </c>
      <c r="P24" s="11" t="s">
        <v>2281</v>
      </c>
      <c r="Q24" s="11" t="s">
        <v>2282</v>
      </c>
      <c r="R24" s="11" t="s">
        <v>2290</v>
      </c>
      <c r="S24" s="11" t="s">
        <v>2281</v>
      </c>
      <c r="T24" s="11" t="s">
        <v>2291</v>
      </c>
      <c r="U24" s="11" t="s">
        <v>2281</v>
      </c>
      <c r="V24" s="11" t="s">
        <v>2283</v>
      </c>
      <c r="W24" s="11" t="s">
        <v>2284</v>
      </c>
      <c r="X24" s="11" t="s">
        <v>2285</v>
      </c>
      <c r="Y24" s="11" t="s">
        <v>2286</v>
      </c>
      <c r="Z24" s="11" t="s">
        <v>2287</v>
      </c>
      <c r="AA24" s="12" t="s">
        <v>2288</v>
      </c>
    </row>
    <row r="25" customFormat="false" ht="95.5" hidden="false" customHeight="false" outlineLevel="0" collapsed="false">
      <c r="A25" s="10" t="s">
        <v>197</v>
      </c>
      <c r="B25" s="11" t="s">
        <v>198</v>
      </c>
      <c r="C25" s="11" t="s">
        <v>2279</v>
      </c>
      <c r="D25" s="11" t="s">
        <v>308</v>
      </c>
      <c r="E25" s="11" t="s">
        <v>68</v>
      </c>
      <c r="F25" s="11" t="s">
        <v>2280</v>
      </c>
      <c r="G25" s="11" t="s">
        <v>2281</v>
      </c>
      <c r="H25" s="11" t="s">
        <v>2281</v>
      </c>
      <c r="I25" s="11" t="s">
        <v>2281</v>
      </c>
      <c r="J25" s="11" t="s">
        <v>2281</v>
      </c>
      <c r="K25" s="11" t="s">
        <v>2282</v>
      </c>
      <c r="L25" s="11" t="s">
        <v>2281</v>
      </c>
      <c r="M25" s="11" t="s">
        <v>2281</v>
      </c>
      <c r="N25" s="11" t="s">
        <v>2281</v>
      </c>
      <c r="O25" s="11" t="s">
        <v>2282</v>
      </c>
      <c r="P25" s="11" t="s">
        <v>2281</v>
      </c>
      <c r="Q25" s="11" t="s">
        <v>2281</v>
      </c>
      <c r="R25" s="11" t="s">
        <v>2281</v>
      </c>
      <c r="S25" s="11" t="s">
        <v>2281</v>
      </c>
      <c r="T25" s="11" t="s">
        <v>2281</v>
      </c>
      <c r="U25" s="11" t="s">
        <v>2282</v>
      </c>
      <c r="V25" s="11" t="s">
        <v>2283</v>
      </c>
      <c r="W25" s="11" t="s">
        <v>2284</v>
      </c>
      <c r="X25" s="11" t="s">
        <v>2285</v>
      </c>
      <c r="Y25" s="11" t="s">
        <v>2286</v>
      </c>
      <c r="Z25" s="11" t="s">
        <v>2287</v>
      </c>
      <c r="AA25" s="12" t="s">
        <v>2288</v>
      </c>
    </row>
    <row r="26" customFormat="false" ht="95.5" hidden="false" customHeight="false" outlineLevel="0" collapsed="false">
      <c r="A26" s="10" t="s">
        <v>203</v>
      </c>
      <c r="B26" s="11" t="s">
        <v>204</v>
      </c>
      <c r="C26" s="11" t="s">
        <v>2279</v>
      </c>
      <c r="D26" s="11" t="s">
        <v>308</v>
      </c>
      <c r="E26" s="11" t="s">
        <v>68</v>
      </c>
      <c r="F26" s="11" t="s">
        <v>2280</v>
      </c>
      <c r="G26" s="11" t="s">
        <v>2281</v>
      </c>
      <c r="H26" s="11" t="s">
        <v>2281</v>
      </c>
      <c r="I26" s="11" t="s">
        <v>2281</v>
      </c>
      <c r="J26" s="11" t="s">
        <v>2281</v>
      </c>
      <c r="K26" s="11" t="s">
        <v>2281</v>
      </c>
      <c r="L26" s="11" t="s">
        <v>2281</v>
      </c>
      <c r="M26" s="11" t="s">
        <v>2281</v>
      </c>
      <c r="N26" s="11" t="s">
        <v>2281</v>
      </c>
      <c r="O26" s="11" t="s">
        <v>2281</v>
      </c>
      <c r="P26" s="11" t="s">
        <v>2281</v>
      </c>
      <c r="Q26" s="11" t="s">
        <v>2281</v>
      </c>
      <c r="R26" s="11" t="s">
        <v>2281</v>
      </c>
      <c r="S26" s="11" t="s">
        <v>2281</v>
      </c>
      <c r="T26" s="11" t="s">
        <v>2281</v>
      </c>
      <c r="U26" s="11" t="s">
        <v>2281</v>
      </c>
      <c r="V26" s="11" t="s">
        <v>2283</v>
      </c>
      <c r="W26" s="11" t="s">
        <v>2284</v>
      </c>
      <c r="X26" s="11" t="s">
        <v>2285</v>
      </c>
      <c r="Y26" s="11" t="s">
        <v>2286</v>
      </c>
      <c r="Z26" s="11" t="s">
        <v>2287</v>
      </c>
      <c r="AA26" s="12" t="s">
        <v>2288</v>
      </c>
    </row>
    <row r="27" customFormat="false" ht="95.5" hidden="false" customHeight="false" outlineLevel="0" collapsed="false">
      <c r="A27" s="10" t="s">
        <v>209</v>
      </c>
      <c r="B27" s="11" t="s">
        <v>211</v>
      </c>
      <c r="C27" s="11" t="s">
        <v>2279</v>
      </c>
      <c r="D27" s="11" t="s">
        <v>308</v>
      </c>
      <c r="E27" s="11" t="s">
        <v>68</v>
      </c>
      <c r="F27" s="11" t="s">
        <v>2280</v>
      </c>
      <c r="G27" s="11" t="s">
        <v>2281</v>
      </c>
      <c r="H27" s="11" t="s">
        <v>2281</v>
      </c>
      <c r="I27" s="11" t="s">
        <v>2281</v>
      </c>
      <c r="J27" s="11" t="s">
        <v>2281</v>
      </c>
      <c r="K27" s="11" t="s">
        <v>2281</v>
      </c>
      <c r="L27" s="11" t="s">
        <v>2281</v>
      </c>
      <c r="M27" s="11" t="s">
        <v>2281</v>
      </c>
      <c r="N27" s="11" t="s">
        <v>2281</v>
      </c>
      <c r="O27" s="11" t="s">
        <v>2281</v>
      </c>
      <c r="P27" s="11" t="s">
        <v>2281</v>
      </c>
      <c r="Q27" s="11" t="s">
        <v>2281</v>
      </c>
      <c r="R27" s="11" t="s">
        <v>2281</v>
      </c>
      <c r="S27" s="11" t="s">
        <v>2281</v>
      </c>
      <c r="T27" s="11" t="s">
        <v>2281</v>
      </c>
      <c r="U27" s="11" t="s">
        <v>2281</v>
      </c>
      <c r="V27" s="11" t="s">
        <v>2283</v>
      </c>
      <c r="W27" s="11" t="s">
        <v>2284</v>
      </c>
      <c r="X27" s="11" t="s">
        <v>2285</v>
      </c>
      <c r="Y27" s="11" t="s">
        <v>2286</v>
      </c>
      <c r="Z27" s="11" t="s">
        <v>2287</v>
      </c>
      <c r="AA27" s="12" t="s">
        <v>2288</v>
      </c>
    </row>
    <row r="28" customFormat="false" ht="95.5" hidden="false" customHeight="false" outlineLevel="0" collapsed="false">
      <c r="A28" s="10" t="s">
        <v>216</v>
      </c>
      <c r="B28" s="11" t="s">
        <v>217</v>
      </c>
      <c r="C28" s="11" t="s">
        <v>2279</v>
      </c>
      <c r="D28" s="11" t="s">
        <v>308</v>
      </c>
      <c r="E28" s="11" t="s">
        <v>68</v>
      </c>
      <c r="F28" s="11" t="s">
        <v>2280</v>
      </c>
      <c r="G28" s="11" t="s">
        <v>2281</v>
      </c>
      <c r="H28" s="11" t="s">
        <v>2281</v>
      </c>
      <c r="I28" s="11" t="s">
        <v>2281</v>
      </c>
      <c r="J28" s="11" t="s">
        <v>2281</v>
      </c>
      <c r="K28" s="11" t="s">
        <v>2281</v>
      </c>
      <c r="L28" s="11" t="s">
        <v>2281</v>
      </c>
      <c r="M28" s="11" t="s">
        <v>2281</v>
      </c>
      <c r="N28" s="11" t="s">
        <v>2281</v>
      </c>
      <c r="O28" s="11" t="s">
        <v>2282</v>
      </c>
      <c r="P28" s="11" t="s">
        <v>2281</v>
      </c>
      <c r="Q28" s="11" t="s">
        <v>2281</v>
      </c>
      <c r="R28" s="11" t="s">
        <v>2281</v>
      </c>
      <c r="S28" s="11" t="s">
        <v>2281</v>
      </c>
      <c r="T28" s="11" t="s">
        <v>2281</v>
      </c>
      <c r="U28" s="11" t="s">
        <v>2281</v>
      </c>
      <c r="V28" s="11" t="s">
        <v>2283</v>
      </c>
      <c r="W28" s="11" t="s">
        <v>2284</v>
      </c>
      <c r="X28" s="11" t="s">
        <v>2285</v>
      </c>
      <c r="Y28" s="11" t="s">
        <v>2286</v>
      </c>
      <c r="Z28" s="11" t="s">
        <v>2287</v>
      </c>
      <c r="AA28" s="12" t="s">
        <v>2288</v>
      </c>
    </row>
    <row r="29" customFormat="false" ht="95.5" hidden="false" customHeight="false" outlineLevel="0" collapsed="false">
      <c r="A29" s="10" t="s">
        <v>221</v>
      </c>
      <c r="B29" s="11" t="s">
        <v>222</v>
      </c>
      <c r="C29" s="11" t="s">
        <v>2279</v>
      </c>
      <c r="D29" s="11" t="s">
        <v>308</v>
      </c>
      <c r="E29" s="11" t="s">
        <v>68</v>
      </c>
      <c r="F29" s="11" t="s">
        <v>2280</v>
      </c>
      <c r="G29" s="11" t="s">
        <v>2281</v>
      </c>
      <c r="H29" s="11" t="s">
        <v>2281</v>
      </c>
      <c r="I29" s="11" t="s">
        <v>2281</v>
      </c>
      <c r="J29" s="11" t="s">
        <v>2281</v>
      </c>
      <c r="K29" s="11" t="s">
        <v>2281</v>
      </c>
      <c r="L29" s="11" t="s">
        <v>2281</v>
      </c>
      <c r="M29" s="11" t="s">
        <v>2281</v>
      </c>
      <c r="N29" s="11" t="s">
        <v>2281</v>
      </c>
      <c r="O29" s="11" t="s">
        <v>2281</v>
      </c>
      <c r="P29" s="11" t="s">
        <v>2281</v>
      </c>
      <c r="Q29" s="11" t="s">
        <v>2281</v>
      </c>
      <c r="R29" s="11" t="s">
        <v>2281</v>
      </c>
      <c r="S29" s="11" t="s">
        <v>2281</v>
      </c>
      <c r="T29" s="11" t="s">
        <v>2281</v>
      </c>
      <c r="U29" s="11" t="s">
        <v>2281</v>
      </c>
      <c r="V29" s="11" t="s">
        <v>2283</v>
      </c>
      <c r="W29" s="11" t="s">
        <v>2284</v>
      </c>
      <c r="X29" s="11" t="s">
        <v>2285</v>
      </c>
      <c r="Y29" s="11" t="s">
        <v>2286</v>
      </c>
      <c r="Z29" s="11" t="s">
        <v>2287</v>
      </c>
      <c r="AA29" s="12" t="s">
        <v>2288</v>
      </c>
    </row>
    <row r="30" customFormat="false" ht="95.5" hidden="false" customHeight="false" outlineLevel="0" collapsed="false">
      <c r="A30" s="10" t="s">
        <v>252</v>
      </c>
      <c r="B30" s="11" t="s">
        <v>254</v>
      </c>
      <c r="C30" s="11" t="s">
        <v>2279</v>
      </c>
      <c r="D30" s="11" t="s">
        <v>308</v>
      </c>
      <c r="E30" s="11" t="s">
        <v>68</v>
      </c>
      <c r="F30" s="11" t="s">
        <v>2280</v>
      </c>
      <c r="G30" s="11" t="s">
        <v>2281</v>
      </c>
      <c r="H30" s="11" t="s">
        <v>2281</v>
      </c>
      <c r="I30" s="11" t="s">
        <v>2281</v>
      </c>
      <c r="J30" s="11" t="s">
        <v>2281</v>
      </c>
      <c r="K30" s="11" t="s">
        <v>2282</v>
      </c>
      <c r="L30" s="11" t="s">
        <v>2281</v>
      </c>
      <c r="M30" s="11" t="s">
        <v>2281</v>
      </c>
      <c r="N30" s="11" t="s">
        <v>2281</v>
      </c>
      <c r="O30" s="11" t="s">
        <v>2282</v>
      </c>
      <c r="P30" s="11" t="s">
        <v>2281</v>
      </c>
      <c r="Q30" s="11" t="s">
        <v>2281</v>
      </c>
      <c r="R30" s="11" t="s">
        <v>2281</v>
      </c>
      <c r="S30" s="11" t="s">
        <v>2281</v>
      </c>
      <c r="T30" s="11" t="s">
        <v>2281</v>
      </c>
      <c r="U30" s="11" t="s">
        <v>2282</v>
      </c>
      <c r="V30" s="11" t="s">
        <v>2283</v>
      </c>
      <c r="W30" s="11" t="s">
        <v>2284</v>
      </c>
      <c r="X30" s="11" t="s">
        <v>2285</v>
      </c>
      <c r="Y30" s="11" t="s">
        <v>2286</v>
      </c>
      <c r="Z30" s="11" t="s">
        <v>2287</v>
      </c>
      <c r="AA30" s="12" t="s">
        <v>2288</v>
      </c>
    </row>
    <row r="31" customFormat="false" ht="95.5" hidden="false" customHeight="false" outlineLevel="0" collapsed="false">
      <c r="A31" s="10" t="s">
        <v>261</v>
      </c>
      <c r="B31" s="11" t="s">
        <v>262</v>
      </c>
      <c r="C31" s="11" t="s">
        <v>2279</v>
      </c>
      <c r="D31" s="11" t="s">
        <v>308</v>
      </c>
      <c r="E31" s="11" t="s">
        <v>68</v>
      </c>
      <c r="F31" s="11" t="s">
        <v>2280</v>
      </c>
      <c r="G31" s="11" t="s">
        <v>2281</v>
      </c>
      <c r="H31" s="11" t="s">
        <v>2281</v>
      </c>
      <c r="I31" s="11" t="s">
        <v>2281</v>
      </c>
      <c r="J31" s="11" t="s">
        <v>2281</v>
      </c>
      <c r="K31" s="11" t="s">
        <v>2282</v>
      </c>
      <c r="L31" s="11" t="s">
        <v>2281</v>
      </c>
      <c r="M31" s="11" t="s">
        <v>2281</v>
      </c>
      <c r="N31" s="11" t="s">
        <v>2281</v>
      </c>
      <c r="O31" s="11" t="s">
        <v>2282</v>
      </c>
      <c r="P31" s="11" t="s">
        <v>2281</v>
      </c>
      <c r="Q31" s="11" t="s">
        <v>2281</v>
      </c>
      <c r="R31" s="11" t="s">
        <v>2281</v>
      </c>
      <c r="S31" s="11" t="s">
        <v>2281</v>
      </c>
      <c r="T31" s="11" t="s">
        <v>2281</v>
      </c>
      <c r="U31" s="11" t="s">
        <v>2282</v>
      </c>
      <c r="V31" s="11" t="s">
        <v>2283</v>
      </c>
      <c r="W31" s="11" t="s">
        <v>2284</v>
      </c>
      <c r="X31" s="11" t="s">
        <v>2285</v>
      </c>
      <c r="Y31" s="11" t="s">
        <v>2286</v>
      </c>
      <c r="Z31" s="11" t="s">
        <v>2287</v>
      </c>
      <c r="AA31" s="12" t="s">
        <v>2288</v>
      </c>
    </row>
    <row r="32" customFormat="false" ht="95.5" hidden="false" customHeight="false" outlineLevel="0" collapsed="false">
      <c r="A32" s="10" t="s">
        <v>269</v>
      </c>
      <c r="B32" s="11" t="s">
        <v>270</v>
      </c>
      <c r="C32" s="11" t="s">
        <v>2279</v>
      </c>
      <c r="D32" s="11" t="s">
        <v>308</v>
      </c>
      <c r="E32" s="11" t="s">
        <v>68</v>
      </c>
      <c r="F32" s="11" t="s">
        <v>2280</v>
      </c>
      <c r="G32" s="11" t="s">
        <v>2281</v>
      </c>
      <c r="H32" s="11" t="s">
        <v>2281</v>
      </c>
      <c r="I32" s="11" t="s">
        <v>2281</v>
      </c>
      <c r="J32" s="11" t="s">
        <v>2281</v>
      </c>
      <c r="K32" s="11" t="s">
        <v>2282</v>
      </c>
      <c r="L32" s="11" t="s">
        <v>2281</v>
      </c>
      <c r="M32" s="11" t="s">
        <v>2281</v>
      </c>
      <c r="N32" s="11" t="s">
        <v>2281</v>
      </c>
      <c r="O32" s="11" t="s">
        <v>2282</v>
      </c>
      <c r="P32" s="11" t="s">
        <v>2281</v>
      </c>
      <c r="Q32" s="11" t="s">
        <v>2281</v>
      </c>
      <c r="R32" s="11" t="s">
        <v>2281</v>
      </c>
      <c r="S32" s="11" t="s">
        <v>2281</v>
      </c>
      <c r="T32" s="11" t="s">
        <v>2281</v>
      </c>
      <c r="U32" s="11" t="s">
        <v>2282</v>
      </c>
      <c r="V32" s="11" t="s">
        <v>2283</v>
      </c>
      <c r="W32" s="11" t="s">
        <v>2284</v>
      </c>
      <c r="X32" s="11" t="s">
        <v>2285</v>
      </c>
      <c r="Y32" s="11" t="s">
        <v>2286</v>
      </c>
      <c r="Z32" s="11" t="s">
        <v>2287</v>
      </c>
      <c r="AA32" s="12" t="s">
        <v>2288</v>
      </c>
    </row>
    <row r="33" customFormat="false" ht="32.8" hidden="false" customHeight="false" outlineLevel="0" collapsed="false">
      <c r="A33" s="10" t="s">
        <v>226</v>
      </c>
      <c r="B33" s="11" t="s">
        <v>228</v>
      </c>
      <c r="C33" s="11" t="s">
        <v>854</v>
      </c>
      <c r="D33" s="11" t="s">
        <v>15</v>
      </c>
      <c r="E33" s="11" t="s">
        <v>854</v>
      </c>
      <c r="F33" s="11" t="s">
        <v>2292</v>
      </c>
      <c r="G33" s="11" t="s">
        <v>2281</v>
      </c>
      <c r="H33" s="11" t="s">
        <v>2281</v>
      </c>
      <c r="I33" s="11" t="s">
        <v>2281</v>
      </c>
      <c r="J33" s="11" t="s">
        <v>2281</v>
      </c>
      <c r="K33" s="11" t="s">
        <v>2281</v>
      </c>
      <c r="L33" s="11" t="s">
        <v>2281</v>
      </c>
      <c r="M33" s="11" t="s">
        <v>2281</v>
      </c>
      <c r="N33" s="11" t="s">
        <v>2281</v>
      </c>
      <c r="O33" s="11" t="s">
        <v>2281</v>
      </c>
      <c r="P33" s="11" t="s">
        <v>2281</v>
      </c>
      <c r="Q33" s="11" t="s">
        <v>2281</v>
      </c>
      <c r="R33" s="11" t="s">
        <v>2281</v>
      </c>
      <c r="S33" s="11" t="s">
        <v>2281</v>
      </c>
      <c r="T33" s="11" t="s">
        <v>2281</v>
      </c>
      <c r="U33" s="11" t="s">
        <v>2281</v>
      </c>
      <c r="V33" s="11" t="s">
        <v>2293</v>
      </c>
      <c r="W33" s="11" t="s">
        <v>2281</v>
      </c>
      <c r="X33" s="11" t="s">
        <v>2294</v>
      </c>
      <c r="Y33" s="11" t="s">
        <v>2295</v>
      </c>
      <c r="Z33" s="11" t="s">
        <v>2296</v>
      </c>
      <c r="AA33" s="12" t="s">
        <v>2297</v>
      </c>
    </row>
    <row r="34" customFormat="false" ht="32.8" hidden="false" customHeight="false" outlineLevel="0" collapsed="false">
      <c r="A34" s="10" t="s">
        <v>240</v>
      </c>
      <c r="B34" s="11" t="s">
        <v>241</v>
      </c>
      <c r="C34" s="11" t="s">
        <v>854</v>
      </c>
      <c r="D34" s="11" t="s">
        <v>15</v>
      </c>
      <c r="E34" s="11" t="s">
        <v>854</v>
      </c>
      <c r="F34" s="11" t="s">
        <v>2292</v>
      </c>
      <c r="G34" s="11" t="s">
        <v>2281</v>
      </c>
      <c r="H34" s="11" t="s">
        <v>2281</v>
      </c>
      <c r="I34" s="11" t="s">
        <v>2281</v>
      </c>
      <c r="J34" s="11" t="s">
        <v>2281</v>
      </c>
      <c r="K34" s="11" t="s">
        <v>2281</v>
      </c>
      <c r="L34" s="11" t="s">
        <v>2281</v>
      </c>
      <c r="M34" s="11" t="s">
        <v>2281</v>
      </c>
      <c r="N34" s="11" t="s">
        <v>2281</v>
      </c>
      <c r="O34" s="11" t="s">
        <v>2281</v>
      </c>
      <c r="P34" s="11" t="s">
        <v>2281</v>
      </c>
      <c r="Q34" s="11" t="s">
        <v>2281</v>
      </c>
      <c r="R34" s="11" t="s">
        <v>2281</v>
      </c>
      <c r="S34" s="11" t="s">
        <v>2281</v>
      </c>
      <c r="T34" s="11" t="s">
        <v>2281</v>
      </c>
      <c r="U34" s="11" t="s">
        <v>2281</v>
      </c>
      <c r="V34" s="11" t="s">
        <v>2293</v>
      </c>
      <c r="W34" s="11" t="s">
        <v>2281</v>
      </c>
      <c r="X34" s="11" t="s">
        <v>2294</v>
      </c>
      <c r="Y34" s="11" t="s">
        <v>2295</v>
      </c>
      <c r="Z34" s="11" t="s">
        <v>2296</v>
      </c>
      <c r="AA34" s="12" t="s">
        <v>2297</v>
      </c>
    </row>
    <row r="35" customFormat="false" ht="32.8" hidden="false" customHeight="false" outlineLevel="0" collapsed="false">
      <c r="A35" s="13" t="s">
        <v>246</v>
      </c>
      <c r="B35" s="14" t="s">
        <v>247</v>
      </c>
      <c r="C35" s="14" t="s">
        <v>854</v>
      </c>
      <c r="D35" s="14" t="s">
        <v>15</v>
      </c>
      <c r="E35" s="14" t="s">
        <v>854</v>
      </c>
      <c r="F35" s="14" t="s">
        <v>2292</v>
      </c>
      <c r="G35" s="14" t="s">
        <v>2281</v>
      </c>
      <c r="H35" s="14" t="s">
        <v>2281</v>
      </c>
      <c r="I35" s="14" t="s">
        <v>2281</v>
      </c>
      <c r="J35" s="14" t="s">
        <v>2281</v>
      </c>
      <c r="K35" s="14" t="s">
        <v>2281</v>
      </c>
      <c r="L35" s="14" t="s">
        <v>2281</v>
      </c>
      <c r="M35" s="14" t="s">
        <v>2281</v>
      </c>
      <c r="N35" s="14" t="s">
        <v>2281</v>
      </c>
      <c r="O35" s="14" t="s">
        <v>2281</v>
      </c>
      <c r="P35" s="14" t="s">
        <v>2281</v>
      </c>
      <c r="Q35" s="14" t="s">
        <v>2281</v>
      </c>
      <c r="R35" s="14" t="s">
        <v>2281</v>
      </c>
      <c r="S35" s="14" t="s">
        <v>2281</v>
      </c>
      <c r="T35" s="14" t="s">
        <v>2281</v>
      </c>
      <c r="U35" s="14" t="s">
        <v>2281</v>
      </c>
      <c r="V35" s="14" t="s">
        <v>2293</v>
      </c>
      <c r="W35" s="14" t="s">
        <v>2281</v>
      </c>
      <c r="X35" s="14" t="s">
        <v>2294</v>
      </c>
      <c r="Y35" s="14" t="s">
        <v>2295</v>
      </c>
      <c r="Z35" s="14" t="s">
        <v>2296</v>
      </c>
      <c r="AA35" s="15" t="s">
        <v>2297</v>
      </c>
    </row>
  </sheetData>
  <autoFilter ref="A1:AA35">
    <filterColumn colId="0" hiddenButton="1"/>
  </autoFilter>
  <mergeCells count="2">
    <mergeCell ref="A1:AA1"/>
    <mergeCell ref="A2:AA2"/>
  </mergeCells>
  <conditionalFormatting sqref="V5:V35">
    <cfRule type="containsText" priority="2" operator="containsText" aboveAverage="0" equalAverage="0" bottom="0" percent="0" rank="0" text="BLOCK" dxfId="133">
      <formula>NOT(ISERROR(SEARCH("BLOCK",V5)))</formula>
    </cfRule>
    <cfRule type="containsText" priority="3" operator="containsText" aboveAverage="0" equalAverage="0" bottom="0" percent="0" rank="0" text="DRAFT" dxfId="134">
      <formula>NOT(ISERROR(SEARCH("DRAFT",V5)))</formula>
    </cfRule>
    <cfRule type="containsText" priority="4" operator="containsText" aboveAverage="0" equalAverage="0" bottom="0" percent="0" rank="0" text="PASS" dxfId="135">
      <formula>NOT(ISERROR(SEARCH("PASS",V5)))</formula>
    </cfRule>
  </conditionalFormatting>
  <conditionalFormatting sqref="Z5:Z35">
    <cfRule type="containsText" priority="5" operator="containsText" aboveAverage="0" equalAverage="0" bottom="0" percent="0" rank="0" text="BLOCK" dxfId="136">
      <formula>NOT(ISERROR(SEARCH("BLOCK",Z5)))</formula>
    </cfRule>
    <cfRule type="containsText" priority="6" operator="containsText" aboveAverage="0" equalAverage="0" bottom="0" percent="0" rank="0" text="DRAFT" dxfId="137">
      <formula>NOT(ISERROR(SEARCH("DRAFT",Z5)))</formula>
    </cfRule>
    <cfRule type="containsText" priority="7" operator="containsText" aboveAverage="0" equalAverage="0" bottom="0" percent="0" rank="0" text="PASS" dxfId="138">
      <formula>NOT(ISERROR(SEARCH("PASS",Z5)))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true">
    <pageSetUpPr fitToPage="false"/>
  </sheetPr>
  <dimension ref="A1:B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8"/>
    <col collapsed="false" customWidth="true" hidden="false" outlineLevel="0" max="13" min="7" style="0" width="16"/>
    <col collapsed="false" customWidth="true" hidden="false" outlineLevel="0" max="14" min="14" style="0" width="38"/>
    <col collapsed="false" customWidth="true" hidden="false" outlineLevel="0" max="46" min="15" style="0" width="16"/>
    <col collapsed="false" customWidth="true" hidden="false" outlineLevel="0" max="48" min="47" style="0" width="24"/>
    <col collapsed="false" customWidth="true" hidden="false" outlineLevel="0" max="50" min="49" style="0" width="16"/>
    <col collapsed="false" customWidth="true" hidden="false" outlineLevel="0" max="51" min="51" style="0" width="38"/>
    <col collapsed="false" customWidth="true" hidden="false" outlineLevel="0" max="56" min="52" style="0" width="16"/>
  </cols>
  <sheetData>
    <row r="1" customFormat="false" ht="17.35" hidden="false" customHeight="false" outlineLevel="0" collapsed="false">
      <c r="A1" s="4" t="s">
        <v>2298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customFormat="false" ht="15" hidden="false" customHeight="true" outlineLevel="0" collapsed="false">
      <c r="A2" s="5" t="s">
        <v>2299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4" customFormat="false" ht="50" hidden="false" customHeight="true" outlineLevel="0" collapsed="false">
      <c r="A4" s="6" t="s">
        <v>2300</v>
      </c>
      <c r="B4" s="6" t="s">
        <v>45</v>
      </c>
      <c r="C4" s="6" t="s">
        <v>51</v>
      </c>
      <c r="D4" s="6" t="s">
        <v>52</v>
      </c>
      <c r="E4" s="6" t="s">
        <v>46</v>
      </c>
      <c r="F4" s="6" t="s">
        <v>47</v>
      </c>
      <c r="G4" s="6" t="s">
        <v>53</v>
      </c>
      <c r="H4" s="6" t="s">
        <v>2301</v>
      </c>
      <c r="I4" s="6" t="s">
        <v>49</v>
      </c>
      <c r="J4" s="6" t="s">
        <v>2302</v>
      </c>
      <c r="K4" s="6" t="s">
        <v>288</v>
      </c>
      <c r="L4" s="6" t="s">
        <v>2303</v>
      </c>
      <c r="M4" s="6" t="s">
        <v>2304</v>
      </c>
      <c r="N4" s="6" t="s">
        <v>2305</v>
      </c>
      <c r="O4" s="6" t="s">
        <v>2306</v>
      </c>
      <c r="P4" s="6" t="s">
        <v>2307</v>
      </c>
      <c r="Q4" s="6" t="s">
        <v>2308</v>
      </c>
      <c r="R4" s="6" t="s">
        <v>2309</v>
      </c>
      <c r="S4" s="6" t="s">
        <v>2310</v>
      </c>
      <c r="T4" s="6" t="s">
        <v>2311</v>
      </c>
      <c r="U4" s="6" t="s">
        <v>2312</v>
      </c>
      <c r="V4" s="6" t="s">
        <v>2313</v>
      </c>
      <c r="W4" s="6" t="s">
        <v>2314</v>
      </c>
      <c r="X4" s="6" t="s">
        <v>2315</v>
      </c>
      <c r="Y4" s="6" t="s">
        <v>2316</v>
      </c>
      <c r="Z4" s="6" t="s">
        <v>2317</v>
      </c>
      <c r="AA4" s="6" t="s">
        <v>2318</v>
      </c>
      <c r="AB4" s="6" t="s">
        <v>2319</v>
      </c>
      <c r="AC4" s="6" t="s">
        <v>2320</v>
      </c>
      <c r="AD4" s="6" t="s">
        <v>2321</v>
      </c>
      <c r="AE4" s="6" t="s">
        <v>2322</v>
      </c>
      <c r="AF4" s="6" t="s">
        <v>2323</v>
      </c>
      <c r="AG4" s="6" t="s">
        <v>2324</v>
      </c>
      <c r="AH4" s="6" t="s">
        <v>2325</v>
      </c>
      <c r="AI4" s="6" t="s">
        <v>2326</v>
      </c>
      <c r="AJ4" s="6" t="s">
        <v>2327</v>
      </c>
      <c r="AK4" s="6" t="s">
        <v>2328</v>
      </c>
      <c r="AL4" s="6" t="s">
        <v>2329</v>
      </c>
      <c r="AM4" s="6" t="s">
        <v>2330</v>
      </c>
      <c r="AN4" s="6" t="s">
        <v>2331</v>
      </c>
      <c r="AO4" s="6" t="s">
        <v>2332</v>
      </c>
      <c r="AP4" s="6" t="s">
        <v>2333</v>
      </c>
      <c r="AQ4" s="6" t="s">
        <v>2334</v>
      </c>
      <c r="AR4" s="6" t="s">
        <v>2335</v>
      </c>
      <c r="AS4" s="6" t="s">
        <v>2336</v>
      </c>
      <c r="AT4" s="6" t="s">
        <v>2337</v>
      </c>
      <c r="AU4" s="6" t="s">
        <v>1066</v>
      </c>
      <c r="AV4" s="6" t="s">
        <v>2338</v>
      </c>
      <c r="AW4" s="6" t="s">
        <v>2339</v>
      </c>
      <c r="AX4" s="6" t="s">
        <v>292</v>
      </c>
      <c r="AY4" s="6" t="s">
        <v>293</v>
      </c>
      <c r="AZ4" s="6" t="s">
        <v>294</v>
      </c>
      <c r="BA4" s="6" t="s">
        <v>295</v>
      </c>
      <c r="BB4" s="6" t="s">
        <v>296</v>
      </c>
      <c r="BC4" s="6" t="s">
        <v>2340</v>
      </c>
      <c r="BD4" s="6" t="s">
        <v>923</v>
      </c>
    </row>
    <row r="5" customFormat="false" ht="126.85" hidden="false" customHeight="false" outlineLevel="0" collapsed="false">
      <c r="A5" s="7" t="s">
        <v>2341</v>
      </c>
      <c r="B5" s="8" t="s">
        <v>60</v>
      </c>
      <c r="C5" s="8" t="s">
        <v>66</v>
      </c>
      <c r="D5" s="8" t="s">
        <v>67</v>
      </c>
      <c r="E5" s="8" t="s">
        <v>61</v>
      </c>
      <c r="F5" s="8" t="s">
        <v>62</v>
      </c>
      <c r="G5" s="8" t="s">
        <v>68</v>
      </c>
      <c r="H5" s="8" t="s">
        <v>2280</v>
      </c>
      <c r="I5" s="8" t="s">
        <v>64</v>
      </c>
      <c r="J5" s="8" t="n">
        <v>450</v>
      </c>
      <c r="K5" s="8" t="s">
        <v>304</v>
      </c>
      <c r="L5" s="8" t="n">
        <v>450</v>
      </c>
      <c r="M5" s="8" t="s">
        <v>304</v>
      </c>
      <c r="N5" s="8" t="s">
        <v>2342</v>
      </c>
      <c r="O5" s="8" t="n">
        <v>13</v>
      </c>
      <c r="P5" s="8" t="n">
        <v>100</v>
      </c>
      <c r="Q5" s="8" t="n">
        <v>1</v>
      </c>
      <c r="R5" s="8" t="n">
        <v>51.5</v>
      </c>
      <c r="S5" s="8" t="n">
        <v>51.5</v>
      </c>
      <c r="T5" s="8" t="n">
        <v>51.5</v>
      </c>
      <c r="U5" s="8" t="n">
        <v>11.44</v>
      </c>
      <c r="V5" s="8" t="n">
        <v>11.44</v>
      </c>
      <c r="W5" s="8" t="n">
        <v>11.44</v>
      </c>
      <c r="X5" s="8" t="n">
        <v>51.5</v>
      </c>
      <c r="Y5" s="8" t="n">
        <v>64.04</v>
      </c>
      <c r="Z5" s="8" t="n">
        <v>64.04</v>
      </c>
      <c r="AA5" s="8" t="n">
        <v>64.04</v>
      </c>
      <c r="AB5" s="8" t="n">
        <v>14.23</v>
      </c>
      <c r="AC5" s="8" t="n">
        <v>14.23</v>
      </c>
      <c r="AD5" s="8" t="n">
        <v>14.23</v>
      </c>
      <c r="AE5" s="8" t="n">
        <v>64.04</v>
      </c>
      <c r="AF5" s="8" t="n">
        <v>112.39</v>
      </c>
      <c r="AG5" s="8" t="n">
        <v>112.39</v>
      </c>
      <c r="AH5" s="8" t="n">
        <v>112.39</v>
      </c>
      <c r="AI5" s="8" t="n">
        <v>24.98</v>
      </c>
      <c r="AJ5" s="8" t="n">
        <v>24.98</v>
      </c>
      <c r="AK5" s="8" t="n">
        <v>24.98</v>
      </c>
      <c r="AL5" s="8" t="n">
        <v>112.39</v>
      </c>
      <c r="AM5" s="8" t="n">
        <v>1234.18</v>
      </c>
      <c r="AN5" s="8" t="n">
        <v>1234.18</v>
      </c>
      <c r="AO5" s="8" t="n">
        <v>1234.18</v>
      </c>
      <c r="AP5" s="8" t="n">
        <v>274.26</v>
      </c>
      <c r="AQ5" s="8" t="n">
        <v>274.26</v>
      </c>
      <c r="AR5" s="8" t="n">
        <v>274.26</v>
      </c>
      <c r="AS5" s="8" t="n">
        <v>1234.18</v>
      </c>
      <c r="AT5" s="8" t="n">
        <v>0.18</v>
      </c>
      <c r="AU5" s="8" t="s">
        <v>2343</v>
      </c>
      <c r="AV5" s="8" t="s">
        <v>935</v>
      </c>
      <c r="AW5" s="8" t="s">
        <v>2344</v>
      </c>
      <c r="AX5" s="8" t="s">
        <v>2345</v>
      </c>
      <c r="AY5" s="8" t="s">
        <v>2346</v>
      </c>
      <c r="AZ5" s="8" t="s">
        <v>308</v>
      </c>
      <c r="BA5" s="8" t="s">
        <v>2347</v>
      </c>
      <c r="BB5" s="8" t="s">
        <v>2348</v>
      </c>
      <c r="BC5" s="8" t="s">
        <v>2349</v>
      </c>
      <c r="BD5" s="9" t="s">
        <v>2350</v>
      </c>
    </row>
    <row r="6" customFormat="false" ht="126.85" hidden="false" customHeight="false" outlineLevel="0" collapsed="false">
      <c r="A6" s="10" t="s">
        <v>2351</v>
      </c>
      <c r="B6" s="11" t="s">
        <v>73</v>
      </c>
      <c r="C6" s="11" t="s">
        <v>76</v>
      </c>
      <c r="D6" s="11" t="s">
        <v>77</v>
      </c>
      <c r="E6" s="11" t="s">
        <v>61</v>
      </c>
      <c r="F6" s="11" t="s">
        <v>74</v>
      </c>
      <c r="G6" s="11" t="s">
        <v>68</v>
      </c>
      <c r="H6" s="11" t="s">
        <v>2280</v>
      </c>
      <c r="I6" s="11" t="s">
        <v>64</v>
      </c>
      <c r="J6" s="11" t="n">
        <v>480</v>
      </c>
      <c r="K6" s="11" t="s">
        <v>304</v>
      </c>
      <c r="L6" s="11" t="n">
        <v>480</v>
      </c>
      <c r="M6" s="11" t="s">
        <v>304</v>
      </c>
      <c r="N6" s="11" t="s">
        <v>2342</v>
      </c>
      <c r="O6" s="11" t="n">
        <v>14</v>
      </c>
      <c r="P6" s="11" t="n">
        <v>100</v>
      </c>
      <c r="Q6" s="11" t="n">
        <v>3</v>
      </c>
      <c r="R6" s="11" t="n">
        <v>67.91</v>
      </c>
      <c r="S6" s="11" t="n">
        <v>67.09</v>
      </c>
      <c r="T6" s="11" t="n">
        <v>69.35</v>
      </c>
      <c r="U6" s="11" t="n">
        <v>14.15</v>
      </c>
      <c r="V6" s="11" t="n">
        <v>13.98</v>
      </c>
      <c r="W6" s="11" t="n">
        <v>14.45</v>
      </c>
      <c r="X6" s="11" t="n">
        <v>67.91</v>
      </c>
      <c r="Y6" s="11" t="n">
        <v>83.68</v>
      </c>
      <c r="Z6" s="11" t="n">
        <v>83.68</v>
      </c>
      <c r="AA6" s="11" t="n">
        <v>87.07</v>
      </c>
      <c r="AB6" s="11" t="n">
        <v>17.43</v>
      </c>
      <c r="AC6" s="11" t="n">
        <v>17.43</v>
      </c>
      <c r="AD6" s="11" t="n">
        <v>18.14</v>
      </c>
      <c r="AE6" s="11" t="n">
        <v>83.68</v>
      </c>
      <c r="AF6" s="11" t="n">
        <v>110.75</v>
      </c>
      <c r="AG6" s="11" t="n">
        <v>110.75</v>
      </c>
      <c r="AH6" s="11" t="n">
        <v>111.34</v>
      </c>
      <c r="AI6" s="11" t="n">
        <v>23.07</v>
      </c>
      <c r="AJ6" s="11" t="n">
        <v>23.07</v>
      </c>
      <c r="AK6" s="11" t="n">
        <v>23.2</v>
      </c>
      <c r="AL6" s="11" t="n">
        <v>110.75</v>
      </c>
      <c r="AM6" s="11" t="n">
        <v>1474.03</v>
      </c>
      <c r="AN6" s="11" t="n">
        <v>1474.03</v>
      </c>
      <c r="AO6" s="11" t="n">
        <v>1508.83</v>
      </c>
      <c r="AP6" s="11" t="n">
        <v>307.09</v>
      </c>
      <c r="AQ6" s="11" t="n">
        <v>307.09</v>
      </c>
      <c r="AR6" s="11" t="n">
        <v>314.34</v>
      </c>
      <c r="AS6" s="11" t="n">
        <v>1474.03</v>
      </c>
      <c r="AT6" s="11" t="n">
        <v>0.43</v>
      </c>
      <c r="AU6" s="11" t="s">
        <v>2343</v>
      </c>
      <c r="AV6" s="11" t="s">
        <v>935</v>
      </c>
      <c r="AW6" s="11" t="s">
        <v>2344</v>
      </c>
      <c r="AX6" s="11" t="s">
        <v>2345</v>
      </c>
      <c r="AY6" s="11" t="s">
        <v>2346</v>
      </c>
      <c r="AZ6" s="11" t="s">
        <v>308</v>
      </c>
      <c r="BA6" s="11" t="s">
        <v>2347</v>
      </c>
      <c r="BB6" s="11" t="s">
        <v>2348</v>
      </c>
      <c r="BC6" s="11" t="s">
        <v>2349</v>
      </c>
      <c r="BD6" s="12" t="s">
        <v>2350</v>
      </c>
    </row>
    <row r="7" customFormat="false" ht="126.85" hidden="false" customHeight="false" outlineLevel="0" collapsed="false">
      <c r="A7" s="10" t="s">
        <v>2352</v>
      </c>
      <c r="B7" s="11" t="s">
        <v>79</v>
      </c>
      <c r="C7" s="11" t="s">
        <v>82</v>
      </c>
      <c r="D7" s="11" t="s">
        <v>83</v>
      </c>
      <c r="E7" s="11" t="s">
        <v>61</v>
      </c>
      <c r="F7" s="11" t="s">
        <v>80</v>
      </c>
      <c r="G7" s="11" t="s">
        <v>68</v>
      </c>
      <c r="H7" s="11" t="s">
        <v>2280</v>
      </c>
      <c r="I7" s="11" t="s">
        <v>64</v>
      </c>
      <c r="J7" s="11" t="n">
        <v>500</v>
      </c>
      <c r="K7" s="11" t="s">
        <v>304</v>
      </c>
      <c r="L7" s="11" t="n">
        <v>500</v>
      </c>
      <c r="M7" s="11" t="s">
        <v>304</v>
      </c>
      <c r="N7" s="11" t="s">
        <v>2342</v>
      </c>
      <c r="O7" s="11" t="n">
        <v>14</v>
      </c>
      <c r="P7" s="11" t="n">
        <v>100</v>
      </c>
      <c r="Q7" s="11" t="n">
        <v>2</v>
      </c>
      <c r="R7" s="11" t="n">
        <v>50.34</v>
      </c>
      <c r="S7" s="11" t="n">
        <v>50.34</v>
      </c>
      <c r="T7" s="11" t="n">
        <v>50.34</v>
      </c>
      <c r="U7" s="11" t="n">
        <v>10.07</v>
      </c>
      <c r="V7" s="11" t="n">
        <v>10.07</v>
      </c>
      <c r="W7" s="11" t="n">
        <v>10.07</v>
      </c>
      <c r="X7" s="11" t="n">
        <v>50.34</v>
      </c>
      <c r="Y7" s="11" t="n">
        <v>55.08</v>
      </c>
      <c r="Z7" s="11" t="n">
        <v>55.08</v>
      </c>
      <c r="AA7" s="11" t="n">
        <v>55.08</v>
      </c>
      <c r="AB7" s="11" t="n">
        <v>11.02</v>
      </c>
      <c r="AC7" s="11" t="n">
        <v>11.02</v>
      </c>
      <c r="AD7" s="11" t="n">
        <v>11.02</v>
      </c>
      <c r="AE7" s="11" t="n">
        <v>55.08</v>
      </c>
      <c r="AF7" s="11" t="n">
        <v>115.15</v>
      </c>
      <c r="AG7" s="11" t="n">
        <v>115.15</v>
      </c>
      <c r="AH7" s="11" t="n">
        <v>115.15</v>
      </c>
      <c r="AI7" s="11" t="n">
        <v>23.03</v>
      </c>
      <c r="AJ7" s="11" t="n">
        <v>23.03</v>
      </c>
      <c r="AK7" s="11" t="n">
        <v>23.03</v>
      </c>
      <c r="AL7" s="11" t="n">
        <v>115.15</v>
      </c>
      <c r="AM7" s="11" t="n">
        <v>1158.43</v>
      </c>
      <c r="AN7" s="11" t="n">
        <v>1158.43</v>
      </c>
      <c r="AO7" s="11" t="n">
        <v>1158.43</v>
      </c>
      <c r="AP7" s="11" t="n">
        <v>231.69</v>
      </c>
      <c r="AQ7" s="11" t="n">
        <v>231.69</v>
      </c>
      <c r="AR7" s="11" t="n">
        <v>231.69</v>
      </c>
      <c r="AS7" s="11" t="n">
        <v>1158.43</v>
      </c>
      <c r="AT7" s="11" t="n">
        <v>0.06</v>
      </c>
      <c r="AU7" s="11" t="s">
        <v>2343</v>
      </c>
      <c r="AV7" s="11" t="s">
        <v>935</v>
      </c>
      <c r="AW7" s="11" t="s">
        <v>2344</v>
      </c>
      <c r="AX7" s="11" t="s">
        <v>2345</v>
      </c>
      <c r="AY7" s="11" t="s">
        <v>2346</v>
      </c>
      <c r="AZ7" s="11" t="s">
        <v>308</v>
      </c>
      <c r="BA7" s="11" t="s">
        <v>2347</v>
      </c>
      <c r="BB7" s="11" t="s">
        <v>2348</v>
      </c>
      <c r="BC7" s="11" t="s">
        <v>2349</v>
      </c>
      <c r="BD7" s="12" t="s">
        <v>2350</v>
      </c>
    </row>
    <row r="8" customFormat="false" ht="126.85" hidden="false" customHeight="false" outlineLevel="0" collapsed="false">
      <c r="A8" s="10" t="s">
        <v>2353</v>
      </c>
      <c r="B8" s="11" t="s">
        <v>85</v>
      </c>
      <c r="C8" s="11" t="s">
        <v>87</v>
      </c>
      <c r="D8" s="11" t="s">
        <v>88</v>
      </c>
      <c r="E8" s="11" t="s">
        <v>61</v>
      </c>
      <c r="F8" s="11" t="s">
        <v>86</v>
      </c>
      <c r="G8" s="11" t="s">
        <v>68</v>
      </c>
      <c r="H8" s="11" t="s">
        <v>2280</v>
      </c>
      <c r="I8" s="11" t="s">
        <v>64</v>
      </c>
      <c r="J8" s="11" t="n">
        <v>500</v>
      </c>
      <c r="K8" s="11" t="s">
        <v>304</v>
      </c>
      <c r="L8" s="11" t="n">
        <v>500</v>
      </c>
      <c r="M8" s="11" t="s">
        <v>304</v>
      </c>
      <c r="N8" s="11" t="s">
        <v>2342</v>
      </c>
      <c r="O8" s="11" t="n">
        <v>12</v>
      </c>
      <c r="P8" s="11" t="n">
        <v>100</v>
      </c>
      <c r="Q8" s="11" t="n">
        <v>1</v>
      </c>
      <c r="R8" s="11" t="n">
        <v>60.54</v>
      </c>
      <c r="S8" s="11" t="n">
        <v>60.54</v>
      </c>
      <c r="T8" s="11" t="n">
        <v>60.54</v>
      </c>
      <c r="U8" s="11" t="n">
        <v>12.11</v>
      </c>
      <c r="V8" s="11" t="n">
        <v>12.11</v>
      </c>
      <c r="W8" s="11" t="n">
        <v>12.11</v>
      </c>
      <c r="X8" s="11" t="n">
        <v>60.54</v>
      </c>
      <c r="Y8" s="11" t="n">
        <v>100.71</v>
      </c>
      <c r="Z8" s="11" t="n">
        <v>100.71</v>
      </c>
      <c r="AA8" s="11" t="n">
        <v>100.71</v>
      </c>
      <c r="AB8" s="11" t="n">
        <v>20.14</v>
      </c>
      <c r="AC8" s="11" t="n">
        <v>20.14</v>
      </c>
      <c r="AD8" s="11" t="n">
        <v>20.14</v>
      </c>
      <c r="AE8" s="11" t="n">
        <v>100.71</v>
      </c>
      <c r="AF8" s="11" t="n">
        <v>112.01</v>
      </c>
      <c r="AG8" s="11" t="n">
        <v>112.01</v>
      </c>
      <c r="AH8" s="11" t="n">
        <v>112.01</v>
      </c>
      <c r="AI8" s="11" t="n">
        <v>22.4</v>
      </c>
      <c r="AJ8" s="11" t="n">
        <v>22.4</v>
      </c>
      <c r="AK8" s="11" t="n">
        <v>22.4</v>
      </c>
      <c r="AL8" s="11" t="n">
        <v>112.01</v>
      </c>
      <c r="AM8" s="11" t="n">
        <v>1603.07</v>
      </c>
      <c r="AN8" s="11" t="n">
        <v>1603.07</v>
      </c>
      <c r="AO8" s="11" t="n">
        <v>1603.07</v>
      </c>
      <c r="AP8" s="11" t="n">
        <v>320.61</v>
      </c>
      <c r="AQ8" s="11" t="n">
        <v>320.61</v>
      </c>
      <c r="AR8" s="11" t="n">
        <v>320.61</v>
      </c>
      <c r="AS8" s="11" t="n">
        <v>1603.07</v>
      </c>
      <c r="AT8" s="11" t="n">
        <v>0.4</v>
      </c>
      <c r="AU8" s="11" t="s">
        <v>2343</v>
      </c>
      <c r="AV8" s="11" t="s">
        <v>935</v>
      </c>
      <c r="AW8" s="11" t="s">
        <v>2344</v>
      </c>
      <c r="AX8" s="11" t="s">
        <v>2345</v>
      </c>
      <c r="AY8" s="11" t="s">
        <v>2346</v>
      </c>
      <c r="AZ8" s="11" t="s">
        <v>308</v>
      </c>
      <c r="BA8" s="11" t="s">
        <v>2347</v>
      </c>
      <c r="BB8" s="11" t="s">
        <v>2348</v>
      </c>
      <c r="BC8" s="11" t="s">
        <v>2349</v>
      </c>
      <c r="BD8" s="12" t="s">
        <v>2350</v>
      </c>
    </row>
    <row r="9" customFormat="false" ht="126.85" hidden="false" customHeight="false" outlineLevel="0" collapsed="false">
      <c r="A9" s="10" t="s">
        <v>2354</v>
      </c>
      <c r="B9" s="11" t="s">
        <v>90</v>
      </c>
      <c r="C9" s="11" t="s">
        <v>96</v>
      </c>
      <c r="D9" s="11" t="s">
        <v>97</v>
      </c>
      <c r="E9" s="11" t="s">
        <v>91</v>
      </c>
      <c r="F9" s="11" t="s">
        <v>92</v>
      </c>
      <c r="G9" s="11" t="s">
        <v>68</v>
      </c>
      <c r="H9" s="11" t="s">
        <v>2280</v>
      </c>
      <c r="I9" s="11" t="s">
        <v>94</v>
      </c>
      <c r="J9" s="11" t="n">
        <v>100</v>
      </c>
      <c r="K9" s="11" t="s">
        <v>304</v>
      </c>
      <c r="L9" s="11" t="n">
        <v>100</v>
      </c>
      <c r="M9" s="11" t="s">
        <v>304</v>
      </c>
      <c r="N9" s="11" t="s">
        <v>2342</v>
      </c>
      <c r="O9" s="11" t="n">
        <v>5</v>
      </c>
      <c r="P9" s="11" t="n">
        <v>100</v>
      </c>
      <c r="Q9" s="11" t="n">
        <v>0</v>
      </c>
      <c r="R9" s="11" t="n">
        <v>7.59</v>
      </c>
      <c r="S9" s="11" t="n">
        <v>7.59</v>
      </c>
      <c r="T9" s="11" t="n">
        <v>7.59</v>
      </c>
      <c r="U9" s="11" t="n">
        <v>7.59</v>
      </c>
      <c r="V9" s="11" t="n">
        <v>7.59</v>
      </c>
      <c r="W9" s="11" t="n">
        <v>7.59</v>
      </c>
      <c r="X9" s="11" t="n">
        <v>7.59</v>
      </c>
      <c r="Y9" s="11" t="n">
        <v>9.07</v>
      </c>
      <c r="Z9" s="11" t="n">
        <v>9.07</v>
      </c>
      <c r="AA9" s="11" t="n">
        <v>9.07</v>
      </c>
      <c r="AB9" s="11" t="n">
        <v>9.07</v>
      </c>
      <c r="AC9" s="11" t="n">
        <v>9.07</v>
      </c>
      <c r="AD9" s="11" t="n">
        <v>9.07</v>
      </c>
      <c r="AE9" s="11" t="n">
        <v>9.07</v>
      </c>
      <c r="AF9" s="11" t="n">
        <v>43.93</v>
      </c>
      <c r="AG9" s="11" t="n">
        <v>43.93</v>
      </c>
      <c r="AH9" s="11" t="n">
        <v>43.93</v>
      </c>
      <c r="AI9" s="11" t="n">
        <v>43.93</v>
      </c>
      <c r="AJ9" s="11" t="n">
        <v>43.93</v>
      </c>
      <c r="AK9" s="11" t="n">
        <v>43.93</v>
      </c>
      <c r="AL9" s="11" t="n">
        <v>43.93</v>
      </c>
      <c r="AM9" s="11" t="n">
        <v>290.57</v>
      </c>
      <c r="AN9" s="11" t="n">
        <v>290.57</v>
      </c>
      <c r="AO9" s="11" t="n">
        <v>290.57</v>
      </c>
      <c r="AP9" s="11" t="n">
        <v>290.57</v>
      </c>
      <c r="AQ9" s="11" t="n">
        <v>290.57</v>
      </c>
      <c r="AR9" s="11" t="n">
        <v>290.57</v>
      </c>
      <c r="AS9" s="11" t="n">
        <v>290.57</v>
      </c>
      <c r="AT9" s="11" t="n">
        <v>0.97</v>
      </c>
      <c r="AU9" s="11" t="s">
        <v>2355</v>
      </c>
      <c r="AV9" s="11" t="s">
        <v>935</v>
      </c>
      <c r="AW9" s="11" t="s">
        <v>2344</v>
      </c>
      <c r="AX9" s="11" t="s">
        <v>2345</v>
      </c>
      <c r="AY9" s="11" t="s">
        <v>2346</v>
      </c>
      <c r="AZ9" s="11" t="s">
        <v>308</v>
      </c>
      <c r="BA9" s="11" t="s">
        <v>2347</v>
      </c>
      <c r="BB9" s="11" t="s">
        <v>2348</v>
      </c>
      <c r="BC9" s="11" t="s">
        <v>2349</v>
      </c>
      <c r="BD9" s="12" t="s">
        <v>2350</v>
      </c>
    </row>
    <row r="10" customFormat="false" ht="126.85" hidden="false" customHeight="false" outlineLevel="0" collapsed="false">
      <c r="A10" s="10" t="s">
        <v>2356</v>
      </c>
      <c r="B10" s="11" t="s">
        <v>99</v>
      </c>
      <c r="C10" s="11" t="s">
        <v>102</v>
      </c>
      <c r="D10" s="11" t="s">
        <v>103</v>
      </c>
      <c r="E10" s="11" t="s">
        <v>91</v>
      </c>
      <c r="F10" s="11" t="s">
        <v>100</v>
      </c>
      <c r="G10" s="11" t="s">
        <v>68</v>
      </c>
      <c r="H10" s="11" t="s">
        <v>2280</v>
      </c>
      <c r="I10" s="11" t="s">
        <v>94</v>
      </c>
      <c r="J10" s="11" t="n">
        <v>100</v>
      </c>
      <c r="K10" s="11" t="s">
        <v>304</v>
      </c>
      <c r="L10" s="11" t="n">
        <v>100</v>
      </c>
      <c r="M10" s="11" t="s">
        <v>304</v>
      </c>
      <c r="N10" s="11" t="s">
        <v>2342</v>
      </c>
      <c r="O10" s="11" t="n">
        <v>7</v>
      </c>
      <c r="P10" s="11" t="n">
        <v>100</v>
      </c>
      <c r="Q10" s="11" t="n">
        <v>1</v>
      </c>
      <c r="R10" s="11" t="n">
        <v>8.68</v>
      </c>
      <c r="S10" s="11" t="n">
        <v>7.96</v>
      </c>
      <c r="T10" s="11" t="n">
        <v>8.68</v>
      </c>
      <c r="U10" s="11" t="n">
        <v>8.68</v>
      </c>
      <c r="V10" s="11" t="n">
        <v>7.96</v>
      </c>
      <c r="W10" s="11" t="n">
        <v>8.68</v>
      </c>
      <c r="X10" s="11" t="n">
        <v>8.68</v>
      </c>
      <c r="Y10" s="11" t="n">
        <v>4.29</v>
      </c>
      <c r="Z10" s="11" t="n">
        <v>4.29</v>
      </c>
      <c r="AA10" s="11" t="n">
        <v>5.18</v>
      </c>
      <c r="AB10" s="11" t="n">
        <v>4.29</v>
      </c>
      <c r="AC10" s="11" t="n">
        <v>4.29</v>
      </c>
      <c r="AD10" s="11" t="n">
        <v>5.18</v>
      </c>
      <c r="AE10" s="11" t="n">
        <v>4.29</v>
      </c>
      <c r="AF10" s="11" t="n">
        <v>47.22</v>
      </c>
      <c r="AG10" s="11" t="n">
        <v>44.63</v>
      </c>
      <c r="AH10" s="11" t="n">
        <v>47.22</v>
      </c>
      <c r="AI10" s="11" t="n">
        <v>47.22</v>
      </c>
      <c r="AJ10" s="11" t="n">
        <v>44.63</v>
      </c>
      <c r="AK10" s="11" t="n">
        <v>47.22</v>
      </c>
      <c r="AL10" s="11" t="n">
        <v>47.22</v>
      </c>
      <c r="AM10" s="11" t="n">
        <v>259.62</v>
      </c>
      <c r="AN10" s="11" t="n">
        <v>256.02</v>
      </c>
      <c r="AO10" s="11" t="n">
        <v>259.62</v>
      </c>
      <c r="AP10" s="11" t="n">
        <v>259.62</v>
      </c>
      <c r="AQ10" s="11" t="n">
        <v>256.02</v>
      </c>
      <c r="AR10" s="11" t="n">
        <v>259.62</v>
      </c>
      <c r="AS10" s="11" t="n">
        <v>259.62</v>
      </c>
      <c r="AT10" s="11" t="n">
        <v>-1</v>
      </c>
      <c r="AU10" s="11" t="s">
        <v>2343</v>
      </c>
      <c r="AV10" s="11" t="s">
        <v>935</v>
      </c>
      <c r="AW10" s="11" t="s">
        <v>2344</v>
      </c>
      <c r="AX10" s="11" t="s">
        <v>2345</v>
      </c>
      <c r="AY10" s="11" t="s">
        <v>2346</v>
      </c>
      <c r="AZ10" s="11" t="s">
        <v>308</v>
      </c>
      <c r="BA10" s="11" t="s">
        <v>2347</v>
      </c>
      <c r="BB10" s="11" t="s">
        <v>2348</v>
      </c>
      <c r="BC10" s="11" t="s">
        <v>2349</v>
      </c>
      <c r="BD10" s="12" t="s">
        <v>2350</v>
      </c>
    </row>
    <row r="11" customFormat="false" ht="126.85" hidden="false" customHeight="false" outlineLevel="0" collapsed="false">
      <c r="A11" s="10" t="s">
        <v>2357</v>
      </c>
      <c r="B11" s="11" t="s">
        <v>105</v>
      </c>
      <c r="C11" s="11" t="s">
        <v>109</v>
      </c>
      <c r="D11" s="11" t="s">
        <v>110</v>
      </c>
      <c r="E11" s="11" t="s">
        <v>91</v>
      </c>
      <c r="F11" s="11" t="s">
        <v>106</v>
      </c>
      <c r="G11" s="11" t="s">
        <v>68</v>
      </c>
      <c r="H11" s="11" t="s">
        <v>2280</v>
      </c>
      <c r="I11" s="11" t="s">
        <v>107</v>
      </c>
      <c r="J11" s="11" t="n">
        <v>350</v>
      </c>
      <c r="K11" s="11" t="s">
        <v>304</v>
      </c>
      <c r="L11" s="11" t="n">
        <v>350</v>
      </c>
      <c r="M11" s="11" t="s">
        <v>304</v>
      </c>
      <c r="N11" s="11" t="s">
        <v>2342</v>
      </c>
      <c r="O11" s="11" t="n">
        <v>9</v>
      </c>
      <c r="P11" s="11" t="n">
        <v>100</v>
      </c>
      <c r="Q11" s="11" t="n">
        <v>4</v>
      </c>
      <c r="R11" s="11" t="n">
        <v>29.07</v>
      </c>
      <c r="S11" s="11" t="n">
        <v>29.07</v>
      </c>
      <c r="T11" s="11" t="n">
        <v>29.07</v>
      </c>
      <c r="U11" s="11" t="n">
        <v>8.31</v>
      </c>
      <c r="V11" s="11" t="n">
        <v>8.31</v>
      </c>
      <c r="W11" s="11" t="n">
        <v>8.31</v>
      </c>
      <c r="X11" s="11" t="n">
        <v>29.07</v>
      </c>
      <c r="Y11" s="11" t="n">
        <v>7.84</v>
      </c>
      <c r="Z11" s="11" t="n">
        <v>7.84</v>
      </c>
      <c r="AA11" s="11" t="n">
        <v>7.84</v>
      </c>
      <c r="AB11" s="11" t="n">
        <v>2.24</v>
      </c>
      <c r="AC11" s="11" t="n">
        <v>2.24</v>
      </c>
      <c r="AD11" s="11" t="n">
        <v>2.24</v>
      </c>
      <c r="AE11" s="11" t="n">
        <v>7.84</v>
      </c>
      <c r="AF11" s="11" t="n">
        <v>194.11</v>
      </c>
      <c r="AG11" s="11" t="n">
        <v>194.11</v>
      </c>
      <c r="AH11" s="11" t="n">
        <v>194.11</v>
      </c>
      <c r="AI11" s="11" t="n">
        <v>55.46</v>
      </c>
      <c r="AJ11" s="11" t="n">
        <v>55.46</v>
      </c>
      <c r="AK11" s="11" t="n">
        <v>55.46</v>
      </c>
      <c r="AL11" s="11" t="n">
        <v>194.11</v>
      </c>
      <c r="AM11" s="11" t="n">
        <v>943.64</v>
      </c>
      <c r="AN11" s="11" t="n">
        <v>943.64</v>
      </c>
      <c r="AO11" s="11" t="n">
        <v>943.64</v>
      </c>
      <c r="AP11" s="11" t="n">
        <v>269.61</v>
      </c>
      <c r="AQ11" s="11" t="n">
        <v>269.61</v>
      </c>
      <c r="AR11" s="11" t="n">
        <v>269.61</v>
      </c>
      <c r="AS11" s="11" t="n">
        <v>943.64</v>
      </c>
      <c r="AT11" s="11" t="n">
        <v>-2.08</v>
      </c>
      <c r="AU11" s="11" t="s">
        <v>2343</v>
      </c>
      <c r="AV11" s="11" t="s">
        <v>935</v>
      </c>
      <c r="AW11" s="11" t="s">
        <v>2344</v>
      </c>
      <c r="AX11" s="11" t="s">
        <v>2345</v>
      </c>
      <c r="AY11" s="11" t="s">
        <v>2346</v>
      </c>
      <c r="AZ11" s="11" t="s">
        <v>308</v>
      </c>
      <c r="BA11" s="11" t="s">
        <v>2347</v>
      </c>
      <c r="BB11" s="11" t="s">
        <v>2348</v>
      </c>
      <c r="BC11" s="11" t="s">
        <v>2349</v>
      </c>
      <c r="BD11" s="12" t="s">
        <v>2350</v>
      </c>
    </row>
    <row r="12" customFormat="false" ht="126.85" hidden="false" customHeight="false" outlineLevel="0" collapsed="false">
      <c r="A12" s="10" t="s">
        <v>2358</v>
      </c>
      <c r="B12" s="11" t="s">
        <v>112</v>
      </c>
      <c r="C12" s="11" t="s">
        <v>116</v>
      </c>
      <c r="D12" s="11" t="s">
        <v>117</v>
      </c>
      <c r="E12" s="11" t="s">
        <v>91</v>
      </c>
      <c r="F12" s="11" t="s">
        <v>113</v>
      </c>
      <c r="G12" s="11" t="s">
        <v>68</v>
      </c>
      <c r="H12" s="11" t="s">
        <v>2280</v>
      </c>
      <c r="I12" s="11" t="s">
        <v>94</v>
      </c>
      <c r="J12" s="11" t="n">
        <v>85</v>
      </c>
      <c r="K12" s="11" t="s">
        <v>304</v>
      </c>
      <c r="L12" s="11" t="n">
        <v>85</v>
      </c>
      <c r="M12" s="11" t="s">
        <v>304</v>
      </c>
      <c r="N12" s="11" t="s">
        <v>2342</v>
      </c>
      <c r="O12" s="11" t="n">
        <v>8</v>
      </c>
      <c r="P12" s="11" t="n">
        <v>100</v>
      </c>
      <c r="Q12" s="11" t="n">
        <v>3</v>
      </c>
      <c r="R12" s="11" t="n">
        <v>7.63</v>
      </c>
      <c r="S12" s="11" t="n">
        <v>7.63</v>
      </c>
      <c r="T12" s="11" t="n">
        <v>7.66</v>
      </c>
      <c r="U12" s="11" t="n">
        <v>8.98</v>
      </c>
      <c r="V12" s="11" t="n">
        <v>8.98</v>
      </c>
      <c r="W12" s="11" t="n">
        <v>9.01</v>
      </c>
      <c r="X12" s="11" t="n">
        <v>7.63</v>
      </c>
      <c r="Y12" s="11" t="n">
        <v>14.91</v>
      </c>
      <c r="Z12" s="11" t="n">
        <v>14.62</v>
      </c>
      <c r="AA12" s="11" t="n">
        <v>14.91</v>
      </c>
      <c r="AB12" s="11" t="n">
        <v>17.54</v>
      </c>
      <c r="AC12" s="11" t="n">
        <v>17.2</v>
      </c>
      <c r="AD12" s="11" t="n">
        <v>17.54</v>
      </c>
      <c r="AE12" s="11" t="n">
        <v>14.91</v>
      </c>
      <c r="AF12" s="11" t="n">
        <v>33.73</v>
      </c>
      <c r="AG12" s="11" t="n">
        <v>33.73</v>
      </c>
      <c r="AH12" s="11" t="n">
        <v>33.75</v>
      </c>
      <c r="AI12" s="11" t="n">
        <v>39.68</v>
      </c>
      <c r="AJ12" s="11" t="n">
        <v>39.68</v>
      </c>
      <c r="AK12" s="11" t="n">
        <v>39.71</v>
      </c>
      <c r="AL12" s="11" t="n">
        <v>33.73</v>
      </c>
      <c r="AM12" s="11" t="n">
        <v>299.57</v>
      </c>
      <c r="AN12" s="11" t="n">
        <v>297.1</v>
      </c>
      <c r="AO12" s="11" t="n">
        <v>299.57</v>
      </c>
      <c r="AP12" s="11" t="n">
        <v>352.44</v>
      </c>
      <c r="AQ12" s="11" t="n">
        <v>349.53</v>
      </c>
      <c r="AR12" s="11" t="n">
        <v>352.44</v>
      </c>
      <c r="AS12" s="11" t="n">
        <v>299.57</v>
      </c>
      <c r="AT12" s="11" t="n">
        <v>-0.02</v>
      </c>
      <c r="AU12" s="11" t="s">
        <v>2343</v>
      </c>
      <c r="AV12" s="11" t="s">
        <v>935</v>
      </c>
      <c r="AW12" s="11" t="s">
        <v>2344</v>
      </c>
      <c r="AX12" s="11" t="s">
        <v>2345</v>
      </c>
      <c r="AY12" s="11" t="s">
        <v>2346</v>
      </c>
      <c r="AZ12" s="11" t="s">
        <v>308</v>
      </c>
      <c r="BA12" s="11" t="s">
        <v>2347</v>
      </c>
      <c r="BB12" s="11" t="s">
        <v>2348</v>
      </c>
      <c r="BC12" s="11" t="s">
        <v>2349</v>
      </c>
      <c r="BD12" s="12" t="s">
        <v>2350</v>
      </c>
    </row>
    <row r="13" customFormat="false" ht="126.85" hidden="false" customHeight="false" outlineLevel="0" collapsed="false">
      <c r="A13" s="10" t="s">
        <v>2359</v>
      </c>
      <c r="B13" s="11" t="s">
        <v>119</v>
      </c>
      <c r="C13" s="11" t="s">
        <v>124</v>
      </c>
      <c r="D13" s="11" t="s">
        <v>125</v>
      </c>
      <c r="E13" s="11" t="s">
        <v>120</v>
      </c>
      <c r="F13" s="11" t="s">
        <v>121</v>
      </c>
      <c r="G13" s="11" t="s">
        <v>68</v>
      </c>
      <c r="H13" s="11" t="s">
        <v>2280</v>
      </c>
      <c r="I13" s="11" t="s">
        <v>122</v>
      </c>
      <c r="J13" s="11" t="n">
        <v>300</v>
      </c>
      <c r="K13" s="11" t="s">
        <v>304</v>
      </c>
      <c r="L13" s="11" t="n">
        <v>300</v>
      </c>
      <c r="M13" s="11" t="s">
        <v>304</v>
      </c>
      <c r="N13" s="11" t="s">
        <v>2342</v>
      </c>
      <c r="O13" s="11" t="n">
        <v>8</v>
      </c>
      <c r="P13" s="11" t="n">
        <v>100</v>
      </c>
      <c r="Q13" s="11" t="n">
        <v>4</v>
      </c>
      <c r="R13" s="11" t="n">
        <v>29.35</v>
      </c>
      <c r="S13" s="11" t="n">
        <v>9.21</v>
      </c>
      <c r="T13" s="11" t="n">
        <v>29.48</v>
      </c>
      <c r="U13" s="11" t="n">
        <v>9.78</v>
      </c>
      <c r="V13" s="11" t="n">
        <v>3.07</v>
      </c>
      <c r="W13" s="11" t="n">
        <v>9.83</v>
      </c>
      <c r="X13" s="11" t="n">
        <v>29.35</v>
      </c>
      <c r="Y13" s="11" t="n">
        <v>48.06</v>
      </c>
      <c r="Z13" s="11" t="n">
        <v>47.98</v>
      </c>
      <c r="AA13" s="11" t="n">
        <v>63.52</v>
      </c>
      <c r="AB13" s="11" t="n">
        <v>16.02</v>
      </c>
      <c r="AC13" s="11" t="n">
        <v>15.99</v>
      </c>
      <c r="AD13" s="11" t="n">
        <v>21.17</v>
      </c>
      <c r="AE13" s="11" t="n">
        <v>48.06</v>
      </c>
      <c r="AF13" s="11" t="n">
        <v>10.07</v>
      </c>
      <c r="AG13" s="11" t="n">
        <v>9.7</v>
      </c>
      <c r="AH13" s="11" t="n">
        <v>14.33</v>
      </c>
      <c r="AI13" s="11" t="n">
        <v>3.36</v>
      </c>
      <c r="AJ13" s="11" t="n">
        <v>3.23</v>
      </c>
      <c r="AK13" s="11" t="n">
        <v>4.78</v>
      </c>
      <c r="AL13" s="11" t="n">
        <v>10.07</v>
      </c>
      <c r="AM13" s="11" t="n">
        <v>584.45</v>
      </c>
      <c r="AN13" s="11" t="n">
        <v>581.84</v>
      </c>
      <c r="AO13" s="11" t="n">
        <v>650.81</v>
      </c>
      <c r="AP13" s="11" t="n">
        <v>194.82</v>
      </c>
      <c r="AQ13" s="11" t="n">
        <v>193.95</v>
      </c>
      <c r="AR13" s="11" t="n">
        <v>216.94</v>
      </c>
      <c r="AS13" s="11" t="n">
        <v>584.45</v>
      </c>
      <c r="AT13" s="11" t="n">
        <v>-0.99</v>
      </c>
      <c r="AU13" s="11" t="s">
        <v>2343</v>
      </c>
      <c r="AV13" s="11" t="s">
        <v>935</v>
      </c>
      <c r="AW13" s="11" t="s">
        <v>2344</v>
      </c>
      <c r="AX13" s="11" t="s">
        <v>2345</v>
      </c>
      <c r="AY13" s="11" t="s">
        <v>2346</v>
      </c>
      <c r="AZ13" s="11" t="s">
        <v>308</v>
      </c>
      <c r="BA13" s="11" t="s">
        <v>2347</v>
      </c>
      <c r="BB13" s="11" t="s">
        <v>2348</v>
      </c>
      <c r="BC13" s="11" t="s">
        <v>2349</v>
      </c>
      <c r="BD13" s="12" t="s">
        <v>2350</v>
      </c>
    </row>
    <row r="14" customFormat="false" ht="126.85" hidden="false" customHeight="false" outlineLevel="0" collapsed="false">
      <c r="A14" s="10" t="s">
        <v>2360</v>
      </c>
      <c r="B14" s="11" t="s">
        <v>127</v>
      </c>
      <c r="C14" s="11" t="s">
        <v>130</v>
      </c>
      <c r="D14" s="11" t="s">
        <v>131</v>
      </c>
      <c r="E14" s="11" t="s">
        <v>120</v>
      </c>
      <c r="F14" s="11" t="s">
        <v>128</v>
      </c>
      <c r="G14" s="11" t="s">
        <v>68</v>
      </c>
      <c r="H14" s="11" t="s">
        <v>2280</v>
      </c>
      <c r="I14" s="11" t="s">
        <v>122</v>
      </c>
      <c r="J14" s="11" t="n">
        <v>280</v>
      </c>
      <c r="K14" s="11" t="s">
        <v>304</v>
      </c>
      <c r="L14" s="11" t="n">
        <v>280</v>
      </c>
      <c r="M14" s="11" t="s">
        <v>304</v>
      </c>
      <c r="N14" s="11" t="s">
        <v>2342</v>
      </c>
      <c r="O14" s="11" t="n">
        <v>9</v>
      </c>
      <c r="P14" s="11" t="n">
        <v>100</v>
      </c>
      <c r="Q14" s="11" t="n">
        <v>3</v>
      </c>
      <c r="R14" s="11" t="n">
        <v>26.39</v>
      </c>
      <c r="S14" s="11" t="n">
        <v>26.39</v>
      </c>
      <c r="T14" s="11" t="n">
        <v>26.57</v>
      </c>
      <c r="U14" s="11" t="n">
        <v>9.43</v>
      </c>
      <c r="V14" s="11" t="n">
        <v>9.43</v>
      </c>
      <c r="W14" s="11" t="n">
        <v>9.49</v>
      </c>
      <c r="X14" s="11" t="n">
        <v>26.39</v>
      </c>
      <c r="Y14" s="11" t="n">
        <v>13.17</v>
      </c>
      <c r="Z14" s="11" t="n">
        <v>13.17</v>
      </c>
      <c r="AA14" s="11" t="n">
        <v>13.17</v>
      </c>
      <c r="AB14" s="11" t="n">
        <v>4.7</v>
      </c>
      <c r="AC14" s="11" t="n">
        <v>4.7</v>
      </c>
      <c r="AD14" s="11" t="n">
        <v>4.7</v>
      </c>
      <c r="AE14" s="11" t="n">
        <v>13.17</v>
      </c>
      <c r="AF14" s="11" t="n">
        <v>15.67</v>
      </c>
      <c r="AG14" s="11" t="n">
        <v>15.41</v>
      </c>
      <c r="AH14" s="11" t="n">
        <v>15.67</v>
      </c>
      <c r="AI14" s="11" t="n">
        <v>5.6</v>
      </c>
      <c r="AJ14" s="11" t="n">
        <v>5.5</v>
      </c>
      <c r="AK14" s="11" t="n">
        <v>5.6</v>
      </c>
      <c r="AL14" s="11" t="n">
        <v>15.67</v>
      </c>
      <c r="AM14" s="11" t="n">
        <v>278.08</v>
      </c>
      <c r="AN14" s="11" t="n">
        <v>277.58</v>
      </c>
      <c r="AO14" s="11" t="n">
        <v>278.08</v>
      </c>
      <c r="AP14" s="11" t="n">
        <v>99.31</v>
      </c>
      <c r="AQ14" s="11" t="n">
        <v>99.14</v>
      </c>
      <c r="AR14" s="11" t="n">
        <v>99.31</v>
      </c>
      <c r="AS14" s="11" t="n">
        <v>278.08</v>
      </c>
      <c r="AT14" s="11" t="n">
        <v>-3.14</v>
      </c>
      <c r="AU14" s="11" t="s">
        <v>2343</v>
      </c>
      <c r="AV14" s="11" t="s">
        <v>935</v>
      </c>
      <c r="AW14" s="11" t="s">
        <v>2344</v>
      </c>
      <c r="AX14" s="11" t="s">
        <v>2345</v>
      </c>
      <c r="AY14" s="11" t="s">
        <v>2346</v>
      </c>
      <c r="AZ14" s="11" t="s">
        <v>308</v>
      </c>
      <c r="BA14" s="11" t="s">
        <v>2347</v>
      </c>
      <c r="BB14" s="11" t="s">
        <v>2348</v>
      </c>
      <c r="BC14" s="11" t="s">
        <v>2349</v>
      </c>
      <c r="BD14" s="12" t="s">
        <v>2350</v>
      </c>
    </row>
    <row r="15" customFormat="false" ht="126.85" hidden="false" customHeight="false" outlineLevel="0" collapsed="false">
      <c r="A15" s="10" t="s">
        <v>2361</v>
      </c>
      <c r="B15" s="11" t="s">
        <v>133</v>
      </c>
      <c r="C15" s="11" t="s">
        <v>136</v>
      </c>
      <c r="D15" s="11" t="s">
        <v>137</v>
      </c>
      <c r="E15" s="11" t="s">
        <v>120</v>
      </c>
      <c r="F15" s="11" t="s">
        <v>134</v>
      </c>
      <c r="G15" s="11" t="s">
        <v>68</v>
      </c>
      <c r="H15" s="11" t="s">
        <v>2280</v>
      </c>
      <c r="I15" s="11" t="s">
        <v>122</v>
      </c>
      <c r="J15" s="11" t="n">
        <v>270</v>
      </c>
      <c r="K15" s="11" t="s">
        <v>304</v>
      </c>
      <c r="L15" s="11" t="n">
        <v>270</v>
      </c>
      <c r="M15" s="11" t="s">
        <v>304</v>
      </c>
      <c r="N15" s="11" t="s">
        <v>2342</v>
      </c>
      <c r="O15" s="11" t="n">
        <v>9</v>
      </c>
      <c r="P15" s="11" t="n">
        <v>100</v>
      </c>
      <c r="Q15" s="11" t="n">
        <v>3</v>
      </c>
      <c r="R15" s="11" t="n">
        <v>8.96</v>
      </c>
      <c r="S15" s="11" t="n">
        <v>8.88</v>
      </c>
      <c r="T15" s="11" t="n">
        <v>9.01</v>
      </c>
      <c r="U15" s="11" t="n">
        <v>3.32</v>
      </c>
      <c r="V15" s="11" t="n">
        <v>3.29</v>
      </c>
      <c r="W15" s="11" t="n">
        <v>3.34</v>
      </c>
      <c r="X15" s="11" t="n">
        <v>8.96</v>
      </c>
      <c r="Y15" s="11" t="n">
        <v>21.19</v>
      </c>
      <c r="Z15" s="11" t="n">
        <v>20.29</v>
      </c>
      <c r="AA15" s="11" t="n">
        <v>21.21</v>
      </c>
      <c r="AB15" s="11" t="n">
        <v>7.85</v>
      </c>
      <c r="AC15" s="11" t="n">
        <v>7.51</v>
      </c>
      <c r="AD15" s="11" t="n">
        <v>7.86</v>
      </c>
      <c r="AE15" s="11" t="n">
        <v>21.19</v>
      </c>
      <c r="AF15" s="11" t="n">
        <v>11.83</v>
      </c>
      <c r="AG15" s="11" t="n">
        <v>11.48</v>
      </c>
      <c r="AH15" s="11" t="n">
        <v>12.61</v>
      </c>
      <c r="AI15" s="11" t="n">
        <v>4.38</v>
      </c>
      <c r="AJ15" s="11" t="n">
        <v>4.25</v>
      </c>
      <c r="AK15" s="11" t="n">
        <v>4.67</v>
      </c>
      <c r="AL15" s="11" t="n">
        <v>11.83</v>
      </c>
      <c r="AM15" s="11" t="n">
        <v>262.94</v>
      </c>
      <c r="AN15" s="11" t="n">
        <v>255.82</v>
      </c>
      <c r="AO15" s="11" t="n">
        <v>264.27</v>
      </c>
      <c r="AP15" s="11" t="n">
        <v>97.39</v>
      </c>
      <c r="AQ15" s="11" t="n">
        <v>94.75</v>
      </c>
      <c r="AR15" s="11" t="n">
        <v>97.88</v>
      </c>
      <c r="AS15" s="11" t="n">
        <v>262.94</v>
      </c>
      <c r="AT15" s="11" t="n">
        <v>-4.16</v>
      </c>
      <c r="AU15" s="11" t="s">
        <v>2343</v>
      </c>
      <c r="AV15" s="11" t="s">
        <v>935</v>
      </c>
      <c r="AW15" s="11" t="s">
        <v>2344</v>
      </c>
      <c r="AX15" s="11" t="s">
        <v>2345</v>
      </c>
      <c r="AY15" s="11" t="s">
        <v>2346</v>
      </c>
      <c r="AZ15" s="11" t="s">
        <v>308</v>
      </c>
      <c r="BA15" s="11" t="s">
        <v>2347</v>
      </c>
      <c r="BB15" s="11" t="s">
        <v>2348</v>
      </c>
      <c r="BC15" s="11" t="s">
        <v>2349</v>
      </c>
      <c r="BD15" s="12" t="s">
        <v>2350</v>
      </c>
    </row>
    <row r="16" customFormat="false" ht="126.85" hidden="false" customHeight="false" outlineLevel="0" collapsed="false">
      <c r="A16" s="10" t="s">
        <v>2362</v>
      </c>
      <c r="B16" s="11" t="s">
        <v>139</v>
      </c>
      <c r="C16" s="11" t="s">
        <v>142</v>
      </c>
      <c r="D16" s="11" t="s">
        <v>143</v>
      </c>
      <c r="E16" s="11" t="s">
        <v>120</v>
      </c>
      <c r="F16" s="11" t="s">
        <v>140</v>
      </c>
      <c r="G16" s="11" t="s">
        <v>68</v>
      </c>
      <c r="H16" s="11" t="s">
        <v>2280</v>
      </c>
      <c r="I16" s="11" t="s">
        <v>122</v>
      </c>
      <c r="J16" s="11" t="n">
        <v>240</v>
      </c>
      <c r="K16" s="11" t="s">
        <v>304</v>
      </c>
      <c r="L16" s="11" t="n">
        <v>240</v>
      </c>
      <c r="M16" s="11" t="s">
        <v>304</v>
      </c>
      <c r="N16" s="11" t="s">
        <v>2342</v>
      </c>
      <c r="O16" s="11" t="n">
        <v>8</v>
      </c>
      <c r="P16" s="11" t="n">
        <v>100</v>
      </c>
      <c r="Q16" s="11" t="n">
        <v>2</v>
      </c>
      <c r="R16" s="11" t="n">
        <v>3.62</v>
      </c>
      <c r="S16" s="11" t="n">
        <v>3.62</v>
      </c>
      <c r="T16" s="11" t="n">
        <v>3.62</v>
      </c>
      <c r="U16" s="11" t="n">
        <v>1.51</v>
      </c>
      <c r="V16" s="11" t="n">
        <v>1.51</v>
      </c>
      <c r="W16" s="11" t="n">
        <v>1.51</v>
      </c>
      <c r="X16" s="11" t="n">
        <v>3.62</v>
      </c>
      <c r="Y16" s="11" t="n">
        <v>5.52</v>
      </c>
      <c r="Z16" s="11" t="n">
        <v>5.52</v>
      </c>
      <c r="AA16" s="11" t="n">
        <v>5.52</v>
      </c>
      <c r="AB16" s="11" t="n">
        <v>2.3</v>
      </c>
      <c r="AC16" s="11" t="n">
        <v>2.3</v>
      </c>
      <c r="AD16" s="11" t="n">
        <v>2.3</v>
      </c>
      <c r="AE16" s="11" t="n">
        <v>5.52</v>
      </c>
      <c r="AF16" s="11" t="n">
        <v>26.73</v>
      </c>
      <c r="AG16" s="11" t="n">
        <v>26.73</v>
      </c>
      <c r="AH16" s="11" t="n">
        <v>26.73</v>
      </c>
      <c r="AI16" s="11" t="n">
        <v>11.14</v>
      </c>
      <c r="AJ16" s="11" t="n">
        <v>11.14</v>
      </c>
      <c r="AK16" s="11" t="n">
        <v>11.14</v>
      </c>
      <c r="AL16" s="11" t="n">
        <v>26.73</v>
      </c>
      <c r="AM16" s="11" t="n">
        <v>162.75</v>
      </c>
      <c r="AN16" s="11" t="n">
        <v>162.75</v>
      </c>
      <c r="AO16" s="11" t="n">
        <v>162.75</v>
      </c>
      <c r="AP16" s="11" t="n">
        <v>67.81</v>
      </c>
      <c r="AQ16" s="11" t="n">
        <v>67.81</v>
      </c>
      <c r="AR16" s="11" t="n">
        <v>67.81</v>
      </c>
      <c r="AS16" s="11" t="n">
        <v>162.75</v>
      </c>
      <c r="AT16" s="11" t="n">
        <v>-5.1</v>
      </c>
      <c r="AU16" s="11" t="s">
        <v>2343</v>
      </c>
      <c r="AV16" s="11" t="s">
        <v>935</v>
      </c>
      <c r="AW16" s="11" t="s">
        <v>2344</v>
      </c>
      <c r="AX16" s="11" t="s">
        <v>2345</v>
      </c>
      <c r="AY16" s="11" t="s">
        <v>2346</v>
      </c>
      <c r="AZ16" s="11" t="s">
        <v>308</v>
      </c>
      <c r="BA16" s="11" t="s">
        <v>2347</v>
      </c>
      <c r="BB16" s="11" t="s">
        <v>2348</v>
      </c>
      <c r="BC16" s="11" t="s">
        <v>2349</v>
      </c>
      <c r="BD16" s="12" t="s">
        <v>2350</v>
      </c>
    </row>
    <row r="17" customFormat="false" ht="126.85" hidden="false" customHeight="false" outlineLevel="0" collapsed="false">
      <c r="A17" s="10" t="s">
        <v>2363</v>
      </c>
      <c r="B17" s="11" t="s">
        <v>145</v>
      </c>
      <c r="C17" s="11" t="s">
        <v>150</v>
      </c>
      <c r="D17" s="11" t="s">
        <v>151</v>
      </c>
      <c r="E17" s="11" t="s">
        <v>146</v>
      </c>
      <c r="F17" s="11" t="s">
        <v>147</v>
      </c>
      <c r="G17" s="11" t="s">
        <v>68</v>
      </c>
      <c r="H17" s="11" t="s">
        <v>2280</v>
      </c>
      <c r="I17" s="11" t="s">
        <v>122</v>
      </c>
      <c r="J17" s="11" t="n">
        <v>130</v>
      </c>
      <c r="K17" s="11" t="s">
        <v>304</v>
      </c>
      <c r="L17" s="11" t="n">
        <v>130</v>
      </c>
      <c r="M17" s="11" t="s">
        <v>304</v>
      </c>
      <c r="N17" s="11" t="s">
        <v>2342</v>
      </c>
      <c r="O17" s="11" t="n">
        <v>5</v>
      </c>
      <c r="P17" s="11" t="n">
        <v>100</v>
      </c>
      <c r="Q17" s="11" t="n">
        <v>3</v>
      </c>
      <c r="R17" s="11" t="n">
        <v>18.64</v>
      </c>
      <c r="S17" s="11" t="n">
        <v>18.64</v>
      </c>
      <c r="T17" s="11" t="n">
        <v>23.16</v>
      </c>
      <c r="U17" s="11" t="n">
        <v>14.34</v>
      </c>
      <c r="V17" s="11" t="n">
        <v>14.34</v>
      </c>
      <c r="W17" s="11" t="n">
        <v>17.82</v>
      </c>
      <c r="X17" s="11" t="n">
        <v>18.64</v>
      </c>
      <c r="Y17" s="11" t="n">
        <v>9.41</v>
      </c>
      <c r="Z17" s="11" t="n">
        <v>9.41</v>
      </c>
      <c r="AA17" s="11" t="n">
        <v>15.19</v>
      </c>
      <c r="AB17" s="11" t="n">
        <v>7.24</v>
      </c>
      <c r="AC17" s="11" t="n">
        <v>7.24</v>
      </c>
      <c r="AD17" s="11" t="n">
        <v>11.68</v>
      </c>
      <c r="AE17" s="11" t="n">
        <v>9.41</v>
      </c>
      <c r="AF17" s="11" t="n">
        <v>1.46</v>
      </c>
      <c r="AG17" s="11" t="n">
        <v>1.46</v>
      </c>
      <c r="AH17" s="11" t="n">
        <v>1.96</v>
      </c>
      <c r="AI17" s="11" t="n">
        <v>1.13</v>
      </c>
      <c r="AJ17" s="11" t="n">
        <v>1.13</v>
      </c>
      <c r="AK17" s="11" t="n">
        <v>1.51</v>
      </c>
      <c r="AL17" s="11" t="n">
        <v>1.46</v>
      </c>
      <c r="AM17" s="11" t="n">
        <v>166.75</v>
      </c>
      <c r="AN17" s="11" t="n">
        <v>166.75</v>
      </c>
      <c r="AO17" s="11" t="n">
        <v>233.75</v>
      </c>
      <c r="AP17" s="11" t="n">
        <v>128.27</v>
      </c>
      <c r="AQ17" s="11" t="n">
        <v>128.27</v>
      </c>
      <c r="AR17" s="11" t="n">
        <v>179.81</v>
      </c>
      <c r="AS17" s="11" t="n">
        <v>166.75</v>
      </c>
      <c r="AT17" s="11" t="n">
        <v>0.99</v>
      </c>
      <c r="AU17" s="11" t="s">
        <v>2343</v>
      </c>
      <c r="AV17" s="11" t="s">
        <v>935</v>
      </c>
      <c r="AW17" s="11" t="s">
        <v>2344</v>
      </c>
      <c r="AX17" s="11" t="s">
        <v>2345</v>
      </c>
      <c r="AY17" s="11" t="s">
        <v>2346</v>
      </c>
      <c r="AZ17" s="11" t="s">
        <v>308</v>
      </c>
      <c r="BA17" s="11" t="s">
        <v>2347</v>
      </c>
      <c r="BB17" s="11" t="s">
        <v>2348</v>
      </c>
      <c r="BC17" s="11" t="s">
        <v>2349</v>
      </c>
      <c r="BD17" s="12" t="s">
        <v>2350</v>
      </c>
    </row>
    <row r="18" customFormat="false" ht="126.85" hidden="false" customHeight="false" outlineLevel="0" collapsed="false">
      <c r="A18" s="10" t="s">
        <v>2364</v>
      </c>
      <c r="B18" s="11" t="s">
        <v>153</v>
      </c>
      <c r="C18" s="11" t="s">
        <v>156</v>
      </c>
      <c r="D18" s="11" t="s">
        <v>157</v>
      </c>
      <c r="E18" s="11" t="s">
        <v>146</v>
      </c>
      <c r="F18" s="11" t="s">
        <v>154</v>
      </c>
      <c r="G18" s="11" t="s">
        <v>68</v>
      </c>
      <c r="H18" s="11" t="s">
        <v>2280</v>
      </c>
      <c r="I18" s="11" t="s">
        <v>122</v>
      </c>
      <c r="J18" s="11" t="n">
        <v>250</v>
      </c>
      <c r="K18" s="11" t="s">
        <v>304</v>
      </c>
      <c r="L18" s="11" t="n">
        <v>250</v>
      </c>
      <c r="M18" s="11" t="s">
        <v>304</v>
      </c>
      <c r="N18" s="11" t="s">
        <v>2342</v>
      </c>
      <c r="O18" s="11" t="n">
        <v>6</v>
      </c>
      <c r="P18" s="11" t="n">
        <v>100</v>
      </c>
      <c r="Q18" s="11" t="n">
        <v>3</v>
      </c>
      <c r="R18" s="11" t="n">
        <v>20.79</v>
      </c>
      <c r="S18" s="11" t="n">
        <v>19.6</v>
      </c>
      <c r="T18" s="11" t="n">
        <v>20.79</v>
      </c>
      <c r="U18" s="11" t="n">
        <v>8.32</v>
      </c>
      <c r="V18" s="11" t="n">
        <v>7.84</v>
      </c>
      <c r="W18" s="11" t="n">
        <v>8.32</v>
      </c>
      <c r="X18" s="11" t="n">
        <v>20.79</v>
      </c>
      <c r="Y18" s="11" t="n">
        <v>18.86</v>
      </c>
      <c r="Z18" s="11" t="n">
        <v>18.86</v>
      </c>
      <c r="AA18" s="11" t="n">
        <v>20.81</v>
      </c>
      <c r="AB18" s="11" t="n">
        <v>7.54</v>
      </c>
      <c r="AC18" s="11" t="n">
        <v>7.54</v>
      </c>
      <c r="AD18" s="11" t="n">
        <v>8.32</v>
      </c>
      <c r="AE18" s="11" t="n">
        <v>18.86</v>
      </c>
      <c r="AF18" s="11" t="n">
        <v>29.35</v>
      </c>
      <c r="AG18" s="11" t="n">
        <v>29.35</v>
      </c>
      <c r="AH18" s="11" t="n">
        <v>38.85</v>
      </c>
      <c r="AI18" s="11" t="n">
        <v>11.74</v>
      </c>
      <c r="AJ18" s="11" t="n">
        <v>11.74</v>
      </c>
      <c r="AK18" s="11" t="n">
        <v>15.54</v>
      </c>
      <c r="AL18" s="11" t="n">
        <v>29.35</v>
      </c>
      <c r="AM18" s="11" t="n">
        <v>368.85</v>
      </c>
      <c r="AN18" s="11" t="n">
        <v>368.85</v>
      </c>
      <c r="AO18" s="11" t="n">
        <v>417.3</v>
      </c>
      <c r="AP18" s="11" t="n">
        <v>147.54</v>
      </c>
      <c r="AQ18" s="11" t="n">
        <v>147.54</v>
      </c>
      <c r="AR18" s="11" t="n">
        <v>166.92</v>
      </c>
      <c r="AS18" s="11" t="n">
        <v>368.85</v>
      </c>
      <c r="AT18" s="11" t="n">
        <v>-0.38</v>
      </c>
      <c r="AU18" s="11" t="s">
        <v>2343</v>
      </c>
      <c r="AV18" s="11" t="s">
        <v>935</v>
      </c>
      <c r="AW18" s="11" t="s">
        <v>2344</v>
      </c>
      <c r="AX18" s="11" t="s">
        <v>2345</v>
      </c>
      <c r="AY18" s="11" t="s">
        <v>2346</v>
      </c>
      <c r="AZ18" s="11" t="s">
        <v>308</v>
      </c>
      <c r="BA18" s="11" t="s">
        <v>2347</v>
      </c>
      <c r="BB18" s="11" t="s">
        <v>2348</v>
      </c>
      <c r="BC18" s="11" t="s">
        <v>2349</v>
      </c>
      <c r="BD18" s="12" t="s">
        <v>2350</v>
      </c>
    </row>
    <row r="19" customFormat="false" ht="126.85" hidden="false" customHeight="false" outlineLevel="0" collapsed="false">
      <c r="A19" s="10" t="s">
        <v>2365</v>
      </c>
      <c r="B19" s="11" t="s">
        <v>159</v>
      </c>
      <c r="C19" s="11" t="s">
        <v>162</v>
      </c>
      <c r="D19" s="11" t="s">
        <v>163</v>
      </c>
      <c r="E19" s="11" t="s">
        <v>146</v>
      </c>
      <c r="F19" s="11" t="s">
        <v>160</v>
      </c>
      <c r="G19" s="11" t="s">
        <v>68</v>
      </c>
      <c r="H19" s="11" t="s">
        <v>2280</v>
      </c>
      <c r="I19" s="11" t="s">
        <v>122</v>
      </c>
      <c r="J19" s="11" t="n">
        <v>120</v>
      </c>
      <c r="K19" s="11" t="s">
        <v>304</v>
      </c>
      <c r="L19" s="11" t="n">
        <v>120</v>
      </c>
      <c r="M19" s="11" t="s">
        <v>304</v>
      </c>
      <c r="N19" s="11" t="s">
        <v>2342</v>
      </c>
      <c r="O19" s="11" t="n">
        <v>6</v>
      </c>
      <c r="P19" s="11" t="n">
        <v>100</v>
      </c>
      <c r="Q19" s="11" t="n">
        <v>1</v>
      </c>
      <c r="R19" s="11" t="n">
        <v>1.71</v>
      </c>
      <c r="S19" s="11" t="n">
        <v>1.71</v>
      </c>
      <c r="T19" s="11" t="n">
        <v>1.71</v>
      </c>
      <c r="U19" s="11" t="n">
        <v>1.43</v>
      </c>
      <c r="V19" s="11" t="n">
        <v>1.43</v>
      </c>
      <c r="W19" s="11" t="n">
        <v>1.43</v>
      </c>
      <c r="X19" s="11" t="n">
        <v>1.71</v>
      </c>
      <c r="Y19" s="11" t="n">
        <v>23.55</v>
      </c>
      <c r="Z19" s="11" t="n">
        <v>23.55</v>
      </c>
      <c r="AA19" s="11" t="n">
        <v>23.55</v>
      </c>
      <c r="AB19" s="11" t="n">
        <v>19.63</v>
      </c>
      <c r="AC19" s="11" t="n">
        <v>19.63</v>
      </c>
      <c r="AD19" s="11" t="n">
        <v>19.63</v>
      </c>
      <c r="AE19" s="11" t="n">
        <v>23.55</v>
      </c>
      <c r="AF19" s="11" t="n">
        <v>8.03</v>
      </c>
      <c r="AG19" s="11" t="n">
        <v>7.9</v>
      </c>
      <c r="AH19" s="11" t="n">
        <v>8.17</v>
      </c>
      <c r="AI19" s="11" t="n">
        <v>6.69</v>
      </c>
      <c r="AJ19" s="11" t="n">
        <v>6.58</v>
      </c>
      <c r="AK19" s="11" t="n">
        <v>6.81</v>
      </c>
      <c r="AL19" s="11" t="n">
        <v>8.03</v>
      </c>
      <c r="AM19" s="11" t="n">
        <v>237.09</v>
      </c>
      <c r="AN19" s="11" t="n">
        <v>236.34</v>
      </c>
      <c r="AO19" s="11" t="n">
        <v>237.84</v>
      </c>
      <c r="AP19" s="11" t="n">
        <v>197.57</v>
      </c>
      <c r="AQ19" s="11" t="n">
        <v>196.95</v>
      </c>
      <c r="AR19" s="11" t="n">
        <v>198.2</v>
      </c>
      <c r="AS19" s="11" t="n">
        <v>237.09</v>
      </c>
      <c r="AT19" s="11" t="n">
        <v>-5.84</v>
      </c>
      <c r="AU19" s="11" t="s">
        <v>2343</v>
      </c>
      <c r="AV19" s="11" t="s">
        <v>935</v>
      </c>
      <c r="AW19" s="11" t="s">
        <v>2344</v>
      </c>
      <c r="AX19" s="11" t="s">
        <v>2345</v>
      </c>
      <c r="AY19" s="11" t="s">
        <v>2346</v>
      </c>
      <c r="AZ19" s="11" t="s">
        <v>308</v>
      </c>
      <c r="BA19" s="11" t="s">
        <v>2347</v>
      </c>
      <c r="BB19" s="11" t="s">
        <v>2348</v>
      </c>
      <c r="BC19" s="11" t="s">
        <v>2349</v>
      </c>
      <c r="BD19" s="12" t="s">
        <v>2350</v>
      </c>
    </row>
    <row r="20" customFormat="false" ht="126.85" hidden="false" customHeight="false" outlineLevel="0" collapsed="false">
      <c r="A20" s="10" t="s">
        <v>2366</v>
      </c>
      <c r="B20" s="11" t="s">
        <v>165</v>
      </c>
      <c r="C20" s="11" t="s">
        <v>168</v>
      </c>
      <c r="D20" s="11" t="s">
        <v>169</v>
      </c>
      <c r="E20" s="11" t="s">
        <v>146</v>
      </c>
      <c r="F20" s="11" t="s">
        <v>166</v>
      </c>
      <c r="G20" s="11" t="s">
        <v>68</v>
      </c>
      <c r="H20" s="11" t="s">
        <v>2280</v>
      </c>
      <c r="I20" s="11" t="s">
        <v>122</v>
      </c>
      <c r="J20" s="11" t="n">
        <v>180</v>
      </c>
      <c r="K20" s="11" t="s">
        <v>304</v>
      </c>
      <c r="L20" s="11" t="n">
        <v>180</v>
      </c>
      <c r="M20" s="11" t="s">
        <v>304</v>
      </c>
      <c r="N20" s="11" t="s">
        <v>2342</v>
      </c>
      <c r="O20" s="11" t="n">
        <v>9</v>
      </c>
      <c r="P20" s="11" t="n">
        <v>100</v>
      </c>
      <c r="Q20" s="11" t="n">
        <v>2</v>
      </c>
      <c r="R20" s="11" t="n">
        <v>1.53</v>
      </c>
      <c r="S20" s="11" t="n">
        <v>1.53</v>
      </c>
      <c r="T20" s="11" t="n">
        <v>1.53</v>
      </c>
      <c r="U20" s="11" t="n">
        <v>0.85</v>
      </c>
      <c r="V20" s="11" t="n">
        <v>0.85</v>
      </c>
      <c r="W20" s="11" t="n">
        <v>0.85</v>
      </c>
      <c r="X20" s="11" t="n">
        <v>1.53</v>
      </c>
      <c r="Y20" s="11" t="n">
        <v>5.27</v>
      </c>
      <c r="Z20" s="11" t="n">
        <v>5.27</v>
      </c>
      <c r="AA20" s="11" t="n">
        <v>5.27</v>
      </c>
      <c r="AB20" s="11" t="n">
        <v>2.93</v>
      </c>
      <c r="AC20" s="11" t="n">
        <v>2.93</v>
      </c>
      <c r="AD20" s="11" t="n">
        <v>2.93</v>
      </c>
      <c r="AE20" s="11" t="n">
        <v>5.27</v>
      </c>
      <c r="AF20" s="11" t="n">
        <v>11.75</v>
      </c>
      <c r="AG20" s="11" t="n">
        <v>11.75</v>
      </c>
      <c r="AH20" s="11" t="n">
        <v>11.75</v>
      </c>
      <c r="AI20" s="11" t="n">
        <v>6.53</v>
      </c>
      <c r="AJ20" s="11" t="n">
        <v>6.53</v>
      </c>
      <c r="AK20" s="11" t="n">
        <v>6.53</v>
      </c>
      <c r="AL20" s="11" t="n">
        <v>11.75</v>
      </c>
      <c r="AM20" s="11" t="n">
        <v>94.14</v>
      </c>
      <c r="AN20" s="11" t="n">
        <v>94.14</v>
      </c>
      <c r="AO20" s="11" t="n">
        <v>94.14</v>
      </c>
      <c r="AP20" s="11" t="n">
        <v>52.3</v>
      </c>
      <c r="AQ20" s="11" t="n">
        <v>52.3</v>
      </c>
      <c r="AR20" s="11" t="n">
        <v>52.3</v>
      </c>
      <c r="AS20" s="11" t="n">
        <v>94.14</v>
      </c>
      <c r="AT20" s="11" t="n">
        <v>-6.85</v>
      </c>
      <c r="AU20" s="11" t="s">
        <v>2343</v>
      </c>
      <c r="AV20" s="11" t="s">
        <v>935</v>
      </c>
      <c r="AW20" s="11" t="s">
        <v>2344</v>
      </c>
      <c r="AX20" s="11" t="s">
        <v>2345</v>
      </c>
      <c r="AY20" s="11" t="s">
        <v>2346</v>
      </c>
      <c r="AZ20" s="11" t="s">
        <v>308</v>
      </c>
      <c r="BA20" s="11" t="s">
        <v>2347</v>
      </c>
      <c r="BB20" s="11" t="s">
        <v>2348</v>
      </c>
      <c r="BC20" s="11" t="s">
        <v>2349</v>
      </c>
      <c r="BD20" s="12" t="s">
        <v>2350</v>
      </c>
    </row>
    <row r="21" customFormat="false" ht="126.85" hidden="false" customHeight="false" outlineLevel="0" collapsed="false">
      <c r="A21" s="10" t="s">
        <v>2367</v>
      </c>
      <c r="B21" s="11" t="s">
        <v>171</v>
      </c>
      <c r="C21" s="11" t="s">
        <v>173</v>
      </c>
      <c r="D21" s="11" t="s">
        <v>174</v>
      </c>
      <c r="E21" s="11" t="s">
        <v>146</v>
      </c>
      <c r="F21" s="11" t="s">
        <v>172</v>
      </c>
      <c r="G21" s="11" t="s">
        <v>68</v>
      </c>
      <c r="H21" s="11" t="s">
        <v>2280</v>
      </c>
      <c r="I21" s="11" t="s">
        <v>122</v>
      </c>
      <c r="J21" s="11" t="n">
        <v>180</v>
      </c>
      <c r="K21" s="11" t="s">
        <v>304</v>
      </c>
      <c r="L21" s="11" t="n">
        <v>180</v>
      </c>
      <c r="M21" s="11" t="s">
        <v>304</v>
      </c>
      <c r="N21" s="11" t="s">
        <v>2342</v>
      </c>
      <c r="O21" s="11" t="n">
        <v>8</v>
      </c>
      <c r="P21" s="11" t="n">
        <v>100</v>
      </c>
      <c r="Q21" s="11" t="n">
        <v>5</v>
      </c>
      <c r="R21" s="11" t="n">
        <v>38.89</v>
      </c>
      <c r="S21" s="11" t="n">
        <v>38.85</v>
      </c>
      <c r="T21" s="11" t="n">
        <v>38.95</v>
      </c>
      <c r="U21" s="11" t="n">
        <v>21.61</v>
      </c>
      <c r="V21" s="11" t="n">
        <v>21.58</v>
      </c>
      <c r="W21" s="11" t="n">
        <v>21.64</v>
      </c>
      <c r="X21" s="11" t="n">
        <v>38.89</v>
      </c>
      <c r="Y21" s="11" t="n">
        <v>15.34</v>
      </c>
      <c r="Z21" s="11" t="n">
        <v>11.65</v>
      </c>
      <c r="AA21" s="11" t="n">
        <v>15.4</v>
      </c>
      <c r="AB21" s="11" t="n">
        <v>8.52</v>
      </c>
      <c r="AC21" s="11" t="n">
        <v>6.47</v>
      </c>
      <c r="AD21" s="11" t="n">
        <v>8.56</v>
      </c>
      <c r="AE21" s="11" t="n">
        <v>15.34</v>
      </c>
      <c r="AF21" s="11" t="n">
        <v>19.8</v>
      </c>
      <c r="AG21" s="11" t="n">
        <v>19.8</v>
      </c>
      <c r="AH21" s="11" t="n">
        <v>20.52</v>
      </c>
      <c r="AI21" s="11" t="n">
        <v>11</v>
      </c>
      <c r="AJ21" s="11" t="n">
        <v>11</v>
      </c>
      <c r="AK21" s="11" t="n">
        <v>11.4</v>
      </c>
      <c r="AL21" s="11" t="n">
        <v>19.8</v>
      </c>
      <c r="AM21" s="11" t="n">
        <v>371.53</v>
      </c>
      <c r="AN21" s="11" t="n">
        <v>340.59</v>
      </c>
      <c r="AO21" s="11" t="n">
        <v>372.73</v>
      </c>
      <c r="AP21" s="11" t="n">
        <v>206.41</v>
      </c>
      <c r="AQ21" s="11" t="n">
        <v>189.22</v>
      </c>
      <c r="AR21" s="11" t="n">
        <v>207.07</v>
      </c>
      <c r="AS21" s="11" t="n">
        <v>371.53</v>
      </c>
      <c r="AT21" s="11" t="n">
        <v>-0.34</v>
      </c>
      <c r="AU21" s="11" t="s">
        <v>2343</v>
      </c>
      <c r="AV21" s="11" t="s">
        <v>935</v>
      </c>
      <c r="AW21" s="11" t="s">
        <v>2344</v>
      </c>
      <c r="AX21" s="11" t="s">
        <v>2345</v>
      </c>
      <c r="AY21" s="11" t="s">
        <v>2346</v>
      </c>
      <c r="AZ21" s="11" t="s">
        <v>308</v>
      </c>
      <c r="BA21" s="11" t="s">
        <v>2347</v>
      </c>
      <c r="BB21" s="11" t="s">
        <v>2348</v>
      </c>
      <c r="BC21" s="11" t="s">
        <v>2349</v>
      </c>
      <c r="BD21" s="12" t="s">
        <v>2350</v>
      </c>
    </row>
    <row r="22" customFormat="false" ht="126.85" hidden="false" customHeight="false" outlineLevel="0" collapsed="false">
      <c r="A22" s="10" t="s">
        <v>2368</v>
      </c>
      <c r="B22" s="11" t="s">
        <v>176</v>
      </c>
      <c r="C22" s="11" t="s">
        <v>182</v>
      </c>
      <c r="D22" s="11" t="s">
        <v>183</v>
      </c>
      <c r="E22" s="11" t="s">
        <v>177</v>
      </c>
      <c r="F22" s="11" t="s">
        <v>178</v>
      </c>
      <c r="G22" s="11" t="s">
        <v>68</v>
      </c>
      <c r="H22" s="11" t="s">
        <v>2280</v>
      </c>
      <c r="I22" s="11" t="s">
        <v>180</v>
      </c>
      <c r="J22" s="11" t="n">
        <v>400</v>
      </c>
      <c r="K22" s="11" t="s">
        <v>304</v>
      </c>
      <c r="L22" s="11" t="n">
        <v>400</v>
      </c>
      <c r="M22" s="11" t="s">
        <v>304</v>
      </c>
      <c r="N22" s="11" t="s">
        <v>2342</v>
      </c>
      <c r="O22" s="11" t="n">
        <v>11</v>
      </c>
      <c r="P22" s="11" t="n">
        <v>100</v>
      </c>
      <c r="Q22" s="11" t="n">
        <v>6</v>
      </c>
      <c r="R22" s="11" t="n">
        <v>20.21</v>
      </c>
      <c r="S22" s="11" t="n">
        <v>20.21</v>
      </c>
      <c r="T22" s="11" t="n">
        <v>22.34</v>
      </c>
      <c r="U22" s="11" t="n">
        <v>5.05</v>
      </c>
      <c r="V22" s="11" t="n">
        <v>5.05</v>
      </c>
      <c r="W22" s="11" t="n">
        <v>5.59</v>
      </c>
      <c r="X22" s="11" t="n">
        <v>20.21</v>
      </c>
      <c r="Y22" s="11" t="n">
        <v>10.18</v>
      </c>
      <c r="Z22" s="11" t="n">
        <v>8.87</v>
      </c>
      <c r="AA22" s="11" t="n">
        <v>17.96</v>
      </c>
      <c r="AB22" s="11" t="n">
        <v>2.55</v>
      </c>
      <c r="AC22" s="11" t="n">
        <v>2.22</v>
      </c>
      <c r="AD22" s="11" t="n">
        <v>4.49</v>
      </c>
      <c r="AE22" s="11" t="n">
        <v>10.18</v>
      </c>
      <c r="AF22" s="11" t="n">
        <v>24.27</v>
      </c>
      <c r="AG22" s="11" t="n">
        <v>24.27</v>
      </c>
      <c r="AH22" s="11" t="n">
        <v>24.65</v>
      </c>
      <c r="AI22" s="11" t="n">
        <v>6.07</v>
      </c>
      <c r="AJ22" s="11" t="n">
        <v>6.07</v>
      </c>
      <c r="AK22" s="11" t="n">
        <v>6.16</v>
      </c>
      <c r="AL22" s="11" t="n">
        <v>24.27</v>
      </c>
      <c r="AM22" s="11" t="n">
        <v>259.81</v>
      </c>
      <c r="AN22" s="11" t="n">
        <v>250.51</v>
      </c>
      <c r="AO22" s="11" t="n">
        <v>337.91</v>
      </c>
      <c r="AP22" s="11" t="n">
        <v>64.95</v>
      </c>
      <c r="AQ22" s="11" t="n">
        <v>62.63</v>
      </c>
      <c r="AR22" s="11" t="n">
        <v>84.48</v>
      </c>
      <c r="AS22" s="11" t="n">
        <v>259.81</v>
      </c>
      <c r="AT22" s="11" t="n">
        <v>-3.76</v>
      </c>
      <c r="AU22" s="11" t="s">
        <v>2343</v>
      </c>
      <c r="AV22" s="11" t="s">
        <v>935</v>
      </c>
      <c r="AW22" s="11" t="s">
        <v>2344</v>
      </c>
      <c r="AX22" s="11" t="s">
        <v>2345</v>
      </c>
      <c r="AY22" s="11" t="s">
        <v>2346</v>
      </c>
      <c r="AZ22" s="11" t="s">
        <v>308</v>
      </c>
      <c r="BA22" s="11" t="s">
        <v>2347</v>
      </c>
      <c r="BB22" s="11" t="s">
        <v>2348</v>
      </c>
      <c r="BC22" s="11" t="s">
        <v>2349</v>
      </c>
      <c r="BD22" s="12" t="s">
        <v>2350</v>
      </c>
    </row>
    <row r="23" customFormat="false" ht="126.85" hidden="false" customHeight="false" outlineLevel="0" collapsed="false">
      <c r="A23" s="10" t="s">
        <v>2369</v>
      </c>
      <c r="B23" s="11" t="s">
        <v>185</v>
      </c>
      <c r="C23" s="11" t="s">
        <v>188</v>
      </c>
      <c r="D23" s="11" t="s">
        <v>189</v>
      </c>
      <c r="E23" s="11" t="s">
        <v>186</v>
      </c>
      <c r="F23" s="11" t="s">
        <v>187</v>
      </c>
      <c r="G23" s="11" t="s">
        <v>68</v>
      </c>
      <c r="H23" s="11" t="s">
        <v>2280</v>
      </c>
      <c r="I23" s="11" t="s">
        <v>122</v>
      </c>
      <c r="J23" s="11" t="n">
        <v>300</v>
      </c>
      <c r="K23" s="11" t="s">
        <v>304</v>
      </c>
      <c r="L23" s="11" t="n">
        <v>300</v>
      </c>
      <c r="M23" s="11" t="s">
        <v>304</v>
      </c>
      <c r="N23" s="11" t="s">
        <v>2342</v>
      </c>
      <c r="O23" s="11" t="n">
        <v>8</v>
      </c>
      <c r="P23" s="11" t="n">
        <v>100</v>
      </c>
      <c r="Q23" s="11" t="n">
        <v>5</v>
      </c>
      <c r="R23" s="11" t="n">
        <v>37.79</v>
      </c>
      <c r="S23" s="11" t="n">
        <v>37.07</v>
      </c>
      <c r="T23" s="11" t="n">
        <v>38.07</v>
      </c>
      <c r="U23" s="11" t="n">
        <v>12.6</v>
      </c>
      <c r="V23" s="11" t="n">
        <v>12.36</v>
      </c>
      <c r="W23" s="11" t="n">
        <v>12.69</v>
      </c>
      <c r="X23" s="11" t="n">
        <v>37.79</v>
      </c>
      <c r="Y23" s="11" t="n">
        <v>35.83</v>
      </c>
      <c r="Z23" s="11" t="n">
        <v>25.98</v>
      </c>
      <c r="AA23" s="11" t="n">
        <v>46.11</v>
      </c>
      <c r="AB23" s="11" t="n">
        <v>11.94</v>
      </c>
      <c r="AC23" s="11" t="n">
        <v>8.66</v>
      </c>
      <c r="AD23" s="11" t="n">
        <v>15.37</v>
      </c>
      <c r="AE23" s="11" t="n">
        <v>35.83</v>
      </c>
      <c r="AF23" s="11" t="n">
        <v>3.64</v>
      </c>
      <c r="AG23" s="11" t="n">
        <v>2.92</v>
      </c>
      <c r="AH23" s="11" t="n">
        <v>4.12</v>
      </c>
      <c r="AI23" s="11" t="n">
        <v>1.21</v>
      </c>
      <c r="AJ23" s="11" t="n">
        <v>0.97</v>
      </c>
      <c r="AK23" s="11" t="n">
        <v>1.37</v>
      </c>
      <c r="AL23" s="11" t="n">
        <v>3.64</v>
      </c>
      <c r="AM23" s="11" t="n">
        <v>487.61</v>
      </c>
      <c r="AN23" s="11" t="n">
        <v>403.51</v>
      </c>
      <c r="AO23" s="11" t="n">
        <v>579.41</v>
      </c>
      <c r="AP23" s="11" t="n">
        <v>162.54</v>
      </c>
      <c r="AQ23" s="11" t="n">
        <v>134.5</v>
      </c>
      <c r="AR23" s="11" t="n">
        <v>193.14</v>
      </c>
      <c r="AS23" s="11" t="n">
        <v>487.61</v>
      </c>
      <c r="AT23" s="11" t="n">
        <v>-0.12</v>
      </c>
      <c r="AU23" s="11" t="s">
        <v>2343</v>
      </c>
      <c r="AV23" s="11" t="s">
        <v>935</v>
      </c>
      <c r="AW23" s="11" t="s">
        <v>2344</v>
      </c>
      <c r="AX23" s="11" t="s">
        <v>2345</v>
      </c>
      <c r="AY23" s="11" t="s">
        <v>2346</v>
      </c>
      <c r="AZ23" s="11" t="s">
        <v>308</v>
      </c>
      <c r="BA23" s="11" t="s">
        <v>2347</v>
      </c>
      <c r="BB23" s="11" t="s">
        <v>2348</v>
      </c>
      <c r="BC23" s="11" t="s">
        <v>2349</v>
      </c>
      <c r="BD23" s="12" t="s">
        <v>2350</v>
      </c>
    </row>
    <row r="24" customFormat="false" ht="126.85" hidden="false" customHeight="false" outlineLevel="0" collapsed="false">
      <c r="A24" s="10" t="s">
        <v>2370</v>
      </c>
      <c r="B24" s="11" t="s">
        <v>191</v>
      </c>
      <c r="C24" s="11" t="s">
        <v>194</v>
      </c>
      <c r="D24" s="11" t="s">
        <v>195</v>
      </c>
      <c r="E24" s="11" t="s">
        <v>186</v>
      </c>
      <c r="F24" s="11" t="s">
        <v>192</v>
      </c>
      <c r="G24" s="11" t="s">
        <v>68</v>
      </c>
      <c r="H24" s="11" t="s">
        <v>2280</v>
      </c>
      <c r="I24" s="11" t="s">
        <v>122</v>
      </c>
      <c r="J24" s="11" t="n">
        <v>360</v>
      </c>
      <c r="K24" s="11" t="s">
        <v>304</v>
      </c>
      <c r="L24" s="11" t="n">
        <v>360</v>
      </c>
      <c r="M24" s="11" t="s">
        <v>304</v>
      </c>
      <c r="N24" s="11" t="s">
        <v>2342</v>
      </c>
      <c r="O24" s="11" t="n">
        <v>10</v>
      </c>
      <c r="P24" s="11" t="n">
        <v>100</v>
      </c>
      <c r="Q24" s="11" t="n">
        <v>5</v>
      </c>
      <c r="R24" s="11" t="n">
        <v>37.49</v>
      </c>
      <c r="S24" s="11" t="n">
        <v>36.05</v>
      </c>
      <c r="T24" s="11" t="n">
        <v>37.67</v>
      </c>
      <c r="U24" s="11" t="n">
        <v>10.41</v>
      </c>
      <c r="V24" s="11" t="n">
        <v>10.01</v>
      </c>
      <c r="W24" s="11" t="n">
        <v>10.46</v>
      </c>
      <c r="X24" s="11" t="n">
        <v>37.49</v>
      </c>
      <c r="Y24" s="11" t="n">
        <v>21.85</v>
      </c>
      <c r="Z24" s="11" t="n">
        <v>10.36</v>
      </c>
      <c r="AA24" s="11" t="n">
        <v>21.9</v>
      </c>
      <c r="AB24" s="11" t="n">
        <v>6.07</v>
      </c>
      <c r="AC24" s="11" t="n">
        <v>2.88</v>
      </c>
      <c r="AD24" s="11" t="n">
        <v>6.08</v>
      </c>
      <c r="AE24" s="11" t="n">
        <v>21.85</v>
      </c>
      <c r="AF24" s="11" t="n">
        <v>20.59</v>
      </c>
      <c r="AG24" s="11" t="n">
        <v>19.8</v>
      </c>
      <c r="AH24" s="11" t="n">
        <v>22.3</v>
      </c>
      <c r="AI24" s="11" t="n">
        <v>5.72</v>
      </c>
      <c r="AJ24" s="11" t="n">
        <v>5.5</v>
      </c>
      <c r="AK24" s="11" t="n">
        <v>6.2</v>
      </c>
      <c r="AL24" s="11" t="n">
        <v>20.59</v>
      </c>
      <c r="AM24" s="11" t="n">
        <v>413.02</v>
      </c>
      <c r="AN24" s="11" t="n">
        <v>313.35</v>
      </c>
      <c r="AO24" s="11" t="n">
        <v>418.97</v>
      </c>
      <c r="AP24" s="11" t="n">
        <v>114.73</v>
      </c>
      <c r="AQ24" s="11" t="n">
        <v>87.04</v>
      </c>
      <c r="AR24" s="11" t="n">
        <v>116.38</v>
      </c>
      <c r="AS24" s="11" t="n">
        <v>413.02</v>
      </c>
      <c r="AT24" s="11" t="n">
        <v>-3.85</v>
      </c>
      <c r="AU24" s="11" t="s">
        <v>2343</v>
      </c>
      <c r="AV24" s="11" t="s">
        <v>935</v>
      </c>
      <c r="AW24" s="11" t="s">
        <v>2344</v>
      </c>
      <c r="AX24" s="11" t="s">
        <v>2345</v>
      </c>
      <c r="AY24" s="11" t="s">
        <v>2346</v>
      </c>
      <c r="AZ24" s="11" t="s">
        <v>308</v>
      </c>
      <c r="BA24" s="11" t="s">
        <v>2347</v>
      </c>
      <c r="BB24" s="11" t="s">
        <v>2348</v>
      </c>
      <c r="BC24" s="11" t="s">
        <v>2349</v>
      </c>
      <c r="BD24" s="12" t="s">
        <v>2350</v>
      </c>
    </row>
    <row r="25" customFormat="false" ht="126.85" hidden="false" customHeight="false" outlineLevel="0" collapsed="false">
      <c r="A25" s="10" t="s">
        <v>2371</v>
      </c>
      <c r="B25" s="11" t="s">
        <v>197</v>
      </c>
      <c r="C25" s="11" t="s">
        <v>200</v>
      </c>
      <c r="D25" s="11" t="s">
        <v>201</v>
      </c>
      <c r="E25" s="11" t="s">
        <v>186</v>
      </c>
      <c r="F25" s="11" t="s">
        <v>198</v>
      </c>
      <c r="G25" s="11" t="s">
        <v>68</v>
      </c>
      <c r="H25" s="11" t="s">
        <v>2280</v>
      </c>
      <c r="I25" s="11" t="s">
        <v>199</v>
      </c>
      <c r="J25" s="11" t="n">
        <v>350</v>
      </c>
      <c r="K25" s="11" t="s">
        <v>304</v>
      </c>
      <c r="L25" s="11" t="n">
        <v>350</v>
      </c>
      <c r="M25" s="11" t="s">
        <v>304</v>
      </c>
      <c r="N25" s="11" t="s">
        <v>2342</v>
      </c>
      <c r="O25" s="11" t="n">
        <v>10</v>
      </c>
      <c r="P25" s="11" t="n">
        <v>100</v>
      </c>
      <c r="Q25" s="11" t="n">
        <v>5</v>
      </c>
      <c r="R25" s="11" t="n">
        <v>40.51</v>
      </c>
      <c r="S25" s="11" t="n">
        <v>39.99</v>
      </c>
      <c r="T25" s="11" t="n">
        <v>49.15</v>
      </c>
      <c r="U25" s="11" t="n">
        <v>11.58</v>
      </c>
      <c r="V25" s="11" t="n">
        <v>11.42</v>
      </c>
      <c r="W25" s="11" t="n">
        <v>14.04</v>
      </c>
      <c r="X25" s="11" t="n">
        <v>40.51</v>
      </c>
      <c r="Y25" s="11" t="n">
        <v>70.83</v>
      </c>
      <c r="Z25" s="11" t="n">
        <v>32.71</v>
      </c>
      <c r="AA25" s="11" t="n">
        <v>72.29</v>
      </c>
      <c r="AB25" s="11" t="n">
        <v>20.24</v>
      </c>
      <c r="AC25" s="11" t="n">
        <v>9.35</v>
      </c>
      <c r="AD25" s="11" t="n">
        <v>20.65</v>
      </c>
      <c r="AE25" s="11" t="n">
        <v>70.83</v>
      </c>
      <c r="AF25" s="11" t="n">
        <v>38.72</v>
      </c>
      <c r="AG25" s="11" t="n">
        <v>37.68</v>
      </c>
      <c r="AH25" s="11" t="n">
        <v>40.46</v>
      </c>
      <c r="AI25" s="11" t="n">
        <v>11.06</v>
      </c>
      <c r="AJ25" s="11" t="n">
        <v>10.77</v>
      </c>
      <c r="AK25" s="11" t="n">
        <v>11.56</v>
      </c>
      <c r="AL25" s="11" t="n">
        <v>38.72</v>
      </c>
      <c r="AM25" s="11" t="n">
        <v>960.87</v>
      </c>
      <c r="AN25" s="11" t="n">
        <v>657.42</v>
      </c>
      <c r="AO25" s="11" t="n">
        <v>972.27</v>
      </c>
      <c r="AP25" s="11" t="n">
        <v>274.53</v>
      </c>
      <c r="AQ25" s="11" t="n">
        <v>187.83</v>
      </c>
      <c r="AR25" s="11" t="n">
        <v>277.79</v>
      </c>
      <c r="AS25" s="11" t="n">
        <v>960.87</v>
      </c>
      <c r="AT25" s="11" t="n">
        <v>0.67</v>
      </c>
      <c r="AU25" s="11" t="s">
        <v>2343</v>
      </c>
      <c r="AV25" s="11" t="s">
        <v>935</v>
      </c>
      <c r="AW25" s="11" t="s">
        <v>2344</v>
      </c>
      <c r="AX25" s="11" t="s">
        <v>2345</v>
      </c>
      <c r="AY25" s="11" t="s">
        <v>2346</v>
      </c>
      <c r="AZ25" s="11" t="s">
        <v>308</v>
      </c>
      <c r="BA25" s="11" t="s">
        <v>2347</v>
      </c>
      <c r="BB25" s="11" t="s">
        <v>2348</v>
      </c>
      <c r="BC25" s="11" t="s">
        <v>2349</v>
      </c>
      <c r="BD25" s="12" t="s">
        <v>2350</v>
      </c>
    </row>
    <row r="26" customFormat="false" ht="126.85" hidden="false" customHeight="false" outlineLevel="0" collapsed="false">
      <c r="A26" s="10" t="s">
        <v>2372</v>
      </c>
      <c r="B26" s="11" t="s">
        <v>203</v>
      </c>
      <c r="C26" s="11" t="s">
        <v>206</v>
      </c>
      <c r="D26" s="11" t="s">
        <v>207</v>
      </c>
      <c r="E26" s="11" t="s">
        <v>186</v>
      </c>
      <c r="F26" s="11" t="s">
        <v>204</v>
      </c>
      <c r="G26" s="11" t="s">
        <v>68</v>
      </c>
      <c r="H26" s="11" t="s">
        <v>2280</v>
      </c>
      <c r="I26" s="11" t="s">
        <v>205</v>
      </c>
      <c r="J26" s="11" t="n">
        <v>300</v>
      </c>
      <c r="K26" s="11" t="s">
        <v>304</v>
      </c>
      <c r="L26" s="11" t="n">
        <v>300</v>
      </c>
      <c r="M26" s="11" t="s">
        <v>304</v>
      </c>
      <c r="N26" s="11" t="s">
        <v>2342</v>
      </c>
      <c r="O26" s="11" t="n">
        <v>9</v>
      </c>
      <c r="P26" s="11" t="n">
        <v>100</v>
      </c>
      <c r="Q26" s="11" t="n">
        <v>6</v>
      </c>
      <c r="R26" s="11" t="n">
        <v>52.82</v>
      </c>
      <c r="S26" s="11" t="n">
        <v>52.7</v>
      </c>
      <c r="T26" s="11" t="n">
        <v>53.57</v>
      </c>
      <c r="U26" s="11" t="n">
        <v>17.61</v>
      </c>
      <c r="V26" s="11" t="n">
        <v>17.57</v>
      </c>
      <c r="W26" s="11" t="n">
        <v>17.86</v>
      </c>
      <c r="X26" s="11" t="n">
        <v>52.82</v>
      </c>
      <c r="Y26" s="11" t="n">
        <v>37.38</v>
      </c>
      <c r="Z26" s="11" t="n">
        <v>28.27</v>
      </c>
      <c r="AA26" s="11" t="n">
        <v>38.25</v>
      </c>
      <c r="AB26" s="11" t="n">
        <v>12.46</v>
      </c>
      <c r="AC26" s="11" t="n">
        <v>9.42</v>
      </c>
      <c r="AD26" s="11" t="n">
        <v>12.75</v>
      </c>
      <c r="AE26" s="11" t="n">
        <v>37.38</v>
      </c>
      <c r="AF26" s="11" t="n">
        <v>5.02</v>
      </c>
      <c r="AG26" s="11" t="n">
        <v>4.22</v>
      </c>
      <c r="AH26" s="11" t="n">
        <v>6.65</v>
      </c>
      <c r="AI26" s="11" t="n">
        <v>1.67</v>
      </c>
      <c r="AJ26" s="11" t="n">
        <v>1.41</v>
      </c>
      <c r="AK26" s="11" t="n">
        <v>2.22</v>
      </c>
      <c r="AL26" s="11" t="n">
        <v>5.02</v>
      </c>
      <c r="AM26" s="11" t="n">
        <v>562.18</v>
      </c>
      <c r="AN26" s="11" t="n">
        <v>481.99</v>
      </c>
      <c r="AO26" s="11" t="n">
        <v>578.79</v>
      </c>
      <c r="AP26" s="11" t="n">
        <v>187.39</v>
      </c>
      <c r="AQ26" s="11" t="n">
        <v>160.66</v>
      </c>
      <c r="AR26" s="11" t="n">
        <v>192.93</v>
      </c>
      <c r="AS26" s="11" t="n">
        <v>562.18</v>
      </c>
      <c r="AT26" s="11" t="n">
        <v>-0.99</v>
      </c>
      <c r="AU26" s="11" t="s">
        <v>2343</v>
      </c>
      <c r="AV26" s="11" t="s">
        <v>935</v>
      </c>
      <c r="AW26" s="11" t="s">
        <v>2344</v>
      </c>
      <c r="AX26" s="11" t="s">
        <v>2345</v>
      </c>
      <c r="AY26" s="11" t="s">
        <v>2346</v>
      </c>
      <c r="AZ26" s="11" t="s">
        <v>308</v>
      </c>
      <c r="BA26" s="11" t="s">
        <v>2347</v>
      </c>
      <c r="BB26" s="11" t="s">
        <v>2348</v>
      </c>
      <c r="BC26" s="11" t="s">
        <v>2349</v>
      </c>
      <c r="BD26" s="12" t="s">
        <v>2350</v>
      </c>
    </row>
    <row r="27" customFormat="false" ht="126.85" hidden="false" customHeight="false" outlineLevel="0" collapsed="false">
      <c r="A27" s="10" t="s">
        <v>2373</v>
      </c>
      <c r="B27" s="11" t="s">
        <v>209</v>
      </c>
      <c r="C27" s="11" t="s">
        <v>213</v>
      </c>
      <c r="D27" s="11" t="s">
        <v>214</v>
      </c>
      <c r="E27" s="11" t="s">
        <v>210</v>
      </c>
      <c r="F27" s="11" t="s">
        <v>211</v>
      </c>
      <c r="G27" s="11" t="s">
        <v>68</v>
      </c>
      <c r="H27" s="11" t="s">
        <v>2280</v>
      </c>
      <c r="I27" s="11" t="s">
        <v>122</v>
      </c>
      <c r="J27" s="11" t="n">
        <v>150</v>
      </c>
      <c r="K27" s="11" t="s">
        <v>304</v>
      </c>
      <c r="L27" s="11" t="n">
        <v>150</v>
      </c>
      <c r="M27" s="11" t="s">
        <v>304</v>
      </c>
      <c r="N27" s="11" t="s">
        <v>2342</v>
      </c>
      <c r="O27" s="11" t="n">
        <v>4</v>
      </c>
      <c r="P27" s="11" t="n">
        <v>100</v>
      </c>
      <c r="Q27" s="11" t="n">
        <v>2</v>
      </c>
      <c r="R27" s="11" t="n">
        <v>3.56</v>
      </c>
      <c r="S27" s="11" t="n">
        <v>3.44</v>
      </c>
      <c r="T27" s="11" t="n">
        <v>3.68</v>
      </c>
      <c r="U27" s="11" t="n">
        <v>2.37</v>
      </c>
      <c r="V27" s="11" t="n">
        <v>2.29</v>
      </c>
      <c r="W27" s="11" t="n">
        <v>2.45</v>
      </c>
      <c r="X27" s="11" t="n">
        <v>3.56</v>
      </c>
      <c r="Y27" s="11" t="n">
        <v>10.48</v>
      </c>
      <c r="Z27" s="11" t="n">
        <v>10.39</v>
      </c>
      <c r="AA27" s="11" t="n">
        <v>10.56</v>
      </c>
      <c r="AB27" s="11" t="n">
        <v>6.98</v>
      </c>
      <c r="AC27" s="11" t="n">
        <v>6.93</v>
      </c>
      <c r="AD27" s="11" t="n">
        <v>7.04</v>
      </c>
      <c r="AE27" s="11" t="n">
        <v>10.48</v>
      </c>
      <c r="AF27" s="11" t="n">
        <v>27.69</v>
      </c>
      <c r="AG27" s="11" t="n">
        <v>27.32</v>
      </c>
      <c r="AH27" s="11" t="n">
        <v>28.05</v>
      </c>
      <c r="AI27" s="11" t="n">
        <v>18.46</v>
      </c>
      <c r="AJ27" s="11" t="n">
        <v>18.22</v>
      </c>
      <c r="AK27" s="11" t="n">
        <v>18.7</v>
      </c>
      <c r="AL27" s="11" t="n">
        <v>27.69</v>
      </c>
      <c r="AM27" s="11" t="n">
        <v>214.34</v>
      </c>
      <c r="AN27" s="11" t="n">
        <v>211.73</v>
      </c>
      <c r="AO27" s="11" t="n">
        <v>216.95</v>
      </c>
      <c r="AP27" s="11" t="n">
        <v>142.89</v>
      </c>
      <c r="AQ27" s="11" t="n">
        <v>141.15</v>
      </c>
      <c r="AR27" s="11" t="n">
        <v>144.63</v>
      </c>
      <c r="AS27" s="11" t="n">
        <v>214.34</v>
      </c>
      <c r="AT27" s="11" t="n">
        <v>-2.29</v>
      </c>
      <c r="AU27" s="11" t="s">
        <v>2343</v>
      </c>
      <c r="AV27" s="11" t="s">
        <v>935</v>
      </c>
      <c r="AW27" s="11" t="s">
        <v>2344</v>
      </c>
      <c r="AX27" s="11" t="s">
        <v>2345</v>
      </c>
      <c r="AY27" s="11" t="s">
        <v>2346</v>
      </c>
      <c r="AZ27" s="11" t="s">
        <v>308</v>
      </c>
      <c r="BA27" s="11" t="s">
        <v>2347</v>
      </c>
      <c r="BB27" s="11" t="s">
        <v>2348</v>
      </c>
      <c r="BC27" s="11" t="s">
        <v>2349</v>
      </c>
      <c r="BD27" s="12" t="s">
        <v>2350</v>
      </c>
    </row>
    <row r="28" customFormat="false" ht="126.85" hidden="false" customHeight="false" outlineLevel="0" collapsed="false">
      <c r="A28" s="10" t="s">
        <v>2374</v>
      </c>
      <c r="B28" s="11" t="s">
        <v>216</v>
      </c>
      <c r="C28" s="11" t="s">
        <v>218</v>
      </c>
      <c r="D28" s="11" t="s">
        <v>219</v>
      </c>
      <c r="E28" s="11" t="s">
        <v>210</v>
      </c>
      <c r="F28" s="11" t="s">
        <v>217</v>
      </c>
      <c r="G28" s="11" t="s">
        <v>68</v>
      </c>
      <c r="H28" s="11" t="s">
        <v>2280</v>
      </c>
      <c r="I28" s="11" t="s">
        <v>122</v>
      </c>
      <c r="J28" s="11" t="n">
        <v>150</v>
      </c>
      <c r="K28" s="11" t="s">
        <v>304</v>
      </c>
      <c r="L28" s="11" t="n">
        <v>150</v>
      </c>
      <c r="M28" s="11" t="s">
        <v>304</v>
      </c>
      <c r="N28" s="11" t="s">
        <v>2342</v>
      </c>
      <c r="O28" s="11" t="n">
        <v>5</v>
      </c>
      <c r="P28" s="11" t="n">
        <v>100</v>
      </c>
      <c r="Q28" s="11" t="n">
        <v>2</v>
      </c>
      <c r="R28" s="11" t="n">
        <v>3.96</v>
      </c>
      <c r="S28" s="11" t="n">
        <v>3.96</v>
      </c>
      <c r="T28" s="11" t="n">
        <v>3.96</v>
      </c>
      <c r="U28" s="11" t="n">
        <v>2.64</v>
      </c>
      <c r="V28" s="11" t="n">
        <v>2.64</v>
      </c>
      <c r="W28" s="11" t="n">
        <v>2.64</v>
      </c>
      <c r="X28" s="11" t="n">
        <v>3.96</v>
      </c>
      <c r="Y28" s="11" t="n">
        <v>9.42</v>
      </c>
      <c r="Z28" s="11" t="n">
        <v>9.42</v>
      </c>
      <c r="AA28" s="11" t="n">
        <v>9.42</v>
      </c>
      <c r="AB28" s="11" t="n">
        <v>6.28</v>
      </c>
      <c r="AC28" s="11" t="n">
        <v>6.28</v>
      </c>
      <c r="AD28" s="11" t="n">
        <v>6.28</v>
      </c>
      <c r="AE28" s="11" t="n">
        <v>9.42</v>
      </c>
      <c r="AF28" s="11" t="n">
        <v>43.98</v>
      </c>
      <c r="AG28" s="11" t="n">
        <v>43.98</v>
      </c>
      <c r="AH28" s="11" t="n">
        <v>43.98</v>
      </c>
      <c r="AI28" s="11" t="n">
        <v>29.32</v>
      </c>
      <c r="AJ28" s="11" t="n">
        <v>29.32</v>
      </c>
      <c r="AK28" s="11" t="n">
        <v>29.32</v>
      </c>
      <c r="AL28" s="11" t="n">
        <v>43.98</v>
      </c>
      <c r="AM28" s="11" t="n">
        <v>280.8</v>
      </c>
      <c r="AN28" s="11" t="n">
        <v>280.8</v>
      </c>
      <c r="AO28" s="11" t="n">
        <v>280.8</v>
      </c>
      <c r="AP28" s="11" t="n">
        <v>187.2</v>
      </c>
      <c r="AQ28" s="11" t="n">
        <v>187.2</v>
      </c>
      <c r="AR28" s="11" t="n">
        <v>187.2</v>
      </c>
      <c r="AS28" s="11" t="n">
        <v>280.8</v>
      </c>
      <c r="AT28" s="11" t="n">
        <v>1.52</v>
      </c>
      <c r="AU28" s="11" t="s">
        <v>2343</v>
      </c>
      <c r="AV28" s="11" t="s">
        <v>935</v>
      </c>
      <c r="AW28" s="11" t="s">
        <v>2344</v>
      </c>
      <c r="AX28" s="11" t="s">
        <v>2345</v>
      </c>
      <c r="AY28" s="11" t="s">
        <v>2346</v>
      </c>
      <c r="AZ28" s="11" t="s">
        <v>308</v>
      </c>
      <c r="BA28" s="11" t="s">
        <v>2347</v>
      </c>
      <c r="BB28" s="11" t="s">
        <v>2348</v>
      </c>
      <c r="BC28" s="11" t="s">
        <v>2349</v>
      </c>
      <c r="BD28" s="12" t="s">
        <v>2350</v>
      </c>
    </row>
    <row r="29" customFormat="false" ht="126.85" hidden="false" customHeight="false" outlineLevel="0" collapsed="false">
      <c r="A29" s="10" t="s">
        <v>2375</v>
      </c>
      <c r="B29" s="11" t="s">
        <v>221</v>
      </c>
      <c r="C29" s="11" t="s">
        <v>223</v>
      </c>
      <c r="D29" s="11" t="s">
        <v>224</v>
      </c>
      <c r="E29" s="11" t="s">
        <v>210</v>
      </c>
      <c r="F29" s="11" t="s">
        <v>222</v>
      </c>
      <c r="G29" s="11" t="s">
        <v>68</v>
      </c>
      <c r="H29" s="11" t="s">
        <v>2280</v>
      </c>
      <c r="I29" s="11" t="s">
        <v>122</v>
      </c>
      <c r="J29" s="11" t="n">
        <v>150</v>
      </c>
      <c r="K29" s="11" t="s">
        <v>304</v>
      </c>
      <c r="L29" s="11" t="n">
        <v>150</v>
      </c>
      <c r="M29" s="11" t="s">
        <v>304</v>
      </c>
      <c r="N29" s="11" t="s">
        <v>2342</v>
      </c>
      <c r="O29" s="11" t="n">
        <v>7</v>
      </c>
      <c r="P29" s="11" t="n">
        <v>100</v>
      </c>
      <c r="Q29" s="11" t="n">
        <v>3</v>
      </c>
      <c r="R29" s="11" t="n">
        <v>3.14</v>
      </c>
      <c r="S29" s="11" t="n">
        <v>3.02</v>
      </c>
      <c r="T29" s="11" t="n">
        <v>3.26</v>
      </c>
      <c r="U29" s="11" t="n">
        <v>2.09</v>
      </c>
      <c r="V29" s="11" t="n">
        <v>2.01</v>
      </c>
      <c r="W29" s="11" t="n">
        <v>2.17</v>
      </c>
      <c r="X29" s="11" t="n">
        <v>3.14</v>
      </c>
      <c r="Y29" s="11" t="n">
        <v>15.79</v>
      </c>
      <c r="Z29" s="11" t="n">
        <v>15.7</v>
      </c>
      <c r="AA29" s="11" t="n">
        <v>15.87</v>
      </c>
      <c r="AB29" s="11" t="n">
        <v>10.53</v>
      </c>
      <c r="AC29" s="11" t="n">
        <v>10.47</v>
      </c>
      <c r="AD29" s="11" t="n">
        <v>10.58</v>
      </c>
      <c r="AE29" s="11" t="n">
        <v>15.79</v>
      </c>
      <c r="AF29" s="11" t="n">
        <v>8.88</v>
      </c>
      <c r="AG29" s="11" t="n">
        <v>8.52</v>
      </c>
      <c r="AH29" s="11" t="n">
        <v>9.24</v>
      </c>
      <c r="AI29" s="11" t="n">
        <v>5.92</v>
      </c>
      <c r="AJ29" s="11" t="n">
        <v>5.68</v>
      </c>
      <c r="AK29" s="11" t="n">
        <v>6.16</v>
      </c>
      <c r="AL29" s="11" t="n">
        <v>8.88</v>
      </c>
      <c r="AM29" s="11" t="n">
        <v>179.72</v>
      </c>
      <c r="AN29" s="11" t="n">
        <v>177.11</v>
      </c>
      <c r="AO29" s="11" t="n">
        <v>182.33</v>
      </c>
      <c r="AP29" s="11" t="n">
        <v>119.81</v>
      </c>
      <c r="AQ29" s="11" t="n">
        <v>118.07</v>
      </c>
      <c r="AR29" s="11" t="n">
        <v>121.55</v>
      </c>
      <c r="AS29" s="11" t="n">
        <v>179.72</v>
      </c>
      <c r="AT29" s="11" t="n">
        <v>-5.82</v>
      </c>
      <c r="AU29" s="11" t="s">
        <v>2343</v>
      </c>
      <c r="AV29" s="11" t="s">
        <v>935</v>
      </c>
      <c r="AW29" s="11" t="s">
        <v>2344</v>
      </c>
      <c r="AX29" s="11" t="s">
        <v>2345</v>
      </c>
      <c r="AY29" s="11" t="s">
        <v>2346</v>
      </c>
      <c r="AZ29" s="11" t="s">
        <v>308</v>
      </c>
      <c r="BA29" s="11" t="s">
        <v>2347</v>
      </c>
      <c r="BB29" s="11" t="s">
        <v>2348</v>
      </c>
      <c r="BC29" s="11" t="s">
        <v>2349</v>
      </c>
      <c r="BD29" s="12" t="s">
        <v>2350</v>
      </c>
    </row>
    <row r="30" customFormat="false" ht="126.85" hidden="false" customHeight="false" outlineLevel="0" collapsed="false">
      <c r="A30" s="10" t="s">
        <v>2376</v>
      </c>
      <c r="B30" s="11" t="s">
        <v>252</v>
      </c>
      <c r="C30" s="11" t="s">
        <v>258</v>
      </c>
      <c r="D30" s="11" t="s">
        <v>259</v>
      </c>
      <c r="E30" s="11" t="s">
        <v>253</v>
      </c>
      <c r="F30" s="11" t="s">
        <v>254</v>
      </c>
      <c r="G30" s="11" t="s">
        <v>68</v>
      </c>
      <c r="H30" s="11" t="s">
        <v>2280</v>
      </c>
      <c r="I30" s="11" t="s">
        <v>256</v>
      </c>
      <c r="J30" s="11" t="n">
        <v>1800</v>
      </c>
      <c r="K30" s="11" t="s">
        <v>304</v>
      </c>
      <c r="L30" s="11" t="n">
        <v>150</v>
      </c>
      <c r="M30" s="11" t="s">
        <v>304</v>
      </c>
      <c r="N30" s="11" t="s">
        <v>2377</v>
      </c>
      <c r="O30" s="11" t="n">
        <v>17</v>
      </c>
      <c r="P30" s="11" t="n">
        <v>100</v>
      </c>
      <c r="Q30" s="11" t="n">
        <v>9</v>
      </c>
      <c r="R30" s="11" t="n">
        <v>63.27</v>
      </c>
      <c r="S30" s="11" t="n">
        <v>61.07</v>
      </c>
      <c r="T30" s="11" t="n">
        <v>67.91</v>
      </c>
      <c r="U30" s="11" t="n">
        <v>3.52</v>
      </c>
      <c r="V30" s="11" t="n">
        <v>3.39</v>
      </c>
      <c r="W30" s="11" t="n">
        <v>3.77</v>
      </c>
      <c r="X30" s="11" t="n">
        <v>5.27</v>
      </c>
      <c r="Y30" s="11" t="n">
        <v>208.52</v>
      </c>
      <c r="Z30" s="11" t="n">
        <v>142.46</v>
      </c>
      <c r="AA30" s="11" t="n">
        <v>229.94</v>
      </c>
      <c r="AB30" s="11" t="n">
        <v>11.58</v>
      </c>
      <c r="AC30" s="11" t="n">
        <v>7.91</v>
      </c>
      <c r="AD30" s="11" t="n">
        <v>12.77</v>
      </c>
      <c r="AE30" s="11" t="n">
        <v>17.38</v>
      </c>
      <c r="AF30" s="11" t="n">
        <v>678.88</v>
      </c>
      <c r="AG30" s="11" t="n">
        <v>652.56</v>
      </c>
      <c r="AH30" s="11" t="n">
        <v>707.1</v>
      </c>
      <c r="AI30" s="11" t="n">
        <v>37.72</v>
      </c>
      <c r="AJ30" s="11" t="n">
        <v>36.25</v>
      </c>
      <c r="AK30" s="11" t="n">
        <v>39.28</v>
      </c>
      <c r="AL30" s="11" t="n">
        <v>56.57</v>
      </c>
      <c r="AM30" s="11" t="n">
        <v>4763.02</v>
      </c>
      <c r="AN30" s="11" t="n">
        <v>4135.48</v>
      </c>
      <c r="AO30" s="11" t="n">
        <v>5022.22</v>
      </c>
      <c r="AP30" s="11" t="n">
        <v>264.61</v>
      </c>
      <c r="AQ30" s="11" t="n">
        <v>229.75</v>
      </c>
      <c r="AR30" s="11" t="n">
        <v>279.01</v>
      </c>
      <c r="AS30" s="11" t="n">
        <v>396.92</v>
      </c>
      <c r="AT30" s="11" t="n">
        <v>-1.73</v>
      </c>
      <c r="AU30" s="11" t="s">
        <v>2343</v>
      </c>
      <c r="AV30" s="11" t="s">
        <v>935</v>
      </c>
      <c r="AW30" s="11" t="s">
        <v>2344</v>
      </c>
      <c r="AX30" s="11" t="s">
        <v>2345</v>
      </c>
      <c r="AY30" s="11" t="s">
        <v>2346</v>
      </c>
      <c r="AZ30" s="11" t="s">
        <v>308</v>
      </c>
      <c r="BA30" s="11" t="s">
        <v>2347</v>
      </c>
      <c r="BB30" s="11" t="s">
        <v>2348</v>
      </c>
      <c r="BC30" s="11" t="s">
        <v>2349</v>
      </c>
      <c r="BD30" s="12" t="s">
        <v>2350</v>
      </c>
    </row>
    <row r="31" customFormat="false" ht="126.85" hidden="false" customHeight="false" outlineLevel="0" collapsed="false">
      <c r="A31" s="10" t="s">
        <v>2378</v>
      </c>
      <c r="B31" s="11" t="s">
        <v>261</v>
      </c>
      <c r="C31" s="11" t="s">
        <v>266</v>
      </c>
      <c r="D31" s="11" t="s">
        <v>267</v>
      </c>
      <c r="E31" s="11" t="s">
        <v>253</v>
      </c>
      <c r="F31" s="11" t="s">
        <v>262</v>
      </c>
      <c r="G31" s="11" t="s">
        <v>68</v>
      </c>
      <c r="H31" s="11" t="s">
        <v>2280</v>
      </c>
      <c r="I31" s="11" t="s">
        <v>264</v>
      </c>
      <c r="J31" s="11" t="n">
        <v>1200</v>
      </c>
      <c r="K31" s="11" t="s">
        <v>304</v>
      </c>
      <c r="L31" s="11" t="n">
        <v>120</v>
      </c>
      <c r="M31" s="11" t="s">
        <v>304</v>
      </c>
      <c r="N31" s="11" t="s">
        <v>2379</v>
      </c>
      <c r="O31" s="11" t="n">
        <v>13</v>
      </c>
      <c r="P31" s="11" t="n">
        <v>100</v>
      </c>
      <c r="Q31" s="11" t="n">
        <v>7</v>
      </c>
      <c r="R31" s="11" t="n">
        <v>45.18</v>
      </c>
      <c r="S31" s="11" t="n">
        <v>43.13</v>
      </c>
      <c r="T31" s="11" t="n">
        <v>47.64</v>
      </c>
      <c r="U31" s="11" t="n">
        <v>3.76</v>
      </c>
      <c r="V31" s="11" t="n">
        <v>3.59</v>
      </c>
      <c r="W31" s="11" t="n">
        <v>3.97</v>
      </c>
      <c r="X31" s="11" t="n">
        <v>4.52</v>
      </c>
      <c r="Y31" s="11" t="n">
        <v>302.47</v>
      </c>
      <c r="Z31" s="11" t="n">
        <v>253.13</v>
      </c>
      <c r="AA31" s="11" t="n">
        <v>331.81</v>
      </c>
      <c r="AB31" s="11" t="n">
        <v>25.21</v>
      </c>
      <c r="AC31" s="11" t="n">
        <v>21.09</v>
      </c>
      <c r="AD31" s="11" t="n">
        <v>27.65</v>
      </c>
      <c r="AE31" s="11" t="n">
        <v>30.25</v>
      </c>
      <c r="AF31" s="11" t="n">
        <v>573.31</v>
      </c>
      <c r="AG31" s="11" t="n">
        <v>563.37</v>
      </c>
      <c r="AH31" s="11" t="n">
        <v>576.12</v>
      </c>
      <c r="AI31" s="11" t="n">
        <v>47.78</v>
      </c>
      <c r="AJ31" s="11" t="n">
        <v>46.95</v>
      </c>
      <c r="AK31" s="11" t="n">
        <v>48.01</v>
      </c>
      <c r="AL31" s="11" t="n">
        <v>57.33</v>
      </c>
      <c r="AM31" s="11" t="n">
        <v>5129.55</v>
      </c>
      <c r="AN31" s="11" t="n">
        <v>4695.9</v>
      </c>
      <c r="AO31" s="11" t="n">
        <v>5386.95</v>
      </c>
      <c r="AP31" s="11" t="n">
        <v>427.46</v>
      </c>
      <c r="AQ31" s="11" t="n">
        <v>391.33</v>
      </c>
      <c r="AR31" s="11" t="n">
        <v>448.91</v>
      </c>
      <c r="AS31" s="11" t="n">
        <v>512.96</v>
      </c>
      <c r="AT31" s="11" t="n">
        <v>-1.3</v>
      </c>
      <c r="AU31" s="11" t="s">
        <v>2343</v>
      </c>
      <c r="AV31" s="11" t="s">
        <v>935</v>
      </c>
      <c r="AW31" s="11" t="s">
        <v>2344</v>
      </c>
      <c r="AX31" s="11" t="s">
        <v>2345</v>
      </c>
      <c r="AY31" s="11" t="s">
        <v>2346</v>
      </c>
      <c r="AZ31" s="11" t="s">
        <v>308</v>
      </c>
      <c r="BA31" s="11" t="s">
        <v>2347</v>
      </c>
      <c r="BB31" s="11" t="s">
        <v>2348</v>
      </c>
      <c r="BC31" s="11" t="s">
        <v>2349</v>
      </c>
      <c r="BD31" s="12" t="s">
        <v>2350</v>
      </c>
    </row>
    <row r="32" customFormat="false" ht="126.85" hidden="false" customHeight="false" outlineLevel="0" collapsed="false">
      <c r="A32" s="10" t="s">
        <v>2380</v>
      </c>
      <c r="B32" s="11" t="s">
        <v>269</v>
      </c>
      <c r="C32" s="11" t="s">
        <v>273</v>
      </c>
      <c r="D32" s="11" t="s">
        <v>274</v>
      </c>
      <c r="E32" s="11" t="s">
        <v>253</v>
      </c>
      <c r="F32" s="11" t="s">
        <v>270</v>
      </c>
      <c r="G32" s="11" t="s">
        <v>68</v>
      </c>
      <c r="H32" s="11" t="s">
        <v>2280</v>
      </c>
      <c r="I32" s="11" t="s">
        <v>271</v>
      </c>
      <c r="J32" s="11" t="n">
        <v>600</v>
      </c>
      <c r="K32" s="11" t="s">
        <v>304</v>
      </c>
      <c r="L32" s="11" t="n">
        <v>60</v>
      </c>
      <c r="M32" s="11" t="s">
        <v>304</v>
      </c>
      <c r="N32" s="11" t="s">
        <v>2381</v>
      </c>
      <c r="O32" s="11" t="n">
        <v>9</v>
      </c>
      <c r="P32" s="11" t="n">
        <v>100</v>
      </c>
      <c r="Q32" s="11" t="n">
        <v>4</v>
      </c>
      <c r="R32" s="11" t="n">
        <v>32.36</v>
      </c>
      <c r="S32" s="11" t="n">
        <v>32.36</v>
      </c>
      <c r="T32" s="11" t="n">
        <v>32.43</v>
      </c>
      <c r="U32" s="11" t="n">
        <v>5.39</v>
      </c>
      <c r="V32" s="11" t="n">
        <v>5.39</v>
      </c>
      <c r="W32" s="11" t="n">
        <v>5.4</v>
      </c>
      <c r="X32" s="11" t="n">
        <v>3.24</v>
      </c>
      <c r="Y32" s="11" t="n">
        <v>129.58</v>
      </c>
      <c r="Z32" s="11" t="n">
        <v>128.9</v>
      </c>
      <c r="AA32" s="11" t="n">
        <v>129.58</v>
      </c>
      <c r="AB32" s="11" t="n">
        <v>21.6</v>
      </c>
      <c r="AC32" s="11" t="n">
        <v>21.48</v>
      </c>
      <c r="AD32" s="11" t="n">
        <v>21.6</v>
      </c>
      <c r="AE32" s="11" t="n">
        <v>12.96</v>
      </c>
      <c r="AF32" s="11" t="n">
        <v>250.23</v>
      </c>
      <c r="AG32" s="11" t="n">
        <v>250.05</v>
      </c>
      <c r="AH32" s="11" t="n">
        <v>250.29</v>
      </c>
      <c r="AI32" s="11" t="n">
        <v>41.71</v>
      </c>
      <c r="AJ32" s="11" t="n">
        <v>41.68</v>
      </c>
      <c r="AK32" s="11" t="n">
        <v>41.71</v>
      </c>
      <c r="AL32" s="11" t="n">
        <v>25.02</v>
      </c>
      <c r="AM32" s="11" t="n">
        <v>2269.35</v>
      </c>
      <c r="AN32" s="11" t="n">
        <v>2263.55</v>
      </c>
      <c r="AO32" s="11" t="n">
        <v>2269.35</v>
      </c>
      <c r="AP32" s="11" t="n">
        <v>378.23</v>
      </c>
      <c r="AQ32" s="11" t="n">
        <v>377.26</v>
      </c>
      <c r="AR32" s="11" t="n">
        <v>378.23</v>
      </c>
      <c r="AS32" s="11" t="n">
        <v>226.94</v>
      </c>
      <c r="AT32" s="11" t="n">
        <v>-1.2</v>
      </c>
      <c r="AU32" s="11" t="s">
        <v>2343</v>
      </c>
      <c r="AV32" s="11" t="s">
        <v>935</v>
      </c>
      <c r="AW32" s="11" t="s">
        <v>2344</v>
      </c>
      <c r="AX32" s="11" t="s">
        <v>2345</v>
      </c>
      <c r="AY32" s="11" t="s">
        <v>2346</v>
      </c>
      <c r="AZ32" s="11" t="s">
        <v>308</v>
      </c>
      <c r="BA32" s="11" t="s">
        <v>2347</v>
      </c>
      <c r="BB32" s="11" t="s">
        <v>2348</v>
      </c>
      <c r="BC32" s="11" t="s">
        <v>2349</v>
      </c>
      <c r="BD32" s="12" t="s">
        <v>2350</v>
      </c>
    </row>
    <row r="33" customFormat="false" ht="22.35" hidden="false" customHeight="false" outlineLevel="0" collapsed="false">
      <c r="A33" s="10" t="s">
        <v>2382</v>
      </c>
      <c r="B33" s="11" t="s">
        <v>226</v>
      </c>
      <c r="C33" s="11" t="s">
        <v>232</v>
      </c>
      <c r="D33" s="11" t="s">
        <v>233</v>
      </c>
      <c r="E33" s="11" t="s">
        <v>227</v>
      </c>
      <c r="F33" s="11" t="s">
        <v>228</v>
      </c>
      <c r="G33" s="11" t="s">
        <v>854</v>
      </c>
      <c r="H33" s="11"/>
      <c r="I33" s="11" t="s">
        <v>230</v>
      </c>
      <c r="J33" s="11" t="s">
        <v>231</v>
      </c>
      <c r="K33" s="11"/>
      <c r="L33" s="11"/>
      <c r="M33" s="11"/>
      <c r="N33" s="11" t="s">
        <v>2383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 t="s">
        <v>2384</v>
      </c>
      <c r="AV33" s="11"/>
      <c r="AW33" s="11"/>
      <c r="AX33" s="11"/>
      <c r="AY33" s="11"/>
      <c r="AZ33" s="11"/>
      <c r="BA33" s="11"/>
      <c r="BB33" s="11"/>
      <c r="BC33" s="11"/>
      <c r="BD33" s="12"/>
    </row>
    <row r="34" customFormat="false" ht="22.35" hidden="false" customHeight="false" outlineLevel="0" collapsed="false">
      <c r="A34" s="10" t="s">
        <v>2385</v>
      </c>
      <c r="B34" s="11" t="s">
        <v>240</v>
      </c>
      <c r="C34" s="11" t="s">
        <v>243</v>
      </c>
      <c r="D34" s="11" t="s">
        <v>244</v>
      </c>
      <c r="E34" s="11" t="s">
        <v>227</v>
      </c>
      <c r="F34" s="11" t="s">
        <v>241</v>
      </c>
      <c r="G34" s="11" t="s">
        <v>854</v>
      </c>
      <c r="H34" s="11"/>
      <c r="I34" s="11" t="s">
        <v>230</v>
      </c>
      <c r="J34" s="11" t="s">
        <v>242</v>
      </c>
      <c r="K34" s="11"/>
      <c r="L34" s="11"/>
      <c r="M34" s="11"/>
      <c r="N34" s="11" t="s">
        <v>2383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 t="s">
        <v>2384</v>
      </c>
      <c r="AV34" s="11"/>
      <c r="AW34" s="11"/>
      <c r="AX34" s="11"/>
      <c r="AY34" s="11"/>
      <c r="AZ34" s="11"/>
      <c r="BA34" s="11"/>
      <c r="BB34" s="11"/>
      <c r="BC34" s="11"/>
      <c r="BD34" s="12"/>
    </row>
    <row r="35" customFormat="false" ht="22.35" hidden="false" customHeight="false" outlineLevel="0" collapsed="false">
      <c r="A35" s="13" t="s">
        <v>2386</v>
      </c>
      <c r="B35" s="14" t="s">
        <v>246</v>
      </c>
      <c r="C35" s="14" t="s">
        <v>249</v>
      </c>
      <c r="D35" s="14" t="s">
        <v>250</v>
      </c>
      <c r="E35" s="14" t="s">
        <v>227</v>
      </c>
      <c r="F35" s="14" t="s">
        <v>247</v>
      </c>
      <c r="G35" s="14" t="s">
        <v>854</v>
      </c>
      <c r="H35" s="14"/>
      <c r="I35" s="14" t="s">
        <v>230</v>
      </c>
      <c r="J35" s="14" t="s">
        <v>248</v>
      </c>
      <c r="K35" s="14"/>
      <c r="L35" s="14"/>
      <c r="M35" s="14"/>
      <c r="N35" s="14" t="s">
        <v>2383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2384</v>
      </c>
      <c r="AV35" s="14"/>
      <c r="AW35" s="14"/>
      <c r="AX35" s="14"/>
      <c r="AY35" s="14"/>
      <c r="AZ35" s="14"/>
      <c r="BA35" s="14"/>
      <c r="BB35" s="14"/>
      <c r="BC35" s="14"/>
      <c r="BD35" s="15"/>
    </row>
  </sheetData>
  <autoFilter ref="A1:BD35">
    <filterColumn colId="0" hiddenButton="1"/>
  </autoFilter>
  <mergeCells count="2">
    <mergeCell ref="A1:BD1"/>
    <mergeCell ref="A2:BD2"/>
  </mergeCells>
  <conditionalFormatting sqref="N5:N35">
    <cfRule type="containsText" priority="2" operator="containsText" aboveAverage="0" equalAverage="0" bottom="0" percent="0" rank="0" text="BLOCK" dxfId="139">
      <formula>NOT(ISERROR(SEARCH("BLOCK",N5)))</formula>
    </cfRule>
    <cfRule type="containsText" priority="3" operator="containsText" aboveAverage="0" equalAverage="0" bottom="0" percent="0" rank="0" text="DRAFT" dxfId="140">
      <formula>NOT(ISERROR(SEARCH("DRAFT",N5)))</formula>
    </cfRule>
    <cfRule type="containsText" priority="4" operator="containsText" aboveAverage="0" equalAverage="0" bottom="0" percent="0" rank="0" text="PASS" dxfId="141">
      <formula>NOT(ISERROR(SEARCH("PASS",N5)))</formula>
    </cfRule>
  </conditionalFormatting>
  <conditionalFormatting sqref="AU5:AU35">
    <cfRule type="containsText" priority="5" operator="containsText" aboveAverage="0" equalAverage="0" bottom="0" percent="0" rank="0" text="BLOCK" dxfId="142">
      <formula>NOT(ISERROR(SEARCH("BLOCK",AU5)))</formula>
    </cfRule>
    <cfRule type="containsText" priority="6" operator="containsText" aboveAverage="0" equalAverage="0" bottom="0" percent="0" rank="0" text="DRAFT" dxfId="143">
      <formula>NOT(ISERROR(SEARCH("DRAFT",AU5)))</formula>
    </cfRule>
    <cfRule type="containsText" priority="7" operator="containsText" aboveAverage="0" equalAverage="0" bottom="0" percent="0" rank="0" text="PASS" dxfId="144">
      <formula>NOT(ISERROR(SEARCH("PASS",AU5)))</formula>
    </cfRule>
  </conditionalFormatting>
  <conditionalFormatting sqref="AV5:AV35">
    <cfRule type="containsText" priority="8" operator="containsText" aboveAverage="0" equalAverage="0" bottom="0" percent="0" rank="0" text="BLOCK" dxfId="145">
      <formula>NOT(ISERROR(SEARCH("BLOCK",AV5)))</formula>
    </cfRule>
    <cfRule type="containsText" priority="9" operator="containsText" aboveAverage="0" equalAverage="0" bottom="0" percent="0" rank="0" text="DRAFT" dxfId="146">
      <formula>NOT(ISERROR(SEARCH("DRAFT",AV5)))</formula>
    </cfRule>
    <cfRule type="containsText" priority="10" operator="containsText" aboveAverage="0" equalAverage="0" bottom="0" percent="0" rank="0" text="PASS" dxfId="147">
      <formula>NOT(ISERROR(SEARCH("PASS",AV5)))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>
  <sheetPr filterMode="true">
    <pageSetUpPr fitToPage="false"/>
  </sheetPr>
  <dimension ref="A1:N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6" min="3" style="0" width="38"/>
    <col collapsed="false" customWidth="true" hidden="false" outlineLevel="0" max="14" min="7" style="0" width="16"/>
  </cols>
  <sheetData>
    <row r="1" customFormat="false" ht="17.35" hidden="false" customHeight="false" outlineLevel="0" collapsed="false">
      <c r="A1" s="4" t="s">
        <v>2387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true" outlineLevel="0" collapsed="false">
      <c r="A2" s="5" t="s">
        <v>2388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50" hidden="false" customHeight="true" outlineLevel="0" collapsed="false">
      <c r="A4" s="6" t="s">
        <v>2389</v>
      </c>
      <c r="B4" s="6" t="s">
        <v>45</v>
      </c>
      <c r="C4" s="6" t="s">
        <v>47</v>
      </c>
      <c r="D4" s="6" t="s">
        <v>2390</v>
      </c>
      <c r="E4" s="6" t="s">
        <v>2391</v>
      </c>
      <c r="F4" s="6" t="s">
        <v>2392</v>
      </c>
      <c r="G4" s="6" t="s">
        <v>2393</v>
      </c>
      <c r="H4" s="6" t="s">
        <v>2394</v>
      </c>
      <c r="I4" s="6" t="s">
        <v>292</v>
      </c>
      <c r="J4" s="6" t="s">
        <v>296</v>
      </c>
      <c r="K4" s="6" t="s">
        <v>2395</v>
      </c>
      <c r="L4" s="6" t="s">
        <v>2396</v>
      </c>
      <c r="M4" s="6" t="s">
        <v>2397</v>
      </c>
      <c r="N4" s="6" t="s">
        <v>2398</v>
      </c>
    </row>
    <row r="5" customFormat="false" ht="32.8" hidden="false" customHeight="false" outlineLevel="0" collapsed="false">
      <c r="A5" s="7" t="s">
        <v>2399</v>
      </c>
      <c r="B5" s="8" t="s">
        <v>60</v>
      </c>
      <c r="C5" s="8" t="s">
        <v>62</v>
      </c>
      <c r="D5" s="8" t="s">
        <v>2400</v>
      </c>
      <c r="E5" s="8" t="s">
        <v>2401</v>
      </c>
      <c r="F5" s="8" t="s">
        <v>40</v>
      </c>
      <c r="G5" s="8" t="s">
        <v>309</v>
      </c>
      <c r="H5" s="8" t="s">
        <v>2402</v>
      </c>
      <c r="I5" s="8" t="s">
        <v>2403</v>
      </c>
      <c r="J5" s="8" t="s">
        <v>2404</v>
      </c>
      <c r="K5" s="8" t="s">
        <v>308</v>
      </c>
      <c r="L5" s="8" t="s">
        <v>2405</v>
      </c>
      <c r="M5" s="8"/>
      <c r="N5" s="9"/>
    </row>
    <row r="6" customFormat="false" ht="32.8" hidden="false" customHeight="false" outlineLevel="0" collapsed="false">
      <c r="A6" s="10" t="s">
        <v>2406</v>
      </c>
      <c r="B6" s="11" t="s">
        <v>60</v>
      </c>
      <c r="C6" s="11" t="s">
        <v>62</v>
      </c>
      <c r="D6" s="11" t="s">
        <v>2407</v>
      </c>
      <c r="E6" s="11" t="s">
        <v>2408</v>
      </c>
      <c r="F6" s="11" t="s">
        <v>40</v>
      </c>
      <c r="G6" s="11" t="s">
        <v>309</v>
      </c>
      <c r="H6" s="11" t="s">
        <v>2409</v>
      </c>
      <c r="I6" s="11" t="s">
        <v>2410</v>
      </c>
      <c r="J6" s="11" t="s">
        <v>2411</v>
      </c>
      <c r="K6" s="11" t="s">
        <v>308</v>
      </c>
      <c r="L6" s="11" t="s">
        <v>2405</v>
      </c>
      <c r="M6" s="11"/>
      <c r="N6" s="12"/>
    </row>
    <row r="7" customFormat="false" ht="32.8" hidden="false" customHeight="false" outlineLevel="0" collapsed="false">
      <c r="A7" s="10" t="s">
        <v>2412</v>
      </c>
      <c r="B7" s="11" t="s">
        <v>60</v>
      </c>
      <c r="C7" s="11" t="s">
        <v>62</v>
      </c>
      <c r="D7" s="11" t="s">
        <v>2413</v>
      </c>
      <c r="E7" s="11" t="s">
        <v>2414</v>
      </c>
      <c r="F7" s="11" t="s">
        <v>40</v>
      </c>
      <c r="G7" s="11" t="s">
        <v>309</v>
      </c>
      <c r="H7" s="11" t="s">
        <v>2415</v>
      </c>
      <c r="I7" s="11" t="s">
        <v>1177</v>
      </c>
      <c r="J7" s="11" t="s">
        <v>1179</v>
      </c>
      <c r="K7" s="11" t="s">
        <v>308</v>
      </c>
      <c r="L7" s="11" t="s">
        <v>2405</v>
      </c>
      <c r="M7" s="11"/>
      <c r="N7" s="12"/>
    </row>
    <row r="8" customFormat="false" ht="32.8" hidden="false" customHeight="false" outlineLevel="0" collapsed="false">
      <c r="A8" s="10" t="s">
        <v>2416</v>
      </c>
      <c r="B8" s="11" t="s">
        <v>60</v>
      </c>
      <c r="C8" s="11" t="s">
        <v>62</v>
      </c>
      <c r="D8" s="11" t="s">
        <v>2417</v>
      </c>
      <c r="E8" s="11" t="s">
        <v>2418</v>
      </c>
      <c r="F8" s="11" t="s">
        <v>40</v>
      </c>
      <c r="G8" s="11" t="s">
        <v>309</v>
      </c>
      <c r="H8" s="11" t="s">
        <v>2419</v>
      </c>
      <c r="I8" s="11" t="s">
        <v>2420</v>
      </c>
      <c r="J8" s="11" t="s">
        <v>2421</v>
      </c>
      <c r="K8" s="11" t="s">
        <v>308</v>
      </c>
      <c r="L8" s="11" t="s">
        <v>2405</v>
      </c>
      <c r="M8" s="11"/>
      <c r="N8" s="12"/>
    </row>
    <row r="9" customFormat="false" ht="53.7" hidden="false" customHeight="false" outlineLevel="0" collapsed="false">
      <c r="A9" s="10" t="s">
        <v>2422</v>
      </c>
      <c r="B9" s="11" t="s">
        <v>60</v>
      </c>
      <c r="C9" s="11" t="s">
        <v>62</v>
      </c>
      <c r="D9" s="11" t="s">
        <v>2423</v>
      </c>
      <c r="E9" s="11" t="s">
        <v>2424</v>
      </c>
      <c r="F9" s="11" t="s">
        <v>40</v>
      </c>
      <c r="G9" s="11" t="s">
        <v>309</v>
      </c>
      <c r="H9" s="11" t="s">
        <v>2425</v>
      </c>
      <c r="I9" s="11" t="s">
        <v>2426</v>
      </c>
      <c r="J9" s="11" t="s">
        <v>940</v>
      </c>
      <c r="K9" s="11" t="s">
        <v>308</v>
      </c>
      <c r="L9" s="11" t="s">
        <v>2405</v>
      </c>
      <c r="M9" s="11"/>
      <c r="N9" s="12"/>
    </row>
    <row r="10" customFormat="false" ht="32.8" hidden="false" customHeight="false" outlineLevel="0" collapsed="false">
      <c r="A10" s="10" t="s">
        <v>2427</v>
      </c>
      <c r="B10" s="11" t="s">
        <v>73</v>
      </c>
      <c r="C10" s="11" t="s">
        <v>74</v>
      </c>
      <c r="D10" s="11" t="s">
        <v>2400</v>
      </c>
      <c r="E10" s="11" t="s">
        <v>2401</v>
      </c>
      <c r="F10" s="11" t="s">
        <v>40</v>
      </c>
      <c r="G10" s="11" t="s">
        <v>309</v>
      </c>
      <c r="H10" s="11" t="s">
        <v>2402</v>
      </c>
      <c r="I10" s="11" t="s">
        <v>2403</v>
      </c>
      <c r="J10" s="11" t="s">
        <v>2404</v>
      </c>
      <c r="K10" s="11" t="s">
        <v>308</v>
      </c>
      <c r="L10" s="11" t="s">
        <v>2405</v>
      </c>
      <c r="M10" s="11"/>
      <c r="N10" s="12"/>
    </row>
    <row r="11" customFormat="false" ht="32.8" hidden="false" customHeight="false" outlineLevel="0" collapsed="false">
      <c r="A11" s="10" t="s">
        <v>2428</v>
      </c>
      <c r="B11" s="11" t="s">
        <v>73</v>
      </c>
      <c r="C11" s="11" t="s">
        <v>74</v>
      </c>
      <c r="D11" s="11" t="s">
        <v>2407</v>
      </c>
      <c r="E11" s="11" t="s">
        <v>2408</v>
      </c>
      <c r="F11" s="11" t="s">
        <v>40</v>
      </c>
      <c r="G11" s="11" t="s">
        <v>309</v>
      </c>
      <c r="H11" s="11" t="s">
        <v>2409</v>
      </c>
      <c r="I11" s="11" t="s">
        <v>2410</v>
      </c>
      <c r="J11" s="11" t="s">
        <v>2411</v>
      </c>
      <c r="K11" s="11" t="s">
        <v>308</v>
      </c>
      <c r="L11" s="11" t="s">
        <v>2405</v>
      </c>
      <c r="M11" s="11"/>
      <c r="N11" s="12"/>
    </row>
    <row r="12" customFormat="false" ht="32.8" hidden="false" customHeight="false" outlineLevel="0" collapsed="false">
      <c r="A12" s="10" t="s">
        <v>2429</v>
      </c>
      <c r="B12" s="11" t="s">
        <v>73</v>
      </c>
      <c r="C12" s="11" t="s">
        <v>74</v>
      </c>
      <c r="D12" s="11" t="s">
        <v>2413</v>
      </c>
      <c r="E12" s="11" t="s">
        <v>2414</v>
      </c>
      <c r="F12" s="11" t="s">
        <v>40</v>
      </c>
      <c r="G12" s="11" t="s">
        <v>309</v>
      </c>
      <c r="H12" s="11" t="s">
        <v>2415</v>
      </c>
      <c r="I12" s="11" t="s">
        <v>1177</v>
      </c>
      <c r="J12" s="11" t="s">
        <v>1179</v>
      </c>
      <c r="K12" s="11" t="s">
        <v>308</v>
      </c>
      <c r="L12" s="11" t="s">
        <v>2405</v>
      </c>
      <c r="M12" s="11"/>
      <c r="N12" s="12"/>
    </row>
    <row r="13" customFormat="false" ht="32.8" hidden="false" customHeight="false" outlineLevel="0" collapsed="false">
      <c r="A13" s="10" t="s">
        <v>2430</v>
      </c>
      <c r="B13" s="11" t="s">
        <v>73</v>
      </c>
      <c r="C13" s="11" t="s">
        <v>74</v>
      </c>
      <c r="D13" s="11" t="s">
        <v>2417</v>
      </c>
      <c r="E13" s="11" t="s">
        <v>2418</v>
      </c>
      <c r="F13" s="11" t="s">
        <v>40</v>
      </c>
      <c r="G13" s="11" t="s">
        <v>309</v>
      </c>
      <c r="H13" s="11" t="s">
        <v>2419</v>
      </c>
      <c r="I13" s="11" t="s">
        <v>2420</v>
      </c>
      <c r="J13" s="11" t="s">
        <v>2421</v>
      </c>
      <c r="K13" s="11" t="s">
        <v>308</v>
      </c>
      <c r="L13" s="11" t="s">
        <v>2405</v>
      </c>
      <c r="M13" s="11"/>
      <c r="N13" s="12"/>
    </row>
    <row r="14" customFormat="false" ht="53.7" hidden="false" customHeight="false" outlineLevel="0" collapsed="false">
      <c r="A14" s="10" t="s">
        <v>2431</v>
      </c>
      <c r="B14" s="11" t="s">
        <v>73</v>
      </c>
      <c r="C14" s="11" t="s">
        <v>74</v>
      </c>
      <c r="D14" s="11" t="s">
        <v>2423</v>
      </c>
      <c r="E14" s="11" t="s">
        <v>2424</v>
      </c>
      <c r="F14" s="11" t="s">
        <v>40</v>
      </c>
      <c r="G14" s="11" t="s">
        <v>309</v>
      </c>
      <c r="H14" s="11" t="s">
        <v>2425</v>
      </c>
      <c r="I14" s="11" t="s">
        <v>2426</v>
      </c>
      <c r="J14" s="11" t="s">
        <v>940</v>
      </c>
      <c r="K14" s="11" t="s">
        <v>308</v>
      </c>
      <c r="L14" s="11" t="s">
        <v>2405</v>
      </c>
      <c r="M14" s="11"/>
      <c r="N14" s="12"/>
    </row>
    <row r="15" customFormat="false" ht="32.8" hidden="false" customHeight="false" outlineLevel="0" collapsed="false">
      <c r="A15" s="10" t="s">
        <v>2432</v>
      </c>
      <c r="B15" s="11" t="s">
        <v>79</v>
      </c>
      <c r="C15" s="11" t="s">
        <v>80</v>
      </c>
      <c r="D15" s="11" t="s">
        <v>2400</v>
      </c>
      <c r="E15" s="11" t="s">
        <v>2401</v>
      </c>
      <c r="F15" s="11" t="s">
        <v>40</v>
      </c>
      <c r="G15" s="11" t="s">
        <v>309</v>
      </c>
      <c r="H15" s="11" t="s">
        <v>2402</v>
      </c>
      <c r="I15" s="11" t="s">
        <v>2403</v>
      </c>
      <c r="J15" s="11" t="s">
        <v>2404</v>
      </c>
      <c r="K15" s="11" t="s">
        <v>308</v>
      </c>
      <c r="L15" s="11" t="s">
        <v>2405</v>
      </c>
      <c r="M15" s="11"/>
      <c r="N15" s="12"/>
    </row>
    <row r="16" customFormat="false" ht="32.8" hidden="false" customHeight="false" outlineLevel="0" collapsed="false">
      <c r="A16" s="10" t="s">
        <v>2433</v>
      </c>
      <c r="B16" s="11" t="s">
        <v>79</v>
      </c>
      <c r="C16" s="11" t="s">
        <v>80</v>
      </c>
      <c r="D16" s="11" t="s">
        <v>2407</v>
      </c>
      <c r="E16" s="11" t="s">
        <v>2408</v>
      </c>
      <c r="F16" s="11" t="s">
        <v>40</v>
      </c>
      <c r="G16" s="11" t="s">
        <v>309</v>
      </c>
      <c r="H16" s="11" t="s">
        <v>2409</v>
      </c>
      <c r="I16" s="11" t="s">
        <v>2410</v>
      </c>
      <c r="J16" s="11" t="s">
        <v>2411</v>
      </c>
      <c r="K16" s="11" t="s">
        <v>308</v>
      </c>
      <c r="L16" s="11" t="s">
        <v>2405</v>
      </c>
      <c r="M16" s="11"/>
      <c r="N16" s="12"/>
    </row>
    <row r="17" customFormat="false" ht="32.8" hidden="false" customHeight="false" outlineLevel="0" collapsed="false">
      <c r="A17" s="10" t="s">
        <v>2434</v>
      </c>
      <c r="B17" s="11" t="s">
        <v>79</v>
      </c>
      <c r="C17" s="11" t="s">
        <v>80</v>
      </c>
      <c r="D17" s="11" t="s">
        <v>2413</v>
      </c>
      <c r="E17" s="11" t="s">
        <v>2414</v>
      </c>
      <c r="F17" s="11" t="s">
        <v>40</v>
      </c>
      <c r="G17" s="11" t="s">
        <v>309</v>
      </c>
      <c r="H17" s="11" t="s">
        <v>2415</v>
      </c>
      <c r="I17" s="11" t="s">
        <v>1177</v>
      </c>
      <c r="J17" s="11" t="s">
        <v>1179</v>
      </c>
      <c r="K17" s="11" t="s">
        <v>308</v>
      </c>
      <c r="L17" s="11" t="s">
        <v>2405</v>
      </c>
      <c r="M17" s="11"/>
      <c r="N17" s="12"/>
    </row>
    <row r="18" customFormat="false" ht="32.8" hidden="false" customHeight="false" outlineLevel="0" collapsed="false">
      <c r="A18" s="10" t="s">
        <v>2435</v>
      </c>
      <c r="B18" s="11" t="s">
        <v>79</v>
      </c>
      <c r="C18" s="11" t="s">
        <v>80</v>
      </c>
      <c r="D18" s="11" t="s">
        <v>2417</v>
      </c>
      <c r="E18" s="11" t="s">
        <v>2418</v>
      </c>
      <c r="F18" s="11" t="s">
        <v>40</v>
      </c>
      <c r="G18" s="11" t="s">
        <v>309</v>
      </c>
      <c r="H18" s="11" t="s">
        <v>2419</v>
      </c>
      <c r="I18" s="11" t="s">
        <v>2420</v>
      </c>
      <c r="J18" s="11" t="s">
        <v>2421</v>
      </c>
      <c r="K18" s="11" t="s">
        <v>308</v>
      </c>
      <c r="L18" s="11" t="s">
        <v>2405</v>
      </c>
      <c r="M18" s="11"/>
      <c r="N18" s="12"/>
    </row>
    <row r="19" customFormat="false" ht="53.7" hidden="false" customHeight="false" outlineLevel="0" collapsed="false">
      <c r="A19" s="10" t="s">
        <v>2436</v>
      </c>
      <c r="B19" s="11" t="s">
        <v>79</v>
      </c>
      <c r="C19" s="11" t="s">
        <v>80</v>
      </c>
      <c r="D19" s="11" t="s">
        <v>2423</v>
      </c>
      <c r="E19" s="11" t="s">
        <v>2424</v>
      </c>
      <c r="F19" s="11" t="s">
        <v>40</v>
      </c>
      <c r="G19" s="11" t="s">
        <v>309</v>
      </c>
      <c r="H19" s="11" t="s">
        <v>2425</v>
      </c>
      <c r="I19" s="11" t="s">
        <v>2426</v>
      </c>
      <c r="J19" s="11" t="s">
        <v>940</v>
      </c>
      <c r="K19" s="11" t="s">
        <v>308</v>
      </c>
      <c r="L19" s="11" t="s">
        <v>2405</v>
      </c>
      <c r="M19" s="11"/>
      <c r="N19" s="12"/>
    </row>
    <row r="20" customFormat="false" ht="32.8" hidden="false" customHeight="false" outlineLevel="0" collapsed="false">
      <c r="A20" s="10" t="s">
        <v>2437</v>
      </c>
      <c r="B20" s="11" t="s">
        <v>85</v>
      </c>
      <c r="C20" s="11" t="s">
        <v>86</v>
      </c>
      <c r="D20" s="11" t="s">
        <v>2400</v>
      </c>
      <c r="E20" s="11" t="s">
        <v>2401</v>
      </c>
      <c r="F20" s="11" t="s">
        <v>40</v>
      </c>
      <c r="G20" s="11" t="s">
        <v>309</v>
      </c>
      <c r="H20" s="11" t="s">
        <v>2402</v>
      </c>
      <c r="I20" s="11" t="s">
        <v>2403</v>
      </c>
      <c r="J20" s="11" t="s">
        <v>2404</v>
      </c>
      <c r="K20" s="11" t="s">
        <v>308</v>
      </c>
      <c r="L20" s="11" t="s">
        <v>2405</v>
      </c>
      <c r="M20" s="11"/>
      <c r="N20" s="12"/>
    </row>
    <row r="21" customFormat="false" ht="32.8" hidden="false" customHeight="false" outlineLevel="0" collapsed="false">
      <c r="A21" s="10" t="s">
        <v>2438</v>
      </c>
      <c r="B21" s="11" t="s">
        <v>85</v>
      </c>
      <c r="C21" s="11" t="s">
        <v>86</v>
      </c>
      <c r="D21" s="11" t="s">
        <v>2407</v>
      </c>
      <c r="E21" s="11" t="s">
        <v>2408</v>
      </c>
      <c r="F21" s="11" t="s">
        <v>40</v>
      </c>
      <c r="G21" s="11" t="s">
        <v>309</v>
      </c>
      <c r="H21" s="11" t="s">
        <v>2409</v>
      </c>
      <c r="I21" s="11" t="s">
        <v>2410</v>
      </c>
      <c r="J21" s="11" t="s">
        <v>2411</v>
      </c>
      <c r="K21" s="11" t="s">
        <v>308</v>
      </c>
      <c r="L21" s="11" t="s">
        <v>2405</v>
      </c>
      <c r="M21" s="11"/>
      <c r="N21" s="12"/>
    </row>
    <row r="22" customFormat="false" ht="32.8" hidden="false" customHeight="false" outlineLevel="0" collapsed="false">
      <c r="A22" s="10" t="s">
        <v>2439</v>
      </c>
      <c r="B22" s="11" t="s">
        <v>85</v>
      </c>
      <c r="C22" s="11" t="s">
        <v>86</v>
      </c>
      <c r="D22" s="11" t="s">
        <v>2413</v>
      </c>
      <c r="E22" s="11" t="s">
        <v>2414</v>
      </c>
      <c r="F22" s="11" t="s">
        <v>40</v>
      </c>
      <c r="G22" s="11" t="s">
        <v>309</v>
      </c>
      <c r="H22" s="11" t="s">
        <v>2415</v>
      </c>
      <c r="I22" s="11" t="s">
        <v>1177</v>
      </c>
      <c r="J22" s="11" t="s">
        <v>1179</v>
      </c>
      <c r="K22" s="11" t="s">
        <v>308</v>
      </c>
      <c r="L22" s="11" t="s">
        <v>2405</v>
      </c>
      <c r="M22" s="11"/>
      <c r="N22" s="12"/>
    </row>
    <row r="23" customFormat="false" ht="32.8" hidden="false" customHeight="false" outlineLevel="0" collapsed="false">
      <c r="A23" s="10" t="s">
        <v>2440</v>
      </c>
      <c r="B23" s="11" t="s">
        <v>85</v>
      </c>
      <c r="C23" s="11" t="s">
        <v>86</v>
      </c>
      <c r="D23" s="11" t="s">
        <v>2417</v>
      </c>
      <c r="E23" s="11" t="s">
        <v>2418</v>
      </c>
      <c r="F23" s="11" t="s">
        <v>40</v>
      </c>
      <c r="G23" s="11" t="s">
        <v>309</v>
      </c>
      <c r="H23" s="11" t="s">
        <v>2419</v>
      </c>
      <c r="I23" s="11" t="s">
        <v>2420</v>
      </c>
      <c r="J23" s="11" t="s">
        <v>2421</v>
      </c>
      <c r="K23" s="11" t="s">
        <v>308</v>
      </c>
      <c r="L23" s="11" t="s">
        <v>2405</v>
      </c>
      <c r="M23" s="11"/>
      <c r="N23" s="12"/>
    </row>
    <row r="24" customFormat="false" ht="53.7" hidden="false" customHeight="false" outlineLevel="0" collapsed="false">
      <c r="A24" s="10" t="s">
        <v>2441</v>
      </c>
      <c r="B24" s="11" t="s">
        <v>85</v>
      </c>
      <c r="C24" s="11" t="s">
        <v>86</v>
      </c>
      <c r="D24" s="11" t="s">
        <v>2423</v>
      </c>
      <c r="E24" s="11" t="s">
        <v>2424</v>
      </c>
      <c r="F24" s="11" t="s">
        <v>40</v>
      </c>
      <c r="G24" s="11" t="s">
        <v>309</v>
      </c>
      <c r="H24" s="11" t="s">
        <v>2425</v>
      </c>
      <c r="I24" s="11" t="s">
        <v>2426</v>
      </c>
      <c r="J24" s="11" t="s">
        <v>940</v>
      </c>
      <c r="K24" s="11" t="s">
        <v>308</v>
      </c>
      <c r="L24" s="11" t="s">
        <v>2405</v>
      </c>
      <c r="M24" s="11"/>
      <c r="N24" s="12"/>
    </row>
    <row r="25" customFormat="false" ht="32.8" hidden="false" customHeight="false" outlineLevel="0" collapsed="false">
      <c r="A25" s="10" t="s">
        <v>2442</v>
      </c>
      <c r="B25" s="11" t="s">
        <v>90</v>
      </c>
      <c r="C25" s="11" t="s">
        <v>92</v>
      </c>
      <c r="D25" s="11" t="s">
        <v>2400</v>
      </c>
      <c r="E25" s="11" t="s">
        <v>2401</v>
      </c>
      <c r="F25" s="11" t="s">
        <v>40</v>
      </c>
      <c r="G25" s="11" t="s">
        <v>309</v>
      </c>
      <c r="H25" s="11" t="s">
        <v>2402</v>
      </c>
      <c r="I25" s="11" t="s">
        <v>2403</v>
      </c>
      <c r="J25" s="11" t="s">
        <v>2404</v>
      </c>
      <c r="K25" s="11" t="s">
        <v>308</v>
      </c>
      <c r="L25" s="11" t="s">
        <v>2405</v>
      </c>
      <c r="M25" s="11"/>
      <c r="N25" s="12"/>
    </row>
    <row r="26" customFormat="false" ht="32.8" hidden="false" customHeight="false" outlineLevel="0" collapsed="false">
      <c r="A26" s="10" t="s">
        <v>2443</v>
      </c>
      <c r="B26" s="11" t="s">
        <v>90</v>
      </c>
      <c r="C26" s="11" t="s">
        <v>92</v>
      </c>
      <c r="D26" s="11" t="s">
        <v>2407</v>
      </c>
      <c r="E26" s="11" t="s">
        <v>2408</v>
      </c>
      <c r="F26" s="11" t="s">
        <v>40</v>
      </c>
      <c r="G26" s="11" t="s">
        <v>309</v>
      </c>
      <c r="H26" s="11" t="s">
        <v>2409</v>
      </c>
      <c r="I26" s="11" t="s">
        <v>2410</v>
      </c>
      <c r="J26" s="11" t="s">
        <v>2411</v>
      </c>
      <c r="K26" s="11" t="s">
        <v>308</v>
      </c>
      <c r="L26" s="11" t="s">
        <v>2405</v>
      </c>
      <c r="M26" s="11"/>
      <c r="N26" s="12"/>
    </row>
    <row r="27" customFormat="false" ht="32.8" hidden="false" customHeight="false" outlineLevel="0" collapsed="false">
      <c r="A27" s="10" t="s">
        <v>2444</v>
      </c>
      <c r="B27" s="11" t="s">
        <v>90</v>
      </c>
      <c r="C27" s="11" t="s">
        <v>92</v>
      </c>
      <c r="D27" s="11" t="s">
        <v>2413</v>
      </c>
      <c r="E27" s="11" t="s">
        <v>2414</v>
      </c>
      <c r="F27" s="11" t="s">
        <v>40</v>
      </c>
      <c r="G27" s="11" t="s">
        <v>309</v>
      </c>
      <c r="H27" s="11" t="s">
        <v>2415</v>
      </c>
      <c r="I27" s="11" t="s">
        <v>1177</v>
      </c>
      <c r="J27" s="11" t="s">
        <v>1179</v>
      </c>
      <c r="K27" s="11" t="s">
        <v>308</v>
      </c>
      <c r="L27" s="11" t="s">
        <v>2405</v>
      </c>
      <c r="M27" s="11"/>
      <c r="N27" s="12"/>
    </row>
    <row r="28" customFormat="false" ht="32.8" hidden="false" customHeight="false" outlineLevel="0" collapsed="false">
      <c r="A28" s="10" t="s">
        <v>2445</v>
      </c>
      <c r="B28" s="11" t="s">
        <v>90</v>
      </c>
      <c r="C28" s="11" t="s">
        <v>92</v>
      </c>
      <c r="D28" s="11" t="s">
        <v>2417</v>
      </c>
      <c r="E28" s="11" t="s">
        <v>2418</v>
      </c>
      <c r="F28" s="11" t="s">
        <v>40</v>
      </c>
      <c r="G28" s="11" t="s">
        <v>309</v>
      </c>
      <c r="H28" s="11" t="s">
        <v>2419</v>
      </c>
      <c r="I28" s="11" t="s">
        <v>2420</v>
      </c>
      <c r="J28" s="11" t="s">
        <v>2421</v>
      </c>
      <c r="K28" s="11" t="s">
        <v>308</v>
      </c>
      <c r="L28" s="11" t="s">
        <v>2405</v>
      </c>
      <c r="M28" s="11"/>
      <c r="N28" s="12"/>
    </row>
    <row r="29" customFormat="false" ht="53.7" hidden="false" customHeight="false" outlineLevel="0" collapsed="false">
      <c r="A29" s="10" t="s">
        <v>2446</v>
      </c>
      <c r="B29" s="11" t="s">
        <v>90</v>
      </c>
      <c r="C29" s="11" t="s">
        <v>92</v>
      </c>
      <c r="D29" s="11" t="s">
        <v>2423</v>
      </c>
      <c r="E29" s="11" t="s">
        <v>2424</v>
      </c>
      <c r="F29" s="11" t="s">
        <v>40</v>
      </c>
      <c r="G29" s="11" t="s">
        <v>309</v>
      </c>
      <c r="H29" s="11" t="s">
        <v>2425</v>
      </c>
      <c r="I29" s="11" t="s">
        <v>2426</v>
      </c>
      <c r="J29" s="11" t="s">
        <v>940</v>
      </c>
      <c r="K29" s="11" t="s">
        <v>308</v>
      </c>
      <c r="L29" s="11" t="s">
        <v>2405</v>
      </c>
      <c r="M29" s="11"/>
      <c r="N29" s="12"/>
    </row>
    <row r="30" customFormat="false" ht="32.8" hidden="false" customHeight="false" outlineLevel="0" collapsed="false">
      <c r="A30" s="10" t="s">
        <v>2447</v>
      </c>
      <c r="B30" s="11" t="s">
        <v>99</v>
      </c>
      <c r="C30" s="11" t="s">
        <v>100</v>
      </c>
      <c r="D30" s="11" t="s">
        <v>2400</v>
      </c>
      <c r="E30" s="11" t="s">
        <v>2401</v>
      </c>
      <c r="F30" s="11" t="s">
        <v>40</v>
      </c>
      <c r="G30" s="11" t="s">
        <v>309</v>
      </c>
      <c r="H30" s="11" t="s">
        <v>2402</v>
      </c>
      <c r="I30" s="11" t="s">
        <v>2403</v>
      </c>
      <c r="J30" s="11" t="s">
        <v>2404</v>
      </c>
      <c r="K30" s="11" t="s">
        <v>308</v>
      </c>
      <c r="L30" s="11" t="s">
        <v>2405</v>
      </c>
      <c r="M30" s="11"/>
      <c r="N30" s="12"/>
    </row>
    <row r="31" customFormat="false" ht="32.8" hidden="false" customHeight="false" outlineLevel="0" collapsed="false">
      <c r="A31" s="10" t="s">
        <v>2448</v>
      </c>
      <c r="B31" s="11" t="s">
        <v>99</v>
      </c>
      <c r="C31" s="11" t="s">
        <v>100</v>
      </c>
      <c r="D31" s="11" t="s">
        <v>2407</v>
      </c>
      <c r="E31" s="11" t="s">
        <v>2408</v>
      </c>
      <c r="F31" s="11" t="s">
        <v>40</v>
      </c>
      <c r="G31" s="11" t="s">
        <v>309</v>
      </c>
      <c r="H31" s="11" t="s">
        <v>2409</v>
      </c>
      <c r="I31" s="11" t="s">
        <v>2410</v>
      </c>
      <c r="J31" s="11" t="s">
        <v>2411</v>
      </c>
      <c r="K31" s="11" t="s">
        <v>308</v>
      </c>
      <c r="L31" s="11" t="s">
        <v>2405</v>
      </c>
      <c r="M31" s="11"/>
      <c r="N31" s="12"/>
    </row>
    <row r="32" customFormat="false" ht="32.8" hidden="false" customHeight="false" outlineLevel="0" collapsed="false">
      <c r="A32" s="10" t="s">
        <v>2449</v>
      </c>
      <c r="B32" s="11" t="s">
        <v>99</v>
      </c>
      <c r="C32" s="11" t="s">
        <v>100</v>
      </c>
      <c r="D32" s="11" t="s">
        <v>2413</v>
      </c>
      <c r="E32" s="11" t="s">
        <v>2414</v>
      </c>
      <c r="F32" s="11" t="s">
        <v>40</v>
      </c>
      <c r="G32" s="11" t="s">
        <v>309</v>
      </c>
      <c r="H32" s="11" t="s">
        <v>2415</v>
      </c>
      <c r="I32" s="11" t="s">
        <v>1177</v>
      </c>
      <c r="J32" s="11" t="s">
        <v>1179</v>
      </c>
      <c r="K32" s="11" t="s">
        <v>308</v>
      </c>
      <c r="L32" s="11" t="s">
        <v>2405</v>
      </c>
      <c r="M32" s="11"/>
      <c r="N32" s="12"/>
    </row>
    <row r="33" customFormat="false" ht="32.8" hidden="false" customHeight="false" outlineLevel="0" collapsed="false">
      <c r="A33" s="10" t="s">
        <v>2450</v>
      </c>
      <c r="B33" s="11" t="s">
        <v>99</v>
      </c>
      <c r="C33" s="11" t="s">
        <v>100</v>
      </c>
      <c r="D33" s="11" t="s">
        <v>2417</v>
      </c>
      <c r="E33" s="11" t="s">
        <v>2418</v>
      </c>
      <c r="F33" s="11" t="s">
        <v>40</v>
      </c>
      <c r="G33" s="11" t="s">
        <v>309</v>
      </c>
      <c r="H33" s="11" t="s">
        <v>2419</v>
      </c>
      <c r="I33" s="11" t="s">
        <v>2420</v>
      </c>
      <c r="J33" s="11" t="s">
        <v>2421</v>
      </c>
      <c r="K33" s="11" t="s">
        <v>308</v>
      </c>
      <c r="L33" s="11" t="s">
        <v>2405</v>
      </c>
      <c r="M33" s="11"/>
      <c r="N33" s="12"/>
    </row>
    <row r="34" customFormat="false" ht="53.7" hidden="false" customHeight="false" outlineLevel="0" collapsed="false">
      <c r="A34" s="10" t="s">
        <v>2451</v>
      </c>
      <c r="B34" s="11" t="s">
        <v>99</v>
      </c>
      <c r="C34" s="11" t="s">
        <v>100</v>
      </c>
      <c r="D34" s="11" t="s">
        <v>2423</v>
      </c>
      <c r="E34" s="11" t="s">
        <v>2424</v>
      </c>
      <c r="F34" s="11" t="s">
        <v>40</v>
      </c>
      <c r="G34" s="11" t="s">
        <v>309</v>
      </c>
      <c r="H34" s="11" t="s">
        <v>2425</v>
      </c>
      <c r="I34" s="11" t="s">
        <v>2426</v>
      </c>
      <c r="J34" s="11" t="s">
        <v>940</v>
      </c>
      <c r="K34" s="11" t="s">
        <v>308</v>
      </c>
      <c r="L34" s="11" t="s">
        <v>2405</v>
      </c>
      <c r="M34" s="11"/>
      <c r="N34" s="12"/>
    </row>
    <row r="35" customFormat="false" ht="32.8" hidden="false" customHeight="false" outlineLevel="0" collapsed="false">
      <c r="A35" s="10" t="s">
        <v>2452</v>
      </c>
      <c r="B35" s="11" t="s">
        <v>105</v>
      </c>
      <c r="C35" s="11" t="s">
        <v>106</v>
      </c>
      <c r="D35" s="11" t="s">
        <v>2400</v>
      </c>
      <c r="E35" s="11" t="s">
        <v>2401</v>
      </c>
      <c r="F35" s="11" t="s">
        <v>40</v>
      </c>
      <c r="G35" s="11" t="s">
        <v>309</v>
      </c>
      <c r="H35" s="11" t="s">
        <v>2402</v>
      </c>
      <c r="I35" s="11" t="s">
        <v>2403</v>
      </c>
      <c r="J35" s="11" t="s">
        <v>2404</v>
      </c>
      <c r="K35" s="11" t="s">
        <v>308</v>
      </c>
      <c r="L35" s="11" t="s">
        <v>2405</v>
      </c>
      <c r="M35" s="11"/>
      <c r="N35" s="12"/>
    </row>
    <row r="36" customFormat="false" ht="32.8" hidden="false" customHeight="false" outlineLevel="0" collapsed="false">
      <c r="A36" s="10" t="s">
        <v>2453</v>
      </c>
      <c r="B36" s="11" t="s">
        <v>105</v>
      </c>
      <c r="C36" s="11" t="s">
        <v>106</v>
      </c>
      <c r="D36" s="11" t="s">
        <v>2407</v>
      </c>
      <c r="E36" s="11" t="s">
        <v>2408</v>
      </c>
      <c r="F36" s="11" t="s">
        <v>40</v>
      </c>
      <c r="G36" s="11" t="s">
        <v>309</v>
      </c>
      <c r="H36" s="11" t="s">
        <v>2409</v>
      </c>
      <c r="I36" s="11" t="s">
        <v>2410</v>
      </c>
      <c r="J36" s="11" t="s">
        <v>2411</v>
      </c>
      <c r="K36" s="11" t="s">
        <v>308</v>
      </c>
      <c r="L36" s="11" t="s">
        <v>2405</v>
      </c>
      <c r="M36" s="11"/>
      <c r="N36" s="12"/>
    </row>
    <row r="37" customFormat="false" ht="32.8" hidden="false" customHeight="false" outlineLevel="0" collapsed="false">
      <c r="A37" s="10" t="s">
        <v>2454</v>
      </c>
      <c r="B37" s="11" t="s">
        <v>105</v>
      </c>
      <c r="C37" s="11" t="s">
        <v>106</v>
      </c>
      <c r="D37" s="11" t="s">
        <v>2413</v>
      </c>
      <c r="E37" s="11" t="s">
        <v>2414</v>
      </c>
      <c r="F37" s="11" t="s">
        <v>40</v>
      </c>
      <c r="G37" s="11" t="s">
        <v>309</v>
      </c>
      <c r="H37" s="11" t="s">
        <v>2415</v>
      </c>
      <c r="I37" s="11" t="s">
        <v>1177</v>
      </c>
      <c r="J37" s="11" t="s">
        <v>1179</v>
      </c>
      <c r="K37" s="11" t="s">
        <v>308</v>
      </c>
      <c r="L37" s="11" t="s">
        <v>2405</v>
      </c>
      <c r="M37" s="11"/>
      <c r="N37" s="12"/>
    </row>
    <row r="38" customFormat="false" ht="32.8" hidden="false" customHeight="false" outlineLevel="0" collapsed="false">
      <c r="A38" s="10" t="s">
        <v>2455</v>
      </c>
      <c r="B38" s="11" t="s">
        <v>105</v>
      </c>
      <c r="C38" s="11" t="s">
        <v>106</v>
      </c>
      <c r="D38" s="11" t="s">
        <v>2417</v>
      </c>
      <c r="E38" s="11" t="s">
        <v>2418</v>
      </c>
      <c r="F38" s="11" t="s">
        <v>40</v>
      </c>
      <c r="G38" s="11" t="s">
        <v>309</v>
      </c>
      <c r="H38" s="11" t="s">
        <v>2419</v>
      </c>
      <c r="I38" s="11" t="s">
        <v>2420</v>
      </c>
      <c r="J38" s="11" t="s">
        <v>2421</v>
      </c>
      <c r="K38" s="11" t="s">
        <v>308</v>
      </c>
      <c r="L38" s="11" t="s">
        <v>2405</v>
      </c>
      <c r="M38" s="11"/>
      <c r="N38" s="12"/>
    </row>
    <row r="39" customFormat="false" ht="53.7" hidden="false" customHeight="false" outlineLevel="0" collapsed="false">
      <c r="A39" s="10" t="s">
        <v>2456</v>
      </c>
      <c r="B39" s="11" t="s">
        <v>105</v>
      </c>
      <c r="C39" s="11" t="s">
        <v>106</v>
      </c>
      <c r="D39" s="11" t="s">
        <v>2423</v>
      </c>
      <c r="E39" s="11" t="s">
        <v>2424</v>
      </c>
      <c r="F39" s="11" t="s">
        <v>40</v>
      </c>
      <c r="G39" s="11" t="s">
        <v>309</v>
      </c>
      <c r="H39" s="11" t="s">
        <v>2425</v>
      </c>
      <c r="I39" s="11" t="s">
        <v>2426</v>
      </c>
      <c r="J39" s="11" t="s">
        <v>940</v>
      </c>
      <c r="K39" s="11" t="s">
        <v>308</v>
      </c>
      <c r="L39" s="11" t="s">
        <v>2405</v>
      </c>
      <c r="M39" s="11"/>
      <c r="N39" s="12"/>
    </row>
    <row r="40" customFormat="false" ht="32.8" hidden="false" customHeight="false" outlineLevel="0" collapsed="false">
      <c r="A40" s="10" t="s">
        <v>2457</v>
      </c>
      <c r="B40" s="11" t="s">
        <v>112</v>
      </c>
      <c r="C40" s="11" t="s">
        <v>113</v>
      </c>
      <c r="D40" s="11" t="s">
        <v>2400</v>
      </c>
      <c r="E40" s="11" t="s">
        <v>2401</v>
      </c>
      <c r="F40" s="11" t="s">
        <v>40</v>
      </c>
      <c r="G40" s="11" t="s">
        <v>309</v>
      </c>
      <c r="H40" s="11" t="s">
        <v>2402</v>
      </c>
      <c r="I40" s="11" t="s">
        <v>2403</v>
      </c>
      <c r="J40" s="11" t="s">
        <v>2404</v>
      </c>
      <c r="K40" s="11" t="s">
        <v>308</v>
      </c>
      <c r="L40" s="11" t="s">
        <v>2405</v>
      </c>
      <c r="M40" s="11"/>
      <c r="N40" s="12"/>
    </row>
    <row r="41" customFormat="false" ht="32.8" hidden="false" customHeight="false" outlineLevel="0" collapsed="false">
      <c r="A41" s="10" t="s">
        <v>2458</v>
      </c>
      <c r="B41" s="11" t="s">
        <v>112</v>
      </c>
      <c r="C41" s="11" t="s">
        <v>113</v>
      </c>
      <c r="D41" s="11" t="s">
        <v>2407</v>
      </c>
      <c r="E41" s="11" t="s">
        <v>2408</v>
      </c>
      <c r="F41" s="11" t="s">
        <v>40</v>
      </c>
      <c r="G41" s="11" t="s">
        <v>309</v>
      </c>
      <c r="H41" s="11" t="s">
        <v>2409</v>
      </c>
      <c r="I41" s="11" t="s">
        <v>2410</v>
      </c>
      <c r="J41" s="11" t="s">
        <v>2411</v>
      </c>
      <c r="K41" s="11" t="s">
        <v>308</v>
      </c>
      <c r="L41" s="11" t="s">
        <v>2405</v>
      </c>
      <c r="M41" s="11"/>
      <c r="N41" s="12"/>
    </row>
    <row r="42" customFormat="false" ht="32.8" hidden="false" customHeight="false" outlineLevel="0" collapsed="false">
      <c r="A42" s="10" t="s">
        <v>2459</v>
      </c>
      <c r="B42" s="11" t="s">
        <v>112</v>
      </c>
      <c r="C42" s="11" t="s">
        <v>113</v>
      </c>
      <c r="D42" s="11" t="s">
        <v>2413</v>
      </c>
      <c r="E42" s="11" t="s">
        <v>2414</v>
      </c>
      <c r="F42" s="11" t="s">
        <v>40</v>
      </c>
      <c r="G42" s="11" t="s">
        <v>309</v>
      </c>
      <c r="H42" s="11" t="s">
        <v>2415</v>
      </c>
      <c r="I42" s="11" t="s">
        <v>1177</v>
      </c>
      <c r="J42" s="11" t="s">
        <v>1179</v>
      </c>
      <c r="K42" s="11" t="s">
        <v>308</v>
      </c>
      <c r="L42" s="11" t="s">
        <v>2405</v>
      </c>
      <c r="M42" s="11"/>
      <c r="N42" s="12"/>
    </row>
    <row r="43" customFormat="false" ht="32.8" hidden="false" customHeight="false" outlineLevel="0" collapsed="false">
      <c r="A43" s="10" t="s">
        <v>2460</v>
      </c>
      <c r="B43" s="11" t="s">
        <v>112</v>
      </c>
      <c r="C43" s="11" t="s">
        <v>113</v>
      </c>
      <c r="D43" s="11" t="s">
        <v>2417</v>
      </c>
      <c r="E43" s="11" t="s">
        <v>2418</v>
      </c>
      <c r="F43" s="11" t="s">
        <v>40</v>
      </c>
      <c r="G43" s="11" t="s">
        <v>309</v>
      </c>
      <c r="H43" s="11" t="s">
        <v>2419</v>
      </c>
      <c r="I43" s="11" t="s">
        <v>2420</v>
      </c>
      <c r="J43" s="11" t="s">
        <v>2421</v>
      </c>
      <c r="K43" s="11" t="s">
        <v>308</v>
      </c>
      <c r="L43" s="11" t="s">
        <v>2405</v>
      </c>
      <c r="M43" s="11"/>
      <c r="N43" s="12"/>
    </row>
    <row r="44" customFormat="false" ht="53.7" hidden="false" customHeight="false" outlineLevel="0" collapsed="false">
      <c r="A44" s="10" t="s">
        <v>2461</v>
      </c>
      <c r="B44" s="11" t="s">
        <v>112</v>
      </c>
      <c r="C44" s="11" t="s">
        <v>113</v>
      </c>
      <c r="D44" s="11" t="s">
        <v>2423</v>
      </c>
      <c r="E44" s="11" t="s">
        <v>2424</v>
      </c>
      <c r="F44" s="11" t="s">
        <v>40</v>
      </c>
      <c r="G44" s="11" t="s">
        <v>309</v>
      </c>
      <c r="H44" s="11" t="s">
        <v>2425</v>
      </c>
      <c r="I44" s="11" t="s">
        <v>2426</v>
      </c>
      <c r="J44" s="11" t="s">
        <v>940</v>
      </c>
      <c r="K44" s="11" t="s">
        <v>308</v>
      </c>
      <c r="L44" s="11" t="s">
        <v>2405</v>
      </c>
      <c r="M44" s="11"/>
      <c r="N44" s="12"/>
    </row>
    <row r="45" customFormat="false" ht="32.8" hidden="false" customHeight="false" outlineLevel="0" collapsed="false">
      <c r="A45" s="10" t="s">
        <v>2462</v>
      </c>
      <c r="B45" s="11" t="s">
        <v>119</v>
      </c>
      <c r="C45" s="11" t="s">
        <v>121</v>
      </c>
      <c r="D45" s="11" t="s">
        <v>2400</v>
      </c>
      <c r="E45" s="11" t="s">
        <v>2401</v>
      </c>
      <c r="F45" s="11" t="s">
        <v>40</v>
      </c>
      <c r="G45" s="11" t="s">
        <v>309</v>
      </c>
      <c r="H45" s="11" t="s">
        <v>2402</v>
      </c>
      <c r="I45" s="11" t="s">
        <v>2403</v>
      </c>
      <c r="J45" s="11" t="s">
        <v>2404</v>
      </c>
      <c r="K45" s="11" t="s">
        <v>308</v>
      </c>
      <c r="L45" s="11" t="s">
        <v>2405</v>
      </c>
      <c r="M45" s="11"/>
      <c r="N45" s="12"/>
    </row>
    <row r="46" customFormat="false" ht="32.8" hidden="false" customHeight="false" outlineLevel="0" collapsed="false">
      <c r="A46" s="10" t="s">
        <v>2463</v>
      </c>
      <c r="B46" s="11" t="s">
        <v>119</v>
      </c>
      <c r="C46" s="11" t="s">
        <v>121</v>
      </c>
      <c r="D46" s="11" t="s">
        <v>2407</v>
      </c>
      <c r="E46" s="11" t="s">
        <v>2408</v>
      </c>
      <c r="F46" s="11" t="s">
        <v>40</v>
      </c>
      <c r="G46" s="11" t="s">
        <v>309</v>
      </c>
      <c r="H46" s="11" t="s">
        <v>2409</v>
      </c>
      <c r="I46" s="11" t="s">
        <v>2410</v>
      </c>
      <c r="J46" s="11" t="s">
        <v>2411</v>
      </c>
      <c r="K46" s="11" t="s">
        <v>308</v>
      </c>
      <c r="L46" s="11" t="s">
        <v>2405</v>
      </c>
      <c r="M46" s="11"/>
      <c r="N46" s="12"/>
    </row>
    <row r="47" customFormat="false" ht="32.8" hidden="false" customHeight="false" outlineLevel="0" collapsed="false">
      <c r="A47" s="10" t="s">
        <v>2464</v>
      </c>
      <c r="B47" s="11" t="s">
        <v>119</v>
      </c>
      <c r="C47" s="11" t="s">
        <v>121</v>
      </c>
      <c r="D47" s="11" t="s">
        <v>2413</v>
      </c>
      <c r="E47" s="11" t="s">
        <v>2414</v>
      </c>
      <c r="F47" s="11" t="s">
        <v>40</v>
      </c>
      <c r="G47" s="11" t="s">
        <v>309</v>
      </c>
      <c r="H47" s="11" t="s">
        <v>2415</v>
      </c>
      <c r="I47" s="11" t="s">
        <v>1177</v>
      </c>
      <c r="J47" s="11" t="s">
        <v>1179</v>
      </c>
      <c r="K47" s="11" t="s">
        <v>308</v>
      </c>
      <c r="L47" s="11" t="s">
        <v>2405</v>
      </c>
      <c r="M47" s="11"/>
      <c r="N47" s="12"/>
    </row>
    <row r="48" customFormat="false" ht="32.8" hidden="false" customHeight="false" outlineLevel="0" collapsed="false">
      <c r="A48" s="10" t="s">
        <v>2465</v>
      </c>
      <c r="B48" s="11" t="s">
        <v>119</v>
      </c>
      <c r="C48" s="11" t="s">
        <v>121</v>
      </c>
      <c r="D48" s="11" t="s">
        <v>2417</v>
      </c>
      <c r="E48" s="11" t="s">
        <v>2418</v>
      </c>
      <c r="F48" s="11" t="s">
        <v>40</v>
      </c>
      <c r="G48" s="11" t="s">
        <v>309</v>
      </c>
      <c r="H48" s="11" t="s">
        <v>2419</v>
      </c>
      <c r="I48" s="11" t="s">
        <v>2420</v>
      </c>
      <c r="J48" s="11" t="s">
        <v>2421</v>
      </c>
      <c r="K48" s="11" t="s">
        <v>308</v>
      </c>
      <c r="L48" s="11" t="s">
        <v>2405</v>
      </c>
      <c r="M48" s="11"/>
      <c r="N48" s="12"/>
    </row>
    <row r="49" customFormat="false" ht="53.7" hidden="false" customHeight="false" outlineLevel="0" collapsed="false">
      <c r="A49" s="10" t="s">
        <v>2466</v>
      </c>
      <c r="B49" s="11" t="s">
        <v>119</v>
      </c>
      <c r="C49" s="11" t="s">
        <v>121</v>
      </c>
      <c r="D49" s="11" t="s">
        <v>2423</v>
      </c>
      <c r="E49" s="11" t="s">
        <v>2424</v>
      </c>
      <c r="F49" s="11" t="s">
        <v>40</v>
      </c>
      <c r="G49" s="11" t="s">
        <v>309</v>
      </c>
      <c r="H49" s="11" t="s">
        <v>2425</v>
      </c>
      <c r="I49" s="11" t="s">
        <v>2426</v>
      </c>
      <c r="J49" s="11" t="s">
        <v>940</v>
      </c>
      <c r="K49" s="11" t="s">
        <v>308</v>
      </c>
      <c r="L49" s="11" t="s">
        <v>2405</v>
      </c>
      <c r="M49" s="11"/>
      <c r="N49" s="12"/>
    </row>
    <row r="50" customFormat="false" ht="32.8" hidden="false" customHeight="false" outlineLevel="0" collapsed="false">
      <c r="A50" s="10" t="s">
        <v>2467</v>
      </c>
      <c r="B50" s="11" t="s">
        <v>127</v>
      </c>
      <c r="C50" s="11" t="s">
        <v>128</v>
      </c>
      <c r="D50" s="11" t="s">
        <v>2400</v>
      </c>
      <c r="E50" s="11" t="s">
        <v>2401</v>
      </c>
      <c r="F50" s="11" t="s">
        <v>40</v>
      </c>
      <c r="G50" s="11" t="s">
        <v>309</v>
      </c>
      <c r="H50" s="11" t="s">
        <v>2402</v>
      </c>
      <c r="I50" s="11" t="s">
        <v>2403</v>
      </c>
      <c r="J50" s="11" t="s">
        <v>2404</v>
      </c>
      <c r="K50" s="11" t="s">
        <v>308</v>
      </c>
      <c r="L50" s="11" t="s">
        <v>2405</v>
      </c>
      <c r="M50" s="11"/>
      <c r="N50" s="12"/>
    </row>
    <row r="51" customFormat="false" ht="32.8" hidden="false" customHeight="false" outlineLevel="0" collapsed="false">
      <c r="A51" s="10" t="s">
        <v>2468</v>
      </c>
      <c r="B51" s="11" t="s">
        <v>127</v>
      </c>
      <c r="C51" s="11" t="s">
        <v>128</v>
      </c>
      <c r="D51" s="11" t="s">
        <v>2407</v>
      </c>
      <c r="E51" s="11" t="s">
        <v>2408</v>
      </c>
      <c r="F51" s="11" t="s">
        <v>40</v>
      </c>
      <c r="G51" s="11" t="s">
        <v>309</v>
      </c>
      <c r="H51" s="11" t="s">
        <v>2409</v>
      </c>
      <c r="I51" s="11" t="s">
        <v>2410</v>
      </c>
      <c r="J51" s="11" t="s">
        <v>2411</v>
      </c>
      <c r="K51" s="11" t="s">
        <v>308</v>
      </c>
      <c r="L51" s="11" t="s">
        <v>2405</v>
      </c>
      <c r="M51" s="11"/>
      <c r="N51" s="12"/>
    </row>
    <row r="52" customFormat="false" ht="32.8" hidden="false" customHeight="false" outlineLevel="0" collapsed="false">
      <c r="A52" s="10" t="s">
        <v>2469</v>
      </c>
      <c r="B52" s="11" t="s">
        <v>127</v>
      </c>
      <c r="C52" s="11" t="s">
        <v>128</v>
      </c>
      <c r="D52" s="11" t="s">
        <v>2413</v>
      </c>
      <c r="E52" s="11" t="s">
        <v>2414</v>
      </c>
      <c r="F52" s="11" t="s">
        <v>40</v>
      </c>
      <c r="G52" s="11" t="s">
        <v>309</v>
      </c>
      <c r="H52" s="11" t="s">
        <v>2415</v>
      </c>
      <c r="I52" s="11" t="s">
        <v>1177</v>
      </c>
      <c r="J52" s="11" t="s">
        <v>1179</v>
      </c>
      <c r="K52" s="11" t="s">
        <v>308</v>
      </c>
      <c r="L52" s="11" t="s">
        <v>2405</v>
      </c>
      <c r="M52" s="11"/>
      <c r="N52" s="12"/>
    </row>
    <row r="53" customFormat="false" ht="32.8" hidden="false" customHeight="false" outlineLevel="0" collapsed="false">
      <c r="A53" s="10" t="s">
        <v>2470</v>
      </c>
      <c r="B53" s="11" t="s">
        <v>127</v>
      </c>
      <c r="C53" s="11" t="s">
        <v>128</v>
      </c>
      <c r="D53" s="11" t="s">
        <v>2417</v>
      </c>
      <c r="E53" s="11" t="s">
        <v>2418</v>
      </c>
      <c r="F53" s="11" t="s">
        <v>40</v>
      </c>
      <c r="G53" s="11" t="s">
        <v>309</v>
      </c>
      <c r="H53" s="11" t="s">
        <v>2419</v>
      </c>
      <c r="I53" s="11" t="s">
        <v>2420</v>
      </c>
      <c r="J53" s="11" t="s">
        <v>2421</v>
      </c>
      <c r="K53" s="11" t="s">
        <v>308</v>
      </c>
      <c r="L53" s="11" t="s">
        <v>2405</v>
      </c>
      <c r="M53" s="11"/>
      <c r="N53" s="12"/>
    </row>
    <row r="54" customFormat="false" ht="53.7" hidden="false" customHeight="false" outlineLevel="0" collapsed="false">
      <c r="A54" s="10" t="s">
        <v>2471</v>
      </c>
      <c r="B54" s="11" t="s">
        <v>127</v>
      </c>
      <c r="C54" s="11" t="s">
        <v>128</v>
      </c>
      <c r="D54" s="11" t="s">
        <v>2423</v>
      </c>
      <c r="E54" s="11" t="s">
        <v>2424</v>
      </c>
      <c r="F54" s="11" t="s">
        <v>40</v>
      </c>
      <c r="G54" s="11" t="s">
        <v>309</v>
      </c>
      <c r="H54" s="11" t="s">
        <v>2425</v>
      </c>
      <c r="I54" s="11" t="s">
        <v>2426</v>
      </c>
      <c r="J54" s="11" t="s">
        <v>940</v>
      </c>
      <c r="K54" s="11" t="s">
        <v>308</v>
      </c>
      <c r="L54" s="11" t="s">
        <v>2405</v>
      </c>
      <c r="M54" s="11"/>
      <c r="N54" s="12"/>
    </row>
    <row r="55" customFormat="false" ht="32.8" hidden="false" customHeight="false" outlineLevel="0" collapsed="false">
      <c r="A55" s="10" t="s">
        <v>2472</v>
      </c>
      <c r="B55" s="11" t="s">
        <v>133</v>
      </c>
      <c r="C55" s="11" t="s">
        <v>134</v>
      </c>
      <c r="D55" s="11" t="s">
        <v>2400</v>
      </c>
      <c r="E55" s="11" t="s">
        <v>2401</v>
      </c>
      <c r="F55" s="11" t="s">
        <v>40</v>
      </c>
      <c r="G55" s="11" t="s">
        <v>309</v>
      </c>
      <c r="H55" s="11" t="s">
        <v>2402</v>
      </c>
      <c r="I55" s="11" t="s">
        <v>2403</v>
      </c>
      <c r="J55" s="11" t="s">
        <v>2404</v>
      </c>
      <c r="K55" s="11" t="s">
        <v>308</v>
      </c>
      <c r="L55" s="11" t="s">
        <v>2405</v>
      </c>
      <c r="M55" s="11"/>
      <c r="N55" s="12"/>
    </row>
    <row r="56" customFormat="false" ht="32.8" hidden="false" customHeight="false" outlineLevel="0" collapsed="false">
      <c r="A56" s="10" t="s">
        <v>2473</v>
      </c>
      <c r="B56" s="11" t="s">
        <v>133</v>
      </c>
      <c r="C56" s="11" t="s">
        <v>134</v>
      </c>
      <c r="D56" s="11" t="s">
        <v>2407</v>
      </c>
      <c r="E56" s="11" t="s">
        <v>2408</v>
      </c>
      <c r="F56" s="11" t="s">
        <v>40</v>
      </c>
      <c r="G56" s="11" t="s">
        <v>309</v>
      </c>
      <c r="H56" s="11" t="s">
        <v>2409</v>
      </c>
      <c r="I56" s="11" t="s">
        <v>2410</v>
      </c>
      <c r="J56" s="11" t="s">
        <v>2411</v>
      </c>
      <c r="K56" s="11" t="s">
        <v>308</v>
      </c>
      <c r="L56" s="11" t="s">
        <v>2405</v>
      </c>
      <c r="M56" s="11"/>
      <c r="N56" s="12"/>
    </row>
    <row r="57" customFormat="false" ht="32.8" hidden="false" customHeight="false" outlineLevel="0" collapsed="false">
      <c r="A57" s="10" t="s">
        <v>2474</v>
      </c>
      <c r="B57" s="11" t="s">
        <v>133</v>
      </c>
      <c r="C57" s="11" t="s">
        <v>134</v>
      </c>
      <c r="D57" s="11" t="s">
        <v>2413</v>
      </c>
      <c r="E57" s="11" t="s">
        <v>2414</v>
      </c>
      <c r="F57" s="11" t="s">
        <v>40</v>
      </c>
      <c r="G57" s="11" t="s">
        <v>309</v>
      </c>
      <c r="H57" s="11" t="s">
        <v>2415</v>
      </c>
      <c r="I57" s="11" t="s">
        <v>1177</v>
      </c>
      <c r="J57" s="11" t="s">
        <v>1179</v>
      </c>
      <c r="K57" s="11" t="s">
        <v>308</v>
      </c>
      <c r="L57" s="11" t="s">
        <v>2405</v>
      </c>
      <c r="M57" s="11"/>
      <c r="N57" s="12"/>
    </row>
    <row r="58" customFormat="false" ht="32.8" hidden="false" customHeight="false" outlineLevel="0" collapsed="false">
      <c r="A58" s="10" t="s">
        <v>2475</v>
      </c>
      <c r="B58" s="11" t="s">
        <v>133</v>
      </c>
      <c r="C58" s="11" t="s">
        <v>134</v>
      </c>
      <c r="D58" s="11" t="s">
        <v>2417</v>
      </c>
      <c r="E58" s="11" t="s">
        <v>2418</v>
      </c>
      <c r="F58" s="11" t="s">
        <v>40</v>
      </c>
      <c r="G58" s="11" t="s">
        <v>309</v>
      </c>
      <c r="H58" s="11" t="s">
        <v>2419</v>
      </c>
      <c r="I58" s="11" t="s">
        <v>2420</v>
      </c>
      <c r="J58" s="11" t="s">
        <v>2421</v>
      </c>
      <c r="K58" s="11" t="s">
        <v>308</v>
      </c>
      <c r="L58" s="11" t="s">
        <v>2405</v>
      </c>
      <c r="M58" s="11"/>
      <c r="N58" s="12"/>
    </row>
    <row r="59" customFormat="false" ht="53.7" hidden="false" customHeight="false" outlineLevel="0" collapsed="false">
      <c r="A59" s="10" t="s">
        <v>2476</v>
      </c>
      <c r="B59" s="11" t="s">
        <v>133</v>
      </c>
      <c r="C59" s="11" t="s">
        <v>134</v>
      </c>
      <c r="D59" s="11" t="s">
        <v>2423</v>
      </c>
      <c r="E59" s="11" t="s">
        <v>2424</v>
      </c>
      <c r="F59" s="11" t="s">
        <v>40</v>
      </c>
      <c r="G59" s="11" t="s">
        <v>309</v>
      </c>
      <c r="H59" s="11" t="s">
        <v>2425</v>
      </c>
      <c r="I59" s="11" t="s">
        <v>2426</v>
      </c>
      <c r="J59" s="11" t="s">
        <v>940</v>
      </c>
      <c r="K59" s="11" t="s">
        <v>308</v>
      </c>
      <c r="L59" s="11" t="s">
        <v>2405</v>
      </c>
      <c r="M59" s="11"/>
      <c r="N59" s="12"/>
    </row>
    <row r="60" customFormat="false" ht="32.8" hidden="false" customHeight="false" outlineLevel="0" collapsed="false">
      <c r="A60" s="10" t="s">
        <v>2477</v>
      </c>
      <c r="B60" s="11" t="s">
        <v>139</v>
      </c>
      <c r="C60" s="11" t="s">
        <v>140</v>
      </c>
      <c r="D60" s="11" t="s">
        <v>2400</v>
      </c>
      <c r="E60" s="11" t="s">
        <v>2401</v>
      </c>
      <c r="F60" s="11" t="s">
        <v>40</v>
      </c>
      <c r="G60" s="11" t="s">
        <v>309</v>
      </c>
      <c r="H60" s="11" t="s">
        <v>2402</v>
      </c>
      <c r="I60" s="11" t="s">
        <v>2403</v>
      </c>
      <c r="J60" s="11" t="s">
        <v>2404</v>
      </c>
      <c r="K60" s="11" t="s">
        <v>308</v>
      </c>
      <c r="L60" s="11" t="s">
        <v>2405</v>
      </c>
      <c r="M60" s="11"/>
      <c r="N60" s="12"/>
    </row>
    <row r="61" customFormat="false" ht="32.8" hidden="false" customHeight="false" outlineLevel="0" collapsed="false">
      <c r="A61" s="10" t="s">
        <v>2478</v>
      </c>
      <c r="B61" s="11" t="s">
        <v>139</v>
      </c>
      <c r="C61" s="11" t="s">
        <v>140</v>
      </c>
      <c r="D61" s="11" t="s">
        <v>2407</v>
      </c>
      <c r="E61" s="11" t="s">
        <v>2408</v>
      </c>
      <c r="F61" s="11" t="s">
        <v>40</v>
      </c>
      <c r="G61" s="11" t="s">
        <v>309</v>
      </c>
      <c r="H61" s="11" t="s">
        <v>2409</v>
      </c>
      <c r="I61" s="11" t="s">
        <v>2410</v>
      </c>
      <c r="J61" s="11" t="s">
        <v>2411</v>
      </c>
      <c r="K61" s="11" t="s">
        <v>308</v>
      </c>
      <c r="L61" s="11" t="s">
        <v>2405</v>
      </c>
      <c r="M61" s="11"/>
      <c r="N61" s="12"/>
    </row>
    <row r="62" customFormat="false" ht="32.8" hidden="false" customHeight="false" outlineLevel="0" collapsed="false">
      <c r="A62" s="10" t="s">
        <v>2479</v>
      </c>
      <c r="B62" s="11" t="s">
        <v>139</v>
      </c>
      <c r="C62" s="11" t="s">
        <v>140</v>
      </c>
      <c r="D62" s="11" t="s">
        <v>2413</v>
      </c>
      <c r="E62" s="11" t="s">
        <v>2414</v>
      </c>
      <c r="F62" s="11" t="s">
        <v>40</v>
      </c>
      <c r="G62" s="11" t="s">
        <v>309</v>
      </c>
      <c r="H62" s="11" t="s">
        <v>2415</v>
      </c>
      <c r="I62" s="11" t="s">
        <v>1177</v>
      </c>
      <c r="J62" s="11" t="s">
        <v>1179</v>
      </c>
      <c r="K62" s="11" t="s">
        <v>308</v>
      </c>
      <c r="L62" s="11" t="s">
        <v>2405</v>
      </c>
      <c r="M62" s="11"/>
      <c r="N62" s="12"/>
    </row>
    <row r="63" customFormat="false" ht="32.8" hidden="false" customHeight="false" outlineLevel="0" collapsed="false">
      <c r="A63" s="10" t="s">
        <v>2480</v>
      </c>
      <c r="B63" s="11" t="s">
        <v>139</v>
      </c>
      <c r="C63" s="11" t="s">
        <v>140</v>
      </c>
      <c r="D63" s="11" t="s">
        <v>2417</v>
      </c>
      <c r="E63" s="11" t="s">
        <v>2418</v>
      </c>
      <c r="F63" s="11" t="s">
        <v>40</v>
      </c>
      <c r="G63" s="11" t="s">
        <v>309</v>
      </c>
      <c r="H63" s="11" t="s">
        <v>2419</v>
      </c>
      <c r="I63" s="11" t="s">
        <v>2420</v>
      </c>
      <c r="J63" s="11" t="s">
        <v>2421</v>
      </c>
      <c r="K63" s="11" t="s">
        <v>308</v>
      </c>
      <c r="L63" s="11" t="s">
        <v>2405</v>
      </c>
      <c r="M63" s="11"/>
      <c r="N63" s="12"/>
    </row>
    <row r="64" customFormat="false" ht="53.7" hidden="false" customHeight="false" outlineLevel="0" collapsed="false">
      <c r="A64" s="10" t="s">
        <v>2481</v>
      </c>
      <c r="B64" s="11" t="s">
        <v>139</v>
      </c>
      <c r="C64" s="11" t="s">
        <v>140</v>
      </c>
      <c r="D64" s="11" t="s">
        <v>2423</v>
      </c>
      <c r="E64" s="11" t="s">
        <v>2424</v>
      </c>
      <c r="F64" s="11" t="s">
        <v>40</v>
      </c>
      <c r="G64" s="11" t="s">
        <v>309</v>
      </c>
      <c r="H64" s="11" t="s">
        <v>2425</v>
      </c>
      <c r="I64" s="11" t="s">
        <v>2426</v>
      </c>
      <c r="J64" s="11" t="s">
        <v>940</v>
      </c>
      <c r="K64" s="11" t="s">
        <v>308</v>
      </c>
      <c r="L64" s="11" t="s">
        <v>2405</v>
      </c>
      <c r="M64" s="11"/>
      <c r="N64" s="12"/>
    </row>
    <row r="65" customFormat="false" ht="32.8" hidden="false" customHeight="false" outlineLevel="0" collapsed="false">
      <c r="A65" s="10" t="s">
        <v>2482</v>
      </c>
      <c r="B65" s="11" t="s">
        <v>145</v>
      </c>
      <c r="C65" s="11" t="s">
        <v>147</v>
      </c>
      <c r="D65" s="11" t="s">
        <v>2400</v>
      </c>
      <c r="E65" s="11" t="s">
        <v>2401</v>
      </c>
      <c r="F65" s="11" t="s">
        <v>40</v>
      </c>
      <c r="G65" s="11" t="s">
        <v>309</v>
      </c>
      <c r="H65" s="11" t="s">
        <v>2402</v>
      </c>
      <c r="I65" s="11" t="s">
        <v>2403</v>
      </c>
      <c r="J65" s="11" t="s">
        <v>2404</v>
      </c>
      <c r="K65" s="11" t="s">
        <v>308</v>
      </c>
      <c r="L65" s="11" t="s">
        <v>2405</v>
      </c>
      <c r="M65" s="11"/>
      <c r="N65" s="12"/>
    </row>
    <row r="66" customFormat="false" ht="32.8" hidden="false" customHeight="false" outlineLevel="0" collapsed="false">
      <c r="A66" s="10" t="s">
        <v>2483</v>
      </c>
      <c r="B66" s="11" t="s">
        <v>145</v>
      </c>
      <c r="C66" s="11" t="s">
        <v>147</v>
      </c>
      <c r="D66" s="11" t="s">
        <v>2407</v>
      </c>
      <c r="E66" s="11" t="s">
        <v>2408</v>
      </c>
      <c r="F66" s="11" t="s">
        <v>40</v>
      </c>
      <c r="G66" s="11" t="s">
        <v>309</v>
      </c>
      <c r="H66" s="11" t="s">
        <v>2409</v>
      </c>
      <c r="I66" s="11" t="s">
        <v>2410</v>
      </c>
      <c r="J66" s="11" t="s">
        <v>2411</v>
      </c>
      <c r="K66" s="11" t="s">
        <v>308</v>
      </c>
      <c r="L66" s="11" t="s">
        <v>2405</v>
      </c>
      <c r="M66" s="11"/>
      <c r="N66" s="12"/>
    </row>
    <row r="67" customFormat="false" ht="32.8" hidden="false" customHeight="false" outlineLevel="0" collapsed="false">
      <c r="A67" s="10" t="s">
        <v>2484</v>
      </c>
      <c r="B67" s="11" t="s">
        <v>145</v>
      </c>
      <c r="C67" s="11" t="s">
        <v>147</v>
      </c>
      <c r="D67" s="11" t="s">
        <v>2413</v>
      </c>
      <c r="E67" s="11" t="s">
        <v>2414</v>
      </c>
      <c r="F67" s="11" t="s">
        <v>40</v>
      </c>
      <c r="G67" s="11" t="s">
        <v>309</v>
      </c>
      <c r="H67" s="11" t="s">
        <v>2415</v>
      </c>
      <c r="I67" s="11" t="s">
        <v>1177</v>
      </c>
      <c r="J67" s="11" t="s">
        <v>1179</v>
      </c>
      <c r="K67" s="11" t="s">
        <v>308</v>
      </c>
      <c r="L67" s="11" t="s">
        <v>2405</v>
      </c>
      <c r="M67" s="11"/>
      <c r="N67" s="12"/>
    </row>
    <row r="68" customFormat="false" ht="32.8" hidden="false" customHeight="false" outlineLevel="0" collapsed="false">
      <c r="A68" s="10" t="s">
        <v>2485</v>
      </c>
      <c r="B68" s="11" t="s">
        <v>145</v>
      </c>
      <c r="C68" s="11" t="s">
        <v>147</v>
      </c>
      <c r="D68" s="11" t="s">
        <v>2417</v>
      </c>
      <c r="E68" s="11" t="s">
        <v>2418</v>
      </c>
      <c r="F68" s="11" t="s">
        <v>40</v>
      </c>
      <c r="G68" s="11" t="s">
        <v>309</v>
      </c>
      <c r="H68" s="11" t="s">
        <v>2419</v>
      </c>
      <c r="I68" s="11" t="s">
        <v>2420</v>
      </c>
      <c r="J68" s="11" t="s">
        <v>2421</v>
      </c>
      <c r="K68" s="11" t="s">
        <v>308</v>
      </c>
      <c r="L68" s="11" t="s">
        <v>2405</v>
      </c>
      <c r="M68" s="11"/>
      <c r="N68" s="12"/>
    </row>
    <row r="69" customFormat="false" ht="53.7" hidden="false" customHeight="false" outlineLevel="0" collapsed="false">
      <c r="A69" s="10" t="s">
        <v>2486</v>
      </c>
      <c r="B69" s="11" t="s">
        <v>145</v>
      </c>
      <c r="C69" s="11" t="s">
        <v>147</v>
      </c>
      <c r="D69" s="11" t="s">
        <v>2423</v>
      </c>
      <c r="E69" s="11" t="s">
        <v>2424</v>
      </c>
      <c r="F69" s="11" t="s">
        <v>40</v>
      </c>
      <c r="G69" s="11" t="s">
        <v>309</v>
      </c>
      <c r="H69" s="11" t="s">
        <v>2425</v>
      </c>
      <c r="I69" s="11" t="s">
        <v>2426</v>
      </c>
      <c r="J69" s="11" t="s">
        <v>940</v>
      </c>
      <c r="K69" s="11" t="s">
        <v>308</v>
      </c>
      <c r="L69" s="11" t="s">
        <v>2405</v>
      </c>
      <c r="M69" s="11"/>
      <c r="N69" s="12"/>
    </row>
    <row r="70" customFormat="false" ht="32.8" hidden="false" customHeight="false" outlineLevel="0" collapsed="false">
      <c r="A70" s="10" t="s">
        <v>2487</v>
      </c>
      <c r="B70" s="11" t="s">
        <v>153</v>
      </c>
      <c r="C70" s="11" t="s">
        <v>154</v>
      </c>
      <c r="D70" s="11" t="s">
        <v>2400</v>
      </c>
      <c r="E70" s="11" t="s">
        <v>2401</v>
      </c>
      <c r="F70" s="11" t="s">
        <v>40</v>
      </c>
      <c r="G70" s="11" t="s">
        <v>309</v>
      </c>
      <c r="H70" s="11" t="s">
        <v>2402</v>
      </c>
      <c r="I70" s="11" t="s">
        <v>2403</v>
      </c>
      <c r="J70" s="11" t="s">
        <v>2404</v>
      </c>
      <c r="K70" s="11" t="s">
        <v>308</v>
      </c>
      <c r="L70" s="11" t="s">
        <v>2405</v>
      </c>
      <c r="M70" s="11"/>
      <c r="N70" s="12"/>
    </row>
    <row r="71" customFormat="false" ht="32.8" hidden="false" customHeight="false" outlineLevel="0" collapsed="false">
      <c r="A71" s="10" t="s">
        <v>2488</v>
      </c>
      <c r="B71" s="11" t="s">
        <v>153</v>
      </c>
      <c r="C71" s="11" t="s">
        <v>154</v>
      </c>
      <c r="D71" s="11" t="s">
        <v>2407</v>
      </c>
      <c r="E71" s="11" t="s">
        <v>2408</v>
      </c>
      <c r="F71" s="11" t="s">
        <v>40</v>
      </c>
      <c r="G71" s="11" t="s">
        <v>309</v>
      </c>
      <c r="H71" s="11" t="s">
        <v>2409</v>
      </c>
      <c r="I71" s="11" t="s">
        <v>2410</v>
      </c>
      <c r="J71" s="11" t="s">
        <v>2411</v>
      </c>
      <c r="K71" s="11" t="s">
        <v>308</v>
      </c>
      <c r="L71" s="11" t="s">
        <v>2405</v>
      </c>
      <c r="M71" s="11"/>
      <c r="N71" s="12"/>
    </row>
    <row r="72" customFormat="false" ht="32.8" hidden="false" customHeight="false" outlineLevel="0" collapsed="false">
      <c r="A72" s="10" t="s">
        <v>2489</v>
      </c>
      <c r="B72" s="11" t="s">
        <v>153</v>
      </c>
      <c r="C72" s="11" t="s">
        <v>154</v>
      </c>
      <c r="D72" s="11" t="s">
        <v>2413</v>
      </c>
      <c r="E72" s="11" t="s">
        <v>2414</v>
      </c>
      <c r="F72" s="11" t="s">
        <v>40</v>
      </c>
      <c r="G72" s="11" t="s">
        <v>309</v>
      </c>
      <c r="H72" s="11" t="s">
        <v>2415</v>
      </c>
      <c r="I72" s="11" t="s">
        <v>1177</v>
      </c>
      <c r="J72" s="11" t="s">
        <v>1179</v>
      </c>
      <c r="K72" s="11" t="s">
        <v>308</v>
      </c>
      <c r="L72" s="11" t="s">
        <v>2405</v>
      </c>
      <c r="M72" s="11"/>
      <c r="N72" s="12"/>
    </row>
    <row r="73" customFormat="false" ht="32.8" hidden="false" customHeight="false" outlineLevel="0" collapsed="false">
      <c r="A73" s="10" t="s">
        <v>2490</v>
      </c>
      <c r="B73" s="11" t="s">
        <v>153</v>
      </c>
      <c r="C73" s="11" t="s">
        <v>154</v>
      </c>
      <c r="D73" s="11" t="s">
        <v>2417</v>
      </c>
      <c r="E73" s="11" t="s">
        <v>2418</v>
      </c>
      <c r="F73" s="11" t="s">
        <v>40</v>
      </c>
      <c r="G73" s="11" t="s">
        <v>309</v>
      </c>
      <c r="H73" s="11" t="s">
        <v>2419</v>
      </c>
      <c r="I73" s="11" t="s">
        <v>2420</v>
      </c>
      <c r="J73" s="11" t="s">
        <v>2421</v>
      </c>
      <c r="K73" s="11" t="s">
        <v>308</v>
      </c>
      <c r="L73" s="11" t="s">
        <v>2405</v>
      </c>
      <c r="M73" s="11"/>
      <c r="N73" s="12"/>
    </row>
    <row r="74" customFormat="false" ht="53.7" hidden="false" customHeight="false" outlineLevel="0" collapsed="false">
      <c r="A74" s="10" t="s">
        <v>2491</v>
      </c>
      <c r="B74" s="11" t="s">
        <v>153</v>
      </c>
      <c r="C74" s="11" t="s">
        <v>154</v>
      </c>
      <c r="D74" s="11" t="s">
        <v>2423</v>
      </c>
      <c r="E74" s="11" t="s">
        <v>2424</v>
      </c>
      <c r="F74" s="11" t="s">
        <v>40</v>
      </c>
      <c r="G74" s="11" t="s">
        <v>309</v>
      </c>
      <c r="H74" s="11" t="s">
        <v>2425</v>
      </c>
      <c r="I74" s="11" t="s">
        <v>2426</v>
      </c>
      <c r="J74" s="11" t="s">
        <v>940</v>
      </c>
      <c r="K74" s="11" t="s">
        <v>308</v>
      </c>
      <c r="L74" s="11" t="s">
        <v>2405</v>
      </c>
      <c r="M74" s="11"/>
      <c r="N74" s="12"/>
    </row>
    <row r="75" customFormat="false" ht="32.8" hidden="false" customHeight="false" outlineLevel="0" collapsed="false">
      <c r="A75" s="10" t="s">
        <v>2492</v>
      </c>
      <c r="B75" s="11" t="s">
        <v>159</v>
      </c>
      <c r="C75" s="11" t="s">
        <v>160</v>
      </c>
      <c r="D75" s="11" t="s">
        <v>2400</v>
      </c>
      <c r="E75" s="11" t="s">
        <v>2401</v>
      </c>
      <c r="F75" s="11" t="s">
        <v>40</v>
      </c>
      <c r="G75" s="11" t="s">
        <v>309</v>
      </c>
      <c r="H75" s="11" t="s">
        <v>2402</v>
      </c>
      <c r="I75" s="11" t="s">
        <v>2403</v>
      </c>
      <c r="J75" s="11" t="s">
        <v>2404</v>
      </c>
      <c r="K75" s="11" t="s">
        <v>308</v>
      </c>
      <c r="L75" s="11" t="s">
        <v>2405</v>
      </c>
      <c r="M75" s="11"/>
      <c r="N75" s="12"/>
    </row>
    <row r="76" customFormat="false" ht="32.8" hidden="false" customHeight="false" outlineLevel="0" collapsed="false">
      <c r="A76" s="10" t="s">
        <v>2493</v>
      </c>
      <c r="B76" s="11" t="s">
        <v>159</v>
      </c>
      <c r="C76" s="11" t="s">
        <v>160</v>
      </c>
      <c r="D76" s="11" t="s">
        <v>2407</v>
      </c>
      <c r="E76" s="11" t="s">
        <v>2408</v>
      </c>
      <c r="F76" s="11" t="s">
        <v>40</v>
      </c>
      <c r="G76" s="11" t="s">
        <v>309</v>
      </c>
      <c r="H76" s="11" t="s">
        <v>2409</v>
      </c>
      <c r="I76" s="11" t="s">
        <v>2410</v>
      </c>
      <c r="J76" s="11" t="s">
        <v>2411</v>
      </c>
      <c r="K76" s="11" t="s">
        <v>308</v>
      </c>
      <c r="L76" s="11" t="s">
        <v>2405</v>
      </c>
      <c r="M76" s="11"/>
      <c r="N76" s="12"/>
    </row>
    <row r="77" customFormat="false" ht="32.8" hidden="false" customHeight="false" outlineLevel="0" collapsed="false">
      <c r="A77" s="10" t="s">
        <v>2494</v>
      </c>
      <c r="B77" s="11" t="s">
        <v>159</v>
      </c>
      <c r="C77" s="11" t="s">
        <v>160</v>
      </c>
      <c r="D77" s="11" t="s">
        <v>2413</v>
      </c>
      <c r="E77" s="11" t="s">
        <v>2414</v>
      </c>
      <c r="F77" s="11" t="s">
        <v>40</v>
      </c>
      <c r="G77" s="11" t="s">
        <v>309</v>
      </c>
      <c r="H77" s="11" t="s">
        <v>2415</v>
      </c>
      <c r="I77" s="11" t="s">
        <v>1177</v>
      </c>
      <c r="J77" s="11" t="s">
        <v>1179</v>
      </c>
      <c r="K77" s="11" t="s">
        <v>308</v>
      </c>
      <c r="L77" s="11" t="s">
        <v>2405</v>
      </c>
      <c r="M77" s="11"/>
      <c r="N77" s="12"/>
    </row>
    <row r="78" customFormat="false" ht="32.8" hidden="false" customHeight="false" outlineLevel="0" collapsed="false">
      <c r="A78" s="10" t="s">
        <v>2495</v>
      </c>
      <c r="B78" s="11" t="s">
        <v>159</v>
      </c>
      <c r="C78" s="11" t="s">
        <v>160</v>
      </c>
      <c r="D78" s="11" t="s">
        <v>2417</v>
      </c>
      <c r="E78" s="11" t="s">
        <v>2418</v>
      </c>
      <c r="F78" s="11" t="s">
        <v>40</v>
      </c>
      <c r="G78" s="11" t="s">
        <v>309</v>
      </c>
      <c r="H78" s="11" t="s">
        <v>2419</v>
      </c>
      <c r="I78" s="11" t="s">
        <v>2420</v>
      </c>
      <c r="J78" s="11" t="s">
        <v>2421</v>
      </c>
      <c r="K78" s="11" t="s">
        <v>308</v>
      </c>
      <c r="L78" s="11" t="s">
        <v>2405</v>
      </c>
      <c r="M78" s="11"/>
      <c r="N78" s="12"/>
    </row>
    <row r="79" customFormat="false" ht="53.7" hidden="false" customHeight="false" outlineLevel="0" collapsed="false">
      <c r="A79" s="10" t="s">
        <v>2496</v>
      </c>
      <c r="B79" s="11" t="s">
        <v>159</v>
      </c>
      <c r="C79" s="11" t="s">
        <v>160</v>
      </c>
      <c r="D79" s="11" t="s">
        <v>2423</v>
      </c>
      <c r="E79" s="11" t="s">
        <v>2424</v>
      </c>
      <c r="F79" s="11" t="s">
        <v>40</v>
      </c>
      <c r="G79" s="11" t="s">
        <v>309</v>
      </c>
      <c r="H79" s="11" t="s">
        <v>2425</v>
      </c>
      <c r="I79" s="11" t="s">
        <v>2426</v>
      </c>
      <c r="J79" s="11" t="s">
        <v>940</v>
      </c>
      <c r="K79" s="11" t="s">
        <v>308</v>
      </c>
      <c r="L79" s="11" t="s">
        <v>2405</v>
      </c>
      <c r="M79" s="11"/>
      <c r="N79" s="12"/>
    </row>
    <row r="80" customFormat="false" ht="32.8" hidden="false" customHeight="false" outlineLevel="0" collapsed="false">
      <c r="A80" s="10" t="s">
        <v>2497</v>
      </c>
      <c r="B80" s="11" t="s">
        <v>165</v>
      </c>
      <c r="C80" s="11" t="s">
        <v>166</v>
      </c>
      <c r="D80" s="11" t="s">
        <v>2400</v>
      </c>
      <c r="E80" s="11" t="s">
        <v>2401</v>
      </c>
      <c r="F80" s="11" t="s">
        <v>40</v>
      </c>
      <c r="G80" s="11" t="s">
        <v>309</v>
      </c>
      <c r="H80" s="11" t="s">
        <v>2402</v>
      </c>
      <c r="I80" s="11" t="s">
        <v>2403</v>
      </c>
      <c r="J80" s="11" t="s">
        <v>2404</v>
      </c>
      <c r="K80" s="11" t="s">
        <v>308</v>
      </c>
      <c r="L80" s="11" t="s">
        <v>2405</v>
      </c>
      <c r="M80" s="11"/>
      <c r="N80" s="12"/>
    </row>
    <row r="81" customFormat="false" ht="32.8" hidden="false" customHeight="false" outlineLevel="0" collapsed="false">
      <c r="A81" s="10" t="s">
        <v>2498</v>
      </c>
      <c r="B81" s="11" t="s">
        <v>165</v>
      </c>
      <c r="C81" s="11" t="s">
        <v>166</v>
      </c>
      <c r="D81" s="11" t="s">
        <v>2407</v>
      </c>
      <c r="E81" s="11" t="s">
        <v>2408</v>
      </c>
      <c r="F81" s="11" t="s">
        <v>40</v>
      </c>
      <c r="G81" s="11" t="s">
        <v>309</v>
      </c>
      <c r="H81" s="11" t="s">
        <v>2409</v>
      </c>
      <c r="I81" s="11" t="s">
        <v>2410</v>
      </c>
      <c r="J81" s="11" t="s">
        <v>2411</v>
      </c>
      <c r="K81" s="11" t="s">
        <v>308</v>
      </c>
      <c r="L81" s="11" t="s">
        <v>2405</v>
      </c>
      <c r="M81" s="11"/>
      <c r="N81" s="12"/>
    </row>
    <row r="82" customFormat="false" ht="32.8" hidden="false" customHeight="false" outlineLevel="0" collapsed="false">
      <c r="A82" s="10" t="s">
        <v>2499</v>
      </c>
      <c r="B82" s="11" t="s">
        <v>165</v>
      </c>
      <c r="C82" s="11" t="s">
        <v>166</v>
      </c>
      <c r="D82" s="11" t="s">
        <v>2413</v>
      </c>
      <c r="E82" s="11" t="s">
        <v>2414</v>
      </c>
      <c r="F82" s="11" t="s">
        <v>40</v>
      </c>
      <c r="G82" s="11" t="s">
        <v>309</v>
      </c>
      <c r="H82" s="11" t="s">
        <v>2415</v>
      </c>
      <c r="I82" s="11" t="s">
        <v>1177</v>
      </c>
      <c r="J82" s="11" t="s">
        <v>1179</v>
      </c>
      <c r="K82" s="11" t="s">
        <v>308</v>
      </c>
      <c r="L82" s="11" t="s">
        <v>2405</v>
      </c>
      <c r="M82" s="11"/>
      <c r="N82" s="12"/>
    </row>
    <row r="83" customFormat="false" ht="32.8" hidden="false" customHeight="false" outlineLevel="0" collapsed="false">
      <c r="A83" s="10" t="s">
        <v>2500</v>
      </c>
      <c r="B83" s="11" t="s">
        <v>165</v>
      </c>
      <c r="C83" s="11" t="s">
        <v>166</v>
      </c>
      <c r="D83" s="11" t="s">
        <v>2417</v>
      </c>
      <c r="E83" s="11" t="s">
        <v>2418</v>
      </c>
      <c r="F83" s="11" t="s">
        <v>40</v>
      </c>
      <c r="G83" s="11" t="s">
        <v>309</v>
      </c>
      <c r="H83" s="11" t="s">
        <v>2419</v>
      </c>
      <c r="I83" s="11" t="s">
        <v>2420</v>
      </c>
      <c r="J83" s="11" t="s">
        <v>2421</v>
      </c>
      <c r="K83" s="11" t="s">
        <v>308</v>
      </c>
      <c r="L83" s="11" t="s">
        <v>2405</v>
      </c>
      <c r="M83" s="11"/>
      <c r="N83" s="12"/>
    </row>
    <row r="84" customFormat="false" ht="53.7" hidden="false" customHeight="false" outlineLevel="0" collapsed="false">
      <c r="A84" s="10" t="s">
        <v>2501</v>
      </c>
      <c r="B84" s="11" t="s">
        <v>165</v>
      </c>
      <c r="C84" s="11" t="s">
        <v>166</v>
      </c>
      <c r="D84" s="11" t="s">
        <v>2423</v>
      </c>
      <c r="E84" s="11" t="s">
        <v>2424</v>
      </c>
      <c r="F84" s="11" t="s">
        <v>40</v>
      </c>
      <c r="G84" s="11" t="s">
        <v>309</v>
      </c>
      <c r="H84" s="11" t="s">
        <v>2425</v>
      </c>
      <c r="I84" s="11" t="s">
        <v>2426</v>
      </c>
      <c r="J84" s="11" t="s">
        <v>940</v>
      </c>
      <c r="K84" s="11" t="s">
        <v>308</v>
      </c>
      <c r="L84" s="11" t="s">
        <v>2405</v>
      </c>
      <c r="M84" s="11"/>
      <c r="N84" s="12"/>
    </row>
    <row r="85" customFormat="false" ht="32.8" hidden="false" customHeight="false" outlineLevel="0" collapsed="false">
      <c r="A85" s="10" t="s">
        <v>2502</v>
      </c>
      <c r="B85" s="11" t="s">
        <v>171</v>
      </c>
      <c r="C85" s="11" t="s">
        <v>172</v>
      </c>
      <c r="D85" s="11" t="s">
        <v>2400</v>
      </c>
      <c r="E85" s="11" t="s">
        <v>2401</v>
      </c>
      <c r="F85" s="11" t="s">
        <v>40</v>
      </c>
      <c r="G85" s="11" t="s">
        <v>309</v>
      </c>
      <c r="H85" s="11" t="s">
        <v>2402</v>
      </c>
      <c r="I85" s="11" t="s">
        <v>2403</v>
      </c>
      <c r="J85" s="11" t="s">
        <v>2404</v>
      </c>
      <c r="K85" s="11" t="s">
        <v>308</v>
      </c>
      <c r="L85" s="11" t="s">
        <v>2405</v>
      </c>
      <c r="M85" s="11"/>
      <c r="N85" s="12"/>
    </row>
    <row r="86" customFormat="false" ht="32.8" hidden="false" customHeight="false" outlineLevel="0" collapsed="false">
      <c r="A86" s="10" t="s">
        <v>2503</v>
      </c>
      <c r="B86" s="11" t="s">
        <v>171</v>
      </c>
      <c r="C86" s="11" t="s">
        <v>172</v>
      </c>
      <c r="D86" s="11" t="s">
        <v>2407</v>
      </c>
      <c r="E86" s="11" t="s">
        <v>2408</v>
      </c>
      <c r="F86" s="11" t="s">
        <v>40</v>
      </c>
      <c r="G86" s="11" t="s">
        <v>309</v>
      </c>
      <c r="H86" s="11" t="s">
        <v>2409</v>
      </c>
      <c r="I86" s="11" t="s">
        <v>2410</v>
      </c>
      <c r="J86" s="11" t="s">
        <v>2411</v>
      </c>
      <c r="K86" s="11" t="s">
        <v>308</v>
      </c>
      <c r="L86" s="11" t="s">
        <v>2405</v>
      </c>
      <c r="M86" s="11"/>
      <c r="N86" s="12"/>
    </row>
    <row r="87" customFormat="false" ht="32.8" hidden="false" customHeight="false" outlineLevel="0" collapsed="false">
      <c r="A87" s="10" t="s">
        <v>2504</v>
      </c>
      <c r="B87" s="11" t="s">
        <v>171</v>
      </c>
      <c r="C87" s="11" t="s">
        <v>172</v>
      </c>
      <c r="D87" s="11" t="s">
        <v>2413</v>
      </c>
      <c r="E87" s="11" t="s">
        <v>2414</v>
      </c>
      <c r="F87" s="11" t="s">
        <v>40</v>
      </c>
      <c r="G87" s="11" t="s">
        <v>309</v>
      </c>
      <c r="H87" s="11" t="s">
        <v>2415</v>
      </c>
      <c r="I87" s="11" t="s">
        <v>1177</v>
      </c>
      <c r="J87" s="11" t="s">
        <v>1179</v>
      </c>
      <c r="K87" s="11" t="s">
        <v>308</v>
      </c>
      <c r="L87" s="11" t="s">
        <v>2405</v>
      </c>
      <c r="M87" s="11"/>
      <c r="N87" s="12"/>
    </row>
    <row r="88" customFormat="false" ht="32.8" hidden="false" customHeight="false" outlineLevel="0" collapsed="false">
      <c r="A88" s="10" t="s">
        <v>2505</v>
      </c>
      <c r="B88" s="11" t="s">
        <v>171</v>
      </c>
      <c r="C88" s="11" t="s">
        <v>172</v>
      </c>
      <c r="D88" s="11" t="s">
        <v>2417</v>
      </c>
      <c r="E88" s="11" t="s">
        <v>2418</v>
      </c>
      <c r="F88" s="11" t="s">
        <v>40</v>
      </c>
      <c r="G88" s="11" t="s">
        <v>309</v>
      </c>
      <c r="H88" s="11" t="s">
        <v>2419</v>
      </c>
      <c r="I88" s="11" t="s">
        <v>2420</v>
      </c>
      <c r="J88" s="11" t="s">
        <v>2421</v>
      </c>
      <c r="K88" s="11" t="s">
        <v>308</v>
      </c>
      <c r="L88" s="11" t="s">
        <v>2405</v>
      </c>
      <c r="M88" s="11"/>
      <c r="N88" s="12"/>
    </row>
    <row r="89" customFormat="false" ht="53.7" hidden="false" customHeight="false" outlineLevel="0" collapsed="false">
      <c r="A89" s="10" t="s">
        <v>2506</v>
      </c>
      <c r="B89" s="11" t="s">
        <v>171</v>
      </c>
      <c r="C89" s="11" t="s">
        <v>172</v>
      </c>
      <c r="D89" s="11" t="s">
        <v>2423</v>
      </c>
      <c r="E89" s="11" t="s">
        <v>2424</v>
      </c>
      <c r="F89" s="11" t="s">
        <v>40</v>
      </c>
      <c r="G89" s="11" t="s">
        <v>309</v>
      </c>
      <c r="H89" s="11" t="s">
        <v>2425</v>
      </c>
      <c r="I89" s="11" t="s">
        <v>2426</v>
      </c>
      <c r="J89" s="11" t="s">
        <v>940</v>
      </c>
      <c r="K89" s="11" t="s">
        <v>308</v>
      </c>
      <c r="L89" s="11" t="s">
        <v>2405</v>
      </c>
      <c r="M89" s="11"/>
      <c r="N89" s="12"/>
    </row>
    <row r="90" customFormat="false" ht="32.8" hidden="false" customHeight="false" outlineLevel="0" collapsed="false">
      <c r="A90" s="10" t="s">
        <v>2507</v>
      </c>
      <c r="B90" s="11" t="s">
        <v>176</v>
      </c>
      <c r="C90" s="11" t="s">
        <v>178</v>
      </c>
      <c r="D90" s="11" t="s">
        <v>2400</v>
      </c>
      <c r="E90" s="11" t="s">
        <v>2401</v>
      </c>
      <c r="F90" s="11" t="s">
        <v>40</v>
      </c>
      <c r="G90" s="11" t="s">
        <v>309</v>
      </c>
      <c r="H90" s="11" t="s">
        <v>2402</v>
      </c>
      <c r="I90" s="11" t="s">
        <v>2403</v>
      </c>
      <c r="J90" s="11" t="s">
        <v>2404</v>
      </c>
      <c r="K90" s="11" t="s">
        <v>308</v>
      </c>
      <c r="L90" s="11" t="s">
        <v>2405</v>
      </c>
      <c r="M90" s="11"/>
      <c r="N90" s="12"/>
    </row>
    <row r="91" customFormat="false" ht="32.8" hidden="false" customHeight="false" outlineLevel="0" collapsed="false">
      <c r="A91" s="10" t="s">
        <v>2508</v>
      </c>
      <c r="B91" s="11" t="s">
        <v>176</v>
      </c>
      <c r="C91" s="11" t="s">
        <v>178</v>
      </c>
      <c r="D91" s="11" t="s">
        <v>2407</v>
      </c>
      <c r="E91" s="11" t="s">
        <v>2408</v>
      </c>
      <c r="F91" s="11" t="s">
        <v>40</v>
      </c>
      <c r="G91" s="11" t="s">
        <v>309</v>
      </c>
      <c r="H91" s="11" t="s">
        <v>2409</v>
      </c>
      <c r="I91" s="11" t="s">
        <v>2410</v>
      </c>
      <c r="J91" s="11" t="s">
        <v>2411</v>
      </c>
      <c r="K91" s="11" t="s">
        <v>308</v>
      </c>
      <c r="L91" s="11" t="s">
        <v>2405</v>
      </c>
      <c r="M91" s="11"/>
      <c r="N91" s="12"/>
    </row>
    <row r="92" customFormat="false" ht="32.8" hidden="false" customHeight="false" outlineLevel="0" collapsed="false">
      <c r="A92" s="10" t="s">
        <v>2509</v>
      </c>
      <c r="B92" s="11" t="s">
        <v>176</v>
      </c>
      <c r="C92" s="11" t="s">
        <v>178</v>
      </c>
      <c r="D92" s="11" t="s">
        <v>2413</v>
      </c>
      <c r="E92" s="11" t="s">
        <v>2414</v>
      </c>
      <c r="F92" s="11" t="s">
        <v>40</v>
      </c>
      <c r="G92" s="11" t="s">
        <v>309</v>
      </c>
      <c r="H92" s="11" t="s">
        <v>2415</v>
      </c>
      <c r="I92" s="11" t="s">
        <v>1177</v>
      </c>
      <c r="J92" s="11" t="s">
        <v>1179</v>
      </c>
      <c r="K92" s="11" t="s">
        <v>308</v>
      </c>
      <c r="L92" s="11" t="s">
        <v>2405</v>
      </c>
      <c r="M92" s="11"/>
      <c r="N92" s="12"/>
    </row>
    <row r="93" customFormat="false" ht="32.8" hidden="false" customHeight="false" outlineLevel="0" collapsed="false">
      <c r="A93" s="10" t="s">
        <v>2510</v>
      </c>
      <c r="B93" s="11" t="s">
        <v>176</v>
      </c>
      <c r="C93" s="11" t="s">
        <v>178</v>
      </c>
      <c r="D93" s="11" t="s">
        <v>2417</v>
      </c>
      <c r="E93" s="11" t="s">
        <v>2418</v>
      </c>
      <c r="F93" s="11" t="s">
        <v>40</v>
      </c>
      <c r="G93" s="11" t="s">
        <v>309</v>
      </c>
      <c r="H93" s="11" t="s">
        <v>2419</v>
      </c>
      <c r="I93" s="11" t="s">
        <v>2420</v>
      </c>
      <c r="J93" s="11" t="s">
        <v>2421</v>
      </c>
      <c r="K93" s="11" t="s">
        <v>308</v>
      </c>
      <c r="L93" s="11" t="s">
        <v>2405</v>
      </c>
      <c r="M93" s="11"/>
      <c r="N93" s="12"/>
    </row>
    <row r="94" customFormat="false" ht="53.7" hidden="false" customHeight="false" outlineLevel="0" collapsed="false">
      <c r="A94" s="10" t="s">
        <v>2511</v>
      </c>
      <c r="B94" s="11" t="s">
        <v>176</v>
      </c>
      <c r="C94" s="11" t="s">
        <v>178</v>
      </c>
      <c r="D94" s="11" t="s">
        <v>2423</v>
      </c>
      <c r="E94" s="11" t="s">
        <v>2424</v>
      </c>
      <c r="F94" s="11" t="s">
        <v>40</v>
      </c>
      <c r="G94" s="11" t="s">
        <v>309</v>
      </c>
      <c r="H94" s="11" t="s">
        <v>2425</v>
      </c>
      <c r="I94" s="11" t="s">
        <v>2426</v>
      </c>
      <c r="J94" s="11" t="s">
        <v>940</v>
      </c>
      <c r="K94" s="11" t="s">
        <v>308</v>
      </c>
      <c r="L94" s="11" t="s">
        <v>2405</v>
      </c>
      <c r="M94" s="11"/>
      <c r="N94" s="12"/>
    </row>
    <row r="95" customFormat="false" ht="32.8" hidden="false" customHeight="false" outlineLevel="0" collapsed="false">
      <c r="A95" s="10" t="s">
        <v>2512</v>
      </c>
      <c r="B95" s="11" t="s">
        <v>185</v>
      </c>
      <c r="C95" s="11" t="s">
        <v>187</v>
      </c>
      <c r="D95" s="11" t="s">
        <v>2400</v>
      </c>
      <c r="E95" s="11" t="s">
        <v>2401</v>
      </c>
      <c r="F95" s="11" t="s">
        <v>40</v>
      </c>
      <c r="G95" s="11" t="s">
        <v>309</v>
      </c>
      <c r="H95" s="11" t="s">
        <v>2402</v>
      </c>
      <c r="I95" s="11" t="s">
        <v>2403</v>
      </c>
      <c r="J95" s="11" t="s">
        <v>2404</v>
      </c>
      <c r="K95" s="11" t="s">
        <v>308</v>
      </c>
      <c r="L95" s="11" t="s">
        <v>2405</v>
      </c>
      <c r="M95" s="11"/>
      <c r="N95" s="12"/>
    </row>
    <row r="96" customFormat="false" ht="32.8" hidden="false" customHeight="false" outlineLevel="0" collapsed="false">
      <c r="A96" s="10" t="s">
        <v>2513</v>
      </c>
      <c r="B96" s="11" t="s">
        <v>185</v>
      </c>
      <c r="C96" s="11" t="s">
        <v>187</v>
      </c>
      <c r="D96" s="11" t="s">
        <v>2407</v>
      </c>
      <c r="E96" s="11" t="s">
        <v>2408</v>
      </c>
      <c r="F96" s="11" t="s">
        <v>40</v>
      </c>
      <c r="G96" s="11" t="s">
        <v>309</v>
      </c>
      <c r="H96" s="11" t="s">
        <v>2409</v>
      </c>
      <c r="I96" s="11" t="s">
        <v>2410</v>
      </c>
      <c r="J96" s="11" t="s">
        <v>2411</v>
      </c>
      <c r="K96" s="11" t="s">
        <v>308</v>
      </c>
      <c r="L96" s="11" t="s">
        <v>2405</v>
      </c>
      <c r="M96" s="11"/>
      <c r="N96" s="12"/>
    </row>
    <row r="97" customFormat="false" ht="32.8" hidden="false" customHeight="false" outlineLevel="0" collapsed="false">
      <c r="A97" s="10" t="s">
        <v>2514</v>
      </c>
      <c r="B97" s="11" t="s">
        <v>185</v>
      </c>
      <c r="C97" s="11" t="s">
        <v>187</v>
      </c>
      <c r="D97" s="11" t="s">
        <v>2413</v>
      </c>
      <c r="E97" s="11" t="s">
        <v>2414</v>
      </c>
      <c r="F97" s="11" t="s">
        <v>40</v>
      </c>
      <c r="G97" s="11" t="s">
        <v>309</v>
      </c>
      <c r="H97" s="11" t="s">
        <v>2415</v>
      </c>
      <c r="I97" s="11" t="s">
        <v>1177</v>
      </c>
      <c r="J97" s="11" t="s">
        <v>1179</v>
      </c>
      <c r="K97" s="11" t="s">
        <v>308</v>
      </c>
      <c r="L97" s="11" t="s">
        <v>2405</v>
      </c>
      <c r="M97" s="11"/>
      <c r="N97" s="12"/>
    </row>
    <row r="98" customFormat="false" ht="32.8" hidden="false" customHeight="false" outlineLevel="0" collapsed="false">
      <c r="A98" s="10" t="s">
        <v>2515</v>
      </c>
      <c r="B98" s="11" t="s">
        <v>185</v>
      </c>
      <c r="C98" s="11" t="s">
        <v>187</v>
      </c>
      <c r="D98" s="11" t="s">
        <v>2417</v>
      </c>
      <c r="E98" s="11" t="s">
        <v>2418</v>
      </c>
      <c r="F98" s="11" t="s">
        <v>40</v>
      </c>
      <c r="G98" s="11" t="s">
        <v>309</v>
      </c>
      <c r="H98" s="11" t="s">
        <v>2419</v>
      </c>
      <c r="I98" s="11" t="s">
        <v>2420</v>
      </c>
      <c r="J98" s="11" t="s">
        <v>2421</v>
      </c>
      <c r="K98" s="11" t="s">
        <v>308</v>
      </c>
      <c r="L98" s="11" t="s">
        <v>2405</v>
      </c>
      <c r="M98" s="11"/>
      <c r="N98" s="12"/>
    </row>
    <row r="99" customFormat="false" ht="53.7" hidden="false" customHeight="false" outlineLevel="0" collapsed="false">
      <c r="A99" s="10" t="s">
        <v>2516</v>
      </c>
      <c r="B99" s="11" t="s">
        <v>185</v>
      </c>
      <c r="C99" s="11" t="s">
        <v>187</v>
      </c>
      <c r="D99" s="11" t="s">
        <v>2423</v>
      </c>
      <c r="E99" s="11" t="s">
        <v>2424</v>
      </c>
      <c r="F99" s="11" t="s">
        <v>40</v>
      </c>
      <c r="G99" s="11" t="s">
        <v>309</v>
      </c>
      <c r="H99" s="11" t="s">
        <v>2425</v>
      </c>
      <c r="I99" s="11" t="s">
        <v>2426</v>
      </c>
      <c r="J99" s="11" t="s">
        <v>940</v>
      </c>
      <c r="K99" s="11" t="s">
        <v>308</v>
      </c>
      <c r="L99" s="11" t="s">
        <v>2405</v>
      </c>
      <c r="M99" s="11"/>
      <c r="N99" s="12"/>
    </row>
    <row r="100" customFormat="false" ht="32.8" hidden="false" customHeight="false" outlineLevel="0" collapsed="false">
      <c r="A100" s="10" t="s">
        <v>2517</v>
      </c>
      <c r="B100" s="11" t="s">
        <v>191</v>
      </c>
      <c r="C100" s="11" t="s">
        <v>192</v>
      </c>
      <c r="D100" s="11" t="s">
        <v>2400</v>
      </c>
      <c r="E100" s="11" t="s">
        <v>2401</v>
      </c>
      <c r="F100" s="11" t="s">
        <v>40</v>
      </c>
      <c r="G100" s="11" t="s">
        <v>309</v>
      </c>
      <c r="H100" s="11" t="s">
        <v>2402</v>
      </c>
      <c r="I100" s="11" t="s">
        <v>2403</v>
      </c>
      <c r="J100" s="11" t="s">
        <v>2404</v>
      </c>
      <c r="K100" s="11" t="s">
        <v>308</v>
      </c>
      <c r="L100" s="11" t="s">
        <v>2405</v>
      </c>
      <c r="M100" s="11"/>
      <c r="N100" s="12"/>
    </row>
    <row r="101" customFormat="false" ht="32.8" hidden="false" customHeight="false" outlineLevel="0" collapsed="false">
      <c r="A101" s="10" t="s">
        <v>2518</v>
      </c>
      <c r="B101" s="11" t="s">
        <v>191</v>
      </c>
      <c r="C101" s="11" t="s">
        <v>192</v>
      </c>
      <c r="D101" s="11" t="s">
        <v>2407</v>
      </c>
      <c r="E101" s="11" t="s">
        <v>2408</v>
      </c>
      <c r="F101" s="11" t="s">
        <v>40</v>
      </c>
      <c r="G101" s="11" t="s">
        <v>309</v>
      </c>
      <c r="H101" s="11" t="s">
        <v>2409</v>
      </c>
      <c r="I101" s="11" t="s">
        <v>2410</v>
      </c>
      <c r="J101" s="11" t="s">
        <v>2411</v>
      </c>
      <c r="K101" s="11" t="s">
        <v>308</v>
      </c>
      <c r="L101" s="11" t="s">
        <v>2405</v>
      </c>
      <c r="M101" s="11"/>
      <c r="N101" s="12"/>
    </row>
    <row r="102" customFormat="false" ht="32.8" hidden="false" customHeight="false" outlineLevel="0" collapsed="false">
      <c r="A102" s="10" t="s">
        <v>2519</v>
      </c>
      <c r="B102" s="11" t="s">
        <v>191</v>
      </c>
      <c r="C102" s="11" t="s">
        <v>192</v>
      </c>
      <c r="D102" s="11" t="s">
        <v>2413</v>
      </c>
      <c r="E102" s="11" t="s">
        <v>2414</v>
      </c>
      <c r="F102" s="11" t="s">
        <v>40</v>
      </c>
      <c r="G102" s="11" t="s">
        <v>309</v>
      </c>
      <c r="H102" s="11" t="s">
        <v>2415</v>
      </c>
      <c r="I102" s="11" t="s">
        <v>1177</v>
      </c>
      <c r="J102" s="11" t="s">
        <v>1179</v>
      </c>
      <c r="K102" s="11" t="s">
        <v>308</v>
      </c>
      <c r="L102" s="11" t="s">
        <v>2405</v>
      </c>
      <c r="M102" s="11"/>
      <c r="N102" s="12"/>
    </row>
    <row r="103" customFormat="false" ht="32.8" hidden="false" customHeight="false" outlineLevel="0" collapsed="false">
      <c r="A103" s="10" t="s">
        <v>2520</v>
      </c>
      <c r="B103" s="11" t="s">
        <v>191</v>
      </c>
      <c r="C103" s="11" t="s">
        <v>192</v>
      </c>
      <c r="D103" s="11" t="s">
        <v>2417</v>
      </c>
      <c r="E103" s="11" t="s">
        <v>2418</v>
      </c>
      <c r="F103" s="11" t="s">
        <v>40</v>
      </c>
      <c r="G103" s="11" t="s">
        <v>309</v>
      </c>
      <c r="H103" s="11" t="s">
        <v>2419</v>
      </c>
      <c r="I103" s="11" t="s">
        <v>2420</v>
      </c>
      <c r="J103" s="11" t="s">
        <v>2421</v>
      </c>
      <c r="K103" s="11" t="s">
        <v>308</v>
      </c>
      <c r="L103" s="11" t="s">
        <v>2405</v>
      </c>
      <c r="M103" s="11"/>
      <c r="N103" s="12"/>
    </row>
    <row r="104" customFormat="false" ht="53.7" hidden="false" customHeight="false" outlineLevel="0" collapsed="false">
      <c r="A104" s="10" t="s">
        <v>2521</v>
      </c>
      <c r="B104" s="11" t="s">
        <v>191</v>
      </c>
      <c r="C104" s="11" t="s">
        <v>192</v>
      </c>
      <c r="D104" s="11" t="s">
        <v>2423</v>
      </c>
      <c r="E104" s="11" t="s">
        <v>2424</v>
      </c>
      <c r="F104" s="11" t="s">
        <v>40</v>
      </c>
      <c r="G104" s="11" t="s">
        <v>309</v>
      </c>
      <c r="H104" s="11" t="s">
        <v>2425</v>
      </c>
      <c r="I104" s="11" t="s">
        <v>2426</v>
      </c>
      <c r="J104" s="11" t="s">
        <v>940</v>
      </c>
      <c r="K104" s="11" t="s">
        <v>308</v>
      </c>
      <c r="L104" s="11" t="s">
        <v>2405</v>
      </c>
      <c r="M104" s="11"/>
      <c r="N104" s="12"/>
    </row>
    <row r="105" customFormat="false" ht="32.8" hidden="false" customHeight="false" outlineLevel="0" collapsed="false">
      <c r="A105" s="10" t="s">
        <v>2522</v>
      </c>
      <c r="B105" s="11" t="s">
        <v>197</v>
      </c>
      <c r="C105" s="11" t="s">
        <v>198</v>
      </c>
      <c r="D105" s="11" t="s">
        <v>2400</v>
      </c>
      <c r="E105" s="11" t="s">
        <v>2401</v>
      </c>
      <c r="F105" s="11" t="s">
        <v>40</v>
      </c>
      <c r="G105" s="11" t="s">
        <v>309</v>
      </c>
      <c r="H105" s="11" t="s">
        <v>2402</v>
      </c>
      <c r="I105" s="11" t="s">
        <v>2403</v>
      </c>
      <c r="J105" s="11" t="s">
        <v>2404</v>
      </c>
      <c r="K105" s="11" t="s">
        <v>308</v>
      </c>
      <c r="L105" s="11" t="s">
        <v>2405</v>
      </c>
      <c r="M105" s="11"/>
      <c r="N105" s="12"/>
    </row>
    <row r="106" customFormat="false" ht="32.8" hidden="false" customHeight="false" outlineLevel="0" collapsed="false">
      <c r="A106" s="10" t="s">
        <v>2523</v>
      </c>
      <c r="B106" s="11" t="s">
        <v>197</v>
      </c>
      <c r="C106" s="11" t="s">
        <v>198</v>
      </c>
      <c r="D106" s="11" t="s">
        <v>2407</v>
      </c>
      <c r="E106" s="11" t="s">
        <v>2408</v>
      </c>
      <c r="F106" s="11" t="s">
        <v>40</v>
      </c>
      <c r="G106" s="11" t="s">
        <v>309</v>
      </c>
      <c r="H106" s="11" t="s">
        <v>2409</v>
      </c>
      <c r="I106" s="11" t="s">
        <v>2410</v>
      </c>
      <c r="J106" s="11" t="s">
        <v>2411</v>
      </c>
      <c r="K106" s="11" t="s">
        <v>308</v>
      </c>
      <c r="L106" s="11" t="s">
        <v>2405</v>
      </c>
      <c r="M106" s="11"/>
      <c r="N106" s="12"/>
    </row>
    <row r="107" customFormat="false" ht="32.8" hidden="false" customHeight="false" outlineLevel="0" collapsed="false">
      <c r="A107" s="10" t="s">
        <v>2524</v>
      </c>
      <c r="B107" s="11" t="s">
        <v>197</v>
      </c>
      <c r="C107" s="11" t="s">
        <v>198</v>
      </c>
      <c r="D107" s="11" t="s">
        <v>2413</v>
      </c>
      <c r="E107" s="11" t="s">
        <v>2414</v>
      </c>
      <c r="F107" s="11" t="s">
        <v>40</v>
      </c>
      <c r="G107" s="11" t="s">
        <v>309</v>
      </c>
      <c r="H107" s="11" t="s">
        <v>2415</v>
      </c>
      <c r="I107" s="11" t="s">
        <v>1177</v>
      </c>
      <c r="J107" s="11" t="s">
        <v>1179</v>
      </c>
      <c r="K107" s="11" t="s">
        <v>308</v>
      </c>
      <c r="L107" s="11" t="s">
        <v>2405</v>
      </c>
      <c r="M107" s="11"/>
      <c r="N107" s="12"/>
    </row>
    <row r="108" customFormat="false" ht="32.8" hidden="false" customHeight="false" outlineLevel="0" collapsed="false">
      <c r="A108" s="10" t="s">
        <v>2525</v>
      </c>
      <c r="B108" s="11" t="s">
        <v>197</v>
      </c>
      <c r="C108" s="11" t="s">
        <v>198</v>
      </c>
      <c r="D108" s="11" t="s">
        <v>2417</v>
      </c>
      <c r="E108" s="11" t="s">
        <v>2418</v>
      </c>
      <c r="F108" s="11" t="s">
        <v>40</v>
      </c>
      <c r="G108" s="11" t="s">
        <v>309</v>
      </c>
      <c r="H108" s="11" t="s">
        <v>2419</v>
      </c>
      <c r="I108" s="11" t="s">
        <v>2420</v>
      </c>
      <c r="J108" s="11" t="s">
        <v>2421</v>
      </c>
      <c r="K108" s="11" t="s">
        <v>308</v>
      </c>
      <c r="L108" s="11" t="s">
        <v>2405</v>
      </c>
      <c r="M108" s="11"/>
      <c r="N108" s="12"/>
    </row>
    <row r="109" customFormat="false" ht="53.7" hidden="false" customHeight="false" outlineLevel="0" collapsed="false">
      <c r="A109" s="10" t="s">
        <v>2526</v>
      </c>
      <c r="B109" s="11" t="s">
        <v>197</v>
      </c>
      <c r="C109" s="11" t="s">
        <v>198</v>
      </c>
      <c r="D109" s="11" t="s">
        <v>2423</v>
      </c>
      <c r="E109" s="11" t="s">
        <v>2424</v>
      </c>
      <c r="F109" s="11" t="s">
        <v>40</v>
      </c>
      <c r="G109" s="11" t="s">
        <v>309</v>
      </c>
      <c r="H109" s="11" t="s">
        <v>2425</v>
      </c>
      <c r="I109" s="11" t="s">
        <v>2426</v>
      </c>
      <c r="J109" s="11" t="s">
        <v>940</v>
      </c>
      <c r="K109" s="11" t="s">
        <v>308</v>
      </c>
      <c r="L109" s="11" t="s">
        <v>2405</v>
      </c>
      <c r="M109" s="11"/>
      <c r="N109" s="12"/>
    </row>
    <row r="110" customFormat="false" ht="32.8" hidden="false" customHeight="false" outlineLevel="0" collapsed="false">
      <c r="A110" s="10" t="s">
        <v>2527</v>
      </c>
      <c r="B110" s="11" t="s">
        <v>197</v>
      </c>
      <c r="C110" s="11" t="s">
        <v>198</v>
      </c>
      <c r="D110" s="11" t="s">
        <v>2528</v>
      </c>
      <c r="E110" s="11" t="s">
        <v>2529</v>
      </c>
      <c r="F110" s="11" t="s">
        <v>40</v>
      </c>
      <c r="G110" s="11" t="s">
        <v>309</v>
      </c>
      <c r="H110" s="11" t="s">
        <v>2530</v>
      </c>
      <c r="I110" s="11" t="s">
        <v>2420</v>
      </c>
      <c r="J110" s="11" t="s">
        <v>2421</v>
      </c>
      <c r="K110" s="11" t="s">
        <v>308</v>
      </c>
      <c r="L110" s="11" t="s">
        <v>2405</v>
      </c>
      <c r="M110" s="11"/>
      <c r="N110" s="12"/>
    </row>
    <row r="111" customFormat="false" ht="32.8" hidden="false" customHeight="false" outlineLevel="0" collapsed="false">
      <c r="A111" s="10" t="s">
        <v>2531</v>
      </c>
      <c r="B111" s="11" t="s">
        <v>203</v>
      </c>
      <c r="C111" s="11" t="s">
        <v>204</v>
      </c>
      <c r="D111" s="11" t="s">
        <v>2400</v>
      </c>
      <c r="E111" s="11" t="s">
        <v>2401</v>
      </c>
      <c r="F111" s="11" t="s">
        <v>40</v>
      </c>
      <c r="G111" s="11" t="s">
        <v>309</v>
      </c>
      <c r="H111" s="11" t="s">
        <v>2402</v>
      </c>
      <c r="I111" s="11" t="s">
        <v>2403</v>
      </c>
      <c r="J111" s="11" t="s">
        <v>2404</v>
      </c>
      <c r="K111" s="11" t="s">
        <v>308</v>
      </c>
      <c r="L111" s="11" t="s">
        <v>2405</v>
      </c>
      <c r="M111" s="11"/>
      <c r="N111" s="12"/>
    </row>
    <row r="112" customFormat="false" ht="32.8" hidden="false" customHeight="false" outlineLevel="0" collapsed="false">
      <c r="A112" s="10" t="s">
        <v>2532</v>
      </c>
      <c r="B112" s="11" t="s">
        <v>203</v>
      </c>
      <c r="C112" s="11" t="s">
        <v>204</v>
      </c>
      <c r="D112" s="11" t="s">
        <v>2407</v>
      </c>
      <c r="E112" s="11" t="s">
        <v>2408</v>
      </c>
      <c r="F112" s="11" t="s">
        <v>40</v>
      </c>
      <c r="G112" s="11" t="s">
        <v>309</v>
      </c>
      <c r="H112" s="11" t="s">
        <v>2409</v>
      </c>
      <c r="I112" s="11" t="s">
        <v>2410</v>
      </c>
      <c r="J112" s="11" t="s">
        <v>2411</v>
      </c>
      <c r="K112" s="11" t="s">
        <v>308</v>
      </c>
      <c r="L112" s="11" t="s">
        <v>2405</v>
      </c>
      <c r="M112" s="11"/>
      <c r="N112" s="12"/>
    </row>
    <row r="113" customFormat="false" ht="32.8" hidden="false" customHeight="false" outlineLevel="0" collapsed="false">
      <c r="A113" s="10" t="s">
        <v>2533</v>
      </c>
      <c r="B113" s="11" t="s">
        <v>203</v>
      </c>
      <c r="C113" s="11" t="s">
        <v>204</v>
      </c>
      <c r="D113" s="11" t="s">
        <v>2413</v>
      </c>
      <c r="E113" s="11" t="s">
        <v>2414</v>
      </c>
      <c r="F113" s="11" t="s">
        <v>40</v>
      </c>
      <c r="G113" s="11" t="s">
        <v>309</v>
      </c>
      <c r="H113" s="11" t="s">
        <v>2415</v>
      </c>
      <c r="I113" s="11" t="s">
        <v>1177</v>
      </c>
      <c r="J113" s="11" t="s">
        <v>1179</v>
      </c>
      <c r="K113" s="11" t="s">
        <v>308</v>
      </c>
      <c r="L113" s="11" t="s">
        <v>2405</v>
      </c>
      <c r="M113" s="11"/>
      <c r="N113" s="12"/>
    </row>
    <row r="114" customFormat="false" ht="32.8" hidden="false" customHeight="false" outlineLevel="0" collapsed="false">
      <c r="A114" s="10" t="s">
        <v>2534</v>
      </c>
      <c r="B114" s="11" t="s">
        <v>203</v>
      </c>
      <c r="C114" s="11" t="s">
        <v>204</v>
      </c>
      <c r="D114" s="11" t="s">
        <v>2417</v>
      </c>
      <c r="E114" s="11" t="s">
        <v>2418</v>
      </c>
      <c r="F114" s="11" t="s">
        <v>40</v>
      </c>
      <c r="G114" s="11" t="s">
        <v>309</v>
      </c>
      <c r="H114" s="11" t="s">
        <v>2419</v>
      </c>
      <c r="I114" s="11" t="s">
        <v>2420</v>
      </c>
      <c r="J114" s="11" t="s">
        <v>2421</v>
      </c>
      <c r="K114" s="11" t="s">
        <v>308</v>
      </c>
      <c r="L114" s="11" t="s">
        <v>2405</v>
      </c>
      <c r="M114" s="11"/>
      <c r="N114" s="12"/>
    </row>
    <row r="115" customFormat="false" ht="53.7" hidden="false" customHeight="false" outlineLevel="0" collapsed="false">
      <c r="A115" s="10" t="s">
        <v>2535</v>
      </c>
      <c r="B115" s="11" t="s">
        <v>203</v>
      </c>
      <c r="C115" s="11" t="s">
        <v>204</v>
      </c>
      <c r="D115" s="11" t="s">
        <v>2423</v>
      </c>
      <c r="E115" s="11" t="s">
        <v>2424</v>
      </c>
      <c r="F115" s="11" t="s">
        <v>40</v>
      </c>
      <c r="G115" s="11" t="s">
        <v>309</v>
      </c>
      <c r="H115" s="11" t="s">
        <v>2425</v>
      </c>
      <c r="I115" s="11" t="s">
        <v>2426</v>
      </c>
      <c r="J115" s="11" t="s">
        <v>940</v>
      </c>
      <c r="K115" s="11" t="s">
        <v>308</v>
      </c>
      <c r="L115" s="11" t="s">
        <v>2405</v>
      </c>
      <c r="M115" s="11"/>
      <c r="N115" s="12"/>
    </row>
    <row r="116" customFormat="false" ht="32.8" hidden="false" customHeight="false" outlineLevel="0" collapsed="false">
      <c r="A116" s="10" t="s">
        <v>2536</v>
      </c>
      <c r="B116" s="11" t="s">
        <v>209</v>
      </c>
      <c r="C116" s="11" t="s">
        <v>211</v>
      </c>
      <c r="D116" s="11" t="s">
        <v>2400</v>
      </c>
      <c r="E116" s="11" t="s">
        <v>2401</v>
      </c>
      <c r="F116" s="11" t="s">
        <v>40</v>
      </c>
      <c r="G116" s="11" t="s">
        <v>309</v>
      </c>
      <c r="H116" s="11" t="s">
        <v>2402</v>
      </c>
      <c r="I116" s="11" t="s">
        <v>2403</v>
      </c>
      <c r="J116" s="11" t="s">
        <v>2404</v>
      </c>
      <c r="K116" s="11" t="s">
        <v>308</v>
      </c>
      <c r="L116" s="11" t="s">
        <v>2405</v>
      </c>
      <c r="M116" s="11"/>
      <c r="N116" s="12"/>
    </row>
    <row r="117" customFormat="false" ht="32.8" hidden="false" customHeight="false" outlineLevel="0" collapsed="false">
      <c r="A117" s="10" t="s">
        <v>2537</v>
      </c>
      <c r="B117" s="11" t="s">
        <v>209</v>
      </c>
      <c r="C117" s="11" t="s">
        <v>211</v>
      </c>
      <c r="D117" s="11" t="s">
        <v>2407</v>
      </c>
      <c r="E117" s="11" t="s">
        <v>2408</v>
      </c>
      <c r="F117" s="11" t="s">
        <v>40</v>
      </c>
      <c r="G117" s="11" t="s">
        <v>309</v>
      </c>
      <c r="H117" s="11" t="s">
        <v>2409</v>
      </c>
      <c r="I117" s="11" t="s">
        <v>2410</v>
      </c>
      <c r="J117" s="11" t="s">
        <v>2411</v>
      </c>
      <c r="K117" s="11" t="s">
        <v>308</v>
      </c>
      <c r="L117" s="11" t="s">
        <v>2405</v>
      </c>
      <c r="M117" s="11"/>
      <c r="N117" s="12"/>
    </row>
    <row r="118" customFormat="false" ht="32.8" hidden="false" customHeight="false" outlineLevel="0" collapsed="false">
      <c r="A118" s="10" t="s">
        <v>2538</v>
      </c>
      <c r="B118" s="11" t="s">
        <v>209</v>
      </c>
      <c r="C118" s="11" t="s">
        <v>211</v>
      </c>
      <c r="D118" s="11" t="s">
        <v>2413</v>
      </c>
      <c r="E118" s="11" t="s">
        <v>2414</v>
      </c>
      <c r="F118" s="11" t="s">
        <v>40</v>
      </c>
      <c r="G118" s="11" t="s">
        <v>309</v>
      </c>
      <c r="H118" s="11" t="s">
        <v>2415</v>
      </c>
      <c r="I118" s="11" t="s">
        <v>1177</v>
      </c>
      <c r="J118" s="11" t="s">
        <v>1179</v>
      </c>
      <c r="K118" s="11" t="s">
        <v>308</v>
      </c>
      <c r="L118" s="11" t="s">
        <v>2405</v>
      </c>
      <c r="M118" s="11"/>
      <c r="N118" s="12"/>
    </row>
    <row r="119" customFormat="false" ht="32.8" hidden="false" customHeight="false" outlineLevel="0" collapsed="false">
      <c r="A119" s="10" t="s">
        <v>2539</v>
      </c>
      <c r="B119" s="11" t="s">
        <v>209</v>
      </c>
      <c r="C119" s="11" t="s">
        <v>211</v>
      </c>
      <c r="D119" s="11" t="s">
        <v>2417</v>
      </c>
      <c r="E119" s="11" t="s">
        <v>2418</v>
      </c>
      <c r="F119" s="11" t="s">
        <v>40</v>
      </c>
      <c r="G119" s="11" t="s">
        <v>309</v>
      </c>
      <c r="H119" s="11" t="s">
        <v>2419</v>
      </c>
      <c r="I119" s="11" t="s">
        <v>2420</v>
      </c>
      <c r="J119" s="11" t="s">
        <v>2421</v>
      </c>
      <c r="K119" s="11" t="s">
        <v>308</v>
      </c>
      <c r="L119" s="11" t="s">
        <v>2405</v>
      </c>
      <c r="M119" s="11"/>
      <c r="N119" s="12"/>
    </row>
    <row r="120" customFormat="false" ht="53.7" hidden="false" customHeight="false" outlineLevel="0" collapsed="false">
      <c r="A120" s="10" t="s">
        <v>2540</v>
      </c>
      <c r="B120" s="11" t="s">
        <v>209</v>
      </c>
      <c r="C120" s="11" t="s">
        <v>211</v>
      </c>
      <c r="D120" s="11" t="s">
        <v>2423</v>
      </c>
      <c r="E120" s="11" t="s">
        <v>2424</v>
      </c>
      <c r="F120" s="11" t="s">
        <v>40</v>
      </c>
      <c r="G120" s="11" t="s">
        <v>309</v>
      </c>
      <c r="H120" s="11" t="s">
        <v>2425</v>
      </c>
      <c r="I120" s="11" t="s">
        <v>2426</v>
      </c>
      <c r="J120" s="11" t="s">
        <v>940</v>
      </c>
      <c r="K120" s="11" t="s">
        <v>308</v>
      </c>
      <c r="L120" s="11" t="s">
        <v>2405</v>
      </c>
      <c r="M120" s="11"/>
      <c r="N120" s="12"/>
    </row>
    <row r="121" customFormat="false" ht="32.8" hidden="false" customHeight="false" outlineLevel="0" collapsed="false">
      <c r="A121" s="10" t="s">
        <v>2541</v>
      </c>
      <c r="B121" s="11" t="s">
        <v>216</v>
      </c>
      <c r="C121" s="11" t="s">
        <v>217</v>
      </c>
      <c r="D121" s="11" t="s">
        <v>2400</v>
      </c>
      <c r="E121" s="11" t="s">
        <v>2401</v>
      </c>
      <c r="F121" s="11" t="s">
        <v>40</v>
      </c>
      <c r="G121" s="11" t="s">
        <v>309</v>
      </c>
      <c r="H121" s="11" t="s">
        <v>2402</v>
      </c>
      <c r="I121" s="11" t="s">
        <v>2403</v>
      </c>
      <c r="J121" s="11" t="s">
        <v>2404</v>
      </c>
      <c r="K121" s="11" t="s">
        <v>308</v>
      </c>
      <c r="L121" s="11" t="s">
        <v>2405</v>
      </c>
      <c r="M121" s="11"/>
      <c r="N121" s="12"/>
    </row>
    <row r="122" customFormat="false" ht="32.8" hidden="false" customHeight="false" outlineLevel="0" collapsed="false">
      <c r="A122" s="10" t="s">
        <v>2542</v>
      </c>
      <c r="B122" s="11" t="s">
        <v>216</v>
      </c>
      <c r="C122" s="11" t="s">
        <v>217</v>
      </c>
      <c r="D122" s="11" t="s">
        <v>2407</v>
      </c>
      <c r="E122" s="11" t="s">
        <v>2408</v>
      </c>
      <c r="F122" s="11" t="s">
        <v>40</v>
      </c>
      <c r="G122" s="11" t="s">
        <v>309</v>
      </c>
      <c r="H122" s="11" t="s">
        <v>2409</v>
      </c>
      <c r="I122" s="11" t="s">
        <v>2410</v>
      </c>
      <c r="J122" s="11" t="s">
        <v>2411</v>
      </c>
      <c r="K122" s="11" t="s">
        <v>308</v>
      </c>
      <c r="L122" s="11" t="s">
        <v>2405</v>
      </c>
      <c r="M122" s="11"/>
      <c r="N122" s="12"/>
    </row>
    <row r="123" customFormat="false" ht="32.8" hidden="false" customHeight="false" outlineLevel="0" collapsed="false">
      <c r="A123" s="10" t="s">
        <v>2543</v>
      </c>
      <c r="B123" s="11" t="s">
        <v>216</v>
      </c>
      <c r="C123" s="11" t="s">
        <v>217</v>
      </c>
      <c r="D123" s="11" t="s">
        <v>2413</v>
      </c>
      <c r="E123" s="11" t="s">
        <v>2414</v>
      </c>
      <c r="F123" s="11" t="s">
        <v>40</v>
      </c>
      <c r="G123" s="11" t="s">
        <v>309</v>
      </c>
      <c r="H123" s="11" t="s">
        <v>2415</v>
      </c>
      <c r="I123" s="11" t="s">
        <v>1177</v>
      </c>
      <c r="J123" s="11" t="s">
        <v>1179</v>
      </c>
      <c r="K123" s="11" t="s">
        <v>308</v>
      </c>
      <c r="L123" s="11" t="s">
        <v>2405</v>
      </c>
      <c r="M123" s="11"/>
      <c r="N123" s="12"/>
    </row>
    <row r="124" customFormat="false" ht="32.8" hidden="false" customHeight="false" outlineLevel="0" collapsed="false">
      <c r="A124" s="10" t="s">
        <v>2544</v>
      </c>
      <c r="B124" s="11" t="s">
        <v>216</v>
      </c>
      <c r="C124" s="11" t="s">
        <v>217</v>
      </c>
      <c r="D124" s="11" t="s">
        <v>2417</v>
      </c>
      <c r="E124" s="11" t="s">
        <v>2418</v>
      </c>
      <c r="F124" s="11" t="s">
        <v>40</v>
      </c>
      <c r="G124" s="11" t="s">
        <v>309</v>
      </c>
      <c r="H124" s="11" t="s">
        <v>2419</v>
      </c>
      <c r="I124" s="11" t="s">
        <v>2420</v>
      </c>
      <c r="J124" s="11" t="s">
        <v>2421</v>
      </c>
      <c r="K124" s="11" t="s">
        <v>308</v>
      </c>
      <c r="L124" s="11" t="s">
        <v>2405</v>
      </c>
      <c r="M124" s="11"/>
      <c r="N124" s="12"/>
    </row>
    <row r="125" customFormat="false" ht="53.7" hidden="false" customHeight="false" outlineLevel="0" collapsed="false">
      <c r="A125" s="10" t="s">
        <v>2545</v>
      </c>
      <c r="B125" s="11" t="s">
        <v>216</v>
      </c>
      <c r="C125" s="11" t="s">
        <v>217</v>
      </c>
      <c r="D125" s="11" t="s">
        <v>2423</v>
      </c>
      <c r="E125" s="11" t="s">
        <v>2424</v>
      </c>
      <c r="F125" s="11" t="s">
        <v>40</v>
      </c>
      <c r="G125" s="11" t="s">
        <v>309</v>
      </c>
      <c r="H125" s="11" t="s">
        <v>2425</v>
      </c>
      <c r="I125" s="11" t="s">
        <v>2426</v>
      </c>
      <c r="J125" s="11" t="s">
        <v>940</v>
      </c>
      <c r="K125" s="11" t="s">
        <v>308</v>
      </c>
      <c r="L125" s="11" t="s">
        <v>2405</v>
      </c>
      <c r="M125" s="11"/>
      <c r="N125" s="12"/>
    </row>
    <row r="126" customFormat="false" ht="32.8" hidden="false" customHeight="false" outlineLevel="0" collapsed="false">
      <c r="A126" s="10" t="s">
        <v>2546</v>
      </c>
      <c r="B126" s="11" t="s">
        <v>221</v>
      </c>
      <c r="C126" s="11" t="s">
        <v>222</v>
      </c>
      <c r="D126" s="11" t="s">
        <v>2400</v>
      </c>
      <c r="E126" s="11" t="s">
        <v>2401</v>
      </c>
      <c r="F126" s="11" t="s">
        <v>40</v>
      </c>
      <c r="G126" s="11" t="s">
        <v>309</v>
      </c>
      <c r="H126" s="11" t="s">
        <v>2402</v>
      </c>
      <c r="I126" s="11" t="s">
        <v>2403</v>
      </c>
      <c r="J126" s="11" t="s">
        <v>2404</v>
      </c>
      <c r="K126" s="11" t="s">
        <v>308</v>
      </c>
      <c r="L126" s="11" t="s">
        <v>2405</v>
      </c>
      <c r="M126" s="11"/>
      <c r="N126" s="12"/>
    </row>
    <row r="127" customFormat="false" ht="32.8" hidden="false" customHeight="false" outlineLevel="0" collapsed="false">
      <c r="A127" s="10" t="s">
        <v>2547</v>
      </c>
      <c r="B127" s="11" t="s">
        <v>221</v>
      </c>
      <c r="C127" s="11" t="s">
        <v>222</v>
      </c>
      <c r="D127" s="11" t="s">
        <v>2407</v>
      </c>
      <c r="E127" s="11" t="s">
        <v>2408</v>
      </c>
      <c r="F127" s="11" t="s">
        <v>40</v>
      </c>
      <c r="G127" s="11" t="s">
        <v>309</v>
      </c>
      <c r="H127" s="11" t="s">
        <v>2409</v>
      </c>
      <c r="I127" s="11" t="s">
        <v>2410</v>
      </c>
      <c r="J127" s="11" t="s">
        <v>2411</v>
      </c>
      <c r="K127" s="11" t="s">
        <v>308</v>
      </c>
      <c r="L127" s="11" t="s">
        <v>2405</v>
      </c>
      <c r="M127" s="11"/>
      <c r="N127" s="12"/>
    </row>
    <row r="128" customFormat="false" ht="32.8" hidden="false" customHeight="false" outlineLevel="0" collapsed="false">
      <c r="A128" s="10" t="s">
        <v>2548</v>
      </c>
      <c r="B128" s="11" t="s">
        <v>221</v>
      </c>
      <c r="C128" s="11" t="s">
        <v>222</v>
      </c>
      <c r="D128" s="11" t="s">
        <v>2413</v>
      </c>
      <c r="E128" s="11" t="s">
        <v>2414</v>
      </c>
      <c r="F128" s="11" t="s">
        <v>40</v>
      </c>
      <c r="G128" s="11" t="s">
        <v>309</v>
      </c>
      <c r="H128" s="11" t="s">
        <v>2415</v>
      </c>
      <c r="I128" s="11" t="s">
        <v>1177</v>
      </c>
      <c r="J128" s="11" t="s">
        <v>1179</v>
      </c>
      <c r="K128" s="11" t="s">
        <v>308</v>
      </c>
      <c r="L128" s="11" t="s">
        <v>2405</v>
      </c>
      <c r="M128" s="11"/>
      <c r="N128" s="12"/>
    </row>
    <row r="129" customFormat="false" ht="32.8" hidden="false" customHeight="false" outlineLevel="0" collapsed="false">
      <c r="A129" s="10" t="s">
        <v>2549</v>
      </c>
      <c r="B129" s="11" t="s">
        <v>221</v>
      </c>
      <c r="C129" s="11" t="s">
        <v>222</v>
      </c>
      <c r="D129" s="11" t="s">
        <v>2417</v>
      </c>
      <c r="E129" s="11" t="s">
        <v>2418</v>
      </c>
      <c r="F129" s="11" t="s">
        <v>40</v>
      </c>
      <c r="G129" s="11" t="s">
        <v>309</v>
      </c>
      <c r="H129" s="11" t="s">
        <v>2419</v>
      </c>
      <c r="I129" s="11" t="s">
        <v>2420</v>
      </c>
      <c r="J129" s="11" t="s">
        <v>2421</v>
      </c>
      <c r="K129" s="11" t="s">
        <v>308</v>
      </c>
      <c r="L129" s="11" t="s">
        <v>2405</v>
      </c>
      <c r="M129" s="11"/>
      <c r="N129" s="12"/>
    </row>
    <row r="130" customFormat="false" ht="53.7" hidden="false" customHeight="false" outlineLevel="0" collapsed="false">
      <c r="A130" s="10" t="s">
        <v>2550</v>
      </c>
      <c r="B130" s="11" t="s">
        <v>221</v>
      </c>
      <c r="C130" s="11" t="s">
        <v>222</v>
      </c>
      <c r="D130" s="11" t="s">
        <v>2423</v>
      </c>
      <c r="E130" s="11" t="s">
        <v>2424</v>
      </c>
      <c r="F130" s="11" t="s">
        <v>40</v>
      </c>
      <c r="G130" s="11" t="s">
        <v>309</v>
      </c>
      <c r="H130" s="11" t="s">
        <v>2425</v>
      </c>
      <c r="I130" s="11" t="s">
        <v>2426</v>
      </c>
      <c r="J130" s="11" t="s">
        <v>940</v>
      </c>
      <c r="K130" s="11" t="s">
        <v>308</v>
      </c>
      <c r="L130" s="11" t="s">
        <v>2405</v>
      </c>
      <c r="M130" s="11"/>
      <c r="N130" s="12"/>
    </row>
    <row r="131" customFormat="false" ht="32.8" hidden="false" customHeight="false" outlineLevel="0" collapsed="false">
      <c r="A131" s="10" t="s">
        <v>2551</v>
      </c>
      <c r="B131" s="11" t="s">
        <v>252</v>
      </c>
      <c r="C131" s="11" t="s">
        <v>254</v>
      </c>
      <c r="D131" s="11" t="s">
        <v>2400</v>
      </c>
      <c r="E131" s="11" t="s">
        <v>2401</v>
      </c>
      <c r="F131" s="11" t="s">
        <v>40</v>
      </c>
      <c r="G131" s="11" t="s">
        <v>309</v>
      </c>
      <c r="H131" s="11" t="s">
        <v>2402</v>
      </c>
      <c r="I131" s="11" t="s">
        <v>2403</v>
      </c>
      <c r="J131" s="11" t="s">
        <v>2404</v>
      </c>
      <c r="K131" s="11" t="s">
        <v>308</v>
      </c>
      <c r="L131" s="11" t="s">
        <v>2405</v>
      </c>
      <c r="M131" s="11"/>
      <c r="N131" s="12"/>
    </row>
    <row r="132" customFormat="false" ht="32.8" hidden="false" customHeight="false" outlineLevel="0" collapsed="false">
      <c r="A132" s="10" t="s">
        <v>2552</v>
      </c>
      <c r="B132" s="11" t="s">
        <v>252</v>
      </c>
      <c r="C132" s="11" t="s">
        <v>254</v>
      </c>
      <c r="D132" s="11" t="s">
        <v>2407</v>
      </c>
      <c r="E132" s="11" t="s">
        <v>2408</v>
      </c>
      <c r="F132" s="11" t="s">
        <v>40</v>
      </c>
      <c r="G132" s="11" t="s">
        <v>309</v>
      </c>
      <c r="H132" s="11" t="s">
        <v>2409</v>
      </c>
      <c r="I132" s="11" t="s">
        <v>2410</v>
      </c>
      <c r="J132" s="11" t="s">
        <v>2411</v>
      </c>
      <c r="K132" s="11" t="s">
        <v>308</v>
      </c>
      <c r="L132" s="11" t="s">
        <v>2405</v>
      </c>
      <c r="M132" s="11"/>
      <c r="N132" s="12"/>
    </row>
    <row r="133" customFormat="false" ht="32.8" hidden="false" customHeight="false" outlineLevel="0" collapsed="false">
      <c r="A133" s="10" t="s">
        <v>2553</v>
      </c>
      <c r="B133" s="11" t="s">
        <v>252</v>
      </c>
      <c r="C133" s="11" t="s">
        <v>254</v>
      </c>
      <c r="D133" s="11" t="s">
        <v>2413</v>
      </c>
      <c r="E133" s="11" t="s">
        <v>2414</v>
      </c>
      <c r="F133" s="11" t="s">
        <v>40</v>
      </c>
      <c r="G133" s="11" t="s">
        <v>309</v>
      </c>
      <c r="H133" s="11" t="s">
        <v>2415</v>
      </c>
      <c r="I133" s="11" t="s">
        <v>1177</v>
      </c>
      <c r="J133" s="11" t="s">
        <v>1179</v>
      </c>
      <c r="K133" s="11" t="s">
        <v>308</v>
      </c>
      <c r="L133" s="11" t="s">
        <v>2405</v>
      </c>
      <c r="M133" s="11"/>
      <c r="N133" s="12"/>
    </row>
    <row r="134" customFormat="false" ht="32.8" hidden="false" customHeight="false" outlineLevel="0" collapsed="false">
      <c r="A134" s="10" t="s">
        <v>2554</v>
      </c>
      <c r="B134" s="11" t="s">
        <v>252</v>
      </c>
      <c r="C134" s="11" t="s">
        <v>254</v>
      </c>
      <c r="D134" s="11" t="s">
        <v>2417</v>
      </c>
      <c r="E134" s="11" t="s">
        <v>2418</v>
      </c>
      <c r="F134" s="11" t="s">
        <v>40</v>
      </c>
      <c r="G134" s="11" t="s">
        <v>309</v>
      </c>
      <c r="H134" s="11" t="s">
        <v>2419</v>
      </c>
      <c r="I134" s="11" t="s">
        <v>2420</v>
      </c>
      <c r="J134" s="11" t="s">
        <v>2421</v>
      </c>
      <c r="K134" s="11" t="s">
        <v>308</v>
      </c>
      <c r="L134" s="11" t="s">
        <v>2405</v>
      </c>
      <c r="M134" s="11"/>
      <c r="N134" s="12"/>
    </row>
    <row r="135" customFormat="false" ht="53.7" hidden="false" customHeight="false" outlineLevel="0" collapsed="false">
      <c r="A135" s="10" t="s">
        <v>2555</v>
      </c>
      <c r="B135" s="11" t="s">
        <v>252</v>
      </c>
      <c r="C135" s="11" t="s">
        <v>254</v>
      </c>
      <c r="D135" s="11" t="s">
        <v>2423</v>
      </c>
      <c r="E135" s="11" t="s">
        <v>2424</v>
      </c>
      <c r="F135" s="11" t="s">
        <v>40</v>
      </c>
      <c r="G135" s="11" t="s">
        <v>309</v>
      </c>
      <c r="H135" s="11" t="s">
        <v>2425</v>
      </c>
      <c r="I135" s="11" t="s">
        <v>2426</v>
      </c>
      <c r="J135" s="11" t="s">
        <v>940</v>
      </c>
      <c r="K135" s="11" t="s">
        <v>308</v>
      </c>
      <c r="L135" s="11" t="s">
        <v>2405</v>
      </c>
      <c r="M135" s="11"/>
      <c r="N135" s="12"/>
    </row>
    <row r="136" customFormat="false" ht="43.25" hidden="false" customHeight="false" outlineLevel="0" collapsed="false">
      <c r="A136" s="10" t="s">
        <v>2556</v>
      </c>
      <c r="B136" s="11" t="s">
        <v>252</v>
      </c>
      <c r="C136" s="11" t="s">
        <v>254</v>
      </c>
      <c r="D136" s="11" t="s">
        <v>2557</v>
      </c>
      <c r="E136" s="11" t="s">
        <v>2558</v>
      </c>
      <c r="F136" s="11" t="s">
        <v>40</v>
      </c>
      <c r="G136" s="11" t="s">
        <v>309</v>
      </c>
      <c r="H136" s="11" t="s">
        <v>2559</v>
      </c>
      <c r="I136" s="11" t="s">
        <v>2410</v>
      </c>
      <c r="J136" s="11" t="s">
        <v>2411</v>
      </c>
      <c r="K136" s="11" t="s">
        <v>308</v>
      </c>
      <c r="L136" s="11" t="s">
        <v>2405</v>
      </c>
      <c r="M136" s="11"/>
      <c r="N136" s="12"/>
    </row>
    <row r="137" customFormat="false" ht="32.8" hidden="false" customHeight="false" outlineLevel="0" collapsed="false">
      <c r="A137" s="10" t="s">
        <v>2560</v>
      </c>
      <c r="B137" s="11" t="s">
        <v>261</v>
      </c>
      <c r="C137" s="11" t="s">
        <v>262</v>
      </c>
      <c r="D137" s="11" t="s">
        <v>2400</v>
      </c>
      <c r="E137" s="11" t="s">
        <v>2401</v>
      </c>
      <c r="F137" s="11" t="s">
        <v>40</v>
      </c>
      <c r="G137" s="11" t="s">
        <v>309</v>
      </c>
      <c r="H137" s="11" t="s">
        <v>2402</v>
      </c>
      <c r="I137" s="11" t="s">
        <v>2403</v>
      </c>
      <c r="J137" s="11" t="s">
        <v>2404</v>
      </c>
      <c r="K137" s="11" t="s">
        <v>308</v>
      </c>
      <c r="L137" s="11" t="s">
        <v>2405</v>
      </c>
      <c r="M137" s="11"/>
      <c r="N137" s="12"/>
    </row>
    <row r="138" customFormat="false" ht="32.8" hidden="false" customHeight="false" outlineLevel="0" collapsed="false">
      <c r="A138" s="10" t="s">
        <v>2561</v>
      </c>
      <c r="B138" s="11" t="s">
        <v>261</v>
      </c>
      <c r="C138" s="11" t="s">
        <v>262</v>
      </c>
      <c r="D138" s="11" t="s">
        <v>2407</v>
      </c>
      <c r="E138" s="11" t="s">
        <v>2408</v>
      </c>
      <c r="F138" s="11" t="s">
        <v>40</v>
      </c>
      <c r="G138" s="11" t="s">
        <v>309</v>
      </c>
      <c r="H138" s="11" t="s">
        <v>2409</v>
      </c>
      <c r="I138" s="11" t="s">
        <v>2410</v>
      </c>
      <c r="J138" s="11" t="s">
        <v>2411</v>
      </c>
      <c r="K138" s="11" t="s">
        <v>308</v>
      </c>
      <c r="L138" s="11" t="s">
        <v>2405</v>
      </c>
      <c r="M138" s="11"/>
      <c r="N138" s="12"/>
    </row>
    <row r="139" customFormat="false" ht="32.8" hidden="false" customHeight="false" outlineLevel="0" collapsed="false">
      <c r="A139" s="10" t="s">
        <v>2562</v>
      </c>
      <c r="B139" s="11" t="s">
        <v>261</v>
      </c>
      <c r="C139" s="11" t="s">
        <v>262</v>
      </c>
      <c r="D139" s="11" t="s">
        <v>2413</v>
      </c>
      <c r="E139" s="11" t="s">
        <v>2414</v>
      </c>
      <c r="F139" s="11" t="s">
        <v>40</v>
      </c>
      <c r="G139" s="11" t="s">
        <v>309</v>
      </c>
      <c r="H139" s="11" t="s">
        <v>2415</v>
      </c>
      <c r="I139" s="11" t="s">
        <v>1177</v>
      </c>
      <c r="J139" s="11" t="s">
        <v>1179</v>
      </c>
      <c r="K139" s="11" t="s">
        <v>308</v>
      </c>
      <c r="L139" s="11" t="s">
        <v>2405</v>
      </c>
      <c r="M139" s="11"/>
      <c r="N139" s="12"/>
    </row>
    <row r="140" customFormat="false" ht="32.8" hidden="false" customHeight="false" outlineLevel="0" collapsed="false">
      <c r="A140" s="10" t="s">
        <v>2563</v>
      </c>
      <c r="B140" s="11" t="s">
        <v>261</v>
      </c>
      <c r="C140" s="11" t="s">
        <v>262</v>
      </c>
      <c r="D140" s="11" t="s">
        <v>2417</v>
      </c>
      <c r="E140" s="11" t="s">
        <v>2418</v>
      </c>
      <c r="F140" s="11" t="s">
        <v>40</v>
      </c>
      <c r="G140" s="11" t="s">
        <v>309</v>
      </c>
      <c r="H140" s="11" t="s">
        <v>2419</v>
      </c>
      <c r="I140" s="11" t="s">
        <v>2420</v>
      </c>
      <c r="J140" s="11" t="s">
        <v>2421</v>
      </c>
      <c r="K140" s="11" t="s">
        <v>308</v>
      </c>
      <c r="L140" s="11" t="s">
        <v>2405</v>
      </c>
      <c r="M140" s="11"/>
      <c r="N140" s="12"/>
    </row>
    <row r="141" customFormat="false" ht="53.7" hidden="false" customHeight="false" outlineLevel="0" collapsed="false">
      <c r="A141" s="10" t="s">
        <v>2564</v>
      </c>
      <c r="B141" s="11" t="s">
        <v>261</v>
      </c>
      <c r="C141" s="11" t="s">
        <v>262</v>
      </c>
      <c r="D141" s="11" t="s">
        <v>2423</v>
      </c>
      <c r="E141" s="11" t="s">
        <v>2424</v>
      </c>
      <c r="F141" s="11" t="s">
        <v>40</v>
      </c>
      <c r="G141" s="11" t="s">
        <v>309</v>
      </c>
      <c r="H141" s="11" t="s">
        <v>2425</v>
      </c>
      <c r="I141" s="11" t="s">
        <v>2426</v>
      </c>
      <c r="J141" s="11" t="s">
        <v>940</v>
      </c>
      <c r="K141" s="11" t="s">
        <v>308</v>
      </c>
      <c r="L141" s="11" t="s">
        <v>2405</v>
      </c>
      <c r="M141" s="11"/>
      <c r="N141" s="12"/>
    </row>
    <row r="142" customFormat="false" ht="43.25" hidden="false" customHeight="false" outlineLevel="0" collapsed="false">
      <c r="A142" s="10" t="s">
        <v>2565</v>
      </c>
      <c r="B142" s="11" t="s">
        <v>261</v>
      </c>
      <c r="C142" s="11" t="s">
        <v>262</v>
      </c>
      <c r="D142" s="11" t="s">
        <v>2557</v>
      </c>
      <c r="E142" s="11" t="s">
        <v>2558</v>
      </c>
      <c r="F142" s="11" t="s">
        <v>40</v>
      </c>
      <c r="G142" s="11" t="s">
        <v>309</v>
      </c>
      <c r="H142" s="11" t="s">
        <v>2559</v>
      </c>
      <c r="I142" s="11" t="s">
        <v>2410</v>
      </c>
      <c r="J142" s="11" t="s">
        <v>2411</v>
      </c>
      <c r="K142" s="11" t="s">
        <v>308</v>
      </c>
      <c r="L142" s="11" t="s">
        <v>2405</v>
      </c>
      <c r="M142" s="11"/>
      <c r="N142" s="12"/>
    </row>
    <row r="143" customFormat="false" ht="32.8" hidden="false" customHeight="false" outlineLevel="0" collapsed="false">
      <c r="A143" s="10" t="s">
        <v>2566</v>
      </c>
      <c r="B143" s="11" t="s">
        <v>269</v>
      </c>
      <c r="C143" s="11" t="s">
        <v>270</v>
      </c>
      <c r="D143" s="11" t="s">
        <v>2400</v>
      </c>
      <c r="E143" s="11" t="s">
        <v>2401</v>
      </c>
      <c r="F143" s="11" t="s">
        <v>40</v>
      </c>
      <c r="G143" s="11" t="s">
        <v>309</v>
      </c>
      <c r="H143" s="11" t="s">
        <v>2402</v>
      </c>
      <c r="I143" s="11" t="s">
        <v>2403</v>
      </c>
      <c r="J143" s="11" t="s">
        <v>2404</v>
      </c>
      <c r="K143" s="11" t="s">
        <v>308</v>
      </c>
      <c r="L143" s="11" t="s">
        <v>2405</v>
      </c>
      <c r="M143" s="11"/>
      <c r="N143" s="12"/>
    </row>
    <row r="144" customFormat="false" ht="32.8" hidden="false" customHeight="false" outlineLevel="0" collapsed="false">
      <c r="A144" s="10" t="s">
        <v>2567</v>
      </c>
      <c r="B144" s="11" t="s">
        <v>269</v>
      </c>
      <c r="C144" s="11" t="s">
        <v>270</v>
      </c>
      <c r="D144" s="11" t="s">
        <v>2407</v>
      </c>
      <c r="E144" s="11" t="s">
        <v>2408</v>
      </c>
      <c r="F144" s="11" t="s">
        <v>40</v>
      </c>
      <c r="G144" s="11" t="s">
        <v>309</v>
      </c>
      <c r="H144" s="11" t="s">
        <v>2409</v>
      </c>
      <c r="I144" s="11" t="s">
        <v>2410</v>
      </c>
      <c r="J144" s="11" t="s">
        <v>2411</v>
      </c>
      <c r="K144" s="11" t="s">
        <v>308</v>
      </c>
      <c r="L144" s="11" t="s">
        <v>2405</v>
      </c>
      <c r="M144" s="11"/>
      <c r="N144" s="12"/>
    </row>
    <row r="145" customFormat="false" ht="32.8" hidden="false" customHeight="false" outlineLevel="0" collapsed="false">
      <c r="A145" s="10" t="s">
        <v>2568</v>
      </c>
      <c r="B145" s="11" t="s">
        <v>269</v>
      </c>
      <c r="C145" s="11" t="s">
        <v>270</v>
      </c>
      <c r="D145" s="11" t="s">
        <v>2413</v>
      </c>
      <c r="E145" s="11" t="s">
        <v>2414</v>
      </c>
      <c r="F145" s="11" t="s">
        <v>40</v>
      </c>
      <c r="G145" s="11" t="s">
        <v>309</v>
      </c>
      <c r="H145" s="11" t="s">
        <v>2415</v>
      </c>
      <c r="I145" s="11" t="s">
        <v>1177</v>
      </c>
      <c r="J145" s="11" t="s">
        <v>1179</v>
      </c>
      <c r="K145" s="11" t="s">
        <v>308</v>
      </c>
      <c r="L145" s="11" t="s">
        <v>2405</v>
      </c>
      <c r="M145" s="11"/>
      <c r="N145" s="12"/>
    </row>
    <row r="146" customFormat="false" ht="32.8" hidden="false" customHeight="false" outlineLevel="0" collapsed="false">
      <c r="A146" s="10" t="s">
        <v>2569</v>
      </c>
      <c r="B146" s="11" t="s">
        <v>269</v>
      </c>
      <c r="C146" s="11" t="s">
        <v>270</v>
      </c>
      <c r="D146" s="11" t="s">
        <v>2417</v>
      </c>
      <c r="E146" s="11" t="s">
        <v>2418</v>
      </c>
      <c r="F146" s="11" t="s">
        <v>40</v>
      </c>
      <c r="G146" s="11" t="s">
        <v>309</v>
      </c>
      <c r="H146" s="11" t="s">
        <v>2419</v>
      </c>
      <c r="I146" s="11" t="s">
        <v>2420</v>
      </c>
      <c r="J146" s="11" t="s">
        <v>2421</v>
      </c>
      <c r="K146" s="11" t="s">
        <v>308</v>
      </c>
      <c r="L146" s="11" t="s">
        <v>2405</v>
      </c>
      <c r="M146" s="11"/>
      <c r="N146" s="12"/>
    </row>
    <row r="147" customFormat="false" ht="53.7" hidden="false" customHeight="false" outlineLevel="0" collapsed="false">
      <c r="A147" s="10" t="s">
        <v>2570</v>
      </c>
      <c r="B147" s="11" t="s">
        <v>269</v>
      </c>
      <c r="C147" s="11" t="s">
        <v>270</v>
      </c>
      <c r="D147" s="11" t="s">
        <v>2423</v>
      </c>
      <c r="E147" s="11" t="s">
        <v>2424</v>
      </c>
      <c r="F147" s="11" t="s">
        <v>40</v>
      </c>
      <c r="G147" s="11" t="s">
        <v>309</v>
      </c>
      <c r="H147" s="11" t="s">
        <v>2425</v>
      </c>
      <c r="I147" s="11" t="s">
        <v>2426</v>
      </c>
      <c r="J147" s="11" t="s">
        <v>940</v>
      </c>
      <c r="K147" s="11" t="s">
        <v>308</v>
      </c>
      <c r="L147" s="11" t="s">
        <v>2405</v>
      </c>
      <c r="M147" s="11"/>
      <c r="N147" s="12"/>
    </row>
    <row r="148" customFormat="false" ht="43.25" hidden="false" customHeight="false" outlineLevel="0" collapsed="false">
      <c r="A148" s="10" t="s">
        <v>2571</v>
      </c>
      <c r="B148" s="11" t="s">
        <v>269</v>
      </c>
      <c r="C148" s="11" t="s">
        <v>270</v>
      </c>
      <c r="D148" s="11" t="s">
        <v>2557</v>
      </c>
      <c r="E148" s="11" t="s">
        <v>2558</v>
      </c>
      <c r="F148" s="11" t="s">
        <v>40</v>
      </c>
      <c r="G148" s="11" t="s">
        <v>309</v>
      </c>
      <c r="H148" s="11" t="s">
        <v>2559</v>
      </c>
      <c r="I148" s="11" t="s">
        <v>2410</v>
      </c>
      <c r="J148" s="11" t="s">
        <v>2411</v>
      </c>
      <c r="K148" s="11" t="s">
        <v>308</v>
      </c>
      <c r="L148" s="11" t="s">
        <v>2405</v>
      </c>
      <c r="M148" s="11"/>
      <c r="N148" s="12"/>
    </row>
    <row r="149" customFormat="false" ht="32.8" hidden="false" customHeight="false" outlineLevel="0" collapsed="false">
      <c r="A149" s="10" t="s">
        <v>2572</v>
      </c>
      <c r="B149" s="11" t="s">
        <v>226</v>
      </c>
      <c r="C149" s="11" t="s">
        <v>228</v>
      </c>
      <c r="D149" s="11" t="s">
        <v>2573</v>
      </c>
      <c r="E149" s="11" t="s">
        <v>2574</v>
      </c>
      <c r="F149" s="11" t="s">
        <v>40</v>
      </c>
      <c r="G149" s="11" t="s">
        <v>2575</v>
      </c>
      <c r="H149" s="11" t="s">
        <v>2576</v>
      </c>
      <c r="I149" s="11"/>
      <c r="J149" s="11" t="s">
        <v>862</v>
      </c>
      <c r="K149" s="11" t="s">
        <v>15</v>
      </c>
      <c r="L149" s="11" t="s">
        <v>2405</v>
      </c>
      <c r="M149" s="11"/>
      <c r="N149" s="12"/>
    </row>
    <row r="150" customFormat="false" ht="32.8" hidden="false" customHeight="false" outlineLevel="0" collapsed="false">
      <c r="A150" s="10" t="s">
        <v>2577</v>
      </c>
      <c r="B150" s="11" t="s">
        <v>226</v>
      </c>
      <c r="C150" s="11" t="s">
        <v>228</v>
      </c>
      <c r="D150" s="11" t="s">
        <v>2400</v>
      </c>
      <c r="E150" s="11" t="s">
        <v>2578</v>
      </c>
      <c r="F150" s="11" t="s">
        <v>40</v>
      </c>
      <c r="G150" s="11" t="s">
        <v>2575</v>
      </c>
      <c r="H150" s="11" t="s">
        <v>2579</v>
      </c>
      <c r="I150" s="11"/>
      <c r="J150" s="11" t="s">
        <v>862</v>
      </c>
      <c r="K150" s="11" t="s">
        <v>15</v>
      </c>
      <c r="L150" s="11" t="s">
        <v>2405</v>
      </c>
      <c r="M150" s="11"/>
      <c r="N150" s="12"/>
    </row>
    <row r="151" customFormat="false" ht="32.8" hidden="false" customHeight="false" outlineLevel="0" collapsed="false">
      <c r="A151" s="10" t="s">
        <v>2580</v>
      </c>
      <c r="B151" s="11" t="s">
        <v>226</v>
      </c>
      <c r="C151" s="11" t="s">
        <v>228</v>
      </c>
      <c r="D151" s="11" t="s">
        <v>2581</v>
      </c>
      <c r="E151" s="11" t="s">
        <v>2582</v>
      </c>
      <c r="F151" s="11" t="s">
        <v>40</v>
      </c>
      <c r="G151" s="11" t="s">
        <v>2575</v>
      </c>
      <c r="H151" s="11" t="s">
        <v>2579</v>
      </c>
      <c r="I151" s="11"/>
      <c r="J151" s="11" t="s">
        <v>862</v>
      </c>
      <c r="K151" s="11" t="s">
        <v>15</v>
      </c>
      <c r="L151" s="11" t="s">
        <v>2405</v>
      </c>
      <c r="M151" s="11"/>
      <c r="N151" s="12"/>
    </row>
    <row r="152" customFormat="false" ht="32.8" hidden="false" customHeight="false" outlineLevel="0" collapsed="false">
      <c r="A152" s="10" t="s">
        <v>2583</v>
      </c>
      <c r="B152" s="11" t="s">
        <v>226</v>
      </c>
      <c r="C152" s="11" t="s">
        <v>228</v>
      </c>
      <c r="D152" s="11" t="s">
        <v>2584</v>
      </c>
      <c r="E152" s="11" t="s">
        <v>2585</v>
      </c>
      <c r="F152" s="11" t="s">
        <v>40</v>
      </c>
      <c r="G152" s="11" t="s">
        <v>2575</v>
      </c>
      <c r="H152" s="11" t="s">
        <v>2576</v>
      </c>
      <c r="I152" s="11"/>
      <c r="J152" s="11" t="s">
        <v>862</v>
      </c>
      <c r="K152" s="11" t="s">
        <v>15</v>
      </c>
      <c r="L152" s="11" t="s">
        <v>2405</v>
      </c>
      <c r="M152" s="11"/>
      <c r="N152" s="12"/>
    </row>
    <row r="153" customFormat="false" ht="32.8" hidden="false" customHeight="false" outlineLevel="0" collapsed="false">
      <c r="A153" s="10" t="s">
        <v>2586</v>
      </c>
      <c r="B153" s="11" t="s">
        <v>240</v>
      </c>
      <c r="C153" s="11" t="s">
        <v>241</v>
      </c>
      <c r="D153" s="11" t="s">
        <v>2573</v>
      </c>
      <c r="E153" s="11" t="s">
        <v>2574</v>
      </c>
      <c r="F153" s="11" t="s">
        <v>40</v>
      </c>
      <c r="G153" s="11" t="s">
        <v>2575</v>
      </c>
      <c r="H153" s="11" t="s">
        <v>2576</v>
      </c>
      <c r="I153" s="11"/>
      <c r="J153" s="11" t="s">
        <v>862</v>
      </c>
      <c r="K153" s="11" t="s">
        <v>15</v>
      </c>
      <c r="L153" s="11" t="s">
        <v>2405</v>
      </c>
      <c r="M153" s="11"/>
      <c r="N153" s="12"/>
    </row>
    <row r="154" customFormat="false" ht="32.8" hidden="false" customHeight="false" outlineLevel="0" collapsed="false">
      <c r="A154" s="10" t="s">
        <v>2587</v>
      </c>
      <c r="B154" s="11" t="s">
        <v>240</v>
      </c>
      <c r="C154" s="11" t="s">
        <v>241</v>
      </c>
      <c r="D154" s="11" t="s">
        <v>2400</v>
      </c>
      <c r="E154" s="11" t="s">
        <v>2578</v>
      </c>
      <c r="F154" s="11" t="s">
        <v>40</v>
      </c>
      <c r="G154" s="11" t="s">
        <v>2575</v>
      </c>
      <c r="H154" s="11" t="s">
        <v>2579</v>
      </c>
      <c r="I154" s="11"/>
      <c r="J154" s="11" t="s">
        <v>862</v>
      </c>
      <c r="K154" s="11" t="s">
        <v>15</v>
      </c>
      <c r="L154" s="11" t="s">
        <v>2405</v>
      </c>
      <c r="M154" s="11"/>
      <c r="N154" s="12"/>
    </row>
    <row r="155" customFormat="false" ht="32.8" hidden="false" customHeight="false" outlineLevel="0" collapsed="false">
      <c r="A155" s="10" t="s">
        <v>2588</v>
      </c>
      <c r="B155" s="11" t="s">
        <v>240</v>
      </c>
      <c r="C155" s="11" t="s">
        <v>241</v>
      </c>
      <c r="D155" s="11" t="s">
        <v>2581</v>
      </c>
      <c r="E155" s="11" t="s">
        <v>2582</v>
      </c>
      <c r="F155" s="11" t="s">
        <v>40</v>
      </c>
      <c r="G155" s="11" t="s">
        <v>2575</v>
      </c>
      <c r="H155" s="11" t="s">
        <v>2579</v>
      </c>
      <c r="I155" s="11"/>
      <c r="J155" s="11" t="s">
        <v>862</v>
      </c>
      <c r="K155" s="11" t="s">
        <v>15</v>
      </c>
      <c r="L155" s="11" t="s">
        <v>2405</v>
      </c>
      <c r="M155" s="11"/>
      <c r="N155" s="12"/>
    </row>
    <row r="156" customFormat="false" ht="32.8" hidden="false" customHeight="false" outlineLevel="0" collapsed="false">
      <c r="A156" s="10" t="s">
        <v>2589</v>
      </c>
      <c r="B156" s="11" t="s">
        <v>240</v>
      </c>
      <c r="C156" s="11" t="s">
        <v>241</v>
      </c>
      <c r="D156" s="11" t="s">
        <v>2584</v>
      </c>
      <c r="E156" s="11" t="s">
        <v>2585</v>
      </c>
      <c r="F156" s="11" t="s">
        <v>40</v>
      </c>
      <c r="G156" s="11" t="s">
        <v>2575</v>
      </c>
      <c r="H156" s="11" t="s">
        <v>2576</v>
      </c>
      <c r="I156" s="11"/>
      <c r="J156" s="11" t="s">
        <v>862</v>
      </c>
      <c r="K156" s="11" t="s">
        <v>15</v>
      </c>
      <c r="L156" s="11" t="s">
        <v>2405</v>
      </c>
      <c r="M156" s="11"/>
      <c r="N156" s="12"/>
    </row>
    <row r="157" customFormat="false" ht="32.8" hidden="false" customHeight="false" outlineLevel="0" collapsed="false">
      <c r="A157" s="10" t="s">
        <v>2590</v>
      </c>
      <c r="B157" s="11" t="s">
        <v>246</v>
      </c>
      <c r="C157" s="11" t="s">
        <v>247</v>
      </c>
      <c r="D157" s="11" t="s">
        <v>2573</v>
      </c>
      <c r="E157" s="11" t="s">
        <v>2574</v>
      </c>
      <c r="F157" s="11" t="s">
        <v>40</v>
      </c>
      <c r="G157" s="11" t="s">
        <v>2575</v>
      </c>
      <c r="H157" s="11" t="s">
        <v>2576</v>
      </c>
      <c r="I157" s="11"/>
      <c r="J157" s="11" t="s">
        <v>862</v>
      </c>
      <c r="K157" s="11" t="s">
        <v>15</v>
      </c>
      <c r="L157" s="11" t="s">
        <v>2405</v>
      </c>
      <c r="M157" s="11"/>
      <c r="N157" s="12"/>
    </row>
    <row r="158" customFormat="false" ht="32.8" hidden="false" customHeight="false" outlineLevel="0" collapsed="false">
      <c r="A158" s="10" t="s">
        <v>2591</v>
      </c>
      <c r="B158" s="11" t="s">
        <v>246</v>
      </c>
      <c r="C158" s="11" t="s">
        <v>247</v>
      </c>
      <c r="D158" s="11" t="s">
        <v>2400</v>
      </c>
      <c r="E158" s="11" t="s">
        <v>2578</v>
      </c>
      <c r="F158" s="11" t="s">
        <v>40</v>
      </c>
      <c r="G158" s="11" t="s">
        <v>2575</v>
      </c>
      <c r="H158" s="11" t="s">
        <v>2579</v>
      </c>
      <c r="I158" s="11"/>
      <c r="J158" s="11" t="s">
        <v>862</v>
      </c>
      <c r="K158" s="11" t="s">
        <v>15</v>
      </c>
      <c r="L158" s="11" t="s">
        <v>2405</v>
      </c>
      <c r="M158" s="11"/>
      <c r="N158" s="12"/>
    </row>
    <row r="159" customFormat="false" ht="32.8" hidden="false" customHeight="false" outlineLevel="0" collapsed="false">
      <c r="A159" s="10" t="s">
        <v>2592</v>
      </c>
      <c r="B159" s="11" t="s">
        <v>246</v>
      </c>
      <c r="C159" s="11" t="s">
        <v>247</v>
      </c>
      <c r="D159" s="11" t="s">
        <v>2581</v>
      </c>
      <c r="E159" s="11" t="s">
        <v>2582</v>
      </c>
      <c r="F159" s="11" t="s">
        <v>40</v>
      </c>
      <c r="G159" s="11" t="s">
        <v>2575</v>
      </c>
      <c r="H159" s="11" t="s">
        <v>2579</v>
      </c>
      <c r="I159" s="11"/>
      <c r="J159" s="11" t="s">
        <v>862</v>
      </c>
      <c r="K159" s="11" t="s">
        <v>15</v>
      </c>
      <c r="L159" s="11" t="s">
        <v>2405</v>
      </c>
      <c r="M159" s="11"/>
      <c r="N159" s="12"/>
    </row>
    <row r="160" customFormat="false" ht="32.8" hidden="false" customHeight="false" outlineLevel="0" collapsed="false">
      <c r="A160" s="13" t="s">
        <v>2593</v>
      </c>
      <c r="B160" s="14" t="s">
        <v>246</v>
      </c>
      <c r="C160" s="14" t="s">
        <v>247</v>
      </c>
      <c r="D160" s="14" t="s">
        <v>2584</v>
      </c>
      <c r="E160" s="14" t="s">
        <v>2585</v>
      </c>
      <c r="F160" s="14" t="s">
        <v>40</v>
      </c>
      <c r="G160" s="14" t="s">
        <v>2575</v>
      </c>
      <c r="H160" s="14" t="s">
        <v>2576</v>
      </c>
      <c r="I160" s="14"/>
      <c r="J160" s="14" t="s">
        <v>862</v>
      </c>
      <c r="K160" s="14" t="s">
        <v>15</v>
      </c>
      <c r="L160" s="14" t="s">
        <v>2405</v>
      </c>
      <c r="M160" s="14"/>
      <c r="N160" s="15"/>
    </row>
  </sheetData>
  <autoFilter ref="A1:N160">
    <filterColumn colId="0" hiddenButton="1"/>
  </autoFilter>
  <mergeCells count="2">
    <mergeCell ref="A1:N1"/>
    <mergeCell ref="A2:N2"/>
  </mergeCells>
  <conditionalFormatting sqref="F5:F160">
    <cfRule type="containsText" priority="2" operator="containsText" aboveAverage="0" equalAverage="0" bottom="0" percent="0" rank="0" text="BLOCK" dxfId="148">
      <formula>NOT(ISERROR(SEARCH("BLOCK",F5)))</formula>
    </cfRule>
    <cfRule type="containsText" priority="3" operator="containsText" aboveAverage="0" equalAverage="0" bottom="0" percent="0" rank="0" text="DRAFT" dxfId="149">
      <formula>NOT(ISERROR(SEARCH("DRAFT",F5)))</formula>
    </cfRule>
    <cfRule type="containsText" priority="4" operator="containsText" aboveAverage="0" equalAverage="0" bottom="0" percent="0" rank="0" text="PASS" dxfId="150">
      <formula>NOT(ISERROR(SEARCH("PASS",F5)))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>
  <sheetPr filterMode="true"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8"/>
    <col collapsed="false" customWidth="true" hidden="false" outlineLevel="0" max="12" min="10" style="0" width="16"/>
    <col collapsed="false" customWidth="true" hidden="false" outlineLevel="0" max="13" min="13" style="0" width="2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4" t="s">
        <v>2594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true" outlineLevel="0" collapsed="false">
      <c r="A2" s="5" t="s">
        <v>2595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50" hidden="false" customHeight="true" outlineLevel="0" collapsed="false">
      <c r="A4" s="6" t="s">
        <v>45</v>
      </c>
      <c r="B4" s="6" t="s">
        <v>2596</v>
      </c>
      <c r="C4" s="6" t="s">
        <v>2597</v>
      </c>
      <c r="D4" s="6" t="s">
        <v>2598</v>
      </c>
      <c r="E4" s="6" t="s">
        <v>2599</v>
      </c>
      <c r="F4" s="6" t="s">
        <v>2600</v>
      </c>
      <c r="G4" s="6" t="s">
        <v>2601</v>
      </c>
      <c r="H4" s="6" t="s">
        <v>2602</v>
      </c>
      <c r="I4" s="6" t="s">
        <v>2603</v>
      </c>
      <c r="J4" s="6" t="s">
        <v>2604</v>
      </c>
      <c r="K4" s="6" t="s">
        <v>2605</v>
      </c>
      <c r="L4" s="6" t="s">
        <v>2606</v>
      </c>
      <c r="M4" s="6" t="s">
        <v>57</v>
      </c>
      <c r="N4" s="6" t="s">
        <v>2607</v>
      </c>
    </row>
    <row r="5" customFormat="false" ht="43.25" hidden="false" customHeight="false" outlineLevel="0" collapsed="false">
      <c r="A5" s="7" t="s">
        <v>60</v>
      </c>
      <c r="B5" s="8" t="s">
        <v>2608</v>
      </c>
      <c r="C5" s="8" t="s">
        <v>2609</v>
      </c>
      <c r="D5" s="8" t="s">
        <v>2609</v>
      </c>
      <c r="E5" s="8" t="s">
        <v>2610</v>
      </c>
      <c r="F5" s="8" t="s">
        <v>2608</v>
      </c>
      <c r="G5" s="8" t="s">
        <v>2611</v>
      </c>
      <c r="H5" s="8" t="s">
        <v>2612</v>
      </c>
      <c r="I5" s="8" t="s">
        <v>2608</v>
      </c>
      <c r="J5" s="8" t="s">
        <v>2608</v>
      </c>
      <c r="K5" s="8" t="s">
        <v>71</v>
      </c>
      <c r="L5" s="8" t="s">
        <v>2613</v>
      </c>
      <c r="M5" s="8" t="s">
        <v>35</v>
      </c>
      <c r="N5" s="9" t="s">
        <v>2614</v>
      </c>
    </row>
    <row r="6" customFormat="false" ht="43.25" hidden="false" customHeight="false" outlineLevel="0" collapsed="false">
      <c r="A6" s="10" t="s">
        <v>73</v>
      </c>
      <c r="B6" s="11" t="s">
        <v>2608</v>
      </c>
      <c r="C6" s="11" t="s">
        <v>2609</v>
      </c>
      <c r="D6" s="11" t="s">
        <v>2609</v>
      </c>
      <c r="E6" s="11" t="s">
        <v>2610</v>
      </c>
      <c r="F6" s="11" t="s">
        <v>2608</v>
      </c>
      <c r="G6" s="11" t="s">
        <v>2611</v>
      </c>
      <c r="H6" s="11" t="s">
        <v>2612</v>
      </c>
      <c r="I6" s="11" t="s">
        <v>2608</v>
      </c>
      <c r="J6" s="11" t="s">
        <v>2608</v>
      </c>
      <c r="K6" s="11" t="s">
        <v>71</v>
      </c>
      <c r="L6" s="11" t="s">
        <v>2613</v>
      </c>
      <c r="M6" s="11" t="s">
        <v>35</v>
      </c>
      <c r="N6" s="12" t="s">
        <v>2614</v>
      </c>
    </row>
    <row r="7" customFormat="false" ht="43.25" hidden="false" customHeight="false" outlineLevel="0" collapsed="false">
      <c r="A7" s="10" t="s">
        <v>79</v>
      </c>
      <c r="B7" s="11" t="s">
        <v>2608</v>
      </c>
      <c r="C7" s="11" t="s">
        <v>2609</v>
      </c>
      <c r="D7" s="11" t="s">
        <v>2609</v>
      </c>
      <c r="E7" s="11" t="s">
        <v>2610</v>
      </c>
      <c r="F7" s="11" t="s">
        <v>2608</v>
      </c>
      <c r="G7" s="11" t="s">
        <v>2611</v>
      </c>
      <c r="H7" s="11" t="s">
        <v>2612</v>
      </c>
      <c r="I7" s="11" t="s">
        <v>2608</v>
      </c>
      <c r="J7" s="11" t="s">
        <v>2608</v>
      </c>
      <c r="K7" s="11" t="s">
        <v>71</v>
      </c>
      <c r="L7" s="11" t="s">
        <v>2613</v>
      </c>
      <c r="M7" s="11" t="s">
        <v>35</v>
      </c>
      <c r="N7" s="12" t="s">
        <v>2614</v>
      </c>
    </row>
    <row r="8" customFormat="false" ht="43.25" hidden="false" customHeight="false" outlineLevel="0" collapsed="false">
      <c r="A8" s="10" t="s">
        <v>85</v>
      </c>
      <c r="B8" s="11" t="s">
        <v>2608</v>
      </c>
      <c r="C8" s="11" t="s">
        <v>2609</v>
      </c>
      <c r="D8" s="11" t="s">
        <v>2609</v>
      </c>
      <c r="E8" s="11" t="s">
        <v>2610</v>
      </c>
      <c r="F8" s="11" t="s">
        <v>2608</v>
      </c>
      <c r="G8" s="11" t="s">
        <v>2611</v>
      </c>
      <c r="H8" s="11" t="s">
        <v>2612</v>
      </c>
      <c r="I8" s="11" t="s">
        <v>2608</v>
      </c>
      <c r="J8" s="11" t="s">
        <v>2608</v>
      </c>
      <c r="K8" s="11" t="s">
        <v>71</v>
      </c>
      <c r="L8" s="11" t="s">
        <v>2613</v>
      </c>
      <c r="M8" s="11" t="s">
        <v>35</v>
      </c>
      <c r="N8" s="12" t="s">
        <v>2614</v>
      </c>
    </row>
    <row r="9" customFormat="false" ht="43.25" hidden="false" customHeight="false" outlineLevel="0" collapsed="false">
      <c r="A9" s="10" t="s">
        <v>90</v>
      </c>
      <c r="B9" s="11" t="s">
        <v>2608</v>
      </c>
      <c r="C9" s="11" t="s">
        <v>2609</v>
      </c>
      <c r="D9" s="11" t="s">
        <v>2609</v>
      </c>
      <c r="E9" s="11" t="s">
        <v>2610</v>
      </c>
      <c r="F9" s="11" t="s">
        <v>2608</v>
      </c>
      <c r="G9" s="11" t="s">
        <v>2611</v>
      </c>
      <c r="H9" s="11" t="s">
        <v>2612</v>
      </c>
      <c r="I9" s="11" t="s">
        <v>2608</v>
      </c>
      <c r="J9" s="11" t="s">
        <v>2608</v>
      </c>
      <c r="K9" s="11" t="s">
        <v>71</v>
      </c>
      <c r="L9" s="11" t="s">
        <v>2613</v>
      </c>
      <c r="M9" s="11" t="s">
        <v>35</v>
      </c>
      <c r="N9" s="12" t="s">
        <v>2614</v>
      </c>
    </row>
    <row r="10" customFormat="false" ht="43.25" hidden="false" customHeight="false" outlineLevel="0" collapsed="false">
      <c r="A10" s="10" t="s">
        <v>99</v>
      </c>
      <c r="B10" s="11" t="s">
        <v>2608</v>
      </c>
      <c r="C10" s="11" t="s">
        <v>2609</v>
      </c>
      <c r="D10" s="11" t="s">
        <v>2609</v>
      </c>
      <c r="E10" s="11" t="s">
        <v>2610</v>
      </c>
      <c r="F10" s="11" t="s">
        <v>2608</v>
      </c>
      <c r="G10" s="11" t="s">
        <v>2611</v>
      </c>
      <c r="H10" s="11" t="s">
        <v>2612</v>
      </c>
      <c r="I10" s="11" t="s">
        <v>2608</v>
      </c>
      <c r="J10" s="11" t="s">
        <v>2608</v>
      </c>
      <c r="K10" s="11" t="s">
        <v>71</v>
      </c>
      <c r="L10" s="11" t="s">
        <v>2613</v>
      </c>
      <c r="M10" s="11" t="s">
        <v>35</v>
      </c>
      <c r="N10" s="12" t="s">
        <v>2614</v>
      </c>
    </row>
    <row r="11" customFormat="false" ht="43.25" hidden="false" customHeight="false" outlineLevel="0" collapsed="false">
      <c r="A11" s="10" t="s">
        <v>105</v>
      </c>
      <c r="B11" s="11" t="s">
        <v>2608</v>
      </c>
      <c r="C11" s="11" t="s">
        <v>2609</v>
      </c>
      <c r="D11" s="11" t="s">
        <v>2609</v>
      </c>
      <c r="E11" s="11" t="s">
        <v>2610</v>
      </c>
      <c r="F11" s="11" t="s">
        <v>2608</v>
      </c>
      <c r="G11" s="11" t="s">
        <v>2611</v>
      </c>
      <c r="H11" s="11" t="s">
        <v>2612</v>
      </c>
      <c r="I11" s="11" t="s">
        <v>2608</v>
      </c>
      <c r="J11" s="11" t="s">
        <v>2608</v>
      </c>
      <c r="K11" s="11" t="s">
        <v>71</v>
      </c>
      <c r="L11" s="11" t="s">
        <v>2613</v>
      </c>
      <c r="M11" s="11" t="s">
        <v>35</v>
      </c>
      <c r="N11" s="12" t="s">
        <v>2614</v>
      </c>
    </row>
    <row r="12" customFormat="false" ht="43.25" hidden="false" customHeight="false" outlineLevel="0" collapsed="false">
      <c r="A12" s="10" t="s">
        <v>112</v>
      </c>
      <c r="B12" s="11" t="s">
        <v>2608</v>
      </c>
      <c r="C12" s="11" t="s">
        <v>2609</v>
      </c>
      <c r="D12" s="11" t="s">
        <v>2609</v>
      </c>
      <c r="E12" s="11" t="s">
        <v>2610</v>
      </c>
      <c r="F12" s="11" t="s">
        <v>2608</v>
      </c>
      <c r="G12" s="11" t="s">
        <v>2611</v>
      </c>
      <c r="H12" s="11" t="s">
        <v>2612</v>
      </c>
      <c r="I12" s="11" t="s">
        <v>2608</v>
      </c>
      <c r="J12" s="11" t="s">
        <v>2608</v>
      </c>
      <c r="K12" s="11" t="s">
        <v>71</v>
      </c>
      <c r="L12" s="11" t="s">
        <v>2613</v>
      </c>
      <c r="M12" s="11" t="s">
        <v>35</v>
      </c>
      <c r="N12" s="12" t="s">
        <v>2614</v>
      </c>
    </row>
    <row r="13" customFormat="false" ht="43.25" hidden="false" customHeight="false" outlineLevel="0" collapsed="false">
      <c r="A13" s="10" t="s">
        <v>119</v>
      </c>
      <c r="B13" s="11" t="s">
        <v>2608</v>
      </c>
      <c r="C13" s="11" t="s">
        <v>2609</v>
      </c>
      <c r="D13" s="11" t="s">
        <v>2609</v>
      </c>
      <c r="E13" s="11" t="s">
        <v>2610</v>
      </c>
      <c r="F13" s="11" t="s">
        <v>2608</v>
      </c>
      <c r="G13" s="11" t="s">
        <v>2611</v>
      </c>
      <c r="H13" s="11" t="s">
        <v>2612</v>
      </c>
      <c r="I13" s="11" t="s">
        <v>2608</v>
      </c>
      <c r="J13" s="11" t="s">
        <v>2608</v>
      </c>
      <c r="K13" s="11" t="s">
        <v>71</v>
      </c>
      <c r="L13" s="11" t="s">
        <v>2613</v>
      </c>
      <c r="M13" s="11" t="s">
        <v>35</v>
      </c>
      <c r="N13" s="12" t="s">
        <v>2614</v>
      </c>
    </row>
    <row r="14" customFormat="false" ht="43.25" hidden="false" customHeight="false" outlineLevel="0" collapsed="false">
      <c r="A14" s="10" t="s">
        <v>127</v>
      </c>
      <c r="B14" s="11" t="s">
        <v>2608</v>
      </c>
      <c r="C14" s="11" t="s">
        <v>2609</v>
      </c>
      <c r="D14" s="11" t="s">
        <v>2609</v>
      </c>
      <c r="E14" s="11" t="s">
        <v>2610</v>
      </c>
      <c r="F14" s="11" t="s">
        <v>2608</v>
      </c>
      <c r="G14" s="11" t="s">
        <v>2611</v>
      </c>
      <c r="H14" s="11" t="s">
        <v>2612</v>
      </c>
      <c r="I14" s="11" t="s">
        <v>2608</v>
      </c>
      <c r="J14" s="11" t="s">
        <v>2608</v>
      </c>
      <c r="K14" s="11" t="s">
        <v>71</v>
      </c>
      <c r="L14" s="11" t="s">
        <v>2613</v>
      </c>
      <c r="M14" s="11" t="s">
        <v>35</v>
      </c>
      <c r="N14" s="12" t="s">
        <v>2614</v>
      </c>
    </row>
    <row r="15" customFormat="false" ht="43.25" hidden="false" customHeight="false" outlineLevel="0" collapsed="false">
      <c r="A15" s="10" t="s">
        <v>133</v>
      </c>
      <c r="B15" s="11" t="s">
        <v>2608</v>
      </c>
      <c r="C15" s="11" t="s">
        <v>2609</v>
      </c>
      <c r="D15" s="11" t="s">
        <v>2609</v>
      </c>
      <c r="E15" s="11" t="s">
        <v>2610</v>
      </c>
      <c r="F15" s="11" t="s">
        <v>2608</v>
      </c>
      <c r="G15" s="11" t="s">
        <v>2611</v>
      </c>
      <c r="H15" s="11" t="s">
        <v>2612</v>
      </c>
      <c r="I15" s="11" t="s">
        <v>2608</v>
      </c>
      <c r="J15" s="11" t="s">
        <v>2608</v>
      </c>
      <c r="K15" s="11" t="s">
        <v>71</v>
      </c>
      <c r="L15" s="11" t="s">
        <v>2613</v>
      </c>
      <c r="M15" s="11" t="s">
        <v>35</v>
      </c>
      <c r="N15" s="12" t="s">
        <v>2614</v>
      </c>
    </row>
    <row r="16" customFormat="false" ht="43.25" hidden="false" customHeight="false" outlineLevel="0" collapsed="false">
      <c r="A16" s="10" t="s">
        <v>139</v>
      </c>
      <c r="B16" s="11" t="s">
        <v>2608</v>
      </c>
      <c r="C16" s="11" t="s">
        <v>2609</v>
      </c>
      <c r="D16" s="11" t="s">
        <v>2609</v>
      </c>
      <c r="E16" s="11" t="s">
        <v>2610</v>
      </c>
      <c r="F16" s="11" t="s">
        <v>2608</v>
      </c>
      <c r="G16" s="11" t="s">
        <v>2611</v>
      </c>
      <c r="H16" s="11" t="s">
        <v>2612</v>
      </c>
      <c r="I16" s="11" t="s">
        <v>2608</v>
      </c>
      <c r="J16" s="11" t="s">
        <v>2608</v>
      </c>
      <c r="K16" s="11" t="s">
        <v>71</v>
      </c>
      <c r="L16" s="11" t="s">
        <v>2613</v>
      </c>
      <c r="M16" s="11" t="s">
        <v>35</v>
      </c>
      <c r="N16" s="12" t="s">
        <v>2614</v>
      </c>
    </row>
    <row r="17" customFormat="false" ht="43.25" hidden="false" customHeight="false" outlineLevel="0" collapsed="false">
      <c r="A17" s="10" t="s">
        <v>145</v>
      </c>
      <c r="B17" s="11" t="s">
        <v>2608</v>
      </c>
      <c r="C17" s="11" t="s">
        <v>2609</v>
      </c>
      <c r="D17" s="11" t="s">
        <v>2609</v>
      </c>
      <c r="E17" s="11" t="s">
        <v>2610</v>
      </c>
      <c r="F17" s="11" t="s">
        <v>2608</v>
      </c>
      <c r="G17" s="11" t="s">
        <v>2611</v>
      </c>
      <c r="H17" s="11" t="s">
        <v>2612</v>
      </c>
      <c r="I17" s="11" t="s">
        <v>2608</v>
      </c>
      <c r="J17" s="11" t="s">
        <v>2608</v>
      </c>
      <c r="K17" s="11" t="s">
        <v>71</v>
      </c>
      <c r="L17" s="11" t="s">
        <v>2613</v>
      </c>
      <c r="M17" s="11" t="s">
        <v>35</v>
      </c>
      <c r="N17" s="12" t="s">
        <v>2614</v>
      </c>
    </row>
    <row r="18" customFormat="false" ht="43.25" hidden="false" customHeight="false" outlineLevel="0" collapsed="false">
      <c r="A18" s="10" t="s">
        <v>153</v>
      </c>
      <c r="B18" s="11" t="s">
        <v>2608</v>
      </c>
      <c r="C18" s="11" t="s">
        <v>2609</v>
      </c>
      <c r="D18" s="11" t="s">
        <v>2609</v>
      </c>
      <c r="E18" s="11" t="s">
        <v>2610</v>
      </c>
      <c r="F18" s="11" t="s">
        <v>2608</v>
      </c>
      <c r="G18" s="11" t="s">
        <v>2611</v>
      </c>
      <c r="H18" s="11" t="s">
        <v>2612</v>
      </c>
      <c r="I18" s="11" t="s">
        <v>2608</v>
      </c>
      <c r="J18" s="11" t="s">
        <v>2608</v>
      </c>
      <c r="K18" s="11" t="s">
        <v>71</v>
      </c>
      <c r="L18" s="11" t="s">
        <v>2613</v>
      </c>
      <c r="M18" s="11" t="s">
        <v>35</v>
      </c>
      <c r="N18" s="12" t="s">
        <v>2614</v>
      </c>
    </row>
    <row r="19" customFormat="false" ht="43.25" hidden="false" customHeight="false" outlineLevel="0" collapsed="false">
      <c r="A19" s="10" t="s">
        <v>159</v>
      </c>
      <c r="B19" s="11" t="s">
        <v>2608</v>
      </c>
      <c r="C19" s="11" t="s">
        <v>2609</v>
      </c>
      <c r="D19" s="11" t="s">
        <v>2609</v>
      </c>
      <c r="E19" s="11" t="s">
        <v>2610</v>
      </c>
      <c r="F19" s="11" t="s">
        <v>2608</v>
      </c>
      <c r="G19" s="11" t="s">
        <v>2611</v>
      </c>
      <c r="H19" s="11" t="s">
        <v>2612</v>
      </c>
      <c r="I19" s="11" t="s">
        <v>2608</v>
      </c>
      <c r="J19" s="11" t="s">
        <v>2608</v>
      </c>
      <c r="K19" s="11" t="s">
        <v>71</v>
      </c>
      <c r="L19" s="11" t="s">
        <v>2613</v>
      </c>
      <c r="M19" s="11" t="s">
        <v>35</v>
      </c>
      <c r="N19" s="12" t="s">
        <v>2614</v>
      </c>
    </row>
    <row r="20" customFormat="false" ht="43.25" hidden="false" customHeight="false" outlineLevel="0" collapsed="false">
      <c r="A20" s="10" t="s">
        <v>165</v>
      </c>
      <c r="B20" s="11" t="s">
        <v>2608</v>
      </c>
      <c r="C20" s="11" t="s">
        <v>2609</v>
      </c>
      <c r="D20" s="11" t="s">
        <v>2609</v>
      </c>
      <c r="E20" s="11" t="s">
        <v>2610</v>
      </c>
      <c r="F20" s="11" t="s">
        <v>2608</v>
      </c>
      <c r="G20" s="11" t="s">
        <v>2611</v>
      </c>
      <c r="H20" s="11" t="s">
        <v>2612</v>
      </c>
      <c r="I20" s="11" t="s">
        <v>2608</v>
      </c>
      <c r="J20" s="11" t="s">
        <v>2608</v>
      </c>
      <c r="K20" s="11" t="s">
        <v>71</v>
      </c>
      <c r="L20" s="11" t="s">
        <v>2613</v>
      </c>
      <c r="M20" s="11" t="s">
        <v>35</v>
      </c>
      <c r="N20" s="12" t="s">
        <v>2614</v>
      </c>
    </row>
    <row r="21" customFormat="false" ht="43.25" hidden="false" customHeight="false" outlineLevel="0" collapsed="false">
      <c r="A21" s="10" t="s">
        <v>171</v>
      </c>
      <c r="B21" s="11" t="s">
        <v>2608</v>
      </c>
      <c r="C21" s="11" t="s">
        <v>2609</v>
      </c>
      <c r="D21" s="11" t="s">
        <v>2609</v>
      </c>
      <c r="E21" s="11" t="s">
        <v>2610</v>
      </c>
      <c r="F21" s="11" t="s">
        <v>2608</v>
      </c>
      <c r="G21" s="11" t="s">
        <v>2611</v>
      </c>
      <c r="H21" s="11" t="s">
        <v>2612</v>
      </c>
      <c r="I21" s="11" t="s">
        <v>2608</v>
      </c>
      <c r="J21" s="11" t="s">
        <v>2608</v>
      </c>
      <c r="K21" s="11" t="s">
        <v>71</v>
      </c>
      <c r="L21" s="11" t="s">
        <v>2613</v>
      </c>
      <c r="M21" s="11" t="s">
        <v>35</v>
      </c>
      <c r="N21" s="12" t="s">
        <v>2614</v>
      </c>
    </row>
    <row r="22" customFormat="false" ht="43.25" hidden="false" customHeight="false" outlineLevel="0" collapsed="false">
      <c r="A22" s="10" t="s">
        <v>176</v>
      </c>
      <c r="B22" s="11" t="s">
        <v>2608</v>
      </c>
      <c r="C22" s="11" t="s">
        <v>2609</v>
      </c>
      <c r="D22" s="11" t="s">
        <v>2609</v>
      </c>
      <c r="E22" s="11" t="s">
        <v>2610</v>
      </c>
      <c r="F22" s="11" t="s">
        <v>2608</v>
      </c>
      <c r="G22" s="11" t="s">
        <v>2611</v>
      </c>
      <c r="H22" s="11" t="s">
        <v>2612</v>
      </c>
      <c r="I22" s="11" t="s">
        <v>2608</v>
      </c>
      <c r="J22" s="11" t="s">
        <v>2608</v>
      </c>
      <c r="K22" s="11" t="s">
        <v>71</v>
      </c>
      <c r="L22" s="11" t="s">
        <v>2613</v>
      </c>
      <c r="M22" s="11" t="s">
        <v>35</v>
      </c>
      <c r="N22" s="12" t="s">
        <v>2614</v>
      </c>
    </row>
    <row r="23" customFormat="false" ht="43.25" hidden="false" customHeight="false" outlineLevel="0" collapsed="false">
      <c r="A23" s="10" t="s">
        <v>185</v>
      </c>
      <c r="B23" s="11" t="s">
        <v>2608</v>
      </c>
      <c r="C23" s="11" t="s">
        <v>2609</v>
      </c>
      <c r="D23" s="11" t="s">
        <v>2609</v>
      </c>
      <c r="E23" s="11" t="s">
        <v>2610</v>
      </c>
      <c r="F23" s="11" t="s">
        <v>2608</v>
      </c>
      <c r="G23" s="11" t="s">
        <v>2611</v>
      </c>
      <c r="H23" s="11" t="s">
        <v>2612</v>
      </c>
      <c r="I23" s="11" t="s">
        <v>2608</v>
      </c>
      <c r="J23" s="11" t="s">
        <v>2608</v>
      </c>
      <c r="K23" s="11" t="s">
        <v>71</v>
      </c>
      <c r="L23" s="11" t="s">
        <v>2613</v>
      </c>
      <c r="M23" s="11" t="s">
        <v>35</v>
      </c>
      <c r="N23" s="12" t="s">
        <v>2614</v>
      </c>
    </row>
    <row r="24" customFormat="false" ht="43.25" hidden="false" customHeight="false" outlineLevel="0" collapsed="false">
      <c r="A24" s="10" t="s">
        <v>191</v>
      </c>
      <c r="B24" s="11" t="s">
        <v>2608</v>
      </c>
      <c r="C24" s="11" t="s">
        <v>2609</v>
      </c>
      <c r="D24" s="11" t="s">
        <v>2609</v>
      </c>
      <c r="E24" s="11" t="s">
        <v>2610</v>
      </c>
      <c r="F24" s="11" t="s">
        <v>2608</v>
      </c>
      <c r="G24" s="11" t="s">
        <v>2611</v>
      </c>
      <c r="H24" s="11" t="s">
        <v>2612</v>
      </c>
      <c r="I24" s="11" t="s">
        <v>2608</v>
      </c>
      <c r="J24" s="11" t="s">
        <v>2608</v>
      </c>
      <c r="K24" s="11" t="s">
        <v>71</v>
      </c>
      <c r="L24" s="11" t="s">
        <v>2613</v>
      </c>
      <c r="M24" s="11" t="s">
        <v>35</v>
      </c>
      <c r="N24" s="12" t="s">
        <v>2614</v>
      </c>
    </row>
    <row r="25" customFormat="false" ht="43.25" hidden="false" customHeight="false" outlineLevel="0" collapsed="false">
      <c r="A25" s="10" t="s">
        <v>197</v>
      </c>
      <c r="B25" s="11" t="s">
        <v>2608</v>
      </c>
      <c r="C25" s="11" t="s">
        <v>2609</v>
      </c>
      <c r="D25" s="11" t="s">
        <v>2609</v>
      </c>
      <c r="E25" s="11" t="s">
        <v>2610</v>
      </c>
      <c r="F25" s="11" t="s">
        <v>2608</v>
      </c>
      <c r="G25" s="11" t="s">
        <v>2611</v>
      </c>
      <c r="H25" s="11" t="s">
        <v>2612</v>
      </c>
      <c r="I25" s="11" t="s">
        <v>2608</v>
      </c>
      <c r="J25" s="11" t="s">
        <v>2608</v>
      </c>
      <c r="K25" s="11" t="s">
        <v>71</v>
      </c>
      <c r="L25" s="11" t="s">
        <v>2613</v>
      </c>
      <c r="M25" s="11" t="s">
        <v>35</v>
      </c>
      <c r="N25" s="12" t="s">
        <v>2614</v>
      </c>
    </row>
    <row r="26" customFormat="false" ht="43.25" hidden="false" customHeight="false" outlineLevel="0" collapsed="false">
      <c r="A26" s="10" t="s">
        <v>203</v>
      </c>
      <c r="B26" s="11" t="s">
        <v>2608</v>
      </c>
      <c r="C26" s="11" t="s">
        <v>2609</v>
      </c>
      <c r="D26" s="11" t="s">
        <v>2609</v>
      </c>
      <c r="E26" s="11" t="s">
        <v>2610</v>
      </c>
      <c r="F26" s="11" t="s">
        <v>2608</v>
      </c>
      <c r="G26" s="11" t="s">
        <v>2611</v>
      </c>
      <c r="H26" s="11" t="s">
        <v>2612</v>
      </c>
      <c r="I26" s="11" t="s">
        <v>2608</v>
      </c>
      <c r="J26" s="11" t="s">
        <v>2608</v>
      </c>
      <c r="K26" s="11" t="s">
        <v>71</v>
      </c>
      <c r="L26" s="11" t="s">
        <v>2613</v>
      </c>
      <c r="M26" s="11" t="s">
        <v>35</v>
      </c>
      <c r="N26" s="12" t="s">
        <v>2614</v>
      </c>
    </row>
    <row r="27" customFormat="false" ht="43.25" hidden="false" customHeight="false" outlineLevel="0" collapsed="false">
      <c r="A27" s="10" t="s">
        <v>209</v>
      </c>
      <c r="B27" s="11" t="s">
        <v>2608</v>
      </c>
      <c r="C27" s="11" t="s">
        <v>2609</v>
      </c>
      <c r="D27" s="11" t="s">
        <v>2609</v>
      </c>
      <c r="E27" s="11" t="s">
        <v>2610</v>
      </c>
      <c r="F27" s="11" t="s">
        <v>2608</v>
      </c>
      <c r="G27" s="11" t="s">
        <v>2611</v>
      </c>
      <c r="H27" s="11" t="s">
        <v>2612</v>
      </c>
      <c r="I27" s="11" t="s">
        <v>2608</v>
      </c>
      <c r="J27" s="11" t="s">
        <v>2608</v>
      </c>
      <c r="K27" s="11" t="s">
        <v>71</v>
      </c>
      <c r="L27" s="11" t="s">
        <v>2613</v>
      </c>
      <c r="M27" s="11" t="s">
        <v>35</v>
      </c>
      <c r="N27" s="12" t="s">
        <v>2614</v>
      </c>
    </row>
    <row r="28" customFormat="false" ht="43.25" hidden="false" customHeight="false" outlineLevel="0" collapsed="false">
      <c r="A28" s="10" t="s">
        <v>216</v>
      </c>
      <c r="B28" s="11" t="s">
        <v>2608</v>
      </c>
      <c r="C28" s="11" t="s">
        <v>2609</v>
      </c>
      <c r="D28" s="11" t="s">
        <v>2609</v>
      </c>
      <c r="E28" s="11" t="s">
        <v>2610</v>
      </c>
      <c r="F28" s="11" t="s">
        <v>2608</v>
      </c>
      <c r="G28" s="11" t="s">
        <v>2611</v>
      </c>
      <c r="H28" s="11" t="s">
        <v>2612</v>
      </c>
      <c r="I28" s="11" t="s">
        <v>2608</v>
      </c>
      <c r="J28" s="11" t="s">
        <v>2608</v>
      </c>
      <c r="K28" s="11" t="s">
        <v>71</v>
      </c>
      <c r="L28" s="11" t="s">
        <v>2613</v>
      </c>
      <c r="M28" s="11" t="s">
        <v>35</v>
      </c>
      <c r="N28" s="12" t="s">
        <v>2614</v>
      </c>
    </row>
    <row r="29" customFormat="false" ht="43.25" hidden="false" customHeight="false" outlineLevel="0" collapsed="false">
      <c r="A29" s="10" t="s">
        <v>221</v>
      </c>
      <c r="B29" s="11" t="s">
        <v>2608</v>
      </c>
      <c r="C29" s="11" t="s">
        <v>2609</v>
      </c>
      <c r="D29" s="11" t="s">
        <v>2609</v>
      </c>
      <c r="E29" s="11" t="s">
        <v>2610</v>
      </c>
      <c r="F29" s="11" t="s">
        <v>2608</v>
      </c>
      <c r="G29" s="11" t="s">
        <v>2611</v>
      </c>
      <c r="H29" s="11" t="s">
        <v>2612</v>
      </c>
      <c r="I29" s="11" t="s">
        <v>2608</v>
      </c>
      <c r="J29" s="11" t="s">
        <v>2608</v>
      </c>
      <c r="K29" s="11" t="s">
        <v>71</v>
      </c>
      <c r="L29" s="11" t="s">
        <v>2613</v>
      </c>
      <c r="M29" s="11" t="s">
        <v>35</v>
      </c>
      <c r="N29" s="12" t="s">
        <v>2614</v>
      </c>
    </row>
    <row r="30" customFormat="false" ht="43.25" hidden="false" customHeight="false" outlineLevel="0" collapsed="false">
      <c r="A30" s="10" t="s">
        <v>226</v>
      </c>
      <c r="B30" s="11" t="s">
        <v>2608</v>
      </c>
      <c r="C30" s="11" t="s">
        <v>2609</v>
      </c>
      <c r="D30" s="11" t="s">
        <v>2609</v>
      </c>
      <c r="E30" s="11" t="s">
        <v>2610</v>
      </c>
      <c r="F30" s="11" t="s">
        <v>2608</v>
      </c>
      <c r="G30" s="11" t="s">
        <v>2611</v>
      </c>
      <c r="H30" s="11" t="s">
        <v>2612</v>
      </c>
      <c r="I30" s="11" t="s">
        <v>2608</v>
      </c>
      <c r="J30" s="11" t="s">
        <v>2608</v>
      </c>
      <c r="K30" s="11" t="s">
        <v>71</v>
      </c>
      <c r="L30" s="11" t="s">
        <v>2613</v>
      </c>
      <c r="M30" s="11" t="s">
        <v>237</v>
      </c>
      <c r="N30" s="12" t="s">
        <v>2614</v>
      </c>
    </row>
    <row r="31" customFormat="false" ht="43.25" hidden="false" customHeight="false" outlineLevel="0" collapsed="false">
      <c r="A31" s="10" t="s">
        <v>240</v>
      </c>
      <c r="B31" s="11" t="s">
        <v>2608</v>
      </c>
      <c r="C31" s="11" t="s">
        <v>2609</v>
      </c>
      <c r="D31" s="11" t="s">
        <v>2609</v>
      </c>
      <c r="E31" s="11" t="s">
        <v>2610</v>
      </c>
      <c r="F31" s="11" t="s">
        <v>2608</v>
      </c>
      <c r="G31" s="11" t="s">
        <v>2611</v>
      </c>
      <c r="H31" s="11" t="s">
        <v>2612</v>
      </c>
      <c r="I31" s="11" t="s">
        <v>2608</v>
      </c>
      <c r="J31" s="11" t="s">
        <v>2608</v>
      </c>
      <c r="K31" s="11" t="s">
        <v>71</v>
      </c>
      <c r="L31" s="11" t="s">
        <v>2613</v>
      </c>
      <c r="M31" s="11" t="s">
        <v>237</v>
      </c>
      <c r="N31" s="12" t="s">
        <v>2614</v>
      </c>
    </row>
    <row r="32" customFormat="false" ht="43.25" hidden="false" customHeight="false" outlineLevel="0" collapsed="false">
      <c r="A32" s="10" t="s">
        <v>246</v>
      </c>
      <c r="B32" s="11" t="s">
        <v>2608</v>
      </c>
      <c r="C32" s="11" t="s">
        <v>2609</v>
      </c>
      <c r="D32" s="11" t="s">
        <v>2609</v>
      </c>
      <c r="E32" s="11" t="s">
        <v>2610</v>
      </c>
      <c r="F32" s="11" t="s">
        <v>2608</v>
      </c>
      <c r="G32" s="11" t="s">
        <v>2611</v>
      </c>
      <c r="H32" s="11" t="s">
        <v>2612</v>
      </c>
      <c r="I32" s="11" t="s">
        <v>2608</v>
      </c>
      <c r="J32" s="11" t="s">
        <v>2608</v>
      </c>
      <c r="K32" s="11" t="s">
        <v>71</v>
      </c>
      <c r="L32" s="11" t="s">
        <v>2613</v>
      </c>
      <c r="M32" s="11" t="s">
        <v>237</v>
      </c>
      <c r="N32" s="12" t="s">
        <v>2614</v>
      </c>
    </row>
    <row r="33" customFormat="false" ht="43.25" hidden="false" customHeight="false" outlineLevel="0" collapsed="false">
      <c r="A33" s="10" t="s">
        <v>252</v>
      </c>
      <c r="B33" s="11" t="s">
        <v>2608</v>
      </c>
      <c r="C33" s="11" t="s">
        <v>2609</v>
      </c>
      <c r="D33" s="11" t="s">
        <v>2609</v>
      </c>
      <c r="E33" s="11" t="s">
        <v>2610</v>
      </c>
      <c r="F33" s="11" t="s">
        <v>2608</v>
      </c>
      <c r="G33" s="11" t="s">
        <v>2611</v>
      </c>
      <c r="H33" s="11" t="s">
        <v>2612</v>
      </c>
      <c r="I33" s="11" t="s">
        <v>2608</v>
      </c>
      <c r="J33" s="11" t="s">
        <v>2608</v>
      </c>
      <c r="K33" s="11" t="s">
        <v>71</v>
      </c>
      <c r="L33" s="11" t="s">
        <v>2613</v>
      </c>
      <c r="M33" s="11" t="s">
        <v>35</v>
      </c>
      <c r="N33" s="12" t="s">
        <v>2614</v>
      </c>
    </row>
    <row r="34" customFormat="false" ht="43.25" hidden="false" customHeight="false" outlineLevel="0" collapsed="false">
      <c r="A34" s="10" t="s">
        <v>261</v>
      </c>
      <c r="B34" s="11" t="s">
        <v>2608</v>
      </c>
      <c r="C34" s="11" t="s">
        <v>2609</v>
      </c>
      <c r="D34" s="11" t="s">
        <v>2609</v>
      </c>
      <c r="E34" s="11" t="s">
        <v>2610</v>
      </c>
      <c r="F34" s="11" t="s">
        <v>2608</v>
      </c>
      <c r="G34" s="11" t="s">
        <v>2611</v>
      </c>
      <c r="H34" s="11" t="s">
        <v>2612</v>
      </c>
      <c r="I34" s="11" t="s">
        <v>2608</v>
      </c>
      <c r="J34" s="11" t="s">
        <v>2608</v>
      </c>
      <c r="K34" s="11" t="s">
        <v>71</v>
      </c>
      <c r="L34" s="11" t="s">
        <v>2613</v>
      </c>
      <c r="M34" s="11" t="s">
        <v>35</v>
      </c>
      <c r="N34" s="12" t="s">
        <v>2614</v>
      </c>
    </row>
    <row r="35" customFormat="false" ht="43.25" hidden="false" customHeight="false" outlineLevel="0" collapsed="false">
      <c r="A35" s="13" t="s">
        <v>269</v>
      </c>
      <c r="B35" s="14" t="s">
        <v>2608</v>
      </c>
      <c r="C35" s="14" t="s">
        <v>2609</v>
      </c>
      <c r="D35" s="14" t="s">
        <v>2609</v>
      </c>
      <c r="E35" s="14" t="s">
        <v>2610</v>
      </c>
      <c r="F35" s="14" t="s">
        <v>2608</v>
      </c>
      <c r="G35" s="14" t="s">
        <v>2611</v>
      </c>
      <c r="H35" s="14" t="s">
        <v>2612</v>
      </c>
      <c r="I35" s="14" t="s">
        <v>2608</v>
      </c>
      <c r="J35" s="14" t="s">
        <v>2608</v>
      </c>
      <c r="K35" s="14" t="s">
        <v>71</v>
      </c>
      <c r="L35" s="14" t="s">
        <v>2613</v>
      </c>
      <c r="M35" s="14" t="s">
        <v>35</v>
      </c>
      <c r="N35" s="15" t="s">
        <v>2614</v>
      </c>
    </row>
  </sheetData>
  <autoFilter ref="A1:N35">
    <filterColumn colId="0" hiddenButton="1"/>
  </autoFilter>
  <mergeCells count="2">
    <mergeCell ref="A1:N1"/>
    <mergeCell ref="A2:N2"/>
  </mergeCells>
  <conditionalFormatting sqref="M5:M35">
    <cfRule type="containsText" priority="2" operator="containsText" aboveAverage="0" equalAverage="0" bottom="0" percent="0" rank="0" text="BLOCK" dxfId="151">
      <formula>NOT(ISERROR(SEARCH("BLOCK",M5)))</formula>
    </cfRule>
    <cfRule type="containsText" priority="3" operator="containsText" aboveAverage="0" equalAverage="0" bottom="0" percent="0" rank="0" text="DRAFT" dxfId="152">
      <formula>NOT(ISERROR(SEARCH("DRAFT",M5)))</formula>
    </cfRule>
    <cfRule type="containsText" priority="4" operator="containsText" aboveAverage="0" equalAverage="0" bottom="0" percent="0" rank="0" text="PASS" dxfId="153">
      <formula>NOT(ISERROR(SEARCH("PASS",M5)))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>
  <sheetPr filterMode="true"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6"/>
    <col collapsed="false" customWidth="true" hidden="false" outlineLevel="0" max="9" min="9" style="0" width="38"/>
    <col collapsed="false" customWidth="true" hidden="false" outlineLevel="0" max="12" min="10" style="0" width="16"/>
    <col collapsed="false" customWidth="true" hidden="false" outlineLevel="0" max="13" min="13" style="0" width="24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4" t="s">
        <v>2615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true" outlineLevel="0" collapsed="false">
      <c r="A2" s="5" t="s">
        <v>2616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50" hidden="false" customHeight="true" outlineLevel="0" collapsed="false">
      <c r="A4" s="6" t="s">
        <v>45</v>
      </c>
      <c r="B4" s="6" t="s">
        <v>2596</v>
      </c>
      <c r="C4" s="6" t="s">
        <v>2597</v>
      </c>
      <c r="D4" s="6" t="s">
        <v>2598</v>
      </c>
      <c r="E4" s="6" t="s">
        <v>2599</v>
      </c>
      <c r="F4" s="6" t="s">
        <v>2600</v>
      </c>
      <c r="G4" s="6" t="s">
        <v>2601</v>
      </c>
      <c r="H4" s="6" t="s">
        <v>2602</v>
      </c>
      <c r="I4" s="6" t="s">
        <v>2603</v>
      </c>
      <c r="J4" s="6" t="s">
        <v>2604</v>
      </c>
      <c r="K4" s="6" t="s">
        <v>2605</v>
      </c>
      <c r="L4" s="6" t="s">
        <v>2606</v>
      </c>
      <c r="M4" s="6" t="s">
        <v>57</v>
      </c>
      <c r="N4" s="6" t="s">
        <v>2607</v>
      </c>
    </row>
    <row r="5" customFormat="false" ht="43.25" hidden="false" customHeight="false" outlineLevel="0" collapsed="false">
      <c r="A5" s="7" t="s">
        <v>60</v>
      </c>
      <c r="B5" s="8" t="s">
        <v>2608</v>
      </c>
      <c r="C5" s="8" t="s">
        <v>2609</v>
      </c>
      <c r="D5" s="8" t="s">
        <v>2609</v>
      </c>
      <c r="E5" s="8" t="s">
        <v>2610</v>
      </c>
      <c r="F5" s="8" t="s">
        <v>2608</v>
      </c>
      <c r="G5" s="8" t="s">
        <v>2611</v>
      </c>
      <c r="H5" s="8" t="s">
        <v>2612</v>
      </c>
      <c r="I5" s="8" t="s">
        <v>2608</v>
      </c>
      <c r="J5" s="8" t="s">
        <v>2608</v>
      </c>
      <c r="K5" s="8" t="s">
        <v>71</v>
      </c>
      <c r="L5" s="8" t="s">
        <v>2613</v>
      </c>
      <c r="M5" s="8" t="s">
        <v>35</v>
      </c>
      <c r="N5" s="9" t="s">
        <v>2614</v>
      </c>
    </row>
    <row r="6" customFormat="false" ht="43.25" hidden="false" customHeight="false" outlineLevel="0" collapsed="false">
      <c r="A6" s="10" t="s">
        <v>73</v>
      </c>
      <c r="B6" s="11" t="s">
        <v>2608</v>
      </c>
      <c r="C6" s="11" t="s">
        <v>2609</v>
      </c>
      <c r="D6" s="11" t="s">
        <v>2609</v>
      </c>
      <c r="E6" s="11" t="s">
        <v>2610</v>
      </c>
      <c r="F6" s="11" t="s">
        <v>2608</v>
      </c>
      <c r="G6" s="11" t="s">
        <v>2611</v>
      </c>
      <c r="H6" s="11" t="s">
        <v>2612</v>
      </c>
      <c r="I6" s="11" t="s">
        <v>2608</v>
      </c>
      <c r="J6" s="11" t="s">
        <v>2608</v>
      </c>
      <c r="K6" s="11" t="s">
        <v>71</v>
      </c>
      <c r="L6" s="11" t="s">
        <v>2613</v>
      </c>
      <c r="M6" s="11" t="s">
        <v>35</v>
      </c>
      <c r="N6" s="12" t="s">
        <v>2614</v>
      </c>
    </row>
    <row r="7" customFormat="false" ht="43.25" hidden="false" customHeight="false" outlineLevel="0" collapsed="false">
      <c r="A7" s="10" t="s">
        <v>79</v>
      </c>
      <c r="B7" s="11" t="s">
        <v>2608</v>
      </c>
      <c r="C7" s="11" t="s">
        <v>2609</v>
      </c>
      <c r="D7" s="11" t="s">
        <v>2609</v>
      </c>
      <c r="E7" s="11" t="s">
        <v>2610</v>
      </c>
      <c r="F7" s="11" t="s">
        <v>2608</v>
      </c>
      <c r="G7" s="11" t="s">
        <v>2611</v>
      </c>
      <c r="H7" s="11" t="s">
        <v>2612</v>
      </c>
      <c r="I7" s="11" t="s">
        <v>2608</v>
      </c>
      <c r="J7" s="11" t="s">
        <v>2608</v>
      </c>
      <c r="K7" s="11" t="s">
        <v>71</v>
      </c>
      <c r="L7" s="11" t="s">
        <v>2613</v>
      </c>
      <c r="M7" s="11" t="s">
        <v>35</v>
      </c>
      <c r="N7" s="12" t="s">
        <v>2614</v>
      </c>
    </row>
    <row r="8" customFormat="false" ht="43.25" hidden="false" customHeight="false" outlineLevel="0" collapsed="false">
      <c r="A8" s="10" t="s">
        <v>85</v>
      </c>
      <c r="B8" s="11" t="s">
        <v>2608</v>
      </c>
      <c r="C8" s="11" t="s">
        <v>2609</v>
      </c>
      <c r="D8" s="11" t="s">
        <v>2609</v>
      </c>
      <c r="E8" s="11" t="s">
        <v>2610</v>
      </c>
      <c r="F8" s="11" t="s">
        <v>2608</v>
      </c>
      <c r="G8" s="11" t="s">
        <v>2611</v>
      </c>
      <c r="H8" s="11" t="s">
        <v>2612</v>
      </c>
      <c r="I8" s="11" t="s">
        <v>2608</v>
      </c>
      <c r="J8" s="11" t="s">
        <v>2608</v>
      </c>
      <c r="K8" s="11" t="s">
        <v>71</v>
      </c>
      <c r="L8" s="11" t="s">
        <v>2613</v>
      </c>
      <c r="M8" s="11" t="s">
        <v>35</v>
      </c>
      <c r="N8" s="12" t="s">
        <v>2614</v>
      </c>
    </row>
    <row r="9" customFormat="false" ht="43.25" hidden="false" customHeight="false" outlineLevel="0" collapsed="false">
      <c r="A9" s="10" t="s">
        <v>90</v>
      </c>
      <c r="B9" s="11" t="s">
        <v>2608</v>
      </c>
      <c r="C9" s="11" t="s">
        <v>2609</v>
      </c>
      <c r="D9" s="11" t="s">
        <v>2609</v>
      </c>
      <c r="E9" s="11" t="s">
        <v>2610</v>
      </c>
      <c r="F9" s="11" t="s">
        <v>2608</v>
      </c>
      <c r="G9" s="11" t="s">
        <v>2611</v>
      </c>
      <c r="H9" s="11" t="s">
        <v>2612</v>
      </c>
      <c r="I9" s="11" t="s">
        <v>2608</v>
      </c>
      <c r="J9" s="11" t="s">
        <v>2608</v>
      </c>
      <c r="K9" s="11" t="s">
        <v>71</v>
      </c>
      <c r="L9" s="11" t="s">
        <v>2613</v>
      </c>
      <c r="M9" s="11" t="s">
        <v>35</v>
      </c>
      <c r="N9" s="12" t="s">
        <v>2614</v>
      </c>
    </row>
    <row r="10" customFormat="false" ht="43.25" hidden="false" customHeight="false" outlineLevel="0" collapsed="false">
      <c r="A10" s="10" t="s">
        <v>99</v>
      </c>
      <c r="B10" s="11" t="s">
        <v>2608</v>
      </c>
      <c r="C10" s="11" t="s">
        <v>2609</v>
      </c>
      <c r="D10" s="11" t="s">
        <v>2609</v>
      </c>
      <c r="E10" s="11" t="s">
        <v>2610</v>
      </c>
      <c r="F10" s="11" t="s">
        <v>2608</v>
      </c>
      <c r="G10" s="11" t="s">
        <v>2611</v>
      </c>
      <c r="H10" s="11" t="s">
        <v>2612</v>
      </c>
      <c r="I10" s="11" t="s">
        <v>2608</v>
      </c>
      <c r="J10" s="11" t="s">
        <v>2608</v>
      </c>
      <c r="K10" s="11" t="s">
        <v>71</v>
      </c>
      <c r="L10" s="11" t="s">
        <v>2613</v>
      </c>
      <c r="M10" s="11" t="s">
        <v>35</v>
      </c>
      <c r="N10" s="12" t="s">
        <v>2614</v>
      </c>
    </row>
    <row r="11" customFormat="false" ht="43.25" hidden="false" customHeight="false" outlineLevel="0" collapsed="false">
      <c r="A11" s="10" t="s">
        <v>105</v>
      </c>
      <c r="B11" s="11" t="s">
        <v>2608</v>
      </c>
      <c r="C11" s="11" t="s">
        <v>2609</v>
      </c>
      <c r="D11" s="11" t="s">
        <v>2609</v>
      </c>
      <c r="E11" s="11" t="s">
        <v>2610</v>
      </c>
      <c r="F11" s="11" t="s">
        <v>2608</v>
      </c>
      <c r="G11" s="11" t="s">
        <v>2611</v>
      </c>
      <c r="H11" s="11" t="s">
        <v>2612</v>
      </c>
      <c r="I11" s="11" t="s">
        <v>2608</v>
      </c>
      <c r="J11" s="11" t="s">
        <v>2608</v>
      </c>
      <c r="K11" s="11" t="s">
        <v>71</v>
      </c>
      <c r="L11" s="11" t="s">
        <v>2613</v>
      </c>
      <c r="M11" s="11" t="s">
        <v>35</v>
      </c>
      <c r="N11" s="12" t="s">
        <v>2614</v>
      </c>
    </row>
    <row r="12" customFormat="false" ht="43.25" hidden="false" customHeight="false" outlineLevel="0" collapsed="false">
      <c r="A12" s="10" t="s">
        <v>112</v>
      </c>
      <c r="B12" s="11" t="s">
        <v>2608</v>
      </c>
      <c r="C12" s="11" t="s">
        <v>2609</v>
      </c>
      <c r="D12" s="11" t="s">
        <v>2609</v>
      </c>
      <c r="E12" s="11" t="s">
        <v>2610</v>
      </c>
      <c r="F12" s="11" t="s">
        <v>2608</v>
      </c>
      <c r="G12" s="11" t="s">
        <v>2611</v>
      </c>
      <c r="H12" s="11" t="s">
        <v>2612</v>
      </c>
      <c r="I12" s="11" t="s">
        <v>2608</v>
      </c>
      <c r="J12" s="11" t="s">
        <v>2608</v>
      </c>
      <c r="K12" s="11" t="s">
        <v>71</v>
      </c>
      <c r="L12" s="11" t="s">
        <v>2613</v>
      </c>
      <c r="M12" s="11" t="s">
        <v>35</v>
      </c>
      <c r="N12" s="12" t="s">
        <v>2614</v>
      </c>
    </row>
    <row r="13" customFormat="false" ht="43.25" hidden="false" customHeight="false" outlineLevel="0" collapsed="false">
      <c r="A13" s="10" t="s">
        <v>119</v>
      </c>
      <c r="B13" s="11" t="s">
        <v>2608</v>
      </c>
      <c r="C13" s="11" t="s">
        <v>2609</v>
      </c>
      <c r="D13" s="11" t="s">
        <v>2609</v>
      </c>
      <c r="E13" s="11" t="s">
        <v>2610</v>
      </c>
      <c r="F13" s="11" t="s">
        <v>2608</v>
      </c>
      <c r="G13" s="11" t="s">
        <v>2611</v>
      </c>
      <c r="H13" s="11" t="s">
        <v>2612</v>
      </c>
      <c r="I13" s="11" t="s">
        <v>2608</v>
      </c>
      <c r="J13" s="11" t="s">
        <v>2608</v>
      </c>
      <c r="K13" s="11" t="s">
        <v>71</v>
      </c>
      <c r="L13" s="11" t="s">
        <v>2613</v>
      </c>
      <c r="M13" s="11" t="s">
        <v>35</v>
      </c>
      <c r="N13" s="12" t="s">
        <v>2614</v>
      </c>
    </row>
    <row r="14" customFormat="false" ht="43.25" hidden="false" customHeight="false" outlineLevel="0" collapsed="false">
      <c r="A14" s="10" t="s">
        <v>127</v>
      </c>
      <c r="B14" s="11" t="s">
        <v>2608</v>
      </c>
      <c r="C14" s="11" t="s">
        <v>2609</v>
      </c>
      <c r="D14" s="11" t="s">
        <v>2609</v>
      </c>
      <c r="E14" s="11" t="s">
        <v>2610</v>
      </c>
      <c r="F14" s="11" t="s">
        <v>2608</v>
      </c>
      <c r="G14" s="11" t="s">
        <v>2611</v>
      </c>
      <c r="H14" s="11" t="s">
        <v>2612</v>
      </c>
      <c r="I14" s="11" t="s">
        <v>2608</v>
      </c>
      <c r="J14" s="11" t="s">
        <v>2608</v>
      </c>
      <c r="K14" s="11" t="s">
        <v>71</v>
      </c>
      <c r="L14" s="11" t="s">
        <v>2613</v>
      </c>
      <c r="M14" s="11" t="s">
        <v>35</v>
      </c>
      <c r="N14" s="12" t="s">
        <v>2614</v>
      </c>
    </row>
    <row r="15" customFormat="false" ht="43.25" hidden="false" customHeight="false" outlineLevel="0" collapsed="false">
      <c r="A15" s="10" t="s">
        <v>133</v>
      </c>
      <c r="B15" s="11" t="s">
        <v>2608</v>
      </c>
      <c r="C15" s="11" t="s">
        <v>2609</v>
      </c>
      <c r="D15" s="11" t="s">
        <v>2609</v>
      </c>
      <c r="E15" s="11" t="s">
        <v>2610</v>
      </c>
      <c r="F15" s="11" t="s">
        <v>2608</v>
      </c>
      <c r="G15" s="11" t="s">
        <v>2611</v>
      </c>
      <c r="H15" s="11" t="s">
        <v>2612</v>
      </c>
      <c r="I15" s="11" t="s">
        <v>2608</v>
      </c>
      <c r="J15" s="11" t="s">
        <v>2608</v>
      </c>
      <c r="K15" s="11" t="s">
        <v>71</v>
      </c>
      <c r="L15" s="11" t="s">
        <v>2613</v>
      </c>
      <c r="M15" s="11" t="s">
        <v>35</v>
      </c>
      <c r="N15" s="12" t="s">
        <v>2614</v>
      </c>
    </row>
    <row r="16" customFormat="false" ht="43.25" hidden="false" customHeight="false" outlineLevel="0" collapsed="false">
      <c r="A16" s="10" t="s">
        <v>139</v>
      </c>
      <c r="B16" s="11" t="s">
        <v>2608</v>
      </c>
      <c r="C16" s="11" t="s">
        <v>2609</v>
      </c>
      <c r="D16" s="11" t="s">
        <v>2609</v>
      </c>
      <c r="E16" s="11" t="s">
        <v>2610</v>
      </c>
      <c r="F16" s="11" t="s">
        <v>2608</v>
      </c>
      <c r="G16" s="11" t="s">
        <v>2611</v>
      </c>
      <c r="H16" s="11" t="s">
        <v>2612</v>
      </c>
      <c r="I16" s="11" t="s">
        <v>2608</v>
      </c>
      <c r="J16" s="11" t="s">
        <v>2608</v>
      </c>
      <c r="K16" s="11" t="s">
        <v>71</v>
      </c>
      <c r="L16" s="11" t="s">
        <v>2613</v>
      </c>
      <c r="M16" s="11" t="s">
        <v>35</v>
      </c>
      <c r="N16" s="12" t="s">
        <v>2614</v>
      </c>
    </row>
    <row r="17" customFormat="false" ht="43.25" hidden="false" customHeight="false" outlineLevel="0" collapsed="false">
      <c r="A17" s="10" t="s">
        <v>145</v>
      </c>
      <c r="B17" s="11" t="s">
        <v>2608</v>
      </c>
      <c r="C17" s="11" t="s">
        <v>2609</v>
      </c>
      <c r="D17" s="11" t="s">
        <v>2609</v>
      </c>
      <c r="E17" s="11" t="s">
        <v>2610</v>
      </c>
      <c r="F17" s="11" t="s">
        <v>2608</v>
      </c>
      <c r="G17" s="11" t="s">
        <v>2611</v>
      </c>
      <c r="H17" s="11" t="s">
        <v>2612</v>
      </c>
      <c r="I17" s="11" t="s">
        <v>2608</v>
      </c>
      <c r="J17" s="11" t="s">
        <v>2608</v>
      </c>
      <c r="K17" s="11" t="s">
        <v>71</v>
      </c>
      <c r="L17" s="11" t="s">
        <v>2613</v>
      </c>
      <c r="M17" s="11" t="s">
        <v>35</v>
      </c>
      <c r="N17" s="12" t="s">
        <v>2614</v>
      </c>
    </row>
    <row r="18" customFormat="false" ht="43.25" hidden="false" customHeight="false" outlineLevel="0" collapsed="false">
      <c r="A18" s="10" t="s">
        <v>153</v>
      </c>
      <c r="B18" s="11" t="s">
        <v>2608</v>
      </c>
      <c r="C18" s="11" t="s">
        <v>2609</v>
      </c>
      <c r="D18" s="11" t="s">
        <v>2609</v>
      </c>
      <c r="E18" s="11" t="s">
        <v>2610</v>
      </c>
      <c r="F18" s="11" t="s">
        <v>2608</v>
      </c>
      <c r="G18" s="11" t="s">
        <v>2611</v>
      </c>
      <c r="H18" s="11" t="s">
        <v>2612</v>
      </c>
      <c r="I18" s="11" t="s">
        <v>2608</v>
      </c>
      <c r="J18" s="11" t="s">
        <v>2608</v>
      </c>
      <c r="K18" s="11" t="s">
        <v>71</v>
      </c>
      <c r="L18" s="11" t="s">
        <v>2613</v>
      </c>
      <c r="M18" s="11" t="s">
        <v>35</v>
      </c>
      <c r="N18" s="12" t="s">
        <v>2614</v>
      </c>
    </row>
    <row r="19" customFormat="false" ht="43.25" hidden="false" customHeight="false" outlineLevel="0" collapsed="false">
      <c r="A19" s="10" t="s">
        <v>159</v>
      </c>
      <c r="B19" s="11" t="s">
        <v>2608</v>
      </c>
      <c r="C19" s="11" t="s">
        <v>2609</v>
      </c>
      <c r="D19" s="11" t="s">
        <v>2609</v>
      </c>
      <c r="E19" s="11" t="s">
        <v>2610</v>
      </c>
      <c r="F19" s="11" t="s">
        <v>2608</v>
      </c>
      <c r="G19" s="11" t="s">
        <v>2611</v>
      </c>
      <c r="H19" s="11" t="s">
        <v>2612</v>
      </c>
      <c r="I19" s="11" t="s">
        <v>2608</v>
      </c>
      <c r="J19" s="11" t="s">
        <v>2608</v>
      </c>
      <c r="K19" s="11" t="s">
        <v>71</v>
      </c>
      <c r="L19" s="11" t="s">
        <v>2613</v>
      </c>
      <c r="M19" s="11" t="s">
        <v>35</v>
      </c>
      <c r="N19" s="12" t="s">
        <v>2614</v>
      </c>
    </row>
    <row r="20" customFormat="false" ht="43.25" hidden="false" customHeight="false" outlineLevel="0" collapsed="false">
      <c r="A20" s="10" t="s">
        <v>165</v>
      </c>
      <c r="B20" s="11" t="s">
        <v>2608</v>
      </c>
      <c r="C20" s="11" t="s">
        <v>2609</v>
      </c>
      <c r="D20" s="11" t="s">
        <v>2609</v>
      </c>
      <c r="E20" s="11" t="s">
        <v>2610</v>
      </c>
      <c r="F20" s="11" t="s">
        <v>2608</v>
      </c>
      <c r="G20" s="11" t="s">
        <v>2611</v>
      </c>
      <c r="H20" s="11" t="s">
        <v>2612</v>
      </c>
      <c r="I20" s="11" t="s">
        <v>2608</v>
      </c>
      <c r="J20" s="11" t="s">
        <v>2608</v>
      </c>
      <c r="K20" s="11" t="s">
        <v>71</v>
      </c>
      <c r="L20" s="11" t="s">
        <v>2613</v>
      </c>
      <c r="M20" s="11" t="s">
        <v>35</v>
      </c>
      <c r="N20" s="12" t="s">
        <v>2614</v>
      </c>
    </row>
    <row r="21" customFormat="false" ht="43.25" hidden="false" customHeight="false" outlineLevel="0" collapsed="false">
      <c r="A21" s="10" t="s">
        <v>171</v>
      </c>
      <c r="B21" s="11" t="s">
        <v>2608</v>
      </c>
      <c r="C21" s="11" t="s">
        <v>2609</v>
      </c>
      <c r="D21" s="11" t="s">
        <v>2609</v>
      </c>
      <c r="E21" s="11" t="s">
        <v>2610</v>
      </c>
      <c r="F21" s="11" t="s">
        <v>2608</v>
      </c>
      <c r="G21" s="11" t="s">
        <v>2611</v>
      </c>
      <c r="H21" s="11" t="s">
        <v>2612</v>
      </c>
      <c r="I21" s="11" t="s">
        <v>2608</v>
      </c>
      <c r="J21" s="11" t="s">
        <v>2608</v>
      </c>
      <c r="K21" s="11" t="s">
        <v>71</v>
      </c>
      <c r="L21" s="11" t="s">
        <v>2613</v>
      </c>
      <c r="M21" s="11" t="s">
        <v>35</v>
      </c>
      <c r="N21" s="12" t="s">
        <v>2614</v>
      </c>
    </row>
    <row r="22" customFormat="false" ht="43.25" hidden="false" customHeight="false" outlineLevel="0" collapsed="false">
      <c r="A22" s="10" t="s">
        <v>176</v>
      </c>
      <c r="B22" s="11" t="s">
        <v>2608</v>
      </c>
      <c r="C22" s="11" t="s">
        <v>2609</v>
      </c>
      <c r="D22" s="11" t="s">
        <v>2609</v>
      </c>
      <c r="E22" s="11" t="s">
        <v>2610</v>
      </c>
      <c r="F22" s="11" t="s">
        <v>2608</v>
      </c>
      <c r="G22" s="11" t="s">
        <v>2611</v>
      </c>
      <c r="H22" s="11" t="s">
        <v>2612</v>
      </c>
      <c r="I22" s="11" t="s">
        <v>2608</v>
      </c>
      <c r="J22" s="11" t="s">
        <v>2608</v>
      </c>
      <c r="K22" s="11" t="s">
        <v>71</v>
      </c>
      <c r="L22" s="11" t="s">
        <v>2613</v>
      </c>
      <c r="M22" s="11" t="s">
        <v>35</v>
      </c>
      <c r="N22" s="12" t="s">
        <v>2614</v>
      </c>
    </row>
    <row r="23" customFormat="false" ht="43.25" hidden="false" customHeight="false" outlineLevel="0" collapsed="false">
      <c r="A23" s="10" t="s">
        <v>185</v>
      </c>
      <c r="B23" s="11" t="s">
        <v>2608</v>
      </c>
      <c r="C23" s="11" t="s">
        <v>2609</v>
      </c>
      <c r="D23" s="11" t="s">
        <v>2609</v>
      </c>
      <c r="E23" s="11" t="s">
        <v>2610</v>
      </c>
      <c r="F23" s="11" t="s">
        <v>2608</v>
      </c>
      <c r="G23" s="11" t="s">
        <v>2611</v>
      </c>
      <c r="H23" s="11" t="s">
        <v>2612</v>
      </c>
      <c r="I23" s="11" t="s">
        <v>2608</v>
      </c>
      <c r="J23" s="11" t="s">
        <v>2608</v>
      </c>
      <c r="K23" s="11" t="s">
        <v>71</v>
      </c>
      <c r="L23" s="11" t="s">
        <v>2613</v>
      </c>
      <c r="M23" s="11" t="s">
        <v>35</v>
      </c>
      <c r="N23" s="12" t="s">
        <v>2614</v>
      </c>
    </row>
    <row r="24" customFormat="false" ht="43.25" hidden="false" customHeight="false" outlineLevel="0" collapsed="false">
      <c r="A24" s="10" t="s">
        <v>191</v>
      </c>
      <c r="B24" s="11" t="s">
        <v>2608</v>
      </c>
      <c r="C24" s="11" t="s">
        <v>2609</v>
      </c>
      <c r="D24" s="11" t="s">
        <v>2609</v>
      </c>
      <c r="E24" s="11" t="s">
        <v>2610</v>
      </c>
      <c r="F24" s="11" t="s">
        <v>2608</v>
      </c>
      <c r="G24" s="11" t="s">
        <v>2611</v>
      </c>
      <c r="H24" s="11" t="s">
        <v>2612</v>
      </c>
      <c r="I24" s="11" t="s">
        <v>2608</v>
      </c>
      <c r="J24" s="11" t="s">
        <v>2608</v>
      </c>
      <c r="K24" s="11" t="s">
        <v>71</v>
      </c>
      <c r="L24" s="11" t="s">
        <v>2613</v>
      </c>
      <c r="M24" s="11" t="s">
        <v>35</v>
      </c>
      <c r="N24" s="12" t="s">
        <v>2614</v>
      </c>
    </row>
    <row r="25" customFormat="false" ht="43.25" hidden="false" customHeight="false" outlineLevel="0" collapsed="false">
      <c r="A25" s="10" t="s">
        <v>197</v>
      </c>
      <c r="B25" s="11" t="s">
        <v>2608</v>
      </c>
      <c r="C25" s="11" t="s">
        <v>2609</v>
      </c>
      <c r="D25" s="11" t="s">
        <v>2609</v>
      </c>
      <c r="E25" s="11" t="s">
        <v>2610</v>
      </c>
      <c r="F25" s="11" t="s">
        <v>2608</v>
      </c>
      <c r="G25" s="11" t="s">
        <v>2611</v>
      </c>
      <c r="H25" s="11" t="s">
        <v>2612</v>
      </c>
      <c r="I25" s="11" t="s">
        <v>2608</v>
      </c>
      <c r="J25" s="11" t="s">
        <v>2608</v>
      </c>
      <c r="K25" s="11" t="s">
        <v>71</v>
      </c>
      <c r="L25" s="11" t="s">
        <v>2613</v>
      </c>
      <c r="M25" s="11" t="s">
        <v>35</v>
      </c>
      <c r="N25" s="12" t="s">
        <v>2614</v>
      </c>
    </row>
    <row r="26" customFormat="false" ht="43.25" hidden="false" customHeight="false" outlineLevel="0" collapsed="false">
      <c r="A26" s="10" t="s">
        <v>203</v>
      </c>
      <c r="B26" s="11" t="s">
        <v>2608</v>
      </c>
      <c r="C26" s="11" t="s">
        <v>2609</v>
      </c>
      <c r="D26" s="11" t="s">
        <v>2609</v>
      </c>
      <c r="E26" s="11" t="s">
        <v>2610</v>
      </c>
      <c r="F26" s="11" t="s">
        <v>2608</v>
      </c>
      <c r="G26" s="11" t="s">
        <v>2611</v>
      </c>
      <c r="H26" s="11" t="s">
        <v>2612</v>
      </c>
      <c r="I26" s="11" t="s">
        <v>2608</v>
      </c>
      <c r="J26" s="11" t="s">
        <v>2608</v>
      </c>
      <c r="K26" s="11" t="s">
        <v>71</v>
      </c>
      <c r="L26" s="11" t="s">
        <v>2613</v>
      </c>
      <c r="M26" s="11" t="s">
        <v>35</v>
      </c>
      <c r="N26" s="12" t="s">
        <v>2614</v>
      </c>
    </row>
    <row r="27" customFormat="false" ht="43.25" hidden="false" customHeight="false" outlineLevel="0" collapsed="false">
      <c r="A27" s="10" t="s">
        <v>209</v>
      </c>
      <c r="B27" s="11" t="s">
        <v>2608</v>
      </c>
      <c r="C27" s="11" t="s">
        <v>2609</v>
      </c>
      <c r="D27" s="11" t="s">
        <v>2609</v>
      </c>
      <c r="E27" s="11" t="s">
        <v>2610</v>
      </c>
      <c r="F27" s="11" t="s">
        <v>2608</v>
      </c>
      <c r="G27" s="11" t="s">
        <v>2611</v>
      </c>
      <c r="H27" s="11" t="s">
        <v>2612</v>
      </c>
      <c r="I27" s="11" t="s">
        <v>2608</v>
      </c>
      <c r="J27" s="11" t="s">
        <v>2608</v>
      </c>
      <c r="K27" s="11" t="s">
        <v>71</v>
      </c>
      <c r="L27" s="11" t="s">
        <v>2613</v>
      </c>
      <c r="M27" s="11" t="s">
        <v>35</v>
      </c>
      <c r="N27" s="12" t="s">
        <v>2614</v>
      </c>
    </row>
    <row r="28" customFormat="false" ht="43.25" hidden="false" customHeight="false" outlineLevel="0" collapsed="false">
      <c r="A28" s="10" t="s">
        <v>216</v>
      </c>
      <c r="B28" s="11" t="s">
        <v>2608</v>
      </c>
      <c r="C28" s="11" t="s">
        <v>2609</v>
      </c>
      <c r="D28" s="11" t="s">
        <v>2609</v>
      </c>
      <c r="E28" s="11" t="s">
        <v>2610</v>
      </c>
      <c r="F28" s="11" t="s">
        <v>2608</v>
      </c>
      <c r="G28" s="11" t="s">
        <v>2611</v>
      </c>
      <c r="H28" s="11" t="s">
        <v>2612</v>
      </c>
      <c r="I28" s="11" t="s">
        <v>2608</v>
      </c>
      <c r="J28" s="11" t="s">
        <v>2608</v>
      </c>
      <c r="K28" s="11" t="s">
        <v>71</v>
      </c>
      <c r="L28" s="11" t="s">
        <v>2613</v>
      </c>
      <c r="M28" s="11" t="s">
        <v>35</v>
      </c>
      <c r="N28" s="12" t="s">
        <v>2614</v>
      </c>
    </row>
    <row r="29" customFormat="false" ht="43.25" hidden="false" customHeight="false" outlineLevel="0" collapsed="false">
      <c r="A29" s="10" t="s">
        <v>221</v>
      </c>
      <c r="B29" s="11" t="s">
        <v>2608</v>
      </c>
      <c r="C29" s="11" t="s">
        <v>2609</v>
      </c>
      <c r="D29" s="11" t="s">
        <v>2609</v>
      </c>
      <c r="E29" s="11" t="s">
        <v>2610</v>
      </c>
      <c r="F29" s="11" t="s">
        <v>2608</v>
      </c>
      <c r="G29" s="11" t="s">
        <v>2611</v>
      </c>
      <c r="H29" s="11" t="s">
        <v>2612</v>
      </c>
      <c r="I29" s="11" t="s">
        <v>2608</v>
      </c>
      <c r="J29" s="11" t="s">
        <v>2608</v>
      </c>
      <c r="K29" s="11" t="s">
        <v>71</v>
      </c>
      <c r="L29" s="11" t="s">
        <v>2613</v>
      </c>
      <c r="M29" s="11" t="s">
        <v>35</v>
      </c>
      <c r="N29" s="12" t="s">
        <v>2614</v>
      </c>
    </row>
    <row r="30" customFormat="false" ht="43.25" hidden="false" customHeight="false" outlineLevel="0" collapsed="false">
      <c r="A30" s="10" t="s">
        <v>226</v>
      </c>
      <c r="B30" s="11" t="s">
        <v>2608</v>
      </c>
      <c r="C30" s="11" t="s">
        <v>2609</v>
      </c>
      <c r="D30" s="11" t="s">
        <v>2609</v>
      </c>
      <c r="E30" s="11" t="s">
        <v>2610</v>
      </c>
      <c r="F30" s="11" t="s">
        <v>2608</v>
      </c>
      <c r="G30" s="11" t="s">
        <v>2611</v>
      </c>
      <c r="H30" s="11" t="s">
        <v>2612</v>
      </c>
      <c r="I30" s="11" t="s">
        <v>2608</v>
      </c>
      <c r="J30" s="11" t="s">
        <v>2608</v>
      </c>
      <c r="K30" s="11" t="s">
        <v>71</v>
      </c>
      <c r="L30" s="11" t="s">
        <v>2613</v>
      </c>
      <c r="M30" s="11" t="s">
        <v>237</v>
      </c>
      <c r="N30" s="12" t="s">
        <v>2614</v>
      </c>
    </row>
    <row r="31" customFormat="false" ht="43.25" hidden="false" customHeight="false" outlineLevel="0" collapsed="false">
      <c r="A31" s="10" t="s">
        <v>240</v>
      </c>
      <c r="B31" s="11" t="s">
        <v>2608</v>
      </c>
      <c r="C31" s="11" t="s">
        <v>2609</v>
      </c>
      <c r="D31" s="11" t="s">
        <v>2609</v>
      </c>
      <c r="E31" s="11" t="s">
        <v>2610</v>
      </c>
      <c r="F31" s="11" t="s">
        <v>2608</v>
      </c>
      <c r="G31" s="11" t="s">
        <v>2611</v>
      </c>
      <c r="H31" s="11" t="s">
        <v>2612</v>
      </c>
      <c r="I31" s="11" t="s">
        <v>2608</v>
      </c>
      <c r="J31" s="11" t="s">
        <v>2608</v>
      </c>
      <c r="K31" s="11" t="s">
        <v>71</v>
      </c>
      <c r="L31" s="11" t="s">
        <v>2613</v>
      </c>
      <c r="M31" s="11" t="s">
        <v>237</v>
      </c>
      <c r="N31" s="12" t="s">
        <v>2614</v>
      </c>
    </row>
    <row r="32" customFormat="false" ht="43.25" hidden="false" customHeight="false" outlineLevel="0" collapsed="false">
      <c r="A32" s="10" t="s">
        <v>246</v>
      </c>
      <c r="B32" s="11" t="s">
        <v>2608</v>
      </c>
      <c r="C32" s="11" t="s">
        <v>2609</v>
      </c>
      <c r="D32" s="11" t="s">
        <v>2609</v>
      </c>
      <c r="E32" s="11" t="s">
        <v>2610</v>
      </c>
      <c r="F32" s="11" t="s">
        <v>2608</v>
      </c>
      <c r="G32" s="11" t="s">
        <v>2611</v>
      </c>
      <c r="H32" s="11" t="s">
        <v>2612</v>
      </c>
      <c r="I32" s="11" t="s">
        <v>2608</v>
      </c>
      <c r="J32" s="11" t="s">
        <v>2608</v>
      </c>
      <c r="K32" s="11" t="s">
        <v>71</v>
      </c>
      <c r="L32" s="11" t="s">
        <v>2613</v>
      </c>
      <c r="M32" s="11" t="s">
        <v>237</v>
      </c>
      <c r="N32" s="12" t="s">
        <v>2614</v>
      </c>
    </row>
    <row r="33" customFormat="false" ht="43.25" hidden="false" customHeight="false" outlineLevel="0" collapsed="false">
      <c r="A33" s="10" t="s">
        <v>252</v>
      </c>
      <c r="B33" s="11" t="s">
        <v>2608</v>
      </c>
      <c r="C33" s="11" t="s">
        <v>2609</v>
      </c>
      <c r="D33" s="11" t="s">
        <v>2609</v>
      </c>
      <c r="E33" s="11" t="s">
        <v>2610</v>
      </c>
      <c r="F33" s="11" t="s">
        <v>2608</v>
      </c>
      <c r="G33" s="11" t="s">
        <v>2611</v>
      </c>
      <c r="H33" s="11" t="s">
        <v>2612</v>
      </c>
      <c r="I33" s="11" t="s">
        <v>2608</v>
      </c>
      <c r="J33" s="11" t="s">
        <v>2608</v>
      </c>
      <c r="K33" s="11" t="s">
        <v>71</v>
      </c>
      <c r="L33" s="11" t="s">
        <v>2613</v>
      </c>
      <c r="M33" s="11" t="s">
        <v>35</v>
      </c>
      <c r="N33" s="12" t="s">
        <v>2614</v>
      </c>
    </row>
    <row r="34" customFormat="false" ht="43.25" hidden="false" customHeight="false" outlineLevel="0" collapsed="false">
      <c r="A34" s="10" t="s">
        <v>261</v>
      </c>
      <c r="B34" s="11" t="s">
        <v>2608</v>
      </c>
      <c r="C34" s="11" t="s">
        <v>2609</v>
      </c>
      <c r="D34" s="11" t="s">
        <v>2609</v>
      </c>
      <c r="E34" s="11" t="s">
        <v>2610</v>
      </c>
      <c r="F34" s="11" t="s">
        <v>2608</v>
      </c>
      <c r="G34" s="11" t="s">
        <v>2611</v>
      </c>
      <c r="H34" s="11" t="s">
        <v>2612</v>
      </c>
      <c r="I34" s="11" t="s">
        <v>2608</v>
      </c>
      <c r="J34" s="11" t="s">
        <v>2608</v>
      </c>
      <c r="K34" s="11" t="s">
        <v>71</v>
      </c>
      <c r="L34" s="11" t="s">
        <v>2613</v>
      </c>
      <c r="M34" s="11" t="s">
        <v>35</v>
      </c>
      <c r="N34" s="12" t="s">
        <v>2614</v>
      </c>
    </row>
    <row r="35" customFormat="false" ht="43.25" hidden="false" customHeight="false" outlineLevel="0" collapsed="false">
      <c r="A35" s="13" t="s">
        <v>269</v>
      </c>
      <c r="B35" s="14" t="s">
        <v>2608</v>
      </c>
      <c r="C35" s="14" t="s">
        <v>2609</v>
      </c>
      <c r="D35" s="14" t="s">
        <v>2609</v>
      </c>
      <c r="E35" s="14" t="s">
        <v>2610</v>
      </c>
      <c r="F35" s="14" t="s">
        <v>2608</v>
      </c>
      <c r="G35" s="14" t="s">
        <v>2611</v>
      </c>
      <c r="H35" s="14" t="s">
        <v>2612</v>
      </c>
      <c r="I35" s="14" t="s">
        <v>2608</v>
      </c>
      <c r="J35" s="14" t="s">
        <v>2608</v>
      </c>
      <c r="K35" s="14" t="s">
        <v>71</v>
      </c>
      <c r="L35" s="14" t="s">
        <v>2613</v>
      </c>
      <c r="M35" s="14" t="s">
        <v>35</v>
      </c>
      <c r="N35" s="15" t="s">
        <v>2614</v>
      </c>
    </row>
  </sheetData>
  <autoFilter ref="A1:N35">
    <filterColumn colId="0" hiddenButton="1"/>
  </autoFilter>
  <mergeCells count="2">
    <mergeCell ref="A1:N1"/>
    <mergeCell ref="A2:N2"/>
  </mergeCells>
  <conditionalFormatting sqref="M5:M35">
    <cfRule type="containsText" priority="2" operator="containsText" aboveAverage="0" equalAverage="0" bottom="0" percent="0" rank="0" text="BLOCK" dxfId="154">
      <formula>NOT(ISERROR(SEARCH("BLOCK",M5)))</formula>
    </cfRule>
    <cfRule type="containsText" priority="3" operator="containsText" aboveAverage="0" equalAverage="0" bottom="0" percent="0" rank="0" text="DRAFT" dxfId="155">
      <formula>NOT(ISERROR(SEARCH("DRAFT",M5)))</formula>
    </cfRule>
    <cfRule type="containsText" priority="4" operator="containsText" aboveAverage="0" equalAverage="0" bottom="0" percent="0" rank="0" text="PASS" dxfId="156">
      <formula>NOT(ISERROR(SEARCH("PASS",M5)))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18" t="s">
        <v>2617</v>
      </c>
      <c r="B1" s="18" t="s">
        <v>2618</v>
      </c>
      <c r="C1" s="18" t="s">
        <v>2619</v>
      </c>
      <c r="D1" s="18" t="s">
        <v>2620</v>
      </c>
      <c r="E1" s="18" t="s">
        <v>2621</v>
      </c>
      <c r="F1" s="18" t="s">
        <v>2622</v>
      </c>
    </row>
    <row r="2" customFormat="false" ht="15" hidden="false" customHeight="false" outlineLevel="0" collapsed="false">
      <c r="A2" s="0" t="s">
        <v>2623</v>
      </c>
      <c r="B2" s="0" t="n">
        <v>31</v>
      </c>
      <c r="C2" s="0" t="n">
        <v>31</v>
      </c>
      <c r="D2" s="0" t="n">
        <v>0</v>
      </c>
      <c r="E2" s="19" t="s">
        <v>2624</v>
      </c>
      <c r="F2" s="0" t="s">
        <v>2625</v>
      </c>
    </row>
    <row r="3" customFormat="false" ht="15" hidden="false" customHeight="false" outlineLevel="0" collapsed="false">
      <c r="A3" s="0" t="s">
        <v>2626</v>
      </c>
      <c r="B3" s="0" t="n">
        <v>104</v>
      </c>
      <c r="C3" s="0" t="n">
        <v>104</v>
      </c>
      <c r="D3" s="0" t="n">
        <v>0</v>
      </c>
      <c r="E3" s="19" t="s">
        <v>2624</v>
      </c>
      <c r="F3" s="0" t="s">
        <v>2627</v>
      </c>
    </row>
    <row r="4" customFormat="false" ht="15" hidden="false" customHeight="false" outlineLevel="0" collapsed="false">
      <c r="A4" s="0" t="s">
        <v>2628</v>
      </c>
      <c r="B4" s="0" t="n">
        <v>17</v>
      </c>
      <c r="C4" s="0" t="n">
        <v>17</v>
      </c>
      <c r="D4" s="0" t="n">
        <v>0</v>
      </c>
      <c r="E4" s="19" t="s">
        <v>2624</v>
      </c>
      <c r="F4" s="0" t="s">
        <v>2629</v>
      </c>
    </row>
    <row r="5" customFormat="false" ht="15" hidden="false" customHeight="false" outlineLevel="0" collapsed="false">
      <c r="A5" s="0" t="s">
        <v>2630</v>
      </c>
      <c r="B5" s="0" t="s">
        <v>2631</v>
      </c>
      <c r="C5" s="0" t="s">
        <v>2631</v>
      </c>
      <c r="D5" s="0" t="n">
        <v>0</v>
      </c>
      <c r="E5" s="19" t="s">
        <v>2624</v>
      </c>
      <c r="F5" s="0" t="s">
        <v>2632</v>
      </c>
    </row>
    <row r="6" customFormat="false" ht="15" hidden="false" customHeight="false" outlineLevel="0" collapsed="false">
      <c r="A6" s="0" t="s">
        <v>2633</v>
      </c>
      <c r="B6" s="0" t="s">
        <v>2634</v>
      </c>
      <c r="C6" s="0" t="s">
        <v>2634</v>
      </c>
      <c r="D6" s="0" t="n">
        <v>0</v>
      </c>
      <c r="E6" s="19" t="s">
        <v>2624</v>
      </c>
      <c r="F6" s="0" t="s">
        <v>2635</v>
      </c>
    </row>
    <row r="7" customFormat="false" ht="15" hidden="false" customHeight="false" outlineLevel="0" collapsed="false">
      <c r="A7" s="0" t="s">
        <v>2636</v>
      </c>
      <c r="B7" s="0" t="s">
        <v>2637</v>
      </c>
      <c r="C7" s="0" t="s">
        <v>2637</v>
      </c>
      <c r="D7" s="0" t="n">
        <v>0</v>
      </c>
      <c r="E7" s="19" t="s">
        <v>2624</v>
      </c>
      <c r="F7" s="0" t="s">
        <v>2638</v>
      </c>
    </row>
  </sheetData>
  <autoFilter ref="A1:F7"/>
  <conditionalFormatting sqref="E2:E7">
    <cfRule type="containsText" priority="2" operator="containsText" aboveAverage="0" equalAverage="0" bottom="0" percent="0" rank="0" text="PASS" dxfId="158">
      <formula>NOT(ISERROR(SEARCH("PASS",E2)))</formula>
    </cfRule>
  </conditionalFormatting>
  <dataValidations count="2">
    <dataValidation allowBlank="true" errorStyle="stop" operator="between" showDropDown="false" showErrorMessage="true" showInputMessage="false" sqref="E5:E500" type="list">
      <formula1>"DRAFT,BLOCKED,OPEN,PASS,CALCULATED,ASSUMPTION,PRELIMINARY"</formula1>
      <formula2>0</formula2>
    </dataValidation>
    <dataValidation type="list" allowBlank="1" showErrorMessage="1" sqref="E5:E500">
      <formula1>"DRAFT,BLOCKED,OPEN,PASS,CALCULATED,ASSUMPTION,PRELIMINARY"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>
  <sheetPr filterMode="tru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4" t="s">
        <v>2639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>
      <c r="A2" s="5" t="s">
        <v>2640</v>
      </c>
      <c r="B2" s="5"/>
      <c r="C2" s="5"/>
      <c r="D2" s="5"/>
      <c r="E2" s="5"/>
      <c r="F2" s="5"/>
      <c r="G2" s="5"/>
    </row>
    <row r="4" customFormat="false" ht="50" hidden="false" customHeight="true" outlineLevel="0" collapsed="false">
      <c r="A4" s="6" t="s">
        <v>2641</v>
      </c>
      <c r="B4" s="6" t="s">
        <v>2642</v>
      </c>
      <c r="C4" s="6" t="s">
        <v>2643</v>
      </c>
      <c r="D4" s="6" t="s">
        <v>2644</v>
      </c>
      <c r="E4" s="6" t="s">
        <v>2645</v>
      </c>
      <c r="F4" s="6" t="s">
        <v>2621</v>
      </c>
      <c r="G4" s="6" t="s">
        <v>2646</v>
      </c>
    </row>
    <row r="5" customFormat="false" ht="32.8" hidden="false" customHeight="false" outlineLevel="0" collapsed="false">
      <c r="A5" s="7" t="s">
        <v>2647</v>
      </c>
      <c r="B5" s="8" t="n">
        <v>1</v>
      </c>
      <c r="C5" s="8" t="s">
        <v>13</v>
      </c>
      <c r="D5" s="8" t="s">
        <v>2648</v>
      </c>
      <c r="E5" s="8" t="s">
        <v>2649</v>
      </c>
      <c r="F5" s="8" t="s">
        <v>2650</v>
      </c>
      <c r="G5" s="9" t="s">
        <v>2651</v>
      </c>
    </row>
    <row r="6" customFormat="false" ht="32.8" hidden="false" customHeight="false" outlineLevel="0" collapsed="false">
      <c r="A6" s="10" t="s">
        <v>2652</v>
      </c>
      <c r="B6" s="11" t="n">
        <v>2</v>
      </c>
      <c r="C6" s="11" t="s">
        <v>2653</v>
      </c>
      <c r="D6" s="11" t="s">
        <v>2654</v>
      </c>
      <c r="E6" s="11" t="s">
        <v>2655</v>
      </c>
      <c r="F6" s="11" t="s">
        <v>2656</v>
      </c>
      <c r="G6" s="12" t="s">
        <v>2657</v>
      </c>
    </row>
    <row r="7" customFormat="false" ht="32.8" hidden="false" customHeight="false" outlineLevel="0" collapsed="false">
      <c r="A7" s="10" t="s">
        <v>2658</v>
      </c>
      <c r="B7" s="11" t="n">
        <v>2</v>
      </c>
      <c r="C7" s="11" t="s">
        <v>2659</v>
      </c>
      <c r="D7" s="11" t="s">
        <v>2660</v>
      </c>
      <c r="E7" s="11" t="s">
        <v>2661</v>
      </c>
      <c r="F7" s="11" t="s">
        <v>2662</v>
      </c>
      <c r="G7" s="12" t="s">
        <v>2663</v>
      </c>
    </row>
    <row r="8" customFormat="false" ht="32.8" hidden="false" customHeight="false" outlineLevel="0" collapsed="false">
      <c r="A8" s="13" t="s">
        <v>2664</v>
      </c>
      <c r="B8" s="14" t="n">
        <v>4</v>
      </c>
      <c r="C8" s="14" t="s">
        <v>2665</v>
      </c>
      <c r="D8" s="14" t="s">
        <v>2666</v>
      </c>
      <c r="E8" s="14" t="s">
        <v>2667</v>
      </c>
      <c r="F8" s="14" t="s">
        <v>2668</v>
      </c>
      <c r="G8" s="15" t="s">
        <v>2669</v>
      </c>
    </row>
  </sheetData>
  <autoFilter ref="A1:G8">
    <filterColumn colId="0" hiddenButton="1"/>
  </autoFilter>
  <mergeCells count="2">
    <mergeCell ref="A1:G1"/>
    <mergeCell ref="A2:G2"/>
  </mergeCells>
  <conditionalFormatting sqref="F5:F8">
    <cfRule type="containsText" priority="2" operator="containsText" aboveAverage="0" equalAverage="0" bottom="0" percent="0" rank="0" text="BLOCK" dxfId="159">
      <formula>NOT(ISERROR(SEARCH("BLOCK",F5)))</formula>
    </cfRule>
    <cfRule type="containsText" priority="3" operator="containsText" aboveAverage="0" equalAverage="0" bottom="0" percent="0" rank="0" text="DRAFT" dxfId="160">
      <formula>NOT(ISERROR(SEARCH("DRAFT",F5)))</formula>
    </cfRule>
    <cfRule type="containsText" priority="4" operator="containsText" aboveAverage="0" equalAverage="0" bottom="0" percent="0" rank="0" text="PASS" dxfId="161">
      <formula>NOT(ISERROR(SEARCH("PASS",F5)))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