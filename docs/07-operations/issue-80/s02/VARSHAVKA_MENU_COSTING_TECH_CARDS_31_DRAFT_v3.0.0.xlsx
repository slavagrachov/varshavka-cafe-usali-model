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772d8fa454d2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ПАСПОРТ" sheetId="1" r:id="R6277e09159e1449f"/>
    <sheet name="01_МЕНЮ" sheetId="2" r:id="R49dac2d6a11d44ba"/>
    <sheet name="02_РЕЦЕПТУРЫ" sheetId="3" r:id="Raa8e6c7524004f28"/>
    <sheet name="03_ПОЛУФАБРИКАТЫ" sheetId="4" r:id="R1001f87ead094a09"/>
    <sheet name="04_КАЛЬКУЛЯЦИИ" sheetId="5" r:id="R8600063a6af4402c"/>
    <sheet name="05_ТЕХКАРТЫ" sheetId="6" r:id="R2ca218369b144b14"/>
    <sheet name="06_СЫРЬЁ_И_ЦЕНЫ" sheetId="7" r:id="R673ddfd7ea164e2f"/>
    <sheet name="07_ЦЕНООБРАЗОВАНИЕ" sheetId="8" r:id="R05b69f1144ef47a5"/>
    <sheet name="08_ОБОРУДОВАНИЕ" sheetId="9" r:id="Rf0b28f437d064c6c"/>
    <sheet name="09_ИНВЕНТАРЬ_И_ПОСУДА" sheetId="10" r:id="Rc4c38952d42b46f8"/>
    <sheet name="10_АЛЛЕРГЕНЫ_БЕЗОПАСНОСТЬ" sheetId="11" r:id="R851557ba320547bf"/>
    <sheet name="11_ПИЩЕВАЯ_ЦЕННОСТЬ" sheetId="12" r:id="R0dae377f77134394"/>
    <sheet name="12_ВОПРОСЫ_ШЕФУ" sheetId="13" r:id="Ra967b5be49274601"/>
    <sheet name="13_СОГЛАСОВАНИЕ" sheetId="14" r:id="R6a7bb2bb2b834bec"/>
    <sheet name="14_КОНТРОЛЬНЫЕ_ПРОРАБОТКИ" sheetId="15" r:id="R2852b2b6a30742a2"/>
    <sheet name="15_ПРОВЕРКИ" sheetId="16" r:id="R80b676228bea413a"/>
    <sheet name="16_ИСТОЧНИКИ" sheetId="17" r:id="R88e108744b7140a4"/>
  </sheets>
  <definedNames>
    <definedName name="_xlnm.Print_Area" localSheetId="0">'00_ПАСПОРТ'!$A$1:$F$11</definedName>
    <definedName name="_xlnm.Print_Area" localSheetId="1">'01_МЕНЮ'!$A$1:$O$35</definedName>
    <definedName name="_xlnm.Print_Area" localSheetId="2">'02_РЕЦЕПТУРЫ'!$A$1:$Y$282</definedName>
    <definedName name="_xlnm.Print_Area" localSheetId="3">'03_ПОЛУФАБРИКАТЫ'!$A$1:$AB$41</definedName>
    <definedName name="_xlnm.Print_Area" localSheetId="4">'04_КАЛЬКУЛЯЦИИ'!$A$1:$AO$35</definedName>
    <definedName name="_xlnm.Print_Area" localSheetId="5">'05_ТЕХКАРТЫ'!$A$1:$AM$35</definedName>
    <definedName name="_xlnm.Print_Area" localSheetId="6">'06_СЫРЬЁ_И_ЦЕНЫ'!$A$1:$Q$117</definedName>
    <definedName name="_xlnm.Print_Area" localSheetId="7">'07_ЦЕНООБРАЗОВАНИЕ'!$A$1:$AN$108</definedName>
    <definedName name="_xlnm.Print_Area" localSheetId="8">'08_ОБОРУДОВАНИЕ'!$A$1:$AO$162</definedName>
    <definedName name="_xlnm.Print_Area" localSheetId="9">'09_ИНВЕНТАРЬ_И_ПОСУДА'!$A$1:$Q$35</definedName>
    <definedName name="_xlnm.Print_Area" localSheetId="10">'10_АЛЛЕРГЕНЫ_БЕЗОПАСНОСТЬ'!$A$1:$AA$35</definedName>
    <definedName name="_xlnm.Print_Area" localSheetId="11">'11_ПИЩЕВАЯ_ЦЕННОСТЬ'!$A$1:$BD$35</definedName>
    <definedName name="_xlnm.Print_Area" localSheetId="12">'12_ВОПРОСЫ_ШЕФУ'!$A$1:$N$160</definedName>
    <definedName name="_xlnm.Print_Area" localSheetId="13">'13_СОГЛАСОВАНИЕ'!$A$1:$N$35</definedName>
    <definedName name="_xlnm.Print_Area" localSheetId="14">'14_КОНТРОЛЬНЫЕ_ПРОРАБОТКИ'!$A$1:$N$35</definedName>
    <definedName name="_xlnm.Print_Area" localSheetId="15">'15_ПРОВЕРКИ'!$A$1:$F$7</definedName>
    <definedName name="_xlnm.Print_Area" localSheetId="16">'16_ИСТОЧНИКИ'!$A$1:$G$8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Arial"/>
    </x:font>
    <x:font>
      <x:i/>
      <x:sz val="11"/>
      <x:name val="Arial"/>
    </x:font>
    <x:font>
      <x:b/>
      <x:sz val="11"/>
      <x:color rgb="FFFFFFFF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5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1575446aa4839" /><Relationship Type="http://schemas.openxmlformats.org/officeDocument/2006/relationships/theme" Target="/xl/theme/theme1.xml" Id="R600bce6ff7b54b3c" /><Relationship Type="http://schemas.openxmlformats.org/officeDocument/2006/relationships/sharedStrings" Target="/xl/sharedStrings.xml" Id="Rf4aeeb742c594c21" /><Relationship Type="http://schemas.openxmlformats.org/officeDocument/2006/relationships/worksheet" Target="/xl/worksheets/sheet1.xml" Id="R6277e09159e1449f" /><Relationship Type="http://schemas.openxmlformats.org/officeDocument/2006/relationships/worksheet" Target="/xl/worksheets/sheet2.xml" Id="R49dac2d6a11d44ba" /><Relationship Type="http://schemas.openxmlformats.org/officeDocument/2006/relationships/worksheet" Target="/xl/worksheets/sheet3.xml" Id="Raa8e6c7524004f28" /><Relationship Type="http://schemas.openxmlformats.org/officeDocument/2006/relationships/worksheet" Target="/xl/worksheets/sheet4.xml" Id="R1001f87ead094a09" /><Relationship Type="http://schemas.openxmlformats.org/officeDocument/2006/relationships/worksheet" Target="/xl/worksheets/sheet5.xml" Id="R8600063a6af4402c" /><Relationship Type="http://schemas.openxmlformats.org/officeDocument/2006/relationships/worksheet" Target="/xl/worksheets/sheet6.xml" Id="R2ca218369b144b14" /><Relationship Type="http://schemas.openxmlformats.org/officeDocument/2006/relationships/worksheet" Target="/xl/worksheets/sheet7.xml" Id="R673ddfd7ea164e2f" /><Relationship Type="http://schemas.openxmlformats.org/officeDocument/2006/relationships/worksheet" Target="/xl/worksheets/sheet8.xml" Id="R05b69f1144ef47a5" /><Relationship Type="http://schemas.openxmlformats.org/officeDocument/2006/relationships/worksheet" Target="/xl/worksheets/sheet9.xml" Id="Rf0b28f437d064c6c" /><Relationship Type="http://schemas.openxmlformats.org/officeDocument/2006/relationships/worksheet" Target="/xl/worksheets/sheet10.xml" Id="Rc4c38952d42b46f8" /><Relationship Type="http://schemas.openxmlformats.org/officeDocument/2006/relationships/worksheet" Target="/xl/worksheets/sheet11.xml" Id="R851557ba320547bf" /><Relationship Type="http://schemas.openxmlformats.org/officeDocument/2006/relationships/worksheet" Target="/xl/worksheets/sheet12.xml" Id="R0dae377f77134394" /><Relationship Type="http://schemas.openxmlformats.org/officeDocument/2006/relationships/worksheet" Target="/xl/worksheets/sheet13.xml" Id="Ra967b5be49274601" /><Relationship Type="http://schemas.openxmlformats.org/officeDocument/2006/relationships/worksheet" Target="/xl/worksheets/sheet14.xml" Id="R6a7bb2bb2b834bec" /><Relationship Type="http://schemas.openxmlformats.org/officeDocument/2006/relationships/worksheet" Target="/xl/worksheets/sheet15.xml" Id="R2852b2b6a30742a2" /><Relationship Type="http://schemas.openxmlformats.org/officeDocument/2006/relationships/worksheet" Target="/xl/worksheets/sheet16.xml" Id="R80b676228bea413a" /><Relationship Type="http://schemas.openxmlformats.org/officeDocument/2006/relationships/worksheet" Target="/xl/worksheets/sheet17.xml" Id="R88e108744b7140a4" /><Relationship Type="http://schemas.microsoft.com/office/2017/10/relationships/person" Target="/xl/persons/person.xml" Id="Rd2223c9b886b4d26" /></Relationships>
</file>

<file path=xl/persons/person.xml><?xml version="1.0" encoding="utf-8"?>
<xltc:personList xmlns:xltc="http://schemas.microsoft.com/office/spreadsheetml/2018/threadedcomments">
  <xltc:person displayName="VYACHESLAV" id="{CDA18F05-AB9B-4DD9-A94E-8CB639F7B7A5}"/>
</xltc:personList>
</file>

<file path=xl/tables/table1.xml><?xml version="1.0" encoding="utf-8"?>
<x:table xmlns:x="http://schemas.openxmlformats.org/spreadsheetml/2006/main" id="1" name="T_01_____" displayName="T_01_____" ref="A4:O35" headerRowCount="1" totalsRowCount="0" totalsRowShown="0">
  <x:tableColumns count="15">
    <x:tableColumn id="1" name="menu_record_id"/>
    <x:tableColumn id="2" name="dish_code"/>
    <x:tableColumn id="3" name="menu_section"/>
    <x:tableColumn id="4" name="dish_name"/>
    <x:tableColumn id="5" name="sales_channels"/>
    <x:tableColumn id="6" name="production_sales_unit"/>
    <x:tableColumn id="7" name="draft_target_output"/>
    <x:tableColumn id="8" name="cost_card_code"/>
    <x:tableColumn id="9" name="tech_card_code"/>
    <x:tableColumn id="10" name="recipe_version"/>
    <x:tableColumn id="11" name="recipe_status"/>
    <x:tableColumn id="12" name="calculation_layer_status"/>
    <x:tableColumn id="13" name="chef_status"/>
    <x:tableColumn id="14" name="safety_status"/>
    <x:tableColumn id="1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__________" displayName="T_02__________" ref="A4:Y282" headerRowCount="1" totalsRowCount="0" totalsRowShown="0">
  <x:tableColumns count="25">
    <x:tableColumn id="1" name="recipe_line_id"/>
    <x:tableColumn id="2" name="dish_code"/>
    <x:tableColumn id="3" name="cost_card_code"/>
    <x:tableColumn id="4" name="tech_card_code"/>
    <x:tableColumn id="5" name="recipe_version"/>
    <x:tableColumn id="6" name="ingredient_id"/>
    <x:tableColumn id="7" name="ingredient_name"/>
    <x:tableColumn id="8" name="component_type"/>
    <x:tableColumn id="9" name="production_stage"/>
    <x:tableColumn id="10" name="semi_finished_candidate_code"/>
    <x:tableColumn id="11" name="gross_qty"/>
    <x:tableColumn id="12" name="gross_unit"/>
    <x:tableColumn id="13" name="net_qty"/>
    <x:tableColumn id="14" name="net_unit"/>
    <x:tableColumn id="15" name="projected_output_contribution"/>
    <x:tableColumn id="16" name="output_unit"/>
    <x:tableColumn id="17" name="projected_preparation_loss"/>
    <x:tableColumn id="18" name="projected_process_loss"/>
    <x:tableColumn id="19" name="parameter_status"/>
    <x:tableColumn id="20" name="evidence_ids"/>
    <x:tableColumn id="21" name="calculation_method"/>
    <x:tableColumn id="22" name="source_date"/>
    <x:tableColumn id="23" name="confirmation_owner"/>
    <x:tableColumn id="24" name="blocker_ids"/>
    <x:tableColumn id="25" name="valid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_____________" displayName="T_03______________" ref="A4:AB41" headerRowCount="1" totalsRowCount="0" totalsRowShown="0">
  <x:tableColumns count="28">
    <x:tableColumn id="1" name="vsf_code"/>
    <x:tableColumn id="2" name="semi_finished_name"/>
    <x:tableColumn id="3" name="recipe_version"/>
    <x:tableColumn id="4" name="canonical_batch_variant_id"/>
    <x:tableColumn id="5" name="batch_variant_count"/>
    <x:tableColumn id="6" name="batch_basis"/>
    <x:tableColumn id="7" name="batch_gross_qty"/>
    <x:tableColumn id="8" name="batch_net_qty"/>
    <x:tableColumn id="9" name="projected_batch_output"/>
    <x:tableColumn id="10" name="output_unit"/>
    <x:tableColumn id="11" name="linked_dish_codes"/>
    <x:tableColumn id="12" name="child_vsf_codes"/>
    <x:tableColumn id="13" name="reuse_candidate"/>
    <x:tableColumn id="14" name="card_status"/>
    <x:tableColumn id="15" name="parameter_status"/>
    <x:tableColumn id="16" name="evidence_ids"/>
    <x:tableColumn id="17" name="method_or_source_note"/>
    <x:tableColumn id="18" name="source_date"/>
    <x:tableColumn id="19" name="confirmation_owner"/>
    <x:tableColumn id="20" name="blocker_ids"/>
    <x:tableColumn id="21" name="safety_status"/>
    <x:tableColumn id="22" name="safety_blocker_ids"/>
    <x:tableColumn id="23" name="next_action"/>
    <x:tableColumn id="24" name="cost_per_output_rule"/>
    <x:tableColumn id="25" name="double_counting_rule"/>
    <x:tableColumn id="26" name="record_type"/>
    <x:tableColumn id="27" name="make_or_buy_status"/>
    <x:tableColumn id="28" name="graph_link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____________" displayName="T_04____________" ref="A4:AM35" headerRowCount="1" totalsRowCount="0" totalsRowShown="0">
  <x:tableColumns count="39">
    <x:tableColumn id="1" name="bridge_record_id"/>
    <x:tableColumn id="2" name="position_code"/>
    <x:tableColumn id="3" name="position_name"/>
    <x:tableColumn id="4" name="menu_family"/>
    <x:tableColumn id="5" name="unit_basis"/>
    <x:tableColumn id="6" name="source_model"/>
    <x:tableColumn id="7" name="source_ref_sha"/>
    <x:tableColumn id="8" name="source_path"/>
    <x:tableColumn id="9" name="source_record_key"/>
    <x:tableColumn id="10" name="source_as_of"/>
    <x:tableColumn id="11" name="recipe_or_model_version"/>
    <x:tableColumn id="12" name="costing_method_id"/>
    <x:tableColumn id="13" name="evidence_food_cost_rub"/>
    <x:tableColumn id="14" name="evidence_spoilage_rub"/>
    <x:tableColumn id="15" name="evidence_kitchen_cogs_rub"/>
    <x:tableColumn id="16" name="evidence_packaging_rub"/>
    <x:tableColumn id="17" name="evidence_other_direct_variable_rub"/>
    <x:tableColumn id="18" name="evidence_complete_direct_cogs_rub"/>
    <x:tableColumn id="19" name="model_evidence_benchmark_component_rub"/>
    <x:tableColumn id="20" name="model_proxy_component_rub"/>
    <x:tableColumn id="21" name="model_food_cost_rub"/>
    <x:tableColumn id="22" name="model_spoilage_rub"/>
    <x:tableColumn id="23" name="model_kitchen_cogs_rub"/>
    <x:tableColumn id="24" name="model_packaging_rub"/>
    <x:tableColumn id="25" name="model_other_direct_variable_rub"/>
    <x:tableColumn id="26" name="model_complete_direct_cogs_rub"/>
    <x:tableColumn id="27" name="model_tariff_or_price_rub"/>
    <x:tableColumn id="28" name="model_food_cost_ratio"/>
    <x:tableColumn id="29" name="calculation_layer"/>
    <x:tableColumn id="30" name="calculation_status"/>
    <x:tableColumn id="31" name="procurement_evidence_status"/>
    <x:tableColumn id="32" name="owner_model_status"/>
    <x:tableColumn id="33" name="safety_release_status"/>
    <x:tableColumn id="34" name="import_status"/>
    <x:tableColumn id="35" name="limitations"/>
    <x:tableColumn id="36" name="normalization_divisor"/>
    <x:tableColumn id="37" name="sale_unit_model_kitchen_cogs_rub"/>
    <x:tableColumn id="38" name="sale_unit_model_complete_direct_cogs_rub"/>
    <x:tableColumn id="39" name="normaliza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_________" displayName="T_05_________" ref="A4:AM35" headerRowCount="1" totalsRowCount="0" totalsRowShown="0">
  <x:tableColumns count="39">
    <x:tableColumn id="1" name="record_id"/>
    <x:tableColumn id="2" name="tech_card_code"/>
    <x:tableColumn id="3" name="dish_code"/>
    <x:tableColumn id="4" name="recipe_version"/>
    <x:tableColumn id="5" name="dish_name"/>
    <x:tableColumn id="6" name="application_scope"/>
    <x:tableColumn id="7" name="application_scope_status"/>
    <x:tableColumn id="8" name="raw_material_requirements"/>
    <x:tableColumn id="9" name="raw_material_requirements_status"/>
    <x:tableColumn id="10" name="raw_material_preparation"/>
    <x:tableColumn id="11" name="raw_material_preparation_status"/>
    <x:tableColumn id="12" name="allowable_deviations"/>
    <x:tableColumn id="13" name="allowable_deviations_status"/>
    <x:tableColumn id="14" name="organoleptic_indicators"/>
    <x:tableColumn id="15" name="organoleptic_indicators_status"/>
    <x:tableColumn id="16" name="storage_and_realization"/>
    <x:tableColumn id="17" name="storage_and_realization_status"/>
    <x:tableColumn id="18" name="operation_sequence"/>
    <x:tableColumn id="19" name="draft_active_time"/>
    <x:tableColumn id="20" name="active_time_unit"/>
    <x:tableColumn id="21" name="draft_total_time"/>
    <x:tableColumn id="22" name="total_time_unit"/>
    <x:tableColumn id="23" name="active_time_basis"/>
    <x:tableColumn id="24" name="total_time_basis"/>
    <x:tableColumn id="25" name="draft_plating"/>
    <x:tableColumn id="26" name="draft_target_output"/>
    <x:tableColumn id="27" name="output_unit"/>
    <x:tableColumn id="28" name="safety_critical_parameters"/>
    <x:tableColumn id="29" name="safety_status"/>
    <x:tableColumn id="30" name="safety_evidence_ids"/>
    <x:tableColumn id="31" name="safety_owner"/>
    <x:tableColumn id="32" name="safety_blocker_ids"/>
    <x:tableColumn id="33" name="parameter_status"/>
    <x:tableColumn id="34" name="evidence_ids"/>
    <x:tableColumn id="35" name="method_or_source_note"/>
    <x:tableColumn id="36" name="source_date"/>
    <x:tableColumn id="37" name="confirmation_owner"/>
    <x:tableColumn id="38" name="blocker_ids"/>
    <x:tableColumn id="39" name="validation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_____________" displayName="T_06_____________" ref="A4:Q117" headerRowCount="1" totalsRowCount="0" totalsRowShown="0">
  <x:tableColumns count="17">
    <x:tableColumn id="1" name="ingredient_id"/>
    <x:tableColumn id="2" name="ingredient_name"/>
    <x:tableColumn id="3" name="total_gross_usage_g_in_28_drafts"/>
    <x:tableColumn id="4" name="significant_sku"/>
    <x:tableColumn id="5" name="selected_price_rub_per_kg"/>
    <x:tableColumn id="6" name="price_basis"/>
    <x:tableColumn id="7" name="observation_count_compatible"/>
    <x:tableColumn id="8" name="price_source_ids"/>
    <x:tableColumn id="9" name="price_as_of"/>
    <x:tableColumn id="10" name="parameter_status"/>
    <x:tableColumn id="11" name="confidence"/>
    <x:tableColumn id="12" name="confidence_reason"/>
    <x:tableColumn id="13" name="vat_status"/>
    <x:tableColumn id="14" name="delivery_rub"/>
    <x:tableColumn id="15" name="moq"/>
    <x:tableColumn id="16" name="approval_owner"/>
    <x:tableColumn id="17" name="next_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7________________" displayName="T_07________________" ref="A4:AL108" headerRowCount="1" totalsRowCount="0" totalsRowShown="0">
  <x:tableColumns count="38">
    <x:tableColumn id="1" name="channel_record_id"/>
    <x:tableColumn id="2" name="position_code"/>
    <x:tableColumn id="3" name="channel"/>
    <x:tableColumn id="4" name="source_model"/>
    <x:tableColumn id="5" name="source_ref_sha"/>
    <x:tableColumn id="6" name="source_path"/>
    <x:tableColumn id="7" name="source_record_key"/>
    <x:tableColumn id="8" name="evidence_kitchen_cogs_rub"/>
    <x:tableColumn id="9" name="evidence_packaging_rub"/>
    <x:tableColumn id="10" name="evidence_other_direct_variable_rub"/>
    <x:tableColumn id="11" name="evidence_complete_direct_cogs_rub"/>
    <x:tableColumn id="12" name="evidence_price_rub"/>
    <x:tableColumn id="13" name="evidence_tax_rate"/>
    <x:tableColumn id="14" name="evidence_commission_rate"/>
    <x:tableColumn id="15" name="model_kitchen_cogs_rub"/>
    <x:tableColumn id="16" name="model_packaging_rub"/>
    <x:tableColumn id="17" name="model_other_direct_variable_rub"/>
    <x:tableColumn id="18" name="model_complete_direct_cogs_rub"/>
    <x:tableColumn id="19" name="model_price_rub"/>
    <x:tableColumn id="20" name="model_target_cogs_ratio"/>
    <x:tableColumn id="21" name="model_food_cost_ratio"/>
    <x:tableColumn id="22" name="model_gross_margin_before_channel_costs_rub"/>
    <x:tableColumn id="23" name="model_tax_rate"/>
    <x:tableColumn id="24" name="model_commission_rate"/>
    <x:tableColumn id="25" name="model_contribution_before_tax_commission_rub"/>
    <x:tableColumn id="26" name="calculation_layer"/>
    <x:tableColumn id="27" name="calculation_status"/>
    <x:tableColumn id="28" name="approval_status"/>
    <x:tableColumn id="29" name="limitations"/>
    <x:tableColumn id="30" name="source_model_food_cost_ratio"/>
    <x:tableColumn id="31" name="normalization_divisor"/>
    <x:tableColumn id="32" name="sale_unit_model_complete_direct_cogs_rub"/>
    <x:tableColumn id="33" name="sale_unit_model_price_rub"/>
    <x:tableColumn id="34" name="sale_unit_model_gross_margin_rub"/>
    <x:tableColumn id="35" name="normalization_status"/>
    <x:tableColumn id="36" name="packaging_zero_interpretation"/>
    <x:tableColumn id="37" name="channel_formula_method"/>
    <x:tableColumn id="38" name="formula_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08_____________" displayName="T_08_____________" ref="A4:AO162" headerRowCount="1" totalsRowCount="0" totalsRowShown="0">
  <x:tableColumns count="41">
    <x:tableColumn id="1" name="mapping_id"/>
    <x:tableColumn id="2" name="dish_code"/>
    <x:tableColumn id="3" name="dish_name"/>
    <x:tableColumn id="4" name="menu_section"/>
    <x:tableColumn id="5" name="recipe_version"/>
    <x:tableColumn id="6" name="operation_no"/>
    <x:tableColumn id="7" name="operation_text"/>
    <x:tableColumn id="8" name="functional_codes"/>
    <x:tableColumn id="9" name="functional_equipment_names"/>
    <x:tableColumn id="10" name="capex_inv_codes"/>
    <x:tableColumn id="11" name="capex_requirement_statuses"/>
    <x:tableColumn id="12" name="capex_structure_approval_statuses"/>
    <x:tableColumn id="13" name="requirement_role"/>
    <x:tableColumn id="14" name="operation_duration_min"/>
    <x:tableColumn id="15" name="duration_status"/>
    <x:tableColumn id="16" name="duration_basis"/>
    <x:tableColumn id="17" name="project_design_requirement"/>
    <x:tableColumn id="18" name="project_design_requirement_unit"/>
    <x:tableColumn id="19" name="project_design_requirement_status"/>
    <x:tableColumn id="20" name="recipe_unit_load"/>
    <x:tableColumn id="21" name="recipe_unit_load_unit"/>
    <x:tableColumn id="22" name="recipe_unit_load_status"/>
    <x:tableColumn id="23" name="planning_batches_for_one_recipe_unit"/>
    <x:tableColumn id="24" name="planning_batch_status"/>
    <x:tableColumn id="25" name="planning_batch_note"/>
    <x:tableColumn id="26" name="selected_manufacturer"/>
    <x:tableColumn id="27" name="selected_model_article"/>
    <x:tableColumn id="28" name="passport_document_or_official_url"/>
    <x:tableColumn id="29" name="passport_capacity"/>
    <x:tableColumn id="30" name="passport_capacity_unit"/>
    <x:tableColumn id="31" name="capacity_status"/>
    <x:tableColumn id="32" name="equipment_availability_status"/>
    <x:tableColumn id="33" name="connections_status"/>
    <x:tableColumn id="34" name="suitability_status"/>
    <x:tableColumn id="35" name="parameter_status"/>
    <x:tableColumn id="36" name="evidence_ids"/>
    <x:tableColumn id="37" name="source_date"/>
    <x:tableColumn id="38" name="blocker_ids"/>
    <x:tableColumn id="39" name="confirmation_owner"/>
    <x:tableColumn id="40" name="mapping_note"/>
    <x:tableColumn id="41" name="next_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09___________________" displayName="T_09___________________" ref="A4:Q35" headerRowCount="1" totalsRowCount="0" totalsRowShown="0">
  <x:tableColumns count="17">
    <x:tableColumn id="1" name="inventory_set_code"/>
    <x:tableColumn id="2" name="dish_code"/>
    <x:tableColumn id="3" name="dish_name"/>
    <x:tableColumn id="4" name="menu_section"/>
    <x:tableColumn id="5" name="candidate_inventory"/>
    <x:tableColumn id="6" name="linked_function_codes"/>
    <x:tableColumn id="7" name="required_quantity"/>
    <x:tableColumn id="8" name="quantity_unit"/>
    <x:tableColumn id="9" name="quantity_status"/>
    <x:tableColumn id="10" name="wash_dry_flow"/>
    <x:tableColumn id="11" name="cross_contact_note"/>
    <x:tableColumn id="12" name="parameter_status"/>
    <x:tableColumn id="13" name="evidence_ids"/>
    <x:tableColumn id="14" name="blocker_ids"/>
    <x:tableColumn id="15" name="source_date"/>
    <x:tableColumn id="16" name="confirmation_owner"/>
    <x:tableColumn id="17" name="next_a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_______________________" displayName="T_10_______________________" ref="A4:AA35" headerRowCount="1" totalsRowCount="0" totalsRowShown="0">
  <x:tableColumns count="27">
    <x:tableColumn id="1" name="dish_code"/>
    <x:tableColumn id="2" name="dish_name"/>
    <x:tableColumn id="3" name="version"/>
    <x:tableColumn id="4" name="as_of_date"/>
    <x:tableColumn id="5" name="source_recipe_version"/>
    <x:tableColumn id="6" name="source_recipe_blob_sha"/>
    <x:tableColumn id="7" name="PEANUT"/>
    <x:tableColumn id="8" name="ASPARTAME"/>
    <x:tableColumn id="9" name="MUSTARD"/>
    <x:tableColumn id="10" name="SULPHITES"/>
    <x:tableColumn id="11" name="GLUTEN"/>
    <x:tableColumn id="12" name="SESAME"/>
    <x:tableColumn id="13" name="LUPIN"/>
    <x:tableColumn id="14" name="MOLLUSC"/>
    <x:tableColumn id="15" name="MILK"/>
    <x:tableColumn id="16" name="NUTS"/>
    <x:tableColumn id="17" name="CRUSTACEAN"/>
    <x:tableColumn id="18" name="FISH"/>
    <x:tableColumn id="19" name="CELERY"/>
    <x:tableColumn id="20" name="SOY"/>
    <x:tableColumn id="21" name="EGG"/>
    <x:tableColumn id="22" name="matrix_status"/>
    <x:tableColumn id="23" name="evidence_ids"/>
    <x:tableColumn id="24" name="method"/>
    <x:tableColumn id="25" name="required_confirmation"/>
    <x:tableColumn id="26" name="cross_contact_status"/>
    <x:tableColumn id="27" name="own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1_________________" displayName="T_11_________________" ref="A4:BD35" headerRowCount="1" totalsRowCount="0" totalsRowShown="0">
  <x:tableColumns count="56">
    <x:tableColumn id="1" name="nutrition_record_id"/>
    <x:tableColumn id="2" name="dish_code"/>
    <x:tableColumn id="3" name="cost_card_code"/>
    <x:tableColumn id="4" name="tech_card_code"/>
    <x:tableColumn id="5" name="menu_section"/>
    <x:tableColumn id="6" name="dish_name"/>
    <x:tableColumn id="7" name="recipe_version"/>
    <x:tableColumn id="8" name="recipe_blob_sha"/>
    <x:tableColumn id="9" name="production_sales_unit"/>
    <x:tableColumn id="10" name="draft_batch_or_item_output_mass"/>
    <x:tableColumn id="11" name="output_unit"/>
    <x:tableColumn id="12" name="draft_sale_portion_mass"/>
    <x:tableColumn id="13" name="sale_portion_unit"/>
    <x:tableColumn id="14" name="portion_mass_method_status"/>
    <x:tableColumn id="15" name="ingredient_line_count"/>
    <x:tableColumn id="16" name="official_source_coverage_pct"/>
    <x:tableColumn id="17" name="proxy_or_composite_line_count"/>
    <x:tableColumn id="18" name="protein_g_per_declared_output"/>
    <x:tableColumn id="19" name="protein_g_per_declared_output_low"/>
    <x:tableColumn id="20" name="protein_g_per_declared_output_high"/>
    <x:tableColumn id="21" name="protein_g_per_100g"/>
    <x:tableColumn id="22" name="protein_g_per_100g_low"/>
    <x:tableColumn id="23" name="protein_g_per_100g_high"/>
    <x:tableColumn id="24" name="protein_g_per_sale_portion"/>
    <x:tableColumn id="25" name="fat_g_per_declared_output"/>
    <x:tableColumn id="26" name="fat_g_per_declared_output_low"/>
    <x:tableColumn id="27" name="fat_g_per_declared_output_high"/>
    <x:tableColumn id="28" name="fat_g_per_100g"/>
    <x:tableColumn id="29" name="fat_g_per_100g_low"/>
    <x:tableColumn id="30" name="fat_g_per_100g_high"/>
    <x:tableColumn id="31" name="fat_g_per_sale_portion"/>
    <x:tableColumn id="32" name="carbohydrate_g_per_declared_output"/>
    <x:tableColumn id="33" name="carbohydrate_g_per_declared_output_low"/>
    <x:tableColumn id="34" name="carbohydrate_g_per_declared_output_high"/>
    <x:tableColumn id="35" name="carbohydrate_g_per_100g"/>
    <x:tableColumn id="36" name="carbohydrate_g_per_100g_low"/>
    <x:tableColumn id="37" name="carbohydrate_g_per_100g_high"/>
    <x:tableColumn id="38" name="carbohydrate_g_per_sale_portion"/>
    <x:tableColumn id="39" name="energy_kcal_per_declared_output"/>
    <x:tableColumn id="40" name="energy_kcal_per_declared_output_low"/>
    <x:tableColumn id="41" name="energy_kcal_per_declared_output_high"/>
    <x:tableColumn id="42" name="energy_kcal_per_100g"/>
    <x:tableColumn id="43" name="energy_kcal_per_100g_low"/>
    <x:tableColumn id="44" name="energy_kcal_per_100g_high"/>
    <x:tableColumn id="45" name="energy_kcal_per_sale_portion"/>
    <x:tableColumn id="46" name="source_energy_vs_atwater_difference_pct"/>
    <x:tableColumn id="47" name="calculation_status"/>
    <x:tableColumn id="48" name="release_status"/>
    <x:tableColumn id="49" name="laboratory_confirmed"/>
    <x:tableColumn id="50" name="evidence_ids"/>
    <x:tableColumn id="51" name="calculation_method"/>
    <x:tableColumn id="52" name="source_date"/>
    <x:tableColumn id="53" name="confirmation_owner"/>
    <x:tableColumn id="54" name="blocker_ids"/>
    <x:tableColumn id="55" name="limitation"/>
    <x:tableColumn id="56" name="next_ac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2_____________" displayName="T_12_____________" ref="A4:N160" headerRowCount="1" totalsRowCount="0" totalsRowShown="0">
  <x:tableColumns count="14">
    <x:tableColumn id="1" name="question_id"/>
    <x:tableColumn id="2" name="dish_code"/>
    <x:tableColumn id="3" name="dish_name"/>
    <x:tableColumn id="4" name="question_type"/>
    <x:tableColumn id="5" name="question"/>
    <x:tableColumn id="6" name="question_status"/>
    <x:tableColumn id="7" name="answer_owner"/>
    <x:tableColumn id="8" name="impact"/>
    <x:tableColumn id="9" name="evidence_ids"/>
    <x:tableColumn id="10" name="blocker_ids"/>
    <x:tableColumn id="11" name="raised_date"/>
    <x:tableColumn id="12" name="checkpoint"/>
    <x:tableColumn id="13" name="answer"/>
    <x:tableColumn id="14" name="answer_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3_____________" displayName="T_13_____________" ref="A4:N35" headerRowCount="1" totalsRowCount="0" totalsRowShown="0">
  <x:tableColumns count="14">
    <x:tableColumn id="1" name="dish_code"/>
    <x:tableColumn id="2" name="menu"/>
    <x:tableColumn id="3" name="recipe"/>
    <x:tableColumn id="4" name="tech_card"/>
    <x:tableColumn id="5" name="costing"/>
    <x:tableColumn id="6" name="channel_economics"/>
    <x:tableColumn id="7" name="semi_finished"/>
    <x:tableColumn id="8" name="allergen_safety"/>
    <x:tableColumn id="9" name="chef_questions"/>
    <x:tableColumn id="10" name="control_cook_form"/>
    <x:tableColumn id="11" name="chef_approval"/>
    <x:tableColumn id="12" name="evidence_cogs"/>
    <x:tableColumn id="13" name="safety_status"/>
    <x:tableColumn id="14" name="overal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4_______________________" displayName="T_14_______________________" ref="A4:N35" headerRowCount="1" totalsRowCount="0" totalsRowShown="0">
  <x:tableColumns count="14">
    <x:tableColumn id="1" name="dish_code"/>
    <x:tableColumn id="2" name="menu"/>
    <x:tableColumn id="3" name="recipe"/>
    <x:tableColumn id="4" name="tech_card"/>
    <x:tableColumn id="5" name="costing"/>
    <x:tableColumn id="6" name="channel_economics"/>
    <x:tableColumn id="7" name="semi_finished"/>
    <x:tableColumn id="8" name="allergen_safety"/>
    <x:tableColumn id="9" name="chef_questions"/>
    <x:tableColumn id="10" name="control_cook_form"/>
    <x:tableColumn id="11" name="chef_approval"/>
    <x:tableColumn id="12" name="evidence_cogs"/>
    <x:tableColumn id="13" name="safety_status"/>
    <x:tableColumn id="14" name="overal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Checks" displayName="T_Checks" ref="A1:F7" headerRowCount="1" totalsRowCount="0" totalsRowShown="0">
  <x:tableColumns count="6">
    <x:tableColumn id="1" name="check_id"/>
    <x:tableColumn id="2" name="actual"/>
    <x:tableColumn id="3" name="expected"/>
    <x:tableColumn id="4" name="difference"/>
    <x:tableColumn id="5" name="status"/>
    <x:tableColumn id="6" name="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16__________" displayName="T_16__________" ref="A4:G8" headerRowCount="1" totalsRowCount="0" totalsRowShown="0">
  <x:tableColumns count="7">
    <x:tableColumn id="1" name="source_id"/>
    <x:tableColumn id="2" name="tier"/>
    <x:tableColumn id="3" name="ref"/>
    <x:tableColumn id="4" name="path"/>
    <x:tableColumn id="5" name="coverage"/>
    <x:tableColumn id="6" name="status"/>
    <x:tableColumn id="7" name="restri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adaefc540749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2166c84a05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c5df79e97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1ff47ae6fe4e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713992fa3a42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4fff3ba814e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7a2ca118204b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de26c422c4a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dea45cd4ecf4c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601099395ba4c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84d40d66cd14d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882cbe029dd49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a57661cfa524d9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87a54270612419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eb4b509102f43b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fc4390201034a86" /></Relationships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4" hidden="0" customWidth="1"/>
    <col min="2" max="2" width="48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</cols>
  <sheetData>
    <row r="1">
      <c r="A1" s="2" t="str">
        <v>VARSHAVKA — итоговый пакет 31 позиции</v>
      </c>
      <c r="B1" s="2"/>
      <c r="C1" s="2"/>
      <c r="D1" s="2"/>
      <c r="E1" s="2"/>
      <c r="F1" s="2"/>
    </row>
    <row r="3">
      <c r="A3" s="5" t="str">
        <v>Параметр</v>
      </c>
      <c r="B3" s="5" t="str">
        <v>Значение</v>
      </c>
      <c r="C3" s="5" t="str">
        <v>Статус</v>
      </c>
      <c r="D3" s="5" t="str">
        <v>Источник</v>
      </c>
      <c r="E3" s="5" t="str">
        <v>Версия</v>
      </c>
      <c r="F3" s="5" t="str">
        <v>Ограничение</v>
      </c>
    </row>
    <row r="4">
      <c r="A4" s="6" t="str">
        <v>Session</v>
      </c>
      <c r="B4" s="6" t="str">
        <v>VAR-ISSUE-80-S02-FINAL-31-PACKAGE</v>
      </c>
      <c r="C4" s="6" t="str">
        <v>FACT</v>
      </c>
      <c r="D4" s="6" t="str">
        <v>Issue #80</v>
      </c>
      <c r="E4" s="6" t="str">
        <v>S02</v>
      </c>
      <c r="F4" s="6" t="str"/>
    </row>
    <row r="5">
      <c r="A5" s="6" t="str">
        <v>Base SHA</v>
      </c>
      <c r="B5" s="6" t="str">
        <v>cd23852fda61d9ee42dc7bae453e164c8f4d130c</v>
      </c>
      <c r="C5" s="6" t="str">
        <v>FACT</v>
      </c>
      <c r="D5" s="6" t="str">
        <v>main</v>
      </c>
      <c r="E5" s="6" t="str">
        <v>2026-08-04</v>
      </c>
      <c r="F5" s="6" t="str"/>
    </row>
    <row r="6">
      <c r="A6" s="6" t="str">
        <v>Позиции</v>
      </c>
      <c r="B6" s="6" t="n">
        <v>31</v>
      </c>
      <c r="C6" s="6" t="str">
        <v>FACT</v>
      </c>
      <c r="D6" s="6" t="str">
        <v>MENU_REGISTER_31.csv</v>
      </c>
      <c r="E6" s="6" t="str">
        <v>31/31</v>
      </c>
      <c r="F6" s="6" t="str"/>
    </row>
    <row r="7">
      <c r="A7" s="6" t="str">
        <v>Каналы</v>
      </c>
      <c r="B7" s="6" t="n">
        <v>104</v>
      </c>
      <c r="C7" s="6" t="str">
        <v>FACT</v>
      </c>
      <c r="D7" s="6" t="str">
        <v>CHANNEL_ECONOMICS_104.csv</v>
      </c>
      <c r="E7" s="6" t="str">
        <v>104/104</v>
      </c>
      <c r="F7" s="6" t="str"/>
    </row>
    <row r="8">
      <c r="A8" s="6" t="str">
        <v>Recipes</v>
      </c>
      <c r="B8" s="6" t="str">
        <v>DRAFT / ASSUMPTION</v>
      </c>
      <c r="C8" s="6" t="str">
        <v>DRAFT</v>
      </c>
      <c r="D8" s="6" t="str">
        <v>RECIPES_31.csv</v>
      </c>
      <c r="E8" s="6" t="str">
        <v>v3.0.0</v>
      </c>
      <c r="F8" s="6" t="str">
        <v>Не утверждены</v>
      </c>
    </row>
    <row r="9">
      <c r="A9" s="6" t="str">
        <v>Costs</v>
      </c>
      <c r="B9" s="6" t="str">
        <v>MODEL ONLY</v>
      </c>
      <c r="C9" s="6" t="str">
        <v>CALCULATED</v>
      </c>
      <c r="D9" s="6" t="str">
        <v>FINMODEL bridge</v>
      </c>
      <c r="E9" s="6" t="str">
        <v>v3.0.0</v>
      </c>
      <c r="F9" s="6" t="str">
        <v>Не evidence COGS</v>
      </c>
    </row>
    <row r="10">
      <c r="A10" s="6" t="str">
        <v>Safety</v>
      </c>
      <c r="B10" s="6" t="str">
        <v>BLOCK / NOT APPROVED</v>
      </c>
      <c r="C10" s="6" t="str">
        <v>BLOCK</v>
      </c>
      <c r="D10" s="6" t="str">
        <v>Safety registers</v>
      </c>
      <c r="E10" s="6" t="str">
        <v>v3.0.0</v>
      </c>
      <c r="F10" s="6" t="str">
        <v>BLOCK 28/28 сохранён</v>
      </c>
    </row>
    <row r="11">
      <c r="A11" s="6" t="str">
        <v>Owner action</v>
      </c>
      <c r="B11" s="6" t="str">
        <v>Chef review + evidence work</v>
      </c>
      <c r="C11" s="6" t="str">
        <v>OPEN</v>
      </c>
      <c r="D11" s="6" t="str">
        <v>Issue #80</v>
      </c>
      <c r="E11" s="6" t="str">
        <v>S02</v>
      </c>
      <c r="F11" s="6" t="str">
        <v>Merge/close запрещены</v>
      </c>
    </row>
  </sheetData>
  <autoFilter ref="A1:F11"/>
  <mergeCells>
    <mergeCell ref="A1:F1"/>
  </mergeCells>
  <pageMargins left="0.7" right="0.7" top="0.75" bottom="0.7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38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16" hidden="0" customWidth="1"/>
  </cols>
  <sheetData>
    <row r="1">
      <c r="A1" s="8" t="str">
        <v>01 — Меню 31/31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>
      <c r="A2" s="11" t="str">
        <v>Все статусы сохранены; каналы являются проектными сценариями.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50" customHeight="1">
      <c r="A4" s="14" t="str">
        <v>menu_record_id</v>
      </c>
      <c r="B4" s="14" t="str">
        <v>dish_code</v>
      </c>
      <c r="C4" s="14" t="str">
        <v>menu_section</v>
      </c>
      <c r="D4" s="14" t="str">
        <v>dish_name</v>
      </c>
      <c r="E4" s="14" t="str">
        <v>sales_channels</v>
      </c>
      <c r="F4" s="14" t="str">
        <v>production_sales_unit</v>
      </c>
      <c r="G4" s="14" t="str">
        <v>draft_target_output</v>
      </c>
      <c r="H4" s="14" t="str">
        <v>cost_card_code</v>
      </c>
      <c r="I4" s="14" t="str">
        <v>tech_card_code</v>
      </c>
      <c r="J4" s="14" t="str">
        <v>recipe_version</v>
      </c>
      <c r="K4" s="14" t="str">
        <v>recipe_status</v>
      </c>
      <c r="L4" s="14" t="str">
        <v>calculation_layer_status</v>
      </c>
      <c r="M4" s="14" t="str">
        <v>chef_status</v>
      </c>
      <c r="N4" s="14" t="str">
        <v>safety_status</v>
      </c>
      <c r="O4" s="14" t="str">
        <v>source</v>
      </c>
    </row>
    <row r="5">
      <c r="A5" s="34" t="str">
        <v>MNU-001</v>
      </c>
      <c r="B5" s="35" t="str">
        <v>VKM-001</v>
      </c>
      <c r="C5" s="35" t="str">
        <v>Пицца</v>
      </c>
      <c r="D5" s="35" t="str">
        <v>Маргарита</v>
      </c>
      <c r="E5" s="35" t="str">
        <v>À la carte; Бизнес-ланч; Гостиничные ужины; Доставка</v>
      </c>
      <c r="F5" s="35" t="str">
        <v>1 пицца</v>
      </c>
      <c r="G5" s="35" t="str">
        <v>450 г</v>
      </c>
      <c r="H5" s="35" t="str">
        <v>VKC-001</v>
      </c>
      <c r="I5" s="35" t="str">
        <v>VKT-001</v>
      </c>
      <c r="J5" s="35" t="str">
        <v>0.1.0-DRAFT</v>
      </c>
      <c r="K5" s="35" t="str">
        <v>DRAFT_NOT_APPROVED</v>
      </c>
      <c r="L5" s="35" t="str">
        <v>POPULATED_PROXY_SCENARIO</v>
      </c>
      <c r="M5" s="35" t="str">
        <v>NOT_APPROVED</v>
      </c>
      <c r="N5" s="35" t="str">
        <v>BLOCK</v>
      </c>
      <c r="O5" s="36" t="str">
        <v>main</v>
      </c>
    </row>
    <row r="6">
      <c r="A6" s="37" t="str">
        <v>MNU-002</v>
      </c>
      <c r="B6" s="38" t="str">
        <v>VKM-002</v>
      </c>
      <c r="C6" s="38" t="str">
        <v>Пицца</v>
      </c>
      <c r="D6" s="38" t="str">
        <v>Четыре сыра</v>
      </c>
      <c r="E6" s="38" t="str">
        <v>À la carte; Бизнес-ланч; Гостиничные ужины; Доставка</v>
      </c>
      <c r="F6" s="38" t="str">
        <v>1 пицца</v>
      </c>
      <c r="G6" s="38" t="str">
        <v>480 г</v>
      </c>
      <c r="H6" s="38" t="str">
        <v>VKC-002</v>
      </c>
      <c r="I6" s="38" t="str">
        <v>VKT-002</v>
      </c>
      <c r="J6" s="38" t="str">
        <v>0.1.0-DRAFT</v>
      </c>
      <c r="K6" s="38" t="str">
        <v>DRAFT_NOT_APPROVED</v>
      </c>
      <c r="L6" s="38" t="str">
        <v>POPULATED_PROXY_SCENARIO</v>
      </c>
      <c r="M6" s="38" t="str">
        <v>NOT_APPROVED</v>
      </c>
      <c r="N6" s="38" t="str">
        <v>BLOCK</v>
      </c>
      <c r="O6" s="39" t="str">
        <v>main</v>
      </c>
    </row>
    <row r="7">
      <c r="A7" s="37" t="str">
        <v>MNU-003</v>
      </c>
      <c r="B7" s="38" t="str">
        <v>VKM-003</v>
      </c>
      <c r="C7" s="38" t="str">
        <v>Пицца</v>
      </c>
      <c r="D7" s="38" t="str">
        <v>Грибная с ветчиной</v>
      </c>
      <c r="E7" s="38" t="str">
        <v>À la carte; Бизнес-ланч; Гостиничные ужины; Доставка</v>
      </c>
      <c r="F7" s="38" t="str">
        <v>1 пицца</v>
      </c>
      <c r="G7" s="38" t="str">
        <v>500 г</v>
      </c>
      <c r="H7" s="38" t="str">
        <v>VKC-003</v>
      </c>
      <c r="I7" s="38" t="str">
        <v>VKT-003</v>
      </c>
      <c r="J7" s="38" t="str">
        <v>0.1.0-DRAFT</v>
      </c>
      <c r="K7" s="38" t="str">
        <v>DRAFT_NOT_APPROVED</v>
      </c>
      <c r="L7" s="38" t="str">
        <v>POPULATED_PROXY_SCENARIO</v>
      </c>
      <c r="M7" s="38" t="str">
        <v>NOT_APPROVED</v>
      </c>
      <c r="N7" s="38" t="str">
        <v>BLOCK</v>
      </c>
      <c r="O7" s="39" t="str">
        <v>main</v>
      </c>
    </row>
    <row r="8">
      <c r="A8" s="37" t="str">
        <v>MNU-004</v>
      </c>
      <c r="B8" s="38" t="str">
        <v>VKM-004</v>
      </c>
      <c r="C8" s="38" t="str">
        <v>Пицца</v>
      </c>
      <c r="D8" s="38" t="str">
        <v>Пепперони</v>
      </c>
      <c r="E8" s="38" t="str">
        <v>À la carte; Бизнес-ланч; Гостиничные ужины; Доставка</v>
      </c>
      <c r="F8" s="38" t="str">
        <v>1 пицца</v>
      </c>
      <c r="G8" s="38" t="str">
        <v>500 г</v>
      </c>
      <c r="H8" s="38" t="str">
        <v>VKC-004</v>
      </c>
      <c r="I8" s="38" t="str">
        <v>VKT-004</v>
      </c>
      <c r="J8" s="38" t="str">
        <v>0.1.0-DRAFT</v>
      </c>
      <c r="K8" s="38" t="str">
        <v>DRAFT_NOT_APPROVED</v>
      </c>
      <c r="L8" s="38" t="str">
        <v>POPULATED_PROXY_SCENARIO</v>
      </c>
      <c r="M8" s="38" t="str">
        <v>NOT_APPROVED</v>
      </c>
      <c r="N8" s="38" t="str">
        <v>BLOCK</v>
      </c>
      <c r="O8" s="39" t="str">
        <v>main</v>
      </c>
    </row>
    <row r="9">
      <c r="A9" s="37" t="str">
        <v>MNU-005</v>
      </c>
      <c r="B9" s="38" t="str">
        <v>VKM-005</v>
      </c>
      <c r="C9" s="38" t="str">
        <v>Хлеб</v>
      </c>
      <c r="D9" s="38" t="str">
        <v>Белая чиабатта</v>
      </c>
      <c r="E9" s="38" t="str">
        <v>Все применимые направления КАФЕ; обязательные компоненты</v>
      </c>
      <c r="F9" s="38" t="str">
        <v>1 изделие</v>
      </c>
      <c r="G9" s="38" t="str">
        <v>100 г</v>
      </c>
      <c r="H9" s="38" t="str">
        <v>VKC-005</v>
      </c>
      <c r="I9" s="38" t="str">
        <v>VKT-005</v>
      </c>
      <c r="J9" s="38" t="str">
        <v>0.1.0-DRAFT</v>
      </c>
      <c r="K9" s="38" t="str">
        <v>DRAFT_NOT_APPROVED</v>
      </c>
      <c r="L9" s="38" t="str">
        <v>POPULATED_PROXY_SCENARIO</v>
      </c>
      <c r="M9" s="38" t="str">
        <v>NOT_APPROVED</v>
      </c>
      <c r="N9" s="38" t="str">
        <v>BLOCK</v>
      </c>
      <c r="O9" s="39" t="str">
        <v>main</v>
      </c>
    </row>
    <row r="10">
      <c r="A10" s="37" t="str">
        <v>MNU-006</v>
      </c>
      <c r="B10" s="38" t="str">
        <v>VKM-006</v>
      </c>
      <c r="C10" s="38" t="str">
        <v>Хлеб</v>
      </c>
      <c r="D10" s="38" t="str">
        <v>Томатная чиабатта</v>
      </c>
      <c r="E10" s="38" t="str">
        <v>Все применимые направления КАФЕ</v>
      </c>
      <c r="F10" s="38" t="str">
        <v>1 изделие</v>
      </c>
      <c r="G10" s="38" t="str">
        <v>100 г</v>
      </c>
      <c r="H10" s="38" t="str">
        <v>VKC-006</v>
      </c>
      <c r="I10" s="38" t="str">
        <v>VKT-006</v>
      </c>
      <c r="J10" s="38" t="str">
        <v>0.1.0-DRAFT</v>
      </c>
      <c r="K10" s="38" t="str">
        <v>DRAFT_NOT_APPROVED</v>
      </c>
      <c r="L10" s="38" t="str">
        <v>POPULATED_PROXY_SCENARIO</v>
      </c>
      <c r="M10" s="38" t="str">
        <v>NOT_APPROVED</v>
      </c>
      <c r="N10" s="38" t="str">
        <v>BLOCK</v>
      </c>
      <c r="O10" s="39" t="str">
        <v>main</v>
      </c>
    </row>
    <row r="11">
      <c r="A11" s="37" t="str">
        <v>MNU-007</v>
      </c>
      <c r="B11" s="38" t="str">
        <v>VKM-007</v>
      </c>
      <c r="C11" s="38" t="str">
        <v>Хлеб</v>
      </c>
      <c r="D11" s="38" t="str">
        <v>Бородинский хлеб</v>
      </c>
      <c r="E11" s="38" t="str">
        <v>Все применимые направления КАФЕ; обязательные компоненты</v>
      </c>
      <c r="F11" s="38" t="str">
        <v>1 буханка</v>
      </c>
      <c r="G11" s="38" t="str">
        <v>350 г</v>
      </c>
      <c r="H11" s="38" t="str">
        <v>VKC-007</v>
      </c>
      <c r="I11" s="38" t="str">
        <v>VKT-007</v>
      </c>
      <c r="J11" s="38" t="str">
        <v>0.1.0-DRAFT</v>
      </c>
      <c r="K11" s="38" t="str">
        <v>DRAFT_NOT_APPROVED</v>
      </c>
      <c r="L11" s="38" t="str">
        <v>POPULATED_PROXY_SCENARIO</v>
      </c>
      <c r="M11" s="38" t="str">
        <v>NOT_APPROVED</v>
      </c>
      <c r="N11" s="38" t="str">
        <v>BLOCK</v>
      </c>
      <c r="O11" s="39" t="str">
        <v>main</v>
      </c>
    </row>
    <row r="12">
      <c r="A12" s="37" t="str">
        <v>MNU-008</v>
      </c>
      <c r="B12" s="38" t="str">
        <v>VKM-008</v>
      </c>
      <c r="C12" s="38" t="str">
        <v>Хлеб</v>
      </c>
      <c r="D12" s="38" t="str">
        <v>Бриошь</v>
      </c>
      <c r="E12" s="38" t="str">
        <v>Все применимые направления КАФЕ; бургер</v>
      </c>
      <c r="F12" s="38" t="str">
        <v>1 изделие</v>
      </c>
      <c r="G12" s="38" t="str">
        <v>85 г</v>
      </c>
      <c r="H12" s="38" t="str">
        <v>VKC-008</v>
      </c>
      <c r="I12" s="38" t="str">
        <v>VKT-008</v>
      </c>
      <c r="J12" s="38" t="str">
        <v>0.1.0-DRAFT</v>
      </c>
      <c r="K12" s="38" t="str">
        <v>DRAFT_NOT_APPROVED</v>
      </c>
      <c r="L12" s="38" t="str">
        <v>POPULATED_PROXY_SCENARIO</v>
      </c>
      <c r="M12" s="38" t="str">
        <v>NOT_APPROVED</v>
      </c>
      <c r="N12" s="38" t="str">
        <v>BLOCK</v>
      </c>
      <c r="O12" s="39" t="str">
        <v>main</v>
      </c>
    </row>
    <row r="13">
      <c r="A13" s="37" t="str">
        <v>MNU-009</v>
      </c>
      <c r="B13" s="38" t="str">
        <v>VKM-009</v>
      </c>
      <c r="C13" s="38" t="str">
        <v>Салаты</v>
      </c>
      <c r="D13" s="38" t="str">
        <v>Буррата с томатами</v>
      </c>
      <c r="E13" s="38" t="str">
        <v>À la carte; Бизнес-ланч; Гостиничные ужины; Доставка</v>
      </c>
      <c r="F13" s="38" t="str">
        <v>1 порция</v>
      </c>
      <c r="G13" s="38" t="str">
        <v>300 г</v>
      </c>
      <c r="H13" s="38" t="str">
        <v>VKC-009</v>
      </c>
      <c r="I13" s="38" t="str">
        <v>VKT-009</v>
      </c>
      <c r="J13" s="38" t="str">
        <v>0.1.0-DRAFT</v>
      </c>
      <c r="K13" s="38" t="str">
        <v>DRAFT_NOT_APPROVED</v>
      </c>
      <c r="L13" s="38" t="str">
        <v>POPULATED_PROXY_SCENARIO</v>
      </c>
      <c r="M13" s="38" t="str">
        <v>NOT_APPROVED</v>
      </c>
      <c r="N13" s="38" t="str">
        <v>BLOCK</v>
      </c>
      <c r="O13" s="39" t="str">
        <v>main</v>
      </c>
    </row>
    <row r="14">
      <c r="A14" s="37" t="str">
        <v>MNU-010</v>
      </c>
      <c r="B14" s="38" t="str">
        <v>VKM-010</v>
      </c>
      <c r="C14" s="38" t="str">
        <v>Салаты</v>
      </c>
      <c r="D14" s="38" t="str">
        <v>Микс-салат с креветками и яблоком</v>
      </c>
      <c r="E14" s="38" t="str">
        <v>À la carte; Бизнес-ланч; Гостиничные ужины; Доставка</v>
      </c>
      <c r="F14" s="38" t="str">
        <v>1 порция</v>
      </c>
      <c r="G14" s="38" t="str">
        <v>280 г</v>
      </c>
      <c r="H14" s="38" t="str">
        <v>VKC-010</v>
      </c>
      <c r="I14" s="38" t="str">
        <v>VKT-010</v>
      </c>
      <c r="J14" s="38" t="str">
        <v>0.1.0-DRAFT</v>
      </c>
      <c r="K14" s="38" t="str">
        <v>DRAFT_NOT_APPROVED</v>
      </c>
      <c r="L14" s="38" t="str">
        <v>POPULATED_PROXY_SCENARIO</v>
      </c>
      <c r="M14" s="38" t="str">
        <v>NOT_APPROVED</v>
      </c>
      <c r="N14" s="38" t="str">
        <v>BLOCK</v>
      </c>
      <c r="O14" s="39" t="str">
        <v>main</v>
      </c>
    </row>
    <row r="15">
      <c r="A15" s="37" t="str">
        <v>MNU-011</v>
      </c>
      <c r="B15" s="38" t="str">
        <v>VKM-011</v>
      </c>
      <c r="C15" s="38" t="str">
        <v>Салаты</v>
      </c>
      <c r="D15" s="38" t="str">
        <v>Греческий</v>
      </c>
      <c r="E15" s="38" t="str">
        <v>À la carte; Бизнес-ланч; Гостиничные ужины; Доставка</v>
      </c>
      <c r="F15" s="38" t="str">
        <v>1 порция</v>
      </c>
      <c r="G15" s="38" t="str">
        <v>270 г</v>
      </c>
      <c r="H15" s="38" t="str">
        <v>VKC-011</v>
      </c>
      <c r="I15" s="38" t="str">
        <v>VKT-011</v>
      </c>
      <c r="J15" s="38" t="str">
        <v>0.1.0-DRAFT</v>
      </c>
      <c r="K15" s="38" t="str">
        <v>DRAFT_NOT_APPROVED</v>
      </c>
      <c r="L15" s="38" t="str">
        <v>POPULATED_PROXY_SCENARIO</v>
      </c>
      <c r="M15" s="38" t="str">
        <v>NOT_APPROVED</v>
      </c>
      <c r="N15" s="38" t="str">
        <v>BLOCK</v>
      </c>
      <c r="O15" s="39" t="str">
        <v>main</v>
      </c>
    </row>
    <row r="16">
      <c r="A16" s="37" t="str">
        <v>MNU-012</v>
      </c>
      <c r="B16" s="38" t="str">
        <v>VKM-012</v>
      </c>
      <c r="C16" s="38" t="str">
        <v>Салаты</v>
      </c>
      <c r="D16" s="38" t="str">
        <v>Винегрет</v>
      </c>
      <c r="E16" s="38" t="str">
        <v>À la carte; Бизнес-ланч; Гостиничные ужины; Доставка</v>
      </c>
      <c r="F16" s="38" t="str">
        <v>1 порция</v>
      </c>
      <c r="G16" s="38" t="str">
        <v>240 г</v>
      </c>
      <c r="H16" s="38" t="str">
        <v>VKC-012</v>
      </c>
      <c r="I16" s="38" t="str">
        <v>VKT-012</v>
      </c>
      <c r="J16" s="38" t="str">
        <v>0.1.0-DRAFT</v>
      </c>
      <c r="K16" s="38" t="str">
        <v>DRAFT_NOT_APPROVED</v>
      </c>
      <c r="L16" s="38" t="str">
        <v>POPULATED_PROXY_SCENARIO</v>
      </c>
      <c r="M16" s="38" t="str">
        <v>NOT_APPROVED</v>
      </c>
      <c r="N16" s="38" t="str">
        <v>BLOCK</v>
      </c>
      <c r="O16" s="39" t="str">
        <v>main</v>
      </c>
    </row>
    <row r="17">
      <c r="A17" s="37" t="str">
        <v>MNU-013</v>
      </c>
      <c r="B17" s="38" t="str">
        <v>VKM-013</v>
      </c>
      <c r="C17" s="38" t="str">
        <v>Холодные закуски</v>
      </c>
      <c r="D17" s="38" t="str">
        <v>Слабосолёный лосось</v>
      </c>
      <c r="E17" s="38" t="str">
        <v>À la carte; Бизнес-ланч; Гостиничные ужины</v>
      </c>
      <c r="F17" s="38" t="str">
        <v>1 порция</v>
      </c>
      <c r="G17" s="38" t="str">
        <v>130 г</v>
      </c>
      <c r="H17" s="38" t="str">
        <v>VKC-013</v>
      </c>
      <c r="I17" s="38" t="str">
        <v>VKT-013</v>
      </c>
      <c r="J17" s="38" t="str">
        <v>0.1.0-DRAFT</v>
      </c>
      <c r="K17" s="38" t="str">
        <v>DRAFT_NOT_APPROVED</v>
      </c>
      <c r="L17" s="38" t="str">
        <v>POPULATED_PROXY_SCENARIO</v>
      </c>
      <c r="M17" s="38" t="str">
        <v>NOT_APPROVED</v>
      </c>
      <c r="N17" s="38" t="str">
        <v>BLOCK</v>
      </c>
      <c r="O17" s="39" t="str">
        <v>main</v>
      </c>
    </row>
    <row r="18">
      <c r="A18" s="37" t="str">
        <v>MNU-014</v>
      </c>
      <c r="B18" s="38" t="str">
        <v>VKM-014</v>
      </c>
      <c r="C18" s="38" t="str">
        <v>Холодные закуски</v>
      </c>
      <c r="D18" s="38" t="str">
        <v>Сельдь с запечённым картофелем</v>
      </c>
      <c r="E18" s="38" t="str">
        <v>À la carte; Бизнес-ланч; Гостиничные ужины</v>
      </c>
      <c r="F18" s="38" t="str">
        <v>1 порция</v>
      </c>
      <c r="G18" s="38" t="str">
        <v>250 г</v>
      </c>
      <c r="H18" s="38" t="str">
        <v>VKC-014</v>
      </c>
      <c r="I18" s="38" t="str">
        <v>VKT-014</v>
      </c>
      <c r="J18" s="38" t="str">
        <v>0.1.0-DRAFT</v>
      </c>
      <c r="K18" s="38" t="str">
        <v>DRAFT_NOT_APPROVED</v>
      </c>
      <c r="L18" s="38" t="str">
        <v>POPULATED_PROXY_SCENARIO</v>
      </c>
      <c r="M18" s="38" t="str">
        <v>NOT_APPROVED</v>
      </c>
      <c r="N18" s="38" t="str">
        <v>BLOCK</v>
      </c>
      <c r="O18" s="39" t="str">
        <v>main</v>
      </c>
    </row>
    <row r="19">
      <c r="A19" s="37" t="str">
        <v>MNU-015</v>
      </c>
      <c r="B19" s="38" t="str">
        <v>VKM-015</v>
      </c>
      <c r="C19" s="38" t="str">
        <v>Холодные закуски</v>
      </c>
      <c r="D19" s="38" t="str">
        <v>Оливки и маслины</v>
      </c>
      <c r="E19" s="38" t="str">
        <v>À la carte; Бизнес-ланч; Гостиничные ужины</v>
      </c>
      <c r="F19" s="38" t="str">
        <v>1 порция</v>
      </c>
      <c r="G19" s="38" t="str">
        <v>120 г</v>
      </c>
      <c r="H19" s="38" t="str">
        <v>VKC-015</v>
      </c>
      <c r="I19" s="38" t="str">
        <v>VKT-015</v>
      </c>
      <c r="J19" s="38" t="str">
        <v>0.1.0-DRAFT</v>
      </c>
      <c r="K19" s="38" t="str">
        <v>DRAFT_NOT_APPROVED</v>
      </c>
      <c r="L19" s="38" t="str">
        <v>POPULATED_PROXY_SCENARIO</v>
      </c>
      <c r="M19" s="38" t="str">
        <v>NOT_APPROVED</v>
      </c>
      <c r="N19" s="38" t="str">
        <v>BLOCK</v>
      </c>
      <c r="O19" s="39" t="str">
        <v>main</v>
      </c>
    </row>
    <row r="20">
      <c r="A20" s="37" t="str">
        <v>MNU-016</v>
      </c>
      <c r="B20" s="38" t="str">
        <v>VKM-016</v>
      </c>
      <c r="C20" s="38" t="str">
        <v>Холодные закуски</v>
      </c>
      <c r="D20" s="38" t="str">
        <v>Ассорти фирменных солений</v>
      </c>
      <c r="E20" s="38" t="str">
        <v>À la carte; Бизнес-ланч; Гостиничные ужины</v>
      </c>
      <c r="F20" s="38" t="str">
        <v>1 порция</v>
      </c>
      <c r="G20" s="38" t="str">
        <v>180 г</v>
      </c>
      <c r="H20" s="38" t="str">
        <v>VKC-016</v>
      </c>
      <c r="I20" s="38" t="str">
        <v>VKT-016</v>
      </c>
      <c r="J20" s="38" t="str">
        <v>0.1.0-DRAFT</v>
      </c>
      <c r="K20" s="38" t="str">
        <v>DRAFT_NOT_APPROVED</v>
      </c>
      <c r="L20" s="38" t="str">
        <v>POPULATED_PROXY_SCENARIO</v>
      </c>
      <c r="M20" s="38" t="str">
        <v>NOT_APPROVED</v>
      </c>
      <c r="N20" s="38" t="str">
        <v>BLOCK</v>
      </c>
      <c r="O20" s="39" t="str">
        <v>main</v>
      </c>
    </row>
    <row r="21">
      <c r="A21" s="37" t="str">
        <v>MNU-017</v>
      </c>
      <c r="B21" s="38" t="str">
        <v>VKM-017</v>
      </c>
      <c r="C21" s="38" t="str">
        <v>Холодные закуски</v>
      </c>
      <c r="D21" s="38" t="str">
        <v>Ростбиф с луком и гренкой</v>
      </c>
      <c r="E21" s="38" t="str">
        <v>À la carte; Бизнес-ланч; Гостиничные ужины</v>
      </c>
      <c r="F21" s="38" t="str">
        <v>1 порция</v>
      </c>
      <c r="G21" s="38" t="str">
        <v>180 г</v>
      </c>
      <c r="H21" s="38" t="str">
        <v>VKC-017</v>
      </c>
      <c r="I21" s="38" t="str">
        <v>VKT-017</v>
      </c>
      <c r="J21" s="38" t="str">
        <v>0.1.0-DRAFT</v>
      </c>
      <c r="K21" s="38" t="str">
        <v>DRAFT_NOT_APPROVED</v>
      </c>
      <c r="L21" s="38" t="str">
        <v>POPULATED_PROXY_SCENARIO</v>
      </c>
      <c r="M21" s="38" t="str">
        <v>NOT_APPROVED</v>
      </c>
      <c r="N21" s="38" t="str">
        <v>BLOCK</v>
      </c>
      <c r="O21" s="39" t="str">
        <v>main</v>
      </c>
    </row>
    <row r="22">
      <c r="A22" s="37" t="str">
        <v>MNU-018</v>
      </c>
      <c r="B22" s="38" t="str">
        <v>VKM-018</v>
      </c>
      <c r="C22" s="38" t="str">
        <v>Супы</v>
      </c>
      <c r="D22" s="38" t="str">
        <v>Традиционный красный борщ</v>
      </c>
      <c r="E22" s="38" t="str">
        <v>À la carte; Бизнес-ланч</v>
      </c>
      <c r="F22" s="38" t="str">
        <v>1 гостевая подача</v>
      </c>
      <c r="G22" s="38" t="str">
        <v>400 г</v>
      </c>
      <c r="H22" s="38" t="str">
        <v>VKC-018</v>
      </c>
      <c r="I22" s="38" t="str">
        <v>VKT-018</v>
      </c>
      <c r="J22" s="38" t="str">
        <v>0.1.0-DRAFT</v>
      </c>
      <c r="K22" s="38" t="str">
        <v>DRAFT_NOT_APPROVED</v>
      </c>
      <c r="L22" s="38" t="str">
        <v>POPULATED_PROXY_SCENARIO</v>
      </c>
      <c r="M22" s="38" t="str">
        <v>NOT_APPROVED</v>
      </c>
      <c r="N22" s="38" t="str">
        <v>BLOCK</v>
      </c>
      <c r="O22" s="39" t="str">
        <v>main</v>
      </c>
    </row>
    <row r="23">
      <c r="A23" s="37" t="str">
        <v>MNU-019</v>
      </c>
      <c r="B23" s="38" t="str">
        <v>VKM-019</v>
      </c>
      <c r="C23" s="38" t="str">
        <v>Горячие блюда</v>
      </c>
      <c r="D23" s="38" t="str">
        <v>Мурманская треска со сливочно-горчичным соусом</v>
      </c>
      <c r="E23" s="38" t="str">
        <v>À la carte; Бизнес-ланч; Гостиничные ужины; Доставка</v>
      </c>
      <c r="F23" s="38" t="str">
        <v>1 порция</v>
      </c>
      <c r="G23" s="38" t="str">
        <v>300 г</v>
      </c>
      <c r="H23" s="38" t="str">
        <v>VKC-019</v>
      </c>
      <c r="I23" s="38" t="str">
        <v>VKT-019</v>
      </c>
      <c r="J23" s="38" t="str">
        <v>0.1.0-DRAFT</v>
      </c>
      <c r="K23" s="38" t="str">
        <v>DRAFT_NOT_APPROVED</v>
      </c>
      <c r="L23" s="38" t="str">
        <v>POPULATED_PROXY_SCENARIO</v>
      </c>
      <c r="M23" s="38" t="str">
        <v>NOT_APPROVED</v>
      </c>
      <c r="N23" s="38" t="str">
        <v>BLOCK</v>
      </c>
      <c r="O23" s="39" t="str">
        <v>main</v>
      </c>
    </row>
    <row r="24">
      <c r="A24" s="37" t="str">
        <v>MNU-020</v>
      </c>
      <c r="B24" s="38" t="str">
        <v>VKM-020</v>
      </c>
      <c r="C24" s="38" t="str">
        <v>Горячие блюда</v>
      </c>
      <c r="D24" s="38" t="str">
        <v>Креветки по-тайски</v>
      </c>
      <c r="E24" s="38" t="str">
        <v>À la carte; Бизнес-ланч; Гостиничные ужины; Доставка</v>
      </c>
      <c r="F24" s="38" t="str">
        <v>1 порция</v>
      </c>
      <c r="G24" s="38" t="str">
        <v>360 г</v>
      </c>
      <c r="H24" s="38" t="str">
        <v>VKC-020</v>
      </c>
      <c r="I24" s="38" t="str">
        <v>VKT-020</v>
      </c>
      <c r="J24" s="38" t="str">
        <v>0.1.0-DRAFT</v>
      </c>
      <c r="K24" s="38" t="str">
        <v>DRAFT_NOT_APPROVED</v>
      </c>
      <c r="L24" s="38" t="str">
        <v>POPULATED_PROXY_SCENARIO</v>
      </c>
      <c r="M24" s="38" t="str">
        <v>NOT_APPROVED</v>
      </c>
      <c r="N24" s="38" t="str">
        <v>BLOCK</v>
      </c>
      <c r="O24" s="39" t="str">
        <v>main</v>
      </c>
    </row>
    <row r="25">
      <c r="A25" s="37" t="str">
        <v>MNU-021</v>
      </c>
      <c r="B25" s="38" t="str">
        <v>VKM-021</v>
      </c>
      <c r="C25" s="38" t="str">
        <v>Горячие блюда</v>
      </c>
      <c r="D25" s="38" t="str">
        <v>Бургер VARSHAVKA</v>
      </c>
      <c r="E25" s="38" t="str">
        <v>À la carte; Бизнес-ланч; Гостиничные ужины; Доставка</v>
      </c>
      <c r="F25" s="38" t="str">
        <v>1 бургер</v>
      </c>
      <c r="G25" s="38" t="str">
        <v>350 г</v>
      </c>
      <c r="H25" s="38" t="str">
        <v>VKC-021</v>
      </c>
      <c r="I25" s="38" t="str">
        <v>VKT-021</v>
      </c>
      <c r="J25" s="38" t="str">
        <v>0.1.0-DRAFT</v>
      </c>
      <c r="K25" s="38" t="str">
        <v>DRAFT_NOT_APPROVED</v>
      </c>
      <c r="L25" s="38" t="str">
        <v>POPULATED_PROXY_SCENARIO</v>
      </c>
      <c r="M25" s="38" t="str">
        <v>NOT_APPROVED</v>
      </c>
      <c r="N25" s="38" t="str">
        <v>BLOCK</v>
      </c>
      <c r="O25" s="39" t="str">
        <v>main</v>
      </c>
    </row>
    <row r="26">
      <c r="A26" s="37" t="str">
        <v>MNU-022</v>
      </c>
      <c r="B26" s="38" t="str">
        <v>VKM-022</v>
      </c>
      <c r="C26" s="38" t="str">
        <v>Горячие блюда</v>
      </c>
      <c r="D26" s="38" t="str">
        <v>Миньоны из говяжьей вырезки</v>
      </c>
      <c r="E26" s="38" t="str">
        <v>À la carte; Бизнес-ланч; Гостиничные ужины; Доставка</v>
      </c>
      <c r="F26" s="38" t="str">
        <v>1 порция, 2 миньона</v>
      </c>
      <c r="G26" s="38" t="str">
        <v>300 г</v>
      </c>
      <c r="H26" s="38" t="str">
        <v>VKC-022</v>
      </c>
      <c r="I26" s="38" t="str">
        <v>VKT-022</v>
      </c>
      <c r="J26" s="38" t="str">
        <v>0.1.0-DRAFT</v>
      </c>
      <c r="K26" s="38" t="str">
        <v>DRAFT_NOT_APPROVED</v>
      </c>
      <c r="L26" s="38" t="str">
        <v>POPULATED_PROXY_SCENARIO</v>
      </c>
      <c r="M26" s="38" t="str">
        <v>NOT_APPROVED</v>
      </c>
      <c r="N26" s="38" t="str">
        <v>BLOCK</v>
      </c>
      <c r="O26" s="39" t="str">
        <v>main</v>
      </c>
    </row>
    <row r="27">
      <c r="A27" s="37" t="str">
        <v>MNU-023</v>
      </c>
      <c r="B27" s="38" t="str">
        <v>VKM-023</v>
      </c>
      <c r="C27" s="38" t="str">
        <v>Гарниры</v>
      </c>
      <c r="D27" s="38" t="str">
        <v>Запечённый картофель</v>
      </c>
      <c r="E27" s="38" t="str">
        <v>À la carte; Бизнес-ланч; Гостиничные ужины</v>
      </c>
      <c r="F27" s="38" t="str">
        <v>1 порция</v>
      </c>
      <c r="G27" s="38" t="str">
        <v>150 г</v>
      </c>
      <c r="H27" s="38" t="str">
        <v>VKC-023</v>
      </c>
      <c r="I27" s="38" t="str">
        <v>VKT-023</v>
      </c>
      <c r="J27" s="38" t="str">
        <v>0.1.0-DRAFT</v>
      </c>
      <c r="K27" s="38" t="str">
        <v>DRAFT_NOT_APPROVED</v>
      </c>
      <c r="L27" s="38" t="str">
        <v>POPULATED_PROXY_SCENARIO</v>
      </c>
      <c r="M27" s="38" t="str">
        <v>NOT_APPROVED</v>
      </c>
      <c r="N27" s="38" t="str">
        <v>BLOCK</v>
      </c>
      <c r="O27" s="39" t="str">
        <v>main</v>
      </c>
    </row>
    <row r="28">
      <c r="A28" s="37" t="str">
        <v>MNU-024</v>
      </c>
      <c r="B28" s="38" t="str">
        <v>VKM-024</v>
      </c>
      <c r="C28" s="38" t="str">
        <v>Гарниры</v>
      </c>
      <c r="D28" s="38" t="str">
        <v>Рис жасмин</v>
      </c>
      <c r="E28" s="38" t="str">
        <v>À la carte; Бизнес-ланч; Гостиничные ужины</v>
      </c>
      <c r="F28" s="38" t="str">
        <v>1 порция</v>
      </c>
      <c r="G28" s="38" t="str">
        <v>150 г</v>
      </c>
      <c r="H28" s="38" t="str">
        <v>VKC-024</v>
      </c>
      <c r="I28" s="38" t="str">
        <v>VKT-024</v>
      </c>
      <c r="J28" s="38" t="str">
        <v>0.1.0-DRAFT</v>
      </c>
      <c r="K28" s="38" t="str">
        <v>DRAFT_NOT_APPROVED</v>
      </c>
      <c r="L28" s="38" t="str">
        <v>POPULATED_PROXY_SCENARIO</v>
      </c>
      <c r="M28" s="38" t="str">
        <v>NOT_APPROVED</v>
      </c>
      <c r="N28" s="38" t="str">
        <v>BLOCK</v>
      </c>
      <c r="O28" s="39" t="str">
        <v>main</v>
      </c>
    </row>
    <row r="29">
      <c r="A29" s="37" t="str">
        <v>MNU-025</v>
      </c>
      <c r="B29" s="38" t="str">
        <v>VKM-025</v>
      </c>
      <c r="C29" s="38" t="str">
        <v>Гарниры</v>
      </c>
      <c r="D29" s="38" t="str">
        <v>Горячие овощи</v>
      </c>
      <c r="E29" s="38" t="str">
        <v>À la carte; Бизнес-ланч; Гостиничные ужины</v>
      </c>
      <c r="F29" s="38" t="str">
        <v>1 порция</v>
      </c>
      <c r="G29" s="38" t="str">
        <v>150 г</v>
      </c>
      <c r="H29" s="38" t="str">
        <v>VKC-025</v>
      </c>
      <c r="I29" s="38" t="str">
        <v>VKT-025</v>
      </c>
      <c r="J29" s="38" t="str">
        <v>0.1.0-DRAFT</v>
      </c>
      <c r="K29" s="38" t="str">
        <v>DRAFT_NOT_APPROVED</v>
      </c>
      <c r="L29" s="38" t="str">
        <v>POPULATED_PROXY_SCENARIO</v>
      </c>
      <c r="M29" s="38" t="str">
        <v>NOT_APPROVED</v>
      </c>
      <c r="N29" s="38" t="str">
        <v>BLOCK</v>
      </c>
      <c r="O29" s="39" t="str">
        <v>main</v>
      </c>
    </row>
    <row r="30">
      <c r="A30" s="37" t="str">
        <v>MNU-026</v>
      </c>
      <c r="B30" s="38" t="str">
        <v>VKM-026</v>
      </c>
      <c r="C30" s="38" t="str">
        <v>Гостиничные завтраки</v>
      </c>
      <c r="D30" s="38" t="str">
        <v>Яичница, круассан и сыр двух видов</v>
      </c>
      <c r="E30" s="38" t="str">
        <v>Гостиница — завтраки</v>
      </c>
      <c r="F30" s="38" t="str">
        <v>1 закрытый комплекс</v>
      </c>
      <c r="G30" s="38" t="str">
        <v>225 г + напиток 200 мл</v>
      </c>
      <c r="H30" s="38" t="str">
        <v>VKC-026</v>
      </c>
      <c r="I30" s="38" t="str">
        <v>VKT-026</v>
      </c>
      <c r="J30" s="38" t="str">
        <v>S04-v3.0.0</v>
      </c>
      <c r="K30" s="38" t="str">
        <v>S04_MODEL_RECIPE_PRELIMINARY</v>
      </c>
      <c r="L30" s="38" t="str">
        <v>POPULATED_S04_MODEL</v>
      </c>
      <c r="M30" s="38" t="str">
        <v>NOT_APPROVED</v>
      </c>
      <c r="N30" s="38" t="str">
        <v>NOT_PRODUCTION_RELEASED</v>
      </c>
      <c r="O30" s="39" t="str">
        <v>PR81 historical checkpoint</v>
      </c>
    </row>
    <row r="31">
      <c r="A31" s="37" t="str">
        <v>MNU-027</v>
      </c>
      <c r="B31" s="38" t="str">
        <v>VKM-027</v>
      </c>
      <c r="C31" s="38" t="str">
        <v>Гостиничные завтраки</v>
      </c>
      <c r="D31" s="38" t="str">
        <v>Омлет, круассан и сыр двух видов</v>
      </c>
      <c r="E31" s="38" t="str">
        <v>Гостиница — завтраки</v>
      </c>
      <c r="F31" s="38" t="str">
        <v>1 закрытый комплекс</v>
      </c>
      <c r="G31" s="38" t="str">
        <v>265 г + напиток 200 мл</v>
      </c>
      <c r="H31" s="38" t="str">
        <v>VKC-027</v>
      </c>
      <c r="I31" s="38" t="str">
        <v>VKT-027</v>
      </c>
      <c r="J31" s="38" t="str">
        <v>S04-v3.0.0</v>
      </c>
      <c r="K31" s="38" t="str">
        <v>S04_MODEL_RECIPE_PRELIMINARY</v>
      </c>
      <c r="L31" s="38" t="str">
        <v>POPULATED_S04_MODEL</v>
      </c>
      <c r="M31" s="38" t="str">
        <v>NOT_APPROVED</v>
      </c>
      <c r="N31" s="38" t="str">
        <v>NOT_PRODUCTION_RELEASED</v>
      </c>
      <c r="O31" s="39" t="str">
        <v>PR81 historical checkpoint</v>
      </c>
    </row>
    <row r="32">
      <c r="A32" s="37" t="str">
        <v>MNU-028</v>
      </c>
      <c r="B32" s="38" t="str">
        <v>VKM-028</v>
      </c>
      <c r="C32" s="38" t="str">
        <v>Гостиничные завтраки</v>
      </c>
      <c r="D32" s="38" t="str">
        <v>Овсяная каша, круассан и сыр двух видов</v>
      </c>
      <c r="E32" s="38" t="str">
        <v>Гостиница — завтраки</v>
      </c>
      <c r="F32" s="38" t="str">
        <v>1 закрытый комплекс</v>
      </c>
      <c r="G32" s="38" t="str">
        <v>355 г + напиток 200 мл</v>
      </c>
      <c r="H32" s="38" t="str">
        <v>VKC-028</v>
      </c>
      <c r="I32" s="38" t="str">
        <v>VKT-028</v>
      </c>
      <c r="J32" s="38" t="str">
        <v>S04-v3.0.0</v>
      </c>
      <c r="K32" s="38" t="str">
        <v>S04_MODEL_RECIPE_PRELIMINARY</v>
      </c>
      <c r="L32" s="38" t="str">
        <v>POPULATED_S04_MODEL</v>
      </c>
      <c r="M32" s="38" t="str">
        <v>NOT_APPROVED</v>
      </c>
      <c r="N32" s="38" t="str">
        <v>NOT_PRODUCTION_RELEASED</v>
      </c>
      <c r="O32" s="39" t="str">
        <v>PR81 historical checkpoint</v>
      </c>
    </row>
    <row r="33">
      <c r="A33" s="37" t="str">
        <v>MNU-029</v>
      </c>
      <c r="B33" s="38" t="str">
        <v>VKM-029</v>
      </c>
      <c r="C33" s="38" t="str">
        <v>Десерты</v>
      </c>
      <c r="D33" s="38" t="str">
        <v>Черничный торт VARSHAVKA</v>
      </c>
      <c r="E33" s="38" t="str">
        <v>À la carte; Навынос</v>
      </c>
      <c r="F33" s="38" t="str">
        <v>1 торт / 12 порций</v>
      </c>
      <c r="G33" s="38" t="str">
        <v>1800 г</v>
      </c>
      <c r="H33" s="38" t="str">
        <v>VKC-029</v>
      </c>
      <c r="I33" s="38" t="str">
        <v>VKT-029</v>
      </c>
      <c r="J33" s="38" t="str">
        <v>0.1.0-DRAFT</v>
      </c>
      <c r="K33" s="38" t="str">
        <v>DRAFT_NOT_APPROVED</v>
      </c>
      <c r="L33" s="38" t="str">
        <v>POPULATED_PROXY_SCENARIO</v>
      </c>
      <c r="M33" s="38" t="str">
        <v>NOT_APPROVED</v>
      </c>
      <c r="N33" s="38" t="str">
        <v>BLOCK</v>
      </c>
      <c r="O33" s="39" t="str">
        <v>main</v>
      </c>
    </row>
    <row r="34">
      <c r="A34" s="37" t="str">
        <v>MNU-030</v>
      </c>
      <c r="B34" s="38" t="str">
        <v>VKM-030</v>
      </c>
      <c r="C34" s="38" t="str">
        <v>Десерты</v>
      </c>
      <c r="D34" s="38" t="str">
        <v>Кростата с солёной карамелью</v>
      </c>
      <c r="E34" s="38" t="str">
        <v>À la carte; Гостиничные ужины; Навынос</v>
      </c>
      <c r="F34" s="38" t="str">
        <v>1 кростата / 10 порций</v>
      </c>
      <c r="G34" s="38" t="str">
        <v>1200 г</v>
      </c>
      <c r="H34" s="38" t="str">
        <v>VKC-030</v>
      </c>
      <c r="I34" s="38" t="str">
        <v>VKT-030</v>
      </c>
      <c r="J34" s="38" t="str">
        <v>0.1.0-DRAFT</v>
      </c>
      <c r="K34" s="38" t="str">
        <v>DRAFT_NOT_APPROVED</v>
      </c>
      <c r="L34" s="38" t="str">
        <v>POPULATED_PROXY_SCENARIO</v>
      </c>
      <c r="M34" s="38" t="str">
        <v>NOT_APPROVED</v>
      </c>
      <c r="N34" s="38" t="str">
        <v>BLOCK</v>
      </c>
      <c r="O34" s="39" t="str">
        <v>main</v>
      </c>
    </row>
    <row r="35">
      <c r="A35" s="40" t="str">
        <v>MNU-031</v>
      </c>
      <c r="B35" s="41" t="str">
        <v>VKM-031</v>
      </c>
      <c r="C35" s="41" t="str">
        <v>Десерты</v>
      </c>
      <c r="D35" s="41" t="str">
        <v>Мадлен</v>
      </c>
      <c r="E35" s="41" t="str">
        <v>À la carte; Навынос</v>
      </c>
      <c r="F35" s="41" t="str">
        <v>партия 20 шт. / продажа 2 шт.</v>
      </c>
      <c r="G35" s="41" t="str">
        <v>600 г</v>
      </c>
      <c r="H35" s="41" t="str">
        <v>VKC-031</v>
      </c>
      <c r="I35" s="41" t="str">
        <v>VKT-031</v>
      </c>
      <c r="J35" s="41" t="str">
        <v>0.1.0-DRAFT</v>
      </c>
      <c r="K35" s="41" t="str">
        <v>DRAFT_NOT_APPROVED</v>
      </c>
      <c r="L35" s="41" t="str">
        <v>POPULATED_PROXY_SCENARIO</v>
      </c>
      <c r="M35" s="41" t="str">
        <v>NOT_APPROVED</v>
      </c>
      <c r="N35" s="41" t="str">
        <v>BLOCK</v>
      </c>
      <c r="O35" s="42" t="str">
        <v>main</v>
      </c>
    </row>
  </sheetData>
  <autoFilter ref="A1:O35"/>
  <mergeCells>
    <mergeCell ref="A1:O1"/>
    <mergeCell ref="A2:O2"/>
  </mergeCells>
  <conditionalFormatting sqref="K5:K35">
    <cfRule type="containsText" dxfId="0" priority="1" operator="containsText" text="BLOCK"/>
    <cfRule type="containsText" dxfId="1" priority="2" operator="containsText" text="DRAFT"/>
    <cfRule type="containsText" dxfId="2" priority="3" operator="containsText" text="PASS"/>
  </conditionalFormatting>
  <conditionalFormatting sqref="L5:L35">
    <cfRule type="containsText" dxfId="3" priority="4" operator="containsText" text="BLOCK"/>
    <cfRule type="containsText" dxfId="4" priority="5" operator="containsText" text="DRAFT"/>
    <cfRule type="containsText" dxfId="5" priority="6" operator="containsText" text="PASS"/>
  </conditionalFormatting>
  <conditionalFormatting sqref="M5:M35">
    <cfRule type="containsText" dxfId="6" priority="7" operator="containsText" text="BLOCK"/>
    <cfRule type="containsText" dxfId="7" priority="8" operator="containsText" text="DRAFT"/>
    <cfRule type="containsText" dxfId="8" priority="9" operator="containsText" text="PASS"/>
  </conditionalFormatting>
  <conditionalFormatting sqref="N5:N35">
    <cfRule type="containsText" dxfId="9" priority="10" operator="containsText" text="BLOCK"/>
    <cfRule type="containsText" dxfId="10" priority="11" operator="containsText" text="DRAFT"/>
    <cfRule type="containsText" dxfId="11" priority="12" operator="containsText" text="PASS"/>
  </conditionalFormatting>
  <pageMargins left="0.7" right="0.7" top="0.75" bottom="0.75" header="0.3" footer="0.3"/>
  <tableParts count="1">
    <tablePart r:id="R7badaefc54074906"/>
  </tablePart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38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24" hidden="0" customWidth="1"/>
    <col min="20" max="20" width="16" hidden="0" customWidth="1"/>
    <col min="21" max="21" width="38" hidden="0" customWidth="1"/>
    <col min="22" max="22" width="16" hidden="0" customWidth="1"/>
    <col min="23" max="23" width="16" hidden="0" customWidth="1"/>
    <col min="24" max="24" width="16" hidden="0" customWidth="1"/>
    <col min="25" max="25" width="38" hidden="0" customWidth="1"/>
  </cols>
  <sheetData>
    <row r="1">
      <c r="A1" s="8" t="str">
        <v>02 — Рецептуры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1" t="str">
        <v>28 main + 3 breakfast historical DRAFT; не утверждены Chef.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4" ht="50" customHeight="1">
      <c r="A4" s="14" t="str">
        <v>recipe_line_id</v>
      </c>
      <c r="B4" s="14" t="str">
        <v>dish_code</v>
      </c>
      <c r="C4" s="14" t="str">
        <v>cost_card_code</v>
      </c>
      <c r="D4" s="14" t="str">
        <v>tech_card_code</v>
      </c>
      <c r="E4" s="14" t="str">
        <v>recipe_version</v>
      </c>
      <c r="F4" s="14" t="str">
        <v>ingredient_id</v>
      </c>
      <c r="G4" s="14" t="str">
        <v>ingredient_name</v>
      </c>
      <c r="H4" s="14" t="str">
        <v>component_type</v>
      </c>
      <c r="I4" s="14" t="str">
        <v>production_stage</v>
      </c>
      <c r="J4" s="14" t="str">
        <v>semi_finished_candidate_code</v>
      </c>
      <c r="K4" s="14" t="str">
        <v>gross_qty</v>
      </c>
      <c r="L4" s="14" t="str">
        <v>gross_unit</v>
      </c>
      <c r="M4" s="14" t="str">
        <v>net_qty</v>
      </c>
      <c r="N4" s="14" t="str">
        <v>net_unit</v>
      </c>
      <c r="O4" s="14" t="str">
        <v>projected_output_contribution</v>
      </c>
      <c r="P4" s="14" t="str">
        <v>output_unit</v>
      </c>
      <c r="Q4" s="14" t="str">
        <v>projected_preparation_loss</v>
      </c>
      <c r="R4" s="14" t="str">
        <v>projected_process_loss</v>
      </c>
      <c r="S4" s="14" t="str">
        <v>parameter_status</v>
      </c>
      <c r="T4" s="14" t="str">
        <v>evidence_ids</v>
      </c>
      <c r="U4" s="14" t="str">
        <v>calculation_method</v>
      </c>
      <c r="V4" s="14" t="str">
        <v>source_date</v>
      </c>
      <c r="W4" s="14" t="str">
        <v>confirmation_owner</v>
      </c>
      <c r="X4" s="14" t="str">
        <v>blocker_ids</v>
      </c>
      <c r="Y4" s="14" t="str">
        <v>validation_note</v>
      </c>
    </row>
    <row r="5">
      <c r="A5" s="34" t="str">
        <v>RCP-0001</v>
      </c>
      <c r="B5" s="35" t="str">
        <v>VKM-001</v>
      </c>
      <c r="C5" s="35" t="str">
        <v>VKC-001</v>
      </c>
      <c r="D5" s="35" t="str">
        <v>VKT-001</v>
      </c>
      <c r="E5" s="35" t="str">
        <v>0.1.0-DRAFT</v>
      </c>
      <c r="F5" s="35" t="str">
        <v>ING-001</v>
      </c>
      <c r="G5" s="35" t="str">
        <v>Мука пшеничная хлебопекарная</v>
      </c>
      <c r="H5" s="35" t="str">
        <v>RAW_OR_FLATTENED_COMPONENT</v>
      </c>
      <c r="I5" s="35" t="str">
        <v>Тесто</v>
      </c>
      <c r="J5" s="35" t="str">
        <v>VSF-001</v>
      </c>
      <c r="K5" s="35" t="n">
        <v>140</v>
      </c>
      <c r="L5" s="35" t="str">
        <v>г</v>
      </c>
      <c r="M5" s="35" t="n">
        <v>140</v>
      </c>
      <c r="N5" s="35" t="str">
        <v>г</v>
      </c>
      <c r="O5" s="35" t="n">
        <v>130</v>
      </c>
      <c r="P5" s="35" t="str">
        <v>г</v>
      </c>
      <c r="Q5" s="35" t="n">
        <v>0</v>
      </c>
      <c r="R5" s="35" t="n">
        <v>10</v>
      </c>
      <c r="S5" s="35" t="str">
        <v>ASSUMPTION</v>
      </c>
      <c r="T5" s="35" t="str">
        <v>EVD-0007;EVD-0008</v>
      </c>
      <c r="U5" s="35" t="str">
        <v>Проектная декомпозиция ChefTechnologyAgent; суммы contribution нормированы к draft-выходу EVD-0005; проверить взвешиванием</v>
      </c>
      <c r="V5" s="35" t="str">
        <v>2026-08-03</v>
      </c>
      <c r="W5" s="35" t="str">
        <v>Chef</v>
      </c>
      <c r="X5" s="35" t="str">
        <v>GAP-004;GAP-005</v>
      </c>
      <c r="Y5" s="36" t="str">
        <v>Не является утверждённой нормой; gross/net/output зафиксировать в контрольной серии</v>
      </c>
    </row>
    <row r="6">
      <c r="A6" s="37" t="str">
        <v>RCP-0002</v>
      </c>
      <c r="B6" s="38" t="str">
        <v>VKM-001</v>
      </c>
      <c r="C6" s="38" t="str">
        <v>VKC-001</v>
      </c>
      <c r="D6" s="38" t="str">
        <v>VKT-001</v>
      </c>
      <c r="E6" s="38" t="str">
        <v>0.1.0-DRAFT</v>
      </c>
      <c r="F6" s="38" t="str">
        <v>ING-002</v>
      </c>
      <c r="G6" s="38" t="str">
        <v>Вода питьевая</v>
      </c>
      <c r="H6" s="38" t="str">
        <v>RAW_OR_FLATTENED_COMPONENT</v>
      </c>
      <c r="I6" s="38" t="str">
        <v>Тесто</v>
      </c>
      <c r="J6" s="38" t="str">
        <v>VSF-001</v>
      </c>
      <c r="K6" s="38" t="n">
        <v>85</v>
      </c>
      <c r="L6" s="38" t="str">
        <v>г</v>
      </c>
      <c r="M6" s="38" t="n">
        <v>85</v>
      </c>
      <c r="N6" s="38" t="str">
        <v>г</v>
      </c>
      <c r="O6" s="38" t="n">
        <v>70</v>
      </c>
      <c r="P6" s="38" t="str">
        <v>г</v>
      </c>
      <c r="Q6" s="38" t="n">
        <v>0</v>
      </c>
      <c r="R6" s="38" t="n">
        <v>15</v>
      </c>
      <c r="S6" s="38" t="str">
        <v>ASSUMPTION</v>
      </c>
      <c r="T6" s="38" t="str">
        <v>EVD-0007;EVD-0008</v>
      </c>
      <c r="U6" s="38" t="str">
        <v>Проектная декомпозиция ChefTechnologyAgent; суммы contribution нормированы к draft-выходу EVD-0005; проверить взвешиванием</v>
      </c>
      <c r="V6" s="38" t="str">
        <v>2026-08-03</v>
      </c>
      <c r="W6" s="38" t="str">
        <v>Chef</v>
      </c>
      <c r="X6" s="38" t="str">
        <v>GAP-004;GAP-005</v>
      </c>
      <c r="Y6" s="39" t="str">
        <v>Не является утверждённой нормой; gross/net/output зафиксировать в контрольной серии</v>
      </c>
    </row>
    <row r="7">
      <c r="A7" s="37" t="str">
        <v>RCP-0003</v>
      </c>
      <c r="B7" s="38" t="str">
        <v>VKM-001</v>
      </c>
      <c r="C7" s="38" t="str">
        <v>VKC-001</v>
      </c>
      <c r="D7" s="38" t="str">
        <v>VKT-001</v>
      </c>
      <c r="E7" s="38" t="str">
        <v>0.1.0-DRAFT</v>
      </c>
      <c r="F7" s="38" t="str">
        <v>ING-003</v>
      </c>
      <c r="G7" s="38" t="str">
        <v>Дрожжи хлебопекарные</v>
      </c>
      <c r="H7" s="38" t="str">
        <v>RAW_OR_FLATTENED_COMPONENT</v>
      </c>
      <c r="I7" s="38" t="str">
        <v>Тесто</v>
      </c>
      <c r="J7" s="38" t="str">
        <v>VSF-001</v>
      </c>
      <c r="K7" s="38" t="n">
        <v>2</v>
      </c>
      <c r="L7" s="38" t="str">
        <v>г</v>
      </c>
      <c r="M7" s="38" t="n">
        <v>2</v>
      </c>
      <c r="N7" s="38" t="str">
        <v>г</v>
      </c>
      <c r="O7" s="38" t="n">
        <v>2</v>
      </c>
      <c r="P7" s="38" t="str">
        <v>г</v>
      </c>
      <c r="Q7" s="38" t="n">
        <v>0</v>
      </c>
      <c r="R7" s="38" t="n">
        <v>0</v>
      </c>
      <c r="S7" s="38" t="str">
        <v>ASSUMPTION</v>
      </c>
      <c r="T7" s="38" t="str">
        <v>EVD-0007;EVD-0008</v>
      </c>
      <c r="U7" s="38" t="str">
        <v>Проектная декомпозиция ChefTechnologyAgent; суммы contribution нормированы к draft-выходу EVD-0005; проверить взвешиванием</v>
      </c>
      <c r="V7" s="38" t="str">
        <v>2026-08-03</v>
      </c>
      <c r="W7" s="38" t="str">
        <v>Chef</v>
      </c>
      <c r="X7" s="38" t="str">
        <v>GAP-004;GAP-005</v>
      </c>
      <c r="Y7" s="39" t="str">
        <v>Не является утверждённой нормой; gross/net/output зафиксировать в контрольной серии</v>
      </c>
    </row>
    <row r="8">
      <c r="A8" s="37" t="str">
        <v>RCP-0004</v>
      </c>
      <c r="B8" s="38" t="str">
        <v>VKM-001</v>
      </c>
      <c r="C8" s="38" t="str">
        <v>VKC-001</v>
      </c>
      <c r="D8" s="38" t="str">
        <v>VKT-001</v>
      </c>
      <c r="E8" s="38" t="str">
        <v>0.1.0-DRAFT</v>
      </c>
      <c r="F8" s="38" t="str">
        <v>ING-004</v>
      </c>
      <c r="G8" s="38" t="str">
        <v>Соль пищевая</v>
      </c>
      <c r="H8" s="38" t="str">
        <v>RAW_OR_FLATTENED_COMPONENT</v>
      </c>
      <c r="I8" s="38" t="str">
        <v>Тесто</v>
      </c>
      <c r="J8" s="38" t="str">
        <v>VSF-001</v>
      </c>
      <c r="K8" s="38" t="n">
        <v>3</v>
      </c>
      <c r="L8" s="38" t="str">
        <v>г</v>
      </c>
      <c r="M8" s="38" t="n">
        <v>3</v>
      </c>
      <c r="N8" s="38" t="str">
        <v>г</v>
      </c>
      <c r="O8" s="38" t="n">
        <v>3</v>
      </c>
      <c r="P8" s="38" t="str">
        <v>г</v>
      </c>
      <c r="Q8" s="38" t="n">
        <v>0</v>
      </c>
      <c r="R8" s="38" t="n">
        <v>0</v>
      </c>
      <c r="S8" s="38" t="str">
        <v>ASSUMPTION</v>
      </c>
      <c r="T8" s="38" t="str">
        <v>EVD-0007;EVD-0008</v>
      </c>
      <c r="U8" s="38" t="str">
        <v>Проектная декомпозиция ChefTechnologyAgent; суммы contribution нормированы к draft-выходу EVD-0005; проверить взвешиванием</v>
      </c>
      <c r="V8" s="38" t="str">
        <v>2026-08-03</v>
      </c>
      <c r="W8" s="38" t="str">
        <v>Chef</v>
      </c>
      <c r="X8" s="38" t="str">
        <v>GAP-004;GAP-005</v>
      </c>
      <c r="Y8" s="39" t="str">
        <v>Не является утверждённой нормой; gross/net/output зафиксировать в контрольной серии</v>
      </c>
    </row>
    <row r="9">
      <c r="A9" s="37" t="str">
        <v>RCP-0005</v>
      </c>
      <c r="B9" s="38" t="str">
        <v>VKM-001</v>
      </c>
      <c r="C9" s="38" t="str">
        <v>VKC-001</v>
      </c>
      <c r="D9" s="38" t="str">
        <v>VKT-001</v>
      </c>
      <c r="E9" s="38" t="str">
        <v>0.1.0-DRAFT</v>
      </c>
      <c r="F9" s="38" t="str">
        <v>ING-005</v>
      </c>
      <c r="G9" s="38" t="str">
        <v>Масло оливковое</v>
      </c>
      <c r="H9" s="38" t="str">
        <v>RAW_OR_FLATTENED_COMPONENT</v>
      </c>
      <c r="I9" s="38" t="str">
        <v>Тесто</v>
      </c>
      <c r="J9" s="38" t="str">
        <v>VSF-001</v>
      </c>
      <c r="K9" s="38" t="n">
        <v>8</v>
      </c>
      <c r="L9" s="38" t="str">
        <v>г</v>
      </c>
      <c r="M9" s="38" t="n">
        <v>8</v>
      </c>
      <c r="N9" s="38" t="str">
        <v>г</v>
      </c>
      <c r="O9" s="38" t="n">
        <v>8</v>
      </c>
      <c r="P9" s="38" t="str">
        <v>г</v>
      </c>
      <c r="Q9" s="38" t="n">
        <v>0</v>
      </c>
      <c r="R9" s="38" t="n">
        <v>0</v>
      </c>
      <c r="S9" s="38" t="str">
        <v>ASSUMPTION</v>
      </c>
      <c r="T9" s="38" t="str">
        <v>EVD-0007;EVD-0008</v>
      </c>
      <c r="U9" s="38" t="str">
        <v>Проектная декомпозиция ChefTechnologyAgent; суммы contribution нормированы к draft-выходу EVD-0005; проверить взвешиванием</v>
      </c>
      <c r="V9" s="38" t="str">
        <v>2026-08-03</v>
      </c>
      <c r="W9" s="38" t="str">
        <v>Chef</v>
      </c>
      <c r="X9" s="38" t="str">
        <v>GAP-004;GAP-005</v>
      </c>
      <c r="Y9" s="39" t="str">
        <v>Не является утверждённой нормой; gross/net/output зафиксировать в контрольной серии</v>
      </c>
    </row>
    <row r="10">
      <c r="A10" s="37" t="str">
        <v>RCP-0006</v>
      </c>
      <c r="B10" s="38" t="str">
        <v>VKM-001</v>
      </c>
      <c r="C10" s="38" t="str">
        <v>VKC-001</v>
      </c>
      <c r="D10" s="38" t="str">
        <v>VKT-001</v>
      </c>
      <c r="E10" s="38" t="str">
        <v>0.1.0-DRAFT</v>
      </c>
      <c r="F10" s="38" t="str">
        <v>ING-006</v>
      </c>
      <c r="G10" s="38" t="str">
        <v>Томаты протёртые</v>
      </c>
      <c r="H10" s="38" t="str">
        <v>RAW_OR_FLATTENED_COMPONENT</v>
      </c>
      <c r="I10" s="38" t="str">
        <v>Соус</v>
      </c>
      <c r="J10" s="38" t="str">
        <v>VSF-002</v>
      </c>
      <c r="K10" s="38" t="n">
        <v>70</v>
      </c>
      <c r="L10" s="38" t="str">
        <v>г</v>
      </c>
      <c r="M10" s="38" t="n">
        <v>70</v>
      </c>
      <c r="N10" s="38" t="str">
        <v>г</v>
      </c>
      <c r="O10" s="38" t="n">
        <v>67</v>
      </c>
      <c r="P10" s="38" t="str">
        <v>г</v>
      </c>
      <c r="Q10" s="38" t="n">
        <v>0</v>
      </c>
      <c r="R10" s="38" t="n">
        <v>3</v>
      </c>
      <c r="S10" s="38" t="str">
        <v>ASSUMPTION</v>
      </c>
      <c r="T10" s="38" t="str">
        <v>EVD-0007;EVD-0008</v>
      </c>
      <c r="U10" s="38" t="str">
        <v>Проектная декомпозиция ChefTechnologyAgent; суммы contribution нормированы к draft-выходу EVD-0005; проверить взвешиванием</v>
      </c>
      <c r="V10" s="38" t="str">
        <v>2026-08-03</v>
      </c>
      <c r="W10" s="38" t="str">
        <v>Chef</v>
      </c>
      <c r="X10" s="38" t="str">
        <v>GAP-004;GAP-005</v>
      </c>
      <c r="Y10" s="39" t="str">
        <v>Не является утверждённой нормой; gross/net/output зафиксировать в контрольной серии</v>
      </c>
    </row>
    <row r="11">
      <c r="A11" s="37" t="str">
        <v>RCP-0007</v>
      </c>
      <c r="B11" s="38" t="str">
        <v>VKM-001</v>
      </c>
      <c r="C11" s="38" t="str">
        <v>VKC-001</v>
      </c>
      <c r="D11" s="38" t="str">
        <v>VKT-001</v>
      </c>
      <c r="E11" s="38" t="str">
        <v>0.1.0-DRAFT</v>
      </c>
      <c r="F11" s="38" t="str">
        <v>ING-007</v>
      </c>
      <c r="G11" s="38" t="str">
        <v>Чеснок</v>
      </c>
      <c r="H11" s="38" t="str">
        <v>RAW_OR_FLATTENED_COMPONENT</v>
      </c>
      <c r="I11" s="38" t="str">
        <v>Соус</v>
      </c>
      <c r="J11" s="38" t="str">
        <v>VSF-002</v>
      </c>
      <c r="K11" s="38" t="n">
        <v>2.2</v>
      </c>
      <c r="L11" s="38" t="str">
        <v>г</v>
      </c>
      <c r="M11" s="38" t="n">
        <v>2</v>
      </c>
      <c r="N11" s="38" t="str">
        <v>г</v>
      </c>
      <c r="O11" s="38" t="n">
        <v>2</v>
      </c>
      <c r="P11" s="38" t="str">
        <v>г</v>
      </c>
      <c r="Q11" s="38" t="n">
        <v>0.2</v>
      </c>
      <c r="R11" s="38" t="n">
        <v>0</v>
      </c>
      <c r="S11" s="38" t="str">
        <v>ASSUMPTION</v>
      </c>
      <c r="T11" s="38" t="str">
        <v>EVD-0007;EVD-0008</v>
      </c>
      <c r="U11" s="38" t="str">
        <v>Проектная декомпозиция ChefTechnologyAgent; суммы contribution нормированы к draft-выходу EVD-0005; проверить взвешиванием</v>
      </c>
      <c r="V11" s="38" t="str">
        <v>2026-08-03</v>
      </c>
      <c r="W11" s="38" t="str">
        <v>Chef</v>
      </c>
      <c r="X11" s="38" t="str">
        <v>GAP-004;GAP-005</v>
      </c>
      <c r="Y11" s="39" t="str">
        <v>Не является утверждённой нормой; gross/net/output зафиксировать в контрольной серии</v>
      </c>
    </row>
    <row r="12">
      <c r="A12" s="37" t="str">
        <v>RCP-0008</v>
      </c>
      <c r="B12" s="38" t="str">
        <v>VKM-001</v>
      </c>
      <c r="C12" s="38" t="str">
        <v>VKC-001</v>
      </c>
      <c r="D12" s="38" t="str">
        <v>VKT-001</v>
      </c>
      <c r="E12" s="38" t="str">
        <v>0.1.0-DRAFT</v>
      </c>
      <c r="F12" s="38" t="str">
        <v>ING-008</v>
      </c>
      <c r="G12" s="38" t="str">
        <v>Орегано</v>
      </c>
      <c r="H12" s="38" t="str">
        <v>RAW_OR_FLATTENED_COMPONENT</v>
      </c>
      <c r="I12" s="38" t="str">
        <v>Соус</v>
      </c>
      <c r="J12" s="38" t="str">
        <v>VSF-002</v>
      </c>
      <c r="K12" s="38" t="n">
        <v>1</v>
      </c>
      <c r="L12" s="38" t="str">
        <v>г</v>
      </c>
      <c r="M12" s="38" t="n">
        <v>1</v>
      </c>
      <c r="N12" s="38" t="str">
        <v>г</v>
      </c>
      <c r="O12" s="38" t="n">
        <v>1</v>
      </c>
      <c r="P12" s="38" t="str">
        <v>г</v>
      </c>
      <c r="Q12" s="38" t="n">
        <v>0</v>
      </c>
      <c r="R12" s="38" t="n">
        <v>0</v>
      </c>
      <c r="S12" s="38" t="str">
        <v>ASSUMPTION</v>
      </c>
      <c r="T12" s="38" t="str">
        <v>EVD-0007;EVD-0008</v>
      </c>
      <c r="U12" s="38" t="str">
        <v>Проектная декомпозиция ChefTechnologyAgent; суммы contribution нормированы к draft-выходу EVD-0005; проверить взвешиванием</v>
      </c>
      <c r="V12" s="38" t="str">
        <v>2026-08-03</v>
      </c>
      <c r="W12" s="38" t="str">
        <v>Chef</v>
      </c>
      <c r="X12" s="38" t="str">
        <v>GAP-004;GAP-005</v>
      </c>
      <c r="Y12" s="39" t="str">
        <v>Не является утверждённой нормой; gross/net/output зафиксировать в контрольной серии</v>
      </c>
    </row>
    <row r="13">
      <c r="A13" s="37" t="str">
        <v>RCP-0009</v>
      </c>
      <c r="B13" s="38" t="str">
        <v>VKM-001</v>
      </c>
      <c r="C13" s="38" t="str">
        <v>VKC-001</v>
      </c>
      <c r="D13" s="38" t="str">
        <v>VKT-001</v>
      </c>
      <c r="E13" s="38" t="str">
        <v>0.1.0-DRAFT</v>
      </c>
      <c r="F13" s="38" t="str">
        <v>ING-005</v>
      </c>
      <c r="G13" s="38" t="str">
        <v>Масло оливковое</v>
      </c>
      <c r="H13" s="38" t="str">
        <v>RAW_OR_FLATTENED_COMPONENT</v>
      </c>
      <c r="I13" s="38" t="str">
        <v>Соус</v>
      </c>
      <c r="J13" s="38" t="str">
        <v>VSF-002</v>
      </c>
      <c r="K13" s="38" t="n">
        <v>10</v>
      </c>
      <c r="L13" s="38" t="str">
        <v>г</v>
      </c>
      <c r="M13" s="38" t="n">
        <v>10</v>
      </c>
      <c r="N13" s="38" t="str">
        <v>г</v>
      </c>
      <c r="O13" s="38" t="n">
        <v>10</v>
      </c>
      <c r="P13" s="38" t="str">
        <v>г</v>
      </c>
      <c r="Q13" s="38" t="n">
        <v>0</v>
      </c>
      <c r="R13" s="38" t="n">
        <v>0</v>
      </c>
      <c r="S13" s="38" t="str">
        <v>ASSUMPTION</v>
      </c>
      <c r="T13" s="38" t="str">
        <v>EVD-0007;EVD-0008</v>
      </c>
      <c r="U13" s="38" t="str">
        <v>Проектная декомпозиция ChefTechnologyAgent; суммы contribution нормированы к draft-выходу EVD-0005; проверить взвешиванием</v>
      </c>
      <c r="V13" s="38" t="str">
        <v>2026-08-03</v>
      </c>
      <c r="W13" s="38" t="str">
        <v>Chef</v>
      </c>
      <c r="X13" s="38" t="str">
        <v>GAP-004;GAP-005</v>
      </c>
      <c r="Y13" s="39" t="str">
        <v>Не является утверждённой нормой; gross/net/output зафиксировать в контрольной серии</v>
      </c>
    </row>
    <row r="14">
      <c r="A14" s="37" t="str">
        <v>RCP-0010</v>
      </c>
      <c r="B14" s="38" t="str">
        <v>VKM-001</v>
      </c>
      <c r="C14" s="38" t="str">
        <v>VKC-001</v>
      </c>
      <c r="D14" s="38" t="str">
        <v>VKT-001</v>
      </c>
      <c r="E14" s="38" t="str">
        <v>0.1.0-DRAFT</v>
      </c>
      <c r="F14" s="38" t="str">
        <v>ING-009</v>
      </c>
      <c r="G14" s="38" t="str">
        <v>Моцарелла</v>
      </c>
      <c r="H14" s="38" t="str">
        <v>RAW_OR_FLATTENED_COMPONENT</v>
      </c>
      <c r="I14" s="38" t="str">
        <v>Сборка</v>
      </c>
      <c r="J14" s="38"/>
      <c r="K14" s="38" t="n">
        <v>130</v>
      </c>
      <c r="L14" s="38" t="str">
        <v>г</v>
      </c>
      <c r="M14" s="38" t="n">
        <v>130</v>
      </c>
      <c r="N14" s="38" t="str">
        <v>г</v>
      </c>
      <c r="O14" s="38" t="n">
        <v>130</v>
      </c>
      <c r="P14" s="38" t="str">
        <v>г</v>
      </c>
      <c r="Q14" s="38" t="n">
        <v>0</v>
      </c>
      <c r="R14" s="38" t="n">
        <v>0</v>
      </c>
      <c r="S14" s="38" t="str">
        <v>ASSUMPTION</v>
      </c>
      <c r="T14" s="38" t="str">
        <v>EVD-0007;EVD-0008</v>
      </c>
      <c r="U14" s="38" t="str">
        <v>Проектная декомпозиция ChefTechnologyAgent; суммы contribution нормированы к draft-выходу EVD-0005; проверить взвешиванием</v>
      </c>
      <c r="V14" s="38" t="str">
        <v>2026-08-03</v>
      </c>
      <c r="W14" s="38" t="str">
        <v>Chef</v>
      </c>
      <c r="X14" s="38" t="str">
        <v>GAP-004;GAP-005</v>
      </c>
      <c r="Y14" s="39" t="str">
        <v>Не является утверждённой нормой; gross/net/output зафиксировать в контрольной серии</v>
      </c>
    </row>
    <row r="15">
      <c r="A15" s="37" t="str">
        <v>RCP-0011</v>
      </c>
      <c r="B15" s="38" t="str">
        <v>VKM-001</v>
      </c>
      <c r="C15" s="38" t="str">
        <v>VKC-001</v>
      </c>
      <c r="D15" s="38" t="str">
        <v>VKT-001</v>
      </c>
      <c r="E15" s="38" t="str">
        <v>0.1.0-DRAFT</v>
      </c>
      <c r="F15" s="38" t="str">
        <v>ING-010</v>
      </c>
      <c r="G15" s="38" t="str">
        <v>Пармезан</v>
      </c>
      <c r="H15" s="38" t="str">
        <v>RAW_OR_FLATTENED_COMPONENT</v>
      </c>
      <c r="I15" s="38" t="str">
        <v>Сборка</v>
      </c>
      <c r="J15" s="38"/>
      <c r="K15" s="38" t="n">
        <v>10</v>
      </c>
      <c r="L15" s="38" t="str">
        <v>г</v>
      </c>
      <c r="M15" s="38" t="n">
        <v>10</v>
      </c>
      <c r="N15" s="38" t="str">
        <v>г</v>
      </c>
      <c r="O15" s="38" t="n">
        <v>10</v>
      </c>
      <c r="P15" s="38" t="str">
        <v>г</v>
      </c>
      <c r="Q15" s="38" t="n">
        <v>0</v>
      </c>
      <c r="R15" s="38" t="n">
        <v>0</v>
      </c>
      <c r="S15" s="38" t="str">
        <v>ASSUMPTION</v>
      </c>
      <c r="T15" s="38" t="str">
        <v>EVD-0007;EVD-0008</v>
      </c>
      <c r="U15" s="38" t="str">
        <v>Проектная декомпозиция ChefTechnologyAgent; суммы contribution нормированы к draft-выходу EVD-0005; проверить взвешиванием</v>
      </c>
      <c r="V15" s="38" t="str">
        <v>2026-08-03</v>
      </c>
      <c r="W15" s="38" t="str">
        <v>Chef</v>
      </c>
      <c r="X15" s="38" t="str">
        <v>GAP-004;GAP-005</v>
      </c>
      <c r="Y15" s="39" t="str">
        <v>Не является утверждённой нормой; gross/net/output зафиксировать в контрольной серии</v>
      </c>
    </row>
    <row r="16">
      <c r="A16" s="37" t="str">
        <v>RCP-0012</v>
      </c>
      <c r="B16" s="38" t="str">
        <v>VKM-001</v>
      </c>
      <c r="C16" s="38" t="str">
        <v>VKC-001</v>
      </c>
      <c r="D16" s="38" t="str">
        <v>VKT-001</v>
      </c>
      <c r="E16" s="38" t="str">
        <v>0.1.0-DRAFT</v>
      </c>
      <c r="F16" s="38" t="str">
        <v>ING-011</v>
      </c>
      <c r="G16" s="38" t="str">
        <v>Базилик свежий</v>
      </c>
      <c r="H16" s="38" t="str">
        <v>RAW_OR_FLATTENED_COMPONENT</v>
      </c>
      <c r="I16" s="38" t="str">
        <v>Сборка</v>
      </c>
      <c r="J16" s="38"/>
      <c r="K16" s="38" t="n">
        <v>6</v>
      </c>
      <c r="L16" s="38" t="str">
        <v>г</v>
      </c>
      <c r="M16" s="38" t="n">
        <v>5</v>
      </c>
      <c r="N16" s="38" t="str">
        <v>г</v>
      </c>
      <c r="O16" s="38" t="n">
        <v>5</v>
      </c>
      <c r="P16" s="38" t="str">
        <v>г</v>
      </c>
      <c r="Q16" s="38" t="n">
        <v>1</v>
      </c>
      <c r="R16" s="38" t="n">
        <v>0</v>
      </c>
      <c r="S16" s="38" t="str">
        <v>ASSUMPTION</v>
      </c>
      <c r="T16" s="38" t="str">
        <v>EVD-0007;EVD-0008</v>
      </c>
      <c r="U16" s="38" t="str">
        <v>Проектная декомпозиция ChefTechnologyAgent; суммы contribution нормированы к draft-выходу EVD-0005; проверить взвешиванием</v>
      </c>
      <c r="V16" s="38" t="str">
        <v>2026-08-03</v>
      </c>
      <c r="W16" s="38" t="str">
        <v>Chef</v>
      </c>
      <c r="X16" s="38" t="str">
        <v>GAP-004;GAP-005</v>
      </c>
      <c r="Y16" s="39" t="str">
        <v>Не является утверждённой нормой; gross/net/output зафиксировать в контрольной серии</v>
      </c>
    </row>
    <row r="17">
      <c r="A17" s="37" t="str">
        <v>RCP-0013</v>
      </c>
      <c r="B17" s="38" t="str">
        <v>VKM-001</v>
      </c>
      <c r="C17" s="38" t="str">
        <v>VKC-001</v>
      </c>
      <c r="D17" s="38" t="str">
        <v>VKT-001</v>
      </c>
      <c r="E17" s="38" t="str">
        <v>0.1.0-DRAFT</v>
      </c>
      <c r="F17" s="38" t="str">
        <v>ING-005</v>
      </c>
      <c r="G17" s="38" t="str">
        <v>Масло оливковое</v>
      </c>
      <c r="H17" s="38" t="str">
        <v>RAW_OR_FLATTENED_COMPONENT</v>
      </c>
      <c r="I17" s="38" t="str">
        <v>Финиш</v>
      </c>
      <c r="J17" s="38"/>
      <c r="K17" s="38" t="n">
        <v>12</v>
      </c>
      <c r="L17" s="38" t="str">
        <v>г</v>
      </c>
      <c r="M17" s="38" t="n">
        <v>12</v>
      </c>
      <c r="N17" s="38" t="str">
        <v>г</v>
      </c>
      <c r="O17" s="38" t="n">
        <v>12</v>
      </c>
      <c r="P17" s="38" t="str">
        <v>г</v>
      </c>
      <c r="Q17" s="38" t="n">
        <v>0</v>
      </c>
      <c r="R17" s="38" t="n">
        <v>0</v>
      </c>
      <c r="S17" s="38" t="str">
        <v>ASSUMPTION</v>
      </c>
      <c r="T17" s="38" t="str">
        <v>EVD-0007;EVD-0008</v>
      </c>
      <c r="U17" s="38" t="str">
        <v>Проектная декомпозиция ChefTechnologyAgent; суммы contribution нормированы к draft-выходу EVD-0005; проверить взвешиванием</v>
      </c>
      <c r="V17" s="38" t="str">
        <v>2026-08-03</v>
      </c>
      <c r="W17" s="38" t="str">
        <v>Chef</v>
      </c>
      <c r="X17" s="38" t="str">
        <v>GAP-004;GAP-005</v>
      </c>
      <c r="Y17" s="39" t="str">
        <v>Не является утверждённой нормой; gross/net/output зафиксировать в контрольной серии</v>
      </c>
    </row>
    <row r="18">
      <c r="A18" s="37" t="str">
        <v>RCP-0014</v>
      </c>
      <c r="B18" s="38" t="str">
        <v>VKM-002</v>
      </c>
      <c r="C18" s="38" t="str">
        <v>VKC-002</v>
      </c>
      <c r="D18" s="38" t="str">
        <v>VKT-002</v>
      </c>
      <c r="E18" s="38" t="str">
        <v>0.1.0-DRAFT</v>
      </c>
      <c r="F18" s="38" t="str">
        <v>ING-001</v>
      </c>
      <c r="G18" s="38" t="str">
        <v>Мука пшеничная хлебопекарная</v>
      </c>
      <c r="H18" s="38" t="str">
        <v>RAW_OR_FLATTENED_COMPONENT</v>
      </c>
      <c r="I18" s="38" t="str">
        <v>Тесто</v>
      </c>
      <c r="J18" s="38" t="str">
        <v>VSF-001</v>
      </c>
      <c r="K18" s="38" t="n">
        <v>140</v>
      </c>
      <c r="L18" s="38" t="str">
        <v>г</v>
      </c>
      <c r="M18" s="38" t="n">
        <v>140</v>
      </c>
      <c r="N18" s="38" t="str">
        <v>г</v>
      </c>
      <c r="O18" s="38" t="n">
        <v>130</v>
      </c>
      <c r="P18" s="38" t="str">
        <v>г</v>
      </c>
      <c r="Q18" s="38" t="n">
        <v>0</v>
      </c>
      <c r="R18" s="38" t="n">
        <v>10</v>
      </c>
      <c r="S18" s="38" t="str">
        <v>ASSUMPTION</v>
      </c>
      <c r="T18" s="38" t="str">
        <v>EVD-0007;EVD-0008</v>
      </c>
      <c r="U18" s="38" t="str">
        <v>Проектная декомпозиция ChefTechnologyAgent; суммы contribution нормированы к draft-выходу EVD-0005; проверить взвешиванием</v>
      </c>
      <c r="V18" s="38" t="str">
        <v>2026-08-03</v>
      </c>
      <c r="W18" s="38" t="str">
        <v>Chef</v>
      </c>
      <c r="X18" s="38" t="str">
        <v>GAP-004;GAP-005</v>
      </c>
      <c r="Y18" s="39" t="str">
        <v>Не является утверждённой нормой; gross/net/output зафиксировать в контрольной серии</v>
      </c>
    </row>
    <row r="19">
      <c r="A19" s="37" t="str">
        <v>RCP-0015</v>
      </c>
      <c r="B19" s="38" t="str">
        <v>VKM-002</v>
      </c>
      <c r="C19" s="38" t="str">
        <v>VKC-002</v>
      </c>
      <c r="D19" s="38" t="str">
        <v>VKT-002</v>
      </c>
      <c r="E19" s="38" t="str">
        <v>0.1.0-DRAFT</v>
      </c>
      <c r="F19" s="38" t="str">
        <v>ING-002</v>
      </c>
      <c r="G19" s="38" t="str">
        <v>Вода питьевая</v>
      </c>
      <c r="H19" s="38" t="str">
        <v>RAW_OR_FLATTENED_COMPONENT</v>
      </c>
      <c r="I19" s="38" t="str">
        <v>Тесто</v>
      </c>
      <c r="J19" s="38" t="str">
        <v>VSF-001</v>
      </c>
      <c r="K19" s="38" t="n">
        <v>85</v>
      </c>
      <c r="L19" s="38" t="str">
        <v>г</v>
      </c>
      <c r="M19" s="38" t="n">
        <v>85</v>
      </c>
      <c r="N19" s="38" t="str">
        <v>г</v>
      </c>
      <c r="O19" s="38" t="n">
        <v>70</v>
      </c>
      <c r="P19" s="38" t="str">
        <v>г</v>
      </c>
      <c r="Q19" s="38" t="n">
        <v>0</v>
      </c>
      <c r="R19" s="38" t="n">
        <v>15</v>
      </c>
      <c r="S19" s="38" t="str">
        <v>ASSUMPTION</v>
      </c>
      <c r="T19" s="38" t="str">
        <v>EVD-0007;EVD-0008</v>
      </c>
      <c r="U19" s="38" t="str">
        <v>Проектная декомпозиция ChefTechnologyAgent; суммы contribution нормированы к draft-выходу EVD-0005; проверить взвешиванием</v>
      </c>
      <c r="V19" s="38" t="str">
        <v>2026-08-03</v>
      </c>
      <c r="W19" s="38" t="str">
        <v>Chef</v>
      </c>
      <c r="X19" s="38" t="str">
        <v>GAP-004;GAP-005</v>
      </c>
      <c r="Y19" s="39" t="str">
        <v>Не является утверждённой нормой; gross/net/output зафиксировать в контрольной серии</v>
      </c>
    </row>
    <row r="20">
      <c r="A20" s="37" t="str">
        <v>RCP-0016</v>
      </c>
      <c r="B20" s="38" t="str">
        <v>VKM-002</v>
      </c>
      <c r="C20" s="38" t="str">
        <v>VKC-002</v>
      </c>
      <c r="D20" s="38" t="str">
        <v>VKT-002</v>
      </c>
      <c r="E20" s="38" t="str">
        <v>0.1.0-DRAFT</v>
      </c>
      <c r="F20" s="38" t="str">
        <v>ING-003</v>
      </c>
      <c r="G20" s="38" t="str">
        <v>Дрожжи хлебопекарные</v>
      </c>
      <c r="H20" s="38" t="str">
        <v>RAW_OR_FLATTENED_COMPONENT</v>
      </c>
      <c r="I20" s="38" t="str">
        <v>Тесто</v>
      </c>
      <c r="J20" s="38" t="str">
        <v>VSF-001</v>
      </c>
      <c r="K20" s="38" t="n">
        <v>2</v>
      </c>
      <c r="L20" s="38" t="str">
        <v>г</v>
      </c>
      <c r="M20" s="38" t="n">
        <v>2</v>
      </c>
      <c r="N20" s="38" t="str">
        <v>г</v>
      </c>
      <c r="O20" s="38" t="n">
        <v>2</v>
      </c>
      <c r="P20" s="38" t="str">
        <v>г</v>
      </c>
      <c r="Q20" s="38" t="n">
        <v>0</v>
      </c>
      <c r="R20" s="38" t="n">
        <v>0</v>
      </c>
      <c r="S20" s="38" t="str">
        <v>ASSUMPTION</v>
      </c>
      <c r="T20" s="38" t="str">
        <v>EVD-0007;EVD-0008</v>
      </c>
      <c r="U20" s="38" t="str">
        <v>Проектная декомпозиция ChefTechnologyAgent; суммы contribution нормированы к draft-выходу EVD-0005; проверить взвешиванием</v>
      </c>
      <c r="V20" s="38" t="str">
        <v>2026-08-03</v>
      </c>
      <c r="W20" s="38" t="str">
        <v>Chef</v>
      </c>
      <c r="X20" s="38" t="str">
        <v>GAP-004;GAP-005</v>
      </c>
      <c r="Y20" s="39" t="str">
        <v>Не является утверждённой нормой; gross/net/output зафиксировать в контрольной серии</v>
      </c>
    </row>
    <row r="21">
      <c r="A21" s="37" t="str">
        <v>RCP-0017</v>
      </c>
      <c r="B21" s="38" t="str">
        <v>VKM-002</v>
      </c>
      <c r="C21" s="38" t="str">
        <v>VKC-002</v>
      </c>
      <c r="D21" s="38" t="str">
        <v>VKT-002</v>
      </c>
      <c r="E21" s="38" t="str">
        <v>0.1.0-DRAFT</v>
      </c>
      <c r="F21" s="38" t="str">
        <v>ING-004</v>
      </c>
      <c r="G21" s="38" t="str">
        <v>Соль пищевая</v>
      </c>
      <c r="H21" s="38" t="str">
        <v>RAW_OR_FLATTENED_COMPONENT</v>
      </c>
      <c r="I21" s="38" t="str">
        <v>Тесто</v>
      </c>
      <c r="J21" s="38" t="str">
        <v>VSF-001</v>
      </c>
      <c r="K21" s="38" t="n">
        <v>3</v>
      </c>
      <c r="L21" s="38" t="str">
        <v>г</v>
      </c>
      <c r="M21" s="38" t="n">
        <v>3</v>
      </c>
      <c r="N21" s="38" t="str">
        <v>г</v>
      </c>
      <c r="O21" s="38" t="n">
        <v>3</v>
      </c>
      <c r="P21" s="38" t="str">
        <v>г</v>
      </c>
      <c r="Q21" s="38" t="n">
        <v>0</v>
      </c>
      <c r="R21" s="38" t="n">
        <v>0</v>
      </c>
      <c r="S21" s="38" t="str">
        <v>ASSUMPTION</v>
      </c>
      <c r="T21" s="38" t="str">
        <v>EVD-0007;EVD-0008</v>
      </c>
      <c r="U21" s="38" t="str">
        <v>Проектная декомпозиция ChefTechnologyAgent; суммы contribution нормированы к draft-выходу EVD-0005; проверить взвешиванием</v>
      </c>
      <c r="V21" s="38" t="str">
        <v>2026-08-03</v>
      </c>
      <c r="W21" s="38" t="str">
        <v>Chef</v>
      </c>
      <c r="X21" s="38" t="str">
        <v>GAP-004;GAP-005</v>
      </c>
      <c r="Y21" s="39" t="str">
        <v>Не является утверждённой нормой; gross/net/output зафиксировать в контрольной серии</v>
      </c>
    </row>
    <row r="22">
      <c r="A22" s="37" t="str">
        <v>RCP-0018</v>
      </c>
      <c r="B22" s="38" t="str">
        <v>VKM-002</v>
      </c>
      <c r="C22" s="38" t="str">
        <v>VKC-002</v>
      </c>
      <c r="D22" s="38" t="str">
        <v>VKT-002</v>
      </c>
      <c r="E22" s="38" t="str">
        <v>0.1.0-DRAFT</v>
      </c>
      <c r="F22" s="38" t="str">
        <v>ING-005</v>
      </c>
      <c r="G22" s="38" t="str">
        <v>Масло оливковое</v>
      </c>
      <c r="H22" s="38" t="str">
        <v>RAW_OR_FLATTENED_COMPONENT</v>
      </c>
      <c r="I22" s="38" t="str">
        <v>Тесто</v>
      </c>
      <c r="J22" s="38" t="str">
        <v>VSF-001</v>
      </c>
      <c r="K22" s="38" t="n">
        <v>15</v>
      </c>
      <c r="L22" s="38" t="str">
        <v>г</v>
      </c>
      <c r="M22" s="38" t="n">
        <v>15</v>
      </c>
      <c r="N22" s="38" t="str">
        <v>г</v>
      </c>
      <c r="O22" s="38" t="n">
        <v>15</v>
      </c>
      <c r="P22" s="38" t="str">
        <v>г</v>
      </c>
      <c r="Q22" s="38" t="n">
        <v>0</v>
      </c>
      <c r="R22" s="38" t="n">
        <v>0</v>
      </c>
      <c r="S22" s="38" t="str">
        <v>ASSUMPTION</v>
      </c>
      <c r="T22" s="38" t="str">
        <v>EVD-0007;EVD-0008</v>
      </c>
      <c r="U22" s="38" t="str">
        <v>Проектная декомпозиция ChefTechnologyAgent; суммы contribution нормированы к draft-выходу EVD-0005; проверить взвешиванием</v>
      </c>
      <c r="V22" s="38" t="str">
        <v>2026-08-03</v>
      </c>
      <c r="W22" s="38" t="str">
        <v>Chef</v>
      </c>
      <c r="X22" s="38" t="str">
        <v>GAP-004;GAP-005</v>
      </c>
      <c r="Y22" s="39" t="str">
        <v>Не является утверждённой нормой; gross/net/output зафиксировать в контрольной серии</v>
      </c>
    </row>
    <row r="23">
      <c r="A23" s="37" t="str">
        <v>RCP-0019</v>
      </c>
      <c r="B23" s="38" t="str">
        <v>VKM-002</v>
      </c>
      <c r="C23" s="38" t="str">
        <v>VKC-002</v>
      </c>
      <c r="D23" s="38" t="str">
        <v>VKT-002</v>
      </c>
      <c r="E23" s="38" t="str">
        <v>0.1.0-DRAFT</v>
      </c>
      <c r="F23" s="38" t="str">
        <v>ING-006</v>
      </c>
      <c r="G23" s="38" t="str">
        <v>Томаты протёртые</v>
      </c>
      <c r="H23" s="38" t="str">
        <v>RAW_OR_FLATTENED_COMPONENT</v>
      </c>
      <c r="I23" s="38" t="str">
        <v>Соус</v>
      </c>
      <c r="J23" s="38" t="str">
        <v>VSF-002</v>
      </c>
      <c r="K23" s="38" t="n">
        <v>45</v>
      </c>
      <c r="L23" s="38" t="str">
        <v>г</v>
      </c>
      <c r="M23" s="38" t="n">
        <v>45</v>
      </c>
      <c r="N23" s="38" t="str">
        <v>г</v>
      </c>
      <c r="O23" s="38" t="n">
        <v>42</v>
      </c>
      <c r="P23" s="38" t="str">
        <v>г</v>
      </c>
      <c r="Q23" s="38" t="n">
        <v>0</v>
      </c>
      <c r="R23" s="38" t="n">
        <v>3</v>
      </c>
      <c r="S23" s="38" t="str">
        <v>ASSUMPTION</v>
      </c>
      <c r="T23" s="38" t="str">
        <v>EVD-0007;EVD-0008</v>
      </c>
      <c r="U23" s="38" t="str">
        <v>Проектная декомпозиция ChefTechnologyAgent; суммы contribution нормированы к draft-выходу EVD-0005; проверить взвешиванием</v>
      </c>
      <c r="V23" s="38" t="str">
        <v>2026-08-03</v>
      </c>
      <c r="W23" s="38" t="str">
        <v>Chef</v>
      </c>
      <c r="X23" s="38" t="str">
        <v>GAP-004;GAP-005</v>
      </c>
      <c r="Y23" s="39" t="str">
        <v>Не является утверждённой нормой; gross/net/output зафиксировать в контрольной серии</v>
      </c>
    </row>
    <row r="24">
      <c r="A24" s="37" t="str">
        <v>RCP-0020</v>
      </c>
      <c r="B24" s="38" t="str">
        <v>VKM-002</v>
      </c>
      <c r="C24" s="38" t="str">
        <v>VKC-002</v>
      </c>
      <c r="D24" s="38" t="str">
        <v>VKT-002</v>
      </c>
      <c r="E24" s="38" t="str">
        <v>0.1.0-DRAFT</v>
      </c>
      <c r="F24" s="38" t="str">
        <v>ING-007</v>
      </c>
      <c r="G24" s="38" t="str">
        <v>Чеснок</v>
      </c>
      <c r="H24" s="38" t="str">
        <v>RAW_OR_FLATTENED_COMPONENT</v>
      </c>
      <c r="I24" s="38" t="str">
        <v>Соус</v>
      </c>
      <c r="J24" s="38" t="str">
        <v>VSF-002</v>
      </c>
      <c r="K24" s="38" t="n">
        <v>2.2</v>
      </c>
      <c r="L24" s="38" t="str">
        <v>г</v>
      </c>
      <c r="M24" s="38" t="n">
        <v>2</v>
      </c>
      <c r="N24" s="38" t="str">
        <v>г</v>
      </c>
      <c r="O24" s="38" t="n">
        <v>2</v>
      </c>
      <c r="P24" s="38" t="str">
        <v>г</v>
      </c>
      <c r="Q24" s="38" t="n">
        <v>0.2</v>
      </c>
      <c r="R24" s="38" t="n">
        <v>0</v>
      </c>
      <c r="S24" s="38" t="str">
        <v>ASSUMPTION</v>
      </c>
      <c r="T24" s="38" t="str">
        <v>EVD-0007;EVD-0008</v>
      </c>
      <c r="U24" s="38" t="str">
        <v>Проектная декомпозиция ChefTechnologyAgent; суммы contribution нормированы к draft-выходу EVD-0005; проверить взвешиванием</v>
      </c>
      <c r="V24" s="38" t="str">
        <v>2026-08-03</v>
      </c>
      <c r="W24" s="38" t="str">
        <v>Chef</v>
      </c>
      <c r="X24" s="38" t="str">
        <v>GAP-004;GAP-005</v>
      </c>
      <c r="Y24" s="39" t="str">
        <v>Не является утверждённой нормой; gross/net/output зафиксировать в контрольной серии</v>
      </c>
    </row>
    <row r="25">
      <c r="A25" s="37" t="str">
        <v>RCP-0021</v>
      </c>
      <c r="B25" s="38" t="str">
        <v>VKM-002</v>
      </c>
      <c r="C25" s="38" t="str">
        <v>VKC-002</v>
      </c>
      <c r="D25" s="38" t="str">
        <v>VKT-002</v>
      </c>
      <c r="E25" s="38" t="str">
        <v>0.1.0-DRAFT</v>
      </c>
      <c r="F25" s="38" t="str">
        <v>ING-008</v>
      </c>
      <c r="G25" s="38" t="str">
        <v>Орегано</v>
      </c>
      <c r="H25" s="38" t="str">
        <v>RAW_OR_FLATTENED_COMPONENT</v>
      </c>
      <c r="I25" s="38" t="str">
        <v>Соус</v>
      </c>
      <c r="J25" s="38" t="str">
        <v>VSF-002</v>
      </c>
      <c r="K25" s="38" t="n">
        <v>1</v>
      </c>
      <c r="L25" s="38" t="str">
        <v>г</v>
      </c>
      <c r="M25" s="38" t="n">
        <v>1</v>
      </c>
      <c r="N25" s="38" t="str">
        <v>г</v>
      </c>
      <c r="O25" s="38" t="n">
        <v>1</v>
      </c>
      <c r="P25" s="38" t="str">
        <v>г</v>
      </c>
      <c r="Q25" s="38" t="n">
        <v>0</v>
      </c>
      <c r="R25" s="38" t="n">
        <v>0</v>
      </c>
      <c r="S25" s="38" t="str">
        <v>ASSUMPTION</v>
      </c>
      <c r="T25" s="38" t="str">
        <v>EVD-0007;EVD-0008</v>
      </c>
      <c r="U25" s="38" t="str">
        <v>Проектная декомпозиция ChefTechnologyAgent; суммы contribution нормированы к draft-выходу EVD-0005; проверить взвешиванием</v>
      </c>
      <c r="V25" s="38" t="str">
        <v>2026-08-03</v>
      </c>
      <c r="W25" s="38" t="str">
        <v>Chef</v>
      </c>
      <c r="X25" s="38" t="str">
        <v>GAP-004;GAP-005</v>
      </c>
      <c r="Y25" s="39" t="str">
        <v>Не является утверждённой нормой; gross/net/output зафиксировать в контрольной серии</v>
      </c>
    </row>
    <row r="26">
      <c r="A26" s="37" t="str">
        <v>RCP-0022</v>
      </c>
      <c r="B26" s="38" t="str">
        <v>VKM-002</v>
      </c>
      <c r="C26" s="38" t="str">
        <v>VKC-002</v>
      </c>
      <c r="D26" s="38" t="str">
        <v>VKT-002</v>
      </c>
      <c r="E26" s="38" t="str">
        <v>0.1.0-DRAFT</v>
      </c>
      <c r="F26" s="38" t="str">
        <v>ING-005</v>
      </c>
      <c r="G26" s="38" t="str">
        <v>Масло оливковое</v>
      </c>
      <c r="H26" s="38" t="str">
        <v>RAW_OR_FLATTENED_COMPONENT</v>
      </c>
      <c r="I26" s="38" t="str">
        <v>Соус</v>
      </c>
      <c r="J26" s="38" t="str">
        <v>VSF-002</v>
      </c>
      <c r="K26" s="38" t="n">
        <v>5</v>
      </c>
      <c r="L26" s="38" t="str">
        <v>г</v>
      </c>
      <c r="M26" s="38" t="n">
        <v>5</v>
      </c>
      <c r="N26" s="38" t="str">
        <v>г</v>
      </c>
      <c r="O26" s="38" t="n">
        <v>5</v>
      </c>
      <c r="P26" s="38" t="str">
        <v>г</v>
      </c>
      <c r="Q26" s="38" t="n">
        <v>0</v>
      </c>
      <c r="R26" s="38" t="n">
        <v>0</v>
      </c>
      <c r="S26" s="38" t="str">
        <v>ASSUMPTION</v>
      </c>
      <c r="T26" s="38" t="str">
        <v>EVD-0007;EVD-0008</v>
      </c>
      <c r="U26" s="38" t="str">
        <v>Проектная декомпозиция ChefTechnologyAgent; суммы contribution нормированы к draft-выходу EVD-0005; проверить взвешиванием</v>
      </c>
      <c r="V26" s="38" t="str">
        <v>2026-08-03</v>
      </c>
      <c r="W26" s="38" t="str">
        <v>Chef</v>
      </c>
      <c r="X26" s="38" t="str">
        <v>GAP-004;GAP-005</v>
      </c>
      <c r="Y26" s="39" t="str">
        <v>Не является утверждённой нормой; gross/net/output зафиксировать в контрольной серии</v>
      </c>
    </row>
    <row r="27">
      <c r="A27" s="37" t="str">
        <v>RCP-0023</v>
      </c>
      <c r="B27" s="38" t="str">
        <v>VKM-002</v>
      </c>
      <c r="C27" s="38" t="str">
        <v>VKC-002</v>
      </c>
      <c r="D27" s="38" t="str">
        <v>VKT-002</v>
      </c>
      <c r="E27" s="38" t="str">
        <v>0.1.0-DRAFT</v>
      </c>
      <c r="F27" s="38" t="str">
        <v>ING-009</v>
      </c>
      <c r="G27" s="38" t="str">
        <v>Моцарелла</v>
      </c>
      <c r="H27" s="38" t="str">
        <v>RAW_OR_FLATTENED_COMPONENT</v>
      </c>
      <c r="I27" s="38" t="str">
        <v>Сборка</v>
      </c>
      <c r="J27" s="38"/>
      <c r="K27" s="38" t="n">
        <v>90</v>
      </c>
      <c r="L27" s="38" t="str">
        <v>г</v>
      </c>
      <c r="M27" s="38" t="n">
        <v>90</v>
      </c>
      <c r="N27" s="38" t="str">
        <v>г</v>
      </c>
      <c r="O27" s="38" t="n">
        <v>90</v>
      </c>
      <c r="P27" s="38" t="str">
        <v>г</v>
      </c>
      <c r="Q27" s="38" t="n">
        <v>0</v>
      </c>
      <c r="R27" s="38" t="n">
        <v>0</v>
      </c>
      <c r="S27" s="38" t="str">
        <v>ASSUMPTION</v>
      </c>
      <c r="T27" s="38" t="str">
        <v>EVD-0007;EVD-0008</v>
      </c>
      <c r="U27" s="38" t="str">
        <v>Проектная декомпозиция ChefTechnologyAgent; суммы contribution нормированы к draft-выходу EVD-0005; проверить взвешиванием</v>
      </c>
      <c r="V27" s="38" t="str">
        <v>2026-08-03</v>
      </c>
      <c r="W27" s="38" t="str">
        <v>Chef</v>
      </c>
      <c r="X27" s="38" t="str">
        <v>GAP-004;GAP-005</v>
      </c>
      <c r="Y27" s="39" t="str">
        <v>Не является утверждённой нормой; gross/net/output зафиксировать в контрольной серии</v>
      </c>
    </row>
    <row r="28">
      <c r="A28" s="37" t="str">
        <v>RCP-0024</v>
      </c>
      <c r="B28" s="38" t="str">
        <v>VKM-002</v>
      </c>
      <c r="C28" s="38" t="str">
        <v>VKC-002</v>
      </c>
      <c r="D28" s="38" t="str">
        <v>VKT-002</v>
      </c>
      <c r="E28" s="38" t="str">
        <v>0.1.0-DRAFT</v>
      </c>
      <c r="F28" s="38" t="str">
        <v>ING-012</v>
      </c>
      <c r="G28" s="38" t="str">
        <v>Горгонзола</v>
      </c>
      <c r="H28" s="38" t="str">
        <v>RAW_OR_FLATTENED_COMPONENT</v>
      </c>
      <c r="I28" s="38" t="str">
        <v>Сборка</v>
      </c>
      <c r="J28" s="38"/>
      <c r="K28" s="38" t="n">
        <v>45</v>
      </c>
      <c r="L28" s="38" t="str">
        <v>г</v>
      </c>
      <c r="M28" s="38" t="n">
        <v>45</v>
      </c>
      <c r="N28" s="38" t="str">
        <v>г</v>
      </c>
      <c r="O28" s="38" t="n">
        <v>45</v>
      </c>
      <c r="P28" s="38" t="str">
        <v>г</v>
      </c>
      <c r="Q28" s="38" t="n">
        <v>0</v>
      </c>
      <c r="R28" s="38" t="n">
        <v>0</v>
      </c>
      <c r="S28" s="38" t="str">
        <v>ASSUMPTION</v>
      </c>
      <c r="T28" s="38" t="str">
        <v>EVD-0007;EVD-0008</v>
      </c>
      <c r="U28" s="38" t="str">
        <v>Проектная декомпозиция ChefTechnologyAgent; суммы contribution нормированы к draft-выходу EVD-0005; проверить взвешиванием</v>
      </c>
      <c r="V28" s="38" t="str">
        <v>2026-08-03</v>
      </c>
      <c r="W28" s="38" t="str">
        <v>Chef</v>
      </c>
      <c r="X28" s="38" t="str">
        <v>GAP-004;GAP-005</v>
      </c>
      <c r="Y28" s="39" t="str">
        <v>Не является утверждённой нормой; gross/net/output зафиксировать в контрольной серии</v>
      </c>
    </row>
    <row r="29">
      <c r="A29" s="37" t="str">
        <v>RCP-0025</v>
      </c>
      <c r="B29" s="38" t="str">
        <v>VKM-002</v>
      </c>
      <c r="C29" s="38" t="str">
        <v>VKC-002</v>
      </c>
      <c r="D29" s="38" t="str">
        <v>VKT-002</v>
      </c>
      <c r="E29" s="38" t="str">
        <v>0.1.0-DRAFT</v>
      </c>
      <c r="F29" s="38" t="str">
        <v>ING-010</v>
      </c>
      <c r="G29" s="38" t="str">
        <v>Пармезан</v>
      </c>
      <c r="H29" s="38" t="str">
        <v>RAW_OR_FLATTENED_COMPONENT</v>
      </c>
      <c r="I29" s="38" t="str">
        <v>Сборка</v>
      </c>
      <c r="J29" s="38"/>
      <c r="K29" s="38" t="n">
        <v>35</v>
      </c>
      <c r="L29" s="38" t="str">
        <v>г</v>
      </c>
      <c r="M29" s="38" t="n">
        <v>35</v>
      </c>
      <c r="N29" s="38" t="str">
        <v>г</v>
      </c>
      <c r="O29" s="38" t="n">
        <v>35</v>
      </c>
      <c r="P29" s="38" t="str">
        <v>г</v>
      </c>
      <c r="Q29" s="38" t="n">
        <v>0</v>
      </c>
      <c r="R29" s="38" t="n">
        <v>0</v>
      </c>
      <c r="S29" s="38" t="str">
        <v>ASSUMPTION</v>
      </c>
      <c r="T29" s="38" t="str">
        <v>EVD-0007;EVD-0008</v>
      </c>
      <c r="U29" s="38" t="str">
        <v>Проектная декомпозиция ChefTechnologyAgent; суммы contribution нормированы к draft-выходу EVD-0005; проверить взвешиванием</v>
      </c>
      <c r="V29" s="38" t="str">
        <v>2026-08-03</v>
      </c>
      <c r="W29" s="38" t="str">
        <v>Chef</v>
      </c>
      <c r="X29" s="38" t="str">
        <v>GAP-004;GAP-005</v>
      </c>
      <c r="Y29" s="39" t="str">
        <v>Не является утверждённой нормой; gross/net/output зафиксировать в контрольной серии</v>
      </c>
    </row>
    <row r="30">
      <c r="A30" s="37" t="str">
        <v>RCP-0026</v>
      </c>
      <c r="B30" s="38" t="str">
        <v>VKM-002</v>
      </c>
      <c r="C30" s="38" t="str">
        <v>VKC-002</v>
      </c>
      <c r="D30" s="38" t="str">
        <v>VKT-002</v>
      </c>
      <c r="E30" s="38" t="str">
        <v>0.1.0-DRAFT</v>
      </c>
      <c r="F30" s="38" t="str">
        <v>ING-013</v>
      </c>
      <c r="G30" s="38" t="str">
        <v>Фонтина или иной четвёртый сыр</v>
      </c>
      <c r="H30" s="38" t="str">
        <v>RAW_OR_FLATTENED_COMPONENT</v>
      </c>
      <c r="I30" s="38" t="str">
        <v>Сборка</v>
      </c>
      <c r="J30" s="38"/>
      <c r="K30" s="38" t="n">
        <v>30</v>
      </c>
      <c r="L30" s="38" t="str">
        <v>г</v>
      </c>
      <c r="M30" s="38" t="n">
        <v>30</v>
      </c>
      <c r="N30" s="38" t="str">
        <v>г</v>
      </c>
      <c r="O30" s="38" t="n">
        <v>30</v>
      </c>
      <c r="P30" s="38" t="str">
        <v>г</v>
      </c>
      <c r="Q30" s="38" t="n">
        <v>0</v>
      </c>
      <c r="R30" s="38" t="n">
        <v>0</v>
      </c>
      <c r="S30" s="38" t="str">
        <v>ASSUMPTION</v>
      </c>
      <c r="T30" s="38" t="str">
        <v>EVD-0007;EVD-0008</v>
      </c>
      <c r="U30" s="38" t="str">
        <v>Проектная декомпозиция ChefTechnologyAgent; суммы contribution нормированы к draft-выходу EVD-0005; проверить взвешиванием</v>
      </c>
      <c r="V30" s="38" t="str">
        <v>2026-08-03</v>
      </c>
      <c r="W30" s="38" t="str">
        <v>Chef</v>
      </c>
      <c r="X30" s="38" t="str">
        <v>GAP-004;GAP-005</v>
      </c>
      <c r="Y30" s="39" t="str">
        <v>Не является утверждённой нормой; gross/net/output зафиксировать в контрольной серии</v>
      </c>
    </row>
    <row r="31">
      <c r="A31" s="37" t="str">
        <v>RCP-0027</v>
      </c>
      <c r="B31" s="38" t="str">
        <v>VKM-002</v>
      </c>
      <c r="C31" s="38" t="str">
        <v>VKC-002</v>
      </c>
      <c r="D31" s="38" t="str">
        <v>VKT-002</v>
      </c>
      <c r="E31" s="38" t="str">
        <v>0.1.0-DRAFT</v>
      </c>
      <c r="F31" s="38" t="str">
        <v>ING-005</v>
      </c>
      <c r="G31" s="38" t="str">
        <v>Масло оливковое</v>
      </c>
      <c r="H31" s="38" t="str">
        <v>RAW_OR_FLATTENED_COMPONENT</v>
      </c>
      <c r="I31" s="38" t="str">
        <v>Финиш</v>
      </c>
      <c r="J31" s="38"/>
      <c r="K31" s="38" t="n">
        <v>10</v>
      </c>
      <c r="L31" s="38" t="str">
        <v>г</v>
      </c>
      <c r="M31" s="38" t="n">
        <v>10</v>
      </c>
      <c r="N31" s="38" t="str">
        <v>г</v>
      </c>
      <c r="O31" s="38" t="n">
        <v>10</v>
      </c>
      <c r="P31" s="38" t="str">
        <v>г</v>
      </c>
      <c r="Q31" s="38" t="n">
        <v>0</v>
      </c>
      <c r="R31" s="38" t="n">
        <v>0</v>
      </c>
      <c r="S31" s="38" t="str">
        <v>ASSUMPTION</v>
      </c>
      <c r="T31" s="38" t="str">
        <v>EVD-0007;EVD-0008</v>
      </c>
      <c r="U31" s="38" t="str">
        <v>Проектная декомпозиция ChefTechnologyAgent; суммы contribution нормированы к draft-выходу EVD-0005; проверить взвешиванием</v>
      </c>
      <c r="V31" s="38" t="str">
        <v>2026-08-03</v>
      </c>
      <c r="W31" s="38" t="str">
        <v>Chef</v>
      </c>
      <c r="X31" s="38" t="str">
        <v>GAP-004;GAP-005</v>
      </c>
      <c r="Y31" s="39" t="str">
        <v>Не является утверждённой нормой; gross/net/output зафиксировать в контрольной серии</v>
      </c>
    </row>
    <row r="32">
      <c r="A32" s="37" t="str">
        <v>RCP-0028</v>
      </c>
      <c r="B32" s="38" t="str">
        <v>VKM-003</v>
      </c>
      <c r="C32" s="38" t="str">
        <v>VKC-003</v>
      </c>
      <c r="D32" s="38" t="str">
        <v>VKT-003</v>
      </c>
      <c r="E32" s="38" t="str">
        <v>0.1.0-DRAFT</v>
      </c>
      <c r="F32" s="38" t="str">
        <v>ING-001</v>
      </c>
      <c r="G32" s="38" t="str">
        <v>Мука пшеничная хлебопекарная</v>
      </c>
      <c r="H32" s="38" t="str">
        <v>RAW_OR_FLATTENED_COMPONENT</v>
      </c>
      <c r="I32" s="38" t="str">
        <v>Тесто</v>
      </c>
      <c r="J32" s="38" t="str">
        <v>VSF-001</v>
      </c>
      <c r="K32" s="38" t="n">
        <v>140</v>
      </c>
      <c r="L32" s="38" t="str">
        <v>г</v>
      </c>
      <c r="M32" s="38" t="n">
        <v>140</v>
      </c>
      <c r="N32" s="38" t="str">
        <v>г</v>
      </c>
      <c r="O32" s="38" t="n">
        <v>130</v>
      </c>
      <c r="P32" s="38" t="str">
        <v>г</v>
      </c>
      <c r="Q32" s="38" t="n">
        <v>0</v>
      </c>
      <c r="R32" s="38" t="n">
        <v>10</v>
      </c>
      <c r="S32" s="38" t="str">
        <v>ASSUMPTION</v>
      </c>
      <c r="T32" s="38" t="str">
        <v>EVD-0007;EVD-0008</v>
      </c>
      <c r="U32" s="38" t="str">
        <v>Проектная декомпозиция ChefTechnologyAgent; суммы contribution нормированы к draft-выходу EVD-0005; проверить взвешиванием</v>
      </c>
      <c r="V32" s="38" t="str">
        <v>2026-08-03</v>
      </c>
      <c r="W32" s="38" t="str">
        <v>Chef</v>
      </c>
      <c r="X32" s="38" t="str">
        <v>GAP-004;GAP-005</v>
      </c>
      <c r="Y32" s="39" t="str">
        <v>Не является утверждённой нормой; gross/net/output зафиксировать в контрольной серии</v>
      </c>
    </row>
    <row r="33">
      <c r="A33" s="37" t="str">
        <v>RCP-0029</v>
      </c>
      <c r="B33" s="38" t="str">
        <v>VKM-003</v>
      </c>
      <c r="C33" s="38" t="str">
        <v>VKC-003</v>
      </c>
      <c r="D33" s="38" t="str">
        <v>VKT-003</v>
      </c>
      <c r="E33" s="38" t="str">
        <v>0.1.0-DRAFT</v>
      </c>
      <c r="F33" s="38" t="str">
        <v>ING-002</v>
      </c>
      <c r="G33" s="38" t="str">
        <v>Вода питьевая</v>
      </c>
      <c r="H33" s="38" t="str">
        <v>RAW_OR_FLATTENED_COMPONENT</v>
      </c>
      <c r="I33" s="38" t="str">
        <v>Тесто</v>
      </c>
      <c r="J33" s="38" t="str">
        <v>VSF-001</v>
      </c>
      <c r="K33" s="38" t="n">
        <v>85</v>
      </c>
      <c r="L33" s="38" t="str">
        <v>г</v>
      </c>
      <c r="M33" s="38" t="n">
        <v>85</v>
      </c>
      <c r="N33" s="38" t="str">
        <v>г</v>
      </c>
      <c r="O33" s="38" t="n">
        <v>70</v>
      </c>
      <c r="P33" s="38" t="str">
        <v>г</v>
      </c>
      <c r="Q33" s="38" t="n">
        <v>0</v>
      </c>
      <c r="R33" s="38" t="n">
        <v>15</v>
      </c>
      <c r="S33" s="38" t="str">
        <v>ASSUMPTION</v>
      </c>
      <c r="T33" s="38" t="str">
        <v>EVD-0007;EVD-0008</v>
      </c>
      <c r="U33" s="38" t="str">
        <v>Проектная декомпозиция ChefTechnologyAgent; суммы contribution нормированы к draft-выходу EVD-0005; проверить взвешиванием</v>
      </c>
      <c r="V33" s="38" t="str">
        <v>2026-08-03</v>
      </c>
      <c r="W33" s="38" t="str">
        <v>Chef</v>
      </c>
      <c r="X33" s="38" t="str">
        <v>GAP-004;GAP-005</v>
      </c>
      <c r="Y33" s="39" t="str">
        <v>Не является утверждённой нормой; gross/net/output зафиксировать в контрольной серии</v>
      </c>
    </row>
    <row r="34">
      <c r="A34" s="37" t="str">
        <v>RCP-0030</v>
      </c>
      <c r="B34" s="38" t="str">
        <v>VKM-003</v>
      </c>
      <c r="C34" s="38" t="str">
        <v>VKC-003</v>
      </c>
      <c r="D34" s="38" t="str">
        <v>VKT-003</v>
      </c>
      <c r="E34" s="38" t="str">
        <v>0.1.0-DRAFT</v>
      </c>
      <c r="F34" s="38" t="str">
        <v>ING-003</v>
      </c>
      <c r="G34" s="38" t="str">
        <v>Дрожжи хлебопекарные</v>
      </c>
      <c r="H34" s="38" t="str">
        <v>RAW_OR_FLATTENED_COMPONENT</v>
      </c>
      <c r="I34" s="38" t="str">
        <v>Тесто</v>
      </c>
      <c r="J34" s="38" t="str">
        <v>VSF-001</v>
      </c>
      <c r="K34" s="38" t="n">
        <v>2</v>
      </c>
      <c r="L34" s="38" t="str">
        <v>г</v>
      </c>
      <c r="M34" s="38" t="n">
        <v>2</v>
      </c>
      <c r="N34" s="38" t="str">
        <v>г</v>
      </c>
      <c r="O34" s="38" t="n">
        <v>2</v>
      </c>
      <c r="P34" s="38" t="str">
        <v>г</v>
      </c>
      <c r="Q34" s="38" t="n">
        <v>0</v>
      </c>
      <c r="R34" s="38" t="n">
        <v>0</v>
      </c>
      <c r="S34" s="38" t="str">
        <v>ASSUMPTION</v>
      </c>
      <c r="T34" s="38" t="str">
        <v>EVD-0007;EVD-0008</v>
      </c>
      <c r="U34" s="38" t="str">
        <v>Проектная декомпозиция ChefTechnologyAgent; суммы contribution нормированы к draft-выходу EVD-0005; проверить взвешиванием</v>
      </c>
      <c r="V34" s="38" t="str">
        <v>2026-08-03</v>
      </c>
      <c r="W34" s="38" t="str">
        <v>Chef</v>
      </c>
      <c r="X34" s="38" t="str">
        <v>GAP-004;GAP-005</v>
      </c>
      <c r="Y34" s="39" t="str">
        <v>Не является утверждённой нормой; gross/net/output зафиксировать в контрольной серии</v>
      </c>
    </row>
    <row r="35">
      <c r="A35" s="37" t="str">
        <v>RCP-0031</v>
      </c>
      <c r="B35" s="38" t="str">
        <v>VKM-003</v>
      </c>
      <c r="C35" s="38" t="str">
        <v>VKC-003</v>
      </c>
      <c r="D35" s="38" t="str">
        <v>VKT-003</v>
      </c>
      <c r="E35" s="38" t="str">
        <v>0.1.0-DRAFT</v>
      </c>
      <c r="F35" s="38" t="str">
        <v>ING-004</v>
      </c>
      <c r="G35" s="38" t="str">
        <v>Соль пищевая</v>
      </c>
      <c r="H35" s="38" t="str">
        <v>RAW_OR_FLATTENED_COMPONENT</v>
      </c>
      <c r="I35" s="38" t="str">
        <v>Тесто</v>
      </c>
      <c r="J35" s="38" t="str">
        <v>VSF-001</v>
      </c>
      <c r="K35" s="38" t="n">
        <v>3</v>
      </c>
      <c r="L35" s="38" t="str">
        <v>г</v>
      </c>
      <c r="M35" s="38" t="n">
        <v>3</v>
      </c>
      <c r="N35" s="38" t="str">
        <v>г</v>
      </c>
      <c r="O35" s="38" t="n">
        <v>3</v>
      </c>
      <c r="P35" s="38" t="str">
        <v>г</v>
      </c>
      <c r="Q35" s="38" t="n">
        <v>0</v>
      </c>
      <c r="R35" s="38" t="n">
        <v>0</v>
      </c>
      <c r="S35" s="38" t="str">
        <v>ASSUMPTION</v>
      </c>
      <c r="T35" s="38" t="str">
        <v>EVD-0007;EVD-0008</v>
      </c>
      <c r="U35" s="38" t="str">
        <v>Проектная декомпозиция ChefTechnologyAgent; суммы contribution нормированы к draft-выходу EVD-0005; проверить взвешиванием</v>
      </c>
      <c r="V35" s="38" t="str">
        <v>2026-08-03</v>
      </c>
      <c r="W35" s="38" t="str">
        <v>Chef</v>
      </c>
      <c r="X35" s="38" t="str">
        <v>GAP-004;GAP-005</v>
      </c>
      <c r="Y35" s="39" t="str">
        <v>Не является утверждённой нормой; gross/net/output зафиксировать в контрольной серии</v>
      </c>
    </row>
    <row r="36">
      <c r="A36" s="37" t="str">
        <v>RCP-0032</v>
      </c>
      <c r="B36" s="38" t="str">
        <v>VKM-003</v>
      </c>
      <c r="C36" s="38" t="str">
        <v>VKC-003</v>
      </c>
      <c r="D36" s="38" t="str">
        <v>VKT-003</v>
      </c>
      <c r="E36" s="38" t="str">
        <v>0.1.0-DRAFT</v>
      </c>
      <c r="F36" s="38" t="str">
        <v>ING-005</v>
      </c>
      <c r="G36" s="38" t="str">
        <v>Масло оливковое</v>
      </c>
      <c r="H36" s="38" t="str">
        <v>RAW_OR_FLATTENED_COMPONENT</v>
      </c>
      <c r="I36" s="38" t="str">
        <v>Тесто</v>
      </c>
      <c r="J36" s="38" t="str">
        <v>VSF-001</v>
      </c>
      <c r="K36" s="38" t="n">
        <v>15</v>
      </c>
      <c r="L36" s="38" t="str">
        <v>г</v>
      </c>
      <c r="M36" s="38" t="n">
        <v>15</v>
      </c>
      <c r="N36" s="38" t="str">
        <v>г</v>
      </c>
      <c r="O36" s="38" t="n">
        <v>15</v>
      </c>
      <c r="P36" s="38" t="str">
        <v>г</v>
      </c>
      <c r="Q36" s="38" t="n">
        <v>0</v>
      </c>
      <c r="R36" s="38" t="n">
        <v>0</v>
      </c>
      <c r="S36" s="38" t="str">
        <v>ASSUMPTION</v>
      </c>
      <c r="T36" s="38" t="str">
        <v>EVD-0007;EVD-0008</v>
      </c>
      <c r="U36" s="38" t="str">
        <v>Проектная декомпозиция ChefTechnologyAgent; суммы contribution нормированы к draft-выходу EVD-0005; проверить взвешиванием</v>
      </c>
      <c r="V36" s="38" t="str">
        <v>2026-08-03</v>
      </c>
      <c r="W36" s="38" t="str">
        <v>Chef</v>
      </c>
      <c r="X36" s="38" t="str">
        <v>GAP-004;GAP-005</v>
      </c>
      <c r="Y36" s="39" t="str">
        <v>Не является утверждённой нормой; gross/net/output зафиксировать в контрольной серии</v>
      </c>
    </row>
    <row r="37">
      <c r="A37" s="37" t="str">
        <v>RCP-0033</v>
      </c>
      <c r="B37" s="38" t="str">
        <v>VKM-003</v>
      </c>
      <c r="C37" s="38" t="str">
        <v>VKC-003</v>
      </c>
      <c r="D37" s="38" t="str">
        <v>VKT-003</v>
      </c>
      <c r="E37" s="38" t="str">
        <v>0.1.0-DRAFT</v>
      </c>
      <c r="F37" s="38" t="str">
        <v>ING-006</v>
      </c>
      <c r="G37" s="38" t="str">
        <v>Томаты протёртые</v>
      </c>
      <c r="H37" s="38" t="str">
        <v>RAW_OR_FLATTENED_COMPONENT</v>
      </c>
      <c r="I37" s="38" t="str">
        <v>Соус</v>
      </c>
      <c r="J37" s="38" t="str">
        <v>VSF-002</v>
      </c>
      <c r="K37" s="38" t="n">
        <v>63</v>
      </c>
      <c r="L37" s="38" t="str">
        <v>г</v>
      </c>
      <c r="M37" s="38" t="n">
        <v>63</v>
      </c>
      <c r="N37" s="38" t="str">
        <v>г</v>
      </c>
      <c r="O37" s="38" t="n">
        <v>60</v>
      </c>
      <c r="P37" s="38" t="str">
        <v>г</v>
      </c>
      <c r="Q37" s="38" t="n">
        <v>0</v>
      </c>
      <c r="R37" s="38" t="n">
        <v>3</v>
      </c>
      <c r="S37" s="38" t="str">
        <v>ASSUMPTION</v>
      </c>
      <c r="T37" s="38" t="str">
        <v>EVD-0007;EVD-0008</v>
      </c>
      <c r="U37" s="38" t="str">
        <v>Проектная декомпозиция ChefTechnologyAgent; суммы contribution нормированы к draft-выходу EVD-0005; проверить взвешиванием</v>
      </c>
      <c r="V37" s="38" t="str">
        <v>2026-08-03</v>
      </c>
      <c r="W37" s="38" t="str">
        <v>Chef</v>
      </c>
      <c r="X37" s="38" t="str">
        <v>GAP-004;GAP-005</v>
      </c>
      <c r="Y37" s="39" t="str">
        <v>Не является утверждённой нормой; gross/net/output зафиксировать в контрольной серии</v>
      </c>
    </row>
    <row r="38">
      <c r="A38" s="37" t="str">
        <v>RCP-0034</v>
      </c>
      <c r="B38" s="38" t="str">
        <v>VKM-003</v>
      </c>
      <c r="C38" s="38" t="str">
        <v>VKC-003</v>
      </c>
      <c r="D38" s="38" t="str">
        <v>VKT-003</v>
      </c>
      <c r="E38" s="38" t="str">
        <v>0.1.0-DRAFT</v>
      </c>
      <c r="F38" s="38" t="str">
        <v>ING-007</v>
      </c>
      <c r="G38" s="38" t="str">
        <v>Чеснок</v>
      </c>
      <c r="H38" s="38" t="str">
        <v>RAW_OR_FLATTENED_COMPONENT</v>
      </c>
      <c r="I38" s="38" t="str">
        <v>Соус</v>
      </c>
      <c r="J38" s="38" t="str">
        <v>VSF-002</v>
      </c>
      <c r="K38" s="38" t="n">
        <v>2.2</v>
      </c>
      <c r="L38" s="38" t="str">
        <v>г</v>
      </c>
      <c r="M38" s="38" t="n">
        <v>2</v>
      </c>
      <c r="N38" s="38" t="str">
        <v>г</v>
      </c>
      <c r="O38" s="38" t="n">
        <v>2</v>
      </c>
      <c r="P38" s="38" t="str">
        <v>г</v>
      </c>
      <c r="Q38" s="38" t="n">
        <v>0.2</v>
      </c>
      <c r="R38" s="38" t="n">
        <v>0</v>
      </c>
      <c r="S38" s="38" t="str">
        <v>ASSUMPTION</v>
      </c>
      <c r="T38" s="38" t="str">
        <v>EVD-0007;EVD-0008</v>
      </c>
      <c r="U38" s="38" t="str">
        <v>Проектная декомпозиция ChefTechnologyAgent; суммы contribution нормированы к draft-выходу EVD-0005; проверить взвешиванием</v>
      </c>
      <c r="V38" s="38" t="str">
        <v>2026-08-03</v>
      </c>
      <c r="W38" s="38" t="str">
        <v>Chef</v>
      </c>
      <c r="X38" s="38" t="str">
        <v>GAP-004;GAP-005</v>
      </c>
      <c r="Y38" s="39" t="str">
        <v>Не является утверждённой нормой; gross/net/output зафиксировать в контрольной серии</v>
      </c>
    </row>
    <row r="39">
      <c r="A39" s="37" t="str">
        <v>RCP-0035</v>
      </c>
      <c r="B39" s="38" t="str">
        <v>VKM-003</v>
      </c>
      <c r="C39" s="38" t="str">
        <v>VKC-003</v>
      </c>
      <c r="D39" s="38" t="str">
        <v>VKT-003</v>
      </c>
      <c r="E39" s="38" t="str">
        <v>0.1.0-DRAFT</v>
      </c>
      <c r="F39" s="38" t="str">
        <v>ING-008</v>
      </c>
      <c r="G39" s="38" t="str">
        <v>Орегано</v>
      </c>
      <c r="H39" s="38" t="str">
        <v>RAW_OR_FLATTENED_COMPONENT</v>
      </c>
      <c r="I39" s="38" t="str">
        <v>Соус</v>
      </c>
      <c r="J39" s="38" t="str">
        <v>VSF-002</v>
      </c>
      <c r="K39" s="38" t="n">
        <v>1</v>
      </c>
      <c r="L39" s="38" t="str">
        <v>г</v>
      </c>
      <c r="M39" s="38" t="n">
        <v>1</v>
      </c>
      <c r="N39" s="38" t="str">
        <v>г</v>
      </c>
      <c r="O39" s="38" t="n">
        <v>1</v>
      </c>
      <c r="P39" s="38" t="str">
        <v>г</v>
      </c>
      <c r="Q39" s="38" t="n">
        <v>0</v>
      </c>
      <c r="R39" s="38" t="n">
        <v>0</v>
      </c>
      <c r="S39" s="38" t="str">
        <v>ASSUMPTION</v>
      </c>
      <c r="T39" s="38" t="str">
        <v>EVD-0007;EVD-0008</v>
      </c>
      <c r="U39" s="38" t="str">
        <v>Проектная декомпозиция ChefTechnologyAgent; суммы contribution нормированы к draft-выходу EVD-0005; проверить взвешиванием</v>
      </c>
      <c r="V39" s="38" t="str">
        <v>2026-08-03</v>
      </c>
      <c r="W39" s="38" t="str">
        <v>Chef</v>
      </c>
      <c r="X39" s="38" t="str">
        <v>GAP-004;GAP-005</v>
      </c>
      <c r="Y39" s="39" t="str">
        <v>Не является утверждённой нормой; gross/net/output зафиксировать в контрольной серии</v>
      </c>
    </row>
    <row r="40">
      <c r="A40" s="37" t="str">
        <v>RCP-0036</v>
      </c>
      <c r="B40" s="38" t="str">
        <v>VKM-003</v>
      </c>
      <c r="C40" s="38" t="str">
        <v>VKC-003</v>
      </c>
      <c r="D40" s="38" t="str">
        <v>VKT-003</v>
      </c>
      <c r="E40" s="38" t="str">
        <v>0.1.0-DRAFT</v>
      </c>
      <c r="F40" s="38" t="str">
        <v>ING-005</v>
      </c>
      <c r="G40" s="38" t="str">
        <v>Масло оливковое</v>
      </c>
      <c r="H40" s="38" t="str">
        <v>RAW_OR_FLATTENED_COMPONENT</v>
      </c>
      <c r="I40" s="38" t="str">
        <v>Соус</v>
      </c>
      <c r="J40" s="38" t="str">
        <v>VSF-002</v>
      </c>
      <c r="K40" s="38" t="n">
        <v>7</v>
      </c>
      <c r="L40" s="38" t="str">
        <v>г</v>
      </c>
      <c r="M40" s="38" t="n">
        <v>7</v>
      </c>
      <c r="N40" s="38" t="str">
        <v>г</v>
      </c>
      <c r="O40" s="38" t="n">
        <v>7</v>
      </c>
      <c r="P40" s="38" t="str">
        <v>г</v>
      </c>
      <c r="Q40" s="38" t="n">
        <v>0</v>
      </c>
      <c r="R40" s="38" t="n">
        <v>0</v>
      </c>
      <c r="S40" s="38" t="str">
        <v>ASSUMPTION</v>
      </c>
      <c r="T40" s="38" t="str">
        <v>EVD-0007;EVD-0008</v>
      </c>
      <c r="U40" s="38" t="str">
        <v>Проектная декомпозиция ChefTechnologyAgent; суммы contribution нормированы к draft-выходу EVD-0005; проверить взвешиванием</v>
      </c>
      <c r="V40" s="38" t="str">
        <v>2026-08-03</v>
      </c>
      <c r="W40" s="38" t="str">
        <v>Chef</v>
      </c>
      <c r="X40" s="38" t="str">
        <v>GAP-004;GAP-005</v>
      </c>
      <c r="Y40" s="39" t="str">
        <v>Не является утверждённой нормой; gross/net/output зафиксировать в контрольной серии</v>
      </c>
    </row>
    <row r="41">
      <c r="A41" s="37" t="str">
        <v>RCP-0037</v>
      </c>
      <c r="B41" s="38" t="str">
        <v>VKM-003</v>
      </c>
      <c r="C41" s="38" t="str">
        <v>VKC-003</v>
      </c>
      <c r="D41" s="38" t="str">
        <v>VKT-003</v>
      </c>
      <c r="E41" s="38" t="str">
        <v>0.1.0-DRAFT</v>
      </c>
      <c r="F41" s="38" t="str">
        <v>ING-009</v>
      </c>
      <c r="G41" s="38" t="str">
        <v>Моцарелла</v>
      </c>
      <c r="H41" s="38" t="str">
        <v>RAW_OR_FLATTENED_COMPONENT</v>
      </c>
      <c r="I41" s="38" t="str">
        <v>Сборка</v>
      </c>
      <c r="J41" s="38"/>
      <c r="K41" s="38" t="n">
        <v>90</v>
      </c>
      <c r="L41" s="38" t="str">
        <v>г</v>
      </c>
      <c r="M41" s="38" t="n">
        <v>90</v>
      </c>
      <c r="N41" s="38" t="str">
        <v>г</v>
      </c>
      <c r="O41" s="38" t="n">
        <v>90</v>
      </c>
      <c r="P41" s="38" t="str">
        <v>г</v>
      </c>
      <c r="Q41" s="38" t="n">
        <v>0</v>
      </c>
      <c r="R41" s="38" t="n">
        <v>0</v>
      </c>
      <c r="S41" s="38" t="str">
        <v>ASSUMPTION</v>
      </c>
      <c r="T41" s="38" t="str">
        <v>EVD-0007;EVD-0008</v>
      </c>
      <c r="U41" s="38" t="str">
        <v>Проектная декомпозиция ChefTechnologyAgent; суммы contribution нормированы к draft-выходу EVD-0005; проверить взвешиванием</v>
      </c>
      <c r="V41" s="38" t="str">
        <v>2026-08-03</v>
      </c>
      <c r="W41" s="38" t="str">
        <v>Chef</v>
      </c>
      <c r="X41" s="38" t="str">
        <v>GAP-004;GAP-005</v>
      </c>
      <c r="Y41" s="39" t="str">
        <v>Не является утверждённой нормой; gross/net/output зафиксировать в контрольной серии</v>
      </c>
    </row>
    <row r="42">
      <c r="A42" s="37" t="str">
        <v>RCP-0038</v>
      </c>
      <c r="B42" s="38" t="str">
        <v>VKM-003</v>
      </c>
      <c r="C42" s="38" t="str">
        <v>VKC-003</v>
      </c>
      <c r="D42" s="38" t="str">
        <v>VKT-003</v>
      </c>
      <c r="E42" s="38" t="str">
        <v>0.1.0-DRAFT</v>
      </c>
      <c r="F42" s="38" t="str">
        <v>ING-014</v>
      </c>
      <c r="G42" s="38" t="str">
        <v>Ветчина</v>
      </c>
      <c r="H42" s="38" t="str">
        <v>RAW_OR_FLATTENED_COMPONENT</v>
      </c>
      <c r="I42" s="38" t="str">
        <v>Сборка</v>
      </c>
      <c r="J42" s="38"/>
      <c r="K42" s="38" t="n">
        <v>60</v>
      </c>
      <c r="L42" s="38" t="str">
        <v>г</v>
      </c>
      <c r="M42" s="38" t="n">
        <v>60</v>
      </c>
      <c r="N42" s="38" t="str">
        <v>г</v>
      </c>
      <c r="O42" s="38" t="n">
        <v>60</v>
      </c>
      <c r="P42" s="38" t="str">
        <v>г</v>
      </c>
      <c r="Q42" s="38" t="n">
        <v>0</v>
      </c>
      <c r="R42" s="38" t="n">
        <v>0</v>
      </c>
      <c r="S42" s="38" t="str">
        <v>ASSUMPTION</v>
      </c>
      <c r="T42" s="38" t="str">
        <v>EVD-0007;EVD-0008</v>
      </c>
      <c r="U42" s="38" t="str">
        <v>Проектная декомпозиция ChefTechnologyAgent; суммы contribution нормированы к draft-выходу EVD-0005; проверить взвешиванием</v>
      </c>
      <c r="V42" s="38" t="str">
        <v>2026-08-03</v>
      </c>
      <c r="W42" s="38" t="str">
        <v>Chef</v>
      </c>
      <c r="X42" s="38" t="str">
        <v>GAP-004;GAP-005</v>
      </c>
      <c r="Y42" s="39" t="str">
        <v>Не является утверждённой нормой; gross/net/output зафиксировать в контрольной серии</v>
      </c>
    </row>
    <row r="43">
      <c r="A43" s="37" t="str">
        <v>RCP-0039</v>
      </c>
      <c r="B43" s="38" t="str">
        <v>VKM-003</v>
      </c>
      <c r="C43" s="38" t="str">
        <v>VKC-003</v>
      </c>
      <c r="D43" s="38" t="str">
        <v>VKT-003</v>
      </c>
      <c r="E43" s="38" t="str">
        <v>0.1.0-DRAFT</v>
      </c>
      <c r="F43" s="38" t="str">
        <v>ING-015</v>
      </c>
      <c r="G43" s="38" t="str">
        <v>Шампиньоны</v>
      </c>
      <c r="H43" s="38" t="str">
        <v>RAW_OR_FLATTENED_COMPONENT</v>
      </c>
      <c r="I43" s="38" t="str">
        <v>Сборка</v>
      </c>
      <c r="J43" s="38"/>
      <c r="K43" s="38" t="n">
        <v>50</v>
      </c>
      <c r="L43" s="38" t="str">
        <v>г</v>
      </c>
      <c r="M43" s="38" t="n">
        <v>48</v>
      </c>
      <c r="N43" s="38" t="str">
        <v>г</v>
      </c>
      <c r="O43" s="38" t="n">
        <v>45</v>
      </c>
      <c r="P43" s="38" t="str">
        <v>г</v>
      </c>
      <c r="Q43" s="38" t="n">
        <v>2</v>
      </c>
      <c r="R43" s="38" t="n">
        <v>3</v>
      </c>
      <c r="S43" s="38" t="str">
        <v>ASSUMPTION</v>
      </c>
      <c r="T43" s="38" t="str">
        <v>EVD-0007;EVD-0008</v>
      </c>
      <c r="U43" s="38" t="str">
        <v>Проектная декомпозиция ChefTechnologyAgent; суммы contribution нормированы к draft-выходу EVD-0005; проверить взвешиванием</v>
      </c>
      <c r="V43" s="38" t="str">
        <v>2026-08-03</v>
      </c>
      <c r="W43" s="38" t="str">
        <v>Chef</v>
      </c>
      <c r="X43" s="38" t="str">
        <v>GAP-004;GAP-005</v>
      </c>
      <c r="Y43" s="39" t="str">
        <v>Не является утверждённой нормой; gross/net/output зафиксировать в контрольной серии</v>
      </c>
    </row>
    <row r="44">
      <c r="A44" s="37" t="str">
        <v>RCP-0040</v>
      </c>
      <c r="B44" s="38" t="str">
        <v>VKM-003</v>
      </c>
      <c r="C44" s="38" t="str">
        <v>VKC-003</v>
      </c>
      <c r="D44" s="38" t="str">
        <v>VKT-003</v>
      </c>
      <c r="E44" s="38" t="str">
        <v>0.1.0-DRAFT</v>
      </c>
      <c r="F44" s="38" t="str">
        <v>ING-016</v>
      </c>
      <c r="G44" s="38" t="str">
        <v>Лук репчатый</v>
      </c>
      <c r="H44" s="38" t="str">
        <v>RAW_OR_FLATTENED_COMPONENT</v>
      </c>
      <c r="I44" s="38" t="str">
        <v>Сборка</v>
      </c>
      <c r="J44" s="38"/>
      <c r="K44" s="38" t="n">
        <v>12</v>
      </c>
      <c r="L44" s="38" t="str">
        <v>г</v>
      </c>
      <c r="M44" s="38" t="n">
        <v>10</v>
      </c>
      <c r="N44" s="38" t="str">
        <v>г</v>
      </c>
      <c r="O44" s="38" t="n">
        <v>10</v>
      </c>
      <c r="P44" s="38" t="str">
        <v>г</v>
      </c>
      <c r="Q44" s="38" t="n">
        <v>2</v>
      </c>
      <c r="R44" s="38" t="n">
        <v>0</v>
      </c>
      <c r="S44" s="38" t="str">
        <v>ASSUMPTION</v>
      </c>
      <c r="T44" s="38" t="str">
        <v>EVD-0007;EVD-0008</v>
      </c>
      <c r="U44" s="38" t="str">
        <v>Проектная декомпозиция ChefTechnologyAgent; суммы contribution нормированы к draft-выходу EVD-0005; проверить взвешиванием</v>
      </c>
      <c r="V44" s="38" t="str">
        <v>2026-08-03</v>
      </c>
      <c r="W44" s="38" t="str">
        <v>Chef</v>
      </c>
      <c r="X44" s="38" t="str">
        <v>GAP-004;GAP-005</v>
      </c>
      <c r="Y44" s="39" t="str">
        <v>Не является утверждённой нормой; gross/net/output зафиксировать в контрольной серии</v>
      </c>
    </row>
    <row r="45">
      <c r="A45" s="37" t="str">
        <v>RCP-0041</v>
      </c>
      <c r="B45" s="38" t="str">
        <v>VKM-003</v>
      </c>
      <c r="C45" s="38" t="str">
        <v>VKC-003</v>
      </c>
      <c r="D45" s="38" t="str">
        <v>VKT-003</v>
      </c>
      <c r="E45" s="38" t="str">
        <v>0.1.0-DRAFT</v>
      </c>
      <c r="F45" s="38" t="str">
        <v>ING-005</v>
      </c>
      <c r="G45" s="38" t="str">
        <v>Масло оливковое</v>
      </c>
      <c r="H45" s="38" t="str">
        <v>RAW_OR_FLATTENED_COMPONENT</v>
      </c>
      <c r="I45" s="38" t="str">
        <v>Финиш</v>
      </c>
      <c r="J45" s="38"/>
      <c r="K45" s="38" t="n">
        <v>5</v>
      </c>
      <c r="L45" s="38" t="str">
        <v>г</v>
      </c>
      <c r="M45" s="38" t="n">
        <v>5</v>
      </c>
      <c r="N45" s="38" t="str">
        <v>г</v>
      </c>
      <c r="O45" s="38" t="n">
        <v>5</v>
      </c>
      <c r="P45" s="38" t="str">
        <v>г</v>
      </c>
      <c r="Q45" s="38" t="n">
        <v>0</v>
      </c>
      <c r="R45" s="38" t="n">
        <v>0</v>
      </c>
      <c r="S45" s="38" t="str">
        <v>ASSUMPTION</v>
      </c>
      <c r="T45" s="38" t="str">
        <v>EVD-0007;EVD-0008</v>
      </c>
      <c r="U45" s="38" t="str">
        <v>Проектная декомпозиция ChefTechnologyAgent; суммы contribution нормированы к draft-выходу EVD-0005; проверить взвешиванием</v>
      </c>
      <c r="V45" s="38" t="str">
        <v>2026-08-03</v>
      </c>
      <c r="W45" s="38" t="str">
        <v>Chef</v>
      </c>
      <c r="X45" s="38" t="str">
        <v>GAP-004;GAP-005</v>
      </c>
      <c r="Y45" s="39" t="str">
        <v>Не является утверждённой нормой; gross/net/output зафиксировать в контрольной серии</v>
      </c>
    </row>
    <row r="46">
      <c r="A46" s="37" t="str">
        <v>RCP-0042</v>
      </c>
      <c r="B46" s="38" t="str">
        <v>VKM-004</v>
      </c>
      <c r="C46" s="38" t="str">
        <v>VKC-004</v>
      </c>
      <c r="D46" s="38" t="str">
        <v>VKT-004</v>
      </c>
      <c r="E46" s="38" t="str">
        <v>0.1.0-DRAFT</v>
      </c>
      <c r="F46" s="38" t="str">
        <v>ING-001</v>
      </c>
      <c r="G46" s="38" t="str">
        <v>Мука пшеничная хлебопекарная</v>
      </c>
      <c r="H46" s="38" t="str">
        <v>RAW_OR_FLATTENED_COMPONENT</v>
      </c>
      <c r="I46" s="38" t="str">
        <v>Тесто</v>
      </c>
      <c r="J46" s="38" t="str">
        <v>VSF-001</v>
      </c>
      <c r="K46" s="38" t="n">
        <v>140</v>
      </c>
      <c r="L46" s="38" t="str">
        <v>г</v>
      </c>
      <c r="M46" s="38" t="n">
        <v>140</v>
      </c>
      <c r="N46" s="38" t="str">
        <v>г</v>
      </c>
      <c r="O46" s="38" t="n">
        <v>130</v>
      </c>
      <c r="P46" s="38" t="str">
        <v>г</v>
      </c>
      <c r="Q46" s="38" t="n">
        <v>0</v>
      </c>
      <c r="R46" s="38" t="n">
        <v>10</v>
      </c>
      <c r="S46" s="38" t="str">
        <v>ASSUMPTION</v>
      </c>
      <c r="T46" s="38" t="str">
        <v>EVD-0007;EVD-0008</v>
      </c>
      <c r="U46" s="38" t="str">
        <v>Проектная декомпозиция ChefTechnologyAgent; суммы contribution нормированы к draft-выходу EVD-0005; проверить взвешиванием</v>
      </c>
      <c r="V46" s="38" t="str">
        <v>2026-08-03</v>
      </c>
      <c r="W46" s="38" t="str">
        <v>Chef</v>
      </c>
      <c r="X46" s="38" t="str">
        <v>GAP-004;GAP-005</v>
      </c>
      <c r="Y46" s="39" t="str">
        <v>Не является утверждённой нормой; gross/net/output зафиксировать в контрольной серии</v>
      </c>
    </row>
    <row r="47">
      <c r="A47" s="37" t="str">
        <v>RCP-0043</v>
      </c>
      <c r="B47" s="38" t="str">
        <v>VKM-004</v>
      </c>
      <c r="C47" s="38" t="str">
        <v>VKC-004</v>
      </c>
      <c r="D47" s="38" t="str">
        <v>VKT-004</v>
      </c>
      <c r="E47" s="38" t="str">
        <v>0.1.0-DRAFT</v>
      </c>
      <c r="F47" s="38" t="str">
        <v>ING-002</v>
      </c>
      <c r="G47" s="38" t="str">
        <v>Вода питьевая</v>
      </c>
      <c r="H47" s="38" t="str">
        <v>RAW_OR_FLATTENED_COMPONENT</v>
      </c>
      <c r="I47" s="38" t="str">
        <v>Тесто</v>
      </c>
      <c r="J47" s="38" t="str">
        <v>VSF-001</v>
      </c>
      <c r="K47" s="38" t="n">
        <v>85</v>
      </c>
      <c r="L47" s="38" t="str">
        <v>г</v>
      </c>
      <c r="M47" s="38" t="n">
        <v>85</v>
      </c>
      <c r="N47" s="38" t="str">
        <v>г</v>
      </c>
      <c r="O47" s="38" t="n">
        <v>70</v>
      </c>
      <c r="P47" s="38" t="str">
        <v>г</v>
      </c>
      <c r="Q47" s="38" t="n">
        <v>0</v>
      </c>
      <c r="R47" s="38" t="n">
        <v>15</v>
      </c>
      <c r="S47" s="38" t="str">
        <v>ASSUMPTION</v>
      </c>
      <c r="T47" s="38" t="str">
        <v>EVD-0007;EVD-0008</v>
      </c>
      <c r="U47" s="38" t="str">
        <v>Проектная декомпозиция ChefTechnologyAgent; суммы contribution нормированы к draft-выходу EVD-0005; проверить взвешиванием</v>
      </c>
      <c r="V47" s="38" t="str">
        <v>2026-08-03</v>
      </c>
      <c r="W47" s="38" t="str">
        <v>Chef</v>
      </c>
      <c r="X47" s="38" t="str">
        <v>GAP-004;GAP-005</v>
      </c>
      <c r="Y47" s="39" t="str">
        <v>Не является утверждённой нормой; gross/net/output зафиксировать в контрольной серии</v>
      </c>
    </row>
    <row r="48">
      <c r="A48" s="37" t="str">
        <v>RCP-0044</v>
      </c>
      <c r="B48" s="38" t="str">
        <v>VKM-004</v>
      </c>
      <c r="C48" s="38" t="str">
        <v>VKC-004</v>
      </c>
      <c r="D48" s="38" t="str">
        <v>VKT-004</v>
      </c>
      <c r="E48" s="38" t="str">
        <v>0.1.0-DRAFT</v>
      </c>
      <c r="F48" s="38" t="str">
        <v>ING-003</v>
      </c>
      <c r="G48" s="38" t="str">
        <v>Дрожжи хлебопекарные</v>
      </c>
      <c r="H48" s="38" t="str">
        <v>RAW_OR_FLATTENED_COMPONENT</v>
      </c>
      <c r="I48" s="38" t="str">
        <v>Тесто</v>
      </c>
      <c r="J48" s="38" t="str">
        <v>VSF-001</v>
      </c>
      <c r="K48" s="38" t="n">
        <v>2</v>
      </c>
      <c r="L48" s="38" t="str">
        <v>г</v>
      </c>
      <c r="M48" s="38" t="n">
        <v>2</v>
      </c>
      <c r="N48" s="38" t="str">
        <v>г</v>
      </c>
      <c r="O48" s="38" t="n">
        <v>2</v>
      </c>
      <c r="P48" s="38" t="str">
        <v>г</v>
      </c>
      <c r="Q48" s="38" t="n">
        <v>0</v>
      </c>
      <c r="R48" s="38" t="n">
        <v>0</v>
      </c>
      <c r="S48" s="38" t="str">
        <v>ASSUMPTION</v>
      </c>
      <c r="T48" s="38" t="str">
        <v>EVD-0007;EVD-0008</v>
      </c>
      <c r="U48" s="38" t="str">
        <v>Проектная декомпозиция ChefTechnologyAgent; суммы contribution нормированы к draft-выходу EVD-0005; проверить взвешиванием</v>
      </c>
      <c r="V48" s="38" t="str">
        <v>2026-08-03</v>
      </c>
      <c r="W48" s="38" t="str">
        <v>Chef</v>
      </c>
      <c r="X48" s="38" t="str">
        <v>GAP-004;GAP-005</v>
      </c>
      <c r="Y48" s="39" t="str">
        <v>Не является утверждённой нормой; gross/net/output зафиксировать в контрольной серии</v>
      </c>
    </row>
    <row r="49">
      <c r="A49" s="37" t="str">
        <v>RCP-0045</v>
      </c>
      <c r="B49" s="38" t="str">
        <v>VKM-004</v>
      </c>
      <c r="C49" s="38" t="str">
        <v>VKC-004</v>
      </c>
      <c r="D49" s="38" t="str">
        <v>VKT-004</v>
      </c>
      <c r="E49" s="38" t="str">
        <v>0.1.0-DRAFT</v>
      </c>
      <c r="F49" s="38" t="str">
        <v>ING-004</v>
      </c>
      <c r="G49" s="38" t="str">
        <v>Соль пищевая</v>
      </c>
      <c r="H49" s="38" t="str">
        <v>RAW_OR_FLATTENED_COMPONENT</v>
      </c>
      <c r="I49" s="38" t="str">
        <v>Тесто</v>
      </c>
      <c r="J49" s="38" t="str">
        <v>VSF-001</v>
      </c>
      <c r="K49" s="38" t="n">
        <v>3</v>
      </c>
      <c r="L49" s="38" t="str">
        <v>г</v>
      </c>
      <c r="M49" s="38" t="n">
        <v>3</v>
      </c>
      <c r="N49" s="38" t="str">
        <v>г</v>
      </c>
      <c r="O49" s="38" t="n">
        <v>3</v>
      </c>
      <c r="P49" s="38" t="str">
        <v>г</v>
      </c>
      <c r="Q49" s="38" t="n">
        <v>0</v>
      </c>
      <c r="R49" s="38" t="n">
        <v>0</v>
      </c>
      <c r="S49" s="38" t="str">
        <v>ASSUMPTION</v>
      </c>
      <c r="T49" s="38" t="str">
        <v>EVD-0007;EVD-0008</v>
      </c>
      <c r="U49" s="38" t="str">
        <v>Проектная декомпозиция ChefTechnologyAgent; суммы contribution нормированы к draft-выходу EVD-0005; проверить взвешиванием</v>
      </c>
      <c r="V49" s="38" t="str">
        <v>2026-08-03</v>
      </c>
      <c r="W49" s="38" t="str">
        <v>Chef</v>
      </c>
      <c r="X49" s="38" t="str">
        <v>GAP-004;GAP-005</v>
      </c>
      <c r="Y49" s="39" t="str">
        <v>Не является утверждённой нормой; gross/net/output зафиксировать в контрольной серии</v>
      </c>
    </row>
    <row r="50">
      <c r="A50" s="37" t="str">
        <v>RCP-0046</v>
      </c>
      <c r="B50" s="38" t="str">
        <v>VKM-004</v>
      </c>
      <c r="C50" s="38" t="str">
        <v>VKC-004</v>
      </c>
      <c r="D50" s="38" t="str">
        <v>VKT-004</v>
      </c>
      <c r="E50" s="38" t="str">
        <v>0.1.0-DRAFT</v>
      </c>
      <c r="F50" s="38" t="str">
        <v>ING-005</v>
      </c>
      <c r="G50" s="38" t="str">
        <v>Масло оливковое</v>
      </c>
      <c r="H50" s="38" t="str">
        <v>RAW_OR_FLATTENED_COMPONENT</v>
      </c>
      <c r="I50" s="38" t="str">
        <v>Тесто</v>
      </c>
      <c r="J50" s="38" t="str">
        <v>VSF-001</v>
      </c>
      <c r="K50" s="38" t="n">
        <v>15</v>
      </c>
      <c r="L50" s="38" t="str">
        <v>г</v>
      </c>
      <c r="M50" s="38" t="n">
        <v>15</v>
      </c>
      <c r="N50" s="38" t="str">
        <v>г</v>
      </c>
      <c r="O50" s="38" t="n">
        <v>15</v>
      </c>
      <c r="P50" s="38" t="str">
        <v>г</v>
      </c>
      <c r="Q50" s="38" t="n">
        <v>0</v>
      </c>
      <c r="R50" s="38" t="n">
        <v>0</v>
      </c>
      <c r="S50" s="38" t="str">
        <v>ASSUMPTION</v>
      </c>
      <c r="T50" s="38" t="str">
        <v>EVD-0007;EVD-0008</v>
      </c>
      <c r="U50" s="38" t="str">
        <v>Проектная декомпозиция ChefTechnologyAgent; суммы contribution нормированы к draft-выходу EVD-0005; проверить взвешиванием</v>
      </c>
      <c r="V50" s="38" t="str">
        <v>2026-08-03</v>
      </c>
      <c r="W50" s="38" t="str">
        <v>Chef</v>
      </c>
      <c r="X50" s="38" t="str">
        <v>GAP-004;GAP-005</v>
      </c>
      <c r="Y50" s="39" t="str">
        <v>Не является утверждённой нормой; gross/net/output зафиксировать в контрольной серии</v>
      </c>
    </row>
    <row r="51">
      <c r="A51" s="37" t="str">
        <v>RCP-0047</v>
      </c>
      <c r="B51" s="38" t="str">
        <v>VKM-004</v>
      </c>
      <c r="C51" s="38" t="str">
        <v>VKC-004</v>
      </c>
      <c r="D51" s="38" t="str">
        <v>VKT-004</v>
      </c>
      <c r="E51" s="38" t="str">
        <v>0.1.0-DRAFT</v>
      </c>
      <c r="F51" s="38" t="str">
        <v>ING-006</v>
      </c>
      <c r="G51" s="38" t="str">
        <v>Томаты протёртые</v>
      </c>
      <c r="H51" s="38" t="str">
        <v>RAW_OR_FLATTENED_COMPONENT</v>
      </c>
      <c r="I51" s="38" t="str">
        <v>Соус</v>
      </c>
      <c r="J51" s="38" t="str">
        <v>VSF-002</v>
      </c>
      <c r="K51" s="38" t="n">
        <v>63</v>
      </c>
      <c r="L51" s="38" t="str">
        <v>г</v>
      </c>
      <c r="M51" s="38" t="n">
        <v>63</v>
      </c>
      <c r="N51" s="38" t="str">
        <v>г</v>
      </c>
      <c r="O51" s="38" t="n">
        <v>60</v>
      </c>
      <c r="P51" s="38" t="str">
        <v>г</v>
      </c>
      <c r="Q51" s="38" t="n">
        <v>0</v>
      </c>
      <c r="R51" s="38" t="n">
        <v>3</v>
      </c>
      <c r="S51" s="38" t="str">
        <v>ASSUMPTION</v>
      </c>
      <c r="T51" s="38" t="str">
        <v>EVD-0007;EVD-0008</v>
      </c>
      <c r="U51" s="38" t="str">
        <v>Проектная декомпозиция ChefTechnologyAgent; суммы contribution нормированы к draft-выходу EVD-0005; проверить взвешиванием</v>
      </c>
      <c r="V51" s="38" t="str">
        <v>2026-08-03</v>
      </c>
      <c r="W51" s="38" t="str">
        <v>Chef</v>
      </c>
      <c r="X51" s="38" t="str">
        <v>GAP-004;GAP-005</v>
      </c>
      <c r="Y51" s="39" t="str">
        <v>Не является утверждённой нормой; gross/net/output зафиксировать в контрольной серии</v>
      </c>
    </row>
    <row r="52">
      <c r="A52" s="37" t="str">
        <v>RCP-0048</v>
      </c>
      <c r="B52" s="38" t="str">
        <v>VKM-004</v>
      </c>
      <c r="C52" s="38" t="str">
        <v>VKC-004</v>
      </c>
      <c r="D52" s="38" t="str">
        <v>VKT-004</v>
      </c>
      <c r="E52" s="38" t="str">
        <v>0.1.0-DRAFT</v>
      </c>
      <c r="F52" s="38" t="str">
        <v>ING-007</v>
      </c>
      <c r="G52" s="38" t="str">
        <v>Чеснок</v>
      </c>
      <c r="H52" s="38" t="str">
        <v>RAW_OR_FLATTENED_COMPONENT</v>
      </c>
      <c r="I52" s="38" t="str">
        <v>Соус</v>
      </c>
      <c r="J52" s="38" t="str">
        <v>VSF-002</v>
      </c>
      <c r="K52" s="38" t="n">
        <v>2.2</v>
      </c>
      <c r="L52" s="38" t="str">
        <v>г</v>
      </c>
      <c r="M52" s="38" t="n">
        <v>2</v>
      </c>
      <c r="N52" s="38" t="str">
        <v>г</v>
      </c>
      <c r="O52" s="38" t="n">
        <v>2</v>
      </c>
      <c r="P52" s="38" t="str">
        <v>г</v>
      </c>
      <c r="Q52" s="38" t="n">
        <v>0.2</v>
      </c>
      <c r="R52" s="38" t="n">
        <v>0</v>
      </c>
      <c r="S52" s="38" t="str">
        <v>ASSUMPTION</v>
      </c>
      <c r="T52" s="38" t="str">
        <v>EVD-0007;EVD-0008</v>
      </c>
      <c r="U52" s="38" t="str">
        <v>Проектная декомпозиция ChefTechnologyAgent; суммы contribution нормированы к draft-выходу EVD-0005; проверить взвешиванием</v>
      </c>
      <c r="V52" s="38" t="str">
        <v>2026-08-03</v>
      </c>
      <c r="W52" s="38" t="str">
        <v>Chef</v>
      </c>
      <c r="X52" s="38" t="str">
        <v>GAP-004;GAP-005</v>
      </c>
      <c r="Y52" s="39" t="str">
        <v>Не является утверждённой нормой; gross/net/output зафиксировать в контрольной серии</v>
      </c>
    </row>
    <row r="53">
      <c r="A53" s="37" t="str">
        <v>RCP-0049</v>
      </c>
      <c r="B53" s="38" t="str">
        <v>VKM-004</v>
      </c>
      <c r="C53" s="38" t="str">
        <v>VKC-004</v>
      </c>
      <c r="D53" s="38" t="str">
        <v>VKT-004</v>
      </c>
      <c r="E53" s="38" t="str">
        <v>0.1.0-DRAFT</v>
      </c>
      <c r="F53" s="38" t="str">
        <v>ING-008</v>
      </c>
      <c r="G53" s="38" t="str">
        <v>Орегано</v>
      </c>
      <c r="H53" s="38" t="str">
        <v>RAW_OR_FLATTENED_COMPONENT</v>
      </c>
      <c r="I53" s="38" t="str">
        <v>Соус</v>
      </c>
      <c r="J53" s="38" t="str">
        <v>VSF-002</v>
      </c>
      <c r="K53" s="38" t="n">
        <v>1</v>
      </c>
      <c r="L53" s="38" t="str">
        <v>г</v>
      </c>
      <c r="M53" s="38" t="n">
        <v>1</v>
      </c>
      <c r="N53" s="38" t="str">
        <v>г</v>
      </c>
      <c r="O53" s="38" t="n">
        <v>1</v>
      </c>
      <c r="P53" s="38" t="str">
        <v>г</v>
      </c>
      <c r="Q53" s="38" t="n">
        <v>0</v>
      </c>
      <c r="R53" s="38" t="n">
        <v>0</v>
      </c>
      <c r="S53" s="38" t="str">
        <v>ASSUMPTION</v>
      </c>
      <c r="T53" s="38" t="str">
        <v>EVD-0007;EVD-0008</v>
      </c>
      <c r="U53" s="38" t="str">
        <v>Проектная декомпозиция ChefTechnologyAgent; суммы contribution нормированы к draft-выходу EVD-0005; проверить взвешиванием</v>
      </c>
      <c r="V53" s="38" t="str">
        <v>2026-08-03</v>
      </c>
      <c r="W53" s="38" t="str">
        <v>Chef</v>
      </c>
      <c r="X53" s="38" t="str">
        <v>GAP-004;GAP-005</v>
      </c>
      <c r="Y53" s="39" t="str">
        <v>Не является утверждённой нормой; gross/net/output зафиксировать в контрольной серии</v>
      </c>
    </row>
    <row r="54">
      <c r="A54" s="37" t="str">
        <v>RCP-0050</v>
      </c>
      <c r="B54" s="38" t="str">
        <v>VKM-004</v>
      </c>
      <c r="C54" s="38" t="str">
        <v>VKC-004</v>
      </c>
      <c r="D54" s="38" t="str">
        <v>VKT-004</v>
      </c>
      <c r="E54" s="38" t="str">
        <v>0.1.0-DRAFT</v>
      </c>
      <c r="F54" s="38" t="str">
        <v>ING-005</v>
      </c>
      <c r="G54" s="38" t="str">
        <v>Масло оливковое</v>
      </c>
      <c r="H54" s="38" t="str">
        <v>RAW_OR_FLATTENED_COMPONENT</v>
      </c>
      <c r="I54" s="38" t="str">
        <v>Соус</v>
      </c>
      <c r="J54" s="38" t="str">
        <v>VSF-002</v>
      </c>
      <c r="K54" s="38" t="n">
        <v>7</v>
      </c>
      <c r="L54" s="38" t="str">
        <v>г</v>
      </c>
      <c r="M54" s="38" t="n">
        <v>7</v>
      </c>
      <c r="N54" s="38" t="str">
        <v>г</v>
      </c>
      <c r="O54" s="38" t="n">
        <v>7</v>
      </c>
      <c r="P54" s="38" t="str">
        <v>г</v>
      </c>
      <c r="Q54" s="38" t="n">
        <v>0</v>
      </c>
      <c r="R54" s="38" t="n">
        <v>0</v>
      </c>
      <c r="S54" s="38" t="str">
        <v>ASSUMPTION</v>
      </c>
      <c r="T54" s="38" t="str">
        <v>EVD-0007;EVD-0008</v>
      </c>
      <c r="U54" s="38" t="str">
        <v>Проектная декомпозиция ChefTechnologyAgent; суммы contribution нормированы к draft-выходу EVD-0005; проверить взвешиванием</v>
      </c>
      <c r="V54" s="38" t="str">
        <v>2026-08-03</v>
      </c>
      <c r="W54" s="38" t="str">
        <v>Chef</v>
      </c>
      <c r="X54" s="38" t="str">
        <v>GAP-004;GAP-005</v>
      </c>
      <c r="Y54" s="39" t="str">
        <v>Не является утверждённой нормой; gross/net/output зафиксировать в контрольной серии</v>
      </c>
    </row>
    <row r="55">
      <c r="A55" s="37" t="str">
        <v>RCP-0051</v>
      </c>
      <c r="B55" s="38" t="str">
        <v>VKM-004</v>
      </c>
      <c r="C55" s="38" t="str">
        <v>VKC-004</v>
      </c>
      <c r="D55" s="38" t="str">
        <v>VKT-004</v>
      </c>
      <c r="E55" s="38" t="str">
        <v>0.1.0-DRAFT</v>
      </c>
      <c r="F55" s="38" t="str">
        <v>ING-009</v>
      </c>
      <c r="G55" s="38" t="str">
        <v>Моцарелла</v>
      </c>
      <c r="H55" s="38" t="str">
        <v>RAW_OR_FLATTENED_COMPONENT</v>
      </c>
      <c r="I55" s="38" t="str">
        <v>Сборка</v>
      </c>
      <c r="J55" s="38"/>
      <c r="K55" s="38" t="n">
        <v>110</v>
      </c>
      <c r="L55" s="38" t="str">
        <v>г</v>
      </c>
      <c r="M55" s="38" t="n">
        <v>110</v>
      </c>
      <c r="N55" s="38" t="str">
        <v>г</v>
      </c>
      <c r="O55" s="38" t="n">
        <v>110</v>
      </c>
      <c r="P55" s="38" t="str">
        <v>г</v>
      </c>
      <c r="Q55" s="38" t="n">
        <v>0</v>
      </c>
      <c r="R55" s="38" t="n">
        <v>0</v>
      </c>
      <c r="S55" s="38" t="str">
        <v>ASSUMPTION</v>
      </c>
      <c r="T55" s="38" t="str">
        <v>EVD-0007;EVD-0008</v>
      </c>
      <c r="U55" s="38" t="str">
        <v>Проектная декомпозиция ChefTechnologyAgent; суммы contribution нормированы к draft-выходу EVD-0005; проверить взвешиванием</v>
      </c>
      <c r="V55" s="38" t="str">
        <v>2026-08-03</v>
      </c>
      <c r="W55" s="38" t="str">
        <v>Chef</v>
      </c>
      <c r="X55" s="38" t="str">
        <v>GAP-004;GAP-005</v>
      </c>
      <c r="Y55" s="39" t="str">
        <v>Не является утверждённой нормой; gross/net/output зафиксировать в контрольной серии</v>
      </c>
    </row>
    <row r="56">
      <c r="A56" s="37" t="str">
        <v>RCP-0052</v>
      </c>
      <c r="B56" s="38" t="str">
        <v>VKM-004</v>
      </c>
      <c r="C56" s="38" t="str">
        <v>VKC-004</v>
      </c>
      <c r="D56" s="38" t="str">
        <v>VKT-004</v>
      </c>
      <c r="E56" s="38" t="str">
        <v>0.1.0-DRAFT</v>
      </c>
      <c r="F56" s="38" t="str">
        <v>ING-017</v>
      </c>
      <c r="G56" s="38" t="str">
        <v>Пепперони</v>
      </c>
      <c r="H56" s="38" t="str">
        <v>RAW_OR_FLATTENED_COMPONENT</v>
      </c>
      <c r="I56" s="38" t="str">
        <v>Сборка</v>
      </c>
      <c r="J56" s="38"/>
      <c r="K56" s="38" t="n">
        <v>90</v>
      </c>
      <c r="L56" s="38" t="str">
        <v>г</v>
      </c>
      <c r="M56" s="38" t="n">
        <v>90</v>
      </c>
      <c r="N56" s="38" t="str">
        <v>г</v>
      </c>
      <c r="O56" s="38" t="n">
        <v>90</v>
      </c>
      <c r="P56" s="38" t="str">
        <v>г</v>
      </c>
      <c r="Q56" s="38" t="n">
        <v>0</v>
      </c>
      <c r="R56" s="38" t="n">
        <v>0</v>
      </c>
      <c r="S56" s="38" t="str">
        <v>ASSUMPTION</v>
      </c>
      <c r="T56" s="38" t="str">
        <v>EVD-0007;EVD-0008</v>
      </c>
      <c r="U56" s="38" t="str">
        <v>Проектная декомпозиция ChefTechnologyAgent; суммы contribution нормированы к draft-выходу EVD-0005; проверить взвешиванием</v>
      </c>
      <c r="V56" s="38" t="str">
        <v>2026-08-03</v>
      </c>
      <c r="W56" s="38" t="str">
        <v>Chef</v>
      </c>
      <c r="X56" s="38" t="str">
        <v>GAP-004;GAP-005</v>
      </c>
      <c r="Y56" s="39" t="str">
        <v>Не является утверждённой нормой; gross/net/output зафиксировать в контрольной серии</v>
      </c>
    </row>
    <row r="57">
      <c r="A57" s="37" t="str">
        <v>RCP-0053</v>
      </c>
      <c r="B57" s="38" t="str">
        <v>VKM-004</v>
      </c>
      <c r="C57" s="38" t="str">
        <v>VKC-004</v>
      </c>
      <c r="D57" s="38" t="str">
        <v>VKT-004</v>
      </c>
      <c r="E57" s="38" t="str">
        <v>0.1.0-DRAFT</v>
      </c>
      <c r="F57" s="38" t="str">
        <v>ING-005</v>
      </c>
      <c r="G57" s="38" t="str">
        <v>Масло оливковое</v>
      </c>
      <c r="H57" s="38" t="str">
        <v>RAW_OR_FLATTENED_COMPONENT</v>
      </c>
      <c r="I57" s="38" t="str">
        <v>Финиш</v>
      </c>
      <c r="J57" s="38"/>
      <c r="K57" s="38" t="n">
        <v>10</v>
      </c>
      <c r="L57" s="38" t="str">
        <v>г</v>
      </c>
      <c r="M57" s="38" t="n">
        <v>10</v>
      </c>
      <c r="N57" s="38" t="str">
        <v>г</v>
      </c>
      <c r="O57" s="38" t="n">
        <v>10</v>
      </c>
      <c r="P57" s="38" t="str">
        <v>г</v>
      </c>
      <c r="Q57" s="38" t="n">
        <v>0</v>
      </c>
      <c r="R57" s="38" t="n">
        <v>0</v>
      </c>
      <c r="S57" s="38" t="str">
        <v>ASSUMPTION</v>
      </c>
      <c r="T57" s="38" t="str">
        <v>EVD-0007;EVD-0008</v>
      </c>
      <c r="U57" s="38" t="str">
        <v>Проектная декомпозиция ChefTechnologyAgent; суммы contribution нормированы к draft-выходу EVD-0005; проверить взвешиванием</v>
      </c>
      <c r="V57" s="38" t="str">
        <v>2026-08-03</v>
      </c>
      <c r="W57" s="38" t="str">
        <v>Chef</v>
      </c>
      <c r="X57" s="38" t="str">
        <v>GAP-004;GAP-005</v>
      </c>
      <c r="Y57" s="39" t="str">
        <v>Не является утверждённой нормой; gross/net/output зафиксировать в контрольной серии</v>
      </c>
    </row>
    <row r="58">
      <c r="A58" s="37" t="str">
        <v>RCP-0054</v>
      </c>
      <c r="B58" s="38" t="str">
        <v>VKM-005</v>
      </c>
      <c r="C58" s="38" t="str">
        <v>VKC-005</v>
      </c>
      <c r="D58" s="38" t="str">
        <v>VKT-005</v>
      </c>
      <c r="E58" s="38" t="str">
        <v>0.1.0-DRAFT</v>
      </c>
      <c r="F58" s="38" t="str">
        <v>ING-001</v>
      </c>
      <c r="G58" s="38" t="str">
        <v>Мука пшеничная хлебопекарная</v>
      </c>
      <c r="H58" s="38" t="str">
        <v>RAW_OR_FLATTENED_COMPONENT</v>
      </c>
      <c r="I58" s="38" t="str">
        <v>Тесто</v>
      </c>
      <c r="J58" s="38" t="str">
        <v>VSF-003</v>
      </c>
      <c r="K58" s="38" t="n">
        <v>60</v>
      </c>
      <c r="L58" s="38" t="str">
        <v>г</v>
      </c>
      <c r="M58" s="38" t="n">
        <v>60</v>
      </c>
      <c r="N58" s="38" t="str">
        <v>г</v>
      </c>
      <c r="O58" s="38" t="n">
        <v>55</v>
      </c>
      <c r="P58" s="38" t="str">
        <v>г</v>
      </c>
      <c r="Q58" s="38" t="n">
        <v>0</v>
      </c>
      <c r="R58" s="38" t="n">
        <v>5</v>
      </c>
      <c r="S58" s="38" t="str">
        <v>ASSUMPTION</v>
      </c>
      <c r="T58" s="38" t="str">
        <v>EVD-0007;EVD-0008</v>
      </c>
      <c r="U58" s="38" t="str">
        <v>Проектная декомпозиция ChefTechnologyAgent; суммы contribution нормированы к draft-выходу EVD-0005; проверить взвешиванием</v>
      </c>
      <c r="V58" s="38" t="str">
        <v>2026-08-03</v>
      </c>
      <c r="W58" s="38" t="str">
        <v>Chef</v>
      </c>
      <c r="X58" s="38" t="str">
        <v>GAP-004;GAP-005</v>
      </c>
      <c r="Y58" s="39" t="str">
        <v>Не является утверждённой нормой; gross/net/output зафиксировать в контрольной серии</v>
      </c>
    </row>
    <row r="59">
      <c r="A59" s="37" t="str">
        <v>RCP-0055</v>
      </c>
      <c r="B59" s="38" t="str">
        <v>VKM-005</v>
      </c>
      <c r="C59" s="38" t="str">
        <v>VKC-005</v>
      </c>
      <c r="D59" s="38" t="str">
        <v>VKT-005</v>
      </c>
      <c r="E59" s="38" t="str">
        <v>0.1.0-DRAFT</v>
      </c>
      <c r="F59" s="38" t="str">
        <v>ING-002</v>
      </c>
      <c r="G59" s="38" t="str">
        <v>Вода питьевая</v>
      </c>
      <c r="H59" s="38" t="str">
        <v>RAW_OR_FLATTENED_COMPONENT</v>
      </c>
      <c r="I59" s="38" t="str">
        <v>Тесто</v>
      </c>
      <c r="J59" s="38" t="str">
        <v>VSF-003</v>
      </c>
      <c r="K59" s="38" t="n">
        <v>40</v>
      </c>
      <c r="L59" s="38" t="str">
        <v>г</v>
      </c>
      <c r="M59" s="38" t="n">
        <v>40</v>
      </c>
      <c r="N59" s="38" t="str">
        <v>г</v>
      </c>
      <c r="O59" s="38" t="n">
        <v>34</v>
      </c>
      <c r="P59" s="38" t="str">
        <v>г</v>
      </c>
      <c r="Q59" s="38" t="n">
        <v>0</v>
      </c>
      <c r="R59" s="38" t="n">
        <v>6</v>
      </c>
      <c r="S59" s="38" t="str">
        <v>ASSUMPTION</v>
      </c>
      <c r="T59" s="38" t="str">
        <v>EVD-0007;EVD-0008</v>
      </c>
      <c r="U59" s="38" t="str">
        <v>Проектная декомпозиция ChefTechnologyAgent; суммы contribution нормированы к draft-выходу EVD-0005; проверить взвешиванием</v>
      </c>
      <c r="V59" s="38" t="str">
        <v>2026-08-03</v>
      </c>
      <c r="W59" s="38" t="str">
        <v>Chef</v>
      </c>
      <c r="X59" s="38" t="str">
        <v>GAP-004;GAP-005</v>
      </c>
      <c r="Y59" s="39" t="str">
        <v>Не является утверждённой нормой; gross/net/output зафиксировать в контрольной серии</v>
      </c>
    </row>
    <row r="60">
      <c r="A60" s="37" t="str">
        <v>RCP-0056</v>
      </c>
      <c r="B60" s="38" t="str">
        <v>VKM-005</v>
      </c>
      <c r="C60" s="38" t="str">
        <v>VKC-005</v>
      </c>
      <c r="D60" s="38" t="str">
        <v>VKT-005</v>
      </c>
      <c r="E60" s="38" t="str">
        <v>0.1.0-DRAFT</v>
      </c>
      <c r="F60" s="38" t="str">
        <v>ING-003</v>
      </c>
      <c r="G60" s="38" t="str">
        <v>Дрожжи хлебопекарные</v>
      </c>
      <c r="H60" s="38" t="str">
        <v>RAW_OR_FLATTENED_COMPONENT</v>
      </c>
      <c r="I60" s="38" t="str">
        <v>Тесто</v>
      </c>
      <c r="J60" s="38" t="str">
        <v>VSF-003</v>
      </c>
      <c r="K60" s="38" t="n">
        <v>1</v>
      </c>
      <c r="L60" s="38" t="str">
        <v>г</v>
      </c>
      <c r="M60" s="38" t="n">
        <v>1</v>
      </c>
      <c r="N60" s="38" t="str">
        <v>г</v>
      </c>
      <c r="O60" s="38" t="n">
        <v>1</v>
      </c>
      <c r="P60" s="38" t="str">
        <v>г</v>
      </c>
      <c r="Q60" s="38" t="n">
        <v>0</v>
      </c>
      <c r="R60" s="38" t="n">
        <v>0</v>
      </c>
      <c r="S60" s="38" t="str">
        <v>ASSUMPTION</v>
      </c>
      <c r="T60" s="38" t="str">
        <v>EVD-0007;EVD-0008</v>
      </c>
      <c r="U60" s="38" t="str">
        <v>Проектная декомпозиция ChefTechnologyAgent; суммы contribution нормированы к draft-выходу EVD-0005; проверить взвешиванием</v>
      </c>
      <c r="V60" s="38" t="str">
        <v>2026-08-03</v>
      </c>
      <c r="W60" s="38" t="str">
        <v>Chef</v>
      </c>
      <c r="X60" s="38" t="str">
        <v>GAP-004;GAP-005</v>
      </c>
      <c r="Y60" s="39" t="str">
        <v>Не является утверждённой нормой; gross/net/output зафиксировать в контрольной серии</v>
      </c>
    </row>
    <row r="61">
      <c r="A61" s="37" t="str">
        <v>RCP-0057</v>
      </c>
      <c r="B61" s="38" t="str">
        <v>VKM-005</v>
      </c>
      <c r="C61" s="38" t="str">
        <v>VKC-005</v>
      </c>
      <c r="D61" s="38" t="str">
        <v>VKT-005</v>
      </c>
      <c r="E61" s="38" t="str">
        <v>0.1.0-DRAFT</v>
      </c>
      <c r="F61" s="38" t="str">
        <v>ING-004</v>
      </c>
      <c r="G61" s="38" t="str">
        <v>Соль пищевая</v>
      </c>
      <c r="H61" s="38" t="str">
        <v>RAW_OR_FLATTENED_COMPONENT</v>
      </c>
      <c r="I61" s="38" t="str">
        <v>Тесто</v>
      </c>
      <c r="J61" s="38" t="str">
        <v>VSF-003</v>
      </c>
      <c r="K61" s="38" t="n">
        <v>2</v>
      </c>
      <c r="L61" s="38" t="str">
        <v>г</v>
      </c>
      <c r="M61" s="38" t="n">
        <v>2</v>
      </c>
      <c r="N61" s="38" t="str">
        <v>г</v>
      </c>
      <c r="O61" s="38" t="n">
        <v>2</v>
      </c>
      <c r="P61" s="38" t="str">
        <v>г</v>
      </c>
      <c r="Q61" s="38" t="n">
        <v>0</v>
      </c>
      <c r="R61" s="38" t="n">
        <v>0</v>
      </c>
      <c r="S61" s="38" t="str">
        <v>ASSUMPTION</v>
      </c>
      <c r="T61" s="38" t="str">
        <v>EVD-0007;EVD-0008</v>
      </c>
      <c r="U61" s="38" t="str">
        <v>Проектная декомпозиция ChefTechnologyAgent; суммы contribution нормированы к draft-выходу EVD-0005; проверить взвешиванием</v>
      </c>
      <c r="V61" s="38" t="str">
        <v>2026-08-03</v>
      </c>
      <c r="W61" s="38" t="str">
        <v>Chef</v>
      </c>
      <c r="X61" s="38" t="str">
        <v>GAP-004;GAP-005</v>
      </c>
      <c r="Y61" s="39" t="str">
        <v>Не является утверждённой нормой; gross/net/output зафиксировать в контрольной серии</v>
      </c>
    </row>
    <row r="62">
      <c r="A62" s="37" t="str">
        <v>RCP-0058</v>
      </c>
      <c r="B62" s="38" t="str">
        <v>VKM-005</v>
      </c>
      <c r="C62" s="38" t="str">
        <v>VKC-005</v>
      </c>
      <c r="D62" s="38" t="str">
        <v>VKT-005</v>
      </c>
      <c r="E62" s="38" t="str">
        <v>0.1.0-DRAFT</v>
      </c>
      <c r="F62" s="38" t="str">
        <v>ING-005</v>
      </c>
      <c r="G62" s="38" t="str">
        <v>Масло оливковое</v>
      </c>
      <c r="H62" s="38" t="str">
        <v>RAW_OR_FLATTENED_COMPONENT</v>
      </c>
      <c r="I62" s="38" t="str">
        <v>Тесто</v>
      </c>
      <c r="J62" s="38" t="str">
        <v>VSF-003</v>
      </c>
      <c r="K62" s="38" t="n">
        <v>8</v>
      </c>
      <c r="L62" s="38" t="str">
        <v>г</v>
      </c>
      <c r="M62" s="38" t="n">
        <v>8</v>
      </c>
      <c r="N62" s="38" t="str">
        <v>г</v>
      </c>
      <c r="O62" s="38" t="n">
        <v>8</v>
      </c>
      <c r="P62" s="38" t="str">
        <v>г</v>
      </c>
      <c r="Q62" s="38" t="n">
        <v>0</v>
      </c>
      <c r="R62" s="38" t="n">
        <v>0</v>
      </c>
      <c r="S62" s="38" t="str">
        <v>ASSUMPTION</v>
      </c>
      <c r="T62" s="38" t="str">
        <v>EVD-0007;EVD-0008</v>
      </c>
      <c r="U62" s="38" t="str">
        <v>Проектная декомпозиция ChefTechnologyAgent; суммы contribution нормированы к draft-выходу EVD-0005; проверить взвешиванием</v>
      </c>
      <c r="V62" s="38" t="str">
        <v>2026-08-03</v>
      </c>
      <c r="W62" s="38" t="str">
        <v>Chef</v>
      </c>
      <c r="X62" s="38" t="str">
        <v>GAP-004;GAP-005</v>
      </c>
      <c r="Y62" s="39" t="str">
        <v>Не является утверждённой нормой; gross/net/output зафиксировать в контрольной серии</v>
      </c>
    </row>
    <row r="63">
      <c r="A63" s="37" t="str">
        <v>RCP-0059</v>
      </c>
      <c r="B63" s="38" t="str">
        <v>VKM-006</v>
      </c>
      <c r="C63" s="38" t="str">
        <v>VKC-006</v>
      </c>
      <c r="D63" s="38" t="str">
        <v>VKT-006</v>
      </c>
      <c r="E63" s="38" t="str">
        <v>0.1.0-DRAFT</v>
      </c>
      <c r="F63" s="38" t="str">
        <v>ING-001</v>
      </c>
      <c r="G63" s="38" t="str">
        <v>Мука пшеничная хлебопекарная</v>
      </c>
      <c r="H63" s="38" t="str">
        <v>RAW_OR_FLATTENED_COMPONENT</v>
      </c>
      <c r="I63" s="38" t="str">
        <v>Тесто</v>
      </c>
      <c r="J63" s="38" t="str">
        <v>VSF-004</v>
      </c>
      <c r="K63" s="38" t="n">
        <v>55</v>
      </c>
      <c r="L63" s="38" t="str">
        <v>г</v>
      </c>
      <c r="M63" s="38" t="n">
        <v>55</v>
      </c>
      <c r="N63" s="38" t="str">
        <v>г</v>
      </c>
      <c r="O63" s="38" t="n">
        <v>50</v>
      </c>
      <c r="P63" s="38" t="str">
        <v>г</v>
      </c>
      <c r="Q63" s="38" t="n">
        <v>0</v>
      </c>
      <c r="R63" s="38" t="n">
        <v>5</v>
      </c>
      <c r="S63" s="38" t="str">
        <v>ASSUMPTION</v>
      </c>
      <c r="T63" s="38" t="str">
        <v>EVD-0007;EVD-0008</v>
      </c>
      <c r="U63" s="38" t="str">
        <v>Проектная декомпозиция ChefTechnologyAgent; суммы contribution нормированы к draft-выходу EVD-0005; проверить взвешиванием</v>
      </c>
      <c r="V63" s="38" t="str">
        <v>2026-08-03</v>
      </c>
      <c r="W63" s="38" t="str">
        <v>Chef</v>
      </c>
      <c r="X63" s="38" t="str">
        <v>GAP-004;GAP-005</v>
      </c>
      <c r="Y63" s="39" t="str">
        <v>Не является утверждённой нормой; gross/net/output зафиксировать в контрольной серии</v>
      </c>
    </row>
    <row r="64">
      <c r="A64" s="37" t="str">
        <v>RCP-0060</v>
      </c>
      <c r="B64" s="38" t="str">
        <v>VKM-006</v>
      </c>
      <c r="C64" s="38" t="str">
        <v>VKC-006</v>
      </c>
      <c r="D64" s="38" t="str">
        <v>VKT-006</v>
      </c>
      <c r="E64" s="38" t="str">
        <v>0.1.0-DRAFT</v>
      </c>
      <c r="F64" s="38" t="str">
        <v>ING-002</v>
      </c>
      <c r="G64" s="38" t="str">
        <v>Вода питьевая</v>
      </c>
      <c r="H64" s="38" t="str">
        <v>RAW_OR_FLATTENED_COMPONENT</v>
      </c>
      <c r="I64" s="38" t="str">
        <v>Тесто</v>
      </c>
      <c r="J64" s="38" t="str">
        <v>VSF-004</v>
      </c>
      <c r="K64" s="38" t="n">
        <v>31</v>
      </c>
      <c r="L64" s="38" t="str">
        <v>г</v>
      </c>
      <c r="M64" s="38" t="n">
        <v>31</v>
      </c>
      <c r="N64" s="38" t="str">
        <v>г</v>
      </c>
      <c r="O64" s="38" t="n">
        <v>25</v>
      </c>
      <c r="P64" s="38" t="str">
        <v>г</v>
      </c>
      <c r="Q64" s="38" t="n">
        <v>0</v>
      </c>
      <c r="R64" s="38" t="n">
        <v>6</v>
      </c>
      <c r="S64" s="38" t="str">
        <v>ASSUMPTION</v>
      </c>
      <c r="T64" s="38" t="str">
        <v>EVD-0007;EVD-0008</v>
      </c>
      <c r="U64" s="38" t="str">
        <v>Проектная декомпозиция ChefTechnologyAgent; суммы contribution нормированы к draft-выходу EVD-0005; проверить взвешиванием</v>
      </c>
      <c r="V64" s="38" t="str">
        <v>2026-08-03</v>
      </c>
      <c r="W64" s="38" t="str">
        <v>Chef</v>
      </c>
      <c r="X64" s="38" t="str">
        <v>GAP-004;GAP-005</v>
      </c>
      <c r="Y64" s="39" t="str">
        <v>Не является утверждённой нормой; gross/net/output зафиксировать в контрольной серии</v>
      </c>
    </row>
    <row r="65">
      <c r="A65" s="37" t="str">
        <v>RCP-0061</v>
      </c>
      <c r="B65" s="38" t="str">
        <v>VKM-006</v>
      </c>
      <c r="C65" s="38" t="str">
        <v>VKC-006</v>
      </c>
      <c r="D65" s="38" t="str">
        <v>VKT-006</v>
      </c>
      <c r="E65" s="38" t="str">
        <v>0.1.0-DRAFT</v>
      </c>
      <c r="F65" s="38" t="str">
        <v>ING-018</v>
      </c>
      <c r="G65" s="38" t="str">
        <v>Пюре томатное</v>
      </c>
      <c r="H65" s="38" t="str">
        <v>RAW_OR_FLATTENED_COMPONENT</v>
      </c>
      <c r="I65" s="38" t="str">
        <v>Тесто</v>
      </c>
      <c r="J65" s="38" t="str">
        <v>VSF-004</v>
      </c>
      <c r="K65" s="38" t="n">
        <v>13</v>
      </c>
      <c r="L65" s="38" t="str">
        <v>г</v>
      </c>
      <c r="M65" s="38" t="n">
        <v>13</v>
      </c>
      <c r="N65" s="38" t="str">
        <v>г</v>
      </c>
      <c r="O65" s="38" t="n">
        <v>12</v>
      </c>
      <c r="P65" s="38" t="str">
        <v>г</v>
      </c>
      <c r="Q65" s="38" t="n">
        <v>0</v>
      </c>
      <c r="R65" s="38" t="n">
        <v>1</v>
      </c>
      <c r="S65" s="38" t="str">
        <v>ASSUMPTION</v>
      </c>
      <c r="T65" s="38" t="str">
        <v>EVD-0007;EVD-0008</v>
      </c>
      <c r="U65" s="38" t="str">
        <v>Проектная декомпозиция ChefTechnologyAgent; суммы contribution нормированы к draft-выходу EVD-0005; проверить взвешиванием</v>
      </c>
      <c r="V65" s="38" t="str">
        <v>2026-08-03</v>
      </c>
      <c r="W65" s="38" t="str">
        <v>Chef</v>
      </c>
      <c r="X65" s="38" t="str">
        <v>GAP-004;GAP-005</v>
      </c>
      <c r="Y65" s="39" t="str">
        <v>Не является утверждённой нормой; gross/net/output зафиксировать в контрольной серии</v>
      </c>
    </row>
    <row r="66">
      <c r="A66" s="37" t="str">
        <v>RCP-0062</v>
      </c>
      <c r="B66" s="38" t="str">
        <v>VKM-006</v>
      </c>
      <c r="C66" s="38" t="str">
        <v>VKC-006</v>
      </c>
      <c r="D66" s="38" t="str">
        <v>VKT-006</v>
      </c>
      <c r="E66" s="38" t="str">
        <v>0.1.0-DRAFT</v>
      </c>
      <c r="F66" s="38" t="str">
        <v>ING-019</v>
      </c>
      <c r="G66" s="38" t="str">
        <v>Томаты вяленые</v>
      </c>
      <c r="H66" s="38" t="str">
        <v>RAW_OR_FLATTENED_COMPONENT</v>
      </c>
      <c r="I66" s="38" t="str">
        <v>Тесто</v>
      </c>
      <c r="J66" s="38" t="str">
        <v>VSF-004</v>
      </c>
      <c r="K66" s="38" t="n">
        <v>8</v>
      </c>
      <c r="L66" s="38" t="str">
        <v>г</v>
      </c>
      <c r="M66" s="38" t="n">
        <v>8</v>
      </c>
      <c r="N66" s="38" t="str">
        <v>г</v>
      </c>
      <c r="O66" s="38" t="n">
        <v>8</v>
      </c>
      <c r="P66" s="38" t="str">
        <v>г</v>
      </c>
      <c r="Q66" s="38" t="n">
        <v>0</v>
      </c>
      <c r="R66" s="38" t="n">
        <v>0</v>
      </c>
      <c r="S66" s="38" t="str">
        <v>ASSUMPTION</v>
      </c>
      <c r="T66" s="38" t="str">
        <v>EVD-0007;EVD-0008</v>
      </c>
      <c r="U66" s="38" t="str">
        <v>Проектная декомпозиция ChefTechnologyAgent; суммы contribution нормированы к draft-выходу EVD-0005; проверить взвешиванием</v>
      </c>
      <c r="V66" s="38" t="str">
        <v>2026-08-03</v>
      </c>
      <c r="W66" s="38" t="str">
        <v>Chef</v>
      </c>
      <c r="X66" s="38" t="str">
        <v>GAP-004;GAP-005</v>
      </c>
      <c r="Y66" s="39" t="str">
        <v>Не является утверждённой нормой; gross/net/output зафиксировать в контрольной серии</v>
      </c>
    </row>
    <row r="67">
      <c r="A67" s="37" t="str">
        <v>RCP-0063</v>
      </c>
      <c r="B67" s="38" t="str">
        <v>VKM-006</v>
      </c>
      <c r="C67" s="38" t="str">
        <v>VKC-006</v>
      </c>
      <c r="D67" s="38" t="str">
        <v>VKT-006</v>
      </c>
      <c r="E67" s="38" t="str">
        <v>0.1.0-DRAFT</v>
      </c>
      <c r="F67" s="38" t="str">
        <v>ING-005</v>
      </c>
      <c r="G67" s="38" t="str">
        <v>Масло оливковое</v>
      </c>
      <c r="H67" s="38" t="str">
        <v>RAW_OR_FLATTENED_COMPONENT</v>
      </c>
      <c r="I67" s="38" t="str">
        <v>Тесто</v>
      </c>
      <c r="J67" s="38" t="str">
        <v>VSF-004</v>
      </c>
      <c r="K67" s="38" t="n">
        <v>3</v>
      </c>
      <c r="L67" s="38" t="str">
        <v>г</v>
      </c>
      <c r="M67" s="38" t="n">
        <v>3</v>
      </c>
      <c r="N67" s="38" t="str">
        <v>г</v>
      </c>
      <c r="O67" s="38" t="n">
        <v>3</v>
      </c>
      <c r="P67" s="38" t="str">
        <v>г</v>
      </c>
      <c r="Q67" s="38" t="n">
        <v>0</v>
      </c>
      <c r="R67" s="38" t="n">
        <v>0</v>
      </c>
      <c r="S67" s="38" t="str">
        <v>ASSUMPTION</v>
      </c>
      <c r="T67" s="38" t="str">
        <v>EVD-0007;EVD-0008</v>
      </c>
      <c r="U67" s="38" t="str">
        <v>Проектная декомпозиция ChefTechnologyAgent; суммы contribution нормированы к draft-выходу EVD-0005; проверить взвешиванием</v>
      </c>
      <c r="V67" s="38" t="str">
        <v>2026-08-03</v>
      </c>
      <c r="W67" s="38" t="str">
        <v>Chef</v>
      </c>
      <c r="X67" s="38" t="str">
        <v>GAP-004;GAP-005</v>
      </c>
      <c r="Y67" s="39" t="str">
        <v>Не является утверждённой нормой; gross/net/output зафиксировать в контрольной серии</v>
      </c>
    </row>
    <row r="68">
      <c r="A68" s="37" t="str">
        <v>RCP-0064</v>
      </c>
      <c r="B68" s="38" t="str">
        <v>VKM-006</v>
      </c>
      <c r="C68" s="38" t="str">
        <v>VKC-006</v>
      </c>
      <c r="D68" s="38" t="str">
        <v>VKT-006</v>
      </c>
      <c r="E68" s="38" t="str">
        <v>0.1.0-DRAFT</v>
      </c>
      <c r="F68" s="38" t="str">
        <v>ING-003</v>
      </c>
      <c r="G68" s="38" t="str">
        <v>Дрожжи хлебопекарные</v>
      </c>
      <c r="H68" s="38" t="str">
        <v>RAW_OR_FLATTENED_COMPONENT</v>
      </c>
      <c r="I68" s="38" t="str">
        <v>Тесто</v>
      </c>
      <c r="J68" s="38" t="str">
        <v>VSF-004</v>
      </c>
      <c r="K68" s="38" t="n">
        <v>1</v>
      </c>
      <c r="L68" s="38" t="str">
        <v>г</v>
      </c>
      <c r="M68" s="38" t="n">
        <v>1</v>
      </c>
      <c r="N68" s="38" t="str">
        <v>г</v>
      </c>
      <c r="O68" s="38" t="n">
        <v>1</v>
      </c>
      <c r="P68" s="38" t="str">
        <v>г</v>
      </c>
      <c r="Q68" s="38" t="n">
        <v>0</v>
      </c>
      <c r="R68" s="38" t="n">
        <v>0</v>
      </c>
      <c r="S68" s="38" t="str">
        <v>ASSUMPTION</v>
      </c>
      <c r="T68" s="38" t="str">
        <v>EVD-0007;EVD-0008</v>
      </c>
      <c r="U68" s="38" t="str">
        <v>Проектная декомпозиция ChefTechnologyAgent; суммы contribution нормированы к draft-выходу EVD-0005; проверить взвешиванием</v>
      </c>
      <c r="V68" s="38" t="str">
        <v>2026-08-03</v>
      </c>
      <c r="W68" s="38" t="str">
        <v>Chef</v>
      </c>
      <c r="X68" s="38" t="str">
        <v>GAP-004;GAP-005</v>
      </c>
      <c r="Y68" s="39" t="str">
        <v>Не является утверждённой нормой; gross/net/output зафиксировать в контрольной серии</v>
      </c>
    </row>
    <row r="69">
      <c r="A69" s="37" t="str">
        <v>RCP-0065</v>
      </c>
      <c r="B69" s="38" t="str">
        <v>VKM-006</v>
      </c>
      <c r="C69" s="38" t="str">
        <v>VKC-006</v>
      </c>
      <c r="D69" s="38" t="str">
        <v>VKT-006</v>
      </c>
      <c r="E69" s="38" t="str">
        <v>0.1.0-DRAFT</v>
      </c>
      <c r="F69" s="38" t="str">
        <v>ING-004</v>
      </c>
      <c r="G69" s="38" t="str">
        <v>Соль пищевая</v>
      </c>
      <c r="H69" s="38" t="str">
        <v>RAW_OR_FLATTENED_COMPONENT</v>
      </c>
      <c r="I69" s="38" t="str">
        <v>Тесто</v>
      </c>
      <c r="J69" s="38" t="str">
        <v>VSF-004</v>
      </c>
      <c r="K69" s="38" t="n">
        <v>1</v>
      </c>
      <c r="L69" s="38" t="str">
        <v>г</v>
      </c>
      <c r="M69" s="38" t="n">
        <v>1</v>
      </c>
      <c r="N69" s="38" t="str">
        <v>г</v>
      </c>
      <c r="O69" s="38" t="n">
        <v>1</v>
      </c>
      <c r="P69" s="38" t="str">
        <v>г</v>
      </c>
      <c r="Q69" s="38" t="n">
        <v>0</v>
      </c>
      <c r="R69" s="38" t="n">
        <v>0</v>
      </c>
      <c r="S69" s="38" t="str">
        <v>ASSUMPTION</v>
      </c>
      <c r="T69" s="38" t="str">
        <v>EVD-0007;EVD-0008</v>
      </c>
      <c r="U69" s="38" t="str">
        <v>Проектная декомпозиция ChefTechnologyAgent; суммы contribution нормированы к draft-выходу EVD-0005; проверить взвешиванием</v>
      </c>
      <c r="V69" s="38" t="str">
        <v>2026-08-03</v>
      </c>
      <c r="W69" s="38" t="str">
        <v>Chef</v>
      </c>
      <c r="X69" s="38" t="str">
        <v>GAP-004;GAP-005</v>
      </c>
      <c r="Y69" s="39" t="str">
        <v>Не является утверждённой нормой; gross/net/output зафиксировать в контрольной серии</v>
      </c>
    </row>
    <row r="70">
      <c r="A70" s="37" t="str">
        <v>RCP-0066</v>
      </c>
      <c r="B70" s="38" t="str">
        <v>VKM-007</v>
      </c>
      <c r="C70" s="38" t="str">
        <v>VKC-007</v>
      </c>
      <c r="D70" s="38" t="str">
        <v>VKT-007</v>
      </c>
      <c r="E70" s="38" t="str">
        <v>0.1.0-DRAFT</v>
      </c>
      <c r="F70" s="38" t="str">
        <v>ING-020</v>
      </c>
      <c r="G70" s="38" t="str">
        <v>Мука ржаная</v>
      </c>
      <c r="H70" s="38" t="str">
        <v>RAW_OR_FLATTENED_COMPONENT</v>
      </c>
      <c r="I70" s="38" t="str">
        <v>Тесто</v>
      </c>
      <c r="J70" s="38" t="str">
        <v>VSF-005</v>
      </c>
      <c r="K70" s="38" t="n">
        <v>150</v>
      </c>
      <c r="L70" s="38" t="str">
        <v>г</v>
      </c>
      <c r="M70" s="38" t="n">
        <v>150</v>
      </c>
      <c r="N70" s="38" t="str">
        <v>г</v>
      </c>
      <c r="O70" s="38" t="n">
        <v>140</v>
      </c>
      <c r="P70" s="38" t="str">
        <v>г</v>
      </c>
      <c r="Q70" s="38" t="n">
        <v>0</v>
      </c>
      <c r="R70" s="38" t="n">
        <v>10</v>
      </c>
      <c r="S70" s="38" t="str">
        <v>ASSUMPTION</v>
      </c>
      <c r="T70" s="38" t="str">
        <v>EVD-0007;EVD-0008</v>
      </c>
      <c r="U70" s="38" t="str">
        <v>Проектная декомпозиция ChefTechnologyAgent; суммы contribution нормированы к draft-выходу EVD-0005; проверить взвешиванием</v>
      </c>
      <c r="V70" s="38" t="str">
        <v>2026-08-03</v>
      </c>
      <c r="W70" s="38" t="str">
        <v>Chef</v>
      </c>
      <c r="X70" s="38" t="str">
        <v>GAP-004;GAP-005</v>
      </c>
      <c r="Y70" s="39" t="str">
        <v>Не является утверждённой нормой; gross/net/output зафиксировать в контрольной серии</v>
      </c>
    </row>
    <row r="71">
      <c r="A71" s="37" t="str">
        <v>RCP-0067</v>
      </c>
      <c r="B71" s="38" t="str">
        <v>VKM-007</v>
      </c>
      <c r="C71" s="38" t="str">
        <v>VKC-007</v>
      </c>
      <c r="D71" s="38" t="str">
        <v>VKT-007</v>
      </c>
      <c r="E71" s="38" t="str">
        <v>0.1.0-DRAFT</v>
      </c>
      <c r="F71" s="38" t="str">
        <v>ING-001</v>
      </c>
      <c r="G71" s="38" t="str">
        <v>Мука пшеничная хлебопекарная</v>
      </c>
      <c r="H71" s="38" t="str">
        <v>RAW_OR_FLATTENED_COMPONENT</v>
      </c>
      <c r="I71" s="38" t="str">
        <v>Тесто</v>
      </c>
      <c r="J71" s="38" t="str">
        <v>VSF-005</v>
      </c>
      <c r="K71" s="38" t="n">
        <v>75</v>
      </c>
      <c r="L71" s="38" t="str">
        <v>г</v>
      </c>
      <c r="M71" s="38" t="n">
        <v>75</v>
      </c>
      <c r="N71" s="38" t="str">
        <v>г</v>
      </c>
      <c r="O71" s="38" t="n">
        <v>70</v>
      </c>
      <c r="P71" s="38" t="str">
        <v>г</v>
      </c>
      <c r="Q71" s="38" t="n">
        <v>0</v>
      </c>
      <c r="R71" s="38" t="n">
        <v>5</v>
      </c>
      <c r="S71" s="38" t="str">
        <v>ASSUMPTION</v>
      </c>
      <c r="T71" s="38" t="str">
        <v>EVD-0007;EVD-0008</v>
      </c>
      <c r="U71" s="38" t="str">
        <v>Проектная декомпозиция ChefTechnologyAgent; суммы contribution нормированы к draft-выходу EVD-0005; проверить взвешиванием</v>
      </c>
      <c r="V71" s="38" t="str">
        <v>2026-08-03</v>
      </c>
      <c r="W71" s="38" t="str">
        <v>Chef</v>
      </c>
      <c r="X71" s="38" t="str">
        <v>GAP-004;GAP-005</v>
      </c>
      <c r="Y71" s="39" t="str">
        <v>Не является утверждённой нормой; gross/net/output зафиксировать в контрольной серии</v>
      </c>
    </row>
    <row r="72">
      <c r="A72" s="37" t="str">
        <v>RCP-0068</v>
      </c>
      <c r="B72" s="38" t="str">
        <v>VKM-007</v>
      </c>
      <c r="C72" s="38" t="str">
        <v>VKC-007</v>
      </c>
      <c r="D72" s="38" t="str">
        <v>VKT-007</v>
      </c>
      <c r="E72" s="38" t="str">
        <v>0.1.0-DRAFT</v>
      </c>
      <c r="F72" s="38" t="str">
        <v>ING-002</v>
      </c>
      <c r="G72" s="38" t="str">
        <v>Вода питьевая</v>
      </c>
      <c r="H72" s="38" t="str">
        <v>RAW_OR_FLATTENED_COMPONENT</v>
      </c>
      <c r="I72" s="38" t="str">
        <v>Тесто</v>
      </c>
      <c r="J72" s="38" t="str">
        <v>VSF-005</v>
      </c>
      <c r="K72" s="38" t="n">
        <v>125</v>
      </c>
      <c r="L72" s="38" t="str">
        <v>г</v>
      </c>
      <c r="M72" s="38" t="n">
        <v>125</v>
      </c>
      <c r="N72" s="38" t="str">
        <v>г</v>
      </c>
      <c r="O72" s="38" t="n">
        <v>95</v>
      </c>
      <c r="P72" s="38" t="str">
        <v>г</v>
      </c>
      <c r="Q72" s="38" t="n">
        <v>0</v>
      </c>
      <c r="R72" s="38" t="n">
        <v>30</v>
      </c>
      <c r="S72" s="38" t="str">
        <v>ASSUMPTION</v>
      </c>
      <c r="T72" s="38" t="str">
        <v>EVD-0007;EVD-0008</v>
      </c>
      <c r="U72" s="38" t="str">
        <v>Проектная декомпозиция ChefTechnologyAgent; суммы contribution нормированы к draft-выходу EVD-0005; проверить взвешиванием</v>
      </c>
      <c r="V72" s="38" t="str">
        <v>2026-08-03</v>
      </c>
      <c r="W72" s="38" t="str">
        <v>Chef</v>
      </c>
      <c r="X72" s="38" t="str">
        <v>GAP-004;GAP-005</v>
      </c>
      <c r="Y72" s="39" t="str">
        <v>Не является утверждённой нормой; gross/net/output зафиксировать в контрольной серии</v>
      </c>
    </row>
    <row r="73">
      <c r="A73" s="37" t="str">
        <v>RCP-0069</v>
      </c>
      <c r="B73" s="38" t="str">
        <v>VKM-007</v>
      </c>
      <c r="C73" s="38" t="str">
        <v>VKC-007</v>
      </c>
      <c r="D73" s="38" t="str">
        <v>VKT-007</v>
      </c>
      <c r="E73" s="38" t="str">
        <v>0.1.0-DRAFT</v>
      </c>
      <c r="F73" s="38" t="str">
        <v>ING-021</v>
      </c>
      <c r="G73" s="38" t="str">
        <v>Солод ржаной</v>
      </c>
      <c r="H73" s="38" t="str">
        <v>RAW_OR_FLATTENED_COMPONENT</v>
      </c>
      <c r="I73" s="38" t="str">
        <v>Заварка</v>
      </c>
      <c r="J73" s="38" t="str">
        <v>VSF-005</v>
      </c>
      <c r="K73" s="38" t="n">
        <v>20</v>
      </c>
      <c r="L73" s="38" t="str">
        <v>г</v>
      </c>
      <c r="M73" s="38" t="n">
        <v>20</v>
      </c>
      <c r="N73" s="38" t="str">
        <v>г</v>
      </c>
      <c r="O73" s="38" t="n">
        <v>20</v>
      </c>
      <c r="P73" s="38" t="str">
        <v>г</v>
      </c>
      <c r="Q73" s="38" t="n">
        <v>0</v>
      </c>
      <c r="R73" s="38" t="n">
        <v>0</v>
      </c>
      <c r="S73" s="38" t="str">
        <v>ASSUMPTION</v>
      </c>
      <c r="T73" s="38" t="str">
        <v>EVD-0007;EVD-0008</v>
      </c>
      <c r="U73" s="38" t="str">
        <v>Проектная декомпозиция ChefTechnologyAgent; суммы contribution нормированы к draft-выходу EVD-0005; проверить взвешиванием</v>
      </c>
      <c r="V73" s="38" t="str">
        <v>2026-08-03</v>
      </c>
      <c r="W73" s="38" t="str">
        <v>Chef</v>
      </c>
      <c r="X73" s="38" t="str">
        <v>GAP-004;GAP-005</v>
      </c>
      <c r="Y73" s="39" t="str">
        <v>Не является утверждённой нормой; gross/net/output зафиксировать в контрольной серии</v>
      </c>
    </row>
    <row r="74">
      <c r="A74" s="37" t="str">
        <v>RCP-0070</v>
      </c>
      <c r="B74" s="38" t="str">
        <v>VKM-007</v>
      </c>
      <c r="C74" s="38" t="str">
        <v>VKC-007</v>
      </c>
      <c r="D74" s="38" t="str">
        <v>VKT-007</v>
      </c>
      <c r="E74" s="38" t="str">
        <v>0.1.0-DRAFT</v>
      </c>
      <c r="F74" s="38" t="str">
        <v>ING-022</v>
      </c>
      <c r="G74" s="38" t="str">
        <v>Патока</v>
      </c>
      <c r="H74" s="38" t="str">
        <v>RAW_OR_FLATTENED_COMPONENT</v>
      </c>
      <c r="I74" s="38" t="str">
        <v>Тесто</v>
      </c>
      <c r="J74" s="38" t="str">
        <v>VSF-005</v>
      </c>
      <c r="K74" s="38" t="n">
        <v>10</v>
      </c>
      <c r="L74" s="38" t="str">
        <v>г</v>
      </c>
      <c r="M74" s="38" t="n">
        <v>10</v>
      </c>
      <c r="N74" s="38" t="str">
        <v>г</v>
      </c>
      <c r="O74" s="38" t="n">
        <v>10</v>
      </c>
      <c r="P74" s="38" t="str">
        <v>г</v>
      </c>
      <c r="Q74" s="38" t="n">
        <v>0</v>
      </c>
      <c r="R74" s="38" t="n">
        <v>0</v>
      </c>
      <c r="S74" s="38" t="str">
        <v>ASSUMPTION</v>
      </c>
      <c r="T74" s="38" t="str">
        <v>EVD-0007;EVD-0008</v>
      </c>
      <c r="U74" s="38" t="str">
        <v>Проектная декомпозиция ChefTechnologyAgent; суммы contribution нормированы к draft-выходу EVD-0005; проверить взвешиванием</v>
      </c>
      <c r="V74" s="38" t="str">
        <v>2026-08-03</v>
      </c>
      <c r="W74" s="38" t="str">
        <v>Chef</v>
      </c>
      <c r="X74" s="38" t="str">
        <v>GAP-004;GAP-005</v>
      </c>
      <c r="Y74" s="39" t="str">
        <v>Не является утверждённой нормой; gross/net/output зафиксировать в контрольной серии</v>
      </c>
    </row>
    <row r="75">
      <c r="A75" s="37" t="str">
        <v>RCP-0071</v>
      </c>
      <c r="B75" s="38" t="str">
        <v>VKM-007</v>
      </c>
      <c r="C75" s="38" t="str">
        <v>VKC-007</v>
      </c>
      <c r="D75" s="38" t="str">
        <v>VKT-007</v>
      </c>
      <c r="E75" s="38" t="str">
        <v>0.1.0-DRAFT</v>
      </c>
      <c r="F75" s="38" t="str">
        <v>ING-023</v>
      </c>
      <c r="G75" s="38" t="str">
        <v>Кориандр</v>
      </c>
      <c r="H75" s="38" t="str">
        <v>RAW_OR_FLATTENED_COMPONENT</v>
      </c>
      <c r="I75" s="38" t="str">
        <v>Тесто/посыпка</v>
      </c>
      <c r="J75" s="38" t="str">
        <v>VSF-005</v>
      </c>
      <c r="K75" s="38" t="n">
        <v>4</v>
      </c>
      <c r="L75" s="38" t="str">
        <v>г</v>
      </c>
      <c r="M75" s="38" t="n">
        <v>4</v>
      </c>
      <c r="N75" s="38" t="str">
        <v>г</v>
      </c>
      <c r="O75" s="38" t="n">
        <v>4</v>
      </c>
      <c r="P75" s="38" t="str">
        <v>г</v>
      </c>
      <c r="Q75" s="38" t="n">
        <v>0</v>
      </c>
      <c r="R75" s="38" t="n">
        <v>0</v>
      </c>
      <c r="S75" s="38" t="str">
        <v>ASSUMPTION</v>
      </c>
      <c r="T75" s="38" t="str">
        <v>EVD-0007;EVD-0008</v>
      </c>
      <c r="U75" s="38" t="str">
        <v>Проектная декомпозиция ChefTechnologyAgent; суммы contribution нормированы к draft-выходу EVD-0005; проверить взвешиванием</v>
      </c>
      <c r="V75" s="38" t="str">
        <v>2026-08-03</v>
      </c>
      <c r="W75" s="38" t="str">
        <v>Chef</v>
      </c>
      <c r="X75" s="38" t="str">
        <v>GAP-004;GAP-005</v>
      </c>
      <c r="Y75" s="39" t="str">
        <v>Не является утверждённой нормой; gross/net/output зафиксировать в контрольной серии</v>
      </c>
    </row>
    <row r="76">
      <c r="A76" s="37" t="str">
        <v>RCP-0072</v>
      </c>
      <c r="B76" s="38" t="str">
        <v>VKM-007</v>
      </c>
      <c r="C76" s="38" t="str">
        <v>VKC-007</v>
      </c>
      <c r="D76" s="38" t="str">
        <v>VKT-007</v>
      </c>
      <c r="E76" s="38" t="str">
        <v>0.1.0-DRAFT</v>
      </c>
      <c r="F76" s="38" t="str">
        <v>ING-003</v>
      </c>
      <c r="G76" s="38" t="str">
        <v>Дрожжи хлебопекарные</v>
      </c>
      <c r="H76" s="38" t="str">
        <v>RAW_OR_FLATTENED_COMPONENT</v>
      </c>
      <c r="I76" s="38" t="str">
        <v>Тесто</v>
      </c>
      <c r="J76" s="38" t="str">
        <v>VSF-005</v>
      </c>
      <c r="K76" s="38" t="n">
        <v>3</v>
      </c>
      <c r="L76" s="38" t="str">
        <v>г</v>
      </c>
      <c r="M76" s="38" t="n">
        <v>3</v>
      </c>
      <c r="N76" s="38" t="str">
        <v>г</v>
      </c>
      <c r="O76" s="38" t="n">
        <v>3</v>
      </c>
      <c r="P76" s="38" t="str">
        <v>г</v>
      </c>
      <c r="Q76" s="38" t="n">
        <v>0</v>
      </c>
      <c r="R76" s="38" t="n">
        <v>0</v>
      </c>
      <c r="S76" s="38" t="str">
        <v>ASSUMPTION</v>
      </c>
      <c r="T76" s="38" t="str">
        <v>EVD-0007;EVD-0008</v>
      </c>
      <c r="U76" s="38" t="str">
        <v>Проектная декомпозиция ChefTechnologyAgent; суммы contribution нормированы к draft-выходу EVD-0005; проверить взвешиванием</v>
      </c>
      <c r="V76" s="38" t="str">
        <v>2026-08-03</v>
      </c>
      <c r="W76" s="38" t="str">
        <v>Chef</v>
      </c>
      <c r="X76" s="38" t="str">
        <v>GAP-004;GAP-005</v>
      </c>
      <c r="Y76" s="39" t="str">
        <v>Не является утверждённой нормой; gross/net/output зафиксировать в контрольной серии</v>
      </c>
    </row>
    <row r="77">
      <c r="A77" s="37" t="str">
        <v>RCP-0073</v>
      </c>
      <c r="B77" s="38" t="str">
        <v>VKM-007</v>
      </c>
      <c r="C77" s="38" t="str">
        <v>VKC-007</v>
      </c>
      <c r="D77" s="38" t="str">
        <v>VKT-007</v>
      </c>
      <c r="E77" s="38" t="str">
        <v>0.1.0-DRAFT</v>
      </c>
      <c r="F77" s="38" t="str">
        <v>ING-004</v>
      </c>
      <c r="G77" s="38" t="str">
        <v>Соль пищевая</v>
      </c>
      <c r="H77" s="38" t="str">
        <v>RAW_OR_FLATTENED_COMPONENT</v>
      </c>
      <c r="I77" s="38" t="str">
        <v>Тесто</v>
      </c>
      <c r="J77" s="38" t="str">
        <v>VSF-005</v>
      </c>
      <c r="K77" s="38" t="n">
        <v>5</v>
      </c>
      <c r="L77" s="38" t="str">
        <v>г</v>
      </c>
      <c r="M77" s="38" t="n">
        <v>5</v>
      </c>
      <c r="N77" s="38" t="str">
        <v>г</v>
      </c>
      <c r="O77" s="38" t="n">
        <v>5</v>
      </c>
      <c r="P77" s="38" t="str">
        <v>г</v>
      </c>
      <c r="Q77" s="38" t="n">
        <v>0</v>
      </c>
      <c r="R77" s="38" t="n">
        <v>0</v>
      </c>
      <c r="S77" s="38" t="str">
        <v>ASSUMPTION</v>
      </c>
      <c r="T77" s="38" t="str">
        <v>EVD-0007;EVD-0008</v>
      </c>
      <c r="U77" s="38" t="str">
        <v>Проектная декомпозиция ChefTechnologyAgent; суммы contribution нормированы к draft-выходу EVD-0005; проверить взвешиванием</v>
      </c>
      <c r="V77" s="38" t="str">
        <v>2026-08-03</v>
      </c>
      <c r="W77" s="38" t="str">
        <v>Chef</v>
      </c>
      <c r="X77" s="38" t="str">
        <v>GAP-004;GAP-005</v>
      </c>
      <c r="Y77" s="39" t="str">
        <v>Не является утверждённой нормой; gross/net/output зафиксировать в контрольной серии</v>
      </c>
    </row>
    <row r="78">
      <c r="A78" s="37" t="str">
        <v>RCP-0074</v>
      </c>
      <c r="B78" s="38" t="str">
        <v>VKM-007</v>
      </c>
      <c r="C78" s="38" t="str">
        <v>VKC-007</v>
      </c>
      <c r="D78" s="38" t="str">
        <v>VKT-007</v>
      </c>
      <c r="E78" s="38" t="str">
        <v>0.1.0-DRAFT</v>
      </c>
      <c r="F78" s="38" t="str">
        <v>ING-024</v>
      </c>
      <c r="G78" s="38" t="str">
        <v>Масло растительное</v>
      </c>
      <c r="H78" s="38" t="str">
        <v>RAW_OR_FLATTENED_COMPONENT</v>
      </c>
      <c r="I78" s="38" t="str">
        <v>Форма</v>
      </c>
      <c r="J78" s="38" t="str">
        <v>VSF-005</v>
      </c>
      <c r="K78" s="38" t="n">
        <v>3</v>
      </c>
      <c r="L78" s="38" t="str">
        <v>г</v>
      </c>
      <c r="M78" s="38" t="n">
        <v>3</v>
      </c>
      <c r="N78" s="38" t="str">
        <v>г</v>
      </c>
      <c r="O78" s="38" t="n">
        <v>3</v>
      </c>
      <c r="P78" s="38" t="str">
        <v>г</v>
      </c>
      <c r="Q78" s="38" t="n">
        <v>0</v>
      </c>
      <c r="R78" s="38" t="n">
        <v>0</v>
      </c>
      <c r="S78" s="38" t="str">
        <v>ASSUMPTION</v>
      </c>
      <c r="T78" s="38" t="str">
        <v>EVD-0007;EVD-0008</v>
      </c>
      <c r="U78" s="38" t="str">
        <v>Проектная декомпозиция ChefTechnologyAgent; суммы contribution нормированы к draft-выходу EVD-0005; проверить взвешиванием</v>
      </c>
      <c r="V78" s="38" t="str">
        <v>2026-08-03</v>
      </c>
      <c r="W78" s="38" t="str">
        <v>Chef</v>
      </c>
      <c r="X78" s="38" t="str">
        <v>GAP-004;GAP-005</v>
      </c>
      <c r="Y78" s="39" t="str">
        <v>Не является утверждённой нормой; gross/net/output зафиксировать в контрольной серии</v>
      </c>
    </row>
    <row r="79">
      <c r="A79" s="37" t="str">
        <v>RCP-0075</v>
      </c>
      <c r="B79" s="38" t="str">
        <v>VKM-008</v>
      </c>
      <c r="C79" s="38" t="str">
        <v>VKC-008</v>
      </c>
      <c r="D79" s="38" t="str">
        <v>VKT-008</v>
      </c>
      <c r="E79" s="38" t="str">
        <v>0.1.0-DRAFT</v>
      </c>
      <c r="F79" s="38" t="str">
        <v>ING-001</v>
      </c>
      <c r="G79" s="38" t="str">
        <v>Мука пшеничная хлебопекарная</v>
      </c>
      <c r="H79" s="38" t="str">
        <v>RAW_OR_FLATTENED_COMPONENT</v>
      </c>
      <c r="I79" s="38" t="str">
        <v>Тесто</v>
      </c>
      <c r="J79" s="38" t="str">
        <v>VSF-006</v>
      </c>
      <c r="K79" s="38" t="n">
        <v>38</v>
      </c>
      <c r="L79" s="38" t="str">
        <v>г</v>
      </c>
      <c r="M79" s="38" t="n">
        <v>38</v>
      </c>
      <c r="N79" s="38" t="str">
        <v>г</v>
      </c>
      <c r="O79" s="38" t="n">
        <v>35</v>
      </c>
      <c r="P79" s="38" t="str">
        <v>г</v>
      </c>
      <c r="Q79" s="38" t="n">
        <v>0</v>
      </c>
      <c r="R79" s="38" t="n">
        <v>3</v>
      </c>
      <c r="S79" s="38" t="str">
        <v>ASSUMPTION</v>
      </c>
      <c r="T79" s="38" t="str">
        <v>EVD-0007;EVD-0008</v>
      </c>
      <c r="U79" s="38" t="str">
        <v>Проектная декомпозиция ChefTechnologyAgent; суммы contribution нормированы к draft-выходу EVD-0005; проверить взвешиванием</v>
      </c>
      <c r="V79" s="38" t="str">
        <v>2026-08-03</v>
      </c>
      <c r="W79" s="38" t="str">
        <v>Chef</v>
      </c>
      <c r="X79" s="38" t="str">
        <v>GAP-004;GAP-005</v>
      </c>
      <c r="Y79" s="39" t="str">
        <v>Не является утверждённой нормой; gross/net/output зафиксировать в контрольной серии</v>
      </c>
    </row>
    <row r="80">
      <c r="A80" s="37" t="str">
        <v>RCP-0076</v>
      </c>
      <c r="B80" s="38" t="str">
        <v>VKM-008</v>
      </c>
      <c r="C80" s="38" t="str">
        <v>VKC-008</v>
      </c>
      <c r="D80" s="38" t="str">
        <v>VKT-008</v>
      </c>
      <c r="E80" s="38" t="str">
        <v>0.1.0-DRAFT</v>
      </c>
      <c r="F80" s="38" t="str">
        <v>ING-025</v>
      </c>
      <c r="G80" s="38" t="str">
        <v>Молоко</v>
      </c>
      <c r="H80" s="38" t="str">
        <v>RAW_OR_FLATTENED_COMPONENT</v>
      </c>
      <c r="I80" s="38" t="str">
        <v>Тесто</v>
      </c>
      <c r="J80" s="38" t="str">
        <v>VSF-006</v>
      </c>
      <c r="K80" s="38" t="n">
        <v>13</v>
      </c>
      <c r="L80" s="38" t="str">
        <v>г</v>
      </c>
      <c r="M80" s="38" t="n">
        <v>13</v>
      </c>
      <c r="N80" s="38" t="str">
        <v>г</v>
      </c>
      <c r="O80" s="38" t="n">
        <v>12</v>
      </c>
      <c r="P80" s="38" t="str">
        <v>г</v>
      </c>
      <c r="Q80" s="38" t="n">
        <v>0</v>
      </c>
      <c r="R80" s="38" t="n">
        <v>1</v>
      </c>
      <c r="S80" s="38" t="str">
        <v>ASSUMPTION</v>
      </c>
      <c r="T80" s="38" t="str">
        <v>EVD-0007;EVD-0008</v>
      </c>
      <c r="U80" s="38" t="str">
        <v>Проектная декомпозиция ChefTechnologyAgent; суммы contribution нормированы к draft-выходу EVD-0005; проверить взвешиванием</v>
      </c>
      <c r="V80" s="38" t="str">
        <v>2026-08-03</v>
      </c>
      <c r="W80" s="38" t="str">
        <v>Chef</v>
      </c>
      <c r="X80" s="38" t="str">
        <v>GAP-004;GAP-005</v>
      </c>
      <c r="Y80" s="39" t="str">
        <v>Не является утверждённой нормой; gross/net/output зафиксировать в контрольной серии</v>
      </c>
    </row>
    <row r="81">
      <c r="A81" s="37" t="str">
        <v>RCP-0077</v>
      </c>
      <c r="B81" s="38" t="str">
        <v>VKM-008</v>
      </c>
      <c r="C81" s="38" t="str">
        <v>VKC-008</v>
      </c>
      <c r="D81" s="38" t="str">
        <v>VKT-008</v>
      </c>
      <c r="E81" s="38" t="str">
        <v>0.1.0-DRAFT</v>
      </c>
      <c r="F81" s="38" t="str">
        <v>ING-026</v>
      </c>
      <c r="G81" s="38" t="str">
        <v>Яйцо или меланж</v>
      </c>
      <c r="H81" s="38" t="str">
        <v>RAW_OR_FLATTENED_COMPONENT</v>
      </c>
      <c r="I81" s="38" t="str">
        <v>Тесто</v>
      </c>
      <c r="J81" s="38" t="str">
        <v>VSF-006</v>
      </c>
      <c r="K81" s="38" t="n">
        <v>16</v>
      </c>
      <c r="L81" s="38" t="str">
        <v>г</v>
      </c>
      <c r="M81" s="38" t="n">
        <v>16</v>
      </c>
      <c r="N81" s="38" t="str">
        <v>г</v>
      </c>
      <c r="O81" s="38" t="n">
        <v>15</v>
      </c>
      <c r="P81" s="38" t="str">
        <v>г</v>
      </c>
      <c r="Q81" s="38" t="n">
        <v>0</v>
      </c>
      <c r="R81" s="38" t="n">
        <v>1</v>
      </c>
      <c r="S81" s="38" t="str">
        <v>ASSUMPTION</v>
      </c>
      <c r="T81" s="38" t="str">
        <v>EVD-0007;EVD-0008</v>
      </c>
      <c r="U81" s="38" t="str">
        <v>Проектная декомпозиция ChefTechnologyAgent; суммы contribution нормированы к draft-выходу EVD-0005; проверить взвешиванием</v>
      </c>
      <c r="V81" s="38" t="str">
        <v>2026-08-03</v>
      </c>
      <c r="W81" s="38" t="str">
        <v>Chef</v>
      </c>
      <c r="X81" s="38" t="str">
        <v>GAP-004;GAP-005</v>
      </c>
      <c r="Y81" s="39" t="str">
        <v>Не является утверждённой нормой; gross/net/output зафиксировать в контрольной серии</v>
      </c>
    </row>
    <row r="82">
      <c r="A82" s="37" t="str">
        <v>RCP-0078</v>
      </c>
      <c r="B82" s="38" t="str">
        <v>VKM-008</v>
      </c>
      <c r="C82" s="38" t="str">
        <v>VKC-008</v>
      </c>
      <c r="D82" s="38" t="str">
        <v>VKT-008</v>
      </c>
      <c r="E82" s="38" t="str">
        <v>0.1.0-DRAFT</v>
      </c>
      <c r="F82" s="38" t="str">
        <v>ING-027</v>
      </c>
      <c r="G82" s="38" t="str">
        <v>Масло сливочное</v>
      </c>
      <c r="H82" s="38" t="str">
        <v>RAW_OR_FLATTENED_COMPONENT</v>
      </c>
      <c r="I82" s="38" t="str">
        <v>Тесто</v>
      </c>
      <c r="J82" s="38" t="str">
        <v>VSF-006</v>
      </c>
      <c r="K82" s="38" t="n">
        <v>15</v>
      </c>
      <c r="L82" s="38" t="str">
        <v>г</v>
      </c>
      <c r="M82" s="38" t="n">
        <v>15</v>
      </c>
      <c r="N82" s="38" t="str">
        <v>г</v>
      </c>
      <c r="O82" s="38" t="n">
        <v>15</v>
      </c>
      <c r="P82" s="38" t="str">
        <v>г</v>
      </c>
      <c r="Q82" s="38" t="n">
        <v>0</v>
      </c>
      <c r="R82" s="38" t="n">
        <v>0</v>
      </c>
      <c r="S82" s="38" t="str">
        <v>ASSUMPTION</v>
      </c>
      <c r="T82" s="38" t="str">
        <v>EVD-0007;EVD-0008</v>
      </c>
      <c r="U82" s="38" t="str">
        <v>Проектная декомпозиция ChefTechnologyAgent; суммы contribution нормированы к draft-выходу EVD-0005; проверить взвешиванием</v>
      </c>
      <c r="V82" s="38" t="str">
        <v>2026-08-03</v>
      </c>
      <c r="W82" s="38" t="str">
        <v>Chef</v>
      </c>
      <c r="X82" s="38" t="str">
        <v>GAP-004;GAP-005</v>
      </c>
      <c r="Y82" s="39" t="str">
        <v>Не является утверждённой нормой; gross/net/output зафиксировать в контрольной серии</v>
      </c>
    </row>
    <row r="83">
      <c r="A83" s="37" t="str">
        <v>RCP-0079</v>
      </c>
      <c r="B83" s="38" t="str">
        <v>VKM-008</v>
      </c>
      <c r="C83" s="38" t="str">
        <v>VKC-008</v>
      </c>
      <c r="D83" s="38" t="str">
        <v>VKT-008</v>
      </c>
      <c r="E83" s="38" t="str">
        <v>0.1.0-DRAFT</v>
      </c>
      <c r="F83" s="38" t="str">
        <v>ING-028</v>
      </c>
      <c r="G83" s="38" t="str">
        <v>Сахар</v>
      </c>
      <c r="H83" s="38" t="str">
        <v>RAW_OR_FLATTENED_COMPONENT</v>
      </c>
      <c r="I83" s="38" t="str">
        <v>Тесто</v>
      </c>
      <c r="J83" s="38" t="str">
        <v>VSF-006</v>
      </c>
      <c r="K83" s="38" t="n">
        <v>5</v>
      </c>
      <c r="L83" s="38" t="str">
        <v>г</v>
      </c>
      <c r="M83" s="38" t="n">
        <v>5</v>
      </c>
      <c r="N83" s="38" t="str">
        <v>г</v>
      </c>
      <c r="O83" s="38" t="n">
        <v>5</v>
      </c>
      <c r="P83" s="38" t="str">
        <v>г</v>
      </c>
      <c r="Q83" s="38" t="n">
        <v>0</v>
      </c>
      <c r="R83" s="38" t="n">
        <v>0</v>
      </c>
      <c r="S83" s="38" t="str">
        <v>ASSUMPTION</v>
      </c>
      <c r="T83" s="38" t="str">
        <v>EVD-0007;EVD-0008</v>
      </c>
      <c r="U83" s="38" t="str">
        <v>Проектная декомпозиция ChefTechnologyAgent; суммы contribution нормированы к draft-выходу EVD-0005; проверить взвешиванием</v>
      </c>
      <c r="V83" s="38" t="str">
        <v>2026-08-03</v>
      </c>
      <c r="W83" s="38" t="str">
        <v>Chef</v>
      </c>
      <c r="X83" s="38" t="str">
        <v>GAP-004;GAP-005</v>
      </c>
      <c r="Y83" s="39" t="str">
        <v>Не является утверждённой нормой; gross/net/output зафиксировать в контрольной серии</v>
      </c>
    </row>
    <row r="84">
      <c r="A84" s="37" t="str">
        <v>RCP-0080</v>
      </c>
      <c r="B84" s="38" t="str">
        <v>VKM-008</v>
      </c>
      <c r="C84" s="38" t="str">
        <v>VKC-008</v>
      </c>
      <c r="D84" s="38" t="str">
        <v>VKT-008</v>
      </c>
      <c r="E84" s="38" t="str">
        <v>0.1.0-DRAFT</v>
      </c>
      <c r="F84" s="38" t="str">
        <v>ING-003</v>
      </c>
      <c r="G84" s="38" t="str">
        <v>Дрожжи хлебопекарные</v>
      </c>
      <c r="H84" s="38" t="str">
        <v>RAW_OR_FLATTENED_COMPONENT</v>
      </c>
      <c r="I84" s="38" t="str">
        <v>Тесто</v>
      </c>
      <c r="J84" s="38" t="str">
        <v>VSF-006</v>
      </c>
      <c r="K84" s="38" t="n">
        <v>1</v>
      </c>
      <c r="L84" s="38" t="str">
        <v>г</v>
      </c>
      <c r="M84" s="38" t="n">
        <v>1</v>
      </c>
      <c r="N84" s="38" t="str">
        <v>г</v>
      </c>
      <c r="O84" s="38" t="n">
        <v>1</v>
      </c>
      <c r="P84" s="38" t="str">
        <v>г</v>
      </c>
      <c r="Q84" s="38" t="n">
        <v>0</v>
      </c>
      <c r="R84" s="38" t="n">
        <v>0</v>
      </c>
      <c r="S84" s="38" t="str">
        <v>ASSUMPTION</v>
      </c>
      <c r="T84" s="38" t="str">
        <v>EVD-0007;EVD-0008</v>
      </c>
      <c r="U84" s="38" t="str">
        <v>Проектная декомпозиция ChefTechnologyAgent; суммы contribution нормированы к draft-выходу EVD-0005; проверить взвешиванием</v>
      </c>
      <c r="V84" s="38" t="str">
        <v>2026-08-03</v>
      </c>
      <c r="W84" s="38" t="str">
        <v>Chef</v>
      </c>
      <c r="X84" s="38" t="str">
        <v>GAP-004;GAP-005</v>
      </c>
      <c r="Y84" s="39" t="str">
        <v>Не является утверждённой нормой; gross/net/output зафиксировать в контрольной серии</v>
      </c>
    </row>
    <row r="85">
      <c r="A85" s="37" t="str">
        <v>RCP-0081</v>
      </c>
      <c r="B85" s="38" t="str">
        <v>VKM-008</v>
      </c>
      <c r="C85" s="38" t="str">
        <v>VKC-008</v>
      </c>
      <c r="D85" s="38" t="str">
        <v>VKT-008</v>
      </c>
      <c r="E85" s="38" t="str">
        <v>0.1.0-DRAFT</v>
      </c>
      <c r="F85" s="38" t="str">
        <v>ING-004</v>
      </c>
      <c r="G85" s="38" t="str">
        <v>Соль пищевая</v>
      </c>
      <c r="H85" s="38" t="str">
        <v>RAW_OR_FLATTENED_COMPONENT</v>
      </c>
      <c r="I85" s="38" t="str">
        <v>Тесто</v>
      </c>
      <c r="J85" s="38" t="str">
        <v>VSF-006</v>
      </c>
      <c r="K85" s="38" t="n">
        <v>1</v>
      </c>
      <c r="L85" s="38" t="str">
        <v>г</v>
      </c>
      <c r="M85" s="38" t="n">
        <v>1</v>
      </c>
      <c r="N85" s="38" t="str">
        <v>г</v>
      </c>
      <c r="O85" s="38" t="n">
        <v>1</v>
      </c>
      <c r="P85" s="38" t="str">
        <v>г</v>
      </c>
      <c r="Q85" s="38" t="n">
        <v>0</v>
      </c>
      <c r="R85" s="38" t="n">
        <v>0</v>
      </c>
      <c r="S85" s="38" t="str">
        <v>ASSUMPTION</v>
      </c>
      <c r="T85" s="38" t="str">
        <v>EVD-0007;EVD-0008</v>
      </c>
      <c r="U85" s="38" t="str">
        <v>Проектная декомпозиция ChefTechnologyAgent; суммы contribution нормированы к draft-выходу EVD-0005; проверить взвешиванием</v>
      </c>
      <c r="V85" s="38" t="str">
        <v>2026-08-03</v>
      </c>
      <c r="W85" s="38" t="str">
        <v>Chef</v>
      </c>
      <c r="X85" s="38" t="str">
        <v>GAP-004;GAP-005</v>
      </c>
      <c r="Y85" s="39" t="str">
        <v>Не является утверждённой нормой; gross/net/output зафиксировать в контрольной серии</v>
      </c>
    </row>
    <row r="86">
      <c r="A86" s="37" t="str">
        <v>RCP-0082</v>
      </c>
      <c r="B86" s="38" t="str">
        <v>VKM-008</v>
      </c>
      <c r="C86" s="38" t="str">
        <v>VKC-008</v>
      </c>
      <c r="D86" s="38" t="str">
        <v>VKT-008</v>
      </c>
      <c r="E86" s="38" t="str">
        <v>0.1.0-DRAFT</v>
      </c>
      <c r="F86" s="38" t="str">
        <v>ING-029</v>
      </c>
      <c r="G86" s="38" t="str">
        <v>Меланж для смазки</v>
      </c>
      <c r="H86" s="38" t="str">
        <v>RAW_OR_FLATTENED_COMPONENT</v>
      </c>
      <c r="I86" s="38" t="str">
        <v>Финиш</v>
      </c>
      <c r="J86" s="38" t="str">
        <v>VSF-006</v>
      </c>
      <c r="K86" s="38" t="n">
        <v>1</v>
      </c>
      <c r="L86" s="38" t="str">
        <v>г</v>
      </c>
      <c r="M86" s="38" t="n">
        <v>1</v>
      </c>
      <c r="N86" s="38" t="str">
        <v>г</v>
      </c>
      <c r="O86" s="38" t="n">
        <v>1</v>
      </c>
      <c r="P86" s="38" t="str">
        <v>г</v>
      </c>
      <c r="Q86" s="38" t="n">
        <v>0</v>
      </c>
      <c r="R86" s="38" t="n">
        <v>0</v>
      </c>
      <c r="S86" s="38" t="str">
        <v>ASSUMPTION</v>
      </c>
      <c r="T86" s="38" t="str">
        <v>EVD-0007;EVD-0008</v>
      </c>
      <c r="U86" s="38" t="str">
        <v>Проектная декомпозиция ChefTechnologyAgent; суммы contribution нормированы к draft-выходу EVD-0005; проверить взвешиванием</v>
      </c>
      <c r="V86" s="38" t="str">
        <v>2026-08-03</v>
      </c>
      <c r="W86" s="38" t="str">
        <v>Chef</v>
      </c>
      <c r="X86" s="38" t="str">
        <v>GAP-004;GAP-005</v>
      </c>
      <c r="Y86" s="39" t="str">
        <v>Не является утверждённой нормой; gross/net/output зафиксировать в контрольной серии</v>
      </c>
    </row>
    <row r="87">
      <c r="A87" s="37" t="str">
        <v>RCP-0083</v>
      </c>
      <c r="B87" s="38" t="str">
        <v>VKM-009</v>
      </c>
      <c r="C87" s="38" t="str">
        <v>VKC-009</v>
      </c>
      <c r="D87" s="38" t="str">
        <v>VKT-009</v>
      </c>
      <c r="E87" s="38" t="str">
        <v>0.1.0-DRAFT</v>
      </c>
      <c r="F87" s="38" t="str">
        <v>ING-030</v>
      </c>
      <c r="G87" s="38" t="str">
        <v>Буррата</v>
      </c>
      <c r="H87" s="38" t="str">
        <v>RAW_OR_FLATTENED_COMPONENT</v>
      </c>
      <c r="I87" s="38" t="str">
        <v>Сборка</v>
      </c>
      <c r="J87" s="38"/>
      <c r="K87" s="38" t="n">
        <v>125</v>
      </c>
      <c r="L87" s="38" t="str">
        <v>г</v>
      </c>
      <c r="M87" s="38" t="n">
        <v>125</v>
      </c>
      <c r="N87" s="38" t="str">
        <v>г</v>
      </c>
      <c r="O87" s="38" t="n">
        <v>125</v>
      </c>
      <c r="P87" s="38" t="str">
        <v>г</v>
      </c>
      <c r="Q87" s="38" t="n">
        <v>0</v>
      </c>
      <c r="R87" s="38" t="n">
        <v>0</v>
      </c>
      <c r="S87" s="38" t="str">
        <v>ASSUMPTION</v>
      </c>
      <c r="T87" s="38" t="str">
        <v>EVD-0007;EVD-0008</v>
      </c>
      <c r="U87" s="38" t="str">
        <v>Проектная декомпозиция ChefTechnologyAgent; суммы contribution нормированы к draft-выходу EVD-0005; проверить взвешиванием</v>
      </c>
      <c r="V87" s="38" t="str">
        <v>2026-08-03</v>
      </c>
      <c r="W87" s="38" t="str">
        <v>Chef</v>
      </c>
      <c r="X87" s="38" t="str">
        <v>GAP-004;GAP-005</v>
      </c>
      <c r="Y87" s="39" t="str">
        <v>Не является утверждённой нормой; gross/net/output зафиксировать в контрольной серии</v>
      </c>
    </row>
    <row r="88">
      <c r="A88" s="37" t="str">
        <v>RCP-0084</v>
      </c>
      <c r="B88" s="38" t="str">
        <v>VKM-009</v>
      </c>
      <c r="C88" s="38" t="str">
        <v>VKC-009</v>
      </c>
      <c r="D88" s="38" t="str">
        <v>VKT-009</v>
      </c>
      <c r="E88" s="38" t="str">
        <v>0.1.0-DRAFT</v>
      </c>
      <c r="F88" s="38" t="str">
        <v>ING-031</v>
      </c>
      <c r="G88" s="38" t="str">
        <v>Томаты свежие</v>
      </c>
      <c r="H88" s="38" t="str">
        <v>RAW_OR_FLATTENED_COMPONENT</v>
      </c>
      <c r="I88" s="38" t="str">
        <v>Сборка</v>
      </c>
      <c r="J88" s="38"/>
      <c r="K88" s="38" t="n">
        <v>132</v>
      </c>
      <c r="L88" s="38" t="str">
        <v>г</v>
      </c>
      <c r="M88" s="38" t="n">
        <v>120</v>
      </c>
      <c r="N88" s="38" t="str">
        <v>г</v>
      </c>
      <c r="O88" s="38" t="n">
        <v>120</v>
      </c>
      <c r="P88" s="38" t="str">
        <v>г</v>
      </c>
      <c r="Q88" s="38" t="n">
        <v>12</v>
      </c>
      <c r="R88" s="38" t="n">
        <v>0</v>
      </c>
      <c r="S88" s="38" t="str">
        <v>ASSUMPTION</v>
      </c>
      <c r="T88" s="38" t="str">
        <v>EVD-0007;EVD-0008</v>
      </c>
      <c r="U88" s="38" t="str">
        <v>Проектная декомпозиция ChefTechnologyAgent; суммы contribution нормированы к draft-выходу EVD-0005; проверить взвешиванием</v>
      </c>
      <c r="V88" s="38" t="str">
        <v>2026-08-03</v>
      </c>
      <c r="W88" s="38" t="str">
        <v>Chef</v>
      </c>
      <c r="X88" s="38" t="str">
        <v>GAP-004;GAP-005</v>
      </c>
      <c r="Y88" s="39" t="str">
        <v>Не является утверждённой нормой; gross/net/output зафиксировать в контрольной серии</v>
      </c>
    </row>
    <row r="89">
      <c r="A89" s="37" t="str">
        <v>RCP-0085</v>
      </c>
      <c r="B89" s="38" t="str">
        <v>VKM-009</v>
      </c>
      <c r="C89" s="38" t="str">
        <v>VKC-009</v>
      </c>
      <c r="D89" s="38" t="str">
        <v>VKT-009</v>
      </c>
      <c r="E89" s="38" t="str">
        <v>0.1.0-DRAFT</v>
      </c>
      <c r="F89" s="38" t="str">
        <v>ING-006</v>
      </c>
      <c r="G89" s="38" t="str">
        <v>Томаты протёртые</v>
      </c>
      <c r="H89" s="38" t="str">
        <v>RAW_OR_FLATTENED_COMPONENT</v>
      </c>
      <c r="I89" s="38" t="str">
        <v>Заправка</v>
      </c>
      <c r="J89" s="38" t="str">
        <v>VSF-007</v>
      </c>
      <c r="K89" s="38" t="n">
        <v>15</v>
      </c>
      <c r="L89" s="38" t="str">
        <v>г</v>
      </c>
      <c r="M89" s="38" t="n">
        <v>15</v>
      </c>
      <c r="N89" s="38" t="str">
        <v>г</v>
      </c>
      <c r="O89" s="38" t="n">
        <v>15</v>
      </c>
      <c r="P89" s="38" t="str">
        <v>г</v>
      </c>
      <c r="Q89" s="38" t="n">
        <v>0</v>
      </c>
      <c r="R89" s="38" t="n">
        <v>0</v>
      </c>
      <c r="S89" s="38" t="str">
        <v>ASSUMPTION</v>
      </c>
      <c r="T89" s="38" t="str">
        <v>EVD-0007;EVD-0008</v>
      </c>
      <c r="U89" s="38" t="str">
        <v>Проектная декомпозиция ChefTechnologyAgent; суммы contribution нормированы к draft-выходу EVD-0005; проверить взвешиванием</v>
      </c>
      <c r="V89" s="38" t="str">
        <v>2026-08-03</v>
      </c>
      <c r="W89" s="38" t="str">
        <v>Chef</v>
      </c>
      <c r="X89" s="38" t="str">
        <v>GAP-004;GAP-005</v>
      </c>
      <c r="Y89" s="39" t="str">
        <v>Не является утверждённой нормой; gross/net/output зафиксировать в контрольной серии</v>
      </c>
    </row>
    <row r="90">
      <c r="A90" s="37" t="str">
        <v>RCP-0086</v>
      </c>
      <c r="B90" s="38" t="str">
        <v>VKM-009</v>
      </c>
      <c r="C90" s="38" t="str">
        <v>VKC-009</v>
      </c>
      <c r="D90" s="38" t="str">
        <v>VKT-009</v>
      </c>
      <c r="E90" s="38" t="str">
        <v>0.1.0-DRAFT</v>
      </c>
      <c r="F90" s="38" t="str">
        <v>ING-005</v>
      </c>
      <c r="G90" s="38" t="str">
        <v>Масло оливковое</v>
      </c>
      <c r="H90" s="38" t="str">
        <v>RAW_OR_FLATTENED_COMPONENT</v>
      </c>
      <c r="I90" s="38" t="str">
        <v>Заправка</v>
      </c>
      <c r="J90" s="38" t="str">
        <v>VSF-007</v>
      </c>
      <c r="K90" s="38" t="n">
        <v>10</v>
      </c>
      <c r="L90" s="38" t="str">
        <v>г</v>
      </c>
      <c r="M90" s="38" t="n">
        <v>10</v>
      </c>
      <c r="N90" s="38" t="str">
        <v>г</v>
      </c>
      <c r="O90" s="38" t="n">
        <v>10</v>
      </c>
      <c r="P90" s="38" t="str">
        <v>г</v>
      </c>
      <c r="Q90" s="38" t="n">
        <v>0</v>
      </c>
      <c r="R90" s="38" t="n">
        <v>0</v>
      </c>
      <c r="S90" s="38" t="str">
        <v>ASSUMPTION</v>
      </c>
      <c r="T90" s="38" t="str">
        <v>EVD-0007;EVD-0008</v>
      </c>
      <c r="U90" s="38" t="str">
        <v>Проектная декомпозиция ChefTechnologyAgent; суммы contribution нормированы к draft-выходу EVD-0005; проверить взвешиванием</v>
      </c>
      <c r="V90" s="38" t="str">
        <v>2026-08-03</v>
      </c>
      <c r="W90" s="38" t="str">
        <v>Chef</v>
      </c>
      <c r="X90" s="38" t="str">
        <v>GAP-004;GAP-005</v>
      </c>
      <c r="Y90" s="39" t="str">
        <v>Не является утверждённой нормой; gross/net/output зафиксировать в контрольной серии</v>
      </c>
    </row>
    <row r="91">
      <c r="A91" s="37" t="str">
        <v>RCP-0087</v>
      </c>
      <c r="B91" s="38" t="str">
        <v>VKM-009</v>
      </c>
      <c r="C91" s="38" t="str">
        <v>VKC-009</v>
      </c>
      <c r="D91" s="38" t="str">
        <v>VKT-009</v>
      </c>
      <c r="E91" s="38" t="str">
        <v>0.1.0-DRAFT</v>
      </c>
      <c r="F91" s="38" t="str">
        <v>ING-032</v>
      </c>
      <c r="G91" s="38" t="str">
        <v>Уксус бальзамический</v>
      </c>
      <c r="H91" s="38" t="str">
        <v>RAW_OR_FLATTENED_COMPONENT</v>
      </c>
      <c r="I91" s="38" t="str">
        <v>Заправка</v>
      </c>
      <c r="J91" s="38" t="str">
        <v>VSF-007</v>
      </c>
      <c r="K91" s="38" t="n">
        <v>3</v>
      </c>
      <c r="L91" s="38" t="str">
        <v>г</v>
      </c>
      <c r="M91" s="38" t="n">
        <v>3</v>
      </c>
      <c r="N91" s="38" t="str">
        <v>г</v>
      </c>
      <c r="O91" s="38" t="n">
        <v>3</v>
      </c>
      <c r="P91" s="38" t="str">
        <v>г</v>
      </c>
      <c r="Q91" s="38" t="n">
        <v>0</v>
      </c>
      <c r="R91" s="38" t="n">
        <v>0</v>
      </c>
      <c r="S91" s="38" t="str">
        <v>ASSUMPTION</v>
      </c>
      <c r="T91" s="38" t="str">
        <v>EVD-0007;EVD-0008</v>
      </c>
      <c r="U91" s="38" t="str">
        <v>Проектная декомпозиция ChefTechnologyAgent; суммы contribution нормированы к draft-выходу EVD-0005; проверить взвешиванием</v>
      </c>
      <c r="V91" s="38" t="str">
        <v>2026-08-03</v>
      </c>
      <c r="W91" s="38" t="str">
        <v>Chef</v>
      </c>
      <c r="X91" s="38" t="str">
        <v>GAP-004;GAP-005</v>
      </c>
      <c r="Y91" s="39" t="str">
        <v>Не является утверждённой нормой; gross/net/output зафиксировать в контрольной серии</v>
      </c>
    </row>
    <row r="92">
      <c r="A92" s="37" t="str">
        <v>RCP-0088</v>
      </c>
      <c r="B92" s="38" t="str">
        <v>VKM-009</v>
      </c>
      <c r="C92" s="38" t="str">
        <v>VKC-009</v>
      </c>
      <c r="D92" s="38" t="str">
        <v>VKT-009</v>
      </c>
      <c r="E92" s="38" t="str">
        <v>0.1.0-DRAFT</v>
      </c>
      <c r="F92" s="38" t="str">
        <v>ING-033</v>
      </c>
      <c r="G92" s="38" t="str">
        <v>Соль и специи</v>
      </c>
      <c r="H92" s="38" t="str">
        <v>RAW_OR_FLATTENED_COMPONENT</v>
      </c>
      <c r="I92" s="38" t="str">
        <v>Заправка</v>
      </c>
      <c r="J92" s="38" t="str">
        <v>VSF-007</v>
      </c>
      <c r="K92" s="38" t="n">
        <v>2</v>
      </c>
      <c r="L92" s="38" t="str">
        <v>г</v>
      </c>
      <c r="M92" s="38" t="n">
        <v>2</v>
      </c>
      <c r="N92" s="38" t="str">
        <v>г</v>
      </c>
      <c r="O92" s="38" t="n">
        <v>2</v>
      </c>
      <c r="P92" s="38" t="str">
        <v>г</v>
      </c>
      <c r="Q92" s="38" t="n">
        <v>0</v>
      </c>
      <c r="R92" s="38" t="n">
        <v>0</v>
      </c>
      <c r="S92" s="38" t="str">
        <v>ASSUMPTION</v>
      </c>
      <c r="T92" s="38" t="str">
        <v>EVD-0007;EVD-0008</v>
      </c>
      <c r="U92" s="38" t="str">
        <v>Проектная декомпозиция ChefTechnologyAgent; суммы contribution нормированы к draft-выходу EVD-0005; проверить взвешиванием</v>
      </c>
      <c r="V92" s="38" t="str">
        <v>2026-08-03</v>
      </c>
      <c r="W92" s="38" t="str">
        <v>Chef</v>
      </c>
      <c r="X92" s="38" t="str">
        <v>GAP-004;GAP-005</v>
      </c>
      <c r="Y92" s="39" t="str">
        <v>Не является утверждённой нормой; gross/net/output зафиксировать в контрольной серии</v>
      </c>
    </row>
    <row r="93">
      <c r="A93" s="37" t="str">
        <v>RCP-0089</v>
      </c>
      <c r="B93" s="38" t="str">
        <v>VKM-009</v>
      </c>
      <c r="C93" s="38" t="str">
        <v>VKC-009</v>
      </c>
      <c r="D93" s="38" t="str">
        <v>VKT-009</v>
      </c>
      <c r="E93" s="38" t="str">
        <v>0.1.0-DRAFT</v>
      </c>
      <c r="F93" s="38" t="str">
        <v>ING-034</v>
      </c>
      <c r="G93" s="38" t="str">
        <v>Салатная зелень</v>
      </c>
      <c r="H93" s="38" t="str">
        <v>RAW_OR_FLATTENED_COMPONENT</v>
      </c>
      <c r="I93" s="38" t="str">
        <v>Сборка</v>
      </c>
      <c r="J93" s="38"/>
      <c r="K93" s="38" t="n">
        <v>17</v>
      </c>
      <c r="L93" s="38" t="str">
        <v>г</v>
      </c>
      <c r="M93" s="38" t="n">
        <v>15</v>
      </c>
      <c r="N93" s="38" t="str">
        <v>г</v>
      </c>
      <c r="O93" s="38" t="n">
        <v>15</v>
      </c>
      <c r="P93" s="38" t="str">
        <v>г</v>
      </c>
      <c r="Q93" s="38" t="n">
        <v>2</v>
      </c>
      <c r="R93" s="38" t="n">
        <v>0</v>
      </c>
      <c r="S93" s="38" t="str">
        <v>ASSUMPTION</v>
      </c>
      <c r="T93" s="38" t="str">
        <v>EVD-0007;EVD-0008</v>
      </c>
      <c r="U93" s="38" t="str">
        <v>Проектная декомпозиция ChefTechnologyAgent; суммы contribution нормированы к draft-выходу EVD-0005; проверить взвешиванием</v>
      </c>
      <c r="V93" s="38" t="str">
        <v>2026-08-03</v>
      </c>
      <c r="W93" s="38" t="str">
        <v>Chef</v>
      </c>
      <c r="X93" s="38" t="str">
        <v>GAP-004;GAP-005</v>
      </c>
      <c r="Y93" s="39" t="str">
        <v>Не является утверждённой нормой; gross/net/output зафиксировать в контрольной серии</v>
      </c>
    </row>
    <row r="94">
      <c r="A94" s="37" t="str">
        <v>RCP-0090</v>
      </c>
      <c r="B94" s="38" t="str">
        <v>VKM-009</v>
      </c>
      <c r="C94" s="38" t="str">
        <v>VKC-009</v>
      </c>
      <c r="D94" s="38" t="str">
        <v>VKT-009</v>
      </c>
      <c r="E94" s="38" t="str">
        <v>0.1.0-DRAFT</v>
      </c>
      <c r="F94" s="38" t="str">
        <v>ING-005</v>
      </c>
      <c r="G94" s="38" t="str">
        <v>Масло оливковое</v>
      </c>
      <c r="H94" s="38" t="str">
        <v>RAW_OR_FLATTENED_COMPONENT</v>
      </c>
      <c r="I94" s="38" t="str">
        <v>Финиш</v>
      </c>
      <c r="J94" s="38"/>
      <c r="K94" s="38" t="n">
        <v>10</v>
      </c>
      <c r="L94" s="38" t="str">
        <v>г</v>
      </c>
      <c r="M94" s="38" t="n">
        <v>10</v>
      </c>
      <c r="N94" s="38" t="str">
        <v>г</v>
      </c>
      <c r="O94" s="38" t="n">
        <v>10</v>
      </c>
      <c r="P94" s="38" t="str">
        <v>г</v>
      </c>
      <c r="Q94" s="38" t="n">
        <v>0</v>
      </c>
      <c r="R94" s="38" t="n">
        <v>0</v>
      </c>
      <c r="S94" s="38" t="str">
        <v>ASSUMPTION</v>
      </c>
      <c r="T94" s="38" t="str">
        <v>EVD-0007;EVD-0008</v>
      </c>
      <c r="U94" s="38" t="str">
        <v>Проектная декомпозиция ChefTechnologyAgent; суммы contribution нормированы к draft-выходу EVD-0005; проверить взвешиванием</v>
      </c>
      <c r="V94" s="38" t="str">
        <v>2026-08-03</v>
      </c>
      <c r="W94" s="38" t="str">
        <v>Chef</v>
      </c>
      <c r="X94" s="38" t="str">
        <v>GAP-004;GAP-005</v>
      </c>
      <c r="Y94" s="39" t="str">
        <v>Не является утверждённой нормой; gross/net/output зафиксировать в контрольной серии</v>
      </c>
    </row>
    <row r="95">
      <c r="A95" s="37" t="str">
        <v>RCP-0091</v>
      </c>
      <c r="B95" s="38" t="str">
        <v>VKM-010</v>
      </c>
      <c r="C95" s="38" t="str">
        <v>VKC-010</v>
      </c>
      <c r="D95" s="38" t="str">
        <v>VKT-010</v>
      </c>
      <c r="E95" s="38" t="str">
        <v>0.1.0-DRAFT</v>
      </c>
      <c r="F95" s="38" t="str">
        <v>ING-035</v>
      </c>
      <c r="G95" s="38" t="str">
        <v>Салатный микс</v>
      </c>
      <c r="H95" s="38" t="str">
        <v>RAW_OR_FLATTENED_COMPONENT</v>
      </c>
      <c r="I95" s="38" t="str">
        <v>Сборка</v>
      </c>
      <c r="J95" s="38"/>
      <c r="K95" s="38" t="n">
        <v>90</v>
      </c>
      <c r="L95" s="38" t="str">
        <v>г</v>
      </c>
      <c r="M95" s="38" t="n">
        <v>80</v>
      </c>
      <c r="N95" s="38" t="str">
        <v>г</v>
      </c>
      <c r="O95" s="38" t="n">
        <v>80</v>
      </c>
      <c r="P95" s="38" t="str">
        <v>г</v>
      </c>
      <c r="Q95" s="38" t="n">
        <v>10</v>
      </c>
      <c r="R95" s="38" t="n">
        <v>0</v>
      </c>
      <c r="S95" s="38" t="str">
        <v>ASSUMPTION</v>
      </c>
      <c r="T95" s="38" t="str">
        <v>EVD-0007;EVD-0008</v>
      </c>
      <c r="U95" s="38" t="str">
        <v>Проектная декомпозиция ChefTechnologyAgent; суммы contribution нормированы к draft-выходу EVD-0005; проверить взвешиванием</v>
      </c>
      <c r="V95" s="38" t="str">
        <v>2026-08-03</v>
      </c>
      <c r="W95" s="38" t="str">
        <v>Chef</v>
      </c>
      <c r="X95" s="38" t="str">
        <v>GAP-004;GAP-005</v>
      </c>
      <c r="Y95" s="39" t="str">
        <v>Не является утверждённой нормой; gross/net/output зафиксировать в контрольной серии</v>
      </c>
    </row>
    <row r="96">
      <c r="A96" s="37" t="str">
        <v>RCP-0092</v>
      </c>
      <c r="B96" s="38" t="str">
        <v>VKM-010</v>
      </c>
      <c r="C96" s="38" t="str">
        <v>VKC-010</v>
      </c>
      <c r="D96" s="38" t="str">
        <v>VKT-010</v>
      </c>
      <c r="E96" s="38" t="str">
        <v>0.1.0-DRAFT</v>
      </c>
      <c r="F96" s="38" t="str">
        <v>ING-036</v>
      </c>
      <c r="G96" s="38" t="str">
        <v>Креветки очищенные</v>
      </c>
      <c r="H96" s="38" t="str">
        <v>RAW_OR_FLATTENED_COMPONENT</v>
      </c>
      <c r="I96" s="38" t="str">
        <v>Сборка</v>
      </c>
      <c r="J96" s="38"/>
      <c r="K96" s="38" t="n">
        <v>105</v>
      </c>
      <c r="L96" s="38" t="str">
        <v>г</v>
      </c>
      <c r="M96" s="38" t="n">
        <v>100</v>
      </c>
      <c r="N96" s="38" t="str">
        <v>г</v>
      </c>
      <c r="O96" s="38" t="n">
        <v>90</v>
      </c>
      <c r="P96" s="38" t="str">
        <v>г</v>
      </c>
      <c r="Q96" s="38" t="n">
        <v>5</v>
      </c>
      <c r="R96" s="38" t="n">
        <v>10</v>
      </c>
      <c r="S96" s="38" t="str">
        <v>ASSUMPTION</v>
      </c>
      <c r="T96" s="38" t="str">
        <v>EVD-0007;EVD-0008</v>
      </c>
      <c r="U96" s="38" t="str">
        <v>Проектная декомпозиция ChefTechnologyAgent; суммы contribution нормированы к draft-выходу EVD-0005; проверить взвешиванием</v>
      </c>
      <c r="V96" s="38" t="str">
        <v>2026-08-03</v>
      </c>
      <c r="W96" s="38" t="str">
        <v>Chef</v>
      </c>
      <c r="X96" s="38" t="str">
        <v>GAP-004;GAP-005</v>
      </c>
      <c r="Y96" s="39" t="str">
        <v>Не является утверждённой нормой; gross/net/output зафиксировать в контрольной серии</v>
      </c>
    </row>
    <row r="97">
      <c r="A97" s="37" t="str">
        <v>RCP-0093</v>
      </c>
      <c r="B97" s="38" t="str">
        <v>VKM-010</v>
      </c>
      <c r="C97" s="38" t="str">
        <v>VKC-010</v>
      </c>
      <c r="D97" s="38" t="str">
        <v>VKT-010</v>
      </c>
      <c r="E97" s="38" t="str">
        <v>0.1.0-DRAFT</v>
      </c>
      <c r="F97" s="38" t="str">
        <v>ING-037</v>
      </c>
      <c r="G97" s="38" t="str">
        <v>Яблоко</v>
      </c>
      <c r="H97" s="38" t="str">
        <v>RAW_OR_FLATTENED_COMPONENT</v>
      </c>
      <c r="I97" s="38" t="str">
        <v>Сборка</v>
      </c>
      <c r="J97" s="38"/>
      <c r="K97" s="38" t="n">
        <v>65</v>
      </c>
      <c r="L97" s="38" t="str">
        <v>г</v>
      </c>
      <c r="M97" s="38" t="n">
        <v>58</v>
      </c>
      <c r="N97" s="38" t="str">
        <v>г</v>
      </c>
      <c r="O97" s="38" t="n">
        <v>55</v>
      </c>
      <c r="P97" s="38" t="str">
        <v>г</v>
      </c>
      <c r="Q97" s="38" t="n">
        <v>7</v>
      </c>
      <c r="R97" s="38" t="n">
        <v>3</v>
      </c>
      <c r="S97" s="38" t="str">
        <v>ASSUMPTION</v>
      </c>
      <c r="T97" s="38" t="str">
        <v>EVD-0007;EVD-0008</v>
      </c>
      <c r="U97" s="38" t="str">
        <v>Проектная декомпозиция ChefTechnologyAgent; суммы contribution нормированы к draft-выходу EVD-0005; проверить взвешиванием</v>
      </c>
      <c r="V97" s="38" t="str">
        <v>2026-08-03</v>
      </c>
      <c r="W97" s="38" t="str">
        <v>Chef</v>
      </c>
      <c r="X97" s="38" t="str">
        <v>GAP-004;GAP-005</v>
      </c>
      <c r="Y97" s="39" t="str">
        <v>Не является утверждённой нормой; gross/net/output зафиксировать в контрольной серии</v>
      </c>
    </row>
    <row r="98">
      <c r="A98" s="37" t="str">
        <v>RCP-0094</v>
      </c>
      <c r="B98" s="38" t="str">
        <v>VKM-010</v>
      </c>
      <c r="C98" s="38" t="str">
        <v>VKC-010</v>
      </c>
      <c r="D98" s="38" t="str">
        <v>VKT-010</v>
      </c>
      <c r="E98" s="38" t="str">
        <v>0.1.0-DRAFT</v>
      </c>
      <c r="F98" s="38" t="str">
        <v>ING-038</v>
      </c>
      <c r="G98" s="38" t="str">
        <v>Огурец свежий</v>
      </c>
      <c r="H98" s="38" t="str">
        <v>RAW_OR_FLATTENED_COMPONENT</v>
      </c>
      <c r="I98" s="38" t="str">
        <v>Сборка</v>
      </c>
      <c r="J98" s="38"/>
      <c r="K98" s="38" t="n">
        <v>34</v>
      </c>
      <c r="L98" s="38" t="str">
        <v>г</v>
      </c>
      <c r="M98" s="38" t="n">
        <v>30</v>
      </c>
      <c r="N98" s="38" t="str">
        <v>г</v>
      </c>
      <c r="O98" s="38" t="n">
        <v>30</v>
      </c>
      <c r="P98" s="38" t="str">
        <v>г</v>
      </c>
      <c r="Q98" s="38" t="n">
        <v>4</v>
      </c>
      <c r="R98" s="38" t="n">
        <v>0</v>
      </c>
      <c r="S98" s="38" t="str">
        <v>ASSUMPTION</v>
      </c>
      <c r="T98" s="38" t="str">
        <v>EVD-0007;EVD-0008</v>
      </c>
      <c r="U98" s="38" t="str">
        <v>Проектная декомпозиция ChefTechnologyAgent; суммы contribution нормированы к draft-выходу EVD-0005; проверить взвешиванием</v>
      </c>
      <c r="V98" s="38" t="str">
        <v>2026-08-03</v>
      </c>
      <c r="W98" s="38" t="str">
        <v>Chef</v>
      </c>
      <c r="X98" s="38" t="str">
        <v>GAP-004;GAP-005</v>
      </c>
      <c r="Y98" s="39" t="str">
        <v>Не является утверждённой нормой; gross/net/output зафиксировать в контрольной серии</v>
      </c>
    </row>
    <row r="99">
      <c r="A99" s="37" t="str">
        <v>RCP-0095</v>
      </c>
      <c r="B99" s="38" t="str">
        <v>VKM-010</v>
      </c>
      <c r="C99" s="38" t="str">
        <v>VKC-010</v>
      </c>
      <c r="D99" s="38" t="str">
        <v>VKT-010</v>
      </c>
      <c r="E99" s="38" t="str">
        <v>0.1.0-DRAFT</v>
      </c>
      <c r="F99" s="38" t="str">
        <v>ING-024</v>
      </c>
      <c r="G99" s="38" t="str">
        <v>Масло растительное</v>
      </c>
      <c r="H99" s="38" t="str">
        <v>RAW_OR_FLATTENED_COMPONENT</v>
      </c>
      <c r="I99" s="38" t="str">
        <v>Заправка</v>
      </c>
      <c r="J99" s="38" t="str">
        <v>VSF-008</v>
      </c>
      <c r="K99" s="38" t="n">
        <v>10</v>
      </c>
      <c r="L99" s="38" t="str">
        <v>г</v>
      </c>
      <c r="M99" s="38" t="n">
        <v>10</v>
      </c>
      <c r="N99" s="38" t="str">
        <v>г</v>
      </c>
      <c r="O99" s="38" t="n">
        <v>10</v>
      </c>
      <c r="P99" s="38" t="str">
        <v>г</v>
      </c>
      <c r="Q99" s="38" t="n">
        <v>0</v>
      </c>
      <c r="R99" s="38" t="n">
        <v>0</v>
      </c>
      <c r="S99" s="38" t="str">
        <v>ASSUMPTION</v>
      </c>
      <c r="T99" s="38" t="str">
        <v>EVD-0007;EVD-0008</v>
      </c>
      <c r="U99" s="38" t="str">
        <v>Проектная декомпозиция ChefTechnologyAgent; суммы contribution нормированы к draft-выходу EVD-0005; проверить взвешиванием</v>
      </c>
      <c r="V99" s="38" t="str">
        <v>2026-08-03</v>
      </c>
      <c r="W99" s="38" t="str">
        <v>Chef</v>
      </c>
      <c r="X99" s="38" t="str">
        <v>GAP-004;GAP-005</v>
      </c>
      <c r="Y99" s="39" t="str">
        <v>Не является утверждённой нормой; gross/net/output зафиксировать в контрольной серии</v>
      </c>
    </row>
    <row r="100">
      <c r="A100" s="37" t="str">
        <v>RCP-0096</v>
      </c>
      <c r="B100" s="38" t="str">
        <v>VKM-010</v>
      </c>
      <c r="C100" s="38" t="str">
        <v>VKC-010</v>
      </c>
      <c r="D100" s="38" t="str">
        <v>VKT-010</v>
      </c>
      <c r="E100" s="38" t="str">
        <v>0.1.0-DRAFT</v>
      </c>
      <c r="F100" s="38" t="str">
        <v>ING-039</v>
      </c>
      <c r="G100" s="38" t="str">
        <v>Сок лимона</v>
      </c>
      <c r="H100" s="38" t="str">
        <v>RAW_OR_FLATTENED_COMPONENT</v>
      </c>
      <c r="I100" s="38" t="str">
        <v>Заправка</v>
      </c>
      <c r="J100" s="38" t="str">
        <v>VSF-008</v>
      </c>
      <c r="K100" s="38" t="n">
        <v>7</v>
      </c>
      <c r="L100" s="38" t="str">
        <v>г</v>
      </c>
      <c r="M100" s="38" t="n">
        <v>5</v>
      </c>
      <c r="N100" s="38" t="str">
        <v>г</v>
      </c>
      <c r="O100" s="38" t="n">
        <v>5</v>
      </c>
      <c r="P100" s="38" t="str">
        <v>г</v>
      </c>
      <c r="Q100" s="38" t="n">
        <v>2</v>
      </c>
      <c r="R100" s="38" t="n">
        <v>0</v>
      </c>
      <c r="S100" s="38" t="str">
        <v>ASSUMPTION</v>
      </c>
      <c r="T100" s="38" t="str">
        <v>EVD-0007;EVD-0008</v>
      </c>
      <c r="U100" s="38" t="str">
        <v>Проектная декомпозиция ChefTechnologyAgent; суммы contribution нормированы к draft-выходу EVD-0005; проверить взвешиванием</v>
      </c>
      <c r="V100" s="38" t="str">
        <v>2026-08-03</v>
      </c>
      <c r="W100" s="38" t="str">
        <v>Chef</v>
      </c>
      <c r="X100" s="38" t="str">
        <v>GAP-004;GAP-005</v>
      </c>
      <c r="Y100" s="39" t="str">
        <v>Не является утверждённой нормой; gross/net/output зафиксировать в контрольной серии</v>
      </c>
    </row>
    <row r="101">
      <c r="A101" s="37" t="str">
        <v>RCP-0097</v>
      </c>
      <c r="B101" s="38" t="str">
        <v>VKM-010</v>
      </c>
      <c r="C101" s="38" t="str">
        <v>VKC-010</v>
      </c>
      <c r="D101" s="38" t="str">
        <v>VKT-010</v>
      </c>
      <c r="E101" s="38" t="str">
        <v>0.1.0-DRAFT</v>
      </c>
      <c r="F101" s="38" t="str">
        <v>ING-040</v>
      </c>
      <c r="G101" s="38" t="str">
        <v>Мёд</v>
      </c>
      <c r="H101" s="38" t="str">
        <v>RAW_OR_FLATTENED_COMPONENT</v>
      </c>
      <c r="I101" s="38" t="str">
        <v>Заправка</v>
      </c>
      <c r="J101" s="38" t="str">
        <v>VSF-008</v>
      </c>
      <c r="K101" s="38" t="n">
        <v>3</v>
      </c>
      <c r="L101" s="38" t="str">
        <v>г</v>
      </c>
      <c r="M101" s="38" t="n">
        <v>3</v>
      </c>
      <c r="N101" s="38" t="str">
        <v>г</v>
      </c>
      <c r="O101" s="38" t="n">
        <v>3</v>
      </c>
      <c r="P101" s="38" t="str">
        <v>г</v>
      </c>
      <c r="Q101" s="38" t="n">
        <v>0</v>
      </c>
      <c r="R101" s="38" t="n">
        <v>0</v>
      </c>
      <c r="S101" s="38" t="str">
        <v>ASSUMPTION</v>
      </c>
      <c r="T101" s="38" t="str">
        <v>EVD-0007;EVD-0008</v>
      </c>
      <c r="U101" s="38" t="str">
        <v>Проектная декомпозиция ChefTechnologyAgent; суммы contribution нормированы к draft-выходу EVD-0005; проверить взвешиванием</v>
      </c>
      <c r="V101" s="38" t="str">
        <v>2026-08-03</v>
      </c>
      <c r="W101" s="38" t="str">
        <v>Chef</v>
      </c>
      <c r="X101" s="38" t="str">
        <v>GAP-004;GAP-005</v>
      </c>
      <c r="Y101" s="39" t="str">
        <v>Не является утверждённой нормой; gross/net/output зафиксировать в контрольной серии</v>
      </c>
    </row>
    <row r="102">
      <c r="A102" s="37" t="str">
        <v>RCP-0098</v>
      </c>
      <c r="B102" s="38" t="str">
        <v>VKM-010</v>
      </c>
      <c r="C102" s="38" t="str">
        <v>VKC-010</v>
      </c>
      <c r="D102" s="38" t="str">
        <v>VKT-010</v>
      </c>
      <c r="E102" s="38" t="str">
        <v>0.1.0-DRAFT</v>
      </c>
      <c r="F102" s="38" t="str">
        <v>ING-041</v>
      </c>
      <c r="G102" s="38" t="str">
        <v>Горчица</v>
      </c>
      <c r="H102" s="38" t="str">
        <v>RAW_OR_FLATTENED_COMPONENT</v>
      </c>
      <c r="I102" s="38" t="str">
        <v>Заправка</v>
      </c>
      <c r="J102" s="38" t="str">
        <v>VSF-008</v>
      </c>
      <c r="K102" s="38" t="n">
        <v>2</v>
      </c>
      <c r="L102" s="38" t="str">
        <v>г</v>
      </c>
      <c r="M102" s="38" t="n">
        <v>2</v>
      </c>
      <c r="N102" s="38" t="str">
        <v>г</v>
      </c>
      <c r="O102" s="38" t="n">
        <v>2</v>
      </c>
      <c r="P102" s="38" t="str">
        <v>г</v>
      </c>
      <c r="Q102" s="38" t="n">
        <v>0</v>
      </c>
      <c r="R102" s="38" t="n">
        <v>0</v>
      </c>
      <c r="S102" s="38" t="str">
        <v>ASSUMPTION</v>
      </c>
      <c r="T102" s="38" t="str">
        <v>EVD-0007;EVD-0008</v>
      </c>
      <c r="U102" s="38" t="str">
        <v>Проектная декомпозиция ChefTechnologyAgent; суммы contribution нормированы к draft-выходу EVD-0005; проверить взвешиванием</v>
      </c>
      <c r="V102" s="38" t="str">
        <v>2026-08-03</v>
      </c>
      <c r="W102" s="38" t="str">
        <v>Chef</v>
      </c>
      <c r="X102" s="38" t="str">
        <v>GAP-004;GAP-005</v>
      </c>
      <c r="Y102" s="39" t="str">
        <v>Не является утверждённой нормой; gross/net/output зафиксировать в контрольной серии</v>
      </c>
    </row>
    <row r="103">
      <c r="A103" s="37" t="str">
        <v>RCP-0099</v>
      </c>
      <c r="B103" s="38" t="str">
        <v>VKM-010</v>
      </c>
      <c r="C103" s="38" t="str">
        <v>VKC-010</v>
      </c>
      <c r="D103" s="38" t="str">
        <v>VKT-010</v>
      </c>
      <c r="E103" s="38" t="str">
        <v>0.1.0-DRAFT</v>
      </c>
      <c r="F103" s="38" t="str">
        <v>ING-042</v>
      </c>
      <c r="G103" s="38" t="str">
        <v>Семена или ореховая крошка</v>
      </c>
      <c r="H103" s="38" t="str">
        <v>RAW_OR_FLATTENED_COMPONENT</v>
      </c>
      <c r="I103" s="38" t="str">
        <v>Финиш</v>
      </c>
      <c r="J103" s="38"/>
      <c r="K103" s="38" t="n">
        <v>5</v>
      </c>
      <c r="L103" s="38" t="str">
        <v>г</v>
      </c>
      <c r="M103" s="38" t="n">
        <v>5</v>
      </c>
      <c r="N103" s="38" t="str">
        <v>г</v>
      </c>
      <c r="O103" s="38" t="n">
        <v>5</v>
      </c>
      <c r="P103" s="38" t="str">
        <v>г</v>
      </c>
      <c r="Q103" s="38" t="n">
        <v>0</v>
      </c>
      <c r="R103" s="38" t="n">
        <v>0</v>
      </c>
      <c r="S103" s="38" t="str">
        <v>ASSUMPTION</v>
      </c>
      <c r="T103" s="38" t="str">
        <v>EVD-0007;EVD-0008</v>
      </c>
      <c r="U103" s="38" t="str">
        <v>Проектная декомпозиция ChefTechnologyAgent; суммы contribution нормированы к draft-выходу EVD-0005; проверить взвешиванием</v>
      </c>
      <c r="V103" s="38" t="str">
        <v>2026-08-03</v>
      </c>
      <c r="W103" s="38" t="str">
        <v>Chef</v>
      </c>
      <c r="X103" s="38" t="str">
        <v>GAP-004;GAP-005</v>
      </c>
      <c r="Y103" s="39" t="str">
        <v>Не является утверждённой нормой; gross/net/output зафиксировать в контрольной серии</v>
      </c>
    </row>
    <row r="104">
      <c r="A104" s="37" t="str">
        <v>RCP-0100</v>
      </c>
      <c r="B104" s="38" t="str">
        <v>VKM-011</v>
      </c>
      <c r="C104" s="38" t="str">
        <v>VKC-011</v>
      </c>
      <c r="D104" s="38" t="str">
        <v>VKT-011</v>
      </c>
      <c r="E104" s="38" t="str">
        <v>0.1.0-DRAFT</v>
      </c>
      <c r="F104" s="38" t="str">
        <v>ING-031</v>
      </c>
      <c r="G104" s="38" t="str">
        <v>Томаты свежие</v>
      </c>
      <c r="H104" s="38" t="str">
        <v>RAW_OR_FLATTENED_COMPONENT</v>
      </c>
      <c r="I104" s="38" t="str">
        <v>Основная рецептура</v>
      </c>
      <c r="J104" s="38"/>
      <c r="K104" s="38" t="n">
        <v>88</v>
      </c>
      <c r="L104" s="38" t="str">
        <v>г</v>
      </c>
      <c r="M104" s="38" t="n">
        <v>80</v>
      </c>
      <c r="N104" s="38" t="str">
        <v>г</v>
      </c>
      <c r="O104" s="38" t="n">
        <v>80</v>
      </c>
      <c r="P104" s="38" t="str">
        <v>г</v>
      </c>
      <c r="Q104" s="38" t="n">
        <v>8</v>
      </c>
      <c r="R104" s="38" t="n">
        <v>0</v>
      </c>
      <c r="S104" s="38" t="str">
        <v>ASSUMPTION</v>
      </c>
      <c r="T104" s="38" t="str">
        <v>EVD-0007;EVD-0008</v>
      </c>
      <c r="U104" s="38" t="str">
        <v>Проектная декомпозиция ChefTechnologyAgent; суммы contribution нормированы к draft-выходу EVD-0005; проверить взвешиванием</v>
      </c>
      <c r="V104" s="38" t="str">
        <v>2026-08-03</v>
      </c>
      <c r="W104" s="38" t="str">
        <v>Chef</v>
      </c>
      <c r="X104" s="38" t="str">
        <v>GAP-004;GAP-005</v>
      </c>
      <c r="Y104" s="39" t="str">
        <v>Не является утверждённой нормой; gross/net/output зафиксировать в контрольной серии</v>
      </c>
    </row>
    <row r="105">
      <c r="A105" s="37" t="str">
        <v>RCP-0101</v>
      </c>
      <c r="B105" s="38" t="str">
        <v>VKM-011</v>
      </c>
      <c r="C105" s="38" t="str">
        <v>VKC-011</v>
      </c>
      <c r="D105" s="38" t="str">
        <v>VKT-011</v>
      </c>
      <c r="E105" s="38" t="str">
        <v>0.1.0-DRAFT</v>
      </c>
      <c r="F105" s="38" t="str">
        <v>ING-038</v>
      </c>
      <c r="G105" s="38" t="str">
        <v>Огурец свежий</v>
      </c>
      <c r="H105" s="38" t="str">
        <v>RAW_OR_FLATTENED_COMPONENT</v>
      </c>
      <c r="I105" s="38" t="str">
        <v>Основная рецептура</v>
      </c>
      <c r="J105" s="38"/>
      <c r="K105" s="38" t="n">
        <v>68</v>
      </c>
      <c r="L105" s="38" t="str">
        <v>г</v>
      </c>
      <c r="M105" s="38" t="n">
        <v>60</v>
      </c>
      <c r="N105" s="38" t="str">
        <v>г</v>
      </c>
      <c r="O105" s="38" t="n">
        <v>60</v>
      </c>
      <c r="P105" s="38" t="str">
        <v>г</v>
      </c>
      <c r="Q105" s="38" t="n">
        <v>8</v>
      </c>
      <c r="R105" s="38" t="n">
        <v>0</v>
      </c>
      <c r="S105" s="38" t="str">
        <v>ASSUMPTION</v>
      </c>
      <c r="T105" s="38" t="str">
        <v>EVD-0007;EVD-0008</v>
      </c>
      <c r="U105" s="38" t="str">
        <v>Проектная декомпозиция ChefTechnologyAgent; суммы contribution нормированы к draft-выходу EVD-0005; проверить взвешиванием</v>
      </c>
      <c r="V105" s="38" t="str">
        <v>2026-08-03</v>
      </c>
      <c r="W105" s="38" t="str">
        <v>Chef</v>
      </c>
      <c r="X105" s="38" t="str">
        <v>GAP-004;GAP-005</v>
      </c>
      <c r="Y105" s="39" t="str">
        <v>Не является утверждённой нормой; gross/net/output зафиксировать в контрольной серии</v>
      </c>
    </row>
    <row r="106">
      <c r="A106" s="37" t="str">
        <v>RCP-0102</v>
      </c>
      <c r="B106" s="38" t="str">
        <v>VKM-011</v>
      </c>
      <c r="C106" s="38" t="str">
        <v>VKC-011</v>
      </c>
      <c r="D106" s="38" t="str">
        <v>VKT-011</v>
      </c>
      <c r="E106" s="38" t="str">
        <v>0.1.0-DRAFT</v>
      </c>
      <c r="F106" s="38" t="str">
        <v>ING-043</v>
      </c>
      <c r="G106" s="38" t="str">
        <v>Перец сладкий</v>
      </c>
      <c r="H106" s="38" t="str">
        <v>RAW_OR_FLATTENED_COMPONENT</v>
      </c>
      <c r="I106" s="38" t="str">
        <v>Основная рецептура</v>
      </c>
      <c r="J106" s="38"/>
      <c r="K106" s="38" t="n">
        <v>48</v>
      </c>
      <c r="L106" s="38" t="str">
        <v>г</v>
      </c>
      <c r="M106" s="38" t="n">
        <v>40</v>
      </c>
      <c r="N106" s="38" t="str">
        <v>г</v>
      </c>
      <c r="O106" s="38" t="n">
        <v>40</v>
      </c>
      <c r="P106" s="38" t="str">
        <v>г</v>
      </c>
      <c r="Q106" s="38" t="n">
        <v>8</v>
      </c>
      <c r="R106" s="38" t="n">
        <v>0</v>
      </c>
      <c r="S106" s="38" t="str">
        <v>ASSUMPTION</v>
      </c>
      <c r="T106" s="38" t="str">
        <v>EVD-0007;EVD-0008</v>
      </c>
      <c r="U106" s="38" t="str">
        <v>Проектная декомпозиция ChefTechnologyAgent; суммы contribution нормированы к draft-выходу EVD-0005; проверить взвешиванием</v>
      </c>
      <c r="V106" s="38" t="str">
        <v>2026-08-03</v>
      </c>
      <c r="W106" s="38" t="str">
        <v>Chef</v>
      </c>
      <c r="X106" s="38" t="str">
        <v>GAP-004;GAP-005</v>
      </c>
      <c r="Y106" s="39" t="str">
        <v>Не является утверждённой нормой; gross/net/output зафиксировать в контрольной серии</v>
      </c>
    </row>
    <row r="107">
      <c r="A107" s="37" t="str">
        <v>RCP-0103</v>
      </c>
      <c r="B107" s="38" t="str">
        <v>VKM-011</v>
      </c>
      <c r="C107" s="38" t="str">
        <v>VKC-011</v>
      </c>
      <c r="D107" s="38" t="str">
        <v>VKT-011</v>
      </c>
      <c r="E107" s="38" t="str">
        <v>0.1.0-DRAFT</v>
      </c>
      <c r="F107" s="38" t="str">
        <v>ING-044</v>
      </c>
      <c r="G107" s="38" t="str">
        <v>Сыр фета</v>
      </c>
      <c r="H107" s="38" t="str">
        <v>RAW_OR_FLATTENED_COMPONENT</v>
      </c>
      <c r="I107" s="38" t="str">
        <v>Основная рецептура</v>
      </c>
      <c r="J107" s="38"/>
      <c r="K107" s="38" t="n">
        <v>50</v>
      </c>
      <c r="L107" s="38" t="str">
        <v>г</v>
      </c>
      <c r="M107" s="38" t="n">
        <v>50</v>
      </c>
      <c r="N107" s="38" t="str">
        <v>г</v>
      </c>
      <c r="O107" s="38" t="n">
        <v>50</v>
      </c>
      <c r="P107" s="38" t="str">
        <v>г</v>
      </c>
      <c r="Q107" s="38" t="n">
        <v>0</v>
      </c>
      <c r="R107" s="38" t="n">
        <v>0</v>
      </c>
      <c r="S107" s="38" t="str">
        <v>ASSUMPTION</v>
      </c>
      <c r="T107" s="38" t="str">
        <v>EVD-0007;EVD-0008</v>
      </c>
      <c r="U107" s="38" t="str">
        <v>Проектная декомпозиция ChefTechnologyAgent; суммы contribution нормированы к draft-выходу EVD-0005; проверить взвешиванием</v>
      </c>
      <c r="V107" s="38" t="str">
        <v>2026-08-03</v>
      </c>
      <c r="W107" s="38" t="str">
        <v>Chef</v>
      </c>
      <c r="X107" s="38" t="str">
        <v>GAP-004;GAP-005</v>
      </c>
      <c r="Y107" s="39" t="str">
        <v>Не является утверждённой нормой; gross/net/output зафиксировать в контрольной серии</v>
      </c>
    </row>
    <row r="108">
      <c r="A108" s="37" t="str">
        <v>RCP-0104</v>
      </c>
      <c r="B108" s="38" t="str">
        <v>VKM-011</v>
      </c>
      <c r="C108" s="38" t="str">
        <v>VKC-011</v>
      </c>
      <c r="D108" s="38" t="str">
        <v>VKT-011</v>
      </c>
      <c r="E108" s="38" t="str">
        <v>0.1.0-DRAFT</v>
      </c>
      <c r="F108" s="38" t="str">
        <v>ING-045</v>
      </c>
      <c r="G108" s="38" t="str">
        <v>Оливки</v>
      </c>
      <c r="H108" s="38" t="str">
        <v>RAW_OR_FLATTENED_COMPONENT</v>
      </c>
      <c r="I108" s="38" t="str">
        <v>Основная рецептура</v>
      </c>
      <c r="J108" s="38"/>
      <c r="K108" s="38" t="n">
        <v>21</v>
      </c>
      <c r="L108" s="38" t="str">
        <v>г</v>
      </c>
      <c r="M108" s="38" t="n">
        <v>20</v>
      </c>
      <c r="N108" s="38" t="str">
        <v>г</v>
      </c>
      <c r="O108" s="38" t="n">
        <v>20</v>
      </c>
      <c r="P108" s="38" t="str">
        <v>г</v>
      </c>
      <c r="Q108" s="38" t="n">
        <v>1</v>
      </c>
      <c r="R108" s="38" t="n">
        <v>0</v>
      </c>
      <c r="S108" s="38" t="str">
        <v>ASSUMPTION</v>
      </c>
      <c r="T108" s="38" t="str">
        <v>EVD-0007;EVD-0008</v>
      </c>
      <c r="U108" s="38" t="str">
        <v>Проектная декомпозиция ChefTechnologyAgent; суммы contribution нормированы к draft-выходу EVD-0005; проверить взвешиванием</v>
      </c>
      <c r="V108" s="38" t="str">
        <v>2026-08-03</v>
      </c>
      <c r="W108" s="38" t="str">
        <v>Chef</v>
      </c>
      <c r="X108" s="38" t="str">
        <v>GAP-004;GAP-005</v>
      </c>
      <c r="Y108" s="39" t="str">
        <v>Не является утверждённой нормой; gross/net/output зафиксировать в контрольной серии</v>
      </c>
    </row>
    <row r="109">
      <c r="A109" s="37" t="str">
        <v>RCP-0105</v>
      </c>
      <c r="B109" s="38" t="str">
        <v>VKM-011</v>
      </c>
      <c r="C109" s="38" t="str">
        <v>VKC-011</v>
      </c>
      <c r="D109" s="38" t="str">
        <v>VKT-011</v>
      </c>
      <c r="E109" s="38" t="str">
        <v>0.1.0-DRAFT</v>
      </c>
      <c r="F109" s="38" t="str">
        <v>ING-046</v>
      </c>
      <c r="G109" s="38" t="str">
        <v>Лук красный</v>
      </c>
      <c r="H109" s="38" t="str">
        <v>RAW_OR_FLATTENED_COMPONENT</v>
      </c>
      <c r="I109" s="38" t="str">
        <v>Основная рецептура</v>
      </c>
      <c r="J109" s="38"/>
      <c r="K109" s="38" t="n">
        <v>12</v>
      </c>
      <c r="L109" s="38" t="str">
        <v>г</v>
      </c>
      <c r="M109" s="38" t="n">
        <v>10</v>
      </c>
      <c r="N109" s="38" t="str">
        <v>г</v>
      </c>
      <c r="O109" s="38" t="n">
        <v>10</v>
      </c>
      <c r="P109" s="38" t="str">
        <v>г</v>
      </c>
      <c r="Q109" s="38" t="n">
        <v>2</v>
      </c>
      <c r="R109" s="38" t="n">
        <v>0</v>
      </c>
      <c r="S109" s="38" t="str">
        <v>ASSUMPTION</v>
      </c>
      <c r="T109" s="38" t="str">
        <v>EVD-0007;EVD-0008</v>
      </c>
      <c r="U109" s="38" t="str">
        <v>Проектная декомпозиция ChefTechnologyAgent; суммы contribution нормированы к draft-выходу EVD-0005; проверить взвешиванием</v>
      </c>
      <c r="V109" s="38" t="str">
        <v>2026-08-03</v>
      </c>
      <c r="W109" s="38" t="str">
        <v>Chef</v>
      </c>
      <c r="X109" s="38" t="str">
        <v>GAP-004;GAP-005</v>
      </c>
      <c r="Y109" s="39" t="str">
        <v>Не является утверждённой нормой; gross/net/output зафиксировать в контрольной серии</v>
      </c>
    </row>
    <row r="110">
      <c r="A110" s="37" t="str">
        <v>RCP-0106</v>
      </c>
      <c r="B110" s="38" t="str">
        <v>VKM-011</v>
      </c>
      <c r="C110" s="38" t="str">
        <v>VKC-011</v>
      </c>
      <c r="D110" s="38" t="str">
        <v>VKT-011</v>
      </c>
      <c r="E110" s="38" t="str">
        <v>0.1.0-DRAFT</v>
      </c>
      <c r="F110" s="38" t="str">
        <v>ING-005</v>
      </c>
      <c r="G110" s="38" t="str">
        <v>Масло оливковое</v>
      </c>
      <c r="H110" s="38" t="str">
        <v>RAW_OR_FLATTENED_COMPONENT</v>
      </c>
      <c r="I110" s="38" t="str">
        <v>Заправка</v>
      </c>
      <c r="J110" s="38" t="str">
        <v>VSF-009</v>
      </c>
      <c r="K110" s="38" t="n">
        <v>7</v>
      </c>
      <c r="L110" s="38" t="str">
        <v>г</v>
      </c>
      <c r="M110" s="38" t="n">
        <v>7</v>
      </c>
      <c r="N110" s="38" t="str">
        <v>г</v>
      </c>
      <c r="O110" s="38" t="n">
        <v>7</v>
      </c>
      <c r="P110" s="38" t="str">
        <v>г</v>
      </c>
      <c r="Q110" s="38" t="n">
        <v>0</v>
      </c>
      <c r="R110" s="38" t="n">
        <v>0</v>
      </c>
      <c r="S110" s="38" t="str">
        <v>ASSUMPTION</v>
      </c>
      <c r="T110" s="38" t="str">
        <v>EVD-0007;EVD-0008</v>
      </c>
      <c r="U110" s="38" t="str">
        <v>Проектная декомпозиция ChefTechnologyAgent; суммы contribution нормированы к draft-выходу EVD-0005; проверить взвешиванием</v>
      </c>
      <c r="V110" s="38" t="str">
        <v>2026-08-03</v>
      </c>
      <c r="W110" s="38" t="str">
        <v>Chef</v>
      </c>
      <c r="X110" s="38" t="str">
        <v>GAP-004;GAP-005</v>
      </c>
      <c r="Y110" s="39" t="str">
        <v>Не является утверждённой нормой; gross/net/output зафиксировать в контрольной серии</v>
      </c>
    </row>
    <row r="111">
      <c r="A111" s="37" t="str">
        <v>RCP-0107</v>
      </c>
      <c r="B111" s="38" t="str">
        <v>VKM-011</v>
      </c>
      <c r="C111" s="38" t="str">
        <v>VKC-011</v>
      </c>
      <c r="D111" s="38" t="str">
        <v>VKT-011</v>
      </c>
      <c r="E111" s="38" t="str">
        <v>0.1.0-DRAFT</v>
      </c>
      <c r="F111" s="38" t="str">
        <v>ING-039</v>
      </c>
      <c r="G111" s="38" t="str">
        <v>Сок лимона</v>
      </c>
      <c r="H111" s="38" t="str">
        <v>RAW_OR_FLATTENED_COMPONENT</v>
      </c>
      <c r="I111" s="38" t="str">
        <v>Заправка</v>
      </c>
      <c r="J111" s="38" t="str">
        <v>VSF-009</v>
      </c>
      <c r="K111" s="38" t="n">
        <v>3</v>
      </c>
      <c r="L111" s="38" t="str">
        <v>г</v>
      </c>
      <c r="M111" s="38" t="n">
        <v>2</v>
      </c>
      <c r="N111" s="38" t="str">
        <v>г</v>
      </c>
      <c r="O111" s="38" t="n">
        <v>2</v>
      </c>
      <c r="P111" s="38" t="str">
        <v>г</v>
      </c>
      <c r="Q111" s="38" t="n">
        <v>1</v>
      </c>
      <c r="R111" s="38" t="n">
        <v>0</v>
      </c>
      <c r="S111" s="38" t="str">
        <v>ASSUMPTION</v>
      </c>
      <c r="T111" s="38" t="str">
        <v>EVD-0007;EVD-0008</v>
      </c>
      <c r="U111" s="38" t="str">
        <v>Проектная декомпозиция ChefTechnologyAgent; суммы contribution нормированы к draft-выходу EVD-0005; проверить взвешиванием</v>
      </c>
      <c r="V111" s="38" t="str">
        <v>2026-08-03</v>
      </c>
      <c r="W111" s="38" t="str">
        <v>Chef</v>
      </c>
      <c r="X111" s="38" t="str">
        <v>GAP-004;GAP-005</v>
      </c>
      <c r="Y111" s="39" t="str">
        <v>Не является утверждённой нормой; gross/net/output зафиксировать в контрольной серии</v>
      </c>
    </row>
    <row r="112">
      <c r="A112" s="37" t="str">
        <v>RCP-0108</v>
      </c>
      <c r="B112" s="38" t="str">
        <v>VKM-011</v>
      </c>
      <c r="C112" s="38" t="str">
        <v>VKC-011</v>
      </c>
      <c r="D112" s="38" t="str">
        <v>VKT-011</v>
      </c>
      <c r="E112" s="38" t="str">
        <v>0.1.0-DRAFT</v>
      </c>
      <c r="F112" s="38" t="str">
        <v>ING-047</v>
      </c>
      <c r="G112" s="38" t="str">
        <v>Орегано и соль</v>
      </c>
      <c r="H112" s="38" t="str">
        <v>RAW_OR_FLATTENED_COMPONENT</v>
      </c>
      <c r="I112" s="38" t="str">
        <v>Заправка</v>
      </c>
      <c r="J112" s="38" t="str">
        <v>VSF-009</v>
      </c>
      <c r="K112" s="38" t="n">
        <v>1</v>
      </c>
      <c r="L112" s="38" t="str">
        <v>г</v>
      </c>
      <c r="M112" s="38" t="n">
        <v>1</v>
      </c>
      <c r="N112" s="38" t="str">
        <v>г</v>
      </c>
      <c r="O112" s="38" t="n">
        <v>1</v>
      </c>
      <c r="P112" s="38" t="str">
        <v>г</v>
      </c>
      <c r="Q112" s="38" t="n">
        <v>0</v>
      </c>
      <c r="R112" s="38" t="n">
        <v>0</v>
      </c>
      <c r="S112" s="38" t="str">
        <v>ASSUMPTION</v>
      </c>
      <c r="T112" s="38" t="str">
        <v>EVD-0007;EVD-0008</v>
      </c>
      <c r="U112" s="38" t="str">
        <v>Проектная декомпозиция ChefTechnologyAgent; суммы contribution нормированы к draft-выходу EVD-0005; проверить взвешиванием</v>
      </c>
      <c r="V112" s="38" t="str">
        <v>2026-08-03</v>
      </c>
      <c r="W112" s="38" t="str">
        <v>Chef</v>
      </c>
      <c r="X112" s="38" t="str">
        <v>GAP-004;GAP-005</v>
      </c>
      <c r="Y112" s="39" t="str">
        <v>Не является утверждённой нормой; gross/net/output зафиксировать в контрольной серии</v>
      </c>
    </row>
    <row r="113">
      <c r="A113" s="37" t="str">
        <v>RCP-0109</v>
      </c>
      <c r="B113" s="38" t="str">
        <v>VKM-012</v>
      </c>
      <c r="C113" s="38" t="str">
        <v>VKC-012</v>
      </c>
      <c r="D113" s="38" t="str">
        <v>VKT-012</v>
      </c>
      <c r="E113" s="38" t="str">
        <v>0.1.0-DRAFT</v>
      </c>
      <c r="F113" s="38" t="str">
        <v>ING-048</v>
      </c>
      <c r="G113" s="38" t="str">
        <v>Свёкла отварная</v>
      </c>
      <c r="H113" s="38" t="str">
        <v>RAW_OR_FLATTENED_COMPONENT</v>
      </c>
      <c r="I113" s="38" t="str">
        <v>Овощной полуфабрикат</v>
      </c>
      <c r="J113" s="38" t="str">
        <v>VSF-010</v>
      </c>
      <c r="K113" s="38" t="n">
        <v>95</v>
      </c>
      <c r="L113" s="38" t="str">
        <v>г</v>
      </c>
      <c r="M113" s="38" t="n">
        <v>88</v>
      </c>
      <c r="N113" s="38" t="str">
        <v>г</v>
      </c>
      <c r="O113" s="38" t="n">
        <v>80</v>
      </c>
      <c r="P113" s="38" t="str">
        <v>г</v>
      </c>
      <c r="Q113" s="38" t="n">
        <v>7</v>
      </c>
      <c r="R113" s="38" t="n">
        <v>8</v>
      </c>
      <c r="S113" s="38" t="str">
        <v>ASSUMPTION</v>
      </c>
      <c r="T113" s="38" t="str">
        <v>EVD-0007;EVD-0008</v>
      </c>
      <c r="U113" s="38" t="str">
        <v>Проектная декомпозиция ChefTechnologyAgent; суммы contribution нормированы к draft-выходу EVD-0005; проверить взвешиванием</v>
      </c>
      <c r="V113" s="38" t="str">
        <v>2026-08-03</v>
      </c>
      <c r="W113" s="38" t="str">
        <v>Chef</v>
      </c>
      <c r="X113" s="38" t="str">
        <v>GAP-004;GAP-005</v>
      </c>
      <c r="Y113" s="39" t="str">
        <v>Не является утверждённой нормой; gross/net/output зафиксировать в контрольной серии</v>
      </c>
    </row>
    <row r="114">
      <c r="A114" s="37" t="str">
        <v>RCP-0110</v>
      </c>
      <c r="B114" s="38" t="str">
        <v>VKM-012</v>
      </c>
      <c r="C114" s="38" t="str">
        <v>VKC-012</v>
      </c>
      <c r="D114" s="38" t="str">
        <v>VKT-012</v>
      </c>
      <c r="E114" s="38" t="str">
        <v>0.1.0-DRAFT</v>
      </c>
      <c r="F114" s="38" t="str">
        <v>ING-049</v>
      </c>
      <c r="G114" s="38" t="str">
        <v>Картофель отварной</v>
      </c>
      <c r="H114" s="38" t="str">
        <v>RAW_OR_FLATTENED_COMPONENT</v>
      </c>
      <c r="I114" s="38" t="str">
        <v>Овощной полуфабрикат</v>
      </c>
      <c r="J114" s="38" t="str">
        <v>VSF-010</v>
      </c>
      <c r="K114" s="38" t="n">
        <v>65</v>
      </c>
      <c r="L114" s="38" t="str">
        <v>г</v>
      </c>
      <c r="M114" s="38" t="n">
        <v>58</v>
      </c>
      <c r="N114" s="38" t="str">
        <v>г</v>
      </c>
      <c r="O114" s="38" t="n">
        <v>50</v>
      </c>
      <c r="P114" s="38" t="str">
        <v>г</v>
      </c>
      <c r="Q114" s="38" t="n">
        <v>7</v>
      </c>
      <c r="R114" s="38" t="n">
        <v>8</v>
      </c>
      <c r="S114" s="38" t="str">
        <v>ASSUMPTION</v>
      </c>
      <c r="T114" s="38" t="str">
        <v>EVD-0007;EVD-0008</v>
      </c>
      <c r="U114" s="38" t="str">
        <v>Проектная декомпозиция ChefTechnologyAgent; суммы contribution нормированы к draft-выходу EVD-0005; проверить взвешиванием</v>
      </c>
      <c r="V114" s="38" t="str">
        <v>2026-08-03</v>
      </c>
      <c r="W114" s="38" t="str">
        <v>Chef</v>
      </c>
      <c r="X114" s="38" t="str">
        <v>GAP-004;GAP-005</v>
      </c>
      <c r="Y114" s="39" t="str">
        <v>Не является утверждённой нормой; gross/net/output зафиксировать в контрольной серии</v>
      </c>
    </row>
    <row r="115">
      <c r="A115" s="37" t="str">
        <v>RCP-0111</v>
      </c>
      <c r="B115" s="38" t="str">
        <v>VKM-012</v>
      </c>
      <c r="C115" s="38" t="str">
        <v>VKC-012</v>
      </c>
      <c r="D115" s="38" t="str">
        <v>VKT-012</v>
      </c>
      <c r="E115" s="38" t="str">
        <v>0.1.0-DRAFT</v>
      </c>
      <c r="F115" s="38" t="str">
        <v>ING-050</v>
      </c>
      <c r="G115" s="38" t="str">
        <v>Морковь отварная</v>
      </c>
      <c r="H115" s="38" t="str">
        <v>RAW_OR_FLATTENED_COMPONENT</v>
      </c>
      <c r="I115" s="38" t="str">
        <v>Овощной полуфабрикат</v>
      </c>
      <c r="J115" s="38" t="str">
        <v>VSF-010</v>
      </c>
      <c r="K115" s="38" t="n">
        <v>38</v>
      </c>
      <c r="L115" s="38" t="str">
        <v>г</v>
      </c>
      <c r="M115" s="38" t="n">
        <v>34</v>
      </c>
      <c r="N115" s="38" t="str">
        <v>г</v>
      </c>
      <c r="O115" s="38" t="n">
        <v>30</v>
      </c>
      <c r="P115" s="38" t="str">
        <v>г</v>
      </c>
      <c r="Q115" s="38" t="n">
        <v>4</v>
      </c>
      <c r="R115" s="38" t="n">
        <v>4</v>
      </c>
      <c r="S115" s="38" t="str">
        <v>ASSUMPTION</v>
      </c>
      <c r="T115" s="38" t="str">
        <v>EVD-0007;EVD-0008</v>
      </c>
      <c r="U115" s="38" t="str">
        <v>Проектная декомпозиция ChefTechnologyAgent; суммы contribution нормированы к draft-выходу EVD-0005; проверить взвешиванием</v>
      </c>
      <c r="V115" s="38" t="str">
        <v>2026-08-03</v>
      </c>
      <c r="W115" s="38" t="str">
        <v>Chef</v>
      </c>
      <c r="X115" s="38" t="str">
        <v>GAP-004;GAP-005</v>
      </c>
      <c r="Y115" s="39" t="str">
        <v>Не является утверждённой нормой; gross/net/output зафиксировать в контрольной серии</v>
      </c>
    </row>
    <row r="116">
      <c r="A116" s="37" t="str">
        <v>RCP-0112</v>
      </c>
      <c r="B116" s="38" t="str">
        <v>VKM-012</v>
      </c>
      <c r="C116" s="38" t="str">
        <v>VKC-012</v>
      </c>
      <c r="D116" s="38" t="str">
        <v>VKT-012</v>
      </c>
      <c r="E116" s="38" t="str">
        <v>0.1.0-DRAFT</v>
      </c>
      <c r="F116" s="38" t="str">
        <v>ING-051</v>
      </c>
      <c r="G116" s="38" t="str">
        <v>Огурец солёный</v>
      </c>
      <c r="H116" s="38" t="str">
        <v>RAW_OR_FLATTENED_COMPONENT</v>
      </c>
      <c r="I116" s="38" t="str">
        <v>Сборка</v>
      </c>
      <c r="J116" s="38"/>
      <c r="K116" s="38" t="n">
        <v>40</v>
      </c>
      <c r="L116" s="38" t="str">
        <v>г</v>
      </c>
      <c r="M116" s="38" t="n">
        <v>35</v>
      </c>
      <c r="N116" s="38" t="str">
        <v>г</v>
      </c>
      <c r="O116" s="38" t="n">
        <v>35</v>
      </c>
      <c r="P116" s="38" t="str">
        <v>г</v>
      </c>
      <c r="Q116" s="38" t="n">
        <v>5</v>
      </c>
      <c r="R116" s="38" t="n">
        <v>0</v>
      </c>
      <c r="S116" s="38" t="str">
        <v>ASSUMPTION</v>
      </c>
      <c r="T116" s="38" t="str">
        <v>EVD-0007;EVD-0008</v>
      </c>
      <c r="U116" s="38" t="str">
        <v>Проектная декомпозиция ChefTechnologyAgent; суммы contribution нормированы к draft-выходу EVD-0005; проверить взвешиванием</v>
      </c>
      <c r="V116" s="38" t="str">
        <v>2026-08-03</v>
      </c>
      <c r="W116" s="38" t="str">
        <v>Chef</v>
      </c>
      <c r="X116" s="38" t="str">
        <v>GAP-004;GAP-005</v>
      </c>
      <c r="Y116" s="39" t="str">
        <v>Не является утверждённой нормой; gross/net/output зафиксировать в контрольной серии</v>
      </c>
    </row>
    <row r="117">
      <c r="A117" s="37" t="str">
        <v>RCP-0113</v>
      </c>
      <c r="B117" s="38" t="str">
        <v>VKM-012</v>
      </c>
      <c r="C117" s="38" t="str">
        <v>VKC-012</v>
      </c>
      <c r="D117" s="38" t="str">
        <v>VKT-012</v>
      </c>
      <c r="E117" s="38" t="str">
        <v>0.1.0-DRAFT</v>
      </c>
      <c r="F117" s="38" t="str">
        <v>ING-052</v>
      </c>
      <c r="G117" s="38" t="str">
        <v>Капуста квашеная</v>
      </c>
      <c r="H117" s="38" t="str">
        <v>RAW_OR_FLATTENED_COMPONENT</v>
      </c>
      <c r="I117" s="38" t="str">
        <v>Сборка</v>
      </c>
      <c r="J117" s="38"/>
      <c r="K117" s="38" t="n">
        <v>28</v>
      </c>
      <c r="L117" s="38" t="str">
        <v>г</v>
      </c>
      <c r="M117" s="38" t="n">
        <v>25</v>
      </c>
      <c r="N117" s="38" t="str">
        <v>г</v>
      </c>
      <c r="O117" s="38" t="n">
        <v>25</v>
      </c>
      <c r="P117" s="38" t="str">
        <v>г</v>
      </c>
      <c r="Q117" s="38" t="n">
        <v>3</v>
      </c>
      <c r="R117" s="38" t="n">
        <v>0</v>
      </c>
      <c r="S117" s="38" t="str">
        <v>ASSUMPTION</v>
      </c>
      <c r="T117" s="38" t="str">
        <v>EVD-0007;EVD-0008</v>
      </c>
      <c r="U117" s="38" t="str">
        <v>Проектная декомпозиция ChefTechnologyAgent; суммы contribution нормированы к draft-выходу EVD-0005; проверить взвешиванием</v>
      </c>
      <c r="V117" s="38" t="str">
        <v>2026-08-03</v>
      </c>
      <c r="W117" s="38" t="str">
        <v>Chef</v>
      </c>
      <c r="X117" s="38" t="str">
        <v>GAP-004;GAP-005</v>
      </c>
      <c r="Y117" s="39" t="str">
        <v>Не является утверждённой нормой; gross/net/output зафиксировать в контрольной серии</v>
      </c>
    </row>
    <row r="118">
      <c r="A118" s="37" t="str">
        <v>RCP-0114</v>
      </c>
      <c r="B118" s="38" t="str">
        <v>VKM-012</v>
      </c>
      <c r="C118" s="38" t="str">
        <v>VKC-012</v>
      </c>
      <c r="D118" s="38" t="str">
        <v>VKT-012</v>
      </c>
      <c r="E118" s="38" t="str">
        <v>0.1.0-DRAFT</v>
      </c>
      <c r="F118" s="38" t="str">
        <v>ING-053</v>
      </c>
      <c r="G118" s="38" t="str">
        <v>Горошек консервированный без заливки</v>
      </c>
      <c r="H118" s="38" t="str">
        <v>RAW_OR_FLATTENED_COMPONENT</v>
      </c>
      <c r="I118" s="38" t="str">
        <v>Сборка</v>
      </c>
      <c r="J118" s="38"/>
      <c r="K118" s="38" t="n">
        <v>16</v>
      </c>
      <c r="L118" s="38" t="str">
        <v>г</v>
      </c>
      <c r="M118" s="38" t="n">
        <v>10</v>
      </c>
      <c r="N118" s="38" t="str">
        <v>г</v>
      </c>
      <c r="O118" s="38" t="n">
        <v>10</v>
      </c>
      <c r="P118" s="38" t="str">
        <v>г</v>
      </c>
      <c r="Q118" s="38" t="n">
        <v>6</v>
      </c>
      <c r="R118" s="38" t="n">
        <v>0</v>
      </c>
      <c r="S118" s="38" t="str">
        <v>ASSUMPTION</v>
      </c>
      <c r="T118" s="38" t="str">
        <v>EVD-0007;EVD-0008</v>
      </c>
      <c r="U118" s="38" t="str">
        <v>Проектная декомпозиция ChefTechnologyAgent; суммы contribution нормированы к draft-выходу EVD-0005; проверить взвешиванием</v>
      </c>
      <c r="V118" s="38" t="str">
        <v>2026-08-03</v>
      </c>
      <c r="W118" s="38" t="str">
        <v>Chef</v>
      </c>
      <c r="X118" s="38" t="str">
        <v>GAP-004;GAP-005</v>
      </c>
      <c r="Y118" s="39" t="str">
        <v>Не является утверждённой нормой; gross/net/output зафиксировать в контрольной серии</v>
      </c>
    </row>
    <row r="119">
      <c r="A119" s="37" t="str">
        <v>RCP-0115</v>
      </c>
      <c r="B119" s="38" t="str">
        <v>VKM-012</v>
      </c>
      <c r="C119" s="38" t="str">
        <v>VKC-012</v>
      </c>
      <c r="D119" s="38" t="str">
        <v>VKT-012</v>
      </c>
      <c r="E119" s="38" t="str">
        <v>0.1.0-DRAFT</v>
      </c>
      <c r="F119" s="38" t="str">
        <v>ING-016</v>
      </c>
      <c r="G119" s="38" t="str">
        <v>Лук репчатый</v>
      </c>
      <c r="H119" s="38" t="str">
        <v>RAW_OR_FLATTENED_COMPONENT</v>
      </c>
      <c r="I119" s="38" t="str">
        <v>Сборка</v>
      </c>
      <c r="J119" s="38"/>
      <c r="K119" s="38" t="n">
        <v>6</v>
      </c>
      <c r="L119" s="38" t="str">
        <v>г</v>
      </c>
      <c r="M119" s="38" t="n">
        <v>5</v>
      </c>
      <c r="N119" s="38" t="str">
        <v>г</v>
      </c>
      <c r="O119" s="38" t="n">
        <v>5</v>
      </c>
      <c r="P119" s="38" t="str">
        <v>г</v>
      </c>
      <c r="Q119" s="38" t="n">
        <v>1</v>
      </c>
      <c r="R119" s="38" t="n">
        <v>0</v>
      </c>
      <c r="S119" s="38" t="str">
        <v>ASSUMPTION</v>
      </c>
      <c r="T119" s="38" t="str">
        <v>EVD-0007;EVD-0008</v>
      </c>
      <c r="U119" s="38" t="str">
        <v>Проектная декомпозиция ChefTechnologyAgent; суммы contribution нормированы к draft-выходу EVD-0005; проверить взвешиванием</v>
      </c>
      <c r="V119" s="38" t="str">
        <v>2026-08-03</v>
      </c>
      <c r="W119" s="38" t="str">
        <v>Chef</v>
      </c>
      <c r="X119" s="38" t="str">
        <v>GAP-004;GAP-005</v>
      </c>
      <c r="Y119" s="39" t="str">
        <v>Не является утверждённой нормой; gross/net/output зафиксировать в контрольной серии</v>
      </c>
    </row>
    <row r="120">
      <c r="A120" s="37" t="str">
        <v>RCP-0116</v>
      </c>
      <c r="B120" s="38" t="str">
        <v>VKM-012</v>
      </c>
      <c r="C120" s="38" t="str">
        <v>VKC-012</v>
      </c>
      <c r="D120" s="38" t="str">
        <v>VKT-012</v>
      </c>
      <c r="E120" s="38" t="str">
        <v>0.1.0-DRAFT</v>
      </c>
      <c r="F120" s="38" t="str">
        <v>ING-024</v>
      </c>
      <c r="G120" s="38" t="str">
        <v>Масло растительное</v>
      </c>
      <c r="H120" s="38" t="str">
        <v>RAW_OR_FLATTENED_COMPONENT</v>
      </c>
      <c r="I120" s="38" t="str">
        <v>Заправка</v>
      </c>
      <c r="J120" s="38"/>
      <c r="K120" s="38" t="n">
        <v>5</v>
      </c>
      <c r="L120" s="38" t="str">
        <v>г</v>
      </c>
      <c r="M120" s="38" t="n">
        <v>5</v>
      </c>
      <c r="N120" s="38" t="str">
        <v>г</v>
      </c>
      <c r="O120" s="38" t="n">
        <v>5</v>
      </c>
      <c r="P120" s="38" t="str">
        <v>г</v>
      </c>
      <c r="Q120" s="38" t="n">
        <v>0</v>
      </c>
      <c r="R120" s="38" t="n">
        <v>0</v>
      </c>
      <c r="S120" s="38" t="str">
        <v>ASSUMPTION</v>
      </c>
      <c r="T120" s="38" t="str">
        <v>EVD-0007;EVD-0008</v>
      </c>
      <c r="U120" s="38" t="str">
        <v>Проектная декомпозиция ChefTechnologyAgent; суммы contribution нормированы к draft-выходу EVD-0005; проверить взвешиванием</v>
      </c>
      <c r="V120" s="38" t="str">
        <v>2026-08-03</v>
      </c>
      <c r="W120" s="38" t="str">
        <v>Chef</v>
      </c>
      <c r="X120" s="38" t="str">
        <v>GAP-004;GAP-005</v>
      </c>
      <c r="Y120" s="39" t="str">
        <v>Не является утверждённой нормой; gross/net/output зафиксировать в контрольной серии</v>
      </c>
    </row>
    <row r="121">
      <c r="A121" s="37" t="str">
        <v>RCP-0117</v>
      </c>
      <c r="B121" s="38" t="str">
        <v>VKM-013</v>
      </c>
      <c r="C121" s="38" t="str">
        <v>VKC-013</v>
      </c>
      <c r="D121" s="38" t="str">
        <v>VKT-013</v>
      </c>
      <c r="E121" s="38" t="str">
        <v>0.1.0-DRAFT</v>
      </c>
      <c r="F121" s="38" t="str">
        <v>ING-054</v>
      </c>
      <c r="G121" s="38" t="str">
        <v>Лосось слабосолёный, готовое филе</v>
      </c>
      <c r="H121" s="38" t="str">
        <v>RAW_OR_FLATTENED_COMPONENT</v>
      </c>
      <c r="I121" s="38" t="str">
        <v>Основная рецептура</v>
      </c>
      <c r="J121" s="38"/>
      <c r="K121" s="38" t="n">
        <v>110</v>
      </c>
      <c r="L121" s="38" t="str">
        <v>г</v>
      </c>
      <c r="M121" s="38" t="n">
        <v>100</v>
      </c>
      <c r="N121" s="38" t="str">
        <v>г</v>
      </c>
      <c r="O121" s="38" t="n">
        <v>100</v>
      </c>
      <c r="P121" s="38" t="str">
        <v>г</v>
      </c>
      <c r="Q121" s="38" t="n">
        <v>10</v>
      </c>
      <c r="R121" s="38" t="n">
        <v>0</v>
      </c>
      <c r="S121" s="38" t="str">
        <v>ASSUMPTION</v>
      </c>
      <c r="T121" s="38" t="str">
        <v>EVD-0007;EVD-0008</v>
      </c>
      <c r="U121" s="38" t="str">
        <v>Проектная декомпозиция ChefTechnologyAgent; суммы contribution нормированы к draft-выходу EVD-0005; проверить взвешиванием</v>
      </c>
      <c r="V121" s="38" t="str">
        <v>2026-08-03</v>
      </c>
      <c r="W121" s="38" t="str">
        <v>Chef</v>
      </c>
      <c r="X121" s="38" t="str">
        <v>GAP-004;GAP-005</v>
      </c>
      <c r="Y121" s="39" t="str">
        <v>Не является утверждённой нормой; gross/net/output зафиксировать в контрольной серии</v>
      </c>
    </row>
    <row r="122">
      <c r="A122" s="37" t="str">
        <v>RCP-0118</v>
      </c>
      <c r="B122" s="38" t="str">
        <v>VKM-013</v>
      </c>
      <c r="C122" s="38" t="str">
        <v>VKC-013</v>
      </c>
      <c r="D122" s="38" t="str">
        <v>VKT-013</v>
      </c>
      <c r="E122" s="38" t="str">
        <v>0.1.0-DRAFT</v>
      </c>
      <c r="F122" s="38" t="str">
        <v>ING-055</v>
      </c>
      <c r="G122" s="38" t="str">
        <v>Лимон</v>
      </c>
      <c r="H122" s="38" t="str">
        <v>RAW_OR_FLATTENED_COMPONENT</v>
      </c>
      <c r="I122" s="38" t="str">
        <v>Основная рецептура</v>
      </c>
      <c r="J122" s="38"/>
      <c r="K122" s="38" t="n">
        <v>13</v>
      </c>
      <c r="L122" s="38" t="str">
        <v>г</v>
      </c>
      <c r="M122" s="38" t="n">
        <v>10</v>
      </c>
      <c r="N122" s="38" t="str">
        <v>г</v>
      </c>
      <c r="O122" s="38" t="n">
        <v>10</v>
      </c>
      <c r="P122" s="38" t="str">
        <v>г</v>
      </c>
      <c r="Q122" s="38" t="n">
        <v>3</v>
      </c>
      <c r="R122" s="38" t="n">
        <v>0</v>
      </c>
      <c r="S122" s="38" t="str">
        <v>ASSUMPTION</v>
      </c>
      <c r="T122" s="38" t="str">
        <v>EVD-0007;EVD-0008</v>
      </c>
      <c r="U122" s="38" t="str">
        <v>Проектная декомпозиция ChefTechnologyAgent; суммы contribution нормированы к draft-выходу EVD-0005; проверить взвешиванием</v>
      </c>
      <c r="V122" s="38" t="str">
        <v>2026-08-03</v>
      </c>
      <c r="W122" s="38" t="str">
        <v>Chef</v>
      </c>
      <c r="X122" s="38" t="str">
        <v>GAP-004;GAP-005</v>
      </c>
      <c r="Y122" s="39" t="str">
        <v>Не является утверждённой нормой; gross/net/output зафиксировать в контрольной серии</v>
      </c>
    </row>
    <row r="123">
      <c r="A123" s="37" t="str">
        <v>RCP-0119</v>
      </c>
      <c r="B123" s="38" t="str">
        <v>VKM-013</v>
      </c>
      <c r="C123" s="38" t="str">
        <v>VKC-013</v>
      </c>
      <c r="D123" s="38" t="str">
        <v>VKT-013</v>
      </c>
      <c r="E123" s="38" t="str">
        <v>0.1.0-DRAFT</v>
      </c>
      <c r="F123" s="38" t="str">
        <v>ING-034</v>
      </c>
      <c r="G123" s="38" t="str">
        <v>Салатная зелень</v>
      </c>
      <c r="H123" s="38" t="str">
        <v>RAW_OR_FLATTENED_COMPONENT</v>
      </c>
      <c r="I123" s="38" t="str">
        <v>Основная рецептура</v>
      </c>
      <c r="J123" s="38"/>
      <c r="K123" s="38" t="n">
        <v>12</v>
      </c>
      <c r="L123" s="38" t="str">
        <v>г</v>
      </c>
      <c r="M123" s="38" t="n">
        <v>10</v>
      </c>
      <c r="N123" s="38" t="str">
        <v>г</v>
      </c>
      <c r="O123" s="38" t="n">
        <v>10</v>
      </c>
      <c r="P123" s="38" t="str">
        <v>г</v>
      </c>
      <c r="Q123" s="38" t="n">
        <v>2</v>
      </c>
      <c r="R123" s="38" t="n">
        <v>0</v>
      </c>
      <c r="S123" s="38" t="str">
        <v>ASSUMPTION</v>
      </c>
      <c r="T123" s="38" t="str">
        <v>EVD-0007;EVD-0008</v>
      </c>
      <c r="U123" s="38" t="str">
        <v>Проектная декомпозиция ChefTechnologyAgent; суммы contribution нормированы к draft-выходу EVD-0005; проверить взвешиванием</v>
      </c>
      <c r="V123" s="38" t="str">
        <v>2026-08-03</v>
      </c>
      <c r="W123" s="38" t="str">
        <v>Chef</v>
      </c>
      <c r="X123" s="38" t="str">
        <v>GAP-004;GAP-005</v>
      </c>
      <c r="Y123" s="39" t="str">
        <v>Не является утверждённой нормой; gross/net/output зафиксировать в контрольной серии</v>
      </c>
    </row>
    <row r="124">
      <c r="A124" s="37" t="str">
        <v>RCP-0120</v>
      </c>
      <c r="B124" s="38" t="str">
        <v>VKM-013</v>
      </c>
      <c r="C124" s="38" t="str">
        <v>VKC-013</v>
      </c>
      <c r="D124" s="38" t="str">
        <v>VKT-013</v>
      </c>
      <c r="E124" s="38" t="str">
        <v>0.1.0-DRAFT</v>
      </c>
      <c r="F124" s="38" t="str">
        <v>ING-056</v>
      </c>
      <c r="G124" s="38" t="str">
        <v>Каперсы</v>
      </c>
      <c r="H124" s="38" t="str">
        <v>RAW_OR_FLATTENED_COMPONENT</v>
      </c>
      <c r="I124" s="38" t="str">
        <v>Основная рецептура</v>
      </c>
      <c r="J124" s="38"/>
      <c r="K124" s="38" t="n">
        <v>6</v>
      </c>
      <c r="L124" s="38" t="str">
        <v>г</v>
      </c>
      <c r="M124" s="38" t="n">
        <v>5</v>
      </c>
      <c r="N124" s="38" t="str">
        <v>г</v>
      </c>
      <c r="O124" s="38" t="n">
        <v>5</v>
      </c>
      <c r="P124" s="38" t="str">
        <v>г</v>
      </c>
      <c r="Q124" s="38" t="n">
        <v>1</v>
      </c>
      <c r="R124" s="38" t="n">
        <v>0</v>
      </c>
      <c r="S124" s="38" t="str">
        <v>ASSUMPTION</v>
      </c>
      <c r="T124" s="38" t="str">
        <v>EVD-0007;EVD-0008</v>
      </c>
      <c r="U124" s="38" t="str">
        <v>Проектная декомпозиция ChefTechnologyAgent; суммы contribution нормированы к draft-выходу EVD-0005; проверить взвешиванием</v>
      </c>
      <c r="V124" s="38" t="str">
        <v>2026-08-03</v>
      </c>
      <c r="W124" s="38" t="str">
        <v>Chef</v>
      </c>
      <c r="X124" s="38" t="str">
        <v>GAP-004;GAP-005</v>
      </c>
      <c r="Y124" s="39" t="str">
        <v>Не является утверждённой нормой; gross/net/output зафиксировать в контрольной серии</v>
      </c>
    </row>
    <row r="125">
      <c r="A125" s="37" t="str">
        <v>RCP-0121</v>
      </c>
      <c r="B125" s="38" t="str">
        <v>VKM-013</v>
      </c>
      <c r="C125" s="38" t="str">
        <v>VKC-013</v>
      </c>
      <c r="D125" s="38" t="str">
        <v>VKT-013</v>
      </c>
      <c r="E125" s="38" t="str">
        <v>0.1.0-DRAFT</v>
      </c>
      <c r="F125" s="38" t="str">
        <v>ING-024</v>
      </c>
      <c r="G125" s="38" t="str">
        <v>Масло растительное</v>
      </c>
      <c r="H125" s="38" t="str">
        <v>RAW_OR_FLATTENED_COMPONENT</v>
      </c>
      <c r="I125" s="38" t="str">
        <v>Основная рецептура</v>
      </c>
      <c r="J125" s="38"/>
      <c r="K125" s="38" t="n">
        <v>5</v>
      </c>
      <c r="L125" s="38" t="str">
        <v>г</v>
      </c>
      <c r="M125" s="38" t="n">
        <v>5</v>
      </c>
      <c r="N125" s="38" t="str">
        <v>г</v>
      </c>
      <c r="O125" s="38" t="n">
        <v>5</v>
      </c>
      <c r="P125" s="38" t="str">
        <v>г</v>
      </c>
      <c r="Q125" s="38" t="n">
        <v>0</v>
      </c>
      <c r="R125" s="38" t="n">
        <v>0</v>
      </c>
      <c r="S125" s="38" t="str">
        <v>ASSUMPTION</v>
      </c>
      <c r="T125" s="38" t="str">
        <v>EVD-0007;EVD-0008</v>
      </c>
      <c r="U125" s="38" t="str">
        <v>Проектная декомпозиция ChefTechnologyAgent; суммы contribution нормированы к draft-выходу EVD-0005; проверить взвешиванием</v>
      </c>
      <c r="V125" s="38" t="str">
        <v>2026-08-03</v>
      </c>
      <c r="W125" s="38" t="str">
        <v>Chef</v>
      </c>
      <c r="X125" s="38" t="str">
        <v>GAP-004;GAP-005</v>
      </c>
      <c r="Y125" s="39" t="str">
        <v>Не является утверждённой нормой; gross/net/output зафиксировать в контрольной серии</v>
      </c>
    </row>
    <row r="126">
      <c r="A126" s="37" t="str">
        <v>RCP-0122</v>
      </c>
      <c r="B126" s="38" t="str">
        <v>VKM-014</v>
      </c>
      <c r="C126" s="38" t="str">
        <v>VKC-014</v>
      </c>
      <c r="D126" s="38" t="str">
        <v>VKT-014</v>
      </c>
      <c r="E126" s="38" t="str">
        <v>0.1.0-DRAFT</v>
      </c>
      <c r="F126" s="38" t="str">
        <v>ING-057</v>
      </c>
      <c r="G126" s="38" t="str">
        <v>Сельдь, филе</v>
      </c>
      <c r="H126" s="38" t="str">
        <v>RAW_OR_FLATTENED_COMPONENT</v>
      </c>
      <c r="I126" s="38" t="str">
        <v>Сборка</v>
      </c>
      <c r="J126" s="38"/>
      <c r="K126" s="38" t="n">
        <v>110</v>
      </c>
      <c r="L126" s="38" t="str">
        <v>г</v>
      </c>
      <c r="M126" s="38" t="n">
        <v>95</v>
      </c>
      <c r="N126" s="38" t="str">
        <v>г</v>
      </c>
      <c r="O126" s="38" t="n">
        <v>90</v>
      </c>
      <c r="P126" s="38" t="str">
        <v>г</v>
      </c>
      <c r="Q126" s="38" t="n">
        <v>15</v>
      </c>
      <c r="R126" s="38" t="n">
        <v>5</v>
      </c>
      <c r="S126" s="38" t="str">
        <v>ASSUMPTION</v>
      </c>
      <c r="T126" s="38" t="str">
        <v>EVD-0007;EVD-0008</v>
      </c>
      <c r="U126" s="38" t="str">
        <v>Проектная декомпозиция ChefTechnologyAgent; суммы contribution нормированы к draft-выходу EVD-0005; проверить взвешиванием</v>
      </c>
      <c r="V126" s="38" t="str">
        <v>2026-08-03</v>
      </c>
      <c r="W126" s="38" t="str">
        <v>Chef</v>
      </c>
      <c r="X126" s="38" t="str">
        <v>GAP-004;GAP-005</v>
      </c>
      <c r="Y126" s="39" t="str">
        <v>Не является утверждённой нормой; gross/net/output зафиксировать в контрольной серии</v>
      </c>
    </row>
    <row r="127">
      <c r="A127" s="37" t="str">
        <v>RCP-0123</v>
      </c>
      <c r="B127" s="38" t="str">
        <v>VKM-014</v>
      </c>
      <c r="C127" s="38" t="str">
        <v>VKC-014</v>
      </c>
      <c r="D127" s="38" t="str">
        <v>VKT-014</v>
      </c>
      <c r="E127" s="38" t="str">
        <v>0.1.0-DRAFT</v>
      </c>
      <c r="F127" s="38" t="str">
        <v>ING-058</v>
      </c>
      <c r="G127" s="38" t="str">
        <v>Картофель запечённый</v>
      </c>
      <c r="H127" s="38" t="str">
        <v>RAW_OR_FLATTENED_COMPONENT</v>
      </c>
      <c r="I127" s="38" t="str">
        <v>Картофельный полуфабрикат</v>
      </c>
      <c r="J127" s="38" t="str">
        <v>VSF-011</v>
      </c>
      <c r="K127" s="38" t="n">
        <v>135</v>
      </c>
      <c r="L127" s="38" t="str">
        <v>г</v>
      </c>
      <c r="M127" s="38" t="n">
        <v>125</v>
      </c>
      <c r="N127" s="38" t="str">
        <v>г</v>
      </c>
      <c r="O127" s="38" t="n">
        <v>110</v>
      </c>
      <c r="P127" s="38" t="str">
        <v>г</v>
      </c>
      <c r="Q127" s="38" t="n">
        <v>10</v>
      </c>
      <c r="R127" s="38" t="n">
        <v>15</v>
      </c>
      <c r="S127" s="38" t="str">
        <v>ASSUMPTION</v>
      </c>
      <c r="T127" s="38" t="str">
        <v>EVD-0007;EVD-0008</v>
      </c>
      <c r="U127" s="38" t="str">
        <v>Проектная декомпозиция ChefTechnologyAgent; суммы contribution нормированы к draft-выходу EVD-0005; проверить взвешиванием</v>
      </c>
      <c r="V127" s="38" t="str">
        <v>2026-08-03</v>
      </c>
      <c r="W127" s="38" t="str">
        <v>Chef</v>
      </c>
      <c r="X127" s="38" t="str">
        <v>GAP-004;GAP-005</v>
      </c>
      <c r="Y127" s="39" t="str">
        <v>Не является утверждённой нормой; gross/net/output зафиксировать в контрольной серии</v>
      </c>
    </row>
    <row r="128">
      <c r="A128" s="37" t="str">
        <v>RCP-0124</v>
      </c>
      <c r="B128" s="38" t="str">
        <v>VKM-014</v>
      </c>
      <c r="C128" s="38" t="str">
        <v>VKC-014</v>
      </c>
      <c r="D128" s="38" t="str">
        <v>VKT-014</v>
      </c>
      <c r="E128" s="38" t="str">
        <v>0.1.0-DRAFT</v>
      </c>
      <c r="F128" s="38" t="str">
        <v>ING-046</v>
      </c>
      <c r="G128" s="38" t="str">
        <v>Лук красный</v>
      </c>
      <c r="H128" s="38" t="str">
        <v>RAW_OR_FLATTENED_COMPONENT</v>
      </c>
      <c r="I128" s="38" t="str">
        <v>Сборка</v>
      </c>
      <c r="J128" s="38"/>
      <c r="K128" s="38" t="n">
        <v>24</v>
      </c>
      <c r="L128" s="38" t="str">
        <v>г</v>
      </c>
      <c r="M128" s="38" t="n">
        <v>20</v>
      </c>
      <c r="N128" s="38" t="str">
        <v>г</v>
      </c>
      <c r="O128" s="38" t="n">
        <v>20</v>
      </c>
      <c r="P128" s="38" t="str">
        <v>г</v>
      </c>
      <c r="Q128" s="38" t="n">
        <v>4</v>
      </c>
      <c r="R128" s="38" t="n">
        <v>0</v>
      </c>
      <c r="S128" s="38" t="str">
        <v>ASSUMPTION</v>
      </c>
      <c r="T128" s="38" t="str">
        <v>EVD-0007;EVD-0008</v>
      </c>
      <c r="U128" s="38" t="str">
        <v>Проектная декомпозиция ChefTechnologyAgent; суммы contribution нормированы к draft-выходу EVD-0005; проверить взвешиванием</v>
      </c>
      <c r="V128" s="38" t="str">
        <v>2026-08-03</v>
      </c>
      <c r="W128" s="38" t="str">
        <v>Chef</v>
      </c>
      <c r="X128" s="38" t="str">
        <v>GAP-004;GAP-005</v>
      </c>
      <c r="Y128" s="39" t="str">
        <v>Не является утверждённой нормой; gross/net/output зафиксировать в контрольной серии</v>
      </c>
    </row>
    <row r="129">
      <c r="A129" s="37" t="str">
        <v>RCP-0125</v>
      </c>
      <c r="B129" s="38" t="str">
        <v>VKM-014</v>
      </c>
      <c r="C129" s="38" t="str">
        <v>VKC-014</v>
      </c>
      <c r="D129" s="38" t="str">
        <v>VKT-014</v>
      </c>
      <c r="E129" s="38" t="str">
        <v>0.1.0-DRAFT</v>
      </c>
      <c r="F129" s="38" t="str">
        <v>ING-051</v>
      </c>
      <c r="G129" s="38" t="str">
        <v>Огурец солёный</v>
      </c>
      <c r="H129" s="38" t="str">
        <v>RAW_OR_FLATTENED_COMPONENT</v>
      </c>
      <c r="I129" s="38" t="str">
        <v>Сборка</v>
      </c>
      <c r="J129" s="38"/>
      <c r="K129" s="38" t="n">
        <v>17</v>
      </c>
      <c r="L129" s="38" t="str">
        <v>г</v>
      </c>
      <c r="M129" s="38" t="n">
        <v>15</v>
      </c>
      <c r="N129" s="38" t="str">
        <v>г</v>
      </c>
      <c r="O129" s="38" t="n">
        <v>15</v>
      </c>
      <c r="P129" s="38" t="str">
        <v>г</v>
      </c>
      <c r="Q129" s="38" t="n">
        <v>2</v>
      </c>
      <c r="R129" s="38" t="n">
        <v>0</v>
      </c>
      <c r="S129" s="38" t="str">
        <v>ASSUMPTION</v>
      </c>
      <c r="T129" s="38" t="str">
        <v>EVD-0007;EVD-0008</v>
      </c>
      <c r="U129" s="38" t="str">
        <v>Проектная декомпозиция ChefTechnologyAgent; суммы contribution нормированы к draft-выходу EVD-0005; проверить взвешиванием</v>
      </c>
      <c r="V129" s="38" t="str">
        <v>2026-08-03</v>
      </c>
      <c r="W129" s="38" t="str">
        <v>Chef</v>
      </c>
      <c r="X129" s="38" t="str">
        <v>GAP-004;GAP-005</v>
      </c>
      <c r="Y129" s="39" t="str">
        <v>Не является утверждённой нормой; gross/net/output зафиксировать в контрольной серии</v>
      </c>
    </row>
    <row r="130">
      <c r="A130" s="37" t="str">
        <v>RCP-0126</v>
      </c>
      <c r="B130" s="38" t="str">
        <v>VKM-014</v>
      </c>
      <c r="C130" s="38" t="str">
        <v>VKC-014</v>
      </c>
      <c r="D130" s="38" t="str">
        <v>VKT-014</v>
      </c>
      <c r="E130" s="38" t="str">
        <v>0.1.0-DRAFT</v>
      </c>
      <c r="F130" s="38" t="str">
        <v>ING-024</v>
      </c>
      <c r="G130" s="38" t="str">
        <v>Масло растительное</v>
      </c>
      <c r="H130" s="38" t="str">
        <v>RAW_OR_FLATTENED_COMPONENT</v>
      </c>
      <c r="I130" s="38" t="str">
        <v>Заправка</v>
      </c>
      <c r="J130" s="38"/>
      <c r="K130" s="38" t="n">
        <v>10</v>
      </c>
      <c r="L130" s="38" t="str">
        <v>г</v>
      </c>
      <c r="M130" s="38" t="n">
        <v>10</v>
      </c>
      <c r="N130" s="38" t="str">
        <v>г</v>
      </c>
      <c r="O130" s="38" t="n">
        <v>10</v>
      </c>
      <c r="P130" s="38" t="str">
        <v>г</v>
      </c>
      <c r="Q130" s="38" t="n">
        <v>0</v>
      </c>
      <c r="R130" s="38" t="n">
        <v>0</v>
      </c>
      <c r="S130" s="38" t="str">
        <v>ASSUMPTION</v>
      </c>
      <c r="T130" s="38" t="str">
        <v>EVD-0007;EVD-0008</v>
      </c>
      <c r="U130" s="38" t="str">
        <v>Проектная декомпозиция ChefTechnologyAgent; суммы contribution нормированы к draft-выходу EVD-0005; проверить взвешиванием</v>
      </c>
      <c r="V130" s="38" t="str">
        <v>2026-08-03</v>
      </c>
      <c r="W130" s="38" t="str">
        <v>Chef</v>
      </c>
      <c r="X130" s="38" t="str">
        <v>GAP-004;GAP-005</v>
      </c>
      <c r="Y130" s="39" t="str">
        <v>Не является утверждённой нормой; gross/net/output зафиксировать в контрольной серии</v>
      </c>
    </row>
    <row r="131">
      <c r="A131" s="37" t="str">
        <v>RCP-0127</v>
      </c>
      <c r="B131" s="38" t="str">
        <v>VKM-014</v>
      </c>
      <c r="C131" s="38" t="str">
        <v>VKC-014</v>
      </c>
      <c r="D131" s="38" t="str">
        <v>VKT-014</v>
      </c>
      <c r="E131" s="38" t="str">
        <v>0.1.0-DRAFT</v>
      </c>
      <c r="F131" s="38" t="str">
        <v>ING-059</v>
      </c>
      <c r="G131" s="38" t="str">
        <v>Зелень</v>
      </c>
      <c r="H131" s="38" t="str">
        <v>RAW_OR_FLATTENED_COMPONENT</v>
      </c>
      <c r="I131" s="38" t="str">
        <v>Финиш</v>
      </c>
      <c r="J131" s="38"/>
      <c r="K131" s="38" t="n">
        <v>6</v>
      </c>
      <c r="L131" s="38" t="str">
        <v>г</v>
      </c>
      <c r="M131" s="38" t="n">
        <v>5</v>
      </c>
      <c r="N131" s="38" t="str">
        <v>г</v>
      </c>
      <c r="O131" s="38" t="n">
        <v>5</v>
      </c>
      <c r="P131" s="38" t="str">
        <v>г</v>
      </c>
      <c r="Q131" s="38" t="n">
        <v>1</v>
      </c>
      <c r="R131" s="38" t="n">
        <v>0</v>
      </c>
      <c r="S131" s="38" t="str">
        <v>ASSUMPTION</v>
      </c>
      <c r="T131" s="38" t="str">
        <v>EVD-0007;EVD-0008</v>
      </c>
      <c r="U131" s="38" t="str">
        <v>Проектная декомпозиция ChefTechnologyAgent; суммы contribution нормированы к draft-выходу EVD-0005; проверить взвешиванием</v>
      </c>
      <c r="V131" s="38" t="str">
        <v>2026-08-03</v>
      </c>
      <c r="W131" s="38" t="str">
        <v>Chef</v>
      </c>
      <c r="X131" s="38" t="str">
        <v>GAP-004;GAP-005</v>
      </c>
      <c r="Y131" s="39" t="str">
        <v>Не является утверждённой нормой; gross/net/output зафиксировать в контрольной серии</v>
      </c>
    </row>
    <row r="132">
      <c r="A132" s="37" t="str">
        <v>RCP-0128</v>
      </c>
      <c r="B132" s="38" t="str">
        <v>VKM-015</v>
      </c>
      <c r="C132" s="38" t="str">
        <v>VKC-015</v>
      </c>
      <c r="D132" s="38" t="str">
        <v>VKT-015</v>
      </c>
      <c r="E132" s="38" t="str">
        <v>0.1.0-DRAFT</v>
      </c>
      <c r="F132" s="38" t="str">
        <v>ING-060</v>
      </c>
      <c r="G132" s="38" t="str">
        <v>Оливки зелёные без заливки</v>
      </c>
      <c r="H132" s="38" t="str">
        <v>RAW_OR_FLATTENED_COMPONENT</v>
      </c>
      <c r="I132" s="38" t="str">
        <v>Основная рецептура</v>
      </c>
      <c r="J132" s="38"/>
      <c r="K132" s="38" t="n">
        <v>65</v>
      </c>
      <c r="L132" s="38" t="str">
        <v>г</v>
      </c>
      <c r="M132" s="38" t="n">
        <v>50</v>
      </c>
      <c r="N132" s="38" t="str">
        <v>г</v>
      </c>
      <c r="O132" s="38" t="n">
        <v>50</v>
      </c>
      <c r="P132" s="38" t="str">
        <v>г</v>
      </c>
      <c r="Q132" s="38" t="n">
        <v>15</v>
      </c>
      <c r="R132" s="38" t="n">
        <v>0</v>
      </c>
      <c r="S132" s="38" t="str">
        <v>ASSUMPTION</v>
      </c>
      <c r="T132" s="38" t="str">
        <v>EVD-0007;EVD-0008</v>
      </c>
      <c r="U132" s="38" t="str">
        <v>Проектная декомпозиция ChefTechnologyAgent; суммы contribution нормированы к draft-выходу EVD-0005; проверить взвешиванием</v>
      </c>
      <c r="V132" s="38" t="str">
        <v>2026-08-03</v>
      </c>
      <c r="W132" s="38" t="str">
        <v>Chef</v>
      </c>
      <c r="X132" s="38" t="str">
        <v>GAP-004;GAP-005</v>
      </c>
      <c r="Y132" s="39" t="str">
        <v>Не является утверждённой нормой; gross/net/output зафиксировать в контрольной серии</v>
      </c>
    </row>
    <row r="133">
      <c r="A133" s="37" t="str">
        <v>RCP-0129</v>
      </c>
      <c r="B133" s="38" t="str">
        <v>VKM-015</v>
      </c>
      <c r="C133" s="38" t="str">
        <v>VKC-015</v>
      </c>
      <c r="D133" s="38" t="str">
        <v>VKT-015</v>
      </c>
      <c r="E133" s="38" t="str">
        <v>0.1.0-DRAFT</v>
      </c>
      <c r="F133" s="38" t="str">
        <v>ING-061</v>
      </c>
      <c r="G133" s="38" t="str">
        <v>Маслины без заливки</v>
      </c>
      <c r="H133" s="38" t="str">
        <v>RAW_OR_FLATTENED_COMPONENT</v>
      </c>
      <c r="I133" s="38" t="str">
        <v>Основная рецептура</v>
      </c>
      <c r="J133" s="38"/>
      <c r="K133" s="38" t="n">
        <v>65</v>
      </c>
      <c r="L133" s="38" t="str">
        <v>г</v>
      </c>
      <c r="M133" s="38" t="n">
        <v>50</v>
      </c>
      <c r="N133" s="38" t="str">
        <v>г</v>
      </c>
      <c r="O133" s="38" t="n">
        <v>50</v>
      </c>
      <c r="P133" s="38" t="str">
        <v>г</v>
      </c>
      <c r="Q133" s="38" t="n">
        <v>15</v>
      </c>
      <c r="R133" s="38" t="n">
        <v>0</v>
      </c>
      <c r="S133" s="38" t="str">
        <v>ASSUMPTION</v>
      </c>
      <c r="T133" s="38" t="str">
        <v>EVD-0007;EVD-0008</v>
      </c>
      <c r="U133" s="38" t="str">
        <v>Проектная декомпозиция ChefTechnologyAgent; суммы contribution нормированы к draft-выходу EVD-0005; проверить взвешиванием</v>
      </c>
      <c r="V133" s="38" t="str">
        <v>2026-08-03</v>
      </c>
      <c r="W133" s="38" t="str">
        <v>Chef</v>
      </c>
      <c r="X133" s="38" t="str">
        <v>GAP-004;GAP-005</v>
      </c>
      <c r="Y133" s="39" t="str">
        <v>Не является утверждённой нормой; gross/net/output зафиксировать в контрольной серии</v>
      </c>
    </row>
    <row r="134">
      <c r="A134" s="37" t="str">
        <v>RCP-0130</v>
      </c>
      <c r="B134" s="38" t="str">
        <v>VKM-015</v>
      </c>
      <c r="C134" s="38" t="str">
        <v>VKC-015</v>
      </c>
      <c r="D134" s="38" t="str">
        <v>VKT-015</v>
      </c>
      <c r="E134" s="38" t="str">
        <v>0.1.0-DRAFT</v>
      </c>
      <c r="F134" s="38" t="str">
        <v>ING-005</v>
      </c>
      <c r="G134" s="38" t="str">
        <v>Масло оливковое</v>
      </c>
      <c r="H134" s="38" t="str">
        <v>RAW_OR_FLATTENED_COMPONENT</v>
      </c>
      <c r="I134" s="38" t="str">
        <v>Маринад</v>
      </c>
      <c r="J134" s="38" t="str">
        <v>VSF-012</v>
      </c>
      <c r="K134" s="38" t="n">
        <v>10</v>
      </c>
      <c r="L134" s="38" t="str">
        <v>г</v>
      </c>
      <c r="M134" s="38" t="n">
        <v>10</v>
      </c>
      <c r="N134" s="38" t="str">
        <v>г</v>
      </c>
      <c r="O134" s="38" t="n">
        <v>10</v>
      </c>
      <c r="P134" s="38" t="str">
        <v>г</v>
      </c>
      <c r="Q134" s="38" t="n">
        <v>0</v>
      </c>
      <c r="R134" s="38" t="n">
        <v>0</v>
      </c>
      <c r="S134" s="38" t="str">
        <v>ASSUMPTION</v>
      </c>
      <c r="T134" s="38" t="str">
        <v>EVD-0007;EVD-0008</v>
      </c>
      <c r="U134" s="38" t="str">
        <v>Проектная декомпозиция ChefTechnologyAgent; суммы contribution нормированы к draft-выходу EVD-0005; проверить взвешиванием</v>
      </c>
      <c r="V134" s="38" t="str">
        <v>2026-08-03</v>
      </c>
      <c r="W134" s="38" t="str">
        <v>Chef</v>
      </c>
      <c r="X134" s="38" t="str">
        <v>GAP-004;GAP-005</v>
      </c>
      <c r="Y134" s="39" t="str">
        <v>Не является утверждённой нормой; gross/net/output зафиксировать в контрольной серии</v>
      </c>
    </row>
    <row r="135">
      <c r="A135" s="37" t="str">
        <v>RCP-0131</v>
      </c>
      <c r="B135" s="38" t="str">
        <v>VKM-015</v>
      </c>
      <c r="C135" s="38" t="str">
        <v>VKC-015</v>
      </c>
      <c r="D135" s="38" t="str">
        <v>VKT-015</v>
      </c>
      <c r="E135" s="38" t="str">
        <v>0.1.0-DRAFT</v>
      </c>
      <c r="F135" s="38" t="str">
        <v>ING-062</v>
      </c>
      <c r="G135" s="38" t="str">
        <v>Цедра цитрусовая</v>
      </c>
      <c r="H135" s="38" t="str">
        <v>RAW_OR_FLATTENED_COMPONENT</v>
      </c>
      <c r="I135" s="38" t="str">
        <v>Маринад</v>
      </c>
      <c r="J135" s="38" t="str">
        <v>VSF-012</v>
      </c>
      <c r="K135" s="38" t="n">
        <v>5</v>
      </c>
      <c r="L135" s="38" t="str">
        <v>г</v>
      </c>
      <c r="M135" s="38" t="n">
        <v>3</v>
      </c>
      <c r="N135" s="38" t="str">
        <v>г</v>
      </c>
      <c r="O135" s="38" t="n">
        <v>3</v>
      </c>
      <c r="P135" s="38" t="str">
        <v>г</v>
      </c>
      <c r="Q135" s="38" t="n">
        <v>2</v>
      </c>
      <c r="R135" s="38" t="n">
        <v>0</v>
      </c>
      <c r="S135" s="38" t="str">
        <v>ASSUMPTION</v>
      </c>
      <c r="T135" s="38" t="str">
        <v>EVD-0007;EVD-0008</v>
      </c>
      <c r="U135" s="38" t="str">
        <v>Проектная декомпозиция ChefTechnologyAgent; суммы contribution нормированы к draft-выходу EVD-0005; проверить взвешиванием</v>
      </c>
      <c r="V135" s="38" t="str">
        <v>2026-08-03</v>
      </c>
      <c r="W135" s="38" t="str">
        <v>Chef</v>
      </c>
      <c r="X135" s="38" t="str">
        <v>GAP-004;GAP-005</v>
      </c>
      <c r="Y135" s="39" t="str">
        <v>Не является утверждённой нормой; gross/net/output зафиксировать в контрольной серии</v>
      </c>
    </row>
    <row r="136">
      <c r="A136" s="37" t="str">
        <v>RCP-0132</v>
      </c>
      <c r="B136" s="38" t="str">
        <v>VKM-015</v>
      </c>
      <c r="C136" s="38" t="str">
        <v>VKC-015</v>
      </c>
      <c r="D136" s="38" t="str">
        <v>VKT-015</v>
      </c>
      <c r="E136" s="38" t="str">
        <v>0.1.0-DRAFT</v>
      </c>
      <c r="F136" s="38" t="str">
        <v>ING-007</v>
      </c>
      <c r="G136" s="38" t="str">
        <v>Чеснок</v>
      </c>
      <c r="H136" s="38" t="str">
        <v>RAW_OR_FLATTENED_COMPONENT</v>
      </c>
      <c r="I136" s="38" t="str">
        <v>Маринад</v>
      </c>
      <c r="J136" s="38" t="str">
        <v>VSF-012</v>
      </c>
      <c r="K136" s="38" t="n">
        <v>2.3</v>
      </c>
      <c r="L136" s="38" t="str">
        <v>г</v>
      </c>
      <c r="M136" s="38" t="n">
        <v>2</v>
      </c>
      <c r="N136" s="38" t="str">
        <v>г</v>
      </c>
      <c r="O136" s="38" t="n">
        <v>2</v>
      </c>
      <c r="P136" s="38" t="str">
        <v>г</v>
      </c>
      <c r="Q136" s="38" t="n">
        <v>0.3</v>
      </c>
      <c r="R136" s="38" t="n">
        <v>0</v>
      </c>
      <c r="S136" s="38" t="str">
        <v>ASSUMPTION</v>
      </c>
      <c r="T136" s="38" t="str">
        <v>EVD-0007;EVD-0008</v>
      </c>
      <c r="U136" s="38" t="str">
        <v>Проектная декомпозиция ChefTechnologyAgent; суммы contribution нормированы к draft-выходу EVD-0005; проверить взвешиванием</v>
      </c>
      <c r="V136" s="38" t="str">
        <v>2026-08-03</v>
      </c>
      <c r="W136" s="38" t="str">
        <v>Chef</v>
      </c>
      <c r="X136" s="38" t="str">
        <v>GAP-004;GAP-005</v>
      </c>
      <c r="Y136" s="39" t="str">
        <v>Не является утверждённой нормой; gross/net/output зафиксировать в контрольной серии</v>
      </c>
    </row>
    <row r="137">
      <c r="A137" s="37" t="str">
        <v>RCP-0133</v>
      </c>
      <c r="B137" s="38" t="str">
        <v>VKM-015</v>
      </c>
      <c r="C137" s="38" t="str">
        <v>VKC-015</v>
      </c>
      <c r="D137" s="38" t="str">
        <v>VKT-015</v>
      </c>
      <c r="E137" s="38" t="str">
        <v>0.1.0-DRAFT</v>
      </c>
      <c r="F137" s="38" t="str">
        <v>ING-063</v>
      </c>
      <c r="G137" s="38" t="str">
        <v>Пряные травы</v>
      </c>
      <c r="H137" s="38" t="str">
        <v>RAW_OR_FLATTENED_COMPONENT</v>
      </c>
      <c r="I137" s="38" t="str">
        <v>Маринад</v>
      </c>
      <c r="J137" s="38" t="str">
        <v>VSF-012</v>
      </c>
      <c r="K137" s="38" t="n">
        <v>5</v>
      </c>
      <c r="L137" s="38" t="str">
        <v>г</v>
      </c>
      <c r="M137" s="38" t="n">
        <v>5</v>
      </c>
      <c r="N137" s="38" t="str">
        <v>г</v>
      </c>
      <c r="O137" s="38" t="n">
        <v>5</v>
      </c>
      <c r="P137" s="38" t="str">
        <v>г</v>
      </c>
      <c r="Q137" s="38" t="n">
        <v>0</v>
      </c>
      <c r="R137" s="38" t="n">
        <v>0</v>
      </c>
      <c r="S137" s="38" t="str">
        <v>ASSUMPTION</v>
      </c>
      <c r="T137" s="38" t="str">
        <v>EVD-0007;EVD-0008</v>
      </c>
      <c r="U137" s="38" t="str">
        <v>Проектная декомпозиция ChefTechnologyAgent; суммы contribution нормированы к draft-выходу EVD-0005; проверить взвешиванием</v>
      </c>
      <c r="V137" s="38" t="str">
        <v>2026-08-03</v>
      </c>
      <c r="W137" s="38" t="str">
        <v>Chef</v>
      </c>
      <c r="X137" s="38" t="str">
        <v>GAP-004;GAP-005</v>
      </c>
      <c r="Y137" s="39" t="str">
        <v>Не является утверждённой нормой; gross/net/output зафиксировать в контрольной серии</v>
      </c>
    </row>
    <row r="138">
      <c r="A138" s="37" t="str">
        <v>RCP-0134</v>
      </c>
      <c r="B138" s="38" t="str">
        <v>VKM-016</v>
      </c>
      <c r="C138" s="38" t="str">
        <v>VKC-016</v>
      </c>
      <c r="D138" s="38" t="str">
        <v>VKT-016</v>
      </c>
      <c r="E138" s="38" t="str">
        <v>0.1.0-DRAFT</v>
      </c>
      <c r="F138" s="38" t="str">
        <v>ING-038</v>
      </c>
      <c r="G138" s="38" t="str">
        <v>Огурец свежий</v>
      </c>
      <c r="H138" s="38" t="str">
        <v>RAW_OR_FLATTENED_COMPONENT</v>
      </c>
      <c r="I138" s="38" t="str">
        <v>Ассорти</v>
      </c>
      <c r="J138" s="38" t="str">
        <v>VSF-014</v>
      </c>
      <c r="K138" s="38" t="n">
        <v>58</v>
      </c>
      <c r="L138" s="38" t="str">
        <v>г</v>
      </c>
      <c r="M138" s="38" t="n">
        <v>52</v>
      </c>
      <c r="N138" s="38" t="str">
        <v>г</v>
      </c>
      <c r="O138" s="38" t="n">
        <v>50</v>
      </c>
      <c r="P138" s="38" t="str">
        <v>г</v>
      </c>
      <c r="Q138" s="38" t="n">
        <v>6</v>
      </c>
      <c r="R138" s="38" t="n">
        <v>2</v>
      </c>
      <c r="S138" s="38" t="str">
        <v>ASSUMPTION</v>
      </c>
      <c r="T138" s="38" t="str">
        <v>EVD-0007;EVD-0008</v>
      </c>
      <c r="U138" s="38" t="str">
        <v>Проектная декомпозиция ChefTechnologyAgent; суммы contribution нормированы к draft-выходу EVD-0005; проверить взвешиванием</v>
      </c>
      <c r="V138" s="38" t="str">
        <v>2026-08-03</v>
      </c>
      <c r="W138" s="38" t="str">
        <v>Chef</v>
      </c>
      <c r="X138" s="38" t="str">
        <v>GAP-004;GAP-005</v>
      </c>
      <c r="Y138" s="39" t="str">
        <v>Не является утверждённой нормой; gross/net/output зафиксировать в контрольной серии</v>
      </c>
    </row>
    <row r="139">
      <c r="A139" s="37" t="str">
        <v>RCP-0135</v>
      </c>
      <c r="B139" s="38" t="str">
        <v>VKM-016</v>
      </c>
      <c r="C139" s="38" t="str">
        <v>VKC-016</v>
      </c>
      <c r="D139" s="38" t="str">
        <v>VKT-016</v>
      </c>
      <c r="E139" s="38" t="str">
        <v>0.1.0-DRAFT</v>
      </c>
      <c r="F139" s="38" t="str">
        <v>ING-064</v>
      </c>
      <c r="G139" s="38" t="str">
        <v>Капуста белокочанная</v>
      </c>
      <c r="H139" s="38" t="str">
        <v>RAW_OR_FLATTENED_COMPONENT</v>
      </c>
      <c r="I139" s="38" t="str">
        <v>Ассорти</v>
      </c>
      <c r="J139" s="38" t="str">
        <v>VSF-014</v>
      </c>
      <c r="K139" s="38" t="n">
        <v>48</v>
      </c>
      <c r="L139" s="38" t="str">
        <v>г</v>
      </c>
      <c r="M139" s="38" t="n">
        <v>42</v>
      </c>
      <c r="N139" s="38" t="str">
        <v>г</v>
      </c>
      <c r="O139" s="38" t="n">
        <v>40</v>
      </c>
      <c r="P139" s="38" t="str">
        <v>г</v>
      </c>
      <c r="Q139" s="38" t="n">
        <v>6</v>
      </c>
      <c r="R139" s="38" t="n">
        <v>2</v>
      </c>
      <c r="S139" s="38" t="str">
        <v>ASSUMPTION</v>
      </c>
      <c r="T139" s="38" t="str">
        <v>EVD-0007;EVD-0008</v>
      </c>
      <c r="U139" s="38" t="str">
        <v>Проектная декомпозиция ChefTechnologyAgent; суммы contribution нормированы к draft-выходу EVD-0005; проверить взвешиванием</v>
      </c>
      <c r="V139" s="38" t="str">
        <v>2026-08-03</v>
      </c>
      <c r="W139" s="38" t="str">
        <v>Chef</v>
      </c>
      <c r="X139" s="38" t="str">
        <v>GAP-004;GAP-005</v>
      </c>
      <c r="Y139" s="39" t="str">
        <v>Не является утверждённой нормой; gross/net/output зафиксировать в контрольной серии</v>
      </c>
    </row>
    <row r="140">
      <c r="A140" s="37" t="str">
        <v>RCP-0136</v>
      </c>
      <c r="B140" s="38" t="str">
        <v>VKM-016</v>
      </c>
      <c r="C140" s="38" t="str">
        <v>VKC-016</v>
      </c>
      <c r="D140" s="38" t="str">
        <v>VKT-016</v>
      </c>
      <c r="E140" s="38" t="str">
        <v>0.1.0-DRAFT</v>
      </c>
      <c r="F140" s="38" t="str">
        <v>ING-031</v>
      </c>
      <c r="G140" s="38" t="str">
        <v>Томаты свежие</v>
      </c>
      <c r="H140" s="38" t="str">
        <v>RAW_OR_FLATTENED_COMPONENT</v>
      </c>
      <c r="I140" s="38" t="str">
        <v>Ассорти</v>
      </c>
      <c r="J140" s="38" t="str">
        <v>VSF-014</v>
      </c>
      <c r="K140" s="38" t="n">
        <v>44</v>
      </c>
      <c r="L140" s="38" t="str">
        <v>г</v>
      </c>
      <c r="M140" s="38" t="n">
        <v>40</v>
      </c>
      <c r="N140" s="38" t="str">
        <v>г</v>
      </c>
      <c r="O140" s="38" t="n">
        <v>40</v>
      </c>
      <c r="P140" s="38" t="str">
        <v>г</v>
      </c>
      <c r="Q140" s="38" t="n">
        <v>4</v>
      </c>
      <c r="R140" s="38" t="n">
        <v>0</v>
      </c>
      <c r="S140" s="38" t="str">
        <v>ASSUMPTION</v>
      </c>
      <c r="T140" s="38" t="str">
        <v>EVD-0007;EVD-0008</v>
      </c>
      <c r="U140" s="38" t="str">
        <v>Проектная декомпозиция ChefTechnologyAgent; суммы contribution нормированы к draft-выходу EVD-0005; проверить взвешиванием</v>
      </c>
      <c r="V140" s="38" t="str">
        <v>2026-08-03</v>
      </c>
      <c r="W140" s="38" t="str">
        <v>Chef</v>
      </c>
      <c r="X140" s="38" t="str">
        <v>GAP-004;GAP-005</v>
      </c>
      <c r="Y140" s="39" t="str">
        <v>Не является утверждённой нормой; gross/net/output зафиксировать в контрольной серии</v>
      </c>
    </row>
    <row r="141">
      <c r="A141" s="37" t="str">
        <v>RCP-0137</v>
      </c>
      <c r="B141" s="38" t="str">
        <v>VKM-016</v>
      </c>
      <c r="C141" s="38" t="str">
        <v>VKC-016</v>
      </c>
      <c r="D141" s="38" t="str">
        <v>VKT-016</v>
      </c>
      <c r="E141" s="38" t="str">
        <v>0.1.0-DRAFT</v>
      </c>
      <c r="F141" s="38" t="str">
        <v>ING-043</v>
      </c>
      <c r="G141" s="38" t="str">
        <v>Перец сладкий</v>
      </c>
      <c r="H141" s="38" t="str">
        <v>RAW_OR_FLATTENED_COMPONENT</v>
      </c>
      <c r="I141" s="38" t="str">
        <v>Ассорти</v>
      </c>
      <c r="J141" s="38" t="str">
        <v>VSF-014</v>
      </c>
      <c r="K141" s="38" t="n">
        <v>36</v>
      </c>
      <c r="L141" s="38" t="str">
        <v>г</v>
      </c>
      <c r="M141" s="38" t="n">
        <v>31</v>
      </c>
      <c r="N141" s="38" t="str">
        <v>г</v>
      </c>
      <c r="O141" s="38" t="n">
        <v>30</v>
      </c>
      <c r="P141" s="38" t="str">
        <v>г</v>
      </c>
      <c r="Q141" s="38" t="n">
        <v>5</v>
      </c>
      <c r="R141" s="38" t="n">
        <v>1</v>
      </c>
      <c r="S141" s="38" t="str">
        <v>ASSUMPTION</v>
      </c>
      <c r="T141" s="38" t="str">
        <v>EVD-0007;EVD-0008</v>
      </c>
      <c r="U141" s="38" t="str">
        <v>Проектная декомпозиция ChefTechnologyAgent; суммы contribution нормированы к draft-выходу EVD-0005; проверить взвешиванием</v>
      </c>
      <c r="V141" s="38" t="str">
        <v>2026-08-03</v>
      </c>
      <c r="W141" s="38" t="str">
        <v>Chef</v>
      </c>
      <c r="X141" s="38" t="str">
        <v>GAP-004;GAP-005</v>
      </c>
      <c r="Y141" s="39" t="str">
        <v>Не является утверждённой нормой; gross/net/output зафиксировать в контрольной серии</v>
      </c>
    </row>
    <row r="142">
      <c r="A142" s="37" t="str">
        <v>RCP-0138</v>
      </c>
      <c r="B142" s="38" t="str">
        <v>VKM-016</v>
      </c>
      <c r="C142" s="38" t="str">
        <v>VKC-016</v>
      </c>
      <c r="D142" s="38" t="str">
        <v>VKT-016</v>
      </c>
      <c r="E142" s="38" t="str">
        <v>0.1.0-DRAFT</v>
      </c>
      <c r="F142" s="38" t="str">
        <v>ING-065</v>
      </c>
      <c r="G142" s="38" t="str">
        <v>Уксус пищевой</v>
      </c>
      <c r="H142" s="38" t="str">
        <v>RAW_OR_FLATTENED_COMPONENT</v>
      </c>
      <c r="I142" s="38" t="str">
        <v>Маринад</v>
      </c>
      <c r="J142" s="38" t="str">
        <v>VSF-013</v>
      </c>
      <c r="K142" s="38" t="n">
        <v>5</v>
      </c>
      <c r="L142" s="38" t="str">
        <v>г</v>
      </c>
      <c r="M142" s="38" t="n">
        <v>5</v>
      </c>
      <c r="N142" s="38" t="str">
        <v>г</v>
      </c>
      <c r="O142" s="38" t="n">
        <v>5</v>
      </c>
      <c r="P142" s="38" t="str">
        <v>г</v>
      </c>
      <c r="Q142" s="38" t="n">
        <v>0</v>
      </c>
      <c r="R142" s="38" t="n">
        <v>0</v>
      </c>
      <c r="S142" s="38" t="str">
        <v>ASSUMPTION</v>
      </c>
      <c r="T142" s="38" t="str">
        <v>EVD-0007;EVD-0008</v>
      </c>
      <c r="U142" s="38" t="str">
        <v>Проектная декомпозиция ChefTechnologyAgent; суммы contribution нормированы к draft-выходу EVD-0005; проверить взвешиванием</v>
      </c>
      <c r="V142" s="38" t="str">
        <v>2026-08-03</v>
      </c>
      <c r="W142" s="38" t="str">
        <v>Chef</v>
      </c>
      <c r="X142" s="38" t="str">
        <v>GAP-004;GAP-005</v>
      </c>
      <c r="Y142" s="39" t="str">
        <v>Не является утверждённой нормой; gross/net/output зафиксировать в контрольной серии</v>
      </c>
    </row>
    <row r="143">
      <c r="A143" s="37" t="str">
        <v>RCP-0139</v>
      </c>
      <c r="B143" s="38" t="str">
        <v>VKM-016</v>
      </c>
      <c r="C143" s="38" t="str">
        <v>VKC-016</v>
      </c>
      <c r="D143" s="38" t="str">
        <v>VKT-016</v>
      </c>
      <c r="E143" s="38" t="str">
        <v>0.1.0-DRAFT</v>
      </c>
      <c r="F143" s="38" t="str">
        <v>ING-028</v>
      </c>
      <c r="G143" s="38" t="str">
        <v>Сахар</v>
      </c>
      <c r="H143" s="38" t="str">
        <v>RAW_OR_FLATTENED_COMPONENT</v>
      </c>
      <c r="I143" s="38" t="str">
        <v>Маринад</v>
      </c>
      <c r="J143" s="38" t="str">
        <v>VSF-013</v>
      </c>
      <c r="K143" s="38" t="n">
        <v>4</v>
      </c>
      <c r="L143" s="38" t="str">
        <v>г</v>
      </c>
      <c r="M143" s="38" t="n">
        <v>4</v>
      </c>
      <c r="N143" s="38" t="str">
        <v>г</v>
      </c>
      <c r="O143" s="38" t="n">
        <v>4</v>
      </c>
      <c r="P143" s="38" t="str">
        <v>г</v>
      </c>
      <c r="Q143" s="38" t="n">
        <v>0</v>
      </c>
      <c r="R143" s="38" t="n">
        <v>0</v>
      </c>
      <c r="S143" s="38" t="str">
        <v>ASSUMPTION</v>
      </c>
      <c r="T143" s="38" t="str">
        <v>EVD-0007;EVD-0008</v>
      </c>
      <c r="U143" s="38" t="str">
        <v>Проектная декомпозиция ChefTechnologyAgent; суммы contribution нормированы к draft-выходу EVD-0005; проверить взвешиванием</v>
      </c>
      <c r="V143" s="38" t="str">
        <v>2026-08-03</v>
      </c>
      <c r="W143" s="38" t="str">
        <v>Chef</v>
      </c>
      <c r="X143" s="38" t="str">
        <v>GAP-004;GAP-005</v>
      </c>
      <c r="Y143" s="39" t="str">
        <v>Не является утверждённой нормой; gross/net/output зафиксировать в контрольной серии</v>
      </c>
    </row>
    <row r="144">
      <c r="A144" s="37" t="str">
        <v>RCP-0140</v>
      </c>
      <c r="B144" s="38" t="str">
        <v>VKM-016</v>
      </c>
      <c r="C144" s="38" t="str">
        <v>VKC-016</v>
      </c>
      <c r="D144" s="38" t="str">
        <v>VKT-016</v>
      </c>
      <c r="E144" s="38" t="str">
        <v>0.1.0-DRAFT</v>
      </c>
      <c r="F144" s="38" t="str">
        <v>ING-004</v>
      </c>
      <c r="G144" s="38" t="str">
        <v>Соль пищевая</v>
      </c>
      <c r="H144" s="38" t="str">
        <v>RAW_OR_FLATTENED_COMPONENT</v>
      </c>
      <c r="I144" s="38" t="str">
        <v>Маринад</v>
      </c>
      <c r="J144" s="38" t="str">
        <v>VSF-013</v>
      </c>
      <c r="K144" s="38" t="n">
        <v>2</v>
      </c>
      <c r="L144" s="38" t="str">
        <v>г</v>
      </c>
      <c r="M144" s="38" t="n">
        <v>2</v>
      </c>
      <c r="N144" s="38" t="str">
        <v>г</v>
      </c>
      <c r="O144" s="38" t="n">
        <v>2</v>
      </c>
      <c r="P144" s="38" t="str">
        <v>г</v>
      </c>
      <c r="Q144" s="38" t="n">
        <v>0</v>
      </c>
      <c r="R144" s="38" t="n">
        <v>0</v>
      </c>
      <c r="S144" s="38" t="str">
        <v>ASSUMPTION</v>
      </c>
      <c r="T144" s="38" t="str">
        <v>EVD-0007;EVD-0008</v>
      </c>
      <c r="U144" s="38" t="str">
        <v>Проектная декомпозиция ChefTechnologyAgent; суммы contribution нормированы к draft-выходу EVD-0005; проверить взвешиванием</v>
      </c>
      <c r="V144" s="38" t="str">
        <v>2026-08-03</v>
      </c>
      <c r="W144" s="38" t="str">
        <v>Chef</v>
      </c>
      <c r="X144" s="38" t="str">
        <v>GAP-004;GAP-005</v>
      </c>
      <c r="Y144" s="39" t="str">
        <v>Не является утверждённой нормой; gross/net/output зафиксировать в контрольной серии</v>
      </c>
    </row>
    <row r="145">
      <c r="A145" s="37" t="str">
        <v>RCP-0141</v>
      </c>
      <c r="B145" s="38" t="str">
        <v>VKM-016</v>
      </c>
      <c r="C145" s="38" t="str">
        <v>VKC-016</v>
      </c>
      <c r="D145" s="38" t="str">
        <v>VKT-016</v>
      </c>
      <c r="E145" s="38" t="str">
        <v>0.1.0-DRAFT</v>
      </c>
      <c r="F145" s="38" t="str">
        <v>ING-002</v>
      </c>
      <c r="G145" s="38" t="str">
        <v>Вода питьевая</v>
      </c>
      <c r="H145" s="38" t="str">
        <v>RAW_OR_FLATTENED_COMPONENT</v>
      </c>
      <c r="I145" s="38" t="str">
        <v>Маринад</v>
      </c>
      <c r="J145" s="38" t="str">
        <v>VSF-013</v>
      </c>
      <c r="K145" s="38" t="n">
        <v>4</v>
      </c>
      <c r="L145" s="38" t="str">
        <v>г</v>
      </c>
      <c r="M145" s="38" t="n">
        <v>4</v>
      </c>
      <c r="N145" s="38" t="str">
        <v>г</v>
      </c>
      <c r="O145" s="38" t="n">
        <v>4</v>
      </c>
      <c r="P145" s="38" t="str">
        <v>г</v>
      </c>
      <c r="Q145" s="38" t="n">
        <v>0</v>
      </c>
      <c r="R145" s="38" t="n">
        <v>0</v>
      </c>
      <c r="S145" s="38" t="str">
        <v>ASSUMPTION</v>
      </c>
      <c r="T145" s="38" t="str">
        <v>EVD-0007;EVD-0008</v>
      </c>
      <c r="U145" s="38" t="str">
        <v>Проектная декомпозиция ChefTechnologyAgent; суммы contribution нормированы к draft-выходу EVD-0005; проверить взвешиванием</v>
      </c>
      <c r="V145" s="38" t="str">
        <v>2026-08-03</v>
      </c>
      <c r="W145" s="38" t="str">
        <v>Chef</v>
      </c>
      <c r="X145" s="38" t="str">
        <v>GAP-004;GAP-005</v>
      </c>
      <c r="Y145" s="39" t="str">
        <v>Не является утверждённой нормой; gross/net/output зафиксировать в контрольной серии</v>
      </c>
    </row>
    <row r="146">
      <c r="A146" s="37" t="str">
        <v>RCP-0142</v>
      </c>
      <c r="B146" s="38" t="str">
        <v>VKM-016</v>
      </c>
      <c r="C146" s="38" t="str">
        <v>VKC-016</v>
      </c>
      <c r="D146" s="38" t="str">
        <v>VKT-016</v>
      </c>
      <c r="E146" s="38" t="str">
        <v>0.1.0-DRAFT</v>
      </c>
      <c r="F146" s="38" t="str">
        <v>ING-024</v>
      </c>
      <c r="G146" s="38" t="str">
        <v>Масло растительное</v>
      </c>
      <c r="H146" s="38" t="str">
        <v>RAW_OR_FLATTENED_COMPONENT</v>
      </c>
      <c r="I146" s="38" t="str">
        <v>Маринад</v>
      </c>
      <c r="J146" s="38" t="str">
        <v>VSF-013</v>
      </c>
      <c r="K146" s="38" t="n">
        <v>5</v>
      </c>
      <c r="L146" s="38" t="str">
        <v>г</v>
      </c>
      <c r="M146" s="38" t="n">
        <v>5</v>
      </c>
      <c r="N146" s="38" t="str">
        <v>г</v>
      </c>
      <c r="O146" s="38" t="n">
        <v>5</v>
      </c>
      <c r="P146" s="38" t="str">
        <v>г</v>
      </c>
      <c r="Q146" s="38" t="n">
        <v>0</v>
      </c>
      <c r="R146" s="38" t="n">
        <v>0</v>
      </c>
      <c r="S146" s="38" t="str">
        <v>ASSUMPTION</v>
      </c>
      <c r="T146" s="38" t="str">
        <v>EVD-0007;EVD-0008</v>
      </c>
      <c r="U146" s="38" t="str">
        <v>Проектная декомпозиция ChefTechnologyAgent; суммы contribution нормированы к draft-выходу EVD-0005; проверить взвешиванием</v>
      </c>
      <c r="V146" s="38" t="str">
        <v>2026-08-03</v>
      </c>
      <c r="W146" s="38" t="str">
        <v>Chef</v>
      </c>
      <c r="X146" s="38" t="str">
        <v>GAP-004;GAP-005</v>
      </c>
      <c r="Y146" s="39" t="str">
        <v>Не является утверждённой нормой; gross/net/output зафиксировать в контрольной серии</v>
      </c>
    </row>
    <row r="147">
      <c r="A147" s="37" t="str">
        <v>RCP-0143</v>
      </c>
      <c r="B147" s="38" t="str">
        <v>VKM-017</v>
      </c>
      <c r="C147" s="38" t="str">
        <v>VKC-017</v>
      </c>
      <c r="D147" s="38" t="str">
        <v>VKT-017</v>
      </c>
      <c r="E147" s="38" t="str">
        <v>0.1.0-DRAFT</v>
      </c>
      <c r="F147" s="38" t="str">
        <v>ING-066</v>
      </c>
      <c r="G147" s="38" t="str">
        <v>Ростбиф охлаждённый готовый</v>
      </c>
      <c r="H147" s="38" t="str">
        <v>RAW_OR_FLATTENED_COMPONENT</v>
      </c>
      <c r="I147" s="38" t="str">
        <v>Сборка</v>
      </c>
      <c r="J147" s="38"/>
      <c r="K147" s="38" t="n">
        <v>115</v>
      </c>
      <c r="L147" s="38" t="str">
        <v>г</v>
      </c>
      <c r="M147" s="38" t="n">
        <v>110</v>
      </c>
      <c r="N147" s="38" t="str">
        <v>г</v>
      </c>
      <c r="O147" s="38" t="n">
        <v>110</v>
      </c>
      <c r="P147" s="38" t="str">
        <v>г</v>
      </c>
      <c r="Q147" s="38" t="n">
        <v>5</v>
      </c>
      <c r="R147" s="38" t="n">
        <v>0</v>
      </c>
      <c r="S147" s="38" t="str">
        <v>ASSUMPTION</v>
      </c>
      <c r="T147" s="38" t="str">
        <v>EVD-0007;EVD-0008</v>
      </c>
      <c r="U147" s="38" t="str">
        <v>Проектная декомпозиция ChefTechnologyAgent; суммы contribution нормированы к draft-выходу EVD-0005; проверить взвешиванием</v>
      </c>
      <c r="V147" s="38" t="str">
        <v>2026-08-03</v>
      </c>
      <c r="W147" s="38" t="str">
        <v>Chef</v>
      </c>
      <c r="X147" s="38" t="str">
        <v>GAP-004;GAP-005</v>
      </c>
      <c r="Y147" s="39" t="str">
        <v>Не является утверждённой нормой; gross/net/output зафиксировать в контрольной серии</v>
      </c>
    </row>
    <row r="148">
      <c r="A148" s="37" t="str">
        <v>RCP-0144</v>
      </c>
      <c r="B148" s="38" t="str">
        <v>VKM-017</v>
      </c>
      <c r="C148" s="38" t="str">
        <v>VKC-017</v>
      </c>
      <c r="D148" s="38" t="str">
        <v>VKT-017</v>
      </c>
      <c r="E148" s="38" t="str">
        <v>0.1.0-DRAFT</v>
      </c>
      <c r="F148" s="38" t="str">
        <v>ING-046</v>
      </c>
      <c r="G148" s="38" t="str">
        <v>Лук красный</v>
      </c>
      <c r="H148" s="38" t="str">
        <v>RAW_OR_FLATTENED_COMPONENT</v>
      </c>
      <c r="I148" s="38" t="str">
        <v>Сборка</v>
      </c>
      <c r="J148" s="38"/>
      <c r="K148" s="38" t="n">
        <v>24</v>
      </c>
      <c r="L148" s="38" t="str">
        <v>г</v>
      </c>
      <c r="M148" s="38" t="n">
        <v>20</v>
      </c>
      <c r="N148" s="38" t="str">
        <v>г</v>
      </c>
      <c r="O148" s="38" t="n">
        <v>20</v>
      </c>
      <c r="P148" s="38" t="str">
        <v>г</v>
      </c>
      <c r="Q148" s="38" t="n">
        <v>4</v>
      </c>
      <c r="R148" s="38" t="n">
        <v>0</v>
      </c>
      <c r="S148" s="38" t="str">
        <v>ASSUMPTION</v>
      </c>
      <c r="T148" s="38" t="str">
        <v>EVD-0007;EVD-0008</v>
      </c>
      <c r="U148" s="38" t="str">
        <v>Проектная декомпозиция ChefTechnologyAgent; суммы contribution нормированы к draft-выходу EVD-0005; проверить взвешиванием</v>
      </c>
      <c r="V148" s="38" t="str">
        <v>2026-08-03</v>
      </c>
      <c r="W148" s="38" t="str">
        <v>Chef</v>
      </c>
      <c r="X148" s="38" t="str">
        <v>GAP-004;GAP-005</v>
      </c>
      <c r="Y148" s="39" t="str">
        <v>Не является утверждённой нормой; gross/net/output зафиксировать в контрольной серии</v>
      </c>
    </row>
    <row r="149">
      <c r="A149" s="37" t="str">
        <v>RCP-0145</v>
      </c>
      <c r="B149" s="38" t="str">
        <v>VKM-017</v>
      </c>
      <c r="C149" s="38" t="str">
        <v>VKC-017</v>
      </c>
      <c r="D149" s="38" t="str">
        <v>VKT-017</v>
      </c>
      <c r="E149" s="38" t="str">
        <v>0.1.0-DRAFT</v>
      </c>
      <c r="F149" s="38" t="str">
        <v>ING-067</v>
      </c>
      <c r="G149" s="38" t="str">
        <v>Хлеб для гренки</v>
      </c>
      <c r="H149" s="38" t="str">
        <v>RAW_OR_FLATTENED_COMPONENT</v>
      </c>
      <c r="I149" s="38" t="str">
        <v>Гренка</v>
      </c>
      <c r="J149" s="38" t="str">
        <v>VSF-015</v>
      </c>
      <c r="K149" s="38" t="n">
        <v>34</v>
      </c>
      <c r="L149" s="38" t="str">
        <v>г</v>
      </c>
      <c r="M149" s="38" t="n">
        <v>32</v>
      </c>
      <c r="N149" s="38" t="str">
        <v>г</v>
      </c>
      <c r="O149" s="38" t="n">
        <v>30</v>
      </c>
      <c r="P149" s="38" t="str">
        <v>г</v>
      </c>
      <c r="Q149" s="38" t="n">
        <v>2</v>
      </c>
      <c r="R149" s="38" t="n">
        <v>2</v>
      </c>
      <c r="S149" s="38" t="str">
        <v>ASSUMPTION</v>
      </c>
      <c r="T149" s="38" t="str">
        <v>EVD-0007;EVD-0008</v>
      </c>
      <c r="U149" s="38" t="str">
        <v>Проектная декомпозиция ChefTechnologyAgent; суммы contribution нормированы к draft-выходу EVD-0005; проверить взвешиванием</v>
      </c>
      <c r="V149" s="38" t="str">
        <v>2026-08-03</v>
      </c>
      <c r="W149" s="38" t="str">
        <v>Chef</v>
      </c>
      <c r="X149" s="38" t="str">
        <v>GAP-004;GAP-005</v>
      </c>
      <c r="Y149" s="39" t="str">
        <v>Не является утверждённой нормой; gross/net/output зафиксировать в контрольной серии</v>
      </c>
    </row>
    <row r="150">
      <c r="A150" s="37" t="str">
        <v>RCP-0146</v>
      </c>
      <c r="B150" s="38" t="str">
        <v>VKM-017</v>
      </c>
      <c r="C150" s="38" t="str">
        <v>VKC-017</v>
      </c>
      <c r="D150" s="38" t="str">
        <v>VKT-017</v>
      </c>
      <c r="E150" s="38" t="str">
        <v>0.1.0-DRAFT</v>
      </c>
      <c r="F150" s="38" t="str">
        <v>ING-024</v>
      </c>
      <c r="G150" s="38" t="str">
        <v>Масло растительное</v>
      </c>
      <c r="H150" s="38" t="str">
        <v>RAW_OR_FLATTENED_COMPONENT</v>
      </c>
      <c r="I150" s="38" t="str">
        <v>Гренка</v>
      </c>
      <c r="J150" s="38" t="str">
        <v>VSF-015</v>
      </c>
      <c r="K150" s="38" t="n">
        <v>3</v>
      </c>
      <c r="L150" s="38" t="str">
        <v>г</v>
      </c>
      <c r="M150" s="38" t="n">
        <v>3</v>
      </c>
      <c r="N150" s="38" t="str">
        <v>г</v>
      </c>
      <c r="O150" s="38" t="n">
        <v>3</v>
      </c>
      <c r="P150" s="38" t="str">
        <v>г</v>
      </c>
      <c r="Q150" s="38" t="n">
        <v>0</v>
      </c>
      <c r="R150" s="38" t="n">
        <v>0</v>
      </c>
      <c r="S150" s="38" t="str">
        <v>ASSUMPTION</v>
      </c>
      <c r="T150" s="38" t="str">
        <v>EVD-0007;EVD-0008</v>
      </c>
      <c r="U150" s="38" t="str">
        <v>Проектная декомпозиция ChefTechnologyAgent; суммы contribution нормированы к draft-выходу EVD-0005; проверить взвешиванием</v>
      </c>
      <c r="V150" s="38" t="str">
        <v>2026-08-03</v>
      </c>
      <c r="W150" s="38" t="str">
        <v>Chef</v>
      </c>
      <c r="X150" s="38" t="str">
        <v>GAP-004;GAP-005</v>
      </c>
      <c r="Y150" s="39" t="str">
        <v>Не является утверждённой нормой; gross/net/output зафиксировать в контрольной серии</v>
      </c>
    </row>
    <row r="151">
      <c r="A151" s="37" t="str">
        <v>RCP-0147</v>
      </c>
      <c r="B151" s="38" t="str">
        <v>VKM-017</v>
      </c>
      <c r="C151" s="38" t="str">
        <v>VKC-017</v>
      </c>
      <c r="D151" s="38" t="str">
        <v>VKT-017</v>
      </c>
      <c r="E151" s="38" t="str">
        <v>0.1.0-DRAFT</v>
      </c>
      <c r="F151" s="38" t="str">
        <v>ING-041</v>
      </c>
      <c r="G151" s="38" t="str">
        <v>Горчица</v>
      </c>
      <c r="H151" s="38" t="str">
        <v>RAW_OR_FLATTENED_COMPONENT</v>
      </c>
      <c r="I151" s="38" t="str">
        <v>Соус</v>
      </c>
      <c r="J151" s="38" t="str">
        <v>VSF-016</v>
      </c>
      <c r="K151" s="38" t="n">
        <v>5</v>
      </c>
      <c r="L151" s="38" t="str">
        <v>г</v>
      </c>
      <c r="M151" s="38" t="n">
        <v>5</v>
      </c>
      <c r="N151" s="38" t="str">
        <v>г</v>
      </c>
      <c r="O151" s="38" t="n">
        <v>5</v>
      </c>
      <c r="P151" s="38" t="str">
        <v>г</v>
      </c>
      <c r="Q151" s="38" t="n">
        <v>0</v>
      </c>
      <c r="R151" s="38" t="n">
        <v>0</v>
      </c>
      <c r="S151" s="38" t="str">
        <v>ASSUMPTION</v>
      </c>
      <c r="T151" s="38" t="str">
        <v>EVD-0007;EVD-0008</v>
      </c>
      <c r="U151" s="38" t="str">
        <v>Проектная декомпозиция ChefTechnologyAgent; суммы contribution нормированы к draft-выходу EVD-0005; проверить взвешиванием</v>
      </c>
      <c r="V151" s="38" t="str">
        <v>2026-08-03</v>
      </c>
      <c r="W151" s="38" t="str">
        <v>Chef</v>
      </c>
      <c r="X151" s="38" t="str">
        <v>GAP-004;GAP-005</v>
      </c>
      <c r="Y151" s="39" t="str">
        <v>Не является утверждённой нормой; gross/net/output зафиксировать в контрольной серии</v>
      </c>
    </row>
    <row r="152">
      <c r="A152" s="37" t="str">
        <v>RCP-0148</v>
      </c>
      <c r="B152" s="38" t="str">
        <v>VKM-017</v>
      </c>
      <c r="C152" s="38" t="str">
        <v>VKC-017</v>
      </c>
      <c r="D152" s="38" t="str">
        <v>VKT-017</v>
      </c>
      <c r="E152" s="38" t="str">
        <v>0.1.0-DRAFT</v>
      </c>
      <c r="F152" s="38" t="str">
        <v>ING-068</v>
      </c>
      <c r="G152" s="38" t="str">
        <v>Майонез или эмульсионный соус</v>
      </c>
      <c r="H152" s="38" t="str">
        <v>RAW_OR_FLATTENED_COMPONENT</v>
      </c>
      <c r="I152" s="38" t="str">
        <v>Соус</v>
      </c>
      <c r="J152" s="38" t="str">
        <v>VSF-016</v>
      </c>
      <c r="K152" s="38" t="n">
        <v>7</v>
      </c>
      <c r="L152" s="38" t="str">
        <v>г</v>
      </c>
      <c r="M152" s="38" t="n">
        <v>7</v>
      </c>
      <c r="N152" s="38" t="str">
        <v>г</v>
      </c>
      <c r="O152" s="38" t="n">
        <v>7</v>
      </c>
      <c r="P152" s="38" t="str">
        <v>г</v>
      </c>
      <c r="Q152" s="38" t="n">
        <v>0</v>
      </c>
      <c r="R152" s="38" t="n">
        <v>0</v>
      </c>
      <c r="S152" s="38" t="str">
        <v>ASSUMPTION</v>
      </c>
      <c r="T152" s="38" t="str">
        <v>EVD-0007;EVD-0008</v>
      </c>
      <c r="U152" s="38" t="str">
        <v>Проектная декомпозиция ChefTechnologyAgent; суммы contribution нормированы к draft-выходу EVD-0005; проверить взвешиванием</v>
      </c>
      <c r="V152" s="38" t="str">
        <v>2026-08-03</v>
      </c>
      <c r="W152" s="38" t="str">
        <v>Chef</v>
      </c>
      <c r="X152" s="38" t="str">
        <v>GAP-004;GAP-005</v>
      </c>
      <c r="Y152" s="39" t="str">
        <v>Не является утверждённой нормой; gross/net/output зафиксировать в контрольной серии</v>
      </c>
    </row>
    <row r="153">
      <c r="A153" s="37" t="str">
        <v>RCP-0149</v>
      </c>
      <c r="B153" s="38" t="str">
        <v>VKM-017</v>
      </c>
      <c r="C153" s="38" t="str">
        <v>VKC-017</v>
      </c>
      <c r="D153" s="38" t="str">
        <v>VKT-017</v>
      </c>
      <c r="E153" s="38" t="str">
        <v>0.1.0-DRAFT</v>
      </c>
      <c r="F153" s="38" t="str">
        <v>ING-069</v>
      </c>
      <c r="G153" s="38" t="str">
        <v>Сок мясной или бульон</v>
      </c>
      <c r="H153" s="38" t="str">
        <v>RAW_OR_FLATTENED_COMPONENT</v>
      </c>
      <c r="I153" s="38" t="str">
        <v>Соус</v>
      </c>
      <c r="J153" s="38" t="str">
        <v>VSF-016</v>
      </c>
      <c r="K153" s="38" t="n">
        <v>3</v>
      </c>
      <c r="L153" s="38" t="str">
        <v>г</v>
      </c>
      <c r="M153" s="38" t="n">
        <v>3</v>
      </c>
      <c r="N153" s="38" t="str">
        <v>г</v>
      </c>
      <c r="O153" s="38" t="n">
        <v>3</v>
      </c>
      <c r="P153" s="38" t="str">
        <v>г</v>
      </c>
      <c r="Q153" s="38" t="n">
        <v>0</v>
      </c>
      <c r="R153" s="38" t="n">
        <v>0</v>
      </c>
      <c r="S153" s="38" t="str">
        <v>ASSUMPTION</v>
      </c>
      <c r="T153" s="38" t="str">
        <v>EVD-0007;EVD-0008</v>
      </c>
      <c r="U153" s="38" t="str">
        <v>Проектная декомпозиция ChefTechnologyAgent; суммы contribution нормированы к draft-выходу EVD-0005; проверить взвешиванием</v>
      </c>
      <c r="V153" s="38" t="str">
        <v>2026-08-03</v>
      </c>
      <c r="W153" s="38" t="str">
        <v>Chef</v>
      </c>
      <c r="X153" s="38" t="str">
        <v>GAP-004;GAP-005</v>
      </c>
      <c r="Y153" s="39" t="str">
        <v>Не является утверждённой нормой; gross/net/output зафиксировать в контрольной серии</v>
      </c>
    </row>
    <row r="154">
      <c r="A154" s="37" t="str">
        <v>RCP-0150</v>
      </c>
      <c r="B154" s="38" t="str">
        <v>VKM-017</v>
      </c>
      <c r="C154" s="38" t="str">
        <v>VKC-017</v>
      </c>
      <c r="D154" s="38" t="str">
        <v>VKT-017</v>
      </c>
      <c r="E154" s="38" t="str">
        <v>0.1.0-DRAFT</v>
      </c>
      <c r="F154" s="38" t="str">
        <v>ING-059</v>
      </c>
      <c r="G154" s="38" t="str">
        <v>Зелень</v>
      </c>
      <c r="H154" s="38" t="str">
        <v>RAW_OR_FLATTENED_COMPONENT</v>
      </c>
      <c r="I154" s="38" t="str">
        <v>Финиш</v>
      </c>
      <c r="J154" s="38"/>
      <c r="K154" s="38" t="n">
        <v>2.5</v>
      </c>
      <c r="L154" s="38" t="str">
        <v>г</v>
      </c>
      <c r="M154" s="38" t="n">
        <v>2</v>
      </c>
      <c r="N154" s="38" t="str">
        <v>г</v>
      </c>
      <c r="O154" s="38" t="n">
        <v>2</v>
      </c>
      <c r="P154" s="38" t="str">
        <v>г</v>
      </c>
      <c r="Q154" s="38" t="n">
        <v>0.5</v>
      </c>
      <c r="R154" s="38" t="n">
        <v>0</v>
      </c>
      <c r="S154" s="38" t="str">
        <v>ASSUMPTION</v>
      </c>
      <c r="T154" s="38" t="str">
        <v>EVD-0007;EVD-0008</v>
      </c>
      <c r="U154" s="38" t="str">
        <v>Проектная декомпозиция ChefTechnologyAgent; суммы contribution нормированы к draft-выходу EVD-0005; проверить взвешиванием</v>
      </c>
      <c r="V154" s="38" t="str">
        <v>2026-08-03</v>
      </c>
      <c r="W154" s="38" t="str">
        <v>Chef</v>
      </c>
      <c r="X154" s="38" t="str">
        <v>GAP-004;GAP-005</v>
      </c>
      <c r="Y154" s="39" t="str">
        <v>Не является утверждённой нормой; gross/net/output зафиксировать в контрольной серии</v>
      </c>
    </row>
    <row r="155">
      <c r="A155" s="37" t="str">
        <v>RCP-0151</v>
      </c>
      <c r="B155" s="38" t="str">
        <v>VKM-018</v>
      </c>
      <c r="C155" s="38" t="str">
        <v>VKC-018</v>
      </c>
      <c r="D155" s="38" t="str">
        <v>VKT-018</v>
      </c>
      <c r="E155" s="38" t="str">
        <v>0.1.0-DRAFT</v>
      </c>
      <c r="F155" s="38" t="str">
        <v>ING-070</v>
      </c>
      <c r="G155" s="38" t="str">
        <v>Бульон мясной</v>
      </c>
      <c r="H155" s="38" t="str">
        <v>RAW_OR_FLATTENED_COMPONENT</v>
      </c>
      <c r="I155" s="38" t="str">
        <v>Основа</v>
      </c>
      <c r="J155" s="38" t="str">
        <v>VSF-017</v>
      </c>
      <c r="K155" s="38" t="n">
        <v>160</v>
      </c>
      <c r="L155" s="38" t="str">
        <v>г</v>
      </c>
      <c r="M155" s="38" t="n">
        <v>160</v>
      </c>
      <c r="N155" s="38" t="str">
        <v>г</v>
      </c>
      <c r="O155" s="38" t="n">
        <v>145</v>
      </c>
      <c r="P155" s="38" t="str">
        <v>г</v>
      </c>
      <c r="Q155" s="38" t="n">
        <v>0</v>
      </c>
      <c r="R155" s="38" t="n">
        <v>15</v>
      </c>
      <c r="S155" s="38" t="str">
        <v>ASSUMPTION</v>
      </c>
      <c r="T155" s="38" t="str">
        <v>EVD-0007;EVD-0008</v>
      </c>
      <c r="U155" s="38" t="str">
        <v>Проектная декомпозиция ChefTechnologyAgent; суммы contribution нормированы к draft-выходу EVD-0005; проверить взвешиванием</v>
      </c>
      <c r="V155" s="38" t="str">
        <v>2026-08-03</v>
      </c>
      <c r="W155" s="38" t="str">
        <v>Chef</v>
      </c>
      <c r="X155" s="38" t="str">
        <v>GAP-004;GAP-005</v>
      </c>
      <c r="Y155" s="39" t="str">
        <v>Не является утверждённой нормой; gross/net/output зафиксировать в контрольной серии</v>
      </c>
    </row>
    <row r="156">
      <c r="A156" s="37" t="str">
        <v>RCP-0152</v>
      </c>
      <c r="B156" s="38" t="str">
        <v>VKM-018</v>
      </c>
      <c r="C156" s="38" t="str">
        <v>VKC-018</v>
      </c>
      <c r="D156" s="38" t="str">
        <v>VKT-018</v>
      </c>
      <c r="E156" s="38" t="str">
        <v>0.1.0-DRAFT</v>
      </c>
      <c r="F156" s="38" t="str">
        <v>ING-071</v>
      </c>
      <c r="G156" s="38" t="str">
        <v>Свёкла</v>
      </c>
      <c r="H156" s="38" t="str">
        <v>RAW_OR_FLATTENED_COMPONENT</v>
      </c>
      <c r="I156" s="38" t="str">
        <v>Пассеровка</v>
      </c>
      <c r="J156" s="38" t="str">
        <v>VSF-018</v>
      </c>
      <c r="K156" s="38" t="n">
        <v>78</v>
      </c>
      <c r="L156" s="38" t="str">
        <v>г</v>
      </c>
      <c r="M156" s="38" t="n">
        <v>70</v>
      </c>
      <c r="N156" s="38" t="str">
        <v>г</v>
      </c>
      <c r="O156" s="38" t="n">
        <v>60</v>
      </c>
      <c r="P156" s="38" t="str">
        <v>г</v>
      </c>
      <c r="Q156" s="38" t="n">
        <v>8</v>
      </c>
      <c r="R156" s="38" t="n">
        <v>10</v>
      </c>
      <c r="S156" s="38" t="str">
        <v>ASSUMPTION</v>
      </c>
      <c r="T156" s="38" t="str">
        <v>EVD-0007;EVD-0008</v>
      </c>
      <c r="U156" s="38" t="str">
        <v>Проектная декомпозиция ChefTechnologyAgent; суммы contribution нормированы к draft-выходу EVD-0005; проверить взвешиванием</v>
      </c>
      <c r="V156" s="38" t="str">
        <v>2026-08-03</v>
      </c>
      <c r="W156" s="38" t="str">
        <v>Chef</v>
      </c>
      <c r="X156" s="38" t="str">
        <v>GAP-004;GAP-005</v>
      </c>
      <c r="Y156" s="39" t="str">
        <v>Не является утверждённой нормой; gross/net/output зафиксировать в контрольной серии</v>
      </c>
    </row>
    <row r="157">
      <c r="A157" s="37" t="str">
        <v>RCP-0153</v>
      </c>
      <c r="B157" s="38" t="str">
        <v>VKM-018</v>
      </c>
      <c r="C157" s="38" t="str">
        <v>VKC-018</v>
      </c>
      <c r="D157" s="38" t="str">
        <v>VKT-018</v>
      </c>
      <c r="E157" s="38" t="str">
        <v>0.1.0-DRAFT</v>
      </c>
      <c r="F157" s="38" t="str">
        <v>ING-064</v>
      </c>
      <c r="G157" s="38" t="str">
        <v>Капуста белокочанная</v>
      </c>
      <c r="H157" s="38" t="str">
        <v>RAW_OR_FLATTENED_COMPONENT</v>
      </c>
      <c r="I157" s="38" t="str">
        <v>Суп</v>
      </c>
      <c r="J157" s="38"/>
      <c r="K157" s="38" t="n">
        <v>54</v>
      </c>
      <c r="L157" s="38" t="str">
        <v>г</v>
      </c>
      <c r="M157" s="38" t="n">
        <v>48</v>
      </c>
      <c r="N157" s="38" t="str">
        <v>г</v>
      </c>
      <c r="O157" s="38" t="n">
        <v>45</v>
      </c>
      <c r="P157" s="38" t="str">
        <v>г</v>
      </c>
      <c r="Q157" s="38" t="n">
        <v>6</v>
      </c>
      <c r="R157" s="38" t="n">
        <v>3</v>
      </c>
      <c r="S157" s="38" t="str">
        <v>ASSUMPTION</v>
      </c>
      <c r="T157" s="38" t="str">
        <v>EVD-0007;EVD-0008</v>
      </c>
      <c r="U157" s="38" t="str">
        <v>Проектная декомпозиция ChefTechnologyAgent; суммы contribution нормированы к draft-выходу EVD-0005; проверить взвешиванием</v>
      </c>
      <c r="V157" s="38" t="str">
        <v>2026-08-03</v>
      </c>
      <c r="W157" s="38" t="str">
        <v>Chef</v>
      </c>
      <c r="X157" s="38" t="str">
        <v>GAP-004;GAP-005</v>
      </c>
      <c r="Y157" s="39" t="str">
        <v>Не является утверждённой нормой; gross/net/output зафиксировать в контрольной серии</v>
      </c>
    </row>
    <row r="158">
      <c r="A158" s="37" t="str">
        <v>RCP-0154</v>
      </c>
      <c r="B158" s="38" t="str">
        <v>VKM-018</v>
      </c>
      <c r="C158" s="38" t="str">
        <v>VKC-018</v>
      </c>
      <c r="D158" s="38" t="str">
        <v>VKT-018</v>
      </c>
      <c r="E158" s="38" t="str">
        <v>0.1.0-DRAFT</v>
      </c>
      <c r="F158" s="38" t="str">
        <v>ING-072</v>
      </c>
      <c r="G158" s="38" t="str">
        <v>Картофель</v>
      </c>
      <c r="H158" s="38" t="str">
        <v>RAW_OR_FLATTENED_COMPONENT</v>
      </c>
      <c r="I158" s="38" t="str">
        <v>Суп</v>
      </c>
      <c r="J158" s="38"/>
      <c r="K158" s="38" t="n">
        <v>52</v>
      </c>
      <c r="L158" s="38" t="str">
        <v>г</v>
      </c>
      <c r="M158" s="38" t="n">
        <v>46</v>
      </c>
      <c r="N158" s="38" t="str">
        <v>г</v>
      </c>
      <c r="O158" s="38" t="n">
        <v>40</v>
      </c>
      <c r="P158" s="38" t="str">
        <v>г</v>
      </c>
      <c r="Q158" s="38" t="n">
        <v>6</v>
      </c>
      <c r="R158" s="38" t="n">
        <v>6</v>
      </c>
      <c r="S158" s="38" t="str">
        <v>ASSUMPTION</v>
      </c>
      <c r="T158" s="38" t="str">
        <v>EVD-0007;EVD-0008</v>
      </c>
      <c r="U158" s="38" t="str">
        <v>Проектная декомпозиция ChefTechnologyAgent; суммы contribution нормированы к draft-выходу EVD-0005; проверить взвешиванием</v>
      </c>
      <c r="V158" s="38" t="str">
        <v>2026-08-03</v>
      </c>
      <c r="W158" s="38" t="str">
        <v>Chef</v>
      </c>
      <c r="X158" s="38" t="str">
        <v>GAP-004;GAP-005</v>
      </c>
      <c r="Y158" s="39" t="str">
        <v>Не является утверждённой нормой; gross/net/output зафиксировать в контрольной серии</v>
      </c>
    </row>
    <row r="159">
      <c r="A159" s="37" t="str">
        <v>RCP-0155</v>
      </c>
      <c r="B159" s="38" t="str">
        <v>VKM-018</v>
      </c>
      <c r="C159" s="38" t="str">
        <v>VKC-018</v>
      </c>
      <c r="D159" s="38" t="str">
        <v>VKT-018</v>
      </c>
      <c r="E159" s="38" t="str">
        <v>0.1.0-DRAFT</v>
      </c>
      <c r="F159" s="38" t="str">
        <v>ING-073</v>
      </c>
      <c r="G159" s="38" t="str">
        <v>Говядина отварная</v>
      </c>
      <c r="H159" s="38" t="str">
        <v>RAW_OR_FLATTENED_COMPONENT</v>
      </c>
      <c r="I159" s="38" t="str">
        <v>Подача</v>
      </c>
      <c r="J159" s="38"/>
      <c r="K159" s="38" t="n">
        <v>65</v>
      </c>
      <c r="L159" s="38" t="str">
        <v>г</v>
      </c>
      <c r="M159" s="38" t="n">
        <v>55</v>
      </c>
      <c r="N159" s="38" t="str">
        <v>г</v>
      </c>
      <c r="O159" s="38" t="n">
        <v>45</v>
      </c>
      <c r="P159" s="38" t="str">
        <v>г</v>
      </c>
      <c r="Q159" s="38" t="n">
        <v>10</v>
      </c>
      <c r="R159" s="38" t="n">
        <v>10</v>
      </c>
      <c r="S159" s="38" t="str">
        <v>ASSUMPTION</v>
      </c>
      <c r="T159" s="38" t="str">
        <v>EVD-0007;EVD-0008</v>
      </c>
      <c r="U159" s="38" t="str">
        <v>Проектная декомпозиция ChefTechnologyAgent; суммы contribution нормированы к draft-выходу EVD-0005; проверить взвешиванием</v>
      </c>
      <c r="V159" s="38" t="str">
        <v>2026-08-03</v>
      </c>
      <c r="W159" s="38" t="str">
        <v>Chef</v>
      </c>
      <c r="X159" s="38" t="str">
        <v>GAP-004;GAP-005</v>
      </c>
      <c r="Y159" s="39" t="str">
        <v>Не является утверждённой нормой; gross/net/output зафиксировать в контрольной серии</v>
      </c>
    </row>
    <row r="160">
      <c r="A160" s="37" t="str">
        <v>RCP-0156</v>
      </c>
      <c r="B160" s="38" t="str">
        <v>VKM-018</v>
      </c>
      <c r="C160" s="38" t="str">
        <v>VKC-018</v>
      </c>
      <c r="D160" s="38" t="str">
        <v>VKT-018</v>
      </c>
      <c r="E160" s="38" t="str">
        <v>0.1.0-DRAFT</v>
      </c>
      <c r="F160" s="38" t="str">
        <v>ING-074</v>
      </c>
      <c r="G160" s="38" t="str">
        <v>Морковь</v>
      </c>
      <c r="H160" s="38" t="str">
        <v>RAW_OR_FLATTENED_COMPONENT</v>
      </c>
      <c r="I160" s="38" t="str">
        <v>Пассеровка</v>
      </c>
      <c r="J160" s="38" t="str">
        <v>VSF-018</v>
      </c>
      <c r="K160" s="38" t="n">
        <v>19</v>
      </c>
      <c r="L160" s="38" t="str">
        <v>г</v>
      </c>
      <c r="M160" s="38" t="n">
        <v>17</v>
      </c>
      <c r="N160" s="38" t="str">
        <v>г</v>
      </c>
      <c r="O160" s="38" t="n">
        <v>15</v>
      </c>
      <c r="P160" s="38" t="str">
        <v>г</v>
      </c>
      <c r="Q160" s="38" t="n">
        <v>2</v>
      </c>
      <c r="R160" s="38" t="n">
        <v>2</v>
      </c>
      <c r="S160" s="38" t="str">
        <v>ASSUMPTION</v>
      </c>
      <c r="T160" s="38" t="str">
        <v>EVD-0007;EVD-0008</v>
      </c>
      <c r="U160" s="38" t="str">
        <v>Проектная декомпозиция ChefTechnologyAgent; суммы contribution нормированы к draft-выходу EVD-0005; проверить взвешиванием</v>
      </c>
      <c r="V160" s="38" t="str">
        <v>2026-08-03</v>
      </c>
      <c r="W160" s="38" t="str">
        <v>Chef</v>
      </c>
      <c r="X160" s="38" t="str">
        <v>GAP-004;GAP-005</v>
      </c>
      <c r="Y160" s="39" t="str">
        <v>Не является утверждённой нормой; gross/net/output зафиксировать в контрольной серии</v>
      </c>
    </row>
    <row r="161">
      <c r="A161" s="37" t="str">
        <v>RCP-0157</v>
      </c>
      <c r="B161" s="38" t="str">
        <v>VKM-018</v>
      </c>
      <c r="C161" s="38" t="str">
        <v>VKC-018</v>
      </c>
      <c r="D161" s="38" t="str">
        <v>VKT-018</v>
      </c>
      <c r="E161" s="38" t="str">
        <v>0.1.0-DRAFT</v>
      </c>
      <c r="F161" s="38" t="str">
        <v>ING-016</v>
      </c>
      <c r="G161" s="38" t="str">
        <v>Лук репчатый</v>
      </c>
      <c r="H161" s="38" t="str">
        <v>RAW_OR_FLATTENED_COMPONENT</v>
      </c>
      <c r="I161" s="38" t="str">
        <v>Пассеровка</v>
      </c>
      <c r="J161" s="38" t="str">
        <v>VSF-018</v>
      </c>
      <c r="K161" s="38" t="n">
        <v>13</v>
      </c>
      <c r="L161" s="38" t="str">
        <v>г</v>
      </c>
      <c r="M161" s="38" t="n">
        <v>11</v>
      </c>
      <c r="N161" s="38" t="str">
        <v>г</v>
      </c>
      <c r="O161" s="38" t="n">
        <v>10</v>
      </c>
      <c r="P161" s="38" t="str">
        <v>г</v>
      </c>
      <c r="Q161" s="38" t="n">
        <v>2</v>
      </c>
      <c r="R161" s="38" t="n">
        <v>1</v>
      </c>
      <c r="S161" s="38" t="str">
        <v>ASSUMPTION</v>
      </c>
      <c r="T161" s="38" t="str">
        <v>EVD-0007;EVD-0008</v>
      </c>
      <c r="U161" s="38" t="str">
        <v>Проектная декомпозиция ChefTechnologyAgent; суммы contribution нормированы к draft-выходу EVD-0005; проверить взвешиванием</v>
      </c>
      <c r="V161" s="38" t="str">
        <v>2026-08-03</v>
      </c>
      <c r="W161" s="38" t="str">
        <v>Chef</v>
      </c>
      <c r="X161" s="38" t="str">
        <v>GAP-004;GAP-005</v>
      </c>
      <c r="Y161" s="39" t="str">
        <v>Не является утверждённой нормой; gross/net/output зафиксировать в контрольной серии</v>
      </c>
    </row>
    <row r="162">
      <c r="A162" s="37" t="str">
        <v>RCP-0158</v>
      </c>
      <c r="B162" s="38" t="str">
        <v>VKM-018</v>
      </c>
      <c r="C162" s="38" t="str">
        <v>VKC-018</v>
      </c>
      <c r="D162" s="38" t="str">
        <v>VKT-018</v>
      </c>
      <c r="E162" s="38" t="str">
        <v>0.1.0-DRAFT</v>
      </c>
      <c r="F162" s="38" t="str">
        <v>ING-006</v>
      </c>
      <c r="G162" s="38" t="str">
        <v>Томаты протёртые</v>
      </c>
      <c r="H162" s="38" t="str">
        <v>RAW_OR_FLATTENED_COMPONENT</v>
      </c>
      <c r="I162" s="38" t="str">
        <v>Пассеровка</v>
      </c>
      <c r="J162" s="38" t="str">
        <v>VSF-018</v>
      </c>
      <c r="K162" s="38" t="n">
        <v>16</v>
      </c>
      <c r="L162" s="38" t="str">
        <v>г</v>
      </c>
      <c r="M162" s="38" t="n">
        <v>16</v>
      </c>
      <c r="N162" s="38" t="str">
        <v>г</v>
      </c>
      <c r="O162" s="38" t="n">
        <v>15</v>
      </c>
      <c r="P162" s="38" t="str">
        <v>г</v>
      </c>
      <c r="Q162" s="38" t="n">
        <v>0</v>
      </c>
      <c r="R162" s="38" t="n">
        <v>1</v>
      </c>
      <c r="S162" s="38" t="str">
        <v>ASSUMPTION</v>
      </c>
      <c r="T162" s="38" t="str">
        <v>EVD-0007;EVD-0008</v>
      </c>
      <c r="U162" s="38" t="str">
        <v>Проектная декомпозиция ChefTechnologyAgent; суммы contribution нормированы к draft-выходу EVD-0005; проверить взвешиванием</v>
      </c>
      <c r="V162" s="38" t="str">
        <v>2026-08-03</v>
      </c>
      <c r="W162" s="38" t="str">
        <v>Chef</v>
      </c>
      <c r="X162" s="38" t="str">
        <v>GAP-004;GAP-005</v>
      </c>
      <c r="Y162" s="39" t="str">
        <v>Не является утверждённой нормой; gross/net/output зафиксировать в контрольной серии</v>
      </c>
    </row>
    <row r="163">
      <c r="A163" s="37" t="str">
        <v>RCP-0159</v>
      </c>
      <c r="B163" s="38" t="str">
        <v>VKM-018</v>
      </c>
      <c r="C163" s="38" t="str">
        <v>VKC-018</v>
      </c>
      <c r="D163" s="38" t="str">
        <v>VKT-018</v>
      </c>
      <c r="E163" s="38" t="str">
        <v>0.1.0-DRAFT</v>
      </c>
      <c r="F163" s="38" t="str">
        <v>ING-024</v>
      </c>
      <c r="G163" s="38" t="str">
        <v>Масло растительное</v>
      </c>
      <c r="H163" s="38" t="str">
        <v>RAW_OR_FLATTENED_COMPONENT</v>
      </c>
      <c r="I163" s="38" t="str">
        <v>Пассеровка</v>
      </c>
      <c r="J163" s="38" t="str">
        <v>VSF-018</v>
      </c>
      <c r="K163" s="38" t="n">
        <v>5</v>
      </c>
      <c r="L163" s="38" t="str">
        <v>г</v>
      </c>
      <c r="M163" s="38" t="n">
        <v>5</v>
      </c>
      <c r="N163" s="38" t="str">
        <v>г</v>
      </c>
      <c r="O163" s="38" t="n">
        <v>5</v>
      </c>
      <c r="P163" s="38" t="str">
        <v>г</v>
      </c>
      <c r="Q163" s="38" t="n">
        <v>0</v>
      </c>
      <c r="R163" s="38" t="n">
        <v>0</v>
      </c>
      <c r="S163" s="38" t="str">
        <v>ASSUMPTION</v>
      </c>
      <c r="T163" s="38" t="str">
        <v>EVD-0007;EVD-0008</v>
      </c>
      <c r="U163" s="38" t="str">
        <v>Проектная декомпозиция ChefTechnologyAgent; суммы contribution нормированы к draft-выходу EVD-0005; проверить взвешиванием</v>
      </c>
      <c r="V163" s="38" t="str">
        <v>2026-08-03</v>
      </c>
      <c r="W163" s="38" t="str">
        <v>Chef</v>
      </c>
      <c r="X163" s="38" t="str">
        <v>GAP-004;GAP-005</v>
      </c>
      <c r="Y163" s="39" t="str">
        <v>Не является утверждённой нормой; gross/net/output зафиксировать в контрольной серии</v>
      </c>
    </row>
    <row r="164">
      <c r="A164" s="37" t="str">
        <v>RCP-0160</v>
      </c>
      <c r="B164" s="38" t="str">
        <v>VKM-018</v>
      </c>
      <c r="C164" s="38" t="str">
        <v>VKC-018</v>
      </c>
      <c r="D164" s="38" t="str">
        <v>VKT-018</v>
      </c>
      <c r="E164" s="38" t="str">
        <v>0.1.0-DRAFT</v>
      </c>
      <c r="F164" s="38" t="str">
        <v>ING-075</v>
      </c>
      <c r="G164" s="38" t="str">
        <v>Сметана</v>
      </c>
      <c r="H164" s="38" t="str">
        <v>RAW_OR_FLATTENED_COMPONENT</v>
      </c>
      <c r="I164" s="38" t="str">
        <v>Подача</v>
      </c>
      <c r="J164" s="38"/>
      <c r="K164" s="38" t="n">
        <v>15</v>
      </c>
      <c r="L164" s="38" t="str">
        <v>г</v>
      </c>
      <c r="M164" s="38" t="n">
        <v>15</v>
      </c>
      <c r="N164" s="38" t="str">
        <v>г</v>
      </c>
      <c r="O164" s="38" t="n">
        <v>15</v>
      </c>
      <c r="P164" s="38" t="str">
        <v>г</v>
      </c>
      <c r="Q164" s="38" t="n">
        <v>0</v>
      </c>
      <c r="R164" s="38" t="n">
        <v>0</v>
      </c>
      <c r="S164" s="38" t="str">
        <v>ASSUMPTION</v>
      </c>
      <c r="T164" s="38" t="str">
        <v>EVD-0007;EVD-0008</v>
      </c>
      <c r="U164" s="38" t="str">
        <v>Проектная декомпозиция ChefTechnologyAgent; суммы contribution нормированы к draft-выходу EVD-0005; проверить взвешиванием</v>
      </c>
      <c r="V164" s="38" t="str">
        <v>2026-08-03</v>
      </c>
      <c r="W164" s="38" t="str">
        <v>Chef</v>
      </c>
      <c r="X164" s="38" t="str">
        <v>GAP-004;GAP-005</v>
      </c>
      <c r="Y164" s="39" t="str">
        <v>Не является утверждённой нормой; gross/net/output зафиксировать в контрольной серии</v>
      </c>
    </row>
    <row r="165">
      <c r="A165" s="37" t="str">
        <v>RCP-0161</v>
      </c>
      <c r="B165" s="38" t="str">
        <v>VKM-018</v>
      </c>
      <c r="C165" s="38" t="str">
        <v>VKC-018</v>
      </c>
      <c r="D165" s="38" t="str">
        <v>VKT-018</v>
      </c>
      <c r="E165" s="38" t="str">
        <v>0.1.0-DRAFT</v>
      </c>
      <c r="F165" s="38" t="str">
        <v>ING-059</v>
      </c>
      <c r="G165" s="38" t="str">
        <v>Зелень</v>
      </c>
      <c r="H165" s="38" t="str">
        <v>RAW_OR_FLATTENED_COMPONENT</v>
      </c>
      <c r="I165" s="38" t="str">
        <v>Подача</v>
      </c>
      <c r="J165" s="38"/>
      <c r="K165" s="38" t="n">
        <v>6</v>
      </c>
      <c r="L165" s="38" t="str">
        <v>г</v>
      </c>
      <c r="M165" s="38" t="n">
        <v>5</v>
      </c>
      <c r="N165" s="38" t="str">
        <v>г</v>
      </c>
      <c r="O165" s="38" t="n">
        <v>5</v>
      </c>
      <c r="P165" s="38" t="str">
        <v>г</v>
      </c>
      <c r="Q165" s="38" t="n">
        <v>1</v>
      </c>
      <c r="R165" s="38" t="n">
        <v>0</v>
      </c>
      <c r="S165" s="38" t="str">
        <v>ASSUMPTION</v>
      </c>
      <c r="T165" s="38" t="str">
        <v>EVD-0007;EVD-0008</v>
      </c>
      <c r="U165" s="38" t="str">
        <v>Проектная декомпозиция ChefTechnologyAgent; суммы contribution нормированы к draft-выходу EVD-0005; проверить взвешиванием</v>
      </c>
      <c r="V165" s="38" t="str">
        <v>2026-08-03</v>
      </c>
      <c r="W165" s="38" t="str">
        <v>Chef</v>
      </c>
      <c r="X165" s="38" t="str">
        <v>GAP-004;GAP-005</v>
      </c>
      <c r="Y165" s="39" t="str">
        <v>Не является утверждённой нормой; gross/net/output зафиксировать в контрольной серии</v>
      </c>
    </row>
    <row r="166">
      <c r="A166" s="37" t="str">
        <v>RCP-0162</v>
      </c>
      <c r="B166" s="38" t="str">
        <v>VKM-019</v>
      </c>
      <c r="C166" s="38" t="str">
        <v>VKC-019</v>
      </c>
      <c r="D166" s="38" t="str">
        <v>VKT-019</v>
      </c>
      <c r="E166" s="38" t="str">
        <v>0.1.0-DRAFT</v>
      </c>
      <c r="F166" s="38" t="str">
        <v>ING-076</v>
      </c>
      <c r="G166" s="38" t="str">
        <v>Треска, филе порционное</v>
      </c>
      <c r="H166" s="38" t="str">
        <v>RAW_OR_FLATTENED_COMPONENT</v>
      </c>
      <c r="I166" s="38" t="str">
        <v>Основной компонент</v>
      </c>
      <c r="J166" s="38"/>
      <c r="K166" s="38" t="n">
        <v>210</v>
      </c>
      <c r="L166" s="38" t="str">
        <v>г</v>
      </c>
      <c r="M166" s="38" t="n">
        <v>195</v>
      </c>
      <c r="N166" s="38" t="str">
        <v>г</v>
      </c>
      <c r="O166" s="38" t="n">
        <v>180</v>
      </c>
      <c r="P166" s="38" t="str">
        <v>г</v>
      </c>
      <c r="Q166" s="38" t="n">
        <v>15</v>
      </c>
      <c r="R166" s="38" t="n">
        <v>15</v>
      </c>
      <c r="S166" s="38" t="str">
        <v>ASSUMPTION</v>
      </c>
      <c r="T166" s="38" t="str">
        <v>EVD-0007;EVD-0008</v>
      </c>
      <c r="U166" s="38" t="str">
        <v>Проектная декомпозиция ChefTechnologyAgent; суммы contribution нормированы к draft-выходу EVD-0005; проверить взвешиванием</v>
      </c>
      <c r="V166" s="38" t="str">
        <v>2026-08-03</v>
      </c>
      <c r="W166" s="38" t="str">
        <v>Chef</v>
      </c>
      <c r="X166" s="38" t="str">
        <v>GAP-004;GAP-005</v>
      </c>
      <c r="Y166" s="39" t="str">
        <v>Не является утверждённой нормой; gross/net/output зафиксировать в контрольной серии</v>
      </c>
    </row>
    <row r="167">
      <c r="A167" s="37" t="str">
        <v>RCP-0163</v>
      </c>
      <c r="B167" s="38" t="str">
        <v>VKM-019</v>
      </c>
      <c r="C167" s="38" t="str">
        <v>VKC-019</v>
      </c>
      <c r="D167" s="38" t="str">
        <v>VKT-019</v>
      </c>
      <c r="E167" s="38" t="str">
        <v>0.1.0-DRAFT</v>
      </c>
      <c r="F167" s="38" t="str">
        <v>ING-077</v>
      </c>
      <c r="G167" s="38" t="str">
        <v>Сливки</v>
      </c>
      <c r="H167" s="38" t="str">
        <v>RAW_OR_FLATTENED_COMPONENT</v>
      </c>
      <c r="I167" s="38" t="str">
        <v>Соус</v>
      </c>
      <c r="J167" s="38" t="str">
        <v>VSF-019</v>
      </c>
      <c r="K167" s="38" t="n">
        <v>58</v>
      </c>
      <c r="L167" s="38" t="str">
        <v>г</v>
      </c>
      <c r="M167" s="38" t="n">
        <v>58</v>
      </c>
      <c r="N167" s="38" t="str">
        <v>г</v>
      </c>
      <c r="O167" s="38" t="n">
        <v>55</v>
      </c>
      <c r="P167" s="38" t="str">
        <v>г</v>
      </c>
      <c r="Q167" s="38" t="n">
        <v>0</v>
      </c>
      <c r="R167" s="38" t="n">
        <v>3</v>
      </c>
      <c r="S167" s="38" t="str">
        <v>ASSUMPTION</v>
      </c>
      <c r="T167" s="38" t="str">
        <v>EVD-0007;EVD-0008</v>
      </c>
      <c r="U167" s="38" t="str">
        <v>Проектная декомпозиция ChefTechnologyAgent; суммы contribution нормированы к draft-выходу EVD-0005; проверить взвешиванием</v>
      </c>
      <c r="V167" s="38" t="str">
        <v>2026-08-03</v>
      </c>
      <c r="W167" s="38" t="str">
        <v>Chef</v>
      </c>
      <c r="X167" s="38" t="str">
        <v>GAP-004;GAP-005</v>
      </c>
      <c r="Y167" s="39" t="str">
        <v>Не является утверждённой нормой; gross/net/output зафиксировать в контрольной серии</v>
      </c>
    </row>
    <row r="168">
      <c r="A168" s="37" t="str">
        <v>RCP-0164</v>
      </c>
      <c r="B168" s="38" t="str">
        <v>VKM-019</v>
      </c>
      <c r="C168" s="38" t="str">
        <v>VKC-019</v>
      </c>
      <c r="D168" s="38" t="str">
        <v>VKT-019</v>
      </c>
      <c r="E168" s="38" t="str">
        <v>0.1.0-DRAFT</v>
      </c>
      <c r="F168" s="38" t="str">
        <v>ING-041</v>
      </c>
      <c r="G168" s="38" t="str">
        <v>Горчица</v>
      </c>
      <c r="H168" s="38" t="str">
        <v>RAW_OR_FLATTENED_COMPONENT</v>
      </c>
      <c r="I168" s="38" t="str">
        <v>Соус</v>
      </c>
      <c r="J168" s="38" t="str">
        <v>VSF-019</v>
      </c>
      <c r="K168" s="38" t="n">
        <v>10</v>
      </c>
      <c r="L168" s="38" t="str">
        <v>г</v>
      </c>
      <c r="M168" s="38" t="n">
        <v>10</v>
      </c>
      <c r="N168" s="38" t="str">
        <v>г</v>
      </c>
      <c r="O168" s="38" t="n">
        <v>10</v>
      </c>
      <c r="P168" s="38" t="str">
        <v>г</v>
      </c>
      <c r="Q168" s="38" t="n">
        <v>0</v>
      </c>
      <c r="R168" s="38" t="n">
        <v>0</v>
      </c>
      <c r="S168" s="38" t="str">
        <v>ASSUMPTION</v>
      </c>
      <c r="T168" s="38" t="str">
        <v>EVD-0007;EVD-0008</v>
      </c>
      <c r="U168" s="38" t="str">
        <v>Проектная декомпозиция ChefTechnologyAgent; суммы contribution нормированы к draft-выходу EVD-0005; проверить взвешиванием</v>
      </c>
      <c r="V168" s="38" t="str">
        <v>2026-08-03</v>
      </c>
      <c r="W168" s="38" t="str">
        <v>Chef</v>
      </c>
      <c r="X168" s="38" t="str">
        <v>GAP-004;GAP-005</v>
      </c>
      <c r="Y168" s="39" t="str">
        <v>Не является утверждённой нормой; gross/net/output зафиксировать в контрольной серии</v>
      </c>
    </row>
    <row r="169">
      <c r="A169" s="37" t="str">
        <v>RCP-0165</v>
      </c>
      <c r="B169" s="38" t="str">
        <v>VKM-019</v>
      </c>
      <c r="C169" s="38" t="str">
        <v>VKC-019</v>
      </c>
      <c r="D169" s="38" t="str">
        <v>VKT-019</v>
      </c>
      <c r="E169" s="38" t="str">
        <v>0.1.0-DRAFT</v>
      </c>
      <c r="F169" s="38" t="str">
        <v>ING-078</v>
      </c>
      <c r="G169" s="38" t="str">
        <v>Бульон рыбный или овощной</v>
      </c>
      <c r="H169" s="38" t="str">
        <v>RAW_OR_FLATTENED_COMPONENT</v>
      </c>
      <c r="I169" s="38" t="str">
        <v>Соус</v>
      </c>
      <c r="J169" s="38" t="str">
        <v>VSF-019</v>
      </c>
      <c r="K169" s="38" t="n">
        <v>12</v>
      </c>
      <c r="L169" s="38" t="str">
        <v>г</v>
      </c>
      <c r="M169" s="38" t="n">
        <v>12</v>
      </c>
      <c r="N169" s="38" t="str">
        <v>г</v>
      </c>
      <c r="O169" s="38" t="n">
        <v>10</v>
      </c>
      <c r="P169" s="38" t="str">
        <v>г</v>
      </c>
      <c r="Q169" s="38" t="n">
        <v>0</v>
      </c>
      <c r="R169" s="38" t="n">
        <v>2</v>
      </c>
      <c r="S169" s="38" t="str">
        <v>ASSUMPTION</v>
      </c>
      <c r="T169" s="38" t="str">
        <v>EVD-0007;EVD-0008</v>
      </c>
      <c r="U169" s="38" t="str">
        <v>Проектная декомпозиция ChefTechnologyAgent; суммы contribution нормированы к draft-выходу EVD-0005; проверить взвешиванием</v>
      </c>
      <c r="V169" s="38" t="str">
        <v>2026-08-03</v>
      </c>
      <c r="W169" s="38" t="str">
        <v>Chef</v>
      </c>
      <c r="X169" s="38" t="str">
        <v>GAP-004;GAP-005</v>
      </c>
      <c r="Y169" s="39" t="str">
        <v>Не является утверждённой нормой; gross/net/output зафиксировать в контрольной серии</v>
      </c>
    </row>
    <row r="170">
      <c r="A170" s="37" t="str">
        <v>RCP-0166</v>
      </c>
      <c r="B170" s="38" t="str">
        <v>VKM-019</v>
      </c>
      <c r="C170" s="38" t="str">
        <v>VKC-019</v>
      </c>
      <c r="D170" s="38" t="str">
        <v>VKT-019</v>
      </c>
      <c r="E170" s="38" t="str">
        <v>0.1.0-DRAFT</v>
      </c>
      <c r="F170" s="38" t="str">
        <v>ING-027</v>
      </c>
      <c r="G170" s="38" t="str">
        <v>Масло сливочное</v>
      </c>
      <c r="H170" s="38" t="str">
        <v>RAW_OR_FLATTENED_COMPONENT</v>
      </c>
      <c r="I170" s="38" t="str">
        <v>Соус</v>
      </c>
      <c r="J170" s="38" t="str">
        <v>VSF-019</v>
      </c>
      <c r="K170" s="38" t="n">
        <v>10</v>
      </c>
      <c r="L170" s="38" t="str">
        <v>г</v>
      </c>
      <c r="M170" s="38" t="n">
        <v>10</v>
      </c>
      <c r="N170" s="38" t="str">
        <v>г</v>
      </c>
      <c r="O170" s="38" t="n">
        <v>10</v>
      </c>
      <c r="P170" s="38" t="str">
        <v>г</v>
      </c>
      <c r="Q170" s="38" t="n">
        <v>0</v>
      </c>
      <c r="R170" s="38" t="n">
        <v>0</v>
      </c>
      <c r="S170" s="38" t="str">
        <v>ASSUMPTION</v>
      </c>
      <c r="T170" s="38" t="str">
        <v>EVD-0007;EVD-0008</v>
      </c>
      <c r="U170" s="38" t="str">
        <v>Проектная декомпозиция ChefTechnologyAgent; суммы contribution нормированы к draft-выходу EVD-0005; проверить взвешиванием</v>
      </c>
      <c r="V170" s="38" t="str">
        <v>2026-08-03</v>
      </c>
      <c r="W170" s="38" t="str">
        <v>Chef</v>
      </c>
      <c r="X170" s="38" t="str">
        <v>GAP-004;GAP-005</v>
      </c>
      <c r="Y170" s="39" t="str">
        <v>Не является утверждённой нормой; gross/net/output зафиксировать в контрольной серии</v>
      </c>
    </row>
    <row r="171">
      <c r="A171" s="37" t="str">
        <v>RCP-0167</v>
      </c>
      <c r="B171" s="38" t="str">
        <v>VKM-019</v>
      </c>
      <c r="C171" s="38" t="str">
        <v>VKC-019</v>
      </c>
      <c r="D171" s="38" t="str">
        <v>VKT-019</v>
      </c>
      <c r="E171" s="38" t="str">
        <v>0.1.0-DRAFT</v>
      </c>
      <c r="F171" s="38" t="str">
        <v>ING-079</v>
      </c>
      <c r="G171" s="38" t="str">
        <v>Шпинат</v>
      </c>
      <c r="H171" s="38" t="str">
        <v>RAW_OR_FLATTENED_COMPONENT</v>
      </c>
      <c r="I171" s="38" t="str">
        <v>Сборка</v>
      </c>
      <c r="J171" s="38"/>
      <c r="K171" s="38" t="n">
        <v>30</v>
      </c>
      <c r="L171" s="38" t="str">
        <v>г</v>
      </c>
      <c r="M171" s="38" t="n">
        <v>27</v>
      </c>
      <c r="N171" s="38" t="str">
        <v>г</v>
      </c>
      <c r="O171" s="38" t="n">
        <v>25</v>
      </c>
      <c r="P171" s="38" t="str">
        <v>г</v>
      </c>
      <c r="Q171" s="38" t="n">
        <v>3</v>
      </c>
      <c r="R171" s="38" t="n">
        <v>2</v>
      </c>
      <c r="S171" s="38" t="str">
        <v>ASSUMPTION</v>
      </c>
      <c r="T171" s="38" t="str">
        <v>EVD-0007;EVD-0008</v>
      </c>
      <c r="U171" s="38" t="str">
        <v>Проектная декомпозиция ChefTechnologyAgent; суммы contribution нормированы к draft-выходу EVD-0005; проверить взвешиванием</v>
      </c>
      <c r="V171" s="38" t="str">
        <v>2026-08-03</v>
      </c>
      <c r="W171" s="38" t="str">
        <v>Chef</v>
      </c>
      <c r="X171" s="38" t="str">
        <v>GAP-004;GAP-005</v>
      </c>
      <c r="Y171" s="39" t="str">
        <v>Не является утверждённой нормой; gross/net/output зафиксировать в контрольной серии</v>
      </c>
    </row>
    <row r="172">
      <c r="A172" s="37" t="str">
        <v>RCP-0168</v>
      </c>
      <c r="B172" s="38" t="str">
        <v>VKM-019</v>
      </c>
      <c r="C172" s="38" t="str">
        <v>VKC-019</v>
      </c>
      <c r="D172" s="38" t="str">
        <v>VKT-019</v>
      </c>
      <c r="E172" s="38" t="str">
        <v>0.1.0-DRAFT</v>
      </c>
      <c r="F172" s="38" t="str">
        <v>ING-024</v>
      </c>
      <c r="G172" s="38" t="str">
        <v>Масло растительное</v>
      </c>
      <c r="H172" s="38" t="str">
        <v>RAW_OR_FLATTENED_COMPONENT</v>
      </c>
      <c r="I172" s="38" t="str">
        <v>Обработка</v>
      </c>
      <c r="J172" s="38"/>
      <c r="K172" s="38" t="n">
        <v>5</v>
      </c>
      <c r="L172" s="38" t="str">
        <v>г</v>
      </c>
      <c r="M172" s="38" t="n">
        <v>5</v>
      </c>
      <c r="N172" s="38" t="str">
        <v>г</v>
      </c>
      <c r="O172" s="38" t="n">
        <v>5</v>
      </c>
      <c r="P172" s="38" t="str">
        <v>г</v>
      </c>
      <c r="Q172" s="38" t="n">
        <v>0</v>
      </c>
      <c r="R172" s="38" t="n">
        <v>0</v>
      </c>
      <c r="S172" s="38" t="str">
        <v>ASSUMPTION</v>
      </c>
      <c r="T172" s="38" t="str">
        <v>EVD-0007;EVD-0008</v>
      </c>
      <c r="U172" s="38" t="str">
        <v>Проектная декомпозиция ChefTechnologyAgent; суммы contribution нормированы к draft-выходу EVD-0005; проверить взвешиванием</v>
      </c>
      <c r="V172" s="38" t="str">
        <v>2026-08-03</v>
      </c>
      <c r="W172" s="38" t="str">
        <v>Chef</v>
      </c>
      <c r="X172" s="38" t="str">
        <v>GAP-004;GAP-005</v>
      </c>
      <c r="Y172" s="39" t="str">
        <v>Не является утверждённой нормой; gross/net/output зафиксировать в контрольной серии</v>
      </c>
    </row>
    <row r="173">
      <c r="A173" s="37" t="str">
        <v>RCP-0169</v>
      </c>
      <c r="B173" s="38" t="str">
        <v>VKM-019</v>
      </c>
      <c r="C173" s="38" t="str">
        <v>VKC-019</v>
      </c>
      <c r="D173" s="38" t="str">
        <v>VKT-019</v>
      </c>
      <c r="E173" s="38" t="str">
        <v>0.1.0-DRAFT</v>
      </c>
      <c r="F173" s="38" t="str">
        <v>ING-059</v>
      </c>
      <c r="G173" s="38" t="str">
        <v>Зелень</v>
      </c>
      <c r="H173" s="38" t="str">
        <v>RAW_OR_FLATTENED_COMPONENT</v>
      </c>
      <c r="I173" s="38" t="str">
        <v>Финиш</v>
      </c>
      <c r="J173" s="38"/>
      <c r="K173" s="38" t="n">
        <v>6</v>
      </c>
      <c r="L173" s="38" t="str">
        <v>г</v>
      </c>
      <c r="M173" s="38" t="n">
        <v>5</v>
      </c>
      <c r="N173" s="38" t="str">
        <v>г</v>
      </c>
      <c r="O173" s="38" t="n">
        <v>5</v>
      </c>
      <c r="P173" s="38" t="str">
        <v>г</v>
      </c>
      <c r="Q173" s="38" t="n">
        <v>1</v>
      </c>
      <c r="R173" s="38" t="n">
        <v>0</v>
      </c>
      <c r="S173" s="38" t="str">
        <v>ASSUMPTION</v>
      </c>
      <c r="T173" s="38" t="str">
        <v>EVD-0007;EVD-0008</v>
      </c>
      <c r="U173" s="38" t="str">
        <v>Проектная декомпозиция ChefTechnologyAgent; суммы contribution нормированы к draft-выходу EVD-0005; проверить взвешиванием</v>
      </c>
      <c r="V173" s="38" t="str">
        <v>2026-08-03</v>
      </c>
      <c r="W173" s="38" t="str">
        <v>Chef</v>
      </c>
      <c r="X173" s="38" t="str">
        <v>GAP-004;GAP-005</v>
      </c>
      <c r="Y173" s="39" t="str">
        <v>Не является утверждённой нормой; gross/net/output зафиксировать в контрольной серии</v>
      </c>
    </row>
    <row r="174">
      <c r="A174" s="37" t="str">
        <v>RCP-0170</v>
      </c>
      <c r="B174" s="38" t="str">
        <v>VKM-020</v>
      </c>
      <c r="C174" s="38" t="str">
        <v>VKC-020</v>
      </c>
      <c r="D174" s="38" t="str">
        <v>VKT-020</v>
      </c>
      <c r="E174" s="38" t="str">
        <v>0.1.0-DRAFT</v>
      </c>
      <c r="F174" s="38" t="str">
        <v>ING-036</v>
      </c>
      <c r="G174" s="38" t="str">
        <v>Креветки очищенные</v>
      </c>
      <c r="H174" s="38" t="str">
        <v>RAW_OR_FLATTENED_COMPONENT</v>
      </c>
      <c r="I174" s="38" t="str">
        <v>Основной компонент</v>
      </c>
      <c r="J174" s="38"/>
      <c r="K174" s="38" t="n">
        <v>145</v>
      </c>
      <c r="L174" s="38" t="str">
        <v>г</v>
      </c>
      <c r="M174" s="38" t="n">
        <v>135</v>
      </c>
      <c r="N174" s="38" t="str">
        <v>г</v>
      </c>
      <c r="O174" s="38" t="n">
        <v>120</v>
      </c>
      <c r="P174" s="38" t="str">
        <v>г</v>
      </c>
      <c r="Q174" s="38" t="n">
        <v>10</v>
      </c>
      <c r="R174" s="38" t="n">
        <v>15</v>
      </c>
      <c r="S174" s="38" t="str">
        <v>ASSUMPTION</v>
      </c>
      <c r="T174" s="38" t="str">
        <v>EVD-0007;EVD-0008</v>
      </c>
      <c r="U174" s="38" t="str">
        <v>Проектная декомпозиция ChefTechnologyAgent; суммы contribution нормированы к draft-выходу EVD-0005; проверить взвешиванием</v>
      </c>
      <c r="V174" s="38" t="str">
        <v>2026-08-03</v>
      </c>
      <c r="W174" s="38" t="str">
        <v>Chef</v>
      </c>
      <c r="X174" s="38" t="str">
        <v>GAP-004;GAP-005</v>
      </c>
      <c r="Y174" s="39" t="str">
        <v>Не является утверждённой нормой; gross/net/output зафиксировать в контрольной серии</v>
      </c>
    </row>
    <row r="175">
      <c r="A175" s="37" t="str">
        <v>RCP-0171</v>
      </c>
      <c r="B175" s="38" t="str">
        <v>VKM-020</v>
      </c>
      <c r="C175" s="38" t="str">
        <v>VKC-020</v>
      </c>
      <c r="D175" s="38" t="str">
        <v>VKT-020</v>
      </c>
      <c r="E175" s="38" t="str">
        <v>0.1.0-DRAFT</v>
      </c>
      <c r="F175" s="38" t="str">
        <v>ING-080</v>
      </c>
      <c r="G175" s="38" t="str">
        <v>Молоко кокосовое</v>
      </c>
      <c r="H175" s="38" t="str">
        <v>RAW_OR_FLATTENED_COMPONENT</v>
      </c>
      <c r="I175" s="38" t="str">
        <v>Соус</v>
      </c>
      <c r="J175" s="38" t="str">
        <v>VSF-020</v>
      </c>
      <c r="K175" s="38" t="n">
        <v>84</v>
      </c>
      <c r="L175" s="38" t="str">
        <v>г</v>
      </c>
      <c r="M175" s="38" t="n">
        <v>84</v>
      </c>
      <c r="N175" s="38" t="str">
        <v>г</v>
      </c>
      <c r="O175" s="38" t="n">
        <v>80</v>
      </c>
      <c r="P175" s="38" t="str">
        <v>г</v>
      </c>
      <c r="Q175" s="38" t="n">
        <v>0</v>
      </c>
      <c r="R175" s="38" t="n">
        <v>4</v>
      </c>
      <c r="S175" s="38" t="str">
        <v>ASSUMPTION</v>
      </c>
      <c r="T175" s="38" t="str">
        <v>EVD-0007;EVD-0008</v>
      </c>
      <c r="U175" s="38" t="str">
        <v>Проектная декомпозиция ChefTechnologyAgent; суммы contribution нормированы к draft-выходу EVD-0005; проверить взвешиванием</v>
      </c>
      <c r="V175" s="38" t="str">
        <v>2026-08-03</v>
      </c>
      <c r="W175" s="38" t="str">
        <v>Chef</v>
      </c>
      <c r="X175" s="38" t="str">
        <v>GAP-004;GAP-005</v>
      </c>
      <c r="Y175" s="39" t="str">
        <v>Не является утверждённой нормой; gross/net/output зафиксировать в контрольной серии</v>
      </c>
    </row>
    <row r="176">
      <c r="A176" s="37" t="str">
        <v>RCP-0172</v>
      </c>
      <c r="B176" s="38" t="str">
        <v>VKM-020</v>
      </c>
      <c r="C176" s="38" t="str">
        <v>VKC-020</v>
      </c>
      <c r="D176" s="38" t="str">
        <v>VKT-020</v>
      </c>
      <c r="E176" s="38" t="str">
        <v>0.1.0-DRAFT</v>
      </c>
      <c r="F176" s="38" t="str">
        <v>ING-081</v>
      </c>
      <c r="G176" s="38" t="str">
        <v>Паста карри проектная</v>
      </c>
      <c r="H176" s="38" t="str">
        <v>RAW_OR_FLATTENED_COMPONENT</v>
      </c>
      <c r="I176" s="38" t="str">
        <v>Соус</v>
      </c>
      <c r="J176" s="38" t="str">
        <v>VSF-020</v>
      </c>
      <c r="K176" s="38" t="n">
        <v>15</v>
      </c>
      <c r="L176" s="38" t="str">
        <v>г</v>
      </c>
      <c r="M176" s="38" t="n">
        <v>15</v>
      </c>
      <c r="N176" s="38" t="str">
        <v>г</v>
      </c>
      <c r="O176" s="38" t="n">
        <v>15</v>
      </c>
      <c r="P176" s="38" t="str">
        <v>г</v>
      </c>
      <c r="Q176" s="38" t="n">
        <v>0</v>
      </c>
      <c r="R176" s="38" t="n">
        <v>0</v>
      </c>
      <c r="S176" s="38" t="str">
        <v>ASSUMPTION</v>
      </c>
      <c r="T176" s="38" t="str">
        <v>EVD-0007;EVD-0008</v>
      </c>
      <c r="U176" s="38" t="str">
        <v>Проектная декомпозиция ChefTechnologyAgent; суммы contribution нормированы к draft-выходу EVD-0005; проверить взвешиванием</v>
      </c>
      <c r="V176" s="38" t="str">
        <v>2026-08-03</v>
      </c>
      <c r="W176" s="38" t="str">
        <v>Chef</v>
      </c>
      <c r="X176" s="38" t="str">
        <v>GAP-004;GAP-005</v>
      </c>
      <c r="Y176" s="39" t="str">
        <v>Не является утверждённой нормой; gross/net/output зафиксировать в контрольной серии</v>
      </c>
    </row>
    <row r="177">
      <c r="A177" s="37" t="str">
        <v>RCP-0173</v>
      </c>
      <c r="B177" s="38" t="str">
        <v>VKM-020</v>
      </c>
      <c r="C177" s="38" t="str">
        <v>VKC-020</v>
      </c>
      <c r="D177" s="38" t="str">
        <v>VKT-020</v>
      </c>
      <c r="E177" s="38" t="str">
        <v>0.1.0-DRAFT</v>
      </c>
      <c r="F177" s="38" t="str">
        <v>ING-082</v>
      </c>
      <c r="G177" s="38" t="str">
        <v>Бульон или вода</v>
      </c>
      <c r="H177" s="38" t="str">
        <v>RAW_OR_FLATTENED_COMPONENT</v>
      </c>
      <c r="I177" s="38" t="str">
        <v>Соус</v>
      </c>
      <c r="J177" s="38" t="str">
        <v>VSF-020</v>
      </c>
      <c r="K177" s="38" t="n">
        <v>20</v>
      </c>
      <c r="L177" s="38" t="str">
        <v>г</v>
      </c>
      <c r="M177" s="38" t="n">
        <v>20</v>
      </c>
      <c r="N177" s="38" t="str">
        <v>г</v>
      </c>
      <c r="O177" s="38" t="n">
        <v>15</v>
      </c>
      <c r="P177" s="38" t="str">
        <v>г</v>
      </c>
      <c r="Q177" s="38" t="n">
        <v>0</v>
      </c>
      <c r="R177" s="38" t="n">
        <v>5</v>
      </c>
      <c r="S177" s="38" t="str">
        <v>ASSUMPTION</v>
      </c>
      <c r="T177" s="38" t="str">
        <v>EVD-0007;EVD-0008</v>
      </c>
      <c r="U177" s="38" t="str">
        <v>Проектная декомпозиция ChefTechnologyAgent; суммы contribution нормированы к draft-выходу EVD-0005; проверить взвешиванием</v>
      </c>
      <c r="V177" s="38" t="str">
        <v>2026-08-03</v>
      </c>
      <c r="W177" s="38" t="str">
        <v>Chef</v>
      </c>
      <c r="X177" s="38" t="str">
        <v>GAP-004;GAP-005</v>
      </c>
      <c r="Y177" s="39" t="str">
        <v>Не является утверждённой нормой; gross/net/output зафиксировать в контрольной серии</v>
      </c>
    </row>
    <row r="178">
      <c r="A178" s="37" t="str">
        <v>RCP-0174</v>
      </c>
      <c r="B178" s="38" t="str">
        <v>VKM-020</v>
      </c>
      <c r="C178" s="38" t="str">
        <v>VKC-020</v>
      </c>
      <c r="D178" s="38" t="str">
        <v>VKT-020</v>
      </c>
      <c r="E178" s="38" t="str">
        <v>0.1.0-DRAFT</v>
      </c>
      <c r="F178" s="38" t="str">
        <v>ING-083</v>
      </c>
      <c r="G178" s="38" t="str">
        <v>Соус рыбный или соевый</v>
      </c>
      <c r="H178" s="38" t="str">
        <v>RAW_OR_FLATTENED_COMPONENT</v>
      </c>
      <c r="I178" s="38" t="str">
        <v>Соус</v>
      </c>
      <c r="J178" s="38" t="str">
        <v>VSF-020</v>
      </c>
      <c r="K178" s="38" t="n">
        <v>10</v>
      </c>
      <c r="L178" s="38" t="str">
        <v>г</v>
      </c>
      <c r="M178" s="38" t="n">
        <v>10</v>
      </c>
      <c r="N178" s="38" t="str">
        <v>г</v>
      </c>
      <c r="O178" s="38" t="n">
        <v>10</v>
      </c>
      <c r="P178" s="38" t="str">
        <v>г</v>
      </c>
      <c r="Q178" s="38" t="n">
        <v>0</v>
      </c>
      <c r="R178" s="38" t="n">
        <v>0</v>
      </c>
      <c r="S178" s="38" t="str">
        <v>ASSUMPTION</v>
      </c>
      <c r="T178" s="38" t="str">
        <v>EVD-0007;EVD-0008</v>
      </c>
      <c r="U178" s="38" t="str">
        <v>Проектная декомпозиция ChefTechnologyAgent; суммы contribution нормированы к draft-выходу EVD-0005; проверить взвешиванием</v>
      </c>
      <c r="V178" s="38" t="str">
        <v>2026-08-03</v>
      </c>
      <c r="W178" s="38" t="str">
        <v>Chef</v>
      </c>
      <c r="X178" s="38" t="str">
        <v>GAP-004;GAP-005</v>
      </c>
      <c r="Y178" s="39" t="str">
        <v>Не является утверждённой нормой; gross/net/output зафиксировать в контрольной серии</v>
      </c>
    </row>
    <row r="179">
      <c r="A179" s="37" t="str">
        <v>RCP-0175</v>
      </c>
      <c r="B179" s="38" t="str">
        <v>VKM-020</v>
      </c>
      <c r="C179" s="38" t="str">
        <v>VKC-020</v>
      </c>
      <c r="D179" s="38" t="str">
        <v>VKT-020</v>
      </c>
      <c r="E179" s="38" t="str">
        <v>0.1.0-DRAFT</v>
      </c>
      <c r="F179" s="38" t="str">
        <v>ING-043</v>
      </c>
      <c r="G179" s="38" t="str">
        <v>Перец сладкий</v>
      </c>
      <c r="H179" s="38" t="str">
        <v>RAW_OR_FLATTENED_COMPONENT</v>
      </c>
      <c r="I179" s="38" t="str">
        <v>Овощи</v>
      </c>
      <c r="J179" s="38"/>
      <c r="K179" s="38" t="n">
        <v>36</v>
      </c>
      <c r="L179" s="38" t="str">
        <v>г</v>
      </c>
      <c r="M179" s="38" t="n">
        <v>32</v>
      </c>
      <c r="N179" s="38" t="str">
        <v>г</v>
      </c>
      <c r="O179" s="38" t="n">
        <v>30</v>
      </c>
      <c r="P179" s="38" t="str">
        <v>г</v>
      </c>
      <c r="Q179" s="38" t="n">
        <v>4</v>
      </c>
      <c r="R179" s="38" t="n">
        <v>2</v>
      </c>
      <c r="S179" s="38" t="str">
        <v>ASSUMPTION</v>
      </c>
      <c r="T179" s="38" t="str">
        <v>EVD-0007;EVD-0008</v>
      </c>
      <c r="U179" s="38" t="str">
        <v>Проектная декомпозиция ChefTechnologyAgent; суммы contribution нормированы к draft-выходу EVD-0005; проверить взвешиванием</v>
      </c>
      <c r="V179" s="38" t="str">
        <v>2026-08-03</v>
      </c>
      <c r="W179" s="38" t="str">
        <v>Chef</v>
      </c>
      <c r="X179" s="38" t="str">
        <v>GAP-004;GAP-005</v>
      </c>
      <c r="Y179" s="39" t="str">
        <v>Не является утверждённой нормой; gross/net/output зафиксировать в контрольной серии</v>
      </c>
    </row>
    <row r="180">
      <c r="A180" s="37" t="str">
        <v>RCP-0176</v>
      </c>
      <c r="B180" s="38" t="str">
        <v>VKM-020</v>
      </c>
      <c r="C180" s="38" t="str">
        <v>VKC-020</v>
      </c>
      <c r="D180" s="38" t="str">
        <v>VKT-020</v>
      </c>
      <c r="E180" s="38" t="str">
        <v>0.1.0-DRAFT</v>
      </c>
      <c r="F180" s="38" t="str">
        <v>ING-084</v>
      </c>
      <c r="G180" s="38" t="str">
        <v>Цукини</v>
      </c>
      <c r="H180" s="38" t="str">
        <v>RAW_OR_FLATTENED_COMPONENT</v>
      </c>
      <c r="I180" s="38" t="str">
        <v>Овощи</v>
      </c>
      <c r="J180" s="38"/>
      <c r="K180" s="38" t="n">
        <v>30</v>
      </c>
      <c r="L180" s="38" t="str">
        <v>г</v>
      </c>
      <c r="M180" s="38" t="n">
        <v>27</v>
      </c>
      <c r="N180" s="38" t="str">
        <v>г</v>
      </c>
      <c r="O180" s="38" t="n">
        <v>25</v>
      </c>
      <c r="P180" s="38" t="str">
        <v>г</v>
      </c>
      <c r="Q180" s="38" t="n">
        <v>3</v>
      </c>
      <c r="R180" s="38" t="n">
        <v>2</v>
      </c>
      <c r="S180" s="38" t="str">
        <v>ASSUMPTION</v>
      </c>
      <c r="T180" s="38" t="str">
        <v>EVD-0007;EVD-0008</v>
      </c>
      <c r="U180" s="38" t="str">
        <v>Проектная декомпозиция ChefTechnologyAgent; суммы contribution нормированы к draft-выходу EVD-0005; проверить взвешиванием</v>
      </c>
      <c r="V180" s="38" t="str">
        <v>2026-08-03</v>
      </c>
      <c r="W180" s="38" t="str">
        <v>Chef</v>
      </c>
      <c r="X180" s="38" t="str">
        <v>GAP-004;GAP-005</v>
      </c>
      <c r="Y180" s="39" t="str">
        <v>Не является утверждённой нормой; gross/net/output зафиксировать в контрольной серии</v>
      </c>
    </row>
    <row r="181">
      <c r="A181" s="37" t="str">
        <v>RCP-0177</v>
      </c>
      <c r="B181" s="38" t="str">
        <v>VKM-020</v>
      </c>
      <c r="C181" s="38" t="str">
        <v>VKC-020</v>
      </c>
      <c r="D181" s="38" t="str">
        <v>VKT-020</v>
      </c>
      <c r="E181" s="38" t="str">
        <v>0.1.0-DRAFT</v>
      </c>
      <c r="F181" s="38" t="str">
        <v>ING-016</v>
      </c>
      <c r="G181" s="38" t="str">
        <v>Лук репчатый</v>
      </c>
      <c r="H181" s="38" t="str">
        <v>RAW_OR_FLATTENED_COMPONENT</v>
      </c>
      <c r="I181" s="38" t="str">
        <v>Овощи</v>
      </c>
      <c r="J181" s="38"/>
      <c r="K181" s="38" t="n">
        <v>19</v>
      </c>
      <c r="L181" s="38" t="str">
        <v>г</v>
      </c>
      <c r="M181" s="38" t="n">
        <v>17</v>
      </c>
      <c r="N181" s="38" t="str">
        <v>г</v>
      </c>
      <c r="O181" s="38" t="n">
        <v>15</v>
      </c>
      <c r="P181" s="38" t="str">
        <v>г</v>
      </c>
      <c r="Q181" s="38" t="n">
        <v>2</v>
      </c>
      <c r="R181" s="38" t="n">
        <v>2</v>
      </c>
      <c r="S181" s="38" t="str">
        <v>ASSUMPTION</v>
      </c>
      <c r="T181" s="38" t="str">
        <v>EVD-0007;EVD-0008</v>
      </c>
      <c r="U181" s="38" t="str">
        <v>Проектная декомпозиция ChefTechnologyAgent; суммы contribution нормированы к draft-выходу EVD-0005; проверить взвешиванием</v>
      </c>
      <c r="V181" s="38" t="str">
        <v>2026-08-03</v>
      </c>
      <c r="W181" s="38" t="str">
        <v>Chef</v>
      </c>
      <c r="X181" s="38" t="str">
        <v>GAP-004;GAP-005</v>
      </c>
      <c r="Y181" s="39" t="str">
        <v>Не является утверждённой нормой; gross/net/output зафиксировать в контрольной серии</v>
      </c>
    </row>
    <row r="182">
      <c r="A182" s="37" t="str">
        <v>RCP-0178</v>
      </c>
      <c r="B182" s="38" t="str">
        <v>VKM-020</v>
      </c>
      <c r="C182" s="38" t="str">
        <v>VKC-020</v>
      </c>
      <c r="D182" s="38" t="str">
        <v>VKT-020</v>
      </c>
      <c r="E182" s="38" t="str">
        <v>0.1.0-DRAFT</v>
      </c>
      <c r="F182" s="38" t="str">
        <v>ING-085</v>
      </c>
      <c r="G182" s="38" t="str">
        <v>Лапша рисовая подготовленная</v>
      </c>
      <c r="H182" s="38" t="str">
        <v>RAW_OR_FLATTENED_COMPONENT</v>
      </c>
      <c r="I182" s="38" t="str">
        <v>Сборка</v>
      </c>
      <c r="J182" s="38"/>
      <c r="K182" s="38" t="n">
        <v>45</v>
      </c>
      <c r="L182" s="38" t="str">
        <v>г</v>
      </c>
      <c r="M182" s="38" t="n">
        <v>45</v>
      </c>
      <c r="N182" s="38" t="str">
        <v>г</v>
      </c>
      <c r="O182" s="38" t="n">
        <v>40</v>
      </c>
      <c r="P182" s="38" t="str">
        <v>г</v>
      </c>
      <c r="Q182" s="38" t="n">
        <v>0</v>
      </c>
      <c r="R182" s="38" t="n">
        <v>5</v>
      </c>
      <c r="S182" s="38" t="str">
        <v>ASSUMPTION</v>
      </c>
      <c r="T182" s="38" t="str">
        <v>EVD-0007;EVD-0008</v>
      </c>
      <c r="U182" s="38" t="str">
        <v>Проектная декомпозиция ChefTechnologyAgent; суммы contribution нормированы к draft-выходу EVD-0005; проверить взвешиванием</v>
      </c>
      <c r="V182" s="38" t="str">
        <v>2026-08-03</v>
      </c>
      <c r="W182" s="38" t="str">
        <v>Chef</v>
      </c>
      <c r="X182" s="38" t="str">
        <v>GAP-004;GAP-005</v>
      </c>
      <c r="Y182" s="39" t="str">
        <v>Не является утверждённой нормой; gross/net/output зафиксировать в контрольной серии</v>
      </c>
    </row>
    <row r="183">
      <c r="A183" s="37" t="str">
        <v>RCP-0179</v>
      </c>
      <c r="B183" s="38" t="str">
        <v>VKM-020</v>
      </c>
      <c r="C183" s="38" t="str">
        <v>VKC-020</v>
      </c>
      <c r="D183" s="38" t="str">
        <v>VKT-020</v>
      </c>
      <c r="E183" s="38" t="str">
        <v>0.1.0-DRAFT</v>
      </c>
      <c r="F183" s="38" t="str">
        <v>ING-086</v>
      </c>
      <c r="G183" s="38" t="str">
        <v>Зелень и лайм</v>
      </c>
      <c r="H183" s="38" t="str">
        <v>RAW_OR_FLATTENED_COMPONENT</v>
      </c>
      <c r="I183" s="38" t="str">
        <v>Финиш</v>
      </c>
      <c r="J183" s="38"/>
      <c r="K183" s="38" t="n">
        <v>13</v>
      </c>
      <c r="L183" s="38" t="str">
        <v>г</v>
      </c>
      <c r="M183" s="38" t="n">
        <v>10</v>
      </c>
      <c r="N183" s="38" t="str">
        <v>г</v>
      </c>
      <c r="O183" s="38" t="n">
        <v>10</v>
      </c>
      <c r="P183" s="38" t="str">
        <v>г</v>
      </c>
      <c r="Q183" s="38" t="n">
        <v>3</v>
      </c>
      <c r="R183" s="38" t="n">
        <v>0</v>
      </c>
      <c r="S183" s="38" t="str">
        <v>ASSUMPTION</v>
      </c>
      <c r="T183" s="38" t="str">
        <v>EVD-0007;EVD-0008</v>
      </c>
      <c r="U183" s="38" t="str">
        <v>Проектная декомпозиция ChefTechnologyAgent; суммы contribution нормированы к draft-выходу EVD-0005; проверить взвешиванием</v>
      </c>
      <c r="V183" s="38" t="str">
        <v>2026-08-03</v>
      </c>
      <c r="W183" s="38" t="str">
        <v>Chef</v>
      </c>
      <c r="X183" s="38" t="str">
        <v>GAP-004;GAP-005</v>
      </c>
      <c r="Y183" s="39" t="str">
        <v>Не является утверждённой нормой; gross/net/output зафиксировать в контрольной серии</v>
      </c>
    </row>
    <row r="184">
      <c r="A184" s="37" t="str">
        <v>RCP-0180</v>
      </c>
      <c r="B184" s="38" t="str">
        <v>VKM-021</v>
      </c>
      <c r="C184" s="38" t="str">
        <v>VKC-021</v>
      </c>
      <c r="D184" s="38" t="str">
        <v>VKT-021</v>
      </c>
      <c r="E184" s="38" t="str">
        <v>0.1.0-DRAFT</v>
      </c>
      <c r="F184" s="38" t="str">
        <v>ING-087</v>
      </c>
      <c r="G184" s="38" t="str">
        <v>Бриошь VKM-008</v>
      </c>
      <c r="H184" s="38" t="str">
        <v>RAW_OR_FLATTENED_COMPONENT</v>
      </c>
      <c r="I184" s="38" t="str">
        <v>Сборка</v>
      </c>
      <c r="J184" s="38" t="str">
        <v>VSF-006</v>
      </c>
      <c r="K184" s="38" t="n">
        <v>85</v>
      </c>
      <c r="L184" s="38" t="str">
        <v>г</v>
      </c>
      <c r="M184" s="38" t="n">
        <v>85</v>
      </c>
      <c r="N184" s="38" t="str">
        <v>г</v>
      </c>
      <c r="O184" s="38" t="n">
        <v>85</v>
      </c>
      <c r="P184" s="38" t="str">
        <v>г</v>
      </c>
      <c r="Q184" s="38" t="n">
        <v>0</v>
      </c>
      <c r="R184" s="38" t="n">
        <v>0</v>
      </c>
      <c r="S184" s="38" t="str">
        <v>ASSUMPTION</v>
      </c>
      <c r="T184" s="38" t="str">
        <v>EVD-0007;EVD-0008</v>
      </c>
      <c r="U184" s="38" t="str">
        <v>Проектная декомпозиция ChefTechnologyAgent; суммы contribution нормированы к draft-выходу EVD-0005; проверить взвешиванием</v>
      </c>
      <c r="V184" s="38" t="str">
        <v>2026-08-03</v>
      </c>
      <c r="W184" s="38" t="str">
        <v>Chef</v>
      </c>
      <c r="X184" s="38" t="str">
        <v>GAP-004;GAP-005</v>
      </c>
      <c r="Y184" s="39" t="str">
        <v>Не является утверждённой нормой; gross/net/output зафиксировать в контрольной серии</v>
      </c>
    </row>
    <row r="185">
      <c r="A185" s="37" t="str">
        <v>RCP-0181</v>
      </c>
      <c r="B185" s="38" t="str">
        <v>VKM-021</v>
      </c>
      <c r="C185" s="38" t="str">
        <v>VKC-021</v>
      </c>
      <c r="D185" s="38" t="str">
        <v>VKT-021</v>
      </c>
      <c r="E185" s="38" t="str">
        <v>0.1.0-DRAFT</v>
      </c>
      <c r="F185" s="38" t="str">
        <v>ING-088</v>
      </c>
      <c r="G185" s="38" t="str">
        <v>Говядина для котлеты</v>
      </c>
      <c r="H185" s="38" t="str">
        <v>RAW_OR_FLATTENED_COMPONENT</v>
      </c>
      <c r="I185" s="38" t="str">
        <v>Котлета</v>
      </c>
      <c r="J185" s="38" t="str">
        <v>VSF-021</v>
      </c>
      <c r="K185" s="38" t="n">
        <v>175</v>
      </c>
      <c r="L185" s="38" t="str">
        <v>г</v>
      </c>
      <c r="M185" s="38" t="n">
        <v>165</v>
      </c>
      <c r="N185" s="38" t="str">
        <v>г</v>
      </c>
      <c r="O185" s="38" t="n">
        <v>145</v>
      </c>
      <c r="P185" s="38" t="str">
        <v>г</v>
      </c>
      <c r="Q185" s="38" t="n">
        <v>10</v>
      </c>
      <c r="R185" s="38" t="n">
        <v>20</v>
      </c>
      <c r="S185" s="38" t="str">
        <v>ASSUMPTION</v>
      </c>
      <c r="T185" s="38" t="str">
        <v>EVD-0007;EVD-0008</v>
      </c>
      <c r="U185" s="38" t="str">
        <v>Проектная декомпозиция ChefTechnologyAgent; суммы contribution нормированы к draft-выходу EVD-0005; проверить взвешиванием</v>
      </c>
      <c r="V185" s="38" t="str">
        <v>2026-08-03</v>
      </c>
      <c r="W185" s="38" t="str">
        <v>Chef</v>
      </c>
      <c r="X185" s="38" t="str">
        <v>GAP-004;GAP-005</v>
      </c>
      <c r="Y185" s="39" t="str">
        <v>Не является утверждённой нормой; gross/net/output зафиксировать в контрольной серии</v>
      </c>
    </row>
    <row r="186">
      <c r="A186" s="37" t="str">
        <v>RCP-0182</v>
      </c>
      <c r="B186" s="38" t="str">
        <v>VKM-021</v>
      </c>
      <c r="C186" s="38" t="str">
        <v>VKC-021</v>
      </c>
      <c r="D186" s="38" t="str">
        <v>VKT-021</v>
      </c>
      <c r="E186" s="38" t="str">
        <v>0.1.0-DRAFT</v>
      </c>
      <c r="F186" s="38" t="str">
        <v>ING-089</v>
      </c>
      <c r="G186" s="38" t="str">
        <v>Жир говяжий или иной компонент котлеты</v>
      </c>
      <c r="H186" s="38" t="str">
        <v>RAW_OR_FLATTENED_COMPONENT</v>
      </c>
      <c r="I186" s="38" t="str">
        <v>Котлета</v>
      </c>
      <c r="J186" s="38" t="str">
        <v>VSF-021</v>
      </c>
      <c r="K186" s="38" t="n">
        <v>5</v>
      </c>
      <c r="L186" s="38" t="str">
        <v>г</v>
      </c>
      <c r="M186" s="38" t="n">
        <v>5</v>
      </c>
      <c r="N186" s="38" t="str">
        <v>г</v>
      </c>
      <c r="O186" s="38" t="n">
        <v>5</v>
      </c>
      <c r="P186" s="38" t="str">
        <v>г</v>
      </c>
      <c r="Q186" s="38" t="n">
        <v>0</v>
      </c>
      <c r="R186" s="38" t="n">
        <v>0</v>
      </c>
      <c r="S186" s="38" t="str">
        <v>ASSUMPTION</v>
      </c>
      <c r="T186" s="38" t="str">
        <v>EVD-0007;EVD-0008</v>
      </c>
      <c r="U186" s="38" t="str">
        <v>Проектная декомпозиция ChefTechnologyAgent; суммы contribution нормированы к draft-выходу EVD-0005; проверить взвешиванием</v>
      </c>
      <c r="V186" s="38" t="str">
        <v>2026-08-03</v>
      </c>
      <c r="W186" s="38" t="str">
        <v>Chef</v>
      </c>
      <c r="X186" s="38" t="str">
        <v>GAP-004;GAP-005</v>
      </c>
      <c r="Y186" s="39" t="str">
        <v>Не является утверждённой нормой; gross/net/output зафиксировать в контрольной серии</v>
      </c>
    </row>
    <row r="187">
      <c r="A187" s="37" t="str">
        <v>RCP-0183</v>
      </c>
      <c r="B187" s="38" t="str">
        <v>VKM-021</v>
      </c>
      <c r="C187" s="38" t="str">
        <v>VKC-021</v>
      </c>
      <c r="D187" s="38" t="str">
        <v>VKT-021</v>
      </c>
      <c r="E187" s="38" t="str">
        <v>0.1.0-DRAFT</v>
      </c>
      <c r="F187" s="38" t="str">
        <v>ING-090</v>
      </c>
      <c r="G187" s="38" t="str">
        <v>Сыр ломтиковый</v>
      </c>
      <c r="H187" s="38" t="str">
        <v>RAW_OR_FLATTENED_COMPONENT</v>
      </c>
      <c r="I187" s="38" t="str">
        <v>Сборка</v>
      </c>
      <c r="J187" s="38"/>
      <c r="K187" s="38" t="n">
        <v>20</v>
      </c>
      <c r="L187" s="38" t="str">
        <v>г</v>
      </c>
      <c r="M187" s="38" t="n">
        <v>20</v>
      </c>
      <c r="N187" s="38" t="str">
        <v>г</v>
      </c>
      <c r="O187" s="38" t="n">
        <v>20</v>
      </c>
      <c r="P187" s="38" t="str">
        <v>г</v>
      </c>
      <c r="Q187" s="38" t="n">
        <v>0</v>
      </c>
      <c r="R187" s="38" t="n">
        <v>0</v>
      </c>
      <c r="S187" s="38" t="str">
        <v>ASSUMPTION</v>
      </c>
      <c r="T187" s="38" t="str">
        <v>EVD-0007;EVD-0008</v>
      </c>
      <c r="U187" s="38" t="str">
        <v>Проектная декомпозиция ChefTechnologyAgent; суммы contribution нормированы к draft-выходу EVD-0005; проверить взвешиванием</v>
      </c>
      <c r="V187" s="38" t="str">
        <v>2026-08-03</v>
      </c>
      <c r="W187" s="38" t="str">
        <v>Chef</v>
      </c>
      <c r="X187" s="38" t="str">
        <v>GAP-004;GAP-005</v>
      </c>
      <c r="Y187" s="39" t="str">
        <v>Не является утверждённой нормой; gross/net/output зафиксировать в контрольной серии</v>
      </c>
    </row>
    <row r="188">
      <c r="A188" s="37" t="str">
        <v>RCP-0184</v>
      </c>
      <c r="B188" s="38" t="str">
        <v>VKM-021</v>
      </c>
      <c r="C188" s="38" t="str">
        <v>VKC-021</v>
      </c>
      <c r="D188" s="38" t="str">
        <v>VKT-021</v>
      </c>
      <c r="E188" s="38" t="str">
        <v>0.1.0-DRAFT</v>
      </c>
      <c r="F188" s="38" t="str">
        <v>ING-091</v>
      </c>
      <c r="G188" s="38" t="str">
        <v>Томат</v>
      </c>
      <c r="H188" s="38" t="str">
        <v>RAW_OR_FLATTENED_COMPONENT</v>
      </c>
      <c r="I188" s="38" t="str">
        <v>Сборка</v>
      </c>
      <c r="J188" s="38"/>
      <c r="K188" s="38" t="n">
        <v>34</v>
      </c>
      <c r="L188" s="38" t="str">
        <v>г</v>
      </c>
      <c r="M188" s="38" t="n">
        <v>30</v>
      </c>
      <c r="N188" s="38" t="str">
        <v>г</v>
      </c>
      <c r="O188" s="38" t="n">
        <v>30</v>
      </c>
      <c r="P188" s="38" t="str">
        <v>г</v>
      </c>
      <c r="Q188" s="38" t="n">
        <v>4</v>
      </c>
      <c r="R188" s="38" t="n">
        <v>0</v>
      </c>
      <c r="S188" s="38" t="str">
        <v>ASSUMPTION</v>
      </c>
      <c r="T188" s="38" t="str">
        <v>EVD-0007;EVD-0008</v>
      </c>
      <c r="U188" s="38" t="str">
        <v>Проектная декомпозиция ChefTechnologyAgent; суммы contribution нормированы к draft-выходу EVD-0005; проверить взвешиванием</v>
      </c>
      <c r="V188" s="38" t="str">
        <v>2026-08-03</v>
      </c>
      <c r="W188" s="38" t="str">
        <v>Chef</v>
      </c>
      <c r="X188" s="38" t="str">
        <v>GAP-004;GAP-005</v>
      </c>
      <c r="Y188" s="39" t="str">
        <v>Не является утверждённой нормой; gross/net/output зафиксировать в контрольной серии</v>
      </c>
    </row>
    <row r="189">
      <c r="A189" s="37" t="str">
        <v>RCP-0185</v>
      </c>
      <c r="B189" s="38" t="str">
        <v>VKM-021</v>
      </c>
      <c r="C189" s="38" t="str">
        <v>VKC-021</v>
      </c>
      <c r="D189" s="38" t="str">
        <v>VKT-021</v>
      </c>
      <c r="E189" s="38" t="str">
        <v>0.1.0-DRAFT</v>
      </c>
      <c r="F189" s="38" t="str">
        <v>ING-092</v>
      </c>
      <c r="G189" s="38" t="str">
        <v>Огурец маринованный</v>
      </c>
      <c r="H189" s="38" t="str">
        <v>RAW_OR_FLATTENED_COMPONENT</v>
      </c>
      <c r="I189" s="38" t="str">
        <v>Сборка</v>
      </c>
      <c r="J189" s="38"/>
      <c r="K189" s="38" t="n">
        <v>23</v>
      </c>
      <c r="L189" s="38" t="str">
        <v>г</v>
      </c>
      <c r="M189" s="38" t="n">
        <v>20</v>
      </c>
      <c r="N189" s="38" t="str">
        <v>г</v>
      </c>
      <c r="O189" s="38" t="n">
        <v>20</v>
      </c>
      <c r="P189" s="38" t="str">
        <v>г</v>
      </c>
      <c r="Q189" s="38" t="n">
        <v>3</v>
      </c>
      <c r="R189" s="38" t="n">
        <v>0</v>
      </c>
      <c r="S189" s="38" t="str">
        <v>ASSUMPTION</v>
      </c>
      <c r="T189" s="38" t="str">
        <v>EVD-0007;EVD-0008</v>
      </c>
      <c r="U189" s="38" t="str">
        <v>Проектная декомпозиция ChefTechnologyAgent; суммы contribution нормированы к draft-выходу EVD-0005; проверить взвешиванием</v>
      </c>
      <c r="V189" s="38" t="str">
        <v>2026-08-03</v>
      </c>
      <c r="W189" s="38" t="str">
        <v>Chef</v>
      </c>
      <c r="X189" s="38" t="str">
        <v>GAP-004;GAP-005</v>
      </c>
      <c r="Y189" s="39" t="str">
        <v>Не является утверждённой нормой; gross/net/output зафиксировать в контрольной серии</v>
      </c>
    </row>
    <row r="190">
      <c r="A190" s="37" t="str">
        <v>RCP-0186</v>
      </c>
      <c r="B190" s="38" t="str">
        <v>VKM-021</v>
      </c>
      <c r="C190" s="38" t="str">
        <v>VKC-021</v>
      </c>
      <c r="D190" s="38" t="str">
        <v>VKT-021</v>
      </c>
      <c r="E190" s="38" t="str">
        <v>0.1.0-DRAFT</v>
      </c>
      <c r="F190" s="38" t="str">
        <v>ING-093</v>
      </c>
      <c r="G190" s="38" t="str">
        <v>Лук</v>
      </c>
      <c r="H190" s="38" t="str">
        <v>RAW_OR_FLATTENED_COMPONENT</v>
      </c>
      <c r="I190" s="38" t="str">
        <v>Сборка</v>
      </c>
      <c r="J190" s="38"/>
      <c r="K190" s="38" t="n">
        <v>12</v>
      </c>
      <c r="L190" s="38" t="str">
        <v>г</v>
      </c>
      <c r="M190" s="38" t="n">
        <v>10</v>
      </c>
      <c r="N190" s="38" t="str">
        <v>г</v>
      </c>
      <c r="O190" s="38" t="n">
        <v>10</v>
      </c>
      <c r="P190" s="38" t="str">
        <v>г</v>
      </c>
      <c r="Q190" s="38" t="n">
        <v>2</v>
      </c>
      <c r="R190" s="38" t="n">
        <v>0</v>
      </c>
      <c r="S190" s="38" t="str">
        <v>ASSUMPTION</v>
      </c>
      <c r="T190" s="38" t="str">
        <v>EVD-0007;EVD-0008</v>
      </c>
      <c r="U190" s="38" t="str">
        <v>Проектная декомпозиция ChefTechnologyAgent; суммы contribution нормированы к draft-выходу EVD-0005; проверить взвешиванием</v>
      </c>
      <c r="V190" s="38" t="str">
        <v>2026-08-03</v>
      </c>
      <c r="W190" s="38" t="str">
        <v>Chef</v>
      </c>
      <c r="X190" s="38" t="str">
        <v>GAP-004;GAP-005</v>
      </c>
      <c r="Y190" s="39" t="str">
        <v>Не является утверждённой нормой; gross/net/output зафиксировать в контрольной серии</v>
      </c>
    </row>
    <row r="191">
      <c r="A191" s="37" t="str">
        <v>RCP-0187</v>
      </c>
      <c r="B191" s="38" t="str">
        <v>VKM-021</v>
      </c>
      <c r="C191" s="38" t="str">
        <v>VKC-021</v>
      </c>
      <c r="D191" s="38" t="str">
        <v>VKT-021</v>
      </c>
      <c r="E191" s="38" t="str">
        <v>0.1.0-DRAFT</v>
      </c>
      <c r="F191" s="38" t="str">
        <v>ING-094</v>
      </c>
      <c r="G191" s="38" t="str">
        <v>Соус эмульсионный</v>
      </c>
      <c r="H191" s="38" t="str">
        <v>RAW_OR_FLATTENED_COMPONENT</v>
      </c>
      <c r="I191" s="38" t="str">
        <v>Соус</v>
      </c>
      <c r="J191" s="38" t="str">
        <v>VSF-022</v>
      </c>
      <c r="K191" s="38" t="n">
        <v>20</v>
      </c>
      <c r="L191" s="38" t="str">
        <v>г</v>
      </c>
      <c r="M191" s="38" t="n">
        <v>20</v>
      </c>
      <c r="N191" s="38" t="str">
        <v>г</v>
      </c>
      <c r="O191" s="38" t="n">
        <v>20</v>
      </c>
      <c r="P191" s="38" t="str">
        <v>г</v>
      </c>
      <c r="Q191" s="38" t="n">
        <v>0</v>
      </c>
      <c r="R191" s="38" t="n">
        <v>0</v>
      </c>
      <c r="S191" s="38" t="str">
        <v>ASSUMPTION</v>
      </c>
      <c r="T191" s="38" t="str">
        <v>EVD-0007;EVD-0008</v>
      </c>
      <c r="U191" s="38" t="str">
        <v>Проектная декомпозиция ChefTechnologyAgent; суммы contribution нормированы к draft-выходу EVD-0005; проверить взвешиванием</v>
      </c>
      <c r="V191" s="38" t="str">
        <v>2026-08-03</v>
      </c>
      <c r="W191" s="38" t="str">
        <v>Chef</v>
      </c>
      <c r="X191" s="38" t="str">
        <v>GAP-004;GAP-005</v>
      </c>
      <c r="Y191" s="39" t="str">
        <v>Не является утверждённой нормой; gross/net/output зафиксировать в контрольной серии</v>
      </c>
    </row>
    <row r="192">
      <c r="A192" s="37" t="str">
        <v>RCP-0188</v>
      </c>
      <c r="B192" s="38" t="str">
        <v>VKM-021</v>
      </c>
      <c r="C192" s="38" t="str">
        <v>VKC-021</v>
      </c>
      <c r="D192" s="38" t="str">
        <v>VKT-021</v>
      </c>
      <c r="E192" s="38" t="str">
        <v>0.1.0-DRAFT</v>
      </c>
      <c r="F192" s="38" t="str">
        <v>ING-095</v>
      </c>
      <c r="G192" s="38" t="str">
        <v>Соус томатный</v>
      </c>
      <c r="H192" s="38" t="str">
        <v>RAW_OR_FLATTENED_COMPONENT</v>
      </c>
      <c r="I192" s="38" t="str">
        <v>Соус</v>
      </c>
      <c r="J192" s="38" t="str">
        <v>VSF-022</v>
      </c>
      <c r="K192" s="38" t="n">
        <v>5</v>
      </c>
      <c r="L192" s="38" t="str">
        <v>г</v>
      </c>
      <c r="M192" s="38" t="n">
        <v>5</v>
      </c>
      <c r="N192" s="38" t="str">
        <v>г</v>
      </c>
      <c r="O192" s="38" t="n">
        <v>5</v>
      </c>
      <c r="P192" s="38" t="str">
        <v>г</v>
      </c>
      <c r="Q192" s="38" t="n">
        <v>0</v>
      </c>
      <c r="R192" s="38" t="n">
        <v>0</v>
      </c>
      <c r="S192" s="38" t="str">
        <v>ASSUMPTION</v>
      </c>
      <c r="T192" s="38" t="str">
        <v>EVD-0007;EVD-0008</v>
      </c>
      <c r="U192" s="38" t="str">
        <v>Проектная декомпозиция ChefTechnologyAgent; суммы contribution нормированы к draft-выходу EVD-0005; проверить взвешиванием</v>
      </c>
      <c r="V192" s="38" t="str">
        <v>2026-08-03</v>
      </c>
      <c r="W192" s="38" t="str">
        <v>Chef</v>
      </c>
      <c r="X192" s="38" t="str">
        <v>GAP-004;GAP-005</v>
      </c>
      <c r="Y192" s="39" t="str">
        <v>Не является утверждённой нормой; gross/net/output зафиксировать в контрольной серии</v>
      </c>
    </row>
    <row r="193">
      <c r="A193" s="37" t="str">
        <v>RCP-0189</v>
      </c>
      <c r="B193" s="38" t="str">
        <v>VKM-021</v>
      </c>
      <c r="C193" s="38" t="str">
        <v>VKC-021</v>
      </c>
      <c r="D193" s="38" t="str">
        <v>VKT-021</v>
      </c>
      <c r="E193" s="38" t="str">
        <v>0.1.0-DRAFT</v>
      </c>
      <c r="F193" s="38" t="str">
        <v>ING-096</v>
      </c>
      <c r="G193" s="38" t="str">
        <v>Салат листовой</v>
      </c>
      <c r="H193" s="38" t="str">
        <v>RAW_OR_FLATTENED_COMPONENT</v>
      </c>
      <c r="I193" s="38" t="str">
        <v>Сборка</v>
      </c>
      <c r="J193" s="38"/>
      <c r="K193" s="38" t="n">
        <v>12</v>
      </c>
      <c r="L193" s="38" t="str">
        <v>г</v>
      </c>
      <c r="M193" s="38" t="n">
        <v>10</v>
      </c>
      <c r="N193" s="38" t="str">
        <v>г</v>
      </c>
      <c r="O193" s="38" t="n">
        <v>10</v>
      </c>
      <c r="P193" s="38" t="str">
        <v>г</v>
      </c>
      <c r="Q193" s="38" t="n">
        <v>2</v>
      </c>
      <c r="R193" s="38" t="n">
        <v>0</v>
      </c>
      <c r="S193" s="38" t="str">
        <v>ASSUMPTION</v>
      </c>
      <c r="T193" s="38" t="str">
        <v>EVD-0007;EVD-0008</v>
      </c>
      <c r="U193" s="38" t="str">
        <v>Проектная декомпозиция ChefTechnologyAgent; суммы contribution нормированы к draft-выходу EVD-0005; проверить взвешиванием</v>
      </c>
      <c r="V193" s="38" t="str">
        <v>2026-08-03</v>
      </c>
      <c r="W193" s="38" t="str">
        <v>Chef</v>
      </c>
      <c r="X193" s="38" t="str">
        <v>GAP-004;GAP-005</v>
      </c>
      <c r="Y193" s="39" t="str">
        <v>Не является утверждённой нормой; gross/net/output зафиксировать в контрольной серии</v>
      </c>
    </row>
    <row r="194">
      <c r="A194" s="37" t="str">
        <v>RCP-0190</v>
      </c>
      <c r="B194" s="38" t="str">
        <v>VKM-022</v>
      </c>
      <c r="C194" s="38" t="str">
        <v>VKC-022</v>
      </c>
      <c r="D194" s="38" t="str">
        <v>VKT-022</v>
      </c>
      <c r="E194" s="38" t="str">
        <v>0.1.0-DRAFT</v>
      </c>
      <c r="F194" s="38" t="str">
        <v>ING-097</v>
      </c>
      <c r="G194" s="38" t="str">
        <v>Говяжья вырезка</v>
      </c>
      <c r="H194" s="38" t="str">
        <v>RAW_OR_FLATTENED_COMPONENT</v>
      </c>
      <c r="I194" s="38" t="str">
        <v>Миньоны</v>
      </c>
      <c r="J194" s="38" t="str">
        <v>VSF-023</v>
      </c>
      <c r="K194" s="38" t="n">
        <v>255</v>
      </c>
      <c r="L194" s="38" t="str">
        <v>г</v>
      </c>
      <c r="M194" s="38" t="n">
        <v>240</v>
      </c>
      <c r="N194" s="38" t="str">
        <v>г</v>
      </c>
      <c r="O194" s="38" t="n">
        <v>220</v>
      </c>
      <c r="P194" s="38" t="str">
        <v>г</v>
      </c>
      <c r="Q194" s="38" t="n">
        <v>15</v>
      </c>
      <c r="R194" s="38" t="n">
        <v>20</v>
      </c>
      <c r="S194" s="38" t="str">
        <v>ASSUMPTION</v>
      </c>
      <c r="T194" s="38" t="str">
        <v>EVD-0007;EVD-0008</v>
      </c>
      <c r="U194" s="38" t="str">
        <v>Проектная декомпозиция ChefTechnologyAgent; суммы contribution нормированы к draft-выходу EVD-0005; проверить взвешиванием</v>
      </c>
      <c r="V194" s="38" t="str">
        <v>2026-08-03</v>
      </c>
      <c r="W194" s="38" t="str">
        <v>Chef</v>
      </c>
      <c r="X194" s="38" t="str">
        <v>GAP-004;GAP-005</v>
      </c>
      <c r="Y194" s="39" t="str">
        <v>Не является утверждённой нормой; gross/net/output зафиксировать в контрольной серии</v>
      </c>
    </row>
    <row r="195">
      <c r="A195" s="37" t="str">
        <v>RCP-0191</v>
      </c>
      <c r="B195" s="38" t="str">
        <v>VKM-022</v>
      </c>
      <c r="C195" s="38" t="str">
        <v>VKC-022</v>
      </c>
      <c r="D195" s="38" t="str">
        <v>VKT-022</v>
      </c>
      <c r="E195" s="38" t="str">
        <v>0.1.0-DRAFT</v>
      </c>
      <c r="F195" s="38" t="str">
        <v>ING-098</v>
      </c>
      <c r="G195" s="38" t="str">
        <v>Бульон или мясной сок</v>
      </c>
      <c r="H195" s="38" t="str">
        <v>RAW_OR_FLATTENED_COMPONENT</v>
      </c>
      <c r="I195" s="38" t="str">
        <v>Соус</v>
      </c>
      <c r="J195" s="38" t="str">
        <v>VSF-024</v>
      </c>
      <c r="K195" s="38" t="n">
        <v>35</v>
      </c>
      <c r="L195" s="38" t="str">
        <v>г</v>
      </c>
      <c r="M195" s="38" t="n">
        <v>35</v>
      </c>
      <c r="N195" s="38" t="str">
        <v>г</v>
      </c>
      <c r="O195" s="38" t="n">
        <v>30</v>
      </c>
      <c r="P195" s="38" t="str">
        <v>г</v>
      </c>
      <c r="Q195" s="38" t="n">
        <v>0</v>
      </c>
      <c r="R195" s="38" t="n">
        <v>5</v>
      </c>
      <c r="S195" s="38" t="str">
        <v>ASSUMPTION</v>
      </c>
      <c r="T195" s="38" t="str">
        <v>EVD-0007;EVD-0008</v>
      </c>
      <c r="U195" s="38" t="str">
        <v>Проектная декомпозиция ChefTechnologyAgent; суммы contribution нормированы к draft-выходу EVD-0005; проверить взвешиванием</v>
      </c>
      <c r="V195" s="38" t="str">
        <v>2026-08-03</v>
      </c>
      <c r="W195" s="38" t="str">
        <v>Chef</v>
      </c>
      <c r="X195" s="38" t="str">
        <v>GAP-004;GAP-005</v>
      </c>
      <c r="Y195" s="39" t="str">
        <v>Не является утверждённой нормой; gross/net/output зафиксировать в контрольной серии</v>
      </c>
    </row>
    <row r="196">
      <c r="A196" s="37" t="str">
        <v>RCP-0192</v>
      </c>
      <c r="B196" s="38" t="str">
        <v>VKM-022</v>
      </c>
      <c r="C196" s="38" t="str">
        <v>VKC-022</v>
      </c>
      <c r="D196" s="38" t="str">
        <v>VKT-022</v>
      </c>
      <c r="E196" s="38" t="str">
        <v>0.1.0-DRAFT</v>
      </c>
      <c r="F196" s="38" t="str">
        <v>ING-027</v>
      </c>
      <c r="G196" s="38" t="str">
        <v>Масло сливочное</v>
      </c>
      <c r="H196" s="38" t="str">
        <v>RAW_OR_FLATTENED_COMPONENT</v>
      </c>
      <c r="I196" s="38" t="str">
        <v>Соус</v>
      </c>
      <c r="J196" s="38" t="str">
        <v>VSF-024</v>
      </c>
      <c r="K196" s="38" t="n">
        <v>10</v>
      </c>
      <c r="L196" s="38" t="str">
        <v>г</v>
      </c>
      <c r="M196" s="38" t="n">
        <v>10</v>
      </c>
      <c r="N196" s="38" t="str">
        <v>г</v>
      </c>
      <c r="O196" s="38" t="n">
        <v>10</v>
      </c>
      <c r="P196" s="38" t="str">
        <v>г</v>
      </c>
      <c r="Q196" s="38" t="n">
        <v>0</v>
      </c>
      <c r="R196" s="38" t="n">
        <v>0</v>
      </c>
      <c r="S196" s="38" t="str">
        <v>ASSUMPTION</v>
      </c>
      <c r="T196" s="38" t="str">
        <v>EVD-0007;EVD-0008</v>
      </c>
      <c r="U196" s="38" t="str">
        <v>Проектная декомпозиция ChefTechnologyAgent; суммы contribution нормированы к draft-выходу EVD-0005; проверить взвешиванием</v>
      </c>
      <c r="V196" s="38" t="str">
        <v>2026-08-03</v>
      </c>
      <c r="W196" s="38" t="str">
        <v>Chef</v>
      </c>
      <c r="X196" s="38" t="str">
        <v>GAP-004;GAP-005</v>
      </c>
      <c r="Y196" s="39" t="str">
        <v>Не является утверждённой нормой; gross/net/output зафиксировать в контрольной серии</v>
      </c>
    </row>
    <row r="197">
      <c r="A197" s="37" t="str">
        <v>RCP-0193</v>
      </c>
      <c r="B197" s="38" t="str">
        <v>VKM-022</v>
      </c>
      <c r="C197" s="38" t="str">
        <v>VKC-022</v>
      </c>
      <c r="D197" s="38" t="str">
        <v>VKT-022</v>
      </c>
      <c r="E197" s="38" t="str">
        <v>0.1.0-DRAFT</v>
      </c>
      <c r="F197" s="38" t="str">
        <v>ING-024</v>
      </c>
      <c r="G197" s="38" t="str">
        <v>Масло растительное</v>
      </c>
      <c r="H197" s="38" t="str">
        <v>RAW_OR_FLATTENED_COMPONENT</v>
      </c>
      <c r="I197" s="38" t="str">
        <v>Обработка</v>
      </c>
      <c r="J197" s="38"/>
      <c r="K197" s="38" t="n">
        <v>5</v>
      </c>
      <c r="L197" s="38" t="str">
        <v>г</v>
      </c>
      <c r="M197" s="38" t="n">
        <v>5</v>
      </c>
      <c r="N197" s="38" t="str">
        <v>г</v>
      </c>
      <c r="O197" s="38" t="n">
        <v>5</v>
      </c>
      <c r="P197" s="38" t="str">
        <v>г</v>
      </c>
      <c r="Q197" s="38" t="n">
        <v>0</v>
      </c>
      <c r="R197" s="38" t="n">
        <v>0</v>
      </c>
      <c r="S197" s="38" t="str">
        <v>ASSUMPTION</v>
      </c>
      <c r="T197" s="38" t="str">
        <v>EVD-0007;EVD-0008</v>
      </c>
      <c r="U197" s="38" t="str">
        <v>Проектная декомпозиция ChefTechnologyAgent; суммы contribution нормированы к draft-выходу EVD-0005; проверить взвешиванием</v>
      </c>
      <c r="V197" s="38" t="str">
        <v>2026-08-03</v>
      </c>
      <c r="W197" s="38" t="str">
        <v>Chef</v>
      </c>
      <c r="X197" s="38" t="str">
        <v>GAP-004;GAP-005</v>
      </c>
      <c r="Y197" s="39" t="str">
        <v>Не является утверждённой нормой; gross/net/output зафиксировать в контрольной серии</v>
      </c>
    </row>
    <row r="198">
      <c r="A198" s="37" t="str">
        <v>RCP-0194</v>
      </c>
      <c r="B198" s="38" t="str">
        <v>VKM-022</v>
      </c>
      <c r="C198" s="38" t="str">
        <v>VKC-022</v>
      </c>
      <c r="D198" s="38" t="str">
        <v>VKT-022</v>
      </c>
      <c r="E198" s="38" t="str">
        <v>0.1.0-DRAFT</v>
      </c>
      <c r="F198" s="38" t="str">
        <v>ING-007</v>
      </c>
      <c r="G198" s="38" t="str">
        <v>Чеснок</v>
      </c>
      <c r="H198" s="38" t="str">
        <v>RAW_OR_FLATTENED_COMPONENT</v>
      </c>
      <c r="I198" s="38" t="str">
        <v>Ароматика</v>
      </c>
      <c r="J198" s="38"/>
      <c r="K198" s="38" t="n">
        <v>5.5</v>
      </c>
      <c r="L198" s="38" t="str">
        <v>г</v>
      </c>
      <c r="M198" s="38" t="n">
        <v>5</v>
      </c>
      <c r="N198" s="38" t="str">
        <v>г</v>
      </c>
      <c r="O198" s="38" t="n">
        <v>5</v>
      </c>
      <c r="P198" s="38" t="str">
        <v>г</v>
      </c>
      <c r="Q198" s="38" t="n">
        <v>0.5</v>
      </c>
      <c r="R198" s="38" t="n">
        <v>0</v>
      </c>
      <c r="S198" s="38" t="str">
        <v>ASSUMPTION</v>
      </c>
      <c r="T198" s="38" t="str">
        <v>EVD-0007;EVD-0008</v>
      </c>
      <c r="U198" s="38" t="str">
        <v>Проектная декомпозиция ChefTechnologyAgent; суммы contribution нормированы к draft-выходу EVD-0005; проверить взвешиванием</v>
      </c>
      <c r="V198" s="38" t="str">
        <v>2026-08-03</v>
      </c>
      <c r="W198" s="38" t="str">
        <v>Chef</v>
      </c>
      <c r="X198" s="38" t="str">
        <v>GAP-004;GAP-005</v>
      </c>
      <c r="Y198" s="39" t="str">
        <v>Не является утверждённой нормой; gross/net/output зафиксировать в контрольной серии</v>
      </c>
    </row>
    <row r="199">
      <c r="A199" s="37" t="str">
        <v>RCP-0195</v>
      </c>
      <c r="B199" s="38" t="str">
        <v>VKM-022</v>
      </c>
      <c r="C199" s="38" t="str">
        <v>VKC-022</v>
      </c>
      <c r="D199" s="38" t="str">
        <v>VKT-022</v>
      </c>
      <c r="E199" s="38" t="str">
        <v>0.1.0-DRAFT</v>
      </c>
      <c r="F199" s="38" t="str">
        <v>ING-063</v>
      </c>
      <c r="G199" s="38" t="str">
        <v>Пряные травы</v>
      </c>
      <c r="H199" s="38" t="str">
        <v>RAW_OR_FLATTENED_COMPONENT</v>
      </c>
      <c r="I199" s="38" t="str">
        <v>Ароматика</v>
      </c>
      <c r="J199" s="38"/>
      <c r="K199" s="38" t="n">
        <v>5</v>
      </c>
      <c r="L199" s="38" t="str">
        <v>г</v>
      </c>
      <c r="M199" s="38" t="n">
        <v>5</v>
      </c>
      <c r="N199" s="38" t="str">
        <v>г</v>
      </c>
      <c r="O199" s="38" t="n">
        <v>5</v>
      </c>
      <c r="P199" s="38" t="str">
        <v>г</v>
      </c>
      <c r="Q199" s="38" t="n">
        <v>0</v>
      </c>
      <c r="R199" s="38" t="n">
        <v>0</v>
      </c>
      <c r="S199" s="38" t="str">
        <v>ASSUMPTION</v>
      </c>
      <c r="T199" s="38" t="str">
        <v>EVD-0007;EVD-0008</v>
      </c>
      <c r="U199" s="38" t="str">
        <v>Проектная декомпозиция ChefTechnologyAgent; суммы contribution нормированы к draft-выходу EVD-0005; проверить взвешиванием</v>
      </c>
      <c r="V199" s="38" t="str">
        <v>2026-08-03</v>
      </c>
      <c r="W199" s="38" t="str">
        <v>Chef</v>
      </c>
      <c r="X199" s="38" t="str">
        <v>GAP-004;GAP-005</v>
      </c>
      <c r="Y199" s="39" t="str">
        <v>Не является утверждённой нормой; gross/net/output зафиксировать в контрольной серии</v>
      </c>
    </row>
    <row r="200">
      <c r="A200" s="37" t="str">
        <v>RCP-0196</v>
      </c>
      <c r="B200" s="38" t="str">
        <v>VKM-022</v>
      </c>
      <c r="C200" s="38" t="str">
        <v>VKC-022</v>
      </c>
      <c r="D200" s="38" t="str">
        <v>VKT-022</v>
      </c>
      <c r="E200" s="38" t="str">
        <v>0.1.0-DRAFT</v>
      </c>
      <c r="F200" s="38" t="str">
        <v>ING-059</v>
      </c>
      <c r="G200" s="38" t="str">
        <v>Зелень</v>
      </c>
      <c r="H200" s="38" t="str">
        <v>RAW_OR_FLATTENED_COMPONENT</v>
      </c>
      <c r="I200" s="38" t="str">
        <v>Финиш</v>
      </c>
      <c r="J200" s="38"/>
      <c r="K200" s="38" t="n">
        <v>6</v>
      </c>
      <c r="L200" s="38" t="str">
        <v>г</v>
      </c>
      <c r="M200" s="38" t="n">
        <v>5</v>
      </c>
      <c r="N200" s="38" t="str">
        <v>г</v>
      </c>
      <c r="O200" s="38" t="n">
        <v>5</v>
      </c>
      <c r="P200" s="38" t="str">
        <v>г</v>
      </c>
      <c r="Q200" s="38" t="n">
        <v>1</v>
      </c>
      <c r="R200" s="38" t="n">
        <v>0</v>
      </c>
      <c r="S200" s="38" t="str">
        <v>ASSUMPTION</v>
      </c>
      <c r="T200" s="38" t="str">
        <v>EVD-0007;EVD-0008</v>
      </c>
      <c r="U200" s="38" t="str">
        <v>Проектная декомпозиция ChefTechnologyAgent; суммы contribution нормированы к draft-выходу EVD-0005; проверить взвешиванием</v>
      </c>
      <c r="V200" s="38" t="str">
        <v>2026-08-03</v>
      </c>
      <c r="W200" s="38" t="str">
        <v>Chef</v>
      </c>
      <c r="X200" s="38" t="str">
        <v>GAP-004;GAP-005</v>
      </c>
      <c r="Y200" s="39" t="str">
        <v>Не является утверждённой нормой; gross/net/output зафиксировать в контрольной серии</v>
      </c>
    </row>
    <row r="201">
      <c r="A201" s="37" t="str">
        <v>RCP-0197</v>
      </c>
      <c r="B201" s="38" t="str">
        <v>VKM-022</v>
      </c>
      <c r="C201" s="38" t="str">
        <v>VKC-022</v>
      </c>
      <c r="D201" s="38" t="str">
        <v>VKT-022</v>
      </c>
      <c r="E201" s="38" t="str">
        <v>0.1.0-DRAFT</v>
      </c>
      <c r="F201" s="38" t="str">
        <v>ING-099</v>
      </c>
      <c r="G201" s="38" t="str">
        <v>Маринад нейтральный проектный</v>
      </c>
      <c r="H201" s="38" t="str">
        <v>RAW_OR_FLATTENED_COMPONENT</v>
      </c>
      <c r="I201" s="38" t="str">
        <v>Маринад</v>
      </c>
      <c r="J201" s="38"/>
      <c r="K201" s="38" t="n">
        <v>18</v>
      </c>
      <c r="L201" s="38" t="str">
        <v>г</v>
      </c>
      <c r="M201" s="38" t="n">
        <v>18</v>
      </c>
      <c r="N201" s="38" t="str">
        <v>г</v>
      </c>
      <c r="O201" s="38" t="n">
        <v>18</v>
      </c>
      <c r="P201" s="38" t="str">
        <v>г</v>
      </c>
      <c r="Q201" s="38" t="n">
        <v>0</v>
      </c>
      <c r="R201" s="38" t="n">
        <v>0</v>
      </c>
      <c r="S201" s="38" t="str">
        <v>ASSUMPTION</v>
      </c>
      <c r="T201" s="38" t="str">
        <v>EVD-0007;EVD-0008</v>
      </c>
      <c r="U201" s="38" t="str">
        <v>Проектная декомпозиция ChefTechnologyAgent; суммы contribution нормированы к draft-выходу EVD-0005; проверить взвешиванием</v>
      </c>
      <c r="V201" s="38" t="str">
        <v>2026-08-03</v>
      </c>
      <c r="W201" s="38" t="str">
        <v>Chef</v>
      </c>
      <c r="X201" s="38" t="str">
        <v>GAP-004;GAP-005</v>
      </c>
      <c r="Y201" s="39" t="str">
        <v>Не является утверждённой нормой; gross/net/output зафиксировать в контрольной серии</v>
      </c>
    </row>
    <row r="202">
      <c r="A202" s="37" t="str">
        <v>RCP-0198</v>
      </c>
      <c r="B202" s="38" t="str">
        <v>VKM-022</v>
      </c>
      <c r="C202" s="38" t="str">
        <v>VKC-022</v>
      </c>
      <c r="D202" s="38" t="str">
        <v>VKT-022</v>
      </c>
      <c r="E202" s="38" t="str">
        <v>0.1.0-DRAFT</v>
      </c>
      <c r="F202" s="38" t="str">
        <v>ING-033</v>
      </c>
      <c r="G202" s="38" t="str">
        <v>Соль и специи</v>
      </c>
      <c r="H202" s="38" t="str">
        <v>RAW_OR_FLATTENED_COMPONENT</v>
      </c>
      <c r="I202" s="38" t="str">
        <v>Корректировка вкуса</v>
      </c>
      <c r="J202" s="38"/>
      <c r="K202" s="38" t="n">
        <v>2</v>
      </c>
      <c r="L202" s="38" t="str">
        <v>г</v>
      </c>
      <c r="M202" s="38" t="n">
        <v>2</v>
      </c>
      <c r="N202" s="38" t="str">
        <v>г</v>
      </c>
      <c r="O202" s="38" t="n">
        <v>2</v>
      </c>
      <c r="P202" s="38" t="str">
        <v>г</v>
      </c>
      <c r="Q202" s="38" t="n">
        <v>0</v>
      </c>
      <c r="R202" s="38" t="n">
        <v>0</v>
      </c>
      <c r="S202" s="38" t="str">
        <v>ASSUMPTION</v>
      </c>
      <c r="T202" s="38" t="str">
        <v>EVD-0007;EVD-0008</v>
      </c>
      <c r="U202" s="38" t="str">
        <v>Проектная декомпозиция ChefTechnologyAgent; суммы contribution нормированы к draft-выходу EVD-0005; проверить взвешиванием</v>
      </c>
      <c r="V202" s="38" t="str">
        <v>2026-08-03</v>
      </c>
      <c r="W202" s="38" t="str">
        <v>Chef</v>
      </c>
      <c r="X202" s="38" t="str">
        <v>GAP-004;GAP-005</v>
      </c>
      <c r="Y202" s="39" t="str">
        <v>Не является утверждённой нормой; gross/net/output зафиксировать в контрольной серии</v>
      </c>
    </row>
    <row r="203">
      <c r="A203" s="37" t="str">
        <v>RCP-0199</v>
      </c>
      <c r="B203" s="38" t="str">
        <v>VKM-023</v>
      </c>
      <c r="C203" s="38" t="str">
        <v>VKC-023</v>
      </c>
      <c r="D203" s="38" t="str">
        <v>VKT-023</v>
      </c>
      <c r="E203" s="38" t="str">
        <v>0.1.0-DRAFT</v>
      </c>
      <c r="F203" s="38" t="str">
        <v>ING-072</v>
      </c>
      <c r="G203" s="38" t="str">
        <v>Картофель</v>
      </c>
      <c r="H203" s="38" t="str">
        <v>RAW_OR_FLATTENED_COMPONENT</v>
      </c>
      <c r="I203" s="38" t="str">
        <v>Основная рецептура</v>
      </c>
      <c r="J203" s="38" t="str">
        <v>VSF-011</v>
      </c>
      <c r="K203" s="38" t="n">
        <v>170</v>
      </c>
      <c r="L203" s="38" t="str">
        <v>г</v>
      </c>
      <c r="M203" s="38" t="n">
        <v>150</v>
      </c>
      <c r="N203" s="38" t="str">
        <v>г</v>
      </c>
      <c r="O203" s="38" t="n">
        <v>135</v>
      </c>
      <c r="P203" s="38" t="str">
        <v>г</v>
      </c>
      <c r="Q203" s="38" t="n">
        <v>20</v>
      </c>
      <c r="R203" s="38" t="n">
        <v>15</v>
      </c>
      <c r="S203" s="38" t="str">
        <v>ASSUMPTION</v>
      </c>
      <c r="T203" s="38" t="str">
        <v>EVD-0007;EVD-0008</v>
      </c>
      <c r="U203" s="38" t="str">
        <v>Проектная декомпозиция ChefTechnologyAgent; суммы contribution нормированы к draft-выходу EVD-0005; проверить взвешиванием</v>
      </c>
      <c r="V203" s="38" t="str">
        <v>2026-08-03</v>
      </c>
      <c r="W203" s="38" t="str">
        <v>Chef</v>
      </c>
      <c r="X203" s="38" t="str">
        <v>GAP-004;GAP-005</v>
      </c>
      <c r="Y203" s="39" t="str">
        <v>Не является утверждённой нормой; gross/net/output зафиксировать в контрольной серии</v>
      </c>
    </row>
    <row r="204">
      <c r="A204" s="37" t="str">
        <v>RCP-0200</v>
      </c>
      <c r="B204" s="38" t="str">
        <v>VKM-023</v>
      </c>
      <c r="C204" s="38" t="str">
        <v>VKC-023</v>
      </c>
      <c r="D204" s="38" t="str">
        <v>VKT-023</v>
      </c>
      <c r="E204" s="38" t="str">
        <v>0.1.0-DRAFT</v>
      </c>
      <c r="F204" s="38" t="str">
        <v>ING-024</v>
      </c>
      <c r="G204" s="38" t="str">
        <v>Масло растительное</v>
      </c>
      <c r="H204" s="38" t="str">
        <v>RAW_OR_FLATTENED_COMPONENT</v>
      </c>
      <c r="I204" s="38" t="str">
        <v>Основная рецептура</v>
      </c>
      <c r="J204" s="38" t="str">
        <v>VSF-011</v>
      </c>
      <c r="K204" s="38" t="n">
        <v>10</v>
      </c>
      <c r="L204" s="38" t="str">
        <v>г</v>
      </c>
      <c r="M204" s="38" t="n">
        <v>10</v>
      </c>
      <c r="N204" s="38" t="str">
        <v>г</v>
      </c>
      <c r="O204" s="38" t="n">
        <v>10</v>
      </c>
      <c r="P204" s="38" t="str">
        <v>г</v>
      </c>
      <c r="Q204" s="38" t="n">
        <v>0</v>
      </c>
      <c r="R204" s="38" t="n">
        <v>0</v>
      </c>
      <c r="S204" s="38" t="str">
        <v>ASSUMPTION</v>
      </c>
      <c r="T204" s="38" t="str">
        <v>EVD-0007;EVD-0008</v>
      </c>
      <c r="U204" s="38" t="str">
        <v>Проектная декомпозиция ChefTechnologyAgent; суммы contribution нормированы к draft-выходу EVD-0005; проверить взвешиванием</v>
      </c>
      <c r="V204" s="38" t="str">
        <v>2026-08-03</v>
      </c>
      <c r="W204" s="38" t="str">
        <v>Chef</v>
      </c>
      <c r="X204" s="38" t="str">
        <v>GAP-004;GAP-005</v>
      </c>
      <c r="Y204" s="39" t="str">
        <v>Не является утверждённой нормой; gross/net/output зафиксировать в контрольной серии</v>
      </c>
    </row>
    <row r="205">
      <c r="A205" s="37" t="str">
        <v>RCP-0201</v>
      </c>
      <c r="B205" s="38" t="str">
        <v>VKM-023</v>
      </c>
      <c r="C205" s="38" t="str">
        <v>VKC-023</v>
      </c>
      <c r="D205" s="38" t="str">
        <v>VKT-023</v>
      </c>
      <c r="E205" s="38" t="str">
        <v>0.1.0-DRAFT</v>
      </c>
      <c r="F205" s="38" t="str">
        <v>ING-063</v>
      </c>
      <c r="G205" s="38" t="str">
        <v>Пряные травы</v>
      </c>
      <c r="H205" s="38" t="str">
        <v>RAW_OR_FLATTENED_COMPONENT</v>
      </c>
      <c r="I205" s="38" t="str">
        <v>Основная рецептура</v>
      </c>
      <c r="J205" s="38" t="str">
        <v>VSF-011</v>
      </c>
      <c r="K205" s="38" t="n">
        <v>3</v>
      </c>
      <c r="L205" s="38" t="str">
        <v>г</v>
      </c>
      <c r="M205" s="38" t="n">
        <v>3</v>
      </c>
      <c r="N205" s="38" t="str">
        <v>г</v>
      </c>
      <c r="O205" s="38" t="n">
        <v>3</v>
      </c>
      <c r="P205" s="38" t="str">
        <v>г</v>
      </c>
      <c r="Q205" s="38" t="n">
        <v>0</v>
      </c>
      <c r="R205" s="38" t="n">
        <v>0</v>
      </c>
      <c r="S205" s="38" t="str">
        <v>ASSUMPTION</v>
      </c>
      <c r="T205" s="38" t="str">
        <v>EVD-0007;EVD-0008</v>
      </c>
      <c r="U205" s="38" t="str">
        <v>Проектная декомпозиция ChefTechnologyAgent; суммы contribution нормированы к draft-выходу EVD-0005; проверить взвешиванием</v>
      </c>
      <c r="V205" s="38" t="str">
        <v>2026-08-03</v>
      </c>
      <c r="W205" s="38" t="str">
        <v>Chef</v>
      </c>
      <c r="X205" s="38" t="str">
        <v>GAP-004;GAP-005</v>
      </c>
      <c r="Y205" s="39" t="str">
        <v>Не является утверждённой нормой; gross/net/output зафиксировать в контрольной серии</v>
      </c>
    </row>
    <row r="206">
      <c r="A206" s="37" t="str">
        <v>RCP-0202</v>
      </c>
      <c r="B206" s="38" t="str">
        <v>VKM-023</v>
      </c>
      <c r="C206" s="38" t="str">
        <v>VKC-023</v>
      </c>
      <c r="D206" s="38" t="str">
        <v>VKT-023</v>
      </c>
      <c r="E206" s="38" t="str">
        <v>0.1.0-DRAFT</v>
      </c>
      <c r="F206" s="38" t="str">
        <v>ING-033</v>
      </c>
      <c r="G206" s="38" t="str">
        <v>Соль и специи</v>
      </c>
      <c r="H206" s="38" t="str">
        <v>RAW_OR_FLATTENED_COMPONENT</v>
      </c>
      <c r="I206" s="38" t="str">
        <v>Основная рецептура</v>
      </c>
      <c r="J206" s="38" t="str">
        <v>VSF-011</v>
      </c>
      <c r="K206" s="38" t="n">
        <v>2</v>
      </c>
      <c r="L206" s="38" t="str">
        <v>г</v>
      </c>
      <c r="M206" s="38" t="n">
        <v>2</v>
      </c>
      <c r="N206" s="38" t="str">
        <v>г</v>
      </c>
      <c r="O206" s="38" t="n">
        <v>2</v>
      </c>
      <c r="P206" s="38" t="str">
        <v>г</v>
      </c>
      <c r="Q206" s="38" t="n">
        <v>0</v>
      </c>
      <c r="R206" s="38" t="n">
        <v>0</v>
      </c>
      <c r="S206" s="38" t="str">
        <v>ASSUMPTION</v>
      </c>
      <c r="T206" s="38" t="str">
        <v>EVD-0007;EVD-0008</v>
      </c>
      <c r="U206" s="38" t="str">
        <v>Проектная декомпозиция ChefTechnologyAgent; суммы contribution нормированы к draft-выходу EVD-0005; проверить взвешиванием</v>
      </c>
      <c r="V206" s="38" t="str">
        <v>2026-08-03</v>
      </c>
      <c r="W206" s="38" t="str">
        <v>Chef</v>
      </c>
      <c r="X206" s="38" t="str">
        <v>GAP-004;GAP-005</v>
      </c>
      <c r="Y206" s="39" t="str">
        <v>Не является утверждённой нормой; gross/net/output зафиксировать в контрольной серии</v>
      </c>
    </row>
    <row r="207">
      <c r="A207" s="37" t="str">
        <v>RCP-0203</v>
      </c>
      <c r="B207" s="38" t="str">
        <v>VKM-024</v>
      </c>
      <c r="C207" s="38" t="str">
        <v>VKC-024</v>
      </c>
      <c r="D207" s="38" t="str">
        <v>VKT-024</v>
      </c>
      <c r="E207" s="38" t="str">
        <v>0.1.0-DRAFT</v>
      </c>
      <c r="F207" s="38" t="str">
        <v>ING-100</v>
      </c>
      <c r="G207" s="38" t="str">
        <v>Рис жасмин сухой</v>
      </c>
      <c r="H207" s="38" t="str">
        <v>RAW_OR_FLATTENED_COMPONENT</v>
      </c>
      <c r="I207" s="38" t="str">
        <v>Варка</v>
      </c>
      <c r="J207" s="38" t="str">
        <v>VSF-025</v>
      </c>
      <c r="K207" s="38" t="n">
        <v>55</v>
      </c>
      <c r="L207" s="38" t="str">
        <v>г</v>
      </c>
      <c r="M207" s="38" t="n">
        <v>55</v>
      </c>
      <c r="N207" s="38" t="str">
        <v>г</v>
      </c>
      <c r="O207" s="38" t="n">
        <v>50</v>
      </c>
      <c r="P207" s="38" t="str">
        <v>г</v>
      </c>
      <c r="Q207" s="38" t="n">
        <v>0</v>
      </c>
      <c r="R207" s="38" t="n">
        <v>5</v>
      </c>
      <c r="S207" s="38" t="str">
        <v>ASSUMPTION</v>
      </c>
      <c r="T207" s="38" t="str">
        <v>EVD-0007;EVD-0008</v>
      </c>
      <c r="U207" s="38" t="str">
        <v>Проектная декомпозиция ChefTechnologyAgent; суммы contribution нормированы к draft-выходу EVD-0005; проверить взвешиванием</v>
      </c>
      <c r="V207" s="38" t="str">
        <v>2026-08-03</v>
      </c>
      <c r="W207" s="38" t="str">
        <v>Chef</v>
      </c>
      <c r="X207" s="38" t="str">
        <v>GAP-004;GAP-005</v>
      </c>
      <c r="Y207" s="39" t="str">
        <v>Не является утверждённой нормой; gross/net/output зафиксировать в контрольной серии</v>
      </c>
    </row>
    <row r="208">
      <c r="A208" s="37" t="str">
        <v>RCP-0204</v>
      </c>
      <c r="B208" s="38" t="str">
        <v>VKM-024</v>
      </c>
      <c r="C208" s="38" t="str">
        <v>VKC-024</v>
      </c>
      <c r="D208" s="38" t="str">
        <v>VKT-024</v>
      </c>
      <c r="E208" s="38" t="str">
        <v>0.1.0-DRAFT</v>
      </c>
      <c r="F208" s="38" t="str">
        <v>ING-101</v>
      </c>
      <c r="G208" s="38" t="str">
        <v>Вода питьевая, удержанная в продукте</v>
      </c>
      <c r="H208" s="38" t="str">
        <v>RAW_OR_FLATTENED_COMPONENT</v>
      </c>
      <c r="I208" s="38" t="str">
        <v>Варка</v>
      </c>
      <c r="J208" s="38" t="str">
        <v>VSF-025</v>
      </c>
      <c r="K208" s="38" t="n">
        <v>120</v>
      </c>
      <c r="L208" s="38" t="str">
        <v>г</v>
      </c>
      <c r="M208" s="38" t="n">
        <v>120</v>
      </c>
      <c r="N208" s="38" t="str">
        <v>г</v>
      </c>
      <c r="O208" s="38" t="n">
        <v>88</v>
      </c>
      <c r="P208" s="38" t="str">
        <v>г</v>
      </c>
      <c r="Q208" s="38" t="n">
        <v>0</v>
      </c>
      <c r="R208" s="38" t="n">
        <v>32</v>
      </c>
      <c r="S208" s="38" t="str">
        <v>ASSUMPTION</v>
      </c>
      <c r="T208" s="38" t="str">
        <v>EVD-0007;EVD-0008</v>
      </c>
      <c r="U208" s="38" t="str">
        <v>Проектная декомпозиция ChefTechnologyAgent; суммы contribution нормированы к draft-выходу EVD-0005; проверить взвешиванием</v>
      </c>
      <c r="V208" s="38" t="str">
        <v>2026-08-03</v>
      </c>
      <c r="W208" s="38" t="str">
        <v>Chef</v>
      </c>
      <c r="X208" s="38" t="str">
        <v>GAP-004;GAP-005</v>
      </c>
      <c r="Y208" s="39" t="str">
        <v>Не является утверждённой нормой; gross/net/output зафиксировать в контрольной серии</v>
      </c>
    </row>
    <row r="209">
      <c r="A209" s="37" t="str">
        <v>RCP-0205</v>
      </c>
      <c r="B209" s="38" t="str">
        <v>VKM-024</v>
      </c>
      <c r="C209" s="38" t="str">
        <v>VKC-024</v>
      </c>
      <c r="D209" s="38" t="str">
        <v>VKT-024</v>
      </c>
      <c r="E209" s="38" t="str">
        <v>0.1.0-DRAFT</v>
      </c>
      <c r="F209" s="38" t="str">
        <v>ING-024</v>
      </c>
      <c r="G209" s="38" t="str">
        <v>Масло растительное</v>
      </c>
      <c r="H209" s="38" t="str">
        <v>RAW_OR_FLATTENED_COMPONENT</v>
      </c>
      <c r="I209" s="38" t="str">
        <v>Финиш</v>
      </c>
      <c r="J209" s="38"/>
      <c r="K209" s="38" t="n">
        <v>5</v>
      </c>
      <c r="L209" s="38" t="str">
        <v>г</v>
      </c>
      <c r="M209" s="38" t="n">
        <v>5</v>
      </c>
      <c r="N209" s="38" t="str">
        <v>г</v>
      </c>
      <c r="O209" s="38" t="n">
        <v>5</v>
      </c>
      <c r="P209" s="38" t="str">
        <v>г</v>
      </c>
      <c r="Q209" s="38" t="n">
        <v>0</v>
      </c>
      <c r="R209" s="38" t="n">
        <v>0</v>
      </c>
      <c r="S209" s="38" t="str">
        <v>ASSUMPTION</v>
      </c>
      <c r="T209" s="38" t="str">
        <v>EVD-0007;EVD-0008</v>
      </c>
      <c r="U209" s="38" t="str">
        <v>Проектная декомпозиция ChefTechnologyAgent; суммы contribution нормированы к draft-выходу EVD-0005; проверить взвешиванием</v>
      </c>
      <c r="V209" s="38" t="str">
        <v>2026-08-03</v>
      </c>
      <c r="W209" s="38" t="str">
        <v>Chef</v>
      </c>
      <c r="X209" s="38" t="str">
        <v>GAP-004;GAP-005</v>
      </c>
      <c r="Y209" s="39" t="str">
        <v>Не является утверждённой нормой; gross/net/output зафиксировать в контрольной серии</v>
      </c>
    </row>
    <row r="210">
      <c r="A210" s="37" t="str">
        <v>RCP-0206</v>
      </c>
      <c r="B210" s="38" t="str">
        <v>VKM-024</v>
      </c>
      <c r="C210" s="38" t="str">
        <v>VKC-024</v>
      </c>
      <c r="D210" s="38" t="str">
        <v>VKT-024</v>
      </c>
      <c r="E210" s="38" t="str">
        <v>0.1.0-DRAFT</v>
      </c>
      <c r="F210" s="38" t="str">
        <v>ING-027</v>
      </c>
      <c r="G210" s="38" t="str">
        <v>Масло сливочное</v>
      </c>
      <c r="H210" s="38" t="str">
        <v>RAW_OR_FLATTENED_COMPONENT</v>
      </c>
      <c r="I210" s="38" t="str">
        <v>Финиш</v>
      </c>
      <c r="J210" s="38"/>
      <c r="K210" s="38" t="n">
        <v>5</v>
      </c>
      <c r="L210" s="38" t="str">
        <v>г</v>
      </c>
      <c r="M210" s="38" t="n">
        <v>5</v>
      </c>
      <c r="N210" s="38" t="str">
        <v>г</v>
      </c>
      <c r="O210" s="38" t="n">
        <v>5</v>
      </c>
      <c r="P210" s="38" t="str">
        <v>г</v>
      </c>
      <c r="Q210" s="38" t="n">
        <v>0</v>
      </c>
      <c r="R210" s="38" t="n">
        <v>0</v>
      </c>
      <c r="S210" s="38" t="str">
        <v>ASSUMPTION</v>
      </c>
      <c r="T210" s="38" t="str">
        <v>EVD-0007;EVD-0008</v>
      </c>
      <c r="U210" s="38" t="str">
        <v>Проектная декомпозиция ChefTechnologyAgent; суммы contribution нормированы к draft-выходу EVD-0005; проверить взвешиванием</v>
      </c>
      <c r="V210" s="38" t="str">
        <v>2026-08-03</v>
      </c>
      <c r="W210" s="38" t="str">
        <v>Chef</v>
      </c>
      <c r="X210" s="38" t="str">
        <v>GAP-004;GAP-005</v>
      </c>
      <c r="Y210" s="39" t="str">
        <v>Не является утверждённой нормой; gross/net/output зафиксировать в контрольной серии</v>
      </c>
    </row>
    <row r="211">
      <c r="A211" s="37" t="str">
        <v>RCP-0207</v>
      </c>
      <c r="B211" s="38" t="str">
        <v>VKM-024</v>
      </c>
      <c r="C211" s="38" t="str">
        <v>VKC-024</v>
      </c>
      <c r="D211" s="38" t="str">
        <v>VKT-024</v>
      </c>
      <c r="E211" s="38" t="str">
        <v>0.1.0-DRAFT</v>
      </c>
      <c r="F211" s="38" t="str">
        <v>ING-004</v>
      </c>
      <c r="G211" s="38" t="str">
        <v>Соль пищевая</v>
      </c>
      <c r="H211" s="38" t="str">
        <v>RAW_OR_FLATTENED_COMPONENT</v>
      </c>
      <c r="I211" s="38" t="str">
        <v>Варка</v>
      </c>
      <c r="J211" s="38"/>
      <c r="K211" s="38" t="n">
        <v>2</v>
      </c>
      <c r="L211" s="38" t="str">
        <v>г</v>
      </c>
      <c r="M211" s="38" t="n">
        <v>2</v>
      </c>
      <c r="N211" s="38" t="str">
        <v>г</v>
      </c>
      <c r="O211" s="38" t="n">
        <v>2</v>
      </c>
      <c r="P211" s="38" t="str">
        <v>г</v>
      </c>
      <c r="Q211" s="38" t="n">
        <v>0</v>
      </c>
      <c r="R211" s="38" t="n">
        <v>0</v>
      </c>
      <c r="S211" s="38" t="str">
        <v>ASSUMPTION</v>
      </c>
      <c r="T211" s="38" t="str">
        <v>EVD-0007;EVD-0008</v>
      </c>
      <c r="U211" s="38" t="str">
        <v>Проектная декомпозиция ChefTechnologyAgent; суммы contribution нормированы к draft-выходу EVD-0005; проверить взвешиванием</v>
      </c>
      <c r="V211" s="38" t="str">
        <v>2026-08-03</v>
      </c>
      <c r="W211" s="38" t="str">
        <v>Chef</v>
      </c>
      <c r="X211" s="38" t="str">
        <v>GAP-004;GAP-005</v>
      </c>
      <c r="Y211" s="39" t="str">
        <v>Не является утверждённой нормой; gross/net/output зафиксировать в контрольной серии</v>
      </c>
    </row>
    <row r="212">
      <c r="A212" s="37" t="str">
        <v>RCP-0208</v>
      </c>
      <c r="B212" s="38" t="str">
        <v>VKM-025</v>
      </c>
      <c r="C212" s="38" t="str">
        <v>VKC-025</v>
      </c>
      <c r="D212" s="38" t="str">
        <v>VKT-025</v>
      </c>
      <c r="E212" s="38" t="str">
        <v>0.1.0-DRAFT</v>
      </c>
      <c r="F212" s="38" t="str">
        <v>ING-084</v>
      </c>
      <c r="G212" s="38" t="str">
        <v>Цукини</v>
      </c>
      <c r="H212" s="38" t="str">
        <v>RAW_OR_FLATTENED_COMPONENT</v>
      </c>
      <c r="I212" s="38" t="str">
        <v>Овощная подготовка</v>
      </c>
      <c r="J212" s="38" t="str">
        <v>VSF-026</v>
      </c>
      <c r="K212" s="38" t="n">
        <v>48</v>
      </c>
      <c r="L212" s="38" t="str">
        <v>г</v>
      </c>
      <c r="M212" s="38" t="n">
        <v>43</v>
      </c>
      <c r="N212" s="38" t="str">
        <v>г</v>
      </c>
      <c r="O212" s="38" t="n">
        <v>40</v>
      </c>
      <c r="P212" s="38" t="str">
        <v>г</v>
      </c>
      <c r="Q212" s="38" t="n">
        <v>5</v>
      </c>
      <c r="R212" s="38" t="n">
        <v>3</v>
      </c>
      <c r="S212" s="38" t="str">
        <v>ASSUMPTION</v>
      </c>
      <c r="T212" s="38" t="str">
        <v>EVD-0007;EVD-0008</v>
      </c>
      <c r="U212" s="38" t="str">
        <v>Проектная декомпозиция ChefTechnologyAgent; суммы contribution нормированы к draft-выходу EVD-0005; проверить взвешиванием</v>
      </c>
      <c r="V212" s="38" t="str">
        <v>2026-08-03</v>
      </c>
      <c r="W212" s="38" t="str">
        <v>Chef</v>
      </c>
      <c r="X212" s="38" t="str">
        <v>GAP-004;GAP-005</v>
      </c>
      <c r="Y212" s="39" t="str">
        <v>Не является утверждённой нормой; gross/net/output зафиксировать в контрольной серии</v>
      </c>
    </row>
    <row r="213">
      <c r="A213" s="37" t="str">
        <v>RCP-0209</v>
      </c>
      <c r="B213" s="38" t="str">
        <v>VKM-025</v>
      </c>
      <c r="C213" s="38" t="str">
        <v>VKC-025</v>
      </c>
      <c r="D213" s="38" t="str">
        <v>VKT-025</v>
      </c>
      <c r="E213" s="38" t="str">
        <v>0.1.0-DRAFT</v>
      </c>
      <c r="F213" s="38" t="str">
        <v>ING-043</v>
      </c>
      <c r="G213" s="38" t="str">
        <v>Перец сладкий</v>
      </c>
      <c r="H213" s="38" t="str">
        <v>RAW_OR_FLATTENED_COMPONENT</v>
      </c>
      <c r="I213" s="38" t="str">
        <v>Овощная подготовка</v>
      </c>
      <c r="J213" s="38" t="str">
        <v>VSF-026</v>
      </c>
      <c r="K213" s="38" t="n">
        <v>42</v>
      </c>
      <c r="L213" s="38" t="str">
        <v>г</v>
      </c>
      <c r="M213" s="38" t="n">
        <v>38</v>
      </c>
      <c r="N213" s="38" t="str">
        <v>г</v>
      </c>
      <c r="O213" s="38" t="n">
        <v>35</v>
      </c>
      <c r="P213" s="38" t="str">
        <v>г</v>
      </c>
      <c r="Q213" s="38" t="n">
        <v>4</v>
      </c>
      <c r="R213" s="38" t="n">
        <v>3</v>
      </c>
      <c r="S213" s="38" t="str">
        <v>ASSUMPTION</v>
      </c>
      <c r="T213" s="38" t="str">
        <v>EVD-0007;EVD-0008</v>
      </c>
      <c r="U213" s="38" t="str">
        <v>Проектная декомпозиция ChefTechnologyAgent; суммы contribution нормированы к draft-выходу EVD-0005; проверить взвешиванием</v>
      </c>
      <c r="V213" s="38" t="str">
        <v>2026-08-03</v>
      </c>
      <c r="W213" s="38" t="str">
        <v>Chef</v>
      </c>
      <c r="X213" s="38" t="str">
        <v>GAP-004;GAP-005</v>
      </c>
      <c r="Y213" s="39" t="str">
        <v>Не является утверждённой нормой; gross/net/output зафиксировать в контрольной серии</v>
      </c>
    </row>
    <row r="214">
      <c r="A214" s="37" t="str">
        <v>RCP-0210</v>
      </c>
      <c r="B214" s="38" t="str">
        <v>VKM-025</v>
      </c>
      <c r="C214" s="38" t="str">
        <v>VKC-025</v>
      </c>
      <c r="D214" s="38" t="str">
        <v>VKT-025</v>
      </c>
      <c r="E214" s="38" t="str">
        <v>0.1.0-DRAFT</v>
      </c>
      <c r="F214" s="38" t="str">
        <v>ING-102</v>
      </c>
      <c r="G214" s="38" t="str">
        <v>Баклажан</v>
      </c>
      <c r="H214" s="38" t="str">
        <v>RAW_OR_FLATTENED_COMPONENT</v>
      </c>
      <c r="I214" s="38" t="str">
        <v>Овощная подготовка</v>
      </c>
      <c r="J214" s="38" t="str">
        <v>VSF-026</v>
      </c>
      <c r="K214" s="38" t="n">
        <v>36</v>
      </c>
      <c r="L214" s="38" t="str">
        <v>г</v>
      </c>
      <c r="M214" s="38" t="n">
        <v>33</v>
      </c>
      <c r="N214" s="38" t="str">
        <v>г</v>
      </c>
      <c r="O214" s="38" t="n">
        <v>30</v>
      </c>
      <c r="P214" s="38" t="str">
        <v>г</v>
      </c>
      <c r="Q214" s="38" t="n">
        <v>3</v>
      </c>
      <c r="R214" s="38" t="n">
        <v>3</v>
      </c>
      <c r="S214" s="38" t="str">
        <v>ASSUMPTION</v>
      </c>
      <c r="T214" s="38" t="str">
        <v>EVD-0007;EVD-0008</v>
      </c>
      <c r="U214" s="38" t="str">
        <v>Проектная декомпозиция ChefTechnologyAgent; суммы contribution нормированы к draft-выходу EVD-0005; проверить взвешиванием</v>
      </c>
      <c r="V214" s="38" t="str">
        <v>2026-08-03</v>
      </c>
      <c r="W214" s="38" t="str">
        <v>Chef</v>
      </c>
      <c r="X214" s="38" t="str">
        <v>GAP-004;GAP-005</v>
      </c>
      <c r="Y214" s="39" t="str">
        <v>Не является утверждённой нормой; gross/net/output зафиксировать в контрольной серии</v>
      </c>
    </row>
    <row r="215">
      <c r="A215" s="37" t="str">
        <v>RCP-0211</v>
      </c>
      <c r="B215" s="38" t="str">
        <v>VKM-025</v>
      </c>
      <c r="C215" s="38" t="str">
        <v>VKC-025</v>
      </c>
      <c r="D215" s="38" t="str">
        <v>VKT-025</v>
      </c>
      <c r="E215" s="38" t="str">
        <v>0.1.0-DRAFT</v>
      </c>
      <c r="F215" s="38" t="str">
        <v>ING-103</v>
      </c>
      <c r="G215" s="38" t="str">
        <v>Брокколи</v>
      </c>
      <c r="H215" s="38" t="str">
        <v>RAW_OR_FLATTENED_COMPONENT</v>
      </c>
      <c r="I215" s="38" t="str">
        <v>Овощная подготовка</v>
      </c>
      <c r="J215" s="38" t="str">
        <v>VSF-026</v>
      </c>
      <c r="K215" s="38" t="n">
        <v>31</v>
      </c>
      <c r="L215" s="38" t="str">
        <v>г</v>
      </c>
      <c r="M215" s="38" t="n">
        <v>28</v>
      </c>
      <c r="N215" s="38" t="str">
        <v>г</v>
      </c>
      <c r="O215" s="38" t="n">
        <v>25</v>
      </c>
      <c r="P215" s="38" t="str">
        <v>г</v>
      </c>
      <c r="Q215" s="38" t="n">
        <v>3</v>
      </c>
      <c r="R215" s="38" t="n">
        <v>3</v>
      </c>
      <c r="S215" s="38" t="str">
        <v>ASSUMPTION</v>
      </c>
      <c r="T215" s="38" t="str">
        <v>EVD-0007;EVD-0008</v>
      </c>
      <c r="U215" s="38" t="str">
        <v>Проектная декомпозиция ChefTechnologyAgent; суммы contribution нормированы к draft-выходу EVD-0005; проверить взвешиванием</v>
      </c>
      <c r="V215" s="38" t="str">
        <v>2026-08-03</v>
      </c>
      <c r="W215" s="38" t="str">
        <v>Chef</v>
      </c>
      <c r="X215" s="38" t="str">
        <v>GAP-004;GAP-005</v>
      </c>
      <c r="Y215" s="39" t="str">
        <v>Не является утверждённой нормой; gross/net/output зафиксировать в контрольной серии</v>
      </c>
    </row>
    <row r="216">
      <c r="A216" s="37" t="str">
        <v>RCP-0212</v>
      </c>
      <c r="B216" s="38" t="str">
        <v>VKM-025</v>
      </c>
      <c r="C216" s="38" t="str">
        <v>VKC-025</v>
      </c>
      <c r="D216" s="38" t="str">
        <v>VKT-025</v>
      </c>
      <c r="E216" s="38" t="str">
        <v>0.1.0-DRAFT</v>
      </c>
      <c r="F216" s="38" t="str">
        <v>ING-024</v>
      </c>
      <c r="G216" s="38" t="str">
        <v>Масло растительное</v>
      </c>
      <c r="H216" s="38" t="str">
        <v>RAW_OR_FLATTENED_COMPONENT</v>
      </c>
      <c r="I216" s="38" t="str">
        <v>Обработка</v>
      </c>
      <c r="J216" s="38"/>
      <c r="K216" s="38" t="n">
        <v>15</v>
      </c>
      <c r="L216" s="38" t="str">
        <v>г</v>
      </c>
      <c r="M216" s="38" t="n">
        <v>15</v>
      </c>
      <c r="N216" s="38" t="str">
        <v>г</v>
      </c>
      <c r="O216" s="38" t="n">
        <v>15</v>
      </c>
      <c r="P216" s="38" t="str">
        <v>г</v>
      </c>
      <c r="Q216" s="38" t="n">
        <v>0</v>
      </c>
      <c r="R216" s="38" t="n">
        <v>0</v>
      </c>
      <c r="S216" s="38" t="str">
        <v>ASSUMPTION</v>
      </c>
      <c r="T216" s="38" t="str">
        <v>EVD-0007;EVD-0008</v>
      </c>
      <c r="U216" s="38" t="str">
        <v>Проектная декомпозиция ChefTechnologyAgent; суммы contribution нормированы к draft-выходу EVD-0005; проверить взвешиванием</v>
      </c>
      <c r="V216" s="38" t="str">
        <v>2026-08-03</v>
      </c>
      <c r="W216" s="38" t="str">
        <v>Chef</v>
      </c>
      <c r="X216" s="38" t="str">
        <v>GAP-004;GAP-005</v>
      </c>
      <c r="Y216" s="39" t="str">
        <v>Не является утверждённой нормой; gross/net/output зафиксировать в контрольной серии</v>
      </c>
    </row>
    <row r="217">
      <c r="A217" s="37" t="str">
        <v>RCP-0213</v>
      </c>
      <c r="B217" s="38" t="str">
        <v>VKM-025</v>
      </c>
      <c r="C217" s="38" t="str">
        <v>VKC-025</v>
      </c>
      <c r="D217" s="38" t="str">
        <v>VKT-025</v>
      </c>
      <c r="E217" s="38" t="str">
        <v>0.1.0-DRAFT</v>
      </c>
      <c r="F217" s="38" t="str">
        <v>ING-063</v>
      </c>
      <c r="G217" s="38" t="str">
        <v>Пряные травы</v>
      </c>
      <c r="H217" s="38" t="str">
        <v>RAW_OR_FLATTENED_COMPONENT</v>
      </c>
      <c r="I217" s="38" t="str">
        <v>Финиш</v>
      </c>
      <c r="J217" s="38"/>
      <c r="K217" s="38" t="n">
        <v>3</v>
      </c>
      <c r="L217" s="38" t="str">
        <v>г</v>
      </c>
      <c r="M217" s="38" t="n">
        <v>3</v>
      </c>
      <c r="N217" s="38" t="str">
        <v>г</v>
      </c>
      <c r="O217" s="38" t="n">
        <v>3</v>
      </c>
      <c r="P217" s="38" t="str">
        <v>г</v>
      </c>
      <c r="Q217" s="38" t="n">
        <v>0</v>
      </c>
      <c r="R217" s="38" t="n">
        <v>0</v>
      </c>
      <c r="S217" s="38" t="str">
        <v>ASSUMPTION</v>
      </c>
      <c r="T217" s="38" t="str">
        <v>EVD-0007;EVD-0008</v>
      </c>
      <c r="U217" s="38" t="str">
        <v>Проектная декомпозиция ChefTechnologyAgent; суммы contribution нормированы к draft-выходу EVD-0005; проверить взвешиванием</v>
      </c>
      <c r="V217" s="38" t="str">
        <v>2026-08-03</v>
      </c>
      <c r="W217" s="38" t="str">
        <v>Chef</v>
      </c>
      <c r="X217" s="38" t="str">
        <v>GAP-004;GAP-005</v>
      </c>
      <c r="Y217" s="39" t="str">
        <v>Не является утверждённой нормой; gross/net/output зафиксировать в контрольной серии</v>
      </c>
    </row>
    <row r="218">
      <c r="A218" s="37" t="str">
        <v>RCP-0214</v>
      </c>
      <c r="B218" s="38" t="str">
        <v>VKM-025</v>
      </c>
      <c r="C218" s="38" t="str">
        <v>VKC-025</v>
      </c>
      <c r="D218" s="38" t="str">
        <v>VKT-025</v>
      </c>
      <c r="E218" s="38" t="str">
        <v>0.1.0-DRAFT</v>
      </c>
      <c r="F218" s="38" t="str">
        <v>ING-033</v>
      </c>
      <c r="G218" s="38" t="str">
        <v>Соль и специи</v>
      </c>
      <c r="H218" s="38" t="str">
        <v>RAW_OR_FLATTENED_COMPONENT</v>
      </c>
      <c r="I218" s="38" t="str">
        <v>Финиш</v>
      </c>
      <c r="J218" s="38"/>
      <c r="K218" s="38" t="n">
        <v>2</v>
      </c>
      <c r="L218" s="38" t="str">
        <v>г</v>
      </c>
      <c r="M218" s="38" t="n">
        <v>2</v>
      </c>
      <c r="N218" s="38" t="str">
        <v>г</v>
      </c>
      <c r="O218" s="38" t="n">
        <v>2</v>
      </c>
      <c r="P218" s="38" t="str">
        <v>г</v>
      </c>
      <c r="Q218" s="38" t="n">
        <v>0</v>
      </c>
      <c r="R218" s="38" t="n">
        <v>0</v>
      </c>
      <c r="S218" s="38" t="str">
        <v>ASSUMPTION</v>
      </c>
      <c r="T218" s="38" t="str">
        <v>EVD-0007;EVD-0008</v>
      </c>
      <c r="U218" s="38" t="str">
        <v>Проектная декомпозиция ChefTechnologyAgent; суммы contribution нормированы к draft-выходу EVD-0005; проверить взвешиванием</v>
      </c>
      <c r="V218" s="38" t="str">
        <v>2026-08-03</v>
      </c>
      <c r="W218" s="38" t="str">
        <v>Chef</v>
      </c>
      <c r="X218" s="38" t="str">
        <v>GAP-004;GAP-005</v>
      </c>
      <c r="Y218" s="39" t="str">
        <v>Не является утверждённой нормой; gross/net/output зафиксировать в контрольной серии</v>
      </c>
    </row>
    <row r="219">
      <c r="A219" s="37" t="str">
        <v>RCP-0215</v>
      </c>
      <c r="B219" s="38" t="str">
        <v>VKM-029</v>
      </c>
      <c r="C219" s="38" t="str">
        <v>VKC-029</v>
      </c>
      <c r="D219" s="38" t="str">
        <v>VKT-029</v>
      </c>
      <c r="E219" s="38" t="str">
        <v>0.1.0-DRAFT</v>
      </c>
      <c r="F219" s="38" t="str">
        <v>ING-104</v>
      </c>
      <c r="G219" s="38" t="str">
        <v>Мука пшеничная кондитерская</v>
      </c>
      <c r="H219" s="38" t="str">
        <v>RAW_OR_FLATTENED_COMPONENT</v>
      </c>
      <c r="I219" s="38" t="str">
        <v>Бисквит</v>
      </c>
      <c r="J219" s="38" t="str">
        <v>VSF-027</v>
      </c>
      <c r="K219" s="38" t="n">
        <v>190</v>
      </c>
      <c r="L219" s="38" t="str">
        <v>г</v>
      </c>
      <c r="M219" s="38" t="n">
        <v>190</v>
      </c>
      <c r="N219" s="38" t="str">
        <v>г</v>
      </c>
      <c r="O219" s="38" t="n">
        <v>180</v>
      </c>
      <c r="P219" s="38" t="str">
        <v>г</v>
      </c>
      <c r="Q219" s="38" t="n">
        <v>0</v>
      </c>
      <c r="R219" s="38" t="n">
        <v>10</v>
      </c>
      <c r="S219" s="38" t="str">
        <v>ASSUMPTION</v>
      </c>
      <c r="T219" s="38" t="str">
        <v>EVD-0007;EVD-0008</v>
      </c>
      <c r="U219" s="38" t="str">
        <v>Проектная декомпозиция ChefTechnologyAgent; суммы contribution нормированы к draft-выходу EVD-0005; проверить взвешиванием</v>
      </c>
      <c r="V219" s="38" t="str">
        <v>2026-08-03</v>
      </c>
      <c r="W219" s="38" t="str">
        <v>Chef</v>
      </c>
      <c r="X219" s="38" t="str">
        <v>GAP-004;GAP-005</v>
      </c>
      <c r="Y219" s="39" t="str">
        <v>Не является утверждённой нормой; gross/net/output зафиксировать в контрольной серии</v>
      </c>
    </row>
    <row r="220">
      <c r="A220" s="37" t="str">
        <v>RCP-0216</v>
      </c>
      <c r="B220" s="38" t="str">
        <v>VKM-029</v>
      </c>
      <c r="C220" s="38" t="str">
        <v>VKC-029</v>
      </c>
      <c r="D220" s="38" t="str">
        <v>VKT-029</v>
      </c>
      <c r="E220" s="38" t="str">
        <v>0.1.0-DRAFT</v>
      </c>
      <c r="F220" s="38" t="str">
        <v>ING-026</v>
      </c>
      <c r="G220" s="38" t="str">
        <v>Яйцо или меланж</v>
      </c>
      <c r="H220" s="38" t="str">
        <v>RAW_OR_FLATTENED_COMPONENT</v>
      </c>
      <c r="I220" s="38" t="str">
        <v>Бисквит</v>
      </c>
      <c r="J220" s="38" t="str">
        <v>VSF-027</v>
      </c>
      <c r="K220" s="38" t="n">
        <v>185</v>
      </c>
      <c r="L220" s="38" t="str">
        <v>г</v>
      </c>
      <c r="M220" s="38" t="n">
        <v>185</v>
      </c>
      <c r="N220" s="38" t="str">
        <v>г</v>
      </c>
      <c r="O220" s="38" t="n">
        <v>180</v>
      </c>
      <c r="P220" s="38" t="str">
        <v>г</v>
      </c>
      <c r="Q220" s="38" t="n">
        <v>0</v>
      </c>
      <c r="R220" s="38" t="n">
        <v>5</v>
      </c>
      <c r="S220" s="38" t="str">
        <v>ASSUMPTION</v>
      </c>
      <c r="T220" s="38" t="str">
        <v>EVD-0007;EVD-0008</v>
      </c>
      <c r="U220" s="38" t="str">
        <v>Проектная декомпозиция ChefTechnologyAgent; суммы contribution нормированы к draft-выходу EVD-0005; проверить взвешиванием</v>
      </c>
      <c r="V220" s="38" t="str">
        <v>2026-08-03</v>
      </c>
      <c r="W220" s="38" t="str">
        <v>Chef</v>
      </c>
      <c r="X220" s="38" t="str">
        <v>GAP-004;GAP-005</v>
      </c>
      <c r="Y220" s="39" t="str">
        <v>Не является утверждённой нормой; gross/net/output зафиксировать в контрольной серии</v>
      </c>
    </row>
    <row r="221">
      <c r="A221" s="37" t="str">
        <v>RCP-0217</v>
      </c>
      <c r="B221" s="38" t="str">
        <v>VKM-029</v>
      </c>
      <c r="C221" s="38" t="str">
        <v>VKC-029</v>
      </c>
      <c r="D221" s="38" t="str">
        <v>VKT-029</v>
      </c>
      <c r="E221" s="38" t="str">
        <v>0.1.0-DRAFT</v>
      </c>
      <c r="F221" s="38" t="str">
        <v>ING-028</v>
      </c>
      <c r="G221" s="38" t="str">
        <v>Сахар</v>
      </c>
      <c r="H221" s="38" t="str">
        <v>RAW_OR_FLATTENED_COMPONENT</v>
      </c>
      <c r="I221" s="38" t="str">
        <v>Бисквит</v>
      </c>
      <c r="J221" s="38" t="str">
        <v>VSF-027</v>
      </c>
      <c r="K221" s="38" t="n">
        <v>150</v>
      </c>
      <c r="L221" s="38" t="str">
        <v>г</v>
      </c>
      <c r="M221" s="38" t="n">
        <v>150</v>
      </c>
      <c r="N221" s="38" t="str">
        <v>г</v>
      </c>
      <c r="O221" s="38" t="n">
        <v>150</v>
      </c>
      <c r="P221" s="38" t="str">
        <v>г</v>
      </c>
      <c r="Q221" s="38" t="n">
        <v>0</v>
      </c>
      <c r="R221" s="38" t="n">
        <v>0</v>
      </c>
      <c r="S221" s="38" t="str">
        <v>ASSUMPTION</v>
      </c>
      <c r="T221" s="38" t="str">
        <v>EVD-0007;EVD-0008</v>
      </c>
      <c r="U221" s="38" t="str">
        <v>Проектная декомпозиция ChefTechnologyAgent; суммы contribution нормированы к draft-выходу EVD-0005; проверить взвешиванием</v>
      </c>
      <c r="V221" s="38" t="str">
        <v>2026-08-03</v>
      </c>
      <c r="W221" s="38" t="str">
        <v>Chef</v>
      </c>
      <c r="X221" s="38" t="str">
        <v>GAP-004;GAP-005</v>
      </c>
      <c r="Y221" s="39" t="str">
        <v>Не является утверждённой нормой; gross/net/output зафиксировать в контрольной серии</v>
      </c>
    </row>
    <row r="222">
      <c r="A222" s="37" t="str">
        <v>RCP-0218</v>
      </c>
      <c r="B222" s="38" t="str">
        <v>VKM-029</v>
      </c>
      <c r="C222" s="38" t="str">
        <v>VKC-029</v>
      </c>
      <c r="D222" s="38" t="str">
        <v>VKT-029</v>
      </c>
      <c r="E222" s="38" t="str">
        <v>0.1.0-DRAFT</v>
      </c>
      <c r="F222" s="38" t="str">
        <v>ING-027</v>
      </c>
      <c r="G222" s="38" t="str">
        <v>Масло сливочное</v>
      </c>
      <c r="H222" s="38" t="str">
        <v>RAW_OR_FLATTENED_COMPONENT</v>
      </c>
      <c r="I222" s="38" t="str">
        <v>Бисквит</v>
      </c>
      <c r="J222" s="38" t="str">
        <v>VSF-027</v>
      </c>
      <c r="K222" s="38" t="n">
        <v>70</v>
      </c>
      <c r="L222" s="38" t="str">
        <v>г</v>
      </c>
      <c r="M222" s="38" t="n">
        <v>70</v>
      </c>
      <c r="N222" s="38" t="str">
        <v>г</v>
      </c>
      <c r="O222" s="38" t="n">
        <v>70</v>
      </c>
      <c r="P222" s="38" t="str">
        <v>г</v>
      </c>
      <c r="Q222" s="38" t="n">
        <v>0</v>
      </c>
      <c r="R222" s="38" t="n">
        <v>0</v>
      </c>
      <c r="S222" s="38" t="str">
        <v>ASSUMPTION</v>
      </c>
      <c r="T222" s="38" t="str">
        <v>EVD-0007;EVD-0008</v>
      </c>
      <c r="U222" s="38" t="str">
        <v>Проектная декомпозиция ChefTechnologyAgent; суммы contribution нормированы к draft-выходу EVD-0005; проверить взвешиванием</v>
      </c>
      <c r="V222" s="38" t="str">
        <v>2026-08-03</v>
      </c>
      <c r="W222" s="38" t="str">
        <v>Chef</v>
      </c>
      <c r="X222" s="38" t="str">
        <v>GAP-004;GAP-005</v>
      </c>
      <c r="Y222" s="39" t="str">
        <v>Не является утверждённой нормой; gross/net/output зафиксировать в контрольной серии</v>
      </c>
    </row>
    <row r="223">
      <c r="A223" s="37" t="str">
        <v>RCP-0219</v>
      </c>
      <c r="B223" s="38" t="str">
        <v>VKM-029</v>
      </c>
      <c r="C223" s="38" t="str">
        <v>VKC-029</v>
      </c>
      <c r="D223" s="38" t="str">
        <v>VKT-029</v>
      </c>
      <c r="E223" s="38" t="str">
        <v>0.1.0-DRAFT</v>
      </c>
      <c r="F223" s="38" t="str">
        <v>ING-025</v>
      </c>
      <c r="G223" s="38" t="str">
        <v>Молоко</v>
      </c>
      <c r="H223" s="38" t="str">
        <v>RAW_OR_FLATTENED_COMPONENT</v>
      </c>
      <c r="I223" s="38" t="str">
        <v>Бисквит</v>
      </c>
      <c r="J223" s="38" t="str">
        <v>VSF-027</v>
      </c>
      <c r="K223" s="38" t="n">
        <v>20</v>
      </c>
      <c r="L223" s="38" t="str">
        <v>г</v>
      </c>
      <c r="M223" s="38" t="n">
        <v>20</v>
      </c>
      <c r="N223" s="38" t="str">
        <v>г</v>
      </c>
      <c r="O223" s="38" t="n">
        <v>20</v>
      </c>
      <c r="P223" s="38" t="str">
        <v>г</v>
      </c>
      <c r="Q223" s="38" t="n">
        <v>0</v>
      </c>
      <c r="R223" s="38" t="n">
        <v>0</v>
      </c>
      <c r="S223" s="38" t="str">
        <v>ASSUMPTION</v>
      </c>
      <c r="T223" s="38" t="str">
        <v>EVD-0007;EVD-0008</v>
      </c>
      <c r="U223" s="38" t="str">
        <v>Проектная декомпозиция ChefTechnologyAgent; суммы contribution нормированы к draft-выходу EVD-0005; проверить взвешиванием</v>
      </c>
      <c r="V223" s="38" t="str">
        <v>2026-08-03</v>
      </c>
      <c r="W223" s="38" t="str">
        <v>Chef</v>
      </c>
      <c r="X223" s="38" t="str">
        <v>GAP-004;GAP-005</v>
      </c>
      <c r="Y223" s="39" t="str">
        <v>Не является утверждённой нормой; gross/net/output зафиксировать в контрольной серии</v>
      </c>
    </row>
    <row r="224">
      <c r="A224" s="37" t="str">
        <v>RCP-0220</v>
      </c>
      <c r="B224" s="38" t="str">
        <v>VKM-029</v>
      </c>
      <c r="C224" s="38" t="str">
        <v>VKC-029</v>
      </c>
      <c r="D224" s="38" t="str">
        <v>VKT-029</v>
      </c>
      <c r="E224" s="38" t="str">
        <v>0.1.0-DRAFT</v>
      </c>
      <c r="F224" s="38" t="str">
        <v>ING-105</v>
      </c>
      <c r="G224" s="38" t="str">
        <v>Разрыхлитель</v>
      </c>
      <c r="H224" s="38" t="str">
        <v>RAW_OR_FLATTENED_COMPONENT</v>
      </c>
      <c r="I224" s="38" t="str">
        <v>Бисквит</v>
      </c>
      <c r="J224" s="38" t="str">
        <v>VSF-027</v>
      </c>
      <c r="K224" s="38" t="n">
        <v>5</v>
      </c>
      <c r="L224" s="38" t="str">
        <v>г</v>
      </c>
      <c r="M224" s="38" t="n">
        <v>5</v>
      </c>
      <c r="N224" s="38" t="str">
        <v>г</v>
      </c>
      <c r="O224" s="38" t="n">
        <v>5</v>
      </c>
      <c r="P224" s="38" t="str">
        <v>г</v>
      </c>
      <c r="Q224" s="38" t="n">
        <v>0</v>
      </c>
      <c r="R224" s="38" t="n">
        <v>0</v>
      </c>
      <c r="S224" s="38" t="str">
        <v>ASSUMPTION</v>
      </c>
      <c r="T224" s="38" t="str">
        <v>EVD-0007;EVD-0008</v>
      </c>
      <c r="U224" s="38" t="str">
        <v>Проектная декомпозиция ChefTechnologyAgent; суммы contribution нормированы к draft-выходу EVD-0005; проверить взвешиванием</v>
      </c>
      <c r="V224" s="38" t="str">
        <v>2026-08-03</v>
      </c>
      <c r="W224" s="38" t="str">
        <v>Chef</v>
      </c>
      <c r="X224" s="38" t="str">
        <v>GAP-004;GAP-005</v>
      </c>
      <c r="Y224" s="39" t="str">
        <v>Не является утверждённой нормой; gross/net/output зафиксировать в контрольной серии</v>
      </c>
    </row>
    <row r="225">
      <c r="A225" s="37" t="str">
        <v>RCP-0221</v>
      </c>
      <c r="B225" s="38" t="str">
        <v>VKM-029</v>
      </c>
      <c r="C225" s="38" t="str">
        <v>VKC-029</v>
      </c>
      <c r="D225" s="38" t="str">
        <v>VKT-029</v>
      </c>
      <c r="E225" s="38" t="str">
        <v>0.1.0-DRAFT</v>
      </c>
      <c r="F225" s="38" t="str">
        <v>ING-106</v>
      </c>
      <c r="G225" s="38" t="str">
        <v>Соль</v>
      </c>
      <c r="H225" s="38" t="str">
        <v>RAW_OR_FLATTENED_COMPONENT</v>
      </c>
      <c r="I225" s="38" t="str">
        <v>Бисквит</v>
      </c>
      <c r="J225" s="38" t="str">
        <v>VSF-027</v>
      </c>
      <c r="K225" s="38" t="n">
        <v>2</v>
      </c>
      <c r="L225" s="38" t="str">
        <v>г</v>
      </c>
      <c r="M225" s="38" t="n">
        <v>2</v>
      </c>
      <c r="N225" s="38" t="str">
        <v>г</v>
      </c>
      <c r="O225" s="38" t="n">
        <v>2</v>
      </c>
      <c r="P225" s="38" t="str">
        <v>г</v>
      </c>
      <c r="Q225" s="38" t="n">
        <v>0</v>
      </c>
      <c r="R225" s="38" t="n">
        <v>0</v>
      </c>
      <c r="S225" s="38" t="str">
        <v>ASSUMPTION</v>
      </c>
      <c r="T225" s="38" t="str">
        <v>EVD-0007;EVD-0008</v>
      </c>
      <c r="U225" s="38" t="str">
        <v>Проектная декомпозиция ChefTechnologyAgent; суммы contribution нормированы к draft-выходу EVD-0005; проверить взвешиванием</v>
      </c>
      <c r="V225" s="38" t="str">
        <v>2026-08-03</v>
      </c>
      <c r="W225" s="38" t="str">
        <v>Chef</v>
      </c>
      <c r="X225" s="38" t="str">
        <v>GAP-004;GAP-005</v>
      </c>
      <c r="Y225" s="39" t="str">
        <v>Не является утверждённой нормой; gross/net/output зафиксировать в контрольной серии</v>
      </c>
    </row>
    <row r="226">
      <c r="A226" s="37" t="str">
        <v>RCP-0222</v>
      </c>
      <c r="B226" s="38" t="str">
        <v>VKM-029</v>
      </c>
      <c r="C226" s="38" t="str">
        <v>VKC-029</v>
      </c>
      <c r="D226" s="38" t="str">
        <v>VKT-029</v>
      </c>
      <c r="E226" s="38" t="str">
        <v>0.1.0-DRAFT</v>
      </c>
      <c r="F226" s="38" t="str">
        <v>ING-107</v>
      </c>
      <c r="G226" s="38" t="str">
        <v>Черника</v>
      </c>
      <c r="H226" s="38" t="str">
        <v>RAW_OR_FLATTENED_COMPONENT</v>
      </c>
      <c r="I226" s="38" t="str">
        <v>Крем</v>
      </c>
      <c r="J226" s="38" t="str">
        <v>VSF-028</v>
      </c>
      <c r="K226" s="38" t="n">
        <v>330</v>
      </c>
      <c r="L226" s="38" t="str">
        <v>г</v>
      </c>
      <c r="M226" s="38" t="n">
        <v>315</v>
      </c>
      <c r="N226" s="38" t="str">
        <v>г</v>
      </c>
      <c r="O226" s="38" t="n">
        <v>300</v>
      </c>
      <c r="P226" s="38" t="str">
        <v>г</v>
      </c>
      <c r="Q226" s="38" t="n">
        <v>15</v>
      </c>
      <c r="R226" s="38" t="n">
        <v>15</v>
      </c>
      <c r="S226" s="38" t="str">
        <v>ASSUMPTION</v>
      </c>
      <c r="T226" s="38" t="str">
        <v>EVD-0007;EVD-0008</v>
      </c>
      <c r="U226" s="38" t="str">
        <v>Проектная декомпозиция ChefTechnologyAgent; суммы contribution нормированы к draft-выходу EVD-0005; проверить взвешиванием</v>
      </c>
      <c r="V226" s="38" t="str">
        <v>2026-08-03</v>
      </c>
      <c r="W226" s="38" t="str">
        <v>Chef</v>
      </c>
      <c r="X226" s="38" t="str">
        <v>GAP-004;GAP-005</v>
      </c>
      <c r="Y226" s="39" t="str">
        <v>Не является утверждённой нормой; gross/net/output зафиксировать в контрольной серии</v>
      </c>
    </row>
    <row r="227">
      <c r="A227" s="37" t="str">
        <v>RCP-0223</v>
      </c>
      <c r="B227" s="38" t="str">
        <v>VKM-029</v>
      </c>
      <c r="C227" s="38" t="str">
        <v>VKC-029</v>
      </c>
      <c r="D227" s="38" t="str">
        <v>VKT-029</v>
      </c>
      <c r="E227" s="38" t="str">
        <v>0.1.0-DRAFT</v>
      </c>
      <c r="F227" s="38" t="str">
        <v>ING-108</v>
      </c>
      <c r="G227" s="38" t="str">
        <v>Сыр сливочный</v>
      </c>
      <c r="H227" s="38" t="str">
        <v>RAW_OR_FLATTENED_COMPONENT</v>
      </c>
      <c r="I227" s="38" t="str">
        <v>Крем</v>
      </c>
      <c r="J227" s="38" t="str">
        <v>VSF-028</v>
      </c>
      <c r="K227" s="38" t="n">
        <v>250</v>
      </c>
      <c r="L227" s="38" t="str">
        <v>г</v>
      </c>
      <c r="M227" s="38" t="n">
        <v>250</v>
      </c>
      <c r="N227" s="38" t="str">
        <v>г</v>
      </c>
      <c r="O227" s="38" t="n">
        <v>250</v>
      </c>
      <c r="P227" s="38" t="str">
        <v>г</v>
      </c>
      <c r="Q227" s="38" t="n">
        <v>0</v>
      </c>
      <c r="R227" s="38" t="n">
        <v>0</v>
      </c>
      <c r="S227" s="38" t="str">
        <v>ASSUMPTION</v>
      </c>
      <c r="T227" s="38" t="str">
        <v>EVD-0007;EVD-0008</v>
      </c>
      <c r="U227" s="38" t="str">
        <v>Проектная декомпозиция ChefTechnologyAgent; суммы contribution нормированы к draft-выходу EVD-0005; проверить взвешиванием</v>
      </c>
      <c r="V227" s="38" t="str">
        <v>2026-08-03</v>
      </c>
      <c r="W227" s="38" t="str">
        <v>Chef</v>
      </c>
      <c r="X227" s="38" t="str">
        <v>GAP-004;GAP-005</v>
      </c>
      <c r="Y227" s="39" t="str">
        <v>Не является утверждённой нормой; gross/net/output зафиксировать в контрольной серии</v>
      </c>
    </row>
    <row r="228">
      <c r="A228" s="37" t="str">
        <v>RCP-0224</v>
      </c>
      <c r="B228" s="38" t="str">
        <v>VKM-029</v>
      </c>
      <c r="C228" s="38" t="str">
        <v>VKC-029</v>
      </c>
      <c r="D228" s="38" t="str">
        <v>VKT-029</v>
      </c>
      <c r="E228" s="38" t="str">
        <v>0.1.0-DRAFT</v>
      </c>
      <c r="F228" s="38" t="str">
        <v>ING-077</v>
      </c>
      <c r="G228" s="38" t="str">
        <v>Сливки</v>
      </c>
      <c r="H228" s="38" t="str">
        <v>RAW_OR_FLATTENED_COMPONENT</v>
      </c>
      <c r="I228" s="38" t="str">
        <v>Крем</v>
      </c>
      <c r="J228" s="38" t="str">
        <v>VSF-028</v>
      </c>
      <c r="K228" s="38" t="n">
        <v>120</v>
      </c>
      <c r="L228" s="38" t="str">
        <v>г</v>
      </c>
      <c r="M228" s="38" t="n">
        <v>120</v>
      </c>
      <c r="N228" s="38" t="str">
        <v>г</v>
      </c>
      <c r="O228" s="38" t="n">
        <v>120</v>
      </c>
      <c r="P228" s="38" t="str">
        <v>г</v>
      </c>
      <c r="Q228" s="38" t="n">
        <v>0</v>
      </c>
      <c r="R228" s="38" t="n">
        <v>0</v>
      </c>
      <c r="S228" s="38" t="str">
        <v>ASSUMPTION</v>
      </c>
      <c r="T228" s="38" t="str">
        <v>EVD-0007;EVD-0008</v>
      </c>
      <c r="U228" s="38" t="str">
        <v>Проектная декомпозиция ChefTechnologyAgent; суммы contribution нормированы к draft-выходу EVD-0005; проверить взвешиванием</v>
      </c>
      <c r="V228" s="38" t="str">
        <v>2026-08-03</v>
      </c>
      <c r="W228" s="38" t="str">
        <v>Chef</v>
      </c>
      <c r="X228" s="38" t="str">
        <v>GAP-004;GAP-005</v>
      </c>
      <c r="Y228" s="39" t="str">
        <v>Не является утверждённой нормой; gross/net/output зафиксировать в контрольной серии</v>
      </c>
    </row>
    <row r="229">
      <c r="A229" s="37" t="str">
        <v>RCP-0225</v>
      </c>
      <c r="B229" s="38" t="str">
        <v>VKM-029</v>
      </c>
      <c r="C229" s="38" t="str">
        <v>VKC-029</v>
      </c>
      <c r="D229" s="38" t="str">
        <v>VKT-029</v>
      </c>
      <c r="E229" s="38" t="str">
        <v>0.1.0-DRAFT</v>
      </c>
      <c r="F229" s="38" t="str">
        <v>ING-109</v>
      </c>
      <c r="G229" s="38" t="str">
        <v>Сахарная пудра</v>
      </c>
      <c r="H229" s="38" t="str">
        <v>RAW_OR_FLATTENED_COMPONENT</v>
      </c>
      <c r="I229" s="38" t="str">
        <v>Крем</v>
      </c>
      <c r="J229" s="38" t="str">
        <v>VSF-028</v>
      </c>
      <c r="K229" s="38" t="n">
        <v>30</v>
      </c>
      <c r="L229" s="38" t="str">
        <v>г</v>
      </c>
      <c r="M229" s="38" t="n">
        <v>30</v>
      </c>
      <c r="N229" s="38" t="str">
        <v>г</v>
      </c>
      <c r="O229" s="38" t="n">
        <v>30</v>
      </c>
      <c r="P229" s="38" t="str">
        <v>г</v>
      </c>
      <c r="Q229" s="38" t="n">
        <v>0</v>
      </c>
      <c r="R229" s="38" t="n">
        <v>0</v>
      </c>
      <c r="S229" s="38" t="str">
        <v>ASSUMPTION</v>
      </c>
      <c r="T229" s="38" t="str">
        <v>EVD-0007;EVD-0008</v>
      </c>
      <c r="U229" s="38" t="str">
        <v>Проектная декомпозиция ChefTechnologyAgent; суммы contribution нормированы к draft-выходу EVD-0005; проверить взвешиванием</v>
      </c>
      <c r="V229" s="38" t="str">
        <v>2026-08-03</v>
      </c>
      <c r="W229" s="38" t="str">
        <v>Chef</v>
      </c>
      <c r="X229" s="38" t="str">
        <v>GAP-004;GAP-005</v>
      </c>
      <c r="Y229" s="39" t="str">
        <v>Не является утверждённой нормой; gross/net/output зафиксировать в контрольной серии</v>
      </c>
    </row>
    <row r="230">
      <c r="A230" s="37" t="str">
        <v>RCP-0226</v>
      </c>
      <c r="B230" s="38" t="str">
        <v>VKM-029</v>
      </c>
      <c r="C230" s="38" t="str">
        <v>VKC-029</v>
      </c>
      <c r="D230" s="38" t="str">
        <v>VKT-029</v>
      </c>
      <c r="E230" s="38" t="str">
        <v>0.1.0-DRAFT</v>
      </c>
      <c r="F230" s="38" t="str">
        <v>ING-107</v>
      </c>
      <c r="G230" s="38" t="str">
        <v>Черника</v>
      </c>
      <c r="H230" s="38" t="str">
        <v>RAW_OR_FLATTENED_COMPONENT</v>
      </c>
      <c r="I230" s="38" t="str">
        <v>Компоте</v>
      </c>
      <c r="J230" s="38" t="str">
        <v>VSF-029</v>
      </c>
      <c r="K230" s="38" t="n">
        <v>200</v>
      </c>
      <c r="L230" s="38" t="str">
        <v>г</v>
      </c>
      <c r="M230" s="38" t="n">
        <v>190</v>
      </c>
      <c r="N230" s="38" t="str">
        <v>г</v>
      </c>
      <c r="O230" s="38" t="n">
        <v>180</v>
      </c>
      <c r="P230" s="38" t="str">
        <v>г</v>
      </c>
      <c r="Q230" s="38" t="n">
        <v>10</v>
      </c>
      <c r="R230" s="38" t="n">
        <v>10</v>
      </c>
      <c r="S230" s="38" t="str">
        <v>ASSUMPTION</v>
      </c>
      <c r="T230" s="38" t="str">
        <v>EVD-0007;EVD-0008</v>
      </c>
      <c r="U230" s="38" t="str">
        <v>Проектная декомпозиция ChefTechnologyAgent; суммы contribution нормированы к draft-выходу EVD-0005; проверить взвешиванием</v>
      </c>
      <c r="V230" s="38" t="str">
        <v>2026-08-03</v>
      </c>
      <c r="W230" s="38" t="str">
        <v>Chef</v>
      </c>
      <c r="X230" s="38" t="str">
        <v>GAP-004;GAP-005</v>
      </c>
      <c r="Y230" s="39" t="str">
        <v>Не является утверждённой нормой; gross/net/output зафиксировать в контрольной серии</v>
      </c>
    </row>
    <row r="231">
      <c r="A231" s="37" t="str">
        <v>RCP-0227</v>
      </c>
      <c r="B231" s="38" t="str">
        <v>VKM-029</v>
      </c>
      <c r="C231" s="38" t="str">
        <v>VKC-029</v>
      </c>
      <c r="D231" s="38" t="str">
        <v>VKT-029</v>
      </c>
      <c r="E231" s="38" t="str">
        <v>0.1.0-DRAFT</v>
      </c>
      <c r="F231" s="38" t="str">
        <v>ING-028</v>
      </c>
      <c r="G231" s="38" t="str">
        <v>Сахар</v>
      </c>
      <c r="H231" s="38" t="str">
        <v>RAW_OR_FLATTENED_COMPONENT</v>
      </c>
      <c r="I231" s="38" t="str">
        <v>Компоте</v>
      </c>
      <c r="J231" s="38" t="str">
        <v>VSF-029</v>
      </c>
      <c r="K231" s="38" t="n">
        <v>70</v>
      </c>
      <c r="L231" s="38" t="str">
        <v>г</v>
      </c>
      <c r="M231" s="38" t="n">
        <v>70</v>
      </c>
      <c r="N231" s="38" t="str">
        <v>г</v>
      </c>
      <c r="O231" s="38" t="n">
        <v>70</v>
      </c>
      <c r="P231" s="38" t="str">
        <v>г</v>
      </c>
      <c r="Q231" s="38" t="n">
        <v>0</v>
      </c>
      <c r="R231" s="38" t="n">
        <v>0</v>
      </c>
      <c r="S231" s="38" t="str">
        <v>ASSUMPTION</v>
      </c>
      <c r="T231" s="38" t="str">
        <v>EVD-0007;EVD-0008</v>
      </c>
      <c r="U231" s="38" t="str">
        <v>Проектная декомпозиция ChefTechnologyAgent; суммы contribution нормированы к draft-выходу EVD-0005; проверить взвешиванием</v>
      </c>
      <c r="V231" s="38" t="str">
        <v>2026-08-03</v>
      </c>
      <c r="W231" s="38" t="str">
        <v>Chef</v>
      </c>
      <c r="X231" s="38" t="str">
        <v>GAP-004;GAP-005</v>
      </c>
      <c r="Y231" s="39" t="str">
        <v>Не является утверждённой нормой; gross/net/output зафиксировать в контрольной серии</v>
      </c>
    </row>
    <row r="232">
      <c r="A232" s="37" t="str">
        <v>RCP-0228</v>
      </c>
      <c r="B232" s="38" t="str">
        <v>VKM-029</v>
      </c>
      <c r="C232" s="38" t="str">
        <v>VKC-029</v>
      </c>
      <c r="D232" s="38" t="str">
        <v>VKT-029</v>
      </c>
      <c r="E232" s="38" t="str">
        <v>0.1.0-DRAFT</v>
      </c>
      <c r="F232" s="38" t="str">
        <v>ING-110</v>
      </c>
      <c r="G232" s="38" t="str">
        <v>Пектин или крахмал</v>
      </c>
      <c r="H232" s="38" t="str">
        <v>RAW_OR_FLATTENED_COMPONENT</v>
      </c>
      <c r="I232" s="38" t="str">
        <v>Компоте</v>
      </c>
      <c r="J232" s="38" t="str">
        <v>VSF-029</v>
      </c>
      <c r="K232" s="38" t="n">
        <v>20</v>
      </c>
      <c r="L232" s="38" t="str">
        <v>г</v>
      </c>
      <c r="M232" s="38" t="n">
        <v>20</v>
      </c>
      <c r="N232" s="38" t="str">
        <v>г</v>
      </c>
      <c r="O232" s="38" t="n">
        <v>20</v>
      </c>
      <c r="P232" s="38" t="str">
        <v>г</v>
      </c>
      <c r="Q232" s="38" t="n">
        <v>0</v>
      </c>
      <c r="R232" s="38" t="n">
        <v>0</v>
      </c>
      <c r="S232" s="38" t="str">
        <v>ASSUMPTION</v>
      </c>
      <c r="T232" s="38" t="str">
        <v>EVD-0007;EVD-0008</v>
      </c>
      <c r="U232" s="38" t="str">
        <v>Проектная декомпозиция ChefTechnologyAgent; суммы contribution нормированы к draft-выходу EVD-0005; проверить взвешиванием</v>
      </c>
      <c r="V232" s="38" t="str">
        <v>2026-08-03</v>
      </c>
      <c r="W232" s="38" t="str">
        <v>Chef</v>
      </c>
      <c r="X232" s="38" t="str">
        <v>GAP-004;GAP-005</v>
      </c>
      <c r="Y232" s="39" t="str">
        <v>Не является утверждённой нормой; gross/net/output зафиксировать в контрольной серии</v>
      </c>
    </row>
    <row r="233">
      <c r="A233" s="37" t="str">
        <v>RCP-0229</v>
      </c>
      <c r="B233" s="38" t="str">
        <v>VKM-029</v>
      </c>
      <c r="C233" s="38" t="str">
        <v>VKC-029</v>
      </c>
      <c r="D233" s="38" t="str">
        <v>VKT-029</v>
      </c>
      <c r="E233" s="38" t="str">
        <v>0.1.0-DRAFT</v>
      </c>
      <c r="F233" s="38" t="str">
        <v>ING-002</v>
      </c>
      <c r="G233" s="38" t="str">
        <v>Вода питьевая</v>
      </c>
      <c r="H233" s="38" t="str">
        <v>RAW_OR_FLATTENED_COMPONENT</v>
      </c>
      <c r="I233" s="38" t="str">
        <v>Компоте</v>
      </c>
      <c r="J233" s="38" t="str">
        <v>VSF-029</v>
      </c>
      <c r="K233" s="38" t="n">
        <v>40</v>
      </c>
      <c r="L233" s="38" t="str">
        <v>г</v>
      </c>
      <c r="M233" s="38" t="n">
        <v>40</v>
      </c>
      <c r="N233" s="38" t="str">
        <v>г</v>
      </c>
      <c r="O233" s="38" t="n">
        <v>30</v>
      </c>
      <c r="P233" s="38" t="str">
        <v>г</v>
      </c>
      <c r="Q233" s="38" t="n">
        <v>0</v>
      </c>
      <c r="R233" s="38" t="n">
        <v>10</v>
      </c>
      <c r="S233" s="38" t="str">
        <v>ASSUMPTION</v>
      </c>
      <c r="T233" s="38" t="str">
        <v>EVD-0007;EVD-0008</v>
      </c>
      <c r="U233" s="38" t="str">
        <v>Проектная декомпозиция ChefTechnologyAgent; суммы contribution нормированы к draft-выходу EVD-0005; проверить взвешиванием</v>
      </c>
      <c r="V233" s="38" t="str">
        <v>2026-08-03</v>
      </c>
      <c r="W233" s="38" t="str">
        <v>Chef</v>
      </c>
      <c r="X233" s="38" t="str">
        <v>GAP-004;GAP-005</v>
      </c>
      <c r="Y233" s="39" t="str">
        <v>Не является утверждённой нормой; gross/net/output зафиксировать в контрольной серии</v>
      </c>
    </row>
    <row r="234">
      <c r="A234" s="37" t="str">
        <v>RCP-0230</v>
      </c>
      <c r="B234" s="38" t="str">
        <v>VKM-029</v>
      </c>
      <c r="C234" s="38" t="str">
        <v>VKC-029</v>
      </c>
      <c r="D234" s="38" t="str">
        <v>VKT-029</v>
      </c>
      <c r="E234" s="38" t="str">
        <v>0.1.0-DRAFT</v>
      </c>
      <c r="F234" s="38" t="str">
        <v>ING-111</v>
      </c>
      <c r="G234" s="38" t="str">
        <v>Глазурь проектная</v>
      </c>
      <c r="H234" s="38" t="str">
        <v>RAW_OR_FLATTENED_COMPONENT</v>
      </c>
      <c r="I234" s="38" t="str">
        <v>Глазурь</v>
      </c>
      <c r="J234" s="38" t="str">
        <v>VSF-030</v>
      </c>
      <c r="K234" s="38" t="n">
        <v>150</v>
      </c>
      <c r="L234" s="38" t="str">
        <v>г</v>
      </c>
      <c r="M234" s="38" t="n">
        <v>150</v>
      </c>
      <c r="N234" s="38" t="str">
        <v>г</v>
      </c>
      <c r="O234" s="38" t="n">
        <v>150</v>
      </c>
      <c r="P234" s="38" t="str">
        <v>г</v>
      </c>
      <c r="Q234" s="38" t="n">
        <v>0</v>
      </c>
      <c r="R234" s="38" t="n">
        <v>0</v>
      </c>
      <c r="S234" s="38" t="str">
        <v>ASSUMPTION</v>
      </c>
      <c r="T234" s="38" t="str">
        <v>EVD-0007;EVD-0008</v>
      </c>
      <c r="U234" s="38" t="str">
        <v>Проектная декомпозиция ChefTechnologyAgent; суммы contribution нормированы к draft-выходу EVD-0005; проверить взвешиванием</v>
      </c>
      <c r="V234" s="38" t="str">
        <v>2026-08-03</v>
      </c>
      <c r="W234" s="38" t="str">
        <v>Chef</v>
      </c>
      <c r="X234" s="38" t="str">
        <v>GAP-004;GAP-005</v>
      </c>
      <c r="Y234" s="39" t="str">
        <v>Не является утверждённой нормой; gross/net/output зафиксировать в контрольной серии</v>
      </c>
    </row>
    <row r="235">
      <c r="A235" s="37" t="str">
        <v>RCP-0231</v>
      </c>
      <c r="B235" s="38" t="str">
        <v>VKM-029</v>
      </c>
      <c r="C235" s="38" t="str">
        <v>VKC-029</v>
      </c>
      <c r="D235" s="38" t="str">
        <v>VKT-029</v>
      </c>
      <c r="E235" s="38" t="str">
        <v>0.1.0-DRAFT</v>
      </c>
      <c r="F235" s="38" t="str">
        <v>ING-112</v>
      </c>
      <c r="G235" s="38" t="str">
        <v>Декор съедобный</v>
      </c>
      <c r="H235" s="38" t="str">
        <v>RAW_OR_FLATTENED_COMPONENT</v>
      </c>
      <c r="I235" s="38" t="str">
        <v>Декор</v>
      </c>
      <c r="J235" s="38"/>
      <c r="K235" s="38" t="n">
        <v>45</v>
      </c>
      <c r="L235" s="38" t="str">
        <v>г</v>
      </c>
      <c r="M235" s="38" t="n">
        <v>43</v>
      </c>
      <c r="N235" s="38" t="str">
        <v>г</v>
      </c>
      <c r="O235" s="38" t="n">
        <v>43</v>
      </c>
      <c r="P235" s="38" t="str">
        <v>г</v>
      </c>
      <c r="Q235" s="38" t="n">
        <v>2</v>
      </c>
      <c r="R235" s="38" t="n">
        <v>0</v>
      </c>
      <c r="S235" s="38" t="str">
        <v>ASSUMPTION</v>
      </c>
      <c r="T235" s="38" t="str">
        <v>EVD-0007;EVD-0008</v>
      </c>
      <c r="U235" s="38" t="str">
        <v>Проектная декомпозиция ChefTechnologyAgent; суммы contribution нормированы к draft-выходу EVD-0005; проверить взвешиванием</v>
      </c>
      <c r="V235" s="38" t="str">
        <v>2026-08-03</v>
      </c>
      <c r="W235" s="38" t="str">
        <v>Chef</v>
      </c>
      <c r="X235" s="38" t="str">
        <v>GAP-004;GAP-005</v>
      </c>
      <c r="Y235" s="39" t="str">
        <v>Не является утверждённой нормой; gross/net/output зафиксировать в контрольной серии</v>
      </c>
    </row>
    <row r="236">
      <c r="A236" s="37" t="str">
        <v>RCP-0232</v>
      </c>
      <c r="B236" s="38" t="str">
        <v>VKM-030</v>
      </c>
      <c r="C236" s="38" t="str">
        <v>VKC-030</v>
      </c>
      <c r="D236" s="38" t="str">
        <v>VKT-030</v>
      </c>
      <c r="E236" s="38" t="str">
        <v>0.1.0-DRAFT</v>
      </c>
      <c r="F236" s="38" t="str">
        <v>ING-104</v>
      </c>
      <c r="G236" s="38" t="str">
        <v>Мука пшеничная кондитерская</v>
      </c>
      <c r="H236" s="38" t="str">
        <v>RAW_OR_FLATTENED_COMPONENT</v>
      </c>
      <c r="I236" s="38" t="str">
        <v>Песочное тесто</v>
      </c>
      <c r="J236" s="38" t="str">
        <v>VSF-031</v>
      </c>
      <c r="K236" s="38" t="n">
        <v>310</v>
      </c>
      <c r="L236" s="38" t="str">
        <v>г</v>
      </c>
      <c r="M236" s="38" t="n">
        <v>310</v>
      </c>
      <c r="N236" s="38" t="str">
        <v>г</v>
      </c>
      <c r="O236" s="38" t="n">
        <v>300</v>
      </c>
      <c r="P236" s="38" t="str">
        <v>г</v>
      </c>
      <c r="Q236" s="38" t="n">
        <v>0</v>
      </c>
      <c r="R236" s="38" t="n">
        <v>10</v>
      </c>
      <c r="S236" s="38" t="str">
        <v>ASSUMPTION</v>
      </c>
      <c r="T236" s="38" t="str">
        <v>EVD-0007;EVD-0008</v>
      </c>
      <c r="U236" s="38" t="str">
        <v>Проектная декомпозиция ChefTechnologyAgent; суммы contribution нормированы к draft-выходу EVD-0005; проверить взвешиванием</v>
      </c>
      <c r="V236" s="38" t="str">
        <v>2026-08-03</v>
      </c>
      <c r="W236" s="38" t="str">
        <v>Chef</v>
      </c>
      <c r="X236" s="38" t="str">
        <v>GAP-004;GAP-005</v>
      </c>
      <c r="Y236" s="39" t="str">
        <v>Не является утверждённой нормой; gross/net/output зафиксировать в контрольной серии</v>
      </c>
    </row>
    <row r="237">
      <c r="A237" s="37" t="str">
        <v>RCP-0233</v>
      </c>
      <c r="B237" s="38" t="str">
        <v>VKM-030</v>
      </c>
      <c r="C237" s="38" t="str">
        <v>VKC-030</v>
      </c>
      <c r="D237" s="38" t="str">
        <v>VKT-030</v>
      </c>
      <c r="E237" s="38" t="str">
        <v>0.1.0-DRAFT</v>
      </c>
      <c r="F237" s="38" t="str">
        <v>ING-027</v>
      </c>
      <c r="G237" s="38" t="str">
        <v>Масло сливочное</v>
      </c>
      <c r="H237" s="38" t="str">
        <v>RAW_OR_FLATTENED_COMPONENT</v>
      </c>
      <c r="I237" s="38" t="str">
        <v>Песочное тесто</v>
      </c>
      <c r="J237" s="38" t="str">
        <v>VSF-031</v>
      </c>
      <c r="K237" s="38" t="n">
        <v>180</v>
      </c>
      <c r="L237" s="38" t="str">
        <v>г</v>
      </c>
      <c r="M237" s="38" t="n">
        <v>180</v>
      </c>
      <c r="N237" s="38" t="str">
        <v>г</v>
      </c>
      <c r="O237" s="38" t="n">
        <v>180</v>
      </c>
      <c r="P237" s="38" t="str">
        <v>г</v>
      </c>
      <c r="Q237" s="38" t="n">
        <v>0</v>
      </c>
      <c r="R237" s="38" t="n">
        <v>0</v>
      </c>
      <c r="S237" s="38" t="str">
        <v>ASSUMPTION</v>
      </c>
      <c r="T237" s="38" t="str">
        <v>EVD-0007;EVD-0008</v>
      </c>
      <c r="U237" s="38" t="str">
        <v>Проектная декомпозиция ChefTechnologyAgent; суммы contribution нормированы к draft-выходу EVD-0005; проверить взвешиванием</v>
      </c>
      <c r="V237" s="38" t="str">
        <v>2026-08-03</v>
      </c>
      <c r="W237" s="38" t="str">
        <v>Chef</v>
      </c>
      <c r="X237" s="38" t="str">
        <v>GAP-004;GAP-005</v>
      </c>
      <c r="Y237" s="39" t="str">
        <v>Не является утверждённой нормой; gross/net/output зафиксировать в контрольной серии</v>
      </c>
    </row>
    <row r="238">
      <c r="A238" s="37" t="str">
        <v>RCP-0234</v>
      </c>
      <c r="B238" s="38" t="str">
        <v>VKM-030</v>
      </c>
      <c r="C238" s="38" t="str">
        <v>VKC-030</v>
      </c>
      <c r="D238" s="38" t="str">
        <v>VKT-030</v>
      </c>
      <c r="E238" s="38" t="str">
        <v>0.1.0-DRAFT</v>
      </c>
      <c r="F238" s="38" t="str">
        <v>ING-109</v>
      </c>
      <c r="G238" s="38" t="str">
        <v>Сахарная пудра</v>
      </c>
      <c r="H238" s="38" t="str">
        <v>RAW_OR_FLATTENED_COMPONENT</v>
      </c>
      <c r="I238" s="38" t="str">
        <v>Песочное тесто</v>
      </c>
      <c r="J238" s="38" t="str">
        <v>VSF-031</v>
      </c>
      <c r="K238" s="38" t="n">
        <v>70</v>
      </c>
      <c r="L238" s="38" t="str">
        <v>г</v>
      </c>
      <c r="M238" s="38" t="n">
        <v>70</v>
      </c>
      <c r="N238" s="38" t="str">
        <v>г</v>
      </c>
      <c r="O238" s="38" t="n">
        <v>70</v>
      </c>
      <c r="P238" s="38" t="str">
        <v>г</v>
      </c>
      <c r="Q238" s="38" t="n">
        <v>0</v>
      </c>
      <c r="R238" s="38" t="n">
        <v>0</v>
      </c>
      <c r="S238" s="38" t="str">
        <v>ASSUMPTION</v>
      </c>
      <c r="T238" s="38" t="str">
        <v>EVD-0007;EVD-0008</v>
      </c>
      <c r="U238" s="38" t="str">
        <v>Проектная декомпозиция ChefTechnologyAgent; суммы contribution нормированы к draft-выходу EVD-0005; проверить взвешиванием</v>
      </c>
      <c r="V238" s="38" t="str">
        <v>2026-08-03</v>
      </c>
      <c r="W238" s="38" t="str">
        <v>Chef</v>
      </c>
      <c r="X238" s="38" t="str">
        <v>GAP-004;GAP-005</v>
      </c>
      <c r="Y238" s="39" t="str">
        <v>Не является утверждённой нормой; gross/net/output зафиксировать в контрольной серии</v>
      </c>
    </row>
    <row r="239">
      <c r="A239" s="37" t="str">
        <v>RCP-0235</v>
      </c>
      <c r="B239" s="38" t="str">
        <v>VKM-030</v>
      </c>
      <c r="C239" s="38" t="str">
        <v>VKC-030</v>
      </c>
      <c r="D239" s="38" t="str">
        <v>VKT-030</v>
      </c>
      <c r="E239" s="38" t="str">
        <v>0.1.0-DRAFT</v>
      </c>
      <c r="F239" s="38" t="str">
        <v>ING-026</v>
      </c>
      <c r="G239" s="38" t="str">
        <v>Яйцо или меланж</v>
      </c>
      <c r="H239" s="38" t="str">
        <v>RAW_OR_FLATTENED_COMPONENT</v>
      </c>
      <c r="I239" s="38" t="str">
        <v>Песочное тесто</v>
      </c>
      <c r="J239" s="38" t="str">
        <v>VSF-031</v>
      </c>
      <c r="K239" s="38" t="n">
        <v>45</v>
      </c>
      <c r="L239" s="38" t="str">
        <v>г</v>
      </c>
      <c r="M239" s="38" t="n">
        <v>45</v>
      </c>
      <c r="N239" s="38" t="str">
        <v>г</v>
      </c>
      <c r="O239" s="38" t="n">
        <v>45</v>
      </c>
      <c r="P239" s="38" t="str">
        <v>г</v>
      </c>
      <c r="Q239" s="38" t="n">
        <v>0</v>
      </c>
      <c r="R239" s="38" t="n">
        <v>0</v>
      </c>
      <c r="S239" s="38" t="str">
        <v>ASSUMPTION</v>
      </c>
      <c r="T239" s="38" t="str">
        <v>EVD-0007;EVD-0008</v>
      </c>
      <c r="U239" s="38" t="str">
        <v>Проектная декомпозиция ChefTechnologyAgent; суммы contribution нормированы к draft-выходу EVD-0005; проверить взвешиванием</v>
      </c>
      <c r="V239" s="38" t="str">
        <v>2026-08-03</v>
      </c>
      <c r="W239" s="38" t="str">
        <v>Chef</v>
      </c>
      <c r="X239" s="38" t="str">
        <v>GAP-004;GAP-005</v>
      </c>
      <c r="Y239" s="39" t="str">
        <v>Не является утверждённой нормой; gross/net/output зафиксировать в контрольной серии</v>
      </c>
    </row>
    <row r="240">
      <c r="A240" s="37" t="str">
        <v>RCP-0236</v>
      </c>
      <c r="B240" s="38" t="str">
        <v>VKM-030</v>
      </c>
      <c r="C240" s="38" t="str">
        <v>VKC-030</v>
      </c>
      <c r="D240" s="38" t="str">
        <v>VKT-030</v>
      </c>
      <c r="E240" s="38" t="str">
        <v>0.1.0-DRAFT</v>
      </c>
      <c r="F240" s="38" t="str">
        <v>ING-106</v>
      </c>
      <c r="G240" s="38" t="str">
        <v>Соль</v>
      </c>
      <c r="H240" s="38" t="str">
        <v>RAW_OR_FLATTENED_COMPONENT</v>
      </c>
      <c r="I240" s="38" t="str">
        <v>Песочное тесто</v>
      </c>
      <c r="J240" s="38" t="str">
        <v>VSF-031</v>
      </c>
      <c r="K240" s="38" t="n">
        <v>5</v>
      </c>
      <c r="L240" s="38" t="str">
        <v>г</v>
      </c>
      <c r="M240" s="38" t="n">
        <v>5</v>
      </c>
      <c r="N240" s="38" t="str">
        <v>г</v>
      </c>
      <c r="O240" s="38" t="n">
        <v>5</v>
      </c>
      <c r="P240" s="38" t="str">
        <v>г</v>
      </c>
      <c r="Q240" s="38" t="n">
        <v>0</v>
      </c>
      <c r="R240" s="38" t="n">
        <v>0</v>
      </c>
      <c r="S240" s="38" t="str">
        <v>ASSUMPTION</v>
      </c>
      <c r="T240" s="38" t="str">
        <v>EVD-0007;EVD-0008</v>
      </c>
      <c r="U240" s="38" t="str">
        <v>Проектная декомпозиция ChefTechnologyAgent; суммы contribution нормированы к draft-выходу EVD-0005; проверить взвешиванием</v>
      </c>
      <c r="V240" s="38" t="str">
        <v>2026-08-03</v>
      </c>
      <c r="W240" s="38" t="str">
        <v>Chef</v>
      </c>
      <c r="X240" s="38" t="str">
        <v>GAP-004;GAP-005</v>
      </c>
      <c r="Y240" s="39" t="str">
        <v>Не является утверждённой нормой; gross/net/output зафиксировать в контрольной серии</v>
      </c>
    </row>
    <row r="241">
      <c r="A241" s="37" t="str">
        <v>RCP-0237</v>
      </c>
      <c r="B241" s="38" t="str">
        <v>VKM-030</v>
      </c>
      <c r="C241" s="38" t="str">
        <v>VKC-030</v>
      </c>
      <c r="D241" s="38" t="str">
        <v>VKT-030</v>
      </c>
      <c r="E241" s="38" t="str">
        <v>0.1.0-DRAFT</v>
      </c>
      <c r="F241" s="38" t="str">
        <v>ING-028</v>
      </c>
      <c r="G241" s="38" t="str">
        <v>Сахар</v>
      </c>
      <c r="H241" s="38" t="str">
        <v>RAW_OR_FLATTENED_COMPONENT</v>
      </c>
      <c r="I241" s="38" t="str">
        <v>Солёная карамель</v>
      </c>
      <c r="J241" s="38" t="str">
        <v>VSF-032</v>
      </c>
      <c r="K241" s="38" t="n">
        <v>180</v>
      </c>
      <c r="L241" s="38" t="str">
        <v>г</v>
      </c>
      <c r="M241" s="38" t="n">
        <v>180</v>
      </c>
      <c r="N241" s="38" t="str">
        <v>г</v>
      </c>
      <c r="O241" s="38" t="n">
        <v>180</v>
      </c>
      <c r="P241" s="38" t="str">
        <v>г</v>
      </c>
      <c r="Q241" s="38" t="n">
        <v>0</v>
      </c>
      <c r="R241" s="38" t="n">
        <v>0</v>
      </c>
      <c r="S241" s="38" t="str">
        <v>ASSUMPTION</v>
      </c>
      <c r="T241" s="38" t="str">
        <v>EVD-0007;EVD-0008</v>
      </c>
      <c r="U241" s="38" t="str">
        <v>Проектная декомпозиция ChefTechnologyAgent; суммы contribution нормированы к draft-выходу EVD-0005; проверить взвешиванием</v>
      </c>
      <c r="V241" s="38" t="str">
        <v>2026-08-03</v>
      </c>
      <c r="W241" s="38" t="str">
        <v>Chef</v>
      </c>
      <c r="X241" s="38" t="str">
        <v>GAP-004;GAP-005</v>
      </c>
      <c r="Y241" s="39" t="str">
        <v>Не является утверждённой нормой; gross/net/output зафиксировать в контрольной серии</v>
      </c>
    </row>
    <row r="242">
      <c r="A242" s="37" t="str">
        <v>RCP-0238</v>
      </c>
      <c r="B242" s="38" t="str">
        <v>VKM-030</v>
      </c>
      <c r="C242" s="38" t="str">
        <v>VKC-030</v>
      </c>
      <c r="D242" s="38" t="str">
        <v>VKT-030</v>
      </c>
      <c r="E242" s="38" t="str">
        <v>0.1.0-DRAFT</v>
      </c>
      <c r="F242" s="38" t="str">
        <v>ING-077</v>
      </c>
      <c r="G242" s="38" t="str">
        <v>Сливки</v>
      </c>
      <c r="H242" s="38" t="str">
        <v>RAW_OR_FLATTENED_COMPONENT</v>
      </c>
      <c r="I242" s="38" t="str">
        <v>Солёная карамель</v>
      </c>
      <c r="J242" s="38" t="str">
        <v>VSF-032</v>
      </c>
      <c r="K242" s="38" t="n">
        <v>105</v>
      </c>
      <c r="L242" s="38" t="str">
        <v>г</v>
      </c>
      <c r="M242" s="38" t="n">
        <v>105</v>
      </c>
      <c r="N242" s="38" t="str">
        <v>г</v>
      </c>
      <c r="O242" s="38" t="n">
        <v>100</v>
      </c>
      <c r="P242" s="38" t="str">
        <v>г</v>
      </c>
      <c r="Q242" s="38" t="n">
        <v>0</v>
      </c>
      <c r="R242" s="38" t="n">
        <v>5</v>
      </c>
      <c r="S242" s="38" t="str">
        <v>ASSUMPTION</v>
      </c>
      <c r="T242" s="38" t="str">
        <v>EVD-0007;EVD-0008</v>
      </c>
      <c r="U242" s="38" t="str">
        <v>Проектная декомпозиция ChefTechnologyAgent; суммы contribution нормированы к draft-выходу EVD-0005; проверить взвешиванием</v>
      </c>
      <c r="V242" s="38" t="str">
        <v>2026-08-03</v>
      </c>
      <c r="W242" s="38" t="str">
        <v>Chef</v>
      </c>
      <c r="X242" s="38" t="str">
        <v>GAP-004;GAP-005</v>
      </c>
      <c r="Y242" s="39" t="str">
        <v>Не является утверждённой нормой; gross/net/output зафиксировать в контрольной серии</v>
      </c>
    </row>
    <row r="243">
      <c r="A243" s="37" t="str">
        <v>RCP-0239</v>
      </c>
      <c r="B243" s="38" t="str">
        <v>VKM-030</v>
      </c>
      <c r="C243" s="38" t="str">
        <v>VKC-030</v>
      </c>
      <c r="D243" s="38" t="str">
        <v>VKT-030</v>
      </c>
      <c r="E243" s="38" t="str">
        <v>0.1.0-DRAFT</v>
      </c>
      <c r="F243" s="38" t="str">
        <v>ING-027</v>
      </c>
      <c r="G243" s="38" t="str">
        <v>Масло сливочное</v>
      </c>
      <c r="H243" s="38" t="str">
        <v>RAW_OR_FLATTENED_COMPONENT</v>
      </c>
      <c r="I243" s="38" t="str">
        <v>Солёная карамель</v>
      </c>
      <c r="J243" s="38" t="str">
        <v>VSF-032</v>
      </c>
      <c r="K243" s="38" t="n">
        <v>60</v>
      </c>
      <c r="L243" s="38" t="str">
        <v>г</v>
      </c>
      <c r="M243" s="38" t="n">
        <v>60</v>
      </c>
      <c r="N243" s="38" t="str">
        <v>г</v>
      </c>
      <c r="O243" s="38" t="n">
        <v>60</v>
      </c>
      <c r="P243" s="38" t="str">
        <v>г</v>
      </c>
      <c r="Q243" s="38" t="n">
        <v>0</v>
      </c>
      <c r="R243" s="38" t="n">
        <v>0</v>
      </c>
      <c r="S243" s="38" t="str">
        <v>ASSUMPTION</v>
      </c>
      <c r="T243" s="38" t="str">
        <v>EVD-0007;EVD-0008</v>
      </c>
      <c r="U243" s="38" t="str">
        <v>Проектная декомпозиция ChefTechnologyAgent; суммы contribution нормированы к draft-выходу EVD-0005; проверить взвешиванием</v>
      </c>
      <c r="V243" s="38" t="str">
        <v>2026-08-03</v>
      </c>
      <c r="W243" s="38" t="str">
        <v>Chef</v>
      </c>
      <c r="X243" s="38" t="str">
        <v>GAP-004;GAP-005</v>
      </c>
      <c r="Y243" s="39" t="str">
        <v>Не является утверждённой нормой; gross/net/output зафиксировать в контрольной серии</v>
      </c>
    </row>
    <row r="244">
      <c r="A244" s="37" t="str">
        <v>RCP-0240</v>
      </c>
      <c r="B244" s="38" t="str">
        <v>VKM-030</v>
      </c>
      <c r="C244" s="38" t="str">
        <v>VKC-030</v>
      </c>
      <c r="D244" s="38" t="str">
        <v>VKT-030</v>
      </c>
      <c r="E244" s="38" t="str">
        <v>0.1.0-DRAFT</v>
      </c>
      <c r="F244" s="38" t="str">
        <v>ING-106</v>
      </c>
      <c r="G244" s="38" t="str">
        <v>Соль</v>
      </c>
      <c r="H244" s="38" t="str">
        <v>RAW_OR_FLATTENED_COMPONENT</v>
      </c>
      <c r="I244" s="38" t="str">
        <v>Солёная карамель</v>
      </c>
      <c r="J244" s="38" t="str">
        <v>VSF-032</v>
      </c>
      <c r="K244" s="38" t="n">
        <v>10</v>
      </c>
      <c r="L244" s="38" t="str">
        <v>г</v>
      </c>
      <c r="M244" s="38" t="n">
        <v>10</v>
      </c>
      <c r="N244" s="38" t="str">
        <v>г</v>
      </c>
      <c r="O244" s="38" t="n">
        <v>10</v>
      </c>
      <c r="P244" s="38" t="str">
        <v>г</v>
      </c>
      <c r="Q244" s="38" t="n">
        <v>0</v>
      </c>
      <c r="R244" s="38" t="n">
        <v>0</v>
      </c>
      <c r="S244" s="38" t="str">
        <v>ASSUMPTION</v>
      </c>
      <c r="T244" s="38" t="str">
        <v>EVD-0007;EVD-0008</v>
      </c>
      <c r="U244" s="38" t="str">
        <v>Проектная декомпозиция ChefTechnologyAgent; суммы contribution нормированы к draft-выходу EVD-0005; проверить взвешиванием</v>
      </c>
      <c r="V244" s="38" t="str">
        <v>2026-08-03</v>
      </c>
      <c r="W244" s="38" t="str">
        <v>Chef</v>
      </c>
      <c r="X244" s="38" t="str">
        <v>GAP-004;GAP-005</v>
      </c>
      <c r="Y244" s="39" t="str">
        <v>Не является утверждённой нормой; gross/net/output зафиксировать в контрольной серии</v>
      </c>
    </row>
    <row r="245">
      <c r="A245" s="37" t="str">
        <v>RCP-0241</v>
      </c>
      <c r="B245" s="38" t="str">
        <v>VKM-030</v>
      </c>
      <c r="C245" s="38" t="str">
        <v>VKC-030</v>
      </c>
      <c r="D245" s="38" t="str">
        <v>VKT-030</v>
      </c>
      <c r="E245" s="38" t="str">
        <v>0.1.0-DRAFT</v>
      </c>
      <c r="F245" s="38" t="str">
        <v>ING-108</v>
      </c>
      <c r="G245" s="38" t="str">
        <v>Сыр сливочный</v>
      </c>
      <c r="H245" s="38" t="str">
        <v>RAW_OR_FLATTENED_COMPONENT</v>
      </c>
      <c r="I245" s="38" t="str">
        <v>Крем</v>
      </c>
      <c r="J245" s="38" t="str">
        <v>VSF-033</v>
      </c>
      <c r="K245" s="38" t="n">
        <v>120</v>
      </c>
      <c r="L245" s="38" t="str">
        <v>г</v>
      </c>
      <c r="M245" s="38" t="n">
        <v>120</v>
      </c>
      <c r="N245" s="38" t="str">
        <v>г</v>
      </c>
      <c r="O245" s="38" t="n">
        <v>120</v>
      </c>
      <c r="P245" s="38" t="str">
        <v>г</v>
      </c>
      <c r="Q245" s="38" t="n">
        <v>0</v>
      </c>
      <c r="R245" s="38" t="n">
        <v>0</v>
      </c>
      <c r="S245" s="38" t="str">
        <v>ASSUMPTION</v>
      </c>
      <c r="T245" s="38" t="str">
        <v>EVD-0007;EVD-0008</v>
      </c>
      <c r="U245" s="38" t="str">
        <v>Проектная декомпозиция ChefTechnologyAgent; суммы contribution нормированы к draft-выходу EVD-0005; проверить взвешиванием</v>
      </c>
      <c r="V245" s="38" t="str">
        <v>2026-08-03</v>
      </c>
      <c r="W245" s="38" t="str">
        <v>Chef</v>
      </c>
      <c r="X245" s="38" t="str">
        <v>GAP-004;GAP-005</v>
      </c>
      <c r="Y245" s="39" t="str">
        <v>Не является утверждённой нормой; gross/net/output зафиксировать в контрольной серии</v>
      </c>
    </row>
    <row r="246">
      <c r="A246" s="37" t="str">
        <v>RCP-0242</v>
      </c>
      <c r="B246" s="38" t="str">
        <v>VKM-030</v>
      </c>
      <c r="C246" s="38" t="str">
        <v>VKC-030</v>
      </c>
      <c r="D246" s="38" t="str">
        <v>VKT-030</v>
      </c>
      <c r="E246" s="38" t="str">
        <v>0.1.0-DRAFT</v>
      </c>
      <c r="F246" s="38" t="str">
        <v>ING-077</v>
      </c>
      <c r="G246" s="38" t="str">
        <v>Сливки</v>
      </c>
      <c r="H246" s="38" t="str">
        <v>RAW_OR_FLATTENED_COMPONENT</v>
      </c>
      <c r="I246" s="38" t="str">
        <v>Крем</v>
      </c>
      <c r="J246" s="38" t="str">
        <v>VSF-033</v>
      </c>
      <c r="K246" s="38" t="n">
        <v>60</v>
      </c>
      <c r="L246" s="38" t="str">
        <v>г</v>
      </c>
      <c r="M246" s="38" t="n">
        <v>60</v>
      </c>
      <c r="N246" s="38" t="str">
        <v>г</v>
      </c>
      <c r="O246" s="38" t="n">
        <v>60</v>
      </c>
      <c r="P246" s="38" t="str">
        <v>г</v>
      </c>
      <c r="Q246" s="38" t="n">
        <v>0</v>
      </c>
      <c r="R246" s="38" t="n">
        <v>0</v>
      </c>
      <c r="S246" s="38" t="str">
        <v>ASSUMPTION</v>
      </c>
      <c r="T246" s="38" t="str">
        <v>EVD-0007;EVD-0008</v>
      </c>
      <c r="U246" s="38" t="str">
        <v>Проектная декомпозиция ChefTechnologyAgent; суммы contribution нормированы к draft-выходу EVD-0005; проверить взвешиванием</v>
      </c>
      <c r="V246" s="38" t="str">
        <v>2026-08-03</v>
      </c>
      <c r="W246" s="38" t="str">
        <v>Chef</v>
      </c>
      <c r="X246" s="38" t="str">
        <v>GAP-004;GAP-005</v>
      </c>
      <c r="Y246" s="39" t="str">
        <v>Не является утверждённой нормой; gross/net/output зафиксировать в контрольной серии</v>
      </c>
    </row>
    <row r="247">
      <c r="A247" s="37" t="str">
        <v>RCP-0243</v>
      </c>
      <c r="B247" s="38" t="str">
        <v>VKM-030</v>
      </c>
      <c r="C247" s="38" t="str">
        <v>VKC-030</v>
      </c>
      <c r="D247" s="38" t="str">
        <v>VKT-030</v>
      </c>
      <c r="E247" s="38" t="str">
        <v>0.1.0-DRAFT</v>
      </c>
      <c r="F247" s="38" t="str">
        <v>ING-109</v>
      </c>
      <c r="G247" s="38" t="str">
        <v>Сахарная пудра</v>
      </c>
      <c r="H247" s="38" t="str">
        <v>RAW_OR_FLATTENED_COMPONENT</v>
      </c>
      <c r="I247" s="38" t="str">
        <v>Крем</v>
      </c>
      <c r="J247" s="38" t="str">
        <v>VSF-033</v>
      </c>
      <c r="K247" s="38" t="n">
        <v>20</v>
      </c>
      <c r="L247" s="38" t="str">
        <v>г</v>
      </c>
      <c r="M247" s="38" t="n">
        <v>20</v>
      </c>
      <c r="N247" s="38" t="str">
        <v>г</v>
      </c>
      <c r="O247" s="38" t="n">
        <v>20</v>
      </c>
      <c r="P247" s="38" t="str">
        <v>г</v>
      </c>
      <c r="Q247" s="38" t="n">
        <v>0</v>
      </c>
      <c r="R247" s="38" t="n">
        <v>0</v>
      </c>
      <c r="S247" s="38" t="str">
        <v>ASSUMPTION</v>
      </c>
      <c r="T247" s="38" t="str">
        <v>EVD-0007;EVD-0008</v>
      </c>
      <c r="U247" s="38" t="str">
        <v>Проектная декомпозиция ChefTechnologyAgent; суммы contribution нормированы к draft-выходу EVD-0005; проверить взвешиванием</v>
      </c>
      <c r="V247" s="38" t="str">
        <v>2026-08-03</v>
      </c>
      <c r="W247" s="38" t="str">
        <v>Chef</v>
      </c>
      <c r="X247" s="38" t="str">
        <v>GAP-004;GAP-005</v>
      </c>
      <c r="Y247" s="39" t="str">
        <v>Не является утверждённой нормой; gross/net/output зафиксировать в контрольной серии</v>
      </c>
    </row>
    <row r="248">
      <c r="A248" s="37" t="str">
        <v>RCP-0244</v>
      </c>
      <c r="B248" s="38" t="str">
        <v>VKM-030</v>
      </c>
      <c r="C248" s="38" t="str">
        <v>VKC-030</v>
      </c>
      <c r="D248" s="38" t="str">
        <v>VKT-030</v>
      </c>
      <c r="E248" s="38" t="str">
        <v>0.1.0-DRAFT</v>
      </c>
      <c r="F248" s="38" t="str">
        <v>ING-112</v>
      </c>
      <c r="G248" s="38" t="str">
        <v>Декор съедобный</v>
      </c>
      <c r="H248" s="38" t="str">
        <v>RAW_OR_FLATTENED_COMPONENT</v>
      </c>
      <c r="I248" s="38" t="str">
        <v>Декор</v>
      </c>
      <c r="J248" s="38"/>
      <c r="K248" s="38" t="n">
        <v>52</v>
      </c>
      <c r="L248" s="38" t="str">
        <v>г</v>
      </c>
      <c r="M248" s="38" t="n">
        <v>50</v>
      </c>
      <c r="N248" s="38" t="str">
        <v>г</v>
      </c>
      <c r="O248" s="38" t="n">
        <v>50</v>
      </c>
      <c r="P248" s="38" t="str">
        <v>г</v>
      </c>
      <c r="Q248" s="38" t="n">
        <v>2</v>
      </c>
      <c r="R248" s="38" t="n">
        <v>0</v>
      </c>
      <c r="S248" s="38" t="str">
        <v>ASSUMPTION</v>
      </c>
      <c r="T248" s="38" t="str">
        <v>EVD-0007;EVD-0008</v>
      </c>
      <c r="U248" s="38" t="str">
        <v>Проектная декомпозиция ChefTechnologyAgent; суммы contribution нормированы к draft-выходу EVD-0005; проверить взвешиванием</v>
      </c>
      <c r="V248" s="38" t="str">
        <v>2026-08-03</v>
      </c>
      <c r="W248" s="38" t="str">
        <v>Chef</v>
      </c>
      <c r="X248" s="38" t="str">
        <v>GAP-004;GAP-005</v>
      </c>
      <c r="Y248" s="39" t="str">
        <v>Не является утверждённой нормой; gross/net/output зафиксировать в контрольной серии</v>
      </c>
    </row>
    <row r="249">
      <c r="A249" s="37" t="str">
        <v>RCP-0245</v>
      </c>
      <c r="B249" s="38" t="str">
        <v>VKM-031</v>
      </c>
      <c r="C249" s="38" t="str">
        <v>VKC-031</v>
      </c>
      <c r="D249" s="38" t="str">
        <v>VKT-031</v>
      </c>
      <c r="E249" s="38" t="str">
        <v>0.1.0-DRAFT</v>
      </c>
      <c r="F249" s="38" t="str">
        <v>ING-104</v>
      </c>
      <c r="G249" s="38" t="str">
        <v>Мука пшеничная кондитерская</v>
      </c>
      <c r="H249" s="38" t="str">
        <v>RAW_OR_FLATTENED_COMPONENT</v>
      </c>
      <c r="I249" s="38" t="str">
        <v>Тесто</v>
      </c>
      <c r="J249" s="38" t="str">
        <v>VSF-034</v>
      </c>
      <c r="K249" s="38" t="n">
        <v>145</v>
      </c>
      <c r="L249" s="38" t="str">
        <v>г</v>
      </c>
      <c r="M249" s="38" t="n">
        <v>145</v>
      </c>
      <c r="N249" s="38" t="str">
        <v>г</v>
      </c>
      <c r="O249" s="38" t="n">
        <v>140</v>
      </c>
      <c r="P249" s="38" t="str">
        <v>г</v>
      </c>
      <c r="Q249" s="38" t="n">
        <v>0</v>
      </c>
      <c r="R249" s="38" t="n">
        <v>5</v>
      </c>
      <c r="S249" s="38" t="str">
        <v>ASSUMPTION</v>
      </c>
      <c r="T249" s="38" t="str">
        <v>EVD-0007;EVD-0008</v>
      </c>
      <c r="U249" s="38" t="str">
        <v>Проектная декомпозиция ChefTechnologyAgent; суммы contribution нормированы к draft-выходу EVD-0005; проверить взвешиванием</v>
      </c>
      <c r="V249" s="38" t="str">
        <v>2026-08-03</v>
      </c>
      <c r="W249" s="38" t="str">
        <v>Chef</v>
      </c>
      <c r="X249" s="38" t="str">
        <v>GAP-004;GAP-005</v>
      </c>
      <c r="Y249" s="39" t="str">
        <v>Не является утверждённой нормой; gross/net/output зафиксировать в контрольной серии</v>
      </c>
    </row>
    <row r="250">
      <c r="A250" s="37" t="str">
        <v>RCP-0246</v>
      </c>
      <c r="B250" s="38" t="str">
        <v>VKM-031</v>
      </c>
      <c r="C250" s="38" t="str">
        <v>VKC-031</v>
      </c>
      <c r="D250" s="38" t="str">
        <v>VKT-031</v>
      </c>
      <c r="E250" s="38" t="str">
        <v>0.1.0-DRAFT</v>
      </c>
      <c r="F250" s="38" t="str">
        <v>ING-026</v>
      </c>
      <c r="G250" s="38" t="str">
        <v>Яйцо или меланж</v>
      </c>
      <c r="H250" s="38" t="str">
        <v>RAW_OR_FLATTENED_COMPONENT</v>
      </c>
      <c r="I250" s="38" t="str">
        <v>Тесто</v>
      </c>
      <c r="J250" s="38" t="str">
        <v>VSF-034</v>
      </c>
      <c r="K250" s="38" t="n">
        <v>145</v>
      </c>
      <c r="L250" s="38" t="str">
        <v>г</v>
      </c>
      <c r="M250" s="38" t="n">
        <v>145</v>
      </c>
      <c r="N250" s="38" t="str">
        <v>г</v>
      </c>
      <c r="O250" s="38" t="n">
        <v>140</v>
      </c>
      <c r="P250" s="38" t="str">
        <v>г</v>
      </c>
      <c r="Q250" s="38" t="n">
        <v>0</v>
      </c>
      <c r="R250" s="38" t="n">
        <v>5</v>
      </c>
      <c r="S250" s="38" t="str">
        <v>ASSUMPTION</v>
      </c>
      <c r="T250" s="38" t="str">
        <v>EVD-0007;EVD-0008</v>
      </c>
      <c r="U250" s="38" t="str">
        <v>Проектная декомпозиция ChefTechnologyAgent; суммы contribution нормированы к draft-выходу EVD-0005; проверить взвешиванием</v>
      </c>
      <c r="V250" s="38" t="str">
        <v>2026-08-03</v>
      </c>
      <c r="W250" s="38" t="str">
        <v>Chef</v>
      </c>
      <c r="X250" s="38" t="str">
        <v>GAP-004;GAP-005</v>
      </c>
      <c r="Y250" s="39" t="str">
        <v>Не является утверждённой нормой; gross/net/output зафиксировать в контрольной серии</v>
      </c>
    </row>
    <row r="251">
      <c r="A251" s="37" t="str">
        <v>RCP-0247</v>
      </c>
      <c r="B251" s="38" t="str">
        <v>VKM-031</v>
      </c>
      <c r="C251" s="38" t="str">
        <v>VKC-031</v>
      </c>
      <c r="D251" s="38" t="str">
        <v>VKT-031</v>
      </c>
      <c r="E251" s="38" t="str">
        <v>0.1.0-DRAFT</v>
      </c>
      <c r="F251" s="38" t="str">
        <v>ING-028</v>
      </c>
      <c r="G251" s="38" t="str">
        <v>Сахар</v>
      </c>
      <c r="H251" s="38" t="str">
        <v>RAW_OR_FLATTENED_COMPONENT</v>
      </c>
      <c r="I251" s="38" t="str">
        <v>Тесто</v>
      </c>
      <c r="J251" s="38" t="str">
        <v>VSF-034</v>
      </c>
      <c r="K251" s="38" t="n">
        <v>120</v>
      </c>
      <c r="L251" s="38" t="str">
        <v>г</v>
      </c>
      <c r="M251" s="38" t="n">
        <v>120</v>
      </c>
      <c r="N251" s="38" t="str">
        <v>г</v>
      </c>
      <c r="O251" s="38" t="n">
        <v>120</v>
      </c>
      <c r="P251" s="38" t="str">
        <v>г</v>
      </c>
      <c r="Q251" s="38" t="n">
        <v>0</v>
      </c>
      <c r="R251" s="38" t="n">
        <v>0</v>
      </c>
      <c r="S251" s="38" t="str">
        <v>ASSUMPTION</v>
      </c>
      <c r="T251" s="38" t="str">
        <v>EVD-0007;EVD-0008</v>
      </c>
      <c r="U251" s="38" t="str">
        <v>Проектная декомпозиция ChefTechnologyAgent; суммы contribution нормированы к draft-выходу EVD-0005; проверить взвешиванием</v>
      </c>
      <c r="V251" s="38" t="str">
        <v>2026-08-03</v>
      </c>
      <c r="W251" s="38" t="str">
        <v>Chef</v>
      </c>
      <c r="X251" s="38" t="str">
        <v>GAP-004;GAP-005</v>
      </c>
      <c r="Y251" s="39" t="str">
        <v>Не является утверждённой нормой; gross/net/output зафиксировать в контрольной серии</v>
      </c>
    </row>
    <row r="252">
      <c r="A252" s="37" t="str">
        <v>RCP-0248</v>
      </c>
      <c r="B252" s="38" t="str">
        <v>VKM-031</v>
      </c>
      <c r="C252" s="38" t="str">
        <v>VKC-031</v>
      </c>
      <c r="D252" s="38" t="str">
        <v>VKT-031</v>
      </c>
      <c r="E252" s="38" t="str">
        <v>0.1.0-DRAFT</v>
      </c>
      <c r="F252" s="38" t="str">
        <v>ING-027</v>
      </c>
      <c r="G252" s="38" t="str">
        <v>Масло сливочное</v>
      </c>
      <c r="H252" s="38" t="str">
        <v>RAW_OR_FLATTENED_COMPONENT</v>
      </c>
      <c r="I252" s="38" t="str">
        <v>Тесто</v>
      </c>
      <c r="J252" s="38" t="str">
        <v>VSF-034</v>
      </c>
      <c r="K252" s="38" t="n">
        <v>140</v>
      </c>
      <c r="L252" s="38" t="str">
        <v>г</v>
      </c>
      <c r="M252" s="38" t="n">
        <v>140</v>
      </c>
      <c r="N252" s="38" t="str">
        <v>г</v>
      </c>
      <c r="O252" s="38" t="n">
        <v>140</v>
      </c>
      <c r="P252" s="38" t="str">
        <v>г</v>
      </c>
      <c r="Q252" s="38" t="n">
        <v>0</v>
      </c>
      <c r="R252" s="38" t="n">
        <v>0</v>
      </c>
      <c r="S252" s="38" t="str">
        <v>ASSUMPTION</v>
      </c>
      <c r="T252" s="38" t="str">
        <v>EVD-0007;EVD-0008</v>
      </c>
      <c r="U252" s="38" t="str">
        <v>Проектная декомпозиция ChefTechnologyAgent; суммы contribution нормированы к draft-выходу EVD-0005; проверить взвешиванием</v>
      </c>
      <c r="V252" s="38" t="str">
        <v>2026-08-03</v>
      </c>
      <c r="W252" s="38" t="str">
        <v>Chef</v>
      </c>
      <c r="X252" s="38" t="str">
        <v>GAP-004;GAP-005</v>
      </c>
      <c r="Y252" s="39" t="str">
        <v>Не является утверждённой нормой; gross/net/output зафиксировать в контрольной серии</v>
      </c>
    </row>
    <row r="253">
      <c r="A253" s="37" t="str">
        <v>RCP-0249</v>
      </c>
      <c r="B253" s="38" t="str">
        <v>VKM-031</v>
      </c>
      <c r="C253" s="38" t="str">
        <v>VKC-031</v>
      </c>
      <c r="D253" s="38" t="str">
        <v>VKT-031</v>
      </c>
      <c r="E253" s="38" t="str">
        <v>0.1.0-DRAFT</v>
      </c>
      <c r="F253" s="38" t="str">
        <v>ING-025</v>
      </c>
      <c r="G253" s="38" t="str">
        <v>Молоко</v>
      </c>
      <c r="H253" s="38" t="str">
        <v>RAW_OR_FLATTENED_COMPONENT</v>
      </c>
      <c r="I253" s="38" t="str">
        <v>Тесто</v>
      </c>
      <c r="J253" s="38" t="str">
        <v>VSF-034</v>
      </c>
      <c r="K253" s="38" t="n">
        <v>30</v>
      </c>
      <c r="L253" s="38" t="str">
        <v>г</v>
      </c>
      <c r="M253" s="38" t="n">
        <v>30</v>
      </c>
      <c r="N253" s="38" t="str">
        <v>г</v>
      </c>
      <c r="O253" s="38" t="n">
        <v>30</v>
      </c>
      <c r="P253" s="38" t="str">
        <v>г</v>
      </c>
      <c r="Q253" s="38" t="n">
        <v>0</v>
      </c>
      <c r="R253" s="38" t="n">
        <v>0</v>
      </c>
      <c r="S253" s="38" t="str">
        <v>ASSUMPTION</v>
      </c>
      <c r="T253" s="38" t="str">
        <v>EVD-0007;EVD-0008</v>
      </c>
      <c r="U253" s="38" t="str">
        <v>Проектная декомпозиция ChefTechnologyAgent; суммы contribution нормированы к draft-выходу EVD-0005; проверить взвешиванием</v>
      </c>
      <c r="V253" s="38" t="str">
        <v>2026-08-03</v>
      </c>
      <c r="W253" s="38" t="str">
        <v>Chef</v>
      </c>
      <c r="X253" s="38" t="str">
        <v>GAP-004;GAP-005</v>
      </c>
      <c r="Y253" s="39" t="str">
        <v>Не является утверждённой нормой; gross/net/output зафиксировать в контрольной серии</v>
      </c>
    </row>
    <row r="254">
      <c r="A254" s="37" t="str">
        <v>RCP-0250</v>
      </c>
      <c r="B254" s="38" t="str">
        <v>VKM-031</v>
      </c>
      <c r="C254" s="38" t="str">
        <v>VKC-031</v>
      </c>
      <c r="D254" s="38" t="str">
        <v>VKT-031</v>
      </c>
      <c r="E254" s="38" t="str">
        <v>0.1.0-DRAFT</v>
      </c>
      <c r="F254" s="38" t="str">
        <v>ING-040</v>
      </c>
      <c r="G254" s="38" t="str">
        <v>Мёд</v>
      </c>
      <c r="H254" s="38" t="str">
        <v>RAW_OR_FLATTENED_COMPONENT</v>
      </c>
      <c r="I254" s="38" t="str">
        <v>Тесто</v>
      </c>
      <c r="J254" s="38" t="str">
        <v>VSF-034</v>
      </c>
      <c r="K254" s="38" t="n">
        <v>15</v>
      </c>
      <c r="L254" s="38" t="str">
        <v>г</v>
      </c>
      <c r="M254" s="38" t="n">
        <v>15</v>
      </c>
      <c r="N254" s="38" t="str">
        <v>г</v>
      </c>
      <c r="O254" s="38" t="n">
        <v>15</v>
      </c>
      <c r="P254" s="38" t="str">
        <v>г</v>
      </c>
      <c r="Q254" s="38" t="n">
        <v>0</v>
      </c>
      <c r="R254" s="38" t="n">
        <v>0</v>
      </c>
      <c r="S254" s="38" t="str">
        <v>ASSUMPTION</v>
      </c>
      <c r="T254" s="38" t="str">
        <v>EVD-0007;EVD-0008</v>
      </c>
      <c r="U254" s="38" t="str">
        <v>Проектная декомпозиция ChefTechnologyAgent; суммы contribution нормированы к draft-выходу EVD-0005; проверить взвешиванием</v>
      </c>
      <c r="V254" s="38" t="str">
        <v>2026-08-03</v>
      </c>
      <c r="W254" s="38" t="str">
        <v>Chef</v>
      </c>
      <c r="X254" s="38" t="str">
        <v>GAP-004;GAP-005</v>
      </c>
      <c r="Y254" s="39" t="str">
        <v>Не является утверждённой нормой; gross/net/output зафиксировать в контрольной серии</v>
      </c>
    </row>
    <row r="255">
      <c r="A255" s="37" t="str">
        <v>RCP-0251</v>
      </c>
      <c r="B255" s="38" t="str">
        <v>VKM-031</v>
      </c>
      <c r="C255" s="38" t="str">
        <v>VKC-031</v>
      </c>
      <c r="D255" s="38" t="str">
        <v>VKT-031</v>
      </c>
      <c r="E255" s="38" t="str">
        <v>0.1.0-DRAFT</v>
      </c>
      <c r="F255" s="38" t="str">
        <v>ING-105</v>
      </c>
      <c r="G255" s="38" t="str">
        <v>Разрыхлитель</v>
      </c>
      <c r="H255" s="38" t="str">
        <v>RAW_OR_FLATTENED_COMPONENT</v>
      </c>
      <c r="I255" s="38" t="str">
        <v>Тесто</v>
      </c>
      <c r="J255" s="38" t="str">
        <v>VSF-034</v>
      </c>
      <c r="K255" s="38" t="n">
        <v>5</v>
      </c>
      <c r="L255" s="38" t="str">
        <v>г</v>
      </c>
      <c r="M255" s="38" t="n">
        <v>5</v>
      </c>
      <c r="N255" s="38" t="str">
        <v>г</v>
      </c>
      <c r="O255" s="38" t="n">
        <v>5</v>
      </c>
      <c r="P255" s="38" t="str">
        <v>г</v>
      </c>
      <c r="Q255" s="38" t="n">
        <v>0</v>
      </c>
      <c r="R255" s="38" t="n">
        <v>0</v>
      </c>
      <c r="S255" s="38" t="str">
        <v>ASSUMPTION</v>
      </c>
      <c r="T255" s="38" t="str">
        <v>EVD-0007;EVD-0008</v>
      </c>
      <c r="U255" s="38" t="str">
        <v>Проектная декомпозиция ChefTechnologyAgent; суммы contribution нормированы к draft-выходу EVD-0005; проверить взвешиванием</v>
      </c>
      <c r="V255" s="38" t="str">
        <v>2026-08-03</v>
      </c>
      <c r="W255" s="38" t="str">
        <v>Chef</v>
      </c>
      <c r="X255" s="38" t="str">
        <v>GAP-004;GAP-005</v>
      </c>
      <c r="Y255" s="39" t="str">
        <v>Не является утверждённой нормой; gross/net/output зафиксировать в контрольной серии</v>
      </c>
    </row>
    <row r="256">
      <c r="A256" s="37" t="str">
        <v>RCP-0252</v>
      </c>
      <c r="B256" s="38" t="str">
        <v>VKM-031</v>
      </c>
      <c r="C256" s="38" t="str">
        <v>VKC-031</v>
      </c>
      <c r="D256" s="38" t="str">
        <v>VKT-031</v>
      </c>
      <c r="E256" s="38" t="str">
        <v>0.1.0-DRAFT</v>
      </c>
      <c r="F256" s="38" t="str">
        <v>ING-113</v>
      </c>
      <c r="G256" s="38" t="str">
        <v>Цедра лимона</v>
      </c>
      <c r="H256" s="38" t="str">
        <v>RAW_OR_FLATTENED_COMPONENT</v>
      </c>
      <c r="I256" s="38" t="str">
        <v>Тесто</v>
      </c>
      <c r="J256" s="38" t="str">
        <v>VSF-034</v>
      </c>
      <c r="K256" s="38" t="n">
        <v>7</v>
      </c>
      <c r="L256" s="38" t="str">
        <v>г</v>
      </c>
      <c r="M256" s="38" t="n">
        <v>5</v>
      </c>
      <c r="N256" s="38" t="str">
        <v>г</v>
      </c>
      <c r="O256" s="38" t="n">
        <v>5</v>
      </c>
      <c r="P256" s="38" t="str">
        <v>г</v>
      </c>
      <c r="Q256" s="38" t="n">
        <v>2</v>
      </c>
      <c r="R256" s="38" t="n">
        <v>0</v>
      </c>
      <c r="S256" s="38" t="str">
        <v>ASSUMPTION</v>
      </c>
      <c r="T256" s="38" t="str">
        <v>EVD-0007;EVD-0008</v>
      </c>
      <c r="U256" s="38" t="str">
        <v>Проектная декомпозиция ChefTechnologyAgent; суммы contribution нормированы к draft-выходу EVD-0005; проверить взвешиванием</v>
      </c>
      <c r="V256" s="38" t="str">
        <v>2026-08-03</v>
      </c>
      <c r="W256" s="38" t="str">
        <v>Chef</v>
      </c>
      <c r="X256" s="38" t="str">
        <v>GAP-004;GAP-005</v>
      </c>
      <c r="Y256" s="39" t="str">
        <v>Не является утверждённой нормой; gross/net/output зафиксировать в контрольной серии</v>
      </c>
    </row>
    <row r="257">
      <c r="A257" s="37" t="str">
        <v>RCP-0253</v>
      </c>
      <c r="B257" s="38" t="str">
        <v>VKM-031</v>
      </c>
      <c r="C257" s="38" t="str">
        <v>VKC-031</v>
      </c>
      <c r="D257" s="38" t="str">
        <v>VKT-031</v>
      </c>
      <c r="E257" s="38" t="str">
        <v>0.1.0-DRAFT</v>
      </c>
      <c r="F257" s="38" t="str">
        <v>ING-106</v>
      </c>
      <c r="G257" s="38" t="str">
        <v>Соль</v>
      </c>
      <c r="H257" s="38" t="str">
        <v>RAW_OR_FLATTENED_COMPONENT</v>
      </c>
      <c r="I257" s="38" t="str">
        <v>Тесто</v>
      </c>
      <c r="J257" s="38" t="str">
        <v>VSF-034</v>
      </c>
      <c r="K257" s="38" t="n">
        <v>5</v>
      </c>
      <c r="L257" s="38" t="str">
        <v>г</v>
      </c>
      <c r="M257" s="38" t="n">
        <v>5</v>
      </c>
      <c r="N257" s="38" t="str">
        <v>г</v>
      </c>
      <c r="O257" s="38" t="n">
        <v>5</v>
      </c>
      <c r="P257" s="38" t="str">
        <v>г</v>
      </c>
      <c r="Q257" s="38" t="n">
        <v>0</v>
      </c>
      <c r="R257" s="38" t="n">
        <v>0</v>
      </c>
      <c r="S257" s="38" t="str">
        <v>ASSUMPTION</v>
      </c>
      <c r="T257" s="38" t="str">
        <v>EVD-0007;EVD-0008</v>
      </c>
      <c r="U257" s="38" t="str">
        <v>Проектная декомпозиция ChefTechnologyAgent; суммы contribution нормированы к draft-выходу EVD-0005; проверить взвешиванием</v>
      </c>
      <c r="V257" s="38" t="str">
        <v>2026-08-03</v>
      </c>
      <c r="W257" s="38" t="str">
        <v>Chef</v>
      </c>
      <c r="X257" s="38" t="str">
        <v>GAP-004;GAP-005</v>
      </c>
      <c r="Y257" s="39" t="str">
        <v>Не является утверждённой нормой; gross/net/output зафиксировать в контрольной серии</v>
      </c>
    </row>
    <row r="258">
      <c r="A258" s="37" t="str">
        <v>RCP-BF-026-01</v>
      </c>
      <c r="B258" s="38" t="str">
        <v>VKM-026</v>
      </c>
      <c r="C258" s="38" t="str">
        <v>VKC-026</v>
      </c>
      <c r="D258" s="38" t="str">
        <v>VKT-026</v>
      </c>
      <c r="E258" s="38" t="str">
        <v>PR81-DRAFT</v>
      </c>
      <c r="F258" s="38" t="str">
        <v>P-EGG-C0</v>
      </c>
      <c r="G258" s="38" t="str">
        <v>Яйцо C0</v>
      </c>
      <c r="H258" s="38" t="str">
        <v>RAW_OR_PURCHASED_COMPONENT</v>
      </c>
      <c r="I258" s="38" t="str">
        <v>Breakfast complex</v>
      </c>
      <c r="J258" s="38"/>
      <c r="K258" s="38" t="n">
        <v>2</v>
      </c>
      <c r="L258" s="38" t="str">
        <v>шт.</v>
      </c>
      <c r="M258" s="38" t="n">
        <v>126</v>
      </c>
      <c r="N258" s="38" t="str">
        <v>г</v>
      </c>
      <c r="O258" s="38" t="n">
        <v>114</v>
      </c>
      <c r="P258" s="38" t="str">
        <v>г</v>
      </c>
      <c r="Q258" s="38"/>
      <c r="R258" s="38"/>
      <c r="S258" s="38" t="str">
        <v>DRAFT</v>
      </c>
      <c r="T258" s="38"/>
      <c r="U258" s="38" t="str">
        <v>PR81 historical checkpoint; count and mass fields remain dimensionally distinct</v>
      </c>
      <c r="V258" s="38" t="str">
        <v>2026-07-27</v>
      </c>
      <c r="W258" s="38" t="str">
        <v>Chef</v>
      </c>
      <c r="X258" s="38" t="str">
        <v>CHEF_DECISION;CONTROL_COOK;SUPPLIER_DOCS</v>
      </c>
      <c r="Y258" s="39" t="str">
        <v>Not approved</v>
      </c>
    </row>
    <row r="259">
      <c r="A259" s="37" t="str">
        <v>RCP-BF-026-02</v>
      </c>
      <c r="B259" s="38" t="str">
        <v>VKM-026</v>
      </c>
      <c r="C259" s="38" t="str">
        <v>VKC-026</v>
      </c>
      <c r="D259" s="38" t="str">
        <v>VKT-026</v>
      </c>
      <c r="E259" s="38" t="str">
        <v>PR81-DRAFT</v>
      </c>
      <c r="F259" s="38" t="str">
        <v>P-BUTTER</v>
      </c>
      <c r="G259" s="38" t="str">
        <v>Масло сливочное</v>
      </c>
      <c r="H259" s="38" t="str">
        <v>RAW_OR_PURCHASED_COMPONENT</v>
      </c>
      <c r="I259" s="38" t="str">
        <v>Breakfast complex</v>
      </c>
      <c r="J259" s="38"/>
      <c r="K259" s="38" t="n">
        <v>5</v>
      </c>
      <c r="L259" s="38" t="str">
        <v>г</v>
      </c>
      <c r="M259" s="38" t="n">
        <v>5</v>
      </c>
      <c r="N259" s="38" t="str">
        <v>г</v>
      </c>
      <c r="O259" s="38" t="n">
        <v>5</v>
      </c>
      <c r="P259" s="38" t="str">
        <v>г</v>
      </c>
      <c r="Q259" s="38"/>
      <c r="R259" s="38"/>
      <c r="S259" s="38" t="str">
        <v>DRAFT</v>
      </c>
      <c r="T259" s="38"/>
      <c r="U259" s="38" t="str">
        <v>PR81 historical checkpoint; count and mass fields remain dimensionally distinct</v>
      </c>
      <c r="V259" s="38" t="str">
        <v>2026-07-27</v>
      </c>
      <c r="W259" s="38" t="str">
        <v>Chef</v>
      </c>
      <c r="X259" s="38" t="str">
        <v>CHEF_DECISION;CONTROL_COOK;SUPPLIER_DOCS</v>
      </c>
      <c r="Y259" s="39" t="str">
        <v>Not approved</v>
      </c>
    </row>
    <row r="260">
      <c r="A260" s="37" t="str">
        <v>RCP-BF-026-03</v>
      </c>
      <c r="B260" s="38" t="str">
        <v>VKM-026</v>
      </c>
      <c r="C260" s="38" t="str">
        <v>VKC-026</v>
      </c>
      <c r="D260" s="38" t="str">
        <v>VKT-026</v>
      </c>
      <c r="E260" s="38" t="str">
        <v>PR81-DRAFT</v>
      </c>
      <c r="F260" s="38" t="str">
        <v>P-SALT</v>
      </c>
      <c r="G260" s="38" t="str">
        <v>Соль</v>
      </c>
      <c r="H260" s="38" t="str">
        <v>RAW_OR_PURCHASED_COMPONENT</v>
      </c>
      <c r="I260" s="38" t="str">
        <v>Breakfast complex</v>
      </c>
      <c r="J260" s="38"/>
      <c r="K260" s="38" t="n">
        <v>1</v>
      </c>
      <c r="L260" s="38" t="str">
        <v>г</v>
      </c>
      <c r="M260" s="38" t="n">
        <v>1</v>
      </c>
      <c r="N260" s="38" t="str">
        <v>г</v>
      </c>
      <c r="O260" s="38" t="n">
        <v>1</v>
      </c>
      <c r="P260" s="38" t="str">
        <v>г</v>
      </c>
      <c r="Q260" s="38"/>
      <c r="R260" s="38"/>
      <c r="S260" s="38" t="str">
        <v>DRAFT</v>
      </c>
      <c r="T260" s="38"/>
      <c r="U260" s="38" t="str">
        <v>PR81 historical checkpoint; count and mass fields remain dimensionally distinct</v>
      </c>
      <c r="V260" s="38" t="str">
        <v>2026-07-27</v>
      </c>
      <c r="W260" s="38" t="str">
        <v>Chef</v>
      </c>
      <c r="X260" s="38" t="str">
        <v>CHEF_DECISION;CONTROL_COOK;SUPPLIER_DOCS</v>
      </c>
      <c r="Y260" s="39" t="str">
        <v>Not approved</v>
      </c>
    </row>
    <row r="261">
      <c r="A261" s="37" t="str">
        <v>RCP-BF-026-04</v>
      </c>
      <c r="B261" s="38" t="str">
        <v>VKM-026</v>
      </c>
      <c r="C261" s="38" t="str">
        <v>VKC-026</v>
      </c>
      <c r="D261" s="38" t="str">
        <v>VKT-026</v>
      </c>
      <c r="E261" s="38" t="str">
        <v>PR81-DRAFT</v>
      </c>
      <c r="F261" s="38" t="str">
        <v>P-CROISSANT-80</v>
      </c>
      <c r="G261" s="38" t="str">
        <v>Круассан 80 г</v>
      </c>
      <c r="H261" s="38" t="str">
        <v>RAW_OR_PURCHASED_COMPONENT</v>
      </c>
      <c r="I261" s="38" t="str">
        <v>Breakfast complex</v>
      </c>
      <c r="J261" s="38"/>
      <c r="K261" s="38" t="n">
        <v>1</v>
      </c>
      <c r="L261" s="38" t="str">
        <v>шт.</v>
      </c>
      <c r="M261" s="38" t="n">
        <v>80</v>
      </c>
      <c r="N261" s="38" t="str">
        <v>г</v>
      </c>
      <c r="O261" s="38" t="n">
        <v>65</v>
      </c>
      <c r="P261" s="38" t="str">
        <v>г</v>
      </c>
      <c r="Q261" s="38"/>
      <c r="R261" s="38"/>
      <c r="S261" s="38" t="str">
        <v>DRAFT</v>
      </c>
      <c r="T261" s="38"/>
      <c r="U261" s="38" t="str">
        <v>PR81 historical checkpoint; count and mass fields remain dimensionally distinct</v>
      </c>
      <c r="V261" s="38" t="str">
        <v>2026-07-27</v>
      </c>
      <c r="W261" s="38" t="str">
        <v>Chef</v>
      </c>
      <c r="X261" s="38" t="str">
        <v>CHEF_DECISION;CONTROL_COOK;SUPPLIER_DOCS</v>
      </c>
      <c r="Y261" s="39" t="str">
        <v>Not approved</v>
      </c>
    </row>
    <row r="262">
      <c r="A262" s="37" t="str">
        <v>RCP-BF-026-05</v>
      </c>
      <c r="B262" s="38" t="str">
        <v>VKM-026</v>
      </c>
      <c r="C262" s="38" t="str">
        <v>VKC-026</v>
      </c>
      <c r="D262" s="38" t="str">
        <v>VKT-026</v>
      </c>
      <c r="E262" s="38" t="str">
        <v>PR81-DRAFT</v>
      </c>
      <c r="F262" s="38" t="str">
        <v>P-CHEDDAR</v>
      </c>
      <c r="G262" s="38" t="str">
        <v>Чеддер</v>
      </c>
      <c r="H262" s="38" t="str">
        <v>RAW_OR_PURCHASED_COMPONENT</v>
      </c>
      <c r="I262" s="38" t="str">
        <v>Breakfast complex</v>
      </c>
      <c r="J262" s="38"/>
      <c r="K262" s="38" t="n">
        <v>20</v>
      </c>
      <c r="L262" s="38" t="str">
        <v>г</v>
      </c>
      <c r="M262" s="38" t="n">
        <v>20</v>
      </c>
      <c r="N262" s="38" t="str">
        <v>г</v>
      </c>
      <c r="O262" s="38" t="n">
        <v>20</v>
      </c>
      <c r="P262" s="38" t="str">
        <v>г</v>
      </c>
      <c r="Q262" s="38"/>
      <c r="R262" s="38"/>
      <c r="S262" s="38" t="str">
        <v>DRAFT</v>
      </c>
      <c r="T262" s="38"/>
      <c r="U262" s="38" t="str">
        <v>PR81 historical checkpoint; count and mass fields remain dimensionally distinct</v>
      </c>
      <c r="V262" s="38" t="str">
        <v>2026-07-27</v>
      </c>
      <c r="W262" s="38" t="str">
        <v>Chef</v>
      </c>
      <c r="X262" s="38" t="str">
        <v>CHEF_DECISION;CONTROL_COOK;SUPPLIER_DOCS</v>
      </c>
      <c r="Y262" s="39" t="str">
        <v>Not approved</v>
      </c>
    </row>
    <row r="263">
      <c r="A263" s="37" t="str">
        <v>RCP-BF-026-06</v>
      </c>
      <c r="B263" s="38" t="str">
        <v>VKM-026</v>
      </c>
      <c r="C263" s="38" t="str">
        <v>VKC-026</v>
      </c>
      <c r="D263" s="38" t="str">
        <v>VKT-026</v>
      </c>
      <c r="E263" s="38" t="str">
        <v>PR81-DRAFT</v>
      </c>
      <c r="F263" s="38" t="str">
        <v>P-FONTINA</v>
      </c>
      <c r="G263" s="38" t="str">
        <v>Fontina DOP / Fontal</v>
      </c>
      <c r="H263" s="38" t="str">
        <v>RAW_OR_PURCHASED_COMPONENT</v>
      </c>
      <c r="I263" s="38" t="str">
        <v>Breakfast complex</v>
      </c>
      <c r="J263" s="38"/>
      <c r="K263" s="38" t="n">
        <v>21</v>
      </c>
      <c r="L263" s="38" t="str">
        <v>г</v>
      </c>
      <c r="M263" s="38" t="n">
        <v>20</v>
      </c>
      <c r="N263" s="38" t="str">
        <v>г</v>
      </c>
      <c r="O263" s="38" t="n">
        <v>20</v>
      </c>
      <c r="P263" s="38" t="str">
        <v>г</v>
      </c>
      <c r="Q263" s="38"/>
      <c r="R263" s="38"/>
      <c r="S263" s="38" t="str">
        <v>ASSUMPTION</v>
      </c>
      <c r="T263" s="38"/>
      <c r="U263" s="38" t="str">
        <v>PR81 historical checkpoint; count and mass fields remain dimensionally distinct</v>
      </c>
      <c r="V263" s="38" t="str">
        <v>2026-07-27</v>
      </c>
      <c r="W263" s="38" t="str">
        <v>Chef</v>
      </c>
      <c r="X263" s="38" t="str">
        <v>CHEF_DECISION;CONTROL_COOK;SUPPLIER_DOCS</v>
      </c>
      <c r="Y263" s="39" t="str">
        <v>Not approved</v>
      </c>
    </row>
    <row r="264">
      <c r="A264" s="37" t="str">
        <v>RCP-BF-026-07</v>
      </c>
      <c r="B264" s="38" t="str">
        <v>VKM-026</v>
      </c>
      <c r="C264" s="38" t="str">
        <v>VKC-026</v>
      </c>
      <c r="D264" s="38" t="str">
        <v>VKT-026</v>
      </c>
      <c r="E264" s="38" t="str">
        <v>PR81-DRAFT</v>
      </c>
      <c r="F264" s="38" t="str">
        <v>P-DRINK</v>
      </c>
      <c r="G264" s="38" t="str">
        <v>Напиток бариста 200 мл</v>
      </c>
      <c r="H264" s="38" t="str">
        <v>RAW_OR_PURCHASED_COMPONENT</v>
      </c>
      <c r="I264" s="38" t="str">
        <v>Breakfast complex</v>
      </c>
      <c r="J264" s="38"/>
      <c r="K264" s="38" t="n">
        <v>1</v>
      </c>
      <c r="L264" s="38" t="str">
        <v>шт.</v>
      </c>
      <c r="M264" s="38" t="n">
        <v>1</v>
      </c>
      <c r="N264" s="38" t="str">
        <v>г</v>
      </c>
      <c r="O264" s="38"/>
      <c r="P264" s="38" t="str">
        <v>г</v>
      </c>
      <c r="Q264" s="38"/>
      <c r="R264" s="38"/>
      <c r="S264" s="38" t="str">
        <v>DRAFT</v>
      </c>
      <c r="T264" s="38"/>
      <c r="U264" s="38" t="str">
        <v>PR81 historical checkpoint; count and mass fields remain dimensionally distinct</v>
      </c>
      <c r="V264" s="38" t="str">
        <v>2026-07-27</v>
      </c>
      <c r="W264" s="38" t="str">
        <v>Chef</v>
      </c>
      <c r="X264" s="38" t="str">
        <v>CHEF_DECISION;CONTROL_COOK;SUPPLIER_DOCS</v>
      </c>
      <c r="Y264" s="39" t="str">
        <v>Not approved</v>
      </c>
    </row>
    <row r="265">
      <c r="A265" s="37" t="str">
        <v>RCP-BF-027-01</v>
      </c>
      <c r="B265" s="38" t="str">
        <v>VKM-027</v>
      </c>
      <c r="C265" s="38" t="str">
        <v>VKC-027</v>
      </c>
      <c r="D265" s="38" t="str">
        <v>VKT-027</v>
      </c>
      <c r="E265" s="38" t="str">
        <v>PR81-DRAFT</v>
      </c>
      <c r="F265" s="38" t="str">
        <v>P-MELANGE-GROVO</v>
      </c>
      <c r="G265" s="38" t="str">
        <v>Меланж</v>
      </c>
      <c r="H265" s="38" t="str">
        <v>RAW_OR_PURCHASED_COMPONENT</v>
      </c>
      <c r="I265" s="38" t="str">
        <v>Breakfast complex</v>
      </c>
      <c r="J265" s="38"/>
      <c r="K265" s="38" t="n">
        <v>126</v>
      </c>
      <c r="L265" s="38" t="str">
        <v>г</v>
      </c>
      <c r="M265" s="38" t="n">
        <v>126</v>
      </c>
      <c r="N265" s="38" t="str">
        <v>г</v>
      </c>
      <c r="O265" s="38" t="n">
        <v>111</v>
      </c>
      <c r="P265" s="38" t="str">
        <v>г</v>
      </c>
      <c r="Q265" s="38"/>
      <c r="R265" s="38"/>
      <c r="S265" s="38" t="str">
        <v>DRAFT</v>
      </c>
      <c r="T265" s="38"/>
      <c r="U265" s="38" t="str">
        <v>PR81 historical checkpoint; count and mass fields remain dimensionally distinct</v>
      </c>
      <c r="V265" s="38" t="str">
        <v>2026-07-27</v>
      </c>
      <c r="W265" s="38" t="str">
        <v>Chef</v>
      </c>
      <c r="X265" s="38" t="str">
        <v>CHEF_DECISION;CONTROL_COOK;SUPPLIER_DOCS</v>
      </c>
      <c r="Y265" s="39" t="str">
        <v>Not approved</v>
      </c>
    </row>
    <row r="266">
      <c r="A266" s="37" t="str">
        <v>RCP-BF-027-02</v>
      </c>
      <c r="B266" s="38" t="str">
        <v>VKM-027</v>
      </c>
      <c r="C266" s="38" t="str">
        <v>VKC-027</v>
      </c>
      <c r="D266" s="38" t="str">
        <v>VKT-027</v>
      </c>
      <c r="E266" s="38" t="str">
        <v>PR81-DRAFT</v>
      </c>
      <c r="F266" s="38" t="str">
        <v>P-MILK-DS</v>
      </c>
      <c r="G266" s="38" t="str">
        <v>Молоко</v>
      </c>
      <c r="H266" s="38" t="str">
        <v>RAW_OR_PURCHASED_COMPONENT</v>
      </c>
      <c r="I266" s="38" t="str">
        <v>Breakfast complex</v>
      </c>
      <c r="J266" s="38"/>
      <c r="K266" s="38" t="n">
        <v>50</v>
      </c>
      <c r="L266" s="38" t="str">
        <v>мл</v>
      </c>
      <c r="M266" s="38" t="n">
        <v>50</v>
      </c>
      <c r="N266" s="38" t="str">
        <v>мл</v>
      </c>
      <c r="O266" s="38" t="n">
        <v>44</v>
      </c>
      <c r="P266" s="38" t="str">
        <v>г</v>
      </c>
      <c r="Q266" s="38"/>
      <c r="R266" s="38"/>
      <c r="S266" s="38" t="str">
        <v>DRAFT</v>
      </c>
      <c r="T266" s="38"/>
      <c r="U266" s="38" t="str">
        <v>PR81 historical checkpoint; count and mass fields remain dimensionally distinct</v>
      </c>
      <c r="V266" s="38" t="str">
        <v>2026-07-27</v>
      </c>
      <c r="W266" s="38" t="str">
        <v>Chef</v>
      </c>
      <c r="X266" s="38" t="str">
        <v>CHEF_DECISION;CONTROL_COOK;SUPPLIER_DOCS</v>
      </c>
      <c r="Y266" s="39" t="str">
        <v>Not approved</v>
      </c>
    </row>
    <row r="267">
      <c r="A267" s="37" t="str">
        <v>RCP-BF-027-03</v>
      </c>
      <c r="B267" s="38" t="str">
        <v>VKM-027</v>
      </c>
      <c r="C267" s="38" t="str">
        <v>VKC-027</v>
      </c>
      <c r="D267" s="38" t="str">
        <v>VKT-027</v>
      </c>
      <c r="E267" s="38" t="str">
        <v>PR81-DRAFT</v>
      </c>
      <c r="F267" s="38" t="str">
        <v>P-BUTTER</v>
      </c>
      <c r="G267" s="38" t="str">
        <v>Масло сливочное</v>
      </c>
      <c r="H267" s="38" t="str">
        <v>RAW_OR_PURCHASED_COMPONENT</v>
      </c>
      <c r="I267" s="38" t="str">
        <v>Breakfast complex</v>
      </c>
      <c r="J267" s="38"/>
      <c r="K267" s="38" t="n">
        <v>5</v>
      </c>
      <c r="L267" s="38" t="str">
        <v>г</v>
      </c>
      <c r="M267" s="38" t="n">
        <v>5</v>
      </c>
      <c r="N267" s="38" t="str">
        <v>г</v>
      </c>
      <c r="O267" s="38" t="n">
        <v>4</v>
      </c>
      <c r="P267" s="38" t="str">
        <v>г</v>
      </c>
      <c r="Q267" s="38"/>
      <c r="R267" s="38"/>
      <c r="S267" s="38" t="str">
        <v>DRAFT</v>
      </c>
      <c r="T267" s="38"/>
      <c r="U267" s="38" t="str">
        <v>PR81 historical checkpoint; count and mass fields remain dimensionally distinct</v>
      </c>
      <c r="V267" s="38" t="str">
        <v>2026-07-27</v>
      </c>
      <c r="W267" s="38" t="str">
        <v>Chef</v>
      </c>
      <c r="X267" s="38" t="str">
        <v>CHEF_DECISION;CONTROL_COOK;SUPPLIER_DOCS</v>
      </c>
      <c r="Y267" s="39" t="str">
        <v>Not approved</v>
      </c>
    </row>
    <row r="268">
      <c r="A268" s="37" t="str">
        <v>RCP-BF-027-04</v>
      </c>
      <c r="B268" s="38" t="str">
        <v>VKM-027</v>
      </c>
      <c r="C268" s="38" t="str">
        <v>VKC-027</v>
      </c>
      <c r="D268" s="38" t="str">
        <v>VKT-027</v>
      </c>
      <c r="E268" s="38" t="str">
        <v>PR81-DRAFT</v>
      </c>
      <c r="F268" s="38" t="str">
        <v>P-SALT</v>
      </c>
      <c r="G268" s="38" t="str">
        <v>Соль</v>
      </c>
      <c r="H268" s="38" t="str">
        <v>RAW_OR_PURCHASED_COMPONENT</v>
      </c>
      <c r="I268" s="38" t="str">
        <v>Breakfast complex</v>
      </c>
      <c r="J268" s="38"/>
      <c r="K268" s="38" t="n">
        <v>1</v>
      </c>
      <c r="L268" s="38" t="str">
        <v>г</v>
      </c>
      <c r="M268" s="38" t="n">
        <v>1</v>
      </c>
      <c r="N268" s="38" t="str">
        <v>г</v>
      </c>
      <c r="O268" s="38" t="n">
        <v>1</v>
      </c>
      <c r="P268" s="38" t="str">
        <v>г</v>
      </c>
      <c r="Q268" s="38"/>
      <c r="R268" s="38"/>
      <c r="S268" s="38" t="str">
        <v>DRAFT</v>
      </c>
      <c r="T268" s="38"/>
      <c r="U268" s="38" t="str">
        <v>PR81 historical checkpoint; count and mass fields remain dimensionally distinct</v>
      </c>
      <c r="V268" s="38" t="str">
        <v>2026-07-27</v>
      </c>
      <c r="W268" s="38" t="str">
        <v>Chef</v>
      </c>
      <c r="X268" s="38" t="str">
        <v>CHEF_DECISION;CONTROL_COOK;SUPPLIER_DOCS</v>
      </c>
      <c r="Y268" s="39" t="str">
        <v>Not approved</v>
      </c>
    </row>
    <row r="269">
      <c r="A269" s="37" t="str">
        <v>RCP-BF-027-05</v>
      </c>
      <c r="B269" s="38" t="str">
        <v>VKM-027</v>
      </c>
      <c r="C269" s="38" t="str">
        <v>VKC-027</v>
      </c>
      <c r="D269" s="38" t="str">
        <v>VKT-027</v>
      </c>
      <c r="E269" s="38" t="str">
        <v>PR81-DRAFT</v>
      </c>
      <c r="F269" s="38" t="str">
        <v>P-CROISSANT-80</v>
      </c>
      <c r="G269" s="38" t="str">
        <v>Круассан 80 г</v>
      </c>
      <c r="H269" s="38" t="str">
        <v>RAW_OR_PURCHASED_COMPONENT</v>
      </c>
      <c r="I269" s="38" t="str">
        <v>Breakfast complex</v>
      </c>
      <c r="J269" s="38"/>
      <c r="K269" s="38" t="n">
        <v>1</v>
      </c>
      <c r="L269" s="38" t="str">
        <v>шт.</v>
      </c>
      <c r="M269" s="38" t="n">
        <v>80</v>
      </c>
      <c r="N269" s="38" t="str">
        <v>г</v>
      </c>
      <c r="O269" s="38" t="n">
        <v>65</v>
      </c>
      <c r="P269" s="38" t="str">
        <v>г</v>
      </c>
      <c r="Q269" s="38"/>
      <c r="R269" s="38"/>
      <c r="S269" s="38" t="str">
        <v>DRAFT</v>
      </c>
      <c r="T269" s="38"/>
      <c r="U269" s="38" t="str">
        <v>PR81 historical checkpoint; count and mass fields remain dimensionally distinct</v>
      </c>
      <c r="V269" s="38" t="str">
        <v>2026-07-27</v>
      </c>
      <c r="W269" s="38" t="str">
        <v>Chef</v>
      </c>
      <c r="X269" s="38" t="str">
        <v>CHEF_DECISION;CONTROL_COOK;SUPPLIER_DOCS</v>
      </c>
      <c r="Y269" s="39" t="str">
        <v>Not approved</v>
      </c>
    </row>
    <row r="270">
      <c r="A270" s="37" t="str">
        <v>RCP-BF-027-06</v>
      </c>
      <c r="B270" s="38" t="str">
        <v>VKM-027</v>
      </c>
      <c r="C270" s="38" t="str">
        <v>VKC-027</v>
      </c>
      <c r="D270" s="38" t="str">
        <v>VKT-027</v>
      </c>
      <c r="E270" s="38" t="str">
        <v>PR81-DRAFT</v>
      </c>
      <c r="F270" s="38" t="str">
        <v>P-CHEDDAR</v>
      </c>
      <c r="G270" s="38" t="str">
        <v>Чеддер</v>
      </c>
      <c r="H270" s="38" t="str">
        <v>RAW_OR_PURCHASED_COMPONENT</v>
      </c>
      <c r="I270" s="38" t="str">
        <v>Breakfast complex</v>
      </c>
      <c r="J270" s="38"/>
      <c r="K270" s="38" t="n">
        <v>20</v>
      </c>
      <c r="L270" s="38" t="str">
        <v>г</v>
      </c>
      <c r="M270" s="38" t="n">
        <v>20</v>
      </c>
      <c r="N270" s="38" t="str">
        <v>г</v>
      </c>
      <c r="O270" s="38" t="n">
        <v>20</v>
      </c>
      <c r="P270" s="38" t="str">
        <v>г</v>
      </c>
      <c r="Q270" s="38"/>
      <c r="R270" s="38"/>
      <c r="S270" s="38" t="str">
        <v>DRAFT</v>
      </c>
      <c r="T270" s="38"/>
      <c r="U270" s="38" t="str">
        <v>PR81 historical checkpoint; count and mass fields remain dimensionally distinct</v>
      </c>
      <c r="V270" s="38" t="str">
        <v>2026-07-27</v>
      </c>
      <c r="W270" s="38" t="str">
        <v>Chef</v>
      </c>
      <c r="X270" s="38" t="str">
        <v>CHEF_DECISION;CONTROL_COOK;SUPPLIER_DOCS</v>
      </c>
      <c r="Y270" s="39" t="str">
        <v>Not approved</v>
      </c>
    </row>
    <row r="271">
      <c r="A271" s="37" t="str">
        <v>RCP-BF-027-07</v>
      </c>
      <c r="B271" s="38" t="str">
        <v>VKM-027</v>
      </c>
      <c r="C271" s="38" t="str">
        <v>VKC-027</v>
      </c>
      <c r="D271" s="38" t="str">
        <v>VKT-027</v>
      </c>
      <c r="E271" s="38" t="str">
        <v>PR81-DRAFT</v>
      </c>
      <c r="F271" s="38" t="str">
        <v>P-FONTINA</v>
      </c>
      <c r="G271" s="38" t="str">
        <v>Fontina DOP / Fontal</v>
      </c>
      <c r="H271" s="38" t="str">
        <v>RAW_OR_PURCHASED_COMPONENT</v>
      </c>
      <c r="I271" s="38" t="str">
        <v>Breakfast complex</v>
      </c>
      <c r="J271" s="38"/>
      <c r="K271" s="38" t="n">
        <v>21</v>
      </c>
      <c r="L271" s="38" t="str">
        <v>г</v>
      </c>
      <c r="M271" s="38" t="n">
        <v>20</v>
      </c>
      <c r="N271" s="38" t="str">
        <v>г</v>
      </c>
      <c r="O271" s="38" t="n">
        <v>20</v>
      </c>
      <c r="P271" s="38" t="str">
        <v>г</v>
      </c>
      <c r="Q271" s="38"/>
      <c r="R271" s="38"/>
      <c r="S271" s="38" t="str">
        <v>ASSUMPTION</v>
      </c>
      <c r="T271" s="38"/>
      <c r="U271" s="38" t="str">
        <v>PR81 historical checkpoint; count and mass fields remain dimensionally distinct</v>
      </c>
      <c r="V271" s="38" t="str">
        <v>2026-07-27</v>
      </c>
      <c r="W271" s="38" t="str">
        <v>Chef</v>
      </c>
      <c r="X271" s="38" t="str">
        <v>CHEF_DECISION;CONTROL_COOK;SUPPLIER_DOCS</v>
      </c>
      <c r="Y271" s="39" t="str">
        <v>Not approved</v>
      </c>
    </row>
    <row r="272">
      <c r="A272" s="37" t="str">
        <v>RCP-BF-027-08</v>
      </c>
      <c r="B272" s="38" t="str">
        <v>VKM-027</v>
      </c>
      <c r="C272" s="38" t="str">
        <v>VKC-027</v>
      </c>
      <c r="D272" s="38" t="str">
        <v>VKT-027</v>
      </c>
      <c r="E272" s="38" t="str">
        <v>PR81-DRAFT</v>
      </c>
      <c r="F272" s="38" t="str">
        <v>P-DRINK</v>
      </c>
      <c r="G272" s="38" t="str">
        <v>Напиток бариста 200 мл</v>
      </c>
      <c r="H272" s="38" t="str">
        <v>RAW_OR_PURCHASED_COMPONENT</v>
      </c>
      <c r="I272" s="38" t="str">
        <v>Breakfast complex</v>
      </c>
      <c r="J272" s="38"/>
      <c r="K272" s="38" t="n">
        <v>1</v>
      </c>
      <c r="L272" s="38" t="str">
        <v>шт.</v>
      </c>
      <c r="M272" s="38" t="n">
        <v>1</v>
      </c>
      <c r="N272" s="38" t="str">
        <v>г</v>
      </c>
      <c r="O272" s="38"/>
      <c r="P272" s="38" t="str">
        <v>г</v>
      </c>
      <c r="Q272" s="38"/>
      <c r="R272" s="38"/>
      <c r="S272" s="38" t="str">
        <v>DRAFT</v>
      </c>
      <c r="T272" s="38"/>
      <c r="U272" s="38" t="str">
        <v>PR81 historical checkpoint; count and mass fields remain dimensionally distinct</v>
      </c>
      <c r="V272" s="38" t="str">
        <v>2026-07-27</v>
      </c>
      <c r="W272" s="38" t="str">
        <v>Chef</v>
      </c>
      <c r="X272" s="38" t="str">
        <v>CHEF_DECISION;CONTROL_COOK;SUPPLIER_DOCS</v>
      </c>
      <c r="Y272" s="39" t="str">
        <v>Not approved</v>
      </c>
    </row>
    <row r="273">
      <c r="A273" s="37" t="str">
        <v>RCP-BF-028-01</v>
      </c>
      <c r="B273" s="38" t="str">
        <v>VKM-028</v>
      </c>
      <c r="C273" s="38" t="str">
        <v>VKC-028</v>
      </c>
      <c r="D273" s="38" t="str">
        <v>VKT-028</v>
      </c>
      <c r="E273" s="38" t="str">
        <v>PR81-DRAFT</v>
      </c>
      <c r="F273" s="38" t="str">
        <v>P-OATS</v>
      </c>
      <c r="G273" s="38" t="str">
        <v>Овсяные хлопья</v>
      </c>
      <c r="H273" s="38" t="str">
        <v>RAW_OR_PURCHASED_COMPONENT</v>
      </c>
      <c r="I273" s="38" t="str">
        <v>Breakfast complex</v>
      </c>
      <c r="J273" s="38"/>
      <c r="K273" s="38" t="n">
        <v>45</v>
      </c>
      <c r="L273" s="38" t="str">
        <v>г</v>
      </c>
      <c r="M273" s="38" t="n">
        <v>45</v>
      </c>
      <c r="N273" s="38" t="str">
        <v>г</v>
      </c>
      <c r="O273" s="38" t="n">
        <v>45</v>
      </c>
      <c r="P273" s="38" t="str">
        <v>г</v>
      </c>
      <c r="Q273" s="38"/>
      <c r="R273" s="38"/>
      <c r="S273" s="38" t="str">
        <v>DRAFT</v>
      </c>
      <c r="T273" s="38"/>
      <c r="U273" s="38" t="str">
        <v>PR81 historical checkpoint; count and mass fields remain dimensionally distinct</v>
      </c>
      <c r="V273" s="38" t="str">
        <v>2026-07-27</v>
      </c>
      <c r="W273" s="38" t="str">
        <v>Chef</v>
      </c>
      <c r="X273" s="38" t="str">
        <v>CHEF_DECISION;CONTROL_COOK;SUPPLIER_DOCS</v>
      </c>
      <c r="Y273" s="39" t="str">
        <v>Not approved</v>
      </c>
    </row>
    <row r="274">
      <c r="A274" s="37" t="str">
        <v>RCP-BF-028-02</v>
      </c>
      <c r="B274" s="38" t="str">
        <v>VKM-028</v>
      </c>
      <c r="C274" s="38" t="str">
        <v>VKC-028</v>
      </c>
      <c r="D274" s="38" t="str">
        <v>VKT-028</v>
      </c>
      <c r="E274" s="38" t="str">
        <v>PR81-DRAFT</v>
      </c>
      <c r="F274" s="38" t="str">
        <v>P-MILK-DS</v>
      </c>
      <c r="G274" s="38" t="str">
        <v>Молоко</v>
      </c>
      <c r="H274" s="38" t="str">
        <v>RAW_OR_PURCHASED_COMPONENT</v>
      </c>
      <c r="I274" s="38" t="str">
        <v>Breakfast complex</v>
      </c>
      <c r="J274" s="38"/>
      <c r="K274" s="38" t="n">
        <v>125</v>
      </c>
      <c r="L274" s="38" t="str">
        <v>мл</v>
      </c>
      <c r="M274" s="38" t="n">
        <v>125</v>
      </c>
      <c r="N274" s="38" t="str">
        <v>мл</v>
      </c>
      <c r="O274" s="38" t="n">
        <v>108</v>
      </c>
      <c r="P274" s="38" t="str">
        <v>г</v>
      </c>
      <c r="Q274" s="38"/>
      <c r="R274" s="38"/>
      <c r="S274" s="38" t="str">
        <v>DRAFT</v>
      </c>
      <c r="T274" s="38"/>
      <c r="U274" s="38" t="str">
        <v>PR81 historical checkpoint; count and mass fields remain dimensionally distinct</v>
      </c>
      <c r="V274" s="38" t="str">
        <v>2026-07-27</v>
      </c>
      <c r="W274" s="38" t="str">
        <v>Chef</v>
      </c>
      <c r="X274" s="38" t="str">
        <v>CHEF_DECISION;CONTROL_COOK;SUPPLIER_DOCS</v>
      </c>
      <c r="Y274" s="39" t="str">
        <v>Not approved</v>
      </c>
    </row>
    <row r="275">
      <c r="A275" s="37" t="str">
        <v>RCP-BF-028-03</v>
      </c>
      <c r="B275" s="38" t="str">
        <v>VKM-028</v>
      </c>
      <c r="C275" s="38" t="str">
        <v>VKC-028</v>
      </c>
      <c r="D275" s="38" t="str">
        <v>VKT-028</v>
      </c>
      <c r="E275" s="38" t="str">
        <v>PR81-DRAFT</v>
      </c>
      <c r="F275" s="38" t="str">
        <v>WATER</v>
      </c>
      <c r="G275" s="38" t="str">
        <v>Вода</v>
      </c>
      <c r="H275" s="38" t="str">
        <v>RAW_OR_PURCHASED_COMPONENT</v>
      </c>
      <c r="I275" s="38" t="str">
        <v>Breakfast complex</v>
      </c>
      <c r="J275" s="38"/>
      <c r="K275" s="38" t="n">
        <v>100</v>
      </c>
      <c r="L275" s="38" t="str">
        <v>г</v>
      </c>
      <c r="M275" s="38" t="n">
        <v>100</v>
      </c>
      <c r="N275" s="38" t="str">
        <v>г</v>
      </c>
      <c r="O275" s="38" t="n">
        <v>86</v>
      </c>
      <c r="P275" s="38" t="str">
        <v>г</v>
      </c>
      <c r="Q275" s="38"/>
      <c r="R275" s="38"/>
      <c r="S275" s="38" t="str">
        <v>DRAFT</v>
      </c>
      <c r="T275" s="38"/>
      <c r="U275" s="38" t="str">
        <v>PR81 historical checkpoint; count and mass fields remain dimensionally distinct</v>
      </c>
      <c r="V275" s="38" t="str">
        <v>2026-07-27</v>
      </c>
      <c r="W275" s="38" t="str">
        <v>Chef</v>
      </c>
      <c r="X275" s="38" t="str">
        <v>CHEF_DECISION;CONTROL_COOK;SUPPLIER_DOCS</v>
      </c>
      <c r="Y275" s="39" t="str">
        <v>Not approved</v>
      </c>
    </row>
    <row r="276">
      <c r="A276" s="37" t="str">
        <v>RCP-BF-028-04</v>
      </c>
      <c r="B276" s="38" t="str">
        <v>VKM-028</v>
      </c>
      <c r="C276" s="38" t="str">
        <v>VKC-028</v>
      </c>
      <c r="D276" s="38" t="str">
        <v>VKT-028</v>
      </c>
      <c r="E276" s="38" t="str">
        <v>PR81-DRAFT</v>
      </c>
      <c r="F276" s="38" t="str">
        <v>P-SUGAR</v>
      </c>
      <c r="G276" s="38" t="str">
        <v>Сахар</v>
      </c>
      <c r="H276" s="38" t="str">
        <v>RAW_OR_PURCHASED_COMPONENT</v>
      </c>
      <c r="I276" s="38" t="str">
        <v>Breakfast complex</v>
      </c>
      <c r="J276" s="38"/>
      <c r="K276" s="38" t="n">
        <v>5</v>
      </c>
      <c r="L276" s="38" t="str">
        <v>г</v>
      </c>
      <c r="M276" s="38" t="n">
        <v>5</v>
      </c>
      <c r="N276" s="38" t="str">
        <v>г</v>
      </c>
      <c r="O276" s="38" t="n">
        <v>5</v>
      </c>
      <c r="P276" s="38" t="str">
        <v>г</v>
      </c>
      <c r="Q276" s="38"/>
      <c r="R276" s="38"/>
      <c r="S276" s="38" t="str">
        <v>DRAFT</v>
      </c>
      <c r="T276" s="38"/>
      <c r="U276" s="38" t="str">
        <v>PR81 historical checkpoint; count and mass fields remain dimensionally distinct</v>
      </c>
      <c r="V276" s="38" t="str">
        <v>2026-07-27</v>
      </c>
      <c r="W276" s="38" t="str">
        <v>Chef</v>
      </c>
      <c r="X276" s="38" t="str">
        <v>CHEF_DECISION;CONTROL_COOK;SUPPLIER_DOCS</v>
      </c>
      <c r="Y276" s="39" t="str">
        <v>Not approved</v>
      </c>
    </row>
    <row r="277">
      <c r="A277" s="37" t="str">
        <v>RCP-BF-028-05</v>
      </c>
      <c r="B277" s="38" t="str">
        <v>VKM-028</v>
      </c>
      <c r="C277" s="38" t="str">
        <v>VKC-028</v>
      </c>
      <c r="D277" s="38" t="str">
        <v>VKT-028</v>
      </c>
      <c r="E277" s="38" t="str">
        <v>PR81-DRAFT</v>
      </c>
      <c r="F277" s="38" t="str">
        <v>P-BUTTER</v>
      </c>
      <c r="G277" s="38" t="str">
        <v>Масло сливочное</v>
      </c>
      <c r="H277" s="38" t="str">
        <v>RAW_OR_PURCHASED_COMPONENT</v>
      </c>
      <c r="I277" s="38" t="str">
        <v>Breakfast complex</v>
      </c>
      <c r="J277" s="38"/>
      <c r="K277" s="38" t="n">
        <v>5</v>
      </c>
      <c r="L277" s="38" t="str">
        <v>г</v>
      </c>
      <c r="M277" s="38" t="n">
        <v>5</v>
      </c>
      <c r="N277" s="38" t="str">
        <v>г</v>
      </c>
      <c r="O277" s="38" t="n">
        <v>5</v>
      </c>
      <c r="P277" s="38" t="str">
        <v>г</v>
      </c>
      <c r="Q277" s="38"/>
      <c r="R277" s="38"/>
      <c r="S277" s="38" t="str">
        <v>DRAFT</v>
      </c>
      <c r="T277" s="38"/>
      <c r="U277" s="38" t="str">
        <v>PR81 historical checkpoint; count and mass fields remain dimensionally distinct</v>
      </c>
      <c r="V277" s="38" t="str">
        <v>2026-07-27</v>
      </c>
      <c r="W277" s="38" t="str">
        <v>Chef</v>
      </c>
      <c r="X277" s="38" t="str">
        <v>CHEF_DECISION;CONTROL_COOK;SUPPLIER_DOCS</v>
      </c>
      <c r="Y277" s="39" t="str">
        <v>Not approved</v>
      </c>
    </row>
    <row r="278">
      <c r="A278" s="37" t="str">
        <v>RCP-BF-028-06</v>
      </c>
      <c r="B278" s="38" t="str">
        <v>VKM-028</v>
      </c>
      <c r="C278" s="38" t="str">
        <v>VKC-028</v>
      </c>
      <c r="D278" s="38" t="str">
        <v>VKT-028</v>
      </c>
      <c r="E278" s="38" t="str">
        <v>PR81-DRAFT</v>
      </c>
      <c r="F278" s="38" t="str">
        <v>P-SALT</v>
      </c>
      <c r="G278" s="38" t="str">
        <v>Соль</v>
      </c>
      <c r="H278" s="38" t="str">
        <v>RAW_OR_PURCHASED_COMPONENT</v>
      </c>
      <c r="I278" s="38" t="str">
        <v>Breakfast complex</v>
      </c>
      <c r="J278" s="38"/>
      <c r="K278" s="38" t="n">
        <v>1</v>
      </c>
      <c r="L278" s="38" t="str">
        <v>г</v>
      </c>
      <c r="M278" s="38" t="n">
        <v>1</v>
      </c>
      <c r="N278" s="38" t="str">
        <v>г</v>
      </c>
      <c r="O278" s="38" t="n">
        <v>1</v>
      </c>
      <c r="P278" s="38" t="str">
        <v>г</v>
      </c>
      <c r="Q278" s="38"/>
      <c r="R278" s="38"/>
      <c r="S278" s="38" t="str">
        <v>DRAFT</v>
      </c>
      <c r="T278" s="38"/>
      <c r="U278" s="38" t="str">
        <v>PR81 historical checkpoint; count and mass fields remain dimensionally distinct</v>
      </c>
      <c r="V278" s="38" t="str">
        <v>2026-07-27</v>
      </c>
      <c r="W278" s="38" t="str">
        <v>Chef</v>
      </c>
      <c r="X278" s="38" t="str">
        <v>CHEF_DECISION;CONTROL_COOK;SUPPLIER_DOCS</v>
      </c>
      <c r="Y278" s="39" t="str">
        <v>Not approved</v>
      </c>
    </row>
    <row r="279">
      <c r="A279" s="37" t="str">
        <v>RCP-BF-028-07</v>
      </c>
      <c r="B279" s="38" t="str">
        <v>VKM-028</v>
      </c>
      <c r="C279" s="38" t="str">
        <v>VKC-028</v>
      </c>
      <c r="D279" s="38" t="str">
        <v>VKT-028</v>
      </c>
      <c r="E279" s="38" t="str">
        <v>PR81-DRAFT</v>
      </c>
      <c r="F279" s="38" t="str">
        <v>P-CROISSANT-80</v>
      </c>
      <c r="G279" s="38" t="str">
        <v>Круассан 80 г</v>
      </c>
      <c r="H279" s="38" t="str">
        <v>RAW_OR_PURCHASED_COMPONENT</v>
      </c>
      <c r="I279" s="38" t="str">
        <v>Breakfast complex</v>
      </c>
      <c r="J279" s="38"/>
      <c r="K279" s="38" t="n">
        <v>1</v>
      </c>
      <c r="L279" s="38" t="str">
        <v>шт.</v>
      </c>
      <c r="M279" s="38" t="n">
        <v>80</v>
      </c>
      <c r="N279" s="38" t="str">
        <v>г</v>
      </c>
      <c r="O279" s="38" t="n">
        <v>65</v>
      </c>
      <c r="P279" s="38" t="str">
        <v>г</v>
      </c>
      <c r="Q279" s="38"/>
      <c r="R279" s="38"/>
      <c r="S279" s="38" t="str">
        <v>DRAFT</v>
      </c>
      <c r="T279" s="38"/>
      <c r="U279" s="38" t="str">
        <v>PR81 historical checkpoint; count and mass fields remain dimensionally distinct</v>
      </c>
      <c r="V279" s="38" t="str">
        <v>2026-07-27</v>
      </c>
      <c r="W279" s="38" t="str">
        <v>Chef</v>
      </c>
      <c r="X279" s="38" t="str">
        <v>CHEF_DECISION;CONTROL_COOK;SUPPLIER_DOCS</v>
      </c>
      <c r="Y279" s="39" t="str">
        <v>Not approved</v>
      </c>
    </row>
    <row r="280">
      <c r="A280" s="37" t="str">
        <v>RCP-BF-028-08</v>
      </c>
      <c r="B280" s="38" t="str">
        <v>VKM-028</v>
      </c>
      <c r="C280" s="38" t="str">
        <v>VKC-028</v>
      </c>
      <c r="D280" s="38" t="str">
        <v>VKT-028</v>
      </c>
      <c r="E280" s="38" t="str">
        <v>PR81-DRAFT</v>
      </c>
      <c r="F280" s="38" t="str">
        <v>P-CHEDDAR</v>
      </c>
      <c r="G280" s="38" t="str">
        <v>Чеддер</v>
      </c>
      <c r="H280" s="38" t="str">
        <v>RAW_OR_PURCHASED_COMPONENT</v>
      </c>
      <c r="I280" s="38" t="str">
        <v>Breakfast complex</v>
      </c>
      <c r="J280" s="38"/>
      <c r="K280" s="38" t="n">
        <v>20</v>
      </c>
      <c r="L280" s="38" t="str">
        <v>г</v>
      </c>
      <c r="M280" s="38" t="n">
        <v>20</v>
      </c>
      <c r="N280" s="38" t="str">
        <v>г</v>
      </c>
      <c r="O280" s="38" t="n">
        <v>20</v>
      </c>
      <c r="P280" s="38" t="str">
        <v>г</v>
      </c>
      <c r="Q280" s="38"/>
      <c r="R280" s="38"/>
      <c r="S280" s="38" t="str">
        <v>DRAFT</v>
      </c>
      <c r="T280" s="38"/>
      <c r="U280" s="38" t="str">
        <v>PR81 historical checkpoint; count and mass fields remain dimensionally distinct</v>
      </c>
      <c r="V280" s="38" t="str">
        <v>2026-07-27</v>
      </c>
      <c r="W280" s="38" t="str">
        <v>Chef</v>
      </c>
      <c r="X280" s="38" t="str">
        <v>CHEF_DECISION;CONTROL_COOK;SUPPLIER_DOCS</v>
      </c>
      <c r="Y280" s="39" t="str">
        <v>Not approved</v>
      </c>
    </row>
    <row r="281">
      <c r="A281" s="37" t="str">
        <v>RCP-BF-028-09</v>
      </c>
      <c r="B281" s="38" t="str">
        <v>VKM-028</v>
      </c>
      <c r="C281" s="38" t="str">
        <v>VKC-028</v>
      </c>
      <c r="D281" s="38" t="str">
        <v>VKT-028</v>
      </c>
      <c r="E281" s="38" t="str">
        <v>PR81-DRAFT</v>
      </c>
      <c r="F281" s="38" t="str">
        <v>P-FONTINA</v>
      </c>
      <c r="G281" s="38" t="str">
        <v>Fontina DOP / Fontal</v>
      </c>
      <c r="H281" s="38" t="str">
        <v>RAW_OR_PURCHASED_COMPONENT</v>
      </c>
      <c r="I281" s="38" t="str">
        <v>Breakfast complex</v>
      </c>
      <c r="J281" s="38"/>
      <c r="K281" s="38" t="n">
        <v>21</v>
      </c>
      <c r="L281" s="38" t="str">
        <v>г</v>
      </c>
      <c r="M281" s="38" t="n">
        <v>20</v>
      </c>
      <c r="N281" s="38" t="str">
        <v>г</v>
      </c>
      <c r="O281" s="38" t="n">
        <v>20</v>
      </c>
      <c r="P281" s="38" t="str">
        <v>г</v>
      </c>
      <c r="Q281" s="38"/>
      <c r="R281" s="38"/>
      <c r="S281" s="38" t="str">
        <v>ASSUMPTION</v>
      </c>
      <c r="T281" s="38"/>
      <c r="U281" s="38" t="str">
        <v>PR81 historical checkpoint; count and mass fields remain dimensionally distinct</v>
      </c>
      <c r="V281" s="38" t="str">
        <v>2026-07-27</v>
      </c>
      <c r="W281" s="38" t="str">
        <v>Chef</v>
      </c>
      <c r="X281" s="38" t="str">
        <v>CHEF_DECISION;CONTROL_COOK;SUPPLIER_DOCS</v>
      </c>
      <c r="Y281" s="39" t="str">
        <v>Not approved</v>
      </c>
    </row>
    <row r="282">
      <c r="A282" s="40" t="str">
        <v>RCP-BF-028-10</v>
      </c>
      <c r="B282" s="41" t="str">
        <v>VKM-028</v>
      </c>
      <c r="C282" s="41" t="str">
        <v>VKC-028</v>
      </c>
      <c r="D282" s="41" t="str">
        <v>VKT-028</v>
      </c>
      <c r="E282" s="41" t="str">
        <v>PR81-DRAFT</v>
      </c>
      <c r="F282" s="41" t="str">
        <v>P-DRINK</v>
      </c>
      <c r="G282" s="41" t="str">
        <v>Напиток бариста 200 мл</v>
      </c>
      <c r="H282" s="41" t="str">
        <v>RAW_OR_PURCHASED_COMPONENT</v>
      </c>
      <c r="I282" s="41" t="str">
        <v>Breakfast complex</v>
      </c>
      <c r="J282" s="41"/>
      <c r="K282" s="41" t="n">
        <v>1</v>
      </c>
      <c r="L282" s="41" t="str">
        <v>шт.</v>
      </c>
      <c r="M282" s="41" t="n">
        <v>1</v>
      </c>
      <c r="N282" s="41" t="str">
        <v>г</v>
      </c>
      <c r="O282" s="41"/>
      <c r="P282" s="41" t="str">
        <v>г</v>
      </c>
      <c r="Q282" s="41"/>
      <c r="R282" s="41"/>
      <c r="S282" s="41" t="str">
        <v>DRAFT</v>
      </c>
      <c r="T282" s="41"/>
      <c r="U282" s="41" t="str">
        <v>PR81 historical checkpoint; count and mass fields remain dimensionally distinct</v>
      </c>
      <c r="V282" s="41" t="str">
        <v>2026-07-27</v>
      </c>
      <c r="W282" s="41" t="str">
        <v>Chef</v>
      </c>
      <c r="X282" s="41" t="str">
        <v>CHEF_DECISION;CONTROL_COOK;SUPPLIER_DOCS</v>
      </c>
      <c r="Y282" s="42" t="str">
        <v>Not approved</v>
      </c>
    </row>
  </sheetData>
  <autoFilter ref="A1:Y282"/>
  <mergeCells>
    <mergeCell ref="A1:Y1"/>
    <mergeCell ref="A2:Y2"/>
  </mergeCells>
  <conditionalFormatting sqref="S5:S282">
    <cfRule type="containsText" dxfId="12" priority="1" operator="containsText" text="BLOCK"/>
    <cfRule type="containsText" dxfId="13" priority="2" operator="containsText" text="DRAFT"/>
    <cfRule type="containsText" dxfId="14" priority="3" operator="containsText" text="PASS"/>
  </conditionalFormatting>
  <pageMargins left="0.7" right="0.7" top="0.75" bottom="0.75" header="0.3" footer="0.3"/>
  <tableParts count="1">
    <tablePart r:id="R4c2166c84a054d93"/>
  </tablePart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3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24" hidden="0" customWidth="1"/>
    <col min="15" max="15" width="24" hidden="0" customWidth="1"/>
    <col min="16" max="16" width="16" hidden="0" customWidth="1"/>
    <col min="17" max="17" width="38" hidden="0" customWidth="1"/>
    <col min="18" max="18" width="16" hidden="0" customWidth="1"/>
    <col min="19" max="19" width="16" hidden="0" customWidth="1"/>
    <col min="20" max="20" width="16" hidden="0" customWidth="1"/>
    <col min="21" max="21" width="24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24" hidden="0" customWidth="1"/>
    <col min="28" max="28" width="24" hidden="0" customWidth="1"/>
  </cols>
  <sheetData>
    <row r="1">
      <c r="A1" s="8" t="str">
        <v>03 — Полуфабрикаты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1" t="str">
        <v>DAG и make-or-buy решения остаются DRAFT.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4" ht="50" customHeight="1">
      <c r="A4" s="14" t="str">
        <v>vsf_code</v>
      </c>
      <c r="B4" s="14" t="str">
        <v>semi_finished_name</v>
      </c>
      <c r="C4" s="14" t="str">
        <v>recipe_version</v>
      </c>
      <c r="D4" s="14" t="str">
        <v>canonical_batch_variant_id</v>
      </c>
      <c r="E4" s="14" t="str">
        <v>batch_variant_count</v>
      </c>
      <c r="F4" s="14" t="str">
        <v>batch_basis</v>
      </c>
      <c r="G4" s="14" t="str">
        <v>batch_gross_qty</v>
      </c>
      <c r="H4" s="14" t="str">
        <v>batch_net_qty</v>
      </c>
      <c r="I4" s="14" t="str">
        <v>projected_batch_output</v>
      </c>
      <c r="J4" s="14" t="str">
        <v>output_unit</v>
      </c>
      <c r="K4" s="14" t="str">
        <v>linked_dish_codes</v>
      </c>
      <c r="L4" s="14" t="str">
        <v>child_vsf_codes</v>
      </c>
      <c r="M4" s="14" t="str">
        <v>reuse_candidate</v>
      </c>
      <c r="N4" s="14" t="str">
        <v>card_status</v>
      </c>
      <c r="O4" s="14" t="str">
        <v>parameter_status</v>
      </c>
      <c r="P4" s="14" t="str">
        <v>evidence_ids</v>
      </c>
      <c r="Q4" s="14" t="str">
        <v>method_or_source_note</v>
      </c>
      <c r="R4" s="14" t="str">
        <v>source_date</v>
      </c>
      <c r="S4" s="14" t="str">
        <v>confirmation_owner</v>
      </c>
      <c r="T4" s="14" t="str">
        <v>blocker_ids</v>
      </c>
      <c r="U4" s="14" t="str">
        <v>safety_status</v>
      </c>
      <c r="V4" s="14" t="str">
        <v>safety_blocker_ids</v>
      </c>
      <c r="W4" s="14" t="str">
        <v>next_action</v>
      </c>
      <c r="X4" s="14" t="str">
        <v>cost_per_output_rule</v>
      </c>
      <c r="Y4" s="14" t="str">
        <v>double_counting_rule</v>
      </c>
      <c r="Z4" s="14" t="str">
        <v>record_type</v>
      </c>
      <c r="AA4" s="14" t="str">
        <v>make_or_buy_status</v>
      </c>
      <c r="AB4" s="14" t="str">
        <v>graph_link_status</v>
      </c>
    </row>
    <row r="5">
      <c r="A5" s="34" t="str">
        <v>VSF-001</v>
      </c>
      <c r="B5" s="35" t="str">
        <v>Тесто для пиццы базовое</v>
      </c>
      <c r="C5" s="35" t="str">
        <v>0.1.0-DRAFT</v>
      </c>
      <c r="D5" s="35" t="str">
        <v>VSF-001@VKM-001</v>
      </c>
      <c r="E5" s="35" t="n">
        <v>4</v>
      </c>
      <c r="F5" s="35" t="str">
        <v>Chef draft source portion/batch; canonical is architecture reference, not approved production batch</v>
      </c>
      <c r="G5" s="35" t="n">
        <v>238</v>
      </c>
      <c r="H5" s="35" t="n">
        <v>238</v>
      </c>
      <c r="I5" s="35" t="n">
        <v>213</v>
      </c>
      <c r="J5" s="35" t="str">
        <v>г</v>
      </c>
      <c r="K5" s="35" t="str">
        <v>VKM-001;VKM-002;VKM-003;VKM-004</v>
      </c>
      <c r="L5" s="35" t="str">
        <v>null</v>
      </c>
      <c r="M5" s="35" t="str">
        <v>Да</v>
      </c>
      <c r="N5" s="35" t="str">
        <v>BLOCKED_PENDING_VALIDATION</v>
      </c>
      <c r="O5" s="35" t="str">
        <v>ASSUMPTION</v>
      </c>
      <c r="P5" s="35" t="str">
        <v>EVD-0009;EVD-0007;EVD-0008</v>
      </c>
      <c r="Q5" s="35" t="str">
        <v>Draft batch reconstructed only from Chef HOF-0002 quantities; factual yield not asserted; consuming-dish variants conflict and remain explicit pending Chef freeze</v>
      </c>
      <c r="R5" s="35" t="str">
        <v>2026-08-03</v>
      </c>
      <c r="S5" s="35" t="str">
        <v>Chef / SemiFinishedProductsAgent</v>
      </c>
      <c r="T5" s="35" t="str">
        <v>GAP-006;GAP-010;GAP-011;GAP-SF-001</v>
      </c>
      <c r="U5" s="35" t="str">
        <v>BLOCKED_PENDING_VALIDATION</v>
      </c>
      <c r="V5" s="35" t="str">
        <v>GAP-010;GAP-011</v>
      </c>
      <c r="W5" s="35" t="str">
        <v>Chef freezes batch formula/output and variant decision; control cook weighs inputs, loss and output; FoodSafetyAgent re-reviews process and limits</v>
      </c>
      <c r="X5" s="35" t="str">
        <v>For the mapping-selected variant: SUM(raw extended costs + child VSF quantity × accepted child cost/output) / projected batch output; factual costing waits for accepted prices and output</v>
      </c>
      <c r="Y5" s="35" t="str">
        <v>At each parent include either CHILD_VSF cost or that child's raw lines, never both; top-level dish excludes flattened lines reassigned to a VSF</v>
      </c>
      <c r="Z5" s="35" t="str">
        <v>REAL_VSF_CANDIDATE</v>
      </c>
      <c r="AA5" s="35" t="str">
        <v>UNRESOLVED</v>
      </c>
      <c r="AB5" s="36" t="str">
        <v>SOURCE_DAG_CONTROLLED</v>
      </c>
    </row>
    <row r="6">
      <c r="A6" s="37" t="str">
        <v>VSF-002</v>
      </c>
      <c r="B6" s="38" t="str">
        <v>Соус томатный для пиццы</v>
      </c>
      <c r="C6" s="38" t="str">
        <v>0.1.0-DRAFT</v>
      </c>
      <c r="D6" s="38" t="str">
        <v>VSF-002@VKM-001</v>
      </c>
      <c r="E6" s="38" t="n">
        <v>4</v>
      </c>
      <c r="F6" s="38" t="str">
        <v>Chef draft source portion/batch; canonical is architecture reference, not approved production batch</v>
      </c>
      <c r="G6" s="38" t="n">
        <v>83.2</v>
      </c>
      <c r="H6" s="38" t="n">
        <v>83</v>
      </c>
      <c r="I6" s="38" t="n">
        <v>80</v>
      </c>
      <c r="J6" s="38" t="str">
        <v>г</v>
      </c>
      <c r="K6" s="38" t="str">
        <v>VKM-001;VKM-002;VKM-003;VKM-004</v>
      </c>
      <c r="L6" s="38" t="str">
        <v>null</v>
      </c>
      <c r="M6" s="38" t="str">
        <v>Да</v>
      </c>
      <c r="N6" s="38" t="str">
        <v>BLOCKED_PENDING_VALIDATION</v>
      </c>
      <c r="O6" s="38" t="str">
        <v>ASSUMPTION</v>
      </c>
      <c r="P6" s="38" t="str">
        <v>EVD-0009;EVD-0007;EVD-0008</v>
      </c>
      <c r="Q6" s="38" t="str">
        <v>Draft batch reconstructed only from Chef HOF-0002 quantities; factual yield not asserted; consuming-dish variants conflict and remain explicit pending Chef freeze</v>
      </c>
      <c r="R6" s="38" t="str">
        <v>2026-08-03</v>
      </c>
      <c r="S6" s="38" t="str">
        <v>Chef / SemiFinishedProductsAgent</v>
      </c>
      <c r="T6" s="38" t="str">
        <v>GAP-006;GAP-010;GAP-011;GAP-SF-001</v>
      </c>
      <c r="U6" s="38" t="str">
        <v>BLOCKED_PENDING_VALIDATION</v>
      </c>
      <c r="V6" s="38" t="str">
        <v>GAP-010;GAP-011</v>
      </c>
      <c r="W6" s="38" t="str">
        <v>Chef freezes batch formula/output and variant decision; control cook weighs inputs, loss and output; FoodSafetyAgent re-reviews process and limits</v>
      </c>
      <c r="X6" s="38" t="str">
        <v>For the mapping-selected variant: SUM(raw extended costs + child VSF quantity × accepted child cost/output) / projected batch output; factual costing waits for accepted prices and output</v>
      </c>
      <c r="Y6" s="38" t="str">
        <v>At each parent include either CHILD_VSF cost or that child's raw lines, never both; top-level dish excludes flattened lines reassigned to a VSF</v>
      </c>
      <c r="Z6" s="38" t="str">
        <v>REAL_VSF_CANDIDATE</v>
      </c>
      <c r="AA6" s="38" t="str">
        <v>UNRESOLVED</v>
      </c>
      <c r="AB6" s="39" t="str">
        <v>SOURCE_DAG_CONTROLLED</v>
      </c>
    </row>
    <row r="7">
      <c r="A7" s="37" t="str">
        <v>VSF-003</v>
      </c>
      <c r="B7" s="38" t="str">
        <v>Тесто чиабатты белой</v>
      </c>
      <c r="C7" s="38" t="str">
        <v>0.1.0-DRAFT</v>
      </c>
      <c r="D7" s="38" t="str">
        <v>VSF-003@BASE</v>
      </c>
      <c r="E7" s="38" t="n">
        <v>1</v>
      </c>
      <c r="F7" s="38" t="str">
        <v>Chef draft source portion/batch; canonical is architecture reference, not approved production batch</v>
      </c>
      <c r="G7" s="38" t="n">
        <v>111</v>
      </c>
      <c r="H7" s="38" t="n">
        <v>111</v>
      </c>
      <c r="I7" s="38" t="n">
        <v>100</v>
      </c>
      <c r="J7" s="38" t="str">
        <v>г</v>
      </c>
      <c r="K7" s="38" t="str">
        <v>VKM-005</v>
      </c>
      <c r="L7" s="38" t="str">
        <v>null</v>
      </c>
      <c r="M7" s="38" t="str">
        <v>Нет</v>
      </c>
      <c r="N7" s="38" t="str">
        <v>DRAFT_WITH_ASSUMPTIONS</v>
      </c>
      <c r="O7" s="38" t="str">
        <v>ASSUMPTION</v>
      </c>
      <c r="P7" s="38" t="str">
        <v>EVD-0009;EVD-0007;EVD-0008</v>
      </c>
      <c r="Q7" s="38" t="str">
        <v>Draft batch reconstructed only from Chef HOF-0002 quantities; factual yield not asserted</v>
      </c>
      <c r="R7" s="38" t="str">
        <v>2026-08-03</v>
      </c>
      <c r="S7" s="38" t="str">
        <v>Chef / SemiFinishedProductsAgent</v>
      </c>
      <c r="T7" s="38" t="str">
        <v>GAP-006;GAP-010;GAP-011</v>
      </c>
      <c r="U7" s="38" t="str">
        <v>BLOCKED_PENDING_VALIDATION</v>
      </c>
      <c r="V7" s="38" t="str">
        <v>GAP-010;GAP-011</v>
      </c>
      <c r="W7" s="38" t="str">
        <v>Chef freezes batch formula/output and variant decision; control cook weighs inputs, loss and output; FoodSafetyAgent re-reviews process and limits</v>
      </c>
      <c r="X7" s="38" t="str">
        <v>For the mapping-selected variant: SUM(raw extended costs + child VSF quantity × accepted child cost/output) / projected batch output; factual costing waits for accepted prices and output</v>
      </c>
      <c r="Y7" s="38" t="str">
        <v>At each parent include either CHILD_VSF cost or that child's raw lines, never both; top-level dish excludes flattened lines reassigned to a VSF</v>
      </c>
      <c r="Z7" s="38" t="str">
        <v>REAL_VSF_CANDIDATE</v>
      </c>
      <c r="AA7" s="38" t="str">
        <v>UNRESOLVED</v>
      </c>
      <c r="AB7" s="39" t="str">
        <v>SOURCE_DAG_CONTROLLED</v>
      </c>
    </row>
    <row r="8">
      <c r="A8" s="37" t="str">
        <v>VSF-004</v>
      </c>
      <c r="B8" s="38" t="str">
        <v>Тесто чиабатты томатной</v>
      </c>
      <c r="C8" s="38" t="str">
        <v>0.1.0-DRAFT</v>
      </c>
      <c r="D8" s="38" t="str">
        <v>VSF-004@BASE</v>
      </c>
      <c r="E8" s="38" t="n">
        <v>1</v>
      </c>
      <c r="F8" s="38" t="str">
        <v>Chef draft source portion/batch; canonical is architecture reference, not approved production batch</v>
      </c>
      <c r="G8" s="38" t="n">
        <v>112</v>
      </c>
      <c r="H8" s="38" t="n">
        <v>112</v>
      </c>
      <c r="I8" s="38" t="n">
        <v>100</v>
      </c>
      <c r="J8" s="38" t="str">
        <v>г</v>
      </c>
      <c r="K8" s="38" t="str">
        <v>VKM-006</v>
      </c>
      <c r="L8" s="38" t="str">
        <v>null</v>
      </c>
      <c r="M8" s="38" t="str">
        <v>Нет</v>
      </c>
      <c r="N8" s="38" t="str">
        <v>DRAFT_WITH_ASSUMPTIONS</v>
      </c>
      <c r="O8" s="38" t="str">
        <v>ASSUMPTION</v>
      </c>
      <c r="P8" s="38" t="str">
        <v>EVD-0009;EVD-0007;EVD-0008</v>
      </c>
      <c r="Q8" s="38" t="str">
        <v>Draft batch reconstructed only from Chef HOF-0002 quantities; factual yield not asserted</v>
      </c>
      <c r="R8" s="38" t="str">
        <v>2026-08-03</v>
      </c>
      <c r="S8" s="38" t="str">
        <v>Chef / SemiFinishedProductsAgent</v>
      </c>
      <c r="T8" s="38" t="str">
        <v>GAP-006;GAP-010;GAP-011</v>
      </c>
      <c r="U8" s="38" t="str">
        <v>BLOCKED_PENDING_VALIDATION</v>
      </c>
      <c r="V8" s="38" t="str">
        <v>GAP-010;GAP-011</v>
      </c>
      <c r="W8" s="38" t="str">
        <v>Chef freezes batch formula/output and variant decision; control cook weighs inputs, loss and output; FoodSafetyAgent re-reviews process and limits</v>
      </c>
      <c r="X8" s="38" t="str">
        <v>For the mapping-selected variant: SUM(raw extended costs + child VSF quantity × accepted child cost/output) / projected batch output; factual costing waits for accepted prices and output</v>
      </c>
      <c r="Y8" s="38" t="str">
        <v>At each parent include either CHILD_VSF cost or that child's raw lines, never both; top-level dish excludes flattened lines reassigned to a VSF</v>
      </c>
      <c r="Z8" s="38" t="str">
        <v>REAL_VSF_CANDIDATE</v>
      </c>
      <c r="AA8" s="38" t="str">
        <v>UNRESOLVED</v>
      </c>
      <c r="AB8" s="39" t="str">
        <v>SOURCE_DAG_CONTROLLED</v>
      </c>
    </row>
    <row r="9">
      <c r="A9" s="37" t="str">
        <v>VSF-005</v>
      </c>
      <c r="B9" s="38" t="str">
        <v>Тесто/заварка бородинского хлеба</v>
      </c>
      <c r="C9" s="38" t="str">
        <v>0.1.0-DRAFT</v>
      </c>
      <c r="D9" s="38" t="str">
        <v>VSF-005@BASE</v>
      </c>
      <c r="E9" s="38" t="n">
        <v>1</v>
      </c>
      <c r="F9" s="38" t="str">
        <v>Chef draft source portion/batch; canonical is architecture reference, not approved production batch</v>
      </c>
      <c r="G9" s="38" t="n">
        <v>395</v>
      </c>
      <c r="H9" s="38" t="n">
        <v>395</v>
      </c>
      <c r="I9" s="38" t="n">
        <v>350</v>
      </c>
      <c r="J9" s="38" t="str">
        <v>г</v>
      </c>
      <c r="K9" s="38" t="str">
        <v>VKM-007</v>
      </c>
      <c r="L9" s="38" t="str">
        <v>null</v>
      </c>
      <c r="M9" s="38" t="str">
        <v>Нет</v>
      </c>
      <c r="N9" s="38" t="str">
        <v>DRAFT_WITH_ASSUMPTIONS</v>
      </c>
      <c r="O9" s="38" t="str">
        <v>ASSUMPTION</v>
      </c>
      <c r="P9" s="38" t="str">
        <v>EVD-0009;EVD-0007;EVD-0008</v>
      </c>
      <c r="Q9" s="38" t="str">
        <v>Draft batch reconstructed only from Chef HOF-0002 quantities; factual yield not asserted</v>
      </c>
      <c r="R9" s="38" t="str">
        <v>2026-08-03</v>
      </c>
      <c r="S9" s="38" t="str">
        <v>Chef / SemiFinishedProductsAgent</v>
      </c>
      <c r="T9" s="38" t="str">
        <v>GAP-006;GAP-010;GAP-011</v>
      </c>
      <c r="U9" s="38" t="str">
        <v>BLOCKED_PENDING_VALIDATION</v>
      </c>
      <c r="V9" s="38" t="str">
        <v>GAP-010;GAP-011</v>
      </c>
      <c r="W9" s="38" t="str">
        <v>Chef freezes batch formula/output and variant decision; control cook weighs inputs, loss and output; FoodSafetyAgent re-reviews process and limits</v>
      </c>
      <c r="X9" s="38" t="str">
        <v>For the mapping-selected variant: SUM(raw extended costs + child VSF quantity × accepted child cost/output) / projected batch output; factual costing waits for accepted prices and output</v>
      </c>
      <c r="Y9" s="38" t="str">
        <v>At each parent include either CHILD_VSF cost or that child's raw lines, never both; top-level dish excludes flattened lines reassigned to a VSF</v>
      </c>
      <c r="Z9" s="38" t="str">
        <v>REAL_VSF_CANDIDATE</v>
      </c>
      <c r="AA9" s="38" t="str">
        <v>UNRESOLVED</v>
      </c>
      <c r="AB9" s="39" t="str">
        <v>SOURCE_DAG_CONTROLLED</v>
      </c>
    </row>
    <row r="10">
      <c r="A10" s="37" t="str">
        <v>VSF-006</v>
      </c>
      <c r="B10" s="38" t="str">
        <v>Тесто бриоши</v>
      </c>
      <c r="C10" s="38" t="str">
        <v>0.1.0-DRAFT</v>
      </c>
      <c r="D10" s="38" t="str">
        <v>VSF-006@BASE</v>
      </c>
      <c r="E10" s="38" t="n">
        <v>1</v>
      </c>
      <c r="F10" s="38" t="str">
        <v>Chef draft source portion/batch; canonical is architecture reference, not approved production batch</v>
      </c>
      <c r="G10" s="38" t="n">
        <v>90</v>
      </c>
      <c r="H10" s="38" t="n">
        <v>90</v>
      </c>
      <c r="I10" s="38" t="n">
        <v>85</v>
      </c>
      <c r="J10" s="38" t="str">
        <v>г</v>
      </c>
      <c r="K10" s="38" t="str">
        <v>VKM-008;VKM-021</v>
      </c>
      <c r="L10" s="38" t="str">
        <v>null</v>
      </c>
      <c r="M10" s="38" t="str">
        <v>Да</v>
      </c>
      <c r="N10" s="38" t="str">
        <v>DRAFT_WITH_ASSUMPTIONS</v>
      </c>
      <c r="O10" s="38" t="str">
        <v>ASSUMPTION</v>
      </c>
      <c r="P10" s="38" t="str">
        <v>EVD-0009;EVD-0007;EVD-0008</v>
      </c>
      <c r="Q10" s="38" t="str">
        <v>Draft batch reconstructed only from Chef HOF-0002 quantities; factual yield not asserted; special mapping is documented in SEMI_FINISHED_MAPPING.csv</v>
      </c>
      <c r="R10" s="38" t="str">
        <v>2026-08-03</v>
      </c>
      <c r="S10" s="38" t="str">
        <v>Chef / SemiFinishedProductsAgent</v>
      </c>
      <c r="T10" s="38" t="str">
        <v>GAP-006;GAP-010;GAP-011</v>
      </c>
      <c r="U10" s="38" t="str">
        <v>BLOCKED_PENDING_VALIDATION</v>
      </c>
      <c r="V10" s="38" t="str">
        <v>GAP-010;GAP-011</v>
      </c>
      <c r="W10" s="38" t="str">
        <v>Chef freezes batch formula/output and variant decision; control cook weighs inputs, loss and output; FoodSafetyAgent re-reviews process and limits</v>
      </c>
      <c r="X10" s="38" t="str">
        <v>For the mapping-selected variant: SUM(raw extended costs + child VSF quantity × accepted child cost/output) / projected batch output; factual costing waits for accepted prices and output</v>
      </c>
      <c r="Y10" s="38" t="str">
        <v>At each parent include either CHILD_VSF cost or that child's raw lines, never both; top-level dish excludes flattened lines reassigned to a VSF</v>
      </c>
      <c r="Z10" s="38" t="str">
        <v>REAL_VSF_CANDIDATE</v>
      </c>
      <c r="AA10" s="38" t="str">
        <v>UNRESOLVED</v>
      </c>
      <c r="AB10" s="39" t="str">
        <v>SOURCE_DAG_CONTROLLED</v>
      </c>
    </row>
    <row r="11">
      <c r="A11" s="37" t="str">
        <v>VSF-007</v>
      </c>
      <c r="B11" s="38" t="str">
        <v>Заправка к буррате</v>
      </c>
      <c r="C11" s="38" t="str">
        <v>0.1.0-DRAFT</v>
      </c>
      <c r="D11" s="38" t="str">
        <v>VSF-007@BASE</v>
      </c>
      <c r="E11" s="38" t="n">
        <v>1</v>
      </c>
      <c r="F11" s="38" t="str">
        <v>Chef draft source portion/batch; canonical is architecture reference, not approved production batch</v>
      </c>
      <c r="G11" s="38" t="n">
        <v>30</v>
      </c>
      <c r="H11" s="38" t="n">
        <v>30</v>
      </c>
      <c r="I11" s="38" t="n">
        <v>30</v>
      </c>
      <c r="J11" s="38" t="str">
        <v>г</v>
      </c>
      <c r="K11" s="38" t="str">
        <v>VKM-009</v>
      </c>
      <c r="L11" s="38" t="str">
        <v>null</v>
      </c>
      <c r="M11" s="38" t="str">
        <v>Нет</v>
      </c>
      <c r="N11" s="38" t="str">
        <v>DRAFT_WITH_ASSUMPTIONS</v>
      </c>
      <c r="O11" s="38" t="str">
        <v>ASSUMPTION</v>
      </c>
      <c r="P11" s="38" t="str">
        <v>EVD-0009;EVD-0007;EVD-0008</v>
      </c>
      <c r="Q11" s="38" t="str">
        <v>Draft batch reconstructed only from Chef HOF-0002 quantities; factual yield not asserted</v>
      </c>
      <c r="R11" s="38" t="str">
        <v>2026-08-03</v>
      </c>
      <c r="S11" s="38" t="str">
        <v>Chef / SemiFinishedProductsAgent</v>
      </c>
      <c r="T11" s="38" t="str">
        <v>GAP-006;GAP-010;GAP-011</v>
      </c>
      <c r="U11" s="38" t="str">
        <v>BLOCKED_PENDING_VALIDATION</v>
      </c>
      <c r="V11" s="38" t="str">
        <v>GAP-010;GAP-011</v>
      </c>
      <c r="W11" s="38" t="str">
        <v>Chef freezes batch formula/output and variant decision; control cook weighs inputs, loss and output; FoodSafetyAgent re-reviews process and limits</v>
      </c>
      <c r="X11" s="38" t="str">
        <v>For the mapping-selected variant: SUM(raw extended costs + child VSF quantity × accepted child cost/output) / projected batch output; factual costing waits for accepted prices and output</v>
      </c>
      <c r="Y11" s="38" t="str">
        <v>At each parent include either CHILD_VSF cost or that child's raw lines, never both; top-level dish excludes flattened lines reassigned to a VSF</v>
      </c>
      <c r="Z11" s="38" t="str">
        <v>REAL_VSF_CANDIDATE</v>
      </c>
      <c r="AA11" s="38" t="str">
        <v>UNRESOLVED</v>
      </c>
      <c r="AB11" s="39" t="str">
        <v>SOURCE_DAG_CONTROLLED</v>
      </c>
    </row>
    <row r="12">
      <c r="A12" s="37" t="str">
        <v>VSF-008</v>
      </c>
      <c r="B12" s="38" t="str">
        <v>Заправка к салату с креветками</v>
      </c>
      <c r="C12" s="38" t="str">
        <v>0.1.0-DRAFT</v>
      </c>
      <c r="D12" s="38" t="str">
        <v>VSF-008@BASE</v>
      </c>
      <c r="E12" s="38" t="n">
        <v>1</v>
      </c>
      <c r="F12" s="38" t="str">
        <v>Chef draft source portion/batch; canonical is architecture reference, not approved production batch</v>
      </c>
      <c r="G12" s="38" t="n">
        <v>22</v>
      </c>
      <c r="H12" s="38" t="n">
        <v>20</v>
      </c>
      <c r="I12" s="38" t="n">
        <v>20</v>
      </c>
      <c r="J12" s="38" t="str">
        <v>г</v>
      </c>
      <c r="K12" s="38" t="str">
        <v>VKM-010</v>
      </c>
      <c r="L12" s="38" t="str">
        <v>null</v>
      </c>
      <c r="M12" s="38" t="str">
        <v>Нет</v>
      </c>
      <c r="N12" s="38" t="str">
        <v>DRAFT_WITH_ASSUMPTIONS</v>
      </c>
      <c r="O12" s="38" t="str">
        <v>ASSUMPTION</v>
      </c>
      <c r="P12" s="38" t="str">
        <v>EVD-0009;EVD-0007;EVD-0008</v>
      </c>
      <c r="Q12" s="38" t="str">
        <v>Draft batch reconstructed only from Chef HOF-0002 quantities; factual yield not asserted</v>
      </c>
      <c r="R12" s="38" t="str">
        <v>2026-08-03</v>
      </c>
      <c r="S12" s="38" t="str">
        <v>Chef / SemiFinishedProductsAgent</v>
      </c>
      <c r="T12" s="38" t="str">
        <v>GAP-006;GAP-010;GAP-011</v>
      </c>
      <c r="U12" s="38" t="str">
        <v>BLOCKED_PENDING_VALIDATION</v>
      </c>
      <c r="V12" s="38" t="str">
        <v>GAP-010;GAP-011</v>
      </c>
      <c r="W12" s="38" t="str">
        <v>Chef freezes batch formula/output and variant decision; control cook weighs inputs, loss and output; FoodSafetyAgent re-reviews process and limits</v>
      </c>
      <c r="X12" s="38" t="str">
        <v>For the mapping-selected variant: SUM(raw extended costs + child VSF quantity × accepted child cost/output) / projected batch output; factual costing waits for accepted prices and output</v>
      </c>
      <c r="Y12" s="38" t="str">
        <v>At each parent include either CHILD_VSF cost or that child's raw lines, never both; top-level dish excludes flattened lines reassigned to a VSF</v>
      </c>
      <c r="Z12" s="38" t="str">
        <v>REAL_VSF_CANDIDATE</v>
      </c>
      <c r="AA12" s="38" t="str">
        <v>UNRESOLVED</v>
      </c>
      <c r="AB12" s="39" t="str">
        <v>SOURCE_DAG_CONTROLLED</v>
      </c>
    </row>
    <row r="13">
      <c r="A13" s="37" t="str">
        <v>VSF-009</v>
      </c>
      <c r="B13" s="38" t="str">
        <v>Заправка греческая</v>
      </c>
      <c r="C13" s="38" t="str">
        <v>0.1.0-DRAFT</v>
      </c>
      <c r="D13" s="38" t="str">
        <v>VSF-009@BASE</v>
      </c>
      <c r="E13" s="38" t="n">
        <v>1</v>
      </c>
      <c r="F13" s="38" t="str">
        <v>Chef draft source portion/batch; canonical is architecture reference, not approved production batch</v>
      </c>
      <c r="G13" s="38" t="n">
        <v>11</v>
      </c>
      <c r="H13" s="38" t="n">
        <v>10</v>
      </c>
      <c r="I13" s="38" t="n">
        <v>10</v>
      </c>
      <c r="J13" s="38" t="str">
        <v>г</v>
      </c>
      <c r="K13" s="38" t="str">
        <v>VKM-011</v>
      </c>
      <c r="L13" s="38" t="str">
        <v>null</v>
      </c>
      <c r="M13" s="38" t="str">
        <v>Нет</v>
      </c>
      <c r="N13" s="38" t="str">
        <v>DRAFT_WITH_ASSUMPTIONS</v>
      </c>
      <c r="O13" s="38" t="str">
        <v>ASSUMPTION</v>
      </c>
      <c r="P13" s="38" t="str">
        <v>EVD-0009;EVD-0007;EVD-0008</v>
      </c>
      <c r="Q13" s="38" t="str">
        <v>Draft batch reconstructed only from Chef HOF-0002 quantities; factual yield not asserted</v>
      </c>
      <c r="R13" s="38" t="str">
        <v>2026-08-03</v>
      </c>
      <c r="S13" s="38" t="str">
        <v>Chef / SemiFinishedProductsAgent</v>
      </c>
      <c r="T13" s="38" t="str">
        <v>GAP-006;GAP-010;GAP-011</v>
      </c>
      <c r="U13" s="38" t="str">
        <v>BLOCKED_PENDING_VALIDATION</v>
      </c>
      <c r="V13" s="38" t="str">
        <v>GAP-010;GAP-011</v>
      </c>
      <c r="W13" s="38" t="str">
        <v>Chef freezes batch formula/output and variant decision; control cook weighs inputs, loss and output; FoodSafetyAgent re-reviews process and limits</v>
      </c>
      <c r="X13" s="38" t="str">
        <v>For the mapping-selected variant: SUM(raw extended costs + child VSF quantity × accepted child cost/output) / projected batch output; factual costing waits for accepted prices and output</v>
      </c>
      <c r="Y13" s="38" t="str">
        <v>At each parent include either CHILD_VSF cost or that child's raw lines, never both; top-level dish excludes flattened lines reassigned to a VSF</v>
      </c>
      <c r="Z13" s="38" t="str">
        <v>REAL_VSF_CANDIDATE</v>
      </c>
      <c r="AA13" s="38" t="str">
        <v>UNRESOLVED</v>
      </c>
      <c r="AB13" s="39" t="str">
        <v>SOURCE_DAG_CONTROLLED</v>
      </c>
    </row>
    <row r="14">
      <c r="A14" s="37" t="str">
        <v>VSF-010</v>
      </c>
      <c r="B14" s="38" t="str">
        <v>Отварные овощи для винегрета</v>
      </c>
      <c r="C14" s="38" t="str">
        <v>0.1.0-DRAFT</v>
      </c>
      <c r="D14" s="38" t="str">
        <v>VSF-010@BASE</v>
      </c>
      <c r="E14" s="38" t="n">
        <v>1</v>
      </c>
      <c r="F14" s="38" t="str">
        <v>Chef draft source portion/batch; canonical is architecture reference, not approved production batch</v>
      </c>
      <c r="G14" s="38" t="n">
        <v>198</v>
      </c>
      <c r="H14" s="38" t="n">
        <v>180</v>
      </c>
      <c r="I14" s="38" t="n">
        <v>160</v>
      </c>
      <c r="J14" s="38" t="str">
        <v>г</v>
      </c>
      <c r="K14" s="38" t="str">
        <v>VKM-012</v>
      </c>
      <c r="L14" s="38" t="str">
        <v>null</v>
      </c>
      <c r="M14" s="38" t="str">
        <v>Нет</v>
      </c>
      <c r="N14" s="38" t="str">
        <v>DRAFT_WITH_ASSUMPTIONS</v>
      </c>
      <c r="O14" s="38" t="str">
        <v>ASSUMPTION</v>
      </c>
      <c r="P14" s="38" t="str">
        <v>EVD-0009;EVD-0007;EVD-0008</v>
      </c>
      <c r="Q14" s="38" t="str">
        <v>Draft batch reconstructed only from Chef HOF-0002 quantities; factual yield not asserted</v>
      </c>
      <c r="R14" s="38" t="str">
        <v>2026-08-03</v>
      </c>
      <c r="S14" s="38" t="str">
        <v>Chef / SemiFinishedProductsAgent</v>
      </c>
      <c r="T14" s="38" t="str">
        <v>GAP-006;GAP-010;GAP-011</v>
      </c>
      <c r="U14" s="38" t="str">
        <v>BLOCKED_PENDING_VALIDATION</v>
      </c>
      <c r="V14" s="38" t="str">
        <v>GAP-010;GAP-011</v>
      </c>
      <c r="W14" s="38" t="str">
        <v>Chef freezes batch formula/output and variant decision; control cook weighs inputs, loss and output; FoodSafetyAgent re-reviews process and limits</v>
      </c>
      <c r="X14" s="38" t="str">
        <v>For the mapping-selected variant: SUM(raw extended costs + child VSF quantity × accepted child cost/output) / projected batch output; factual costing waits for accepted prices and output</v>
      </c>
      <c r="Y14" s="38" t="str">
        <v>At each parent include either CHILD_VSF cost or that child's raw lines, never both; top-level dish excludes flattened lines reassigned to a VSF</v>
      </c>
      <c r="Z14" s="38" t="str">
        <v>REAL_VSF_CANDIDATE</v>
      </c>
      <c r="AA14" s="38" t="str">
        <v>UNRESOLVED</v>
      </c>
      <c r="AB14" s="39" t="str">
        <v>SOURCE_DAG_CONTROLLED</v>
      </c>
    </row>
    <row r="15">
      <c r="A15" s="37" t="str">
        <v>VSF-011</v>
      </c>
      <c r="B15" s="38" t="str">
        <v>Картофель запечённый для закуски</v>
      </c>
      <c r="C15" s="38" t="str">
        <v>0.1.0-DRAFT</v>
      </c>
      <c r="D15" s="38" t="str">
        <v>VSF-011@VKM-023</v>
      </c>
      <c r="E15" s="38" t="n">
        <v>1</v>
      </c>
      <c r="F15" s="38" t="str">
        <v>Chef draft source portion/batch; canonical is architecture reference, not approved production batch</v>
      </c>
      <c r="G15" s="38" t="n">
        <v>185</v>
      </c>
      <c r="H15" s="38" t="n">
        <v>165</v>
      </c>
      <c r="I15" s="38" t="n">
        <v>150</v>
      </c>
      <c r="J15" s="38" t="str">
        <v>г</v>
      </c>
      <c r="K15" s="38" t="str">
        <v>VKM-014;VKM-023</v>
      </c>
      <c r="L15" s="38" t="str">
        <v>null</v>
      </c>
      <c r="M15" s="38" t="str">
        <v>Да</v>
      </c>
      <c r="N15" s="38" t="str">
        <v>DRAFT_WITH_ASSUMPTIONS</v>
      </c>
      <c r="O15" s="38" t="str">
        <v>ASSUMPTION</v>
      </c>
      <c r="P15" s="38" t="str">
        <v>EVD-0009;EVD-0007;EVD-0008</v>
      </c>
      <c r="Q15" s="38" t="str">
        <v>Draft batch reconstructed only from Chef HOF-0002 quantities; factual yield not asserted; production recipe sourced from VKM-023 and mapped to VKM-014 consumption; special mapping is documented in SEMI_FINISHED_MAPPING.csv</v>
      </c>
      <c r="R15" s="38" t="str">
        <v>2026-08-03</v>
      </c>
      <c r="S15" s="38" t="str">
        <v>Chef / SemiFinishedProductsAgent</v>
      </c>
      <c r="T15" s="38" t="str">
        <v>GAP-006;GAP-010;GAP-011</v>
      </c>
      <c r="U15" s="38" t="str">
        <v>BLOCKED_PENDING_VALIDATION</v>
      </c>
      <c r="V15" s="38" t="str">
        <v>GAP-010;GAP-011</v>
      </c>
      <c r="W15" s="38" t="str">
        <v>Chef freezes batch formula/output and variant decision; control cook weighs inputs, loss and output; FoodSafetyAgent re-reviews process and limits</v>
      </c>
      <c r="X15" s="38" t="str">
        <v>For the mapping-selected variant: SUM(raw extended costs + child VSF quantity × accepted child cost/output) / projected batch output; factual costing waits for accepted prices and output</v>
      </c>
      <c r="Y15" s="38" t="str">
        <v>At each parent include either CHILD_VSF cost or that child's raw lines, never both; top-level dish excludes flattened lines reassigned to a VSF</v>
      </c>
      <c r="Z15" s="38" t="str">
        <v>REAL_VSF_CANDIDATE</v>
      </c>
      <c r="AA15" s="38" t="str">
        <v>UNRESOLVED</v>
      </c>
      <c r="AB15" s="39" t="str">
        <v>SOURCE_DAG_CONTROLLED</v>
      </c>
    </row>
    <row r="16">
      <c r="A16" s="37" t="str">
        <v>VSF-012</v>
      </c>
      <c r="B16" s="38" t="str">
        <v>Маринад оливок</v>
      </c>
      <c r="C16" s="38" t="str">
        <v>0.1.0-DRAFT</v>
      </c>
      <c r="D16" s="38" t="str">
        <v>VSF-012@BASE</v>
      </c>
      <c r="E16" s="38" t="n">
        <v>1</v>
      </c>
      <c r="F16" s="38" t="str">
        <v>Chef draft source portion/batch; canonical is architecture reference, not approved production batch</v>
      </c>
      <c r="G16" s="38" t="n">
        <v>22.3</v>
      </c>
      <c r="H16" s="38" t="n">
        <v>20</v>
      </c>
      <c r="I16" s="38" t="n">
        <v>20</v>
      </c>
      <c r="J16" s="38" t="str">
        <v>г</v>
      </c>
      <c r="K16" s="38" t="str">
        <v>VKM-015</v>
      </c>
      <c r="L16" s="38" t="str">
        <v>null</v>
      </c>
      <c r="M16" s="38" t="str">
        <v>Нет</v>
      </c>
      <c r="N16" s="38" t="str">
        <v>DRAFT_WITH_ASSUMPTIONS</v>
      </c>
      <c r="O16" s="38" t="str">
        <v>ASSUMPTION</v>
      </c>
      <c r="P16" s="38" t="str">
        <v>EVD-0009;EVD-0007;EVD-0008</v>
      </c>
      <c r="Q16" s="38" t="str">
        <v>Draft batch reconstructed only from Chef HOF-0002 quantities; factual yield not asserted</v>
      </c>
      <c r="R16" s="38" t="str">
        <v>2026-08-03</v>
      </c>
      <c r="S16" s="38" t="str">
        <v>Chef / SemiFinishedProductsAgent</v>
      </c>
      <c r="T16" s="38" t="str">
        <v>GAP-006;GAP-010;GAP-011</v>
      </c>
      <c r="U16" s="38" t="str">
        <v>BLOCKED_PENDING_VALIDATION</v>
      </c>
      <c r="V16" s="38" t="str">
        <v>GAP-010;GAP-011</v>
      </c>
      <c r="W16" s="38" t="str">
        <v>Chef freezes batch formula/output and variant decision; control cook weighs inputs, loss and output; FoodSafetyAgent re-reviews process and limits</v>
      </c>
      <c r="X16" s="38" t="str">
        <v>For the mapping-selected variant: SUM(raw extended costs + child VSF quantity × accepted child cost/output) / projected batch output; factual costing waits for accepted prices and output</v>
      </c>
      <c r="Y16" s="38" t="str">
        <v>At each parent include either CHILD_VSF cost or that child's raw lines, never both; top-level dish excludes flattened lines reassigned to a VSF</v>
      </c>
      <c r="Z16" s="38" t="str">
        <v>REAL_VSF_CANDIDATE</v>
      </c>
      <c r="AA16" s="38" t="str">
        <v>UNRESOLVED</v>
      </c>
      <c r="AB16" s="39" t="str">
        <v>SOURCE_DAG_CONTROLLED</v>
      </c>
    </row>
    <row r="17">
      <c r="A17" s="37" t="str">
        <v>VSF-013</v>
      </c>
      <c r="B17" s="38" t="str">
        <v>Быстрый маринад для солений</v>
      </c>
      <c r="C17" s="38" t="str">
        <v>0.1.0-DRAFT</v>
      </c>
      <c r="D17" s="38" t="str">
        <v>VSF-013@BASE</v>
      </c>
      <c r="E17" s="38" t="n">
        <v>1</v>
      </c>
      <c r="F17" s="38" t="str">
        <v>Chef draft source portion/batch; canonical is architecture reference, not approved production batch</v>
      </c>
      <c r="G17" s="38" t="n">
        <v>20</v>
      </c>
      <c r="H17" s="38" t="n">
        <v>20</v>
      </c>
      <c r="I17" s="38" t="n">
        <v>20</v>
      </c>
      <c r="J17" s="38" t="str">
        <v>г</v>
      </c>
      <c r="K17" s="38" t="str">
        <v>VKM-016</v>
      </c>
      <c r="L17" s="38" t="str">
        <v>null</v>
      </c>
      <c r="M17" s="38" t="str">
        <v>Нет</v>
      </c>
      <c r="N17" s="38" t="str">
        <v>DRAFT_WITH_ASSUMPTIONS</v>
      </c>
      <c r="O17" s="38" t="str">
        <v>ASSUMPTION</v>
      </c>
      <c r="P17" s="38" t="str">
        <v>EVD-0009;EVD-0007;EVD-0008</v>
      </c>
      <c r="Q17" s="38" t="str">
        <v>Draft batch reconstructed only from Chef HOF-0002 quantities; factual yield not asserted; special mapping is documented in SEMI_FINISHED_MAPPING.csv</v>
      </c>
      <c r="R17" s="38" t="str">
        <v>2026-08-03</v>
      </c>
      <c r="S17" s="38" t="str">
        <v>Chef / SemiFinishedProductsAgent</v>
      </c>
      <c r="T17" s="38" t="str">
        <v>GAP-006;GAP-010;GAP-011</v>
      </c>
      <c r="U17" s="38" t="str">
        <v>BLOCKED_PENDING_VALIDATION</v>
      </c>
      <c r="V17" s="38" t="str">
        <v>GAP-010;GAP-011</v>
      </c>
      <c r="W17" s="38" t="str">
        <v>Chef freezes batch formula/output and variant decision; control cook weighs inputs, loss and output; FoodSafetyAgent re-reviews process and limits</v>
      </c>
      <c r="X17" s="38" t="str">
        <v>For the mapping-selected variant: SUM(raw extended costs + child VSF quantity × accepted child cost/output) / projected batch output; factual costing waits for accepted prices and output</v>
      </c>
      <c r="Y17" s="38" t="str">
        <v>At each parent include either CHILD_VSF cost or that child's raw lines, never both; top-level dish excludes flattened lines reassigned to a VSF</v>
      </c>
      <c r="Z17" s="38" t="str">
        <v>REAL_VSF_CANDIDATE</v>
      </c>
      <c r="AA17" s="38" t="str">
        <v>UNRESOLVED</v>
      </c>
      <c r="AB17" s="39" t="str">
        <v>SOURCE_DAG_CONTROLLED</v>
      </c>
    </row>
    <row r="18">
      <c r="A18" s="37" t="str">
        <v>VSF-014</v>
      </c>
      <c r="B18" s="38" t="str">
        <v>Ассорти быстрых солений</v>
      </c>
      <c r="C18" s="38" t="str">
        <v>0.1.0-DRAFT</v>
      </c>
      <c r="D18" s="38" t="str">
        <v>VSF-014@BASE</v>
      </c>
      <c r="E18" s="38" t="n">
        <v>1</v>
      </c>
      <c r="F18" s="38" t="str">
        <v>Chef draft source portion/batch; canonical is architecture reference, not approved production batch</v>
      </c>
      <c r="G18" s="38" t="n">
        <v>206</v>
      </c>
      <c r="H18" s="38" t="n">
        <v>185</v>
      </c>
      <c r="I18" s="38" t="n">
        <v>180</v>
      </c>
      <c r="J18" s="38" t="str">
        <v>г</v>
      </c>
      <c r="K18" s="38" t="str">
        <v>VKM-016</v>
      </c>
      <c r="L18" s="38" t="str">
        <v>VSF-013</v>
      </c>
      <c r="M18" s="38" t="str">
        <v>Нет</v>
      </c>
      <c r="N18" s="38" t="str">
        <v>DRAFT_WITH_ASSUMPTIONS</v>
      </c>
      <c r="O18" s="38" t="str">
        <v>ASSUMPTION</v>
      </c>
      <c r="P18" s="38" t="str">
        <v>EVD-0009;EVD-0007;EVD-0008</v>
      </c>
      <c r="Q18" s="38" t="str">
        <v>Draft batch reconstructed only from Chef HOF-0002 quantities; factual yield not asserted; VSF-013 is a nested child and is excluded from direct dish costing; special mapping is documented in SEMI_FINISHED_MAPPING.csv</v>
      </c>
      <c r="R18" s="38" t="str">
        <v>2026-08-03</v>
      </c>
      <c r="S18" s="38" t="str">
        <v>Chef / SemiFinishedProductsAgent</v>
      </c>
      <c r="T18" s="38" t="str">
        <v>GAP-006;GAP-010;GAP-011</v>
      </c>
      <c r="U18" s="38" t="str">
        <v>BLOCKED_PENDING_VALIDATION</v>
      </c>
      <c r="V18" s="38" t="str">
        <v>GAP-010;GAP-011</v>
      </c>
      <c r="W18" s="38" t="str">
        <v>Chef freezes batch formula/output and variant decision; control cook weighs inputs, loss and output; FoodSafetyAgent re-reviews process and limits</v>
      </c>
      <c r="X18" s="38" t="str">
        <v>For the mapping-selected variant: SUM(raw extended costs + child VSF quantity × accepted child cost/output) / projected batch output; factual costing waits for accepted prices and output</v>
      </c>
      <c r="Y18" s="38" t="str">
        <v>At each parent include either CHILD_VSF cost or that child's raw lines, never both; top-level dish excludes flattened lines reassigned to a VSF</v>
      </c>
      <c r="Z18" s="38" t="str">
        <v>REAL_VSF_CANDIDATE</v>
      </c>
      <c r="AA18" s="38" t="str">
        <v>UNRESOLVED</v>
      </c>
      <c r="AB18" s="39" t="str">
        <v>SOURCE_DAG_CONTROLLED</v>
      </c>
    </row>
    <row r="19">
      <c r="A19" s="37" t="str">
        <v>VSF-015</v>
      </c>
      <c r="B19" s="38" t="str">
        <v>Гренка</v>
      </c>
      <c r="C19" s="38" t="str">
        <v>0.1.0-DRAFT</v>
      </c>
      <c r="D19" s="38" t="str">
        <v>VSF-015@BASE</v>
      </c>
      <c r="E19" s="38" t="n">
        <v>1</v>
      </c>
      <c r="F19" s="38" t="str">
        <v>Chef draft source portion/batch; canonical is architecture reference, not approved production batch</v>
      </c>
      <c r="G19" s="38" t="n">
        <v>37</v>
      </c>
      <c r="H19" s="38" t="n">
        <v>35</v>
      </c>
      <c r="I19" s="38" t="n">
        <v>33</v>
      </c>
      <c r="J19" s="38" t="str">
        <v>г</v>
      </c>
      <c r="K19" s="38" t="str">
        <v>VKM-017</v>
      </c>
      <c r="L19" s="38" t="str">
        <v>null</v>
      </c>
      <c r="M19" s="38" t="str">
        <v>Нет</v>
      </c>
      <c r="N19" s="38" t="str">
        <v>DRAFT_WITH_ASSUMPTIONS</v>
      </c>
      <c r="O19" s="38" t="str">
        <v>ASSUMPTION</v>
      </c>
      <c r="P19" s="38" t="str">
        <v>EVD-0009;EVD-0007;EVD-0008</v>
      </c>
      <c r="Q19" s="38" t="str">
        <v>Draft batch reconstructed only from Chef HOF-0002 quantities; factual yield not asserted</v>
      </c>
      <c r="R19" s="38" t="str">
        <v>2026-08-03</v>
      </c>
      <c r="S19" s="38" t="str">
        <v>Chef / SemiFinishedProductsAgent</v>
      </c>
      <c r="T19" s="38" t="str">
        <v>GAP-006;GAP-010;GAP-011</v>
      </c>
      <c r="U19" s="38" t="str">
        <v>BLOCKED_PENDING_VALIDATION</v>
      </c>
      <c r="V19" s="38" t="str">
        <v>GAP-010;GAP-011</v>
      </c>
      <c r="W19" s="38" t="str">
        <v>Chef freezes batch formula/output and variant decision; control cook weighs inputs, loss and output; FoodSafetyAgent re-reviews process and limits</v>
      </c>
      <c r="X19" s="38" t="str">
        <v>For the mapping-selected variant: SUM(raw extended costs + child VSF quantity × accepted child cost/output) / projected batch output; factual costing waits for accepted prices and output</v>
      </c>
      <c r="Y19" s="38" t="str">
        <v>At each parent include either CHILD_VSF cost or that child's raw lines, never both; top-level dish excludes flattened lines reassigned to a VSF</v>
      </c>
      <c r="Z19" s="38" t="str">
        <v>REAL_VSF_CANDIDATE</v>
      </c>
      <c r="AA19" s="38" t="str">
        <v>UNRESOLVED</v>
      </c>
      <c r="AB19" s="39" t="str">
        <v>SOURCE_DAG_CONTROLLED</v>
      </c>
    </row>
    <row r="20">
      <c r="A20" s="37" t="str">
        <v>VSF-016</v>
      </c>
      <c r="B20" s="38" t="str">
        <v>Соус к ростбифу</v>
      </c>
      <c r="C20" s="38" t="str">
        <v>0.1.0-DRAFT</v>
      </c>
      <c r="D20" s="38" t="str">
        <v>VSF-016@BASE</v>
      </c>
      <c r="E20" s="38" t="n">
        <v>1</v>
      </c>
      <c r="F20" s="38" t="str">
        <v>Chef draft source portion/batch; canonical is architecture reference, not approved production batch</v>
      </c>
      <c r="G20" s="38" t="n">
        <v>15</v>
      </c>
      <c r="H20" s="38" t="n">
        <v>15</v>
      </c>
      <c r="I20" s="38" t="n">
        <v>15</v>
      </c>
      <c r="J20" s="38" t="str">
        <v>г</v>
      </c>
      <c r="K20" s="38" t="str">
        <v>VKM-017</v>
      </c>
      <c r="L20" s="38" t="str">
        <v>null</v>
      </c>
      <c r="M20" s="38" t="str">
        <v>Нет</v>
      </c>
      <c r="N20" s="38" t="str">
        <v>DRAFT_WITH_ASSUMPTIONS</v>
      </c>
      <c r="O20" s="38" t="str">
        <v>ASSUMPTION</v>
      </c>
      <c r="P20" s="38" t="str">
        <v>EVD-0009;EVD-0007;EVD-0008</v>
      </c>
      <c r="Q20" s="38" t="str">
        <v>Draft batch reconstructed only from Chef HOF-0002 quantities; factual yield not asserted</v>
      </c>
      <c r="R20" s="38" t="str">
        <v>2026-08-03</v>
      </c>
      <c r="S20" s="38" t="str">
        <v>Chef / SemiFinishedProductsAgent</v>
      </c>
      <c r="T20" s="38" t="str">
        <v>GAP-006;GAP-010;GAP-011</v>
      </c>
      <c r="U20" s="38" t="str">
        <v>BLOCKED_PENDING_VALIDATION</v>
      </c>
      <c r="V20" s="38" t="str">
        <v>GAP-010;GAP-011</v>
      </c>
      <c r="W20" s="38" t="str">
        <v>Chef freezes batch formula/output and variant decision; control cook weighs inputs, loss and output; FoodSafetyAgent re-reviews process and limits</v>
      </c>
      <c r="X20" s="38" t="str">
        <v>For the mapping-selected variant: SUM(raw extended costs + child VSF quantity × accepted child cost/output) / projected batch output; factual costing waits for accepted prices and output</v>
      </c>
      <c r="Y20" s="38" t="str">
        <v>At each parent include either CHILD_VSF cost or that child's raw lines, never both; top-level dish excludes flattened lines reassigned to a VSF</v>
      </c>
      <c r="Z20" s="38" t="str">
        <v>REAL_VSF_CANDIDATE</v>
      </c>
      <c r="AA20" s="38" t="str">
        <v>UNRESOLVED</v>
      </c>
      <c r="AB20" s="39" t="str">
        <v>SOURCE_DAG_CONTROLLED</v>
      </c>
    </row>
    <row r="21">
      <c r="A21" s="37" t="str">
        <v>VSF-017</v>
      </c>
      <c r="B21" s="38" t="str">
        <v>Бульон мясной</v>
      </c>
      <c r="C21" s="38" t="str">
        <v>0.1.0-DRAFT</v>
      </c>
      <c r="D21" s="38" t="str">
        <v>VSF-017@BASE</v>
      </c>
      <c r="E21" s="38" t="n">
        <v>1</v>
      </c>
      <c r="F21" s="38" t="str">
        <v>Chef draft source portion/batch; canonical is architecture reference, not approved production batch</v>
      </c>
      <c r="G21" s="38" t="n">
        <v>160</v>
      </c>
      <c r="H21" s="38" t="n">
        <v>160</v>
      </c>
      <c r="I21" s="38" t="n">
        <v>145</v>
      </c>
      <c r="J21" s="38" t="str">
        <v>г</v>
      </c>
      <c r="K21" s="38" t="str">
        <v>VKM-018</v>
      </c>
      <c r="L21" s="38" t="str">
        <v>null</v>
      </c>
      <c r="M21" s="38" t="str">
        <v>Да</v>
      </c>
      <c r="N21" s="38" t="str">
        <v>BLOCKED_PENDING_VALIDATION</v>
      </c>
      <c r="O21" s="38" t="str">
        <v>ASSUMPTION</v>
      </c>
      <c r="P21" s="38" t="str">
        <v>EVD-0009;EVD-0007;EVD-0008</v>
      </c>
      <c r="Q21" s="38" t="str">
        <v>Draft batch reconstructed only from Chef HOF-0002 quantities; factual yield not asserted; source is an undecomposed prepared input, not a complete production formula</v>
      </c>
      <c r="R21" s="38" t="str">
        <v>2026-08-03</v>
      </c>
      <c r="S21" s="38" t="str">
        <v>Chef / SemiFinishedProductsAgent</v>
      </c>
      <c r="T21" s="38" t="str">
        <v>GAP-006;GAP-010;GAP-011;GAP-SF-002</v>
      </c>
      <c r="U21" s="38" t="str">
        <v>BLOCKED_PENDING_VALIDATION</v>
      </c>
      <c r="V21" s="38" t="str">
        <v>GAP-010;GAP-011</v>
      </c>
      <c r="W21" s="38" t="str">
        <v>Chef freezes batch formula/output and variant decision; control cook weighs inputs, loss and output; FoodSafetyAgent re-reviews process and limits</v>
      </c>
      <c r="X21" s="38" t="str">
        <v>For the mapping-selected variant: SUM(raw extended costs + child VSF quantity × accepted child cost/output) / projected batch output; factual costing waits for accepted prices and output</v>
      </c>
      <c r="Y21" s="38" t="str">
        <v>At each parent include either CHILD_VSF cost or that child's raw lines, never both; top-level dish excludes flattened lines reassigned to a VSF</v>
      </c>
      <c r="Z21" s="38" t="str">
        <v>REAL_VSF_CANDIDATE</v>
      </c>
      <c r="AA21" s="38" t="str">
        <v>UNRESOLVED</v>
      </c>
      <c r="AB21" s="39" t="str">
        <v>SOURCE_DAG_CONTROLLED</v>
      </c>
    </row>
    <row r="22">
      <c r="A22" s="37" t="str">
        <v>VSF-018</v>
      </c>
      <c r="B22" s="38" t="str">
        <v>Пассеровка свекольная</v>
      </c>
      <c r="C22" s="38" t="str">
        <v>0.1.0-DRAFT</v>
      </c>
      <c r="D22" s="38" t="str">
        <v>VSF-018@BASE</v>
      </c>
      <c r="E22" s="38" t="n">
        <v>1</v>
      </c>
      <c r="F22" s="38" t="str">
        <v>Chef draft source portion/batch; canonical is architecture reference, not approved production batch</v>
      </c>
      <c r="G22" s="38" t="n">
        <v>131</v>
      </c>
      <c r="H22" s="38" t="n">
        <v>119</v>
      </c>
      <c r="I22" s="38" t="n">
        <v>105</v>
      </c>
      <c r="J22" s="38" t="str">
        <v>г</v>
      </c>
      <c r="K22" s="38" t="str">
        <v>VKM-018</v>
      </c>
      <c r="L22" s="38" t="str">
        <v>null</v>
      </c>
      <c r="M22" s="38" t="str">
        <v>Нет</v>
      </c>
      <c r="N22" s="38" t="str">
        <v>DRAFT_WITH_ASSUMPTIONS</v>
      </c>
      <c r="O22" s="38" t="str">
        <v>ASSUMPTION</v>
      </c>
      <c r="P22" s="38" t="str">
        <v>EVD-0009;EVD-0007;EVD-0008</v>
      </c>
      <c r="Q22" s="38" t="str">
        <v>Draft batch reconstructed only from Chef HOF-0002 quantities; factual yield not asserted</v>
      </c>
      <c r="R22" s="38" t="str">
        <v>2026-08-03</v>
      </c>
      <c r="S22" s="38" t="str">
        <v>Chef / SemiFinishedProductsAgent</v>
      </c>
      <c r="T22" s="38" t="str">
        <v>GAP-006;GAP-010;GAP-011</v>
      </c>
      <c r="U22" s="38" t="str">
        <v>BLOCKED_PENDING_VALIDATION</v>
      </c>
      <c r="V22" s="38" t="str">
        <v>GAP-010;GAP-011</v>
      </c>
      <c r="W22" s="38" t="str">
        <v>Chef freezes batch formula/output and variant decision; control cook weighs inputs, loss and output; FoodSafetyAgent re-reviews process and limits</v>
      </c>
      <c r="X22" s="38" t="str">
        <v>For the mapping-selected variant: SUM(raw extended costs + child VSF quantity × accepted child cost/output) / projected batch output; factual costing waits for accepted prices and output</v>
      </c>
      <c r="Y22" s="38" t="str">
        <v>At each parent include either CHILD_VSF cost or that child's raw lines, never both; top-level dish excludes flattened lines reassigned to a VSF</v>
      </c>
      <c r="Z22" s="38" t="str">
        <v>REAL_VSF_CANDIDATE</v>
      </c>
      <c r="AA22" s="38" t="str">
        <v>UNRESOLVED</v>
      </c>
      <c r="AB22" s="39" t="str">
        <v>SOURCE_DAG_CONTROLLED</v>
      </c>
    </row>
    <row r="23">
      <c r="A23" s="37" t="str">
        <v>VSF-019</v>
      </c>
      <c r="B23" s="38" t="str">
        <v>Соус сливочно-горчичный</v>
      </c>
      <c r="C23" s="38" t="str">
        <v>0.1.0-DRAFT</v>
      </c>
      <c r="D23" s="38" t="str">
        <v>VSF-019@BASE</v>
      </c>
      <c r="E23" s="38" t="n">
        <v>1</v>
      </c>
      <c r="F23" s="38" t="str">
        <v>Chef draft source portion/batch; canonical is architecture reference, not approved production batch</v>
      </c>
      <c r="G23" s="38" t="n">
        <v>90</v>
      </c>
      <c r="H23" s="38" t="n">
        <v>90</v>
      </c>
      <c r="I23" s="38" t="n">
        <v>85</v>
      </c>
      <c r="J23" s="38" t="str">
        <v>г</v>
      </c>
      <c r="K23" s="38" t="str">
        <v>VKM-019</v>
      </c>
      <c r="L23" s="38" t="str">
        <v>null</v>
      </c>
      <c r="M23" s="38" t="str">
        <v>Возможно</v>
      </c>
      <c r="N23" s="38" t="str">
        <v>DRAFT_WITH_ASSUMPTIONS</v>
      </c>
      <c r="O23" s="38" t="str">
        <v>ASSUMPTION</v>
      </c>
      <c r="P23" s="38" t="str">
        <v>EVD-0009;EVD-0007;EVD-0008</v>
      </c>
      <c r="Q23" s="38" t="str">
        <v>Draft batch reconstructed only from Chef HOF-0002 quantities; factual yield not asserted</v>
      </c>
      <c r="R23" s="38" t="str">
        <v>2026-08-03</v>
      </c>
      <c r="S23" s="38" t="str">
        <v>Chef / SemiFinishedProductsAgent</v>
      </c>
      <c r="T23" s="38" t="str">
        <v>GAP-006;GAP-010;GAP-011</v>
      </c>
      <c r="U23" s="38" t="str">
        <v>BLOCKED_PENDING_VALIDATION</v>
      </c>
      <c r="V23" s="38" t="str">
        <v>GAP-010;GAP-011</v>
      </c>
      <c r="W23" s="38" t="str">
        <v>Chef freezes batch formula/output and variant decision; control cook weighs inputs, loss and output; FoodSafetyAgent re-reviews process and limits</v>
      </c>
      <c r="X23" s="38" t="str">
        <v>For the mapping-selected variant: SUM(raw extended costs + child VSF quantity × accepted child cost/output) / projected batch output; factual costing waits for accepted prices and output</v>
      </c>
      <c r="Y23" s="38" t="str">
        <v>At each parent include either CHILD_VSF cost or that child's raw lines, never both; top-level dish excludes flattened lines reassigned to a VSF</v>
      </c>
      <c r="Z23" s="38" t="str">
        <v>REAL_VSF_CANDIDATE</v>
      </c>
      <c r="AA23" s="38" t="str">
        <v>UNRESOLVED</v>
      </c>
      <c r="AB23" s="39" t="str">
        <v>SOURCE_DAG_CONTROLLED</v>
      </c>
    </row>
    <row r="24">
      <c r="A24" s="37" t="str">
        <v>VSF-020</v>
      </c>
      <c r="B24" s="38" t="str">
        <v>Соус кокосовый тайский</v>
      </c>
      <c r="C24" s="38" t="str">
        <v>0.1.0-DRAFT</v>
      </c>
      <c r="D24" s="38" t="str">
        <v>VSF-020@BASE</v>
      </c>
      <c r="E24" s="38" t="n">
        <v>1</v>
      </c>
      <c r="F24" s="38" t="str">
        <v>Chef draft source portion/batch; canonical is architecture reference, not approved production batch</v>
      </c>
      <c r="G24" s="38" t="n">
        <v>129</v>
      </c>
      <c r="H24" s="38" t="n">
        <v>129</v>
      </c>
      <c r="I24" s="38" t="n">
        <v>120</v>
      </c>
      <c r="J24" s="38" t="str">
        <v>г</v>
      </c>
      <c r="K24" s="38" t="str">
        <v>VKM-020</v>
      </c>
      <c r="L24" s="38" t="str">
        <v>null</v>
      </c>
      <c r="M24" s="38" t="str">
        <v>Возможно</v>
      </c>
      <c r="N24" s="38" t="str">
        <v>DRAFT_WITH_ASSUMPTIONS</v>
      </c>
      <c r="O24" s="38" t="str">
        <v>ASSUMPTION</v>
      </c>
      <c r="P24" s="38" t="str">
        <v>EVD-0009;EVD-0007;EVD-0008</v>
      </c>
      <c r="Q24" s="38" t="str">
        <v>Draft batch reconstructed only from Chef HOF-0002 quantities; factual yield not asserted</v>
      </c>
      <c r="R24" s="38" t="str">
        <v>2026-08-03</v>
      </c>
      <c r="S24" s="38" t="str">
        <v>Chef / SemiFinishedProductsAgent</v>
      </c>
      <c r="T24" s="38" t="str">
        <v>GAP-006;GAP-010;GAP-011</v>
      </c>
      <c r="U24" s="38" t="str">
        <v>BLOCKED_PENDING_VALIDATION</v>
      </c>
      <c r="V24" s="38" t="str">
        <v>GAP-010;GAP-011</v>
      </c>
      <c r="W24" s="38" t="str">
        <v>Chef freezes batch formula/output and variant decision; control cook weighs inputs, loss and output; FoodSafetyAgent re-reviews process and limits</v>
      </c>
      <c r="X24" s="38" t="str">
        <v>For the mapping-selected variant: SUM(raw extended costs + child VSF quantity × accepted child cost/output) / projected batch output; factual costing waits for accepted prices and output</v>
      </c>
      <c r="Y24" s="38" t="str">
        <v>At each parent include either CHILD_VSF cost or that child's raw lines, never both; top-level dish excludes flattened lines reassigned to a VSF</v>
      </c>
      <c r="Z24" s="38" t="str">
        <v>REAL_VSF_CANDIDATE</v>
      </c>
      <c r="AA24" s="38" t="str">
        <v>UNRESOLVED</v>
      </c>
      <c r="AB24" s="39" t="str">
        <v>SOURCE_DAG_CONTROLLED</v>
      </c>
    </row>
    <row r="25">
      <c r="A25" s="37" t="str">
        <v>VSF-021</v>
      </c>
      <c r="B25" s="38" t="str">
        <v>Котлета для бургера</v>
      </c>
      <c r="C25" s="38" t="str">
        <v>0.1.0-DRAFT</v>
      </c>
      <c r="D25" s="38" t="str">
        <v>VSF-021@BASE</v>
      </c>
      <c r="E25" s="38" t="n">
        <v>1</v>
      </c>
      <c r="F25" s="38" t="str">
        <v>Chef draft source portion/batch; canonical is architecture reference, not approved production batch</v>
      </c>
      <c r="G25" s="38" t="n">
        <v>180</v>
      </c>
      <c r="H25" s="38" t="n">
        <v>170</v>
      </c>
      <c r="I25" s="38" t="n">
        <v>150</v>
      </c>
      <c r="J25" s="38" t="str">
        <v>г</v>
      </c>
      <c r="K25" s="38" t="str">
        <v>VKM-021</v>
      </c>
      <c r="L25" s="38" t="str">
        <v>null</v>
      </c>
      <c r="M25" s="38" t="str">
        <v>Нет</v>
      </c>
      <c r="N25" s="38" t="str">
        <v>DRAFT_WITH_ASSUMPTIONS</v>
      </c>
      <c r="O25" s="38" t="str">
        <v>ASSUMPTION</v>
      </c>
      <c r="P25" s="38" t="str">
        <v>EVD-0009;EVD-0007;EVD-0008</v>
      </c>
      <c r="Q25" s="38" t="str">
        <v>Draft batch reconstructed only from Chef HOF-0002 quantities; factual yield not asserted</v>
      </c>
      <c r="R25" s="38" t="str">
        <v>2026-08-03</v>
      </c>
      <c r="S25" s="38" t="str">
        <v>Chef / SemiFinishedProductsAgent</v>
      </c>
      <c r="T25" s="38" t="str">
        <v>GAP-006;GAP-010;GAP-011</v>
      </c>
      <c r="U25" s="38" t="str">
        <v>BLOCKED_PENDING_VALIDATION</v>
      </c>
      <c r="V25" s="38" t="str">
        <v>GAP-010;GAP-011</v>
      </c>
      <c r="W25" s="38" t="str">
        <v>Chef freezes batch formula/output and variant decision; control cook weighs inputs, loss and output; FoodSafetyAgent re-reviews process and limits</v>
      </c>
      <c r="X25" s="38" t="str">
        <v>For the mapping-selected variant: SUM(raw extended costs + child VSF quantity × accepted child cost/output) / projected batch output; factual costing waits for accepted prices and output</v>
      </c>
      <c r="Y25" s="38" t="str">
        <v>At each parent include either CHILD_VSF cost or that child's raw lines, never both; top-level dish excludes flattened lines reassigned to a VSF</v>
      </c>
      <c r="Z25" s="38" t="str">
        <v>REAL_VSF_CANDIDATE</v>
      </c>
      <c r="AA25" s="38" t="str">
        <v>UNRESOLVED</v>
      </c>
      <c r="AB25" s="39" t="str">
        <v>SOURCE_DAG_CONTROLLED</v>
      </c>
    </row>
    <row r="26">
      <c r="A26" s="37" t="str">
        <v>VSF-022</v>
      </c>
      <c r="B26" s="38" t="str">
        <v>Соус для бургера</v>
      </c>
      <c r="C26" s="38" t="str">
        <v>0.1.0-DRAFT</v>
      </c>
      <c r="D26" s="38" t="str">
        <v>VSF-022@BASE</v>
      </c>
      <c r="E26" s="38" t="n">
        <v>1</v>
      </c>
      <c r="F26" s="38" t="str">
        <v>Chef draft source portion/batch; canonical is architecture reference, not approved production batch</v>
      </c>
      <c r="G26" s="38" t="n">
        <v>25</v>
      </c>
      <c r="H26" s="38" t="n">
        <v>25</v>
      </c>
      <c r="I26" s="38" t="n">
        <v>25</v>
      </c>
      <c r="J26" s="38" t="str">
        <v>г</v>
      </c>
      <c r="K26" s="38" t="str">
        <v>VKM-021</v>
      </c>
      <c r="L26" s="38" t="str">
        <v>null</v>
      </c>
      <c r="M26" s="38" t="str">
        <v>Возможно</v>
      </c>
      <c r="N26" s="38" t="str">
        <v>DRAFT_WITH_ASSUMPTIONS</v>
      </c>
      <c r="O26" s="38" t="str">
        <v>ASSUMPTION</v>
      </c>
      <c r="P26" s="38" t="str">
        <v>EVD-0009;EVD-0007;EVD-0008</v>
      </c>
      <c r="Q26" s="38" t="str">
        <v>Draft batch reconstructed only from Chef HOF-0002 quantities; factual yield not asserted</v>
      </c>
      <c r="R26" s="38" t="str">
        <v>2026-08-03</v>
      </c>
      <c r="S26" s="38" t="str">
        <v>Chef / SemiFinishedProductsAgent</v>
      </c>
      <c r="T26" s="38" t="str">
        <v>GAP-006;GAP-010;GAP-011</v>
      </c>
      <c r="U26" s="38" t="str">
        <v>BLOCKED_PENDING_VALIDATION</v>
      </c>
      <c r="V26" s="38" t="str">
        <v>GAP-010;GAP-011</v>
      </c>
      <c r="W26" s="38" t="str">
        <v>Chef freezes batch formula/output and variant decision; control cook weighs inputs, loss and output; FoodSafetyAgent re-reviews process and limits</v>
      </c>
      <c r="X26" s="38" t="str">
        <v>For the mapping-selected variant: SUM(raw extended costs + child VSF quantity × accepted child cost/output) / projected batch output; factual costing waits for accepted prices and output</v>
      </c>
      <c r="Y26" s="38" t="str">
        <v>At each parent include either CHILD_VSF cost or that child's raw lines, never both; top-level dish excludes flattened lines reassigned to a VSF</v>
      </c>
      <c r="Z26" s="38" t="str">
        <v>REAL_VSF_CANDIDATE</v>
      </c>
      <c r="AA26" s="38" t="str">
        <v>UNRESOLVED</v>
      </c>
      <c r="AB26" s="39" t="str">
        <v>SOURCE_DAG_CONTROLLED</v>
      </c>
    </row>
    <row r="27">
      <c r="A27" s="37" t="str">
        <v>VSF-023</v>
      </c>
      <c r="B27" s="38" t="str">
        <v>Миньоны порционные</v>
      </c>
      <c r="C27" s="38" t="str">
        <v>0.1.0-DRAFT</v>
      </c>
      <c r="D27" s="38" t="str">
        <v>VSF-023@BASE</v>
      </c>
      <c r="E27" s="38" t="n">
        <v>1</v>
      </c>
      <c r="F27" s="38" t="str">
        <v>Chef draft source portion/batch; canonical is architecture reference, not approved production batch</v>
      </c>
      <c r="G27" s="38" t="n">
        <v>255</v>
      </c>
      <c r="H27" s="38" t="n">
        <v>240</v>
      </c>
      <c r="I27" s="38" t="n">
        <v>220</v>
      </c>
      <c r="J27" s="38" t="str">
        <v>г</v>
      </c>
      <c r="K27" s="38" t="str">
        <v>VKM-022</v>
      </c>
      <c r="L27" s="38" t="str">
        <v>null</v>
      </c>
      <c r="M27" s="38" t="str">
        <v>Нет</v>
      </c>
      <c r="N27" s="38" t="str">
        <v>DRAFT_WITH_ASSUMPTIONS</v>
      </c>
      <c r="O27" s="38" t="str">
        <v>ASSUMPTION</v>
      </c>
      <c r="P27" s="38" t="str">
        <v>EVD-0009;EVD-0007;EVD-0008</v>
      </c>
      <c r="Q27" s="38" t="str">
        <v>Draft batch reconstructed only from Chef HOF-0002 quantities; factual yield not asserted</v>
      </c>
      <c r="R27" s="38" t="str">
        <v>2026-08-03</v>
      </c>
      <c r="S27" s="38" t="str">
        <v>Chef / SemiFinishedProductsAgent</v>
      </c>
      <c r="T27" s="38" t="str">
        <v>GAP-006;GAP-010;GAP-011</v>
      </c>
      <c r="U27" s="38" t="str">
        <v>BLOCKED_PENDING_VALIDATION</v>
      </c>
      <c r="V27" s="38" t="str">
        <v>GAP-010;GAP-011</v>
      </c>
      <c r="W27" s="38" t="str">
        <v>Chef freezes batch formula/output and variant decision; control cook weighs inputs, loss and output; FoodSafetyAgent re-reviews process and limits</v>
      </c>
      <c r="X27" s="38" t="str">
        <v>For the mapping-selected variant: SUM(raw extended costs + child VSF quantity × accepted child cost/output) / projected batch output; factual costing waits for accepted prices and output</v>
      </c>
      <c r="Y27" s="38" t="str">
        <v>At each parent include either CHILD_VSF cost or that child's raw lines, never both; top-level dish excludes flattened lines reassigned to a VSF</v>
      </c>
      <c r="Z27" s="38" t="str">
        <v>REAL_VSF_CANDIDATE</v>
      </c>
      <c r="AA27" s="38" t="str">
        <v>UNRESOLVED</v>
      </c>
      <c r="AB27" s="39" t="str">
        <v>SOURCE_DAG_CONTROLLED</v>
      </c>
    </row>
    <row r="28">
      <c r="A28" s="37" t="str">
        <v>VSF-024</v>
      </c>
      <c r="B28" s="38" t="str">
        <v>Соус к миньонам</v>
      </c>
      <c r="C28" s="38" t="str">
        <v>0.1.0-DRAFT</v>
      </c>
      <c r="D28" s="38" t="str">
        <v>VSF-024@BASE</v>
      </c>
      <c r="E28" s="38" t="n">
        <v>1</v>
      </c>
      <c r="F28" s="38" t="str">
        <v>Chef draft source portion/batch; canonical is architecture reference, not approved production batch</v>
      </c>
      <c r="G28" s="38" t="n">
        <v>45</v>
      </c>
      <c r="H28" s="38" t="n">
        <v>45</v>
      </c>
      <c r="I28" s="38" t="n">
        <v>40</v>
      </c>
      <c r="J28" s="38" t="str">
        <v>г</v>
      </c>
      <c r="K28" s="38" t="str">
        <v>VKM-022</v>
      </c>
      <c r="L28" s="38" t="str">
        <v>null</v>
      </c>
      <c r="M28" s="38" t="str">
        <v>Возможно</v>
      </c>
      <c r="N28" s="38" t="str">
        <v>DRAFT_WITH_ASSUMPTIONS</v>
      </c>
      <c r="O28" s="38" t="str">
        <v>ASSUMPTION</v>
      </c>
      <c r="P28" s="38" t="str">
        <v>EVD-0009;EVD-0007;EVD-0008</v>
      </c>
      <c r="Q28" s="38" t="str">
        <v>Draft batch reconstructed only from Chef HOF-0002 quantities; factual yield not asserted</v>
      </c>
      <c r="R28" s="38" t="str">
        <v>2026-08-03</v>
      </c>
      <c r="S28" s="38" t="str">
        <v>Chef / SemiFinishedProductsAgent</v>
      </c>
      <c r="T28" s="38" t="str">
        <v>GAP-006;GAP-010;GAP-011</v>
      </c>
      <c r="U28" s="38" t="str">
        <v>BLOCKED_PENDING_VALIDATION</v>
      </c>
      <c r="V28" s="38" t="str">
        <v>GAP-010;GAP-011</v>
      </c>
      <c r="W28" s="38" t="str">
        <v>Chef freezes batch formula/output and variant decision; control cook weighs inputs, loss and output; FoodSafetyAgent re-reviews process and limits</v>
      </c>
      <c r="X28" s="38" t="str">
        <v>For the mapping-selected variant: SUM(raw extended costs + child VSF quantity × accepted child cost/output) / projected batch output; factual costing waits for accepted prices and output</v>
      </c>
      <c r="Y28" s="38" t="str">
        <v>At each parent include either CHILD_VSF cost or that child's raw lines, never both; top-level dish excludes flattened lines reassigned to a VSF</v>
      </c>
      <c r="Z28" s="38" t="str">
        <v>REAL_VSF_CANDIDATE</v>
      </c>
      <c r="AA28" s="38" t="str">
        <v>UNRESOLVED</v>
      </c>
      <c r="AB28" s="39" t="str">
        <v>SOURCE_DAG_CONTROLLED</v>
      </c>
    </row>
    <row r="29">
      <c r="A29" s="37" t="str">
        <v>VSF-025</v>
      </c>
      <c r="B29" s="38" t="str">
        <v>Рис жасмин варёный</v>
      </c>
      <c r="C29" s="38" t="str">
        <v>0.1.0-DRAFT</v>
      </c>
      <c r="D29" s="38" t="str">
        <v>VSF-025@BASE</v>
      </c>
      <c r="E29" s="38" t="n">
        <v>1</v>
      </c>
      <c r="F29" s="38" t="str">
        <v>Chef draft source portion/batch; canonical is architecture reference, not approved production batch</v>
      </c>
      <c r="G29" s="38" t="n">
        <v>175</v>
      </c>
      <c r="H29" s="38" t="n">
        <v>175</v>
      </c>
      <c r="I29" s="38" t="n">
        <v>138</v>
      </c>
      <c r="J29" s="38" t="str">
        <v>г</v>
      </c>
      <c r="K29" s="38" t="str">
        <v>VKM-024</v>
      </c>
      <c r="L29" s="38" t="str">
        <v>null</v>
      </c>
      <c r="M29" s="38" t="str">
        <v>Нет</v>
      </c>
      <c r="N29" s="38" t="str">
        <v>DRAFT_WITH_ASSUMPTIONS</v>
      </c>
      <c r="O29" s="38" t="str">
        <v>ASSUMPTION</v>
      </c>
      <c r="P29" s="38" t="str">
        <v>EVD-0009;EVD-0007;EVD-0008</v>
      </c>
      <c r="Q29" s="38" t="str">
        <v>Draft batch reconstructed only from Chef HOF-0002 quantities; factual yield not asserted</v>
      </c>
      <c r="R29" s="38" t="str">
        <v>2026-08-03</v>
      </c>
      <c r="S29" s="38" t="str">
        <v>Chef / SemiFinishedProductsAgent</v>
      </c>
      <c r="T29" s="38" t="str">
        <v>GAP-006;GAP-010;GAP-011</v>
      </c>
      <c r="U29" s="38" t="str">
        <v>BLOCKED_PENDING_VALIDATION</v>
      </c>
      <c r="V29" s="38" t="str">
        <v>GAP-010;GAP-011</v>
      </c>
      <c r="W29" s="38" t="str">
        <v>Chef freezes batch formula/output and variant decision; control cook weighs inputs, loss and output; FoodSafetyAgent re-reviews process and limits</v>
      </c>
      <c r="X29" s="38" t="str">
        <v>For the mapping-selected variant: SUM(raw extended costs + child VSF quantity × accepted child cost/output) / projected batch output; factual costing waits for accepted prices and output</v>
      </c>
      <c r="Y29" s="38" t="str">
        <v>At each parent include either CHILD_VSF cost or that child's raw lines, never both; top-level dish excludes flattened lines reassigned to a VSF</v>
      </c>
      <c r="Z29" s="38" t="str">
        <v>REAL_VSF_CANDIDATE</v>
      </c>
      <c r="AA29" s="38" t="str">
        <v>UNRESOLVED</v>
      </c>
      <c r="AB29" s="39" t="str">
        <v>SOURCE_DAG_CONTROLLED</v>
      </c>
    </row>
    <row r="30">
      <c r="A30" s="37" t="str">
        <v>VSF-026</v>
      </c>
      <c r="B30" s="38" t="str">
        <v>Овощная смесь подготовленная</v>
      </c>
      <c r="C30" s="38" t="str">
        <v>0.1.0-DRAFT</v>
      </c>
      <c r="D30" s="38" t="str">
        <v>VSF-026@BASE</v>
      </c>
      <c r="E30" s="38" t="n">
        <v>1</v>
      </c>
      <c r="F30" s="38" t="str">
        <v>Chef draft source portion/batch; canonical is architecture reference, not approved production batch</v>
      </c>
      <c r="G30" s="38" t="n">
        <v>157</v>
      </c>
      <c r="H30" s="38" t="n">
        <v>142</v>
      </c>
      <c r="I30" s="38" t="n">
        <v>130</v>
      </c>
      <c r="J30" s="38" t="str">
        <v>г</v>
      </c>
      <c r="K30" s="38" t="str">
        <v>VKM-025</v>
      </c>
      <c r="L30" s="38" t="str">
        <v>null</v>
      </c>
      <c r="M30" s="38" t="str">
        <v>Нет</v>
      </c>
      <c r="N30" s="38" t="str">
        <v>DRAFT_WITH_ASSUMPTIONS</v>
      </c>
      <c r="O30" s="38" t="str">
        <v>ASSUMPTION</v>
      </c>
      <c r="P30" s="38" t="str">
        <v>EVD-0009;EVD-0007;EVD-0008</v>
      </c>
      <c r="Q30" s="38" t="str">
        <v>Draft batch reconstructed only from Chef HOF-0002 quantities; factual yield not asserted</v>
      </c>
      <c r="R30" s="38" t="str">
        <v>2026-08-03</v>
      </c>
      <c r="S30" s="38" t="str">
        <v>Chef / SemiFinishedProductsAgent</v>
      </c>
      <c r="T30" s="38" t="str">
        <v>GAP-006;GAP-010;GAP-011</v>
      </c>
      <c r="U30" s="38" t="str">
        <v>BLOCKED_PENDING_VALIDATION</v>
      </c>
      <c r="V30" s="38" t="str">
        <v>GAP-010;GAP-011</v>
      </c>
      <c r="W30" s="38" t="str">
        <v>Chef freezes batch formula/output and variant decision; control cook weighs inputs, loss and output; FoodSafetyAgent re-reviews process and limits</v>
      </c>
      <c r="X30" s="38" t="str">
        <v>For the mapping-selected variant: SUM(raw extended costs + child VSF quantity × accepted child cost/output) / projected batch output; factual costing waits for accepted prices and output</v>
      </c>
      <c r="Y30" s="38" t="str">
        <v>At each parent include either CHILD_VSF cost or that child's raw lines, never both; top-level dish excludes flattened lines reassigned to a VSF</v>
      </c>
      <c r="Z30" s="38" t="str">
        <v>REAL_VSF_CANDIDATE</v>
      </c>
      <c r="AA30" s="38" t="str">
        <v>UNRESOLVED</v>
      </c>
      <c r="AB30" s="39" t="str">
        <v>SOURCE_DAG_CONTROLLED</v>
      </c>
    </row>
    <row r="31">
      <c r="A31" s="37" t="str">
        <v>VSF-027</v>
      </c>
      <c r="B31" s="38" t="str">
        <v>Бисквит черничного торта</v>
      </c>
      <c r="C31" s="38" t="str">
        <v>0.1.0-DRAFT</v>
      </c>
      <c r="D31" s="38" t="str">
        <v>VSF-027@BASE</v>
      </c>
      <c r="E31" s="38" t="n">
        <v>1</v>
      </c>
      <c r="F31" s="38" t="str">
        <v>Chef draft source portion/batch; canonical is architecture reference, not approved production batch</v>
      </c>
      <c r="G31" s="38" t="n">
        <v>622</v>
      </c>
      <c r="H31" s="38" t="n">
        <v>622</v>
      </c>
      <c r="I31" s="38" t="n">
        <v>607</v>
      </c>
      <c r="J31" s="38" t="str">
        <v>г</v>
      </c>
      <c r="K31" s="38" t="str">
        <v>VKM-029</v>
      </c>
      <c r="L31" s="38" t="str">
        <v>null</v>
      </c>
      <c r="M31" s="38" t="str">
        <v>Нет</v>
      </c>
      <c r="N31" s="38" t="str">
        <v>DRAFT_WITH_ASSUMPTIONS</v>
      </c>
      <c r="O31" s="38" t="str">
        <v>ASSUMPTION</v>
      </c>
      <c r="P31" s="38" t="str">
        <v>EVD-0009;EVD-0007;EVD-0008</v>
      </c>
      <c r="Q31" s="38" t="str">
        <v>Draft batch reconstructed only from Chef HOF-0002 quantities; factual yield not asserted</v>
      </c>
      <c r="R31" s="38" t="str">
        <v>2026-08-03</v>
      </c>
      <c r="S31" s="38" t="str">
        <v>Chef / SemiFinishedProductsAgent</v>
      </c>
      <c r="T31" s="38" t="str">
        <v>GAP-006;GAP-010;GAP-011</v>
      </c>
      <c r="U31" s="38" t="str">
        <v>BLOCKED_PENDING_VALIDATION</v>
      </c>
      <c r="V31" s="38" t="str">
        <v>GAP-010;GAP-011</v>
      </c>
      <c r="W31" s="38" t="str">
        <v>Chef freezes batch formula/output and variant decision; control cook weighs inputs, loss and output; FoodSafetyAgent re-reviews process and limits</v>
      </c>
      <c r="X31" s="38" t="str">
        <v>For the mapping-selected variant: SUM(raw extended costs + child VSF quantity × accepted child cost/output) / projected batch output; factual costing waits for accepted prices and output</v>
      </c>
      <c r="Y31" s="38" t="str">
        <v>At each parent include either CHILD_VSF cost or that child's raw lines, never both; top-level dish excludes flattened lines reassigned to a VSF</v>
      </c>
      <c r="Z31" s="38" t="str">
        <v>REAL_VSF_CANDIDATE</v>
      </c>
      <c r="AA31" s="38" t="str">
        <v>UNRESOLVED</v>
      </c>
      <c r="AB31" s="39" t="str">
        <v>SOURCE_DAG_CONTROLLED</v>
      </c>
    </row>
    <row r="32">
      <c r="A32" s="37" t="str">
        <v>VSF-028</v>
      </c>
      <c r="B32" s="38" t="str">
        <v>Черничный крем</v>
      </c>
      <c r="C32" s="38" t="str">
        <v>0.1.0-DRAFT</v>
      </c>
      <c r="D32" s="38" t="str">
        <v>VSF-028@BASE</v>
      </c>
      <c r="E32" s="38" t="n">
        <v>1</v>
      </c>
      <c r="F32" s="38" t="str">
        <v>Chef draft source portion/batch; canonical is architecture reference, not approved production batch</v>
      </c>
      <c r="G32" s="38" t="n">
        <v>730</v>
      </c>
      <c r="H32" s="38" t="n">
        <v>715</v>
      </c>
      <c r="I32" s="38" t="n">
        <v>700</v>
      </c>
      <c r="J32" s="38" t="str">
        <v>г</v>
      </c>
      <c r="K32" s="38" t="str">
        <v>VKM-029</v>
      </c>
      <c r="L32" s="38" t="str">
        <v>null</v>
      </c>
      <c r="M32" s="38" t="str">
        <v>Нет</v>
      </c>
      <c r="N32" s="38" t="str">
        <v>DRAFT_WITH_ASSUMPTIONS</v>
      </c>
      <c r="O32" s="38" t="str">
        <v>ASSUMPTION</v>
      </c>
      <c r="P32" s="38" t="str">
        <v>EVD-0009;EVD-0007;EVD-0008</v>
      </c>
      <c r="Q32" s="38" t="str">
        <v>Draft batch reconstructed only from Chef HOF-0002 quantities; factual yield not asserted</v>
      </c>
      <c r="R32" s="38" t="str">
        <v>2026-08-03</v>
      </c>
      <c r="S32" s="38" t="str">
        <v>Chef / SemiFinishedProductsAgent</v>
      </c>
      <c r="T32" s="38" t="str">
        <v>GAP-006;GAP-010;GAP-011</v>
      </c>
      <c r="U32" s="38" t="str">
        <v>BLOCKED_PENDING_VALIDATION</v>
      </c>
      <c r="V32" s="38" t="str">
        <v>GAP-010;GAP-011</v>
      </c>
      <c r="W32" s="38" t="str">
        <v>Chef freezes batch formula/output and variant decision; control cook weighs inputs, loss and output; FoodSafetyAgent re-reviews process and limits</v>
      </c>
      <c r="X32" s="38" t="str">
        <v>For the mapping-selected variant: SUM(raw extended costs + child VSF quantity × accepted child cost/output) / projected batch output; factual costing waits for accepted prices and output</v>
      </c>
      <c r="Y32" s="38" t="str">
        <v>At each parent include either CHILD_VSF cost or that child's raw lines, never both; top-level dish excludes flattened lines reassigned to a VSF</v>
      </c>
      <c r="Z32" s="38" t="str">
        <v>REAL_VSF_CANDIDATE</v>
      </c>
      <c r="AA32" s="38" t="str">
        <v>UNRESOLVED</v>
      </c>
      <c r="AB32" s="39" t="str">
        <v>SOURCE_DAG_CONTROLLED</v>
      </c>
    </row>
    <row r="33">
      <c r="A33" s="37" t="str">
        <v>VSF-029</v>
      </c>
      <c r="B33" s="38" t="str">
        <v>Черничное компоте</v>
      </c>
      <c r="C33" s="38" t="str">
        <v>0.1.0-DRAFT</v>
      </c>
      <c r="D33" s="38" t="str">
        <v>VSF-029@BASE</v>
      </c>
      <c r="E33" s="38" t="n">
        <v>1</v>
      </c>
      <c r="F33" s="38" t="str">
        <v>Chef draft source portion/batch; canonical is architecture reference, not approved production batch</v>
      </c>
      <c r="G33" s="38" t="n">
        <v>330</v>
      </c>
      <c r="H33" s="38" t="n">
        <v>320</v>
      </c>
      <c r="I33" s="38" t="n">
        <v>300</v>
      </c>
      <c r="J33" s="38" t="str">
        <v>г</v>
      </c>
      <c r="K33" s="38" t="str">
        <v>VKM-029</v>
      </c>
      <c r="L33" s="38" t="str">
        <v>null</v>
      </c>
      <c r="M33" s="38" t="str">
        <v>Возможно</v>
      </c>
      <c r="N33" s="38" t="str">
        <v>DRAFT_WITH_ASSUMPTIONS</v>
      </c>
      <c r="O33" s="38" t="str">
        <v>ASSUMPTION</v>
      </c>
      <c r="P33" s="38" t="str">
        <v>EVD-0009;EVD-0007;EVD-0008</v>
      </c>
      <c r="Q33" s="38" t="str">
        <v>Draft batch reconstructed only from Chef HOF-0002 quantities; factual yield not asserted</v>
      </c>
      <c r="R33" s="38" t="str">
        <v>2026-08-03</v>
      </c>
      <c r="S33" s="38" t="str">
        <v>Chef / SemiFinishedProductsAgent</v>
      </c>
      <c r="T33" s="38" t="str">
        <v>GAP-006;GAP-010;GAP-011</v>
      </c>
      <c r="U33" s="38" t="str">
        <v>BLOCKED_PENDING_VALIDATION</v>
      </c>
      <c r="V33" s="38" t="str">
        <v>GAP-010;GAP-011</v>
      </c>
      <c r="W33" s="38" t="str">
        <v>Chef freezes batch formula/output and variant decision; control cook weighs inputs, loss and output; FoodSafetyAgent re-reviews process and limits</v>
      </c>
      <c r="X33" s="38" t="str">
        <v>For the mapping-selected variant: SUM(raw extended costs + child VSF quantity × accepted child cost/output) / projected batch output; factual costing waits for accepted prices and output</v>
      </c>
      <c r="Y33" s="38" t="str">
        <v>At each parent include either CHILD_VSF cost or that child's raw lines, never both; top-level dish excludes flattened lines reassigned to a VSF</v>
      </c>
      <c r="Z33" s="38" t="str">
        <v>REAL_VSF_CANDIDATE</v>
      </c>
      <c r="AA33" s="38" t="str">
        <v>UNRESOLVED</v>
      </c>
      <c r="AB33" s="39" t="str">
        <v>SOURCE_DAG_CONTROLLED</v>
      </c>
    </row>
    <row r="34">
      <c r="A34" s="37" t="str">
        <v>VSF-030</v>
      </c>
      <c r="B34" s="38" t="str">
        <v>Глазурь торта</v>
      </c>
      <c r="C34" s="38" t="str">
        <v>0.1.0-DRAFT</v>
      </c>
      <c r="D34" s="38" t="str">
        <v>VSF-030@BASE</v>
      </c>
      <c r="E34" s="38" t="n">
        <v>1</v>
      </c>
      <c r="F34" s="38" t="str">
        <v>Chef draft source portion/batch; canonical is architecture reference, not approved production batch</v>
      </c>
      <c r="G34" s="38" t="n">
        <v>150</v>
      </c>
      <c r="H34" s="38" t="n">
        <v>150</v>
      </c>
      <c r="I34" s="38" t="n">
        <v>150</v>
      </c>
      <c r="J34" s="38" t="str">
        <v>г</v>
      </c>
      <c r="K34" s="38" t="str">
        <v>VKM-029</v>
      </c>
      <c r="L34" s="38" t="str">
        <v>null</v>
      </c>
      <c r="M34" s="38" t="str">
        <v>Возможно</v>
      </c>
      <c r="N34" s="38" t="str">
        <v>BLOCKED_PENDING_VALIDATION</v>
      </c>
      <c r="O34" s="38" t="str">
        <v>ASSUMPTION</v>
      </c>
      <c r="P34" s="38" t="str">
        <v>EVD-0009;EVD-0007;EVD-0008</v>
      </c>
      <c r="Q34" s="38" t="str">
        <v>Draft batch reconstructed only from Chef HOF-0002 quantities; factual yield not asserted; source is an undecomposed prepared input, not a complete production formula</v>
      </c>
      <c r="R34" s="38" t="str">
        <v>2026-08-03</v>
      </c>
      <c r="S34" s="38" t="str">
        <v>Chef / SemiFinishedProductsAgent</v>
      </c>
      <c r="T34" s="38" t="str">
        <v>GAP-006;GAP-010;GAP-011;GAP-SF-002</v>
      </c>
      <c r="U34" s="38" t="str">
        <v>BLOCKED_PENDING_VALIDATION</v>
      </c>
      <c r="V34" s="38" t="str">
        <v>GAP-010;GAP-011</v>
      </c>
      <c r="W34" s="38" t="str">
        <v>Chef freezes batch formula/output and variant decision; control cook weighs inputs, loss and output; FoodSafetyAgent re-reviews process and limits</v>
      </c>
      <c r="X34" s="38" t="str">
        <v>For the mapping-selected variant: SUM(raw extended costs + child VSF quantity × accepted child cost/output) / projected batch output; factual costing waits for accepted prices and output</v>
      </c>
      <c r="Y34" s="38" t="str">
        <v>At each parent include either CHILD_VSF cost or that child's raw lines, never both; top-level dish excludes flattened lines reassigned to a VSF</v>
      </c>
      <c r="Z34" s="38" t="str">
        <v>REAL_VSF_CANDIDATE</v>
      </c>
      <c r="AA34" s="38" t="str">
        <v>UNRESOLVED</v>
      </c>
      <c r="AB34" s="39" t="str">
        <v>SOURCE_DAG_CONTROLLED</v>
      </c>
    </row>
    <row r="35">
      <c r="A35" s="37" t="str">
        <v>VSF-031</v>
      </c>
      <c r="B35" s="38" t="str">
        <v>Песочное тесто кростаты</v>
      </c>
      <c r="C35" s="38" t="str">
        <v>0.1.0-DRAFT</v>
      </c>
      <c r="D35" s="38" t="str">
        <v>VSF-031@BASE</v>
      </c>
      <c r="E35" s="38" t="n">
        <v>1</v>
      </c>
      <c r="F35" s="38" t="str">
        <v>Chef draft source portion/batch; canonical is architecture reference, not approved production batch</v>
      </c>
      <c r="G35" s="38" t="n">
        <v>610</v>
      </c>
      <c r="H35" s="38" t="n">
        <v>610</v>
      </c>
      <c r="I35" s="38" t="n">
        <v>600</v>
      </c>
      <c r="J35" s="38" t="str">
        <v>г</v>
      </c>
      <c r="K35" s="38" t="str">
        <v>VKM-030</v>
      </c>
      <c r="L35" s="38" t="str">
        <v>null</v>
      </c>
      <c r="M35" s="38" t="str">
        <v>Возможно</v>
      </c>
      <c r="N35" s="38" t="str">
        <v>DRAFT_WITH_ASSUMPTIONS</v>
      </c>
      <c r="O35" s="38" t="str">
        <v>ASSUMPTION</v>
      </c>
      <c r="P35" s="38" t="str">
        <v>EVD-0009;EVD-0007;EVD-0008</v>
      </c>
      <c r="Q35" s="38" t="str">
        <v>Draft batch reconstructed only from Chef HOF-0002 quantities; factual yield not asserted</v>
      </c>
      <c r="R35" s="38" t="str">
        <v>2026-08-03</v>
      </c>
      <c r="S35" s="38" t="str">
        <v>Chef / SemiFinishedProductsAgent</v>
      </c>
      <c r="T35" s="38" t="str">
        <v>GAP-006;GAP-010;GAP-011</v>
      </c>
      <c r="U35" s="38" t="str">
        <v>BLOCKED_PENDING_VALIDATION</v>
      </c>
      <c r="V35" s="38" t="str">
        <v>GAP-010;GAP-011</v>
      </c>
      <c r="W35" s="38" t="str">
        <v>Chef freezes batch formula/output and variant decision; control cook weighs inputs, loss and output; FoodSafetyAgent re-reviews process and limits</v>
      </c>
      <c r="X35" s="38" t="str">
        <v>For the mapping-selected variant: SUM(raw extended costs + child VSF quantity × accepted child cost/output) / projected batch output; factual costing waits for accepted prices and output</v>
      </c>
      <c r="Y35" s="38" t="str">
        <v>At each parent include either CHILD_VSF cost or that child's raw lines, never both; top-level dish excludes flattened lines reassigned to a VSF</v>
      </c>
      <c r="Z35" s="38" t="str">
        <v>REAL_VSF_CANDIDATE</v>
      </c>
      <c r="AA35" s="38" t="str">
        <v>UNRESOLVED</v>
      </c>
      <c r="AB35" s="39" t="str">
        <v>SOURCE_DAG_CONTROLLED</v>
      </c>
    </row>
    <row r="36">
      <c r="A36" s="37" t="str">
        <v>VSF-032</v>
      </c>
      <c r="B36" s="38" t="str">
        <v>Солёная карамель</v>
      </c>
      <c r="C36" s="38" t="str">
        <v>0.1.0-DRAFT</v>
      </c>
      <c r="D36" s="38" t="str">
        <v>VSF-032@BASE</v>
      </c>
      <c r="E36" s="38" t="n">
        <v>1</v>
      </c>
      <c r="F36" s="38" t="str">
        <v>Chef draft source portion/batch; canonical is architecture reference, not approved production batch</v>
      </c>
      <c r="G36" s="38" t="n">
        <v>355</v>
      </c>
      <c r="H36" s="38" t="n">
        <v>355</v>
      </c>
      <c r="I36" s="38" t="n">
        <v>350</v>
      </c>
      <c r="J36" s="38" t="str">
        <v>г</v>
      </c>
      <c r="K36" s="38" t="str">
        <v>VKM-030</v>
      </c>
      <c r="L36" s="38" t="str">
        <v>null</v>
      </c>
      <c r="M36" s="38" t="str">
        <v>Да</v>
      </c>
      <c r="N36" s="38" t="str">
        <v>DRAFT_WITH_ASSUMPTIONS</v>
      </c>
      <c r="O36" s="38" t="str">
        <v>ASSUMPTION</v>
      </c>
      <c r="P36" s="38" t="str">
        <v>EVD-0009;EVD-0007;EVD-0008</v>
      </c>
      <c r="Q36" s="38" t="str">
        <v>Draft batch reconstructed only from Chef HOF-0002 quantities; factual yield not asserted</v>
      </c>
      <c r="R36" s="38" t="str">
        <v>2026-08-03</v>
      </c>
      <c r="S36" s="38" t="str">
        <v>Chef / SemiFinishedProductsAgent</v>
      </c>
      <c r="T36" s="38" t="str">
        <v>GAP-006;GAP-010;GAP-011</v>
      </c>
      <c r="U36" s="38" t="str">
        <v>BLOCKED_PENDING_VALIDATION</v>
      </c>
      <c r="V36" s="38" t="str">
        <v>GAP-010;GAP-011</v>
      </c>
      <c r="W36" s="38" t="str">
        <v>Chef freezes batch formula/output and variant decision; control cook weighs inputs, loss and output; FoodSafetyAgent re-reviews process and limits</v>
      </c>
      <c r="X36" s="38" t="str">
        <v>For the mapping-selected variant: SUM(raw extended costs + child VSF quantity × accepted child cost/output) / projected batch output; factual costing waits for accepted prices and output</v>
      </c>
      <c r="Y36" s="38" t="str">
        <v>At each parent include either CHILD_VSF cost or that child's raw lines, never both; top-level dish excludes flattened lines reassigned to a VSF</v>
      </c>
      <c r="Z36" s="38" t="str">
        <v>REAL_VSF_CANDIDATE</v>
      </c>
      <c r="AA36" s="38" t="str">
        <v>UNRESOLVED</v>
      </c>
      <c r="AB36" s="39" t="str">
        <v>SOURCE_DAG_CONTROLLED</v>
      </c>
    </row>
    <row r="37">
      <c r="A37" s="37" t="str">
        <v>VSF-033</v>
      </c>
      <c r="B37" s="38" t="str">
        <v>Крем кростаты</v>
      </c>
      <c r="C37" s="38" t="str">
        <v>0.1.0-DRAFT</v>
      </c>
      <c r="D37" s="38" t="str">
        <v>VSF-033@BASE</v>
      </c>
      <c r="E37" s="38" t="n">
        <v>1</v>
      </c>
      <c r="F37" s="38" t="str">
        <v>Chef draft source portion/batch; canonical is architecture reference, not approved production batch</v>
      </c>
      <c r="G37" s="38" t="n">
        <v>200</v>
      </c>
      <c r="H37" s="38" t="n">
        <v>200</v>
      </c>
      <c r="I37" s="38" t="n">
        <v>200</v>
      </c>
      <c r="J37" s="38" t="str">
        <v>г</v>
      </c>
      <c r="K37" s="38" t="str">
        <v>VKM-030</v>
      </c>
      <c r="L37" s="38" t="str">
        <v>null</v>
      </c>
      <c r="M37" s="38" t="str">
        <v>Возможно</v>
      </c>
      <c r="N37" s="38" t="str">
        <v>DRAFT_WITH_ASSUMPTIONS</v>
      </c>
      <c r="O37" s="38" t="str">
        <v>ASSUMPTION</v>
      </c>
      <c r="P37" s="38" t="str">
        <v>EVD-0009;EVD-0007;EVD-0008</v>
      </c>
      <c r="Q37" s="38" t="str">
        <v>Draft batch reconstructed only from Chef HOF-0002 quantities; factual yield not asserted</v>
      </c>
      <c r="R37" s="38" t="str">
        <v>2026-08-03</v>
      </c>
      <c r="S37" s="38" t="str">
        <v>Chef / SemiFinishedProductsAgent</v>
      </c>
      <c r="T37" s="38" t="str">
        <v>GAP-006;GAP-010;GAP-011</v>
      </c>
      <c r="U37" s="38" t="str">
        <v>BLOCKED_PENDING_VALIDATION</v>
      </c>
      <c r="V37" s="38" t="str">
        <v>GAP-010;GAP-011</v>
      </c>
      <c r="W37" s="38" t="str">
        <v>Chef freezes batch formula/output and variant decision; control cook weighs inputs, loss and output; FoodSafetyAgent re-reviews process and limits</v>
      </c>
      <c r="X37" s="38" t="str">
        <v>For the mapping-selected variant: SUM(raw extended costs + child VSF quantity × accepted child cost/output) / projected batch output; factual costing waits for accepted prices and output</v>
      </c>
      <c r="Y37" s="38" t="str">
        <v>At each parent include either CHILD_VSF cost or that child's raw lines, never both; top-level dish excludes flattened lines reassigned to a VSF</v>
      </c>
      <c r="Z37" s="38" t="str">
        <v>REAL_VSF_CANDIDATE</v>
      </c>
      <c r="AA37" s="38" t="str">
        <v>UNRESOLVED</v>
      </c>
      <c r="AB37" s="39" t="str">
        <v>SOURCE_DAG_CONTROLLED</v>
      </c>
    </row>
    <row r="38">
      <c r="A38" s="37" t="str">
        <v>VSF-034</v>
      </c>
      <c r="B38" s="38" t="str">
        <v>Тесто мадлен</v>
      </c>
      <c r="C38" s="38" t="str">
        <v>0.1.0-DRAFT</v>
      </c>
      <c r="D38" s="38" t="str">
        <v>VSF-034@BASE</v>
      </c>
      <c r="E38" s="38" t="n">
        <v>1</v>
      </c>
      <c r="F38" s="38" t="str">
        <v>Chef draft source portion/batch; canonical is architecture reference, not approved production batch</v>
      </c>
      <c r="G38" s="38" t="n">
        <v>612</v>
      </c>
      <c r="H38" s="38" t="n">
        <v>610</v>
      </c>
      <c r="I38" s="38" t="n">
        <v>600</v>
      </c>
      <c r="J38" s="38" t="str">
        <v>г</v>
      </c>
      <c r="K38" s="38" t="str">
        <v>VKM-031</v>
      </c>
      <c r="L38" s="38" t="str">
        <v>null</v>
      </c>
      <c r="M38" s="38" t="str">
        <v>Нет</v>
      </c>
      <c r="N38" s="38" t="str">
        <v>DRAFT_WITH_ASSUMPTIONS</v>
      </c>
      <c r="O38" s="38" t="str">
        <v>ASSUMPTION</v>
      </c>
      <c r="P38" s="38" t="str">
        <v>EVD-0009;EVD-0007;EVD-0008</v>
      </c>
      <c r="Q38" s="38" t="str">
        <v>Draft batch reconstructed only from Chef HOF-0002 quantities; factual yield not asserted</v>
      </c>
      <c r="R38" s="38" t="str">
        <v>2026-08-03</v>
      </c>
      <c r="S38" s="38" t="str">
        <v>Chef / SemiFinishedProductsAgent</v>
      </c>
      <c r="T38" s="38" t="str">
        <v>GAP-006;GAP-010;GAP-011</v>
      </c>
      <c r="U38" s="38" t="str">
        <v>BLOCKED_PENDING_VALIDATION</v>
      </c>
      <c r="V38" s="38" t="str">
        <v>GAP-010;GAP-011</v>
      </c>
      <c r="W38" s="38" t="str">
        <v>Chef freezes batch formula/output and variant decision; control cook weighs inputs, loss and output; FoodSafetyAgent re-reviews process and limits</v>
      </c>
      <c r="X38" s="38" t="str">
        <v>For the mapping-selected variant: SUM(raw extended costs + child VSF quantity × accepted child cost/output) / projected batch output; factual costing waits for accepted prices and output</v>
      </c>
      <c r="Y38" s="38" t="str">
        <v>At each parent include either CHILD_VSF cost or that child's raw lines, never both; top-level dish excludes flattened lines reassigned to a VSF</v>
      </c>
      <c r="Z38" s="38" t="str">
        <v>REAL_VSF_CANDIDATE</v>
      </c>
      <c r="AA38" s="38" t="str">
        <v>UNRESOLVED</v>
      </c>
      <c r="AB38" s="39" t="str">
        <v>SOURCE_DAG_CONTROLLED</v>
      </c>
    </row>
    <row r="39">
      <c r="A39" s="37" t="str">
        <v>VSF-NONE-VKM-026</v>
      </c>
      <c r="B39" s="38" t="str">
        <v>Boundary assertion: make-полуфабрикат не выделен в PR81</v>
      </c>
      <c r="C39" s="38" t="str">
        <v>PR81-DRAFT</v>
      </c>
      <c r="D39" s="38" t="str">
        <v>NONE@VKM-026</v>
      </c>
      <c r="E39" s="38" t="n">
        <v>0</v>
      </c>
      <c r="F39" s="38"/>
      <c r="G39" s="38"/>
      <c r="H39" s="38"/>
      <c r="I39" s="38"/>
      <c r="J39" s="38"/>
      <c r="K39" s="38" t="str">
        <v>VKM-026</v>
      </c>
      <c r="L39" s="38"/>
      <c r="M39" s="38"/>
      <c r="N39" s="38" t="str">
        <v>PENDING_CHEF_CONFIRMATION</v>
      </c>
      <c r="O39" s="38" t="str">
        <v>DRAFT</v>
      </c>
      <c r="P39" s="38"/>
      <c r="Q39" s="38"/>
      <c r="R39" s="38"/>
      <c r="S39" s="38" t="str">
        <v>Chef</v>
      </c>
      <c r="T39" s="38"/>
      <c r="U39" s="38"/>
      <c r="V39" s="38"/>
      <c r="W39" s="38" t="str">
        <v>Подтвердить отсутствие make-полуфабрикатов и границы make-or-buy</v>
      </c>
      <c r="X39" s="38"/>
      <c r="Y39" s="38" t="str">
        <v>Each purchased component once</v>
      </c>
      <c r="Z39" s="38" t="str">
        <v>BOUNDARY_ASSERTION_NOT_REAL_VSF</v>
      </c>
      <c r="AA39" s="38" t="str">
        <v>NO_MAKE_VSF_IDENTIFIED_PENDING_CHEF</v>
      </c>
      <c r="AB39" s="39" t="str">
        <v>EXPLICIT_DISH_BOUNDARY_EDGE</v>
      </c>
    </row>
    <row r="40">
      <c r="A40" s="37" t="str">
        <v>VSF-NONE-VKM-027</v>
      </c>
      <c r="B40" s="38" t="str">
        <v>Boundary assertion: make-полуфабрикат не выделен в PR81</v>
      </c>
      <c r="C40" s="38" t="str">
        <v>PR81-DRAFT</v>
      </c>
      <c r="D40" s="38" t="str">
        <v>NONE@VKM-027</v>
      </c>
      <c r="E40" s="38" t="n">
        <v>0</v>
      </c>
      <c r="F40" s="38"/>
      <c r="G40" s="38"/>
      <c r="H40" s="38"/>
      <c r="I40" s="38"/>
      <c r="J40" s="38"/>
      <c r="K40" s="38" t="str">
        <v>VKM-027</v>
      </c>
      <c r="L40" s="38"/>
      <c r="M40" s="38"/>
      <c r="N40" s="38" t="str">
        <v>PENDING_CHEF_CONFIRMATION</v>
      </c>
      <c r="O40" s="38" t="str">
        <v>DRAFT</v>
      </c>
      <c r="P40" s="38"/>
      <c r="Q40" s="38"/>
      <c r="R40" s="38"/>
      <c r="S40" s="38" t="str">
        <v>Chef</v>
      </c>
      <c r="T40" s="38"/>
      <c r="U40" s="38"/>
      <c r="V40" s="38"/>
      <c r="W40" s="38" t="str">
        <v>Подтвердить отсутствие make-полуфабрикатов и границы make-or-buy</v>
      </c>
      <c r="X40" s="38"/>
      <c r="Y40" s="38" t="str">
        <v>Each purchased component once</v>
      </c>
      <c r="Z40" s="38" t="str">
        <v>BOUNDARY_ASSERTION_NOT_REAL_VSF</v>
      </c>
      <c r="AA40" s="38" t="str">
        <v>NO_MAKE_VSF_IDENTIFIED_PENDING_CHEF</v>
      </c>
      <c r="AB40" s="39" t="str">
        <v>EXPLICIT_DISH_BOUNDARY_EDGE</v>
      </c>
    </row>
    <row r="41">
      <c r="A41" s="40" t="str">
        <v>VSF-NONE-VKM-028</v>
      </c>
      <c r="B41" s="41" t="str">
        <v>Boundary assertion: make-полуфабрикат не выделен в PR81</v>
      </c>
      <c r="C41" s="41" t="str">
        <v>PR81-DRAFT</v>
      </c>
      <c r="D41" s="41" t="str">
        <v>NONE@VKM-028</v>
      </c>
      <c r="E41" s="41" t="n">
        <v>0</v>
      </c>
      <c r="F41" s="41"/>
      <c r="G41" s="41"/>
      <c r="H41" s="41"/>
      <c r="I41" s="41"/>
      <c r="J41" s="41"/>
      <c r="K41" s="41" t="str">
        <v>VKM-028</v>
      </c>
      <c r="L41" s="41"/>
      <c r="M41" s="41"/>
      <c r="N41" s="41" t="str">
        <v>PENDING_CHEF_CONFIRMATION</v>
      </c>
      <c r="O41" s="41" t="str">
        <v>DRAFT</v>
      </c>
      <c r="P41" s="41"/>
      <c r="Q41" s="41"/>
      <c r="R41" s="41"/>
      <c r="S41" s="41" t="str">
        <v>Chef</v>
      </c>
      <c r="T41" s="41"/>
      <c r="U41" s="41"/>
      <c r="V41" s="41"/>
      <c r="W41" s="41" t="str">
        <v>Подтвердить отсутствие make-полуфабрикатов и границы make-or-buy</v>
      </c>
      <c r="X41" s="41"/>
      <c r="Y41" s="41" t="str">
        <v>Each purchased component once</v>
      </c>
      <c r="Z41" s="41" t="str">
        <v>BOUNDARY_ASSERTION_NOT_REAL_VSF</v>
      </c>
      <c r="AA41" s="41" t="str">
        <v>NO_MAKE_VSF_IDENTIFIED_PENDING_CHEF</v>
      </c>
      <c r="AB41" s="42" t="str">
        <v>EXPLICIT_DISH_BOUNDARY_EDGE</v>
      </c>
    </row>
  </sheetData>
  <autoFilter ref="A1:AB41"/>
  <mergeCells>
    <mergeCell ref="A1:AB1"/>
    <mergeCell ref="A2:AB2"/>
  </mergeCells>
  <conditionalFormatting sqref="N5:N41">
    <cfRule type="containsText" dxfId="15" priority="1" operator="containsText" text="BLOCK"/>
    <cfRule type="containsText" dxfId="16" priority="2" operator="containsText" text="DRAFT"/>
    <cfRule type="containsText" dxfId="17" priority="3" operator="containsText" text="PASS"/>
  </conditionalFormatting>
  <conditionalFormatting sqref="O5:O41">
    <cfRule type="containsText" dxfId="18" priority="4" operator="containsText" text="BLOCK"/>
    <cfRule type="containsText" dxfId="19" priority="5" operator="containsText" text="DRAFT"/>
    <cfRule type="containsText" dxfId="20" priority="6" operator="containsText" text="PASS"/>
  </conditionalFormatting>
  <conditionalFormatting sqref="U5:U41">
    <cfRule type="containsText" dxfId="21" priority="7" operator="containsText" text="BLOCK"/>
    <cfRule type="containsText" dxfId="22" priority="8" operator="containsText" text="DRAFT"/>
    <cfRule type="containsText" dxfId="23" priority="9" operator="containsText" text="PASS"/>
  </conditionalFormatting>
  <conditionalFormatting sqref="AA5:AA41">
    <cfRule type="containsText" dxfId="24" priority="10" operator="containsText" text="BLOCK"/>
    <cfRule type="containsText" dxfId="25" priority="11" operator="containsText" text="DRAFT"/>
    <cfRule type="containsText" dxfId="26" priority="12" operator="containsText" text="PASS"/>
  </conditionalFormatting>
  <conditionalFormatting sqref="AB5:AB41">
    <cfRule type="containsText" dxfId="27" priority="13" operator="containsText" text="BLOCK"/>
    <cfRule type="containsText" dxfId="28" priority="14" operator="containsText" text="DRAFT"/>
    <cfRule type="containsText" dxfId="29" priority="15" operator="containsText" text="PASS"/>
  </conditionalFormatting>
  <pageMargins left="0.7" right="0.7" top="0.75" bottom="0.75" header="0.3" footer="0.3"/>
  <tableParts count="1">
    <tablePart r:id="R129c5df79e974020"/>
  </tablePart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38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38" hidden="0" customWidth="1"/>
    <col min="9" max="9" width="16" hidden="0" customWidth="1"/>
    <col min="10" max="10" width="16" hidden="0" customWidth="1"/>
    <col min="11" max="11" width="16" hidden="0" customWidth="1"/>
    <col min="12" max="12" width="38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16" hidden="0" customWidth="1"/>
    <col min="28" max="28" width="16" hidden="0" customWidth="1"/>
    <col min="29" max="29" width="16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16" hidden="0" customWidth="1"/>
    <col min="36" max="36" width="16" hidden="0" customWidth="1"/>
    <col min="37" max="37" width="16" hidden="0" customWidth="1"/>
    <col min="38" max="38" width="16" hidden="0" customWidth="1"/>
    <col min="39" max="39" width="24" hidden="0" customWidth="1"/>
  </cols>
  <sheetData>
    <row r="1">
      <c r="A1" s="8" t="str">
        <v>04 — Калькуляции 31/31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>
      <c r="A2" s="11" t="str">
        <v>MODEL ONLY NOT EVIDENCE. Формульный пересчёт прямого COGS справа.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4" ht="50" customHeight="1">
      <c r="A4" s="14" t="str">
        <v>bridge_record_id</v>
      </c>
      <c r="B4" s="14" t="str">
        <v>position_code</v>
      </c>
      <c r="C4" s="14" t="str">
        <v>position_name</v>
      </c>
      <c r="D4" s="14" t="str">
        <v>menu_family</v>
      </c>
      <c r="E4" s="14" t="str">
        <v>unit_basis</v>
      </c>
      <c r="F4" s="14" t="str">
        <v>source_model</v>
      </c>
      <c r="G4" s="14" t="str">
        <v>source_ref_sha</v>
      </c>
      <c r="H4" s="14" t="str">
        <v>source_path</v>
      </c>
      <c r="I4" s="14" t="str">
        <v>source_record_key</v>
      </c>
      <c r="J4" s="14" t="str">
        <v>source_as_of</v>
      </c>
      <c r="K4" s="14" t="str">
        <v>recipe_or_model_version</v>
      </c>
      <c r="L4" s="14" t="str">
        <v>costing_method_id</v>
      </c>
      <c r="M4" s="14" t="str">
        <v>evidence_food_cost_rub</v>
      </c>
      <c r="N4" s="14" t="str">
        <v>evidence_spoilage_rub</v>
      </c>
      <c r="O4" s="14" t="str">
        <v>evidence_kitchen_cogs_rub</v>
      </c>
      <c r="P4" s="14" t="str">
        <v>evidence_packaging_rub</v>
      </c>
      <c r="Q4" s="14" t="str">
        <v>evidence_other_direct_variable_rub</v>
      </c>
      <c r="R4" s="14" t="str">
        <v>evidence_complete_direct_cogs_rub</v>
      </c>
      <c r="S4" s="14" t="str">
        <v>model_evidence_benchmark_component_rub</v>
      </c>
      <c r="T4" s="14" t="str">
        <v>model_proxy_component_rub</v>
      </c>
      <c r="U4" s="14" t="str">
        <v>model_food_cost_rub</v>
      </c>
      <c r="V4" s="14" t="str">
        <v>model_spoilage_rub</v>
      </c>
      <c r="W4" s="14" t="str">
        <v>model_kitchen_cogs_rub</v>
      </c>
      <c r="X4" s="14" t="str">
        <v>model_packaging_rub</v>
      </c>
      <c r="Y4" s="14" t="str">
        <v>model_other_direct_variable_rub</v>
      </c>
      <c r="Z4" s="14" t="str">
        <v>model_complete_direct_cogs_rub</v>
      </c>
      <c r="AA4" s="14" t="str">
        <v>model_tariff_or_price_rub</v>
      </c>
      <c r="AB4" s="14" t="str">
        <v>model_food_cost_ratio</v>
      </c>
      <c r="AC4" s="14" t="str">
        <v>calculation_layer</v>
      </c>
      <c r="AD4" s="14" t="str">
        <v>calculation_status</v>
      </c>
      <c r="AE4" s="14" t="str">
        <v>procurement_evidence_status</v>
      </c>
      <c r="AF4" s="14" t="str">
        <v>owner_model_status</v>
      </c>
      <c r="AG4" s="14" t="str">
        <v>safety_release_status</v>
      </c>
      <c r="AH4" s="14" t="str">
        <v>import_status</v>
      </c>
      <c r="AI4" s="14" t="str">
        <v>limitations</v>
      </c>
      <c r="AJ4" s="14" t="str">
        <v>normalization_divisor</v>
      </c>
      <c r="AK4" s="14" t="str">
        <v>sale_unit_model_kitchen_cogs_rub</v>
      </c>
      <c r="AL4" s="14" t="str">
        <v>sale_unit_model_complete_direct_cogs_rub</v>
      </c>
      <c r="AM4" s="14" t="str">
        <v>normalization_status</v>
      </c>
      <c r="AN4" t="str">
        <v>recalc_direct_cogs_rub</v>
      </c>
      <c r="AO4" t="str">
        <v>recalc_delta_when_source_complete</v>
      </c>
    </row>
    <row r="5">
      <c r="A5" s="34" t="str">
        <v>CALC-VKM-001-ISS82-PROXY</v>
      </c>
      <c r="B5" s="35" t="str">
        <v>VKM-001</v>
      </c>
      <c r="C5" s="35" t="str">
        <v>Маргарита</v>
      </c>
      <c r="D5" s="35" t="str">
        <v>Пицца</v>
      </c>
      <c r="E5" s="35" t="str">
        <v>one sale portion</v>
      </c>
      <c r="F5" s="35" t="str">
        <v>ISSUE82_RC2_PROXY_SCENARIO</v>
      </c>
      <c r="G5" s="35" t="str">
        <v>71516bf871fa560e890ce5bc7f858854a5335ae2</v>
      </c>
      <c r="H5" s="35" t="str">
        <v>docs/07-operations/issue-82/PROVISIONAL_PROXY_SCENARIO_COSTING.csv</v>
      </c>
      <c r="I5" s="35" t="str">
        <v>VKM-001</v>
      </c>
      <c r="J5" s="35" t="str">
        <v>2026-08-03</v>
      </c>
      <c r="K5" s="35" t="str">
        <v>0.1.0-DRAFT</v>
      </c>
      <c r="L5" s="35" t="str">
        <v>ISS82_PROXY_DAG_NO_DOUBLE_COUNT_V0.3</v>
      </c>
      <c r="M5" s="35"/>
      <c r="N5" s="35"/>
      <c r="O5" s="35"/>
      <c r="P5" s="35"/>
      <c r="Q5" s="35"/>
      <c r="R5" s="35"/>
      <c r="S5" s="35" t="n">
        <v>168.17102</v>
      </c>
      <c r="T5" s="35" t="n">
        <v>58.496792</v>
      </c>
      <c r="U5" s="35" t="n">
        <v>226.667812</v>
      </c>
      <c r="V5" s="35" t="n">
        <v>3.400017</v>
      </c>
      <c r="W5" s="35" t="n">
        <v>230.067829</v>
      </c>
      <c r="X5" s="35"/>
      <c r="Y5" s="35"/>
      <c r="Z5" s="35"/>
      <c r="AA5" s="35"/>
      <c r="AB5" s="35"/>
      <c r="AC5" s="35" t="str">
        <v>ISSUE82_PROXY_SCENARIO</v>
      </c>
      <c r="AD5" s="35" t="str">
        <v>ASSUMPTION_BLOCKED_PENDING_VALIDATION</v>
      </c>
      <c r="AE5" s="35" t="str">
        <v>OPEN</v>
      </c>
      <c r="AF5" s="35" t="str">
        <v>OWNER_ACCEPTED_FOR_FINMODEL_PLANNING_NOT_SUBJECT_APPROVAL</v>
      </c>
      <c r="AG5" s="35" t="str">
        <v>BLOCK</v>
      </c>
      <c r="AH5" s="35" t="str">
        <v>MODEL_ONLY_NOT_EVIDENCE</v>
      </c>
      <c r="AI5" s="35" t="str">
        <v>Not complete evidence-backed COGS; exact SKU, make/buy, yields, quotations, VAT, delivery and MOQ remain open</v>
      </c>
      <c r="AJ5" s="35" t="n">
        <v>1</v>
      </c>
      <c r="AK5" s="35" t="n">
        <v>230.067829</v>
      </c>
      <c r="AL5" s="35"/>
      <c r="AM5" s="36" t="str">
        <v>SOURCE_ALREADY_ONE_SALE_UNIT</v>
      </c>
      <c r="AN5" s="43" t="n">
        <f>IF(COUNTA(W5,X5,Y5)=0,"",SUM(W5,X5,Y5))</f>
        <v>230.067829</v>
      </c>
      <c r="AO5" s="43" t="str">
        <f>IF(Z5="","", AN5-Z5)</f>
      </c>
    </row>
    <row r="6">
      <c r="A6" s="37" t="str">
        <v>CALC-VKM-002-ISS82-PROXY</v>
      </c>
      <c r="B6" s="38" t="str">
        <v>VKM-002</v>
      </c>
      <c r="C6" s="38" t="str">
        <v>Четыре сыра</v>
      </c>
      <c r="D6" s="38" t="str">
        <v>Пицца</v>
      </c>
      <c r="E6" s="38" t="str">
        <v>one sale portion</v>
      </c>
      <c r="F6" s="38" t="str">
        <v>ISSUE82_RC2_PROXY_SCENARIO</v>
      </c>
      <c r="G6" s="38" t="str">
        <v>71516bf871fa560e890ce5bc7f858854a5335ae2</v>
      </c>
      <c r="H6" s="38" t="str">
        <v>docs/07-operations/issue-82/PROVISIONAL_PROXY_SCENARIO_COSTING.csv</v>
      </c>
      <c r="I6" s="38" t="str">
        <v>VKM-002</v>
      </c>
      <c r="J6" s="38" t="str">
        <v>2026-08-03</v>
      </c>
      <c r="K6" s="38" t="str">
        <v>0.1.0-DRAFT</v>
      </c>
      <c r="L6" s="38" t="str">
        <v>ISS82_PROXY_DAG_NO_DOUBLE_COUNT_V0.3</v>
      </c>
      <c r="M6" s="38"/>
      <c r="N6" s="38"/>
      <c r="O6" s="38"/>
      <c r="P6" s="38"/>
      <c r="Q6" s="38"/>
      <c r="R6" s="38"/>
      <c r="S6" s="38" t="n">
        <v>253.04802</v>
      </c>
      <c r="T6" s="38" t="n">
        <v>76.196522</v>
      </c>
      <c r="U6" s="38" t="n">
        <v>329.244542</v>
      </c>
      <c r="V6" s="38" t="n">
        <v>4.938668</v>
      </c>
      <c r="W6" s="38" t="n">
        <v>334.18321</v>
      </c>
      <c r="X6" s="38"/>
      <c r="Y6" s="38"/>
      <c r="Z6" s="38"/>
      <c r="AA6" s="38"/>
      <c r="AB6" s="38"/>
      <c r="AC6" s="38" t="str">
        <v>ISSUE82_PROXY_SCENARIO</v>
      </c>
      <c r="AD6" s="38" t="str">
        <v>ASSUMPTION_BLOCKED_PENDING_VALIDATION</v>
      </c>
      <c r="AE6" s="38" t="str">
        <v>OPEN</v>
      </c>
      <c r="AF6" s="38" t="str">
        <v>OWNER_ACCEPTED_FOR_FINMODEL_PLANNING_NOT_SUBJECT_APPROVAL</v>
      </c>
      <c r="AG6" s="38" t="str">
        <v>BLOCK</v>
      </c>
      <c r="AH6" s="38" t="str">
        <v>MODEL_ONLY_NOT_EVIDENCE</v>
      </c>
      <c r="AI6" s="38" t="str">
        <v>Not complete evidence-backed COGS; exact SKU, make/buy, yields, quotations, VAT, delivery and MOQ remain open</v>
      </c>
      <c r="AJ6" s="38" t="n">
        <v>1</v>
      </c>
      <c r="AK6" s="38" t="n">
        <v>334.18321</v>
      </c>
      <c r="AL6" s="38"/>
      <c r="AM6" s="39" t="str">
        <v>SOURCE_ALREADY_ONE_SALE_UNIT</v>
      </c>
      <c r="AN6" s="43" t="n">
        <f>IF(COUNTA(W6,X6,Y6)=0,"",SUM(W6,X6,Y6))</f>
        <v>334.18321</v>
      </c>
      <c r="AO6" s="43" t="str">
        <f>IF(Z6="","", AN6-Z6)</f>
      </c>
    </row>
    <row r="7">
      <c r="A7" s="37" t="str">
        <v>CALC-VKM-003-ISS82-PROXY</v>
      </c>
      <c r="B7" s="38" t="str">
        <v>VKM-003</v>
      </c>
      <c r="C7" s="38" t="str">
        <v>Грибная с ветчиной</v>
      </c>
      <c r="D7" s="38" t="str">
        <v>Пицца</v>
      </c>
      <c r="E7" s="38" t="str">
        <v>one sale portion</v>
      </c>
      <c r="F7" s="38" t="str">
        <v>ISSUE82_RC2_PROXY_SCENARIO</v>
      </c>
      <c r="G7" s="38" t="str">
        <v>71516bf871fa560e890ce5bc7f858854a5335ae2</v>
      </c>
      <c r="H7" s="38" t="str">
        <v>docs/07-operations/issue-82/PROVISIONAL_PROXY_SCENARIO_COSTING.csv</v>
      </c>
      <c r="I7" s="38" t="str">
        <v>VKM-003</v>
      </c>
      <c r="J7" s="38" t="str">
        <v>2026-08-03</v>
      </c>
      <c r="K7" s="38" t="str">
        <v>0.1.0-DRAFT</v>
      </c>
      <c r="L7" s="38" t="str">
        <v>ISS82_PROXY_DAG_NO_DOUBLE_COUNT_V0.3</v>
      </c>
      <c r="M7" s="38"/>
      <c r="N7" s="38"/>
      <c r="O7" s="38"/>
      <c r="P7" s="38"/>
      <c r="Q7" s="38"/>
      <c r="R7" s="38"/>
      <c r="S7" s="38" t="n">
        <v>134.80496</v>
      </c>
      <c r="T7" s="38" t="n">
        <v>131.073822</v>
      </c>
      <c r="U7" s="38" t="n">
        <v>265.878782</v>
      </c>
      <c r="V7" s="38" t="n">
        <v>3.988182</v>
      </c>
      <c r="W7" s="38" t="n">
        <v>269.866963</v>
      </c>
      <c r="X7" s="38"/>
      <c r="Y7" s="38"/>
      <c r="Z7" s="38"/>
      <c r="AA7" s="38"/>
      <c r="AB7" s="38"/>
      <c r="AC7" s="38" t="str">
        <v>ISSUE82_PROXY_SCENARIO</v>
      </c>
      <c r="AD7" s="38" t="str">
        <v>ASSUMPTION_BLOCKED_PENDING_VALIDATION</v>
      </c>
      <c r="AE7" s="38" t="str">
        <v>OPEN</v>
      </c>
      <c r="AF7" s="38" t="str">
        <v>OWNER_ACCEPTED_FOR_FINMODEL_PLANNING_NOT_SUBJECT_APPROVAL</v>
      </c>
      <c r="AG7" s="38" t="str">
        <v>BLOCK</v>
      </c>
      <c r="AH7" s="38" t="str">
        <v>MODEL_ONLY_NOT_EVIDENCE</v>
      </c>
      <c r="AI7" s="38" t="str">
        <v>Not complete evidence-backed COGS; exact SKU, make/buy, yields, quotations, VAT, delivery and MOQ remain open</v>
      </c>
      <c r="AJ7" s="38" t="n">
        <v>1</v>
      </c>
      <c r="AK7" s="38" t="n">
        <v>269.866963</v>
      </c>
      <c r="AL7" s="38"/>
      <c r="AM7" s="39" t="str">
        <v>SOURCE_ALREADY_ONE_SALE_UNIT</v>
      </c>
      <c r="AN7" s="43" t="n">
        <f>IF(COUNTA(W7,X7,Y7)=0,"",SUM(W7,X7,Y7))</f>
        <v>269.866963</v>
      </c>
      <c r="AO7" s="43" t="str">
        <f>IF(Z7="","", AN7-Z7)</f>
      </c>
    </row>
    <row r="8">
      <c r="A8" s="37" t="str">
        <v>CALC-VKM-004-ISS82-PROXY</v>
      </c>
      <c r="B8" s="38" t="str">
        <v>VKM-004</v>
      </c>
      <c r="C8" s="38" t="str">
        <v>Пепперони</v>
      </c>
      <c r="D8" s="38" t="str">
        <v>Пицца</v>
      </c>
      <c r="E8" s="38" t="str">
        <v>one sale portion</v>
      </c>
      <c r="F8" s="38" t="str">
        <v>ISSUE82_RC2_PROXY_SCENARIO</v>
      </c>
      <c r="G8" s="38" t="str">
        <v>71516bf871fa560e890ce5bc7f858854a5335ae2</v>
      </c>
      <c r="H8" s="38" t="str">
        <v>docs/07-operations/issue-82/PROVISIONAL_PROXY_SCENARIO_COSTING.csv</v>
      </c>
      <c r="I8" s="38" t="str">
        <v>VKM-004</v>
      </c>
      <c r="J8" s="38" t="str">
        <v>2026-08-03</v>
      </c>
      <c r="K8" s="38" t="str">
        <v>0.1.0-DRAFT</v>
      </c>
      <c r="L8" s="38" t="str">
        <v>ISS82_PROXY_DAG_NO_DOUBLE_COUNT_V0.3</v>
      </c>
      <c r="M8" s="38"/>
      <c r="N8" s="38"/>
      <c r="O8" s="38"/>
      <c r="P8" s="38"/>
      <c r="Q8" s="38"/>
      <c r="R8" s="38"/>
      <c r="S8" s="38" t="n">
        <v>258.40966</v>
      </c>
      <c r="T8" s="38" t="n">
        <v>51.886239</v>
      </c>
      <c r="U8" s="38" t="n">
        <v>310.295899</v>
      </c>
      <c r="V8" s="38" t="n">
        <v>4.654438</v>
      </c>
      <c r="W8" s="38" t="n">
        <v>314.950338</v>
      </c>
      <c r="X8" s="38"/>
      <c r="Y8" s="38"/>
      <c r="Z8" s="38"/>
      <c r="AA8" s="38"/>
      <c r="AB8" s="38"/>
      <c r="AC8" s="38" t="str">
        <v>ISSUE82_PROXY_SCENARIO</v>
      </c>
      <c r="AD8" s="38" t="str">
        <v>ASSUMPTION_BLOCKED_PENDING_VALIDATION</v>
      </c>
      <c r="AE8" s="38" t="str">
        <v>OPEN</v>
      </c>
      <c r="AF8" s="38" t="str">
        <v>OWNER_ACCEPTED_FOR_FINMODEL_PLANNING_NOT_SUBJECT_APPROVAL</v>
      </c>
      <c r="AG8" s="38" t="str">
        <v>BLOCK</v>
      </c>
      <c r="AH8" s="38" t="str">
        <v>MODEL_ONLY_NOT_EVIDENCE</v>
      </c>
      <c r="AI8" s="38" t="str">
        <v>Not complete evidence-backed COGS; exact SKU, make/buy, yields, quotations, VAT, delivery and MOQ remain open</v>
      </c>
      <c r="AJ8" s="38" t="n">
        <v>1</v>
      </c>
      <c r="AK8" s="38" t="n">
        <v>314.950338</v>
      </c>
      <c r="AL8" s="38"/>
      <c r="AM8" s="39" t="str">
        <v>SOURCE_ALREADY_ONE_SALE_UNIT</v>
      </c>
      <c r="AN8" s="43" t="n">
        <f>IF(COUNTA(W8,X8,Y8)=0,"",SUM(W8,X8,Y8))</f>
        <v>314.950338</v>
      </c>
      <c r="AO8" s="43" t="str">
        <f>IF(Z8="","", AN8-Z8)</f>
      </c>
    </row>
    <row r="9">
      <c r="A9" s="37" t="str">
        <v>CALC-VKM-005-ISS82-PROXY</v>
      </c>
      <c r="B9" s="38" t="str">
        <v>VKM-005</v>
      </c>
      <c r="C9" s="38" t="str">
        <v>Белая чиабатта</v>
      </c>
      <c r="D9" s="38" t="str">
        <v>Хлеб</v>
      </c>
      <c r="E9" s="38" t="str">
        <v>one sale portion</v>
      </c>
      <c r="F9" s="38" t="str">
        <v>ISSUE82_RC2_PROXY_SCENARIO</v>
      </c>
      <c r="G9" s="38" t="str">
        <v>71516bf871fa560e890ce5bc7f858854a5335ae2</v>
      </c>
      <c r="H9" s="38" t="str">
        <v>docs/07-operations/issue-82/PROVISIONAL_PROXY_SCENARIO_COSTING.csv</v>
      </c>
      <c r="I9" s="38" t="str">
        <v>VKM-005</v>
      </c>
      <c r="J9" s="38" t="str">
        <v>2026-08-03</v>
      </c>
      <c r="K9" s="38" t="str">
        <v>0.1.0-DRAFT</v>
      </c>
      <c r="L9" s="38" t="str">
        <v>ISS82_PROXY_DAG_NO_DOUBLE_COUNT_V0.3</v>
      </c>
      <c r="M9" s="38"/>
      <c r="N9" s="38"/>
      <c r="O9" s="38"/>
      <c r="P9" s="38"/>
      <c r="Q9" s="38"/>
      <c r="R9" s="38"/>
      <c r="S9" s="38" t="n">
        <v>3.260405</v>
      </c>
      <c r="T9" s="38" t="n">
        <v>13.688935</v>
      </c>
      <c r="U9" s="38" t="n">
        <v>16.94934</v>
      </c>
      <c r="V9" s="38" t="n">
        <v>0.25424</v>
      </c>
      <c r="W9" s="38" t="n">
        <v>17.20358</v>
      </c>
      <c r="X9" s="38"/>
      <c r="Y9" s="38"/>
      <c r="Z9" s="38"/>
      <c r="AA9" s="38"/>
      <c r="AB9" s="38"/>
      <c r="AC9" s="38" t="str">
        <v>ISSUE82_PROXY_SCENARIO</v>
      </c>
      <c r="AD9" s="38" t="str">
        <v>ASSUMPTION_BLOCKED_PENDING_VALIDATION</v>
      </c>
      <c r="AE9" s="38" t="str">
        <v>OPEN</v>
      </c>
      <c r="AF9" s="38" t="str">
        <v>OWNER_ACCEPTED_FOR_FINMODEL_PLANNING_NOT_SUBJECT_APPROVAL</v>
      </c>
      <c r="AG9" s="38" t="str">
        <v>BLOCK</v>
      </c>
      <c r="AH9" s="38" t="str">
        <v>MODEL_ONLY_NOT_EVIDENCE</v>
      </c>
      <c r="AI9" s="38" t="str">
        <v>Not complete evidence-backed COGS; exact SKU, make/buy, yields, quotations, VAT, delivery and MOQ remain open</v>
      </c>
      <c r="AJ9" s="38" t="n">
        <v>1</v>
      </c>
      <c r="AK9" s="38" t="n">
        <v>17.20358</v>
      </c>
      <c r="AL9" s="38"/>
      <c r="AM9" s="39" t="str">
        <v>SOURCE_ALREADY_ONE_SALE_UNIT</v>
      </c>
      <c r="AN9" s="43" t="n">
        <f>IF(COUNTA(W9,X9,Y9)=0,"",SUM(W9,X9,Y9))</f>
        <v>17.20358</v>
      </c>
      <c r="AO9" s="43" t="str">
        <f>IF(Z9="","", AN9-Z9)</f>
      </c>
    </row>
    <row r="10">
      <c r="A10" s="37" t="str">
        <v>CALC-VKM-006-ISS82-PROXY</v>
      </c>
      <c r="B10" s="38" t="str">
        <v>VKM-006</v>
      </c>
      <c r="C10" s="38" t="str">
        <v>Томатная чиабатта</v>
      </c>
      <c r="D10" s="38" t="str">
        <v>Хлеб</v>
      </c>
      <c r="E10" s="38" t="str">
        <v>one sale portion</v>
      </c>
      <c r="F10" s="38" t="str">
        <v>ISSUE82_RC2_PROXY_SCENARIO</v>
      </c>
      <c r="G10" s="38" t="str">
        <v>71516bf871fa560e890ce5bc7f858854a5335ae2</v>
      </c>
      <c r="H10" s="38" t="str">
        <v>docs/07-operations/issue-82/PROVISIONAL_PROXY_SCENARIO_COSTING.csv</v>
      </c>
      <c r="I10" s="38" t="str">
        <v>VKM-006</v>
      </c>
      <c r="J10" s="38" t="str">
        <v>2026-08-03</v>
      </c>
      <c r="K10" s="38" t="str">
        <v>0.1.0-DRAFT</v>
      </c>
      <c r="L10" s="38" t="str">
        <v>ISS82_PROXY_DAG_NO_DOUBLE_COUNT_V0.3</v>
      </c>
      <c r="M10" s="38"/>
      <c r="N10" s="38"/>
      <c r="O10" s="38"/>
      <c r="P10" s="38"/>
      <c r="Q10" s="38"/>
      <c r="R10" s="38"/>
      <c r="S10" s="38" t="n">
        <v>3.004952</v>
      </c>
      <c r="T10" s="38" t="n">
        <v>12.546157</v>
      </c>
      <c r="U10" s="38" t="n">
        <v>15.55111</v>
      </c>
      <c r="V10" s="38" t="n">
        <v>0.233267</v>
      </c>
      <c r="W10" s="38" t="n">
        <v>15.784376</v>
      </c>
      <c r="X10" s="38"/>
      <c r="Y10" s="38"/>
      <c r="Z10" s="38"/>
      <c r="AA10" s="38"/>
      <c r="AB10" s="38"/>
      <c r="AC10" s="38" t="str">
        <v>ISSUE82_PROXY_SCENARIO</v>
      </c>
      <c r="AD10" s="38" t="str">
        <v>ASSUMPTION_BLOCKED_PENDING_VALIDATION</v>
      </c>
      <c r="AE10" s="38" t="str">
        <v>OPEN</v>
      </c>
      <c r="AF10" s="38" t="str">
        <v>OWNER_ACCEPTED_FOR_FINMODEL_PLANNING_NOT_SUBJECT_APPROVAL</v>
      </c>
      <c r="AG10" s="38" t="str">
        <v>BLOCK</v>
      </c>
      <c r="AH10" s="38" t="str">
        <v>MODEL_ONLY_NOT_EVIDENCE</v>
      </c>
      <c r="AI10" s="38" t="str">
        <v>Not complete evidence-backed COGS; exact SKU, make/buy, yields, quotations, VAT, delivery and MOQ remain open</v>
      </c>
      <c r="AJ10" s="38" t="n">
        <v>1</v>
      </c>
      <c r="AK10" s="38" t="n">
        <v>15.784376</v>
      </c>
      <c r="AL10" s="38"/>
      <c r="AM10" s="39" t="str">
        <v>SOURCE_ALREADY_ONE_SALE_UNIT</v>
      </c>
      <c r="AN10" s="43" t="n">
        <f>IF(COUNTA(W10,X10,Y10)=0,"",SUM(W10,X10,Y10))</f>
        <v>15.784376</v>
      </c>
      <c r="AO10" s="43" t="str">
        <f>IF(Z10="","", AN10-Z10)</f>
      </c>
    </row>
    <row r="11">
      <c r="A11" s="37" t="str">
        <v>CALC-VKM-007-ISS82-PROXY</v>
      </c>
      <c r="B11" s="38" t="str">
        <v>VKM-007</v>
      </c>
      <c r="C11" s="38" t="str">
        <v>Бородинский хлеб</v>
      </c>
      <c r="D11" s="38" t="str">
        <v>Хлеб</v>
      </c>
      <c r="E11" s="38" t="str">
        <v>one sale portion</v>
      </c>
      <c r="F11" s="38" t="str">
        <v>ISSUE82_RC2_PROXY_SCENARIO</v>
      </c>
      <c r="G11" s="38" t="str">
        <v>71516bf871fa560e890ce5bc7f858854a5335ae2</v>
      </c>
      <c r="H11" s="38" t="str">
        <v>docs/07-operations/issue-82/PROVISIONAL_PROXY_SCENARIO_COSTING.csv</v>
      </c>
      <c r="I11" s="38" t="str">
        <v>VKM-007</v>
      </c>
      <c r="J11" s="38" t="str">
        <v>2026-08-03</v>
      </c>
      <c r="K11" s="38" t="str">
        <v>0.1.0-DRAFT</v>
      </c>
      <c r="L11" s="38" t="str">
        <v>ISS82_PROXY_DAG_NO_DOUBLE_COUNT_V0.3</v>
      </c>
      <c r="M11" s="38"/>
      <c r="N11" s="38"/>
      <c r="O11" s="38"/>
      <c r="P11" s="38"/>
      <c r="Q11" s="38"/>
      <c r="R11" s="38"/>
      <c r="S11" s="38" t="n">
        <v>15.775013</v>
      </c>
      <c r="T11" s="38" t="n">
        <v>9.764072</v>
      </c>
      <c r="U11" s="38" t="n">
        <v>25.539084</v>
      </c>
      <c r="V11" s="38" t="n">
        <v>0.383086</v>
      </c>
      <c r="W11" s="38" t="n">
        <v>25.922171</v>
      </c>
      <c r="X11" s="38"/>
      <c r="Y11" s="38"/>
      <c r="Z11" s="38"/>
      <c r="AA11" s="38"/>
      <c r="AB11" s="38"/>
      <c r="AC11" s="38" t="str">
        <v>ISSUE82_PROXY_SCENARIO</v>
      </c>
      <c r="AD11" s="38" t="str">
        <v>ASSUMPTION_BLOCKED_PENDING_VALIDATION</v>
      </c>
      <c r="AE11" s="38" t="str">
        <v>OPEN</v>
      </c>
      <c r="AF11" s="38" t="str">
        <v>OWNER_ACCEPTED_FOR_FINMODEL_PLANNING_NOT_SUBJECT_APPROVAL</v>
      </c>
      <c r="AG11" s="38" t="str">
        <v>BLOCK</v>
      </c>
      <c r="AH11" s="38" t="str">
        <v>MODEL_ONLY_NOT_EVIDENCE</v>
      </c>
      <c r="AI11" s="38" t="str">
        <v>Not complete evidence-backed COGS; exact SKU, make/buy, yields, quotations, VAT, delivery and MOQ remain open</v>
      </c>
      <c r="AJ11" s="38" t="n">
        <v>1</v>
      </c>
      <c r="AK11" s="38" t="n">
        <v>25.922171</v>
      </c>
      <c r="AL11" s="38"/>
      <c r="AM11" s="39" t="str">
        <v>SOURCE_ALREADY_ONE_SALE_UNIT</v>
      </c>
      <c r="AN11" s="43" t="n">
        <f>IF(COUNTA(W11,X11,Y11)=0,"",SUM(W11,X11,Y11))</f>
        <v>25.922171</v>
      </c>
      <c r="AO11" s="43" t="str">
        <f>IF(Z11="","", AN11-Z11)</f>
      </c>
    </row>
    <row r="12">
      <c r="A12" s="37" t="str">
        <v>CALC-VKM-008-ISS82-PROXY</v>
      </c>
      <c r="B12" s="38" t="str">
        <v>VKM-008</v>
      </c>
      <c r="C12" s="38" t="str">
        <v>Бриошь</v>
      </c>
      <c r="D12" s="38" t="str">
        <v>Хлеб</v>
      </c>
      <c r="E12" s="38" t="str">
        <v>one sale portion</v>
      </c>
      <c r="F12" s="38" t="str">
        <v>ISSUE82_RC2_PROXY_SCENARIO</v>
      </c>
      <c r="G12" s="38" t="str">
        <v>71516bf871fa560e890ce5bc7f858854a5335ae2</v>
      </c>
      <c r="H12" s="38" t="str">
        <v>docs/07-operations/issue-82/PROVISIONAL_PROXY_SCENARIO_COSTING.csv</v>
      </c>
      <c r="I12" s="38" t="str">
        <v>VKM-008</v>
      </c>
      <c r="J12" s="38" t="str">
        <v>2026-08-03</v>
      </c>
      <c r="K12" s="38" t="str">
        <v>0.1.0-DRAFT</v>
      </c>
      <c r="L12" s="38" t="str">
        <v>ISS82_PROXY_DAG_NO_DOUBLE_COUNT_V0.3</v>
      </c>
      <c r="M12" s="38"/>
      <c r="N12" s="38"/>
      <c r="O12" s="38"/>
      <c r="P12" s="38"/>
      <c r="Q12" s="38"/>
      <c r="R12" s="38"/>
      <c r="S12" s="38" t="n">
        <v>25.87503</v>
      </c>
      <c r="T12" s="38" t="n">
        <v>1.285036</v>
      </c>
      <c r="U12" s="38" t="n">
        <v>27.160066</v>
      </c>
      <c r="V12" s="38" t="n">
        <v>0.407401</v>
      </c>
      <c r="W12" s="38" t="n">
        <v>27.567467</v>
      </c>
      <c r="X12" s="38"/>
      <c r="Y12" s="38"/>
      <c r="Z12" s="38"/>
      <c r="AA12" s="38"/>
      <c r="AB12" s="38"/>
      <c r="AC12" s="38" t="str">
        <v>ISSUE82_PROXY_SCENARIO</v>
      </c>
      <c r="AD12" s="38" t="str">
        <v>ASSUMPTION_BLOCKED_PENDING_VALIDATION</v>
      </c>
      <c r="AE12" s="38" t="str">
        <v>OPEN</v>
      </c>
      <c r="AF12" s="38" t="str">
        <v>OWNER_ACCEPTED_FOR_FINMODEL_PLANNING_NOT_SUBJECT_APPROVAL</v>
      </c>
      <c r="AG12" s="38" t="str">
        <v>BLOCK</v>
      </c>
      <c r="AH12" s="38" t="str">
        <v>MODEL_ONLY_NOT_EVIDENCE</v>
      </c>
      <c r="AI12" s="38" t="str">
        <v>Not complete evidence-backed COGS; exact SKU, make/buy, yields, quotations, VAT, delivery and MOQ remain open</v>
      </c>
      <c r="AJ12" s="38" t="n">
        <v>1</v>
      </c>
      <c r="AK12" s="38" t="n">
        <v>27.567467</v>
      </c>
      <c r="AL12" s="38"/>
      <c r="AM12" s="39" t="str">
        <v>SOURCE_ALREADY_ONE_SALE_UNIT</v>
      </c>
      <c r="AN12" s="43" t="n">
        <f>IF(COUNTA(W12,X12,Y12)=0,"",SUM(W12,X12,Y12))</f>
        <v>27.567467</v>
      </c>
      <c r="AO12" s="43" t="str">
        <f>IF(Z12="","", AN12-Z12)</f>
      </c>
    </row>
    <row r="13">
      <c r="A13" s="37" t="str">
        <v>CALC-VKM-009-ISS82-PROXY</v>
      </c>
      <c r="B13" s="38" t="str">
        <v>VKM-009</v>
      </c>
      <c r="C13" s="38" t="str">
        <v>Буррата с томатами</v>
      </c>
      <c r="D13" s="38" t="str">
        <v>Салаты</v>
      </c>
      <c r="E13" s="38" t="str">
        <v>one sale portion</v>
      </c>
      <c r="F13" s="38" t="str">
        <v>ISSUE82_RC2_PROXY_SCENARIO</v>
      </c>
      <c r="G13" s="38" t="str">
        <v>71516bf871fa560e890ce5bc7f858854a5335ae2</v>
      </c>
      <c r="H13" s="38" t="str">
        <v>docs/07-operations/issue-82/PROVISIONAL_PROXY_SCENARIO_COSTING.csv</v>
      </c>
      <c r="I13" s="38" t="str">
        <v>VKM-009</v>
      </c>
      <c r="J13" s="38" t="str">
        <v>2026-08-03</v>
      </c>
      <c r="K13" s="38" t="str">
        <v>0.1.0-DRAFT</v>
      </c>
      <c r="L13" s="38" t="str">
        <v>ISS82_PROXY_DAG_NO_DOUBLE_COUNT_V0.3</v>
      </c>
      <c r="M13" s="38"/>
      <c r="N13" s="38"/>
      <c r="O13" s="38"/>
      <c r="P13" s="38"/>
      <c r="Q13" s="38"/>
      <c r="R13" s="38"/>
      <c r="S13" s="38" t="n">
        <v>196.873867</v>
      </c>
      <c r="T13" s="38" t="n">
        <v>100.243274</v>
      </c>
      <c r="U13" s="38" t="n">
        <v>297.117141</v>
      </c>
      <c r="V13" s="38" t="n">
        <v>4.456757</v>
      </c>
      <c r="W13" s="38" t="n">
        <v>301.573898</v>
      </c>
      <c r="X13" s="38"/>
      <c r="Y13" s="38"/>
      <c r="Z13" s="38"/>
      <c r="AA13" s="38"/>
      <c r="AB13" s="38"/>
      <c r="AC13" s="38" t="str">
        <v>ISSUE82_PROXY_SCENARIO</v>
      </c>
      <c r="AD13" s="38" t="str">
        <v>ASSUMPTION_BLOCKED_PENDING_VALIDATION</v>
      </c>
      <c r="AE13" s="38" t="str">
        <v>OPEN</v>
      </c>
      <c r="AF13" s="38" t="str">
        <v>OWNER_ACCEPTED_FOR_FINMODEL_PLANNING_NOT_SUBJECT_APPROVAL</v>
      </c>
      <c r="AG13" s="38" t="str">
        <v>BLOCK</v>
      </c>
      <c r="AH13" s="38" t="str">
        <v>MODEL_ONLY_NOT_EVIDENCE</v>
      </c>
      <c r="AI13" s="38" t="str">
        <v>Not complete evidence-backed COGS; exact SKU, make/buy, yields, quotations, VAT, delivery and MOQ remain open</v>
      </c>
      <c r="AJ13" s="38" t="n">
        <v>1</v>
      </c>
      <c r="AK13" s="38" t="n">
        <v>301.573898</v>
      </c>
      <c r="AL13" s="38"/>
      <c r="AM13" s="39" t="str">
        <v>SOURCE_ALREADY_ONE_SALE_UNIT</v>
      </c>
      <c r="AN13" s="43" t="n">
        <f>IF(COUNTA(W13,X13,Y13)=0,"",SUM(W13,X13,Y13))</f>
        <v>301.573898</v>
      </c>
      <c r="AO13" s="43" t="str">
        <f>IF(Z13="","", AN13-Z13)</f>
      </c>
    </row>
    <row r="14">
      <c r="A14" s="37" t="str">
        <v>CALC-VKM-010-ISS82-PROXY</v>
      </c>
      <c r="B14" s="38" t="str">
        <v>VKM-010</v>
      </c>
      <c r="C14" s="38" t="str">
        <v>Микс-салат с креветками и яблоком</v>
      </c>
      <c r="D14" s="38" t="str">
        <v>Салаты</v>
      </c>
      <c r="E14" s="38" t="str">
        <v>one sale portion</v>
      </c>
      <c r="F14" s="38" t="str">
        <v>ISSUE82_RC2_PROXY_SCENARIO</v>
      </c>
      <c r="G14" s="38" t="str">
        <v>71516bf871fa560e890ce5bc7f858854a5335ae2</v>
      </c>
      <c r="H14" s="38" t="str">
        <v>docs/07-operations/issue-82/PROVISIONAL_PROXY_SCENARIO_COSTING.csv</v>
      </c>
      <c r="I14" s="38" t="str">
        <v>VKM-010</v>
      </c>
      <c r="J14" s="38" t="str">
        <v>2026-08-03</v>
      </c>
      <c r="K14" s="38" t="str">
        <v>0.1.0-DRAFT</v>
      </c>
      <c r="L14" s="38" t="str">
        <v>ISS82_PROXY_DAG_NO_DOUBLE_COUNT_V0.3</v>
      </c>
      <c r="M14" s="38"/>
      <c r="N14" s="38"/>
      <c r="O14" s="38"/>
      <c r="P14" s="38"/>
      <c r="Q14" s="38"/>
      <c r="R14" s="38"/>
      <c r="S14" s="38" t="n">
        <v>179.2279</v>
      </c>
      <c r="T14" s="38" t="n">
        <v>155.441162</v>
      </c>
      <c r="U14" s="38" t="n">
        <v>334.669062</v>
      </c>
      <c r="V14" s="38" t="n">
        <v>5.020036</v>
      </c>
      <c r="W14" s="38" t="n">
        <v>339.689098</v>
      </c>
      <c r="X14" s="38"/>
      <c r="Y14" s="38"/>
      <c r="Z14" s="38"/>
      <c r="AA14" s="38"/>
      <c r="AB14" s="38"/>
      <c r="AC14" s="38" t="str">
        <v>ISSUE82_PROXY_SCENARIO</v>
      </c>
      <c r="AD14" s="38" t="str">
        <v>ASSUMPTION_BLOCKED_PENDING_VALIDATION</v>
      </c>
      <c r="AE14" s="38" t="str">
        <v>OPEN</v>
      </c>
      <c r="AF14" s="38" t="str">
        <v>OWNER_ACCEPTED_FOR_FINMODEL_PLANNING_NOT_SUBJECT_APPROVAL</v>
      </c>
      <c r="AG14" s="38" t="str">
        <v>BLOCK</v>
      </c>
      <c r="AH14" s="38" t="str">
        <v>MODEL_ONLY_NOT_EVIDENCE</v>
      </c>
      <c r="AI14" s="38" t="str">
        <v>Not complete evidence-backed COGS; exact SKU, make/buy, yields, quotations, VAT, delivery and MOQ remain open</v>
      </c>
      <c r="AJ14" s="38" t="n">
        <v>1</v>
      </c>
      <c r="AK14" s="38" t="n">
        <v>339.689098</v>
      </c>
      <c r="AL14" s="38"/>
      <c r="AM14" s="39" t="str">
        <v>SOURCE_ALREADY_ONE_SALE_UNIT</v>
      </c>
      <c r="AN14" s="43" t="n">
        <f>IF(COUNTA(W14,X14,Y14)=0,"",SUM(W14,X14,Y14))</f>
        <v>339.689098</v>
      </c>
      <c r="AO14" s="43" t="str">
        <f>IF(Z14="","", AN14-Z14)</f>
      </c>
    </row>
    <row r="15">
      <c r="A15" s="37" t="str">
        <v>CALC-VKM-011-ISS82-PROXY</v>
      </c>
      <c r="B15" s="38" t="str">
        <v>VKM-011</v>
      </c>
      <c r="C15" s="38" t="str">
        <v>Греческий</v>
      </c>
      <c r="D15" s="38" t="str">
        <v>Салаты</v>
      </c>
      <c r="E15" s="38" t="str">
        <v>one sale portion</v>
      </c>
      <c r="F15" s="38" t="str">
        <v>ISSUE82_RC2_PROXY_SCENARIO</v>
      </c>
      <c r="G15" s="38" t="str">
        <v>71516bf871fa560e890ce5bc7f858854a5335ae2</v>
      </c>
      <c r="H15" s="38" t="str">
        <v>docs/07-operations/issue-82/PROVISIONAL_PROXY_SCENARIO_COSTING.csv</v>
      </c>
      <c r="I15" s="38" t="str">
        <v>VKM-011</v>
      </c>
      <c r="J15" s="38" t="str">
        <v>2026-08-03</v>
      </c>
      <c r="K15" s="38" t="str">
        <v>0.1.0-DRAFT</v>
      </c>
      <c r="L15" s="38" t="str">
        <v>ISS82_PROXY_DAG_NO_DOUBLE_COUNT_V0.3</v>
      </c>
      <c r="M15" s="38"/>
      <c r="N15" s="38"/>
      <c r="O15" s="38"/>
      <c r="P15" s="38"/>
      <c r="Q15" s="38"/>
      <c r="R15" s="38"/>
      <c r="S15" s="38" t="n">
        <v>26.06</v>
      </c>
      <c r="T15" s="38" t="n">
        <v>102.840665</v>
      </c>
      <c r="U15" s="38" t="n">
        <v>128.900665</v>
      </c>
      <c r="V15" s="38" t="n">
        <v>1.93351</v>
      </c>
      <c r="W15" s="38" t="n">
        <v>130.834175</v>
      </c>
      <c r="X15" s="38"/>
      <c r="Y15" s="38"/>
      <c r="Z15" s="38"/>
      <c r="AA15" s="38"/>
      <c r="AB15" s="38"/>
      <c r="AC15" s="38" t="str">
        <v>ISSUE82_PROXY_SCENARIO</v>
      </c>
      <c r="AD15" s="38" t="str">
        <v>ASSUMPTION_BLOCKED_PENDING_VALIDATION</v>
      </c>
      <c r="AE15" s="38" t="str">
        <v>OPEN</v>
      </c>
      <c r="AF15" s="38" t="str">
        <v>OWNER_ACCEPTED_FOR_FINMODEL_PLANNING_NOT_SUBJECT_APPROVAL</v>
      </c>
      <c r="AG15" s="38" t="str">
        <v>BLOCK</v>
      </c>
      <c r="AH15" s="38" t="str">
        <v>MODEL_ONLY_NOT_EVIDENCE</v>
      </c>
      <c r="AI15" s="38" t="str">
        <v>Not complete evidence-backed COGS; exact SKU, make/buy, yields, quotations, VAT, delivery and MOQ remain open</v>
      </c>
      <c r="AJ15" s="38" t="n">
        <v>1</v>
      </c>
      <c r="AK15" s="38" t="n">
        <v>130.834175</v>
      </c>
      <c r="AL15" s="38"/>
      <c r="AM15" s="39" t="str">
        <v>SOURCE_ALREADY_ONE_SALE_UNIT</v>
      </c>
      <c r="AN15" s="43" t="n">
        <f>IF(COUNTA(W15,X15,Y15)=0,"",SUM(W15,X15,Y15))</f>
        <v>130.834175</v>
      </c>
      <c r="AO15" s="43" t="str">
        <f>IF(Z15="","", AN15-Z15)</f>
      </c>
    </row>
    <row r="16">
      <c r="A16" s="37" t="str">
        <v>CALC-VKM-012-ISS82-PROXY</v>
      </c>
      <c r="B16" s="38" t="str">
        <v>VKM-012</v>
      </c>
      <c r="C16" s="38" t="str">
        <v>Винегрет</v>
      </c>
      <c r="D16" s="38" t="str">
        <v>Салаты</v>
      </c>
      <c r="E16" s="38" t="str">
        <v>one sale portion</v>
      </c>
      <c r="F16" s="38" t="str">
        <v>ISSUE82_RC2_PROXY_SCENARIO</v>
      </c>
      <c r="G16" s="38" t="str">
        <v>71516bf871fa560e890ce5bc7f858854a5335ae2</v>
      </c>
      <c r="H16" s="38" t="str">
        <v>docs/07-operations/issue-82/PROVISIONAL_PROXY_SCENARIO_COSTING.csv</v>
      </c>
      <c r="I16" s="38" t="str">
        <v>VKM-012</v>
      </c>
      <c r="J16" s="38" t="str">
        <v>2026-08-03</v>
      </c>
      <c r="K16" s="38" t="str">
        <v>0.1.0-DRAFT</v>
      </c>
      <c r="L16" s="38" t="str">
        <v>ISS82_PROXY_DAG_NO_DOUBLE_COUNT_V0.3</v>
      </c>
      <c r="M16" s="38"/>
      <c r="N16" s="38"/>
      <c r="O16" s="38"/>
      <c r="P16" s="38"/>
      <c r="Q16" s="38"/>
      <c r="R16" s="38"/>
      <c r="S16" s="38" t="n">
        <v>0.2934</v>
      </c>
      <c r="T16" s="38" t="n">
        <v>24.912711</v>
      </c>
      <c r="U16" s="38" t="n">
        <v>25.206111</v>
      </c>
      <c r="V16" s="38" t="n">
        <v>0.378092</v>
      </c>
      <c r="W16" s="38" t="n">
        <v>25.584202</v>
      </c>
      <c r="X16" s="38"/>
      <c r="Y16" s="38"/>
      <c r="Z16" s="38"/>
      <c r="AA16" s="38"/>
      <c r="AB16" s="38"/>
      <c r="AC16" s="38" t="str">
        <v>ISSUE82_PROXY_SCENARIO</v>
      </c>
      <c r="AD16" s="38" t="str">
        <v>ASSUMPTION_BLOCKED_PENDING_VALIDATION</v>
      </c>
      <c r="AE16" s="38" t="str">
        <v>OPEN</v>
      </c>
      <c r="AF16" s="38" t="str">
        <v>OWNER_ACCEPTED_FOR_FINMODEL_PLANNING_NOT_SUBJECT_APPROVAL</v>
      </c>
      <c r="AG16" s="38" t="str">
        <v>BLOCK</v>
      </c>
      <c r="AH16" s="38" t="str">
        <v>MODEL_ONLY_NOT_EVIDENCE</v>
      </c>
      <c r="AI16" s="38" t="str">
        <v>Not complete evidence-backed COGS; exact SKU, make/buy, yields, quotations, VAT, delivery and MOQ remain open</v>
      </c>
      <c r="AJ16" s="38" t="n">
        <v>1</v>
      </c>
      <c r="AK16" s="38" t="n">
        <v>25.584202</v>
      </c>
      <c r="AL16" s="38"/>
      <c r="AM16" s="39" t="str">
        <v>SOURCE_ALREADY_ONE_SALE_UNIT</v>
      </c>
      <c r="AN16" s="43" t="n">
        <f>IF(COUNTA(W16,X16,Y16)=0,"",SUM(W16,X16,Y16))</f>
        <v>25.584202</v>
      </c>
      <c r="AO16" s="43" t="str">
        <f>IF(Z16="","", AN16-Z16)</f>
      </c>
    </row>
    <row r="17">
      <c r="A17" s="37" t="str">
        <v>CALC-VKM-013-ISS82-PROXY</v>
      </c>
      <c r="B17" s="38" t="str">
        <v>VKM-013</v>
      </c>
      <c r="C17" s="38" t="str">
        <v>Слабосолёный лосось</v>
      </c>
      <c r="D17" s="38" t="str">
        <v>Холодные закуски</v>
      </c>
      <c r="E17" s="38" t="str">
        <v>one sale portion</v>
      </c>
      <c r="F17" s="38" t="str">
        <v>ISSUE82_RC2_PROXY_SCENARIO</v>
      </c>
      <c r="G17" s="38" t="str">
        <v>71516bf871fa560e890ce5bc7f858854a5335ae2</v>
      </c>
      <c r="H17" s="38" t="str">
        <v>docs/07-operations/issue-82/PROVISIONAL_PROXY_SCENARIO_COSTING.csv</v>
      </c>
      <c r="I17" s="38" t="str">
        <v>VKM-013</v>
      </c>
      <c r="J17" s="38" t="str">
        <v>2026-08-03</v>
      </c>
      <c r="K17" s="38" t="str">
        <v>0.1.0-DRAFT</v>
      </c>
      <c r="L17" s="38" t="str">
        <v>ISS82_PROXY_DAG_NO_DOUBLE_COUNT_V0.3</v>
      </c>
      <c r="M17" s="38"/>
      <c r="N17" s="38"/>
      <c r="O17" s="38"/>
      <c r="P17" s="38"/>
      <c r="Q17" s="38"/>
      <c r="R17" s="38"/>
      <c r="S17" s="38" t="n">
        <v>442.076333</v>
      </c>
      <c r="T17" s="38" t="n">
        <v>25.113071</v>
      </c>
      <c r="U17" s="38" t="n">
        <v>467.189404</v>
      </c>
      <c r="V17" s="38" t="n">
        <v>7.007841</v>
      </c>
      <c r="W17" s="38" t="n">
        <v>474.197245</v>
      </c>
      <c r="X17" s="38"/>
      <c r="Y17" s="38"/>
      <c r="Z17" s="38"/>
      <c r="AA17" s="38"/>
      <c r="AB17" s="38"/>
      <c r="AC17" s="38" t="str">
        <v>ISSUE82_PROXY_SCENARIO</v>
      </c>
      <c r="AD17" s="38" t="str">
        <v>ASSUMPTION_BLOCKED_PENDING_VALIDATION</v>
      </c>
      <c r="AE17" s="38" t="str">
        <v>OPEN</v>
      </c>
      <c r="AF17" s="38" t="str">
        <v>OWNER_ACCEPTED_FOR_FINMODEL_PLANNING_NOT_SUBJECT_APPROVAL</v>
      </c>
      <c r="AG17" s="38" t="str">
        <v>BLOCK</v>
      </c>
      <c r="AH17" s="38" t="str">
        <v>MODEL_ONLY_NOT_EVIDENCE</v>
      </c>
      <c r="AI17" s="38" t="str">
        <v>Not complete evidence-backed COGS; exact SKU, make/buy, yields, quotations, VAT, delivery and MOQ remain open</v>
      </c>
      <c r="AJ17" s="38" t="n">
        <v>1</v>
      </c>
      <c r="AK17" s="38" t="n">
        <v>474.197245</v>
      </c>
      <c r="AL17" s="38"/>
      <c r="AM17" s="39" t="str">
        <v>SOURCE_ALREADY_ONE_SALE_UNIT</v>
      </c>
      <c r="AN17" s="43" t="n">
        <f>IF(COUNTA(W17,X17,Y17)=0,"",SUM(W17,X17,Y17))</f>
        <v>474.197245</v>
      </c>
      <c r="AO17" s="43" t="str">
        <f>IF(Z17="","", AN17-Z17)</f>
      </c>
    </row>
    <row r="18">
      <c r="A18" s="37" t="str">
        <v>CALC-VKM-014-ISS82-PROXY</v>
      </c>
      <c r="B18" s="38" t="str">
        <v>VKM-014</v>
      </c>
      <c r="C18" s="38" t="str">
        <v>Сельдь с запечённым картофелем</v>
      </c>
      <c r="D18" s="38" t="str">
        <v>Холодные закуски</v>
      </c>
      <c r="E18" s="38" t="str">
        <v>one sale portion</v>
      </c>
      <c r="F18" s="38" t="str">
        <v>ISSUE82_RC2_PROXY_SCENARIO</v>
      </c>
      <c r="G18" s="38" t="str">
        <v>71516bf871fa560e890ce5bc7f858854a5335ae2</v>
      </c>
      <c r="H18" s="38" t="str">
        <v>docs/07-operations/issue-82/PROVISIONAL_PROXY_SCENARIO_COSTING.csv</v>
      </c>
      <c r="I18" s="38" t="str">
        <v>VKM-014</v>
      </c>
      <c r="J18" s="38" t="str">
        <v>2026-08-03</v>
      </c>
      <c r="K18" s="38" t="str">
        <v>0.1.0-DRAFT</v>
      </c>
      <c r="L18" s="38" t="str">
        <v>ISS82_PROXY_DAG_NO_DOUBLE_COUNT_V0.3</v>
      </c>
      <c r="M18" s="38"/>
      <c r="N18" s="38"/>
      <c r="O18" s="38"/>
      <c r="P18" s="38"/>
      <c r="Q18" s="38"/>
      <c r="R18" s="38"/>
      <c r="S18" s="38" t="n">
        <v>72.78102</v>
      </c>
      <c r="T18" s="38" t="n">
        <v>15.439572</v>
      </c>
      <c r="U18" s="38" t="n">
        <v>88.220592</v>
      </c>
      <c r="V18" s="38" t="n">
        <v>1.323309</v>
      </c>
      <c r="W18" s="38" t="n">
        <v>89.543901</v>
      </c>
      <c r="X18" s="38"/>
      <c r="Y18" s="38"/>
      <c r="Z18" s="38"/>
      <c r="AA18" s="38"/>
      <c r="AB18" s="38"/>
      <c r="AC18" s="38" t="str">
        <v>ISSUE82_PROXY_SCENARIO</v>
      </c>
      <c r="AD18" s="38" t="str">
        <v>ASSUMPTION_BLOCKED_PENDING_VALIDATION</v>
      </c>
      <c r="AE18" s="38" t="str">
        <v>OPEN</v>
      </c>
      <c r="AF18" s="38" t="str">
        <v>OWNER_ACCEPTED_FOR_FINMODEL_PLANNING_NOT_SUBJECT_APPROVAL</v>
      </c>
      <c r="AG18" s="38" t="str">
        <v>BLOCK</v>
      </c>
      <c r="AH18" s="38" t="str">
        <v>MODEL_ONLY_NOT_EVIDENCE</v>
      </c>
      <c r="AI18" s="38" t="str">
        <v>Not complete evidence-backed COGS; exact SKU, make/buy, yields, quotations, VAT, delivery and MOQ remain open</v>
      </c>
      <c r="AJ18" s="38" t="n">
        <v>1</v>
      </c>
      <c r="AK18" s="38" t="n">
        <v>89.543901</v>
      </c>
      <c r="AL18" s="38"/>
      <c r="AM18" s="39" t="str">
        <v>SOURCE_ALREADY_ONE_SALE_UNIT</v>
      </c>
      <c r="AN18" s="43" t="n">
        <f>IF(COUNTA(W18,X18,Y18)=0,"",SUM(W18,X18,Y18))</f>
        <v>89.543901</v>
      </c>
      <c r="AO18" s="43" t="str">
        <f>IF(Z18="","", AN18-Z18)</f>
      </c>
    </row>
    <row r="19">
      <c r="A19" s="37" t="str">
        <v>CALC-VKM-015-ISS82-PROXY</v>
      </c>
      <c r="B19" s="38" t="str">
        <v>VKM-015</v>
      </c>
      <c r="C19" s="38" t="str">
        <v>Оливки и маслины</v>
      </c>
      <c r="D19" s="38" t="str">
        <v>Холодные закуски</v>
      </c>
      <c r="E19" s="38" t="str">
        <v>one sale portion</v>
      </c>
      <c r="F19" s="38" t="str">
        <v>ISSUE82_RC2_PROXY_SCENARIO</v>
      </c>
      <c r="G19" s="38" t="str">
        <v>71516bf871fa560e890ce5bc7f858854a5335ae2</v>
      </c>
      <c r="H19" s="38" t="str">
        <v>docs/07-operations/issue-82/PROVISIONAL_PROXY_SCENARIO_COSTING.csv</v>
      </c>
      <c r="I19" s="38" t="str">
        <v>VKM-015</v>
      </c>
      <c r="J19" s="38" t="str">
        <v>2026-08-03</v>
      </c>
      <c r="K19" s="38" t="str">
        <v>0.1.0-DRAFT</v>
      </c>
      <c r="L19" s="38" t="str">
        <v>ISS82_PROXY_DAG_NO_DOUBLE_COUNT_V0.3</v>
      </c>
      <c r="M19" s="38"/>
      <c r="N19" s="38"/>
      <c r="O19" s="38"/>
      <c r="P19" s="38"/>
      <c r="Q19" s="38"/>
      <c r="R19" s="38"/>
      <c r="S19" s="38" t="n">
        <v>0.874</v>
      </c>
      <c r="T19" s="38" t="n">
        <v>130.307168</v>
      </c>
      <c r="U19" s="38" t="n">
        <v>131.181168</v>
      </c>
      <c r="V19" s="38" t="n">
        <v>1.967718</v>
      </c>
      <c r="W19" s="38" t="n">
        <v>133.148886</v>
      </c>
      <c r="X19" s="38"/>
      <c r="Y19" s="38"/>
      <c r="Z19" s="38"/>
      <c r="AA19" s="38"/>
      <c r="AB19" s="38"/>
      <c r="AC19" s="38" t="str">
        <v>ISSUE82_PROXY_SCENARIO</v>
      </c>
      <c r="AD19" s="38" t="str">
        <v>ASSUMPTION_BLOCKED_PENDING_VALIDATION</v>
      </c>
      <c r="AE19" s="38" t="str">
        <v>OPEN</v>
      </c>
      <c r="AF19" s="38" t="str">
        <v>OWNER_ACCEPTED_FOR_FINMODEL_PLANNING_NOT_SUBJECT_APPROVAL</v>
      </c>
      <c r="AG19" s="38" t="str">
        <v>BLOCK</v>
      </c>
      <c r="AH19" s="38" t="str">
        <v>MODEL_ONLY_NOT_EVIDENCE</v>
      </c>
      <c r="AI19" s="38" t="str">
        <v>Not complete evidence-backed COGS; exact SKU, make/buy, yields, quotations, VAT, delivery and MOQ remain open</v>
      </c>
      <c r="AJ19" s="38" t="n">
        <v>1</v>
      </c>
      <c r="AK19" s="38" t="n">
        <v>133.148886</v>
      </c>
      <c r="AL19" s="38"/>
      <c r="AM19" s="39" t="str">
        <v>SOURCE_ALREADY_ONE_SALE_UNIT</v>
      </c>
      <c r="AN19" s="43" t="n">
        <f>IF(COUNTA(W19,X19,Y19)=0,"",SUM(W19,X19,Y19))</f>
        <v>133.148886</v>
      </c>
      <c r="AO19" s="43" t="str">
        <f>IF(Z19="","", AN19-Z19)</f>
      </c>
    </row>
    <row r="20">
      <c r="A20" s="37" t="str">
        <v>CALC-VKM-016-ISS82-PROXY</v>
      </c>
      <c r="B20" s="38" t="str">
        <v>VKM-016</v>
      </c>
      <c r="C20" s="38" t="str">
        <v>Ассорти фирменных солений</v>
      </c>
      <c r="D20" s="38" t="str">
        <v>Холодные закуски</v>
      </c>
      <c r="E20" s="38" t="str">
        <v>one sale portion</v>
      </c>
      <c r="F20" s="38" t="str">
        <v>ISSUE82_RC2_PROXY_SCENARIO</v>
      </c>
      <c r="G20" s="38" t="str">
        <v>71516bf871fa560e890ce5bc7f858854a5335ae2</v>
      </c>
      <c r="H20" s="38" t="str">
        <v>docs/07-operations/issue-82/PROVISIONAL_PROXY_SCENARIO_COSTING.csv</v>
      </c>
      <c r="I20" s="38" t="str">
        <v>VKM-016</v>
      </c>
      <c r="J20" s="38" t="str">
        <v>2026-08-03</v>
      </c>
      <c r="K20" s="38" t="str">
        <v>0.1.0-DRAFT</v>
      </c>
      <c r="L20" s="38" t="str">
        <v>ISS82_PROXY_DAG_NO_DOUBLE_COUNT_V0.3</v>
      </c>
      <c r="M20" s="38"/>
      <c r="N20" s="38"/>
      <c r="O20" s="38"/>
      <c r="P20" s="38"/>
      <c r="Q20" s="38"/>
      <c r="R20" s="38"/>
      <c r="S20" s="38" t="n">
        <v>22.27546</v>
      </c>
      <c r="T20" s="38" t="n">
        <v>16.352697</v>
      </c>
      <c r="U20" s="38" t="n">
        <v>38.628157</v>
      </c>
      <c r="V20" s="38" t="n">
        <v>0.579422</v>
      </c>
      <c r="W20" s="38" t="n">
        <v>39.207579</v>
      </c>
      <c r="X20" s="38"/>
      <c r="Y20" s="38"/>
      <c r="Z20" s="38"/>
      <c r="AA20" s="38"/>
      <c r="AB20" s="38"/>
      <c r="AC20" s="38" t="str">
        <v>ISSUE82_PROXY_SCENARIO</v>
      </c>
      <c r="AD20" s="38" t="str">
        <v>ASSUMPTION_BLOCKED_PENDING_VALIDATION</v>
      </c>
      <c r="AE20" s="38" t="str">
        <v>OPEN</v>
      </c>
      <c r="AF20" s="38" t="str">
        <v>OWNER_ACCEPTED_FOR_FINMODEL_PLANNING_NOT_SUBJECT_APPROVAL</v>
      </c>
      <c r="AG20" s="38" t="str">
        <v>BLOCK</v>
      </c>
      <c r="AH20" s="38" t="str">
        <v>MODEL_ONLY_NOT_EVIDENCE</v>
      </c>
      <c r="AI20" s="38" t="str">
        <v>Not complete evidence-backed COGS; exact SKU, make/buy, yields, quotations, VAT, delivery and MOQ remain open</v>
      </c>
      <c r="AJ20" s="38" t="n">
        <v>1</v>
      </c>
      <c r="AK20" s="38" t="n">
        <v>39.207579</v>
      </c>
      <c r="AL20" s="38"/>
      <c r="AM20" s="39" t="str">
        <v>SOURCE_ALREADY_ONE_SALE_UNIT</v>
      </c>
      <c r="AN20" s="43" t="n">
        <f>IF(COUNTA(W20,X20,Y20)=0,"",SUM(W20,X20,Y20))</f>
        <v>39.207579</v>
      </c>
      <c r="AO20" s="43" t="str">
        <f>IF(Z20="","", AN20-Z20)</f>
      </c>
    </row>
    <row r="21">
      <c r="A21" s="37" t="str">
        <v>CALC-VKM-017-ISS82-PROXY</v>
      </c>
      <c r="B21" s="38" t="str">
        <v>VKM-017</v>
      </c>
      <c r="C21" s="38" t="str">
        <v>Ростбиф с луком и гренкой</v>
      </c>
      <c r="D21" s="38" t="str">
        <v>Холодные закуски</v>
      </c>
      <c r="E21" s="38" t="str">
        <v>one sale portion</v>
      </c>
      <c r="F21" s="38" t="str">
        <v>ISSUE82_RC2_PROXY_SCENARIO</v>
      </c>
      <c r="G21" s="38" t="str">
        <v>71516bf871fa560e890ce5bc7f858854a5335ae2</v>
      </c>
      <c r="H21" s="38" t="str">
        <v>docs/07-operations/issue-82/PROVISIONAL_PROXY_SCENARIO_COSTING.csv</v>
      </c>
      <c r="I21" s="38" t="str">
        <v>VKM-017</v>
      </c>
      <c r="J21" s="38" t="str">
        <v>2026-08-03</v>
      </c>
      <c r="K21" s="38" t="str">
        <v>0.1.0-DRAFT</v>
      </c>
      <c r="L21" s="38" t="str">
        <v>ISS82_PROXY_DAG_NO_DOUBLE_COUNT_V0.3</v>
      </c>
      <c r="M21" s="38"/>
      <c r="N21" s="38"/>
      <c r="O21" s="38"/>
      <c r="P21" s="38"/>
      <c r="Q21" s="38"/>
      <c r="R21" s="38"/>
      <c r="S21" s="38" t="n">
        <v>3.12</v>
      </c>
      <c r="T21" s="38" t="n">
        <v>148.447144</v>
      </c>
      <c r="U21" s="38" t="n">
        <v>151.567144</v>
      </c>
      <c r="V21" s="38" t="n">
        <v>2.273507</v>
      </c>
      <c r="W21" s="38" t="n">
        <v>153.840651</v>
      </c>
      <c r="X21" s="38"/>
      <c r="Y21" s="38"/>
      <c r="Z21" s="38"/>
      <c r="AA21" s="38"/>
      <c r="AB21" s="38"/>
      <c r="AC21" s="38" t="str">
        <v>ISSUE82_PROXY_SCENARIO</v>
      </c>
      <c r="AD21" s="38" t="str">
        <v>ASSUMPTION_BLOCKED_PENDING_VALIDATION</v>
      </c>
      <c r="AE21" s="38" t="str">
        <v>OPEN</v>
      </c>
      <c r="AF21" s="38" t="str">
        <v>OWNER_ACCEPTED_FOR_FINMODEL_PLANNING_NOT_SUBJECT_APPROVAL</v>
      </c>
      <c r="AG21" s="38" t="str">
        <v>BLOCK</v>
      </c>
      <c r="AH21" s="38" t="str">
        <v>MODEL_ONLY_NOT_EVIDENCE</v>
      </c>
      <c r="AI21" s="38" t="str">
        <v>Not complete evidence-backed COGS; exact SKU, make/buy, yields, quotations, VAT, delivery and MOQ remain open</v>
      </c>
      <c r="AJ21" s="38" t="n">
        <v>1</v>
      </c>
      <c r="AK21" s="38" t="n">
        <v>153.840651</v>
      </c>
      <c r="AL21" s="38"/>
      <c r="AM21" s="39" t="str">
        <v>SOURCE_ALREADY_ONE_SALE_UNIT</v>
      </c>
      <c r="AN21" s="43" t="n">
        <f>IF(COUNTA(W21,X21,Y21)=0,"",SUM(W21,X21,Y21))</f>
        <v>153.840651</v>
      </c>
      <c r="AO21" s="43" t="str">
        <f>IF(Z21="","", AN21-Z21)</f>
      </c>
    </row>
    <row r="22">
      <c r="A22" s="37" t="str">
        <v>CALC-VKM-018-ISS82-PROXY</v>
      </c>
      <c r="B22" s="38" t="str">
        <v>VKM-018</v>
      </c>
      <c r="C22" s="38" t="str">
        <v>Традиционный красный борщ</v>
      </c>
      <c r="D22" s="38" t="str">
        <v>Супы</v>
      </c>
      <c r="E22" s="38" t="str">
        <v>one sale portion</v>
      </c>
      <c r="F22" s="38" t="str">
        <v>ISSUE82_RC2_PROXY_SCENARIO</v>
      </c>
      <c r="G22" s="38" t="str">
        <v>71516bf871fa560e890ce5bc7f858854a5335ae2</v>
      </c>
      <c r="H22" s="38" t="str">
        <v>docs/07-operations/issue-82/PROVISIONAL_PROXY_SCENARIO_COSTING.csv</v>
      </c>
      <c r="I22" s="38" t="str">
        <v>VKM-018</v>
      </c>
      <c r="J22" s="38" t="str">
        <v>2026-08-03</v>
      </c>
      <c r="K22" s="38" t="str">
        <v>0.1.0-DRAFT</v>
      </c>
      <c r="L22" s="38" t="str">
        <v>ISS82_PROXY_DAG_NO_DOUBLE_COUNT_V0.3</v>
      </c>
      <c r="M22" s="38"/>
      <c r="N22" s="38"/>
      <c r="O22" s="38"/>
      <c r="P22" s="38"/>
      <c r="Q22" s="38"/>
      <c r="R22" s="38"/>
      <c r="S22" s="38" t="n">
        <v>17.693725</v>
      </c>
      <c r="T22" s="38" t="n">
        <v>82.095067</v>
      </c>
      <c r="U22" s="38" t="n">
        <v>99.788792</v>
      </c>
      <c r="V22" s="38" t="n">
        <v>1.496832</v>
      </c>
      <c r="W22" s="38" t="n">
        <v>101.285624</v>
      </c>
      <c r="X22" s="38"/>
      <c r="Y22" s="38"/>
      <c r="Z22" s="38"/>
      <c r="AA22" s="38"/>
      <c r="AB22" s="38"/>
      <c r="AC22" s="38" t="str">
        <v>ISSUE82_PROXY_SCENARIO</v>
      </c>
      <c r="AD22" s="38" t="str">
        <v>ASSUMPTION_BLOCKED_PENDING_VALIDATION</v>
      </c>
      <c r="AE22" s="38" t="str">
        <v>OPEN</v>
      </c>
      <c r="AF22" s="38" t="str">
        <v>OWNER_ACCEPTED_FOR_FINMODEL_PLANNING_NOT_SUBJECT_APPROVAL</v>
      </c>
      <c r="AG22" s="38" t="str">
        <v>BLOCK</v>
      </c>
      <c r="AH22" s="38" t="str">
        <v>MODEL_ONLY_NOT_EVIDENCE</v>
      </c>
      <c r="AI22" s="38" t="str">
        <v>Not complete evidence-backed COGS; exact SKU, make/buy, yields, quotations, VAT, delivery and MOQ remain open</v>
      </c>
      <c r="AJ22" s="38" t="n">
        <v>1</v>
      </c>
      <c r="AK22" s="38" t="n">
        <v>101.285624</v>
      </c>
      <c r="AL22" s="38"/>
      <c r="AM22" s="39" t="str">
        <v>SOURCE_ALREADY_ONE_SALE_UNIT</v>
      </c>
      <c r="AN22" s="43" t="n">
        <f>IF(COUNTA(W22,X22,Y22)=0,"",SUM(W22,X22,Y22))</f>
        <v>101.285624</v>
      </c>
      <c r="AO22" s="43" t="str">
        <f>IF(Z22="","", AN22-Z22)</f>
      </c>
    </row>
    <row r="23">
      <c r="A23" s="37" t="str">
        <v>CALC-VKM-019-ISS82-PROXY</v>
      </c>
      <c r="B23" s="38" t="str">
        <v>VKM-019</v>
      </c>
      <c r="C23" s="38" t="str">
        <v>Мурманская треска со сливочно-горчичным соусом</v>
      </c>
      <c r="D23" s="38" t="str">
        <v>Горячие блюда</v>
      </c>
      <c r="E23" s="38" t="str">
        <v>one sale portion</v>
      </c>
      <c r="F23" s="38" t="str">
        <v>ISSUE82_RC2_PROXY_SCENARIO</v>
      </c>
      <c r="G23" s="38" t="str">
        <v>71516bf871fa560e890ce5bc7f858854a5335ae2</v>
      </c>
      <c r="H23" s="38" t="str">
        <v>docs/07-operations/issue-82/PROVISIONAL_PROXY_SCENARIO_COSTING.csv</v>
      </c>
      <c r="I23" s="38" t="str">
        <v>VKM-019</v>
      </c>
      <c r="J23" s="38" t="str">
        <v>2026-08-03</v>
      </c>
      <c r="K23" s="38" t="str">
        <v>0.1.0-DRAFT</v>
      </c>
      <c r="L23" s="38" t="str">
        <v>ISS82_PROXY_DAG_NO_DOUBLE_COUNT_V0.3</v>
      </c>
      <c r="M23" s="38"/>
      <c r="N23" s="38"/>
      <c r="O23" s="38"/>
      <c r="P23" s="38"/>
      <c r="Q23" s="38"/>
      <c r="R23" s="38"/>
      <c r="S23" s="38" t="n">
        <v>303.757296</v>
      </c>
      <c r="T23" s="38" t="n">
        <v>62.187699</v>
      </c>
      <c r="U23" s="38" t="n">
        <v>365.944995</v>
      </c>
      <c r="V23" s="38" t="n">
        <v>5.489175</v>
      </c>
      <c r="W23" s="38" t="n">
        <v>371.43417</v>
      </c>
      <c r="X23" s="38"/>
      <c r="Y23" s="38"/>
      <c r="Z23" s="38"/>
      <c r="AA23" s="38"/>
      <c r="AB23" s="38"/>
      <c r="AC23" s="38" t="str">
        <v>ISSUE82_PROXY_SCENARIO</v>
      </c>
      <c r="AD23" s="38" t="str">
        <v>ASSUMPTION_BLOCKED_PENDING_VALIDATION</v>
      </c>
      <c r="AE23" s="38" t="str">
        <v>OPEN</v>
      </c>
      <c r="AF23" s="38" t="str">
        <v>OWNER_ACCEPTED_FOR_FINMODEL_PLANNING_NOT_SUBJECT_APPROVAL</v>
      </c>
      <c r="AG23" s="38" t="str">
        <v>BLOCK</v>
      </c>
      <c r="AH23" s="38" t="str">
        <v>MODEL_ONLY_NOT_EVIDENCE</v>
      </c>
      <c r="AI23" s="38" t="str">
        <v>Not complete evidence-backed COGS; exact SKU, make/buy, yields, quotations, VAT, delivery and MOQ remain open</v>
      </c>
      <c r="AJ23" s="38" t="n">
        <v>1</v>
      </c>
      <c r="AK23" s="38" t="n">
        <v>371.43417</v>
      </c>
      <c r="AL23" s="38"/>
      <c r="AM23" s="39" t="str">
        <v>SOURCE_ALREADY_ONE_SALE_UNIT</v>
      </c>
      <c r="AN23" s="43" t="n">
        <f>IF(COUNTA(W23,X23,Y23)=0,"",SUM(W23,X23,Y23))</f>
        <v>371.43417</v>
      </c>
      <c r="AO23" s="43" t="str">
        <f>IF(Z23="","", AN23-Z23)</f>
      </c>
    </row>
    <row r="24">
      <c r="A24" s="37" t="str">
        <v>CALC-VKM-020-ISS82-PROXY</v>
      </c>
      <c r="B24" s="38" t="str">
        <v>VKM-020</v>
      </c>
      <c r="C24" s="38" t="str">
        <v>Креветки по-тайски</v>
      </c>
      <c r="D24" s="38" t="str">
        <v>Горячие блюда</v>
      </c>
      <c r="E24" s="38" t="str">
        <v>one sale portion</v>
      </c>
      <c r="F24" s="38" t="str">
        <v>ISSUE82_RC2_PROXY_SCENARIO</v>
      </c>
      <c r="G24" s="38" t="str">
        <v>71516bf871fa560e890ce5bc7f858854a5335ae2</v>
      </c>
      <c r="H24" s="38" t="str">
        <v>docs/07-operations/issue-82/PROVISIONAL_PROXY_SCENARIO_COSTING.csv</v>
      </c>
      <c r="I24" s="38" t="str">
        <v>VKM-020</v>
      </c>
      <c r="J24" s="38" t="str">
        <v>2026-08-03</v>
      </c>
      <c r="K24" s="38" t="str">
        <v>0.1.0-DRAFT</v>
      </c>
      <c r="L24" s="38" t="str">
        <v>ISS82_PROXY_DAG_NO_DOUBLE_COUNT_V0.3</v>
      </c>
      <c r="M24" s="38"/>
      <c r="N24" s="38"/>
      <c r="O24" s="38"/>
      <c r="P24" s="38"/>
      <c r="Q24" s="38"/>
      <c r="R24" s="38"/>
      <c r="S24" s="38" t="n">
        <v>252.6062</v>
      </c>
      <c r="T24" s="38" t="n">
        <v>99.465476</v>
      </c>
      <c r="U24" s="38" t="n">
        <v>352.071676</v>
      </c>
      <c r="V24" s="38" t="n">
        <v>5.281075</v>
      </c>
      <c r="W24" s="38" t="n">
        <v>357.352751</v>
      </c>
      <c r="X24" s="38"/>
      <c r="Y24" s="38"/>
      <c r="Z24" s="38"/>
      <c r="AA24" s="38"/>
      <c r="AB24" s="38"/>
      <c r="AC24" s="38" t="str">
        <v>ISSUE82_PROXY_SCENARIO</v>
      </c>
      <c r="AD24" s="38" t="str">
        <v>ASSUMPTION_BLOCKED_PENDING_VALIDATION</v>
      </c>
      <c r="AE24" s="38" t="str">
        <v>OPEN</v>
      </c>
      <c r="AF24" s="38" t="str">
        <v>OWNER_ACCEPTED_FOR_FINMODEL_PLANNING_NOT_SUBJECT_APPROVAL</v>
      </c>
      <c r="AG24" s="38" t="str">
        <v>BLOCK</v>
      </c>
      <c r="AH24" s="38" t="str">
        <v>MODEL_ONLY_NOT_EVIDENCE</v>
      </c>
      <c r="AI24" s="38" t="str">
        <v>Not complete evidence-backed COGS; exact SKU, make/buy, yields, quotations, VAT, delivery and MOQ remain open</v>
      </c>
      <c r="AJ24" s="38" t="n">
        <v>1</v>
      </c>
      <c r="AK24" s="38" t="n">
        <v>357.352751</v>
      </c>
      <c r="AL24" s="38"/>
      <c r="AM24" s="39" t="str">
        <v>SOURCE_ALREADY_ONE_SALE_UNIT</v>
      </c>
      <c r="AN24" s="43" t="n">
        <f>IF(COUNTA(W24,X24,Y24)=0,"",SUM(W24,X24,Y24))</f>
        <v>357.352751</v>
      </c>
      <c r="AO24" s="43" t="str">
        <f>IF(Z24="","", AN24-Z24)</f>
      </c>
    </row>
    <row r="25">
      <c r="A25" s="37" t="str">
        <v>CALC-VKM-021-ISS82-PROXY</v>
      </c>
      <c r="B25" s="38" t="str">
        <v>VKM-021</v>
      </c>
      <c r="C25" s="38" t="str">
        <v>Бургер VARSHAVKA</v>
      </c>
      <c r="D25" s="38" t="str">
        <v>Горячие блюда</v>
      </c>
      <c r="E25" s="38" t="str">
        <v>one sale portion</v>
      </c>
      <c r="F25" s="38" t="str">
        <v>ISSUE82_RC2_PROXY_SCENARIO</v>
      </c>
      <c r="G25" s="38" t="str">
        <v>71516bf871fa560e890ce5bc7f858854a5335ae2</v>
      </c>
      <c r="H25" s="38" t="str">
        <v>docs/07-operations/issue-82/PROVISIONAL_PROXY_SCENARIO_COSTING.csv</v>
      </c>
      <c r="I25" s="38" t="str">
        <v>VKM-021</v>
      </c>
      <c r="J25" s="38" t="str">
        <v>2026-08-03</v>
      </c>
      <c r="K25" s="38" t="str">
        <v>0.1.0-DRAFT</v>
      </c>
      <c r="L25" s="38" t="str">
        <v>ISS82_PROXY_DAG_NO_DOUBLE_COUNT_V0.3</v>
      </c>
      <c r="M25" s="38"/>
      <c r="N25" s="38"/>
      <c r="O25" s="38"/>
      <c r="P25" s="38"/>
      <c r="Q25" s="38"/>
      <c r="R25" s="38"/>
      <c r="S25" s="38" t="n">
        <v>164.12328</v>
      </c>
      <c r="T25" s="38" t="n">
        <v>62.834046</v>
      </c>
      <c r="U25" s="38" t="n">
        <v>226.957326</v>
      </c>
      <c r="V25" s="38" t="n">
        <v>3.40436</v>
      </c>
      <c r="W25" s="38" t="n">
        <v>230.361685</v>
      </c>
      <c r="X25" s="38"/>
      <c r="Y25" s="38"/>
      <c r="Z25" s="38"/>
      <c r="AA25" s="38"/>
      <c r="AB25" s="38"/>
      <c r="AC25" s="38" t="str">
        <v>ISSUE82_PROXY_SCENARIO</v>
      </c>
      <c r="AD25" s="38" t="str">
        <v>ASSUMPTION_BLOCKED_PENDING_VALIDATION</v>
      </c>
      <c r="AE25" s="38" t="str">
        <v>OPEN</v>
      </c>
      <c r="AF25" s="38" t="str">
        <v>OWNER_ACCEPTED_FOR_FINMODEL_PLANNING_NOT_SUBJECT_APPROVAL</v>
      </c>
      <c r="AG25" s="38" t="str">
        <v>BLOCK</v>
      </c>
      <c r="AH25" s="38" t="str">
        <v>MODEL_ONLY_NOT_EVIDENCE</v>
      </c>
      <c r="AI25" s="38" t="str">
        <v>Not complete evidence-backed COGS; exact SKU, make/buy, yields, quotations, VAT, delivery and MOQ remain open</v>
      </c>
      <c r="AJ25" s="38" t="n">
        <v>1</v>
      </c>
      <c r="AK25" s="38" t="n">
        <v>230.361685</v>
      </c>
      <c r="AL25" s="38"/>
      <c r="AM25" s="39" t="str">
        <v>SOURCE_ALREADY_ONE_SALE_UNIT</v>
      </c>
      <c r="AN25" s="43" t="n">
        <f>IF(COUNTA(W25,X25,Y25)=0,"",SUM(W25,X25,Y25))</f>
        <v>230.361685</v>
      </c>
      <c r="AO25" s="43" t="str">
        <f>IF(Z25="","", AN25-Z25)</f>
      </c>
    </row>
    <row r="26">
      <c r="A26" s="37" t="str">
        <v>CALC-VKM-022-ISS82-PROXY</v>
      </c>
      <c r="B26" s="38" t="str">
        <v>VKM-022</v>
      </c>
      <c r="C26" s="38" t="str">
        <v>Миньоны из говяжьей вырезки</v>
      </c>
      <c r="D26" s="38" t="str">
        <v>Горячие блюда</v>
      </c>
      <c r="E26" s="38" t="str">
        <v>one sale portion</v>
      </c>
      <c r="F26" s="38" t="str">
        <v>ISSUE82_RC2_PROXY_SCENARIO</v>
      </c>
      <c r="G26" s="38" t="str">
        <v>71516bf871fa560e890ce5bc7f858854a5335ae2</v>
      </c>
      <c r="H26" s="38" t="str">
        <v>docs/07-operations/issue-82/PROVISIONAL_PROXY_SCENARIO_COSTING.csv</v>
      </c>
      <c r="I26" s="38" t="str">
        <v>VKM-022</v>
      </c>
      <c r="J26" s="38" t="str">
        <v>2026-08-03</v>
      </c>
      <c r="K26" s="38" t="str">
        <v>0.1.0-DRAFT</v>
      </c>
      <c r="L26" s="38" t="str">
        <v>ISS82_PROXY_DAG_NO_DOUBLE_COUNT_V0.3</v>
      </c>
      <c r="M26" s="38"/>
      <c r="N26" s="38"/>
      <c r="O26" s="38"/>
      <c r="P26" s="38"/>
      <c r="Q26" s="38"/>
      <c r="R26" s="38"/>
      <c r="S26" s="38" t="n">
        <v>303.133006</v>
      </c>
      <c r="T26" s="38" t="n">
        <v>18.805907</v>
      </c>
      <c r="U26" s="38" t="n">
        <v>321.938912</v>
      </c>
      <c r="V26" s="38" t="n">
        <v>4.829084</v>
      </c>
      <c r="W26" s="38" t="n">
        <v>326.767996</v>
      </c>
      <c r="X26" s="38"/>
      <c r="Y26" s="38"/>
      <c r="Z26" s="38"/>
      <c r="AA26" s="38"/>
      <c r="AB26" s="38"/>
      <c r="AC26" s="38" t="str">
        <v>ISSUE82_PROXY_SCENARIO</v>
      </c>
      <c r="AD26" s="38" t="str">
        <v>ASSUMPTION_BLOCKED_PENDING_VALIDATION</v>
      </c>
      <c r="AE26" s="38" t="str">
        <v>OPEN</v>
      </c>
      <c r="AF26" s="38" t="str">
        <v>OWNER_ACCEPTED_FOR_FINMODEL_PLANNING_NOT_SUBJECT_APPROVAL</v>
      </c>
      <c r="AG26" s="38" t="str">
        <v>BLOCK</v>
      </c>
      <c r="AH26" s="38" t="str">
        <v>MODEL_ONLY_NOT_EVIDENCE</v>
      </c>
      <c r="AI26" s="38" t="str">
        <v>Not complete evidence-backed COGS; exact SKU, make/buy, yields, quotations, VAT, delivery and MOQ remain open</v>
      </c>
      <c r="AJ26" s="38" t="n">
        <v>1</v>
      </c>
      <c r="AK26" s="38" t="n">
        <v>326.767996</v>
      </c>
      <c r="AL26" s="38"/>
      <c r="AM26" s="39" t="str">
        <v>SOURCE_ALREADY_ONE_SALE_UNIT</v>
      </c>
      <c r="AN26" s="43" t="n">
        <f>IF(COUNTA(W26,X26,Y26)=0,"",SUM(W26,X26,Y26))</f>
        <v>326.767996</v>
      </c>
      <c r="AO26" s="43" t="str">
        <f>IF(Z26="","", AN26-Z26)</f>
      </c>
    </row>
    <row r="27">
      <c r="A27" s="37" t="str">
        <v>CALC-VKM-023-ISS82-PROXY</v>
      </c>
      <c r="B27" s="38" t="str">
        <v>VKM-023</v>
      </c>
      <c r="C27" s="38" t="str">
        <v>Запечённый картофель</v>
      </c>
      <c r="D27" s="38" t="str">
        <v>Гарниры</v>
      </c>
      <c r="E27" s="38" t="str">
        <v>one sale portion</v>
      </c>
      <c r="F27" s="38" t="str">
        <v>ISSUE82_RC2_PROXY_SCENARIO</v>
      </c>
      <c r="G27" s="38" t="str">
        <v>71516bf871fa560e890ce5bc7f858854a5335ae2</v>
      </c>
      <c r="H27" s="38" t="str">
        <v>docs/07-operations/issue-82/PROVISIONAL_PROXY_SCENARIO_COSTING.csv</v>
      </c>
      <c r="I27" s="38" t="str">
        <v>VKM-023</v>
      </c>
      <c r="J27" s="38" t="str">
        <v>2026-08-03</v>
      </c>
      <c r="K27" s="38" t="str">
        <v>0.1.0-DRAFT</v>
      </c>
      <c r="L27" s="38" t="str">
        <v>ISS82_PROXY_DAG_NO_DOUBLE_COUNT_V0.3</v>
      </c>
      <c r="M27" s="38"/>
      <c r="N27" s="38"/>
      <c r="O27" s="38"/>
      <c r="P27" s="38"/>
      <c r="Q27" s="38"/>
      <c r="R27" s="38"/>
      <c r="S27" s="38" t="n">
        <v>16.9983</v>
      </c>
      <c r="T27" s="38" t="n">
        <v>2.654442</v>
      </c>
      <c r="U27" s="38" t="n">
        <v>19.652742</v>
      </c>
      <c r="V27" s="38" t="n">
        <v>0.294791</v>
      </c>
      <c r="W27" s="38" t="n">
        <v>19.947533</v>
      </c>
      <c r="X27" s="38"/>
      <c r="Y27" s="38"/>
      <c r="Z27" s="38"/>
      <c r="AA27" s="38"/>
      <c r="AB27" s="38"/>
      <c r="AC27" s="38" t="str">
        <v>ISSUE82_PROXY_SCENARIO</v>
      </c>
      <c r="AD27" s="38" t="str">
        <v>ASSUMPTION_BLOCKED_PENDING_VALIDATION</v>
      </c>
      <c r="AE27" s="38" t="str">
        <v>OPEN</v>
      </c>
      <c r="AF27" s="38" t="str">
        <v>OWNER_ACCEPTED_FOR_FINMODEL_PLANNING_NOT_SUBJECT_APPROVAL</v>
      </c>
      <c r="AG27" s="38" t="str">
        <v>BLOCK</v>
      </c>
      <c r="AH27" s="38" t="str">
        <v>MODEL_ONLY_NOT_EVIDENCE</v>
      </c>
      <c r="AI27" s="38" t="str">
        <v>Not complete evidence-backed COGS; exact SKU, make/buy, yields, quotations, VAT, delivery and MOQ remain open</v>
      </c>
      <c r="AJ27" s="38" t="n">
        <v>1</v>
      </c>
      <c r="AK27" s="38" t="n">
        <v>19.947533</v>
      </c>
      <c r="AL27" s="38"/>
      <c r="AM27" s="39" t="str">
        <v>SOURCE_ALREADY_ONE_SALE_UNIT</v>
      </c>
      <c r="AN27" s="43" t="n">
        <f>IF(COUNTA(W27,X27,Y27)=0,"",SUM(W27,X27,Y27))</f>
        <v>19.947533</v>
      </c>
      <c r="AO27" s="43" t="str">
        <f>IF(Z27="","", AN27-Z27)</f>
      </c>
    </row>
    <row r="28">
      <c r="A28" s="37" t="str">
        <v>CALC-VKM-024-ISS82-PROXY</v>
      </c>
      <c r="B28" s="38" t="str">
        <v>VKM-024</v>
      </c>
      <c r="C28" s="38" t="str">
        <v>Рис жасмин</v>
      </c>
      <c r="D28" s="38" t="str">
        <v>Гарниры</v>
      </c>
      <c r="E28" s="38" t="str">
        <v>one sale portion</v>
      </c>
      <c r="F28" s="38" t="str">
        <v>ISSUE82_RC2_PROXY_SCENARIO</v>
      </c>
      <c r="G28" s="38" t="str">
        <v>71516bf871fa560e890ce5bc7f858854a5335ae2</v>
      </c>
      <c r="H28" s="38" t="str">
        <v>docs/07-operations/issue-82/PROVISIONAL_PROXY_SCENARIO_COSTING.csv</v>
      </c>
      <c r="I28" s="38" t="str">
        <v>VKM-024</v>
      </c>
      <c r="J28" s="38" t="str">
        <v>2026-08-03</v>
      </c>
      <c r="K28" s="38" t="str">
        <v>0.1.0-DRAFT</v>
      </c>
      <c r="L28" s="38" t="str">
        <v>ISS82_PROXY_DAG_NO_DOUBLE_COUNT_V0.3</v>
      </c>
      <c r="M28" s="38"/>
      <c r="N28" s="38"/>
      <c r="O28" s="38"/>
      <c r="P28" s="38"/>
      <c r="Q28" s="38"/>
      <c r="R28" s="38"/>
      <c r="S28" s="38" t="n">
        <v>5.641258</v>
      </c>
      <c r="T28" s="38" t="n">
        <v>18.562331</v>
      </c>
      <c r="U28" s="38" t="n">
        <v>24.203589</v>
      </c>
      <c r="V28" s="38" t="n">
        <v>0.363054</v>
      </c>
      <c r="W28" s="38" t="n">
        <v>24.566642</v>
      </c>
      <c r="X28" s="38"/>
      <c r="Y28" s="38"/>
      <c r="Z28" s="38"/>
      <c r="AA28" s="38"/>
      <c r="AB28" s="38"/>
      <c r="AC28" s="38" t="str">
        <v>ISSUE82_PROXY_SCENARIO</v>
      </c>
      <c r="AD28" s="38" t="str">
        <v>ASSUMPTION_BLOCKED_PENDING_VALIDATION</v>
      </c>
      <c r="AE28" s="38" t="str">
        <v>OPEN</v>
      </c>
      <c r="AF28" s="38" t="str">
        <v>OWNER_ACCEPTED_FOR_FINMODEL_PLANNING_NOT_SUBJECT_APPROVAL</v>
      </c>
      <c r="AG28" s="38" t="str">
        <v>BLOCK</v>
      </c>
      <c r="AH28" s="38" t="str">
        <v>MODEL_ONLY_NOT_EVIDENCE</v>
      </c>
      <c r="AI28" s="38" t="str">
        <v>Not complete evidence-backed COGS; exact SKU, make/buy, yields, quotations, VAT, delivery and MOQ remain open</v>
      </c>
      <c r="AJ28" s="38" t="n">
        <v>1</v>
      </c>
      <c r="AK28" s="38" t="n">
        <v>24.566642</v>
      </c>
      <c r="AL28" s="38"/>
      <c r="AM28" s="39" t="str">
        <v>SOURCE_ALREADY_ONE_SALE_UNIT</v>
      </c>
      <c r="AN28" s="43" t="n">
        <f>IF(COUNTA(W28,X28,Y28)=0,"",SUM(W28,X28,Y28))</f>
        <v>24.566642</v>
      </c>
      <c r="AO28" s="43" t="str">
        <f>IF(Z28="","", AN28-Z28)</f>
      </c>
    </row>
    <row r="29">
      <c r="A29" s="37" t="str">
        <v>CALC-VKM-025-ISS82-PROXY</v>
      </c>
      <c r="B29" s="38" t="str">
        <v>VKM-025</v>
      </c>
      <c r="C29" s="38" t="str">
        <v>Горячие овощи</v>
      </c>
      <c r="D29" s="38" t="str">
        <v>Гарниры</v>
      </c>
      <c r="E29" s="38" t="str">
        <v>one sale portion</v>
      </c>
      <c r="F29" s="38" t="str">
        <v>ISSUE82_RC2_PROXY_SCENARIO</v>
      </c>
      <c r="G29" s="38" t="str">
        <v>71516bf871fa560e890ce5bc7f858854a5335ae2</v>
      </c>
      <c r="H29" s="38" t="str">
        <v>docs/07-operations/issue-82/PROVISIONAL_PROXY_SCENARIO_COSTING.csv</v>
      </c>
      <c r="I29" s="38" t="str">
        <v>VKM-025</v>
      </c>
      <c r="J29" s="38" t="str">
        <v>2026-08-03</v>
      </c>
      <c r="K29" s="38" t="str">
        <v>0.1.0-DRAFT</v>
      </c>
      <c r="L29" s="38" t="str">
        <v>ISS82_PROXY_DAG_NO_DOUBLE_COUNT_V0.3</v>
      </c>
      <c r="M29" s="38"/>
      <c r="N29" s="38"/>
      <c r="O29" s="38"/>
      <c r="P29" s="38"/>
      <c r="Q29" s="38"/>
      <c r="R29" s="38"/>
      <c r="S29" s="38" t="n">
        <v>31.829613</v>
      </c>
      <c r="T29" s="38" t="n">
        <v>16.328672</v>
      </c>
      <c r="U29" s="38" t="n">
        <v>48.158285</v>
      </c>
      <c r="V29" s="38" t="n">
        <v>0.722374</v>
      </c>
      <c r="W29" s="38" t="n">
        <v>48.880659</v>
      </c>
      <c r="X29" s="38"/>
      <c r="Y29" s="38"/>
      <c r="Z29" s="38"/>
      <c r="AA29" s="38"/>
      <c r="AB29" s="38"/>
      <c r="AC29" s="38" t="str">
        <v>ISSUE82_PROXY_SCENARIO</v>
      </c>
      <c r="AD29" s="38" t="str">
        <v>ASSUMPTION_BLOCKED_PENDING_VALIDATION</v>
      </c>
      <c r="AE29" s="38" t="str">
        <v>OPEN</v>
      </c>
      <c r="AF29" s="38" t="str">
        <v>OWNER_ACCEPTED_FOR_FINMODEL_PLANNING_NOT_SUBJECT_APPROVAL</v>
      </c>
      <c r="AG29" s="38" t="str">
        <v>BLOCK</v>
      </c>
      <c r="AH29" s="38" t="str">
        <v>MODEL_ONLY_NOT_EVIDENCE</v>
      </c>
      <c r="AI29" s="38" t="str">
        <v>Not complete evidence-backed COGS; exact SKU, make/buy, yields, quotations, VAT, delivery and MOQ remain open</v>
      </c>
      <c r="AJ29" s="38" t="n">
        <v>1</v>
      </c>
      <c r="AK29" s="38" t="n">
        <v>48.880659</v>
      </c>
      <c r="AL29" s="38"/>
      <c r="AM29" s="39" t="str">
        <v>SOURCE_ALREADY_ONE_SALE_UNIT</v>
      </c>
      <c r="AN29" s="43" t="n">
        <f>IF(COUNTA(W29,X29,Y29)=0,"",SUM(W29,X29,Y29))</f>
        <v>48.880659</v>
      </c>
      <c r="AO29" s="43" t="str">
        <f>IF(Z29="","", AN29-Z29)</f>
      </c>
    </row>
    <row r="30">
      <c r="A30" s="37" t="str">
        <v>CALC-VKM-026-S04-BREAKFAST</v>
      </c>
      <c r="B30" s="38" t="str">
        <v>VKM-026</v>
      </c>
      <c r="C30" s="38" t="str">
        <v>Яичница, круассан и сыр двух видов</v>
      </c>
      <c r="D30" s="38" t="str">
        <v>Гостиничные завтраки</v>
      </c>
      <c r="E30" s="38" t="str">
        <v>one closed breakfast complex</v>
      </c>
      <c r="F30" s="38" t="str">
        <v>S04_v3.0.0_BREAKFAST_COSTING</v>
      </c>
      <c r="G30" s="38" t="str">
        <v>1573dc616ead7244146c8601cf61cd3c82d3c46e</v>
      </c>
      <c r="H30" s="38" t="str">
        <v>models/scenarios/S04/FINMODEL_VARSHAVKA_USALI_SCENARIO_S04_v3.0.0.xlsx</v>
      </c>
      <c r="I30" s="38" t="str">
        <v>BREAKFAST_COSTING!A23:J23</v>
      </c>
      <c r="J30" s="38" t="str">
        <v>2026-07-28</v>
      </c>
      <c r="K30" s="38" t="str">
        <v>S04-v3.0.0</v>
      </c>
      <c r="L30" s="38" t="str">
        <v>S04_BREAKFAST_FORMULA_GROSS_INPUT</v>
      </c>
      <c r="M30" s="38"/>
      <c r="N30" s="38"/>
      <c r="O30" s="38"/>
      <c r="P30" s="38"/>
      <c r="Q30" s="38"/>
      <c r="R30" s="38"/>
      <c r="S30" s="38"/>
      <c r="T30" s="38"/>
      <c r="U30" s="38" t="n">
        <v>131.2826677778</v>
      </c>
      <c r="V30" s="38"/>
      <c r="W30" s="38" t="n">
        <v>131.2826677778</v>
      </c>
      <c r="X30" s="38" t="n">
        <v>0</v>
      </c>
      <c r="Y30" s="38" t="n">
        <v>60</v>
      </c>
      <c r="Z30" s="38" t="n">
        <v>191.2826677778</v>
      </c>
      <c r="AA30" s="38" t="n">
        <v>550</v>
      </c>
      <c r="AB30" s="38" t="n">
        <v>0.3477866686869</v>
      </c>
      <c r="AC30" s="38" t="str">
        <v>S04_APPROVED_MODEL_PRELIMINARY_PROCUREMENT</v>
      </c>
      <c r="AD30" s="38" t="str">
        <v>PRELIMINARY_SUPPLIER_PRICES_AND_CONTROL_TRIALS</v>
      </c>
      <c r="AE30" s="38" t="str">
        <v>PRELIMINARY_SUPPLIER_EVIDENCE_OPEN</v>
      </c>
      <c r="AF30" s="38" t="str">
        <v>S04_MODEL_RELEASE_APPROVED</v>
      </c>
      <c r="AG30" s="38" t="str">
        <v>NOT_EVALUATED_BY_THIS_BRIDGE</v>
      </c>
      <c r="AH30" s="38" t="str">
        <v>MODEL_ONLY_NOT_EVIDENCE</v>
      </c>
      <c r="AI30" s="38" t="str">
        <v>Official S04 model parameter; supplier quotations, VAT treatment and control trials remain open; Fontina 1800 RUB/kg is sensitivity input</v>
      </c>
      <c r="AJ30" s="38" t="n">
        <v>1</v>
      </c>
      <c r="AK30" s="38" t="n">
        <v>131.2826677778</v>
      </c>
      <c r="AL30" s="38" t="n">
        <v>191.2826677778</v>
      </c>
      <c r="AM30" s="39" t="str">
        <v>SOURCE_ALREADY_ONE_SALE_UNIT</v>
      </c>
      <c r="AN30" s="43" t="n">
        <f>IF(COUNTA(W30,X30,Y30)=0,"",SUM(W30,X30,Y30))</f>
        <v>191.2826677778</v>
      </c>
      <c r="AO30" s="43" t="n">
        <f>IF(Z30="","", AN30-Z30)</f>
        <v>0</v>
      </c>
    </row>
    <row r="31">
      <c r="A31" s="37" t="str">
        <v>CALC-VKM-027-S04-BREAKFAST</v>
      </c>
      <c r="B31" s="38" t="str">
        <v>VKM-027</v>
      </c>
      <c r="C31" s="38" t="str">
        <v>Омлет, круассан и сыр двух видов</v>
      </c>
      <c r="D31" s="38" t="str">
        <v>Гостиничные завтраки</v>
      </c>
      <c r="E31" s="38" t="str">
        <v>one closed breakfast complex</v>
      </c>
      <c r="F31" s="38" t="str">
        <v>S04_v3.0.0_BREAKFAST_COSTING</v>
      </c>
      <c r="G31" s="38" t="str">
        <v>1573dc616ead7244146c8601cf61cd3c82d3c46e</v>
      </c>
      <c r="H31" s="38" t="str">
        <v>models/scenarios/S04/FINMODEL_VARSHAVKA_USALI_SCENARIO_S04_v3.0.0.xlsx</v>
      </c>
      <c r="I31" s="38" t="str">
        <v>BREAKFAST_COSTING!A24:J24</v>
      </c>
      <c r="J31" s="38" t="str">
        <v>2026-07-28</v>
      </c>
      <c r="K31" s="38" t="str">
        <v>S04-v3.0.0</v>
      </c>
      <c r="L31" s="38" t="str">
        <v>S04_BREAKFAST_FORMULA_GROSS_INPUT</v>
      </c>
      <c r="M31" s="38"/>
      <c r="N31" s="38"/>
      <c r="O31" s="38"/>
      <c r="P31" s="38"/>
      <c r="Q31" s="38"/>
      <c r="R31" s="38"/>
      <c r="S31" s="38"/>
      <c r="T31" s="38"/>
      <c r="U31" s="38" t="n">
        <v>163.1946677778</v>
      </c>
      <c r="V31" s="38"/>
      <c r="W31" s="38" t="n">
        <v>163.1946677778</v>
      </c>
      <c r="X31" s="38" t="n">
        <v>0</v>
      </c>
      <c r="Y31" s="38" t="n">
        <v>60</v>
      </c>
      <c r="Z31" s="38" t="n">
        <v>223.1946677778</v>
      </c>
      <c r="AA31" s="38" t="n">
        <v>550</v>
      </c>
      <c r="AB31" s="38" t="n">
        <v>0.4058084868687</v>
      </c>
      <c r="AC31" s="38" t="str">
        <v>S04_APPROVED_MODEL_PRELIMINARY_PROCUREMENT</v>
      </c>
      <c r="AD31" s="38" t="str">
        <v>PRELIMINARY_SUPPLIER_PRICES_AND_CONTROL_TRIALS</v>
      </c>
      <c r="AE31" s="38" t="str">
        <v>PRELIMINARY_SUPPLIER_EVIDENCE_OPEN</v>
      </c>
      <c r="AF31" s="38" t="str">
        <v>S04_MODEL_RELEASE_APPROVED</v>
      </c>
      <c r="AG31" s="38" t="str">
        <v>NOT_EVALUATED_BY_THIS_BRIDGE</v>
      </c>
      <c r="AH31" s="38" t="str">
        <v>MODEL_ONLY_NOT_EVIDENCE</v>
      </c>
      <c r="AI31" s="38" t="str">
        <v>Official S04 model parameter; supplier quotations, VAT treatment and control trials remain open; Fontina 1800 RUB/kg is sensitivity input</v>
      </c>
      <c r="AJ31" s="38" t="n">
        <v>1</v>
      </c>
      <c r="AK31" s="38" t="n">
        <v>163.1946677778</v>
      </c>
      <c r="AL31" s="38" t="n">
        <v>223.1946677778</v>
      </c>
      <c r="AM31" s="39" t="str">
        <v>SOURCE_ALREADY_ONE_SALE_UNIT</v>
      </c>
      <c r="AN31" s="43" t="n">
        <f>IF(COUNTA(W31,X31,Y31)=0,"",SUM(W31,X31,Y31))</f>
        <v>223.1946677778</v>
      </c>
      <c r="AO31" s="43" t="n">
        <f>IF(Z31="","", AN31-Z31)</f>
        <v>0</v>
      </c>
    </row>
    <row r="32">
      <c r="A32" s="37" t="str">
        <v>CALC-VKM-028-S04-BREAKFAST</v>
      </c>
      <c r="B32" s="38" t="str">
        <v>VKM-028</v>
      </c>
      <c r="C32" s="38" t="str">
        <v>Овсяная каша, круассан и сыр двух видов</v>
      </c>
      <c r="D32" s="38" t="str">
        <v>Гостиничные завтраки</v>
      </c>
      <c r="E32" s="38" t="str">
        <v>one closed breakfast complex</v>
      </c>
      <c r="F32" s="38" t="str">
        <v>S04_v3.0.0_BREAKFAST_COSTING</v>
      </c>
      <c r="G32" s="38" t="str">
        <v>1573dc616ead7244146c8601cf61cd3c82d3c46e</v>
      </c>
      <c r="H32" s="38" t="str">
        <v>models/scenarios/S04/FINMODEL_VARSHAVKA_USALI_SCENARIO_S04_v3.0.0.xlsx</v>
      </c>
      <c r="I32" s="38" t="str">
        <v>BREAKFAST_COSTING!A25:J25</v>
      </c>
      <c r="J32" s="38" t="str">
        <v>2026-07-28</v>
      </c>
      <c r="K32" s="38" t="str">
        <v>S04-v3.0.0</v>
      </c>
      <c r="L32" s="38" t="str">
        <v>S04_BREAKFAST_FORMULA_GROSS_INPUT</v>
      </c>
      <c r="M32" s="38"/>
      <c r="N32" s="38"/>
      <c r="O32" s="38"/>
      <c r="P32" s="38"/>
      <c r="Q32" s="38"/>
      <c r="R32" s="38"/>
      <c r="S32" s="38"/>
      <c r="T32" s="38"/>
      <c r="U32" s="38" t="n">
        <v>133.4837177778</v>
      </c>
      <c r="V32" s="38"/>
      <c r="W32" s="38" t="n">
        <v>133.4837177778</v>
      </c>
      <c r="X32" s="38" t="n">
        <v>0</v>
      </c>
      <c r="Y32" s="38" t="n">
        <v>60</v>
      </c>
      <c r="Z32" s="38" t="n">
        <v>193.4837177778</v>
      </c>
      <c r="AA32" s="38" t="n">
        <v>550</v>
      </c>
      <c r="AB32" s="38" t="n">
        <v>0.3517885777778</v>
      </c>
      <c r="AC32" s="38" t="str">
        <v>S04_APPROVED_MODEL_PRELIMINARY_PROCUREMENT</v>
      </c>
      <c r="AD32" s="38" t="str">
        <v>PRELIMINARY_SUPPLIER_PRICES_AND_CONTROL_TRIALS</v>
      </c>
      <c r="AE32" s="38" t="str">
        <v>PRELIMINARY_SUPPLIER_EVIDENCE_OPEN</v>
      </c>
      <c r="AF32" s="38" t="str">
        <v>S04_MODEL_RELEASE_APPROVED</v>
      </c>
      <c r="AG32" s="38" t="str">
        <v>NOT_EVALUATED_BY_THIS_BRIDGE</v>
      </c>
      <c r="AH32" s="38" t="str">
        <v>MODEL_ONLY_NOT_EVIDENCE</v>
      </c>
      <c r="AI32" s="38" t="str">
        <v>Official S04 model parameter; supplier quotations, VAT treatment and control trials remain open; Fontina 1800 RUB/kg is sensitivity input</v>
      </c>
      <c r="AJ32" s="38" t="n">
        <v>1</v>
      </c>
      <c r="AK32" s="38" t="n">
        <v>133.4837177778</v>
      </c>
      <c r="AL32" s="38" t="n">
        <v>193.4837177778</v>
      </c>
      <c r="AM32" s="39" t="str">
        <v>SOURCE_ALREADY_ONE_SALE_UNIT</v>
      </c>
      <c r="AN32" s="43" t="n">
        <f>IF(COUNTA(W32,X32,Y32)=0,"",SUM(W32,X32,Y32))</f>
        <v>193.4837177778</v>
      </c>
      <c r="AO32" s="43" t="n">
        <f>IF(Z32="","", AN32-Z32)</f>
        <v>0</v>
      </c>
    </row>
    <row r="33">
      <c r="A33" s="37" t="str">
        <v>CALC-VKM-029-ISS82-PROXY</v>
      </c>
      <c r="B33" s="38" t="str">
        <v>VKM-029</v>
      </c>
      <c r="C33" s="38" t="str">
        <v>Черничный торт VARSHAVKA</v>
      </c>
      <c r="D33" s="38" t="str">
        <v>Десерты</v>
      </c>
      <c r="E33" s="38" t="str">
        <v>one sale portion</v>
      </c>
      <c r="F33" s="38" t="str">
        <v>ISSUE82_RC2_PROXY_SCENARIO</v>
      </c>
      <c r="G33" s="38" t="str">
        <v>71516bf871fa560e890ce5bc7f858854a5335ae2</v>
      </c>
      <c r="H33" s="38" t="str">
        <v>docs/07-operations/issue-82/PROVISIONAL_PROXY_SCENARIO_COSTING.csv</v>
      </c>
      <c r="I33" s="38" t="str">
        <v>VKM-029</v>
      </c>
      <c r="J33" s="38" t="str">
        <v>2026-08-03</v>
      </c>
      <c r="K33" s="38" t="str">
        <v>0.1.0-DRAFT</v>
      </c>
      <c r="L33" s="38" t="str">
        <v>ISS82_PROXY_DAG_NO_DOUBLE_COUNT_V0.3</v>
      </c>
      <c r="M33" s="38"/>
      <c r="N33" s="38"/>
      <c r="O33" s="38"/>
      <c r="P33" s="38"/>
      <c r="Q33" s="38"/>
      <c r="R33" s="38"/>
      <c r="S33" s="38" t="n">
        <v>861.862722</v>
      </c>
      <c r="T33" s="38" t="n">
        <v>34.370276</v>
      </c>
      <c r="U33" s="38" t="n">
        <v>896.232998</v>
      </c>
      <c r="V33" s="38" t="n">
        <v>13.443495</v>
      </c>
      <c r="W33" s="38" t="n">
        <v>909.676493</v>
      </c>
      <c r="X33" s="38"/>
      <c r="Y33" s="38"/>
      <c r="Z33" s="38"/>
      <c r="AA33" s="38"/>
      <c r="AB33" s="38"/>
      <c r="AC33" s="38" t="str">
        <v>ISSUE82_PROXY_SCENARIO</v>
      </c>
      <c r="AD33" s="38" t="str">
        <v>ASSUMPTION_BLOCKED_PENDING_VALIDATION</v>
      </c>
      <c r="AE33" s="38" t="str">
        <v>OPEN</v>
      </c>
      <c r="AF33" s="38" t="str">
        <v>OWNER_ACCEPTED_FOR_FINMODEL_PLANNING_NOT_SUBJECT_APPROVAL</v>
      </c>
      <c r="AG33" s="38" t="str">
        <v>BLOCK</v>
      </c>
      <c r="AH33" s="38" t="str">
        <v>MODEL_ONLY_NOT_EVIDENCE</v>
      </c>
      <c r="AI33" s="38" t="str">
        <v>Not complete evidence-backed COGS; exact SKU, make/buy, yields, quotations, VAT, delivery and MOQ remain open</v>
      </c>
      <c r="AJ33" s="38" t="n">
        <v>12</v>
      </c>
      <c r="AK33" s="38" t="n">
        <v>75.80637441666667</v>
      </c>
      <c r="AL33" s="38"/>
      <c r="AM33" s="39" t="str">
        <v>CALCULATED_FROM_BATCH_DIVISOR_REQUIRES_CHEF_YIELD_CONFIRMATION</v>
      </c>
      <c r="AN33" s="43" t="n">
        <f>IF(COUNTA(W33,X33,Y33)=0,"",SUM(W33,X33,Y33))</f>
        <v>909.676493</v>
      </c>
      <c r="AO33" s="43" t="str">
        <f>IF(Z33="","", AN33-Z33)</f>
      </c>
    </row>
    <row r="34">
      <c r="A34" s="37" t="str">
        <v>CALC-VKM-030-ISS82-PROXY</v>
      </c>
      <c r="B34" s="38" t="str">
        <v>VKM-030</v>
      </c>
      <c r="C34" s="38" t="str">
        <v>Кростата с солёной карамелью</v>
      </c>
      <c r="D34" s="38" t="str">
        <v>Десерты</v>
      </c>
      <c r="E34" s="38" t="str">
        <v>one sale portion</v>
      </c>
      <c r="F34" s="38" t="str">
        <v>ISSUE82_RC2_PROXY_SCENARIO</v>
      </c>
      <c r="G34" s="38" t="str">
        <v>71516bf871fa560e890ce5bc7f858854a5335ae2</v>
      </c>
      <c r="H34" s="38" t="str">
        <v>docs/07-operations/issue-82/PROVISIONAL_PROXY_SCENARIO_COSTING.csv</v>
      </c>
      <c r="I34" s="38" t="str">
        <v>VKM-030</v>
      </c>
      <c r="J34" s="38" t="str">
        <v>2026-08-03</v>
      </c>
      <c r="K34" s="38" t="str">
        <v>0.1.0-DRAFT</v>
      </c>
      <c r="L34" s="38" t="str">
        <v>ISS82_PROXY_DAG_NO_DOUBLE_COUNT_V0.3</v>
      </c>
      <c r="M34" s="38"/>
      <c r="N34" s="38"/>
      <c r="O34" s="38"/>
      <c r="P34" s="38"/>
      <c r="Q34" s="38"/>
      <c r="R34" s="38"/>
      <c r="S34" s="38" t="n">
        <v>551.765083</v>
      </c>
      <c r="T34" s="38" t="n">
        <v>8.96277</v>
      </c>
      <c r="U34" s="38" t="n">
        <v>560.727853</v>
      </c>
      <c r="V34" s="38" t="n">
        <v>8.410918</v>
      </c>
      <c r="W34" s="38" t="n">
        <v>569.138771</v>
      </c>
      <c r="X34" s="38"/>
      <c r="Y34" s="38"/>
      <c r="Z34" s="38"/>
      <c r="AA34" s="38"/>
      <c r="AB34" s="38"/>
      <c r="AC34" s="38" t="str">
        <v>ISSUE82_PROXY_SCENARIO</v>
      </c>
      <c r="AD34" s="38" t="str">
        <v>ASSUMPTION_BLOCKED_PENDING_VALIDATION</v>
      </c>
      <c r="AE34" s="38" t="str">
        <v>OPEN</v>
      </c>
      <c r="AF34" s="38" t="str">
        <v>OWNER_ACCEPTED_FOR_FINMODEL_PLANNING_NOT_SUBJECT_APPROVAL</v>
      </c>
      <c r="AG34" s="38" t="str">
        <v>BLOCK</v>
      </c>
      <c r="AH34" s="38" t="str">
        <v>MODEL_ONLY_NOT_EVIDENCE</v>
      </c>
      <c r="AI34" s="38" t="str">
        <v>Not complete evidence-backed COGS; exact SKU, make/buy, yields, quotations, VAT, delivery and MOQ remain open</v>
      </c>
      <c r="AJ34" s="38" t="n">
        <v>10</v>
      </c>
      <c r="AK34" s="38" t="n">
        <v>56.9138771</v>
      </c>
      <c r="AL34" s="38"/>
      <c r="AM34" s="39" t="str">
        <v>CALCULATED_FROM_BATCH_DIVISOR_REQUIRES_CHEF_YIELD_CONFIRMATION</v>
      </c>
      <c r="AN34" s="43" t="n">
        <f>IF(COUNTA(W34,X34,Y34)=0,"",SUM(W34,X34,Y34))</f>
        <v>569.138771</v>
      </c>
      <c r="AO34" s="43" t="str">
        <f>IF(Z34="","", AN34-Z34)</f>
      </c>
    </row>
    <row r="35">
      <c r="A35" s="40" t="str">
        <v>CALC-VKM-031-ISS82-PROXY</v>
      </c>
      <c r="B35" s="41" t="str">
        <v>VKM-031</v>
      </c>
      <c r="C35" s="41" t="str">
        <v>Мадлен</v>
      </c>
      <c r="D35" s="41" t="str">
        <v>Десерты</v>
      </c>
      <c r="E35" s="41" t="str">
        <v>one sale portion</v>
      </c>
      <c r="F35" s="41" t="str">
        <v>ISSUE82_RC2_PROXY_SCENARIO</v>
      </c>
      <c r="G35" s="41" t="str">
        <v>71516bf871fa560e890ce5bc7f858854a5335ae2</v>
      </c>
      <c r="H35" s="41" t="str">
        <v>docs/07-operations/issue-82/PROVISIONAL_PROXY_SCENARIO_COSTING.csv</v>
      </c>
      <c r="I35" s="41" t="str">
        <v>VKM-031</v>
      </c>
      <c r="J35" s="41" t="str">
        <v>2026-08-03</v>
      </c>
      <c r="K35" s="41" t="str">
        <v>0.1.0-DRAFT</v>
      </c>
      <c r="L35" s="41" t="str">
        <v>ISS82_PROXY_DAG_NO_DOUBLE_COUNT_V0.3</v>
      </c>
      <c r="M35" s="41"/>
      <c r="N35" s="41"/>
      <c r="O35" s="41"/>
      <c r="P35" s="41"/>
      <c r="Q35" s="41"/>
      <c r="R35" s="41"/>
      <c r="S35" s="41" t="n">
        <v>241.707519</v>
      </c>
      <c r="T35" s="41" t="n">
        <v>7.873194</v>
      </c>
      <c r="U35" s="41" t="n">
        <v>249.580713</v>
      </c>
      <c r="V35" s="41" t="n">
        <v>3.743711</v>
      </c>
      <c r="W35" s="41" t="n">
        <v>253.324424</v>
      </c>
      <c r="X35" s="41"/>
      <c r="Y35" s="41"/>
      <c r="Z35" s="41"/>
      <c r="AA35" s="41"/>
      <c r="AB35" s="41"/>
      <c r="AC35" s="41" t="str">
        <v>ISSUE82_PROXY_SCENARIO</v>
      </c>
      <c r="AD35" s="41" t="str">
        <v>ASSUMPTION_BLOCKED_PENDING_VALIDATION</v>
      </c>
      <c r="AE35" s="41" t="str">
        <v>OPEN</v>
      </c>
      <c r="AF35" s="41" t="str">
        <v>OWNER_ACCEPTED_FOR_FINMODEL_PLANNING_NOT_SUBJECT_APPROVAL</v>
      </c>
      <c r="AG35" s="41" t="str">
        <v>BLOCK</v>
      </c>
      <c r="AH35" s="41" t="str">
        <v>MODEL_ONLY_NOT_EVIDENCE</v>
      </c>
      <c r="AI35" s="41" t="str">
        <v>Not complete evidence-backed COGS; exact SKU, make/buy, yields, quotations, VAT, delivery and MOQ remain open</v>
      </c>
      <c r="AJ35" s="41" t="n">
        <v>10</v>
      </c>
      <c r="AK35" s="41" t="n">
        <v>25.332442399999998</v>
      </c>
      <c r="AL35" s="41"/>
      <c r="AM35" s="42" t="str">
        <v>CALCULATED_FROM_BATCH_DIVISOR_REQUIRES_CHEF_YIELD_CONFIRMATION</v>
      </c>
      <c r="AN35" s="43" t="n">
        <f>IF(COUNTA(W35,X35,Y35)=0,"",SUM(W35,X35,Y35))</f>
        <v>253.324424</v>
      </c>
      <c r="AO35" s="43" t="str">
        <f>IF(Z35="","", AN35-Z35)</f>
      </c>
    </row>
  </sheetData>
  <autoFilter ref="A1:AO35"/>
  <mergeCells>
    <mergeCell ref="A1:AM1"/>
    <mergeCell ref="A2:AM2"/>
  </mergeCells>
  <conditionalFormatting sqref="AD5:AD35">
    <cfRule type="containsText" dxfId="30" priority="1" operator="containsText" text="BLOCK"/>
    <cfRule type="containsText" dxfId="31" priority="2" operator="containsText" text="DRAFT"/>
    <cfRule type="containsText" dxfId="32" priority="3" operator="containsText" text="PASS"/>
  </conditionalFormatting>
  <conditionalFormatting sqref="AE5:AE35">
    <cfRule type="containsText" dxfId="33" priority="4" operator="containsText" text="BLOCK"/>
    <cfRule type="containsText" dxfId="34" priority="5" operator="containsText" text="DRAFT"/>
    <cfRule type="containsText" dxfId="35" priority="6" operator="containsText" text="PASS"/>
  </conditionalFormatting>
  <conditionalFormatting sqref="AF5:AF35">
    <cfRule type="containsText" dxfId="36" priority="7" operator="containsText" text="BLOCK"/>
    <cfRule type="containsText" dxfId="37" priority="8" operator="containsText" text="DRAFT"/>
    <cfRule type="containsText" dxfId="38" priority="9" operator="containsText" text="PASS"/>
  </conditionalFormatting>
  <conditionalFormatting sqref="AG5:AG35">
    <cfRule type="containsText" dxfId="39" priority="10" operator="containsText" text="BLOCK"/>
    <cfRule type="containsText" dxfId="40" priority="11" operator="containsText" text="DRAFT"/>
    <cfRule type="containsText" dxfId="41" priority="12" operator="containsText" text="PASS"/>
  </conditionalFormatting>
  <conditionalFormatting sqref="AH5:AH35">
    <cfRule type="containsText" dxfId="42" priority="13" operator="containsText" text="BLOCK"/>
    <cfRule type="containsText" dxfId="43" priority="14" operator="containsText" text="DRAFT"/>
    <cfRule type="containsText" dxfId="44" priority="15" operator="containsText" text="PASS"/>
  </conditionalFormatting>
  <conditionalFormatting sqref="AM5:AM35">
    <cfRule type="containsText" dxfId="45" priority="16" operator="containsText" text="BLOCK"/>
    <cfRule type="containsText" dxfId="46" priority="17" operator="containsText" text="DRAFT"/>
    <cfRule type="containsText" dxfId="47" priority="18" operator="containsText" text="PASS"/>
  </conditionalFormatting>
  <pageMargins left="0.7" right="0.7" top="0.75" bottom="0.75" header="0.3" footer="0.3"/>
  <tableParts count="1">
    <tablePart r:id="R6f1ff47ae6fe4eba"/>
  </tableParts>
  <dataValidations count="6">
    <dataValidation type="list" allowBlank="1" showErrorMessage="1" sqref="AD5:AD500">
      <formula1>"DRAFT,BLOCKED,OPEN,PASS,CALCULATED,ASSUMPTION,PRELIMINARY"</formula1>
    </dataValidation>
    <dataValidation type="list" allowBlank="1" showErrorMessage="1" sqref="AE5:AE500">
      <formula1>"DRAFT,BLOCKED,OPEN,PASS,CALCULATED,ASSUMPTION,PRELIMINARY"</formula1>
    </dataValidation>
    <dataValidation type="list" allowBlank="1" showErrorMessage="1" sqref="AF5:AF500">
      <formula1>"DRAFT,BLOCKED,OPEN,PASS,CALCULATED,ASSUMPTION,PRELIMINARY"</formula1>
    </dataValidation>
    <dataValidation type="list" allowBlank="1" showErrorMessage="1" sqref="AG5:AG500">
      <formula1>"DRAFT,BLOCKED,OPEN,PASS,CALCULATED,ASSUMPTION,PRELIMINARY"</formula1>
    </dataValidation>
    <dataValidation type="list" allowBlank="1" showErrorMessage="1" sqref="AH5:AH500">
      <formula1>"DRAFT,BLOCKED,OPEN,PASS,CALCULATED,ASSUMPTION,PRELIMINARY"</formula1>
    </dataValidation>
    <dataValidation type="list" allowBlank="1" showErrorMessage="1" sqref="AM5:AM500">
      <formula1>"DRAFT,BLOCKED,OPEN,PASS,CALCULATED,ASSUMPTION,PRELIMINARY"</formula1>
    </dataValidation>
  </dataValidation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38" hidden="0" customWidth="1"/>
    <col min="6" max="6" width="16" hidden="0" customWidth="1"/>
    <col min="7" max="7" width="24" hidden="0" customWidth="1"/>
    <col min="8" max="8" width="16" hidden="0" customWidth="1"/>
    <col min="9" max="9" width="24" hidden="0" customWidth="1"/>
    <col min="10" max="10" width="16" hidden="0" customWidth="1"/>
    <col min="11" max="11" width="24" hidden="0" customWidth="1"/>
    <col min="12" max="12" width="16" hidden="0" customWidth="1"/>
    <col min="13" max="13" width="24" hidden="0" customWidth="1"/>
    <col min="14" max="14" width="16" hidden="0" customWidth="1"/>
    <col min="15" max="15" width="24" hidden="0" customWidth="1"/>
    <col min="16" max="16" width="16" hidden="0" customWidth="1"/>
    <col min="17" max="17" width="24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16" hidden="0" customWidth="1"/>
    <col min="28" max="28" width="16" hidden="0" customWidth="1"/>
    <col min="29" max="29" width="24" hidden="0" customWidth="1"/>
    <col min="30" max="30" width="16" hidden="0" customWidth="1"/>
    <col min="31" max="31" width="16" hidden="0" customWidth="1"/>
    <col min="32" max="32" width="16" hidden="0" customWidth="1"/>
    <col min="33" max="33" width="24" hidden="0" customWidth="1"/>
    <col min="34" max="34" width="16" hidden="0" customWidth="1"/>
    <col min="35" max="35" width="38" hidden="0" customWidth="1"/>
    <col min="36" max="36" width="16" hidden="0" customWidth="1"/>
    <col min="37" max="37" width="16" hidden="0" customWidth="1"/>
    <col min="38" max="38" width="16" hidden="0" customWidth="1"/>
    <col min="39" max="39" width="38" hidden="0" customWidth="1"/>
  </cols>
  <sheetData>
    <row r="1">
      <c r="A1" s="8" t="str">
        <v>05 — Технологические карты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>
      <c r="A2" s="11" t="str">
        <v>Пустые критические параметры не заменены нулями.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4" ht="50" customHeight="1">
      <c r="A4" s="14" t="str">
        <v>record_id</v>
      </c>
      <c r="B4" s="14" t="str">
        <v>tech_card_code</v>
      </c>
      <c r="C4" s="14" t="str">
        <v>dish_code</v>
      </c>
      <c r="D4" s="14" t="str">
        <v>recipe_version</v>
      </c>
      <c r="E4" s="14" t="str">
        <v>dish_name</v>
      </c>
      <c r="F4" s="14" t="str">
        <v>application_scope</v>
      </c>
      <c r="G4" s="14" t="str">
        <v>application_scope_status</v>
      </c>
      <c r="H4" s="14" t="str">
        <v>raw_material_requirements</v>
      </c>
      <c r="I4" s="14" t="str">
        <v>raw_material_requirements_status</v>
      </c>
      <c r="J4" s="14" t="str">
        <v>raw_material_preparation</v>
      </c>
      <c r="K4" s="14" t="str">
        <v>raw_material_preparation_status</v>
      </c>
      <c r="L4" s="14" t="str">
        <v>allowable_deviations</v>
      </c>
      <c r="M4" s="14" t="str">
        <v>allowable_deviations_status</v>
      </c>
      <c r="N4" s="14" t="str">
        <v>organoleptic_indicators</v>
      </c>
      <c r="O4" s="14" t="str">
        <v>organoleptic_indicators_status</v>
      </c>
      <c r="P4" s="14" t="str">
        <v>storage_and_realization</v>
      </c>
      <c r="Q4" s="14" t="str">
        <v>storage_and_realization_status</v>
      </c>
      <c r="R4" s="14" t="str">
        <v>operation_sequence</v>
      </c>
      <c r="S4" s="14" t="str">
        <v>draft_active_time</v>
      </c>
      <c r="T4" s="14" t="str">
        <v>active_time_unit</v>
      </c>
      <c r="U4" s="14" t="str">
        <v>draft_total_time</v>
      </c>
      <c r="V4" s="14" t="str">
        <v>total_time_unit</v>
      </c>
      <c r="W4" s="14" t="str">
        <v>active_time_basis</v>
      </c>
      <c r="X4" s="14" t="str">
        <v>total_time_basis</v>
      </c>
      <c r="Y4" s="14" t="str">
        <v>draft_plating</v>
      </c>
      <c r="Z4" s="14" t="str">
        <v>draft_target_output</v>
      </c>
      <c r="AA4" s="14" t="str">
        <v>output_unit</v>
      </c>
      <c r="AB4" s="14" t="str">
        <v>safety_critical_parameters</v>
      </c>
      <c r="AC4" s="14" t="str">
        <v>safety_status</v>
      </c>
      <c r="AD4" s="14" t="str">
        <v>safety_evidence_ids</v>
      </c>
      <c r="AE4" s="14" t="str">
        <v>safety_owner</v>
      </c>
      <c r="AF4" s="14" t="str">
        <v>safety_blocker_ids</v>
      </c>
      <c r="AG4" s="14" t="str">
        <v>parameter_status</v>
      </c>
      <c r="AH4" s="14" t="str">
        <v>evidence_ids</v>
      </c>
      <c r="AI4" s="14" t="str">
        <v>method_or_source_note</v>
      </c>
      <c r="AJ4" s="14" t="str">
        <v>source_date</v>
      </c>
      <c r="AK4" s="14" t="str">
        <v>confirmation_owner</v>
      </c>
      <c r="AL4" s="14" t="str">
        <v>blocker_ids</v>
      </c>
      <c r="AM4" s="14" t="str">
        <v>validation_note</v>
      </c>
    </row>
    <row r="5">
      <c r="A5" s="34" t="str">
        <v>TCH-001</v>
      </c>
      <c r="B5" s="35" t="str">
        <v>VKT-001</v>
      </c>
      <c r="C5" s="35" t="str">
        <v>VKM-001</v>
      </c>
      <c r="D5" s="35" t="str">
        <v>0.1.0-DRAFT</v>
      </c>
      <c r="E5" s="35" t="str">
        <v>Маргарита</v>
      </c>
      <c r="F5" s="35" t="str">
        <v>Изготовление и отпуск позиции VKM-001 «Маргарита» в рамках проектного меню Issue #82; каналы и формат отпуска применяются после сверки с паспортом позиции и Owner/Chef Gate.</v>
      </c>
      <c r="G5" s="35" t="str">
        <v>DRAFT</v>
      </c>
      <c r="H5" s="35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5" s="35" t="str">
        <v>BLOCKED</v>
      </c>
      <c r="J5" s="35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5" s="35" t="str">
        <v>DRAFT</v>
      </c>
      <c r="L5" s="35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5" s="35" t="str">
        <v>BLOCKED</v>
      </c>
      <c r="N5" s="35" t="str">
        <v>На контрольной проработке оценить внешний вид, цвет, запах, вкус, консистенцию/текстуру и соответствие проекту подачи «Целая пицца на подложке/тарелке; равномерный борт; базилик после выпечки»; критерии приёмки и решение Chef не заполнены.</v>
      </c>
      <c r="O5" s="35" t="str">
        <v>DRAFT</v>
      </c>
      <c r="P5" s="35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5" s="35" t="str">
        <v>BLOCKED</v>
      </c>
      <c r="R5" s="35" t="str">
        <v>Подготовить тесто и соус; выдержать тесто; сформовать основу; нанести соус и сыр; выпечь; добавить базилик и масло</v>
      </c>
      <c r="S5" s="35" t="n">
        <v>19</v>
      </c>
      <c r="T5" s="35" t="str">
        <v>мин</v>
      </c>
      <c r="U5" s="35" t="n">
        <v>90</v>
      </c>
      <c r="V5" s="35" t="str">
        <v>мин</v>
      </c>
      <c r="W5" s="35" t="str">
        <v>Замес и формование 12; сборка 5; финиш 2</v>
      </c>
      <c r="X5" s="35" t="str">
        <v>Расстойка/созревание и выпечка 90</v>
      </c>
      <c r="Y5" s="35" t="str">
        <v>Целая пицца на подложке/тарелке; равномерный борт; базилик после выпечки</v>
      </c>
      <c r="Z5" s="35" t="n">
        <v>450</v>
      </c>
      <c r="AA5" s="35" t="str">
        <v>г</v>
      </c>
      <c r="AB5" s="35" t="str">
        <v>null</v>
      </c>
      <c r="AC5" s="35" t="str">
        <v>BLOCKED_PENDING_VALIDATION</v>
      </c>
      <c r="AD5" s="35" t="str">
        <v>EVD-0013;EVD-0014;EVD-FS-001;EVD-FS-002;EVD-FS-003</v>
      </c>
      <c r="AE5" s="35" t="str">
        <v>FoodSafetyAgent / PPK owner</v>
      </c>
      <c r="AF5" s="35" t="str">
        <v>GAP-010;GAP-011</v>
      </c>
      <c r="AG5" s="35" t="str">
        <v>ASSUMPTION</v>
      </c>
      <c r="AH5" s="35" t="str">
        <v>EVD-0010;EVD-0011</v>
      </c>
      <c r="AI5" s="35" t="str">
        <v>Операции и время — проект планирования; plating — проект для решения шефа</v>
      </c>
      <c r="AJ5" s="35" t="str">
        <v>2026-08-03</v>
      </c>
      <c r="AK5" s="35" t="str">
        <v>Chef</v>
      </c>
      <c r="AL5" s="35" t="str">
        <v>GAP-007;GAP-008</v>
      </c>
      <c r="AM5" s="36" t="str">
        <v>Наблюдать операции и время; отдельно подтвердить safety-critical параметры</v>
      </c>
    </row>
    <row r="6">
      <c r="A6" s="37" t="str">
        <v>TCH-002</v>
      </c>
      <c r="B6" s="38" t="str">
        <v>VKT-002</v>
      </c>
      <c r="C6" s="38" t="str">
        <v>VKM-002</v>
      </c>
      <c r="D6" s="38" t="str">
        <v>0.1.0-DRAFT</v>
      </c>
      <c r="E6" s="38" t="str">
        <v>Четыре сыра</v>
      </c>
      <c r="F6" s="38" t="str">
        <v>Изготовление и отпуск позиции VKM-002 «Четыре сыра» в рамках проектного меню Issue #82; каналы и формат отпуска применяются после сверки с паспортом позиции и Owner/Chef Gate.</v>
      </c>
      <c r="G6" s="38" t="str">
        <v>DRAFT</v>
      </c>
      <c r="H6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6" s="38" t="str">
        <v>BLOCKED</v>
      </c>
      <c r="J6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6" s="38" t="str">
        <v>DRAFT</v>
      </c>
      <c r="L6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6" s="38" t="str">
        <v>BLOCKED</v>
      </c>
      <c r="N6" s="38" t="str">
        <v>На контрольной проработке оценить внешний вид, цвет, запах, вкус, консистенцию/текстуру и соответствие проекту подачи «Целая пицца; четыре сыра распределены равномерно, без перегруженного центра»; критерии приёмки и решение Chef не заполнены.</v>
      </c>
      <c r="O6" s="38" t="str">
        <v>DRAFT</v>
      </c>
      <c r="P6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6" s="38" t="str">
        <v>BLOCKED</v>
      </c>
      <c r="R6" s="38" t="str">
        <v>Подготовить тесто и соус; сформовать; распределить четыре сыра; выпечь; финишировать маслом</v>
      </c>
      <c r="S6" s="38" t="n">
        <v>20</v>
      </c>
      <c r="T6" s="38" t="str">
        <v>мин</v>
      </c>
      <c r="U6" s="38" t="n">
        <v>92</v>
      </c>
      <c r="V6" s="38" t="str">
        <v>мин</v>
      </c>
      <c r="W6" s="38" t="str">
        <v>Замес и формование 12; сборка 6; финиш 2</v>
      </c>
      <c r="X6" s="38" t="str">
        <v>Расстойка/созревание и выпечка 92</v>
      </c>
      <c r="Y6" s="38" t="str">
        <v>Целая пицца; четыре сыра распределены равномерно, без перегруженного центра</v>
      </c>
      <c r="Z6" s="38" t="n">
        <v>480</v>
      </c>
      <c r="AA6" s="38" t="str">
        <v>г</v>
      </c>
      <c r="AB6" s="38" t="str">
        <v>null</v>
      </c>
      <c r="AC6" s="38" t="str">
        <v>BLOCKED_PENDING_VALIDATION</v>
      </c>
      <c r="AD6" s="38" t="str">
        <v>EVD-0013;EVD-0014;EVD-FS-001;EVD-FS-002;EVD-FS-003</v>
      </c>
      <c r="AE6" s="38" t="str">
        <v>FoodSafetyAgent / PPK owner</v>
      </c>
      <c r="AF6" s="38" t="str">
        <v>GAP-010;GAP-011</v>
      </c>
      <c r="AG6" s="38" t="str">
        <v>ASSUMPTION</v>
      </c>
      <c r="AH6" s="38" t="str">
        <v>EVD-0010;EVD-0011</v>
      </c>
      <c r="AI6" s="38" t="str">
        <v>Операции и время — проект планирования; plating — проект для решения шефа</v>
      </c>
      <c r="AJ6" s="38" t="str">
        <v>2026-08-03</v>
      </c>
      <c r="AK6" s="38" t="str">
        <v>Chef</v>
      </c>
      <c r="AL6" s="38" t="str">
        <v>GAP-007;GAP-008</v>
      </c>
      <c r="AM6" s="39" t="str">
        <v>Наблюдать операции и время; отдельно подтвердить safety-critical параметры</v>
      </c>
    </row>
    <row r="7">
      <c r="A7" s="37" t="str">
        <v>TCH-003</v>
      </c>
      <c r="B7" s="38" t="str">
        <v>VKT-003</v>
      </c>
      <c r="C7" s="38" t="str">
        <v>VKM-003</v>
      </c>
      <c r="D7" s="38" t="str">
        <v>0.1.0-DRAFT</v>
      </c>
      <c r="E7" s="38" t="str">
        <v>Грибная с ветчиной</v>
      </c>
      <c r="F7" s="38" t="str">
        <v>Изготовление и отпуск позиции VKM-003 «Грибная с ветчиной» в рамках проектного меню Issue #82; каналы и формат отпуска применяются после сверки с паспортом позиции и Owner/Chef Gate.</v>
      </c>
      <c r="G7" s="38" t="str">
        <v>DRAFT</v>
      </c>
      <c r="H7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7" s="38" t="str">
        <v>BLOCKED</v>
      </c>
      <c r="J7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7" s="38" t="str">
        <v>DRAFT</v>
      </c>
      <c r="L7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7" s="38" t="str">
        <v>BLOCKED</v>
      </c>
      <c r="N7" s="38" t="str">
        <v>На контрольной проработке оценить внешний вид, цвет, запах, вкус, консистенцию/текстуру и соответствие проекту подачи «Целая пицца; видимая равномерная раскладка ветчины и грибов»; критерии приёмки и решение Chef не заполнены.</v>
      </c>
      <c r="O7" s="38" t="str">
        <v>DRAFT</v>
      </c>
      <c r="P7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7" s="38" t="str">
        <v>BLOCKED</v>
      </c>
      <c r="R7" s="38" t="str">
        <v>Подготовить тесто и соус; подготовить грибы и лук; сформовать; собрать с ветчиной; выпечь</v>
      </c>
      <c r="S7" s="38" t="n">
        <v>22</v>
      </c>
      <c r="T7" s="38" t="str">
        <v>мин</v>
      </c>
      <c r="U7" s="38" t="n">
        <v>95</v>
      </c>
      <c r="V7" s="38" t="str">
        <v>мин</v>
      </c>
      <c r="W7" s="38" t="str">
        <v>Замес и формование 14; сборка 7; финиш 1</v>
      </c>
      <c r="X7" s="38" t="str">
        <v>Расстойка/созревание, подготовка и выпечка 95</v>
      </c>
      <c r="Y7" s="38" t="str">
        <v>Целая пицца; видимая равномерная раскладка ветчины и грибов</v>
      </c>
      <c r="Z7" s="38" t="n">
        <v>500</v>
      </c>
      <c r="AA7" s="38" t="str">
        <v>г</v>
      </c>
      <c r="AB7" s="38" t="str">
        <v>null</v>
      </c>
      <c r="AC7" s="38" t="str">
        <v>BLOCKED_PENDING_VALIDATION</v>
      </c>
      <c r="AD7" s="38" t="str">
        <v>EVD-0013;EVD-0014;EVD-FS-001;EVD-FS-002;EVD-FS-003</v>
      </c>
      <c r="AE7" s="38" t="str">
        <v>FoodSafetyAgent / PPK owner</v>
      </c>
      <c r="AF7" s="38" t="str">
        <v>GAP-010;GAP-011</v>
      </c>
      <c r="AG7" s="38" t="str">
        <v>ASSUMPTION</v>
      </c>
      <c r="AH7" s="38" t="str">
        <v>EVD-0010;EVD-0011</v>
      </c>
      <c r="AI7" s="38" t="str">
        <v>Операции и время — проект планирования; plating — проект для решения шефа</v>
      </c>
      <c r="AJ7" s="38" t="str">
        <v>2026-08-03</v>
      </c>
      <c r="AK7" s="38" t="str">
        <v>Chef</v>
      </c>
      <c r="AL7" s="38" t="str">
        <v>GAP-007;GAP-008</v>
      </c>
      <c r="AM7" s="39" t="str">
        <v>Наблюдать операции и время; отдельно подтвердить safety-critical параметры</v>
      </c>
    </row>
    <row r="8">
      <c r="A8" s="37" t="str">
        <v>TCH-004</v>
      </c>
      <c r="B8" s="38" t="str">
        <v>VKT-004</v>
      </c>
      <c r="C8" s="38" t="str">
        <v>VKM-004</v>
      </c>
      <c r="D8" s="38" t="str">
        <v>0.1.0-DRAFT</v>
      </c>
      <c r="E8" s="38" t="str">
        <v>Пепперони</v>
      </c>
      <c r="F8" s="38" t="str">
        <v>Изготовление и отпуск позиции VKM-004 «Пепперони» в рамках проектного меню Issue #82; каналы и формат отпуска применяются после сверки с паспортом позиции и Owner/Chef Gate.</v>
      </c>
      <c r="G8" s="38" t="str">
        <v>DRAFT</v>
      </c>
      <c r="H8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8" s="38" t="str">
        <v>BLOCKED</v>
      </c>
      <c r="J8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8" s="38" t="str">
        <v>DRAFT</v>
      </c>
      <c r="L8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8" s="38" t="str">
        <v>BLOCKED</v>
      </c>
      <c r="N8" s="38" t="str">
        <v>На контрольной проработке оценить внешний вид, цвет, запах, вкус, консистенцию/текстуру и соответствие проекту подачи «Целая пицца; пепперони равномерно распределена»; критерии приёмки и решение Chef не заполнены.</v>
      </c>
      <c r="O8" s="38" t="str">
        <v>DRAFT</v>
      </c>
      <c r="P8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8" s="38" t="str">
        <v>BLOCKED</v>
      </c>
      <c r="R8" s="38" t="str">
        <v>Подготовить тесто и соус; сформовать; собрать с моцареллой и пепперони; выпечь; финишировать</v>
      </c>
      <c r="S8" s="38" t="n">
        <v>20</v>
      </c>
      <c r="T8" s="38" t="str">
        <v>мин</v>
      </c>
      <c r="U8" s="38" t="n">
        <v>92</v>
      </c>
      <c r="V8" s="38" t="str">
        <v>мин</v>
      </c>
      <c r="W8" s="38" t="str">
        <v>Замес и формование 12; сборка 6; финиш 2</v>
      </c>
      <c r="X8" s="38" t="str">
        <v>Расстойка/созревание и выпечка 92</v>
      </c>
      <c r="Y8" s="38" t="str">
        <v>Целая пицца; пепперони равномерно распределена</v>
      </c>
      <c r="Z8" s="38" t="n">
        <v>500</v>
      </c>
      <c r="AA8" s="38" t="str">
        <v>г</v>
      </c>
      <c r="AB8" s="38" t="str">
        <v>null</v>
      </c>
      <c r="AC8" s="38" t="str">
        <v>BLOCKED_PENDING_VALIDATION</v>
      </c>
      <c r="AD8" s="38" t="str">
        <v>EVD-0013;EVD-0014;EVD-FS-001;EVD-FS-002;EVD-FS-003</v>
      </c>
      <c r="AE8" s="38" t="str">
        <v>FoodSafetyAgent / PPK owner</v>
      </c>
      <c r="AF8" s="38" t="str">
        <v>GAP-010;GAP-011</v>
      </c>
      <c r="AG8" s="38" t="str">
        <v>ASSUMPTION</v>
      </c>
      <c r="AH8" s="38" t="str">
        <v>EVD-0010;EVD-0011</v>
      </c>
      <c r="AI8" s="38" t="str">
        <v>Операции и время — проект планирования; plating — проект для решения шефа</v>
      </c>
      <c r="AJ8" s="38" t="str">
        <v>2026-08-03</v>
      </c>
      <c r="AK8" s="38" t="str">
        <v>Chef</v>
      </c>
      <c r="AL8" s="38" t="str">
        <v>GAP-007;GAP-008</v>
      </c>
      <c r="AM8" s="39" t="str">
        <v>Наблюдать операции и время; отдельно подтвердить safety-critical параметры</v>
      </c>
    </row>
    <row r="9">
      <c r="A9" s="37" t="str">
        <v>TCH-005</v>
      </c>
      <c r="B9" s="38" t="str">
        <v>VKT-005</v>
      </c>
      <c r="C9" s="38" t="str">
        <v>VKM-005</v>
      </c>
      <c r="D9" s="38" t="str">
        <v>0.1.0-DRAFT</v>
      </c>
      <c r="E9" s="38" t="str">
        <v>Белая чиабатта</v>
      </c>
      <c r="F9" s="38" t="str">
        <v>Изготовление и отпуск позиции VKM-005 «Белая чиабатта» в рамках проектного меню Issue #82; каналы и формат отпуска применяются после сверки с паспортом позиции и Owner/Chef Gate.</v>
      </c>
      <c r="G9" s="38" t="str">
        <v>DRAFT</v>
      </c>
      <c r="H9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9" s="38" t="str">
        <v>BLOCKED</v>
      </c>
      <c r="J9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9" s="38" t="str">
        <v>DRAFT</v>
      </c>
      <c r="L9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9" s="38" t="str">
        <v>BLOCKED</v>
      </c>
      <c r="N9" s="38" t="str">
        <v>На контрольной проработке оценить внешний вид, цвет, запах, вкус, консистенцию/текстуру и соответствие проекту подачи «Изделие 100 г; открытый пористый мякиш проверяется после контрольной выпечки»; критерии приёмки и решение Chef не заполнены.</v>
      </c>
      <c r="O9" s="38" t="str">
        <v>DRAFT</v>
      </c>
      <c r="P9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9" s="38" t="str">
        <v>BLOCKED</v>
      </c>
      <c r="R9" s="38" t="str">
        <v>Смешать компоненты; замесить; провести брожение и складывания; сформовать; расстоять; выпечь; охладить</v>
      </c>
      <c r="S9" s="38" t="n">
        <v>18</v>
      </c>
      <c r="T9" s="38" t="str">
        <v>мин</v>
      </c>
      <c r="U9" s="38" t="n">
        <v>150</v>
      </c>
      <c r="V9" s="38" t="str">
        <v>мин</v>
      </c>
      <c r="W9" s="38" t="str">
        <v>Замес/складывания/формование 18</v>
      </c>
      <c r="X9" s="38" t="str">
        <v>Брожение, расстойка, выпечка и охлаждение 150</v>
      </c>
      <c r="Y9" s="38" t="str">
        <v>Изделие 100 г; открытый пористый мякиш проверяется после контрольной выпечки</v>
      </c>
      <c r="Z9" s="38" t="n">
        <v>100</v>
      </c>
      <c r="AA9" s="38" t="str">
        <v>г</v>
      </c>
      <c r="AB9" s="38" t="str">
        <v>null</v>
      </c>
      <c r="AC9" s="38" t="str">
        <v>BLOCKED_PENDING_VALIDATION</v>
      </c>
      <c r="AD9" s="38" t="str">
        <v>EVD-0013;EVD-0014;EVD-FS-001;EVD-FS-002;EVD-FS-003</v>
      </c>
      <c r="AE9" s="38" t="str">
        <v>FoodSafetyAgent / PPK owner</v>
      </c>
      <c r="AF9" s="38" t="str">
        <v>GAP-010;GAP-011</v>
      </c>
      <c r="AG9" s="38" t="str">
        <v>ASSUMPTION</v>
      </c>
      <c r="AH9" s="38" t="str">
        <v>EVD-0010;EVD-0011</v>
      </c>
      <c r="AI9" s="38" t="str">
        <v>Операции и время — проект планирования; plating — проект для решения шефа</v>
      </c>
      <c r="AJ9" s="38" t="str">
        <v>2026-08-03</v>
      </c>
      <c r="AK9" s="38" t="str">
        <v>Chef</v>
      </c>
      <c r="AL9" s="38" t="str">
        <v>GAP-007;GAP-008</v>
      </c>
      <c r="AM9" s="39" t="str">
        <v>Наблюдать операции и время; отдельно подтвердить safety-critical параметры</v>
      </c>
    </row>
    <row r="10">
      <c r="A10" s="37" t="str">
        <v>TCH-006</v>
      </c>
      <c r="B10" s="38" t="str">
        <v>VKT-006</v>
      </c>
      <c r="C10" s="38" t="str">
        <v>VKM-006</v>
      </c>
      <c r="D10" s="38" t="str">
        <v>0.1.0-DRAFT</v>
      </c>
      <c r="E10" s="38" t="str">
        <v>Томатная чиабатта</v>
      </c>
      <c r="F10" s="38" t="str">
        <v>Изготовление и отпуск позиции VKM-006 «Томатная чиабатта» в рамках проектного меню Issue #82; каналы и формат отпуска применяются после сверки с паспортом позиции и Owner/Chef Gate.</v>
      </c>
      <c r="G10" s="38" t="str">
        <v>DRAFT</v>
      </c>
      <c r="H10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0" s="38" t="str">
        <v>BLOCKED</v>
      </c>
      <c r="J10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0" s="38" t="str">
        <v>DRAFT</v>
      </c>
      <c r="L10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0" s="38" t="str">
        <v>BLOCKED</v>
      </c>
      <c r="N10" s="38" t="str">
        <v>На контрольной проработке оценить внешний вид, цвет, запах, вкус, консистенцию/текстуру и соответствие проекту подачи «Изделие 100 г; равномерное распределение томатных включений»; критерии приёмки и решение Chef не заполнены.</v>
      </c>
      <c r="O10" s="38" t="str">
        <v>DRAFT</v>
      </c>
      <c r="P10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0" s="38" t="str">
        <v>BLOCKED</v>
      </c>
      <c r="R10" s="38" t="str">
        <v>Смешать тесто с томатными компонентами; замесить; провести брожение; сформовать; расстоять; выпечь; охладить</v>
      </c>
      <c r="S10" s="38" t="n">
        <v>18</v>
      </c>
      <c r="T10" s="38" t="str">
        <v>мин</v>
      </c>
      <c r="U10" s="38" t="n">
        <v>150</v>
      </c>
      <c r="V10" s="38" t="str">
        <v>мин</v>
      </c>
      <c r="W10" s="38" t="str">
        <v>Замес/формование 18</v>
      </c>
      <c r="X10" s="38" t="str">
        <v>Брожение, расстойка, выпечка и охлаждение 150</v>
      </c>
      <c r="Y10" s="38" t="str">
        <v>Изделие 100 г; равномерное распределение томатных включений</v>
      </c>
      <c r="Z10" s="38" t="n">
        <v>100</v>
      </c>
      <c r="AA10" s="38" t="str">
        <v>г</v>
      </c>
      <c r="AB10" s="38" t="str">
        <v>null</v>
      </c>
      <c r="AC10" s="38" t="str">
        <v>BLOCKED_PENDING_VALIDATION</v>
      </c>
      <c r="AD10" s="38" t="str">
        <v>EVD-0013;EVD-0014;EVD-FS-001;EVD-FS-002;EVD-FS-003</v>
      </c>
      <c r="AE10" s="38" t="str">
        <v>FoodSafetyAgent / PPK owner</v>
      </c>
      <c r="AF10" s="38" t="str">
        <v>GAP-010;GAP-011</v>
      </c>
      <c r="AG10" s="38" t="str">
        <v>ASSUMPTION</v>
      </c>
      <c r="AH10" s="38" t="str">
        <v>EVD-0010;EVD-0011</v>
      </c>
      <c r="AI10" s="38" t="str">
        <v>Операции и время — проект планирования; plating — проект для решения шефа</v>
      </c>
      <c r="AJ10" s="38" t="str">
        <v>2026-08-03</v>
      </c>
      <c r="AK10" s="38" t="str">
        <v>Chef</v>
      </c>
      <c r="AL10" s="38" t="str">
        <v>GAP-007;GAP-008</v>
      </c>
      <c r="AM10" s="39" t="str">
        <v>Наблюдать операции и время; отдельно подтвердить safety-critical параметры</v>
      </c>
    </row>
    <row r="11">
      <c r="A11" s="37" t="str">
        <v>TCH-007</v>
      </c>
      <c r="B11" s="38" t="str">
        <v>VKT-007</v>
      </c>
      <c r="C11" s="38" t="str">
        <v>VKM-007</v>
      </c>
      <c r="D11" s="38" t="str">
        <v>0.1.0-DRAFT</v>
      </c>
      <c r="E11" s="38" t="str">
        <v>Бородинский хлеб</v>
      </c>
      <c r="F11" s="38" t="str">
        <v>Изготовление и отпуск позиции VKM-007 «Бородинский хлеб» в рамках проектного меню Issue #82; каналы и формат отпуска применяются после сверки с паспортом позиции и Owner/Chef Gate.</v>
      </c>
      <c r="G11" s="38" t="str">
        <v>DRAFT</v>
      </c>
      <c r="H11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1" s="38" t="str">
        <v>BLOCKED</v>
      </c>
      <c r="J11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1" s="38" t="str">
        <v>DRAFT</v>
      </c>
      <c r="L11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1" s="38" t="str">
        <v>BLOCKED</v>
      </c>
      <c r="N11" s="38" t="str">
        <v>На контрольной проработке оценить внешний вид, цвет, запах, вкус, консистенцию/текстуру и соответствие проекту подачи «Буханка 350 г; целая корка, равномерный мякиш после полного охлаждения»; критерии приёмки и решение Chef не заполнены.</v>
      </c>
      <c r="O11" s="38" t="str">
        <v>DRAFT</v>
      </c>
      <c r="P11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1" s="38" t="str">
        <v>BLOCKED</v>
      </c>
      <c r="R11" s="38" t="str">
        <v>Приготовить заварку; замесить тесто; провести брожение; уложить в форму; расстоять; выпечь; стабилизировать и охладить</v>
      </c>
      <c r="S11" s="38" t="n">
        <v>25</v>
      </c>
      <c r="T11" s="38" t="str">
        <v>мин</v>
      </c>
      <c r="U11" s="38" t="n">
        <v>300</v>
      </c>
      <c r="V11" s="38" t="str">
        <v>мин</v>
      </c>
      <c r="W11" s="38" t="str">
        <v>Заварка/замес/формование 25</v>
      </c>
      <c r="X11" s="38" t="str">
        <v>Заварка, брожение, расстойка, выпечка и стабилизация 300</v>
      </c>
      <c r="Y11" s="38" t="str">
        <v>Буханка 350 г; целая корка, равномерный мякиш после полного охлаждения</v>
      </c>
      <c r="Z11" s="38" t="n">
        <v>350</v>
      </c>
      <c r="AA11" s="38" t="str">
        <v>г</v>
      </c>
      <c r="AB11" s="38" t="str">
        <v>null</v>
      </c>
      <c r="AC11" s="38" t="str">
        <v>BLOCKED_PENDING_VALIDATION</v>
      </c>
      <c r="AD11" s="38" t="str">
        <v>EVD-0013;EVD-0014;EVD-FS-001;EVD-FS-002;EVD-FS-003</v>
      </c>
      <c r="AE11" s="38" t="str">
        <v>FoodSafetyAgent / PPK owner</v>
      </c>
      <c r="AF11" s="38" t="str">
        <v>GAP-010;GAP-011</v>
      </c>
      <c r="AG11" s="38" t="str">
        <v>ASSUMPTION</v>
      </c>
      <c r="AH11" s="38" t="str">
        <v>EVD-0010;EVD-0011</v>
      </c>
      <c r="AI11" s="38" t="str">
        <v>Операции и время — проект планирования; plating — проект для решения шефа</v>
      </c>
      <c r="AJ11" s="38" t="str">
        <v>2026-08-03</v>
      </c>
      <c r="AK11" s="38" t="str">
        <v>Chef</v>
      </c>
      <c r="AL11" s="38" t="str">
        <v>GAP-007;GAP-008</v>
      </c>
      <c r="AM11" s="39" t="str">
        <v>Наблюдать операции и время; отдельно подтвердить safety-critical параметры</v>
      </c>
    </row>
    <row r="12">
      <c r="A12" s="37" t="str">
        <v>TCH-008</v>
      </c>
      <c r="B12" s="38" t="str">
        <v>VKT-008</v>
      </c>
      <c r="C12" s="38" t="str">
        <v>VKM-008</v>
      </c>
      <c r="D12" s="38" t="str">
        <v>0.1.0-DRAFT</v>
      </c>
      <c r="E12" s="38" t="str">
        <v>Бриошь</v>
      </c>
      <c r="F12" s="38" t="str">
        <v>Изготовление и отпуск позиции VKM-008 «Бриошь» в рамках проектного меню Issue #82; каналы и формат отпуска применяются после сверки с паспортом позиции и Owner/Chef Gate.</v>
      </c>
      <c r="G12" s="38" t="str">
        <v>DRAFT</v>
      </c>
      <c r="H12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2" s="38" t="str">
        <v>BLOCKED</v>
      </c>
      <c r="J12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2" s="38" t="str">
        <v>DRAFT</v>
      </c>
      <c r="L12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2" s="38" t="str">
        <v>BLOCKED</v>
      </c>
      <c r="N12" s="38" t="str">
        <v>На контрольной проработке оценить внешний вид, цвет, запах, вкус, консистенцию/текстуру и соответствие проекту подачи «Изделие 85 г; ровная форма и глянцевая поверхность»; критерии приёмки и решение Chef не заполнены.</v>
      </c>
      <c r="O12" s="38" t="str">
        <v>DRAFT</v>
      </c>
      <c r="P12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2" s="38" t="str">
        <v>BLOCKED</v>
      </c>
      <c r="R12" s="38" t="str">
        <v>Замесить сдобное тесто; ввести масло; провести брожение; сформовать; расстоять; смазать; выпечь; охладить</v>
      </c>
      <c r="S12" s="38" t="n">
        <v>22</v>
      </c>
      <c r="T12" s="38" t="str">
        <v>мин</v>
      </c>
      <c r="U12" s="38" t="n">
        <v>180</v>
      </c>
      <c r="V12" s="38" t="str">
        <v>мин</v>
      </c>
      <c r="W12" s="38" t="str">
        <v>Замес/формование/смазка 22</v>
      </c>
      <c r="X12" s="38" t="str">
        <v>Брожение, расстойка, выпечка и охлаждение 180</v>
      </c>
      <c r="Y12" s="38" t="str">
        <v>Изделие 85 г; ровная форма и глянцевая поверхность</v>
      </c>
      <c r="Z12" s="38" t="n">
        <v>85</v>
      </c>
      <c r="AA12" s="38" t="str">
        <v>г</v>
      </c>
      <c r="AB12" s="38" t="str">
        <v>null</v>
      </c>
      <c r="AC12" s="38" t="str">
        <v>BLOCKED_PENDING_VALIDATION</v>
      </c>
      <c r="AD12" s="38" t="str">
        <v>EVD-0013;EVD-0014;EVD-FS-001;EVD-FS-002;EVD-FS-003</v>
      </c>
      <c r="AE12" s="38" t="str">
        <v>FoodSafetyAgent / PPK owner</v>
      </c>
      <c r="AF12" s="38" t="str">
        <v>GAP-010;GAP-011</v>
      </c>
      <c r="AG12" s="38" t="str">
        <v>ASSUMPTION</v>
      </c>
      <c r="AH12" s="38" t="str">
        <v>EVD-0010;EVD-0011</v>
      </c>
      <c r="AI12" s="38" t="str">
        <v>Операции и время — проект планирования; plating — проект для решения шефа</v>
      </c>
      <c r="AJ12" s="38" t="str">
        <v>2026-08-03</v>
      </c>
      <c r="AK12" s="38" t="str">
        <v>Chef</v>
      </c>
      <c r="AL12" s="38" t="str">
        <v>GAP-007;GAP-008</v>
      </c>
      <c r="AM12" s="39" t="str">
        <v>Наблюдать операции и время; отдельно подтвердить safety-critical параметры</v>
      </c>
    </row>
    <row r="13">
      <c r="A13" s="37" t="str">
        <v>TCH-009</v>
      </c>
      <c r="B13" s="38" t="str">
        <v>VKT-009</v>
      </c>
      <c r="C13" s="38" t="str">
        <v>VKM-009</v>
      </c>
      <c r="D13" s="38" t="str">
        <v>0.1.0-DRAFT</v>
      </c>
      <c r="E13" s="38" t="str">
        <v>Буррата с томатами</v>
      </c>
      <c r="F13" s="38" t="str">
        <v>Изготовление и отпуск позиции VKM-009 «Буррата с томатами» в рамках проектного меню Issue #82; каналы и формат отпуска применяются после сверки с паспортом позиции и Owner/Chef Gate.</v>
      </c>
      <c r="G13" s="38" t="str">
        <v>DRAFT</v>
      </c>
      <c r="H13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3" s="38" t="str">
        <v>BLOCKED</v>
      </c>
      <c r="J13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3" s="38" t="str">
        <v>DRAFT</v>
      </c>
      <c r="L13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3" s="38" t="str">
        <v>BLOCKED</v>
      </c>
      <c r="N13" s="38" t="str">
        <v>На контрольной проработке оценить внешний вид, цвет, запах, вкус, консистенцию/текстуру и соответствие проекту подачи «Буррата в центре; томаты и зелень по периметру; заправка непосредственно перед подачей»; критерии приёмки и решение Chef не заполнены.</v>
      </c>
      <c r="O13" s="38" t="str">
        <v>DRAFT</v>
      </c>
      <c r="P13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3" s="38" t="str">
        <v>BLOCKED</v>
      </c>
      <c r="R13" s="38" t="str">
        <v>Подготовить томаты и зелень; смешать заправку; разместить буррату; собрать и финишировать</v>
      </c>
      <c r="S13" s="38" t="n">
        <v>8</v>
      </c>
      <c r="T13" s="38" t="str">
        <v>мин</v>
      </c>
      <c r="U13" s="38" t="n">
        <v>10</v>
      </c>
      <c r="V13" s="38" t="str">
        <v>мин</v>
      </c>
      <c r="W13" s="38" t="str">
        <v>Подготовка и сборка 8</v>
      </c>
      <c r="X13" s="38" t="str">
        <v>Полное время 10</v>
      </c>
      <c r="Y13" s="38" t="str">
        <v>Буррата в центре; томаты и зелень по периметру; заправка непосредственно перед подачей</v>
      </c>
      <c r="Z13" s="38" t="n">
        <v>300</v>
      </c>
      <c r="AA13" s="38" t="str">
        <v>г</v>
      </c>
      <c r="AB13" s="38" t="str">
        <v>null</v>
      </c>
      <c r="AC13" s="38" t="str">
        <v>BLOCKED_PENDING_VALIDATION</v>
      </c>
      <c r="AD13" s="38" t="str">
        <v>EVD-0013;EVD-0014;EVD-FS-001;EVD-FS-002;EVD-FS-003</v>
      </c>
      <c r="AE13" s="38" t="str">
        <v>FoodSafetyAgent / PPK owner</v>
      </c>
      <c r="AF13" s="38" t="str">
        <v>GAP-010;GAP-011</v>
      </c>
      <c r="AG13" s="38" t="str">
        <v>ASSUMPTION</v>
      </c>
      <c r="AH13" s="38" t="str">
        <v>EVD-0010;EVD-0011</v>
      </c>
      <c r="AI13" s="38" t="str">
        <v>Операции и время — проект планирования; plating — проект для решения шефа</v>
      </c>
      <c r="AJ13" s="38" t="str">
        <v>2026-08-03</v>
      </c>
      <c r="AK13" s="38" t="str">
        <v>Chef</v>
      </c>
      <c r="AL13" s="38" t="str">
        <v>GAP-007;GAP-008</v>
      </c>
      <c r="AM13" s="39" t="str">
        <v>Наблюдать операции и время; отдельно подтвердить safety-critical параметры</v>
      </c>
    </row>
    <row r="14">
      <c r="A14" s="37" t="str">
        <v>TCH-010</v>
      </c>
      <c r="B14" s="38" t="str">
        <v>VKT-010</v>
      </c>
      <c r="C14" s="38" t="str">
        <v>VKM-010</v>
      </c>
      <c r="D14" s="38" t="str">
        <v>0.1.0-DRAFT</v>
      </c>
      <c r="E14" s="38" t="str">
        <v>Микс-салат с креветками и яблоком</v>
      </c>
      <c r="F14" s="38" t="str">
        <v>Изготовление и отпуск позиции VKM-010 «Микс-салат с креветками и яблоком» в рамках проектного меню Issue #82; каналы и формат отпуска применяются после сверки с паспортом позиции и Owner/Chef Gate.</v>
      </c>
      <c r="G14" s="38" t="str">
        <v>DRAFT</v>
      </c>
      <c r="H14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4" s="38" t="str">
        <v>BLOCKED</v>
      </c>
      <c r="J14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4" s="38" t="str">
        <v>DRAFT</v>
      </c>
      <c r="L14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4" s="38" t="str">
        <v>BLOCKED</v>
      </c>
      <c r="N14" s="38" t="str">
        <v>На контрольной проработке оценить внешний вид, цвет, запах, вкус, консистенцию/текстуру и соответствие проекту подачи «Воздушная укладка микса; креветки видимы; яблоко без потемнения»; критерии приёмки и решение Chef не заполнены.</v>
      </c>
      <c r="O14" s="38" t="str">
        <v>DRAFT</v>
      </c>
      <c r="P14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4" s="38" t="str">
        <v>BLOCKED</v>
      </c>
      <c r="R14" s="38" t="str">
        <v>Подготовить зелень, яблоко и огурец; подготовить креветки; смешать заправку; аккуратно собрать; добавить финиш</v>
      </c>
      <c r="S14" s="38" t="n">
        <v>12</v>
      </c>
      <c r="T14" s="38" t="str">
        <v>мин</v>
      </c>
      <c r="U14" s="38" t="n">
        <v>18</v>
      </c>
      <c r="V14" s="38" t="str">
        <v>мин</v>
      </c>
      <c r="W14" s="38" t="str">
        <v>Подготовка и сборка 12</v>
      </c>
      <c r="X14" s="38" t="str">
        <v>Полное время 18</v>
      </c>
      <c r="Y14" s="38" t="str">
        <v>Воздушная укладка микса; креветки видимы; яблоко без потемнения</v>
      </c>
      <c r="Z14" s="38" t="n">
        <v>280</v>
      </c>
      <c r="AA14" s="38" t="str">
        <v>г</v>
      </c>
      <c r="AB14" s="38" t="str">
        <v>null</v>
      </c>
      <c r="AC14" s="38" t="str">
        <v>BLOCKED_PENDING_VALIDATION</v>
      </c>
      <c r="AD14" s="38" t="str">
        <v>EVD-0013;EVD-0014;EVD-FS-001;EVD-FS-002;EVD-FS-003</v>
      </c>
      <c r="AE14" s="38" t="str">
        <v>FoodSafetyAgent / PPK owner</v>
      </c>
      <c r="AF14" s="38" t="str">
        <v>GAP-010;GAP-011</v>
      </c>
      <c r="AG14" s="38" t="str">
        <v>ASSUMPTION</v>
      </c>
      <c r="AH14" s="38" t="str">
        <v>EVD-0010;EVD-0011</v>
      </c>
      <c r="AI14" s="38" t="str">
        <v>Операции и время — проект планирования; plating — проект для решения шефа</v>
      </c>
      <c r="AJ14" s="38" t="str">
        <v>2026-08-03</v>
      </c>
      <c r="AK14" s="38" t="str">
        <v>Chef</v>
      </c>
      <c r="AL14" s="38" t="str">
        <v>GAP-007;GAP-008</v>
      </c>
      <c r="AM14" s="39" t="str">
        <v>Наблюдать операции и время; отдельно подтвердить safety-critical параметры</v>
      </c>
    </row>
    <row r="15">
      <c r="A15" s="37" t="str">
        <v>TCH-011</v>
      </c>
      <c r="B15" s="38" t="str">
        <v>VKT-011</v>
      </c>
      <c r="C15" s="38" t="str">
        <v>VKM-011</v>
      </c>
      <c r="D15" s="38" t="str">
        <v>0.1.0-DRAFT</v>
      </c>
      <c r="E15" s="38" t="str">
        <v>Греческий</v>
      </c>
      <c r="F15" s="38" t="str">
        <v>Изготовление и отпуск позиции VKM-011 «Греческий» в рамках проектного меню Issue #82; каналы и формат отпуска применяются после сверки с паспортом позиции и Owner/Chef Gate.</v>
      </c>
      <c r="G15" s="38" t="str">
        <v>DRAFT</v>
      </c>
      <c r="H15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5" s="38" t="str">
        <v>BLOCKED</v>
      </c>
      <c r="J15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5" s="38" t="str">
        <v>DRAFT</v>
      </c>
      <c r="L15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5" s="38" t="str">
        <v>BLOCKED</v>
      </c>
      <c r="N15" s="38" t="str">
        <v>На контрольной проработке оценить внешний вид, цвет, запах, вкус, консистенцию/текстуру и соответствие проекту подачи «Крупная одинаковая нарезка; фета и оливки визуально распределены»; критерии приёмки и решение Chef не заполнены.</v>
      </c>
      <c r="O15" s="38" t="str">
        <v>DRAFT</v>
      </c>
      <c r="P15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5" s="38" t="str">
        <v>BLOCKED</v>
      </c>
      <c r="R15" s="38" t="str">
        <v>Нарезать овощи; подготовить фету и оливки; смешать заправку; собрать без излишнего перемешивания</v>
      </c>
      <c r="S15" s="38" t="n">
        <v>10</v>
      </c>
      <c r="T15" s="38" t="str">
        <v>мин</v>
      </c>
      <c r="U15" s="38" t="n">
        <v>12</v>
      </c>
      <c r="V15" s="38" t="str">
        <v>мин</v>
      </c>
      <c r="W15" s="38" t="str">
        <v>Подготовка и сборка 10</v>
      </c>
      <c r="X15" s="38" t="str">
        <v>Полное время 12</v>
      </c>
      <c r="Y15" s="38" t="str">
        <v>Крупная одинаковая нарезка; фета и оливки визуально распределены</v>
      </c>
      <c r="Z15" s="38" t="n">
        <v>270</v>
      </c>
      <c r="AA15" s="38" t="str">
        <v>г</v>
      </c>
      <c r="AB15" s="38" t="str">
        <v>null</v>
      </c>
      <c r="AC15" s="38" t="str">
        <v>BLOCKED_PENDING_VALIDATION</v>
      </c>
      <c r="AD15" s="38" t="str">
        <v>EVD-0013;EVD-0014;EVD-FS-001;EVD-FS-002;EVD-FS-003</v>
      </c>
      <c r="AE15" s="38" t="str">
        <v>FoodSafetyAgent / PPK owner</v>
      </c>
      <c r="AF15" s="38" t="str">
        <v>GAP-010;GAP-011</v>
      </c>
      <c r="AG15" s="38" t="str">
        <v>ASSUMPTION</v>
      </c>
      <c r="AH15" s="38" t="str">
        <v>EVD-0010;EVD-0011</v>
      </c>
      <c r="AI15" s="38" t="str">
        <v>Операции и время — проект планирования; plating — проект для решения шефа</v>
      </c>
      <c r="AJ15" s="38" t="str">
        <v>2026-08-03</v>
      </c>
      <c r="AK15" s="38" t="str">
        <v>Chef</v>
      </c>
      <c r="AL15" s="38" t="str">
        <v>GAP-007;GAP-008</v>
      </c>
      <c r="AM15" s="39" t="str">
        <v>Наблюдать операции и время; отдельно подтвердить safety-critical параметры</v>
      </c>
    </row>
    <row r="16">
      <c r="A16" s="37" t="str">
        <v>TCH-012</v>
      </c>
      <c r="B16" s="38" t="str">
        <v>VKT-012</v>
      </c>
      <c r="C16" s="38" t="str">
        <v>VKM-012</v>
      </c>
      <c r="D16" s="38" t="str">
        <v>0.1.0-DRAFT</v>
      </c>
      <c r="E16" s="38" t="str">
        <v>Винегрет</v>
      </c>
      <c r="F16" s="38" t="str">
        <v>Изготовление и отпуск позиции VKM-012 «Винегрет» в рамках проектного меню Issue #82; каналы и формат отпуска применяются после сверки с паспортом позиции и Owner/Chef Gate.</v>
      </c>
      <c r="G16" s="38" t="str">
        <v>DRAFT</v>
      </c>
      <c r="H16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6" s="38" t="str">
        <v>BLOCKED</v>
      </c>
      <c r="J16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6" s="38" t="str">
        <v>DRAFT</v>
      </c>
      <c r="L16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6" s="38" t="str">
        <v>BLOCKED</v>
      </c>
      <c r="N16" s="38" t="str">
        <v>На контрольной проработке оценить внешний вид, цвет, запах, вкус, консистенцию/текстуру и соответствие проекту подачи «Порционная выкладка; одинаковая нарезка, без избыточной жидкости»; критерии приёмки и решение Chef не заполнены.</v>
      </c>
      <c r="O16" s="38" t="str">
        <v>DRAFT</v>
      </c>
      <c r="P16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6" s="38" t="str">
        <v>BLOCKED</v>
      </c>
      <c r="R16" s="38" t="str">
        <v>Подготовить варёные овощи; охладить; нарезать одинаковым кубиком; подготовить прочие компоненты; смешать и заправить</v>
      </c>
      <c r="S16" s="38" t="n">
        <v>18</v>
      </c>
      <c r="T16" s="38" t="str">
        <v>мин</v>
      </c>
      <c r="U16" s="38" t="n">
        <v>90</v>
      </c>
      <c r="V16" s="38" t="str">
        <v>мин</v>
      </c>
      <c r="W16" s="38" t="str">
        <v>Подготовка/нарезка/сборка 18</v>
      </c>
      <c r="X16" s="38" t="str">
        <v>Варка, охлаждение и сборка 90</v>
      </c>
      <c r="Y16" s="38" t="str">
        <v>Порционная выкладка; одинаковая нарезка, без избыточной жидкости</v>
      </c>
      <c r="Z16" s="38" t="n">
        <v>240</v>
      </c>
      <c r="AA16" s="38" t="str">
        <v>г</v>
      </c>
      <c r="AB16" s="38" t="str">
        <v>null</v>
      </c>
      <c r="AC16" s="38" t="str">
        <v>BLOCKED_PENDING_VALIDATION</v>
      </c>
      <c r="AD16" s="38" t="str">
        <v>EVD-0013;EVD-0014;EVD-FS-001;EVD-FS-002;EVD-FS-003</v>
      </c>
      <c r="AE16" s="38" t="str">
        <v>FoodSafetyAgent / PPK owner</v>
      </c>
      <c r="AF16" s="38" t="str">
        <v>GAP-010;GAP-011</v>
      </c>
      <c r="AG16" s="38" t="str">
        <v>ASSUMPTION</v>
      </c>
      <c r="AH16" s="38" t="str">
        <v>EVD-0010;EVD-0011</v>
      </c>
      <c r="AI16" s="38" t="str">
        <v>Операции и время — проект планирования; plating — проект для решения шефа</v>
      </c>
      <c r="AJ16" s="38" t="str">
        <v>2026-08-03</v>
      </c>
      <c r="AK16" s="38" t="str">
        <v>Chef</v>
      </c>
      <c r="AL16" s="38" t="str">
        <v>GAP-007;GAP-008</v>
      </c>
      <c r="AM16" s="39" t="str">
        <v>Наблюдать операции и время; отдельно подтвердить safety-critical параметры</v>
      </c>
    </row>
    <row r="17">
      <c r="A17" s="37" t="str">
        <v>TCH-013</v>
      </c>
      <c r="B17" s="38" t="str">
        <v>VKT-013</v>
      </c>
      <c r="C17" s="38" t="str">
        <v>VKM-013</v>
      </c>
      <c r="D17" s="38" t="str">
        <v>0.1.0-DRAFT</v>
      </c>
      <c r="E17" s="38" t="str">
        <v>Слабосолёный лосось</v>
      </c>
      <c r="F17" s="38" t="str">
        <v>Изготовление и отпуск позиции VKM-013 «Слабосолёный лосось» в рамках проектного меню Issue #82; каналы и формат отпуска применяются после сверки с паспортом позиции и Owner/Chef Gate.</v>
      </c>
      <c r="G17" s="38" t="str">
        <v>DRAFT</v>
      </c>
      <c r="H17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7" s="38" t="str">
        <v>BLOCKED</v>
      </c>
      <c r="J17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7" s="38" t="str">
        <v>DRAFT</v>
      </c>
      <c r="L17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7" s="38" t="str">
        <v>BLOCKED</v>
      </c>
      <c r="N17" s="38" t="str">
        <v>На контрольной проработке оценить внешний вид, цвет, запах, вкус, консистенцию/текстуру и соответствие проекту подачи «Ломтики лосося уложены веером; лимон и каперсы отделены»; критерии приёмки и решение Chef не заполнены.</v>
      </c>
      <c r="O17" s="38" t="str">
        <v>DRAFT</v>
      </c>
      <c r="P17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7" s="38" t="str">
        <v>BLOCKED</v>
      </c>
      <c r="R17" s="38" t="str">
        <v>Проверить готовое филе; удалить упаковочную жидкость; порционировать; подготовить лимон и гарниры; собрать</v>
      </c>
      <c r="S17" s="38" t="n">
        <v>7</v>
      </c>
      <c r="T17" s="38" t="str">
        <v>мин</v>
      </c>
      <c r="U17" s="38" t="n">
        <v>10</v>
      </c>
      <c r="V17" s="38" t="str">
        <v>мин</v>
      </c>
      <c r="W17" s="38" t="str">
        <v>Порционирование и сборка 7</v>
      </c>
      <c r="X17" s="38" t="str">
        <v>Полное время 10</v>
      </c>
      <c r="Y17" s="38" t="str">
        <v>Ломтики лосося уложены веером; лимон и каперсы отделены</v>
      </c>
      <c r="Z17" s="38" t="n">
        <v>130</v>
      </c>
      <c r="AA17" s="38" t="str">
        <v>г</v>
      </c>
      <c r="AB17" s="38" t="str">
        <v>null</v>
      </c>
      <c r="AC17" s="38" t="str">
        <v>BLOCKED_PENDING_VALIDATION</v>
      </c>
      <c r="AD17" s="38" t="str">
        <v>EVD-0013;EVD-0014;EVD-FS-001;EVD-FS-002;EVD-FS-003</v>
      </c>
      <c r="AE17" s="38" t="str">
        <v>FoodSafetyAgent / PPK owner</v>
      </c>
      <c r="AF17" s="38" t="str">
        <v>GAP-010;GAP-011</v>
      </c>
      <c r="AG17" s="38" t="str">
        <v>ASSUMPTION</v>
      </c>
      <c r="AH17" s="38" t="str">
        <v>EVD-0010;EVD-0011</v>
      </c>
      <c r="AI17" s="38" t="str">
        <v>Операции и время — проект планирования; plating — проект для решения шефа</v>
      </c>
      <c r="AJ17" s="38" t="str">
        <v>2026-08-03</v>
      </c>
      <c r="AK17" s="38" t="str">
        <v>Chef</v>
      </c>
      <c r="AL17" s="38" t="str">
        <v>GAP-007;GAP-008</v>
      </c>
      <c r="AM17" s="39" t="str">
        <v>Наблюдать операции и время; отдельно подтвердить safety-critical параметры</v>
      </c>
    </row>
    <row r="18">
      <c r="A18" s="37" t="str">
        <v>TCH-014</v>
      </c>
      <c r="B18" s="38" t="str">
        <v>VKT-014</v>
      </c>
      <c r="C18" s="38" t="str">
        <v>VKM-014</v>
      </c>
      <c r="D18" s="38" t="str">
        <v>0.1.0-DRAFT</v>
      </c>
      <c r="E18" s="38" t="str">
        <v>Сельдь с запечённым картофелем</v>
      </c>
      <c r="F18" s="38" t="str">
        <v>Изготовление и отпуск позиции VKM-014 «Сельдь с запечённым картофелем» в рамках проектного меню Issue #82; каналы и формат отпуска применяются после сверки с паспортом позиции и Owner/Chef Gate.</v>
      </c>
      <c r="G18" s="38" t="str">
        <v>DRAFT</v>
      </c>
      <c r="H18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8" s="38" t="str">
        <v>BLOCKED</v>
      </c>
      <c r="J18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8" s="38" t="str">
        <v>DRAFT</v>
      </c>
      <c r="L18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8" s="38" t="str">
        <v>BLOCKED</v>
      </c>
      <c r="N18" s="38" t="str">
        <v>На контрольной проработке оценить внешний вид, цвет, запах, вкус, консистенцию/текстуру и соответствие проекту подачи «Сельдь и картофель разделены визуально; лук и зелень финишем»; критерии приёмки и решение Chef не заполнены.</v>
      </c>
      <c r="O18" s="38" t="str">
        <v>DRAFT</v>
      </c>
      <c r="P18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8" s="38" t="str">
        <v>BLOCKED</v>
      </c>
      <c r="R18" s="38" t="str">
        <v>Подготовить и запечь картофель; подготовить сельдь и лук; охладить компоненты по процессу; собрать и заправить</v>
      </c>
      <c r="S18" s="38" t="n">
        <v>14</v>
      </c>
      <c r="T18" s="38" t="str">
        <v>мин</v>
      </c>
      <c r="U18" s="38" t="n">
        <v>55</v>
      </c>
      <c r="V18" s="38" t="str">
        <v>мин</v>
      </c>
      <c r="W18" s="38" t="str">
        <v>Подготовка и сборка 14</v>
      </c>
      <c r="X18" s="38" t="str">
        <v>Запекание/охлаждение/сборка 55</v>
      </c>
      <c r="Y18" s="38" t="str">
        <v>Сельдь и картофель разделены визуально; лук и зелень финишем</v>
      </c>
      <c r="Z18" s="38" t="n">
        <v>250</v>
      </c>
      <c r="AA18" s="38" t="str">
        <v>г</v>
      </c>
      <c r="AB18" s="38" t="str">
        <v>null</v>
      </c>
      <c r="AC18" s="38" t="str">
        <v>BLOCKED_PENDING_VALIDATION</v>
      </c>
      <c r="AD18" s="38" t="str">
        <v>EVD-0013;EVD-0014;EVD-FS-001;EVD-FS-002;EVD-FS-003</v>
      </c>
      <c r="AE18" s="38" t="str">
        <v>FoodSafetyAgent / PPK owner</v>
      </c>
      <c r="AF18" s="38" t="str">
        <v>GAP-010;GAP-011</v>
      </c>
      <c r="AG18" s="38" t="str">
        <v>ASSUMPTION</v>
      </c>
      <c r="AH18" s="38" t="str">
        <v>EVD-0010;EVD-0011</v>
      </c>
      <c r="AI18" s="38" t="str">
        <v>Операции и время — проект планирования; plating — проект для решения шефа</v>
      </c>
      <c r="AJ18" s="38" t="str">
        <v>2026-08-03</v>
      </c>
      <c r="AK18" s="38" t="str">
        <v>Chef</v>
      </c>
      <c r="AL18" s="38" t="str">
        <v>GAP-007;GAP-008</v>
      </c>
      <c r="AM18" s="39" t="str">
        <v>Наблюдать операции и время; отдельно подтвердить safety-critical параметры</v>
      </c>
    </row>
    <row r="19">
      <c r="A19" s="37" t="str">
        <v>TCH-015</v>
      </c>
      <c r="B19" s="38" t="str">
        <v>VKT-015</v>
      </c>
      <c r="C19" s="38" t="str">
        <v>VKM-015</v>
      </c>
      <c r="D19" s="38" t="str">
        <v>0.1.0-DRAFT</v>
      </c>
      <c r="E19" s="38" t="str">
        <v>Оливки и маслины</v>
      </c>
      <c r="F19" s="38" t="str">
        <v>Изготовление и отпуск позиции VKM-015 «Оливки и маслины» в рамках проектного меню Issue #82; каналы и формат отпуска применяются после сверки с паспортом позиции и Owner/Chef Gate.</v>
      </c>
      <c r="G19" s="38" t="str">
        <v>DRAFT</v>
      </c>
      <c r="H19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19" s="38" t="str">
        <v>BLOCKED</v>
      </c>
      <c r="J19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19" s="38" t="str">
        <v>DRAFT</v>
      </c>
      <c r="L19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19" s="38" t="str">
        <v>BLOCKED</v>
      </c>
      <c r="N19" s="38" t="str">
        <v>На контрольной проработке оценить внешний вид, цвет, запах, вкус, консистенцию/текстуру и соответствие проекту подачи «Смесь двух цветов; минимальное количество свободного маринада»; критерии приёмки и решение Chef не заполнены.</v>
      </c>
      <c r="O19" s="38" t="str">
        <v>DRAFT</v>
      </c>
      <c r="P19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19" s="38" t="str">
        <v>BLOCKED</v>
      </c>
      <c r="R19" s="38" t="str">
        <v>Освободить оливки и маслины от заливки; подготовить ароматический маринад; смешать; выдержать; порционировать</v>
      </c>
      <c r="S19" s="38" t="n">
        <v>8</v>
      </c>
      <c r="T19" s="38" t="str">
        <v>мин</v>
      </c>
      <c r="U19" s="38" t="n">
        <v>40</v>
      </c>
      <c r="V19" s="38" t="str">
        <v>мин</v>
      </c>
      <c r="W19" s="38" t="str">
        <v>Подготовка и сборка 8</v>
      </c>
      <c r="X19" s="38" t="str">
        <v>Выдержка и порционирование 40</v>
      </c>
      <c r="Y19" s="38" t="str">
        <v>Смесь двух цветов; минимальное количество свободного маринада</v>
      </c>
      <c r="Z19" s="38" t="n">
        <v>120</v>
      </c>
      <c r="AA19" s="38" t="str">
        <v>г</v>
      </c>
      <c r="AB19" s="38" t="str">
        <v>null</v>
      </c>
      <c r="AC19" s="38" t="str">
        <v>BLOCKED_PENDING_VALIDATION</v>
      </c>
      <c r="AD19" s="38" t="str">
        <v>EVD-0013;EVD-0014;EVD-FS-001;EVD-FS-002;EVD-FS-003</v>
      </c>
      <c r="AE19" s="38" t="str">
        <v>FoodSafetyAgent / PPK owner</v>
      </c>
      <c r="AF19" s="38" t="str">
        <v>GAP-010;GAP-011</v>
      </c>
      <c r="AG19" s="38" t="str">
        <v>ASSUMPTION</v>
      </c>
      <c r="AH19" s="38" t="str">
        <v>EVD-0010;EVD-0011</v>
      </c>
      <c r="AI19" s="38" t="str">
        <v>Операции и время — проект планирования; plating — проект для решения шефа</v>
      </c>
      <c r="AJ19" s="38" t="str">
        <v>2026-08-03</v>
      </c>
      <c r="AK19" s="38" t="str">
        <v>Chef</v>
      </c>
      <c r="AL19" s="38" t="str">
        <v>GAP-007;GAP-008</v>
      </c>
      <c r="AM19" s="39" t="str">
        <v>Наблюдать операции и время; отдельно подтвердить safety-critical параметры</v>
      </c>
    </row>
    <row r="20">
      <c r="A20" s="37" t="str">
        <v>TCH-016</v>
      </c>
      <c r="B20" s="38" t="str">
        <v>VKT-016</v>
      </c>
      <c r="C20" s="38" t="str">
        <v>VKM-016</v>
      </c>
      <c r="D20" s="38" t="str">
        <v>0.1.0-DRAFT</v>
      </c>
      <c r="E20" s="38" t="str">
        <v>Ассорти фирменных солений</v>
      </c>
      <c r="F20" s="38" t="str">
        <v>Изготовление и отпуск позиции VKM-016 «Ассорти фирменных солений» в рамках проектного меню Issue #82; каналы и формат отпуска применяются после сверки с паспортом позиции и Owner/Chef Gate.</v>
      </c>
      <c r="G20" s="38" t="str">
        <v>DRAFT</v>
      </c>
      <c r="H20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0" s="38" t="str">
        <v>BLOCKED</v>
      </c>
      <c r="J20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0" s="38" t="str">
        <v>DRAFT</v>
      </c>
      <c r="L20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0" s="38" t="str">
        <v>BLOCKED</v>
      </c>
      <c r="N20" s="38" t="str">
        <v>На контрольной проработке оценить внешний вид, цвет, запах, вкус, консистенцию/текстуру и соответствие проекту подачи «Контрастная раскладка отдельных овощей; без избыточной жидкости»; критерии приёмки и решение Chef не заполнены.</v>
      </c>
      <c r="O20" s="38" t="str">
        <v>DRAFT</v>
      </c>
      <c r="P20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0" s="38" t="str">
        <v>BLOCKED</v>
      </c>
      <c r="R20" s="38" t="str">
        <v>Подготовить и нарезать овощи; приготовить маринад; мариновать компоненты раздельно; объединить при подаче</v>
      </c>
      <c r="S20" s="38" t="n">
        <v>23</v>
      </c>
      <c r="T20" s="38" t="str">
        <v>мин</v>
      </c>
      <c r="U20" s="38" t="n">
        <v>70</v>
      </c>
      <c r="V20" s="38" t="str">
        <v>мин</v>
      </c>
      <c r="W20" s="38" t="str">
        <v>Подготовка 18; сборка 5</v>
      </c>
      <c r="X20" s="38" t="str">
        <v>Маринование и сборка 70</v>
      </c>
      <c r="Y20" s="38" t="str">
        <v>Контрастная раскладка отдельных овощей; без избыточной жидкости</v>
      </c>
      <c r="Z20" s="38" t="n">
        <v>180</v>
      </c>
      <c r="AA20" s="38" t="str">
        <v>г</v>
      </c>
      <c r="AB20" s="38" t="str">
        <v>null</v>
      </c>
      <c r="AC20" s="38" t="str">
        <v>BLOCKED_PENDING_VALIDATION</v>
      </c>
      <c r="AD20" s="38" t="str">
        <v>EVD-0013;EVD-0014;EVD-FS-001;EVD-FS-002;EVD-FS-003</v>
      </c>
      <c r="AE20" s="38" t="str">
        <v>FoodSafetyAgent / PPK owner</v>
      </c>
      <c r="AF20" s="38" t="str">
        <v>GAP-010;GAP-011</v>
      </c>
      <c r="AG20" s="38" t="str">
        <v>ASSUMPTION</v>
      </c>
      <c r="AH20" s="38" t="str">
        <v>EVD-0010;EVD-0011</v>
      </c>
      <c r="AI20" s="38" t="str">
        <v>Операции и время — проект планирования; plating — проект для решения шефа</v>
      </c>
      <c r="AJ20" s="38" t="str">
        <v>2026-08-03</v>
      </c>
      <c r="AK20" s="38" t="str">
        <v>Chef</v>
      </c>
      <c r="AL20" s="38" t="str">
        <v>GAP-007;GAP-008</v>
      </c>
      <c r="AM20" s="39" t="str">
        <v>Наблюдать операции и время; отдельно подтвердить safety-critical параметры</v>
      </c>
    </row>
    <row r="21">
      <c r="A21" s="37" t="str">
        <v>TCH-017</v>
      </c>
      <c r="B21" s="38" t="str">
        <v>VKT-017</v>
      </c>
      <c r="C21" s="38" t="str">
        <v>VKM-017</v>
      </c>
      <c r="D21" s="38" t="str">
        <v>0.1.0-DRAFT</v>
      </c>
      <c r="E21" s="38" t="str">
        <v>Ростбиф с луком и гренкой</v>
      </c>
      <c r="F21" s="38" t="str">
        <v>Изготовление и отпуск позиции VKM-017 «Ростбиф с луком и гренкой» в рамках проектного меню Issue #82; каналы и формат отпуска применяются после сверки с паспортом позиции и Owner/Chef Gate.</v>
      </c>
      <c r="G21" s="38" t="str">
        <v>DRAFT</v>
      </c>
      <c r="H21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1" s="38" t="str">
        <v>BLOCKED</v>
      </c>
      <c r="J21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1" s="38" t="str">
        <v>DRAFT</v>
      </c>
      <c r="L21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1" s="38" t="str">
        <v>BLOCKED</v>
      </c>
      <c r="N21" s="38" t="str">
        <v>На контрольной проработке оценить внешний вид, цвет, запах, вкус, консистенцию/текстуру и соответствие проекту подачи «Ростбиф уложен свободно; гренка сохраняет хруст; соус дозирован»; критерии приёмки и решение Chef не заполнены.</v>
      </c>
      <c r="O21" s="38" t="str">
        <v>DRAFT</v>
      </c>
      <c r="P21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1" s="38" t="str">
        <v>BLOCKED</v>
      </c>
      <c r="R21" s="38" t="str">
        <v>Порционировать ростбиф; подготовить лук; подсушить гренку; смешать соус; собрать непосредственно перед подачей</v>
      </c>
      <c r="S21" s="38" t="n">
        <v>12</v>
      </c>
      <c r="T21" s="38" t="str">
        <v>мин</v>
      </c>
      <c r="U21" s="38" t="n">
        <v>18</v>
      </c>
      <c r="V21" s="38" t="str">
        <v>мин</v>
      </c>
      <c r="W21" s="38" t="str">
        <v>Подготовка и сборка 12</v>
      </c>
      <c r="X21" s="38" t="str">
        <v>Полное время 18</v>
      </c>
      <c r="Y21" s="38" t="str">
        <v>Ростбиф уложен свободно; гренка сохраняет хруст; соус дозирован</v>
      </c>
      <c r="Z21" s="38" t="n">
        <v>180</v>
      </c>
      <c r="AA21" s="38" t="str">
        <v>г</v>
      </c>
      <c r="AB21" s="38" t="str">
        <v>null</v>
      </c>
      <c r="AC21" s="38" t="str">
        <v>BLOCKED_PENDING_VALIDATION</v>
      </c>
      <c r="AD21" s="38" t="str">
        <v>EVD-0013;EVD-0014;EVD-FS-001;EVD-FS-002;EVD-FS-003</v>
      </c>
      <c r="AE21" s="38" t="str">
        <v>FoodSafetyAgent / PPK owner</v>
      </c>
      <c r="AF21" s="38" t="str">
        <v>GAP-010;GAP-011</v>
      </c>
      <c r="AG21" s="38" t="str">
        <v>ASSUMPTION</v>
      </c>
      <c r="AH21" s="38" t="str">
        <v>EVD-0010;EVD-0011</v>
      </c>
      <c r="AI21" s="38" t="str">
        <v>Операции и время — проект планирования; plating — проект для решения шефа</v>
      </c>
      <c r="AJ21" s="38" t="str">
        <v>2026-08-03</v>
      </c>
      <c r="AK21" s="38" t="str">
        <v>Chef</v>
      </c>
      <c r="AL21" s="38" t="str">
        <v>GAP-007;GAP-008</v>
      </c>
      <c r="AM21" s="39" t="str">
        <v>Наблюдать операции и время; отдельно подтвердить safety-critical параметры</v>
      </c>
    </row>
    <row r="22">
      <c r="A22" s="37" t="str">
        <v>TCH-018</v>
      </c>
      <c r="B22" s="38" t="str">
        <v>VKT-018</v>
      </c>
      <c r="C22" s="38" t="str">
        <v>VKM-018</v>
      </c>
      <c r="D22" s="38" t="str">
        <v>0.1.0-DRAFT</v>
      </c>
      <c r="E22" s="38" t="str">
        <v>Традиционный красный борщ</v>
      </c>
      <c r="F22" s="38" t="str">
        <v>Изготовление и отпуск позиции VKM-018 «Традиционный красный борщ» в рамках проектного меню Issue #82; каналы и формат отпуска применяются после сверки с паспортом позиции и Owner/Chef Gate.</v>
      </c>
      <c r="G22" s="38" t="str">
        <v>DRAFT</v>
      </c>
      <c r="H22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2" s="38" t="str">
        <v>BLOCKED</v>
      </c>
      <c r="J22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2" s="38" t="str">
        <v>DRAFT</v>
      </c>
      <c r="L22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2" s="38" t="str">
        <v>BLOCKED</v>
      </c>
      <c r="N22" s="38" t="str">
        <v>На контрольной проработке оценить внешний вид, цвет, запах, вкус, консистенцию/текстуру и соответствие проекту подачи «Глубокая тарелка; мясо в порции; сметана и зелень финишем»; критерии приёмки и решение Chef не заполнены.</v>
      </c>
      <c r="O22" s="38" t="str">
        <v>DRAFT</v>
      </c>
      <c r="P22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2" s="38" t="str">
        <v>BLOCKED</v>
      </c>
      <c r="R22" s="38" t="str">
        <v>Приготовить бульон; подготовить овощи; выполнить пассеровку свёклы; соединить компоненты; довести вкус; порционировать с мясом, сметаной и зеленью</v>
      </c>
      <c r="S22" s="38" t="n">
        <v>35</v>
      </c>
      <c r="T22" s="38" t="str">
        <v>мин</v>
      </c>
      <c r="U22" s="38" t="n">
        <v>180</v>
      </c>
      <c r="V22" s="38" t="str">
        <v>мин</v>
      </c>
      <c r="W22" s="38" t="str">
        <v>Активные операции 35</v>
      </c>
      <c r="X22" s="38" t="str">
        <v>Варка бульона и супа 180</v>
      </c>
      <c r="Y22" s="38" t="str">
        <v>Глубокая тарелка; мясо в порции; сметана и зелень финишем</v>
      </c>
      <c r="Z22" s="38" t="n">
        <v>400</v>
      </c>
      <c r="AA22" s="38" t="str">
        <v>г</v>
      </c>
      <c r="AB22" s="38" t="str">
        <v>null</v>
      </c>
      <c r="AC22" s="38" t="str">
        <v>BLOCKED_PENDING_VALIDATION</v>
      </c>
      <c r="AD22" s="38" t="str">
        <v>EVD-0013;EVD-0014;EVD-FS-001;EVD-FS-002;EVD-FS-003</v>
      </c>
      <c r="AE22" s="38" t="str">
        <v>FoodSafetyAgent / PPK owner</v>
      </c>
      <c r="AF22" s="38" t="str">
        <v>GAP-010;GAP-011</v>
      </c>
      <c r="AG22" s="38" t="str">
        <v>ASSUMPTION</v>
      </c>
      <c r="AH22" s="38" t="str">
        <v>EVD-0010;EVD-0011</v>
      </c>
      <c r="AI22" s="38" t="str">
        <v>Операции и время — проект планирования; plating — проект для решения шефа</v>
      </c>
      <c r="AJ22" s="38" t="str">
        <v>2026-08-03</v>
      </c>
      <c r="AK22" s="38" t="str">
        <v>Chef</v>
      </c>
      <c r="AL22" s="38" t="str">
        <v>GAP-007;GAP-008</v>
      </c>
      <c r="AM22" s="39" t="str">
        <v>Наблюдать операции и время; отдельно подтвердить safety-critical параметры</v>
      </c>
    </row>
    <row r="23">
      <c r="A23" s="37" t="str">
        <v>TCH-019</v>
      </c>
      <c r="B23" s="38" t="str">
        <v>VKT-019</v>
      </c>
      <c r="C23" s="38" t="str">
        <v>VKM-019</v>
      </c>
      <c r="D23" s="38" t="str">
        <v>0.1.0-DRAFT</v>
      </c>
      <c r="E23" s="38" t="str">
        <v>Мурманская треска со сливочно-горчичным соусом</v>
      </c>
      <c r="F23" s="38" t="str">
        <v>Изготовление и отпуск позиции VKM-019 «Мурманская треска со сливочно-горчичным соусом» в рамках проектного меню Issue #82; каналы и формат отпуска применяются после сверки с паспортом позиции и Owner/Chef Gate.</v>
      </c>
      <c r="G23" s="38" t="str">
        <v>DRAFT</v>
      </c>
      <c r="H23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3" s="38" t="str">
        <v>BLOCKED</v>
      </c>
      <c r="J23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3" s="38" t="str">
        <v>DRAFT</v>
      </c>
      <c r="L23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3" s="38" t="str">
        <v>BLOCKED</v>
      </c>
      <c r="N23" s="38" t="str">
        <v>На контрольной проработке оценить внешний вид, цвет, запах, вкус, консистенцию/текстуру и соответствие проекту подачи «Рыба как главный элемент; соус нанесён дозированно; зелень финишем»; критерии приёмки и решение Chef не заполнены.</v>
      </c>
      <c r="O23" s="38" t="str">
        <v>DRAFT</v>
      </c>
      <c r="P23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3" s="38" t="str">
        <v>BLOCKED</v>
      </c>
      <c r="R23" s="38" t="str">
        <v>Порционировать треску; подготовить соус; обработать рыбу и шпинат; довести соус; собрать и финишировать</v>
      </c>
      <c r="S23" s="38" t="n">
        <v>18</v>
      </c>
      <c r="T23" s="38" t="str">
        <v>мин</v>
      </c>
      <c r="U23" s="38" t="n">
        <v>28</v>
      </c>
      <c r="V23" s="38" t="str">
        <v>мин</v>
      </c>
      <c r="W23" s="38" t="str">
        <v>Подготовка и обработка 18</v>
      </c>
      <c r="X23" s="38" t="str">
        <v>Полное время 28</v>
      </c>
      <c r="Y23" s="38" t="str">
        <v>Рыба как главный элемент; соус нанесён дозированно; зелень финишем</v>
      </c>
      <c r="Z23" s="38" t="n">
        <v>300</v>
      </c>
      <c r="AA23" s="38" t="str">
        <v>г</v>
      </c>
      <c r="AB23" s="38" t="str">
        <v>null</v>
      </c>
      <c r="AC23" s="38" t="str">
        <v>BLOCKED_PENDING_VALIDATION</v>
      </c>
      <c r="AD23" s="38" t="str">
        <v>EVD-0013;EVD-0014;EVD-FS-001;EVD-FS-002;EVD-FS-003</v>
      </c>
      <c r="AE23" s="38" t="str">
        <v>FoodSafetyAgent / PPK owner</v>
      </c>
      <c r="AF23" s="38" t="str">
        <v>GAP-010;GAP-011</v>
      </c>
      <c r="AG23" s="38" t="str">
        <v>ASSUMPTION</v>
      </c>
      <c r="AH23" s="38" t="str">
        <v>EVD-0010;EVD-0011</v>
      </c>
      <c r="AI23" s="38" t="str">
        <v>Операции и время — проект планирования; plating — проект для решения шефа</v>
      </c>
      <c r="AJ23" s="38" t="str">
        <v>2026-08-03</v>
      </c>
      <c r="AK23" s="38" t="str">
        <v>Chef</v>
      </c>
      <c r="AL23" s="38" t="str">
        <v>GAP-007;GAP-008</v>
      </c>
      <c r="AM23" s="39" t="str">
        <v>Наблюдать операции и время; отдельно подтвердить safety-critical параметры</v>
      </c>
    </row>
    <row r="24">
      <c r="A24" s="37" t="str">
        <v>TCH-020</v>
      </c>
      <c r="B24" s="38" t="str">
        <v>VKT-020</v>
      </c>
      <c r="C24" s="38" t="str">
        <v>VKM-020</v>
      </c>
      <c r="D24" s="38" t="str">
        <v>0.1.0-DRAFT</v>
      </c>
      <c r="E24" s="38" t="str">
        <v>Креветки по-тайски</v>
      </c>
      <c r="F24" s="38" t="str">
        <v>Изготовление и отпуск позиции VKM-020 «Креветки по-тайски» в рамках проектного меню Issue #82; каналы и формат отпуска применяются после сверки с паспортом позиции и Owner/Chef Gate.</v>
      </c>
      <c r="G24" s="38" t="str">
        <v>DRAFT</v>
      </c>
      <c r="H24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4" s="38" t="str">
        <v>BLOCKED</v>
      </c>
      <c r="J24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4" s="38" t="str">
        <v>DRAFT</v>
      </c>
      <c r="L24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4" s="38" t="str">
        <v>BLOCKED</v>
      </c>
      <c r="N24" s="38" t="str">
        <v>На контрольной проработке оценить внешний вид, цвет, запах, вкус, консистенцию/текстуру и соответствие проекту подачи «Глубокая тарелка; креветки сверху; зелень и лайм финишем»; критерии приёмки и решение Chef не заполнены.</v>
      </c>
      <c r="O24" s="38" t="str">
        <v>DRAFT</v>
      </c>
      <c r="P24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4" s="38" t="str">
        <v>BLOCKED</v>
      </c>
      <c r="R24" s="38" t="str">
        <v>Подготовить креветки и овощи; приготовить кокосовый соус; последовательно обработать компоненты; добавить лапшу; довести и финишировать</v>
      </c>
      <c r="S24" s="38" t="n">
        <v>20</v>
      </c>
      <c r="T24" s="38" t="str">
        <v>мин</v>
      </c>
      <c r="U24" s="38" t="n">
        <v>30</v>
      </c>
      <c r="V24" s="38" t="str">
        <v>мин</v>
      </c>
      <c r="W24" s="38" t="str">
        <v>Подготовка и обработка 20</v>
      </c>
      <c r="X24" s="38" t="str">
        <v>Полное время 30</v>
      </c>
      <c r="Y24" s="38" t="str">
        <v>Глубокая тарелка; креветки сверху; зелень и лайм финишем</v>
      </c>
      <c r="Z24" s="38" t="n">
        <v>360</v>
      </c>
      <c r="AA24" s="38" t="str">
        <v>г</v>
      </c>
      <c r="AB24" s="38" t="str">
        <v>null</v>
      </c>
      <c r="AC24" s="38" t="str">
        <v>BLOCKED_PENDING_VALIDATION</v>
      </c>
      <c r="AD24" s="38" t="str">
        <v>EVD-0013;EVD-0014;EVD-FS-001;EVD-FS-002;EVD-FS-003</v>
      </c>
      <c r="AE24" s="38" t="str">
        <v>FoodSafetyAgent / PPK owner</v>
      </c>
      <c r="AF24" s="38" t="str">
        <v>GAP-010;GAP-011</v>
      </c>
      <c r="AG24" s="38" t="str">
        <v>ASSUMPTION</v>
      </c>
      <c r="AH24" s="38" t="str">
        <v>EVD-0010;EVD-0011</v>
      </c>
      <c r="AI24" s="38" t="str">
        <v>Операции и время — проект планирования; plating — проект для решения шефа</v>
      </c>
      <c r="AJ24" s="38" t="str">
        <v>2026-08-03</v>
      </c>
      <c r="AK24" s="38" t="str">
        <v>Chef</v>
      </c>
      <c r="AL24" s="38" t="str">
        <v>GAP-007;GAP-008</v>
      </c>
      <c r="AM24" s="39" t="str">
        <v>Наблюдать операции и время; отдельно подтвердить safety-critical параметры</v>
      </c>
    </row>
    <row r="25">
      <c r="A25" s="37" t="str">
        <v>TCH-021</v>
      </c>
      <c r="B25" s="38" t="str">
        <v>VKT-021</v>
      </c>
      <c r="C25" s="38" t="str">
        <v>VKM-021</v>
      </c>
      <c r="D25" s="38" t="str">
        <v>0.1.0-DRAFT</v>
      </c>
      <c r="E25" s="38" t="str">
        <v>Бургер VARSHAVKA</v>
      </c>
      <c r="F25" s="38" t="str">
        <v>Изготовление и отпуск позиции VKM-021 «Бургер VARSHAVKA» в рамках проектного меню Issue #82; каналы и формат отпуска применяются после сверки с паспортом позиции и Owner/Chef Gate.</v>
      </c>
      <c r="G25" s="38" t="str">
        <v>DRAFT</v>
      </c>
      <c r="H25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5" s="38" t="str">
        <v>BLOCKED</v>
      </c>
      <c r="J25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5" s="38" t="str">
        <v>DRAFT</v>
      </c>
      <c r="L25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5" s="38" t="str">
        <v>BLOCKED</v>
      </c>
      <c r="N25" s="38" t="str">
        <v>На контрольной проработке оценить внешний вид, цвет, запах, вкус, консистенцию/текстуру и соответствие проекту подачи «Целый бургер; устойчивые слои; соус без стекания; подача без отдельного гарнира»; критерии приёмки и решение Chef не заполнены.</v>
      </c>
      <c r="O25" s="38" t="str">
        <v>DRAFT</v>
      </c>
      <c r="P25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5" s="38" t="str">
        <v>BLOCKED</v>
      </c>
      <c r="R25" s="38" t="str">
        <v>Подготовить котлету и соус; разрезать и подготовить бриошь; обработать котлету; расплавить сыр; собрать в заданном порядке</v>
      </c>
      <c r="S25" s="38" t="n">
        <v>15</v>
      </c>
      <c r="T25" s="38" t="str">
        <v>мин</v>
      </c>
      <c r="U25" s="38" t="n">
        <v>25</v>
      </c>
      <c r="V25" s="38" t="str">
        <v>мин</v>
      </c>
      <c r="W25" s="38" t="str">
        <v>Подготовка и сборка 15</v>
      </c>
      <c r="X25" s="38" t="str">
        <v>Полное время 25</v>
      </c>
      <c r="Y25" s="38" t="str">
        <v>Целый бургер; устойчивые слои; соус без стекания; подача без отдельного гарнира</v>
      </c>
      <c r="Z25" s="38" t="n">
        <v>350</v>
      </c>
      <c r="AA25" s="38" t="str">
        <v>г</v>
      </c>
      <c r="AB25" s="38" t="str">
        <v>null</v>
      </c>
      <c r="AC25" s="38" t="str">
        <v>BLOCKED_PENDING_VALIDATION</v>
      </c>
      <c r="AD25" s="38" t="str">
        <v>EVD-0013;EVD-0014;EVD-FS-001;EVD-FS-002;EVD-FS-003</v>
      </c>
      <c r="AE25" s="38" t="str">
        <v>FoodSafetyAgent / PPK owner</v>
      </c>
      <c r="AF25" s="38" t="str">
        <v>GAP-010;GAP-011</v>
      </c>
      <c r="AG25" s="38" t="str">
        <v>ASSUMPTION</v>
      </c>
      <c r="AH25" s="38" t="str">
        <v>EVD-0010;EVD-0011</v>
      </c>
      <c r="AI25" s="38" t="str">
        <v>Операции и время — проект планирования; plating — проект для решения шефа</v>
      </c>
      <c r="AJ25" s="38" t="str">
        <v>2026-08-03</v>
      </c>
      <c r="AK25" s="38" t="str">
        <v>Chef</v>
      </c>
      <c r="AL25" s="38" t="str">
        <v>GAP-007;GAP-008</v>
      </c>
      <c r="AM25" s="39" t="str">
        <v>Наблюдать операции и время; отдельно подтвердить safety-critical параметры</v>
      </c>
    </row>
    <row r="26">
      <c r="A26" s="37" t="str">
        <v>TCH-022</v>
      </c>
      <c r="B26" s="38" t="str">
        <v>VKT-022</v>
      </c>
      <c r="C26" s="38" t="str">
        <v>VKM-022</v>
      </c>
      <c r="D26" s="38" t="str">
        <v>0.1.0-DRAFT</v>
      </c>
      <c r="E26" s="38" t="str">
        <v>Миньоны из говяжьей вырезки</v>
      </c>
      <c r="F26" s="38" t="str">
        <v>Изготовление и отпуск позиции VKM-022 «Миньоны из говяжьей вырезки» в рамках проектного меню Issue #82; каналы и формат отпуска применяются после сверки с паспортом позиции и Owner/Chef Gate.</v>
      </c>
      <c r="G26" s="38" t="str">
        <v>DRAFT</v>
      </c>
      <c r="H26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6" s="38" t="str">
        <v>BLOCKED</v>
      </c>
      <c r="J26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6" s="38" t="str">
        <v>DRAFT</v>
      </c>
      <c r="L26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6" s="38" t="str">
        <v>BLOCKED</v>
      </c>
      <c r="N26" s="38" t="str">
        <v>На контрольной проработке оценить внешний вид, цвет, запах, вкус, консистенцию/текстуру и соответствие проекту подачи «Два миньона одинакового размера; соус отдельно/под мясом по решению шефа»; критерии приёмки и решение Chef не заполнены.</v>
      </c>
      <c r="O26" s="38" t="str">
        <v>DRAFT</v>
      </c>
      <c r="P26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6" s="38" t="str">
        <v>BLOCKED</v>
      </c>
      <c r="R26" s="38" t="str">
        <v>Зачистить и порционировать вырезку на два миньона; подготовить ароматику; обработать; приготовить соус; дать продукту стабилизироваться; собрать</v>
      </c>
      <c r="S26" s="38" t="n">
        <v>22</v>
      </c>
      <c r="T26" s="38" t="str">
        <v>мин</v>
      </c>
      <c r="U26" s="38" t="n">
        <v>35</v>
      </c>
      <c r="V26" s="38" t="str">
        <v>мин</v>
      </c>
      <c r="W26" s="38" t="str">
        <v>Подготовка и обработка 22</v>
      </c>
      <c r="X26" s="38" t="str">
        <v>Полное время 35</v>
      </c>
      <c r="Y26" s="38" t="str">
        <v>Два миньона одинакового размера; соус отдельно/под мясом по решению шефа</v>
      </c>
      <c r="Z26" s="38" t="n">
        <v>300</v>
      </c>
      <c r="AA26" s="38" t="str">
        <v>г</v>
      </c>
      <c r="AB26" s="38" t="str">
        <v>null</v>
      </c>
      <c r="AC26" s="38" t="str">
        <v>BLOCKED_PENDING_VALIDATION</v>
      </c>
      <c r="AD26" s="38" t="str">
        <v>EVD-0013;EVD-0014;EVD-FS-001;EVD-FS-002;EVD-FS-003</v>
      </c>
      <c r="AE26" s="38" t="str">
        <v>FoodSafetyAgent / PPK owner</v>
      </c>
      <c r="AF26" s="38" t="str">
        <v>GAP-010;GAP-011</v>
      </c>
      <c r="AG26" s="38" t="str">
        <v>ASSUMPTION</v>
      </c>
      <c r="AH26" s="38" t="str">
        <v>EVD-0010;EVD-0011</v>
      </c>
      <c r="AI26" s="38" t="str">
        <v>Операции и время — проект планирования; plating — проект для решения шефа</v>
      </c>
      <c r="AJ26" s="38" t="str">
        <v>2026-08-03</v>
      </c>
      <c r="AK26" s="38" t="str">
        <v>Chef</v>
      </c>
      <c r="AL26" s="38" t="str">
        <v>GAP-007;GAP-008</v>
      </c>
      <c r="AM26" s="39" t="str">
        <v>Наблюдать операции и время; отдельно подтвердить safety-critical параметры</v>
      </c>
    </row>
    <row r="27">
      <c r="A27" s="37" t="str">
        <v>TCH-023</v>
      </c>
      <c r="B27" s="38" t="str">
        <v>VKT-023</v>
      </c>
      <c r="C27" s="38" t="str">
        <v>VKM-023</v>
      </c>
      <c r="D27" s="38" t="str">
        <v>0.1.0-DRAFT</v>
      </c>
      <c r="E27" s="38" t="str">
        <v>Запечённый картофель</v>
      </c>
      <c r="F27" s="38" t="str">
        <v>Изготовление и отпуск позиции VKM-023 «Запечённый картофель» в рамках проектного меню Issue #82; каналы и формат отпуска применяются после сверки с паспортом позиции и Owner/Chef Gate.</v>
      </c>
      <c r="G27" s="38" t="str">
        <v>DRAFT</v>
      </c>
      <c r="H27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7" s="38" t="str">
        <v>BLOCKED</v>
      </c>
      <c r="J27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7" s="38" t="str">
        <v>DRAFT</v>
      </c>
      <c r="L27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7" s="38" t="str">
        <v>BLOCKED</v>
      </c>
      <c r="N27" s="38" t="str">
        <v>На контрольной проработке оценить внешний вид, цвет, запах, вкус, консистенцию/текстуру и соответствие проекту подачи «Порция 150 г; одинаковая нарезка; равномерная поверхность»; критерии приёмки и решение Chef не заполнены.</v>
      </c>
      <c r="O27" s="38" t="str">
        <v>DRAFT</v>
      </c>
      <c r="P27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7" s="38" t="str">
        <v>BLOCKED</v>
      </c>
      <c r="R27" s="38" t="str">
        <v>Вымыть и подготовить картофель; нарезать; смешать с маслом и травами; запечь; порционировать</v>
      </c>
      <c r="S27" s="38" t="n">
        <v>13</v>
      </c>
      <c r="T27" s="38" t="str">
        <v>мин</v>
      </c>
      <c r="U27" s="38" t="n">
        <v>45</v>
      </c>
      <c r="V27" s="38" t="str">
        <v>мин</v>
      </c>
      <c r="W27" s="38" t="str">
        <v>Подготовка 10; порционирование 3</v>
      </c>
      <c r="X27" s="38" t="str">
        <v>Полное время 45</v>
      </c>
      <c r="Y27" s="38" t="str">
        <v>Порция 150 г; одинаковая нарезка; равномерная поверхность</v>
      </c>
      <c r="Z27" s="38" t="n">
        <v>150</v>
      </c>
      <c r="AA27" s="38" t="str">
        <v>г</v>
      </c>
      <c r="AB27" s="38" t="str">
        <v>null</v>
      </c>
      <c r="AC27" s="38" t="str">
        <v>BLOCKED_PENDING_VALIDATION</v>
      </c>
      <c r="AD27" s="38" t="str">
        <v>EVD-0013;EVD-0014;EVD-FS-001;EVD-FS-002;EVD-FS-003</v>
      </c>
      <c r="AE27" s="38" t="str">
        <v>FoodSafetyAgent / PPK owner</v>
      </c>
      <c r="AF27" s="38" t="str">
        <v>GAP-010;GAP-011</v>
      </c>
      <c r="AG27" s="38" t="str">
        <v>ASSUMPTION</v>
      </c>
      <c r="AH27" s="38" t="str">
        <v>EVD-0010;EVD-0011</v>
      </c>
      <c r="AI27" s="38" t="str">
        <v>Операции и время — проект планирования; plating — проект для решения шефа</v>
      </c>
      <c r="AJ27" s="38" t="str">
        <v>2026-08-03</v>
      </c>
      <c r="AK27" s="38" t="str">
        <v>Chef</v>
      </c>
      <c r="AL27" s="38" t="str">
        <v>GAP-007;GAP-008</v>
      </c>
      <c r="AM27" s="39" t="str">
        <v>Наблюдать операции и время; отдельно подтвердить safety-critical параметры</v>
      </c>
    </row>
    <row r="28">
      <c r="A28" s="37" t="str">
        <v>TCH-024</v>
      </c>
      <c r="B28" s="38" t="str">
        <v>VKT-024</v>
      </c>
      <c r="C28" s="38" t="str">
        <v>VKM-024</v>
      </c>
      <c r="D28" s="38" t="str">
        <v>0.1.0-DRAFT</v>
      </c>
      <c r="E28" s="38" t="str">
        <v>Рис жасмин</v>
      </c>
      <c r="F28" s="38" t="str">
        <v>Изготовление и отпуск позиции VKM-024 «Рис жасмин» в рамках проектного меню Issue #82; каналы и формат отпуска применяются после сверки с паспортом позиции и Owner/Chef Gate.</v>
      </c>
      <c r="G28" s="38" t="str">
        <v>DRAFT</v>
      </c>
      <c r="H28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8" s="38" t="str">
        <v>BLOCKED</v>
      </c>
      <c r="J28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8" s="38" t="str">
        <v>DRAFT</v>
      </c>
      <c r="L28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8" s="38" t="str">
        <v>BLOCKED</v>
      </c>
      <c r="N28" s="38" t="str">
        <v>На контрольной проработке оценить внешний вид, цвет, запах, вкус, консистенцию/текстуру и соответствие проекту подачи «Порция 150 г; рассыпчатая структура без свободной жидкости»; критерии приёмки и решение Chef не заполнены.</v>
      </c>
      <c r="O28" s="38" t="str">
        <v>DRAFT</v>
      </c>
      <c r="P28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8" s="38" t="str">
        <v>BLOCKED</v>
      </c>
      <c r="R28" s="38" t="str">
        <v>Промыть рис; соединить с водой; сварить; дать стабилизироваться; внести масла и соль; разрыхлить и порционировать</v>
      </c>
      <c r="S28" s="38" t="n">
        <v>8</v>
      </c>
      <c r="T28" s="38" t="str">
        <v>мин</v>
      </c>
      <c r="U28" s="38" t="n">
        <v>35</v>
      </c>
      <c r="V28" s="38" t="str">
        <v>мин</v>
      </c>
      <c r="W28" s="38" t="str">
        <v>Активные операции 8</v>
      </c>
      <c r="X28" s="38" t="str">
        <v>Полное время 35</v>
      </c>
      <c r="Y28" s="38" t="str">
        <v>Порция 150 г; рассыпчатая структура без свободной жидкости</v>
      </c>
      <c r="Z28" s="38" t="n">
        <v>150</v>
      </c>
      <c r="AA28" s="38" t="str">
        <v>г</v>
      </c>
      <c r="AB28" s="38" t="str">
        <v>null</v>
      </c>
      <c r="AC28" s="38" t="str">
        <v>BLOCKED_PENDING_VALIDATION</v>
      </c>
      <c r="AD28" s="38" t="str">
        <v>EVD-0013;EVD-0014;EVD-FS-001;EVD-FS-002;EVD-FS-003</v>
      </c>
      <c r="AE28" s="38" t="str">
        <v>FoodSafetyAgent / PPK owner</v>
      </c>
      <c r="AF28" s="38" t="str">
        <v>GAP-010;GAP-011</v>
      </c>
      <c r="AG28" s="38" t="str">
        <v>ASSUMPTION</v>
      </c>
      <c r="AH28" s="38" t="str">
        <v>EVD-0010;EVD-0011</v>
      </c>
      <c r="AI28" s="38" t="str">
        <v>Операции и время — проект планирования; plating — проект для решения шефа</v>
      </c>
      <c r="AJ28" s="38" t="str">
        <v>2026-08-03</v>
      </c>
      <c r="AK28" s="38" t="str">
        <v>Chef</v>
      </c>
      <c r="AL28" s="38" t="str">
        <v>GAP-007;GAP-008</v>
      </c>
      <c r="AM28" s="39" t="str">
        <v>Наблюдать операции и время; отдельно подтвердить safety-critical параметры</v>
      </c>
    </row>
    <row r="29">
      <c r="A29" s="37" t="str">
        <v>TCH-025</v>
      </c>
      <c r="B29" s="38" t="str">
        <v>VKT-025</v>
      </c>
      <c r="C29" s="38" t="str">
        <v>VKM-025</v>
      </c>
      <c r="D29" s="38" t="str">
        <v>0.1.0-DRAFT</v>
      </c>
      <c r="E29" s="38" t="str">
        <v>Горячие овощи</v>
      </c>
      <c r="F29" s="38" t="str">
        <v>Изготовление и отпуск позиции VKM-025 «Горячие овощи» в рамках проектного меню Issue #82; каналы и формат отпуска применяются после сверки с паспортом позиции и Owner/Chef Gate.</v>
      </c>
      <c r="G29" s="38" t="str">
        <v>DRAFT</v>
      </c>
      <c r="H29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29" s="38" t="str">
        <v>BLOCKED</v>
      </c>
      <c r="J29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29" s="38" t="str">
        <v>DRAFT</v>
      </c>
      <c r="L29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29" s="38" t="str">
        <v>BLOCKED</v>
      </c>
      <c r="N29" s="38" t="str">
        <v>На контрольной проработке оценить внешний вид, цвет, запах, вкус, консистенцию/текстуру и соответствие проекту подачи «Яркие отдельные овощи; сохранённая форма; без свободной жидкости»; критерии приёмки и решение Chef не заполнены.</v>
      </c>
      <c r="O29" s="38" t="str">
        <v>DRAFT</v>
      </c>
      <c r="P29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29" s="38" t="str">
        <v>BLOCKED</v>
      </c>
      <c r="R29" s="38" t="str">
        <v>Подготовить и одинаково нарезать овощи; обрабатывать партиями; соединить; приправить; порционировать</v>
      </c>
      <c r="S29" s="38" t="n">
        <v>15</v>
      </c>
      <c r="T29" s="38" t="str">
        <v>мин</v>
      </c>
      <c r="U29" s="38" t="n">
        <v>22</v>
      </c>
      <c r="V29" s="38" t="str">
        <v>мин</v>
      </c>
      <c r="W29" s="38" t="str">
        <v>Подготовка и обработка 15</v>
      </c>
      <c r="X29" s="38" t="str">
        <v>Полное время 22</v>
      </c>
      <c r="Y29" s="38" t="str">
        <v>Яркие отдельные овощи; сохранённая форма; без свободной жидкости</v>
      </c>
      <c r="Z29" s="38" t="n">
        <v>150</v>
      </c>
      <c r="AA29" s="38" t="str">
        <v>г</v>
      </c>
      <c r="AB29" s="38" t="str">
        <v>null</v>
      </c>
      <c r="AC29" s="38" t="str">
        <v>BLOCKED_PENDING_VALIDATION</v>
      </c>
      <c r="AD29" s="38" t="str">
        <v>EVD-0013;EVD-0014;EVD-FS-001;EVD-FS-002;EVD-FS-003</v>
      </c>
      <c r="AE29" s="38" t="str">
        <v>FoodSafetyAgent / PPK owner</v>
      </c>
      <c r="AF29" s="38" t="str">
        <v>GAP-010;GAP-011</v>
      </c>
      <c r="AG29" s="38" t="str">
        <v>ASSUMPTION</v>
      </c>
      <c r="AH29" s="38" t="str">
        <v>EVD-0010;EVD-0011</v>
      </c>
      <c r="AI29" s="38" t="str">
        <v>Операции и время — проект планирования; plating — проект для решения шефа</v>
      </c>
      <c r="AJ29" s="38" t="str">
        <v>2026-08-03</v>
      </c>
      <c r="AK29" s="38" t="str">
        <v>Chef</v>
      </c>
      <c r="AL29" s="38" t="str">
        <v>GAP-007;GAP-008</v>
      </c>
      <c r="AM29" s="39" t="str">
        <v>Наблюдать операции и время; отдельно подтвердить safety-critical параметры</v>
      </c>
    </row>
    <row r="30">
      <c r="A30" s="37" t="str">
        <v>TCH-026</v>
      </c>
      <c r="B30" s="38" t="str">
        <v>VKT-029</v>
      </c>
      <c r="C30" s="38" t="str">
        <v>VKM-029</v>
      </c>
      <c r="D30" s="38" t="str">
        <v>0.1.0-DRAFT</v>
      </c>
      <c r="E30" s="38" t="str">
        <v>Черничный торт VARSHAVKA</v>
      </c>
      <c r="F30" s="38" t="str">
        <v>Изготовление и отпуск позиции VKM-029 «Черничный торт VARSHAVKA» в рамках проектного меню Issue #82; каналы и формат отпуска применяются после сверки с паспортом позиции и Owner/Chef Gate.</v>
      </c>
      <c r="G30" s="38" t="str">
        <v>DRAFT</v>
      </c>
      <c r="H30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30" s="38" t="str">
        <v>BLOCKED</v>
      </c>
      <c r="J30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30" s="38" t="str">
        <v>DRAFT</v>
      </c>
      <c r="L30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30" s="38" t="str">
        <v>BLOCKED</v>
      </c>
      <c r="N30" s="38" t="str">
        <v>На контрольной проработке оценить внешний вид, цвет, запах, вкус, консистенцию/текстуру и соответствие проекту подачи «Целый торт 1800 г и 12 равных порций по 150 г; видимые ровные слои»; критерии приёмки и решение Chef не заполнены.</v>
      </c>
      <c r="O30" s="38" t="str">
        <v>DRAFT</v>
      </c>
      <c r="P30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30" s="38" t="str">
        <v>BLOCKED</v>
      </c>
      <c r="R30" s="38" t="str">
        <v>Приготовить и выпечь бисквит; охладить; приготовить крем, компоте и глазурь; собрать слоями; стабилизировать; покрыть и декорировать; разделить на 12 порций</v>
      </c>
      <c r="S30" s="38" t="n">
        <v>120</v>
      </c>
      <c r="T30" s="38" t="str">
        <v>мин</v>
      </c>
      <c r="U30" s="38" t="n">
        <v>600</v>
      </c>
      <c r="V30" s="38" t="str">
        <v>мин</v>
      </c>
      <c r="W30" s="38" t="str">
        <v>Активные операции 120</v>
      </c>
      <c r="X30" s="38" t="str">
        <v>Выпечка, охлаждение и стабилизация 600</v>
      </c>
      <c r="Y30" s="38" t="str">
        <v>Целый торт 1800 г и 12 равных порций по 150 г; видимые ровные слои</v>
      </c>
      <c r="Z30" s="38" t="n">
        <v>1800</v>
      </c>
      <c r="AA30" s="38" t="str">
        <v>г</v>
      </c>
      <c r="AB30" s="38" t="str">
        <v>null</v>
      </c>
      <c r="AC30" s="38" t="str">
        <v>BLOCKED_PENDING_VALIDATION</v>
      </c>
      <c r="AD30" s="38" t="str">
        <v>EVD-0013;EVD-0014;EVD-FS-001;EVD-FS-002;EVD-FS-003</v>
      </c>
      <c r="AE30" s="38" t="str">
        <v>FoodSafetyAgent / PPK owner</v>
      </c>
      <c r="AF30" s="38" t="str">
        <v>GAP-010;GAP-011</v>
      </c>
      <c r="AG30" s="38" t="str">
        <v>ASSUMPTION</v>
      </c>
      <c r="AH30" s="38" t="str">
        <v>EVD-0010;EVD-0011</v>
      </c>
      <c r="AI30" s="38" t="str">
        <v>Операции и время — проект планирования; plating — проект для решения шефа</v>
      </c>
      <c r="AJ30" s="38" t="str">
        <v>2026-08-03</v>
      </c>
      <c r="AK30" s="38" t="str">
        <v>Chef</v>
      </c>
      <c r="AL30" s="38" t="str">
        <v>GAP-007;GAP-008</v>
      </c>
      <c r="AM30" s="39" t="str">
        <v>Наблюдать операции и время; отдельно подтвердить safety-critical параметры</v>
      </c>
    </row>
    <row r="31">
      <c r="A31" s="37" t="str">
        <v>TCH-027</v>
      </c>
      <c r="B31" s="38" t="str">
        <v>VKT-030</v>
      </c>
      <c r="C31" s="38" t="str">
        <v>VKM-030</v>
      </c>
      <c r="D31" s="38" t="str">
        <v>0.1.0-DRAFT</v>
      </c>
      <c r="E31" s="38" t="str">
        <v>Кростата с солёной карамелью</v>
      </c>
      <c r="F31" s="38" t="str">
        <v>Изготовление и отпуск позиции VKM-030 «Кростата с солёной карамелью» в рамках проектного меню Issue #82; каналы и формат отпуска применяются после сверки с паспортом позиции и Owner/Chef Gate.</v>
      </c>
      <c r="G31" s="38" t="str">
        <v>DRAFT</v>
      </c>
      <c r="H31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31" s="38" t="str">
        <v>BLOCKED</v>
      </c>
      <c r="J31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31" s="38" t="str">
        <v>DRAFT</v>
      </c>
      <c r="L31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31" s="38" t="str">
        <v>BLOCKED</v>
      </c>
      <c r="N31" s="38" t="str">
        <v>На контрольной проработке оценить внешний вид, цвет, запах, вкус, консистенцию/текстуру и соответствие проекту подачи «Целая кростата 1200 г и 10 равных порций по 120 г; чистый срез»; критерии приёмки и решение Chef не заполнены.</v>
      </c>
      <c r="O31" s="38" t="str">
        <v>DRAFT</v>
      </c>
      <c r="P31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31" s="38" t="str">
        <v>BLOCKED</v>
      </c>
      <c r="R31" s="38" t="str">
        <v>Замесить песочное тесто; охладить; сформовать и выпечь основу; приготовить карамель и крем; наполнить; стабилизировать; декорировать; разделить на 10 порций</v>
      </c>
      <c r="S31" s="38" t="n">
        <v>90</v>
      </c>
      <c r="T31" s="38" t="str">
        <v>мин</v>
      </c>
      <c r="U31" s="38" t="n">
        <v>420</v>
      </c>
      <c r="V31" s="38" t="str">
        <v>мин</v>
      </c>
      <c r="W31" s="38" t="str">
        <v>Активные операции 90</v>
      </c>
      <c r="X31" s="38" t="str">
        <v>Охлаждение, выпечка и стабилизация 420</v>
      </c>
      <c r="Y31" s="38" t="str">
        <v>Целая кростата 1200 г и 10 равных порций по 120 г; чистый срез</v>
      </c>
      <c r="Z31" s="38" t="n">
        <v>1200</v>
      </c>
      <c r="AA31" s="38" t="str">
        <v>г</v>
      </c>
      <c r="AB31" s="38" t="str">
        <v>null</v>
      </c>
      <c r="AC31" s="38" t="str">
        <v>BLOCKED_PENDING_VALIDATION</v>
      </c>
      <c r="AD31" s="38" t="str">
        <v>EVD-0013;EVD-0014;EVD-FS-001;EVD-FS-002;EVD-FS-003</v>
      </c>
      <c r="AE31" s="38" t="str">
        <v>FoodSafetyAgent / PPK owner</v>
      </c>
      <c r="AF31" s="38" t="str">
        <v>GAP-010;GAP-011</v>
      </c>
      <c r="AG31" s="38" t="str">
        <v>ASSUMPTION</v>
      </c>
      <c r="AH31" s="38" t="str">
        <v>EVD-0010;EVD-0011</v>
      </c>
      <c r="AI31" s="38" t="str">
        <v>Операции и время — проект планирования; plating — проект для решения шефа</v>
      </c>
      <c r="AJ31" s="38" t="str">
        <v>2026-08-03</v>
      </c>
      <c r="AK31" s="38" t="str">
        <v>Chef</v>
      </c>
      <c r="AL31" s="38" t="str">
        <v>GAP-007;GAP-008</v>
      </c>
      <c r="AM31" s="39" t="str">
        <v>Наблюдать операции и время; отдельно подтвердить safety-critical параметры</v>
      </c>
    </row>
    <row r="32">
      <c r="A32" s="37" t="str">
        <v>TCH-028</v>
      </c>
      <c r="B32" s="38" t="str">
        <v>VKT-031</v>
      </c>
      <c r="C32" s="38" t="str">
        <v>VKM-031</v>
      </c>
      <c r="D32" s="38" t="str">
        <v>0.1.0-DRAFT</v>
      </c>
      <c r="E32" s="38" t="str">
        <v>Мадлен</v>
      </c>
      <c r="F32" s="38" t="str">
        <v>Изготовление и отпуск позиции VKM-031 «Мадлен» в рамках проектного меню Issue #82; каналы и формат отпуска применяются после сверки с паспортом позиции и Owner/Chef Gate.</v>
      </c>
      <c r="G32" s="38" t="str">
        <v>DRAFT</v>
      </c>
      <c r="H32" s="38" t="str">
        <v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v>
      </c>
      <c r="I32" s="38" t="str">
        <v>BLOCKED</v>
      </c>
      <c r="J32" s="38" t="str">
        <v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v>
      </c>
      <c r="K32" s="38" t="str">
        <v>DRAFT</v>
      </c>
      <c r="L32" s="38" t="str">
        <v>Числовые допуски массы, выхода, времени и органолептики не установлены; определить и утвердить по документированной контрольной серии.</v>
      </c>
      <c r="M32" s="38" t="str">
        <v>BLOCKED</v>
      </c>
      <c r="N32" s="38" t="str">
        <v>На контрольной проработке оценить внешний вид, цвет, запах, вкус, консистенцию/текстуру и соответствие проекту подачи «Партия 20 шт. общим выходом 600 г; продажа 2 шт. по 60 г»; критерии приёмки и решение Chef не заполнены.</v>
      </c>
      <c r="O32" s="38" t="str">
        <v>DRAFT</v>
      </c>
      <c r="P32" s="38" t="str">
        <v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v>
      </c>
      <c r="Q32" s="38" t="str">
        <v>BLOCKED</v>
      </c>
      <c r="R32" s="38" t="str">
        <v>Смешать тесто; дать ему стабилизироваться; дозировать в формы; выпечь; охладить; сформировать 20 одинаковых изделий</v>
      </c>
      <c r="S32" s="38" t="n">
        <v>30</v>
      </c>
      <c r="T32" s="38" t="str">
        <v>мин</v>
      </c>
      <c r="U32" s="38" t="n">
        <v>120</v>
      </c>
      <c r="V32" s="38" t="str">
        <v>мин</v>
      </c>
      <c r="W32" s="38" t="str">
        <v>Активные операции 30</v>
      </c>
      <c r="X32" s="38" t="str">
        <v>Стабилизация, выпечка и охлаждение 120</v>
      </c>
      <c r="Y32" s="38" t="str">
        <v>Партия 20 шт. общим выходом 600 г; продажа 2 шт. по 60 г</v>
      </c>
      <c r="Z32" s="38" t="n">
        <v>600</v>
      </c>
      <c r="AA32" s="38" t="str">
        <v>г</v>
      </c>
      <c r="AB32" s="38" t="str">
        <v>null</v>
      </c>
      <c r="AC32" s="38" t="str">
        <v>BLOCKED_PENDING_VALIDATION</v>
      </c>
      <c r="AD32" s="38" t="str">
        <v>EVD-0013;EVD-0014;EVD-FS-001;EVD-FS-002;EVD-FS-003</v>
      </c>
      <c r="AE32" s="38" t="str">
        <v>FoodSafetyAgent / PPK owner</v>
      </c>
      <c r="AF32" s="38" t="str">
        <v>GAP-010;GAP-011</v>
      </c>
      <c r="AG32" s="38" t="str">
        <v>ASSUMPTION</v>
      </c>
      <c r="AH32" s="38" t="str">
        <v>EVD-0010;EVD-0011</v>
      </c>
      <c r="AI32" s="38" t="str">
        <v>Операции и время — проект планирования; plating — проект для решения шефа</v>
      </c>
      <c r="AJ32" s="38" t="str">
        <v>2026-08-03</v>
      </c>
      <c r="AK32" s="38" t="str">
        <v>Chef</v>
      </c>
      <c r="AL32" s="38" t="str">
        <v>GAP-007;GAP-008</v>
      </c>
      <c r="AM32" s="39" t="str">
        <v>Наблюдать операции и время; отдельно подтвердить safety-critical параметры</v>
      </c>
    </row>
    <row r="33">
      <c r="A33" s="37" t="str">
        <v>TCH-BF-026</v>
      </c>
      <c r="B33" s="38" t="str">
        <v>VKT-026</v>
      </c>
      <c r="C33" s="38" t="str">
        <v>VKM-026</v>
      </c>
      <c r="D33" s="38" t="str">
        <v>PR81-DRAFT</v>
      </c>
      <c r="E33" s="38" t="str">
        <v>Яичница, круассан и сыр двух видов</v>
      </c>
      <c r="F33" s="38" t="str">
        <v>Закрытый гостиничный завтрак</v>
      </c>
      <c r="G33" s="38" t="str">
        <v>DRAFT</v>
      </c>
      <c r="H33" s="38" t="str">
        <v>Точные SKU, lot/label chain и документы поставщиков отсутствуют</v>
      </c>
      <c r="I33" s="38" t="str">
        <v>BLOCKED</v>
      </c>
      <c r="J33" s="38" t="str">
        <v>Проверка партии; взвешивание; подготовка</v>
      </c>
      <c r="K33" s="38" t="str">
        <v>DRAFT</v>
      </c>
      <c r="L33" s="38" t="str">
        <v>Требует контрольной проработки</v>
      </c>
      <c r="M33" s="38" t="str">
        <v>BLOCKED</v>
      </c>
      <c r="N33" s="38" t="str">
        <v>Требует решения Chef и контрольной проработки</v>
      </c>
      <c r="O33" s="38" t="str">
        <v>DRAFT</v>
      </c>
      <c r="P33" s="38" t="str">
        <v>Не установлено; требуется evidence</v>
      </c>
      <c r="Q33" s="38" t="str">
        <v>BLOCKED</v>
      </c>
      <c r="R33" s="38" t="str">
        <v>Приготовить основное блюдо; выпечь круассан; нарезать сыр; комплектовать</v>
      </c>
      <c r="S33" s="38"/>
      <c r="T33" s="38"/>
      <c r="U33" s="38"/>
      <c r="V33" s="38"/>
      <c r="W33" s="38"/>
      <c r="X33" s="38"/>
      <c r="Y33" s="38"/>
      <c r="Z33" s="38"/>
      <c r="AA33" s="38"/>
      <c r="AB33" s="38" t="str">
        <v>SKU/lot/label traceability; shelf life; temperature validation; cross-contact</v>
      </c>
      <c r="AC33" s="38" t="str">
        <v>BLOCK</v>
      </c>
      <c r="AD33" s="38"/>
      <c r="AE33" s="38" t="str">
        <v>FoodSafetyAgent / Procurement / Chef</v>
      </c>
      <c r="AF33" s="38" t="str">
        <v>SBL-VKM-026-01;SBL-VKM-026-02;SBL-VKM-026-03;SBL-VKM-026-04</v>
      </c>
      <c r="AG33" s="38" t="str">
        <v>DRAFT_WITH_ASSUMPTIONS</v>
      </c>
      <c r="AH33" s="38"/>
      <c r="AI33" s="38"/>
      <c r="AJ33" s="38"/>
      <c r="AK33" s="38"/>
      <c r="AL33" s="38"/>
      <c r="AM33" s="39" t="str">
        <v>No safety approval; linked blockers remain OPEN</v>
      </c>
    </row>
    <row r="34">
      <c r="A34" s="37" t="str">
        <v>TCH-BF-027</v>
      </c>
      <c r="B34" s="38" t="str">
        <v>VKT-027</v>
      </c>
      <c r="C34" s="38" t="str">
        <v>VKM-027</v>
      </c>
      <c r="D34" s="38" t="str">
        <v>PR81-DRAFT</v>
      </c>
      <c r="E34" s="38" t="str">
        <v>Омлет, круассан и сыр двух видов</v>
      </c>
      <c r="F34" s="38" t="str">
        <v>Закрытый гостиничный завтрак</v>
      </c>
      <c r="G34" s="38" t="str">
        <v>DRAFT</v>
      </c>
      <c r="H34" s="38" t="str">
        <v>Точные SKU, lot/label chain и документы поставщиков отсутствуют</v>
      </c>
      <c r="I34" s="38" t="str">
        <v>BLOCKED</v>
      </c>
      <c r="J34" s="38" t="str">
        <v>Проверка партии; взвешивание; подготовка</v>
      </c>
      <c r="K34" s="38" t="str">
        <v>DRAFT</v>
      </c>
      <c r="L34" s="38" t="str">
        <v>Требует контрольной проработки</v>
      </c>
      <c r="M34" s="38" t="str">
        <v>BLOCKED</v>
      </c>
      <c r="N34" s="38" t="str">
        <v>Требует решения Chef и контрольной проработки</v>
      </c>
      <c r="O34" s="38" t="str">
        <v>DRAFT</v>
      </c>
      <c r="P34" s="38" t="str">
        <v>Не установлено; требуется evidence</v>
      </c>
      <c r="Q34" s="38" t="str">
        <v>BLOCKED</v>
      </c>
      <c r="R34" s="38" t="str">
        <v>Приготовить основное блюдо; выпечь круассан; нарезать сыр; комплектовать</v>
      </c>
      <c r="S34" s="38"/>
      <c r="T34" s="38"/>
      <c r="U34" s="38"/>
      <c r="V34" s="38"/>
      <c r="W34" s="38"/>
      <c r="X34" s="38"/>
      <c r="Y34" s="38"/>
      <c r="Z34" s="38"/>
      <c r="AA34" s="38"/>
      <c r="AB34" s="38" t="str">
        <v>SKU/lot/label traceability; shelf life; temperature validation; cross-contact</v>
      </c>
      <c r="AC34" s="38" t="str">
        <v>BLOCK</v>
      </c>
      <c r="AD34" s="38"/>
      <c r="AE34" s="38" t="str">
        <v>FoodSafetyAgent / Procurement / Chef</v>
      </c>
      <c r="AF34" s="38" t="str">
        <v>SBL-VKM-027-01;SBL-VKM-027-02;SBL-VKM-027-03;SBL-VKM-027-04</v>
      </c>
      <c r="AG34" s="38" t="str">
        <v>DRAFT_WITH_ASSUMPTIONS</v>
      </c>
      <c r="AH34" s="38"/>
      <c r="AI34" s="38"/>
      <c r="AJ34" s="38"/>
      <c r="AK34" s="38"/>
      <c r="AL34" s="38"/>
      <c r="AM34" s="39" t="str">
        <v>No safety approval; linked blockers remain OPEN</v>
      </c>
    </row>
    <row r="35">
      <c r="A35" s="40" t="str">
        <v>TCH-BF-028</v>
      </c>
      <c r="B35" s="41" t="str">
        <v>VKT-028</v>
      </c>
      <c r="C35" s="41" t="str">
        <v>VKM-028</v>
      </c>
      <c r="D35" s="41" t="str">
        <v>PR81-DRAFT</v>
      </c>
      <c r="E35" s="41" t="str">
        <v>Овсяная каша, круассан и сыр двух видов</v>
      </c>
      <c r="F35" s="41" t="str">
        <v>Закрытый гостиничный завтрак</v>
      </c>
      <c r="G35" s="41" t="str">
        <v>DRAFT</v>
      </c>
      <c r="H35" s="41" t="str">
        <v>Точные SKU, lot/label chain и документы поставщиков отсутствуют</v>
      </c>
      <c r="I35" s="41" t="str">
        <v>BLOCKED</v>
      </c>
      <c r="J35" s="41" t="str">
        <v>Проверка партии; взвешивание; подготовка</v>
      </c>
      <c r="K35" s="41" t="str">
        <v>DRAFT</v>
      </c>
      <c r="L35" s="41" t="str">
        <v>Требует контрольной проработки</v>
      </c>
      <c r="M35" s="41" t="str">
        <v>BLOCKED</v>
      </c>
      <c r="N35" s="41" t="str">
        <v>Требует решения Chef и контрольной проработки</v>
      </c>
      <c r="O35" s="41" t="str">
        <v>DRAFT</v>
      </c>
      <c r="P35" s="41" t="str">
        <v>Не установлено; требуется evidence</v>
      </c>
      <c r="Q35" s="41" t="str">
        <v>BLOCKED</v>
      </c>
      <c r="R35" s="41" t="str">
        <v>Приготовить основное блюдо; выпечь круассан; нарезать сыр; комплектовать</v>
      </c>
      <c r="S35" s="41"/>
      <c r="T35" s="41"/>
      <c r="U35" s="41"/>
      <c r="V35" s="41"/>
      <c r="W35" s="41"/>
      <c r="X35" s="41"/>
      <c r="Y35" s="41"/>
      <c r="Z35" s="41"/>
      <c r="AA35" s="41"/>
      <c r="AB35" s="41" t="str">
        <v>SKU/lot/label traceability; shelf life; temperature validation; cross-contact</v>
      </c>
      <c r="AC35" s="41" t="str">
        <v>BLOCK</v>
      </c>
      <c r="AD35" s="41"/>
      <c r="AE35" s="41" t="str">
        <v>FoodSafetyAgent / Procurement / Chef</v>
      </c>
      <c r="AF35" s="41" t="str">
        <v>SBL-VKM-028-01;SBL-VKM-028-02;SBL-VKM-028-03;SBL-VKM-028-04</v>
      </c>
      <c r="AG35" s="41" t="str">
        <v>DRAFT_WITH_ASSUMPTIONS</v>
      </c>
      <c r="AH35" s="41"/>
      <c r="AI35" s="41"/>
      <c r="AJ35" s="41"/>
      <c r="AK35" s="41"/>
      <c r="AL35" s="41"/>
      <c r="AM35" s="42" t="str">
        <v>No safety approval; linked blockers remain OPEN</v>
      </c>
    </row>
  </sheetData>
  <autoFilter ref="A1:AM35"/>
  <mergeCells>
    <mergeCell ref="A1:AM1"/>
    <mergeCell ref="A2:AM2"/>
  </mergeCells>
  <conditionalFormatting sqref="G5:G35">
    <cfRule type="containsText" dxfId="48" priority="1" operator="containsText" text="BLOCK"/>
    <cfRule type="containsText" dxfId="49" priority="2" operator="containsText" text="DRAFT"/>
    <cfRule type="containsText" dxfId="50" priority="3" operator="containsText" text="PASS"/>
  </conditionalFormatting>
  <conditionalFormatting sqref="I5:I35">
    <cfRule type="containsText" dxfId="51" priority="4" operator="containsText" text="BLOCK"/>
    <cfRule type="containsText" dxfId="52" priority="5" operator="containsText" text="DRAFT"/>
    <cfRule type="containsText" dxfId="53" priority="6" operator="containsText" text="PASS"/>
  </conditionalFormatting>
  <conditionalFormatting sqref="K5:K35">
    <cfRule type="containsText" dxfId="54" priority="7" operator="containsText" text="BLOCK"/>
    <cfRule type="containsText" dxfId="55" priority="8" operator="containsText" text="DRAFT"/>
    <cfRule type="containsText" dxfId="56" priority="9" operator="containsText" text="PASS"/>
  </conditionalFormatting>
  <conditionalFormatting sqref="M5:M35">
    <cfRule type="containsText" dxfId="57" priority="10" operator="containsText" text="BLOCK"/>
    <cfRule type="containsText" dxfId="58" priority="11" operator="containsText" text="DRAFT"/>
    <cfRule type="containsText" dxfId="59" priority="12" operator="containsText" text="PASS"/>
  </conditionalFormatting>
  <conditionalFormatting sqref="O5:O35">
    <cfRule type="containsText" dxfId="60" priority="13" operator="containsText" text="BLOCK"/>
    <cfRule type="containsText" dxfId="61" priority="14" operator="containsText" text="DRAFT"/>
    <cfRule type="containsText" dxfId="62" priority="15" operator="containsText" text="PASS"/>
  </conditionalFormatting>
  <conditionalFormatting sqref="Q5:Q35">
    <cfRule type="containsText" dxfId="63" priority="16" operator="containsText" text="BLOCK"/>
    <cfRule type="containsText" dxfId="64" priority="17" operator="containsText" text="DRAFT"/>
    <cfRule type="containsText" dxfId="65" priority="18" operator="containsText" text="PASS"/>
  </conditionalFormatting>
  <conditionalFormatting sqref="AC5:AC35">
    <cfRule type="containsText" dxfId="66" priority="19" operator="containsText" text="BLOCK"/>
    <cfRule type="containsText" dxfId="67" priority="20" operator="containsText" text="DRAFT"/>
    <cfRule type="containsText" dxfId="68" priority="21" operator="containsText" text="PASS"/>
  </conditionalFormatting>
  <conditionalFormatting sqref="AG5:AG35">
    <cfRule type="containsText" dxfId="69" priority="22" operator="containsText" text="BLOCK"/>
    <cfRule type="containsText" dxfId="70" priority="23" operator="containsText" text="DRAFT"/>
    <cfRule type="containsText" dxfId="71" priority="24" operator="containsText" text="PASS"/>
  </conditionalFormatting>
  <pageMargins left="0.7" right="0.7" top="0.75" bottom="0.75" header="0.3" footer="0.3"/>
  <tableParts count="1">
    <tablePart r:id="R13713992fa3a4238"/>
  </tableParts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3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24" hidden="0" customWidth="1"/>
    <col min="11" max="11" width="16" hidden="0" customWidth="1"/>
    <col min="12" max="12" width="16" hidden="0" customWidth="1"/>
    <col min="13" max="13" width="24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</cols>
  <sheetData>
    <row r="1">
      <c r="A1" s="8" t="str">
        <v>06 — Сырьё и цены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11" t="str">
        <v>Источник Issue #82; supplier evidence остаётся открытым.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ht="50" customHeight="1">
      <c r="A4" s="14" t="str">
        <v>ingredient_id</v>
      </c>
      <c r="B4" s="14" t="str">
        <v>ingredient_name</v>
      </c>
      <c r="C4" s="14" t="str">
        <v>total_gross_usage_g_in_28_drafts</v>
      </c>
      <c r="D4" s="14" t="str">
        <v>significant_sku</v>
      </c>
      <c r="E4" s="14" t="str">
        <v>selected_price_rub_per_kg</v>
      </c>
      <c r="F4" s="14" t="str">
        <v>price_basis</v>
      </c>
      <c r="G4" s="14" t="str">
        <v>observation_count_compatible</v>
      </c>
      <c r="H4" s="14" t="str">
        <v>price_source_ids</v>
      </c>
      <c r="I4" s="14" t="str">
        <v>price_as_of</v>
      </c>
      <c r="J4" s="14" t="str">
        <v>parameter_status</v>
      </c>
      <c r="K4" s="14" t="str">
        <v>confidence</v>
      </c>
      <c r="L4" s="14" t="str">
        <v>confidence_reason</v>
      </c>
      <c r="M4" s="14" t="str">
        <v>vat_status</v>
      </c>
      <c r="N4" s="14" t="str">
        <v>delivery_rub</v>
      </c>
      <c r="O4" s="14" t="str">
        <v>moq</v>
      </c>
      <c r="P4" s="14" t="str">
        <v>approval_owner</v>
      </c>
      <c r="Q4" s="14" t="str">
        <v>next_action</v>
      </c>
    </row>
    <row r="5">
      <c r="A5" s="34" t="str">
        <v>ING-001</v>
      </c>
      <c r="B5" s="35" t="str">
        <v>Мука пшеничная хлебопекарная</v>
      </c>
      <c r="C5" s="35" t="n">
        <v>788</v>
      </c>
      <c r="D5" s="35" t="str">
        <v>YES</v>
      </c>
      <c r="E5" s="35" t="n">
        <v>42.4925</v>
      </c>
      <c r="F5" s="35" t="str">
        <v>median_public_observation</v>
      </c>
      <c r="G5" s="35" t="n">
        <v>2</v>
      </c>
      <c r="H5" s="35" t="str">
        <v>PSR-0001;PSR-0003</v>
      </c>
      <c r="I5" s="35" t="str">
        <v>2026-08-03</v>
      </c>
      <c r="J5" s="35" t="str">
        <v>ESTIMATE</v>
      </c>
      <c r="K5" s="35" t="str">
        <v>LOW_CONFIDENCE</v>
      </c>
      <c r="L5" s="35" t="str">
        <v>Менее трёх сопоставимых наблюдений</v>
      </c>
      <c r="M5" s="35" t="str">
        <v>Ставка и право вычета не подтверждены</v>
      </c>
      <c r="N5" s="35"/>
      <c r="O5" s="35"/>
      <c r="P5" s="35" t="str">
        <v>Owner / Procurement</v>
      </c>
      <c r="Q5" s="36" t="str">
        <v>Получить минимум 3 КП HoReCa с фасовкой, доставкой, MOQ и НДС</v>
      </c>
    </row>
    <row r="6">
      <c r="A6" s="37" t="str">
        <v>ING-002</v>
      </c>
      <c r="B6" s="38" t="str">
        <v>Вода питьевая</v>
      </c>
      <c r="C6" s="38" t="n">
        <v>580</v>
      </c>
      <c r="D6" s="38" t="str">
        <v>NO</v>
      </c>
      <c r="E6" s="38"/>
      <c r="F6" s="38"/>
      <c r="G6" s="38" t="n">
        <v>0</v>
      </c>
      <c r="H6" s="38"/>
      <c r="I6" s="38"/>
      <c r="J6" s="38" t="str">
        <v>BLOCKED</v>
      </c>
      <c r="K6" s="38" t="str">
        <v>BLOCKED</v>
      </c>
      <c r="L6" s="38" t="str">
        <v>Нет проверяемого публичного ценового наблюдения</v>
      </c>
      <c r="M6" s="38"/>
      <c r="N6" s="38"/>
      <c r="O6" s="38"/>
      <c r="P6" s="38" t="str">
        <v>Owner / Procurement</v>
      </c>
      <c r="Q6" s="39" t="str">
        <v>Получить минимум 3 КП HoReCa с фасовкой, доставкой, MOQ и НДС</v>
      </c>
    </row>
    <row r="7">
      <c r="A7" s="37" t="str">
        <v>ING-003</v>
      </c>
      <c r="B7" s="38" t="str">
        <v>Дрожжи хлебопекарные</v>
      </c>
      <c r="C7" s="38" t="n">
        <v>14</v>
      </c>
      <c r="D7" s="38" t="str">
        <v>NO</v>
      </c>
      <c r="E7" s="38" t="n">
        <v>624.875</v>
      </c>
      <c r="F7" s="38" t="str">
        <v>median_public_observation</v>
      </c>
      <c r="G7" s="38" t="n">
        <v>3</v>
      </c>
      <c r="H7" s="38" t="str">
        <v>PSR-0004;PSR-0005;PSR-0006</v>
      </c>
      <c r="I7" s="38" t="str">
        <v>2026-08-03</v>
      </c>
      <c r="J7" s="38" t="str">
        <v>ESTIMATE</v>
      </c>
      <c r="K7" s="38" t="str">
        <v>MEDIUM</v>
      </c>
      <c r="L7" s="38" t="str">
        <v>Медиана публичных наблюдений</v>
      </c>
      <c r="M7" s="38" t="str">
        <v>Ставка и право вычета не подтверждены</v>
      </c>
      <c r="N7" s="38"/>
      <c r="O7" s="38"/>
      <c r="P7" s="38" t="str">
        <v>Owner / Procurement</v>
      </c>
      <c r="Q7" s="39" t="str">
        <v>Сверить с КП и выбрать поставщика</v>
      </c>
    </row>
    <row r="8">
      <c r="A8" s="37" t="str">
        <v>ING-004</v>
      </c>
      <c r="B8" s="38" t="str">
        <v>Соль пищевая</v>
      </c>
      <c r="C8" s="38" t="n">
        <v>25</v>
      </c>
      <c r="D8" s="38" t="str">
        <v>NO</v>
      </c>
      <c r="E8" s="38" t="n">
        <v>42.99</v>
      </c>
      <c r="F8" s="38" t="str">
        <v>median_public_observation</v>
      </c>
      <c r="G8" s="38" t="n">
        <v>1</v>
      </c>
      <c r="H8" s="38" t="str">
        <v>PSR-0007</v>
      </c>
      <c r="I8" s="38" t="str">
        <v>2026-08-03</v>
      </c>
      <c r="J8" s="38" t="str">
        <v>ESTIMATE</v>
      </c>
      <c r="K8" s="38" t="str">
        <v>LOW_CONFIDENCE</v>
      </c>
      <c r="L8" s="38" t="str">
        <v>Менее трёх сопоставимых наблюдений</v>
      </c>
      <c r="M8" s="38" t="str">
        <v>Ставка и право вычета не подтверждены</v>
      </c>
      <c r="N8" s="38"/>
      <c r="O8" s="38"/>
      <c r="P8" s="38" t="str">
        <v>Owner / Procurement</v>
      </c>
      <c r="Q8" s="39" t="str">
        <v>Получить минимум 3 КП HoReCa с фасовкой, доставкой, MOQ и НДС</v>
      </c>
    </row>
    <row r="9">
      <c r="A9" s="37" t="str">
        <v>ING-005</v>
      </c>
      <c r="B9" s="38" t="str">
        <v>Масло оливковое</v>
      </c>
      <c r="C9" s="38" t="n">
        <v>167</v>
      </c>
      <c r="D9" s="38" t="str">
        <v>NO</v>
      </c>
      <c r="E9" s="38"/>
      <c r="F9" s="38"/>
      <c r="G9" s="38" t="n">
        <v>0</v>
      </c>
      <c r="H9" s="38"/>
      <c r="I9" s="38"/>
      <c r="J9" s="38" t="str">
        <v>BLOCKED</v>
      </c>
      <c r="K9" s="38" t="str">
        <v>BLOCKED</v>
      </c>
      <c r="L9" s="38" t="str">
        <v>Нет проверяемого публичного ценового наблюдения</v>
      </c>
      <c r="M9" s="38"/>
      <c r="N9" s="38"/>
      <c r="O9" s="38"/>
      <c r="P9" s="38" t="str">
        <v>Owner / Procurement</v>
      </c>
      <c r="Q9" s="39" t="str">
        <v>Получить минимум 3 КП HoReCa с фасовкой, доставкой, MOQ и НДС</v>
      </c>
    </row>
    <row r="10">
      <c r="A10" s="37" t="str">
        <v>ING-006</v>
      </c>
      <c r="B10" s="38" t="str">
        <v>Томаты протёртые</v>
      </c>
      <c r="C10" s="38" t="n">
        <v>272</v>
      </c>
      <c r="D10" s="38" t="str">
        <v>NO</v>
      </c>
      <c r="E10" s="38" t="n">
        <v>319.98</v>
      </c>
      <c r="F10" s="38" t="str">
        <v>median_public_observation</v>
      </c>
      <c r="G10" s="38" t="n">
        <v>2</v>
      </c>
      <c r="H10" s="38" t="str">
        <v>PSR-0069;PSR-0088</v>
      </c>
      <c r="I10" s="38" t="str">
        <v>2026-08-03</v>
      </c>
      <c r="J10" s="38" t="str">
        <v>ESTIMATE</v>
      </c>
      <c r="K10" s="38" t="str">
        <v>LOW_CONFIDENCE</v>
      </c>
      <c r="L10" s="38" t="str">
        <v>Менее трёх сопоставимых наблюдений</v>
      </c>
      <c r="M10" s="38" t="str">
        <v>Ставка и право вычета не подтверждены</v>
      </c>
      <c r="N10" s="38"/>
      <c r="O10" s="38"/>
      <c r="P10" s="38" t="str">
        <v>Owner / Procurement</v>
      </c>
      <c r="Q10" s="39" t="str">
        <v>Получить минимум 3 КП HoReCa с фасовкой, доставкой, MOQ и НДС</v>
      </c>
    </row>
    <row r="11">
      <c r="A11" s="37" t="str">
        <v>ING-007</v>
      </c>
      <c r="B11" s="38" t="str">
        <v>Чеснок</v>
      </c>
      <c r="C11" s="38" t="n">
        <v>16.6</v>
      </c>
      <c r="D11" s="38" t="str">
        <v>NO</v>
      </c>
      <c r="E11" s="38" t="n">
        <v>380</v>
      </c>
      <c r="F11" s="38" t="str">
        <v>median_public_observation</v>
      </c>
      <c r="G11" s="38" t="n">
        <v>1</v>
      </c>
      <c r="H11" s="38" t="str">
        <v>PSR-0089</v>
      </c>
      <c r="I11" s="38" t="str">
        <v>2026-08-03</v>
      </c>
      <c r="J11" s="38" t="str">
        <v>ESTIMATE</v>
      </c>
      <c r="K11" s="38" t="str">
        <v>LOW_CONFIDENCE</v>
      </c>
      <c r="L11" s="38" t="str">
        <v>Менее трёх сопоставимых наблюдений</v>
      </c>
      <c r="M11" s="38" t="str">
        <v>Ставка и право вычета не подтверждены</v>
      </c>
      <c r="N11" s="38"/>
      <c r="O11" s="38"/>
      <c r="P11" s="38" t="str">
        <v>Owner / Procurement</v>
      </c>
      <c r="Q11" s="39" t="str">
        <v>Получить минимум 3 КП HoReCa с фасовкой, доставкой, MOQ и НДС</v>
      </c>
    </row>
    <row r="12">
      <c r="A12" s="37" t="str">
        <v>ING-008</v>
      </c>
      <c r="B12" s="38" t="str">
        <v>Орегано</v>
      </c>
      <c r="C12" s="38" t="n">
        <v>4</v>
      </c>
      <c r="D12" s="38" t="str">
        <v>NO</v>
      </c>
      <c r="E12" s="38"/>
      <c r="F12" s="38"/>
      <c r="G12" s="38" t="n">
        <v>0</v>
      </c>
      <c r="H12" s="38"/>
      <c r="I12" s="38"/>
      <c r="J12" s="38" t="str">
        <v>BLOCKED</v>
      </c>
      <c r="K12" s="38" t="str">
        <v>BLOCKED</v>
      </c>
      <c r="L12" s="38" t="str">
        <v>Нет проверяемого публичного ценового наблюдения</v>
      </c>
      <c r="M12" s="38"/>
      <c r="N12" s="38"/>
      <c r="O12" s="38"/>
      <c r="P12" s="38" t="str">
        <v>Owner / Procurement</v>
      </c>
      <c r="Q12" s="39" t="str">
        <v>Получить минимум 3 КП HoReCa с фасовкой, доставкой, MOQ и НДС</v>
      </c>
    </row>
    <row r="13">
      <c r="A13" s="37" t="str">
        <v>ING-009</v>
      </c>
      <c r="B13" s="38" t="str">
        <v>Моцарелла</v>
      </c>
      <c r="C13" s="38" t="n">
        <v>420</v>
      </c>
      <c r="D13" s="38" t="str">
        <v>YES</v>
      </c>
      <c r="E13" s="38" t="n">
        <v>909.975</v>
      </c>
      <c r="F13" s="38" t="str">
        <v>median_public_observation</v>
      </c>
      <c r="G13" s="38" t="n">
        <v>2</v>
      </c>
      <c r="H13" s="38" t="str">
        <v>PSR-0014;PSR-0015</v>
      </c>
      <c r="I13" s="38" t="str">
        <v>2026-08-03</v>
      </c>
      <c r="J13" s="38" t="str">
        <v>ESTIMATE</v>
      </c>
      <c r="K13" s="38" t="str">
        <v>LOW_CONFIDENCE</v>
      </c>
      <c r="L13" s="38" t="str">
        <v>Менее трёх сопоставимых наблюдений</v>
      </c>
      <c r="M13" s="38" t="str">
        <v>Ставка и право вычета не подтверждены</v>
      </c>
      <c r="N13" s="38"/>
      <c r="O13" s="38"/>
      <c r="P13" s="38" t="str">
        <v>Owner / Procurement</v>
      </c>
      <c r="Q13" s="39" t="str">
        <v>Получить минимум 3 КП HoReCa с фасовкой, доставкой, MOQ и НДС</v>
      </c>
    </row>
    <row r="14">
      <c r="A14" s="37" t="str">
        <v>ING-010</v>
      </c>
      <c r="B14" s="38" t="str">
        <v>Пармезан</v>
      </c>
      <c r="C14" s="38" t="n">
        <v>45</v>
      </c>
      <c r="D14" s="38" t="str">
        <v>YES</v>
      </c>
      <c r="E14" s="38" t="n">
        <v>1931.2</v>
      </c>
      <c r="F14" s="38" t="str">
        <v>median_public_observation</v>
      </c>
      <c r="G14" s="38" t="n">
        <v>4</v>
      </c>
      <c r="H14" s="38" t="str">
        <v>PSR-0017;PSR-0018;PSR-0019;PSR-0020</v>
      </c>
      <c r="I14" s="38" t="str">
        <v>2026-08-03</v>
      </c>
      <c r="J14" s="38" t="str">
        <v>ESTIMATE</v>
      </c>
      <c r="K14" s="38" t="str">
        <v>MEDIUM</v>
      </c>
      <c r="L14" s="38" t="str">
        <v>Медиана публичных наблюдений</v>
      </c>
      <c r="M14" s="38" t="str">
        <v>Ставка и право вычета не подтверждены</v>
      </c>
      <c r="N14" s="38"/>
      <c r="O14" s="38"/>
      <c r="P14" s="38" t="str">
        <v>Owner / Procurement</v>
      </c>
      <c r="Q14" s="39" t="str">
        <v>Сверить с КП и выбрать поставщика</v>
      </c>
    </row>
    <row r="15">
      <c r="A15" s="37" t="str">
        <v>ING-011</v>
      </c>
      <c r="B15" s="38" t="str">
        <v>Базилик свежий</v>
      </c>
      <c r="C15" s="38" t="n">
        <v>6</v>
      </c>
      <c r="D15" s="38" t="str">
        <v>NO</v>
      </c>
      <c r="E15" s="38"/>
      <c r="F15" s="38"/>
      <c r="G15" s="38" t="n">
        <v>0</v>
      </c>
      <c r="H15" s="38"/>
      <c r="I15" s="38"/>
      <c r="J15" s="38" t="str">
        <v>BLOCKED</v>
      </c>
      <c r="K15" s="38" t="str">
        <v>BLOCKED</v>
      </c>
      <c r="L15" s="38" t="str">
        <v>Нет проверяемого публичного ценового наблюдения</v>
      </c>
      <c r="M15" s="38"/>
      <c r="N15" s="38"/>
      <c r="O15" s="38"/>
      <c r="P15" s="38" t="str">
        <v>Owner / Procurement</v>
      </c>
      <c r="Q15" s="39" t="str">
        <v>Получить минимум 3 КП HoReCa с фасовкой, доставкой, MOQ и НДС</v>
      </c>
    </row>
    <row r="16">
      <c r="A16" s="37" t="str">
        <v>ING-012</v>
      </c>
      <c r="B16" s="38" t="str">
        <v>Горгонзола</v>
      </c>
      <c r="C16" s="38" t="n">
        <v>45</v>
      </c>
      <c r="D16" s="38" t="str">
        <v>YES</v>
      </c>
      <c r="E16" s="38" t="n">
        <v>1799.9</v>
      </c>
      <c r="F16" s="38" t="str">
        <v>median_public_observation</v>
      </c>
      <c r="G16" s="38" t="n">
        <v>2</v>
      </c>
      <c r="H16" s="38" t="str">
        <v>PSR-0021;PSR-0023</v>
      </c>
      <c r="I16" s="38" t="str">
        <v>2026-08-03</v>
      </c>
      <c r="J16" s="38" t="str">
        <v>ESTIMATE</v>
      </c>
      <c r="K16" s="38" t="str">
        <v>LOW_CONFIDENCE</v>
      </c>
      <c r="L16" s="38" t="str">
        <v>Менее трёх сопоставимых наблюдений</v>
      </c>
      <c r="M16" s="38" t="str">
        <v>Ставка и право вычета не подтверждены</v>
      </c>
      <c r="N16" s="38"/>
      <c r="O16" s="38"/>
      <c r="P16" s="38" t="str">
        <v>Owner / Procurement</v>
      </c>
      <c r="Q16" s="39" t="str">
        <v>Получить минимум 3 КП HoReCa с фасовкой, доставкой, MOQ и НДС</v>
      </c>
    </row>
    <row r="17">
      <c r="A17" s="37" t="str">
        <v>ING-013</v>
      </c>
      <c r="B17" s="38" t="str">
        <v>Фонтина или иной четвёртый сыр</v>
      </c>
      <c r="C17" s="38" t="n">
        <v>30</v>
      </c>
      <c r="D17" s="38" t="str">
        <v>NO</v>
      </c>
      <c r="E17" s="38"/>
      <c r="F17" s="38"/>
      <c r="G17" s="38" t="n">
        <v>0</v>
      </c>
      <c r="H17" s="38"/>
      <c r="I17" s="38"/>
      <c r="J17" s="38" t="str">
        <v>BLOCKED</v>
      </c>
      <c r="K17" s="38" t="str">
        <v>BLOCKED</v>
      </c>
      <c r="L17" s="38" t="str">
        <v>Нет проверяемого публичного ценового наблюдения</v>
      </c>
      <c r="M17" s="38"/>
      <c r="N17" s="38"/>
      <c r="O17" s="38"/>
      <c r="P17" s="38" t="str">
        <v>Owner / Procurement</v>
      </c>
      <c r="Q17" s="39" t="str">
        <v>Получить минимум 3 КП HoReCa с фасовкой, доставкой, MOQ и НДС</v>
      </c>
    </row>
    <row r="18">
      <c r="A18" s="37" t="str">
        <v>ING-014</v>
      </c>
      <c r="B18" s="38" t="str">
        <v>Ветчина</v>
      </c>
      <c r="C18" s="38" t="n">
        <v>60</v>
      </c>
      <c r="D18" s="38" t="str">
        <v>NO</v>
      </c>
      <c r="E18" s="38"/>
      <c r="F18" s="38"/>
      <c r="G18" s="38" t="n">
        <v>0</v>
      </c>
      <c r="H18" s="38"/>
      <c r="I18" s="38"/>
      <c r="J18" s="38" t="str">
        <v>BLOCKED</v>
      </c>
      <c r="K18" s="38" t="str">
        <v>BLOCKED</v>
      </c>
      <c r="L18" s="38" t="str">
        <v>Нет проверяемого публичного ценового наблюдения</v>
      </c>
      <c r="M18" s="38"/>
      <c r="N18" s="38"/>
      <c r="O18" s="38"/>
      <c r="P18" s="38" t="str">
        <v>Owner / Procurement</v>
      </c>
      <c r="Q18" s="39" t="str">
        <v>Получить минимум 3 КП HoReCa с фасовкой, доставкой, MOQ и НДС</v>
      </c>
    </row>
    <row r="19">
      <c r="A19" s="37" t="str">
        <v>ING-015</v>
      </c>
      <c r="B19" s="38" t="str">
        <v>Шампиньоны</v>
      </c>
      <c r="C19" s="38" t="n">
        <v>50</v>
      </c>
      <c r="D19" s="38" t="str">
        <v>NO</v>
      </c>
      <c r="E19" s="38" t="n">
        <v>479.96</v>
      </c>
      <c r="F19" s="38" t="str">
        <v>median_public_observation</v>
      </c>
      <c r="G19" s="38" t="n">
        <v>1</v>
      </c>
      <c r="H19" s="38" t="str">
        <v>PSR-0074</v>
      </c>
      <c r="I19" s="38" t="str">
        <v>2026-08-03</v>
      </c>
      <c r="J19" s="38" t="str">
        <v>ESTIMATE</v>
      </c>
      <c r="K19" s="38" t="str">
        <v>LOW_CONFIDENCE</v>
      </c>
      <c r="L19" s="38" t="str">
        <v>Менее трёх сопоставимых наблюдений</v>
      </c>
      <c r="M19" s="38" t="str">
        <v>Ставка и право вычета не подтверждены</v>
      </c>
      <c r="N19" s="38"/>
      <c r="O19" s="38"/>
      <c r="P19" s="38" t="str">
        <v>Owner / Procurement</v>
      </c>
      <c r="Q19" s="39" t="str">
        <v>Получить минимум 3 КП HoReCa с фасовкой, доставкой, MOQ и НДС</v>
      </c>
    </row>
    <row r="20">
      <c r="A20" s="37" t="str">
        <v>ING-016</v>
      </c>
      <c r="B20" s="38" t="str">
        <v>Лук репчатый</v>
      </c>
      <c r="C20" s="38" t="n">
        <v>50</v>
      </c>
      <c r="D20" s="38" t="str">
        <v>NO</v>
      </c>
      <c r="E20" s="38" t="n">
        <v>48.9</v>
      </c>
      <c r="F20" s="38" t="str">
        <v>median_public_observation</v>
      </c>
      <c r="G20" s="38" t="n">
        <v>1</v>
      </c>
      <c r="H20" s="38" t="str">
        <v>PSR-0071</v>
      </c>
      <c r="I20" s="38" t="str">
        <v>2026-08-03</v>
      </c>
      <c r="J20" s="38" t="str">
        <v>ESTIMATE</v>
      </c>
      <c r="K20" s="38" t="str">
        <v>LOW_CONFIDENCE</v>
      </c>
      <c r="L20" s="38" t="str">
        <v>Менее трёх сопоставимых наблюдений</v>
      </c>
      <c r="M20" s="38" t="str">
        <v>Ставка и право вычета не подтверждены</v>
      </c>
      <c r="N20" s="38"/>
      <c r="O20" s="38"/>
      <c r="P20" s="38" t="str">
        <v>Owner / Procurement</v>
      </c>
      <c r="Q20" s="39" t="str">
        <v>Получить минимум 3 КП HoReCa с фасовкой, доставкой, MOQ и НДС</v>
      </c>
    </row>
    <row r="21">
      <c r="A21" s="37" t="str">
        <v>ING-017</v>
      </c>
      <c r="B21" s="38" t="str">
        <v>Пепперони</v>
      </c>
      <c r="C21" s="38" t="n">
        <v>90</v>
      </c>
      <c r="D21" s="38" t="str">
        <v>NO</v>
      </c>
      <c r="E21" s="38" t="n">
        <v>1444.333333</v>
      </c>
      <c r="F21" s="38" t="str">
        <v>median_public_observation</v>
      </c>
      <c r="G21" s="38" t="n">
        <v>1</v>
      </c>
      <c r="H21" s="38" t="str">
        <v>PSR-0075</v>
      </c>
      <c r="I21" s="38" t="str">
        <v>2026-08-03</v>
      </c>
      <c r="J21" s="38" t="str">
        <v>ESTIMATE</v>
      </c>
      <c r="K21" s="38" t="str">
        <v>LOW_CONFIDENCE</v>
      </c>
      <c r="L21" s="38" t="str">
        <v>Менее трёх сопоставимых наблюдений</v>
      </c>
      <c r="M21" s="38" t="str">
        <v>Ставка и право вычета не подтверждены</v>
      </c>
      <c r="N21" s="38"/>
      <c r="O21" s="38"/>
      <c r="P21" s="38" t="str">
        <v>Owner / Procurement</v>
      </c>
      <c r="Q21" s="39" t="str">
        <v>Получить минимум 3 КП HoReCa с фасовкой, доставкой, MOQ и НДС</v>
      </c>
    </row>
    <row r="22">
      <c r="A22" s="37" t="str">
        <v>ING-018</v>
      </c>
      <c r="B22" s="38" t="str">
        <v>Пюре томатное</v>
      </c>
      <c r="C22" s="38" t="n">
        <v>13</v>
      </c>
      <c r="D22" s="38" t="str">
        <v>NO</v>
      </c>
      <c r="E22" s="38"/>
      <c r="F22" s="38"/>
      <c r="G22" s="38" t="n">
        <v>0</v>
      </c>
      <c r="H22" s="38"/>
      <c r="I22" s="38"/>
      <c r="J22" s="38" t="str">
        <v>BLOCKED</v>
      </c>
      <c r="K22" s="38" t="str">
        <v>BLOCKED</v>
      </c>
      <c r="L22" s="38" t="str">
        <v>Нет проверяемого публичного ценового наблюдения</v>
      </c>
      <c r="M22" s="38"/>
      <c r="N22" s="38"/>
      <c r="O22" s="38"/>
      <c r="P22" s="38" t="str">
        <v>Owner / Procurement</v>
      </c>
      <c r="Q22" s="39" t="str">
        <v>Получить минимум 3 КП HoReCa с фасовкой, доставкой, MOQ и НДС</v>
      </c>
    </row>
    <row r="23">
      <c r="A23" s="37" t="str">
        <v>ING-019</v>
      </c>
      <c r="B23" s="38" t="str">
        <v>Томаты вяленые</v>
      </c>
      <c r="C23" s="38" t="n">
        <v>8</v>
      </c>
      <c r="D23" s="38" t="str">
        <v>NO</v>
      </c>
      <c r="E23" s="38"/>
      <c r="F23" s="38"/>
      <c r="G23" s="38" t="n">
        <v>0</v>
      </c>
      <c r="H23" s="38"/>
      <c r="I23" s="38"/>
      <c r="J23" s="38" t="str">
        <v>BLOCKED</v>
      </c>
      <c r="K23" s="38" t="str">
        <v>BLOCKED</v>
      </c>
      <c r="L23" s="38" t="str">
        <v>Нет проверяемого публичного ценового наблюдения</v>
      </c>
      <c r="M23" s="38"/>
      <c r="N23" s="38"/>
      <c r="O23" s="38"/>
      <c r="P23" s="38" t="str">
        <v>Owner / Procurement</v>
      </c>
      <c r="Q23" s="39" t="str">
        <v>Получить минимум 3 КП HoReCa с фасовкой, доставкой, MOQ и НДС</v>
      </c>
    </row>
    <row r="24">
      <c r="A24" s="37" t="str">
        <v>ING-020</v>
      </c>
      <c r="B24" s="38" t="str">
        <v>Мука ржаная</v>
      </c>
      <c r="C24" s="38" t="n">
        <v>150</v>
      </c>
      <c r="D24" s="38" t="str">
        <v>NO</v>
      </c>
      <c r="E24" s="38" t="n">
        <v>69.99</v>
      </c>
      <c r="F24" s="38" t="str">
        <v>median_public_observation</v>
      </c>
      <c r="G24" s="38" t="n">
        <v>1</v>
      </c>
      <c r="H24" s="38" t="str">
        <v>PSR-0070</v>
      </c>
      <c r="I24" s="38" t="str">
        <v>2026-08-03</v>
      </c>
      <c r="J24" s="38" t="str">
        <v>ESTIMATE</v>
      </c>
      <c r="K24" s="38" t="str">
        <v>LOW_CONFIDENCE</v>
      </c>
      <c r="L24" s="38" t="str">
        <v>Менее трёх сопоставимых наблюдений</v>
      </c>
      <c r="M24" s="38" t="str">
        <v>Ставка и право вычета не подтверждены</v>
      </c>
      <c r="N24" s="38"/>
      <c r="O24" s="38"/>
      <c r="P24" s="38" t="str">
        <v>Owner / Procurement</v>
      </c>
      <c r="Q24" s="39" t="str">
        <v>Получить минимум 3 КП HoReCa с фасовкой, доставкой, MOQ и НДС</v>
      </c>
    </row>
    <row r="25">
      <c r="A25" s="37" t="str">
        <v>ING-021</v>
      </c>
      <c r="B25" s="38" t="str">
        <v>Солод ржаной</v>
      </c>
      <c r="C25" s="38" t="n">
        <v>20</v>
      </c>
      <c r="D25" s="38" t="str">
        <v>NO</v>
      </c>
      <c r="E25" s="38"/>
      <c r="F25" s="38"/>
      <c r="G25" s="38" t="n">
        <v>0</v>
      </c>
      <c r="H25" s="38"/>
      <c r="I25" s="38"/>
      <c r="J25" s="38" t="str">
        <v>BLOCKED</v>
      </c>
      <c r="K25" s="38" t="str">
        <v>BLOCKED</v>
      </c>
      <c r="L25" s="38" t="str">
        <v>Нет проверяемого публичного ценового наблюдения</v>
      </c>
      <c r="M25" s="38"/>
      <c r="N25" s="38"/>
      <c r="O25" s="38"/>
      <c r="P25" s="38" t="str">
        <v>Owner / Procurement</v>
      </c>
      <c r="Q25" s="39" t="str">
        <v>Получить минимум 3 КП HoReCa с фасовкой, доставкой, MOQ и НДС</v>
      </c>
    </row>
    <row r="26">
      <c r="A26" s="37" t="str">
        <v>ING-022</v>
      </c>
      <c r="B26" s="38" t="str">
        <v>Патока</v>
      </c>
      <c r="C26" s="38" t="n">
        <v>10</v>
      </c>
      <c r="D26" s="38" t="str">
        <v>NO</v>
      </c>
      <c r="E26" s="38"/>
      <c r="F26" s="38"/>
      <c r="G26" s="38" t="n">
        <v>0</v>
      </c>
      <c r="H26" s="38"/>
      <c r="I26" s="38"/>
      <c r="J26" s="38" t="str">
        <v>BLOCKED</v>
      </c>
      <c r="K26" s="38" t="str">
        <v>BLOCKED</v>
      </c>
      <c r="L26" s="38" t="str">
        <v>Нет проверяемого публичного ценового наблюдения</v>
      </c>
      <c r="M26" s="38"/>
      <c r="N26" s="38"/>
      <c r="O26" s="38"/>
      <c r="P26" s="38" t="str">
        <v>Owner / Procurement</v>
      </c>
      <c r="Q26" s="39" t="str">
        <v>Получить минимум 3 КП HoReCa с фасовкой, доставкой, MOQ и НДС</v>
      </c>
    </row>
    <row r="27">
      <c r="A27" s="37" t="str">
        <v>ING-023</v>
      </c>
      <c r="B27" s="38" t="str">
        <v>Кориандр</v>
      </c>
      <c r="C27" s="38" t="n">
        <v>4</v>
      </c>
      <c r="D27" s="38" t="str">
        <v>NO</v>
      </c>
      <c r="E27" s="38"/>
      <c r="F27" s="38"/>
      <c r="G27" s="38" t="n">
        <v>0</v>
      </c>
      <c r="H27" s="38"/>
      <c r="I27" s="38"/>
      <c r="J27" s="38" t="str">
        <v>BLOCKED</v>
      </c>
      <c r="K27" s="38" t="str">
        <v>BLOCKED</v>
      </c>
      <c r="L27" s="38" t="str">
        <v>Нет проверяемого публичного ценового наблюдения</v>
      </c>
      <c r="M27" s="38"/>
      <c r="N27" s="38"/>
      <c r="O27" s="38"/>
      <c r="P27" s="38" t="str">
        <v>Owner / Procurement</v>
      </c>
      <c r="Q27" s="39" t="str">
        <v>Получить минимум 3 КП HoReCa с фасовкой, доставкой, MOQ и НДС</v>
      </c>
    </row>
    <row r="28">
      <c r="A28" s="37" t="str">
        <v>ING-024</v>
      </c>
      <c r="B28" s="38" t="str">
        <v>Масло растительное</v>
      </c>
      <c r="C28" s="38" t="n">
        <v>86</v>
      </c>
      <c r="D28" s="38" t="str">
        <v>NO</v>
      </c>
      <c r="E28" s="38"/>
      <c r="F28" s="38"/>
      <c r="G28" s="38" t="n">
        <v>0</v>
      </c>
      <c r="H28" s="38"/>
      <c r="I28" s="38"/>
      <c r="J28" s="38" t="str">
        <v>BLOCKED</v>
      </c>
      <c r="K28" s="38" t="str">
        <v>BLOCKED</v>
      </c>
      <c r="L28" s="38" t="str">
        <v>Нет проверяемого публичного ценового наблюдения</v>
      </c>
      <c r="M28" s="38"/>
      <c r="N28" s="38"/>
      <c r="O28" s="38"/>
      <c r="P28" s="38" t="str">
        <v>Owner / Procurement</v>
      </c>
      <c r="Q28" s="39" t="str">
        <v>Получить минимум 3 КП HoReCa с фасовкой, доставкой, MOQ и НДС</v>
      </c>
    </row>
    <row r="29">
      <c r="A29" s="37" t="str">
        <v>ING-025</v>
      </c>
      <c r="B29" s="38" t="str">
        <v>Молоко</v>
      </c>
      <c r="C29" s="38" t="n">
        <v>63</v>
      </c>
      <c r="D29" s="38" t="str">
        <v>NO</v>
      </c>
      <c r="E29" s="38"/>
      <c r="F29" s="38"/>
      <c r="G29" s="38" t="n">
        <v>0</v>
      </c>
      <c r="H29" s="38"/>
      <c r="I29" s="38"/>
      <c r="J29" s="38" t="str">
        <v>BLOCKED</v>
      </c>
      <c r="K29" s="38" t="str">
        <v>BLOCKED</v>
      </c>
      <c r="L29" s="38" t="str">
        <v>Нет проверяемого публичного ценового наблюдения</v>
      </c>
      <c r="M29" s="38"/>
      <c r="N29" s="38"/>
      <c r="O29" s="38"/>
      <c r="P29" s="38" t="str">
        <v>Owner / Procurement</v>
      </c>
      <c r="Q29" s="39" t="str">
        <v>Получить минимум 3 КП HoReCa с фасовкой, доставкой, MOQ и НДС</v>
      </c>
    </row>
    <row r="30">
      <c r="A30" s="37" t="str">
        <v>ING-026</v>
      </c>
      <c r="B30" s="38" t="str">
        <v>Яйцо или меланж</v>
      </c>
      <c r="C30" s="38" t="n">
        <v>391</v>
      </c>
      <c r="D30" s="38" t="str">
        <v>NO</v>
      </c>
      <c r="E30" s="38" t="n">
        <v>401.666667</v>
      </c>
      <c r="F30" s="38" t="str">
        <v>median_public_observation</v>
      </c>
      <c r="G30" s="38" t="n">
        <v>1</v>
      </c>
      <c r="H30" s="38" t="str">
        <v>PSR-0009</v>
      </c>
      <c r="I30" s="38" t="str">
        <v>2026-08-03</v>
      </c>
      <c r="J30" s="38" t="str">
        <v>ESTIMATE</v>
      </c>
      <c r="K30" s="38" t="str">
        <v>LOW_CONFIDENCE</v>
      </c>
      <c r="L30" s="38" t="str">
        <v>Менее трёх сопоставимых наблюдений</v>
      </c>
      <c r="M30" s="38" t="str">
        <v>Ставка и право вычета не подтверждены</v>
      </c>
      <c r="N30" s="38"/>
      <c r="O30" s="38"/>
      <c r="P30" s="38" t="str">
        <v>Owner / Procurement</v>
      </c>
      <c r="Q30" s="39" t="str">
        <v>Получить минимум 3 КП HoReCa с фасовкой, доставкой, MOQ и НДС</v>
      </c>
    </row>
    <row r="31">
      <c r="A31" s="37" t="str">
        <v>ING-027</v>
      </c>
      <c r="B31" s="38" t="str">
        <v>Масло сливочное</v>
      </c>
      <c r="C31" s="38" t="n">
        <v>490</v>
      </c>
      <c r="D31" s="38" t="str">
        <v>YES</v>
      </c>
      <c r="E31" s="38" t="n">
        <v>1111.055556</v>
      </c>
      <c r="F31" s="38" t="str">
        <v>median_public_observation</v>
      </c>
      <c r="G31" s="38" t="n">
        <v>1</v>
      </c>
      <c r="H31" s="38" t="str">
        <v>PSR-0010</v>
      </c>
      <c r="I31" s="38" t="str">
        <v>2026-08-03</v>
      </c>
      <c r="J31" s="38" t="str">
        <v>ESTIMATE</v>
      </c>
      <c r="K31" s="38" t="str">
        <v>LOW_CONFIDENCE</v>
      </c>
      <c r="L31" s="38" t="str">
        <v>Менее трёх сопоставимых наблюдений</v>
      </c>
      <c r="M31" s="38" t="str">
        <v>Ставка и право вычета не подтверждены</v>
      </c>
      <c r="N31" s="38"/>
      <c r="O31" s="38"/>
      <c r="P31" s="38" t="str">
        <v>Owner / Procurement</v>
      </c>
      <c r="Q31" s="39" t="str">
        <v>Получить минимум 3 КП HoReCa с фасовкой, доставкой, MOQ и НДС</v>
      </c>
    </row>
    <row r="32">
      <c r="A32" s="37" t="str">
        <v>ING-028</v>
      </c>
      <c r="B32" s="38" t="str">
        <v>Сахар</v>
      </c>
      <c r="C32" s="38" t="n">
        <v>529</v>
      </c>
      <c r="D32" s="38" t="str">
        <v>NO</v>
      </c>
      <c r="E32" s="38" t="n">
        <v>99.99</v>
      </c>
      <c r="F32" s="38" t="str">
        <v>median_public_observation</v>
      </c>
      <c r="G32" s="38" t="n">
        <v>1</v>
      </c>
      <c r="H32" s="38" t="str">
        <v>PSR-0013</v>
      </c>
      <c r="I32" s="38" t="str">
        <v>2026-08-03</v>
      </c>
      <c r="J32" s="38" t="str">
        <v>ESTIMATE</v>
      </c>
      <c r="K32" s="38" t="str">
        <v>LOW_CONFIDENCE</v>
      </c>
      <c r="L32" s="38" t="str">
        <v>Менее трёх сопоставимых наблюдений</v>
      </c>
      <c r="M32" s="38" t="str">
        <v>Ставка и право вычета не подтверждены</v>
      </c>
      <c r="N32" s="38"/>
      <c r="O32" s="38"/>
      <c r="P32" s="38" t="str">
        <v>Owner / Procurement</v>
      </c>
      <c r="Q32" s="39" t="str">
        <v>Получить минимум 3 КП HoReCa с фасовкой, доставкой, MOQ и НДС</v>
      </c>
    </row>
    <row r="33">
      <c r="A33" s="37" t="str">
        <v>ING-029</v>
      </c>
      <c r="B33" s="38" t="str">
        <v>Меланж для смазки</v>
      </c>
      <c r="C33" s="38" t="n">
        <v>1</v>
      </c>
      <c r="D33" s="38" t="str">
        <v>NO</v>
      </c>
      <c r="E33" s="38"/>
      <c r="F33" s="38"/>
      <c r="G33" s="38" t="n">
        <v>0</v>
      </c>
      <c r="H33" s="38"/>
      <c r="I33" s="38"/>
      <c r="J33" s="38" t="str">
        <v>BLOCKED</v>
      </c>
      <c r="K33" s="38" t="str">
        <v>BLOCKED</v>
      </c>
      <c r="L33" s="38" t="str">
        <v>Нет проверяемого публичного ценового наблюдения</v>
      </c>
      <c r="M33" s="38"/>
      <c r="N33" s="38"/>
      <c r="O33" s="38"/>
      <c r="P33" s="38" t="str">
        <v>Owner / Procurement</v>
      </c>
      <c r="Q33" s="39" t="str">
        <v>Получить минимум 3 КП HoReCa с фасовкой, доставкой, MOQ и НДС</v>
      </c>
    </row>
    <row r="34">
      <c r="A34" s="37" t="str">
        <v>ING-030</v>
      </c>
      <c r="B34" s="38" t="str">
        <v>Буррата</v>
      </c>
      <c r="C34" s="38" t="n">
        <v>125</v>
      </c>
      <c r="D34" s="38" t="str">
        <v>YES</v>
      </c>
      <c r="E34" s="38" t="n">
        <v>1536.593333</v>
      </c>
      <c r="F34" s="38" t="str">
        <v>median_public_observation</v>
      </c>
      <c r="G34" s="38" t="n">
        <v>4</v>
      </c>
      <c r="H34" s="38" t="str">
        <v>PSR-0025;PSR-0026;PSR-0027;PSR-0028</v>
      </c>
      <c r="I34" s="38" t="str">
        <v>2026-08-03</v>
      </c>
      <c r="J34" s="38" t="str">
        <v>ESTIMATE</v>
      </c>
      <c r="K34" s="38" t="str">
        <v>MEDIUM</v>
      </c>
      <c r="L34" s="38" t="str">
        <v>Медиана публичных наблюдений</v>
      </c>
      <c r="M34" s="38" t="str">
        <v>Ставка и право вычета не подтверждены</v>
      </c>
      <c r="N34" s="38"/>
      <c r="O34" s="38"/>
      <c r="P34" s="38" t="str">
        <v>Owner / Procurement</v>
      </c>
      <c r="Q34" s="39" t="str">
        <v>Сверить с КП и выбрать поставщика</v>
      </c>
    </row>
    <row r="35">
      <c r="A35" s="37" t="str">
        <v>ING-031</v>
      </c>
      <c r="B35" s="38" t="str">
        <v>Томаты свежие</v>
      </c>
      <c r="C35" s="38" t="n">
        <v>264</v>
      </c>
      <c r="D35" s="38" t="str">
        <v>NO</v>
      </c>
      <c r="E35" s="38"/>
      <c r="F35" s="38"/>
      <c r="G35" s="38" t="n">
        <v>0</v>
      </c>
      <c r="H35" s="38"/>
      <c r="I35" s="38"/>
      <c r="J35" s="38" t="str">
        <v>BLOCKED</v>
      </c>
      <c r="K35" s="38" t="str">
        <v>BLOCKED</v>
      </c>
      <c r="L35" s="38" t="str">
        <v>Нет проверяемого публичного ценового наблюдения</v>
      </c>
      <c r="M35" s="38"/>
      <c r="N35" s="38"/>
      <c r="O35" s="38"/>
      <c r="P35" s="38" t="str">
        <v>Owner / Procurement</v>
      </c>
      <c r="Q35" s="39" t="str">
        <v>Получить минимум 3 КП HoReCa с фасовкой, доставкой, MOQ и НДС</v>
      </c>
    </row>
    <row r="36">
      <c r="A36" s="37" t="str">
        <v>ING-032</v>
      </c>
      <c r="B36" s="38" t="str">
        <v>Уксус бальзамический</v>
      </c>
      <c r="C36" s="38" t="n">
        <v>3</v>
      </c>
      <c r="D36" s="38" t="str">
        <v>NO</v>
      </c>
      <c r="E36" s="38"/>
      <c r="F36" s="38"/>
      <c r="G36" s="38" t="n">
        <v>0</v>
      </c>
      <c r="H36" s="38"/>
      <c r="I36" s="38"/>
      <c r="J36" s="38" t="str">
        <v>BLOCKED</v>
      </c>
      <c r="K36" s="38" t="str">
        <v>BLOCKED</v>
      </c>
      <c r="L36" s="38" t="str">
        <v>Нет проверяемого публичного ценового наблюдения</v>
      </c>
      <c r="M36" s="38"/>
      <c r="N36" s="38"/>
      <c r="O36" s="38"/>
      <c r="P36" s="38" t="str">
        <v>Owner / Procurement</v>
      </c>
      <c r="Q36" s="39" t="str">
        <v>Получить минимум 3 КП HoReCa с фасовкой, доставкой, MOQ и НДС</v>
      </c>
    </row>
    <row r="37">
      <c r="A37" s="37" t="str">
        <v>ING-033</v>
      </c>
      <c r="B37" s="38" t="str">
        <v>Соль и специи</v>
      </c>
      <c r="C37" s="38" t="n">
        <v>8</v>
      </c>
      <c r="D37" s="38" t="str">
        <v>NO</v>
      </c>
      <c r="E37" s="38"/>
      <c r="F37" s="38"/>
      <c r="G37" s="38" t="n">
        <v>0</v>
      </c>
      <c r="H37" s="38"/>
      <c r="I37" s="38"/>
      <c r="J37" s="38" t="str">
        <v>BLOCKED</v>
      </c>
      <c r="K37" s="38" t="str">
        <v>BLOCKED</v>
      </c>
      <c r="L37" s="38" t="str">
        <v>Нет проверяемого публичного ценового наблюдения</v>
      </c>
      <c r="M37" s="38"/>
      <c r="N37" s="38"/>
      <c r="O37" s="38"/>
      <c r="P37" s="38" t="str">
        <v>Owner / Procurement</v>
      </c>
      <c r="Q37" s="39" t="str">
        <v>Получить минимум 3 КП HoReCa с фасовкой, доставкой, MOQ и НДС</v>
      </c>
    </row>
    <row r="38">
      <c r="A38" s="37" t="str">
        <v>ING-034</v>
      </c>
      <c r="B38" s="38" t="str">
        <v>Салатная зелень</v>
      </c>
      <c r="C38" s="38" t="n">
        <v>29</v>
      </c>
      <c r="D38" s="38" t="str">
        <v>NO</v>
      </c>
      <c r="E38" s="38"/>
      <c r="F38" s="38"/>
      <c r="G38" s="38" t="n">
        <v>0</v>
      </c>
      <c r="H38" s="38"/>
      <c r="I38" s="38"/>
      <c r="J38" s="38" t="str">
        <v>BLOCKED</v>
      </c>
      <c r="K38" s="38" t="str">
        <v>BLOCKED</v>
      </c>
      <c r="L38" s="38" t="str">
        <v>Нет проверяемого публичного ценового наблюдения</v>
      </c>
      <c r="M38" s="38"/>
      <c r="N38" s="38"/>
      <c r="O38" s="38"/>
      <c r="P38" s="38" t="str">
        <v>Owner / Procurement</v>
      </c>
      <c r="Q38" s="39" t="str">
        <v>Получить минимум 3 КП HoReCa с фасовкой, доставкой, MOQ и НДС</v>
      </c>
    </row>
    <row r="39">
      <c r="A39" s="37" t="str">
        <v>ING-035</v>
      </c>
      <c r="B39" s="38" t="str">
        <v>Салатный микс</v>
      </c>
      <c r="C39" s="38" t="n">
        <v>90</v>
      </c>
      <c r="D39" s="38" t="str">
        <v>NO</v>
      </c>
      <c r="E39" s="38"/>
      <c r="F39" s="38"/>
      <c r="G39" s="38" t="n">
        <v>0</v>
      </c>
      <c r="H39" s="38"/>
      <c r="I39" s="38"/>
      <c r="J39" s="38" t="str">
        <v>BLOCKED</v>
      </c>
      <c r="K39" s="38" t="str">
        <v>BLOCKED</v>
      </c>
      <c r="L39" s="38" t="str">
        <v>Нет проверяемого публичного ценового наблюдения</v>
      </c>
      <c r="M39" s="38"/>
      <c r="N39" s="38"/>
      <c r="O39" s="38"/>
      <c r="P39" s="38" t="str">
        <v>Owner / Procurement</v>
      </c>
      <c r="Q39" s="39" t="str">
        <v>Получить минимум 3 КП HoReCa с фасовкой, доставкой, MOQ и НДС</v>
      </c>
    </row>
    <row r="40">
      <c r="A40" s="37" t="str">
        <v>ING-036</v>
      </c>
      <c r="B40" s="38" t="str">
        <v>Креветки очищенные</v>
      </c>
      <c r="C40" s="38" t="n">
        <v>250</v>
      </c>
      <c r="D40" s="38" t="str">
        <v>YES</v>
      </c>
      <c r="E40" s="38" t="n">
        <v>1659.98</v>
      </c>
      <c r="F40" s="38" t="str">
        <v>median_public_observation</v>
      </c>
      <c r="G40" s="38" t="n">
        <v>5</v>
      </c>
      <c r="H40" s="38" t="str">
        <v>PSR-0031;PSR-0032;PSR-0033;PSR-0034;PSR-0035</v>
      </c>
      <c r="I40" s="38" t="str">
        <v>2026-08-03</v>
      </c>
      <c r="J40" s="38" t="str">
        <v>ESTIMATE</v>
      </c>
      <c r="K40" s="38" t="str">
        <v>MEDIUM</v>
      </c>
      <c r="L40" s="38" t="str">
        <v>Медиана публичных наблюдений</v>
      </c>
      <c r="M40" s="38" t="str">
        <v>Ставка и право вычета не подтверждены</v>
      </c>
      <c r="N40" s="38"/>
      <c r="O40" s="38"/>
      <c r="P40" s="38" t="str">
        <v>Owner / Procurement</v>
      </c>
      <c r="Q40" s="39" t="str">
        <v>Сверить с КП и выбрать поставщика</v>
      </c>
    </row>
    <row r="41">
      <c r="A41" s="37" t="str">
        <v>ING-037</v>
      </c>
      <c r="B41" s="38" t="str">
        <v>Яблоко</v>
      </c>
      <c r="C41" s="38" t="n">
        <v>65</v>
      </c>
      <c r="D41" s="38" t="str">
        <v>NO</v>
      </c>
      <c r="E41" s="38"/>
      <c r="F41" s="38"/>
      <c r="G41" s="38" t="n">
        <v>0</v>
      </c>
      <c r="H41" s="38"/>
      <c r="I41" s="38"/>
      <c r="J41" s="38" t="str">
        <v>BLOCKED</v>
      </c>
      <c r="K41" s="38" t="str">
        <v>BLOCKED</v>
      </c>
      <c r="L41" s="38" t="str">
        <v>Нет проверяемого публичного ценового наблюдения</v>
      </c>
      <c r="M41" s="38"/>
      <c r="N41" s="38"/>
      <c r="O41" s="38"/>
      <c r="P41" s="38" t="str">
        <v>Owner / Procurement</v>
      </c>
      <c r="Q41" s="39" t="str">
        <v>Получить минимум 3 КП HoReCa с фасовкой, доставкой, MOQ и НДС</v>
      </c>
    </row>
    <row r="42">
      <c r="A42" s="37" t="str">
        <v>ING-038</v>
      </c>
      <c r="B42" s="38" t="str">
        <v>Огурец свежий</v>
      </c>
      <c r="C42" s="38" t="n">
        <v>160</v>
      </c>
      <c r="D42" s="38" t="str">
        <v>NO</v>
      </c>
      <c r="E42" s="38" t="n">
        <v>145</v>
      </c>
      <c r="F42" s="38" t="str">
        <v>median_public_observation</v>
      </c>
      <c r="G42" s="38" t="n">
        <v>1</v>
      </c>
      <c r="H42" s="38" t="str">
        <v>PSR-0072</v>
      </c>
      <c r="I42" s="38" t="str">
        <v>2026-08-03</v>
      </c>
      <c r="J42" s="38" t="str">
        <v>ESTIMATE</v>
      </c>
      <c r="K42" s="38" t="str">
        <v>LOW_CONFIDENCE</v>
      </c>
      <c r="L42" s="38" t="str">
        <v>Менее трёх сопоставимых наблюдений</v>
      </c>
      <c r="M42" s="38" t="str">
        <v>Ставка и право вычета не подтверждены</v>
      </c>
      <c r="N42" s="38"/>
      <c r="O42" s="38"/>
      <c r="P42" s="38" t="str">
        <v>Owner / Procurement</v>
      </c>
      <c r="Q42" s="39" t="str">
        <v>Получить минимум 3 КП HoReCa с фасовкой, доставкой, MOQ и НДС</v>
      </c>
    </row>
    <row r="43">
      <c r="A43" s="37" t="str">
        <v>ING-039</v>
      </c>
      <c r="B43" s="38" t="str">
        <v>Сок лимона</v>
      </c>
      <c r="C43" s="38" t="n">
        <v>10</v>
      </c>
      <c r="D43" s="38" t="str">
        <v>NO</v>
      </c>
      <c r="E43" s="38"/>
      <c r="F43" s="38"/>
      <c r="G43" s="38" t="n">
        <v>0</v>
      </c>
      <c r="H43" s="38"/>
      <c r="I43" s="38"/>
      <c r="J43" s="38" t="str">
        <v>BLOCKED</v>
      </c>
      <c r="K43" s="38" t="str">
        <v>BLOCKED</v>
      </c>
      <c r="L43" s="38" t="str">
        <v>Нет проверяемого публичного ценового наблюдения</v>
      </c>
      <c r="M43" s="38"/>
      <c r="N43" s="38"/>
      <c r="O43" s="38"/>
      <c r="P43" s="38" t="str">
        <v>Owner / Procurement</v>
      </c>
      <c r="Q43" s="39" t="str">
        <v>Получить минимум 3 КП HoReCa с фасовкой, доставкой, MOQ и НДС</v>
      </c>
    </row>
    <row r="44">
      <c r="A44" s="37" t="str">
        <v>ING-040</v>
      </c>
      <c r="B44" s="38" t="str">
        <v>Мёд</v>
      </c>
      <c r="C44" s="38" t="n">
        <v>18</v>
      </c>
      <c r="D44" s="38" t="str">
        <v>NO</v>
      </c>
      <c r="E44" s="38"/>
      <c r="F44" s="38"/>
      <c r="G44" s="38" t="n">
        <v>0</v>
      </c>
      <c r="H44" s="38"/>
      <c r="I44" s="38"/>
      <c r="J44" s="38" t="str">
        <v>BLOCKED</v>
      </c>
      <c r="K44" s="38" t="str">
        <v>BLOCKED</v>
      </c>
      <c r="L44" s="38" t="str">
        <v>Нет проверяемого публичного ценового наблюдения</v>
      </c>
      <c r="M44" s="38"/>
      <c r="N44" s="38"/>
      <c r="O44" s="38"/>
      <c r="P44" s="38" t="str">
        <v>Owner / Procurement</v>
      </c>
      <c r="Q44" s="39" t="str">
        <v>Получить минимум 3 КП HoReCa с фасовкой, доставкой, MOQ и НДС</v>
      </c>
    </row>
    <row r="45">
      <c r="A45" s="37" t="str">
        <v>ING-041</v>
      </c>
      <c r="B45" s="38" t="str">
        <v>Горчица</v>
      </c>
      <c r="C45" s="38" t="n">
        <v>17</v>
      </c>
      <c r="D45" s="38" t="str">
        <v>NO</v>
      </c>
      <c r="E45" s="38"/>
      <c r="F45" s="38"/>
      <c r="G45" s="38" t="n">
        <v>0</v>
      </c>
      <c r="H45" s="38"/>
      <c r="I45" s="38"/>
      <c r="J45" s="38" t="str">
        <v>BLOCKED</v>
      </c>
      <c r="K45" s="38" t="str">
        <v>BLOCKED</v>
      </c>
      <c r="L45" s="38" t="str">
        <v>Нет проверяемого публичного ценового наблюдения</v>
      </c>
      <c r="M45" s="38"/>
      <c r="N45" s="38"/>
      <c r="O45" s="38"/>
      <c r="P45" s="38" t="str">
        <v>Owner / Procurement</v>
      </c>
      <c r="Q45" s="39" t="str">
        <v>Получить минимум 3 КП HoReCa с фасовкой, доставкой, MOQ и НДС</v>
      </c>
    </row>
    <row r="46">
      <c r="A46" s="37" t="str">
        <v>ING-042</v>
      </c>
      <c r="B46" s="38" t="str">
        <v>Семена или ореховая крошка</v>
      </c>
      <c r="C46" s="38" t="n">
        <v>5</v>
      </c>
      <c r="D46" s="38" t="str">
        <v>NO</v>
      </c>
      <c r="E46" s="38"/>
      <c r="F46" s="38"/>
      <c r="G46" s="38" t="n">
        <v>0</v>
      </c>
      <c r="H46" s="38"/>
      <c r="I46" s="38"/>
      <c r="J46" s="38" t="str">
        <v>BLOCKED</v>
      </c>
      <c r="K46" s="38" t="str">
        <v>BLOCKED</v>
      </c>
      <c r="L46" s="38" t="str">
        <v>Нет проверяемого публичного ценового наблюдения</v>
      </c>
      <c r="M46" s="38"/>
      <c r="N46" s="38"/>
      <c r="O46" s="38"/>
      <c r="P46" s="38" t="str">
        <v>Owner / Procurement</v>
      </c>
      <c r="Q46" s="39" t="str">
        <v>Получить минимум 3 КП HoReCa с фасовкой, доставкой, MOQ и НДС</v>
      </c>
    </row>
    <row r="47">
      <c r="A47" s="37" t="str">
        <v>ING-043</v>
      </c>
      <c r="B47" s="38" t="str">
        <v>Перец сладкий</v>
      </c>
      <c r="C47" s="38" t="n">
        <v>162</v>
      </c>
      <c r="D47" s="38" t="str">
        <v>NO</v>
      </c>
      <c r="E47" s="38" t="n">
        <v>305</v>
      </c>
      <c r="F47" s="38" t="str">
        <v>median_public_observation</v>
      </c>
      <c r="G47" s="38" t="n">
        <v>1</v>
      </c>
      <c r="H47" s="38" t="str">
        <v>PSR-0073</v>
      </c>
      <c r="I47" s="38" t="str">
        <v>2026-08-03</v>
      </c>
      <c r="J47" s="38" t="str">
        <v>ESTIMATE</v>
      </c>
      <c r="K47" s="38" t="str">
        <v>LOW_CONFIDENCE</v>
      </c>
      <c r="L47" s="38" t="str">
        <v>Менее трёх сопоставимых наблюдений</v>
      </c>
      <c r="M47" s="38" t="str">
        <v>Ставка и право вычета не подтверждены</v>
      </c>
      <c r="N47" s="38"/>
      <c r="O47" s="38"/>
      <c r="P47" s="38" t="str">
        <v>Owner / Procurement</v>
      </c>
      <c r="Q47" s="39" t="str">
        <v>Получить минимум 3 КП HoReCa с фасовкой, доставкой, MOQ и НДС</v>
      </c>
    </row>
    <row r="48">
      <c r="A48" s="37" t="str">
        <v>ING-044</v>
      </c>
      <c r="B48" s="38" t="str">
        <v>Сыр фета</v>
      </c>
      <c r="C48" s="38" t="n">
        <v>50</v>
      </c>
      <c r="D48" s="38" t="str">
        <v>NO</v>
      </c>
      <c r="E48" s="38"/>
      <c r="F48" s="38"/>
      <c r="G48" s="38" t="n">
        <v>0</v>
      </c>
      <c r="H48" s="38"/>
      <c r="I48" s="38"/>
      <c r="J48" s="38" t="str">
        <v>BLOCKED</v>
      </c>
      <c r="K48" s="38" t="str">
        <v>BLOCKED</v>
      </c>
      <c r="L48" s="38" t="str">
        <v>Нет проверяемого публичного ценового наблюдения</v>
      </c>
      <c r="M48" s="38"/>
      <c r="N48" s="38"/>
      <c r="O48" s="38"/>
      <c r="P48" s="38" t="str">
        <v>Owner / Procurement</v>
      </c>
      <c r="Q48" s="39" t="str">
        <v>Получить минимум 3 КП HoReCa с фасовкой, доставкой, MOQ и НДС</v>
      </c>
    </row>
    <row r="49">
      <c r="A49" s="37" t="str">
        <v>ING-045</v>
      </c>
      <c r="B49" s="38" t="str">
        <v>Оливки</v>
      </c>
      <c r="C49" s="38" t="n">
        <v>21</v>
      </c>
      <c r="D49" s="38" t="str">
        <v>NO</v>
      </c>
      <c r="E49" s="38"/>
      <c r="F49" s="38"/>
      <c r="G49" s="38" t="n">
        <v>0</v>
      </c>
      <c r="H49" s="38"/>
      <c r="I49" s="38"/>
      <c r="J49" s="38" t="str">
        <v>BLOCKED</v>
      </c>
      <c r="K49" s="38" t="str">
        <v>BLOCKED</v>
      </c>
      <c r="L49" s="38" t="str">
        <v>Нет проверяемого публичного ценового наблюдения</v>
      </c>
      <c r="M49" s="38"/>
      <c r="N49" s="38"/>
      <c r="O49" s="38"/>
      <c r="P49" s="38" t="str">
        <v>Owner / Procurement</v>
      </c>
      <c r="Q49" s="39" t="str">
        <v>Получить минимум 3 КП HoReCa с фасовкой, доставкой, MOQ и НДС</v>
      </c>
    </row>
    <row r="50">
      <c r="A50" s="37" t="str">
        <v>ING-046</v>
      </c>
      <c r="B50" s="38" t="str">
        <v>Лук красный</v>
      </c>
      <c r="C50" s="38" t="n">
        <v>60</v>
      </c>
      <c r="D50" s="38" t="str">
        <v>NO</v>
      </c>
      <c r="E50" s="38" t="n">
        <v>130</v>
      </c>
      <c r="F50" s="38" t="str">
        <v>median_public_observation</v>
      </c>
      <c r="G50" s="38" t="n">
        <v>1</v>
      </c>
      <c r="H50" s="38" t="str">
        <v>PSR-0077</v>
      </c>
      <c r="I50" s="38" t="str">
        <v>2026-08-03</v>
      </c>
      <c r="J50" s="38" t="str">
        <v>ESTIMATE</v>
      </c>
      <c r="K50" s="38" t="str">
        <v>LOW_CONFIDENCE</v>
      </c>
      <c r="L50" s="38" t="str">
        <v>Менее трёх сопоставимых наблюдений</v>
      </c>
      <c r="M50" s="38" t="str">
        <v>Ставка и право вычета не подтверждены</v>
      </c>
      <c r="N50" s="38"/>
      <c r="O50" s="38"/>
      <c r="P50" s="38" t="str">
        <v>Owner / Procurement</v>
      </c>
      <c r="Q50" s="39" t="str">
        <v>Получить минимум 3 КП HoReCa с фасовкой, доставкой, MOQ и НДС</v>
      </c>
    </row>
    <row r="51">
      <c r="A51" s="37" t="str">
        <v>ING-047</v>
      </c>
      <c r="B51" s="38" t="str">
        <v>Орегано и соль</v>
      </c>
      <c r="C51" s="38" t="n">
        <v>1</v>
      </c>
      <c r="D51" s="38" t="str">
        <v>NO</v>
      </c>
      <c r="E51" s="38"/>
      <c r="F51" s="38"/>
      <c r="G51" s="38" t="n">
        <v>0</v>
      </c>
      <c r="H51" s="38"/>
      <c r="I51" s="38"/>
      <c r="J51" s="38" t="str">
        <v>BLOCKED</v>
      </c>
      <c r="K51" s="38" t="str">
        <v>BLOCKED</v>
      </c>
      <c r="L51" s="38" t="str">
        <v>Нет проверяемого публичного ценового наблюдения</v>
      </c>
      <c r="M51" s="38"/>
      <c r="N51" s="38"/>
      <c r="O51" s="38"/>
      <c r="P51" s="38" t="str">
        <v>Owner / Procurement</v>
      </c>
      <c r="Q51" s="39" t="str">
        <v>Получить минимум 3 КП HoReCa с фасовкой, доставкой, MOQ и НДС</v>
      </c>
    </row>
    <row r="52">
      <c r="A52" s="37" t="str">
        <v>ING-048</v>
      </c>
      <c r="B52" s="38" t="str">
        <v>Свёкла отварная</v>
      </c>
      <c r="C52" s="38" t="n">
        <v>95</v>
      </c>
      <c r="D52" s="38" t="str">
        <v>NO</v>
      </c>
      <c r="E52" s="38"/>
      <c r="F52" s="38"/>
      <c r="G52" s="38" t="n">
        <v>0</v>
      </c>
      <c r="H52" s="38"/>
      <c r="I52" s="38"/>
      <c r="J52" s="38" t="str">
        <v>BLOCKED</v>
      </c>
      <c r="K52" s="38" t="str">
        <v>BLOCKED</v>
      </c>
      <c r="L52" s="38" t="str">
        <v>Нет проверяемого публичного ценового наблюдения</v>
      </c>
      <c r="M52" s="38"/>
      <c r="N52" s="38"/>
      <c r="O52" s="38"/>
      <c r="P52" s="38" t="str">
        <v>Owner / Procurement</v>
      </c>
      <c r="Q52" s="39" t="str">
        <v>Получить минимум 3 КП HoReCa с фасовкой, доставкой, MOQ и НДС</v>
      </c>
    </row>
    <row r="53">
      <c r="A53" s="37" t="str">
        <v>ING-049</v>
      </c>
      <c r="B53" s="38" t="str">
        <v>Картофель отварной</v>
      </c>
      <c r="C53" s="38" t="n">
        <v>65</v>
      </c>
      <c r="D53" s="38" t="str">
        <v>NO</v>
      </c>
      <c r="E53" s="38"/>
      <c r="F53" s="38"/>
      <c r="G53" s="38" t="n">
        <v>0</v>
      </c>
      <c r="H53" s="38"/>
      <c r="I53" s="38"/>
      <c r="J53" s="38" t="str">
        <v>BLOCKED</v>
      </c>
      <c r="K53" s="38" t="str">
        <v>BLOCKED</v>
      </c>
      <c r="L53" s="38" t="str">
        <v>Нет проверяемого публичного ценового наблюдения</v>
      </c>
      <c r="M53" s="38"/>
      <c r="N53" s="38"/>
      <c r="O53" s="38"/>
      <c r="P53" s="38" t="str">
        <v>Owner / Procurement</v>
      </c>
      <c r="Q53" s="39" t="str">
        <v>Получить минимум 3 КП HoReCa с фасовкой, доставкой, MOQ и НДС</v>
      </c>
    </row>
    <row r="54">
      <c r="A54" s="37" t="str">
        <v>ING-050</v>
      </c>
      <c r="B54" s="38" t="str">
        <v>Морковь отварная</v>
      </c>
      <c r="C54" s="38" t="n">
        <v>38</v>
      </c>
      <c r="D54" s="38" t="str">
        <v>NO</v>
      </c>
      <c r="E54" s="38"/>
      <c r="F54" s="38"/>
      <c r="G54" s="38" t="n">
        <v>0</v>
      </c>
      <c r="H54" s="38"/>
      <c r="I54" s="38"/>
      <c r="J54" s="38" t="str">
        <v>BLOCKED</v>
      </c>
      <c r="K54" s="38" t="str">
        <v>BLOCKED</v>
      </c>
      <c r="L54" s="38" t="str">
        <v>Нет проверяемого публичного ценового наблюдения</v>
      </c>
      <c r="M54" s="38"/>
      <c r="N54" s="38"/>
      <c r="O54" s="38"/>
      <c r="P54" s="38" t="str">
        <v>Owner / Procurement</v>
      </c>
      <c r="Q54" s="39" t="str">
        <v>Получить минимум 3 КП HoReCa с фасовкой, доставкой, MOQ и НДС</v>
      </c>
    </row>
    <row r="55">
      <c r="A55" s="37" t="str">
        <v>ING-051</v>
      </c>
      <c r="B55" s="38" t="str">
        <v>Огурец солёный</v>
      </c>
      <c r="C55" s="38" t="n">
        <v>57</v>
      </c>
      <c r="D55" s="38" t="str">
        <v>NO</v>
      </c>
      <c r="E55" s="38"/>
      <c r="F55" s="38"/>
      <c r="G55" s="38" t="n">
        <v>0</v>
      </c>
      <c r="H55" s="38"/>
      <c r="I55" s="38"/>
      <c r="J55" s="38" t="str">
        <v>BLOCKED</v>
      </c>
      <c r="K55" s="38" t="str">
        <v>BLOCKED</v>
      </c>
      <c r="L55" s="38" t="str">
        <v>Нет проверяемого публичного ценового наблюдения</v>
      </c>
      <c r="M55" s="38"/>
      <c r="N55" s="38"/>
      <c r="O55" s="38"/>
      <c r="P55" s="38" t="str">
        <v>Owner / Procurement</v>
      </c>
      <c r="Q55" s="39" t="str">
        <v>Получить минимум 3 КП HoReCa с фасовкой, доставкой, MOQ и НДС</v>
      </c>
    </row>
    <row r="56">
      <c r="A56" s="37" t="str">
        <v>ING-052</v>
      </c>
      <c r="B56" s="38" t="str">
        <v>Капуста квашеная</v>
      </c>
      <c r="C56" s="38" t="n">
        <v>28</v>
      </c>
      <c r="D56" s="38" t="str">
        <v>NO</v>
      </c>
      <c r="E56" s="38"/>
      <c r="F56" s="38"/>
      <c r="G56" s="38" t="n">
        <v>0</v>
      </c>
      <c r="H56" s="38"/>
      <c r="I56" s="38"/>
      <c r="J56" s="38" t="str">
        <v>BLOCKED</v>
      </c>
      <c r="K56" s="38" t="str">
        <v>BLOCKED</v>
      </c>
      <c r="L56" s="38" t="str">
        <v>Нет проверяемого публичного ценового наблюдения</v>
      </c>
      <c r="M56" s="38"/>
      <c r="N56" s="38"/>
      <c r="O56" s="38"/>
      <c r="P56" s="38" t="str">
        <v>Owner / Procurement</v>
      </c>
      <c r="Q56" s="39" t="str">
        <v>Получить минимум 3 КП HoReCa с фасовкой, доставкой, MOQ и НДС</v>
      </c>
    </row>
    <row r="57">
      <c r="A57" s="37" t="str">
        <v>ING-053</v>
      </c>
      <c r="B57" s="38" t="str">
        <v>Горошек консервированный без заливки</v>
      </c>
      <c r="C57" s="38" t="n">
        <v>16</v>
      </c>
      <c r="D57" s="38" t="str">
        <v>NO</v>
      </c>
      <c r="E57" s="38"/>
      <c r="F57" s="38"/>
      <c r="G57" s="38" t="n">
        <v>0</v>
      </c>
      <c r="H57" s="38"/>
      <c r="I57" s="38"/>
      <c r="J57" s="38" t="str">
        <v>BLOCKED</v>
      </c>
      <c r="K57" s="38" t="str">
        <v>BLOCKED</v>
      </c>
      <c r="L57" s="38" t="str">
        <v>Нет проверяемого публичного ценового наблюдения</v>
      </c>
      <c r="M57" s="38"/>
      <c r="N57" s="38"/>
      <c r="O57" s="38"/>
      <c r="P57" s="38" t="str">
        <v>Owner / Procurement</v>
      </c>
      <c r="Q57" s="39" t="str">
        <v>Получить минимум 3 КП HoReCa с фасовкой, доставкой, MOQ и НДС</v>
      </c>
    </row>
    <row r="58">
      <c r="A58" s="37" t="str">
        <v>ING-054</v>
      </c>
      <c r="B58" s="38" t="str">
        <v>Лосось слабосолёный, готовое филе</v>
      </c>
      <c r="C58" s="38" t="n">
        <v>110</v>
      </c>
      <c r="D58" s="38" t="str">
        <v>YES</v>
      </c>
      <c r="E58" s="38" t="n">
        <v>3999.966667</v>
      </c>
      <c r="F58" s="38" t="str">
        <v>median_public_observation</v>
      </c>
      <c r="G58" s="38" t="n">
        <v>3</v>
      </c>
      <c r="H58" s="38" t="str">
        <v>PSR-0038;PSR-0040;PSR-0041</v>
      </c>
      <c r="I58" s="38" t="str">
        <v>2026-08-03</v>
      </c>
      <c r="J58" s="38" t="str">
        <v>ESTIMATE</v>
      </c>
      <c r="K58" s="38" t="str">
        <v>MEDIUM</v>
      </c>
      <c r="L58" s="38" t="str">
        <v>Медиана публичных наблюдений</v>
      </c>
      <c r="M58" s="38" t="str">
        <v>Ставка и право вычета не подтверждены</v>
      </c>
      <c r="N58" s="38"/>
      <c r="O58" s="38"/>
      <c r="P58" s="38" t="str">
        <v>Owner / Procurement</v>
      </c>
      <c r="Q58" s="39" t="str">
        <v>Сверить с КП и выбрать поставщика</v>
      </c>
    </row>
    <row r="59">
      <c r="A59" s="37" t="str">
        <v>ING-055</v>
      </c>
      <c r="B59" s="38" t="str">
        <v>Лимон</v>
      </c>
      <c r="C59" s="38" t="n">
        <v>13</v>
      </c>
      <c r="D59" s="38" t="str">
        <v>NO</v>
      </c>
      <c r="E59" s="38" t="n">
        <v>160</v>
      </c>
      <c r="F59" s="38" t="str">
        <v>median_public_observation</v>
      </c>
      <c r="G59" s="38" t="n">
        <v>1</v>
      </c>
      <c r="H59" s="38" t="str">
        <v>PSR-0081</v>
      </c>
      <c r="I59" s="38" t="str">
        <v>2026-08-03</v>
      </c>
      <c r="J59" s="38" t="str">
        <v>ESTIMATE</v>
      </c>
      <c r="K59" s="38" t="str">
        <v>LOW_CONFIDENCE</v>
      </c>
      <c r="L59" s="38" t="str">
        <v>Менее трёх сопоставимых наблюдений</v>
      </c>
      <c r="M59" s="38" t="str">
        <v>Ставка и право вычета не подтверждены</v>
      </c>
      <c r="N59" s="38"/>
      <c r="O59" s="38"/>
      <c r="P59" s="38" t="str">
        <v>Owner / Procurement</v>
      </c>
      <c r="Q59" s="39" t="str">
        <v>Получить минимум 3 КП HoReCa с фасовкой, доставкой, MOQ и НДС</v>
      </c>
    </row>
    <row r="60">
      <c r="A60" s="37" t="str">
        <v>ING-056</v>
      </c>
      <c r="B60" s="38" t="str">
        <v>Каперсы</v>
      </c>
      <c r="C60" s="38" t="n">
        <v>6</v>
      </c>
      <c r="D60" s="38" t="str">
        <v>NO</v>
      </c>
      <c r="E60" s="38"/>
      <c r="F60" s="38"/>
      <c r="G60" s="38" t="n">
        <v>0</v>
      </c>
      <c r="H60" s="38"/>
      <c r="I60" s="38"/>
      <c r="J60" s="38" t="str">
        <v>BLOCKED</v>
      </c>
      <c r="K60" s="38" t="str">
        <v>BLOCKED</v>
      </c>
      <c r="L60" s="38" t="str">
        <v>Нет проверяемого публичного ценового наблюдения</v>
      </c>
      <c r="M60" s="38"/>
      <c r="N60" s="38"/>
      <c r="O60" s="38"/>
      <c r="P60" s="38" t="str">
        <v>Owner / Procurement</v>
      </c>
      <c r="Q60" s="39" t="str">
        <v>Получить минимум 3 КП HoReCa с фасовкой, доставкой, MOQ и НДС</v>
      </c>
    </row>
    <row r="61">
      <c r="A61" s="37" t="str">
        <v>ING-057</v>
      </c>
      <c r="B61" s="38" t="str">
        <v>Сельдь, филе</v>
      </c>
      <c r="C61" s="38" t="n">
        <v>110</v>
      </c>
      <c r="D61" s="38" t="str">
        <v>NO</v>
      </c>
      <c r="E61" s="38" t="n">
        <v>519.96</v>
      </c>
      <c r="F61" s="38" t="str">
        <v>median_public_observation</v>
      </c>
      <c r="G61" s="38" t="n">
        <v>1</v>
      </c>
      <c r="H61" s="38" t="str">
        <v>PSR-0076</v>
      </c>
      <c r="I61" s="38" t="str">
        <v>2026-08-03</v>
      </c>
      <c r="J61" s="38" t="str">
        <v>ESTIMATE</v>
      </c>
      <c r="K61" s="38" t="str">
        <v>LOW_CONFIDENCE</v>
      </c>
      <c r="L61" s="38" t="str">
        <v>Менее трёх сопоставимых наблюдений</v>
      </c>
      <c r="M61" s="38" t="str">
        <v>Ставка и право вычета не подтверждены</v>
      </c>
      <c r="N61" s="38"/>
      <c r="O61" s="38"/>
      <c r="P61" s="38" t="str">
        <v>Owner / Procurement</v>
      </c>
      <c r="Q61" s="39" t="str">
        <v>Получить минимум 3 КП HoReCa с фасовкой, доставкой, MOQ и НДС</v>
      </c>
    </row>
    <row r="62">
      <c r="A62" s="37" t="str">
        <v>ING-058</v>
      </c>
      <c r="B62" s="38" t="str">
        <v>Картофель запечённый</v>
      </c>
      <c r="C62" s="38" t="n">
        <v>135</v>
      </c>
      <c r="D62" s="38" t="str">
        <v>NO</v>
      </c>
      <c r="E62" s="38"/>
      <c r="F62" s="38"/>
      <c r="G62" s="38" t="n">
        <v>0</v>
      </c>
      <c r="H62" s="38"/>
      <c r="I62" s="38"/>
      <c r="J62" s="38" t="str">
        <v>BLOCKED</v>
      </c>
      <c r="K62" s="38" t="str">
        <v>BLOCKED</v>
      </c>
      <c r="L62" s="38" t="str">
        <v>Нет проверяемого публичного ценового наблюдения</v>
      </c>
      <c r="M62" s="38"/>
      <c r="N62" s="38"/>
      <c r="O62" s="38"/>
      <c r="P62" s="38" t="str">
        <v>Owner / Procurement</v>
      </c>
      <c r="Q62" s="39" t="str">
        <v>Получить минимум 3 КП HoReCa с фасовкой, доставкой, MOQ и НДС</v>
      </c>
    </row>
    <row r="63">
      <c r="A63" s="37" t="str">
        <v>ING-059</v>
      </c>
      <c r="B63" s="38" t="str">
        <v>Зелень</v>
      </c>
      <c r="C63" s="38" t="n">
        <v>26.5</v>
      </c>
      <c r="D63" s="38" t="str">
        <v>NO</v>
      </c>
      <c r="E63" s="38"/>
      <c r="F63" s="38"/>
      <c r="G63" s="38" t="n">
        <v>0</v>
      </c>
      <c r="H63" s="38"/>
      <c r="I63" s="38"/>
      <c r="J63" s="38" t="str">
        <v>BLOCKED</v>
      </c>
      <c r="K63" s="38" t="str">
        <v>BLOCKED</v>
      </c>
      <c r="L63" s="38" t="str">
        <v>Нет проверяемого публичного ценового наблюдения</v>
      </c>
      <c r="M63" s="38"/>
      <c r="N63" s="38"/>
      <c r="O63" s="38"/>
      <c r="P63" s="38" t="str">
        <v>Owner / Procurement</v>
      </c>
      <c r="Q63" s="39" t="str">
        <v>Получить минимум 3 КП HoReCa с фасовкой, доставкой, MOQ и НДС</v>
      </c>
    </row>
    <row r="64">
      <c r="A64" s="37" t="str">
        <v>ING-060</v>
      </c>
      <c r="B64" s="38" t="str">
        <v>Оливки зелёные без заливки</v>
      </c>
      <c r="C64" s="38" t="n">
        <v>65</v>
      </c>
      <c r="D64" s="38" t="str">
        <v>NO</v>
      </c>
      <c r="E64" s="38"/>
      <c r="F64" s="38"/>
      <c r="G64" s="38" t="n">
        <v>0</v>
      </c>
      <c r="H64" s="38"/>
      <c r="I64" s="38"/>
      <c r="J64" s="38" t="str">
        <v>BLOCKED</v>
      </c>
      <c r="K64" s="38" t="str">
        <v>BLOCKED</v>
      </c>
      <c r="L64" s="38" t="str">
        <v>Нет проверяемого публичного ценового наблюдения</v>
      </c>
      <c r="M64" s="38"/>
      <c r="N64" s="38"/>
      <c r="O64" s="38"/>
      <c r="P64" s="38" t="str">
        <v>Owner / Procurement</v>
      </c>
      <c r="Q64" s="39" t="str">
        <v>Получить минимум 3 КП HoReCa с фасовкой, доставкой, MOQ и НДС</v>
      </c>
    </row>
    <row r="65">
      <c r="A65" s="37" t="str">
        <v>ING-061</v>
      </c>
      <c r="B65" s="38" t="str">
        <v>Маслины без заливки</v>
      </c>
      <c r="C65" s="38" t="n">
        <v>65</v>
      </c>
      <c r="D65" s="38" t="str">
        <v>NO</v>
      </c>
      <c r="E65" s="38"/>
      <c r="F65" s="38"/>
      <c r="G65" s="38" t="n">
        <v>0</v>
      </c>
      <c r="H65" s="38"/>
      <c r="I65" s="38"/>
      <c r="J65" s="38" t="str">
        <v>BLOCKED</v>
      </c>
      <c r="K65" s="38" t="str">
        <v>BLOCKED</v>
      </c>
      <c r="L65" s="38" t="str">
        <v>Нет проверяемого публичного ценового наблюдения</v>
      </c>
      <c r="M65" s="38"/>
      <c r="N65" s="38"/>
      <c r="O65" s="38"/>
      <c r="P65" s="38" t="str">
        <v>Owner / Procurement</v>
      </c>
      <c r="Q65" s="39" t="str">
        <v>Получить минимум 3 КП HoReCa с фасовкой, доставкой, MOQ и НДС</v>
      </c>
    </row>
    <row r="66">
      <c r="A66" s="37" t="str">
        <v>ING-062</v>
      </c>
      <c r="B66" s="38" t="str">
        <v>Цедра цитрусовая</v>
      </c>
      <c r="C66" s="38" t="n">
        <v>5</v>
      </c>
      <c r="D66" s="38" t="str">
        <v>NO</v>
      </c>
      <c r="E66" s="38"/>
      <c r="F66" s="38"/>
      <c r="G66" s="38" t="n">
        <v>0</v>
      </c>
      <c r="H66" s="38"/>
      <c r="I66" s="38"/>
      <c r="J66" s="38" t="str">
        <v>BLOCKED</v>
      </c>
      <c r="K66" s="38" t="str">
        <v>BLOCKED</v>
      </c>
      <c r="L66" s="38" t="str">
        <v>Нет проверяемого публичного ценового наблюдения</v>
      </c>
      <c r="M66" s="38"/>
      <c r="N66" s="38"/>
      <c r="O66" s="38"/>
      <c r="P66" s="38" t="str">
        <v>Owner / Procurement</v>
      </c>
      <c r="Q66" s="39" t="str">
        <v>Получить минимум 3 КП HoReCa с фасовкой, доставкой, MOQ и НДС</v>
      </c>
    </row>
    <row r="67">
      <c r="A67" s="37" t="str">
        <v>ING-063</v>
      </c>
      <c r="B67" s="38" t="str">
        <v>Пряные травы</v>
      </c>
      <c r="C67" s="38" t="n">
        <v>16</v>
      </c>
      <c r="D67" s="38" t="str">
        <v>NO</v>
      </c>
      <c r="E67" s="38"/>
      <c r="F67" s="38"/>
      <c r="G67" s="38" t="n">
        <v>0</v>
      </c>
      <c r="H67" s="38"/>
      <c r="I67" s="38"/>
      <c r="J67" s="38" t="str">
        <v>BLOCKED</v>
      </c>
      <c r="K67" s="38" t="str">
        <v>BLOCKED</v>
      </c>
      <c r="L67" s="38" t="str">
        <v>Нет проверяемого публичного ценового наблюдения</v>
      </c>
      <c r="M67" s="38"/>
      <c r="N67" s="38"/>
      <c r="O67" s="38"/>
      <c r="P67" s="38" t="str">
        <v>Owner / Procurement</v>
      </c>
      <c r="Q67" s="39" t="str">
        <v>Получить минимум 3 КП HoReCa с фасовкой, доставкой, MOQ и НДС</v>
      </c>
    </row>
    <row r="68">
      <c r="A68" s="37" t="str">
        <v>ING-064</v>
      </c>
      <c r="B68" s="38" t="str">
        <v>Капуста белокочанная</v>
      </c>
      <c r="C68" s="38" t="n">
        <v>102</v>
      </c>
      <c r="D68" s="38" t="str">
        <v>NO</v>
      </c>
      <c r="E68" s="38" t="n">
        <v>49.99</v>
      </c>
      <c r="F68" s="38" t="str">
        <v>median_public_observation</v>
      </c>
      <c r="G68" s="38" t="n">
        <v>1</v>
      </c>
      <c r="H68" s="38" t="str">
        <v>PSR-0078</v>
      </c>
      <c r="I68" s="38" t="str">
        <v>2026-08-03</v>
      </c>
      <c r="J68" s="38" t="str">
        <v>ESTIMATE</v>
      </c>
      <c r="K68" s="38" t="str">
        <v>LOW_CONFIDENCE</v>
      </c>
      <c r="L68" s="38" t="str">
        <v>Менее трёх сопоставимых наблюдений</v>
      </c>
      <c r="M68" s="38" t="str">
        <v>Ставка и право вычета не подтверждены</v>
      </c>
      <c r="N68" s="38"/>
      <c r="O68" s="38"/>
      <c r="P68" s="38" t="str">
        <v>Owner / Procurement</v>
      </c>
      <c r="Q68" s="39" t="str">
        <v>Получить минимум 3 КП HoReCa с фасовкой, доставкой, MOQ и НДС</v>
      </c>
    </row>
    <row r="69">
      <c r="A69" s="37" t="str">
        <v>ING-065</v>
      </c>
      <c r="B69" s="38" t="str">
        <v>Уксус пищевой</v>
      </c>
      <c r="C69" s="38" t="n">
        <v>5</v>
      </c>
      <c r="D69" s="38" t="str">
        <v>NO</v>
      </c>
      <c r="E69" s="38"/>
      <c r="F69" s="38"/>
      <c r="G69" s="38" t="n">
        <v>0</v>
      </c>
      <c r="H69" s="38"/>
      <c r="I69" s="38"/>
      <c r="J69" s="38" t="str">
        <v>BLOCKED</v>
      </c>
      <c r="K69" s="38" t="str">
        <v>BLOCKED</v>
      </c>
      <c r="L69" s="38" t="str">
        <v>Нет проверяемого публичного ценового наблюдения</v>
      </c>
      <c r="M69" s="38"/>
      <c r="N69" s="38"/>
      <c r="O69" s="38"/>
      <c r="P69" s="38" t="str">
        <v>Owner / Procurement</v>
      </c>
      <c r="Q69" s="39" t="str">
        <v>Получить минимум 3 КП HoReCa с фасовкой, доставкой, MOQ и НДС</v>
      </c>
    </row>
    <row r="70">
      <c r="A70" s="37" t="str">
        <v>ING-066</v>
      </c>
      <c r="B70" s="38" t="str">
        <v>Ростбиф охлаждённый готовый</v>
      </c>
      <c r="C70" s="38" t="n">
        <v>115</v>
      </c>
      <c r="D70" s="38" t="str">
        <v>NO</v>
      </c>
      <c r="E70" s="38"/>
      <c r="F70" s="38"/>
      <c r="G70" s="38" t="n">
        <v>0</v>
      </c>
      <c r="H70" s="38"/>
      <c r="I70" s="38"/>
      <c r="J70" s="38" t="str">
        <v>BLOCKED</v>
      </c>
      <c r="K70" s="38" t="str">
        <v>BLOCKED</v>
      </c>
      <c r="L70" s="38" t="str">
        <v>Нет проверяемого публичного ценового наблюдения</v>
      </c>
      <c r="M70" s="38"/>
      <c r="N70" s="38"/>
      <c r="O70" s="38"/>
      <c r="P70" s="38" t="str">
        <v>Owner / Procurement</v>
      </c>
      <c r="Q70" s="39" t="str">
        <v>Получить минимум 3 КП HoReCa с фасовкой, доставкой, MOQ и НДС</v>
      </c>
    </row>
    <row r="71">
      <c r="A71" s="37" t="str">
        <v>ING-067</v>
      </c>
      <c r="B71" s="38" t="str">
        <v>Хлеб для гренки</v>
      </c>
      <c r="C71" s="38" t="n">
        <v>34</v>
      </c>
      <c r="D71" s="38" t="str">
        <v>NO</v>
      </c>
      <c r="E71" s="38"/>
      <c r="F71" s="38"/>
      <c r="G71" s="38" t="n">
        <v>0</v>
      </c>
      <c r="H71" s="38"/>
      <c r="I71" s="38"/>
      <c r="J71" s="38" t="str">
        <v>BLOCKED</v>
      </c>
      <c r="K71" s="38" t="str">
        <v>BLOCKED</v>
      </c>
      <c r="L71" s="38" t="str">
        <v>Нет проверяемого публичного ценового наблюдения</v>
      </c>
      <c r="M71" s="38"/>
      <c r="N71" s="38"/>
      <c r="O71" s="38"/>
      <c r="P71" s="38" t="str">
        <v>Owner / Procurement</v>
      </c>
      <c r="Q71" s="39" t="str">
        <v>Получить минимум 3 КП HoReCa с фасовкой, доставкой, MOQ и НДС</v>
      </c>
    </row>
    <row r="72">
      <c r="A72" s="37" t="str">
        <v>ING-068</v>
      </c>
      <c r="B72" s="38" t="str">
        <v>Майонез или эмульсионный соус</v>
      </c>
      <c r="C72" s="38" t="n">
        <v>7</v>
      </c>
      <c r="D72" s="38" t="str">
        <v>NO</v>
      </c>
      <c r="E72" s="38"/>
      <c r="F72" s="38"/>
      <c r="G72" s="38" t="n">
        <v>0</v>
      </c>
      <c r="H72" s="38"/>
      <c r="I72" s="38"/>
      <c r="J72" s="38" t="str">
        <v>BLOCKED</v>
      </c>
      <c r="K72" s="38" t="str">
        <v>BLOCKED</v>
      </c>
      <c r="L72" s="38" t="str">
        <v>Нет проверяемого публичного ценового наблюдения</v>
      </c>
      <c r="M72" s="38"/>
      <c r="N72" s="38"/>
      <c r="O72" s="38"/>
      <c r="P72" s="38" t="str">
        <v>Owner / Procurement</v>
      </c>
      <c r="Q72" s="39" t="str">
        <v>Получить минимум 3 КП HoReCa с фасовкой, доставкой, MOQ и НДС</v>
      </c>
    </row>
    <row r="73">
      <c r="A73" s="37" t="str">
        <v>ING-069</v>
      </c>
      <c r="B73" s="38" t="str">
        <v>Сок мясной или бульон</v>
      </c>
      <c r="C73" s="38" t="n">
        <v>3</v>
      </c>
      <c r="D73" s="38" t="str">
        <v>NO</v>
      </c>
      <c r="E73" s="38"/>
      <c r="F73" s="38"/>
      <c r="G73" s="38" t="n">
        <v>0</v>
      </c>
      <c r="H73" s="38"/>
      <c r="I73" s="38"/>
      <c r="J73" s="38" t="str">
        <v>BLOCKED</v>
      </c>
      <c r="K73" s="38" t="str">
        <v>BLOCKED</v>
      </c>
      <c r="L73" s="38" t="str">
        <v>Нет проверяемого публичного ценового наблюдения</v>
      </c>
      <c r="M73" s="38"/>
      <c r="N73" s="38"/>
      <c r="O73" s="38"/>
      <c r="P73" s="38" t="str">
        <v>Owner / Procurement</v>
      </c>
      <c r="Q73" s="39" t="str">
        <v>Получить минимум 3 КП HoReCa с фасовкой, доставкой, MOQ и НДС</v>
      </c>
    </row>
    <row r="74">
      <c r="A74" s="37" t="str">
        <v>ING-070</v>
      </c>
      <c r="B74" s="38" t="str">
        <v>Бульон мясной</v>
      </c>
      <c r="C74" s="38" t="n">
        <v>160</v>
      </c>
      <c r="D74" s="38" t="str">
        <v>NO</v>
      </c>
      <c r="E74" s="38"/>
      <c r="F74" s="38"/>
      <c r="G74" s="38" t="n">
        <v>0</v>
      </c>
      <c r="H74" s="38"/>
      <c r="I74" s="38"/>
      <c r="J74" s="38" t="str">
        <v>BLOCKED</v>
      </c>
      <c r="K74" s="38" t="str">
        <v>BLOCKED</v>
      </c>
      <c r="L74" s="38" t="str">
        <v>Нет проверяемого публичного ценового наблюдения</v>
      </c>
      <c r="M74" s="38"/>
      <c r="N74" s="38"/>
      <c r="O74" s="38"/>
      <c r="P74" s="38" t="str">
        <v>Owner / Procurement</v>
      </c>
      <c r="Q74" s="39" t="str">
        <v>Получить минимум 3 КП HoReCa с фасовкой, доставкой, MOQ и НДС</v>
      </c>
    </row>
    <row r="75">
      <c r="A75" s="37" t="str">
        <v>ING-071</v>
      </c>
      <c r="B75" s="38" t="str">
        <v>Свёкла</v>
      </c>
      <c r="C75" s="38" t="n">
        <v>78</v>
      </c>
      <c r="D75" s="38" t="str">
        <v>NO</v>
      </c>
      <c r="E75" s="38" t="n">
        <v>39</v>
      </c>
      <c r="F75" s="38" t="str">
        <v>median_public_observation</v>
      </c>
      <c r="G75" s="38" t="n">
        <v>1</v>
      </c>
      <c r="H75" s="38" t="str">
        <v>PSR-0079</v>
      </c>
      <c r="I75" s="38" t="str">
        <v>2026-08-03</v>
      </c>
      <c r="J75" s="38" t="str">
        <v>ESTIMATE</v>
      </c>
      <c r="K75" s="38" t="str">
        <v>LOW_CONFIDENCE</v>
      </c>
      <c r="L75" s="38" t="str">
        <v>Менее трёх сопоставимых наблюдений</v>
      </c>
      <c r="M75" s="38" t="str">
        <v>Ставка и право вычета не подтверждены</v>
      </c>
      <c r="N75" s="38"/>
      <c r="O75" s="38"/>
      <c r="P75" s="38" t="str">
        <v>Owner / Procurement</v>
      </c>
      <c r="Q75" s="39" t="str">
        <v>Получить минимум 3 КП HoReCa с фасовкой, доставкой, MOQ и НДС</v>
      </c>
    </row>
    <row r="76">
      <c r="A76" s="37" t="str">
        <v>ING-072</v>
      </c>
      <c r="B76" s="38" t="str">
        <v>Картофель</v>
      </c>
      <c r="C76" s="38" t="n">
        <v>222</v>
      </c>
      <c r="D76" s="38" t="str">
        <v>NO</v>
      </c>
      <c r="E76" s="38" t="n">
        <v>99.99</v>
      </c>
      <c r="F76" s="38" t="str">
        <v>median_public_observation</v>
      </c>
      <c r="G76" s="38" t="n">
        <v>1</v>
      </c>
      <c r="H76" s="38" t="str">
        <v>PSR-0090</v>
      </c>
      <c r="I76" s="38" t="str">
        <v>2026-08-03</v>
      </c>
      <c r="J76" s="38" t="str">
        <v>ESTIMATE</v>
      </c>
      <c r="K76" s="38" t="str">
        <v>LOW_CONFIDENCE</v>
      </c>
      <c r="L76" s="38" t="str">
        <v>Менее трёх сопоставимых наблюдений</v>
      </c>
      <c r="M76" s="38" t="str">
        <v>Ставка и право вычета не подтверждены</v>
      </c>
      <c r="N76" s="38"/>
      <c r="O76" s="38"/>
      <c r="P76" s="38" t="str">
        <v>Owner / Procurement</v>
      </c>
      <c r="Q76" s="39" t="str">
        <v>Получить минимум 3 КП HoReCa с фасовкой, доставкой, MOQ и НДС</v>
      </c>
    </row>
    <row r="77">
      <c r="A77" s="37" t="str">
        <v>ING-073</v>
      </c>
      <c r="B77" s="38" t="str">
        <v>Говядина отварная</v>
      </c>
      <c r="C77" s="38" t="n">
        <v>65</v>
      </c>
      <c r="D77" s="38" t="str">
        <v>NO</v>
      </c>
      <c r="E77" s="38"/>
      <c r="F77" s="38"/>
      <c r="G77" s="38" t="n">
        <v>0</v>
      </c>
      <c r="H77" s="38"/>
      <c r="I77" s="38"/>
      <c r="J77" s="38" t="str">
        <v>BLOCKED</v>
      </c>
      <c r="K77" s="38" t="str">
        <v>BLOCKED</v>
      </c>
      <c r="L77" s="38" t="str">
        <v>Нет проверяемого публичного ценового наблюдения</v>
      </c>
      <c r="M77" s="38"/>
      <c r="N77" s="38"/>
      <c r="O77" s="38"/>
      <c r="P77" s="38" t="str">
        <v>Owner / Procurement</v>
      </c>
      <c r="Q77" s="39" t="str">
        <v>Получить минимум 3 КП HoReCa с фасовкой, доставкой, MOQ и НДС</v>
      </c>
    </row>
    <row r="78">
      <c r="A78" s="37" t="str">
        <v>ING-074</v>
      </c>
      <c r="B78" s="38" t="str">
        <v>Морковь</v>
      </c>
      <c r="C78" s="38" t="n">
        <v>19</v>
      </c>
      <c r="D78" s="38" t="str">
        <v>NO</v>
      </c>
      <c r="E78" s="38" t="n">
        <v>52.495</v>
      </c>
      <c r="F78" s="38" t="str">
        <v>median_public_observation</v>
      </c>
      <c r="G78" s="38" t="n">
        <v>2</v>
      </c>
      <c r="H78" s="38" t="str">
        <v>PSR-0044;PSR-0080</v>
      </c>
      <c r="I78" s="38" t="str">
        <v>2026-08-03</v>
      </c>
      <c r="J78" s="38" t="str">
        <v>ESTIMATE</v>
      </c>
      <c r="K78" s="38" t="str">
        <v>LOW_CONFIDENCE</v>
      </c>
      <c r="L78" s="38" t="str">
        <v>Менее трёх сопоставимых наблюдений</v>
      </c>
      <c r="M78" s="38" t="str">
        <v>Ставка и право вычета не подтверждены</v>
      </c>
      <c r="N78" s="38"/>
      <c r="O78" s="38"/>
      <c r="P78" s="38" t="str">
        <v>Owner / Procurement</v>
      </c>
      <c r="Q78" s="39" t="str">
        <v>Получить минимум 3 КП HoReCa с фасовкой, доставкой, MOQ и НДС</v>
      </c>
    </row>
    <row r="79">
      <c r="A79" s="37" t="str">
        <v>ING-075</v>
      </c>
      <c r="B79" s="38" t="str">
        <v>Сметана</v>
      </c>
      <c r="C79" s="38" t="n">
        <v>15</v>
      </c>
      <c r="D79" s="38" t="str">
        <v>NO</v>
      </c>
      <c r="E79" s="38"/>
      <c r="F79" s="38"/>
      <c r="G79" s="38" t="n">
        <v>0</v>
      </c>
      <c r="H79" s="38"/>
      <c r="I79" s="38"/>
      <c r="J79" s="38" t="str">
        <v>BLOCKED</v>
      </c>
      <c r="K79" s="38" t="str">
        <v>BLOCKED</v>
      </c>
      <c r="L79" s="38" t="str">
        <v>Нет проверяемого публичного ценового наблюдения</v>
      </c>
      <c r="M79" s="38"/>
      <c r="N79" s="38"/>
      <c r="O79" s="38"/>
      <c r="P79" s="38" t="str">
        <v>Owner / Procurement</v>
      </c>
      <c r="Q79" s="39" t="str">
        <v>Получить минимум 3 КП HoReCa с фасовкой, доставкой, MOQ и НДС</v>
      </c>
    </row>
    <row r="80">
      <c r="A80" s="37" t="str">
        <v>ING-076</v>
      </c>
      <c r="B80" s="38" t="str">
        <v>Треска, филе порционное</v>
      </c>
      <c r="C80" s="38" t="n">
        <v>210</v>
      </c>
      <c r="D80" s="38" t="str">
        <v>YES</v>
      </c>
      <c r="E80" s="38" t="n">
        <v>1144.99</v>
      </c>
      <c r="F80" s="38" t="str">
        <v>median_public_observation</v>
      </c>
      <c r="G80" s="38" t="n">
        <v>4</v>
      </c>
      <c r="H80" s="38" t="str">
        <v>PSR-0046;PSR-0047;PSR-0048;PSR-0049</v>
      </c>
      <c r="I80" s="38" t="str">
        <v>2026-08-03</v>
      </c>
      <c r="J80" s="38" t="str">
        <v>ESTIMATE</v>
      </c>
      <c r="K80" s="38" t="str">
        <v>MEDIUM</v>
      </c>
      <c r="L80" s="38" t="str">
        <v>Медиана публичных наблюдений</v>
      </c>
      <c r="M80" s="38" t="str">
        <v>Ставка и право вычета не подтверждены</v>
      </c>
      <c r="N80" s="38"/>
      <c r="O80" s="38"/>
      <c r="P80" s="38" t="str">
        <v>Owner / Procurement</v>
      </c>
      <c r="Q80" s="39" t="str">
        <v>Сверить с КП и выбрать поставщика</v>
      </c>
    </row>
    <row r="81">
      <c r="A81" s="37" t="str">
        <v>ING-077</v>
      </c>
      <c r="B81" s="38" t="str">
        <v>Сливки</v>
      </c>
      <c r="C81" s="38" t="n">
        <v>343</v>
      </c>
      <c r="D81" s="38" t="str">
        <v>YES</v>
      </c>
      <c r="E81" s="38" t="n">
        <v>899.98</v>
      </c>
      <c r="F81" s="38" t="str">
        <v>median_public_observation</v>
      </c>
      <c r="G81" s="38" t="n">
        <v>3</v>
      </c>
      <c r="H81" s="38" t="str">
        <v>PSR-0050;PSR-0051;PSR-0052</v>
      </c>
      <c r="I81" s="38" t="str">
        <v>2026-08-03</v>
      </c>
      <c r="J81" s="38" t="str">
        <v>ESTIMATE</v>
      </c>
      <c r="K81" s="38" t="str">
        <v>MEDIUM</v>
      </c>
      <c r="L81" s="38" t="str">
        <v>Медиана публичных наблюдений</v>
      </c>
      <c r="M81" s="38" t="str">
        <v>Ставка и право вычета не подтверждены</v>
      </c>
      <c r="N81" s="38"/>
      <c r="O81" s="38"/>
      <c r="P81" s="38" t="str">
        <v>Owner / Procurement</v>
      </c>
      <c r="Q81" s="39" t="str">
        <v>Сверить с КП и выбрать поставщика</v>
      </c>
    </row>
    <row r="82">
      <c r="A82" s="37" t="str">
        <v>ING-078</v>
      </c>
      <c r="B82" s="38" t="str">
        <v>Бульон рыбный или овощной</v>
      </c>
      <c r="C82" s="38" t="n">
        <v>12</v>
      </c>
      <c r="D82" s="38" t="str">
        <v>NO</v>
      </c>
      <c r="E82" s="38"/>
      <c r="F82" s="38"/>
      <c r="G82" s="38" t="n">
        <v>0</v>
      </c>
      <c r="H82" s="38"/>
      <c r="I82" s="38"/>
      <c r="J82" s="38" t="str">
        <v>BLOCKED</v>
      </c>
      <c r="K82" s="38" t="str">
        <v>BLOCKED</v>
      </c>
      <c r="L82" s="38" t="str">
        <v>Нет проверяемого публичного ценового наблюдения</v>
      </c>
      <c r="M82" s="38"/>
      <c r="N82" s="38"/>
      <c r="O82" s="38"/>
      <c r="P82" s="38" t="str">
        <v>Owner / Procurement</v>
      </c>
      <c r="Q82" s="39" t="str">
        <v>Получить минимум 3 КП HoReCa с фасовкой, доставкой, MOQ и НДС</v>
      </c>
    </row>
    <row r="83">
      <c r="A83" s="37" t="str">
        <v>ING-079</v>
      </c>
      <c r="B83" s="38" t="str">
        <v>Шпинат</v>
      </c>
      <c r="C83" s="38" t="n">
        <v>30</v>
      </c>
      <c r="D83" s="38" t="str">
        <v>NO</v>
      </c>
      <c r="E83" s="38"/>
      <c r="F83" s="38"/>
      <c r="G83" s="38" t="n">
        <v>0</v>
      </c>
      <c r="H83" s="38"/>
      <c r="I83" s="38"/>
      <c r="J83" s="38" t="str">
        <v>BLOCKED</v>
      </c>
      <c r="K83" s="38" t="str">
        <v>BLOCKED</v>
      </c>
      <c r="L83" s="38" t="str">
        <v>Нет проверяемого публичного ценового наблюдения</v>
      </c>
      <c r="M83" s="38"/>
      <c r="N83" s="38"/>
      <c r="O83" s="38"/>
      <c r="P83" s="38" t="str">
        <v>Owner / Procurement</v>
      </c>
      <c r="Q83" s="39" t="str">
        <v>Получить минимум 3 КП HoReCa с фасовкой, доставкой, MOQ и НДС</v>
      </c>
    </row>
    <row r="84">
      <c r="A84" s="37" t="str">
        <v>ING-080</v>
      </c>
      <c r="B84" s="38" t="str">
        <v>Молоко кокосовое</v>
      </c>
      <c r="C84" s="38" t="n">
        <v>84</v>
      </c>
      <c r="D84" s="38" t="str">
        <v>NO</v>
      </c>
      <c r="E84" s="38"/>
      <c r="F84" s="38"/>
      <c r="G84" s="38" t="n">
        <v>0</v>
      </c>
      <c r="H84" s="38"/>
      <c r="I84" s="38"/>
      <c r="J84" s="38" t="str">
        <v>BLOCKED</v>
      </c>
      <c r="K84" s="38" t="str">
        <v>BLOCKED</v>
      </c>
      <c r="L84" s="38" t="str">
        <v>Нет проверяемого публичного ценового наблюдения</v>
      </c>
      <c r="M84" s="38"/>
      <c r="N84" s="38"/>
      <c r="O84" s="38"/>
      <c r="P84" s="38" t="str">
        <v>Owner / Procurement</v>
      </c>
      <c r="Q84" s="39" t="str">
        <v>Получить минимум 3 КП HoReCa с фасовкой, доставкой, MOQ и НДС</v>
      </c>
    </row>
    <row r="85">
      <c r="A85" s="37" t="str">
        <v>ING-081</v>
      </c>
      <c r="B85" s="38" t="str">
        <v>Паста карри проектная</v>
      </c>
      <c r="C85" s="38" t="n">
        <v>15</v>
      </c>
      <c r="D85" s="38" t="str">
        <v>NO</v>
      </c>
      <c r="E85" s="38"/>
      <c r="F85" s="38"/>
      <c r="G85" s="38" t="n">
        <v>0</v>
      </c>
      <c r="H85" s="38"/>
      <c r="I85" s="38"/>
      <c r="J85" s="38" t="str">
        <v>BLOCKED</v>
      </c>
      <c r="K85" s="38" t="str">
        <v>BLOCKED</v>
      </c>
      <c r="L85" s="38" t="str">
        <v>Нет проверяемого публичного ценового наблюдения</v>
      </c>
      <c r="M85" s="38"/>
      <c r="N85" s="38"/>
      <c r="O85" s="38"/>
      <c r="P85" s="38" t="str">
        <v>Owner / Procurement</v>
      </c>
      <c r="Q85" s="39" t="str">
        <v>Получить минимум 3 КП HoReCa с фасовкой, доставкой, MOQ и НДС</v>
      </c>
    </row>
    <row r="86">
      <c r="A86" s="37" t="str">
        <v>ING-082</v>
      </c>
      <c r="B86" s="38" t="str">
        <v>Бульон или вода</v>
      </c>
      <c r="C86" s="38" t="n">
        <v>20</v>
      </c>
      <c r="D86" s="38" t="str">
        <v>NO</v>
      </c>
      <c r="E86" s="38"/>
      <c r="F86" s="38"/>
      <c r="G86" s="38" t="n">
        <v>0</v>
      </c>
      <c r="H86" s="38"/>
      <c r="I86" s="38"/>
      <c r="J86" s="38" t="str">
        <v>BLOCKED</v>
      </c>
      <c r="K86" s="38" t="str">
        <v>BLOCKED</v>
      </c>
      <c r="L86" s="38" t="str">
        <v>Нет проверяемого публичного ценового наблюдения</v>
      </c>
      <c r="M86" s="38"/>
      <c r="N86" s="38"/>
      <c r="O86" s="38"/>
      <c r="P86" s="38" t="str">
        <v>Owner / Procurement</v>
      </c>
      <c r="Q86" s="39" t="str">
        <v>Получить минимум 3 КП HoReCa с фасовкой, доставкой, MOQ и НДС</v>
      </c>
    </row>
    <row r="87">
      <c r="A87" s="37" t="str">
        <v>ING-083</v>
      </c>
      <c r="B87" s="38" t="str">
        <v>Соус рыбный или соевый</v>
      </c>
      <c r="C87" s="38" t="n">
        <v>10</v>
      </c>
      <c r="D87" s="38" t="str">
        <v>NO</v>
      </c>
      <c r="E87" s="38"/>
      <c r="F87" s="38"/>
      <c r="G87" s="38" t="n">
        <v>0</v>
      </c>
      <c r="H87" s="38"/>
      <c r="I87" s="38"/>
      <c r="J87" s="38" t="str">
        <v>BLOCKED</v>
      </c>
      <c r="K87" s="38" t="str">
        <v>BLOCKED</v>
      </c>
      <c r="L87" s="38" t="str">
        <v>Нет проверяемого публичного ценового наблюдения</v>
      </c>
      <c r="M87" s="38"/>
      <c r="N87" s="38"/>
      <c r="O87" s="38"/>
      <c r="P87" s="38" t="str">
        <v>Owner / Procurement</v>
      </c>
      <c r="Q87" s="39" t="str">
        <v>Получить минимум 3 КП HoReCa с фасовкой, доставкой, MOQ и НДС</v>
      </c>
    </row>
    <row r="88">
      <c r="A88" s="37" t="str">
        <v>ING-084</v>
      </c>
      <c r="B88" s="38" t="str">
        <v>Цукини</v>
      </c>
      <c r="C88" s="38" t="n">
        <v>78</v>
      </c>
      <c r="D88" s="38" t="str">
        <v>NO</v>
      </c>
      <c r="E88" s="38"/>
      <c r="F88" s="38"/>
      <c r="G88" s="38" t="n">
        <v>0</v>
      </c>
      <c r="H88" s="38"/>
      <c r="I88" s="38"/>
      <c r="J88" s="38" t="str">
        <v>BLOCKED</v>
      </c>
      <c r="K88" s="38" t="str">
        <v>BLOCKED</v>
      </c>
      <c r="L88" s="38" t="str">
        <v>Нет проверяемого публичного ценового наблюдения</v>
      </c>
      <c r="M88" s="38"/>
      <c r="N88" s="38"/>
      <c r="O88" s="38"/>
      <c r="P88" s="38" t="str">
        <v>Owner / Procurement</v>
      </c>
      <c r="Q88" s="39" t="str">
        <v>Получить минимум 3 КП HoReCa с фасовкой, доставкой, MOQ и НДС</v>
      </c>
    </row>
    <row r="89">
      <c r="A89" s="37" t="str">
        <v>ING-085</v>
      </c>
      <c r="B89" s="38" t="str">
        <v>Лапша рисовая подготовленная</v>
      </c>
      <c r="C89" s="38" t="n">
        <v>45</v>
      </c>
      <c r="D89" s="38" t="str">
        <v>NO</v>
      </c>
      <c r="E89" s="38"/>
      <c r="F89" s="38"/>
      <c r="G89" s="38" t="n">
        <v>0</v>
      </c>
      <c r="H89" s="38"/>
      <c r="I89" s="38"/>
      <c r="J89" s="38" t="str">
        <v>BLOCKED</v>
      </c>
      <c r="K89" s="38" t="str">
        <v>BLOCKED</v>
      </c>
      <c r="L89" s="38" t="str">
        <v>Нет проверяемого публичного ценового наблюдения</v>
      </c>
      <c r="M89" s="38"/>
      <c r="N89" s="38"/>
      <c r="O89" s="38"/>
      <c r="P89" s="38" t="str">
        <v>Owner / Procurement</v>
      </c>
      <c r="Q89" s="39" t="str">
        <v>Получить минимум 3 КП HoReCa с фасовкой, доставкой, MOQ и НДС</v>
      </c>
    </row>
    <row r="90">
      <c r="A90" s="37" t="str">
        <v>ING-086</v>
      </c>
      <c r="B90" s="38" t="str">
        <v>Зелень и лайм</v>
      </c>
      <c r="C90" s="38" t="n">
        <v>13</v>
      </c>
      <c r="D90" s="38" t="str">
        <v>NO</v>
      </c>
      <c r="E90" s="38"/>
      <c r="F90" s="38"/>
      <c r="G90" s="38" t="n">
        <v>0</v>
      </c>
      <c r="H90" s="38"/>
      <c r="I90" s="38"/>
      <c r="J90" s="38" t="str">
        <v>BLOCKED</v>
      </c>
      <c r="K90" s="38" t="str">
        <v>BLOCKED</v>
      </c>
      <c r="L90" s="38" t="str">
        <v>Нет проверяемого публичного ценового наблюдения</v>
      </c>
      <c r="M90" s="38"/>
      <c r="N90" s="38"/>
      <c r="O90" s="38"/>
      <c r="P90" s="38" t="str">
        <v>Owner / Procurement</v>
      </c>
      <c r="Q90" s="39" t="str">
        <v>Получить минимум 3 КП HoReCa с фасовкой, доставкой, MOQ и НДС</v>
      </c>
    </row>
    <row r="91">
      <c r="A91" s="37" t="str">
        <v>ING-087</v>
      </c>
      <c r="B91" s="38" t="str">
        <v>Бриошь VKM-008</v>
      </c>
      <c r="C91" s="38" t="n">
        <v>85</v>
      </c>
      <c r="D91" s="38" t="str">
        <v>NO</v>
      </c>
      <c r="E91" s="38"/>
      <c r="F91" s="38"/>
      <c r="G91" s="38" t="n">
        <v>0</v>
      </c>
      <c r="H91" s="38"/>
      <c r="I91" s="38"/>
      <c r="J91" s="38" t="str">
        <v>BLOCKED</v>
      </c>
      <c r="K91" s="38" t="str">
        <v>BLOCKED</v>
      </c>
      <c r="L91" s="38" t="str">
        <v>Нет проверяемого публичного ценового наблюдения</v>
      </c>
      <c r="M91" s="38"/>
      <c r="N91" s="38"/>
      <c r="O91" s="38"/>
      <c r="P91" s="38" t="str">
        <v>Owner / Procurement</v>
      </c>
      <c r="Q91" s="39" t="str">
        <v>Получить минимум 3 КП HoReCa с фасовкой, доставкой, MOQ и НДС</v>
      </c>
    </row>
    <row r="92">
      <c r="A92" s="37" t="str">
        <v>ING-088</v>
      </c>
      <c r="B92" s="38" t="str">
        <v>Говядина для котлеты</v>
      </c>
      <c r="C92" s="38" t="n">
        <v>175</v>
      </c>
      <c r="D92" s="38" t="str">
        <v>NO</v>
      </c>
      <c r="E92" s="38" t="n">
        <v>789.99</v>
      </c>
      <c r="F92" s="38" t="str">
        <v>median_public_observation</v>
      </c>
      <c r="G92" s="38" t="n">
        <v>1</v>
      </c>
      <c r="H92" s="38" t="str">
        <v>PSR-0054</v>
      </c>
      <c r="I92" s="38" t="str">
        <v>2026-08-03</v>
      </c>
      <c r="J92" s="38" t="str">
        <v>ESTIMATE</v>
      </c>
      <c r="K92" s="38" t="str">
        <v>LOW_CONFIDENCE</v>
      </c>
      <c r="L92" s="38" t="str">
        <v>Менее трёх сопоставимых наблюдений</v>
      </c>
      <c r="M92" s="38" t="str">
        <v>Ставка и право вычета не подтверждены</v>
      </c>
      <c r="N92" s="38"/>
      <c r="O92" s="38"/>
      <c r="P92" s="38" t="str">
        <v>Owner / Procurement</v>
      </c>
      <c r="Q92" s="39" t="str">
        <v>Получить минимум 3 КП HoReCa с фасовкой, доставкой, MOQ и НДС</v>
      </c>
    </row>
    <row r="93">
      <c r="A93" s="37" t="str">
        <v>ING-089</v>
      </c>
      <c r="B93" s="38" t="str">
        <v>Жир говяжий или иной компонент котлеты</v>
      </c>
      <c r="C93" s="38" t="n">
        <v>5</v>
      </c>
      <c r="D93" s="38" t="str">
        <v>NO</v>
      </c>
      <c r="E93" s="38"/>
      <c r="F93" s="38"/>
      <c r="G93" s="38" t="n">
        <v>0</v>
      </c>
      <c r="H93" s="38"/>
      <c r="I93" s="38"/>
      <c r="J93" s="38" t="str">
        <v>BLOCKED</v>
      </c>
      <c r="K93" s="38" t="str">
        <v>BLOCKED</v>
      </c>
      <c r="L93" s="38" t="str">
        <v>Нет проверяемого публичного ценового наблюдения</v>
      </c>
      <c r="M93" s="38"/>
      <c r="N93" s="38"/>
      <c r="O93" s="38"/>
      <c r="P93" s="38" t="str">
        <v>Owner / Procurement</v>
      </c>
      <c r="Q93" s="39" t="str">
        <v>Получить минимум 3 КП HoReCa с фасовкой, доставкой, MOQ и НДС</v>
      </c>
    </row>
    <row r="94">
      <c r="A94" s="37" t="str">
        <v>ING-090</v>
      </c>
      <c r="B94" s="38" t="str">
        <v>Сыр ломтиковый</v>
      </c>
      <c r="C94" s="38" t="n">
        <v>20</v>
      </c>
      <c r="D94" s="38" t="str">
        <v>NO</v>
      </c>
      <c r="E94" s="38"/>
      <c r="F94" s="38"/>
      <c r="G94" s="38" t="n">
        <v>0</v>
      </c>
      <c r="H94" s="38"/>
      <c r="I94" s="38"/>
      <c r="J94" s="38" t="str">
        <v>BLOCKED</v>
      </c>
      <c r="K94" s="38" t="str">
        <v>BLOCKED</v>
      </c>
      <c r="L94" s="38" t="str">
        <v>Нет проверяемого публичного ценового наблюдения</v>
      </c>
      <c r="M94" s="38"/>
      <c r="N94" s="38"/>
      <c r="O94" s="38"/>
      <c r="P94" s="38" t="str">
        <v>Owner / Procurement</v>
      </c>
      <c r="Q94" s="39" t="str">
        <v>Получить минимум 3 КП HoReCa с фасовкой, доставкой, MOQ и НДС</v>
      </c>
    </row>
    <row r="95">
      <c r="A95" s="37" t="str">
        <v>ING-091</v>
      </c>
      <c r="B95" s="38" t="str">
        <v>Томат</v>
      </c>
      <c r="C95" s="38" t="n">
        <v>34</v>
      </c>
      <c r="D95" s="38" t="str">
        <v>NO</v>
      </c>
      <c r="E95" s="38"/>
      <c r="F95" s="38"/>
      <c r="G95" s="38" t="n">
        <v>0</v>
      </c>
      <c r="H95" s="38"/>
      <c r="I95" s="38"/>
      <c r="J95" s="38" t="str">
        <v>BLOCKED</v>
      </c>
      <c r="K95" s="38" t="str">
        <v>BLOCKED</v>
      </c>
      <c r="L95" s="38" t="str">
        <v>Нет проверяемого публичного ценового наблюдения</v>
      </c>
      <c r="M95" s="38"/>
      <c r="N95" s="38"/>
      <c r="O95" s="38"/>
      <c r="P95" s="38" t="str">
        <v>Owner / Procurement</v>
      </c>
      <c r="Q95" s="39" t="str">
        <v>Получить минимум 3 КП HoReCa с фасовкой, доставкой, MOQ и НДС</v>
      </c>
    </row>
    <row r="96">
      <c r="A96" s="37" t="str">
        <v>ING-092</v>
      </c>
      <c r="B96" s="38" t="str">
        <v>Огурец маринованный</v>
      </c>
      <c r="C96" s="38" t="n">
        <v>23</v>
      </c>
      <c r="D96" s="38" t="str">
        <v>NO</v>
      </c>
      <c r="E96" s="38"/>
      <c r="F96" s="38"/>
      <c r="G96" s="38" t="n">
        <v>0</v>
      </c>
      <c r="H96" s="38"/>
      <c r="I96" s="38"/>
      <c r="J96" s="38" t="str">
        <v>BLOCKED</v>
      </c>
      <c r="K96" s="38" t="str">
        <v>BLOCKED</v>
      </c>
      <c r="L96" s="38" t="str">
        <v>Нет проверяемого публичного ценового наблюдения</v>
      </c>
      <c r="M96" s="38"/>
      <c r="N96" s="38"/>
      <c r="O96" s="38"/>
      <c r="P96" s="38" t="str">
        <v>Owner / Procurement</v>
      </c>
      <c r="Q96" s="39" t="str">
        <v>Получить минимум 3 КП HoReCa с фасовкой, доставкой, MOQ и НДС</v>
      </c>
    </row>
    <row r="97">
      <c r="A97" s="37" t="str">
        <v>ING-093</v>
      </c>
      <c r="B97" s="38" t="str">
        <v>Лук</v>
      </c>
      <c r="C97" s="38" t="n">
        <v>12</v>
      </c>
      <c r="D97" s="38" t="str">
        <v>NO</v>
      </c>
      <c r="E97" s="38"/>
      <c r="F97" s="38"/>
      <c r="G97" s="38" t="n">
        <v>0</v>
      </c>
      <c r="H97" s="38"/>
      <c r="I97" s="38"/>
      <c r="J97" s="38" t="str">
        <v>BLOCKED</v>
      </c>
      <c r="K97" s="38" t="str">
        <v>BLOCKED</v>
      </c>
      <c r="L97" s="38" t="str">
        <v>Нет проверяемого публичного ценового наблюдения</v>
      </c>
      <c r="M97" s="38"/>
      <c r="N97" s="38"/>
      <c r="O97" s="38"/>
      <c r="P97" s="38" t="str">
        <v>Owner / Procurement</v>
      </c>
      <c r="Q97" s="39" t="str">
        <v>Получить минимум 3 КП HoReCa с фасовкой, доставкой, MOQ и НДС</v>
      </c>
    </row>
    <row r="98">
      <c r="A98" s="37" t="str">
        <v>ING-094</v>
      </c>
      <c r="B98" s="38" t="str">
        <v>Соус эмульсионный</v>
      </c>
      <c r="C98" s="38" t="n">
        <v>20</v>
      </c>
      <c r="D98" s="38" t="str">
        <v>NO</v>
      </c>
      <c r="E98" s="38"/>
      <c r="F98" s="38"/>
      <c r="G98" s="38" t="n">
        <v>0</v>
      </c>
      <c r="H98" s="38"/>
      <c r="I98" s="38"/>
      <c r="J98" s="38" t="str">
        <v>BLOCKED</v>
      </c>
      <c r="K98" s="38" t="str">
        <v>BLOCKED</v>
      </c>
      <c r="L98" s="38" t="str">
        <v>Нет проверяемого публичного ценового наблюдения</v>
      </c>
      <c r="M98" s="38"/>
      <c r="N98" s="38"/>
      <c r="O98" s="38"/>
      <c r="P98" s="38" t="str">
        <v>Owner / Procurement</v>
      </c>
      <c r="Q98" s="39" t="str">
        <v>Получить минимум 3 КП HoReCa с фасовкой, доставкой, MOQ и НДС</v>
      </c>
    </row>
    <row r="99">
      <c r="A99" s="37" t="str">
        <v>ING-095</v>
      </c>
      <c r="B99" s="38" t="str">
        <v>Соус томатный</v>
      </c>
      <c r="C99" s="38" t="n">
        <v>5</v>
      </c>
      <c r="D99" s="38" t="str">
        <v>NO</v>
      </c>
      <c r="E99" s="38"/>
      <c r="F99" s="38"/>
      <c r="G99" s="38" t="n">
        <v>0</v>
      </c>
      <c r="H99" s="38"/>
      <c r="I99" s="38"/>
      <c r="J99" s="38" t="str">
        <v>BLOCKED</v>
      </c>
      <c r="K99" s="38" t="str">
        <v>BLOCKED</v>
      </c>
      <c r="L99" s="38" t="str">
        <v>Нет проверяемого публичного ценового наблюдения</v>
      </c>
      <c r="M99" s="38"/>
      <c r="N99" s="38"/>
      <c r="O99" s="38"/>
      <c r="P99" s="38" t="str">
        <v>Owner / Procurement</v>
      </c>
      <c r="Q99" s="39" t="str">
        <v>Получить минимум 3 КП HoReCa с фасовкой, доставкой, MOQ и НДС</v>
      </c>
    </row>
    <row r="100">
      <c r="A100" s="37" t="str">
        <v>ING-096</v>
      </c>
      <c r="B100" s="38" t="str">
        <v>Салат листовой</v>
      </c>
      <c r="C100" s="38" t="n">
        <v>12</v>
      </c>
      <c r="D100" s="38" t="str">
        <v>NO</v>
      </c>
      <c r="E100" s="38"/>
      <c r="F100" s="38"/>
      <c r="G100" s="38" t="n">
        <v>0</v>
      </c>
      <c r="H100" s="38"/>
      <c r="I100" s="38"/>
      <c r="J100" s="38" t="str">
        <v>BLOCKED</v>
      </c>
      <c r="K100" s="38" t="str">
        <v>BLOCKED</v>
      </c>
      <c r="L100" s="38" t="str">
        <v>Нет проверяемого публичного ценового наблюдения</v>
      </c>
      <c r="M100" s="38"/>
      <c r="N100" s="38"/>
      <c r="O100" s="38"/>
      <c r="P100" s="38" t="str">
        <v>Owner / Procurement</v>
      </c>
      <c r="Q100" s="39" t="str">
        <v>Получить минимум 3 КП HoReCa с фасовкой, доставкой, MOQ и НДС</v>
      </c>
    </row>
    <row r="101">
      <c r="A101" s="37" t="str">
        <v>ING-097</v>
      </c>
      <c r="B101" s="38" t="str">
        <v>Говяжья вырезка</v>
      </c>
      <c r="C101" s="38" t="n">
        <v>255</v>
      </c>
      <c r="D101" s="38" t="str">
        <v>YES</v>
      </c>
      <c r="E101" s="38" t="n">
        <v>1136.99</v>
      </c>
      <c r="F101" s="38" t="str">
        <v>median_public_observation</v>
      </c>
      <c r="G101" s="38" t="n">
        <v>4</v>
      </c>
      <c r="H101" s="38" t="str">
        <v>PSR-0055;PSR-0056;PSR-0057;PSR-0058</v>
      </c>
      <c r="I101" s="38" t="str">
        <v>2026-08-03</v>
      </c>
      <c r="J101" s="38" t="str">
        <v>ESTIMATE</v>
      </c>
      <c r="K101" s="38" t="str">
        <v>MEDIUM</v>
      </c>
      <c r="L101" s="38" t="str">
        <v>Медиана публичных наблюдений</v>
      </c>
      <c r="M101" s="38" t="str">
        <v>Ставка и право вычета не подтверждены</v>
      </c>
      <c r="N101" s="38"/>
      <c r="O101" s="38"/>
      <c r="P101" s="38" t="str">
        <v>Owner / Procurement</v>
      </c>
      <c r="Q101" s="39" t="str">
        <v>Сверить с КП и выбрать поставщика</v>
      </c>
    </row>
    <row r="102">
      <c r="A102" s="37" t="str">
        <v>ING-098</v>
      </c>
      <c r="B102" s="38" t="str">
        <v>Бульон или мясной сок</v>
      </c>
      <c r="C102" s="38" t="n">
        <v>35</v>
      </c>
      <c r="D102" s="38" t="str">
        <v>NO</v>
      </c>
      <c r="E102" s="38"/>
      <c r="F102" s="38"/>
      <c r="G102" s="38" t="n">
        <v>0</v>
      </c>
      <c r="H102" s="38"/>
      <c r="I102" s="38"/>
      <c r="J102" s="38" t="str">
        <v>BLOCKED</v>
      </c>
      <c r="K102" s="38" t="str">
        <v>BLOCKED</v>
      </c>
      <c r="L102" s="38" t="str">
        <v>Нет проверяемого публичного ценового наблюдения</v>
      </c>
      <c r="M102" s="38"/>
      <c r="N102" s="38"/>
      <c r="O102" s="38"/>
      <c r="P102" s="38" t="str">
        <v>Owner / Procurement</v>
      </c>
      <c r="Q102" s="39" t="str">
        <v>Получить минимум 3 КП HoReCa с фасовкой, доставкой, MOQ и НДС</v>
      </c>
    </row>
    <row r="103">
      <c r="A103" s="37" t="str">
        <v>ING-099</v>
      </c>
      <c r="B103" s="38" t="str">
        <v>Маринад нейтральный проектный</v>
      </c>
      <c r="C103" s="38" t="n">
        <v>18</v>
      </c>
      <c r="D103" s="38" t="str">
        <v>NO</v>
      </c>
      <c r="E103" s="38"/>
      <c r="F103" s="38"/>
      <c r="G103" s="38" t="n">
        <v>0</v>
      </c>
      <c r="H103" s="38"/>
      <c r="I103" s="38"/>
      <c r="J103" s="38" t="str">
        <v>BLOCKED</v>
      </c>
      <c r="K103" s="38" t="str">
        <v>BLOCKED</v>
      </c>
      <c r="L103" s="38" t="str">
        <v>Нет проверяемого публичного ценового наблюдения</v>
      </c>
      <c r="M103" s="38"/>
      <c r="N103" s="38"/>
      <c r="O103" s="38"/>
      <c r="P103" s="38" t="str">
        <v>Owner / Procurement</v>
      </c>
      <c r="Q103" s="39" t="str">
        <v>Получить минимум 3 КП HoReCa с фасовкой, доставкой, MOQ и НДС</v>
      </c>
    </row>
    <row r="104">
      <c r="A104" s="37" t="str">
        <v>ING-100</v>
      </c>
      <c r="B104" s="38" t="str">
        <v>Рис жасмин сухой</v>
      </c>
      <c r="C104" s="38" t="n">
        <v>55</v>
      </c>
      <c r="D104" s="38" t="str">
        <v>NO</v>
      </c>
      <c r="E104" s="38"/>
      <c r="F104" s="38"/>
      <c r="G104" s="38" t="n">
        <v>0</v>
      </c>
      <c r="H104" s="38"/>
      <c r="I104" s="38"/>
      <c r="J104" s="38" t="str">
        <v>BLOCKED</v>
      </c>
      <c r="K104" s="38" t="str">
        <v>BLOCKED</v>
      </c>
      <c r="L104" s="38" t="str">
        <v>Нет проверяемого публичного ценового наблюдения</v>
      </c>
      <c r="M104" s="38"/>
      <c r="N104" s="38"/>
      <c r="O104" s="38"/>
      <c r="P104" s="38" t="str">
        <v>Owner / Procurement</v>
      </c>
      <c r="Q104" s="39" t="str">
        <v>Получить минимум 3 КП HoReCa с фасовкой, доставкой, MOQ и НДС</v>
      </c>
    </row>
    <row r="105">
      <c r="A105" s="37" t="str">
        <v>ING-101</v>
      </c>
      <c r="B105" s="38" t="str">
        <v>Вода питьевая, удержанная в продукте</v>
      </c>
      <c r="C105" s="38" t="n">
        <v>120</v>
      </c>
      <c r="D105" s="38" t="str">
        <v>NO</v>
      </c>
      <c r="E105" s="38"/>
      <c r="F105" s="38"/>
      <c r="G105" s="38" t="n">
        <v>0</v>
      </c>
      <c r="H105" s="38"/>
      <c r="I105" s="38"/>
      <c r="J105" s="38" t="str">
        <v>BLOCKED</v>
      </c>
      <c r="K105" s="38" t="str">
        <v>BLOCKED</v>
      </c>
      <c r="L105" s="38" t="str">
        <v>Нет проверяемого публичного ценового наблюдения</v>
      </c>
      <c r="M105" s="38"/>
      <c r="N105" s="38"/>
      <c r="O105" s="38"/>
      <c r="P105" s="38" t="str">
        <v>Owner / Procurement</v>
      </c>
      <c r="Q105" s="39" t="str">
        <v>Получить минимум 3 КП HoReCa с фасовкой, доставкой, MOQ и НДС</v>
      </c>
    </row>
    <row r="106">
      <c r="A106" s="37" t="str">
        <v>ING-102</v>
      </c>
      <c r="B106" s="38" t="str">
        <v>Баклажан</v>
      </c>
      <c r="C106" s="38" t="n">
        <v>36</v>
      </c>
      <c r="D106" s="38" t="str">
        <v>NO</v>
      </c>
      <c r="E106" s="38" t="n">
        <v>270</v>
      </c>
      <c r="F106" s="38" t="str">
        <v>median_public_observation</v>
      </c>
      <c r="G106" s="38" t="n">
        <v>1</v>
      </c>
      <c r="H106" s="38" t="str">
        <v>PSR-0082</v>
      </c>
      <c r="I106" s="38" t="str">
        <v>2026-08-03</v>
      </c>
      <c r="J106" s="38" t="str">
        <v>ESTIMATE</v>
      </c>
      <c r="K106" s="38" t="str">
        <v>LOW_CONFIDENCE</v>
      </c>
      <c r="L106" s="38" t="str">
        <v>Менее трёх сопоставимых наблюдений</v>
      </c>
      <c r="M106" s="38" t="str">
        <v>Ставка и право вычета не подтверждены</v>
      </c>
      <c r="N106" s="38"/>
      <c r="O106" s="38"/>
      <c r="P106" s="38" t="str">
        <v>Owner / Procurement</v>
      </c>
      <c r="Q106" s="39" t="str">
        <v>Получить минимум 3 КП HoReCa с фасовкой, доставкой, MOQ и НДС</v>
      </c>
    </row>
    <row r="107">
      <c r="A107" s="37" t="str">
        <v>ING-103</v>
      </c>
      <c r="B107" s="38" t="str">
        <v>Брокколи</v>
      </c>
      <c r="C107" s="38" t="n">
        <v>31</v>
      </c>
      <c r="D107" s="38" t="str">
        <v>NO</v>
      </c>
      <c r="E107" s="38" t="n">
        <v>299.9875</v>
      </c>
      <c r="F107" s="38" t="str">
        <v>median_public_observation</v>
      </c>
      <c r="G107" s="38" t="n">
        <v>1</v>
      </c>
      <c r="H107" s="38" t="str">
        <v>PSR-0083</v>
      </c>
      <c r="I107" s="38" t="str">
        <v>2026-08-03</v>
      </c>
      <c r="J107" s="38" t="str">
        <v>ESTIMATE</v>
      </c>
      <c r="K107" s="38" t="str">
        <v>LOW_CONFIDENCE</v>
      </c>
      <c r="L107" s="38" t="str">
        <v>Менее трёх сопоставимых наблюдений</v>
      </c>
      <c r="M107" s="38" t="str">
        <v>Ставка и право вычета не подтверждены</v>
      </c>
      <c r="N107" s="38"/>
      <c r="O107" s="38"/>
      <c r="P107" s="38" t="str">
        <v>Owner / Procurement</v>
      </c>
      <c r="Q107" s="39" t="str">
        <v>Получить минимум 3 КП HoReCa с фасовкой, доставкой, MOQ и НДС</v>
      </c>
    </row>
    <row r="108">
      <c r="A108" s="37" t="str">
        <v>ING-104</v>
      </c>
      <c r="B108" s="38" t="str">
        <v>Мука пшеничная кондитерская</v>
      </c>
      <c r="C108" s="38" t="n">
        <v>645</v>
      </c>
      <c r="D108" s="38" t="str">
        <v>NO</v>
      </c>
      <c r="E108" s="38" t="n">
        <v>64.995</v>
      </c>
      <c r="F108" s="38" t="str">
        <v>median_public_observation</v>
      </c>
      <c r="G108" s="38" t="n">
        <v>1</v>
      </c>
      <c r="H108" s="38" t="str">
        <v>PSR-0084</v>
      </c>
      <c r="I108" s="38" t="str">
        <v>2026-08-03</v>
      </c>
      <c r="J108" s="38" t="str">
        <v>ESTIMATE</v>
      </c>
      <c r="K108" s="38" t="str">
        <v>LOW_CONFIDENCE</v>
      </c>
      <c r="L108" s="38" t="str">
        <v>Менее трёх сопоставимых наблюдений</v>
      </c>
      <c r="M108" s="38" t="str">
        <v>Ставка и право вычета не подтверждены</v>
      </c>
      <c r="N108" s="38"/>
      <c r="O108" s="38"/>
      <c r="P108" s="38" t="str">
        <v>Owner / Procurement</v>
      </c>
      <c r="Q108" s="39" t="str">
        <v>Получить минимум 3 КП HoReCa с фасовкой, доставкой, MOQ и НДС</v>
      </c>
    </row>
    <row r="109">
      <c r="A109" s="37" t="str">
        <v>ING-105</v>
      </c>
      <c r="B109" s="38" t="str">
        <v>Разрыхлитель</v>
      </c>
      <c r="C109" s="38" t="n">
        <v>10</v>
      </c>
      <c r="D109" s="38" t="str">
        <v>NO</v>
      </c>
      <c r="E109" s="38" t="n">
        <v>1299</v>
      </c>
      <c r="F109" s="38" t="str">
        <v>median_public_observation</v>
      </c>
      <c r="G109" s="38" t="n">
        <v>1</v>
      </c>
      <c r="H109" s="38" t="str">
        <v>PSR-0085</v>
      </c>
      <c r="I109" s="38" t="str">
        <v>2026-08-03</v>
      </c>
      <c r="J109" s="38" t="str">
        <v>ESTIMATE</v>
      </c>
      <c r="K109" s="38" t="str">
        <v>LOW_CONFIDENCE</v>
      </c>
      <c r="L109" s="38" t="str">
        <v>Менее трёх сопоставимых наблюдений</v>
      </c>
      <c r="M109" s="38" t="str">
        <v>Ставка и право вычета не подтверждены</v>
      </c>
      <c r="N109" s="38"/>
      <c r="O109" s="38"/>
      <c r="P109" s="38" t="str">
        <v>Owner / Procurement</v>
      </c>
      <c r="Q109" s="39" t="str">
        <v>Получить минимум 3 КП HoReCa с фасовкой, доставкой, MOQ и НДС</v>
      </c>
    </row>
    <row r="110">
      <c r="A110" s="37" t="str">
        <v>ING-106</v>
      </c>
      <c r="B110" s="38" t="str">
        <v>Соль</v>
      </c>
      <c r="C110" s="38" t="n">
        <v>22</v>
      </c>
      <c r="D110" s="38" t="str">
        <v>NO</v>
      </c>
      <c r="E110" s="38"/>
      <c r="F110" s="38"/>
      <c r="G110" s="38" t="n">
        <v>0</v>
      </c>
      <c r="H110" s="38"/>
      <c r="I110" s="38"/>
      <c r="J110" s="38" t="str">
        <v>BLOCKED</v>
      </c>
      <c r="K110" s="38" t="str">
        <v>BLOCKED</v>
      </c>
      <c r="L110" s="38" t="str">
        <v>Нет проверяемого публичного ценового наблюдения</v>
      </c>
      <c r="M110" s="38"/>
      <c r="N110" s="38"/>
      <c r="O110" s="38"/>
      <c r="P110" s="38" t="str">
        <v>Owner / Procurement</v>
      </c>
      <c r="Q110" s="39" t="str">
        <v>Получить минимум 3 КП HoReCa с фасовкой, доставкой, MOQ и НДС</v>
      </c>
    </row>
    <row r="111">
      <c r="A111" s="37" t="str">
        <v>ING-107</v>
      </c>
      <c r="B111" s="38" t="str">
        <v>Черника</v>
      </c>
      <c r="C111" s="38" t="n">
        <v>530</v>
      </c>
      <c r="D111" s="38" t="str">
        <v>YES</v>
      </c>
      <c r="E111" s="38" t="n">
        <v>783.3</v>
      </c>
      <c r="F111" s="38" t="str">
        <v>median_public_observation</v>
      </c>
      <c r="G111" s="38" t="n">
        <v>3</v>
      </c>
      <c r="H111" s="38" t="str">
        <v>PSR-0061;PSR-0062;PSR-0063</v>
      </c>
      <c r="I111" s="38" t="str">
        <v>2026-08-03</v>
      </c>
      <c r="J111" s="38" t="str">
        <v>ESTIMATE</v>
      </c>
      <c r="K111" s="38" t="str">
        <v>MEDIUM</v>
      </c>
      <c r="L111" s="38" t="str">
        <v>Медиана публичных наблюдений</v>
      </c>
      <c r="M111" s="38" t="str">
        <v>Ставка и право вычета не подтверждены</v>
      </c>
      <c r="N111" s="38"/>
      <c r="O111" s="38"/>
      <c r="P111" s="38" t="str">
        <v>Owner / Procurement</v>
      </c>
      <c r="Q111" s="39" t="str">
        <v>Сверить с КП и выбрать поставщика</v>
      </c>
    </row>
    <row r="112">
      <c r="A112" s="37" t="str">
        <v>ING-108</v>
      </c>
      <c r="B112" s="38" t="str">
        <v>Сыр сливочный</v>
      </c>
      <c r="C112" s="38" t="n">
        <v>370</v>
      </c>
      <c r="D112" s="38" t="str">
        <v>YES</v>
      </c>
      <c r="E112" s="38" t="n">
        <v>549.975</v>
      </c>
      <c r="F112" s="38" t="str">
        <v>median_public_observation</v>
      </c>
      <c r="G112" s="38" t="n">
        <v>1</v>
      </c>
      <c r="H112" s="38" t="str">
        <v>PSR-0064</v>
      </c>
      <c r="I112" s="38" t="str">
        <v>2026-08-03</v>
      </c>
      <c r="J112" s="38" t="str">
        <v>ESTIMATE</v>
      </c>
      <c r="K112" s="38" t="str">
        <v>LOW_CONFIDENCE</v>
      </c>
      <c r="L112" s="38" t="str">
        <v>Менее трёх сопоставимых наблюдений</v>
      </c>
      <c r="M112" s="38" t="str">
        <v>Ставка и право вычета не подтверждены</v>
      </c>
      <c r="N112" s="38"/>
      <c r="O112" s="38"/>
      <c r="P112" s="38" t="str">
        <v>Owner / Procurement</v>
      </c>
      <c r="Q112" s="39" t="str">
        <v>Получить минимум 3 КП HoReCa с фасовкой, доставкой, MOQ и НДС</v>
      </c>
    </row>
    <row r="113">
      <c r="A113" s="37" t="str">
        <v>ING-109</v>
      </c>
      <c r="B113" s="38" t="str">
        <v>Сахарная пудра</v>
      </c>
      <c r="C113" s="38" t="n">
        <v>120</v>
      </c>
      <c r="D113" s="38" t="str">
        <v>NO</v>
      </c>
      <c r="E113" s="38" t="n">
        <v>159.96</v>
      </c>
      <c r="F113" s="38" t="str">
        <v>median_public_observation</v>
      </c>
      <c r="G113" s="38" t="n">
        <v>1</v>
      </c>
      <c r="H113" s="38" t="str">
        <v>PSR-0086</v>
      </c>
      <c r="I113" s="38" t="str">
        <v>2026-08-03</v>
      </c>
      <c r="J113" s="38" t="str">
        <v>ESTIMATE</v>
      </c>
      <c r="K113" s="38" t="str">
        <v>LOW_CONFIDENCE</v>
      </c>
      <c r="L113" s="38" t="str">
        <v>Менее трёх сопоставимых наблюдений</v>
      </c>
      <c r="M113" s="38" t="str">
        <v>Ставка и право вычета не подтверждены</v>
      </c>
      <c r="N113" s="38"/>
      <c r="O113" s="38"/>
      <c r="P113" s="38" t="str">
        <v>Owner / Procurement</v>
      </c>
      <c r="Q113" s="39" t="str">
        <v>Получить минимум 3 КП HoReCa с фасовкой, доставкой, MOQ и НДС</v>
      </c>
    </row>
    <row r="114">
      <c r="A114" s="37" t="str">
        <v>ING-110</v>
      </c>
      <c r="B114" s="38" t="str">
        <v>Пектин или крахмал</v>
      </c>
      <c r="C114" s="38" t="n">
        <v>20</v>
      </c>
      <c r="D114" s="38" t="str">
        <v>NO</v>
      </c>
      <c r="E114" s="38" t="n">
        <v>174.975</v>
      </c>
      <c r="F114" s="38" t="str">
        <v>median_public_observation</v>
      </c>
      <c r="G114" s="38" t="n">
        <v>1</v>
      </c>
      <c r="H114" s="38" t="str">
        <v>PSR-0087</v>
      </c>
      <c r="I114" s="38" t="str">
        <v>2026-08-03</v>
      </c>
      <c r="J114" s="38" t="str">
        <v>ESTIMATE</v>
      </c>
      <c r="K114" s="38" t="str">
        <v>LOW_CONFIDENCE</v>
      </c>
      <c r="L114" s="38" t="str">
        <v>Менее трёх сопоставимых наблюдений</v>
      </c>
      <c r="M114" s="38" t="str">
        <v>Ставка и право вычета не подтверждены</v>
      </c>
      <c r="N114" s="38"/>
      <c r="O114" s="38"/>
      <c r="P114" s="38" t="str">
        <v>Owner / Procurement</v>
      </c>
      <c r="Q114" s="39" t="str">
        <v>Получить минимум 3 КП HoReCa с фасовкой, доставкой, MOQ и НДС</v>
      </c>
    </row>
    <row r="115">
      <c r="A115" s="37" t="str">
        <v>ING-111</v>
      </c>
      <c r="B115" s="38" t="str">
        <v>Глазурь проектная</v>
      </c>
      <c r="C115" s="38" t="n">
        <v>150</v>
      </c>
      <c r="D115" s="38" t="str">
        <v>NO</v>
      </c>
      <c r="E115" s="38"/>
      <c r="F115" s="38"/>
      <c r="G115" s="38" t="n">
        <v>0</v>
      </c>
      <c r="H115" s="38"/>
      <c r="I115" s="38"/>
      <c r="J115" s="38" t="str">
        <v>BLOCKED</v>
      </c>
      <c r="K115" s="38" t="str">
        <v>BLOCKED</v>
      </c>
      <c r="L115" s="38" t="str">
        <v>Нет проверяемого публичного ценового наблюдения</v>
      </c>
      <c r="M115" s="38"/>
      <c r="N115" s="38"/>
      <c r="O115" s="38"/>
      <c r="P115" s="38" t="str">
        <v>Owner / Procurement</v>
      </c>
      <c r="Q115" s="39" t="str">
        <v>Получить минимум 3 КП HoReCa с фасовкой, доставкой, MOQ и НДС</v>
      </c>
    </row>
    <row r="116">
      <c r="A116" s="37" t="str">
        <v>ING-112</v>
      </c>
      <c r="B116" s="38" t="str">
        <v>Декор съедобный</v>
      </c>
      <c r="C116" s="38" t="n">
        <v>97</v>
      </c>
      <c r="D116" s="38" t="str">
        <v>NO</v>
      </c>
      <c r="E116" s="38"/>
      <c r="F116" s="38"/>
      <c r="G116" s="38" t="n">
        <v>0</v>
      </c>
      <c r="H116" s="38"/>
      <c r="I116" s="38"/>
      <c r="J116" s="38" t="str">
        <v>BLOCKED</v>
      </c>
      <c r="K116" s="38" t="str">
        <v>BLOCKED</v>
      </c>
      <c r="L116" s="38" t="str">
        <v>Нет проверяемого публичного ценового наблюдения</v>
      </c>
      <c r="M116" s="38"/>
      <c r="N116" s="38"/>
      <c r="O116" s="38"/>
      <c r="P116" s="38" t="str">
        <v>Owner / Procurement</v>
      </c>
      <c r="Q116" s="39" t="str">
        <v>Получить минимум 3 КП HoReCa с фасовкой, доставкой, MOQ и НДС</v>
      </c>
    </row>
    <row r="117">
      <c r="A117" s="40" t="str">
        <v>ING-113</v>
      </c>
      <c r="B117" s="41" t="str">
        <v>Цедра лимона</v>
      </c>
      <c r="C117" s="41" t="n">
        <v>7</v>
      </c>
      <c r="D117" s="41" t="str">
        <v>NO</v>
      </c>
      <c r="E117" s="41"/>
      <c r="F117" s="41"/>
      <c r="G117" s="41" t="n">
        <v>0</v>
      </c>
      <c r="H117" s="41"/>
      <c r="I117" s="41"/>
      <c r="J117" s="41" t="str">
        <v>BLOCKED</v>
      </c>
      <c r="K117" s="41" t="str">
        <v>BLOCKED</v>
      </c>
      <c r="L117" s="41" t="str">
        <v>Нет проверяемого публичного ценового наблюдения</v>
      </c>
      <c r="M117" s="41"/>
      <c r="N117" s="41"/>
      <c r="O117" s="41"/>
      <c r="P117" s="41" t="str">
        <v>Owner / Procurement</v>
      </c>
      <c r="Q117" s="42" t="str">
        <v>Получить минимум 3 КП HoReCa с фасовкой, доставкой, MOQ и НДС</v>
      </c>
    </row>
  </sheetData>
  <autoFilter ref="A1:Q117"/>
  <mergeCells>
    <mergeCell ref="A1:Q1"/>
    <mergeCell ref="A2:Q2"/>
  </mergeCells>
  <conditionalFormatting sqref="J5:J117">
    <cfRule type="containsText" dxfId="72" priority="1" operator="containsText" text="BLOCK"/>
    <cfRule type="containsText" dxfId="73" priority="2" operator="containsText" text="DRAFT"/>
    <cfRule type="containsText" dxfId="74" priority="3" operator="containsText" text="PASS"/>
  </conditionalFormatting>
  <conditionalFormatting sqref="M5:M117">
    <cfRule type="containsText" dxfId="75" priority="4" operator="containsText" text="BLOCK"/>
    <cfRule type="containsText" dxfId="76" priority="5" operator="containsText" text="DRAFT"/>
    <cfRule type="containsText" dxfId="77" priority="6" operator="containsText" text="PASS"/>
  </conditionalFormatting>
  <pageMargins left="0.7" right="0.7" top="0.75" bottom="0.75" header="0.3" footer="0.3"/>
  <tableParts count="1">
    <tablePart r:id="R0704fff3ba814e8e"/>
  </tablePart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38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24" hidden="0" customWidth="1"/>
    <col min="28" max="28" width="24" hidden="0" customWidth="1"/>
    <col min="29" max="29" width="16" hidden="0" customWidth="1"/>
    <col min="30" max="30" width="16" hidden="0" customWidth="1"/>
    <col min="31" max="31" width="16" hidden="0" customWidth="1"/>
    <col min="32" max="32" width="16" hidden="0" customWidth="1"/>
    <col min="33" max="33" width="16" hidden="0" customWidth="1"/>
    <col min="34" max="34" width="16" hidden="0" customWidth="1"/>
    <col min="35" max="35" width="24" hidden="0" customWidth="1"/>
    <col min="36" max="36" width="16" hidden="0" customWidth="1"/>
    <col min="37" max="37" width="38" hidden="0" customWidth="1"/>
    <col min="38" max="38" width="16" hidden="0" customWidth="1"/>
  </cols>
  <sheetData>
    <row r="1">
      <c r="A1" s="8" t="str">
        <v>07 — Экономика каналов 104/104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A2" s="11" t="str">
        <v>Проектные цены/food cost/margin имеют preliminary/model status.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4" ht="50" customHeight="1">
      <c r="A4" s="14" t="str">
        <v>channel_record_id</v>
      </c>
      <c r="B4" s="14" t="str">
        <v>position_code</v>
      </c>
      <c r="C4" s="14" t="str">
        <v>channel</v>
      </c>
      <c r="D4" s="14" t="str">
        <v>source_model</v>
      </c>
      <c r="E4" s="14" t="str">
        <v>source_ref_sha</v>
      </c>
      <c r="F4" s="14" t="str">
        <v>source_path</v>
      </c>
      <c r="G4" s="14" t="str">
        <v>source_record_key</v>
      </c>
      <c r="H4" s="14" t="str">
        <v>evidence_kitchen_cogs_rub</v>
      </c>
      <c r="I4" s="14" t="str">
        <v>evidence_packaging_rub</v>
      </c>
      <c r="J4" s="14" t="str">
        <v>evidence_other_direct_variable_rub</v>
      </c>
      <c r="K4" s="14" t="str">
        <v>evidence_complete_direct_cogs_rub</v>
      </c>
      <c r="L4" s="14" t="str">
        <v>evidence_price_rub</v>
      </c>
      <c r="M4" s="14" t="str">
        <v>evidence_tax_rate</v>
      </c>
      <c r="N4" s="14" t="str">
        <v>evidence_commission_rate</v>
      </c>
      <c r="O4" s="14" t="str">
        <v>model_kitchen_cogs_rub</v>
      </c>
      <c r="P4" s="14" t="str">
        <v>model_packaging_rub</v>
      </c>
      <c r="Q4" s="14" t="str">
        <v>model_other_direct_variable_rub</v>
      </c>
      <c r="R4" s="14" t="str">
        <v>model_complete_direct_cogs_rub</v>
      </c>
      <c r="S4" s="14" t="str">
        <v>model_price_rub</v>
      </c>
      <c r="T4" s="14" t="str">
        <v>model_target_cogs_ratio</v>
      </c>
      <c r="U4" s="14" t="str">
        <v>model_food_cost_ratio</v>
      </c>
      <c r="V4" s="14" t="str">
        <v>model_gross_margin_before_channel_costs_rub</v>
      </c>
      <c r="W4" s="14" t="str">
        <v>model_tax_rate</v>
      </c>
      <c r="X4" s="14" t="str">
        <v>model_commission_rate</v>
      </c>
      <c r="Y4" s="14" t="str">
        <v>model_contribution_before_tax_commission_rub</v>
      </c>
      <c r="Z4" s="14" t="str">
        <v>calculation_layer</v>
      </c>
      <c r="AA4" s="14" t="str">
        <v>calculation_status</v>
      </c>
      <c r="AB4" s="14" t="str">
        <v>approval_status</v>
      </c>
      <c r="AC4" s="14" t="str">
        <v>limitations</v>
      </c>
      <c r="AD4" s="14" t="str">
        <v>source_model_food_cost_ratio</v>
      </c>
      <c r="AE4" s="14" t="str">
        <v>normalization_divisor</v>
      </c>
      <c r="AF4" s="14" t="str">
        <v>sale_unit_model_complete_direct_cogs_rub</v>
      </c>
      <c r="AG4" s="14" t="str">
        <v>sale_unit_model_price_rub</v>
      </c>
      <c r="AH4" s="14" t="str">
        <v>sale_unit_model_gross_margin_rub</v>
      </c>
      <c r="AI4" s="14" t="str">
        <v>normalization_status</v>
      </c>
      <c r="AJ4" s="14" t="str">
        <v>packaging_zero_interpretation</v>
      </c>
      <c r="AK4" s="14" t="str">
        <v>channel_formula_method</v>
      </c>
      <c r="AL4" s="14" t="str">
        <v>formula_version</v>
      </c>
      <c r="AM4" t="str">
        <v>recalc_kitchen_food_cost</v>
      </c>
      <c r="AN4" t="str">
        <v>recalc_gross_margin_before_channel_costs</v>
      </c>
    </row>
    <row r="5">
      <c r="A5" s="34" t="str">
        <v>CH-VKM-001-001</v>
      </c>
      <c r="B5" s="35" t="str">
        <v>VKM-001</v>
      </c>
      <c r="C5" s="35" t="str">
        <v>À la carte</v>
      </c>
      <c r="D5" s="35" t="str">
        <v>ISSUE82_RC2_PROXY_CHANNEL_SCENARIO</v>
      </c>
      <c r="E5" s="35" t="str">
        <v>71516bf871fa560e890ce5bc7f858854a5335ae2</v>
      </c>
      <c r="F5" s="35" t="str">
        <v>docs/07-operations/issue-82/PROVISIONAL_PROXY_SCENARIO_CHANNEL_PRICING.csv</v>
      </c>
      <c r="G5" s="35" t="str">
        <v>VKM-001|À la carte</v>
      </c>
      <c r="H5" s="35"/>
      <c r="I5" s="35"/>
      <c r="J5" s="35"/>
      <c r="K5" s="35"/>
      <c r="L5" s="35"/>
      <c r="M5" s="35"/>
      <c r="N5" s="35"/>
      <c r="O5" s="35" t="n">
        <v>230.067829</v>
      </c>
      <c r="P5" s="35" t="n">
        <v>0</v>
      </c>
      <c r="Q5" s="35"/>
      <c r="R5" s="35" t="n">
        <v>230.067829</v>
      </c>
      <c r="S5" s="35" t="n">
        <v>766.892764</v>
      </c>
      <c r="T5" s="35" t="n">
        <v>0.3</v>
      </c>
      <c r="U5" s="35" t="n">
        <v>0.2999999997392073</v>
      </c>
      <c r="V5" s="35" t="n">
        <v>536.824935</v>
      </c>
      <c r="W5" s="35"/>
      <c r="X5" s="35"/>
      <c r="Y5" s="35" t="n">
        <v>536.824935</v>
      </c>
      <c r="Z5" s="35" t="str">
        <v>ISSUE82_PROXY_SCENARIO</v>
      </c>
      <c r="AA5" s="35" t="str">
        <v>ASSUMPTION_BLOCKED_PENDING_VALIDATION</v>
      </c>
      <c r="AB5" s="35" t="str">
        <v>NOT_APPROVED_FOR_MENU</v>
      </c>
      <c r="AC5" s="35" t="str">
        <v>Planning scenario, not approved project price; tax, commission and quoted packaging remain excluded/blocked</v>
      </c>
      <c r="AD5" s="35" t="n">
        <v>0.3</v>
      </c>
      <c r="AE5" s="35" t="n">
        <v>1</v>
      </c>
      <c r="AF5" s="35" t="n">
        <v>230.067829</v>
      </c>
      <c r="AG5" s="35" t="n">
        <v>766.892764</v>
      </c>
      <c r="AH5" s="35" t="n">
        <v>536.824935</v>
      </c>
      <c r="AI5" s="35" t="str">
        <v>SOURCE_ALREADY_ONE_SALE_UNIT</v>
      </c>
      <c r="AJ5" s="35" t="str">
        <v>MODEL_ASSUMPTION_ZERO_NOT_QUOTED_NOT_EVIDENCE</v>
      </c>
      <c r="AK5" s="35" t="str">
        <v>food_cost=kitchen_cogs/price; gross_margin_before_channel_costs=price-kitchen_cogs; contribution=price-complete_direct_cogs-tax-commission</v>
      </c>
      <c r="AL5" s="36" t="str">
        <v>ISS80-S02-CHANNEL-V1</v>
      </c>
      <c r="AM5" s="44" t="n">
        <f>IFERROR(O5/S5,"")</f>
        <v>0.2999999997392073</v>
      </c>
      <c r="AN5" s="43" t="n">
        <f>IF(OR(S5="",O5=""),"", S5-O5)</f>
        <v>536.8249350000001</v>
      </c>
    </row>
    <row r="6">
      <c r="A6" s="37" t="str">
        <v>CH-VKM-001-002</v>
      </c>
      <c r="B6" s="38" t="str">
        <v>VKM-001</v>
      </c>
      <c r="C6" s="38" t="str">
        <v>Бизнес-ланч</v>
      </c>
      <c r="D6" s="38" t="str">
        <v>ISSUE82_RC2_PROXY_CHANNEL_SCENARIO</v>
      </c>
      <c r="E6" s="38" t="str">
        <v>71516bf871fa560e890ce5bc7f858854a5335ae2</v>
      </c>
      <c r="F6" s="38" t="str">
        <v>docs/07-operations/issue-82/PROVISIONAL_PROXY_SCENARIO_CHANNEL_PRICING.csv</v>
      </c>
      <c r="G6" s="38" t="str">
        <v>VKM-001|Бизнес-ланч</v>
      </c>
      <c r="H6" s="38"/>
      <c r="I6" s="38"/>
      <c r="J6" s="38"/>
      <c r="K6" s="38"/>
      <c r="L6" s="38"/>
      <c r="M6" s="38"/>
      <c r="N6" s="38"/>
      <c r="O6" s="38" t="n">
        <v>230.067829</v>
      </c>
      <c r="P6" s="38" t="n">
        <v>0</v>
      </c>
      <c r="Q6" s="38"/>
      <c r="R6" s="38" t="n">
        <v>230.067829</v>
      </c>
      <c r="S6" s="38" t="n">
        <v>575.169573</v>
      </c>
      <c r="T6" s="38" t="n">
        <v>0.4</v>
      </c>
      <c r="U6" s="38" t="n">
        <v>0.39999999965227645</v>
      </c>
      <c r="V6" s="38" t="n">
        <v>345.101744</v>
      </c>
      <c r="W6" s="38"/>
      <c r="X6" s="38"/>
      <c r="Y6" s="38" t="n">
        <v>345.101744</v>
      </c>
      <c r="Z6" s="38" t="str">
        <v>ISSUE82_PROXY_SCENARIO</v>
      </c>
      <c r="AA6" s="38" t="str">
        <v>ASSUMPTION_BLOCKED_PENDING_VALIDATION</v>
      </c>
      <c r="AB6" s="38" t="str">
        <v>NOT_APPROVED_FOR_MENU</v>
      </c>
      <c r="AC6" s="38" t="str">
        <v>Planning scenario, not approved project price; tax, commission and quoted packaging remain excluded/blocked</v>
      </c>
      <c r="AD6" s="38" t="n">
        <v>0.4</v>
      </c>
      <c r="AE6" s="38" t="n">
        <v>1</v>
      </c>
      <c r="AF6" s="38" t="n">
        <v>230.067829</v>
      </c>
      <c r="AG6" s="38" t="n">
        <v>575.169573</v>
      </c>
      <c r="AH6" s="38" t="n">
        <v>345.101744</v>
      </c>
      <c r="AI6" s="38" t="str">
        <v>SOURCE_ALREADY_ONE_SALE_UNIT</v>
      </c>
      <c r="AJ6" s="38" t="str">
        <v>MODEL_ASSUMPTION_ZERO_NOT_QUOTED_NOT_EVIDENCE</v>
      </c>
      <c r="AK6" s="38" t="str">
        <v>food_cost=kitchen_cogs/price; gross_margin_before_channel_costs=price-kitchen_cogs; contribution=price-complete_direct_cogs-tax-commission</v>
      </c>
      <c r="AL6" s="39" t="str">
        <v>ISS80-S02-CHANNEL-V1</v>
      </c>
      <c r="AM6" s="44" t="n">
        <f>IFERROR(O6/S6,"")</f>
        <v>0.39999999965227645</v>
      </c>
      <c r="AN6" s="43" t="n">
        <f>IF(OR(S6="",O6=""),"", S6-O6)</f>
        <v>345.10174400000005</v>
      </c>
    </row>
    <row r="7">
      <c r="A7" s="37" t="str">
        <v>CH-VKM-001-003</v>
      </c>
      <c r="B7" s="38" t="str">
        <v>VKM-001</v>
      </c>
      <c r="C7" s="38" t="str">
        <v>Гостиничные ужины</v>
      </c>
      <c r="D7" s="38" t="str">
        <v>ISSUE82_RC2_PROXY_CHANNEL_SCENARIO</v>
      </c>
      <c r="E7" s="38" t="str">
        <v>71516bf871fa560e890ce5bc7f858854a5335ae2</v>
      </c>
      <c r="F7" s="38" t="str">
        <v>docs/07-operations/issue-82/PROVISIONAL_PROXY_SCENARIO_CHANNEL_PRICING.csv</v>
      </c>
      <c r="G7" s="38" t="str">
        <v>VKM-001|Гостиничные ужины</v>
      </c>
      <c r="H7" s="38"/>
      <c r="I7" s="38"/>
      <c r="J7" s="38"/>
      <c r="K7" s="38"/>
      <c r="L7" s="38"/>
      <c r="M7" s="38"/>
      <c r="N7" s="38"/>
      <c r="O7" s="38" t="n">
        <v>230.067829</v>
      </c>
      <c r="P7" s="38" t="n">
        <v>0</v>
      </c>
      <c r="Q7" s="38"/>
      <c r="R7" s="38" t="n">
        <v>230.067829</v>
      </c>
      <c r="S7" s="38" t="n">
        <v>766.892764</v>
      </c>
      <c r="T7" s="38" t="n">
        <v>0.3</v>
      </c>
      <c r="U7" s="38" t="n">
        <v>0.2999999997392073</v>
      </c>
      <c r="V7" s="38" t="n">
        <v>536.824935</v>
      </c>
      <c r="W7" s="38"/>
      <c r="X7" s="38"/>
      <c r="Y7" s="38" t="n">
        <v>536.824935</v>
      </c>
      <c r="Z7" s="38" t="str">
        <v>ISSUE82_PROXY_SCENARIO</v>
      </c>
      <c r="AA7" s="38" t="str">
        <v>ASSUMPTION_BLOCKED_PENDING_VALIDATION</v>
      </c>
      <c r="AB7" s="38" t="str">
        <v>NOT_APPROVED_FOR_MENU</v>
      </c>
      <c r="AC7" s="38" t="str">
        <v>Planning scenario, not approved project price; tax, commission and quoted packaging remain excluded/blocked</v>
      </c>
      <c r="AD7" s="38" t="n">
        <v>0.3</v>
      </c>
      <c r="AE7" s="38" t="n">
        <v>1</v>
      </c>
      <c r="AF7" s="38" t="n">
        <v>230.067829</v>
      </c>
      <c r="AG7" s="38" t="n">
        <v>766.892764</v>
      </c>
      <c r="AH7" s="38" t="n">
        <v>536.824935</v>
      </c>
      <c r="AI7" s="38" t="str">
        <v>SOURCE_ALREADY_ONE_SALE_UNIT</v>
      </c>
      <c r="AJ7" s="38" t="str">
        <v>MODEL_ASSUMPTION_ZERO_NOT_QUOTED_NOT_EVIDENCE</v>
      </c>
      <c r="AK7" s="38" t="str">
        <v>food_cost=kitchen_cogs/price; gross_margin_before_channel_costs=price-kitchen_cogs; contribution=price-complete_direct_cogs-tax-commission</v>
      </c>
      <c r="AL7" s="39" t="str">
        <v>ISS80-S02-CHANNEL-V1</v>
      </c>
      <c r="AM7" s="44" t="n">
        <f>IFERROR(O7/S7,"")</f>
        <v>0.2999999997392073</v>
      </c>
      <c r="AN7" s="43" t="n">
        <f>IF(OR(S7="",O7=""),"", S7-O7)</f>
        <v>536.8249350000001</v>
      </c>
    </row>
    <row r="8">
      <c r="A8" s="37" t="str">
        <v>CH-VKM-001-004</v>
      </c>
      <c r="B8" s="38" t="str">
        <v>VKM-001</v>
      </c>
      <c r="C8" s="38" t="str">
        <v>Доставка</v>
      </c>
      <c r="D8" s="38" t="str">
        <v>ISSUE82_RC2_PROXY_CHANNEL_SCENARIO</v>
      </c>
      <c r="E8" s="38" t="str">
        <v>71516bf871fa560e890ce5bc7f858854a5335ae2</v>
      </c>
      <c r="F8" s="38" t="str">
        <v>docs/07-operations/issue-82/PROVISIONAL_PROXY_SCENARIO_CHANNEL_PRICING.csv</v>
      </c>
      <c r="G8" s="38" t="str">
        <v>VKM-001|Доставка</v>
      </c>
      <c r="H8" s="38"/>
      <c r="I8" s="38"/>
      <c r="J8" s="38"/>
      <c r="K8" s="38"/>
      <c r="L8" s="38"/>
      <c r="M8" s="38"/>
      <c r="N8" s="38"/>
      <c r="O8" s="38" t="n">
        <v>230.067829</v>
      </c>
      <c r="P8" s="38" t="n">
        <v>65</v>
      </c>
      <c r="Q8" s="38"/>
      <c r="R8" s="38" t="n">
        <v>295.067829</v>
      </c>
      <c r="S8" s="38" t="n">
        <v>983.559431</v>
      </c>
      <c r="T8" s="38" t="n">
        <v>0.3</v>
      </c>
      <c r="U8" s="38" t="n">
        <v>0.2339135000373963</v>
      </c>
      <c r="V8" s="38" t="n">
        <v>753.491602</v>
      </c>
      <c r="W8" s="38"/>
      <c r="X8" s="38"/>
      <c r="Y8" s="38" t="n">
        <v>688.491602</v>
      </c>
      <c r="Z8" s="38" t="str">
        <v>ISSUE82_PROXY_SCENARIO</v>
      </c>
      <c r="AA8" s="38" t="str">
        <v>ASSUMPTION_BLOCKED_PENDING_VALIDATION</v>
      </c>
      <c r="AB8" s="38" t="str">
        <v>NOT_APPROVED_FOR_MENU</v>
      </c>
      <c r="AC8" s="38" t="str">
        <v>Planning scenario, not approved project price; tax, commission and quoted packaging remain excluded/blocked</v>
      </c>
      <c r="AD8" s="38" t="n">
        <v>0.233914</v>
      </c>
      <c r="AE8" s="38" t="n">
        <v>1</v>
      </c>
      <c r="AF8" s="38" t="n">
        <v>295.067829</v>
      </c>
      <c r="AG8" s="38" t="n">
        <v>983.559431</v>
      </c>
      <c r="AH8" s="38" t="n">
        <v>753.491602</v>
      </c>
      <c r="AI8" s="38" t="str">
        <v>SOURCE_ALREADY_ONE_SALE_UNIT</v>
      </c>
      <c r="AJ8" s="38" t="str">
        <v>SOURCE_VALUE</v>
      </c>
      <c r="AK8" s="38" t="str">
        <v>food_cost=kitchen_cogs/price; gross_margin_before_channel_costs=price-kitchen_cogs; contribution=price-complete_direct_cogs-tax-commission</v>
      </c>
      <c r="AL8" s="39" t="str">
        <v>ISS80-S02-CHANNEL-V1</v>
      </c>
      <c r="AM8" s="44" t="n">
        <f>IFERROR(O8/S8,"")</f>
        <v>0.2339135000373963</v>
      </c>
      <c r="AN8" s="43" t="n">
        <f>IF(OR(S8="",O8=""),"", S8-O8)</f>
        <v>753.4916020000001</v>
      </c>
    </row>
    <row r="9">
      <c r="A9" s="37" t="str">
        <v>CH-VKM-002-005</v>
      </c>
      <c r="B9" s="38" t="str">
        <v>VKM-002</v>
      </c>
      <c r="C9" s="38" t="str">
        <v>À la carte</v>
      </c>
      <c r="D9" s="38" t="str">
        <v>ISSUE82_RC2_PROXY_CHANNEL_SCENARIO</v>
      </c>
      <c r="E9" s="38" t="str">
        <v>71516bf871fa560e890ce5bc7f858854a5335ae2</v>
      </c>
      <c r="F9" s="38" t="str">
        <v>docs/07-operations/issue-82/PROVISIONAL_PROXY_SCENARIO_CHANNEL_PRICING.csv</v>
      </c>
      <c r="G9" s="38" t="str">
        <v>VKM-002|À la carte</v>
      </c>
      <c r="H9" s="38"/>
      <c r="I9" s="38"/>
      <c r="J9" s="38"/>
      <c r="K9" s="38"/>
      <c r="L9" s="38"/>
      <c r="M9" s="38"/>
      <c r="N9" s="38"/>
      <c r="O9" s="38" t="n">
        <v>334.18321</v>
      </c>
      <c r="P9" s="38" t="n">
        <v>0</v>
      </c>
      <c r="Q9" s="38"/>
      <c r="R9" s="38" t="n">
        <v>334.18321</v>
      </c>
      <c r="S9" s="38" t="n">
        <v>1113.944034</v>
      </c>
      <c r="T9" s="38" t="n">
        <v>0.3</v>
      </c>
      <c r="U9" s="38" t="n">
        <v>0.2999999998204577</v>
      </c>
      <c r="V9" s="38" t="n">
        <v>779.760824</v>
      </c>
      <c r="W9" s="38"/>
      <c r="X9" s="38"/>
      <c r="Y9" s="38" t="n">
        <v>779.760824</v>
      </c>
      <c r="Z9" s="38" t="str">
        <v>ISSUE82_PROXY_SCENARIO</v>
      </c>
      <c r="AA9" s="38" t="str">
        <v>ASSUMPTION_BLOCKED_PENDING_VALIDATION</v>
      </c>
      <c r="AB9" s="38" t="str">
        <v>NOT_APPROVED_FOR_MENU</v>
      </c>
      <c r="AC9" s="38" t="str">
        <v>Planning scenario, not approved project price; tax, commission and quoted packaging remain excluded/blocked</v>
      </c>
      <c r="AD9" s="38" t="n">
        <v>0.3</v>
      </c>
      <c r="AE9" s="38" t="n">
        <v>1</v>
      </c>
      <c r="AF9" s="38" t="n">
        <v>334.18321</v>
      </c>
      <c r="AG9" s="38" t="n">
        <v>1113.944034</v>
      </c>
      <c r="AH9" s="38" t="n">
        <v>779.760824</v>
      </c>
      <c r="AI9" s="38" t="str">
        <v>SOURCE_ALREADY_ONE_SALE_UNIT</v>
      </c>
      <c r="AJ9" s="38" t="str">
        <v>MODEL_ASSUMPTION_ZERO_NOT_QUOTED_NOT_EVIDENCE</v>
      </c>
      <c r="AK9" s="38" t="str">
        <v>food_cost=kitchen_cogs/price; gross_margin_before_channel_costs=price-kitchen_cogs; contribution=price-complete_direct_cogs-tax-commission</v>
      </c>
      <c r="AL9" s="39" t="str">
        <v>ISS80-S02-CHANNEL-V1</v>
      </c>
      <c r="AM9" s="44" t="n">
        <f>IFERROR(O9/S9,"")</f>
        <v>0.2999999998204577</v>
      </c>
      <c r="AN9" s="43" t="n">
        <f>IF(OR(S9="",O9=""),"", S9-O9)</f>
        <v>779.7608240000002</v>
      </c>
    </row>
    <row r="10">
      <c r="A10" s="37" t="str">
        <v>CH-VKM-002-006</v>
      </c>
      <c r="B10" s="38" t="str">
        <v>VKM-002</v>
      </c>
      <c r="C10" s="38" t="str">
        <v>Бизнес-ланч</v>
      </c>
      <c r="D10" s="38" t="str">
        <v>ISSUE82_RC2_PROXY_CHANNEL_SCENARIO</v>
      </c>
      <c r="E10" s="38" t="str">
        <v>71516bf871fa560e890ce5bc7f858854a5335ae2</v>
      </c>
      <c r="F10" s="38" t="str">
        <v>docs/07-operations/issue-82/PROVISIONAL_PROXY_SCENARIO_CHANNEL_PRICING.csv</v>
      </c>
      <c r="G10" s="38" t="str">
        <v>VKM-002|Бизнес-ланч</v>
      </c>
      <c r="H10" s="38"/>
      <c r="I10" s="38"/>
      <c r="J10" s="38"/>
      <c r="K10" s="38"/>
      <c r="L10" s="38"/>
      <c r="M10" s="38"/>
      <c r="N10" s="38"/>
      <c r="O10" s="38" t="n">
        <v>334.18321</v>
      </c>
      <c r="P10" s="38" t="n">
        <v>0</v>
      </c>
      <c r="Q10" s="38"/>
      <c r="R10" s="38" t="n">
        <v>334.18321</v>
      </c>
      <c r="S10" s="38" t="n">
        <v>835.458026</v>
      </c>
      <c r="T10" s="38" t="n">
        <v>0.4</v>
      </c>
      <c r="U10" s="38" t="n">
        <v>0.3999999995212207</v>
      </c>
      <c r="V10" s="38" t="n">
        <v>501.274815</v>
      </c>
      <c r="W10" s="38"/>
      <c r="X10" s="38"/>
      <c r="Y10" s="38" t="n">
        <v>501.274815</v>
      </c>
      <c r="Z10" s="38" t="str">
        <v>ISSUE82_PROXY_SCENARIO</v>
      </c>
      <c r="AA10" s="38" t="str">
        <v>ASSUMPTION_BLOCKED_PENDING_VALIDATION</v>
      </c>
      <c r="AB10" s="38" t="str">
        <v>NOT_APPROVED_FOR_MENU</v>
      </c>
      <c r="AC10" s="38" t="str">
        <v>Planning scenario, not approved project price; tax, commission and quoted packaging remain excluded/blocked</v>
      </c>
      <c r="AD10" s="38" t="n">
        <v>0.4</v>
      </c>
      <c r="AE10" s="38" t="n">
        <v>1</v>
      </c>
      <c r="AF10" s="38" t="n">
        <v>334.18321</v>
      </c>
      <c r="AG10" s="38" t="n">
        <v>835.458026</v>
      </c>
      <c r="AH10" s="38" t="n">
        <v>501.274815</v>
      </c>
      <c r="AI10" s="38" t="str">
        <v>SOURCE_ALREADY_ONE_SALE_UNIT</v>
      </c>
      <c r="AJ10" s="38" t="str">
        <v>MODEL_ASSUMPTION_ZERO_NOT_QUOTED_NOT_EVIDENCE</v>
      </c>
      <c r="AK10" s="38" t="str">
        <v>food_cost=kitchen_cogs/price; gross_margin_before_channel_costs=price-kitchen_cogs; contribution=price-complete_direct_cogs-tax-commission</v>
      </c>
      <c r="AL10" s="39" t="str">
        <v>ISS80-S02-CHANNEL-V1</v>
      </c>
      <c r="AM10" s="44" t="n">
        <f>IFERROR(O10/S10,"")</f>
        <v>0.3999999995212207</v>
      </c>
      <c r="AN10" s="43" t="n">
        <f>IF(OR(S10="",O10=""),"", S10-O10)</f>
        <v>501.27481600000004</v>
      </c>
    </row>
    <row r="11">
      <c r="A11" s="37" t="str">
        <v>CH-VKM-002-007</v>
      </c>
      <c r="B11" s="38" t="str">
        <v>VKM-002</v>
      </c>
      <c r="C11" s="38" t="str">
        <v>Гостиничные ужины</v>
      </c>
      <c r="D11" s="38" t="str">
        <v>ISSUE82_RC2_PROXY_CHANNEL_SCENARIO</v>
      </c>
      <c r="E11" s="38" t="str">
        <v>71516bf871fa560e890ce5bc7f858854a5335ae2</v>
      </c>
      <c r="F11" s="38" t="str">
        <v>docs/07-operations/issue-82/PROVISIONAL_PROXY_SCENARIO_CHANNEL_PRICING.csv</v>
      </c>
      <c r="G11" s="38" t="str">
        <v>VKM-002|Гостиничные ужины</v>
      </c>
      <c r="H11" s="38"/>
      <c r="I11" s="38"/>
      <c r="J11" s="38"/>
      <c r="K11" s="38"/>
      <c r="L11" s="38"/>
      <c r="M11" s="38"/>
      <c r="N11" s="38"/>
      <c r="O11" s="38" t="n">
        <v>334.18321</v>
      </c>
      <c r="P11" s="38" t="n">
        <v>0</v>
      </c>
      <c r="Q11" s="38"/>
      <c r="R11" s="38" t="n">
        <v>334.18321</v>
      </c>
      <c r="S11" s="38" t="n">
        <v>1113.944034</v>
      </c>
      <c r="T11" s="38" t="n">
        <v>0.3</v>
      </c>
      <c r="U11" s="38" t="n">
        <v>0.2999999998204577</v>
      </c>
      <c r="V11" s="38" t="n">
        <v>779.760824</v>
      </c>
      <c r="W11" s="38"/>
      <c r="X11" s="38"/>
      <c r="Y11" s="38" t="n">
        <v>779.760824</v>
      </c>
      <c r="Z11" s="38" t="str">
        <v>ISSUE82_PROXY_SCENARIO</v>
      </c>
      <c r="AA11" s="38" t="str">
        <v>ASSUMPTION_BLOCKED_PENDING_VALIDATION</v>
      </c>
      <c r="AB11" s="38" t="str">
        <v>NOT_APPROVED_FOR_MENU</v>
      </c>
      <c r="AC11" s="38" t="str">
        <v>Planning scenario, not approved project price; tax, commission and quoted packaging remain excluded/blocked</v>
      </c>
      <c r="AD11" s="38" t="n">
        <v>0.3</v>
      </c>
      <c r="AE11" s="38" t="n">
        <v>1</v>
      </c>
      <c r="AF11" s="38" t="n">
        <v>334.18321</v>
      </c>
      <c r="AG11" s="38" t="n">
        <v>1113.944034</v>
      </c>
      <c r="AH11" s="38" t="n">
        <v>779.760824</v>
      </c>
      <c r="AI11" s="38" t="str">
        <v>SOURCE_ALREADY_ONE_SALE_UNIT</v>
      </c>
      <c r="AJ11" s="38" t="str">
        <v>MODEL_ASSUMPTION_ZERO_NOT_QUOTED_NOT_EVIDENCE</v>
      </c>
      <c r="AK11" s="38" t="str">
        <v>food_cost=kitchen_cogs/price; gross_margin_before_channel_costs=price-kitchen_cogs; contribution=price-complete_direct_cogs-tax-commission</v>
      </c>
      <c r="AL11" s="39" t="str">
        <v>ISS80-S02-CHANNEL-V1</v>
      </c>
      <c r="AM11" s="44" t="n">
        <f>IFERROR(O11/S11,"")</f>
        <v>0.2999999998204577</v>
      </c>
      <c r="AN11" s="43" t="n">
        <f>IF(OR(S11="",O11=""),"", S11-O11)</f>
        <v>779.7608240000002</v>
      </c>
    </row>
    <row r="12">
      <c r="A12" s="37" t="str">
        <v>CH-VKM-002-008</v>
      </c>
      <c r="B12" s="38" t="str">
        <v>VKM-002</v>
      </c>
      <c r="C12" s="38" t="str">
        <v>Доставка</v>
      </c>
      <c r="D12" s="38" t="str">
        <v>ISSUE82_RC2_PROXY_CHANNEL_SCENARIO</v>
      </c>
      <c r="E12" s="38" t="str">
        <v>71516bf871fa560e890ce5bc7f858854a5335ae2</v>
      </c>
      <c r="F12" s="38" t="str">
        <v>docs/07-operations/issue-82/PROVISIONAL_PROXY_SCENARIO_CHANNEL_PRICING.csv</v>
      </c>
      <c r="G12" s="38" t="str">
        <v>VKM-002|Доставка</v>
      </c>
      <c r="H12" s="38"/>
      <c r="I12" s="38"/>
      <c r="J12" s="38"/>
      <c r="K12" s="38"/>
      <c r="L12" s="38"/>
      <c r="M12" s="38"/>
      <c r="N12" s="38"/>
      <c r="O12" s="38" t="n">
        <v>334.18321</v>
      </c>
      <c r="P12" s="38" t="n">
        <v>65</v>
      </c>
      <c r="Q12" s="38"/>
      <c r="R12" s="38" t="n">
        <v>399.18321</v>
      </c>
      <c r="S12" s="38" t="n">
        <v>1330.610701</v>
      </c>
      <c r="T12" s="38" t="n">
        <v>0.3</v>
      </c>
      <c r="U12" s="38" t="n">
        <v>0.25115024984306056</v>
      </c>
      <c r="V12" s="38" t="n">
        <v>996.427491</v>
      </c>
      <c r="W12" s="38"/>
      <c r="X12" s="38"/>
      <c r="Y12" s="38" t="n">
        <v>931.427491</v>
      </c>
      <c r="Z12" s="38" t="str">
        <v>ISSUE82_PROXY_SCENARIO</v>
      </c>
      <c r="AA12" s="38" t="str">
        <v>ASSUMPTION_BLOCKED_PENDING_VALIDATION</v>
      </c>
      <c r="AB12" s="38" t="str">
        <v>NOT_APPROVED_FOR_MENU</v>
      </c>
      <c r="AC12" s="38" t="str">
        <v>Planning scenario, not approved project price; tax, commission and quoted packaging remain excluded/blocked</v>
      </c>
      <c r="AD12" s="38" t="n">
        <v>0.25115</v>
      </c>
      <c r="AE12" s="38" t="n">
        <v>1</v>
      </c>
      <c r="AF12" s="38" t="n">
        <v>399.18321</v>
      </c>
      <c r="AG12" s="38" t="n">
        <v>1330.610701</v>
      </c>
      <c r="AH12" s="38" t="n">
        <v>996.427491</v>
      </c>
      <c r="AI12" s="38" t="str">
        <v>SOURCE_ALREADY_ONE_SALE_UNIT</v>
      </c>
      <c r="AJ12" s="38" t="str">
        <v>SOURCE_VALUE</v>
      </c>
      <c r="AK12" s="38" t="str">
        <v>food_cost=kitchen_cogs/price; gross_margin_before_channel_costs=price-kitchen_cogs; contribution=price-complete_direct_cogs-tax-commission</v>
      </c>
      <c r="AL12" s="39" t="str">
        <v>ISS80-S02-CHANNEL-V1</v>
      </c>
      <c r="AM12" s="44" t="n">
        <f>IFERROR(O12/S12,"")</f>
        <v>0.25115024984306056</v>
      </c>
      <c r="AN12" s="43" t="n">
        <f>IF(OR(S12="",O12=""),"", S12-O12)</f>
        <v>996.4274910000001</v>
      </c>
    </row>
    <row r="13">
      <c r="A13" s="37" t="str">
        <v>CH-VKM-003-009</v>
      </c>
      <c r="B13" s="38" t="str">
        <v>VKM-003</v>
      </c>
      <c r="C13" s="38" t="str">
        <v>À la carte</v>
      </c>
      <c r="D13" s="38" t="str">
        <v>ISSUE82_RC2_PROXY_CHANNEL_SCENARIO</v>
      </c>
      <c r="E13" s="38" t="str">
        <v>71516bf871fa560e890ce5bc7f858854a5335ae2</v>
      </c>
      <c r="F13" s="38" t="str">
        <v>docs/07-operations/issue-82/PROVISIONAL_PROXY_SCENARIO_CHANNEL_PRICING.csv</v>
      </c>
      <c r="G13" s="38" t="str">
        <v>VKM-003|À la carte</v>
      </c>
      <c r="H13" s="38"/>
      <c r="I13" s="38"/>
      <c r="J13" s="38"/>
      <c r="K13" s="38"/>
      <c r="L13" s="38"/>
      <c r="M13" s="38"/>
      <c r="N13" s="38"/>
      <c r="O13" s="38" t="n">
        <v>269.866963</v>
      </c>
      <c r="P13" s="38" t="n">
        <v>0</v>
      </c>
      <c r="Q13" s="38"/>
      <c r="R13" s="38" t="n">
        <v>269.866963</v>
      </c>
      <c r="S13" s="38" t="n">
        <v>899.556544</v>
      </c>
      <c r="T13" s="38" t="n">
        <v>0.3</v>
      </c>
      <c r="U13" s="38" t="n">
        <v>0.2999999997776682</v>
      </c>
      <c r="V13" s="38" t="n">
        <v>629.689581</v>
      </c>
      <c r="W13" s="38"/>
      <c r="X13" s="38"/>
      <c r="Y13" s="38" t="n">
        <v>629.689581</v>
      </c>
      <c r="Z13" s="38" t="str">
        <v>ISSUE82_PROXY_SCENARIO</v>
      </c>
      <c r="AA13" s="38" t="str">
        <v>ASSUMPTION_BLOCKED_PENDING_VALIDATION</v>
      </c>
      <c r="AB13" s="38" t="str">
        <v>NOT_APPROVED_FOR_MENU</v>
      </c>
      <c r="AC13" s="38" t="str">
        <v>Planning scenario, not approved project price; tax, commission and quoted packaging remain excluded/blocked</v>
      </c>
      <c r="AD13" s="38" t="n">
        <v>0.3</v>
      </c>
      <c r="AE13" s="38" t="n">
        <v>1</v>
      </c>
      <c r="AF13" s="38" t="n">
        <v>269.866963</v>
      </c>
      <c r="AG13" s="38" t="n">
        <v>899.556544</v>
      </c>
      <c r="AH13" s="38" t="n">
        <v>629.689581</v>
      </c>
      <c r="AI13" s="38" t="str">
        <v>SOURCE_ALREADY_ONE_SALE_UNIT</v>
      </c>
      <c r="AJ13" s="38" t="str">
        <v>MODEL_ASSUMPTION_ZERO_NOT_QUOTED_NOT_EVIDENCE</v>
      </c>
      <c r="AK13" s="38" t="str">
        <v>food_cost=kitchen_cogs/price; gross_margin_before_channel_costs=price-kitchen_cogs; contribution=price-complete_direct_cogs-tax-commission</v>
      </c>
      <c r="AL13" s="39" t="str">
        <v>ISS80-S02-CHANNEL-V1</v>
      </c>
      <c r="AM13" s="44" t="n">
        <f>IFERROR(O13/S13,"")</f>
        <v>0.2999999997776682</v>
      </c>
      <c r="AN13" s="43" t="n">
        <f>IF(OR(S13="",O13=""),"", S13-O13)</f>
        <v>629.6895810000001</v>
      </c>
    </row>
    <row r="14">
      <c r="A14" s="37" t="str">
        <v>CH-VKM-003-010</v>
      </c>
      <c r="B14" s="38" t="str">
        <v>VKM-003</v>
      </c>
      <c r="C14" s="38" t="str">
        <v>Бизнес-ланч</v>
      </c>
      <c r="D14" s="38" t="str">
        <v>ISSUE82_RC2_PROXY_CHANNEL_SCENARIO</v>
      </c>
      <c r="E14" s="38" t="str">
        <v>71516bf871fa560e890ce5bc7f858854a5335ae2</v>
      </c>
      <c r="F14" s="38" t="str">
        <v>docs/07-operations/issue-82/PROVISIONAL_PROXY_SCENARIO_CHANNEL_PRICING.csv</v>
      </c>
      <c r="G14" s="38" t="str">
        <v>VKM-003|Бизнес-ланч</v>
      </c>
      <c r="H14" s="38"/>
      <c r="I14" s="38"/>
      <c r="J14" s="38"/>
      <c r="K14" s="38"/>
      <c r="L14" s="38"/>
      <c r="M14" s="38"/>
      <c r="N14" s="38"/>
      <c r="O14" s="38" t="n">
        <v>269.866963</v>
      </c>
      <c r="P14" s="38" t="n">
        <v>0</v>
      </c>
      <c r="Q14" s="38"/>
      <c r="R14" s="38" t="n">
        <v>269.866963</v>
      </c>
      <c r="S14" s="38" t="n">
        <v>674.667408</v>
      </c>
      <c r="T14" s="38" t="n">
        <v>0.4</v>
      </c>
      <c r="U14" s="38" t="n">
        <v>0.3999999997035576</v>
      </c>
      <c r="V14" s="38" t="n">
        <v>404.800445</v>
      </c>
      <c r="W14" s="38"/>
      <c r="X14" s="38"/>
      <c r="Y14" s="38" t="n">
        <v>404.800445</v>
      </c>
      <c r="Z14" s="38" t="str">
        <v>ISSUE82_PROXY_SCENARIO</v>
      </c>
      <c r="AA14" s="38" t="str">
        <v>ASSUMPTION_BLOCKED_PENDING_VALIDATION</v>
      </c>
      <c r="AB14" s="38" t="str">
        <v>NOT_APPROVED_FOR_MENU</v>
      </c>
      <c r="AC14" s="38" t="str">
        <v>Planning scenario, not approved project price; tax, commission and quoted packaging remain excluded/blocked</v>
      </c>
      <c r="AD14" s="38" t="n">
        <v>0.4</v>
      </c>
      <c r="AE14" s="38" t="n">
        <v>1</v>
      </c>
      <c r="AF14" s="38" t="n">
        <v>269.866963</v>
      </c>
      <c r="AG14" s="38" t="n">
        <v>674.667408</v>
      </c>
      <c r="AH14" s="38" t="n">
        <v>404.800445</v>
      </c>
      <c r="AI14" s="38" t="str">
        <v>SOURCE_ALREADY_ONE_SALE_UNIT</v>
      </c>
      <c r="AJ14" s="38" t="str">
        <v>MODEL_ASSUMPTION_ZERO_NOT_QUOTED_NOT_EVIDENCE</v>
      </c>
      <c r="AK14" s="38" t="str">
        <v>food_cost=kitchen_cogs/price; gross_margin_before_channel_costs=price-kitchen_cogs; contribution=price-complete_direct_cogs-tax-commission</v>
      </c>
      <c r="AL14" s="39" t="str">
        <v>ISS80-S02-CHANNEL-V1</v>
      </c>
      <c r="AM14" s="44" t="n">
        <f>IFERROR(O14/S14,"")</f>
        <v>0.3999999997035576</v>
      </c>
      <c r="AN14" s="43" t="n">
        <f>IF(OR(S14="",O14=""),"", S14-O14)</f>
        <v>404.800445</v>
      </c>
    </row>
    <row r="15">
      <c r="A15" s="37" t="str">
        <v>CH-VKM-003-011</v>
      </c>
      <c r="B15" s="38" t="str">
        <v>VKM-003</v>
      </c>
      <c r="C15" s="38" t="str">
        <v>Гостиничные ужины</v>
      </c>
      <c r="D15" s="38" t="str">
        <v>ISSUE82_RC2_PROXY_CHANNEL_SCENARIO</v>
      </c>
      <c r="E15" s="38" t="str">
        <v>71516bf871fa560e890ce5bc7f858854a5335ae2</v>
      </c>
      <c r="F15" s="38" t="str">
        <v>docs/07-operations/issue-82/PROVISIONAL_PROXY_SCENARIO_CHANNEL_PRICING.csv</v>
      </c>
      <c r="G15" s="38" t="str">
        <v>VKM-003|Гостиничные ужины</v>
      </c>
      <c r="H15" s="38"/>
      <c r="I15" s="38"/>
      <c r="J15" s="38"/>
      <c r="K15" s="38"/>
      <c r="L15" s="38"/>
      <c r="M15" s="38"/>
      <c r="N15" s="38"/>
      <c r="O15" s="38" t="n">
        <v>269.866963</v>
      </c>
      <c r="P15" s="38" t="n">
        <v>0</v>
      </c>
      <c r="Q15" s="38"/>
      <c r="R15" s="38" t="n">
        <v>269.866963</v>
      </c>
      <c r="S15" s="38" t="n">
        <v>899.556544</v>
      </c>
      <c r="T15" s="38" t="n">
        <v>0.3</v>
      </c>
      <c r="U15" s="38" t="n">
        <v>0.2999999997776682</v>
      </c>
      <c r="V15" s="38" t="n">
        <v>629.689581</v>
      </c>
      <c r="W15" s="38"/>
      <c r="X15" s="38"/>
      <c r="Y15" s="38" t="n">
        <v>629.689581</v>
      </c>
      <c r="Z15" s="38" t="str">
        <v>ISSUE82_PROXY_SCENARIO</v>
      </c>
      <c r="AA15" s="38" t="str">
        <v>ASSUMPTION_BLOCKED_PENDING_VALIDATION</v>
      </c>
      <c r="AB15" s="38" t="str">
        <v>NOT_APPROVED_FOR_MENU</v>
      </c>
      <c r="AC15" s="38" t="str">
        <v>Planning scenario, not approved project price; tax, commission and quoted packaging remain excluded/blocked</v>
      </c>
      <c r="AD15" s="38" t="n">
        <v>0.3</v>
      </c>
      <c r="AE15" s="38" t="n">
        <v>1</v>
      </c>
      <c r="AF15" s="38" t="n">
        <v>269.866963</v>
      </c>
      <c r="AG15" s="38" t="n">
        <v>899.556544</v>
      </c>
      <c r="AH15" s="38" t="n">
        <v>629.689581</v>
      </c>
      <c r="AI15" s="38" t="str">
        <v>SOURCE_ALREADY_ONE_SALE_UNIT</v>
      </c>
      <c r="AJ15" s="38" t="str">
        <v>MODEL_ASSUMPTION_ZERO_NOT_QUOTED_NOT_EVIDENCE</v>
      </c>
      <c r="AK15" s="38" t="str">
        <v>food_cost=kitchen_cogs/price; gross_margin_before_channel_costs=price-kitchen_cogs; contribution=price-complete_direct_cogs-tax-commission</v>
      </c>
      <c r="AL15" s="39" t="str">
        <v>ISS80-S02-CHANNEL-V1</v>
      </c>
      <c r="AM15" s="44" t="n">
        <f>IFERROR(O15/S15,"")</f>
        <v>0.2999999997776682</v>
      </c>
      <c r="AN15" s="43" t="n">
        <f>IF(OR(S15="",O15=""),"", S15-O15)</f>
        <v>629.6895810000001</v>
      </c>
    </row>
    <row r="16">
      <c r="A16" s="37" t="str">
        <v>CH-VKM-003-012</v>
      </c>
      <c r="B16" s="38" t="str">
        <v>VKM-003</v>
      </c>
      <c r="C16" s="38" t="str">
        <v>Доставка</v>
      </c>
      <c r="D16" s="38" t="str">
        <v>ISSUE82_RC2_PROXY_CHANNEL_SCENARIO</v>
      </c>
      <c r="E16" s="38" t="str">
        <v>71516bf871fa560e890ce5bc7f858854a5335ae2</v>
      </c>
      <c r="F16" s="38" t="str">
        <v>docs/07-operations/issue-82/PROVISIONAL_PROXY_SCENARIO_CHANNEL_PRICING.csv</v>
      </c>
      <c r="G16" s="38" t="str">
        <v>VKM-003|Доставка</v>
      </c>
      <c r="H16" s="38"/>
      <c r="I16" s="38"/>
      <c r="J16" s="38"/>
      <c r="K16" s="38"/>
      <c r="L16" s="38"/>
      <c r="M16" s="38"/>
      <c r="N16" s="38"/>
      <c r="O16" s="38" t="n">
        <v>269.866963</v>
      </c>
      <c r="P16" s="38" t="n">
        <v>65</v>
      </c>
      <c r="Q16" s="38"/>
      <c r="R16" s="38" t="n">
        <v>334.866963</v>
      </c>
      <c r="S16" s="38" t="n">
        <v>1116.223211</v>
      </c>
      <c r="T16" s="38" t="n">
        <v>0.3</v>
      </c>
      <c r="U16" s="38" t="n">
        <v>0.24176791912276405</v>
      </c>
      <c r="V16" s="38" t="n">
        <v>846.356248</v>
      </c>
      <c r="W16" s="38"/>
      <c r="X16" s="38"/>
      <c r="Y16" s="38" t="n">
        <v>781.356248</v>
      </c>
      <c r="Z16" s="38" t="str">
        <v>ISSUE82_PROXY_SCENARIO</v>
      </c>
      <c r="AA16" s="38" t="str">
        <v>ASSUMPTION_BLOCKED_PENDING_VALIDATION</v>
      </c>
      <c r="AB16" s="38" t="str">
        <v>NOT_APPROVED_FOR_MENU</v>
      </c>
      <c r="AC16" s="38" t="str">
        <v>Planning scenario, not approved project price; tax, commission and quoted packaging remain excluded/blocked</v>
      </c>
      <c r="AD16" s="38" t="n">
        <v>0.241768</v>
      </c>
      <c r="AE16" s="38" t="n">
        <v>1</v>
      </c>
      <c r="AF16" s="38" t="n">
        <v>334.866963</v>
      </c>
      <c r="AG16" s="38" t="n">
        <v>1116.223211</v>
      </c>
      <c r="AH16" s="38" t="n">
        <v>846.356248</v>
      </c>
      <c r="AI16" s="38" t="str">
        <v>SOURCE_ALREADY_ONE_SALE_UNIT</v>
      </c>
      <c r="AJ16" s="38" t="str">
        <v>SOURCE_VALUE</v>
      </c>
      <c r="AK16" s="38" t="str">
        <v>food_cost=kitchen_cogs/price; gross_margin_before_channel_costs=price-kitchen_cogs; contribution=price-complete_direct_cogs-tax-commission</v>
      </c>
      <c r="AL16" s="39" t="str">
        <v>ISS80-S02-CHANNEL-V1</v>
      </c>
      <c r="AM16" s="44" t="n">
        <f>IFERROR(O16/S16,"")</f>
        <v>0.24176791912276405</v>
      </c>
      <c r="AN16" s="43" t="n">
        <f>IF(OR(S16="",O16=""),"", S16-O16)</f>
        <v>846.356248</v>
      </c>
    </row>
    <row r="17">
      <c r="A17" s="37" t="str">
        <v>CH-VKM-004-013</v>
      </c>
      <c r="B17" s="38" t="str">
        <v>VKM-004</v>
      </c>
      <c r="C17" s="38" t="str">
        <v>À la carte</v>
      </c>
      <c r="D17" s="38" t="str">
        <v>ISSUE82_RC2_PROXY_CHANNEL_SCENARIO</v>
      </c>
      <c r="E17" s="38" t="str">
        <v>71516bf871fa560e890ce5bc7f858854a5335ae2</v>
      </c>
      <c r="F17" s="38" t="str">
        <v>docs/07-operations/issue-82/PROVISIONAL_PROXY_SCENARIO_CHANNEL_PRICING.csv</v>
      </c>
      <c r="G17" s="38" t="str">
        <v>VKM-004|À la carte</v>
      </c>
      <c r="H17" s="38"/>
      <c r="I17" s="38"/>
      <c r="J17" s="38"/>
      <c r="K17" s="38"/>
      <c r="L17" s="38"/>
      <c r="M17" s="38"/>
      <c r="N17" s="38"/>
      <c r="O17" s="38" t="n">
        <v>314.950338</v>
      </c>
      <c r="P17" s="38" t="n">
        <v>0</v>
      </c>
      <c r="Q17" s="38"/>
      <c r="R17" s="38" t="n">
        <v>314.950338</v>
      </c>
      <c r="S17" s="38" t="n">
        <v>1049.834459</v>
      </c>
      <c r="T17" s="38" t="n">
        <v>0.3</v>
      </c>
      <c r="U17" s="38" t="n">
        <v>0.30000000028575935</v>
      </c>
      <c r="V17" s="38" t="n">
        <v>734.884121</v>
      </c>
      <c r="W17" s="38"/>
      <c r="X17" s="38"/>
      <c r="Y17" s="38" t="n">
        <v>734.884121</v>
      </c>
      <c r="Z17" s="38" t="str">
        <v>ISSUE82_PROXY_SCENARIO</v>
      </c>
      <c r="AA17" s="38" t="str">
        <v>ASSUMPTION_BLOCKED_PENDING_VALIDATION</v>
      </c>
      <c r="AB17" s="38" t="str">
        <v>NOT_APPROVED_FOR_MENU</v>
      </c>
      <c r="AC17" s="38" t="str">
        <v>Planning scenario, not approved project price; tax, commission and quoted packaging remain excluded/blocked</v>
      </c>
      <c r="AD17" s="38" t="n">
        <v>0.3</v>
      </c>
      <c r="AE17" s="38" t="n">
        <v>1</v>
      </c>
      <c r="AF17" s="38" t="n">
        <v>314.950338</v>
      </c>
      <c r="AG17" s="38" t="n">
        <v>1049.834459</v>
      </c>
      <c r="AH17" s="38" t="n">
        <v>734.884121</v>
      </c>
      <c r="AI17" s="38" t="str">
        <v>SOURCE_ALREADY_ONE_SALE_UNIT</v>
      </c>
      <c r="AJ17" s="38" t="str">
        <v>MODEL_ASSUMPTION_ZERO_NOT_QUOTED_NOT_EVIDENCE</v>
      </c>
      <c r="AK17" s="38" t="str">
        <v>food_cost=kitchen_cogs/price; gross_margin_before_channel_costs=price-kitchen_cogs; contribution=price-complete_direct_cogs-tax-commission</v>
      </c>
      <c r="AL17" s="39" t="str">
        <v>ISS80-S02-CHANNEL-V1</v>
      </c>
      <c r="AM17" s="44" t="n">
        <f>IFERROR(O17/S17,"")</f>
        <v>0.30000000028575935</v>
      </c>
      <c r="AN17" s="43" t="n">
        <f>IF(OR(S17="",O17=""),"", S17-O17)</f>
        <v>734.8841209999999</v>
      </c>
    </row>
    <row r="18">
      <c r="A18" s="37" t="str">
        <v>CH-VKM-004-014</v>
      </c>
      <c r="B18" s="38" t="str">
        <v>VKM-004</v>
      </c>
      <c r="C18" s="38" t="str">
        <v>Бизнес-ланч</v>
      </c>
      <c r="D18" s="38" t="str">
        <v>ISSUE82_RC2_PROXY_CHANNEL_SCENARIO</v>
      </c>
      <c r="E18" s="38" t="str">
        <v>71516bf871fa560e890ce5bc7f858854a5335ae2</v>
      </c>
      <c r="F18" s="38" t="str">
        <v>docs/07-operations/issue-82/PROVISIONAL_PROXY_SCENARIO_CHANNEL_PRICING.csv</v>
      </c>
      <c r="G18" s="38" t="str">
        <v>VKM-004|Бизнес-ланч</v>
      </c>
      <c r="H18" s="38"/>
      <c r="I18" s="38"/>
      <c r="J18" s="38"/>
      <c r="K18" s="38"/>
      <c r="L18" s="38"/>
      <c r="M18" s="38"/>
      <c r="N18" s="38"/>
      <c r="O18" s="38" t="n">
        <v>314.950338</v>
      </c>
      <c r="P18" s="38" t="n">
        <v>0</v>
      </c>
      <c r="Q18" s="38"/>
      <c r="R18" s="38" t="n">
        <v>314.950338</v>
      </c>
      <c r="S18" s="38" t="n">
        <v>787.375844</v>
      </c>
      <c r="T18" s="38" t="n">
        <v>0.4</v>
      </c>
      <c r="U18" s="38" t="n">
        <v>0.4000000005080166</v>
      </c>
      <c r="V18" s="38" t="n">
        <v>472.425507</v>
      </c>
      <c r="W18" s="38"/>
      <c r="X18" s="38"/>
      <c r="Y18" s="38" t="n">
        <v>472.425507</v>
      </c>
      <c r="Z18" s="38" t="str">
        <v>ISSUE82_PROXY_SCENARIO</v>
      </c>
      <c r="AA18" s="38" t="str">
        <v>ASSUMPTION_BLOCKED_PENDING_VALIDATION</v>
      </c>
      <c r="AB18" s="38" t="str">
        <v>NOT_APPROVED_FOR_MENU</v>
      </c>
      <c r="AC18" s="38" t="str">
        <v>Planning scenario, not approved project price; tax, commission and quoted packaging remain excluded/blocked</v>
      </c>
      <c r="AD18" s="38" t="n">
        <v>0.4</v>
      </c>
      <c r="AE18" s="38" t="n">
        <v>1</v>
      </c>
      <c r="AF18" s="38" t="n">
        <v>314.950338</v>
      </c>
      <c r="AG18" s="38" t="n">
        <v>787.375844</v>
      </c>
      <c r="AH18" s="38" t="n">
        <v>472.425507</v>
      </c>
      <c r="AI18" s="38" t="str">
        <v>SOURCE_ALREADY_ONE_SALE_UNIT</v>
      </c>
      <c r="AJ18" s="38" t="str">
        <v>MODEL_ASSUMPTION_ZERO_NOT_QUOTED_NOT_EVIDENCE</v>
      </c>
      <c r="AK18" s="38" t="str">
        <v>food_cost=kitchen_cogs/price; gross_margin_before_channel_costs=price-kitchen_cogs; contribution=price-complete_direct_cogs-tax-commission</v>
      </c>
      <c r="AL18" s="39" t="str">
        <v>ISS80-S02-CHANNEL-V1</v>
      </c>
      <c r="AM18" s="44" t="n">
        <f>IFERROR(O18/S18,"")</f>
        <v>0.4000000005080166</v>
      </c>
      <c r="AN18" s="43" t="n">
        <f>IF(OR(S18="",O18=""),"", S18-O18)</f>
        <v>472.42550600000004</v>
      </c>
    </row>
    <row r="19">
      <c r="A19" s="37" t="str">
        <v>CH-VKM-004-015</v>
      </c>
      <c r="B19" s="38" t="str">
        <v>VKM-004</v>
      </c>
      <c r="C19" s="38" t="str">
        <v>Гостиничные ужины</v>
      </c>
      <c r="D19" s="38" t="str">
        <v>ISSUE82_RC2_PROXY_CHANNEL_SCENARIO</v>
      </c>
      <c r="E19" s="38" t="str">
        <v>71516bf871fa560e890ce5bc7f858854a5335ae2</v>
      </c>
      <c r="F19" s="38" t="str">
        <v>docs/07-operations/issue-82/PROVISIONAL_PROXY_SCENARIO_CHANNEL_PRICING.csv</v>
      </c>
      <c r="G19" s="38" t="str">
        <v>VKM-004|Гостиничные ужины</v>
      </c>
      <c r="H19" s="38"/>
      <c r="I19" s="38"/>
      <c r="J19" s="38"/>
      <c r="K19" s="38"/>
      <c r="L19" s="38"/>
      <c r="M19" s="38"/>
      <c r="N19" s="38"/>
      <c r="O19" s="38" t="n">
        <v>314.950338</v>
      </c>
      <c r="P19" s="38" t="n">
        <v>0</v>
      </c>
      <c r="Q19" s="38"/>
      <c r="R19" s="38" t="n">
        <v>314.950338</v>
      </c>
      <c r="S19" s="38" t="n">
        <v>1049.834459</v>
      </c>
      <c r="T19" s="38" t="n">
        <v>0.3</v>
      </c>
      <c r="U19" s="38" t="n">
        <v>0.30000000028575935</v>
      </c>
      <c r="V19" s="38" t="n">
        <v>734.884121</v>
      </c>
      <c r="W19" s="38"/>
      <c r="X19" s="38"/>
      <c r="Y19" s="38" t="n">
        <v>734.884121</v>
      </c>
      <c r="Z19" s="38" t="str">
        <v>ISSUE82_PROXY_SCENARIO</v>
      </c>
      <c r="AA19" s="38" t="str">
        <v>ASSUMPTION_BLOCKED_PENDING_VALIDATION</v>
      </c>
      <c r="AB19" s="38" t="str">
        <v>NOT_APPROVED_FOR_MENU</v>
      </c>
      <c r="AC19" s="38" t="str">
        <v>Planning scenario, not approved project price; tax, commission and quoted packaging remain excluded/blocked</v>
      </c>
      <c r="AD19" s="38" t="n">
        <v>0.3</v>
      </c>
      <c r="AE19" s="38" t="n">
        <v>1</v>
      </c>
      <c r="AF19" s="38" t="n">
        <v>314.950338</v>
      </c>
      <c r="AG19" s="38" t="n">
        <v>1049.834459</v>
      </c>
      <c r="AH19" s="38" t="n">
        <v>734.884121</v>
      </c>
      <c r="AI19" s="38" t="str">
        <v>SOURCE_ALREADY_ONE_SALE_UNIT</v>
      </c>
      <c r="AJ19" s="38" t="str">
        <v>MODEL_ASSUMPTION_ZERO_NOT_QUOTED_NOT_EVIDENCE</v>
      </c>
      <c r="AK19" s="38" t="str">
        <v>food_cost=kitchen_cogs/price; gross_margin_before_channel_costs=price-kitchen_cogs; contribution=price-complete_direct_cogs-tax-commission</v>
      </c>
      <c r="AL19" s="39" t="str">
        <v>ISS80-S02-CHANNEL-V1</v>
      </c>
      <c r="AM19" s="44" t="n">
        <f>IFERROR(O19/S19,"")</f>
        <v>0.30000000028575935</v>
      </c>
      <c r="AN19" s="43" t="n">
        <f>IF(OR(S19="",O19=""),"", S19-O19)</f>
        <v>734.8841209999999</v>
      </c>
    </row>
    <row r="20">
      <c r="A20" s="37" t="str">
        <v>CH-VKM-004-016</v>
      </c>
      <c r="B20" s="38" t="str">
        <v>VKM-004</v>
      </c>
      <c r="C20" s="38" t="str">
        <v>Доставка</v>
      </c>
      <c r="D20" s="38" t="str">
        <v>ISSUE82_RC2_PROXY_CHANNEL_SCENARIO</v>
      </c>
      <c r="E20" s="38" t="str">
        <v>71516bf871fa560e890ce5bc7f858854a5335ae2</v>
      </c>
      <c r="F20" s="38" t="str">
        <v>docs/07-operations/issue-82/PROVISIONAL_PROXY_SCENARIO_CHANNEL_PRICING.csv</v>
      </c>
      <c r="G20" s="38" t="str">
        <v>VKM-004|Доставка</v>
      </c>
      <c r="H20" s="38"/>
      <c r="I20" s="38"/>
      <c r="J20" s="38"/>
      <c r="K20" s="38"/>
      <c r="L20" s="38"/>
      <c r="M20" s="38"/>
      <c r="N20" s="38"/>
      <c r="O20" s="38" t="n">
        <v>314.950338</v>
      </c>
      <c r="P20" s="38" t="n">
        <v>65</v>
      </c>
      <c r="Q20" s="38"/>
      <c r="R20" s="38" t="n">
        <v>379.950338</v>
      </c>
      <c r="S20" s="38" t="n">
        <v>1266.501126</v>
      </c>
      <c r="T20" s="38" t="n">
        <v>0.3</v>
      </c>
      <c r="U20" s="38" t="n">
        <v>0.24867750334712294</v>
      </c>
      <c r="V20" s="38" t="n">
        <v>951.550788</v>
      </c>
      <c r="W20" s="38"/>
      <c r="X20" s="38"/>
      <c r="Y20" s="38" t="n">
        <v>886.550788</v>
      </c>
      <c r="Z20" s="38" t="str">
        <v>ISSUE82_PROXY_SCENARIO</v>
      </c>
      <c r="AA20" s="38" t="str">
        <v>ASSUMPTION_BLOCKED_PENDING_VALIDATION</v>
      </c>
      <c r="AB20" s="38" t="str">
        <v>NOT_APPROVED_FOR_MENU</v>
      </c>
      <c r="AC20" s="38" t="str">
        <v>Planning scenario, not approved project price; tax, commission and quoted packaging remain excluded/blocked</v>
      </c>
      <c r="AD20" s="38" t="n">
        <v>0.248678</v>
      </c>
      <c r="AE20" s="38" t="n">
        <v>1</v>
      </c>
      <c r="AF20" s="38" t="n">
        <v>379.950338</v>
      </c>
      <c r="AG20" s="38" t="n">
        <v>1266.501126</v>
      </c>
      <c r="AH20" s="38" t="n">
        <v>951.550788</v>
      </c>
      <c r="AI20" s="38" t="str">
        <v>SOURCE_ALREADY_ONE_SALE_UNIT</v>
      </c>
      <c r="AJ20" s="38" t="str">
        <v>SOURCE_VALUE</v>
      </c>
      <c r="AK20" s="38" t="str">
        <v>food_cost=kitchen_cogs/price; gross_margin_before_channel_costs=price-kitchen_cogs; contribution=price-complete_direct_cogs-tax-commission</v>
      </c>
      <c r="AL20" s="39" t="str">
        <v>ISS80-S02-CHANNEL-V1</v>
      </c>
      <c r="AM20" s="44" t="n">
        <f>IFERROR(O20/S20,"")</f>
        <v>0.24867750334712294</v>
      </c>
      <c r="AN20" s="43" t="n">
        <f>IF(OR(S20="",O20=""),"", S20-O20)</f>
        <v>951.5507880000001</v>
      </c>
    </row>
    <row r="21">
      <c r="A21" s="37" t="str">
        <v>CH-VKM-005-017</v>
      </c>
      <c r="B21" s="38" t="str">
        <v>VKM-005</v>
      </c>
      <c r="C21" s="38" t="str">
        <v>À la carte</v>
      </c>
      <c r="D21" s="38" t="str">
        <v>ISSUE82_RC2_PROXY_CHANNEL_SCENARIO</v>
      </c>
      <c r="E21" s="38" t="str">
        <v>71516bf871fa560e890ce5bc7f858854a5335ae2</v>
      </c>
      <c r="F21" s="38" t="str">
        <v>docs/07-operations/issue-82/PROVISIONAL_PROXY_SCENARIO_CHANNEL_PRICING.csv</v>
      </c>
      <c r="G21" s="38" t="str">
        <v>VKM-005|À la carte</v>
      </c>
      <c r="H21" s="38"/>
      <c r="I21" s="38"/>
      <c r="J21" s="38"/>
      <c r="K21" s="38"/>
      <c r="L21" s="38"/>
      <c r="M21" s="38"/>
      <c r="N21" s="38"/>
      <c r="O21" s="38" t="n">
        <v>17.20358</v>
      </c>
      <c r="P21" s="38" t="n">
        <v>0</v>
      </c>
      <c r="Q21" s="38"/>
      <c r="R21" s="38" t="n">
        <v>17.20358</v>
      </c>
      <c r="S21" s="38" t="n">
        <v>57.345266</v>
      </c>
      <c r="T21" s="38" t="n">
        <v>0.3</v>
      </c>
      <c r="U21" s="38" t="n">
        <v>0.30000000348764616</v>
      </c>
      <c r="V21" s="38" t="n">
        <v>40.141686</v>
      </c>
      <c r="W21" s="38"/>
      <c r="X21" s="38"/>
      <c r="Y21" s="38" t="n">
        <v>40.141686</v>
      </c>
      <c r="Z21" s="38" t="str">
        <v>ISSUE82_PROXY_SCENARIO</v>
      </c>
      <c r="AA21" s="38" t="str">
        <v>ASSUMPTION_BLOCKED_PENDING_VALIDATION</v>
      </c>
      <c r="AB21" s="38" t="str">
        <v>NOT_APPROVED_FOR_MENU</v>
      </c>
      <c r="AC21" s="38" t="str">
        <v>Planning scenario, not approved project price; tax, commission and quoted packaging remain excluded/blocked</v>
      </c>
      <c r="AD21" s="38" t="n">
        <v>0.3</v>
      </c>
      <c r="AE21" s="38" t="n">
        <v>1</v>
      </c>
      <c r="AF21" s="38" t="n">
        <v>17.20358</v>
      </c>
      <c r="AG21" s="38" t="n">
        <v>57.345266</v>
      </c>
      <c r="AH21" s="38" t="n">
        <v>40.141686</v>
      </c>
      <c r="AI21" s="38" t="str">
        <v>SOURCE_ALREADY_ONE_SALE_UNIT</v>
      </c>
      <c r="AJ21" s="38" t="str">
        <v>MODEL_ASSUMPTION_ZERO_NOT_QUOTED_NOT_EVIDENCE</v>
      </c>
      <c r="AK21" s="38" t="str">
        <v>food_cost=kitchen_cogs/price; gross_margin_before_channel_costs=price-kitchen_cogs; contribution=price-complete_direct_cogs-tax-commission</v>
      </c>
      <c r="AL21" s="39" t="str">
        <v>ISS80-S02-CHANNEL-V1</v>
      </c>
      <c r="AM21" s="44" t="n">
        <f>IFERROR(O21/S21,"")</f>
        <v>0.30000000348764616</v>
      </c>
      <c r="AN21" s="43" t="n">
        <f>IF(OR(S21="",O21=""),"", S21-O21)</f>
        <v>40.14168600000001</v>
      </c>
    </row>
    <row r="22">
      <c r="A22" s="37" t="str">
        <v>CH-VKM-005-018</v>
      </c>
      <c r="B22" s="38" t="str">
        <v>VKM-005</v>
      </c>
      <c r="C22" s="38" t="str">
        <v>Бизнес-ланч</v>
      </c>
      <c r="D22" s="38" t="str">
        <v>ISSUE82_RC2_PROXY_CHANNEL_SCENARIO</v>
      </c>
      <c r="E22" s="38" t="str">
        <v>71516bf871fa560e890ce5bc7f858854a5335ae2</v>
      </c>
      <c r="F22" s="38" t="str">
        <v>docs/07-operations/issue-82/PROVISIONAL_PROXY_SCENARIO_CHANNEL_PRICING.csv</v>
      </c>
      <c r="G22" s="38" t="str">
        <v>VKM-005|Бизнес-ланч</v>
      </c>
      <c r="H22" s="38"/>
      <c r="I22" s="38"/>
      <c r="J22" s="38"/>
      <c r="K22" s="38"/>
      <c r="L22" s="38"/>
      <c r="M22" s="38"/>
      <c r="N22" s="38"/>
      <c r="O22" s="38" t="n">
        <v>17.20358</v>
      </c>
      <c r="P22" s="38" t="n">
        <v>0</v>
      </c>
      <c r="Q22" s="38"/>
      <c r="R22" s="38" t="n">
        <v>17.20358</v>
      </c>
      <c r="S22" s="38" t="n">
        <v>43.00895</v>
      </c>
      <c r="T22" s="38" t="n">
        <v>0.4</v>
      </c>
      <c r="U22" s="38" t="n">
        <v>0.39999999999999997</v>
      </c>
      <c r="V22" s="38" t="n">
        <v>25.80537</v>
      </c>
      <c r="W22" s="38"/>
      <c r="X22" s="38"/>
      <c r="Y22" s="38" t="n">
        <v>25.80537</v>
      </c>
      <c r="Z22" s="38" t="str">
        <v>ISSUE82_PROXY_SCENARIO</v>
      </c>
      <c r="AA22" s="38" t="str">
        <v>ASSUMPTION_BLOCKED_PENDING_VALIDATION</v>
      </c>
      <c r="AB22" s="38" t="str">
        <v>NOT_APPROVED_FOR_MENU</v>
      </c>
      <c r="AC22" s="38" t="str">
        <v>Planning scenario, not approved project price; tax, commission and quoted packaging remain excluded/blocked</v>
      </c>
      <c r="AD22" s="38" t="n">
        <v>0.4</v>
      </c>
      <c r="AE22" s="38" t="n">
        <v>1</v>
      </c>
      <c r="AF22" s="38" t="n">
        <v>17.20358</v>
      </c>
      <c r="AG22" s="38" t="n">
        <v>43.00895</v>
      </c>
      <c r="AH22" s="38" t="n">
        <v>25.80537</v>
      </c>
      <c r="AI22" s="38" t="str">
        <v>SOURCE_ALREADY_ONE_SALE_UNIT</v>
      </c>
      <c r="AJ22" s="38" t="str">
        <v>MODEL_ASSUMPTION_ZERO_NOT_QUOTED_NOT_EVIDENCE</v>
      </c>
      <c r="AK22" s="38" t="str">
        <v>food_cost=kitchen_cogs/price; gross_margin_before_channel_costs=price-kitchen_cogs; contribution=price-complete_direct_cogs-tax-commission</v>
      </c>
      <c r="AL22" s="39" t="str">
        <v>ISS80-S02-CHANNEL-V1</v>
      </c>
      <c r="AM22" s="44" t="n">
        <f>IFERROR(O22/S22,"")</f>
        <v>0.39999999999999997</v>
      </c>
      <c r="AN22" s="43" t="n">
        <f>IF(OR(S22="",O22=""),"", S22-O22)</f>
        <v>25.80537</v>
      </c>
    </row>
    <row r="23">
      <c r="A23" s="37" t="str">
        <v>CH-VKM-005-019</v>
      </c>
      <c r="B23" s="38" t="str">
        <v>VKM-005</v>
      </c>
      <c r="C23" s="38" t="str">
        <v>Гостиничные ужины</v>
      </c>
      <c r="D23" s="38" t="str">
        <v>ISSUE82_RC2_PROXY_CHANNEL_SCENARIO</v>
      </c>
      <c r="E23" s="38" t="str">
        <v>71516bf871fa560e890ce5bc7f858854a5335ae2</v>
      </c>
      <c r="F23" s="38" t="str">
        <v>docs/07-operations/issue-82/PROVISIONAL_PROXY_SCENARIO_CHANNEL_PRICING.csv</v>
      </c>
      <c r="G23" s="38" t="str">
        <v>VKM-005|Гостиничные ужины</v>
      </c>
      <c r="H23" s="38"/>
      <c r="I23" s="38"/>
      <c r="J23" s="38"/>
      <c r="K23" s="38"/>
      <c r="L23" s="38"/>
      <c r="M23" s="38"/>
      <c r="N23" s="38"/>
      <c r="O23" s="38" t="n">
        <v>17.20358</v>
      </c>
      <c r="P23" s="38" t="n">
        <v>0</v>
      </c>
      <c r="Q23" s="38"/>
      <c r="R23" s="38" t="n">
        <v>17.20358</v>
      </c>
      <c r="S23" s="38" t="n">
        <v>57.345266</v>
      </c>
      <c r="T23" s="38" t="n">
        <v>0.3</v>
      </c>
      <c r="U23" s="38" t="n">
        <v>0.30000000348764616</v>
      </c>
      <c r="V23" s="38" t="n">
        <v>40.141686</v>
      </c>
      <c r="W23" s="38"/>
      <c r="X23" s="38"/>
      <c r="Y23" s="38" t="n">
        <v>40.141686</v>
      </c>
      <c r="Z23" s="38" t="str">
        <v>ISSUE82_PROXY_SCENARIO</v>
      </c>
      <c r="AA23" s="38" t="str">
        <v>ASSUMPTION_BLOCKED_PENDING_VALIDATION</v>
      </c>
      <c r="AB23" s="38" t="str">
        <v>NOT_APPROVED_FOR_MENU</v>
      </c>
      <c r="AC23" s="38" t="str">
        <v>Planning scenario, not approved project price; tax, commission and quoted packaging remain excluded/blocked</v>
      </c>
      <c r="AD23" s="38" t="n">
        <v>0.3</v>
      </c>
      <c r="AE23" s="38" t="n">
        <v>1</v>
      </c>
      <c r="AF23" s="38" t="n">
        <v>17.20358</v>
      </c>
      <c r="AG23" s="38" t="n">
        <v>57.345266</v>
      </c>
      <c r="AH23" s="38" t="n">
        <v>40.141686</v>
      </c>
      <c r="AI23" s="38" t="str">
        <v>SOURCE_ALREADY_ONE_SALE_UNIT</v>
      </c>
      <c r="AJ23" s="38" t="str">
        <v>MODEL_ASSUMPTION_ZERO_NOT_QUOTED_NOT_EVIDENCE</v>
      </c>
      <c r="AK23" s="38" t="str">
        <v>food_cost=kitchen_cogs/price; gross_margin_before_channel_costs=price-kitchen_cogs; contribution=price-complete_direct_cogs-tax-commission</v>
      </c>
      <c r="AL23" s="39" t="str">
        <v>ISS80-S02-CHANNEL-V1</v>
      </c>
      <c r="AM23" s="44" t="n">
        <f>IFERROR(O23/S23,"")</f>
        <v>0.30000000348764616</v>
      </c>
      <c r="AN23" s="43" t="n">
        <f>IF(OR(S23="",O23=""),"", S23-O23)</f>
        <v>40.14168600000001</v>
      </c>
    </row>
    <row r="24">
      <c r="A24" s="37" t="str">
        <v>CH-VKM-005-020</v>
      </c>
      <c r="B24" s="38" t="str">
        <v>VKM-005</v>
      </c>
      <c r="C24" s="38" t="str">
        <v>Доставка</v>
      </c>
      <c r="D24" s="38" t="str">
        <v>ISSUE82_RC2_PROXY_CHANNEL_SCENARIO</v>
      </c>
      <c r="E24" s="38" t="str">
        <v>71516bf871fa560e890ce5bc7f858854a5335ae2</v>
      </c>
      <c r="F24" s="38" t="str">
        <v>docs/07-operations/issue-82/PROVISIONAL_PROXY_SCENARIO_CHANNEL_PRICING.csv</v>
      </c>
      <c r="G24" s="38" t="str">
        <v>VKM-005|Доставка</v>
      </c>
      <c r="H24" s="38"/>
      <c r="I24" s="38"/>
      <c r="J24" s="38"/>
      <c r="K24" s="38"/>
      <c r="L24" s="38"/>
      <c r="M24" s="38"/>
      <c r="N24" s="38"/>
      <c r="O24" s="38" t="n">
        <v>17.20358</v>
      </c>
      <c r="P24" s="38" t="n">
        <v>65</v>
      </c>
      <c r="Q24" s="38"/>
      <c r="R24" s="38" t="n">
        <v>82.20358</v>
      </c>
      <c r="S24" s="38" t="n">
        <v>274.011933</v>
      </c>
      <c r="T24" s="38" t="n">
        <v>0.3</v>
      </c>
      <c r="U24" s="38" t="n">
        <v>0.06278405400687422</v>
      </c>
      <c r="V24" s="38" t="n">
        <v>256.808353</v>
      </c>
      <c r="W24" s="38"/>
      <c r="X24" s="38"/>
      <c r="Y24" s="38" t="n">
        <v>191.808353</v>
      </c>
      <c r="Z24" s="38" t="str">
        <v>ISSUE82_PROXY_SCENARIO</v>
      </c>
      <c r="AA24" s="38" t="str">
        <v>ASSUMPTION_BLOCKED_PENDING_VALIDATION</v>
      </c>
      <c r="AB24" s="38" t="str">
        <v>NOT_APPROVED_FOR_MENU</v>
      </c>
      <c r="AC24" s="38" t="str">
        <v>Planning scenario, not approved project price; tax, commission and quoted packaging remain excluded/blocked</v>
      </c>
      <c r="AD24" s="38" t="n">
        <v>0.062784</v>
      </c>
      <c r="AE24" s="38" t="n">
        <v>1</v>
      </c>
      <c r="AF24" s="38" t="n">
        <v>82.20358</v>
      </c>
      <c r="AG24" s="38" t="n">
        <v>274.011933</v>
      </c>
      <c r="AH24" s="38" t="n">
        <v>256.808353</v>
      </c>
      <c r="AI24" s="38" t="str">
        <v>SOURCE_ALREADY_ONE_SALE_UNIT</v>
      </c>
      <c r="AJ24" s="38" t="str">
        <v>SOURCE_VALUE</v>
      </c>
      <c r="AK24" s="38" t="str">
        <v>food_cost=kitchen_cogs/price; gross_margin_before_channel_costs=price-kitchen_cogs; contribution=price-complete_direct_cogs-tax-commission</v>
      </c>
      <c r="AL24" s="39" t="str">
        <v>ISS80-S02-CHANNEL-V1</v>
      </c>
      <c r="AM24" s="44" t="n">
        <f>IFERROR(O24/S24,"")</f>
        <v>0.06278405400687422</v>
      </c>
      <c r="AN24" s="43" t="n">
        <f>IF(OR(S24="",O24=""),"", S24-O24)</f>
        <v>256.808353</v>
      </c>
    </row>
    <row r="25">
      <c r="A25" s="37" t="str">
        <v>CH-VKM-005-021</v>
      </c>
      <c r="B25" s="38" t="str">
        <v>VKM-005</v>
      </c>
      <c r="C25" s="38" t="str">
        <v>Навынос</v>
      </c>
      <c r="D25" s="38" t="str">
        <v>ISSUE82_RC2_PROXY_CHANNEL_SCENARIO</v>
      </c>
      <c r="E25" s="38" t="str">
        <v>71516bf871fa560e890ce5bc7f858854a5335ae2</v>
      </c>
      <c r="F25" s="38" t="str">
        <v>docs/07-operations/issue-82/PROVISIONAL_PROXY_SCENARIO_CHANNEL_PRICING.csv</v>
      </c>
      <c r="G25" s="38" t="str">
        <v>VKM-005|Навынос</v>
      </c>
      <c r="H25" s="38"/>
      <c r="I25" s="38"/>
      <c r="J25" s="38"/>
      <c r="K25" s="38"/>
      <c r="L25" s="38"/>
      <c r="M25" s="38"/>
      <c r="N25" s="38"/>
      <c r="O25" s="38" t="n">
        <v>17.20358</v>
      </c>
      <c r="P25" s="38" t="n">
        <v>40</v>
      </c>
      <c r="Q25" s="38"/>
      <c r="R25" s="38" t="n">
        <v>57.20358</v>
      </c>
      <c r="S25" s="38" t="n">
        <v>133.475153</v>
      </c>
      <c r="T25" s="38" t="n">
        <v>0.428571</v>
      </c>
      <c r="U25" s="38" t="n">
        <v>0.12888975673247588</v>
      </c>
      <c r="V25" s="38" t="n">
        <v>116.271573</v>
      </c>
      <c r="W25" s="38"/>
      <c r="X25" s="38"/>
      <c r="Y25" s="38" t="n">
        <v>76.271573</v>
      </c>
      <c r="Z25" s="38" t="str">
        <v>ISSUE82_PROXY_SCENARIO</v>
      </c>
      <c r="AA25" s="38" t="str">
        <v>ASSUMPTION_BLOCKED_PENDING_VALIDATION</v>
      </c>
      <c r="AB25" s="38" t="str">
        <v>NOT_APPROVED_FOR_MENU</v>
      </c>
      <c r="AC25" s="38" t="str">
        <v>Planning scenario, not approved project price; tax, commission and quoted packaging remain excluded/blocked</v>
      </c>
      <c r="AD25" s="38" t="n">
        <v>0.12889</v>
      </c>
      <c r="AE25" s="38" t="n">
        <v>1</v>
      </c>
      <c r="AF25" s="38" t="n">
        <v>57.20358</v>
      </c>
      <c r="AG25" s="38" t="n">
        <v>133.475153</v>
      </c>
      <c r="AH25" s="38" t="n">
        <v>116.271573</v>
      </c>
      <c r="AI25" s="38" t="str">
        <v>SOURCE_ALREADY_ONE_SALE_UNIT</v>
      </c>
      <c r="AJ25" s="38" t="str">
        <v>SOURCE_VALUE</v>
      </c>
      <c r="AK25" s="38" t="str">
        <v>food_cost=kitchen_cogs/price; gross_margin_before_channel_costs=price-kitchen_cogs; contribution=price-complete_direct_cogs-tax-commission</v>
      </c>
      <c r="AL25" s="39" t="str">
        <v>ISS80-S02-CHANNEL-V1</v>
      </c>
      <c r="AM25" s="44" t="n">
        <f>IFERROR(O25/S25,"")</f>
        <v>0.12888975673247588</v>
      </c>
      <c r="AN25" s="43" t="n">
        <f>IF(OR(S25="",O25=""),"", S25-O25)</f>
        <v>116.271573</v>
      </c>
    </row>
    <row r="26">
      <c r="A26" s="37" t="str">
        <v>CH-VKM-006-022</v>
      </c>
      <c r="B26" s="38" t="str">
        <v>VKM-006</v>
      </c>
      <c r="C26" s="38" t="str">
        <v>À la carte</v>
      </c>
      <c r="D26" s="38" t="str">
        <v>ISSUE82_RC2_PROXY_CHANNEL_SCENARIO</v>
      </c>
      <c r="E26" s="38" t="str">
        <v>71516bf871fa560e890ce5bc7f858854a5335ae2</v>
      </c>
      <c r="F26" s="38" t="str">
        <v>docs/07-operations/issue-82/PROVISIONAL_PROXY_SCENARIO_CHANNEL_PRICING.csv</v>
      </c>
      <c r="G26" s="38" t="str">
        <v>VKM-006|À la carte</v>
      </c>
      <c r="H26" s="38"/>
      <c r="I26" s="38"/>
      <c r="J26" s="38"/>
      <c r="K26" s="38"/>
      <c r="L26" s="38"/>
      <c r="M26" s="38"/>
      <c r="N26" s="38"/>
      <c r="O26" s="38" t="n">
        <v>15.784376</v>
      </c>
      <c r="P26" s="38" t="n">
        <v>0</v>
      </c>
      <c r="Q26" s="38"/>
      <c r="R26" s="38" t="n">
        <v>15.784376</v>
      </c>
      <c r="S26" s="38" t="n">
        <v>52.614588</v>
      </c>
      <c r="T26" s="38" t="n">
        <v>0.3</v>
      </c>
      <c r="U26" s="38" t="n">
        <v>0.2999999923975457</v>
      </c>
      <c r="V26" s="38" t="n">
        <v>36.830212</v>
      </c>
      <c r="W26" s="38"/>
      <c r="X26" s="38"/>
      <c r="Y26" s="38" t="n">
        <v>36.830212</v>
      </c>
      <c r="Z26" s="38" t="str">
        <v>ISSUE82_PROXY_SCENARIO</v>
      </c>
      <c r="AA26" s="38" t="str">
        <v>ASSUMPTION_BLOCKED_PENDING_VALIDATION</v>
      </c>
      <c r="AB26" s="38" t="str">
        <v>NOT_APPROVED_FOR_MENU</v>
      </c>
      <c r="AC26" s="38" t="str">
        <v>Planning scenario, not approved project price; tax, commission and quoted packaging remain excluded/blocked</v>
      </c>
      <c r="AD26" s="38" t="n">
        <v>0.3</v>
      </c>
      <c r="AE26" s="38" t="n">
        <v>1</v>
      </c>
      <c r="AF26" s="38" t="n">
        <v>15.784376</v>
      </c>
      <c r="AG26" s="38" t="n">
        <v>52.614588</v>
      </c>
      <c r="AH26" s="38" t="n">
        <v>36.830212</v>
      </c>
      <c r="AI26" s="38" t="str">
        <v>SOURCE_ALREADY_ONE_SALE_UNIT</v>
      </c>
      <c r="AJ26" s="38" t="str">
        <v>MODEL_ASSUMPTION_ZERO_NOT_QUOTED_NOT_EVIDENCE</v>
      </c>
      <c r="AK26" s="38" t="str">
        <v>food_cost=kitchen_cogs/price; gross_margin_before_channel_costs=price-kitchen_cogs; contribution=price-complete_direct_cogs-tax-commission</v>
      </c>
      <c r="AL26" s="39" t="str">
        <v>ISS80-S02-CHANNEL-V1</v>
      </c>
      <c r="AM26" s="44" t="n">
        <f>IFERROR(O26/S26,"")</f>
        <v>0.2999999923975457</v>
      </c>
      <c r="AN26" s="43" t="n">
        <f>IF(OR(S26="",O26=""),"", S26-O26)</f>
        <v>36.830211999999996</v>
      </c>
    </row>
    <row r="27">
      <c r="A27" s="37" t="str">
        <v>CH-VKM-006-023</v>
      </c>
      <c r="B27" s="38" t="str">
        <v>VKM-006</v>
      </c>
      <c r="C27" s="38" t="str">
        <v>Бизнес-ланч</v>
      </c>
      <c r="D27" s="38" t="str">
        <v>ISSUE82_RC2_PROXY_CHANNEL_SCENARIO</v>
      </c>
      <c r="E27" s="38" t="str">
        <v>71516bf871fa560e890ce5bc7f858854a5335ae2</v>
      </c>
      <c r="F27" s="38" t="str">
        <v>docs/07-operations/issue-82/PROVISIONAL_PROXY_SCENARIO_CHANNEL_PRICING.csv</v>
      </c>
      <c r="G27" s="38" t="str">
        <v>VKM-006|Бизнес-ланч</v>
      </c>
      <c r="H27" s="38"/>
      <c r="I27" s="38"/>
      <c r="J27" s="38"/>
      <c r="K27" s="38"/>
      <c r="L27" s="38"/>
      <c r="M27" s="38"/>
      <c r="N27" s="38"/>
      <c r="O27" s="38" t="n">
        <v>15.784376</v>
      </c>
      <c r="P27" s="38" t="n">
        <v>0</v>
      </c>
      <c r="Q27" s="38"/>
      <c r="R27" s="38" t="n">
        <v>15.784376</v>
      </c>
      <c r="S27" s="38" t="n">
        <v>39.460941</v>
      </c>
      <c r="T27" s="38" t="n">
        <v>0.4</v>
      </c>
      <c r="U27" s="38" t="n">
        <v>0.3999999898633943</v>
      </c>
      <c r="V27" s="38" t="n">
        <v>23.676565</v>
      </c>
      <c r="W27" s="38"/>
      <c r="X27" s="38"/>
      <c r="Y27" s="38" t="n">
        <v>23.676565</v>
      </c>
      <c r="Z27" s="38" t="str">
        <v>ISSUE82_PROXY_SCENARIO</v>
      </c>
      <c r="AA27" s="38" t="str">
        <v>ASSUMPTION_BLOCKED_PENDING_VALIDATION</v>
      </c>
      <c r="AB27" s="38" t="str">
        <v>NOT_APPROVED_FOR_MENU</v>
      </c>
      <c r="AC27" s="38" t="str">
        <v>Planning scenario, not approved project price; tax, commission and quoted packaging remain excluded/blocked</v>
      </c>
      <c r="AD27" s="38" t="n">
        <v>0.4</v>
      </c>
      <c r="AE27" s="38" t="n">
        <v>1</v>
      </c>
      <c r="AF27" s="38" t="n">
        <v>15.784376</v>
      </c>
      <c r="AG27" s="38" t="n">
        <v>39.460941</v>
      </c>
      <c r="AH27" s="38" t="n">
        <v>23.676565</v>
      </c>
      <c r="AI27" s="38" t="str">
        <v>SOURCE_ALREADY_ONE_SALE_UNIT</v>
      </c>
      <c r="AJ27" s="38" t="str">
        <v>MODEL_ASSUMPTION_ZERO_NOT_QUOTED_NOT_EVIDENCE</v>
      </c>
      <c r="AK27" s="38" t="str">
        <v>food_cost=kitchen_cogs/price; gross_margin_before_channel_costs=price-kitchen_cogs; contribution=price-complete_direct_cogs-tax-commission</v>
      </c>
      <c r="AL27" s="39" t="str">
        <v>ISS80-S02-CHANNEL-V1</v>
      </c>
      <c r="AM27" s="44" t="n">
        <f>IFERROR(O27/S27,"")</f>
        <v>0.3999999898633943</v>
      </c>
      <c r="AN27" s="43" t="n">
        <f>IF(OR(S27="",O27=""),"", S27-O27)</f>
        <v>23.676564999999997</v>
      </c>
    </row>
    <row r="28">
      <c r="A28" s="37" t="str">
        <v>CH-VKM-006-024</v>
      </c>
      <c r="B28" s="38" t="str">
        <v>VKM-006</v>
      </c>
      <c r="C28" s="38" t="str">
        <v>Гостиничные ужины</v>
      </c>
      <c r="D28" s="38" t="str">
        <v>ISSUE82_RC2_PROXY_CHANNEL_SCENARIO</v>
      </c>
      <c r="E28" s="38" t="str">
        <v>71516bf871fa560e890ce5bc7f858854a5335ae2</v>
      </c>
      <c r="F28" s="38" t="str">
        <v>docs/07-operations/issue-82/PROVISIONAL_PROXY_SCENARIO_CHANNEL_PRICING.csv</v>
      </c>
      <c r="G28" s="38" t="str">
        <v>VKM-006|Гостиничные ужины</v>
      </c>
      <c r="H28" s="38"/>
      <c r="I28" s="38"/>
      <c r="J28" s="38"/>
      <c r="K28" s="38"/>
      <c r="L28" s="38"/>
      <c r="M28" s="38"/>
      <c r="N28" s="38"/>
      <c r="O28" s="38" t="n">
        <v>15.784376</v>
      </c>
      <c r="P28" s="38" t="n">
        <v>0</v>
      </c>
      <c r="Q28" s="38"/>
      <c r="R28" s="38" t="n">
        <v>15.784376</v>
      </c>
      <c r="S28" s="38" t="n">
        <v>52.614588</v>
      </c>
      <c r="T28" s="38" t="n">
        <v>0.3</v>
      </c>
      <c r="U28" s="38" t="n">
        <v>0.2999999923975457</v>
      </c>
      <c r="V28" s="38" t="n">
        <v>36.830212</v>
      </c>
      <c r="W28" s="38"/>
      <c r="X28" s="38"/>
      <c r="Y28" s="38" t="n">
        <v>36.830212</v>
      </c>
      <c r="Z28" s="38" t="str">
        <v>ISSUE82_PROXY_SCENARIO</v>
      </c>
      <c r="AA28" s="38" t="str">
        <v>ASSUMPTION_BLOCKED_PENDING_VALIDATION</v>
      </c>
      <c r="AB28" s="38" t="str">
        <v>NOT_APPROVED_FOR_MENU</v>
      </c>
      <c r="AC28" s="38" t="str">
        <v>Planning scenario, not approved project price; tax, commission and quoted packaging remain excluded/blocked</v>
      </c>
      <c r="AD28" s="38" t="n">
        <v>0.3</v>
      </c>
      <c r="AE28" s="38" t="n">
        <v>1</v>
      </c>
      <c r="AF28" s="38" t="n">
        <v>15.784376</v>
      </c>
      <c r="AG28" s="38" t="n">
        <v>52.614588</v>
      </c>
      <c r="AH28" s="38" t="n">
        <v>36.830212</v>
      </c>
      <c r="AI28" s="38" t="str">
        <v>SOURCE_ALREADY_ONE_SALE_UNIT</v>
      </c>
      <c r="AJ28" s="38" t="str">
        <v>MODEL_ASSUMPTION_ZERO_NOT_QUOTED_NOT_EVIDENCE</v>
      </c>
      <c r="AK28" s="38" t="str">
        <v>food_cost=kitchen_cogs/price; gross_margin_before_channel_costs=price-kitchen_cogs; contribution=price-complete_direct_cogs-tax-commission</v>
      </c>
      <c r="AL28" s="39" t="str">
        <v>ISS80-S02-CHANNEL-V1</v>
      </c>
      <c r="AM28" s="44" t="n">
        <f>IFERROR(O28/S28,"")</f>
        <v>0.2999999923975457</v>
      </c>
      <c r="AN28" s="43" t="n">
        <f>IF(OR(S28="",O28=""),"", S28-O28)</f>
        <v>36.830211999999996</v>
      </c>
    </row>
    <row r="29">
      <c r="A29" s="37" t="str">
        <v>CH-VKM-006-025</v>
      </c>
      <c r="B29" s="38" t="str">
        <v>VKM-006</v>
      </c>
      <c r="C29" s="38" t="str">
        <v>Доставка</v>
      </c>
      <c r="D29" s="38" t="str">
        <v>ISSUE82_RC2_PROXY_CHANNEL_SCENARIO</v>
      </c>
      <c r="E29" s="38" t="str">
        <v>71516bf871fa560e890ce5bc7f858854a5335ae2</v>
      </c>
      <c r="F29" s="38" t="str">
        <v>docs/07-operations/issue-82/PROVISIONAL_PROXY_SCENARIO_CHANNEL_PRICING.csv</v>
      </c>
      <c r="G29" s="38" t="str">
        <v>VKM-006|Доставка</v>
      </c>
      <c r="H29" s="38"/>
      <c r="I29" s="38"/>
      <c r="J29" s="38"/>
      <c r="K29" s="38"/>
      <c r="L29" s="38"/>
      <c r="M29" s="38"/>
      <c r="N29" s="38"/>
      <c r="O29" s="38" t="n">
        <v>15.784376</v>
      </c>
      <c r="P29" s="38" t="n">
        <v>65</v>
      </c>
      <c r="Q29" s="38"/>
      <c r="R29" s="38" t="n">
        <v>80.784376</v>
      </c>
      <c r="S29" s="38" t="n">
        <v>269.281255</v>
      </c>
      <c r="T29" s="38" t="n">
        <v>0.3</v>
      </c>
      <c r="U29" s="38" t="n">
        <v>0.05861669056763717</v>
      </c>
      <c r="V29" s="38" t="n">
        <v>253.496878</v>
      </c>
      <c r="W29" s="38"/>
      <c r="X29" s="38"/>
      <c r="Y29" s="38" t="n">
        <v>188.496878</v>
      </c>
      <c r="Z29" s="38" t="str">
        <v>ISSUE82_PROXY_SCENARIO</v>
      </c>
      <c r="AA29" s="38" t="str">
        <v>ASSUMPTION_BLOCKED_PENDING_VALIDATION</v>
      </c>
      <c r="AB29" s="38" t="str">
        <v>NOT_APPROVED_FOR_MENU</v>
      </c>
      <c r="AC29" s="38" t="str">
        <v>Planning scenario, not approved project price; tax, commission and quoted packaging remain excluded/blocked</v>
      </c>
      <c r="AD29" s="38" t="n">
        <v>0.058617</v>
      </c>
      <c r="AE29" s="38" t="n">
        <v>1</v>
      </c>
      <c r="AF29" s="38" t="n">
        <v>80.784376</v>
      </c>
      <c r="AG29" s="38" t="n">
        <v>269.281255</v>
      </c>
      <c r="AH29" s="38" t="n">
        <v>253.496878</v>
      </c>
      <c r="AI29" s="38" t="str">
        <v>SOURCE_ALREADY_ONE_SALE_UNIT</v>
      </c>
      <c r="AJ29" s="38" t="str">
        <v>SOURCE_VALUE</v>
      </c>
      <c r="AK29" s="38" t="str">
        <v>food_cost=kitchen_cogs/price; gross_margin_before_channel_costs=price-kitchen_cogs; contribution=price-complete_direct_cogs-tax-commission</v>
      </c>
      <c r="AL29" s="39" t="str">
        <v>ISS80-S02-CHANNEL-V1</v>
      </c>
      <c r="AM29" s="44" t="n">
        <f>IFERROR(O29/S29,"")</f>
        <v>0.05861669056763717</v>
      </c>
      <c r="AN29" s="43" t="n">
        <f>IF(OR(S29="",O29=""),"", S29-O29)</f>
        <v>253.49687899999998</v>
      </c>
    </row>
    <row r="30">
      <c r="A30" s="37" t="str">
        <v>CH-VKM-006-026</v>
      </c>
      <c r="B30" s="38" t="str">
        <v>VKM-006</v>
      </c>
      <c r="C30" s="38" t="str">
        <v>Навынос</v>
      </c>
      <c r="D30" s="38" t="str">
        <v>ISSUE82_RC2_PROXY_CHANNEL_SCENARIO</v>
      </c>
      <c r="E30" s="38" t="str">
        <v>71516bf871fa560e890ce5bc7f858854a5335ae2</v>
      </c>
      <c r="F30" s="38" t="str">
        <v>docs/07-operations/issue-82/PROVISIONAL_PROXY_SCENARIO_CHANNEL_PRICING.csv</v>
      </c>
      <c r="G30" s="38" t="str">
        <v>VKM-006|Навынос</v>
      </c>
      <c r="H30" s="38"/>
      <c r="I30" s="38"/>
      <c r="J30" s="38"/>
      <c r="K30" s="38"/>
      <c r="L30" s="38"/>
      <c r="M30" s="38"/>
      <c r="N30" s="38"/>
      <c r="O30" s="38" t="n">
        <v>15.784376</v>
      </c>
      <c r="P30" s="38" t="n">
        <v>40</v>
      </c>
      <c r="Q30" s="38"/>
      <c r="R30" s="38" t="n">
        <v>55.784376</v>
      </c>
      <c r="S30" s="38" t="n">
        <v>130.163675</v>
      </c>
      <c r="T30" s="38" t="n">
        <v>0.428571</v>
      </c>
      <c r="U30" s="38" t="n">
        <v>0.12126559887003804</v>
      </c>
      <c r="V30" s="38" t="n">
        <v>114.379299</v>
      </c>
      <c r="W30" s="38"/>
      <c r="X30" s="38"/>
      <c r="Y30" s="38" t="n">
        <v>74.379299</v>
      </c>
      <c r="Z30" s="38" t="str">
        <v>ISSUE82_PROXY_SCENARIO</v>
      </c>
      <c r="AA30" s="38" t="str">
        <v>ASSUMPTION_BLOCKED_PENDING_VALIDATION</v>
      </c>
      <c r="AB30" s="38" t="str">
        <v>NOT_APPROVED_FOR_MENU</v>
      </c>
      <c r="AC30" s="38" t="str">
        <v>Planning scenario, not approved project price; tax, commission and quoted packaging remain excluded/blocked</v>
      </c>
      <c r="AD30" s="38" t="n">
        <v>0.121266</v>
      </c>
      <c r="AE30" s="38" t="n">
        <v>1</v>
      </c>
      <c r="AF30" s="38" t="n">
        <v>55.784376</v>
      </c>
      <c r="AG30" s="38" t="n">
        <v>130.163675</v>
      </c>
      <c r="AH30" s="38" t="n">
        <v>114.379299</v>
      </c>
      <c r="AI30" s="38" t="str">
        <v>SOURCE_ALREADY_ONE_SALE_UNIT</v>
      </c>
      <c r="AJ30" s="38" t="str">
        <v>SOURCE_VALUE</v>
      </c>
      <c r="AK30" s="38" t="str">
        <v>food_cost=kitchen_cogs/price; gross_margin_before_channel_costs=price-kitchen_cogs; contribution=price-complete_direct_cogs-tax-commission</v>
      </c>
      <c r="AL30" s="39" t="str">
        <v>ISS80-S02-CHANNEL-V1</v>
      </c>
      <c r="AM30" s="44" t="n">
        <f>IFERROR(O30/S30,"")</f>
        <v>0.12126559887003804</v>
      </c>
      <c r="AN30" s="43" t="n">
        <f>IF(OR(S30="",O30=""),"", S30-O30)</f>
        <v>114.37929900000002</v>
      </c>
    </row>
    <row r="31">
      <c r="A31" s="37" t="str">
        <v>CH-VKM-007-027</v>
      </c>
      <c r="B31" s="38" t="str">
        <v>VKM-007</v>
      </c>
      <c r="C31" s="38" t="str">
        <v>À la carte</v>
      </c>
      <c r="D31" s="38" t="str">
        <v>ISSUE82_RC2_PROXY_CHANNEL_SCENARIO</v>
      </c>
      <c r="E31" s="38" t="str">
        <v>71516bf871fa560e890ce5bc7f858854a5335ae2</v>
      </c>
      <c r="F31" s="38" t="str">
        <v>docs/07-operations/issue-82/PROVISIONAL_PROXY_SCENARIO_CHANNEL_PRICING.csv</v>
      </c>
      <c r="G31" s="38" t="str">
        <v>VKM-007|À la carte</v>
      </c>
      <c r="H31" s="38"/>
      <c r="I31" s="38"/>
      <c r="J31" s="38"/>
      <c r="K31" s="38"/>
      <c r="L31" s="38"/>
      <c r="M31" s="38"/>
      <c r="N31" s="38"/>
      <c r="O31" s="38" t="n">
        <v>25.922171</v>
      </c>
      <c r="P31" s="38" t="n">
        <v>0</v>
      </c>
      <c r="Q31" s="38"/>
      <c r="R31" s="38" t="n">
        <v>25.922171</v>
      </c>
      <c r="S31" s="38" t="n">
        <v>86.407235</v>
      </c>
      <c r="T31" s="38" t="n">
        <v>0.3</v>
      </c>
      <c r="U31" s="38" t="n">
        <v>0.30000000578655245</v>
      </c>
      <c r="V31" s="38" t="n">
        <v>60.485065</v>
      </c>
      <c r="W31" s="38"/>
      <c r="X31" s="38"/>
      <c r="Y31" s="38" t="n">
        <v>60.485065</v>
      </c>
      <c r="Z31" s="38" t="str">
        <v>ISSUE82_PROXY_SCENARIO</v>
      </c>
      <c r="AA31" s="38" t="str">
        <v>ASSUMPTION_BLOCKED_PENDING_VALIDATION</v>
      </c>
      <c r="AB31" s="38" t="str">
        <v>NOT_APPROVED_FOR_MENU</v>
      </c>
      <c r="AC31" s="38" t="str">
        <v>Planning scenario, not approved project price; tax, commission and quoted packaging remain excluded/blocked</v>
      </c>
      <c r="AD31" s="38" t="n">
        <v>0.3</v>
      </c>
      <c r="AE31" s="38" t="n">
        <v>1</v>
      </c>
      <c r="AF31" s="38" t="n">
        <v>25.922171</v>
      </c>
      <c r="AG31" s="38" t="n">
        <v>86.407235</v>
      </c>
      <c r="AH31" s="38" t="n">
        <v>60.485065</v>
      </c>
      <c r="AI31" s="38" t="str">
        <v>SOURCE_ALREADY_ONE_SALE_UNIT</v>
      </c>
      <c r="AJ31" s="38" t="str">
        <v>MODEL_ASSUMPTION_ZERO_NOT_QUOTED_NOT_EVIDENCE</v>
      </c>
      <c r="AK31" s="38" t="str">
        <v>food_cost=kitchen_cogs/price; gross_margin_before_channel_costs=price-kitchen_cogs; contribution=price-complete_direct_cogs-tax-commission</v>
      </c>
      <c r="AL31" s="39" t="str">
        <v>ISS80-S02-CHANNEL-V1</v>
      </c>
      <c r="AM31" s="44" t="n">
        <f>IFERROR(O31/S31,"")</f>
        <v>0.30000000578655245</v>
      </c>
      <c r="AN31" s="43" t="n">
        <f>IF(OR(S31="",O31=""),"", S31-O31)</f>
        <v>60.485064</v>
      </c>
    </row>
    <row r="32">
      <c r="A32" s="37" t="str">
        <v>CH-VKM-007-028</v>
      </c>
      <c r="B32" s="38" t="str">
        <v>VKM-007</v>
      </c>
      <c r="C32" s="38" t="str">
        <v>Бизнес-ланч</v>
      </c>
      <c r="D32" s="38" t="str">
        <v>ISSUE82_RC2_PROXY_CHANNEL_SCENARIO</v>
      </c>
      <c r="E32" s="38" t="str">
        <v>71516bf871fa560e890ce5bc7f858854a5335ae2</v>
      </c>
      <c r="F32" s="38" t="str">
        <v>docs/07-operations/issue-82/PROVISIONAL_PROXY_SCENARIO_CHANNEL_PRICING.csv</v>
      </c>
      <c r="G32" s="38" t="str">
        <v>VKM-007|Бизнес-ланч</v>
      </c>
      <c r="H32" s="38"/>
      <c r="I32" s="38"/>
      <c r="J32" s="38"/>
      <c r="K32" s="38"/>
      <c r="L32" s="38"/>
      <c r="M32" s="38"/>
      <c r="N32" s="38"/>
      <c r="O32" s="38" t="n">
        <v>25.922171</v>
      </c>
      <c r="P32" s="38" t="n">
        <v>0</v>
      </c>
      <c r="Q32" s="38"/>
      <c r="R32" s="38" t="n">
        <v>25.922171</v>
      </c>
      <c r="S32" s="38" t="n">
        <v>64.805426</v>
      </c>
      <c r="T32" s="38" t="n">
        <v>0.4</v>
      </c>
      <c r="U32" s="38" t="n">
        <v>0.400000009258484</v>
      </c>
      <c r="V32" s="38" t="n">
        <v>38.883256</v>
      </c>
      <c r="W32" s="38"/>
      <c r="X32" s="38"/>
      <c r="Y32" s="38" t="n">
        <v>38.883256</v>
      </c>
      <c r="Z32" s="38" t="str">
        <v>ISSUE82_PROXY_SCENARIO</v>
      </c>
      <c r="AA32" s="38" t="str">
        <v>ASSUMPTION_BLOCKED_PENDING_VALIDATION</v>
      </c>
      <c r="AB32" s="38" t="str">
        <v>NOT_APPROVED_FOR_MENU</v>
      </c>
      <c r="AC32" s="38" t="str">
        <v>Planning scenario, not approved project price; tax, commission and quoted packaging remain excluded/blocked</v>
      </c>
      <c r="AD32" s="38" t="n">
        <v>0.4</v>
      </c>
      <c r="AE32" s="38" t="n">
        <v>1</v>
      </c>
      <c r="AF32" s="38" t="n">
        <v>25.922171</v>
      </c>
      <c r="AG32" s="38" t="n">
        <v>64.805426</v>
      </c>
      <c r="AH32" s="38" t="n">
        <v>38.883256</v>
      </c>
      <c r="AI32" s="38" t="str">
        <v>SOURCE_ALREADY_ONE_SALE_UNIT</v>
      </c>
      <c r="AJ32" s="38" t="str">
        <v>MODEL_ASSUMPTION_ZERO_NOT_QUOTED_NOT_EVIDENCE</v>
      </c>
      <c r="AK32" s="38" t="str">
        <v>food_cost=kitchen_cogs/price; gross_margin_before_channel_costs=price-kitchen_cogs; contribution=price-complete_direct_cogs-tax-commission</v>
      </c>
      <c r="AL32" s="39" t="str">
        <v>ISS80-S02-CHANNEL-V1</v>
      </c>
      <c r="AM32" s="44" t="n">
        <f>IFERROR(O32/S32,"")</f>
        <v>0.400000009258484</v>
      </c>
      <c r="AN32" s="43" t="n">
        <f>IF(OR(S32="",O32=""),"", S32-O32)</f>
        <v>38.883255</v>
      </c>
    </row>
    <row r="33">
      <c r="A33" s="37" t="str">
        <v>CH-VKM-007-029</v>
      </c>
      <c r="B33" s="38" t="str">
        <v>VKM-007</v>
      </c>
      <c r="C33" s="38" t="str">
        <v>Гостиничные ужины</v>
      </c>
      <c r="D33" s="38" t="str">
        <v>ISSUE82_RC2_PROXY_CHANNEL_SCENARIO</v>
      </c>
      <c r="E33" s="38" t="str">
        <v>71516bf871fa560e890ce5bc7f858854a5335ae2</v>
      </c>
      <c r="F33" s="38" t="str">
        <v>docs/07-operations/issue-82/PROVISIONAL_PROXY_SCENARIO_CHANNEL_PRICING.csv</v>
      </c>
      <c r="G33" s="38" t="str">
        <v>VKM-007|Гостиничные ужины</v>
      </c>
      <c r="H33" s="38"/>
      <c r="I33" s="38"/>
      <c r="J33" s="38"/>
      <c r="K33" s="38"/>
      <c r="L33" s="38"/>
      <c r="M33" s="38"/>
      <c r="N33" s="38"/>
      <c r="O33" s="38" t="n">
        <v>25.922171</v>
      </c>
      <c r="P33" s="38" t="n">
        <v>0</v>
      </c>
      <c r="Q33" s="38"/>
      <c r="R33" s="38" t="n">
        <v>25.922171</v>
      </c>
      <c r="S33" s="38" t="n">
        <v>86.407235</v>
      </c>
      <c r="T33" s="38" t="n">
        <v>0.3</v>
      </c>
      <c r="U33" s="38" t="n">
        <v>0.30000000578655245</v>
      </c>
      <c r="V33" s="38" t="n">
        <v>60.485065</v>
      </c>
      <c r="W33" s="38"/>
      <c r="X33" s="38"/>
      <c r="Y33" s="38" t="n">
        <v>60.485065</v>
      </c>
      <c r="Z33" s="38" t="str">
        <v>ISSUE82_PROXY_SCENARIO</v>
      </c>
      <c r="AA33" s="38" t="str">
        <v>ASSUMPTION_BLOCKED_PENDING_VALIDATION</v>
      </c>
      <c r="AB33" s="38" t="str">
        <v>NOT_APPROVED_FOR_MENU</v>
      </c>
      <c r="AC33" s="38" t="str">
        <v>Planning scenario, not approved project price; tax, commission and quoted packaging remain excluded/blocked</v>
      </c>
      <c r="AD33" s="38" t="n">
        <v>0.3</v>
      </c>
      <c r="AE33" s="38" t="n">
        <v>1</v>
      </c>
      <c r="AF33" s="38" t="n">
        <v>25.922171</v>
      </c>
      <c r="AG33" s="38" t="n">
        <v>86.407235</v>
      </c>
      <c r="AH33" s="38" t="n">
        <v>60.485065</v>
      </c>
      <c r="AI33" s="38" t="str">
        <v>SOURCE_ALREADY_ONE_SALE_UNIT</v>
      </c>
      <c r="AJ33" s="38" t="str">
        <v>MODEL_ASSUMPTION_ZERO_NOT_QUOTED_NOT_EVIDENCE</v>
      </c>
      <c r="AK33" s="38" t="str">
        <v>food_cost=kitchen_cogs/price; gross_margin_before_channel_costs=price-kitchen_cogs; contribution=price-complete_direct_cogs-tax-commission</v>
      </c>
      <c r="AL33" s="39" t="str">
        <v>ISS80-S02-CHANNEL-V1</v>
      </c>
      <c r="AM33" s="44" t="n">
        <f>IFERROR(O33/S33,"")</f>
        <v>0.30000000578655245</v>
      </c>
      <c r="AN33" s="43" t="n">
        <f>IF(OR(S33="",O33=""),"", S33-O33)</f>
        <v>60.485064</v>
      </c>
    </row>
    <row r="34">
      <c r="A34" s="37" t="str">
        <v>CH-VKM-007-030</v>
      </c>
      <c r="B34" s="38" t="str">
        <v>VKM-007</v>
      </c>
      <c r="C34" s="38" t="str">
        <v>Доставка</v>
      </c>
      <c r="D34" s="38" t="str">
        <v>ISSUE82_RC2_PROXY_CHANNEL_SCENARIO</v>
      </c>
      <c r="E34" s="38" t="str">
        <v>71516bf871fa560e890ce5bc7f858854a5335ae2</v>
      </c>
      <c r="F34" s="38" t="str">
        <v>docs/07-operations/issue-82/PROVISIONAL_PROXY_SCENARIO_CHANNEL_PRICING.csv</v>
      </c>
      <c r="G34" s="38" t="str">
        <v>VKM-007|Доставка</v>
      </c>
      <c r="H34" s="38"/>
      <c r="I34" s="38"/>
      <c r="J34" s="38"/>
      <c r="K34" s="38"/>
      <c r="L34" s="38"/>
      <c r="M34" s="38"/>
      <c r="N34" s="38"/>
      <c r="O34" s="38" t="n">
        <v>25.922171</v>
      </c>
      <c r="P34" s="38" t="n">
        <v>65</v>
      </c>
      <c r="Q34" s="38"/>
      <c r="R34" s="38" t="n">
        <v>90.922171</v>
      </c>
      <c r="S34" s="38" t="n">
        <v>303.073902</v>
      </c>
      <c r="T34" s="38" t="n">
        <v>0.3</v>
      </c>
      <c r="U34" s="38" t="n">
        <v>0.08553085841089676</v>
      </c>
      <c r="V34" s="38" t="n">
        <v>277.151731</v>
      </c>
      <c r="W34" s="38"/>
      <c r="X34" s="38"/>
      <c r="Y34" s="38" t="n">
        <v>212.151731</v>
      </c>
      <c r="Z34" s="38" t="str">
        <v>ISSUE82_PROXY_SCENARIO</v>
      </c>
      <c r="AA34" s="38" t="str">
        <v>ASSUMPTION_BLOCKED_PENDING_VALIDATION</v>
      </c>
      <c r="AB34" s="38" t="str">
        <v>NOT_APPROVED_FOR_MENU</v>
      </c>
      <c r="AC34" s="38" t="str">
        <v>Planning scenario, not approved project price; tax, commission and quoted packaging remain excluded/blocked</v>
      </c>
      <c r="AD34" s="38" t="n">
        <v>0.085531</v>
      </c>
      <c r="AE34" s="38" t="n">
        <v>1</v>
      </c>
      <c r="AF34" s="38" t="n">
        <v>90.922171</v>
      </c>
      <c r="AG34" s="38" t="n">
        <v>303.073902</v>
      </c>
      <c r="AH34" s="38" t="n">
        <v>277.151731</v>
      </c>
      <c r="AI34" s="38" t="str">
        <v>SOURCE_ALREADY_ONE_SALE_UNIT</v>
      </c>
      <c r="AJ34" s="38" t="str">
        <v>SOURCE_VALUE</v>
      </c>
      <c r="AK34" s="38" t="str">
        <v>food_cost=kitchen_cogs/price; gross_margin_before_channel_costs=price-kitchen_cogs; contribution=price-complete_direct_cogs-tax-commission</v>
      </c>
      <c r="AL34" s="39" t="str">
        <v>ISS80-S02-CHANNEL-V1</v>
      </c>
      <c r="AM34" s="44" t="n">
        <f>IFERROR(O34/S34,"")</f>
        <v>0.08553085841089676</v>
      </c>
      <c r="AN34" s="43" t="n">
        <f>IF(OR(S34="",O34=""),"", S34-O34)</f>
        <v>277.151731</v>
      </c>
    </row>
    <row r="35">
      <c r="A35" s="37" t="str">
        <v>CH-VKM-007-031</v>
      </c>
      <c r="B35" s="38" t="str">
        <v>VKM-007</v>
      </c>
      <c r="C35" s="38" t="str">
        <v>Навынос</v>
      </c>
      <c r="D35" s="38" t="str">
        <v>ISSUE82_RC2_PROXY_CHANNEL_SCENARIO</v>
      </c>
      <c r="E35" s="38" t="str">
        <v>71516bf871fa560e890ce5bc7f858854a5335ae2</v>
      </c>
      <c r="F35" s="38" t="str">
        <v>docs/07-operations/issue-82/PROVISIONAL_PROXY_SCENARIO_CHANNEL_PRICING.csv</v>
      </c>
      <c r="G35" s="38" t="str">
        <v>VKM-007|Навынос</v>
      </c>
      <c r="H35" s="38"/>
      <c r="I35" s="38"/>
      <c r="J35" s="38"/>
      <c r="K35" s="38"/>
      <c r="L35" s="38"/>
      <c r="M35" s="38"/>
      <c r="N35" s="38"/>
      <c r="O35" s="38" t="n">
        <v>25.922171</v>
      </c>
      <c r="P35" s="38" t="n">
        <v>40</v>
      </c>
      <c r="Q35" s="38"/>
      <c r="R35" s="38" t="n">
        <v>65.922171</v>
      </c>
      <c r="S35" s="38" t="n">
        <v>153.818552</v>
      </c>
      <c r="T35" s="38" t="n">
        <v>0.428571</v>
      </c>
      <c r="U35" s="38" t="n">
        <v>0.16852434679010628</v>
      </c>
      <c r="V35" s="38" t="n">
        <v>127.896381</v>
      </c>
      <c r="W35" s="38"/>
      <c r="X35" s="38"/>
      <c r="Y35" s="38" t="n">
        <v>87.896381</v>
      </c>
      <c r="Z35" s="38" t="str">
        <v>ISSUE82_PROXY_SCENARIO</v>
      </c>
      <c r="AA35" s="38" t="str">
        <v>ASSUMPTION_BLOCKED_PENDING_VALIDATION</v>
      </c>
      <c r="AB35" s="38" t="str">
        <v>NOT_APPROVED_FOR_MENU</v>
      </c>
      <c r="AC35" s="38" t="str">
        <v>Planning scenario, not approved project price; tax, commission and quoted packaging remain excluded/blocked</v>
      </c>
      <c r="AD35" s="38" t="n">
        <v>0.168524</v>
      </c>
      <c r="AE35" s="38" t="n">
        <v>1</v>
      </c>
      <c r="AF35" s="38" t="n">
        <v>65.922171</v>
      </c>
      <c r="AG35" s="38" t="n">
        <v>153.818552</v>
      </c>
      <c r="AH35" s="38" t="n">
        <v>127.896381</v>
      </c>
      <c r="AI35" s="38" t="str">
        <v>SOURCE_ALREADY_ONE_SALE_UNIT</v>
      </c>
      <c r="AJ35" s="38" t="str">
        <v>SOURCE_VALUE</v>
      </c>
      <c r="AK35" s="38" t="str">
        <v>food_cost=kitchen_cogs/price; gross_margin_before_channel_costs=price-kitchen_cogs; contribution=price-complete_direct_cogs-tax-commission</v>
      </c>
      <c r="AL35" s="39" t="str">
        <v>ISS80-S02-CHANNEL-V1</v>
      </c>
      <c r="AM35" s="44" t="n">
        <f>IFERROR(O35/S35,"")</f>
        <v>0.16852434679010628</v>
      </c>
      <c r="AN35" s="43" t="n">
        <f>IF(OR(S35="",O35=""),"", S35-O35)</f>
        <v>127.89638100000002</v>
      </c>
    </row>
    <row r="36">
      <c r="A36" s="37" t="str">
        <v>CH-VKM-008-032</v>
      </c>
      <c r="B36" s="38" t="str">
        <v>VKM-008</v>
      </c>
      <c r="C36" s="38" t="str">
        <v>À la carte</v>
      </c>
      <c r="D36" s="38" t="str">
        <v>ISSUE82_RC2_PROXY_CHANNEL_SCENARIO</v>
      </c>
      <c r="E36" s="38" t="str">
        <v>71516bf871fa560e890ce5bc7f858854a5335ae2</v>
      </c>
      <c r="F36" s="38" t="str">
        <v>docs/07-operations/issue-82/PROVISIONAL_PROXY_SCENARIO_CHANNEL_PRICING.csv</v>
      </c>
      <c r="G36" s="38" t="str">
        <v>VKM-008|À la carte</v>
      </c>
      <c r="H36" s="38"/>
      <c r="I36" s="38"/>
      <c r="J36" s="38"/>
      <c r="K36" s="38"/>
      <c r="L36" s="38"/>
      <c r="M36" s="38"/>
      <c r="N36" s="38"/>
      <c r="O36" s="38" t="n">
        <v>27.567467</v>
      </c>
      <c r="P36" s="38" t="n">
        <v>0</v>
      </c>
      <c r="Q36" s="38"/>
      <c r="R36" s="38" t="n">
        <v>27.567467</v>
      </c>
      <c r="S36" s="38" t="n">
        <v>91.891555</v>
      </c>
      <c r="T36" s="38" t="n">
        <v>0.3</v>
      </c>
      <c r="U36" s="38" t="n">
        <v>0.3000000054411964</v>
      </c>
      <c r="V36" s="38" t="n">
        <v>64.324089</v>
      </c>
      <c r="W36" s="38"/>
      <c r="X36" s="38"/>
      <c r="Y36" s="38" t="n">
        <v>64.324089</v>
      </c>
      <c r="Z36" s="38" t="str">
        <v>ISSUE82_PROXY_SCENARIO</v>
      </c>
      <c r="AA36" s="38" t="str">
        <v>ASSUMPTION_BLOCKED_PENDING_VALIDATION</v>
      </c>
      <c r="AB36" s="38" t="str">
        <v>NOT_APPROVED_FOR_MENU</v>
      </c>
      <c r="AC36" s="38" t="str">
        <v>Planning scenario, not approved project price; tax, commission and quoted packaging remain excluded/blocked</v>
      </c>
      <c r="AD36" s="38" t="n">
        <v>0.3</v>
      </c>
      <c r="AE36" s="38" t="n">
        <v>1</v>
      </c>
      <c r="AF36" s="38" t="n">
        <v>27.567467</v>
      </c>
      <c r="AG36" s="38" t="n">
        <v>91.891555</v>
      </c>
      <c r="AH36" s="38" t="n">
        <v>64.324089</v>
      </c>
      <c r="AI36" s="38" t="str">
        <v>SOURCE_ALREADY_ONE_SALE_UNIT</v>
      </c>
      <c r="AJ36" s="38" t="str">
        <v>MODEL_ASSUMPTION_ZERO_NOT_QUOTED_NOT_EVIDENCE</v>
      </c>
      <c r="AK36" s="38" t="str">
        <v>food_cost=kitchen_cogs/price; gross_margin_before_channel_costs=price-kitchen_cogs; contribution=price-complete_direct_cogs-tax-commission</v>
      </c>
      <c r="AL36" s="39" t="str">
        <v>ISS80-S02-CHANNEL-V1</v>
      </c>
      <c r="AM36" s="44" t="n">
        <f>IFERROR(O36/S36,"")</f>
        <v>0.3000000054411964</v>
      </c>
      <c r="AN36" s="43" t="n">
        <f>IF(OR(S36="",O36=""),"", S36-O36)</f>
        <v>64.32408799999999</v>
      </c>
    </row>
    <row r="37">
      <c r="A37" s="37" t="str">
        <v>CH-VKM-008-033</v>
      </c>
      <c r="B37" s="38" t="str">
        <v>VKM-008</v>
      </c>
      <c r="C37" s="38" t="str">
        <v>Бизнес-ланч</v>
      </c>
      <c r="D37" s="38" t="str">
        <v>ISSUE82_RC2_PROXY_CHANNEL_SCENARIO</v>
      </c>
      <c r="E37" s="38" t="str">
        <v>71516bf871fa560e890ce5bc7f858854a5335ae2</v>
      </c>
      <c r="F37" s="38" t="str">
        <v>docs/07-operations/issue-82/PROVISIONAL_PROXY_SCENARIO_CHANNEL_PRICING.csv</v>
      </c>
      <c r="G37" s="38" t="str">
        <v>VKM-008|Бизнес-ланч</v>
      </c>
      <c r="H37" s="38"/>
      <c r="I37" s="38"/>
      <c r="J37" s="38"/>
      <c r="K37" s="38"/>
      <c r="L37" s="38"/>
      <c r="M37" s="38"/>
      <c r="N37" s="38"/>
      <c r="O37" s="38" t="n">
        <v>27.567467</v>
      </c>
      <c r="P37" s="38" t="n">
        <v>0</v>
      </c>
      <c r="Q37" s="38"/>
      <c r="R37" s="38" t="n">
        <v>27.567467</v>
      </c>
      <c r="S37" s="38" t="n">
        <v>68.918666</v>
      </c>
      <c r="T37" s="38" t="n">
        <v>0.4</v>
      </c>
      <c r="U37" s="38" t="n">
        <v>0.4000000087059143</v>
      </c>
      <c r="V37" s="38" t="n">
        <v>41.3512</v>
      </c>
      <c r="W37" s="38"/>
      <c r="X37" s="38"/>
      <c r="Y37" s="38" t="n">
        <v>41.3512</v>
      </c>
      <c r="Z37" s="38" t="str">
        <v>ISSUE82_PROXY_SCENARIO</v>
      </c>
      <c r="AA37" s="38" t="str">
        <v>ASSUMPTION_BLOCKED_PENDING_VALIDATION</v>
      </c>
      <c r="AB37" s="38" t="str">
        <v>NOT_APPROVED_FOR_MENU</v>
      </c>
      <c r="AC37" s="38" t="str">
        <v>Planning scenario, not approved project price; tax, commission and quoted packaging remain excluded/blocked</v>
      </c>
      <c r="AD37" s="38" t="n">
        <v>0.4</v>
      </c>
      <c r="AE37" s="38" t="n">
        <v>1</v>
      </c>
      <c r="AF37" s="38" t="n">
        <v>27.567467</v>
      </c>
      <c r="AG37" s="38" t="n">
        <v>68.918666</v>
      </c>
      <c r="AH37" s="38" t="n">
        <v>41.3512</v>
      </c>
      <c r="AI37" s="38" t="str">
        <v>SOURCE_ALREADY_ONE_SALE_UNIT</v>
      </c>
      <c r="AJ37" s="38" t="str">
        <v>MODEL_ASSUMPTION_ZERO_NOT_QUOTED_NOT_EVIDENCE</v>
      </c>
      <c r="AK37" s="38" t="str">
        <v>food_cost=kitchen_cogs/price; gross_margin_before_channel_costs=price-kitchen_cogs; contribution=price-complete_direct_cogs-tax-commission</v>
      </c>
      <c r="AL37" s="39" t="str">
        <v>ISS80-S02-CHANNEL-V1</v>
      </c>
      <c r="AM37" s="44" t="n">
        <f>IFERROR(O37/S37,"")</f>
        <v>0.4000000087059143</v>
      </c>
      <c r="AN37" s="43" t="n">
        <f>IF(OR(S37="",O37=""),"", S37-O37)</f>
        <v>41.351199</v>
      </c>
    </row>
    <row r="38">
      <c r="A38" s="37" t="str">
        <v>CH-VKM-008-034</v>
      </c>
      <c r="B38" s="38" t="str">
        <v>VKM-008</v>
      </c>
      <c r="C38" s="38" t="str">
        <v>Гостиничные ужины</v>
      </c>
      <c r="D38" s="38" t="str">
        <v>ISSUE82_RC2_PROXY_CHANNEL_SCENARIO</v>
      </c>
      <c r="E38" s="38" t="str">
        <v>71516bf871fa560e890ce5bc7f858854a5335ae2</v>
      </c>
      <c r="F38" s="38" t="str">
        <v>docs/07-operations/issue-82/PROVISIONAL_PROXY_SCENARIO_CHANNEL_PRICING.csv</v>
      </c>
      <c r="G38" s="38" t="str">
        <v>VKM-008|Гостиничные ужины</v>
      </c>
      <c r="H38" s="38"/>
      <c r="I38" s="38"/>
      <c r="J38" s="38"/>
      <c r="K38" s="38"/>
      <c r="L38" s="38"/>
      <c r="M38" s="38"/>
      <c r="N38" s="38"/>
      <c r="O38" s="38" t="n">
        <v>27.567467</v>
      </c>
      <c r="P38" s="38" t="n">
        <v>0</v>
      </c>
      <c r="Q38" s="38"/>
      <c r="R38" s="38" t="n">
        <v>27.567467</v>
      </c>
      <c r="S38" s="38" t="n">
        <v>91.891555</v>
      </c>
      <c r="T38" s="38" t="n">
        <v>0.3</v>
      </c>
      <c r="U38" s="38" t="n">
        <v>0.3000000054411964</v>
      </c>
      <c r="V38" s="38" t="n">
        <v>64.324089</v>
      </c>
      <c r="W38" s="38"/>
      <c r="X38" s="38"/>
      <c r="Y38" s="38" t="n">
        <v>64.324089</v>
      </c>
      <c r="Z38" s="38" t="str">
        <v>ISSUE82_PROXY_SCENARIO</v>
      </c>
      <c r="AA38" s="38" t="str">
        <v>ASSUMPTION_BLOCKED_PENDING_VALIDATION</v>
      </c>
      <c r="AB38" s="38" t="str">
        <v>NOT_APPROVED_FOR_MENU</v>
      </c>
      <c r="AC38" s="38" t="str">
        <v>Planning scenario, not approved project price; tax, commission and quoted packaging remain excluded/blocked</v>
      </c>
      <c r="AD38" s="38" t="n">
        <v>0.3</v>
      </c>
      <c r="AE38" s="38" t="n">
        <v>1</v>
      </c>
      <c r="AF38" s="38" t="n">
        <v>27.567467</v>
      </c>
      <c r="AG38" s="38" t="n">
        <v>91.891555</v>
      </c>
      <c r="AH38" s="38" t="n">
        <v>64.324089</v>
      </c>
      <c r="AI38" s="38" t="str">
        <v>SOURCE_ALREADY_ONE_SALE_UNIT</v>
      </c>
      <c r="AJ38" s="38" t="str">
        <v>MODEL_ASSUMPTION_ZERO_NOT_QUOTED_NOT_EVIDENCE</v>
      </c>
      <c r="AK38" s="38" t="str">
        <v>food_cost=kitchen_cogs/price; gross_margin_before_channel_costs=price-kitchen_cogs; contribution=price-complete_direct_cogs-tax-commission</v>
      </c>
      <c r="AL38" s="39" t="str">
        <v>ISS80-S02-CHANNEL-V1</v>
      </c>
      <c r="AM38" s="44" t="n">
        <f>IFERROR(O38/S38,"")</f>
        <v>0.3000000054411964</v>
      </c>
      <c r="AN38" s="43" t="n">
        <f>IF(OR(S38="",O38=""),"", S38-O38)</f>
        <v>64.32408799999999</v>
      </c>
    </row>
    <row r="39">
      <c r="A39" s="37" t="str">
        <v>CH-VKM-008-035</v>
      </c>
      <c r="B39" s="38" t="str">
        <v>VKM-008</v>
      </c>
      <c r="C39" s="38" t="str">
        <v>Доставка</v>
      </c>
      <c r="D39" s="38" t="str">
        <v>ISSUE82_RC2_PROXY_CHANNEL_SCENARIO</v>
      </c>
      <c r="E39" s="38" t="str">
        <v>71516bf871fa560e890ce5bc7f858854a5335ae2</v>
      </c>
      <c r="F39" s="38" t="str">
        <v>docs/07-operations/issue-82/PROVISIONAL_PROXY_SCENARIO_CHANNEL_PRICING.csv</v>
      </c>
      <c r="G39" s="38" t="str">
        <v>VKM-008|Доставка</v>
      </c>
      <c r="H39" s="38"/>
      <c r="I39" s="38"/>
      <c r="J39" s="38"/>
      <c r="K39" s="38"/>
      <c r="L39" s="38"/>
      <c r="M39" s="38"/>
      <c r="N39" s="38"/>
      <c r="O39" s="38" t="n">
        <v>27.567467</v>
      </c>
      <c r="P39" s="38" t="n">
        <v>65</v>
      </c>
      <c r="Q39" s="38"/>
      <c r="R39" s="38" t="n">
        <v>92.567467</v>
      </c>
      <c r="S39" s="38" t="n">
        <v>308.558222</v>
      </c>
      <c r="T39" s="38" t="n">
        <v>0.3</v>
      </c>
      <c r="U39" s="38" t="n">
        <v>0.08934283721663396</v>
      </c>
      <c r="V39" s="38" t="n">
        <v>280.990755</v>
      </c>
      <c r="W39" s="38"/>
      <c r="X39" s="38"/>
      <c r="Y39" s="38" t="n">
        <v>215.990755</v>
      </c>
      <c r="Z39" s="38" t="str">
        <v>ISSUE82_PROXY_SCENARIO</v>
      </c>
      <c r="AA39" s="38" t="str">
        <v>ASSUMPTION_BLOCKED_PENDING_VALIDATION</v>
      </c>
      <c r="AB39" s="38" t="str">
        <v>NOT_APPROVED_FOR_MENU</v>
      </c>
      <c r="AC39" s="38" t="str">
        <v>Planning scenario, not approved project price; tax, commission and quoted packaging remain excluded/blocked</v>
      </c>
      <c r="AD39" s="38" t="n">
        <v>0.089343</v>
      </c>
      <c r="AE39" s="38" t="n">
        <v>1</v>
      </c>
      <c r="AF39" s="38" t="n">
        <v>92.567467</v>
      </c>
      <c r="AG39" s="38" t="n">
        <v>308.558222</v>
      </c>
      <c r="AH39" s="38" t="n">
        <v>280.990755</v>
      </c>
      <c r="AI39" s="38" t="str">
        <v>SOURCE_ALREADY_ONE_SALE_UNIT</v>
      </c>
      <c r="AJ39" s="38" t="str">
        <v>SOURCE_VALUE</v>
      </c>
      <c r="AK39" s="38" t="str">
        <v>food_cost=kitchen_cogs/price; gross_margin_before_channel_costs=price-kitchen_cogs; contribution=price-complete_direct_cogs-tax-commission</v>
      </c>
      <c r="AL39" s="39" t="str">
        <v>ISS80-S02-CHANNEL-V1</v>
      </c>
      <c r="AM39" s="44" t="n">
        <f>IFERROR(O39/S39,"")</f>
        <v>0.08934283721663396</v>
      </c>
      <c r="AN39" s="43" t="n">
        <f>IF(OR(S39="",O39=""),"", S39-O39)</f>
        <v>280.990755</v>
      </c>
    </row>
    <row r="40">
      <c r="A40" s="37" t="str">
        <v>CH-VKM-008-036</v>
      </c>
      <c r="B40" s="38" t="str">
        <v>VKM-008</v>
      </c>
      <c r="C40" s="38" t="str">
        <v>Навынос</v>
      </c>
      <c r="D40" s="38" t="str">
        <v>ISSUE82_RC2_PROXY_CHANNEL_SCENARIO</v>
      </c>
      <c r="E40" s="38" t="str">
        <v>71516bf871fa560e890ce5bc7f858854a5335ae2</v>
      </c>
      <c r="F40" s="38" t="str">
        <v>docs/07-operations/issue-82/PROVISIONAL_PROXY_SCENARIO_CHANNEL_PRICING.csv</v>
      </c>
      <c r="G40" s="38" t="str">
        <v>VKM-008|Навынос</v>
      </c>
      <c r="H40" s="38"/>
      <c r="I40" s="38"/>
      <c r="J40" s="38"/>
      <c r="K40" s="38"/>
      <c r="L40" s="38"/>
      <c r="M40" s="38"/>
      <c r="N40" s="38"/>
      <c r="O40" s="38" t="n">
        <v>27.567467</v>
      </c>
      <c r="P40" s="38" t="n">
        <v>40</v>
      </c>
      <c r="Q40" s="38"/>
      <c r="R40" s="38" t="n">
        <v>67.567467</v>
      </c>
      <c r="S40" s="38" t="n">
        <v>157.65758</v>
      </c>
      <c r="T40" s="38" t="n">
        <v>0.428571</v>
      </c>
      <c r="U40" s="38" t="n">
        <v>0.17485659110078947</v>
      </c>
      <c r="V40" s="38" t="n">
        <v>130.090113</v>
      </c>
      <c r="W40" s="38"/>
      <c r="X40" s="38"/>
      <c r="Y40" s="38" t="n">
        <v>90.090113</v>
      </c>
      <c r="Z40" s="38" t="str">
        <v>ISSUE82_PROXY_SCENARIO</v>
      </c>
      <c r="AA40" s="38" t="str">
        <v>ASSUMPTION_BLOCKED_PENDING_VALIDATION</v>
      </c>
      <c r="AB40" s="38" t="str">
        <v>NOT_APPROVED_FOR_MENU</v>
      </c>
      <c r="AC40" s="38" t="str">
        <v>Planning scenario, not approved project price; tax, commission and quoted packaging remain excluded/blocked</v>
      </c>
      <c r="AD40" s="38" t="n">
        <v>0.174857</v>
      </c>
      <c r="AE40" s="38" t="n">
        <v>1</v>
      </c>
      <c r="AF40" s="38" t="n">
        <v>67.567467</v>
      </c>
      <c r="AG40" s="38" t="n">
        <v>157.65758</v>
      </c>
      <c r="AH40" s="38" t="n">
        <v>130.090113</v>
      </c>
      <c r="AI40" s="38" t="str">
        <v>SOURCE_ALREADY_ONE_SALE_UNIT</v>
      </c>
      <c r="AJ40" s="38" t="str">
        <v>SOURCE_VALUE</v>
      </c>
      <c r="AK40" s="38" t="str">
        <v>food_cost=kitchen_cogs/price; gross_margin_before_channel_costs=price-kitchen_cogs; contribution=price-complete_direct_cogs-tax-commission</v>
      </c>
      <c r="AL40" s="39" t="str">
        <v>ISS80-S02-CHANNEL-V1</v>
      </c>
      <c r="AM40" s="44" t="n">
        <f>IFERROR(O40/S40,"")</f>
        <v>0.17485659110078947</v>
      </c>
      <c r="AN40" s="43" t="n">
        <f>IF(OR(S40="",O40=""),"", S40-O40)</f>
        <v>130.090113</v>
      </c>
    </row>
    <row r="41">
      <c r="A41" s="37" t="str">
        <v>CH-VKM-009-037</v>
      </c>
      <c r="B41" s="38" t="str">
        <v>VKM-009</v>
      </c>
      <c r="C41" s="38" t="str">
        <v>À la carte</v>
      </c>
      <c r="D41" s="38" t="str">
        <v>ISSUE82_RC2_PROXY_CHANNEL_SCENARIO</v>
      </c>
      <c r="E41" s="38" t="str">
        <v>71516bf871fa560e890ce5bc7f858854a5335ae2</v>
      </c>
      <c r="F41" s="38" t="str">
        <v>docs/07-operations/issue-82/PROVISIONAL_PROXY_SCENARIO_CHANNEL_PRICING.csv</v>
      </c>
      <c r="G41" s="38" t="str">
        <v>VKM-009|À la carte</v>
      </c>
      <c r="H41" s="38"/>
      <c r="I41" s="38"/>
      <c r="J41" s="38"/>
      <c r="K41" s="38"/>
      <c r="L41" s="38"/>
      <c r="M41" s="38"/>
      <c r="N41" s="38"/>
      <c r="O41" s="38" t="n">
        <v>301.573898</v>
      </c>
      <c r="P41" s="38" t="n">
        <v>0</v>
      </c>
      <c r="Q41" s="38"/>
      <c r="R41" s="38" t="n">
        <v>301.573898</v>
      </c>
      <c r="S41" s="38" t="n">
        <v>1005.246326</v>
      </c>
      <c r="T41" s="38" t="n">
        <v>0.3</v>
      </c>
      <c r="U41" s="38" t="n">
        <v>0.30000000019895623</v>
      </c>
      <c r="V41" s="38" t="n">
        <v>703.672428</v>
      </c>
      <c r="W41" s="38"/>
      <c r="X41" s="38"/>
      <c r="Y41" s="38" t="n">
        <v>703.672428</v>
      </c>
      <c r="Z41" s="38" t="str">
        <v>ISSUE82_PROXY_SCENARIO</v>
      </c>
      <c r="AA41" s="38" t="str">
        <v>ASSUMPTION_BLOCKED_PENDING_VALIDATION</v>
      </c>
      <c r="AB41" s="38" t="str">
        <v>NOT_APPROVED_FOR_MENU</v>
      </c>
      <c r="AC41" s="38" t="str">
        <v>Planning scenario, not approved project price; tax, commission and quoted packaging remain excluded/blocked</v>
      </c>
      <c r="AD41" s="38" t="n">
        <v>0.3</v>
      </c>
      <c r="AE41" s="38" t="n">
        <v>1</v>
      </c>
      <c r="AF41" s="38" t="n">
        <v>301.573898</v>
      </c>
      <c r="AG41" s="38" t="n">
        <v>1005.246326</v>
      </c>
      <c r="AH41" s="38" t="n">
        <v>703.672428</v>
      </c>
      <c r="AI41" s="38" t="str">
        <v>SOURCE_ALREADY_ONE_SALE_UNIT</v>
      </c>
      <c r="AJ41" s="38" t="str">
        <v>MODEL_ASSUMPTION_ZERO_NOT_QUOTED_NOT_EVIDENCE</v>
      </c>
      <c r="AK41" s="38" t="str">
        <v>food_cost=kitchen_cogs/price; gross_margin_before_channel_costs=price-kitchen_cogs; contribution=price-complete_direct_cogs-tax-commission</v>
      </c>
      <c r="AL41" s="39" t="str">
        <v>ISS80-S02-CHANNEL-V1</v>
      </c>
      <c r="AM41" s="44" t="n">
        <f>IFERROR(O41/S41,"")</f>
        <v>0.30000000019895623</v>
      </c>
      <c r="AN41" s="43" t="n">
        <f>IF(OR(S41="",O41=""),"", S41-O41)</f>
        <v>703.672428</v>
      </c>
    </row>
    <row r="42">
      <c r="A42" s="37" t="str">
        <v>CH-VKM-009-038</v>
      </c>
      <c r="B42" s="38" t="str">
        <v>VKM-009</v>
      </c>
      <c r="C42" s="38" t="str">
        <v>Бизнес-ланч</v>
      </c>
      <c r="D42" s="38" t="str">
        <v>ISSUE82_RC2_PROXY_CHANNEL_SCENARIO</v>
      </c>
      <c r="E42" s="38" t="str">
        <v>71516bf871fa560e890ce5bc7f858854a5335ae2</v>
      </c>
      <c r="F42" s="38" t="str">
        <v>docs/07-operations/issue-82/PROVISIONAL_PROXY_SCENARIO_CHANNEL_PRICING.csv</v>
      </c>
      <c r="G42" s="38" t="str">
        <v>VKM-009|Бизнес-ланч</v>
      </c>
      <c r="H42" s="38"/>
      <c r="I42" s="38"/>
      <c r="J42" s="38"/>
      <c r="K42" s="38"/>
      <c r="L42" s="38"/>
      <c r="M42" s="38"/>
      <c r="N42" s="38"/>
      <c r="O42" s="38" t="n">
        <v>301.573898</v>
      </c>
      <c r="P42" s="38" t="n">
        <v>0</v>
      </c>
      <c r="Q42" s="38"/>
      <c r="R42" s="38" t="n">
        <v>301.573898</v>
      </c>
      <c r="S42" s="38" t="n">
        <v>753.934745</v>
      </c>
      <c r="T42" s="38" t="n">
        <v>0.4</v>
      </c>
      <c r="U42" s="38" t="n">
        <v>0.39999999999999997</v>
      </c>
      <c r="V42" s="38" t="n">
        <v>452.360847</v>
      </c>
      <c r="W42" s="38"/>
      <c r="X42" s="38"/>
      <c r="Y42" s="38" t="n">
        <v>452.360847</v>
      </c>
      <c r="Z42" s="38" t="str">
        <v>ISSUE82_PROXY_SCENARIO</v>
      </c>
      <c r="AA42" s="38" t="str">
        <v>ASSUMPTION_BLOCKED_PENDING_VALIDATION</v>
      </c>
      <c r="AB42" s="38" t="str">
        <v>NOT_APPROVED_FOR_MENU</v>
      </c>
      <c r="AC42" s="38" t="str">
        <v>Planning scenario, not approved project price; tax, commission and quoted packaging remain excluded/blocked</v>
      </c>
      <c r="AD42" s="38" t="n">
        <v>0.4</v>
      </c>
      <c r="AE42" s="38" t="n">
        <v>1</v>
      </c>
      <c r="AF42" s="38" t="n">
        <v>301.573898</v>
      </c>
      <c r="AG42" s="38" t="n">
        <v>753.934745</v>
      </c>
      <c r="AH42" s="38" t="n">
        <v>452.360847</v>
      </c>
      <c r="AI42" s="38" t="str">
        <v>SOURCE_ALREADY_ONE_SALE_UNIT</v>
      </c>
      <c r="AJ42" s="38" t="str">
        <v>MODEL_ASSUMPTION_ZERO_NOT_QUOTED_NOT_EVIDENCE</v>
      </c>
      <c r="AK42" s="38" t="str">
        <v>food_cost=kitchen_cogs/price; gross_margin_before_channel_costs=price-kitchen_cogs; contribution=price-complete_direct_cogs-tax-commission</v>
      </c>
      <c r="AL42" s="39" t="str">
        <v>ISS80-S02-CHANNEL-V1</v>
      </c>
      <c r="AM42" s="44" t="n">
        <f>IFERROR(O42/S42,"")</f>
        <v>0.39999999999999997</v>
      </c>
      <c r="AN42" s="43" t="n">
        <f>IF(OR(S42="",O42=""),"", S42-O42)</f>
        <v>452.36084700000004</v>
      </c>
    </row>
    <row r="43">
      <c r="A43" s="37" t="str">
        <v>CH-VKM-009-039</v>
      </c>
      <c r="B43" s="38" t="str">
        <v>VKM-009</v>
      </c>
      <c r="C43" s="38" t="str">
        <v>Гостиничные ужины</v>
      </c>
      <c r="D43" s="38" t="str">
        <v>ISSUE82_RC2_PROXY_CHANNEL_SCENARIO</v>
      </c>
      <c r="E43" s="38" t="str">
        <v>71516bf871fa560e890ce5bc7f858854a5335ae2</v>
      </c>
      <c r="F43" s="38" t="str">
        <v>docs/07-operations/issue-82/PROVISIONAL_PROXY_SCENARIO_CHANNEL_PRICING.csv</v>
      </c>
      <c r="G43" s="38" t="str">
        <v>VKM-009|Гостиничные ужины</v>
      </c>
      <c r="H43" s="38"/>
      <c r="I43" s="38"/>
      <c r="J43" s="38"/>
      <c r="K43" s="38"/>
      <c r="L43" s="38"/>
      <c r="M43" s="38"/>
      <c r="N43" s="38"/>
      <c r="O43" s="38" t="n">
        <v>301.573898</v>
      </c>
      <c r="P43" s="38" t="n">
        <v>0</v>
      </c>
      <c r="Q43" s="38"/>
      <c r="R43" s="38" t="n">
        <v>301.573898</v>
      </c>
      <c r="S43" s="38" t="n">
        <v>1005.246326</v>
      </c>
      <c r="T43" s="38" t="n">
        <v>0.3</v>
      </c>
      <c r="U43" s="38" t="n">
        <v>0.30000000019895623</v>
      </c>
      <c r="V43" s="38" t="n">
        <v>703.672428</v>
      </c>
      <c r="W43" s="38"/>
      <c r="X43" s="38"/>
      <c r="Y43" s="38" t="n">
        <v>703.672428</v>
      </c>
      <c r="Z43" s="38" t="str">
        <v>ISSUE82_PROXY_SCENARIO</v>
      </c>
      <c r="AA43" s="38" t="str">
        <v>ASSUMPTION_BLOCKED_PENDING_VALIDATION</v>
      </c>
      <c r="AB43" s="38" t="str">
        <v>NOT_APPROVED_FOR_MENU</v>
      </c>
      <c r="AC43" s="38" t="str">
        <v>Planning scenario, not approved project price; tax, commission and quoted packaging remain excluded/blocked</v>
      </c>
      <c r="AD43" s="38" t="n">
        <v>0.3</v>
      </c>
      <c r="AE43" s="38" t="n">
        <v>1</v>
      </c>
      <c r="AF43" s="38" t="n">
        <v>301.573898</v>
      </c>
      <c r="AG43" s="38" t="n">
        <v>1005.246326</v>
      </c>
      <c r="AH43" s="38" t="n">
        <v>703.672428</v>
      </c>
      <c r="AI43" s="38" t="str">
        <v>SOURCE_ALREADY_ONE_SALE_UNIT</v>
      </c>
      <c r="AJ43" s="38" t="str">
        <v>MODEL_ASSUMPTION_ZERO_NOT_QUOTED_NOT_EVIDENCE</v>
      </c>
      <c r="AK43" s="38" t="str">
        <v>food_cost=kitchen_cogs/price; gross_margin_before_channel_costs=price-kitchen_cogs; contribution=price-complete_direct_cogs-tax-commission</v>
      </c>
      <c r="AL43" s="39" t="str">
        <v>ISS80-S02-CHANNEL-V1</v>
      </c>
      <c r="AM43" s="44" t="n">
        <f>IFERROR(O43/S43,"")</f>
        <v>0.30000000019895623</v>
      </c>
      <c r="AN43" s="43" t="n">
        <f>IF(OR(S43="",O43=""),"", S43-O43)</f>
        <v>703.672428</v>
      </c>
    </row>
    <row r="44">
      <c r="A44" s="37" t="str">
        <v>CH-VKM-009-040</v>
      </c>
      <c r="B44" s="38" t="str">
        <v>VKM-009</v>
      </c>
      <c r="C44" s="38" t="str">
        <v>Доставка</v>
      </c>
      <c r="D44" s="38" t="str">
        <v>ISSUE82_RC2_PROXY_CHANNEL_SCENARIO</v>
      </c>
      <c r="E44" s="38" t="str">
        <v>71516bf871fa560e890ce5bc7f858854a5335ae2</v>
      </c>
      <c r="F44" s="38" t="str">
        <v>docs/07-operations/issue-82/PROVISIONAL_PROXY_SCENARIO_CHANNEL_PRICING.csv</v>
      </c>
      <c r="G44" s="38" t="str">
        <v>VKM-009|Доставка</v>
      </c>
      <c r="H44" s="38"/>
      <c r="I44" s="38"/>
      <c r="J44" s="38"/>
      <c r="K44" s="38"/>
      <c r="L44" s="38"/>
      <c r="M44" s="38"/>
      <c r="N44" s="38"/>
      <c r="O44" s="38" t="n">
        <v>301.573898</v>
      </c>
      <c r="P44" s="38" t="n">
        <v>65</v>
      </c>
      <c r="Q44" s="38"/>
      <c r="R44" s="38" t="n">
        <v>366.573898</v>
      </c>
      <c r="S44" s="38" t="n">
        <v>1221.912993</v>
      </c>
      <c r="T44" s="38" t="n">
        <v>0.3</v>
      </c>
      <c r="U44" s="38" t="n">
        <v>0.2468047231903033</v>
      </c>
      <c r="V44" s="38" t="n">
        <v>920.339095</v>
      </c>
      <c r="W44" s="38"/>
      <c r="X44" s="38"/>
      <c r="Y44" s="38" t="n">
        <v>855.339095</v>
      </c>
      <c r="Z44" s="38" t="str">
        <v>ISSUE82_PROXY_SCENARIO</v>
      </c>
      <c r="AA44" s="38" t="str">
        <v>ASSUMPTION_BLOCKED_PENDING_VALIDATION</v>
      </c>
      <c r="AB44" s="38" t="str">
        <v>NOT_APPROVED_FOR_MENU</v>
      </c>
      <c r="AC44" s="38" t="str">
        <v>Planning scenario, not approved project price; tax, commission and quoted packaging remain excluded/blocked</v>
      </c>
      <c r="AD44" s="38" t="n">
        <v>0.246805</v>
      </c>
      <c r="AE44" s="38" t="n">
        <v>1</v>
      </c>
      <c r="AF44" s="38" t="n">
        <v>366.573898</v>
      </c>
      <c r="AG44" s="38" t="n">
        <v>1221.912993</v>
      </c>
      <c r="AH44" s="38" t="n">
        <v>920.339095</v>
      </c>
      <c r="AI44" s="38" t="str">
        <v>SOURCE_ALREADY_ONE_SALE_UNIT</v>
      </c>
      <c r="AJ44" s="38" t="str">
        <v>SOURCE_VALUE</v>
      </c>
      <c r="AK44" s="38" t="str">
        <v>food_cost=kitchen_cogs/price; gross_margin_before_channel_costs=price-kitchen_cogs; contribution=price-complete_direct_cogs-tax-commission</v>
      </c>
      <c r="AL44" s="39" t="str">
        <v>ISS80-S02-CHANNEL-V1</v>
      </c>
      <c r="AM44" s="44" t="n">
        <f>IFERROR(O44/S44,"")</f>
        <v>0.2468047231903033</v>
      </c>
      <c r="AN44" s="43" t="n">
        <f>IF(OR(S44="",O44=""),"", S44-O44)</f>
        <v>920.3390949999999</v>
      </c>
    </row>
    <row r="45">
      <c r="A45" s="37" t="str">
        <v>CH-VKM-010-041</v>
      </c>
      <c r="B45" s="38" t="str">
        <v>VKM-010</v>
      </c>
      <c r="C45" s="38" t="str">
        <v>À la carte</v>
      </c>
      <c r="D45" s="38" t="str">
        <v>ISSUE82_RC2_PROXY_CHANNEL_SCENARIO</v>
      </c>
      <c r="E45" s="38" t="str">
        <v>71516bf871fa560e890ce5bc7f858854a5335ae2</v>
      </c>
      <c r="F45" s="38" t="str">
        <v>docs/07-operations/issue-82/PROVISIONAL_PROXY_SCENARIO_CHANNEL_PRICING.csv</v>
      </c>
      <c r="G45" s="38" t="str">
        <v>VKM-010|À la carte</v>
      </c>
      <c r="H45" s="38"/>
      <c r="I45" s="38"/>
      <c r="J45" s="38"/>
      <c r="K45" s="38"/>
      <c r="L45" s="38"/>
      <c r="M45" s="38"/>
      <c r="N45" s="38"/>
      <c r="O45" s="38" t="n">
        <v>339.689098</v>
      </c>
      <c r="P45" s="38" t="n">
        <v>0</v>
      </c>
      <c r="Q45" s="38"/>
      <c r="R45" s="38" t="n">
        <v>339.689098</v>
      </c>
      <c r="S45" s="38" t="n">
        <v>1132.296994</v>
      </c>
      <c r="T45" s="38" t="n">
        <v>0.3</v>
      </c>
      <c r="U45" s="38" t="n">
        <v>0.2999999998233679</v>
      </c>
      <c r="V45" s="38" t="n">
        <v>792.607896</v>
      </c>
      <c r="W45" s="38"/>
      <c r="X45" s="38"/>
      <c r="Y45" s="38" t="n">
        <v>792.607896</v>
      </c>
      <c r="Z45" s="38" t="str">
        <v>ISSUE82_PROXY_SCENARIO</v>
      </c>
      <c r="AA45" s="38" t="str">
        <v>ASSUMPTION_BLOCKED_PENDING_VALIDATION</v>
      </c>
      <c r="AB45" s="38" t="str">
        <v>NOT_APPROVED_FOR_MENU</v>
      </c>
      <c r="AC45" s="38" t="str">
        <v>Planning scenario, not approved project price; tax, commission and quoted packaging remain excluded/blocked</v>
      </c>
      <c r="AD45" s="38" t="n">
        <v>0.3</v>
      </c>
      <c r="AE45" s="38" t="n">
        <v>1</v>
      </c>
      <c r="AF45" s="38" t="n">
        <v>339.689098</v>
      </c>
      <c r="AG45" s="38" t="n">
        <v>1132.296994</v>
      </c>
      <c r="AH45" s="38" t="n">
        <v>792.607896</v>
      </c>
      <c r="AI45" s="38" t="str">
        <v>SOURCE_ALREADY_ONE_SALE_UNIT</v>
      </c>
      <c r="AJ45" s="38" t="str">
        <v>MODEL_ASSUMPTION_ZERO_NOT_QUOTED_NOT_EVIDENCE</v>
      </c>
      <c r="AK45" s="38" t="str">
        <v>food_cost=kitchen_cogs/price; gross_margin_before_channel_costs=price-kitchen_cogs; contribution=price-complete_direct_cogs-tax-commission</v>
      </c>
      <c r="AL45" s="39" t="str">
        <v>ISS80-S02-CHANNEL-V1</v>
      </c>
      <c r="AM45" s="44" t="n">
        <f>IFERROR(O45/S45,"")</f>
        <v>0.2999999998233679</v>
      </c>
      <c r="AN45" s="43" t="n">
        <f>IF(OR(S45="",O45=""),"", S45-O45)</f>
        <v>792.607896</v>
      </c>
    </row>
    <row r="46">
      <c r="A46" s="37" t="str">
        <v>CH-VKM-010-042</v>
      </c>
      <c r="B46" s="38" t="str">
        <v>VKM-010</v>
      </c>
      <c r="C46" s="38" t="str">
        <v>Бизнес-ланч</v>
      </c>
      <c r="D46" s="38" t="str">
        <v>ISSUE82_RC2_PROXY_CHANNEL_SCENARIO</v>
      </c>
      <c r="E46" s="38" t="str">
        <v>71516bf871fa560e890ce5bc7f858854a5335ae2</v>
      </c>
      <c r="F46" s="38" t="str">
        <v>docs/07-operations/issue-82/PROVISIONAL_PROXY_SCENARIO_CHANNEL_PRICING.csv</v>
      </c>
      <c r="G46" s="38" t="str">
        <v>VKM-010|Бизнес-ланч</v>
      </c>
      <c r="H46" s="38"/>
      <c r="I46" s="38"/>
      <c r="J46" s="38"/>
      <c r="K46" s="38"/>
      <c r="L46" s="38"/>
      <c r="M46" s="38"/>
      <c r="N46" s="38"/>
      <c r="O46" s="38" t="n">
        <v>339.689098</v>
      </c>
      <c r="P46" s="38" t="n">
        <v>0</v>
      </c>
      <c r="Q46" s="38"/>
      <c r="R46" s="38" t="n">
        <v>339.689098</v>
      </c>
      <c r="S46" s="38" t="n">
        <v>849.222745</v>
      </c>
      <c r="T46" s="38" t="n">
        <v>0.4</v>
      </c>
      <c r="U46" s="38" t="n">
        <v>0.39999999999999997</v>
      </c>
      <c r="V46" s="38" t="n">
        <v>509.533647</v>
      </c>
      <c r="W46" s="38"/>
      <c r="X46" s="38"/>
      <c r="Y46" s="38" t="n">
        <v>509.533647</v>
      </c>
      <c r="Z46" s="38" t="str">
        <v>ISSUE82_PROXY_SCENARIO</v>
      </c>
      <c r="AA46" s="38" t="str">
        <v>ASSUMPTION_BLOCKED_PENDING_VALIDATION</v>
      </c>
      <c r="AB46" s="38" t="str">
        <v>NOT_APPROVED_FOR_MENU</v>
      </c>
      <c r="AC46" s="38" t="str">
        <v>Planning scenario, not approved project price; tax, commission and quoted packaging remain excluded/blocked</v>
      </c>
      <c r="AD46" s="38" t="n">
        <v>0.4</v>
      </c>
      <c r="AE46" s="38" t="n">
        <v>1</v>
      </c>
      <c r="AF46" s="38" t="n">
        <v>339.689098</v>
      </c>
      <c r="AG46" s="38" t="n">
        <v>849.222745</v>
      </c>
      <c r="AH46" s="38" t="n">
        <v>509.533647</v>
      </c>
      <c r="AI46" s="38" t="str">
        <v>SOURCE_ALREADY_ONE_SALE_UNIT</v>
      </c>
      <c r="AJ46" s="38" t="str">
        <v>MODEL_ASSUMPTION_ZERO_NOT_QUOTED_NOT_EVIDENCE</v>
      </c>
      <c r="AK46" s="38" t="str">
        <v>food_cost=kitchen_cogs/price; gross_margin_before_channel_costs=price-kitchen_cogs; contribution=price-complete_direct_cogs-tax-commission</v>
      </c>
      <c r="AL46" s="39" t="str">
        <v>ISS80-S02-CHANNEL-V1</v>
      </c>
      <c r="AM46" s="44" t="n">
        <f>IFERROR(O46/S46,"")</f>
        <v>0.39999999999999997</v>
      </c>
      <c r="AN46" s="43" t="n">
        <f>IF(OR(S46="",O46=""),"", S46-O46)</f>
        <v>509.53364700000003</v>
      </c>
    </row>
    <row r="47">
      <c r="A47" s="37" t="str">
        <v>CH-VKM-010-043</v>
      </c>
      <c r="B47" s="38" t="str">
        <v>VKM-010</v>
      </c>
      <c r="C47" s="38" t="str">
        <v>Гостиничные ужины</v>
      </c>
      <c r="D47" s="38" t="str">
        <v>ISSUE82_RC2_PROXY_CHANNEL_SCENARIO</v>
      </c>
      <c r="E47" s="38" t="str">
        <v>71516bf871fa560e890ce5bc7f858854a5335ae2</v>
      </c>
      <c r="F47" s="38" t="str">
        <v>docs/07-operations/issue-82/PROVISIONAL_PROXY_SCENARIO_CHANNEL_PRICING.csv</v>
      </c>
      <c r="G47" s="38" t="str">
        <v>VKM-010|Гостиничные ужины</v>
      </c>
      <c r="H47" s="38"/>
      <c r="I47" s="38"/>
      <c r="J47" s="38"/>
      <c r="K47" s="38"/>
      <c r="L47" s="38"/>
      <c r="M47" s="38"/>
      <c r="N47" s="38"/>
      <c r="O47" s="38" t="n">
        <v>339.689098</v>
      </c>
      <c r="P47" s="38" t="n">
        <v>0</v>
      </c>
      <c r="Q47" s="38"/>
      <c r="R47" s="38" t="n">
        <v>339.689098</v>
      </c>
      <c r="S47" s="38" t="n">
        <v>1132.296994</v>
      </c>
      <c r="T47" s="38" t="n">
        <v>0.3</v>
      </c>
      <c r="U47" s="38" t="n">
        <v>0.2999999998233679</v>
      </c>
      <c r="V47" s="38" t="n">
        <v>792.607896</v>
      </c>
      <c r="W47" s="38"/>
      <c r="X47" s="38"/>
      <c r="Y47" s="38" t="n">
        <v>792.607896</v>
      </c>
      <c r="Z47" s="38" t="str">
        <v>ISSUE82_PROXY_SCENARIO</v>
      </c>
      <c r="AA47" s="38" t="str">
        <v>ASSUMPTION_BLOCKED_PENDING_VALIDATION</v>
      </c>
      <c r="AB47" s="38" t="str">
        <v>NOT_APPROVED_FOR_MENU</v>
      </c>
      <c r="AC47" s="38" t="str">
        <v>Planning scenario, not approved project price; tax, commission and quoted packaging remain excluded/blocked</v>
      </c>
      <c r="AD47" s="38" t="n">
        <v>0.3</v>
      </c>
      <c r="AE47" s="38" t="n">
        <v>1</v>
      </c>
      <c r="AF47" s="38" t="n">
        <v>339.689098</v>
      </c>
      <c r="AG47" s="38" t="n">
        <v>1132.296994</v>
      </c>
      <c r="AH47" s="38" t="n">
        <v>792.607896</v>
      </c>
      <c r="AI47" s="38" t="str">
        <v>SOURCE_ALREADY_ONE_SALE_UNIT</v>
      </c>
      <c r="AJ47" s="38" t="str">
        <v>MODEL_ASSUMPTION_ZERO_NOT_QUOTED_NOT_EVIDENCE</v>
      </c>
      <c r="AK47" s="38" t="str">
        <v>food_cost=kitchen_cogs/price; gross_margin_before_channel_costs=price-kitchen_cogs; contribution=price-complete_direct_cogs-tax-commission</v>
      </c>
      <c r="AL47" s="39" t="str">
        <v>ISS80-S02-CHANNEL-V1</v>
      </c>
      <c r="AM47" s="44" t="n">
        <f>IFERROR(O47/S47,"")</f>
        <v>0.2999999998233679</v>
      </c>
      <c r="AN47" s="43" t="n">
        <f>IF(OR(S47="",O47=""),"", S47-O47)</f>
        <v>792.607896</v>
      </c>
    </row>
    <row r="48">
      <c r="A48" s="37" t="str">
        <v>CH-VKM-010-044</v>
      </c>
      <c r="B48" s="38" t="str">
        <v>VKM-010</v>
      </c>
      <c r="C48" s="38" t="str">
        <v>Доставка</v>
      </c>
      <c r="D48" s="38" t="str">
        <v>ISSUE82_RC2_PROXY_CHANNEL_SCENARIO</v>
      </c>
      <c r="E48" s="38" t="str">
        <v>71516bf871fa560e890ce5bc7f858854a5335ae2</v>
      </c>
      <c r="F48" s="38" t="str">
        <v>docs/07-operations/issue-82/PROVISIONAL_PROXY_SCENARIO_CHANNEL_PRICING.csv</v>
      </c>
      <c r="G48" s="38" t="str">
        <v>VKM-010|Доставка</v>
      </c>
      <c r="H48" s="38"/>
      <c r="I48" s="38"/>
      <c r="J48" s="38"/>
      <c r="K48" s="38"/>
      <c r="L48" s="38"/>
      <c r="M48" s="38"/>
      <c r="N48" s="38"/>
      <c r="O48" s="38" t="n">
        <v>339.689098</v>
      </c>
      <c r="P48" s="38" t="n">
        <v>65</v>
      </c>
      <c r="Q48" s="38"/>
      <c r="R48" s="38" t="n">
        <v>404.689098</v>
      </c>
      <c r="S48" s="38" t="n">
        <v>1348.963661</v>
      </c>
      <c r="T48" s="38" t="n">
        <v>0.3</v>
      </c>
      <c r="U48" s="38" t="n">
        <v>0.2518148618978996</v>
      </c>
      <c r="V48" s="38" t="n">
        <v>1009.274562</v>
      </c>
      <c r="W48" s="38"/>
      <c r="X48" s="38"/>
      <c r="Y48" s="38" t="n">
        <v>944.274562</v>
      </c>
      <c r="Z48" s="38" t="str">
        <v>ISSUE82_PROXY_SCENARIO</v>
      </c>
      <c r="AA48" s="38" t="str">
        <v>ASSUMPTION_BLOCKED_PENDING_VALIDATION</v>
      </c>
      <c r="AB48" s="38" t="str">
        <v>NOT_APPROVED_FOR_MENU</v>
      </c>
      <c r="AC48" s="38" t="str">
        <v>Planning scenario, not approved project price; tax, commission and quoted packaging remain excluded/blocked</v>
      </c>
      <c r="AD48" s="38" t="n">
        <v>0.251815</v>
      </c>
      <c r="AE48" s="38" t="n">
        <v>1</v>
      </c>
      <c r="AF48" s="38" t="n">
        <v>404.689098</v>
      </c>
      <c r="AG48" s="38" t="n">
        <v>1348.963661</v>
      </c>
      <c r="AH48" s="38" t="n">
        <v>1009.274562</v>
      </c>
      <c r="AI48" s="38" t="str">
        <v>SOURCE_ALREADY_ONE_SALE_UNIT</v>
      </c>
      <c r="AJ48" s="38" t="str">
        <v>SOURCE_VALUE</v>
      </c>
      <c r="AK48" s="38" t="str">
        <v>food_cost=kitchen_cogs/price; gross_margin_before_channel_costs=price-kitchen_cogs; contribution=price-complete_direct_cogs-tax-commission</v>
      </c>
      <c r="AL48" s="39" t="str">
        <v>ISS80-S02-CHANNEL-V1</v>
      </c>
      <c r="AM48" s="44" t="n">
        <f>IFERROR(O48/S48,"")</f>
        <v>0.2518148618978996</v>
      </c>
      <c r="AN48" s="43" t="n">
        <f>IF(OR(S48="",O48=""),"", S48-O48)</f>
        <v>1009.274563</v>
      </c>
    </row>
    <row r="49">
      <c r="A49" s="37" t="str">
        <v>CH-VKM-011-045</v>
      </c>
      <c r="B49" s="38" t="str">
        <v>VKM-011</v>
      </c>
      <c r="C49" s="38" t="str">
        <v>À la carte</v>
      </c>
      <c r="D49" s="38" t="str">
        <v>ISSUE82_RC2_PROXY_CHANNEL_SCENARIO</v>
      </c>
      <c r="E49" s="38" t="str">
        <v>71516bf871fa560e890ce5bc7f858854a5335ae2</v>
      </c>
      <c r="F49" s="38" t="str">
        <v>docs/07-operations/issue-82/PROVISIONAL_PROXY_SCENARIO_CHANNEL_PRICING.csv</v>
      </c>
      <c r="G49" s="38" t="str">
        <v>VKM-011|À la carte</v>
      </c>
      <c r="H49" s="38"/>
      <c r="I49" s="38"/>
      <c r="J49" s="38"/>
      <c r="K49" s="38"/>
      <c r="L49" s="38"/>
      <c r="M49" s="38"/>
      <c r="N49" s="38"/>
      <c r="O49" s="38" t="n">
        <v>130.834175</v>
      </c>
      <c r="P49" s="38" t="n">
        <v>0</v>
      </c>
      <c r="Q49" s="38"/>
      <c r="R49" s="38" t="n">
        <v>130.834175</v>
      </c>
      <c r="S49" s="38" t="n">
        <v>436.113915</v>
      </c>
      <c r="T49" s="38" t="n">
        <v>0.3</v>
      </c>
      <c r="U49" s="38" t="n">
        <v>0.3000000011464894</v>
      </c>
      <c r="V49" s="38" t="n">
        <v>305.279741</v>
      </c>
      <c r="W49" s="38"/>
      <c r="X49" s="38"/>
      <c r="Y49" s="38" t="n">
        <v>305.279741</v>
      </c>
      <c r="Z49" s="38" t="str">
        <v>ISSUE82_PROXY_SCENARIO</v>
      </c>
      <c r="AA49" s="38" t="str">
        <v>ASSUMPTION_BLOCKED_PENDING_VALIDATION</v>
      </c>
      <c r="AB49" s="38" t="str">
        <v>NOT_APPROVED_FOR_MENU</v>
      </c>
      <c r="AC49" s="38" t="str">
        <v>Planning scenario, not approved project price; tax, commission and quoted packaging remain excluded/blocked</v>
      </c>
      <c r="AD49" s="38" t="n">
        <v>0.3</v>
      </c>
      <c r="AE49" s="38" t="n">
        <v>1</v>
      </c>
      <c r="AF49" s="38" t="n">
        <v>130.834175</v>
      </c>
      <c r="AG49" s="38" t="n">
        <v>436.113915</v>
      </c>
      <c r="AH49" s="38" t="n">
        <v>305.279741</v>
      </c>
      <c r="AI49" s="38" t="str">
        <v>SOURCE_ALREADY_ONE_SALE_UNIT</v>
      </c>
      <c r="AJ49" s="38" t="str">
        <v>MODEL_ASSUMPTION_ZERO_NOT_QUOTED_NOT_EVIDENCE</v>
      </c>
      <c r="AK49" s="38" t="str">
        <v>food_cost=kitchen_cogs/price; gross_margin_before_channel_costs=price-kitchen_cogs; contribution=price-complete_direct_cogs-tax-commission</v>
      </c>
      <c r="AL49" s="39" t="str">
        <v>ISS80-S02-CHANNEL-V1</v>
      </c>
      <c r="AM49" s="44" t="n">
        <f>IFERROR(O49/S49,"")</f>
        <v>0.3000000011464894</v>
      </c>
      <c r="AN49" s="43" t="n">
        <f>IF(OR(S49="",O49=""),"", S49-O49)</f>
        <v>305.27974000000006</v>
      </c>
    </row>
    <row r="50">
      <c r="A50" s="37" t="str">
        <v>CH-VKM-011-046</v>
      </c>
      <c r="B50" s="38" t="str">
        <v>VKM-011</v>
      </c>
      <c r="C50" s="38" t="str">
        <v>Бизнес-ланч</v>
      </c>
      <c r="D50" s="38" t="str">
        <v>ISSUE82_RC2_PROXY_CHANNEL_SCENARIO</v>
      </c>
      <c r="E50" s="38" t="str">
        <v>71516bf871fa560e890ce5bc7f858854a5335ae2</v>
      </c>
      <c r="F50" s="38" t="str">
        <v>docs/07-operations/issue-82/PROVISIONAL_PROXY_SCENARIO_CHANNEL_PRICING.csv</v>
      </c>
      <c r="G50" s="38" t="str">
        <v>VKM-011|Бизнес-ланч</v>
      </c>
      <c r="H50" s="38"/>
      <c r="I50" s="38"/>
      <c r="J50" s="38"/>
      <c r="K50" s="38"/>
      <c r="L50" s="38"/>
      <c r="M50" s="38"/>
      <c r="N50" s="38"/>
      <c r="O50" s="38" t="n">
        <v>130.834175</v>
      </c>
      <c r="P50" s="38" t="n">
        <v>0</v>
      </c>
      <c r="Q50" s="38"/>
      <c r="R50" s="38" t="n">
        <v>130.834175</v>
      </c>
      <c r="S50" s="38" t="n">
        <v>327.085436</v>
      </c>
      <c r="T50" s="38" t="n">
        <v>0.4</v>
      </c>
      <c r="U50" s="38" t="n">
        <v>0.40000000183438306</v>
      </c>
      <c r="V50" s="38" t="n">
        <v>196.251262</v>
      </c>
      <c r="W50" s="38"/>
      <c r="X50" s="38"/>
      <c r="Y50" s="38" t="n">
        <v>196.251262</v>
      </c>
      <c r="Z50" s="38" t="str">
        <v>ISSUE82_PROXY_SCENARIO</v>
      </c>
      <c r="AA50" s="38" t="str">
        <v>ASSUMPTION_BLOCKED_PENDING_VALIDATION</v>
      </c>
      <c r="AB50" s="38" t="str">
        <v>NOT_APPROVED_FOR_MENU</v>
      </c>
      <c r="AC50" s="38" t="str">
        <v>Planning scenario, not approved project price; tax, commission and quoted packaging remain excluded/blocked</v>
      </c>
      <c r="AD50" s="38" t="n">
        <v>0.4</v>
      </c>
      <c r="AE50" s="38" t="n">
        <v>1</v>
      </c>
      <c r="AF50" s="38" t="n">
        <v>130.834175</v>
      </c>
      <c r="AG50" s="38" t="n">
        <v>327.085436</v>
      </c>
      <c r="AH50" s="38" t="n">
        <v>196.251262</v>
      </c>
      <c r="AI50" s="38" t="str">
        <v>SOURCE_ALREADY_ONE_SALE_UNIT</v>
      </c>
      <c r="AJ50" s="38" t="str">
        <v>MODEL_ASSUMPTION_ZERO_NOT_QUOTED_NOT_EVIDENCE</v>
      </c>
      <c r="AK50" s="38" t="str">
        <v>food_cost=kitchen_cogs/price; gross_margin_before_channel_costs=price-kitchen_cogs; contribution=price-complete_direct_cogs-tax-commission</v>
      </c>
      <c r="AL50" s="39" t="str">
        <v>ISS80-S02-CHANNEL-V1</v>
      </c>
      <c r="AM50" s="44" t="n">
        <f>IFERROR(O50/S50,"")</f>
        <v>0.40000000183438306</v>
      </c>
      <c r="AN50" s="43" t="n">
        <f>IF(OR(S50="",O50=""),"", S50-O50)</f>
        <v>196.25126100000003</v>
      </c>
    </row>
    <row r="51">
      <c r="A51" s="37" t="str">
        <v>CH-VKM-011-047</v>
      </c>
      <c r="B51" s="38" t="str">
        <v>VKM-011</v>
      </c>
      <c r="C51" s="38" t="str">
        <v>Гостиничные ужины</v>
      </c>
      <c r="D51" s="38" t="str">
        <v>ISSUE82_RC2_PROXY_CHANNEL_SCENARIO</v>
      </c>
      <c r="E51" s="38" t="str">
        <v>71516bf871fa560e890ce5bc7f858854a5335ae2</v>
      </c>
      <c r="F51" s="38" t="str">
        <v>docs/07-operations/issue-82/PROVISIONAL_PROXY_SCENARIO_CHANNEL_PRICING.csv</v>
      </c>
      <c r="G51" s="38" t="str">
        <v>VKM-011|Гостиничные ужины</v>
      </c>
      <c r="H51" s="38"/>
      <c r="I51" s="38"/>
      <c r="J51" s="38"/>
      <c r="K51" s="38"/>
      <c r="L51" s="38"/>
      <c r="M51" s="38"/>
      <c r="N51" s="38"/>
      <c r="O51" s="38" t="n">
        <v>130.834175</v>
      </c>
      <c r="P51" s="38" t="n">
        <v>0</v>
      </c>
      <c r="Q51" s="38"/>
      <c r="R51" s="38" t="n">
        <v>130.834175</v>
      </c>
      <c r="S51" s="38" t="n">
        <v>436.113915</v>
      </c>
      <c r="T51" s="38" t="n">
        <v>0.3</v>
      </c>
      <c r="U51" s="38" t="n">
        <v>0.3000000011464894</v>
      </c>
      <c r="V51" s="38" t="n">
        <v>305.279741</v>
      </c>
      <c r="W51" s="38"/>
      <c r="X51" s="38"/>
      <c r="Y51" s="38" t="n">
        <v>305.279741</v>
      </c>
      <c r="Z51" s="38" t="str">
        <v>ISSUE82_PROXY_SCENARIO</v>
      </c>
      <c r="AA51" s="38" t="str">
        <v>ASSUMPTION_BLOCKED_PENDING_VALIDATION</v>
      </c>
      <c r="AB51" s="38" t="str">
        <v>NOT_APPROVED_FOR_MENU</v>
      </c>
      <c r="AC51" s="38" t="str">
        <v>Planning scenario, not approved project price; tax, commission and quoted packaging remain excluded/blocked</v>
      </c>
      <c r="AD51" s="38" t="n">
        <v>0.3</v>
      </c>
      <c r="AE51" s="38" t="n">
        <v>1</v>
      </c>
      <c r="AF51" s="38" t="n">
        <v>130.834175</v>
      </c>
      <c r="AG51" s="38" t="n">
        <v>436.113915</v>
      </c>
      <c r="AH51" s="38" t="n">
        <v>305.279741</v>
      </c>
      <c r="AI51" s="38" t="str">
        <v>SOURCE_ALREADY_ONE_SALE_UNIT</v>
      </c>
      <c r="AJ51" s="38" t="str">
        <v>MODEL_ASSUMPTION_ZERO_NOT_QUOTED_NOT_EVIDENCE</v>
      </c>
      <c r="AK51" s="38" t="str">
        <v>food_cost=kitchen_cogs/price; gross_margin_before_channel_costs=price-kitchen_cogs; contribution=price-complete_direct_cogs-tax-commission</v>
      </c>
      <c r="AL51" s="39" t="str">
        <v>ISS80-S02-CHANNEL-V1</v>
      </c>
      <c r="AM51" s="44" t="n">
        <f>IFERROR(O51/S51,"")</f>
        <v>0.3000000011464894</v>
      </c>
      <c r="AN51" s="43" t="n">
        <f>IF(OR(S51="",O51=""),"", S51-O51)</f>
        <v>305.27974000000006</v>
      </c>
    </row>
    <row r="52">
      <c r="A52" s="37" t="str">
        <v>CH-VKM-011-048</v>
      </c>
      <c r="B52" s="38" t="str">
        <v>VKM-011</v>
      </c>
      <c r="C52" s="38" t="str">
        <v>Доставка</v>
      </c>
      <c r="D52" s="38" t="str">
        <v>ISSUE82_RC2_PROXY_CHANNEL_SCENARIO</v>
      </c>
      <c r="E52" s="38" t="str">
        <v>71516bf871fa560e890ce5bc7f858854a5335ae2</v>
      </c>
      <c r="F52" s="38" t="str">
        <v>docs/07-operations/issue-82/PROVISIONAL_PROXY_SCENARIO_CHANNEL_PRICING.csv</v>
      </c>
      <c r="G52" s="38" t="str">
        <v>VKM-011|Доставка</v>
      </c>
      <c r="H52" s="38"/>
      <c r="I52" s="38"/>
      <c r="J52" s="38"/>
      <c r="K52" s="38"/>
      <c r="L52" s="38"/>
      <c r="M52" s="38"/>
      <c r="N52" s="38"/>
      <c r="O52" s="38" t="n">
        <v>130.834175</v>
      </c>
      <c r="P52" s="38" t="n">
        <v>65</v>
      </c>
      <c r="Q52" s="38"/>
      <c r="R52" s="38" t="n">
        <v>195.834175</v>
      </c>
      <c r="S52" s="38" t="n">
        <v>652.780582</v>
      </c>
      <c r="T52" s="38" t="n">
        <v>0.3</v>
      </c>
      <c r="U52" s="38" t="n">
        <v>0.2004259602807854</v>
      </c>
      <c r="V52" s="38" t="n">
        <v>521.946407</v>
      </c>
      <c r="W52" s="38"/>
      <c r="X52" s="38"/>
      <c r="Y52" s="38" t="n">
        <v>456.946407</v>
      </c>
      <c r="Z52" s="38" t="str">
        <v>ISSUE82_PROXY_SCENARIO</v>
      </c>
      <c r="AA52" s="38" t="str">
        <v>ASSUMPTION_BLOCKED_PENDING_VALIDATION</v>
      </c>
      <c r="AB52" s="38" t="str">
        <v>NOT_APPROVED_FOR_MENU</v>
      </c>
      <c r="AC52" s="38" t="str">
        <v>Planning scenario, not approved project price; tax, commission and quoted packaging remain excluded/blocked</v>
      </c>
      <c r="AD52" s="38" t="n">
        <v>0.200426</v>
      </c>
      <c r="AE52" s="38" t="n">
        <v>1</v>
      </c>
      <c r="AF52" s="38" t="n">
        <v>195.834175</v>
      </c>
      <c r="AG52" s="38" t="n">
        <v>652.780582</v>
      </c>
      <c r="AH52" s="38" t="n">
        <v>521.946407</v>
      </c>
      <c r="AI52" s="38" t="str">
        <v>SOURCE_ALREADY_ONE_SALE_UNIT</v>
      </c>
      <c r="AJ52" s="38" t="str">
        <v>SOURCE_VALUE</v>
      </c>
      <c r="AK52" s="38" t="str">
        <v>food_cost=kitchen_cogs/price; gross_margin_before_channel_costs=price-kitchen_cogs; contribution=price-complete_direct_cogs-tax-commission</v>
      </c>
      <c r="AL52" s="39" t="str">
        <v>ISS80-S02-CHANNEL-V1</v>
      </c>
      <c r="AM52" s="44" t="n">
        <f>IFERROR(O52/S52,"")</f>
        <v>0.2004259602807854</v>
      </c>
      <c r="AN52" s="43" t="n">
        <f>IF(OR(S52="",O52=""),"", S52-O52)</f>
        <v>521.946407</v>
      </c>
    </row>
    <row r="53">
      <c r="A53" s="37" t="str">
        <v>CH-VKM-012-049</v>
      </c>
      <c r="B53" s="38" t="str">
        <v>VKM-012</v>
      </c>
      <c r="C53" s="38" t="str">
        <v>À la carte</v>
      </c>
      <c r="D53" s="38" t="str">
        <v>ISSUE82_RC2_PROXY_CHANNEL_SCENARIO</v>
      </c>
      <c r="E53" s="38" t="str">
        <v>71516bf871fa560e890ce5bc7f858854a5335ae2</v>
      </c>
      <c r="F53" s="38" t="str">
        <v>docs/07-operations/issue-82/PROVISIONAL_PROXY_SCENARIO_CHANNEL_PRICING.csv</v>
      </c>
      <c r="G53" s="38" t="str">
        <v>VKM-012|À la carte</v>
      </c>
      <c r="H53" s="38"/>
      <c r="I53" s="38"/>
      <c r="J53" s="38"/>
      <c r="K53" s="38"/>
      <c r="L53" s="38"/>
      <c r="M53" s="38"/>
      <c r="N53" s="38"/>
      <c r="O53" s="38" t="n">
        <v>25.584202</v>
      </c>
      <c r="P53" s="38" t="n">
        <v>0</v>
      </c>
      <c r="Q53" s="38"/>
      <c r="R53" s="38" t="n">
        <v>25.584202</v>
      </c>
      <c r="S53" s="38" t="n">
        <v>85.280675</v>
      </c>
      <c r="T53" s="38" t="n">
        <v>0.3</v>
      </c>
      <c r="U53" s="38" t="n">
        <v>0.299999994137007</v>
      </c>
      <c r="V53" s="38" t="n">
        <v>59.696472</v>
      </c>
      <c r="W53" s="38"/>
      <c r="X53" s="38"/>
      <c r="Y53" s="38" t="n">
        <v>59.696472</v>
      </c>
      <c r="Z53" s="38" t="str">
        <v>ISSUE82_PROXY_SCENARIO</v>
      </c>
      <c r="AA53" s="38" t="str">
        <v>ASSUMPTION_BLOCKED_PENDING_VALIDATION</v>
      </c>
      <c r="AB53" s="38" t="str">
        <v>NOT_APPROVED_FOR_MENU</v>
      </c>
      <c r="AC53" s="38" t="str">
        <v>Planning scenario, not approved project price; tax, commission and quoted packaging remain excluded/blocked</v>
      </c>
      <c r="AD53" s="38" t="n">
        <v>0.3</v>
      </c>
      <c r="AE53" s="38" t="n">
        <v>1</v>
      </c>
      <c r="AF53" s="38" t="n">
        <v>25.584202</v>
      </c>
      <c r="AG53" s="38" t="n">
        <v>85.280675</v>
      </c>
      <c r="AH53" s="38" t="n">
        <v>59.696472</v>
      </c>
      <c r="AI53" s="38" t="str">
        <v>SOURCE_ALREADY_ONE_SALE_UNIT</v>
      </c>
      <c r="AJ53" s="38" t="str">
        <v>MODEL_ASSUMPTION_ZERO_NOT_QUOTED_NOT_EVIDENCE</v>
      </c>
      <c r="AK53" s="38" t="str">
        <v>food_cost=kitchen_cogs/price; gross_margin_before_channel_costs=price-kitchen_cogs; contribution=price-complete_direct_cogs-tax-commission</v>
      </c>
      <c r="AL53" s="39" t="str">
        <v>ISS80-S02-CHANNEL-V1</v>
      </c>
      <c r="AM53" s="44" t="n">
        <f>IFERROR(O53/S53,"")</f>
        <v>0.299999994137007</v>
      </c>
      <c r="AN53" s="43" t="n">
        <f>IF(OR(S53="",O53=""),"", S53-O53)</f>
        <v>59.696473</v>
      </c>
    </row>
    <row r="54">
      <c r="A54" s="37" t="str">
        <v>CH-VKM-012-050</v>
      </c>
      <c r="B54" s="38" t="str">
        <v>VKM-012</v>
      </c>
      <c r="C54" s="38" t="str">
        <v>Бизнес-ланч</v>
      </c>
      <c r="D54" s="38" t="str">
        <v>ISSUE82_RC2_PROXY_CHANNEL_SCENARIO</v>
      </c>
      <c r="E54" s="38" t="str">
        <v>71516bf871fa560e890ce5bc7f858854a5335ae2</v>
      </c>
      <c r="F54" s="38" t="str">
        <v>docs/07-operations/issue-82/PROVISIONAL_PROXY_SCENARIO_CHANNEL_PRICING.csv</v>
      </c>
      <c r="G54" s="38" t="str">
        <v>VKM-012|Бизнес-ланч</v>
      </c>
      <c r="H54" s="38"/>
      <c r="I54" s="38"/>
      <c r="J54" s="38"/>
      <c r="K54" s="38"/>
      <c r="L54" s="38"/>
      <c r="M54" s="38"/>
      <c r="N54" s="38"/>
      <c r="O54" s="38" t="n">
        <v>25.584202</v>
      </c>
      <c r="P54" s="38" t="n">
        <v>0</v>
      </c>
      <c r="Q54" s="38"/>
      <c r="R54" s="38" t="n">
        <v>25.584202</v>
      </c>
      <c r="S54" s="38" t="n">
        <v>63.960506</v>
      </c>
      <c r="T54" s="38" t="n">
        <v>0.4</v>
      </c>
      <c r="U54" s="38" t="n">
        <v>0.3999999937461408</v>
      </c>
      <c r="V54" s="38" t="n">
        <v>38.376304</v>
      </c>
      <c r="W54" s="38"/>
      <c r="X54" s="38"/>
      <c r="Y54" s="38" t="n">
        <v>38.376304</v>
      </c>
      <c r="Z54" s="38" t="str">
        <v>ISSUE82_PROXY_SCENARIO</v>
      </c>
      <c r="AA54" s="38" t="str">
        <v>ASSUMPTION_BLOCKED_PENDING_VALIDATION</v>
      </c>
      <c r="AB54" s="38" t="str">
        <v>NOT_APPROVED_FOR_MENU</v>
      </c>
      <c r="AC54" s="38" t="str">
        <v>Planning scenario, not approved project price; tax, commission and quoted packaging remain excluded/blocked</v>
      </c>
      <c r="AD54" s="38" t="n">
        <v>0.4</v>
      </c>
      <c r="AE54" s="38" t="n">
        <v>1</v>
      </c>
      <c r="AF54" s="38" t="n">
        <v>25.584202</v>
      </c>
      <c r="AG54" s="38" t="n">
        <v>63.960506</v>
      </c>
      <c r="AH54" s="38" t="n">
        <v>38.376304</v>
      </c>
      <c r="AI54" s="38" t="str">
        <v>SOURCE_ALREADY_ONE_SALE_UNIT</v>
      </c>
      <c r="AJ54" s="38" t="str">
        <v>MODEL_ASSUMPTION_ZERO_NOT_QUOTED_NOT_EVIDENCE</v>
      </c>
      <c r="AK54" s="38" t="str">
        <v>food_cost=kitchen_cogs/price; gross_margin_before_channel_costs=price-kitchen_cogs; contribution=price-complete_direct_cogs-tax-commission</v>
      </c>
      <c r="AL54" s="39" t="str">
        <v>ISS80-S02-CHANNEL-V1</v>
      </c>
      <c r="AM54" s="44" t="n">
        <f>IFERROR(O54/S54,"")</f>
        <v>0.3999999937461408</v>
      </c>
      <c r="AN54" s="43" t="n">
        <f>IF(OR(S54="",O54=""),"", S54-O54)</f>
        <v>38.376304000000005</v>
      </c>
    </row>
    <row r="55">
      <c r="A55" s="37" t="str">
        <v>CH-VKM-012-051</v>
      </c>
      <c r="B55" s="38" t="str">
        <v>VKM-012</v>
      </c>
      <c r="C55" s="38" t="str">
        <v>Гостиничные ужины</v>
      </c>
      <c r="D55" s="38" t="str">
        <v>ISSUE82_RC2_PROXY_CHANNEL_SCENARIO</v>
      </c>
      <c r="E55" s="38" t="str">
        <v>71516bf871fa560e890ce5bc7f858854a5335ae2</v>
      </c>
      <c r="F55" s="38" t="str">
        <v>docs/07-operations/issue-82/PROVISIONAL_PROXY_SCENARIO_CHANNEL_PRICING.csv</v>
      </c>
      <c r="G55" s="38" t="str">
        <v>VKM-012|Гостиничные ужины</v>
      </c>
      <c r="H55" s="38"/>
      <c r="I55" s="38"/>
      <c r="J55" s="38"/>
      <c r="K55" s="38"/>
      <c r="L55" s="38"/>
      <c r="M55" s="38"/>
      <c r="N55" s="38"/>
      <c r="O55" s="38" t="n">
        <v>25.584202</v>
      </c>
      <c r="P55" s="38" t="n">
        <v>0</v>
      </c>
      <c r="Q55" s="38"/>
      <c r="R55" s="38" t="n">
        <v>25.584202</v>
      </c>
      <c r="S55" s="38" t="n">
        <v>85.280675</v>
      </c>
      <c r="T55" s="38" t="n">
        <v>0.3</v>
      </c>
      <c r="U55" s="38" t="n">
        <v>0.299999994137007</v>
      </c>
      <c r="V55" s="38" t="n">
        <v>59.696472</v>
      </c>
      <c r="W55" s="38"/>
      <c r="X55" s="38"/>
      <c r="Y55" s="38" t="n">
        <v>59.696472</v>
      </c>
      <c r="Z55" s="38" t="str">
        <v>ISSUE82_PROXY_SCENARIO</v>
      </c>
      <c r="AA55" s="38" t="str">
        <v>ASSUMPTION_BLOCKED_PENDING_VALIDATION</v>
      </c>
      <c r="AB55" s="38" t="str">
        <v>NOT_APPROVED_FOR_MENU</v>
      </c>
      <c r="AC55" s="38" t="str">
        <v>Planning scenario, not approved project price; tax, commission and quoted packaging remain excluded/blocked</v>
      </c>
      <c r="AD55" s="38" t="n">
        <v>0.3</v>
      </c>
      <c r="AE55" s="38" t="n">
        <v>1</v>
      </c>
      <c r="AF55" s="38" t="n">
        <v>25.584202</v>
      </c>
      <c r="AG55" s="38" t="n">
        <v>85.280675</v>
      </c>
      <c r="AH55" s="38" t="n">
        <v>59.696472</v>
      </c>
      <c r="AI55" s="38" t="str">
        <v>SOURCE_ALREADY_ONE_SALE_UNIT</v>
      </c>
      <c r="AJ55" s="38" t="str">
        <v>MODEL_ASSUMPTION_ZERO_NOT_QUOTED_NOT_EVIDENCE</v>
      </c>
      <c r="AK55" s="38" t="str">
        <v>food_cost=kitchen_cogs/price; gross_margin_before_channel_costs=price-kitchen_cogs; contribution=price-complete_direct_cogs-tax-commission</v>
      </c>
      <c r="AL55" s="39" t="str">
        <v>ISS80-S02-CHANNEL-V1</v>
      </c>
      <c r="AM55" s="44" t="n">
        <f>IFERROR(O55/S55,"")</f>
        <v>0.299999994137007</v>
      </c>
      <c r="AN55" s="43" t="n">
        <f>IF(OR(S55="",O55=""),"", S55-O55)</f>
        <v>59.696473</v>
      </c>
    </row>
    <row r="56">
      <c r="A56" s="37" t="str">
        <v>CH-VKM-012-052</v>
      </c>
      <c r="B56" s="38" t="str">
        <v>VKM-012</v>
      </c>
      <c r="C56" s="38" t="str">
        <v>Доставка</v>
      </c>
      <c r="D56" s="38" t="str">
        <v>ISSUE82_RC2_PROXY_CHANNEL_SCENARIO</v>
      </c>
      <c r="E56" s="38" t="str">
        <v>71516bf871fa560e890ce5bc7f858854a5335ae2</v>
      </c>
      <c r="F56" s="38" t="str">
        <v>docs/07-operations/issue-82/PROVISIONAL_PROXY_SCENARIO_CHANNEL_PRICING.csv</v>
      </c>
      <c r="G56" s="38" t="str">
        <v>VKM-012|Доставка</v>
      </c>
      <c r="H56" s="38"/>
      <c r="I56" s="38"/>
      <c r="J56" s="38"/>
      <c r="K56" s="38"/>
      <c r="L56" s="38"/>
      <c r="M56" s="38"/>
      <c r="N56" s="38"/>
      <c r="O56" s="38" t="n">
        <v>25.584202</v>
      </c>
      <c r="P56" s="38" t="n">
        <v>65</v>
      </c>
      <c r="Q56" s="38"/>
      <c r="R56" s="38" t="n">
        <v>90.584202</v>
      </c>
      <c r="S56" s="38" t="n">
        <v>301.947341</v>
      </c>
      <c r="T56" s="38" t="n">
        <v>0.3</v>
      </c>
      <c r="U56" s="38" t="n">
        <v>0.08473067494242316</v>
      </c>
      <c r="V56" s="38" t="n">
        <v>276.363139</v>
      </c>
      <c r="W56" s="38"/>
      <c r="X56" s="38"/>
      <c r="Y56" s="38" t="n">
        <v>211.363139</v>
      </c>
      <c r="Z56" s="38" t="str">
        <v>ISSUE82_PROXY_SCENARIO</v>
      </c>
      <c r="AA56" s="38" t="str">
        <v>ASSUMPTION_BLOCKED_PENDING_VALIDATION</v>
      </c>
      <c r="AB56" s="38" t="str">
        <v>NOT_APPROVED_FOR_MENU</v>
      </c>
      <c r="AC56" s="38" t="str">
        <v>Planning scenario, not approved project price; tax, commission and quoted packaging remain excluded/blocked</v>
      </c>
      <c r="AD56" s="38" t="n">
        <v>0.084731</v>
      </c>
      <c r="AE56" s="38" t="n">
        <v>1</v>
      </c>
      <c r="AF56" s="38" t="n">
        <v>90.584202</v>
      </c>
      <c r="AG56" s="38" t="n">
        <v>301.947341</v>
      </c>
      <c r="AH56" s="38" t="n">
        <v>276.363139</v>
      </c>
      <c r="AI56" s="38" t="str">
        <v>SOURCE_ALREADY_ONE_SALE_UNIT</v>
      </c>
      <c r="AJ56" s="38" t="str">
        <v>SOURCE_VALUE</v>
      </c>
      <c r="AK56" s="38" t="str">
        <v>food_cost=kitchen_cogs/price; gross_margin_before_channel_costs=price-kitchen_cogs; contribution=price-complete_direct_cogs-tax-commission</v>
      </c>
      <c r="AL56" s="39" t="str">
        <v>ISS80-S02-CHANNEL-V1</v>
      </c>
      <c r="AM56" s="44" t="n">
        <f>IFERROR(O56/S56,"")</f>
        <v>0.08473067494242316</v>
      </c>
      <c r="AN56" s="43" t="n">
        <f>IF(OR(S56="",O56=""),"", S56-O56)</f>
        <v>276.363139</v>
      </c>
    </row>
    <row r="57">
      <c r="A57" s="37" t="str">
        <v>CH-VKM-013-053</v>
      </c>
      <c r="B57" s="38" t="str">
        <v>VKM-013</v>
      </c>
      <c r="C57" s="38" t="str">
        <v>À la carte</v>
      </c>
      <c r="D57" s="38" t="str">
        <v>ISSUE82_RC2_PROXY_CHANNEL_SCENARIO</v>
      </c>
      <c r="E57" s="38" t="str">
        <v>71516bf871fa560e890ce5bc7f858854a5335ae2</v>
      </c>
      <c r="F57" s="38" t="str">
        <v>docs/07-operations/issue-82/PROVISIONAL_PROXY_SCENARIO_CHANNEL_PRICING.csv</v>
      </c>
      <c r="G57" s="38" t="str">
        <v>VKM-013|À la carte</v>
      </c>
      <c r="H57" s="38"/>
      <c r="I57" s="38"/>
      <c r="J57" s="38"/>
      <c r="K57" s="38"/>
      <c r="L57" s="38"/>
      <c r="M57" s="38"/>
      <c r="N57" s="38"/>
      <c r="O57" s="38" t="n">
        <v>474.197245</v>
      </c>
      <c r="P57" s="38" t="n">
        <v>0</v>
      </c>
      <c r="Q57" s="38"/>
      <c r="R57" s="38" t="n">
        <v>474.197245</v>
      </c>
      <c r="S57" s="38" t="n">
        <v>1580.657484</v>
      </c>
      <c r="T57" s="38" t="n">
        <v>0.3</v>
      </c>
      <c r="U57" s="38" t="n">
        <v>0.29999999987347037</v>
      </c>
      <c r="V57" s="38" t="n">
        <v>1106.460239</v>
      </c>
      <c r="W57" s="38"/>
      <c r="X57" s="38"/>
      <c r="Y57" s="38" t="n">
        <v>1106.460239</v>
      </c>
      <c r="Z57" s="38" t="str">
        <v>ISSUE82_PROXY_SCENARIO</v>
      </c>
      <c r="AA57" s="38" t="str">
        <v>ASSUMPTION_BLOCKED_PENDING_VALIDATION</v>
      </c>
      <c r="AB57" s="38" t="str">
        <v>NOT_APPROVED_FOR_MENU</v>
      </c>
      <c r="AC57" s="38" t="str">
        <v>Planning scenario, not approved project price; tax, commission and quoted packaging remain excluded/blocked</v>
      </c>
      <c r="AD57" s="38" t="n">
        <v>0.3</v>
      </c>
      <c r="AE57" s="38" t="n">
        <v>1</v>
      </c>
      <c r="AF57" s="38" t="n">
        <v>474.197245</v>
      </c>
      <c r="AG57" s="38" t="n">
        <v>1580.657484</v>
      </c>
      <c r="AH57" s="38" t="n">
        <v>1106.460239</v>
      </c>
      <c r="AI57" s="38" t="str">
        <v>SOURCE_ALREADY_ONE_SALE_UNIT</v>
      </c>
      <c r="AJ57" s="38" t="str">
        <v>MODEL_ASSUMPTION_ZERO_NOT_QUOTED_NOT_EVIDENCE</v>
      </c>
      <c r="AK57" s="38" t="str">
        <v>food_cost=kitchen_cogs/price; gross_margin_before_channel_costs=price-kitchen_cogs; contribution=price-complete_direct_cogs-tax-commission</v>
      </c>
      <c r="AL57" s="39" t="str">
        <v>ISS80-S02-CHANNEL-V1</v>
      </c>
      <c r="AM57" s="44" t="n">
        <f>IFERROR(O57/S57,"")</f>
        <v>0.29999999987347037</v>
      </c>
      <c r="AN57" s="43" t="n">
        <f>IF(OR(S57="",O57=""),"", S57-O57)</f>
        <v>1106.460239</v>
      </c>
    </row>
    <row r="58">
      <c r="A58" s="37" t="str">
        <v>CH-VKM-013-054</v>
      </c>
      <c r="B58" s="38" t="str">
        <v>VKM-013</v>
      </c>
      <c r="C58" s="38" t="str">
        <v>Бизнес-ланч</v>
      </c>
      <c r="D58" s="38" t="str">
        <v>ISSUE82_RC2_PROXY_CHANNEL_SCENARIO</v>
      </c>
      <c r="E58" s="38" t="str">
        <v>71516bf871fa560e890ce5bc7f858854a5335ae2</v>
      </c>
      <c r="F58" s="38" t="str">
        <v>docs/07-operations/issue-82/PROVISIONAL_PROXY_SCENARIO_CHANNEL_PRICING.csv</v>
      </c>
      <c r="G58" s="38" t="str">
        <v>VKM-013|Бизнес-ланч</v>
      </c>
      <c r="H58" s="38"/>
      <c r="I58" s="38"/>
      <c r="J58" s="38"/>
      <c r="K58" s="38"/>
      <c r="L58" s="38"/>
      <c r="M58" s="38"/>
      <c r="N58" s="38"/>
      <c r="O58" s="38" t="n">
        <v>474.197245</v>
      </c>
      <c r="P58" s="38" t="n">
        <v>0</v>
      </c>
      <c r="Q58" s="38"/>
      <c r="R58" s="38" t="n">
        <v>474.197245</v>
      </c>
      <c r="S58" s="38" t="n">
        <v>1185.493113</v>
      </c>
      <c r="T58" s="38" t="n">
        <v>0.4</v>
      </c>
      <c r="U58" s="38" t="n">
        <v>0.39999999983129386</v>
      </c>
      <c r="V58" s="38" t="n">
        <v>711.295868</v>
      </c>
      <c r="W58" s="38"/>
      <c r="X58" s="38"/>
      <c r="Y58" s="38" t="n">
        <v>711.295868</v>
      </c>
      <c r="Z58" s="38" t="str">
        <v>ISSUE82_PROXY_SCENARIO</v>
      </c>
      <c r="AA58" s="38" t="str">
        <v>ASSUMPTION_BLOCKED_PENDING_VALIDATION</v>
      </c>
      <c r="AB58" s="38" t="str">
        <v>NOT_APPROVED_FOR_MENU</v>
      </c>
      <c r="AC58" s="38" t="str">
        <v>Planning scenario, not approved project price; tax, commission and quoted packaging remain excluded/blocked</v>
      </c>
      <c r="AD58" s="38" t="n">
        <v>0.4</v>
      </c>
      <c r="AE58" s="38" t="n">
        <v>1</v>
      </c>
      <c r="AF58" s="38" t="n">
        <v>474.197245</v>
      </c>
      <c r="AG58" s="38" t="n">
        <v>1185.493113</v>
      </c>
      <c r="AH58" s="38" t="n">
        <v>711.295868</v>
      </c>
      <c r="AI58" s="38" t="str">
        <v>SOURCE_ALREADY_ONE_SALE_UNIT</v>
      </c>
      <c r="AJ58" s="38" t="str">
        <v>MODEL_ASSUMPTION_ZERO_NOT_QUOTED_NOT_EVIDENCE</v>
      </c>
      <c r="AK58" s="38" t="str">
        <v>food_cost=kitchen_cogs/price; gross_margin_before_channel_costs=price-kitchen_cogs; contribution=price-complete_direct_cogs-tax-commission</v>
      </c>
      <c r="AL58" s="39" t="str">
        <v>ISS80-S02-CHANNEL-V1</v>
      </c>
      <c r="AM58" s="44" t="n">
        <f>IFERROR(O58/S58,"")</f>
        <v>0.39999999983129386</v>
      </c>
      <c r="AN58" s="43" t="n">
        <f>IF(OR(S58="",O58=""),"", S58-O58)</f>
        <v>711.2958679999999</v>
      </c>
    </row>
    <row r="59">
      <c r="A59" s="37" t="str">
        <v>CH-VKM-013-055</v>
      </c>
      <c r="B59" s="38" t="str">
        <v>VKM-013</v>
      </c>
      <c r="C59" s="38" t="str">
        <v>Гостиничные ужины</v>
      </c>
      <c r="D59" s="38" t="str">
        <v>ISSUE82_RC2_PROXY_CHANNEL_SCENARIO</v>
      </c>
      <c r="E59" s="38" t="str">
        <v>71516bf871fa560e890ce5bc7f858854a5335ae2</v>
      </c>
      <c r="F59" s="38" t="str">
        <v>docs/07-operations/issue-82/PROVISIONAL_PROXY_SCENARIO_CHANNEL_PRICING.csv</v>
      </c>
      <c r="G59" s="38" t="str">
        <v>VKM-013|Гостиничные ужины</v>
      </c>
      <c r="H59" s="38"/>
      <c r="I59" s="38"/>
      <c r="J59" s="38"/>
      <c r="K59" s="38"/>
      <c r="L59" s="38"/>
      <c r="M59" s="38"/>
      <c r="N59" s="38"/>
      <c r="O59" s="38" t="n">
        <v>474.197245</v>
      </c>
      <c r="P59" s="38" t="n">
        <v>0</v>
      </c>
      <c r="Q59" s="38"/>
      <c r="R59" s="38" t="n">
        <v>474.197245</v>
      </c>
      <c r="S59" s="38" t="n">
        <v>1580.657484</v>
      </c>
      <c r="T59" s="38" t="n">
        <v>0.3</v>
      </c>
      <c r="U59" s="38" t="n">
        <v>0.29999999987347037</v>
      </c>
      <c r="V59" s="38" t="n">
        <v>1106.460239</v>
      </c>
      <c r="W59" s="38"/>
      <c r="X59" s="38"/>
      <c r="Y59" s="38" t="n">
        <v>1106.460239</v>
      </c>
      <c r="Z59" s="38" t="str">
        <v>ISSUE82_PROXY_SCENARIO</v>
      </c>
      <c r="AA59" s="38" t="str">
        <v>ASSUMPTION_BLOCKED_PENDING_VALIDATION</v>
      </c>
      <c r="AB59" s="38" t="str">
        <v>NOT_APPROVED_FOR_MENU</v>
      </c>
      <c r="AC59" s="38" t="str">
        <v>Planning scenario, not approved project price; tax, commission and quoted packaging remain excluded/blocked</v>
      </c>
      <c r="AD59" s="38" t="n">
        <v>0.3</v>
      </c>
      <c r="AE59" s="38" t="n">
        <v>1</v>
      </c>
      <c r="AF59" s="38" t="n">
        <v>474.197245</v>
      </c>
      <c r="AG59" s="38" t="n">
        <v>1580.657484</v>
      </c>
      <c r="AH59" s="38" t="n">
        <v>1106.460239</v>
      </c>
      <c r="AI59" s="38" t="str">
        <v>SOURCE_ALREADY_ONE_SALE_UNIT</v>
      </c>
      <c r="AJ59" s="38" t="str">
        <v>MODEL_ASSUMPTION_ZERO_NOT_QUOTED_NOT_EVIDENCE</v>
      </c>
      <c r="AK59" s="38" t="str">
        <v>food_cost=kitchen_cogs/price; gross_margin_before_channel_costs=price-kitchen_cogs; contribution=price-complete_direct_cogs-tax-commission</v>
      </c>
      <c r="AL59" s="39" t="str">
        <v>ISS80-S02-CHANNEL-V1</v>
      </c>
      <c r="AM59" s="44" t="n">
        <f>IFERROR(O59/S59,"")</f>
        <v>0.29999999987347037</v>
      </c>
      <c r="AN59" s="43" t="n">
        <f>IF(OR(S59="",O59=""),"", S59-O59)</f>
        <v>1106.460239</v>
      </c>
    </row>
    <row r="60">
      <c r="A60" s="37" t="str">
        <v>CH-VKM-014-056</v>
      </c>
      <c r="B60" s="38" t="str">
        <v>VKM-014</v>
      </c>
      <c r="C60" s="38" t="str">
        <v>À la carte</v>
      </c>
      <c r="D60" s="38" t="str">
        <v>ISSUE82_RC2_PROXY_CHANNEL_SCENARIO</v>
      </c>
      <c r="E60" s="38" t="str">
        <v>71516bf871fa560e890ce5bc7f858854a5335ae2</v>
      </c>
      <c r="F60" s="38" t="str">
        <v>docs/07-operations/issue-82/PROVISIONAL_PROXY_SCENARIO_CHANNEL_PRICING.csv</v>
      </c>
      <c r="G60" s="38" t="str">
        <v>VKM-014|À la carte</v>
      </c>
      <c r="H60" s="38"/>
      <c r="I60" s="38"/>
      <c r="J60" s="38"/>
      <c r="K60" s="38"/>
      <c r="L60" s="38"/>
      <c r="M60" s="38"/>
      <c r="N60" s="38"/>
      <c r="O60" s="38" t="n">
        <v>89.543901</v>
      </c>
      <c r="P60" s="38" t="n">
        <v>0</v>
      </c>
      <c r="Q60" s="38"/>
      <c r="R60" s="38" t="n">
        <v>89.543901</v>
      </c>
      <c r="S60" s="38" t="n">
        <v>298.47967</v>
      </c>
      <c r="T60" s="38" t="n">
        <v>0.3</v>
      </c>
      <c r="U60" s="38" t="n">
        <v>0.30000000000000004</v>
      </c>
      <c r="V60" s="38" t="n">
        <v>208.935769</v>
      </c>
      <c r="W60" s="38"/>
      <c r="X60" s="38"/>
      <c r="Y60" s="38" t="n">
        <v>208.935769</v>
      </c>
      <c r="Z60" s="38" t="str">
        <v>ISSUE82_PROXY_SCENARIO</v>
      </c>
      <c r="AA60" s="38" t="str">
        <v>ASSUMPTION_BLOCKED_PENDING_VALIDATION</v>
      </c>
      <c r="AB60" s="38" t="str">
        <v>NOT_APPROVED_FOR_MENU</v>
      </c>
      <c r="AC60" s="38" t="str">
        <v>Planning scenario, not approved project price; tax, commission and quoted packaging remain excluded/blocked</v>
      </c>
      <c r="AD60" s="38" t="n">
        <v>0.3</v>
      </c>
      <c r="AE60" s="38" t="n">
        <v>1</v>
      </c>
      <c r="AF60" s="38" t="n">
        <v>89.543901</v>
      </c>
      <c r="AG60" s="38" t="n">
        <v>298.47967</v>
      </c>
      <c r="AH60" s="38" t="n">
        <v>208.935769</v>
      </c>
      <c r="AI60" s="38" t="str">
        <v>SOURCE_ALREADY_ONE_SALE_UNIT</v>
      </c>
      <c r="AJ60" s="38" t="str">
        <v>MODEL_ASSUMPTION_ZERO_NOT_QUOTED_NOT_EVIDENCE</v>
      </c>
      <c r="AK60" s="38" t="str">
        <v>food_cost=kitchen_cogs/price; gross_margin_before_channel_costs=price-kitchen_cogs; contribution=price-complete_direct_cogs-tax-commission</v>
      </c>
      <c r="AL60" s="39" t="str">
        <v>ISS80-S02-CHANNEL-V1</v>
      </c>
      <c r="AM60" s="44" t="n">
        <f>IFERROR(O60/S60,"")</f>
        <v>0.30000000000000004</v>
      </c>
      <c r="AN60" s="43" t="n">
        <f>IF(OR(S60="",O60=""),"", S60-O60)</f>
        <v>208.935769</v>
      </c>
    </row>
    <row r="61">
      <c r="A61" s="37" t="str">
        <v>CH-VKM-014-057</v>
      </c>
      <c r="B61" s="38" t="str">
        <v>VKM-014</v>
      </c>
      <c r="C61" s="38" t="str">
        <v>Бизнес-ланч</v>
      </c>
      <c r="D61" s="38" t="str">
        <v>ISSUE82_RC2_PROXY_CHANNEL_SCENARIO</v>
      </c>
      <c r="E61" s="38" t="str">
        <v>71516bf871fa560e890ce5bc7f858854a5335ae2</v>
      </c>
      <c r="F61" s="38" t="str">
        <v>docs/07-operations/issue-82/PROVISIONAL_PROXY_SCENARIO_CHANNEL_PRICING.csv</v>
      </c>
      <c r="G61" s="38" t="str">
        <v>VKM-014|Бизнес-ланч</v>
      </c>
      <c r="H61" s="38"/>
      <c r="I61" s="38"/>
      <c r="J61" s="38"/>
      <c r="K61" s="38"/>
      <c r="L61" s="38"/>
      <c r="M61" s="38"/>
      <c r="N61" s="38"/>
      <c r="O61" s="38" t="n">
        <v>89.543901</v>
      </c>
      <c r="P61" s="38" t="n">
        <v>0</v>
      </c>
      <c r="Q61" s="38"/>
      <c r="R61" s="38" t="n">
        <v>89.543901</v>
      </c>
      <c r="S61" s="38" t="n">
        <v>223.859752</v>
      </c>
      <c r="T61" s="38" t="n">
        <v>0.4</v>
      </c>
      <c r="U61" s="38" t="n">
        <v>0.4000000008934166</v>
      </c>
      <c r="V61" s="38" t="n">
        <v>134.315851</v>
      </c>
      <c r="W61" s="38"/>
      <c r="X61" s="38"/>
      <c r="Y61" s="38" t="n">
        <v>134.315851</v>
      </c>
      <c r="Z61" s="38" t="str">
        <v>ISSUE82_PROXY_SCENARIO</v>
      </c>
      <c r="AA61" s="38" t="str">
        <v>ASSUMPTION_BLOCKED_PENDING_VALIDATION</v>
      </c>
      <c r="AB61" s="38" t="str">
        <v>NOT_APPROVED_FOR_MENU</v>
      </c>
      <c r="AC61" s="38" t="str">
        <v>Planning scenario, not approved project price; tax, commission and quoted packaging remain excluded/blocked</v>
      </c>
      <c r="AD61" s="38" t="n">
        <v>0.4</v>
      </c>
      <c r="AE61" s="38" t="n">
        <v>1</v>
      </c>
      <c r="AF61" s="38" t="n">
        <v>89.543901</v>
      </c>
      <c r="AG61" s="38" t="n">
        <v>223.859752</v>
      </c>
      <c r="AH61" s="38" t="n">
        <v>134.315851</v>
      </c>
      <c r="AI61" s="38" t="str">
        <v>SOURCE_ALREADY_ONE_SALE_UNIT</v>
      </c>
      <c r="AJ61" s="38" t="str">
        <v>MODEL_ASSUMPTION_ZERO_NOT_QUOTED_NOT_EVIDENCE</v>
      </c>
      <c r="AK61" s="38" t="str">
        <v>food_cost=kitchen_cogs/price; gross_margin_before_channel_costs=price-kitchen_cogs; contribution=price-complete_direct_cogs-tax-commission</v>
      </c>
      <c r="AL61" s="39" t="str">
        <v>ISS80-S02-CHANNEL-V1</v>
      </c>
      <c r="AM61" s="44" t="n">
        <f>IFERROR(O61/S61,"")</f>
        <v>0.4000000008934166</v>
      </c>
      <c r="AN61" s="43" t="n">
        <f>IF(OR(S61="",O61=""),"", S61-O61)</f>
        <v>134.31585099999998</v>
      </c>
    </row>
    <row r="62">
      <c r="A62" s="37" t="str">
        <v>CH-VKM-014-058</v>
      </c>
      <c r="B62" s="38" t="str">
        <v>VKM-014</v>
      </c>
      <c r="C62" s="38" t="str">
        <v>Гостиничные ужины</v>
      </c>
      <c r="D62" s="38" t="str">
        <v>ISSUE82_RC2_PROXY_CHANNEL_SCENARIO</v>
      </c>
      <c r="E62" s="38" t="str">
        <v>71516bf871fa560e890ce5bc7f858854a5335ae2</v>
      </c>
      <c r="F62" s="38" t="str">
        <v>docs/07-operations/issue-82/PROVISIONAL_PROXY_SCENARIO_CHANNEL_PRICING.csv</v>
      </c>
      <c r="G62" s="38" t="str">
        <v>VKM-014|Гостиничные ужины</v>
      </c>
      <c r="H62" s="38"/>
      <c r="I62" s="38"/>
      <c r="J62" s="38"/>
      <c r="K62" s="38"/>
      <c r="L62" s="38"/>
      <c r="M62" s="38"/>
      <c r="N62" s="38"/>
      <c r="O62" s="38" t="n">
        <v>89.543901</v>
      </c>
      <c r="P62" s="38" t="n">
        <v>0</v>
      </c>
      <c r="Q62" s="38"/>
      <c r="R62" s="38" t="n">
        <v>89.543901</v>
      </c>
      <c r="S62" s="38" t="n">
        <v>298.47967</v>
      </c>
      <c r="T62" s="38" t="n">
        <v>0.3</v>
      </c>
      <c r="U62" s="38" t="n">
        <v>0.30000000000000004</v>
      </c>
      <c r="V62" s="38" t="n">
        <v>208.935769</v>
      </c>
      <c r="W62" s="38"/>
      <c r="X62" s="38"/>
      <c r="Y62" s="38" t="n">
        <v>208.935769</v>
      </c>
      <c r="Z62" s="38" t="str">
        <v>ISSUE82_PROXY_SCENARIO</v>
      </c>
      <c r="AA62" s="38" t="str">
        <v>ASSUMPTION_BLOCKED_PENDING_VALIDATION</v>
      </c>
      <c r="AB62" s="38" t="str">
        <v>NOT_APPROVED_FOR_MENU</v>
      </c>
      <c r="AC62" s="38" t="str">
        <v>Planning scenario, not approved project price; tax, commission and quoted packaging remain excluded/blocked</v>
      </c>
      <c r="AD62" s="38" t="n">
        <v>0.3</v>
      </c>
      <c r="AE62" s="38" t="n">
        <v>1</v>
      </c>
      <c r="AF62" s="38" t="n">
        <v>89.543901</v>
      </c>
      <c r="AG62" s="38" t="n">
        <v>298.47967</v>
      </c>
      <c r="AH62" s="38" t="n">
        <v>208.935769</v>
      </c>
      <c r="AI62" s="38" t="str">
        <v>SOURCE_ALREADY_ONE_SALE_UNIT</v>
      </c>
      <c r="AJ62" s="38" t="str">
        <v>MODEL_ASSUMPTION_ZERO_NOT_QUOTED_NOT_EVIDENCE</v>
      </c>
      <c r="AK62" s="38" t="str">
        <v>food_cost=kitchen_cogs/price; gross_margin_before_channel_costs=price-kitchen_cogs; contribution=price-complete_direct_cogs-tax-commission</v>
      </c>
      <c r="AL62" s="39" t="str">
        <v>ISS80-S02-CHANNEL-V1</v>
      </c>
      <c r="AM62" s="44" t="n">
        <f>IFERROR(O62/S62,"")</f>
        <v>0.30000000000000004</v>
      </c>
      <c r="AN62" s="43" t="n">
        <f>IF(OR(S62="",O62=""),"", S62-O62)</f>
        <v>208.935769</v>
      </c>
    </row>
    <row r="63">
      <c r="A63" s="37" t="str">
        <v>CH-VKM-015-059</v>
      </c>
      <c r="B63" s="38" t="str">
        <v>VKM-015</v>
      </c>
      <c r="C63" s="38" t="str">
        <v>À la carte</v>
      </c>
      <c r="D63" s="38" t="str">
        <v>ISSUE82_RC2_PROXY_CHANNEL_SCENARIO</v>
      </c>
      <c r="E63" s="38" t="str">
        <v>71516bf871fa560e890ce5bc7f858854a5335ae2</v>
      </c>
      <c r="F63" s="38" t="str">
        <v>docs/07-operations/issue-82/PROVISIONAL_PROXY_SCENARIO_CHANNEL_PRICING.csv</v>
      </c>
      <c r="G63" s="38" t="str">
        <v>VKM-015|À la carte</v>
      </c>
      <c r="H63" s="38"/>
      <c r="I63" s="38"/>
      <c r="J63" s="38"/>
      <c r="K63" s="38"/>
      <c r="L63" s="38"/>
      <c r="M63" s="38"/>
      <c r="N63" s="38"/>
      <c r="O63" s="38" t="n">
        <v>133.148886</v>
      </c>
      <c r="P63" s="38" t="n">
        <v>0</v>
      </c>
      <c r="Q63" s="38"/>
      <c r="R63" s="38" t="n">
        <v>133.148886</v>
      </c>
      <c r="S63" s="38" t="n">
        <v>443.82962</v>
      </c>
      <c r="T63" s="38" t="n">
        <v>0.3</v>
      </c>
      <c r="U63" s="38" t="n">
        <v>0.30000000000000004</v>
      </c>
      <c r="V63" s="38" t="n">
        <v>310.680734</v>
      </c>
      <c r="W63" s="38"/>
      <c r="X63" s="38"/>
      <c r="Y63" s="38" t="n">
        <v>310.680734</v>
      </c>
      <c r="Z63" s="38" t="str">
        <v>ISSUE82_PROXY_SCENARIO</v>
      </c>
      <c r="AA63" s="38" t="str">
        <v>ASSUMPTION_BLOCKED_PENDING_VALIDATION</v>
      </c>
      <c r="AB63" s="38" t="str">
        <v>NOT_APPROVED_FOR_MENU</v>
      </c>
      <c r="AC63" s="38" t="str">
        <v>Planning scenario, not approved project price; tax, commission and quoted packaging remain excluded/blocked</v>
      </c>
      <c r="AD63" s="38" t="n">
        <v>0.3</v>
      </c>
      <c r="AE63" s="38" t="n">
        <v>1</v>
      </c>
      <c r="AF63" s="38" t="n">
        <v>133.148886</v>
      </c>
      <c r="AG63" s="38" t="n">
        <v>443.82962</v>
      </c>
      <c r="AH63" s="38" t="n">
        <v>310.680734</v>
      </c>
      <c r="AI63" s="38" t="str">
        <v>SOURCE_ALREADY_ONE_SALE_UNIT</v>
      </c>
      <c r="AJ63" s="38" t="str">
        <v>MODEL_ASSUMPTION_ZERO_NOT_QUOTED_NOT_EVIDENCE</v>
      </c>
      <c r="AK63" s="38" t="str">
        <v>food_cost=kitchen_cogs/price; gross_margin_before_channel_costs=price-kitchen_cogs; contribution=price-complete_direct_cogs-tax-commission</v>
      </c>
      <c r="AL63" s="39" t="str">
        <v>ISS80-S02-CHANNEL-V1</v>
      </c>
      <c r="AM63" s="44" t="n">
        <f>IFERROR(O63/S63,"")</f>
        <v>0.30000000000000004</v>
      </c>
      <c r="AN63" s="43" t="n">
        <f>IF(OR(S63="",O63=""),"", S63-O63)</f>
        <v>310.680734</v>
      </c>
    </row>
    <row r="64">
      <c r="A64" s="37" t="str">
        <v>CH-VKM-015-060</v>
      </c>
      <c r="B64" s="38" t="str">
        <v>VKM-015</v>
      </c>
      <c r="C64" s="38" t="str">
        <v>Бизнес-ланч</v>
      </c>
      <c r="D64" s="38" t="str">
        <v>ISSUE82_RC2_PROXY_CHANNEL_SCENARIO</v>
      </c>
      <c r="E64" s="38" t="str">
        <v>71516bf871fa560e890ce5bc7f858854a5335ae2</v>
      </c>
      <c r="F64" s="38" t="str">
        <v>docs/07-operations/issue-82/PROVISIONAL_PROXY_SCENARIO_CHANNEL_PRICING.csv</v>
      </c>
      <c r="G64" s="38" t="str">
        <v>VKM-015|Бизнес-ланч</v>
      </c>
      <c r="H64" s="38"/>
      <c r="I64" s="38"/>
      <c r="J64" s="38"/>
      <c r="K64" s="38"/>
      <c r="L64" s="38"/>
      <c r="M64" s="38"/>
      <c r="N64" s="38"/>
      <c r="O64" s="38" t="n">
        <v>133.148886</v>
      </c>
      <c r="P64" s="38" t="n">
        <v>0</v>
      </c>
      <c r="Q64" s="38"/>
      <c r="R64" s="38" t="n">
        <v>133.148886</v>
      </c>
      <c r="S64" s="38" t="n">
        <v>332.872215</v>
      </c>
      <c r="T64" s="38" t="n">
        <v>0.4</v>
      </c>
      <c r="U64" s="38" t="n">
        <v>0.4</v>
      </c>
      <c r="V64" s="38" t="n">
        <v>199.723329</v>
      </c>
      <c r="W64" s="38"/>
      <c r="X64" s="38"/>
      <c r="Y64" s="38" t="n">
        <v>199.723329</v>
      </c>
      <c r="Z64" s="38" t="str">
        <v>ISSUE82_PROXY_SCENARIO</v>
      </c>
      <c r="AA64" s="38" t="str">
        <v>ASSUMPTION_BLOCKED_PENDING_VALIDATION</v>
      </c>
      <c r="AB64" s="38" t="str">
        <v>NOT_APPROVED_FOR_MENU</v>
      </c>
      <c r="AC64" s="38" t="str">
        <v>Planning scenario, not approved project price; tax, commission and quoted packaging remain excluded/blocked</v>
      </c>
      <c r="AD64" s="38" t="n">
        <v>0.4</v>
      </c>
      <c r="AE64" s="38" t="n">
        <v>1</v>
      </c>
      <c r="AF64" s="38" t="n">
        <v>133.148886</v>
      </c>
      <c r="AG64" s="38" t="n">
        <v>332.872215</v>
      </c>
      <c r="AH64" s="38" t="n">
        <v>199.723329</v>
      </c>
      <c r="AI64" s="38" t="str">
        <v>SOURCE_ALREADY_ONE_SALE_UNIT</v>
      </c>
      <c r="AJ64" s="38" t="str">
        <v>MODEL_ASSUMPTION_ZERO_NOT_QUOTED_NOT_EVIDENCE</v>
      </c>
      <c r="AK64" s="38" t="str">
        <v>food_cost=kitchen_cogs/price; gross_margin_before_channel_costs=price-kitchen_cogs; contribution=price-complete_direct_cogs-tax-commission</v>
      </c>
      <c r="AL64" s="39" t="str">
        <v>ISS80-S02-CHANNEL-V1</v>
      </c>
      <c r="AM64" s="44" t="n">
        <f>IFERROR(O64/S64,"")</f>
        <v>0.4</v>
      </c>
      <c r="AN64" s="43" t="n">
        <f>IF(OR(S64="",O64=""),"", S64-O64)</f>
        <v>199.72332899999998</v>
      </c>
    </row>
    <row r="65">
      <c r="A65" s="37" t="str">
        <v>CH-VKM-015-061</v>
      </c>
      <c r="B65" s="38" t="str">
        <v>VKM-015</v>
      </c>
      <c r="C65" s="38" t="str">
        <v>Гостиничные ужины</v>
      </c>
      <c r="D65" s="38" t="str">
        <v>ISSUE82_RC2_PROXY_CHANNEL_SCENARIO</v>
      </c>
      <c r="E65" s="38" t="str">
        <v>71516bf871fa560e890ce5bc7f858854a5335ae2</v>
      </c>
      <c r="F65" s="38" t="str">
        <v>docs/07-operations/issue-82/PROVISIONAL_PROXY_SCENARIO_CHANNEL_PRICING.csv</v>
      </c>
      <c r="G65" s="38" t="str">
        <v>VKM-015|Гостиничные ужины</v>
      </c>
      <c r="H65" s="38"/>
      <c r="I65" s="38"/>
      <c r="J65" s="38"/>
      <c r="K65" s="38"/>
      <c r="L65" s="38"/>
      <c r="M65" s="38"/>
      <c r="N65" s="38"/>
      <c r="O65" s="38" t="n">
        <v>133.148886</v>
      </c>
      <c r="P65" s="38" t="n">
        <v>0</v>
      </c>
      <c r="Q65" s="38"/>
      <c r="R65" s="38" t="n">
        <v>133.148886</v>
      </c>
      <c r="S65" s="38" t="n">
        <v>443.82962</v>
      </c>
      <c r="T65" s="38" t="n">
        <v>0.3</v>
      </c>
      <c r="U65" s="38" t="n">
        <v>0.30000000000000004</v>
      </c>
      <c r="V65" s="38" t="n">
        <v>310.680734</v>
      </c>
      <c r="W65" s="38"/>
      <c r="X65" s="38"/>
      <c r="Y65" s="38" t="n">
        <v>310.680734</v>
      </c>
      <c r="Z65" s="38" t="str">
        <v>ISSUE82_PROXY_SCENARIO</v>
      </c>
      <c r="AA65" s="38" t="str">
        <v>ASSUMPTION_BLOCKED_PENDING_VALIDATION</v>
      </c>
      <c r="AB65" s="38" t="str">
        <v>NOT_APPROVED_FOR_MENU</v>
      </c>
      <c r="AC65" s="38" t="str">
        <v>Planning scenario, not approved project price; tax, commission and quoted packaging remain excluded/blocked</v>
      </c>
      <c r="AD65" s="38" t="n">
        <v>0.3</v>
      </c>
      <c r="AE65" s="38" t="n">
        <v>1</v>
      </c>
      <c r="AF65" s="38" t="n">
        <v>133.148886</v>
      </c>
      <c r="AG65" s="38" t="n">
        <v>443.82962</v>
      </c>
      <c r="AH65" s="38" t="n">
        <v>310.680734</v>
      </c>
      <c r="AI65" s="38" t="str">
        <v>SOURCE_ALREADY_ONE_SALE_UNIT</v>
      </c>
      <c r="AJ65" s="38" t="str">
        <v>MODEL_ASSUMPTION_ZERO_NOT_QUOTED_NOT_EVIDENCE</v>
      </c>
      <c r="AK65" s="38" t="str">
        <v>food_cost=kitchen_cogs/price; gross_margin_before_channel_costs=price-kitchen_cogs; contribution=price-complete_direct_cogs-tax-commission</v>
      </c>
      <c r="AL65" s="39" t="str">
        <v>ISS80-S02-CHANNEL-V1</v>
      </c>
      <c r="AM65" s="44" t="n">
        <f>IFERROR(O65/S65,"")</f>
        <v>0.30000000000000004</v>
      </c>
      <c r="AN65" s="43" t="n">
        <f>IF(OR(S65="",O65=""),"", S65-O65)</f>
        <v>310.680734</v>
      </c>
    </row>
    <row r="66">
      <c r="A66" s="37" t="str">
        <v>CH-VKM-016-062</v>
      </c>
      <c r="B66" s="38" t="str">
        <v>VKM-016</v>
      </c>
      <c r="C66" s="38" t="str">
        <v>À la carte</v>
      </c>
      <c r="D66" s="38" t="str">
        <v>ISSUE82_RC2_PROXY_CHANNEL_SCENARIO</v>
      </c>
      <c r="E66" s="38" t="str">
        <v>71516bf871fa560e890ce5bc7f858854a5335ae2</v>
      </c>
      <c r="F66" s="38" t="str">
        <v>docs/07-operations/issue-82/PROVISIONAL_PROXY_SCENARIO_CHANNEL_PRICING.csv</v>
      </c>
      <c r="G66" s="38" t="str">
        <v>VKM-016|À la carte</v>
      </c>
      <c r="H66" s="38"/>
      <c r="I66" s="38"/>
      <c r="J66" s="38"/>
      <c r="K66" s="38"/>
      <c r="L66" s="38"/>
      <c r="M66" s="38"/>
      <c r="N66" s="38"/>
      <c r="O66" s="38" t="n">
        <v>39.207579</v>
      </c>
      <c r="P66" s="38" t="n">
        <v>0</v>
      </c>
      <c r="Q66" s="38"/>
      <c r="R66" s="38" t="n">
        <v>39.207579</v>
      </c>
      <c r="S66" s="38" t="n">
        <v>130.691931</v>
      </c>
      <c r="T66" s="38" t="n">
        <v>0.3</v>
      </c>
      <c r="U66" s="38" t="n">
        <v>0.29999999770452546</v>
      </c>
      <c r="V66" s="38" t="n">
        <v>91.484352</v>
      </c>
      <c r="W66" s="38"/>
      <c r="X66" s="38"/>
      <c r="Y66" s="38" t="n">
        <v>91.484352</v>
      </c>
      <c r="Z66" s="38" t="str">
        <v>ISSUE82_PROXY_SCENARIO</v>
      </c>
      <c r="AA66" s="38" t="str">
        <v>ASSUMPTION_BLOCKED_PENDING_VALIDATION</v>
      </c>
      <c r="AB66" s="38" t="str">
        <v>NOT_APPROVED_FOR_MENU</v>
      </c>
      <c r="AC66" s="38" t="str">
        <v>Planning scenario, not approved project price; tax, commission and quoted packaging remain excluded/blocked</v>
      </c>
      <c r="AD66" s="38" t="n">
        <v>0.3</v>
      </c>
      <c r="AE66" s="38" t="n">
        <v>1</v>
      </c>
      <c r="AF66" s="38" t="n">
        <v>39.207579</v>
      </c>
      <c r="AG66" s="38" t="n">
        <v>130.691931</v>
      </c>
      <c r="AH66" s="38" t="n">
        <v>91.484352</v>
      </c>
      <c r="AI66" s="38" t="str">
        <v>SOURCE_ALREADY_ONE_SALE_UNIT</v>
      </c>
      <c r="AJ66" s="38" t="str">
        <v>MODEL_ASSUMPTION_ZERO_NOT_QUOTED_NOT_EVIDENCE</v>
      </c>
      <c r="AK66" s="38" t="str">
        <v>food_cost=kitchen_cogs/price; gross_margin_before_channel_costs=price-kitchen_cogs; contribution=price-complete_direct_cogs-tax-commission</v>
      </c>
      <c r="AL66" s="39" t="str">
        <v>ISS80-S02-CHANNEL-V1</v>
      </c>
      <c r="AM66" s="44" t="n">
        <f>IFERROR(O66/S66,"")</f>
        <v>0.29999999770452546</v>
      </c>
      <c r="AN66" s="43" t="n">
        <f>IF(OR(S66="",O66=""),"", S66-O66)</f>
        <v>91.484352</v>
      </c>
    </row>
    <row r="67">
      <c r="A67" s="37" t="str">
        <v>CH-VKM-016-063</v>
      </c>
      <c r="B67" s="38" t="str">
        <v>VKM-016</v>
      </c>
      <c r="C67" s="38" t="str">
        <v>Бизнес-ланч</v>
      </c>
      <c r="D67" s="38" t="str">
        <v>ISSUE82_RC2_PROXY_CHANNEL_SCENARIO</v>
      </c>
      <c r="E67" s="38" t="str">
        <v>71516bf871fa560e890ce5bc7f858854a5335ae2</v>
      </c>
      <c r="F67" s="38" t="str">
        <v>docs/07-operations/issue-82/PROVISIONAL_PROXY_SCENARIO_CHANNEL_PRICING.csv</v>
      </c>
      <c r="G67" s="38" t="str">
        <v>VKM-016|Бизнес-ланч</v>
      </c>
      <c r="H67" s="38"/>
      <c r="I67" s="38"/>
      <c r="J67" s="38"/>
      <c r="K67" s="38"/>
      <c r="L67" s="38"/>
      <c r="M67" s="38"/>
      <c r="N67" s="38"/>
      <c r="O67" s="38" t="n">
        <v>39.207579</v>
      </c>
      <c r="P67" s="38" t="n">
        <v>0</v>
      </c>
      <c r="Q67" s="38"/>
      <c r="R67" s="38" t="n">
        <v>39.207579</v>
      </c>
      <c r="S67" s="38" t="n">
        <v>98.018948</v>
      </c>
      <c r="T67" s="38" t="n">
        <v>0.4</v>
      </c>
      <c r="U67" s="38" t="n">
        <v>0.39999999795957825</v>
      </c>
      <c r="V67" s="38" t="n">
        <v>58.811369</v>
      </c>
      <c r="W67" s="38"/>
      <c r="X67" s="38"/>
      <c r="Y67" s="38" t="n">
        <v>58.811369</v>
      </c>
      <c r="Z67" s="38" t="str">
        <v>ISSUE82_PROXY_SCENARIO</v>
      </c>
      <c r="AA67" s="38" t="str">
        <v>ASSUMPTION_BLOCKED_PENDING_VALIDATION</v>
      </c>
      <c r="AB67" s="38" t="str">
        <v>NOT_APPROVED_FOR_MENU</v>
      </c>
      <c r="AC67" s="38" t="str">
        <v>Planning scenario, not approved project price; tax, commission and quoted packaging remain excluded/blocked</v>
      </c>
      <c r="AD67" s="38" t="n">
        <v>0.4</v>
      </c>
      <c r="AE67" s="38" t="n">
        <v>1</v>
      </c>
      <c r="AF67" s="38" t="n">
        <v>39.207579</v>
      </c>
      <c r="AG67" s="38" t="n">
        <v>98.018948</v>
      </c>
      <c r="AH67" s="38" t="n">
        <v>58.811369</v>
      </c>
      <c r="AI67" s="38" t="str">
        <v>SOURCE_ALREADY_ONE_SALE_UNIT</v>
      </c>
      <c r="AJ67" s="38" t="str">
        <v>MODEL_ASSUMPTION_ZERO_NOT_QUOTED_NOT_EVIDENCE</v>
      </c>
      <c r="AK67" s="38" t="str">
        <v>food_cost=kitchen_cogs/price; gross_margin_before_channel_costs=price-kitchen_cogs; contribution=price-complete_direct_cogs-tax-commission</v>
      </c>
      <c r="AL67" s="39" t="str">
        <v>ISS80-S02-CHANNEL-V1</v>
      </c>
      <c r="AM67" s="44" t="n">
        <f>IFERROR(O67/S67,"")</f>
        <v>0.39999999795957825</v>
      </c>
      <c r="AN67" s="43" t="n">
        <f>IF(OR(S67="",O67=""),"", S67-O67)</f>
        <v>58.81136899999999</v>
      </c>
    </row>
    <row r="68">
      <c r="A68" s="37" t="str">
        <v>CH-VKM-016-064</v>
      </c>
      <c r="B68" s="38" t="str">
        <v>VKM-016</v>
      </c>
      <c r="C68" s="38" t="str">
        <v>Гостиничные ужины</v>
      </c>
      <c r="D68" s="38" t="str">
        <v>ISSUE82_RC2_PROXY_CHANNEL_SCENARIO</v>
      </c>
      <c r="E68" s="38" t="str">
        <v>71516bf871fa560e890ce5bc7f858854a5335ae2</v>
      </c>
      <c r="F68" s="38" t="str">
        <v>docs/07-operations/issue-82/PROVISIONAL_PROXY_SCENARIO_CHANNEL_PRICING.csv</v>
      </c>
      <c r="G68" s="38" t="str">
        <v>VKM-016|Гостиничные ужины</v>
      </c>
      <c r="H68" s="38"/>
      <c r="I68" s="38"/>
      <c r="J68" s="38"/>
      <c r="K68" s="38"/>
      <c r="L68" s="38"/>
      <c r="M68" s="38"/>
      <c r="N68" s="38"/>
      <c r="O68" s="38" t="n">
        <v>39.207579</v>
      </c>
      <c r="P68" s="38" t="n">
        <v>0</v>
      </c>
      <c r="Q68" s="38"/>
      <c r="R68" s="38" t="n">
        <v>39.207579</v>
      </c>
      <c r="S68" s="38" t="n">
        <v>130.691931</v>
      </c>
      <c r="T68" s="38" t="n">
        <v>0.3</v>
      </c>
      <c r="U68" s="38" t="n">
        <v>0.29999999770452546</v>
      </c>
      <c r="V68" s="38" t="n">
        <v>91.484352</v>
      </c>
      <c r="W68" s="38"/>
      <c r="X68" s="38"/>
      <c r="Y68" s="38" t="n">
        <v>91.484352</v>
      </c>
      <c r="Z68" s="38" t="str">
        <v>ISSUE82_PROXY_SCENARIO</v>
      </c>
      <c r="AA68" s="38" t="str">
        <v>ASSUMPTION_BLOCKED_PENDING_VALIDATION</v>
      </c>
      <c r="AB68" s="38" t="str">
        <v>NOT_APPROVED_FOR_MENU</v>
      </c>
      <c r="AC68" s="38" t="str">
        <v>Planning scenario, not approved project price; tax, commission and quoted packaging remain excluded/blocked</v>
      </c>
      <c r="AD68" s="38" t="n">
        <v>0.3</v>
      </c>
      <c r="AE68" s="38" t="n">
        <v>1</v>
      </c>
      <c r="AF68" s="38" t="n">
        <v>39.207579</v>
      </c>
      <c r="AG68" s="38" t="n">
        <v>130.691931</v>
      </c>
      <c r="AH68" s="38" t="n">
        <v>91.484352</v>
      </c>
      <c r="AI68" s="38" t="str">
        <v>SOURCE_ALREADY_ONE_SALE_UNIT</v>
      </c>
      <c r="AJ68" s="38" t="str">
        <v>MODEL_ASSUMPTION_ZERO_NOT_QUOTED_NOT_EVIDENCE</v>
      </c>
      <c r="AK68" s="38" t="str">
        <v>food_cost=kitchen_cogs/price; gross_margin_before_channel_costs=price-kitchen_cogs; contribution=price-complete_direct_cogs-tax-commission</v>
      </c>
      <c r="AL68" s="39" t="str">
        <v>ISS80-S02-CHANNEL-V1</v>
      </c>
      <c r="AM68" s="44" t="n">
        <f>IFERROR(O68/S68,"")</f>
        <v>0.29999999770452546</v>
      </c>
      <c r="AN68" s="43" t="n">
        <f>IF(OR(S68="",O68=""),"", S68-O68)</f>
        <v>91.484352</v>
      </c>
    </row>
    <row r="69">
      <c r="A69" s="37" t="str">
        <v>CH-VKM-017-065</v>
      </c>
      <c r="B69" s="38" t="str">
        <v>VKM-017</v>
      </c>
      <c r="C69" s="38" t="str">
        <v>À la carte</v>
      </c>
      <c r="D69" s="38" t="str">
        <v>ISSUE82_RC2_PROXY_CHANNEL_SCENARIO</v>
      </c>
      <c r="E69" s="38" t="str">
        <v>71516bf871fa560e890ce5bc7f858854a5335ae2</v>
      </c>
      <c r="F69" s="38" t="str">
        <v>docs/07-operations/issue-82/PROVISIONAL_PROXY_SCENARIO_CHANNEL_PRICING.csv</v>
      </c>
      <c r="G69" s="38" t="str">
        <v>VKM-017|À la carte</v>
      </c>
      <c r="H69" s="38"/>
      <c r="I69" s="38"/>
      <c r="J69" s="38"/>
      <c r="K69" s="38"/>
      <c r="L69" s="38"/>
      <c r="M69" s="38"/>
      <c r="N69" s="38"/>
      <c r="O69" s="38" t="n">
        <v>153.840651</v>
      </c>
      <c r="P69" s="38" t="n">
        <v>0</v>
      </c>
      <c r="Q69" s="38"/>
      <c r="R69" s="38" t="n">
        <v>153.840651</v>
      </c>
      <c r="S69" s="38" t="n">
        <v>512.80217</v>
      </c>
      <c r="T69" s="38" t="n">
        <v>0.3</v>
      </c>
      <c r="U69" s="38" t="n">
        <v>0.3</v>
      </c>
      <c r="V69" s="38" t="n">
        <v>358.961519</v>
      </c>
      <c r="W69" s="38"/>
      <c r="X69" s="38"/>
      <c r="Y69" s="38" t="n">
        <v>358.961519</v>
      </c>
      <c r="Z69" s="38" t="str">
        <v>ISSUE82_PROXY_SCENARIO</v>
      </c>
      <c r="AA69" s="38" t="str">
        <v>ASSUMPTION_BLOCKED_PENDING_VALIDATION</v>
      </c>
      <c r="AB69" s="38" t="str">
        <v>NOT_APPROVED_FOR_MENU</v>
      </c>
      <c r="AC69" s="38" t="str">
        <v>Planning scenario, not approved project price; tax, commission and quoted packaging remain excluded/blocked</v>
      </c>
      <c r="AD69" s="38" t="n">
        <v>0.3</v>
      </c>
      <c r="AE69" s="38" t="n">
        <v>1</v>
      </c>
      <c r="AF69" s="38" t="n">
        <v>153.840651</v>
      </c>
      <c r="AG69" s="38" t="n">
        <v>512.80217</v>
      </c>
      <c r="AH69" s="38" t="n">
        <v>358.961519</v>
      </c>
      <c r="AI69" s="38" t="str">
        <v>SOURCE_ALREADY_ONE_SALE_UNIT</v>
      </c>
      <c r="AJ69" s="38" t="str">
        <v>MODEL_ASSUMPTION_ZERO_NOT_QUOTED_NOT_EVIDENCE</v>
      </c>
      <c r="AK69" s="38" t="str">
        <v>food_cost=kitchen_cogs/price; gross_margin_before_channel_costs=price-kitchen_cogs; contribution=price-complete_direct_cogs-tax-commission</v>
      </c>
      <c r="AL69" s="39" t="str">
        <v>ISS80-S02-CHANNEL-V1</v>
      </c>
      <c r="AM69" s="44" t="n">
        <f>IFERROR(O69/S69,"")</f>
        <v>0.3</v>
      </c>
      <c r="AN69" s="43" t="n">
        <f>IF(OR(S69="",O69=""),"", S69-O69)</f>
        <v>358.96151900000007</v>
      </c>
    </row>
    <row r="70">
      <c r="A70" s="37" t="str">
        <v>CH-VKM-017-066</v>
      </c>
      <c r="B70" s="38" t="str">
        <v>VKM-017</v>
      </c>
      <c r="C70" s="38" t="str">
        <v>Бизнес-ланч</v>
      </c>
      <c r="D70" s="38" t="str">
        <v>ISSUE82_RC2_PROXY_CHANNEL_SCENARIO</v>
      </c>
      <c r="E70" s="38" t="str">
        <v>71516bf871fa560e890ce5bc7f858854a5335ae2</v>
      </c>
      <c r="F70" s="38" t="str">
        <v>docs/07-operations/issue-82/PROVISIONAL_PROXY_SCENARIO_CHANNEL_PRICING.csv</v>
      </c>
      <c r="G70" s="38" t="str">
        <v>VKM-017|Бизнес-ланч</v>
      </c>
      <c r="H70" s="38"/>
      <c r="I70" s="38"/>
      <c r="J70" s="38"/>
      <c r="K70" s="38"/>
      <c r="L70" s="38"/>
      <c r="M70" s="38"/>
      <c r="N70" s="38"/>
      <c r="O70" s="38" t="n">
        <v>153.840651</v>
      </c>
      <c r="P70" s="38" t="n">
        <v>0</v>
      </c>
      <c r="Q70" s="38"/>
      <c r="R70" s="38" t="n">
        <v>153.840651</v>
      </c>
      <c r="S70" s="38" t="n">
        <v>384.601628</v>
      </c>
      <c r="T70" s="38" t="n">
        <v>0.4</v>
      </c>
      <c r="U70" s="38" t="n">
        <v>0.39999999947998144</v>
      </c>
      <c r="V70" s="38" t="n">
        <v>230.760977</v>
      </c>
      <c r="W70" s="38"/>
      <c r="X70" s="38"/>
      <c r="Y70" s="38" t="n">
        <v>230.760977</v>
      </c>
      <c r="Z70" s="38" t="str">
        <v>ISSUE82_PROXY_SCENARIO</v>
      </c>
      <c r="AA70" s="38" t="str">
        <v>ASSUMPTION_BLOCKED_PENDING_VALIDATION</v>
      </c>
      <c r="AB70" s="38" t="str">
        <v>NOT_APPROVED_FOR_MENU</v>
      </c>
      <c r="AC70" s="38" t="str">
        <v>Planning scenario, not approved project price; tax, commission and quoted packaging remain excluded/blocked</v>
      </c>
      <c r="AD70" s="38" t="n">
        <v>0.4</v>
      </c>
      <c r="AE70" s="38" t="n">
        <v>1</v>
      </c>
      <c r="AF70" s="38" t="n">
        <v>153.840651</v>
      </c>
      <c r="AG70" s="38" t="n">
        <v>384.601628</v>
      </c>
      <c r="AH70" s="38" t="n">
        <v>230.760977</v>
      </c>
      <c r="AI70" s="38" t="str">
        <v>SOURCE_ALREADY_ONE_SALE_UNIT</v>
      </c>
      <c r="AJ70" s="38" t="str">
        <v>MODEL_ASSUMPTION_ZERO_NOT_QUOTED_NOT_EVIDENCE</v>
      </c>
      <c r="AK70" s="38" t="str">
        <v>food_cost=kitchen_cogs/price; gross_margin_before_channel_costs=price-kitchen_cogs; contribution=price-complete_direct_cogs-tax-commission</v>
      </c>
      <c r="AL70" s="39" t="str">
        <v>ISS80-S02-CHANNEL-V1</v>
      </c>
      <c r="AM70" s="44" t="n">
        <f>IFERROR(O70/S70,"")</f>
        <v>0.39999999947998144</v>
      </c>
      <c r="AN70" s="43" t="n">
        <f>IF(OR(S70="",O70=""),"", S70-O70)</f>
        <v>230.760977</v>
      </c>
    </row>
    <row r="71">
      <c r="A71" s="37" t="str">
        <v>CH-VKM-017-067</v>
      </c>
      <c r="B71" s="38" t="str">
        <v>VKM-017</v>
      </c>
      <c r="C71" s="38" t="str">
        <v>Гостиничные ужины</v>
      </c>
      <c r="D71" s="38" t="str">
        <v>ISSUE82_RC2_PROXY_CHANNEL_SCENARIO</v>
      </c>
      <c r="E71" s="38" t="str">
        <v>71516bf871fa560e890ce5bc7f858854a5335ae2</v>
      </c>
      <c r="F71" s="38" t="str">
        <v>docs/07-operations/issue-82/PROVISIONAL_PROXY_SCENARIO_CHANNEL_PRICING.csv</v>
      </c>
      <c r="G71" s="38" t="str">
        <v>VKM-017|Гостиничные ужины</v>
      </c>
      <c r="H71" s="38"/>
      <c r="I71" s="38"/>
      <c r="J71" s="38"/>
      <c r="K71" s="38"/>
      <c r="L71" s="38"/>
      <c r="M71" s="38"/>
      <c r="N71" s="38"/>
      <c r="O71" s="38" t="n">
        <v>153.840651</v>
      </c>
      <c r="P71" s="38" t="n">
        <v>0</v>
      </c>
      <c r="Q71" s="38"/>
      <c r="R71" s="38" t="n">
        <v>153.840651</v>
      </c>
      <c r="S71" s="38" t="n">
        <v>512.80217</v>
      </c>
      <c r="T71" s="38" t="n">
        <v>0.3</v>
      </c>
      <c r="U71" s="38" t="n">
        <v>0.3</v>
      </c>
      <c r="V71" s="38" t="n">
        <v>358.961519</v>
      </c>
      <c r="W71" s="38"/>
      <c r="X71" s="38"/>
      <c r="Y71" s="38" t="n">
        <v>358.961519</v>
      </c>
      <c r="Z71" s="38" t="str">
        <v>ISSUE82_PROXY_SCENARIO</v>
      </c>
      <c r="AA71" s="38" t="str">
        <v>ASSUMPTION_BLOCKED_PENDING_VALIDATION</v>
      </c>
      <c r="AB71" s="38" t="str">
        <v>NOT_APPROVED_FOR_MENU</v>
      </c>
      <c r="AC71" s="38" t="str">
        <v>Planning scenario, not approved project price; tax, commission and quoted packaging remain excluded/blocked</v>
      </c>
      <c r="AD71" s="38" t="n">
        <v>0.3</v>
      </c>
      <c r="AE71" s="38" t="n">
        <v>1</v>
      </c>
      <c r="AF71" s="38" t="n">
        <v>153.840651</v>
      </c>
      <c r="AG71" s="38" t="n">
        <v>512.80217</v>
      </c>
      <c r="AH71" s="38" t="n">
        <v>358.961519</v>
      </c>
      <c r="AI71" s="38" t="str">
        <v>SOURCE_ALREADY_ONE_SALE_UNIT</v>
      </c>
      <c r="AJ71" s="38" t="str">
        <v>MODEL_ASSUMPTION_ZERO_NOT_QUOTED_NOT_EVIDENCE</v>
      </c>
      <c r="AK71" s="38" t="str">
        <v>food_cost=kitchen_cogs/price; gross_margin_before_channel_costs=price-kitchen_cogs; contribution=price-complete_direct_cogs-tax-commission</v>
      </c>
      <c r="AL71" s="39" t="str">
        <v>ISS80-S02-CHANNEL-V1</v>
      </c>
      <c r="AM71" s="44" t="n">
        <f>IFERROR(O71/S71,"")</f>
        <v>0.3</v>
      </c>
      <c r="AN71" s="43" t="n">
        <f>IF(OR(S71="",O71=""),"", S71-O71)</f>
        <v>358.96151900000007</v>
      </c>
    </row>
    <row r="72">
      <c r="A72" s="37" t="str">
        <v>CH-VKM-018-068</v>
      </c>
      <c r="B72" s="38" t="str">
        <v>VKM-018</v>
      </c>
      <c r="C72" s="38" t="str">
        <v>À la carte</v>
      </c>
      <c r="D72" s="38" t="str">
        <v>ISSUE82_RC2_PROXY_CHANNEL_SCENARIO</v>
      </c>
      <c r="E72" s="38" t="str">
        <v>71516bf871fa560e890ce5bc7f858854a5335ae2</v>
      </c>
      <c r="F72" s="38" t="str">
        <v>docs/07-operations/issue-82/PROVISIONAL_PROXY_SCENARIO_CHANNEL_PRICING.csv</v>
      </c>
      <c r="G72" s="38" t="str">
        <v>VKM-018|À la carte</v>
      </c>
      <c r="H72" s="38"/>
      <c r="I72" s="38"/>
      <c r="J72" s="38"/>
      <c r="K72" s="38"/>
      <c r="L72" s="38"/>
      <c r="M72" s="38"/>
      <c r="N72" s="38"/>
      <c r="O72" s="38" t="n">
        <v>101.285624</v>
      </c>
      <c r="P72" s="38" t="n">
        <v>0</v>
      </c>
      <c r="Q72" s="38"/>
      <c r="R72" s="38" t="n">
        <v>101.285624</v>
      </c>
      <c r="S72" s="38" t="n">
        <v>337.618748</v>
      </c>
      <c r="T72" s="38" t="n">
        <v>0.3</v>
      </c>
      <c r="U72" s="38" t="n">
        <v>0.2999999988152317</v>
      </c>
      <c r="V72" s="38" t="n">
        <v>236.333123</v>
      </c>
      <c r="W72" s="38"/>
      <c r="X72" s="38"/>
      <c r="Y72" s="38" t="n">
        <v>236.333123</v>
      </c>
      <c r="Z72" s="38" t="str">
        <v>ISSUE82_PROXY_SCENARIO</v>
      </c>
      <c r="AA72" s="38" t="str">
        <v>ASSUMPTION_BLOCKED_PENDING_VALIDATION</v>
      </c>
      <c r="AB72" s="38" t="str">
        <v>NOT_APPROVED_FOR_MENU</v>
      </c>
      <c r="AC72" s="38" t="str">
        <v>Planning scenario, not approved project price; tax, commission and quoted packaging remain excluded/blocked</v>
      </c>
      <c r="AD72" s="38" t="n">
        <v>0.3</v>
      </c>
      <c r="AE72" s="38" t="n">
        <v>1</v>
      </c>
      <c r="AF72" s="38" t="n">
        <v>101.285624</v>
      </c>
      <c r="AG72" s="38" t="n">
        <v>337.618748</v>
      </c>
      <c r="AH72" s="38" t="n">
        <v>236.333123</v>
      </c>
      <c r="AI72" s="38" t="str">
        <v>SOURCE_ALREADY_ONE_SALE_UNIT</v>
      </c>
      <c r="AJ72" s="38" t="str">
        <v>MODEL_ASSUMPTION_ZERO_NOT_QUOTED_NOT_EVIDENCE</v>
      </c>
      <c r="AK72" s="38" t="str">
        <v>food_cost=kitchen_cogs/price; gross_margin_before_channel_costs=price-kitchen_cogs; contribution=price-complete_direct_cogs-tax-commission</v>
      </c>
      <c r="AL72" s="39" t="str">
        <v>ISS80-S02-CHANNEL-V1</v>
      </c>
      <c r="AM72" s="44" t="n">
        <f>IFERROR(O72/S72,"")</f>
        <v>0.2999999988152317</v>
      </c>
      <c r="AN72" s="43" t="n">
        <f>IF(OR(S72="",O72=""),"", S72-O72)</f>
        <v>236.333124</v>
      </c>
    </row>
    <row r="73">
      <c r="A73" s="37" t="str">
        <v>CH-VKM-018-069</v>
      </c>
      <c r="B73" s="38" t="str">
        <v>VKM-018</v>
      </c>
      <c r="C73" s="38" t="str">
        <v>Бизнес-ланч</v>
      </c>
      <c r="D73" s="38" t="str">
        <v>ISSUE82_RC2_PROXY_CHANNEL_SCENARIO</v>
      </c>
      <c r="E73" s="38" t="str">
        <v>71516bf871fa560e890ce5bc7f858854a5335ae2</v>
      </c>
      <c r="F73" s="38" t="str">
        <v>docs/07-operations/issue-82/PROVISIONAL_PROXY_SCENARIO_CHANNEL_PRICING.csv</v>
      </c>
      <c r="G73" s="38" t="str">
        <v>VKM-018|Бизнес-ланч</v>
      </c>
      <c r="H73" s="38"/>
      <c r="I73" s="38"/>
      <c r="J73" s="38"/>
      <c r="K73" s="38"/>
      <c r="L73" s="38"/>
      <c r="M73" s="38"/>
      <c r="N73" s="38"/>
      <c r="O73" s="38" t="n">
        <v>101.285624</v>
      </c>
      <c r="P73" s="38" t="n">
        <v>0</v>
      </c>
      <c r="Q73" s="38"/>
      <c r="R73" s="38" t="n">
        <v>101.285624</v>
      </c>
      <c r="S73" s="38" t="n">
        <v>253.214061</v>
      </c>
      <c r="T73" s="38" t="n">
        <v>0.4</v>
      </c>
      <c r="U73" s="38" t="n">
        <v>0.3999999984203089</v>
      </c>
      <c r="V73" s="38" t="n">
        <v>151.928436</v>
      </c>
      <c r="W73" s="38"/>
      <c r="X73" s="38"/>
      <c r="Y73" s="38" t="n">
        <v>151.928436</v>
      </c>
      <c r="Z73" s="38" t="str">
        <v>ISSUE82_PROXY_SCENARIO</v>
      </c>
      <c r="AA73" s="38" t="str">
        <v>ASSUMPTION_BLOCKED_PENDING_VALIDATION</v>
      </c>
      <c r="AB73" s="38" t="str">
        <v>NOT_APPROVED_FOR_MENU</v>
      </c>
      <c r="AC73" s="38" t="str">
        <v>Planning scenario, not approved project price; tax, commission and quoted packaging remain excluded/blocked</v>
      </c>
      <c r="AD73" s="38" t="n">
        <v>0.4</v>
      </c>
      <c r="AE73" s="38" t="n">
        <v>1</v>
      </c>
      <c r="AF73" s="38" t="n">
        <v>101.285624</v>
      </c>
      <c r="AG73" s="38" t="n">
        <v>253.214061</v>
      </c>
      <c r="AH73" s="38" t="n">
        <v>151.928436</v>
      </c>
      <c r="AI73" s="38" t="str">
        <v>SOURCE_ALREADY_ONE_SALE_UNIT</v>
      </c>
      <c r="AJ73" s="38" t="str">
        <v>MODEL_ASSUMPTION_ZERO_NOT_QUOTED_NOT_EVIDENCE</v>
      </c>
      <c r="AK73" s="38" t="str">
        <v>food_cost=kitchen_cogs/price; gross_margin_before_channel_costs=price-kitchen_cogs; contribution=price-complete_direct_cogs-tax-commission</v>
      </c>
      <c r="AL73" s="39" t="str">
        <v>ISS80-S02-CHANNEL-V1</v>
      </c>
      <c r="AM73" s="44" t="n">
        <f>IFERROR(O73/S73,"")</f>
        <v>0.3999999984203089</v>
      </c>
      <c r="AN73" s="43" t="n">
        <f>IF(OR(S73="",O73=""),"", S73-O73)</f>
        <v>151.92843699999997</v>
      </c>
    </row>
    <row r="74">
      <c r="A74" s="37" t="str">
        <v>CH-VKM-019-070</v>
      </c>
      <c r="B74" s="38" t="str">
        <v>VKM-019</v>
      </c>
      <c r="C74" s="38" t="str">
        <v>À la carte</v>
      </c>
      <c r="D74" s="38" t="str">
        <v>ISSUE82_RC2_PROXY_CHANNEL_SCENARIO</v>
      </c>
      <c r="E74" s="38" t="str">
        <v>71516bf871fa560e890ce5bc7f858854a5335ae2</v>
      </c>
      <c r="F74" s="38" t="str">
        <v>docs/07-operations/issue-82/PROVISIONAL_PROXY_SCENARIO_CHANNEL_PRICING.csv</v>
      </c>
      <c r="G74" s="38" t="str">
        <v>VKM-019|À la carte</v>
      </c>
      <c r="H74" s="38"/>
      <c r="I74" s="38"/>
      <c r="J74" s="38"/>
      <c r="K74" s="38"/>
      <c r="L74" s="38"/>
      <c r="M74" s="38"/>
      <c r="N74" s="38"/>
      <c r="O74" s="38" t="n">
        <v>371.43417</v>
      </c>
      <c r="P74" s="38" t="n">
        <v>0</v>
      </c>
      <c r="Q74" s="38"/>
      <c r="R74" s="38" t="n">
        <v>371.43417</v>
      </c>
      <c r="S74" s="38" t="n">
        <v>1238.113899</v>
      </c>
      <c r="T74" s="38" t="n">
        <v>0.3</v>
      </c>
      <c r="U74" s="38" t="n">
        <v>0.30000000024230405</v>
      </c>
      <c r="V74" s="38" t="n">
        <v>866.67973</v>
      </c>
      <c r="W74" s="38"/>
      <c r="X74" s="38"/>
      <c r="Y74" s="38" t="n">
        <v>866.67973</v>
      </c>
      <c r="Z74" s="38" t="str">
        <v>ISSUE82_PROXY_SCENARIO</v>
      </c>
      <c r="AA74" s="38" t="str">
        <v>ASSUMPTION_BLOCKED_PENDING_VALIDATION</v>
      </c>
      <c r="AB74" s="38" t="str">
        <v>NOT_APPROVED_FOR_MENU</v>
      </c>
      <c r="AC74" s="38" t="str">
        <v>Planning scenario, not approved project price; tax, commission and quoted packaging remain excluded/blocked</v>
      </c>
      <c r="AD74" s="38" t="n">
        <v>0.3</v>
      </c>
      <c r="AE74" s="38" t="n">
        <v>1</v>
      </c>
      <c r="AF74" s="38" t="n">
        <v>371.43417</v>
      </c>
      <c r="AG74" s="38" t="n">
        <v>1238.113899</v>
      </c>
      <c r="AH74" s="38" t="n">
        <v>866.67973</v>
      </c>
      <c r="AI74" s="38" t="str">
        <v>SOURCE_ALREADY_ONE_SALE_UNIT</v>
      </c>
      <c r="AJ74" s="38" t="str">
        <v>MODEL_ASSUMPTION_ZERO_NOT_QUOTED_NOT_EVIDENCE</v>
      </c>
      <c r="AK74" s="38" t="str">
        <v>food_cost=kitchen_cogs/price; gross_margin_before_channel_costs=price-kitchen_cogs; contribution=price-complete_direct_cogs-tax-commission</v>
      </c>
      <c r="AL74" s="39" t="str">
        <v>ISS80-S02-CHANNEL-V1</v>
      </c>
      <c r="AM74" s="44" t="n">
        <f>IFERROR(O74/S74,"")</f>
        <v>0.30000000024230405</v>
      </c>
      <c r="AN74" s="43" t="n">
        <f>IF(OR(S74="",O74=""),"", S74-O74)</f>
        <v>866.679729</v>
      </c>
    </row>
    <row r="75">
      <c r="A75" s="37" t="str">
        <v>CH-VKM-019-071</v>
      </c>
      <c r="B75" s="38" t="str">
        <v>VKM-019</v>
      </c>
      <c r="C75" s="38" t="str">
        <v>Бизнес-ланч</v>
      </c>
      <c r="D75" s="38" t="str">
        <v>ISSUE82_RC2_PROXY_CHANNEL_SCENARIO</v>
      </c>
      <c r="E75" s="38" t="str">
        <v>71516bf871fa560e890ce5bc7f858854a5335ae2</v>
      </c>
      <c r="F75" s="38" t="str">
        <v>docs/07-operations/issue-82/PROVISIONAL_PROXY_SCENARIO_CHANNEL_PRICING.csv</v>
      </c>
      <c r="G75" s="38" t="str">
        <v>VKM-019|Бизнес-ланч</v>
      </c>
      <c r="H75" s="38"/>
      <c r="I75" s="38"/>
      <c r="J75" s="38"/>
      <c r="K75" s="38"/>
      <c r="L75" s="38"/>
      <c r="M75" s="38"/>
      <c r="N75" s="38"/>
      <c r="O75" s="38" t="n">
        <v>371.43417</v>
      </c>
      <c r="P75" s="38" t="n">
        <v>0</v>
      </c>
      <c r="Q75" s="38"/>
      <c r="R75" s="38" t="n">
        <v>371.43417</v>
      </c>
      <c r="S75" s="38" t="n">
        <v>928.585425</v>
      </c>
      <c r="T75" s="38" t="n">
        <v>0.4</v>
      </c>
      <c r="U75" s="38" t="n">
        <v>0.4</v>
      </c>
      <c r="V75" s="38" t="n">
        <v>557.151255</v>
      </c>
      <c r="W75" s="38"/>
      <c r="X75" s="38"/>
      <c r="Y75" s="38" t="n">
        <v>557.151255</v>
      </c>
      <c r="Z75" s="38" t="str">
        <v>ISSUE82_PROXY_SCENARIO</v>
      </c>
      <c r="AA75" s="38" t="str">
        <v>ASSUMPTION_BLOCKED_PENDING_VALIDATION</v>
      </c>
      <c r="AB75" s="38" t="str">
        <v>NOT_APPROVED_FOR_MENU</v>
      </c>
      <c r="AC75" s="38" t="str">
        <v>Planning scenario, not approved project price; tax, commission and quoted packaging remain excluded/blocked</v>
      </c>
      <c r="AD75" s="38" t="n">
        <v>0.4</v>
      </c>
      <c r="AE75" s="38" t="n">
        <v>1</v>
      </c>
      <c r="AF75" s="38" t="n">
        <v>371.43417</v>
      </c>
      <c r="AG75" s="38" t="n">
        <v>928.585425</v>
      </c>
      <c r="AH75" s="38" t="n">
        <v>557.151255</v>
      </c>
      <c r="AI75" s="38" t="str">
        <v>SOURCE_ALREADY_ONE_SALE_UNIT</v>
      </c>
      <c r="AJ75" s="38" t="str">
        <v>MODEL_ASSUMPTION_ZERO_NOT_QUOTED_NOT_EVIDENCE</v>
      </c>
      <c r="AK75" s="38" t="str">
        <v>food_cost=kitchen_cogs/price; gross_margin_before_channel_costs=price-kitchen_cogs; contribution=price-complete_direct_cogs-tax-commission</v>
      </c>
      <c r="AL75" s="39" t="str">
        <v>ISS80-S02-CHANNEL-V1</v>
      </c>
      <c r="AM75" s="44" t="n">
        <f>IFERROR(O75/S75,"")</f>
        <v>0.4</v>
      </c>
      <c r="AN75" s="43" t="n">
        <f>IF(OR(S75="",O75=""),"", S75-O75)</f>
        <v>557.151255</v>
      </c>
    </row>
    <row r="76">
      <c r="A76" s="37" t="str">
        <v>CH-VKM-019-072</v>
      </c>
      <c r="B76" s="38" t="str">
        <v>VKM-019</v>
      </c>
      <c r="C76" s="38" t="str">
        <v>Гостиничные ужины</v>
      </c>
      <c r="D76" s="38" t="str">
        <v>ISSUE82_RC2_PROXY_CHANNEL_SCENARIO</v>
      </c>
      <c r="E76" s="38" t="str">
        <v>71516bf871fa560e890ce5bc7f858854a5335ae2</v>
      </c>
      <c r="F76" s="38" t="str">
        <v>docs/07-operations/issue-82/PROVISIONAL_PROXY_SCENARIO_CHANNEL_PRICING.csv</v>
      </c>
      <c r="G76" s="38" t="str">
        <v>VKM-019|Гостиничные ужины</v>
      </c>
      <c r="H76" s="38"/>
      <c r="I76" s="38"/>
      <c r="J76" s="38"/>
      <c r="K76" s="38"/>
      <c r="L76" s="38"/>
      <c r="M76" s="38"/>
      <c r="N76" s="38"/>
      <c r="O76" s="38" t="n">
        <v>371.43417</v>
      </c>
      <c r="P76" s="38" t="n">
        <v>0</v>
      </c>
      <c r="Q76" s="38"/>
      <c r="R76" s="38" t="n">
        <v>371.43417</v>
      </c>
      <c r="S76" s="38" t="n">
        <v>1238.113899</v>
      </c>
      <c r="T76" s="38" t="n">
        <v>0.3</v>
      </c>
      <c r="U76" s="38" t="n">
        <v>0.30000000024230405</v>
      </c>
      <c r="V76" s="38" t="n">
        <v>866.67973</v>
      </c>
      <c r="W76" s="38"/>
      <c r="X76" s="38"/>
      <c r="Y76" s="38" t="n">
        <v>866.67973</v>
      </c>
      <c r="Z76" s="38" t="str">
        <v>ISSUE82_PROXY_SCENARIO</v>
      </c>
      <c r="AA76" s="38" t="str">
        <v>ASSUMPTION_BLOCKED_PENDING_VALIDATION</v>
      </c>
      <c r="AB76" s="38" t="str">
        <v>NOT_APPROVED_FOR_MENU</v>
      </c>
      <c r="AC76" s="38" t="str">
        <v>Planning scenario, not approved project price; tax, commission and quoted packaging remain excluded/blocked</v>
      </c>
      <c r="AD76" s="38" t="n">
        <v>0.3</v>
      </c>
      <c r="AE76" s="38" t="n">
        <v>1</v>
      </c>
      <c r="AF76" s="38" t="n">
        <v>371.43417</v>
      </c>
      <c r="AG76" s="38" t="n">
        <v>1238.113899</v>
      </c>
      <c r="AH76" s="38" t="n">
        <v>866.67973</v>
      </c>
      <c r="AI76" s="38" t="str">
        <v>SOURCE_ALREADY_ONE_SALE_UNIT</v>
      </c>
      <c r="AJ76" s="38" t="str">
        <v>MODEL_ASSUMPTION_ZERO_NOT_QUOTED_NOT_EVIDENCE</v>
      </c>
      <c r="AK76" s="38" t="str">
        <v>food_cost=kitchen_cogs/price; gross_margin_before_channel_costs=price-kitchen_cogs; contribution=price-complete_direct_cogs-tax-commission</v>
      </c>
      <c r="AL76" s="39" t="str">
        <v>ISS80-S02-CHANNEL-V1</v>
      </c>
      <c r="AM76" s="44" t="n">
        <f>IFERROR(O76/S76,"")</f>
        <v>0.30000000024230405</v>
      </c>
      <c r="AN76" s="43" t="n">
        <f>IF(OR(S76="",O76=""),"", S76-O76)</f>
        <v>866.679729</v>
      </c>
    </row>
    <row r="77">
      <c r="A77" s="37" t="str">
        <v>CH-VKM-019-073</v>
      </c>
      <c r="B77" s="38" t="str">
        <v>VKM-019</v>
      </c>
      <c r="C77" s="38" t="str">
        <v>Доставка</v>
      </c>
      <c r="D77" s="38" t="str">
        <v>ISSUE82_RC2_PROXY_CHANNEL_SCENARIO</v>
      </c>
      <c r="E77" s="38" t="str">
        <v>71516bf871fa560e890ce5bc7f858854a5335ae2</v>
      </c>
      <c r="F77" s="38" t="str">
        <v>docs/07-operations/issue-82/PROVISIONAL_PROXY_SCENARIO_CHANNEL_PRICING.csv</v>
      </c>
      <c r="G77" s="38" t="str">
        <v>VKM-019|Доставка</v>
      </c>
      <c r="H77" s="38"/>
      <c r="I77" s="38"/>
      <c r="J77" s="38"/>
      <c r="K77" s="38"/>
      <c r="L77" s="38"/>
      <c r="M77" s="38"/>
      <c r="N77" s="38"/>
      <c r="O77" s="38" t="n">
        <v>371.43417</v>
      </c>
      <c r="P77" s="38" t="n">
        <v>65</v>
      </c>
      <c r="Q77" s="38"/>
      <c r="R77" s="38" t="n">
        <v>436.43417</v>
      </c>
      <c r="S77" s="38" t="n">
        <v>1454.780566</v>
      </c>
      <c r="T77" s="38" t="n">
        <v>0.3</v>
      </c>
      <c r="U77" s="38" t="n">
        <v>0.25531972221850535</v>
      </c>
      <c r="V77" s="38" t="n">
        <v>1083.346396</v>
      </c>
      <c r="W77" s="38"/>
      <c r="X77" s="38"/>
      <c r="Y77" s="38" t="n">
        <v>1018.346396</v>
      </c>
      <c r="Z77" s="38" t="str">
        <v>ISSUE82_PROXY_SCENARIO</v>
      </c>
      <c r="AA77" s="38" t="str">
        <v>ASSUMPTION_BLOCKED_PENDING_VALIDATION</v>
      </c>
      <c r="AB77" s="38" t="str">
        <v>NOT_APPROVED_FOR_MENU</v>
      </c>
      <c r="AC77" s="38" t="str">
        <v>Planning scenario, not approved project price; tax, commission and quoted packaging remain excluded/blocked</v>
      </c>
      <c r="AD77" s="38" t="n">
        <v>0.25532</v>
      </c>
      <c r="AE77" s="38" t="n">
        <v>1</v>
      </c>
      <c r="AF77" s="38" t="n">
        <v>436.43417</v>
      </c>
      <c r="AG77" s="38" t="n">
        <v>1454.780566</v>
      </c>
      <c r="AH77" s="38" t="n">
        <v>1083.346396</v>
      </c>
      <c r="AI77" s="38" t="str">
        <v>SOURCE_ALREADY_ONE_SALE_UNIT</v>
      </c>
      <c r="AJ77" s="38" t="str">
        <v>SOURCE_VALUE</v>
      </c>
      <c r="AK77" s="38" t="str">
        <v>food_cost=kitchen_cogs/price; gross_margin_before_channel_costs=price-kitchen_cogs; contribution=price-complete_direct_cogs-tax-commission</v>
      </c>
      <c r="AL77" s="39" t="str">
        <v>ISS80-S02-CHANNEL-V1</v>
      </c>
      <c r="AM77" s="44" t="n">
        <f>IFERROR(O77/S77,"")</f>
        <v>0.25531972221850535</v>
      </c>
      <c r="AN77" s="43" t="n">
        <f>IF(OR(S77="",O77=""),"", S77-O77)</f>
        <v>1083.346396</v>
      </c>
    </row>
    <row r="78">
      <c r="A78" s="37" t="str">
        <v>CH-VKM-020-074</v>
      </c>
      <c r="B78" s="38" t="str">
        <v>VKM-020</v>
      </c>
      <c r="C78" s="38" t="str">
        <v>À la carte</v>
      </c>
      <c r="D78" s="38" t="str">
        <v>ISSUE82_RC2_PROXY_CHANNEL_SCENARIO</v>
      </c>
      <c r="E78" s="38" t="str">
        <v>71516bf871fa560e890ce5bc7f858854a5335ae2</v>
      </c>
      <c r="F78" s="38" t="str">
        <v>docs/07-operations/issue-82/PROVISIONAL_PROXY_SCENARIO_CHANNEL_PRICING.csv</v>
      </c>
      <c r="G78" s="38" t="str">
        <v>VKM-020|À la carte</v>
      </c>
      <c r="H78" s="38"/>
      <c r="I78" s="38"/>
      <c r="J78" s="38"/>
      <c r="K78" s="38"/>
      <c r="L78" s="38"/>
      <c r="M78" s="38"/>
      <c r="N78" s="38"/>
      <c r="O78" s="38" t="n">
        <v>357.352751</v>
      </c>
      <c r="P78" s="38" t="n">
        <v>0</v>
      </c>
      <c r="Q78" s="38"/>
      <c r="R78" s="38" t="n">
        <v>357.352751</v>
      </c>
      <c r="S78" s="38" t="n">
        <v>1191.175838</v>
      </c>
      <c r="T78" s="38" t="n">
        <v>0.3</v>
      </c>
      <c r="U78" s="38" t="n">
        <v>0.2999999996641973</v>
      </c>
      <c r="V78" s="38" t="n">
        <v>833.823086</v>
      </c>
      <c r="W78" s="38"/>
      <c r="X78" s="38"/>
      <c r="Y78" s="38" t="n">
        <v>833.823086</v>
      </c>
      <c r="Z78" s="38" t="str">
        <v>ISSUE82_PROXY_SCENARIO</v>
      </c>
      <c r="AA78" s="38" t="str">
        <v>ASSUMPTION_BLOCKED_PENDING_VALIDATION</v>
      </c>
      <c r="AB78" s="38" t="str">
        <v>NOT_APPROVED_FOR_MENU</v>
      </c>
      <c r="AC78" s="38" t="str">
        <v>Planning scenario, not approved project price; tax, commission and quoted packaging remain excluded/blocked</v>
      </c>
      <c r="AD78" s="38" t="n">
        <v>0.3</v>
      </c>
      <c r="AE78" s="38" t="n">
        <v>1</v>
      </c>
      <c r="AF78" s="38" t="n">
        <v>357.352751</v>
      </c>
      <c r="AG78" s="38" t="n">
        <v>1191.175838</v>
      </c>
      <c r="AH78" s="38" t="n">
        <v>833.823086</v>
      </c>
      <c r="AI78" s="38" t="str">
        <v>SOURCE_ALREADY_ONE_SALE_UNIT</v>
      </c>
      <c r="AJ78" s="38" t="str">
        <v>MODEL_ASSUMPTION_ZERO_NOT_QUOTED_NOT_EVIDENCE</v>
      </c>
      <c r="AK78" s="38" t="str">
        <v>food_cost=kitchen_cogs/price; gross_margin_before_channel_costs=price-kitchen_cogs; contribution=price-complete_direct_cogs-tax-commission</v>
      </c>
      <c r="AL78" s="39" t="str">
        <v>ISS80-S02-CHANNEL-V1</v>
      </c>
      <c r="AM78" s="44" t="n">
        <f>IFERROR(O78/S78,"")</f>
        <v>0.2999999996641973</v>
      </c>
      <c r="AN78" s="43" t="n">
        <f>IF(OR(S78="",O78=""),"", S78-O78)</f>
        <v>833.8230870000001</v>
      </c>
    </row>
    <row r="79">
      <c r="A79" s="37" t="str">
        <v>CH-VKM-020-075</v>
      </c>
      <c r="B79" s="38" t="str">
        <v>VKM-020</v>
      </c>
      <c r="C79" s="38" t="str">
        <v>Бизнес-ланч</v>
      </c>
      <c r="D79" s="38" t="str">
        <v>ISSUE82_RC2_PROXY_CHANNEL_SCENARIO</v>
      </c>
      <c r="E79" s="38" t="str">
        <v>71516bf871fa560e890ce5bc7f858854a5335ae2</v>
      </c>
      <c r="F79" s="38" t="str">
        <v>docs/07-operations/issue-82/PROVISIONAL_PROXY_SCENARIO_CHANNEL_PRICING.csv</v>
      </c>
      <c r="G79" s="38" t="str">
        <v>VKM-020|Бизнес-ланч</v>
      </c>
      <c r="H79" s="38"/>
      <c r="I79" s="38"/>
      <c r="J79" s="38"/>
      <c r="K79" s="38"/>
      <c r="L79" s="38"/>
      <c r="M79" s="38"/>
      <c r="N79" s="38"/>
      <c r="O79" s="38" t="n">
        <v>357.352751</v>
      </c>
      <c r="P79" s="38" t="n">
        <v>0</v>
      </c>
      <c r="Q79" s="38"/>
      <c r="R79" s="38" t="n">
        <v>357.352751</v>
      </c>
      <c r="S79" s="38" t="n">
        <v>893.381878</v>
      </c>
      <c r="T79" s="38" t="n">
        <v>0.4</v>
      </c>
      <c r="U79" s="38" t="n">
        <v>0.39999999977613154</v>
      </c>
      <c r="V79" s="38" t="n">
        <v>536.029127</v>
      </c>
      <c r="W79" s="38"/>
      <c r="X79" s="38"/>
      <c r="Y79" s="38" t="n">
        <v>536.029127</v>
      </c>
      <c r="Z79" s="38" t="str">
        <v>ISSUE82_PROXY_SCENARIO</v>
      </c>
      <c r="AA79" s="38" t="str">
        <v>ASSUMPTION_BLOCKED_PENDING_VALIDATION</v>
      </c>
      <c r="AB79" s="38" t="str">
        <v>NOT_APPROVED_FOR_MENU</v>
      </c>
      <c r="AC79" s="38" t="str">
        <v>Planning scenario, not approved project price; tax, commission and quoted packaging remain excluded/blocked</v>
      </c>
      <c r="AD79" s="38" t="n">
        <v>0.4</v>
      </c>
      <c r="AE79" s="38" t="n">
        <v>1</v>
      </c>
      <c r="AF79" s="38" t="n">
        <v>357.352751</v>
      </c>
      <c r="AG79" s="38" t="n">
        <v>893.381878</v>
      </c>
      <c r="AH79" s="38" t="n">
        <v>536.029127</v>
      </c>
      <c r="AI79" s="38" t="str">
        <v>SOURCE_ALREADY_ONE_SALE_UNIT</v>
      </c>
      <c r="AJ79" s="38" t="str">
        <v>MODEL_ASSUMPTION_ZERO_NOT_QUOTED_NOT_EVIDENCE</v>
      </c>
      <c r="AK79" s="38" t="str">
        <v>food_cost=kitchen_cogs/price; gross_margin_before_channel_costs=price-kitchen_cogs; contribution=price-complete_direct_cogs-tax-commission</v>
      </c>
      <c r="AL79" s="39" t="str">
        <v>ISS80-S02-CHANNEL-V1</v>
      </c>
      <c r="AM79" s="44" t="n">
        <f>IFERROR(O79/S79,"")</f>
        <v>0.39999999977613154</v>
      </c>
      <c r="AN79" s="43" t="n">
        <f>IF(OR(S79="",O79=""),"", S79-O79)</f>
        <v>536.029127</v>
      </c>
    </row>
    <row r="80">
      <c r="A80" s="37" t="str">
        <v>CH-VKM-020-076</v>
      </c>
      <c r="B80" s="38" t="str">
        <v>VKM-020</v>
      </c>
      <c r="C80" s="38" t="str">
        <v>Гостиничные ужины</v>
      </c>
      <c r="D80" s="38" t="str">
        <v>ISSUE82_RC2_PROXY_CHANNEL_SCENARIO</v>
      </c>
      <c r="E80" s="38" t="str">
        <v>71516bf871fa560e890ce5bc7f858854a5335ae2</v>
      </c>
      <c r="F80" s="38" t="str">
        <v>docs/07-operations/issue-82/PROVISIONAL_PROXY_SCENARIO_CHANNEL_PRICING.csv</v>
      </c>
      <c r="G80" s="38" t="str">
        <v>VKM-020|Гостиничные ужины</v>
      </c>
      <c r="H80" s="38"/>
      <c r="I80" s="38"/>
      <c r="J80" s="38"/>
      <c r="K80" s="38"/>
      <c r="L80" s="38"/>
      <c r="M80" s="38"/>
      <c r="N80" s="38"/>
      <c r="O80" s="38" t="n">
        <v>357.352751</v>
      </c>
      <c r="P80" s="38" t="n">
        <v>0</v>
      </c>
      <c r="Q80" s="38"/>
      <c r="R80" s="38" t="n">
        <v>357.352751</v>
      </c>
      <c r="S80" s="38" t="n">
        <v>1191.175838</v>
      </c>
      <c r="T80" s="38" t="n">
        <v>0.3</v>
      </c>
      <c r="U80" s="38" t="n">
        <v>0.2999999996641973</v>
      </c>
      <c r="V80" s="38" t="n">
        <v>833.823086</v>
      </c>
      <c r="W80" s="38"/>
      <c r="X80" s="38"/>
      <c r="Y80" s="38" t="n">
        <v>833.823086</v>
      </c>
      <c r="Z80" s="38" t="str">
        <v>ISSUE82_PROXY_SCENARIO</v>
      </c>
      <c r="AA80" s="38" t="str">
        <v>ASSUMPTION_BLOCKED_PENDING_VALIDATION</v>
      </c>
      <c r="AB80" s="38" t="str">
        <v>NOT_APPROVED_FOR_MENU</v>
      </c>
      <c r="AC80" s="38" t="str">
        <v>Planning scenario, not approved project price; tax, commission and quoted packaging remain excluded/blocked</v>
      </c>
      <c r="AD80" s="38" t="n">
        <v>0.3</v>
      </c>
      <c r="AE80" s="38" t="n">
        <v>1</v>
      </c>
      <c r="AF80" s="38" t="n">
        <v>357.352751</v>
      </c>
      <c r="AG80" s="38" t="n">
        <v>1191.175838</v>
      </c>
      <c r="AH80" s="38" t="n">
        <v>833.823086</v>
      </c>
      <c r="AI80" s="38" t="str">
        <v>SOURCE_ALREADY_ONE_SALE_UNIT</v>
      </c>
      <c r="AJ80" s="38" t="str">
        <v>MODEL_ASSUMPTION_ZERO_NOT_QUOTED_NOT_EVIDENCE</v>
      </c>
      <c r="AK80" s="38" t="str">
        <v>food_cost=kitchen_cogs/price; gross_margin_before_channel_costs=price-kitchen_cogs; contribution=price-complete_direct_cogs-tax-commission</v>
      </c>
      <c r="AL80" s="39" t="str">
        <v>ISS80-S02-CHANNEL-V1</v>
      </c>
      <c r="AM80" s="44" t="n">
        <f>IFERROR(O80/S80,"")</f>
        <v>0.2999999996641973</v>
      </c>
      <c r="AN80" s="43" t="n">
        <f>IF(OR(S80="",O80=""),"", S80-O80)</f>
        <v>833.8230870000001</v>
      </c>
    </row>
    <row r="81">
      <c r="A81" s="37" t="str">
        <v>CH-VKM-020-077</v>
      </c>
      <c r="B81" s="38" t="str">
        <v>VKM-020</v>
      </c>
      <c r="C81" s="38" t="str">
        <v>Доставка</v>
      </c>
      <c r="D81" s="38" t="str">
        <v>ISSUE82_RC2_PROXY_CHANNEL_SCENARIO</v>
      </c>
      <c r="E81" s="38" t="str">
        <v>71516bf871fa560e890ce5bc7f858854a5335ae2</v>
      </c>
      <c r="F81" s="38" t="str">
        <v>docs/07-operations/issue-82/PROVISIONAL_PROXY_SCENARIO_CHANNEL_PRICING.csv</v>
      </c>
      <c r="G81" s="38" t="str">
        <v>VKM-020|Доставка</v>
      </c>
      <c r="H81" s="38"/>
      <c r="I81" s="38"/>
      <c r="J81" s="38"/>
      <c r="K81" s="38"/>
      <c r="L81" s="38"/>
      <c r="M81" s="38"/>
      <c r="N81" s="38"/>
      <c r="O81" s="38" t="n">
        <v>357.352751</v>
      </c>
      <c r="P81" s="38" t="n">
        <v>65</v>
      </c>
      <c r="Q81" s="38"/>
      <c r="R81" s="38" t="n">
        <v>422.352751</v>
      </c>
      <c r="S81" s="38" t="n">
        <v>1407.842504</v>
      </c>
      <c r="T81" s="38" t="n">
        <v>0.3</v>
      </c>
      <c r="U81" s="38" t="n">
        <v>0.25383006265592906</v>
      </c>
      <c r="V81" s="38" t="n">
        <v>1050.489753</v>
      </c>
      <c r="W81" s="38"/>
      <c r="X81" s="38"/>
      <c r="Y81" s="38" t="n">
        <v>985.489753</v>
      </c>
      <c r="Z81" s="38" t="str">
        <v>ISSUE82_PROXY_SCENARIO</v>
      </c>
      <c r="AA81" s="38" t="str">
        <v>ASSUMPTION_BLOCKED_PENDING_VALIDATION</v>
      </c>
      <c r="AB81" s="38" t="str">
        <v>NOT_APPROVED_FOR_MENU</v>
      </c>
      <c r="AC81" s="38" t="str">
        <v>Planning scenario, not approved project price; tax, commission and quoted packaging remain excluded/blocked</v>
      </c>
      <c r="AD81" s="38" t="n">
        <v>0.25383</v>
      </c>
      <c r="AE81" s="38" t="n">
        <v>1</v>
      </c>
      <c r="AF81" s="38" t="n">
        <v>422.352751</v>
      </c>
      <c r="AG81" s="38" t="n">
        <v>1407.842504</v>
      </c>
      <c r="AH81" s="38" t="n">
        <v>1050.489753</v>
      </c>
      <c r="AI81" s="38" t="str">
        <v>SOURCE_ALREADY_ONE_SALE_UNIT</v>
      </c>
      <c r="AJ81" s="38" t="str">
        <v>SOURCE_VALUE</v>
      </c>
      <c r="AK81" s="38" t="str">
        <v>food_cost=kitchen_cogs/price; gross_margin_before_channel_costs=price-kitchen_cogs; contribution=price-complete_direct_cogs-tax-commission</v>
      </c>
      <c r="AL81" s="39" t="str">
        <v>ISS80-S02-CHANNEL-V1</v>
      </c>
      <c r="AM81" s="44" t="n">
        <f>IFERROR(O81/S81,"")</f>
        <v>0.25383006265592906</v>
      </c>
      <c r="AN81" s="43" t="n">
        <f>IF(OR(S81="",O81=""),"", S81-O81)</f>
        <v>1050.4897529999998</v>
      </c>
    </row>
    <row r="82">
      <c r="A82" s="37" t="str">
        <v>CH-VKM-021-078</v>
      </c>
      <c r="B82" s="38" t="str">
        <v>VKM-021</v>
      </c>
      <c r="C82" s="38" t="str">
        <v>À la carte</v>
      </c>
      <c r="D82" s="38" t="str">
        <v>ISSUE82_RC2_PROXY_CHANNEL_SCENARIO</v>
      </c>
      <c r="E82" s="38" t="str">
        <v>71516bf871fa560e890ce5bc7f858854a5335ae2</v>
      </c>
      <c r="F82" s="38" t="str">
        <v>docs/07-operations/issue-82/PROVISIONAL_PROXY_SCENARIO_CHANNEL_PRICING.csv</v>
      </c>
      <c r="G82" s="38" t="str">
        <v>VKM-021|À la carte</v>
      </c>
      <c r="H82" s="38"/>
      <c r="I82" s="38"/>
      <c r="J82" s="38"/>
      <c r="K82" s="38"/>
      <c r="L82" s="38"/>
      <c r="M82" s="38"/>
      <c r="N82" s="38"/>
      <c r="O82" s="38" t="n">
        <v>230.361685</v>
      </c>
      <c r="P82" s="38" t="n">
        <v>0</v>
      </c>
      <c r="Q82" s="38"/>
      <c r="R82" s="38" t="n">
        <v>230.361685</v>
      </c>
      <c r="S82" s="38" t="n">
        <v>767.872285</v>
      </c>
      <c r="T82" s="38" t="n">
        <v>0.3</v>
      </c>
      <c r="U82" s="38" t="n">
        <v>0.29999999934885</v>
      </c>
      <c r="V82" s="38" t="n">
        <v>537.510599</v>
      </c>
      <c r="W82" s="38"/>
      <c r="X82" s="38"/>
      <c r="Y82" s="38" t="n">
        <v>537.510599</v>
      </c>
      <c r="Z82" s="38" t="str">
        <v>ISSUE82_PROXY_SCENARIO</v>
      </c>
      <c r="AA82" s="38" t="str">
        <v>ASSUMPTION_BLOCKED_PENDING_VALIDATION</v>
      </c>
      <c r="AB82" s="38" t="str">
        <v>NOT_APPROVED_FOR_MENU</v>
      </c>
      <c r="AC82" s="38" t="str">
        <v>Planning scenario, not approved project price; tax, commission and quoted packaging remain excluded/blocked</v>
      </c>
      <c r="AD82" s="38" t="n">
        <v>0.3</v>
      </c>
      <c r="AE82" s="38" t="n">
        <v>1</v>
      </c>
      <c r="AF82" s="38" t="n">
        <v>230.361685</v>
      </c>
      <c r="AG82" s="38" t="n">
        <v>767.872285</v>
      </c>
      <c r="AH82" s="38" t="n">
        <v>537.510599</v>
      </c>
      <c r="AI82" s="38" t="str">
        <v>SOURCE_ALREADY_ONE_SALE_UNIT</v>
      </c>
      <c r="AJ82" s="38" t="str">
        <v>MODEL_ASSUMPTION_ZERO_NOT_QUOTED_NOT_EVIDENCE</v>
      </c>
      <c r="AK82" s="38" t="str">
        <v>food_cost=kitchen_cogs/price; gross_margin_before_channel_costs=price-kitchen_cogs; contribution=price-complete_direct_cogs-tax-commission</v>
      </c>
      <c r="AL82" s="39" t="str">
        <v>ISS80-S02-CHANNEL-V1</v>
      </c>
      <c r="AM82" s="44" t="n">
        <f>IFERROR(O82/S82,"")</f>
        <v>0.29999999934885</v>
      </c>
      <c r="AN82" s="43" t="n">
        <f>IF(OR(S82="",O82=""),"", S82-O82)</f>
        <v>537.5106000000001</v>
      </c>
    </row>
    <row r="83">
      <c r="A83" s="37" t="str">
        <v>CH-VKM-021-079</v>
      </c>
      <c r="B83" s="38" t="str">
        <v>VKM-021</v>
      </c>
      <c r="C83" s="38" t="str">
        <v>Бизнес-ланч</v>
      </c>
      <c r="D83" s="38" t="str">
        <v>ISSUE82_RC2_PROXY_CHANNEL_SCENARIO</v>
      </c>
      <c r="E83" s="38" t="str">
        <v>71516bf871fa560e890ce5bc7f858854a5335ae2</v>
      </c>
      <c r="F83" s="38" t="str">
        <v>docs/07-operations/issue-82/PROVISIONAL_PROXY_SCENARIO_CHANNEL_PRICING.csv</v>
      </c>
      <c r="G83" s="38" t="str">
        <v>VKM-021|Бизнес-ланч</v>
      </c>
      <c r="H83" s="38"/>
      <c r="I83" s="38"/>
      <c r="J83" s="38"/>
      <c r="K83" s="38"/>
      <c r="L83" s="38"/>
      <c r="M83" s="38"/>
      <c r="N83" s="38"/>
      <c r="O83" s="38" t="n">
        <v>230.361685</v>
      </c>
      <c r="P83" s="38" t="n">
        <v>0</v>
      </c>
      <c r="Q83" s="38"/>
      <c r="R83" s="38" t="n">
        <v>230.361685</v>
      </c>
      <c r="S83" s="38" t="n">
        <v>575.904214</v>
      </c>
      <c r="T83" s="38" t="n">
        <v>0.4</v>
      </c>
      <c r="U83" s="38" t="n">
        <v>0.3999999989581601</v>
      </c>
      <c r="V83" s="38" t="n">
        <v>345.542528</v>
      </c>
      <c r="W83" s="38"/>
      <c r="X83" s="38"/>
      <c r="Y83" s="38" t="n">
        <v>345.542528</v>
      </c>
      <c r="Z83" s="38" t="str">
        <v>ISSUE82_PROXY_SCENARIO</v>
      </c>
      <c r="AA83" s="38" t="str">
        <v>ASSUMPTION_BLOCKED_PENDING_VALIDATION</v>
      </c>
      <c r="AB83" s="38" t="str">
        <v>NOT_APPROVED_FOR_MENU</v>
      </c>
      <c r="AC83" s="38" t="str">
        <v>Planning scenario, not approved project price; tax, commission and quoted packaging remain excluded/blocked</v>
      </c>
      <c r="AD83" s="38" t="n">
        <v>0.4</v>
      </c>
      <c r="AE83" s="38" t="n">
        <v>1</v>
      </c>
      <c r="AF83" s="38" t="n">
        <v>230.361685</v>
      </c>
      <c r="AG83" s="38" t="n">
        <v>575.904214</v>
      </c>
      <c r="AH83" s="38" t="n">
        <v>345.542528</v>
      </c>
      <c r="AI83" s="38" t="str">
        <v>SOURCE_ALREADY_ONE_SALE_UNIT</v>
      </c>
      <c r="AJ83" s="38" t="str">
        <v>MODEL_ASSUMPTION_ZERO_NOT_QUOTED_NOT_EVIDENCE</v>
      </c>
      <c r="AK83" s="38" t="str">
        <v>food_cost=kitchen_cogs/price; gross_margin_before_channel_costs=price-kitchen_cogs; contribution=price-complete_direct_cogs-tax-commission</v>
      </c>
      <c r="AL83" s="39" t="str">
        <v>ISS80-S02-CHANNEL-V1</v>
      </c>
      <c r="AM83" s="44" t="n">
        <f>IFERROR(O83/S83,"")</f>
        <v>0.3999999989581601</v>
      </c>
      <c r="AN83" s="43" t="n">
        <f>IF(OR(S83="",O83=""),"", S83-O83)</f>
        <v>345.54252900000006</v>
      </c>
    </row>
    <row r="84">
      <c r="A84" s="37" t="str">
        <v>CH-VKM-021-080</v>
      </c>
      <c r="B84" s="38" t="str">
        <v>VKM-021</v>
      </c>
      <c r="C84" s="38" t="str">
        <v>Гостиничные ужины</v>
      </c>
      <c r="D84" s="38" t="str">
        <v>ISSUE82_RC2_PROXY_CHANNEL_SCENARIO</v>
      </c>
      <c r="E84" s="38" t="str">
        <v>71516bf871fa560e890ce5bc7f858854a5335ae2</v>
      </c>
      <c r="F84" s="38" t="str">
        <v>docs/07-operations/issue-82/PROVISIONAL_PROXY_SCENARIO_CHANNEL_PRICING.csv</v>
      </c>
      <c r="G84" s="38" t="str">
        <v>VKM-021|Гостиничные ужины</v>
      </c>
      <c r="H84" s="38"/>
      <c r="I84" s="38"/>
      <c r="J84" s="38"/>
      <c r="K84" s="38"/>
      <c r="L84" s="38"/>
      <c r="M84" s="38"/>
      <c r="N84" s="38"/>
      <c r="O84" s="38" t="n">
        <v>230.361685</v>
      </c>
      <c r="P84" s="38" t="n">
        <v>0</v>
      </c>
      <c r="Q84" s="38"/>
      <c r="R84" s="38" t="n">
        <v>230.361685</v>
      </c>
      <c r="S84" s="38" t="n">
        <v>767.872285</v>
      </c>
      <c r="T84" s="38" t="n">
        <v>0.3</v>
      </c>
      <c r="U84" s="38" t="n">
        <v>0.29999999934885</v>
      </c>
      <c r="V84" s="38" t="n">
        <v>537.510599</v>
      </c>
      <c r="W84" s="38"/>
      <c r="X84" s="38"/>
      <c r="Y84" s="38" t="n">
        <v>537.510599</v>
      </c>
      <c r="Z84" s="38" t="str">
        <v>ISSUE82_PROXY_SCENARIO</v>
      </c>
      <c r="AA84" s="38" t="str">
        <v>ASSUMPTION_BLOCKED_PENDING_VALIDATION</v>
      </c>
      <c r="AB84" s="38" t="str">
        <v>NOT_APPROVED_FOR_MENU</v>
      </c>
      <c r="AC84" s="38" t="str">
        <v>Planning scenario, not approved project price; tax, commission and quoted packaging remain excluded/blocked</v>
      </c>
      <c r="AD84" s="38" t="n">
        <v>0.3</v>
      </c>
      <c r="AE84" s="38" t="n">
        <v>1</v>
      </c>
      <c r="AF84" s="38" t="n">
        <v>230.361685</v>
      </c>
      <c r="AG84" s="38" t="n">
        <v>767.872285</v>
      </c>
      <c r="AH84" s="38" t="n">
        <v>537.510599</v>
      </c>
      <c r="AI84" s="38" t="str">
        <v>SOURCE_ALREADY_ONE_SALE_UNIT</v>
      </c>
      <c r="AJ84" s="38" t="str">
        <v>MODEL_ASSUMPTION_ZERO_NOT_QUOTED_NOT_EVIDENCE</v>
      </c>
      <c r="AK84" s="38" t="str">
        <v>food_cost=kitchen_cogs/price; gross_margin_before_channel_costs=price-kitchen_cogs; contribution=price-complete_direct_cogs-tax-commission</v>
      </c>
      <c r="AL84" s="39" t="str">
        <v>ISS80-S02-CHANNEL-V1</v>
      </c>
      <c r="AM84" s="44" t="n">
        <f>IFERROR(O84/S84,"")</f>
        <v>0.29999999934885</v>
      </c>
      <c r="AN84" s="43" t="n">
        <f>IF(OR(S84="",O84=""),"", S84-O84)</f>
        <v>537.5106000000001</v>
      </c>
    </row>
    <row r="85">
      <c r="A85" s="37" t="str">
        <v>CH-VKM-021-081</v>
      </c>
      <c r="B85" s="38" t="str">
        <v>VKM-021</v>
      </c>
      <c r="C85" s="38" t="str">
        <v>Доставка</v>
      </c>
      <c r="D85" s="38" t="str">
        <v>ISSUE82_RC2_PROXY_CHANNEL_SCENARIO</v>
      </c>
      <c r="E85" s="38" t="str">
        <v>71516bf871fa560e890ce5bc7f858854a5335ae2</v>
      </c>
      <c r="F85" s="38" t="str">
        <v>docs/07-operations/issue-82/PROVISIONAL_PROXY_SCENARIO_CHANNEL_PRICING.csv</v>
      </c>
      <c r="G85" s="38" t="str">
        <v>VKM-021|Доставка</v>
      </c>
      <c r="H85" s="38"/>
      <c r="I85" s="38"/>
      <c r="J85" s="38"/>
      <c r="K85" s="38"/>
      <c r="L85" s="38"/>
      <c r="M85" s="38"/>
      <c r="N85" s="38"/>
      <c r="O85" s="38" t="n">
        <v>230.361685</v>
      </c>
      <c r="P85" s="38" t="n">
        <v>65</v>
      </c>
      <c r="Q85" s="38"/>
      <c r="R85" s="38" t="n">
        <v>295.361685</v>
      </c>
      <c r="S85" s="38" t="n">
        <v>984.538952</v>
      </c>
      <c r="T85" s="38" t="n">
        <v>0.3</v>
      </c>
      <c r="U85" s="38" t="n">
        <v>0.23397924940607123</v>
      </c>
      <c r="V85" s="38" t="n">
        <v>754.177266</v>
      </c>
      <c r="W85" s="38"/>
      <c r="X85" s="38"/>
      <c r="Y85" s="38" t="n">
        <v>689.177266</v>
      </c>
      <c r="Z85" s="38" t="str">
        <v>ISSUE82_PROXY_SCENARIO</v>
      </c>
      <c r="AA85" s="38" t="str">
        <v>ASSUMPTION_BLOCKED_PENDING_VALIDATION</v>
      </c>
      <c r="AB85" s="38" t="str">
        <v>NOT_APPROVED_FOR_MENU</v>
      </c>
      <c r="AC85" s="38" t="str">
        <v>Planning scenario, not approved project price; tax, commission and quoted packaging remain excluded/blocked</v>
      </c>
      <c r="AD85" s="38" t="n">
        <v>0.233979</v>
      </c>
      <c r="AE85" s="38" t="n">
        <v>1</v>
      </c>
      <c r="AF85" s="38" t="n">
        <v>295.361685</v>
      </c>
      <c r="AG85" s="38" t="n">
        <v>984.538952</v>
      </c>
      <c r="AH85" s="38" t="n">
        <v>754.177266</v>
      </c>
      <c r="AI85" s="38" t="str">
        <v>SOURCE_ALREADY_ONE_SALE_UNIT</v>
      </c>
      <c r="AJ85" s="38" t="str">
        <v>SOURCE_VALUE</v>
      </c>
      <c r="AK85" s="38" t="str">
        <v>food_cost=kitchen_cogs/price; gross_margin_before_channel_costs=price-kitchen_cogs; contribution=price-complete_direct_cogs-tax-commission</v>
      </c>
      <c r="AL85" s="39" t="str">
        <v>ISS80-S02-CHANNEL-V1</v>
      </c>
      <c r="AM85" s="44" t="n">
        <f>IFERROR(O85/S85,"")</f>
        <v>0.23397924940607123</v>
      </c>
      <c r="AN85" s="43" t="n">
        <f>IF(OR(S85="",O85=""),"", S85-O85)</f>
        <v>754.177267</v>
      </c>
    </row>
    <row r="86">
      <c r="A86" s="37" t="str">
        <v>CH-VKM-022-082</v>
      </c>
      <c r="B86" s="38" t="str">
        <v>VKM-022</v>
      </c>
      <c r="C86" s="38" t="str">
        <v>À la carte</v>
      </c>
      <c r="D86" s="38" t="str">
        <v>ISSUE82_RC2_PROXY_CHANNEL_SCENARIO</v>
      </c>
      <c r="E86" s="38" t="str">
        <v>71516bf871fa560e890ce5bc7f858854a5335ae2</v>
      </c>
      <c r="F86" s="38" t="str">
        <v>docs/07-operations/issue-82/PROVISIONAL_PROXY_SCENARIO_CHANNEL_PRICING.csv</v>
      </c>
      <c r="G86" s="38" t="str">
        <v>VKM-022|À la carte</v>
      </c>
      <c r="H86" s="38"/>
      <c r="I86" s="38"/>
      <c r="J86" s="38"/>
      <c r="K86" s="38"/>
      <c r="L86" s="38"/>
      <c r="M86" s="38"/>
      <c r="N86" s="38"/>
      <c r="O86" s="38" t="n">
        <v>326.767996</v>
      </c>
      <c r="P86" s="38" t="n">
        <v>0</v>
      </c>
      <c r="Q86" s="38"/>
      <c r="R86" s="38" t="n">
        <v>326.767996</v>
      </c>
      <c r="S86" s="38" t="n">
        <v>1089.226653</v>
      </c>
      <c r="T86" s="38" t="n">
        <v>0.3</v>
      </c>
      <c r="U86" s="38" t="n">
        <v>0.30000000009180827</v>
      </c>
      <c r="V86" s="38" t="n">
        <v>762.458657</v>
      </c>
      <c r="W86" s="38"/>
      <c r="X86" s="38"/>
      <c r="Y86" s="38" t="n">
        <v>762.458657</v>
      </c>
      <c r="Z86" s="38" t="str">
        <v>ISSUE82_PROXY_SCENARIO</v>
      </c>
      <c r="AA86" s="38" t="str">
        <v>ASSUMPTION_BLOCKED_PENDING_VALIDATION</v>
      </c>
      <c r="AB86" s="38" t="str">
        <v>NOT_APPROVED_FOR_MENU</v>
      </c>
      <c r="AC86" s="38" t="str">
        <v>Planning scenario, not approved project price; tax, commission and quoted packaging remain excluded/blocked</v>
      </c>
      <c r="AD86" s="38" t="n">
        <v>0.3</v>
      </c>
      <c r="AE86" s="38" t="n">
        <v>1</v>
      </c>
      <c r="AF86" s="38" t="n">
        <v>326.767996</v>
      </c>
      <c r="AG86" s="38" t="n">
        <v>1089.226653</v>
      </c>
      <c r="AH86" s="38" t="n">
        <v>762.458657</v>
      </c>
      <c r="AI86" s="38" t="str">
        <v>SOURCE_ALREADY_ONE_SALE_UNIT</v>
      </c>
      <c r="AJ86" s="38" t="str">
        <v>MODEL_ASSUMPTION_ZERO_NOT_QUOTED_NOT_EVIDENCE</v>
      </c>
      <c r="AK86" s="38" t="str">
        <v>food_cost=kitchen_cogs/price; gross_margin_before_channel_costs=price-kitchen_cogs; contribution=price-complete_direct_cogs-tax-commission</v>
      </c>
      <c r="AL86" s="39" t="str">
        <v>ISS80-S02-CHANNEL-V1</v>
      </c>
      <c r="AM86" s="44" t="n">
        <f>IFERROR(O86/S86,"")</f>
        <v>0.30000000009180827</v>
      </c>
      <c r="AN86" s="43" t="n">
        <f>IF(OR(S86="",O86=""),"", S86-O86)</f>
        <v>762.4586569999999</v>
      </c>
    </row>
    <row r="87">
      <c r="A87" s="37" t="str">
        <v>CH-VKM-022-083</v>
      </c>
      <c r="B87" s="38" t="str">
        <v>VKM-022</v>
      </c>
      <c r="C87" s="38" t="str">
        <v>Бизнес-ланч</v>
      </c>
      <c r="D87" s="38" t="str">
        <v>ISSUE82_RC2_PROXY_CHANNEL_SCENARIO</v>
      </c>
      <c r="E87" s="38" t="str">
        <v>71516bf871fa560e890ce5bc7f858854a5335ae2</v>
      </c>
      <c r="F87" s="38" t="str">
        <v>docs/07-operations/issue-82/PROVISIONAL_PROXY_SCENARIO_CHANNEL_PRICING.csv</v>
      </c>
      <c r="G87" s="38" t="str">
        <v>VKM-022|Бизнес-ланч</v>
      </c>
      <c r="H87" s="38"/>
      <c r="I87" s="38"/>
      <c r="J87" s="38"/>
      <c r="K87" s="38"/>
      <c r="L87" s="38"/>
      <c r="M87" s="38"/>
      <c r="N87" s="38"/>
      <c r="O87" s="38" t="n">
        <v>326.767996</v>
      </c>
      <c r="P87" s="38" t="n">
        <v>0</v>
      </c>
      <c r="Q87" s="38"/>
      <c r="R87" s="38" t="n">
        <v>326.767996</v>
      </c>
      <c r="S87" s="38" t="n">
        <v>816.91999</v>
      </c>
      <c r="T87" s="38" t="n">
        <v>0.4</v>
      </c>
      <c r="U87" s="38" t="n">
        <v>0.39999999999999997</v>
      </c>
      <c r="V87" s="38" t="n">
        <v>490.151994</v>
      </c>
      <c r="W87" s="38"/>
      <c r="X87" s="38"/>
      <c r="Y87" s="38" t="n">
        <v>490.151994</v>
      </c>
      <c r="Z87" s="38" t="str">
        <v>ISSUE82_PROXY_SCENARIO</v>
      </c>
      <c r="AA87" s="38" t="str">
        <v>ASSUMPTION_BLOCKED_PENDING_VALIDATION</v>
      </c>
      <c r="AB87" s="38" t="str">
        <v>NOT_APPROVED_FOR_MENU</v>
      </c>
      <c r="AC87" s="38" t="str">
        <v>Planning scenario, not approved project price; tax, commission and quoted packaging remain excluded/blocked</v>
      </c>
      <c r="AD87" s="38" t="n">
        <v>0.4</v>
      </c>
      <c r="AE87" s="38" t="n">
        <v>1</v>
      </c>
      <c r="AF87" s="38" t="n">
        <v>326.767996</v>
      </c>
      <c r="AG87" s="38" t="n">
        <v>816.91999</v>
      </c>
      <c r="AH87" s="38" t="n">
        <v>490.151994</v>
      </c>
      <c r="AI87" s="38" t="str">
        <v>SOURCE_ALREADY_ONE_SALE_UNIT</v>
      </c>
      <c r="AJ87" s="38" t="str">
        <v>MODEL_ASSUMPTION_ZERO_NOT_QUOTED_NOT_EVIDENCE</v>
      </c>
      <c r="AK87" s="38" t="str">
        <v>food_cost=kitchen_cogs/price; gross_margin_before_channel_costs=price-kitchen_cogs; contribution=price-complete_direct_cogs-tax-commission</v>
      </c>
      <c r="AL87" s="39" t="str">
        <v>ISS80-S02-CHANNEL-V1</v>
      </c>
      <c r="AM87" s="44" t="n">
        <f>IFERROR(O87/S87,"")</f>
        <v>0.39999999999999997</v>
      </c>
      <c r="AN87" s="43" t="n">
        <f>IF(OR(S87="",O87=""),"", S87-O87)</f>
        <v>490.151994</v>
      </c>
    </row>
    <row r="88">
      <c r="A88" s="37" t="str">
        <v>CH-VKM-022-084</v>
      </c>
      <c r="B88" s="38" t="str">
        <v>VKM-022</v>
      </c>
      <c r="C88" s="38" t="str">
        <v>Гостиничные ужины</v>
      </c>
      <c r="D88" s="38" t="str">
        <v>ISSUE82_RC2_PROXY_CHANNEL_SCENARIO</v>
      </c>
      <c r="E88" s="38" t="str">
        <v>71516bf871fa560e890ce5bc7f858854a5335ae2</v>
      </c>
      <c r="F88" s="38" t="str">
        <v>docs/07-operations/issue-82/PROVISIONAL_PROXY_SCENARIO_CHANNEL_PRICING.csv</v>
      </c>
      <c r="G88" s="38" t="str">
        <v>VKM-022|Гостиничные ужины</v>
      </c>
      <c r="H88" s="38"/>
      <c r="I88" s="38"/>
      <c r="J88" s="38"/>
      <c r="K88" s="38"/>
      <c r="L88" s="38"/>
      <c r="M88" s="38"/>
      <c r="N88" s="38"/>
      <c r="O88" s="38" t="n">
        <v>326.767996</v>
      </c>
      <c r="P88" s="38" t="n">
        <v>0</v>
      </c>
      <c r="Q88" s="38"/>
      <c r="R88" s="38" t="n">
        <v>326.767996</v>
      </c>
      <c r="S88" s="38" t="n">
        <v>1089.226653</v>
      </c>
      <c r="T88" s="38" t="n">
        <v>0.3</v>
      </c>
      <c r="U88" s="38" t="n">
        <v>0.30000000009180827</v>
      </c>
      <c r="V88" s="38" t="n">
        <v>762.458657</v>
      </c>
      <c r="W88" s="38"/>
      <c r="X88" s="38"/>
      <c r="Y88" s="38" t="n">
        <v>762.458657</v>
      </c>
      <c r="Z88" s="38" t="str">
        <v>ISSUE82_PROXY_SCENARIO</v>
      </c>
      <c r="AA88" s="38" t="str">
        <v>ASSUMPTION_BLOCKED_PENDING_VALIDATION</v>
      </c>
      <c r="AB88" s="38" t="str">
        <v>NOT_APPROVED_FOR_MENU</v>
      </c>
      <c r="AC88" s="38" t="str">
        <v>Planning scenario, not approved project price; tax, commission and quoted packaging remain excluded/blocked</v>
      </c>
      <c r="AD88" s="38" t="n">
        <v>0.3</v>
      </c>
      <c r="AE88" s="38" t="n">
        <v>1</v>
      </c>
      <c r="AF88" s="38" t="n">
        <v>326.767996</v>
      </c>
      <c r="AG88" s="38" t="n">
        <v>1089.226653</v>
      </c>
      <c r="AH88" s="38" t="n">
        <v>762.458657</v>
      </c>
      <c r="AI88" s="38" t="str">
        <v>SOURCE_ALREADY_ONE_SALE_UNIT</v>
      </c>
      <c r="AJ88" s="38" t="str">
        <v>MODEL_ASSUMPTION_ZERO_NOT_QUOTED_NOT_EVIDENCE</v>
      </c>
      <c r="AK88" s="38" t="str">
        <v>food_cost=kitchen_cogs/price; gross_margin_before_channel_costs=price-kitchen_cogs; contribution=price-complete_direct_cogs-tax-commission</v>
      </c>
      <c r="AL88" s="39" t="str">
        <v>ISS80-S02-CHANNEL-V1</v>
      </c>
      <c r="AM88" s="44" t="n">
        <f>IFERROR(O88/S88,"")</f>
        <v>0.30000000009180827</v>
      </c>
      <c r="AN88" s="43" t="n">
        <f>IF(OR(S88="",O88=""),"", S88-O88)</f>
        <v>762.4586569999999</v>
      </c>
    </row>
    <row r="89">
      <c r="A89" s="37" t="str">
        <v>CH-VKM-022-085</v>
      </c>
      <c r="B89" s="38" t="str">
        <v>VKM-022</v>
      </c>
      <c r="C89" s="38" t="str">
        <v>Доставка</v>
      </c>
      <c r="D89" s="38" t="str">
        <v>ISSUE82_RC2_PROXY_CHANNEL_SCENARIO</v>
      </c>
      <c r="E89" s="38" t="str">
        <v>71516bf871fa560e890ce5bc7f858854a5335ae2</v>
      </c>
      <c r="F89" s="38" t="str">
        <v>docs/07-operations/issue-82/PROVISIONAL_PROXY_SCENARIO_CHANNEL_PRICING.csv</v>
      </c>
      <c r="G89" s="38" t="str">
        <v>VKM-022|Доставка</v>
      </c>
      <c r="H89" s="38"/>
      <c r="I89" s="38"/>
      <c r="J89" s="38"/>
      <c r="K89" s="38"/>
      <c r="L89" s="38"/>
      <c r="M89" s="38"/>
      <c r="N89" s="38"/>
      <c r="O89" s="38" t="n">
        <v>326.767996</v>
      </c>
      <c r="P89" s="38" t="n">
        <v>65</v>
      </c>
      <c r="Q89" s="38"/>
      <c r="R89" s="38" t="n">
        <v>391.767996</v>
      </c>
      <c r="S89" s="38" t="n">
        <v>1305.89332</v>
      </c>
      <c r="T89" s="38" t="n">
        <v>0.3</v>
      </c>
      <c r="U89" s="38" t="n">
        <v>0.25022564324013846</v>
      </c>
      <c r="V89" s="38" t="n">
        <v>979.125324</v>
      </c>
      <c r="W89" s="38"/>
      <c r="X89" s="38"/>
      <c r="Y89" s="38" t="n">
        <v>914.125324</v>
      </c>
      <c r="Z89" s="38" t="str">
        <v>ISSUE82_PROXY_SCENARIO</v>
      </c>
      <c r="AA89" s="38" t="str">
        <v>ASSUMPTION_BLOCKED_PENDING_VALIDATION</v>
      </c>
      <c r="AB89" s="38" t="str">
        <v>NOT_APPROVED_FOR_MENU</v>
      </c>
      <c r="AC89" s="38" t="str">
        <v>Planning scenario, not approved project price; tax, commission and quoted packaging remain excluded/blocked</v>
      </c>
      <c r="AD89" s="38" t="n">
        <v>0.250226</v>
      </c>
      <c r="AE89" s="38" t="n">
        <v>1</v>
      </c>
      <c r="AF89" s="38" t="n">
        <v>391.767996</v>
      </c>
      <c r="AG89" s="38" t="n">
        <v>1305.89332</v>
      </c>
      <c r="AH89" s="38" t="n">
        <v>979.125324</v>
      </c>
      <c r="AI89" s="38" t="str">
        <v>SOURCE_ALREADY_ONE_SALE_UNIT</v>
      </c>
      <c r="AJ89" s="38" t="str">
        <v>SOURCE_VALUE</v>
      </c>
      <c r="AK89" s="38" t="str">
        <v>food_cost=kitchen_cogs/price; gross_margin_before_channel_costs=price-kitchen_cogs; contribution=price-complete_direct_cogs-tax-commission</v>
      </c>
      <c r="AL89" s="39" t="str">
        <v>ISS80-S02-CHANNEL-V1</v>
      </c>
      <c r="AM89" s="44" t="n">
        <f>IFERROR(O89/S89,"")</f>
        <v>0.25022564324013846</v>
      </c>
      <c r="AN89" s="43" t="n">
        <f>IF(OR(S89="",O89=""),"", S89-O89)</f>
        <v>979.1253239999999</v>
      </c>
    </row>
    <row r="90">
      <c r="A90" s="37" t="str">
        <v>CH-VKM-023-086</v>
      </c>
      <c r="B90" s="38" t="str">
        <v>VKM-023</v>
      </c>
      <c r="C90" s="38" t="str">
        <v>À la carte</v>
      </c>
      <c r="D90" s="38" t="str">
        <v>ISSUE82_RC2_PROXY_CHANNEL_SCENARIO</v>
      </c>
      <c r="E90" s="38" t="str">
        <v>71516bf871fa560e890ce5bc7f858854a5335ae2</v>
      </c>
      <c r="F90" s="38" t="str">
        <v>docs/07-operations/issue-82/PROVISIONAL_PROXY_SCENARIO_CHANNEL_PRICING.csv</v>
      </c>
      <c r="G90" s="38" t="str">
        <v>VKM-023|À la carte</v>
      </c>
      <c r="H90" s="38"/>
      <c r="I90" s="38"/>
      <c r="J90" s="38"/>
      <c r="K90" s="38"/>
      <c r="L90" s="38"/>
      <c r="M90" s="38"/>
      <c r="N90" s="38"/>
      <c r="O90" s="38" t="n">
        <v>19.947533</v>
      </c>
      <c r="P90" s="38" t="n">
        <v>0</v>
      </c>
      <c r="Q90" s="38"/>
      <c r="R90" s="38" t="n">
        <v>19.947533</v>
      </c>
      <c r="S90" s="38" t="n">
        <v>66.491776</v>
      </c>
      <c r="T90" s="38" t="n">
        <v>0.3</v>
      </c>
      <c r="U90" s="38" t="n">
        <v>0.30000000300789076</v>
      </c>
      <c r="V90" s="38" t="n">
        <v>46.544243</v>
      </c>
      <c r="W90" s="38"/>
      <c r="X90" s="38"/>
      <c r="Y90" s="38" t="n">
        <v>46.544243</v>
      </c>
      <c r="Z90" s="38" t="str">
        <v>ISSUE82_PROXY_SCENARIO</v>
      </c>
      <c r="AA90" s="38" t="str">
        <v>ASSUMPTION_BLOCKED_PENDING_VALIDATION</v>
      </c>
      <c r="AB90" s="38" t="str">
        <v>NOT_APPROVED_FOR_MENU</v>
      </c>
      <c r="AC90" s="38" t="str">
        <v>Planning scenario, not approved project price; tax, commission and quoted packaging remain excluded/blocked</v>
      </c>
      <c r="AD90" s="38" t="n">
        <v>0.3</v>
      </c>
      <c r="AE90" s="38" t="n">
        <v>1</v>
      </c>
      <c r="AF90" s="38" t="n">
        <v>19.947533</v>
      </c>
      <c r="AG90" s="38" t="n">
        <v>66.491776</v>
      </c>
      <c r="AH90" s="38" t="n">
        <v>46.544243</v>
      </c>
      <c r="AI90" s="38" t="str">
        <v>SOURCE_ALREADY_ONE_SALE_UNIT</v>
      </c>
      <c r="AJ90" s="38" t="str">
        <v>MODEL_ASSUMPTION_ZERO_NOT_QUOTED_NOT_EVIDENCE</v>
      </c>
      <c r="AK90" s="38" t="str">
        <v>food_cost=kitchen_cogs/price; gross_margin_before_channel_costs=price-kitchen_cogs; contribution=price-complete_direct_cogs-tax-commission</v>
      </c>
      <c r="AL90" s="39" t="str">
        <v>ISS80-S02-CHANNEL-V1</v>
      </c>
      <c r="AM90" s="44" t="n">
        <f>IFERROR(O90/S90,"")</f>
        <v>0.30000000300789076</v>
      </c>
      <c r="AN90" s="43" t="n">
        <f>IF(OR(S90="",O90=""),"", S90-O90)</f>
        <v>46.544243</v>
      </c>
    </row>
    <row r="91">
      <c r="A91" s="37" t="str">
        <v>CH-VKM-023-087</v>
      </c>
      <c r="B91" s="38" t="str">
        <v>VKM-023</v>
      </c>
      <c r="C91" s="38" t="str">
        <v>Бизнес-ланч</v>
      </c>
      <c r="D91" s="38" t="str">
        <v>ISSUE82_RC2_PROXY_CHANNEL_SCENARIO</v>
      </c>
      <c r="E91" s="38" t="str">
        <v>71516bf871fa560e890ce5bc7f858854a5335ae2</v>
      </c>
      <c r="F91" s="38" t="str">
        <v>docs/07-operations/issue-82/PROVISIONAL_PROXY_SCENARIO_CHANNEL_PRICING.csv</v>
      </c>
      <c r="G91" s="38" t="str">
        <v>VKM-023|Бизнес-ланч</v>
      </c>
      <c r="H91" s="38"/>
      <c r="I91" s="38"/>
      <c r="J91" s="38"/>
      <c r="K91" s="38"/>
      <c r="L91" s="38"/>
      <c r="M91" s="38"/>
      <c r="N91" s="38"/>
      <c r="O91" s="38" t="n">
        <v>19.947533</v>
      </c>
      <c r="P91" s="38" t="n">
        <v>0</v>
      </c>
      <c r="Q91" s="38"/>
      <c r="R91" s="38" t="n">
        <v>19.947533</v>
      </c>
      <c r="S91" s="38" t="n">
        <v>49.868832</v>
      </c>
      <c r="T91" s="38" t="n">
        <v>0.4</v>
      </c>
      <c r="U91" s="38" t="n">
        <v>0.40000000401052105</v>
      </c>
      <c r="V91" s="38" t="n">
        <v>29.921299</v>
      </c>
      <c r="W91" s="38"/>
      <c r="X91" s="38"/>
      <c r="Y91" s="38" t="n">
        <v>29.921299</v>
      </c>
      <c r="Z91" s="38" t="str">
        <v>ISSUE82_PROXY_SCENARIO</v>
      </c>
      <c r="AA91" s="38" t="str">
        <v>ASSUMPTION_BLOCKED_PENDING_VALIDATION</v>
      </c>
      <c r="AB91" s="38" t="str">
        <v>NOT_APPROVED_FOR_MENU</v>
      </c>
      <c r="AC91" s="38" t="str">
        <v>Planning scenario, not approved project price; tax, commission and quoted packaging remain excluded/blocked</v>
      </c>
      <c r="AD91" s="38" t="n">
        <v>0.4</v>
      </c>
      <c r="AE91" s="38" t="n">
        <v>1</v>
      </c>
      <c r="AF91" s="38" t="n">
        <v>19.947533</v>
      </c>
      <c r="AG91" s="38" t="n">
        <v>49.868832</v>
      </c>
      <c r="AH91" s="38" t="n">
        <v>29.921299</v>
      </c>
      <c r="AI91" s="38" t="str">
        <v>SOURCE_ALREADY_ONE_SALE_UNIT</v>
      </c>
      <c r="AJ91" s="38" t="str">
        <v>MODEL_ASSUMPTION_ZERO_NOT_QUOTED_NOT_EVIDENCE</v>
      </c>
      <c r="AK91" s="38" t="str">
        <v>food_cost=kitchen_cogs/price; gross_margin_before_channel_costs=price-kitchen_cogs; contribution=price-complete_direct_cogs-tax-commission</v>
      </c>
      <c r="AL91" s="39" t="str">
        <v>ISS80-S02-CHANNEL-V1</v>
      </c>
      <c r="AM91" s="44" t="n">
        <f>IFERROR(O91/S91,"")</f>
        <v>0.40000000401052105</v>
      </c>
      <c r="AN91" s="43" t="n">
        <f>IF(OR(S91="",O91=""),"", S91-O91)</f>
        <v>29.921298999999998</v>
      </c>
    </row>
    <row r="92">
      <c r="A92" s="37" t="str">
        <v>CH-VKM-023-088</v>
      </c>
      <c r="B92" s="38" t="str">
        <v>VKM-023</v>
      </c>
      <c r="C92" s="38" t="str">
        <v>Гостиничные ужины</v>
      </c>
      <c r="D92" s="38" t="str">
        <v>ISSUE82_RC2_PROXY_CHANNEL_SCENARIO</v>
      </c>
      <c r="E92" s="38" t="str">
        <v>71516bf871fa560e890ce5bc7f858854a5335ae2</v>
      </c>
      <c r="F92" s="38" t="str">
        <v>docs/07-operations/issue-82/PROVISIONAL_PROXY_SCENARIO_CHANNEL_PRICING.csv</v>
      </c>
      <c r="G92" s="38" t="str">
        <v>VKM-023|Гостиничные ужины</v>
      </c>
      <c r="H92" s="38"/>
      <c r="I92" s="38"/>
      <c r="J92" s="38"/>
      <c r="K92" s="38"/>
      <c r="L92" s="38"/>
      <c r="M92" s="38"/>
      <c r="N92" s="38"/>
      <c r="O92" s="38" t="n">
        <v>19.947533</v>
      </c>
      <c r="P92" s="38" t="n">
        <v>0</v>
      </c>
      <c r="Q92" s="38"/>
      <c r="R92" s="38" t="n">
        <v>19.947533</v>
      </c>
      <c r="S92" s="38" t="n">
        <v>66.491776</v>
      </c>
      <c r="T92" s="38" t="n">
        <v>0.3</v>
      </c>
      <c r="U92" s="38" t="n">
        <v>0.30000000300789076</v>
      </c>
      <c r="V92" s="38" t="n">
        <v>46.544243</v>
      </c>
      <c r="W92" s="38"/>
      <c r="X92" s="38"/>
      <c r="Y92" s="38" t="n">
        <v>46.544243</v>
      </c>
      <c r="Z92" s="38" t="str">
        <v>ISSUE82_PROXY_SCENARIO</v>
      </c>
      <c r="AA92" s="38" t="str">
        <v>ASSUMPTION_BLOCKED_PENDING_VALIDATION</v>
      </c>
      <c r="AB92" s="38" t="str">
        <v>NOT_APPROVED_FOR_MENU</v>
      </c>
      <c r="AC92" s="38" t="str">
        <v>Planning scenario, not approved project price; tax, commission and quoted packaging remain excluded/blocked</v>
      </c>
      <c r="AD92" s="38" t="n">
        <v>0.3</v>
      </c>
      <c r="AE92" s="38" t="n">
        <v>1</v>
      </c>
      <c r="AF92" s="38" t="n">
        <v>19.947533</v>
      </c>
      <c r="AG92" s="38" t="n">
        <v>66.491776</v>
      </c>
      <c r="AH92" s="38" t="n">
        <v>46.544243</v>
      </c>
      <c r="AI92" s="38" t="str">
        <v>SOURCE_ALREADY_ONE_SALE_UNIT</v>
      </c>
      <c r="AJ92" s="38" t="str">
        <v>MODEL_ASSUMPTION_ZERO_NOT_QUOTED_NOT_EVIDENCE</v>
      </c>
      <c r="AK92" s="38" t="str">
        <v>food_cost=kitchen_cogs/price; gross_margin_before_channel_costs=price-kitchen_cogs; contribution=price-complete_direct_cogs-tax-commission</v>
      </c>
      <c r="AL92" s="39" t="str">
        <v>ISS80-S02-CHANNEL-V1</v>
      </c>
      <c r="AM92" s="44" t="n">
        <f>IFERROR(O92/S92,"")</f>
        <v>0.30000000300789076</v>
      </c>
      <c r="AN92" s="43" t="n">
        <f>IF(OR(S92="",O92=""),"", S92-O92)</f>
        <v>46.544243</v>
      </c>
    </row>
    <row r="93">
      <c r="A93" s="37" t="str">
        <v>CH-VKM-024-089</v>
      </c>
      <c r="B93" s="38" t="str">
        <v>VKM-024</v>
      </c>
      <c r="C93" s="38" t="str">
        <v>À la carte</v>
      </c>
      <c r="D93" s="38" t="str">
        <v>ISSUE82_RC2_PROXY_CHANNEL_SCENARIO</v>
      </c>
      <c r="E93" s="38" t="str">
        <v>71516bf871fa560e890ce5bc7f858854a5335ae2</v>
      </c>
      <c r="F93" s="38" t="str">
        <v>docs/07-operations/issue-82/PROVISIONAL_PROXY_SCENARIO_CHANNEL_PRICING.csv</v>
      </c>
      <c r="G93" s="38" t="str">
        <v>VKM-024|À la carte</v>
      </c>
      <c r="H93" s="38"/>
      <c r="I93" s="38"/>
      <c r="J93" s="38"/>
      <c r="K93" s="38"/>
      <c r="L93" s="38"/>
      <c r="M93" s="38"/>
      <c r="N93" s="38"/>
      <c r="O93" s="38" t="n">
        <v>24.566642</v>
      </c>
      <c r="P93" s="38" t="n">
        <v>0</v>
      </c>
      <c r="Q93" s="38"/>
      <c r="R93" s="38" t="n">
        <v>24.566642</v>
      </c>
      <c r="S93" s="38" t="n">
        <v>81.888808</v>
      </c>
      <c r="T93" s="38" t="n">
        <v>0.3</v>
      </c>
      <c r="U93" s="38" t="n">
        <v>0.29999999511532766</v>
      </c>
      <c r="V93" s="38" t="n">
        <v>57.322166</v>
      </c>
      <c r="W93" s="38"/>
      <c r="X93" s="38"/>
      <c r="Y93" s="38" t="n">
        <v>57.322166</v>
      </c>
      <c r="Z93" s="38" t="str">
        <v>ISSUE82_PROXY_SCENARIO</v>
      </c>
      <c r="AA93" s="38" t="str">
        <v>ASSUMPTION_BLOCKED_PENDING_VALIDATION</v>
      </c>
      <c r="AB93" s="38" t="str">
        <v>NOT_APPROVED_FOR_MENU</v>
      </c>
      <c r="AC93" s="38" t="str">
        <v>Planning scenario, not approved project price; tax, commission and quoted packaging remain excluded/blocked</v>
      </c>
      <c r="AD93" s="38" t="n">
        <v>0.3</v>
      </c>
      <c r="AE93" s="38" t="n">
        <v>1</v>
      </c>
      <c r="AF93" s="38" t="n">
        <v>24.566642</v>
      </c>
      <c r="AG93" s="38" t="n">
        <v>81.888808</v>
      </c>
      <c r="AH93" s="38" t="n">
        <v>57.322166</v>
      </c>
      <c r="AI93" s="38" t="str">
        <v>SOURCE_ALREADY_ONE_SALE_UNIT</v>
      </c>
      <c r="AJ93" s="38" t="str">
        <v>MODEL_ASSUMPTION_ZERO_NOT_QUOTED_NOT_EVIDENCE</v>
      </c>
      <c r="AK93" s="38" t="str">
        <v>food_cost=kitchen_cogs/price; gross_margin_before_channel_costs=price-kitchen_cogs; contribution=price-complete_direct_cogs-tax-commission</v>
      </c>
      <c r="AL93" s="39" t="str">
        <v>ISS80-S02-CHANNEL-V1</v>
      </c>
      <c r="AM93" s="44" t="n">
        <f>IFERROR(O93/S93,"")</f>
        <v>0.29999999511532766</v>
      </c>
      <c r="AN93" s="43" t="n">
        <f>IF(OR(S93="",O93=""),"", S93-O93)</f>
        <v>57.322165999999996</v>
      </c>
    </row>
    <row r="94">
      <c r="A94" s="37" t="str">
        <v>CH-VKM-024-090</v>
      </c>
      <c r="B94" s="38" t="str">
        <v>VKM-024</v>
      </c>
      <c r="C94" s="38" t="str">
        <v>Бизнес-ланч</v>
      </c>
      <c r="D94" s="38" t="str">
        <v>ISSUE82_RC2_PROXY_CHANNEL_SCENARIO</v>
      </c>
      <c r="E94" s="38" t="str">
        <v>71516bf871fa560e890ce5bc7f858854a5335ae2</v>
      </c>
      <c r="F94" s="38" t="str">
        <v>docs/07-operations/issue-82/PROVISIONAL_PROXY_SCENARIO_CHANNEL_PRICING.csv</v>
      </c>
      <c r="G94" s="38" t="str">
        <v>VKM-024|Бизнес-ланч</v>
      </c>
      <c r="H94" s="38"/>
      <c r="I94" s="38"/>
      <c r="J94" s="38"/>
      <c r="K94" s="38"/>
      <c r="L94" s="38"/>
      <c r="M94" s="38"/>
      <c r="N94" s="38"/>
      <c r="O94" s="38" t="n">
        <v>24.566642</v>
      </c>
      <c r="P94" s="38" t="n">
        <v>0</v>
      </c>
      <c r="Q94" s="38"/>
      <c r="R94" s="38" t="n">
        <v>24.566642</v>
      </c>
      <c r="S94" s="38" t="n">
        <v>61.416606</v>
      </c>
      <c r="T94" s="38" t="n">
        <v>0.4</v>
      </c>
      <c r="U94" s="38" t="n">
        <v>0.39999999348710347</v>
      </c>
      <c r="V94" s="38" t="n">
        <v>36.849964</v>
      </c>
      <c r="W94" s="38"/>
      <c r="X94" s="38"/>
      <c r="Y94" s="38" t="n">
        <v>36.849964</v>
      </c>
      <c r="Z94" s="38" t="str">
        <v>ISSUE82_PROXY_SCENARIO</v>
      </c>
      <c r="AA94" s="38" t="str">
        <v>ASSUMPTION_BLOCKED_PENDING_VALIDATION</v>
      </c>
      <c r="AB94" s="38" t="str">
        <v>NOT_APPROVED_FOR_MENU</v>
      </c>
      <c r="AC94" s="38" t="str">
        <v>Planning scenario, not approved project price; tax, commission and quoted packaging remain excluded/blocked</v>
      </c>
      <c r="AD94" s="38" t="n">
        <v>0.4</v>
      </c>
      <c r="AE94" s="38" t="n">
        <v>1</v>
      </c>
      <c r="AF94" s="38" t="n">
        <v>24.566642</v>
      </c>
      <c r="AG94" s="38" t="n">
        <v>61.416606</v>
      </c>
      <c r="AH94" s="38" t="n">
        <v>36.849964</v>
      </c>
      <c r="AI94" s="38" t="str">
        <v>SOURCE_ALREADY_ONE_SALE_UNIT</v>
      </c>
      <c r="AJ94" s="38" t="str">
        <v>MODEL_ASSUMPTION_ZERO_NOT_QUOTED_NOT_EVIDENCE</v>
      </c>
      <c r="AK94" s="38" t="str">
        <v>food_cost=kitchen_cogs/price; gross_margin_before_channel_costs=price-kitchen_cogs; contribution=price-complete_direct_cogs-tax-commission</v>
      </c>
      <c r="AL94" s="39" t="str">
        <v>ISS80-S02-CHANNEL-V1</v>
      </c>
      <c r="AM94" s="44" t="n">
        <f>IFERROR(O94/S94,"")</f>
        <v>0.39999999348710347</v>
      </c>
      <c r="AN94" s="43" t="n">
        <f>IF(OR(S94="",O94=""),"", S94-O94)</f>
        <v>36.849964</v>
      </c>
    </row>
    <row r="95">
      <c r="A95" s="37" t="str">
        <v>CH-VKM-024-091</v>
      </c>
      <c r="B95" s="38" t="str">
        <v>VKM-024</v>
      </c>
      <c r="C95" s="38" t="str">
        <v>Гостиничные ужины</v>
      </c>
      <c r="D95" s="38" t="str">
        <v>ISSUE82_RC2_PROXY_CHANNEL_SCENARIO</v>
      </c>
      <c r="E95" s="38" t="str">
        <v>71516bf871fa560e890ce5bc7f858854a5335ae2</v>
      </c>
      <c r="F95" s="38" t="str">
        <v>docs/07-operations/issue-82/PROVISIONAL_PROXY_SCENARIO_CHANNEL_PRICING.csv</v>
      </c>
      <c r="G95" s="38" t="str">
        <v>VKM-024|Гостиничные ужины</v>
      </c>
      <c r="H95" s="38"/>
      <c r="I95" s="38"/>
      <c r="J95" s="38"/>
      <c r="K95" s="38"/>
      <c r="L95" s="38"/>
      <c r="M95" s="38"/>
      <c r="N95" s="38"/>
      <c r="O95" s="38" t="n">
        <v>24.566642</v>
      </c>
      <c r="P95" s="38" t="n">
        <v>0</v>
      </c>
      <c r="Q95" s="38"/>
      <c r="R95" s="38" t="n">
        <v>24.566642</v>
      </c>
      <c r="S95" s="38" t="n">
        <v>81.888808</v>
      </c>
      <c r="T95" s="38" t="n">
        <v>0.3</v>
      </c>
      <c r="U95" s="38" t="n">
        <v>0.29999999511532766</v>
      </c>
      <c r="V95" s="38" t="n">
        <v>57.322166</v>
      </c>
      <c r="W95" s="38"/>
      <c r="X95" s="38"/>
      <c r="Y95" s="38" t="n">
        <v>57.322166</v>
      </c>
      <c r="Z95" s="38" t="str">
        <v>ISSUE82_PROXY_SCENARIO</v>
      </c>
      <c r="AA95" s="38" t="str">
        <v>ASSUMPTION_BLOCKED_PENDING_VALIDATION</v>
      </c>
      <c r="AB95" s="38" t="str">
        <v>NOT_APPROVED_FOR_MENU</v>
      </c>
      <c r="AC95" s="38" t="str">
        <v>Planning scenario, not approved project price; tax, commission and quoted packaging remain excluded/blocked</v>
      </c>
      <c r="AD95" s="38" t="n">
        <v>0.3</v>
      </c>
      <c r="AE95" s="38" t="n">
        <v>1</v>
      </c>
      <c r="AF95" s="38" t="n">
        <v>24.566642</v>
      </c>
      <c r="AG95" s="38" t="n">
        <v>81.888808</v>
      </c>
      <c r="AH95" s="38" t="n">
        <v>57.322166</v>
      </c>
      <c r="AI95" s="38" t="str">
        <v>SOURCE_ALREADY_ONE_SALE_UNIT</v>
      </c>
      <c r="AJ95" s="38" t="str">
        <v>MODEL_ASSUMPTION_ZERO_NOT_QUOTED_NOT_EVIDENCE</v>
      </c>
      <c r="AK95" s="38" t="str">
        <v>food_cost=kitchen_cogs/price; gross_margin_before_channel_costs=price-kitchen_cogs; contribution=price-complete_direct_cogs-tax-commission</v>
      </c>
      <c r="AL95" s="39" t="str">
        <v>ISS80-S02-CHANNEL-V1</v>
      </c>
      <c r="AM95" s="44" t="n">
        <f>IFERROR(O95/S95,"")</f>
        <v>0.29999999511532766</v>
      </c>
      <c r="AN95" s="43" t="n">
        <f>IF(OR(S95="",O95=""),"", S95-O95)</f>
        <v>57.322165999999996</v>
      </c>
    </row>
    <row r="96">
      <c r="A96" s="37" t="str">
        <v>CH-VKM-025-092</v>
      </c>
      <c r="B96" s="38" t="str">
        <v>VKM-025</v>
      </c>
      <c r="C96" s="38" t="str">
        <v>À la carte</v>
      </c>
      <c r="D96" s="38" t="str">
        <v>ISSUE82_RC2_PROXY_CHANNEL_SCENARIO</v>
      </c>
      <c r="E96" s="38" t="str">
        <v>71516bf871fa560e890ce5bc7f858854a5335ae2</v>
      </c>
      <c r="F96" s="38" t="str">
        <v>docs/07-operations/issue-82/PROVISIONAL_PROXY_SCENARIO_CHANNEL_PRICING.csv</v>
      </c>
      <c r="G96" s="38" t="str">
        <v>VKM-025|À la carte</v>
      </c>
      <c r="H96" s="38"/>
      <c r="I96" s="38"/>
      <c r="J96" s="38"/>
      <c r="K96" s="38"/>
      <c r="L96" s="38"/>
      <c r="M96" s="38"/>
      <c r="N96" s="38"/>
      <c r="O96" s="38" t="n">
        <v>48.880659</v>
      </c>
      <c r="P96" s="38" t="n">
        <v>0</v>
      </c>
      <c r="Q96" s="38"/>
      <c r="R96" s="38" t="n">
        <v>48.880659</v>
      </c>
      <c r="S96" s="38" t="n">
        <v>162.93553</v>
      </c>
      <c r="T96" s="38" t="n">
        <v>0.3</v>
      </c>
      <c r="U96" s="38" t="n">
        <v>0.3</v>
      </c>
      <c r="V96" s="38" t="n">
        <v>114.054871</v>
      </c>
      <c r="W96" s="38"/>
      <c r="X96" s="38"/>
      <c r="Y96" s="38" t="n">
        <v>114.054871</v>
      </c>
      <c r="Z96" s="38" t="str">
        <v>ISSUE82_PROXY_SCENARIO</v>
      </c>
      <c r="AA96" s="38" t="str">
        <v>ASSUMPTION_BLOCKED_PENDING_VALIDATION</v>
      </c>
      <c r="AB96" s="38" t="str">
        <v>NOT_APPROVED_FOR_MENU</v>
      </c>
      <c r="AC96" s="38" t="str">
        <v>Planning scenario, not approved project price; tax, commission and quoted packaging remain excluded/blocked</v>
      </c>
      <c r="AD96" s="38" t="n">
        <v>0.3</v>
      </c>
      <c r="AE96" s="38" t="n">
        <v>1</v>
      </c>
      <c r="AF96" s="38" t="n">
        <v>48.880659</v>
      </c>
      <c r="AG96" s="38" t="n">
        <v>162.93553</v>
      </c>
      <c r="AH96" s="38" t="n">
        <v>114.054871</v>
      </c>
      <c r="AI96" s="38" t="str">
        <v>SOURCE_ALREADY_ONE_SALE_UNIT</v>
      </c>
      <c r="AJ96" s="38" t="str">
        <v>MODEL_ASSUMPTION_ZERO_NOT_QUOTED_NOT_EVIDENCE</v>
      </c>
      <c r="AK96" s="38" t="str">
        <v>food_cost=kitchen_cogs/price; gross_margin_before_channel_costs=price-kitchen_cogs; contribution=price-complete_direct_cogs-tax-commission</v>
      </c>
      <c r="AL96" s="39" t="str">
        <v>ISS80-S02-CHANNEL-V1</v>
      </c>
      <c r="AM96" s="44" t="n">
        <f>IFERROR(O96/S96,"")</f>
        <v>0.3</v>
      </c>
      <c r="AN96" s="43" t="n">
        <f>IF(OR(S96="",O96=""),"", S96-O96)</f>
        <v>114.05487099999999</v>
      </c>
    </row>
    <row r="97">
      <c r="A97" s="37" t="str">
        <v>CH-VKM-025-093</v>
      </c>
      <c r="B97" s="38" t="str">
        <v>VKM-025</v>
      </c>
      <c r="C97" s="38" t="str">
        <v>Бизнес-ланч</v>
      </c>
      <c r="D97" s="38" t="str">
        <v>ISSUE82_RC2_PROXY_CHANNEL_SCENARIO</v>
      </c>
      <c r="E97" s="38" t="str">
        <v>71516bf871fa560e890ce5bc7f858854a5335ae2</v>
      </c>
      <c r="F97" s="38" t="str">
        <v>docs/07-operations/issue-82/PROVISIONAL_PROXY_SCENARIO_CHANNEL_PRICING.csv</v>
      </c>
      <c r="G97" s="38" t="str">
        <v>VKM-025|Бизнес-ланч</v>
      </c>
      <c r="H97" s="38"/>
      <c r="I97" s="38"/>
      <c r="J97" s="38"/>
      <c r="K97" s="38"/>
      <c r="L97" s="38"/>
      <c r="M97" s="38"/>
      <c r="N97" s="38"/>
      <c r="O97" s="38" t="n">
        <v>48.880659</v>
      </c>
      <c r="P97" s="38" t="n">
        <v>0</v>
      </c>
      <c r="Q97" s="38"/>
      <c r="R97" s="38" t="n">
        <v>48.880659</v>
      </c>
      <c r="S97" s="38" t="n">
        <v>122.201648</v>
      </c>
      <c r="T97" s="38" t="n">
        <v>0.4</v>
      </c>
      <c r="U97" s="38" t="n">
        <v>0.39999999836336086</v>
      </c>
      <c r="V97" s="38" t="n">
        <v>73.320989</v>
      </c>
      <c r="W97" s="38"/>
      <c r="X97" s="38"/>
      <c r="Y97" s="38" t="n">
        <v>73.320989</v>
      </c>
      <c r="Z97" s="38" t="str">
        <v>ISSUE82_PROXY_SCENARIO</v>
      </c>
      <c r="AA97" s="38" t="str">
        <v>ASSUMPTION_BLOCKED_PENDING_VALIDATION</v>
      </c>
      <c r="AB97" s="38" t="str">
        <v>NOT_APPROVED_FOR_MENU</v>
      </c>
      <c r="AC97" s="38" t="str">
        <v>Planning scenario, not approved project price; tax, commission and quoted packaging remain excluded/blocked</v>
      </c>
      <c r="AD97" s="38" t="n">
        <v>0.4</v>
      </c>
      <c r="AE97" s="38" t="n">
        <v>1</v>
      </c>
      <c r="AF97" s="38" t="n">
        <v>48.880659</v>
      </c>
      <c r="AG97" s="38" t="n">
        <v>122.201648</v>
      </c>
      <c r="AH97" s="38" t="n">
        <v>73.320989</v>
      </c>
      <c r="AI97" s="38" t="str">
        <v>SOURCE_ALREADY_ONE_SALE_UNIT</v>
      </c>
      <c r="AJ97" s="38" t="str">
        <v>MODEL_ASSUMPTION_ZERO_NOT_QUOTED_NOT_EVIDENCE</v>
      </c>
      <c r="AK97" s="38" t="str">
        <v>food_cost=kitchen_cogs/price; gross_margin_before_channel_costs=price-kitchen_cogs; contribution=price-complete_direct_cogs-tax-commission</v>
      </c>
      <c r="AL97" s="39" t="str">
        <v>ISS80-S02-CHANNEL-V1</v>
      </c>
      <c r="AM97" s="44" t="n">
        <f>IFERROR(O97/S97,"")</f>
        <v>0.39999999836336086</v>
      </c>
      <c r="AN97" s="43" t="n">
        <f>IF(OR(S97="",O97=""),"", S97-O97)</f>
        <v>73.320989</v>
      </c>
    </row>
    <row r="98">
      <c r="A98" s="37" t="str">
        <v>CH-VKM-025-094</v>
      </c>
      <c r="B98" s="38" t="str">
        <v>VKM-025</v>
      </c>
      <c r="C98" s="38" t="str">
        <v>Гостиничные ужины</v>
      </c>
      <c r="D98" s="38" t="str">
        <v>ISSUE82_RC2_PROXY_CHANNEL_SCENARIO</v>
      </c>
      <c r="E98" s="38" t="str">
        <v>71516bf871fa560e890ce5bc7f858854a5335ae2</v>
      </c>
      <c r="F98" s="38" t="str">
        <v>docs/07-operations/issue-82/PROVISIONAL_PROXY_SCENARIO_CHANNEL_PRICING.csv</v>
      </c>
      <c r="G98" s="38" t="str">
        <v>VKM-025|Гостиничные ужины</v>
      </c>
      <c r="H98" s="38"/>
      <c r="I98" s="38"/>
      <c r="J98" s="38"/>
      <c r="K98" s="38"/>
      <c r="L98" s="38"/>
      <c r="M98" s="38"/>
      <c r="N98" s="38"/>
      <c r="O98" s="38" t="n">
        <v>48.880659</v>
      </c>
      <c r="P98" s="38" t="n">
        <v>0</v>
      </c>
      <c r="Q98" s="38"/>
      <c r="R98" s="38" t="n">
        <v>48.880659</v>
      </c>
      <c r="S98" s="38" t="n">
        <v>162.93553</v>
      </c>
      <c r="T98" s="38" t="n">
        <v>0.3</v>
      </c>
      <c r="U98" s="38" t="n">
        <v>0.3</v>
      </c>
      <c r="V98" s="38" t="n">
        <v>114.054871</v>
      </c>
      <c r="W98" s="38"/>
      <c r="X98" s="38"/>
      <c r="Y98" s="38" t="n">
        <v>114.054871</v>
      </c>
      <c r="Z98" s="38" t="str">
        <v>ISSUE82_PROXY_SCENARIO</v>
      </c>
      <c r="AA98" s="38" t="str">
        <v>ASSUMPTION_BLOCKED_PENDING_VALIDATION</v>
      </c>
      <c r="AB98" s="38" t="str">
        <v>NOT_APPROVED_FOR_MENU</v>
      </c>
      <c r="AC98" s="38" t="str">
        <v>Planning scenario, not approved project price; tax, commission and quoted packaging remain excluded/blocked</v>
      </c>
      <c r="AD98" s="38" t="n">
        <v>0.3</v>
      </c>
      <c r="AE98" s="38" t="n">
        <v>1</v>
      </c>
      <c r="AF98" s="38" t="n">
        <v>48.880659</v>
      </c>
      <c r="AG98" s="38" t="n">
        <v>162.93553</v>
      </c>
      <c r="AH98" s="38" t="n">
        <v>114.054871</v>
      </c>
      <c r="AI98" s="38" t="str">
        <v>SOURCE_ALREADY_ONE_SALE_UNIT</v>
      </c>
      <c r="AJ98" s="38" t="str">
        <v>MODEL_ASSUMPTION_ZERO_NOT_QUOTED_NOT_EVIDENCE</v>
      </c>
      <c r="AK98" s="38" t="str">
        <v>food_cost=kitchen_cogs/price; gross_margin_before_channel_costs=price-kitchen_cogs; contribution=price-complete_direct_cogs-tax-commission</v>
      </c>
      <c r="AL98" s="39" t="str">
        <v>ISS80-S02-CHANNEL-V1</v>
      </c>
      <c r="AM98" s="44" t="n">
        <f>IFERROR(O98/S98,"")</f>
        <v>0.3</v>
      </c>
      <c r="AN98" s="43" t="n">
        <f>IF(OR(S98="",O98=""),"", S98-O98)</f>
        <v>114.05487099999999</v>
      </c>
    </row>
    <row r="99">
      <c r="A99" s="37" t="str">
        <v>CH-VKM-029-095</v>
      </c>
      <c r="B99" s="38" t="str">
        <v>VKM-029</v>
      </c>
      <c r="C99" s="38" t="str">
        <v>À la carte</v>
      </c>
      <c r="D99" s="38" t="str">
        <v>ISSUE82_RC2_PROXY_CHANNEL_SCENARIO</v>
      </c>
      <c r="E99" s="38" t="str">
        <v>71516bf871fa560e890ce5bc7f858854a5335ae2</v>
      </c>
      <c r="F99" s="38" t="str">
        <v>docs/07-operations/issue-82/PROVISIONAL_PROXY_SCENARIO_CHANNEL_PRICING.csv</v>
      </c>
      <c r="G99" s="38" t="str">
        <v>VKM-029|À la carte</v>
      </c>
      <c r="H99" s="38"/>
      <c r="I99" s="38"/>
      <c r="J99" s="38"/>
      <c r="K99" s="38"/>
      <c r="L99" s="38"/>
      <c r="M99" s="38"/>
      <c r="N99" s="38"/>
      <c r="O99" s="38" t="n">
        <v>909.676493</v>
      </c>
      <c r="P99" s="38" t="n">
        <v>0</v>
      </c>
      <c r="Q99" s="38"/>
      <c r="R99" s="38" t="n">
        <v>909.676493</v>
      </c>
      <c r="S99" s="38" t="n">
        <v>3032.254977</v>
      </c>
      <c r="T99" s="38" t="n">
        <v>0.3</v>
      </c>
      <c r="U99" s="38" t="n">
        <v>0.29999999996702126</v>
      </c>
      <c r="V99" s="38" t="n">
        <v>2122.578484</v>
      </c>
      <c r="W99" s="38"/>
      <c r="X99" s="38"/>
      <c r="Y99" s="38" t="n">
        <v>2122.578484</v>
      </c>
      <c r="Z99" s="38" t="str">
        <v>ISSUE82_PROXY_SCENARIO</v>
      </c>
      <c r="AA99" s="38" t="str">
        <v>ASSUMPTION_BLOCKED_PENDING_VALIDATION</v>
      </c>
      <c r="AB99" s="38" t="str">
        <v>NOT_APPROVED_FOR_MENU</v>
      </c>
      <c r="AC99" s="38" t="str">
        <v>Planning scenario, not approved project price; tax, commission and quoted packaging remain excluded/blocked</v>
      </c>
      <c r="AD99" s="38" t="n">
        <v>0.3</v>
      </c>
      <c r="AE99" s="38" t="n">
        <v>12</v>
      </c>
      <c r="AF99" s="38" t="n">
        <v>75.80637441666667</v>
      </c>
      <c r="AG99" s="38" t="n">
        <v>252.68791475</v>
      </c>
      <c r="AH99" s="38" t="n">
        <v>176.88154033333333</v>
      </c>
      <c r="AI99" s="38" t="str">
        <v>CALCULATED_FROM_BATCH_DIVISOR_REQUIRES_CHEF_YIELD_CONFIRMATION</v>
      </c>
      <c r="AJ99" s="38" t="str">
        <v>MODEL_ASSUMPTION_ZERO_NOT_QUOTED_NOT_EVIDENCE</v>
      </c>
      <c r="AK99" s="38" t="str">
        <v>food_cost=kitchen_cogs/price; gross_margin_before_channel_costs=price-kitchen_cogs; contribution=price-complete_direct_cogs-tax-commission</v>
      </c>
      <c r="AL99" s="39" t="str">
        <v>ISS80-S02-CHANNEL-V1</v>
      </c>
      <c r="AM99" s="44" t="n">
        <f>IFERROR(O99/S99,"")</f>
        <v>0.29999999996702126</v>
      </c>
      <c r="AN99" s="43" t="n">
        <f>IF(OR(S99="",O99=""),"", S99-O99)</f>
        <v>2122.578484</v>
      </c>
    </row>
    <row r="100">
      <c r="A100" s="37" t="str">
        <v>CH-VKM-029-096</v>
      </c>
      <c r="B100" s="38" t="str">
        <v>VKM-029</v>
      </c>
      <c r="C100" s="38" t="str">
        <v>Навынос</v>
      </c>
      <c r="D100" s="38" t="str">
        <v>ISSUE82_RC2_PROXY_CHANNEL_SCENARIO</v>
      </c>
      <c r="E100" s="38" t="str">
        <v>71516bf871fa560e890ce5bc7f858854a5335ae2</v>
      </c>
      <c r="F100" s="38" t="str">
        <v>docs/07-operations/issue-82/PROVISIONAL_PROXY_SCENARIO_CHANNEL_PRICING.csv</v>
      </c>
      <c r="G100" s="38" t="str">
        <v>VKM-029|Навынос</v>
      </c>
      <c r="H100" s="38"/>
      <c r="I100" s="38"/>
      <c r="J100" s="38"/>
      <c r="K100" s="38"/>
      <c r="L100" s="38"/>
      <c r="M100" s="38"/>
      <c r="N100" s="38"/>
      <c r="O100" s="38" t="n">
        <v>909.676493</v>
      </c>
      <c r="P100" s="38" t="n">
        <v>40</v>
      </c>
      <c r="Q100" s="38"/>
      <c r="R100" s="38" t="n">
        <v>949.676493</v>
      </c>
      <c r="S100" s="38" t="n">
        <v>2215.914033</v>
      </c>
      <c r="T100" s="38" t="n">
        <v>0.428571</v>
      </c>
      <c r="U100" s="38" t="n">
        <v>0.41051975819135944</v>
      </c>
      <c r="V100" s="38" t="n">
        <v>1306.23754</v>
      </c>
      <c r="W100" s="38"/>
      <c r="X100" s="38"/>
      <c r="Y100" s="38" t="n">
        <v>1266.23754</v>
      </c>
      <c r="Z100" s="38" t="str">
        <v>ISSUE82_PROXY_SCENARIO</v>
      </c>
      <c r="AA100" s="38" t="str">
        <v>ASSUMPTION_BLOCKED_PENDING_VALIDATION</v>
      </c>
      <c r="AB100" s="38" t="str">
        <v>NOT_APPROVED_FOR_MENU</v>
      </c>
      <c r="AC100" s="38" t="str">
        <v>Planning scenario, not approved project price; tax, commission and quoted packaging remain excluded/blocked</v>
      </c>
      <c r="AD100" s="38" t="n">
        <v>0.41052</v>
      </c>
      <c r="AE100" s="38" t="n">
        <v>12</v>
      </c>
      <c r="AF100" s="38" t="n">
        <v>79.13970775</v>
      </c>
      <c r="AG100" s="38" t="n">
        <v>184.65950275</v>
      </c>
      <c r="AH100" s="38" t="n">
        <v>108.85312833333334</v>
      </c>
      <c r="AI100" s="38" t="str">
        <v>CALCULATED_FROM_BATCH_DIVISOR_REQUIRES_CHEF_YIELD_CONFIRMATION</v>
      </c>
      <c r="AJ100" s="38" t="str">
        <v>SOURCE_VALUE</v>
      </c>
      <c r="AK100" s="38" t="str">
        <v>food_cost=kitchen_cogs/price; gross_margin_before_channel_costs=price-kitchen_cogs; contribution=price-complete_direct_cogs-tax-commission</v>
      </c>
      <c r="AL100" s="39" t="str">
        <v>ISS80-S02-CHANNEL-V1</v>
      </c>
      <c r="AM100" s="44" t="n">
        <f>IFERROR(O100/S100,"")</f>
        <v>0.41051975819135944</v>
      </c>
      <c r="AN100" s="43" t="n">
        <f>IF(OR(S100="",O100=""),"", S100-O100)</f>
        <v>1306.23754</v>
      </c>
    </row>
    <row r="101">
      <c r="A101" s="37" t="str">
        <v>CH-VKM-030-097</v>
      </c>
      <c r="B101" s="38" t="str">
        <v>VKM-030</v>
      </c>
      <c r="C101" s="38" t="str">
        <v>À la carte</v>
      </c>
      <c r="D101" s="38" t="str">
        <v>ISSUE82_RC2_PROXY_CHANNEL_SCENARIO</v>
      </c>
      <c r="E101" s="38" t="str">
        <v>71516bf871fa560e890ce5bc7f858854a5335ae2</v>
      </c>
      <c r="F101" s="38" t="str">
        <v>docs/07-operations/issue-82/PROVISIONAL_PROXY_SCENARIO_CHANNEL_PRICING.csv</v>
      </c>
      <c r="G101" s="38" t="str">
        <v>VKM-030|À la carte</v>
      </c>
      <c r="H101" s="38"/>
      <c r="I101" s="38"/>
      <c r="J101" s="38"/>
      <c r="K101" s="38"/>
      <c r="L101" s="38"/>
      <c r="M101" s="38"/>
      <c r="N101" s="38"/>
      <c r="O101" s="38" t="n">
        <v>569.138771</v>
      </c>
      <c r="P101" s="38" t="n">
        <v>0</v>
      </c>
      <c r="Q101" s="38"/>
      <c r="R101" s="38" t="n">
        <v>569.138771</v>
      </c>
      <c r="S101" s="38" t="n">
        <v>1897.129237</v>
      </c>
      <c r="T101" s="38" t="n">
        <v>0.3</v>
      </c>
      <c r="U101" s="38" t="n">
        <v>0.29999999994728876</v>
      </c>
      <c r="V101" s="38" t="n">
        <v>1327.990466</v>
      </c>
      <c r="W101" s="38"/>
      <c r="X101" s="38"/>
      <c r="Y101" s="38" t="n">
        <v>1327.990466</v>
      </c>
      <c r="Z101" s="38" t="str">
        <v>ISSUE82_PROXY_SCENARIO</v>
      </c>
      <c r="AA101" s="38" t="str">
        <v>ASSUMPTION_BLOCKED_PENDING_VALIDATION</v>
      </c>
      <c r="AB101" s="38" t="str">
        <v>NOT_APPROVED_FOR_MENU</v>
      </c>
      <c r="AC101" s="38" t="str">
        <v>Planning scenario, not approved project price; tax, commission and quoted packaging remain excluded/blocked</v>
      </c>
      <c r="AD101" s="38" t="n">
        <v>0.3</v>
      </c>
      <c r="AE101" s="38" t="n">
        <v>10</v>
      </c>
      <c r="AF101" s="38" t="n">
        <v>56.9138771</v>
      </c>
      <c r="AG101" s="38" t="n">
        <v>189.7129237</v>
      </c>
      <c r="AH101" s="38" t="n">
        <v>132.7990466</v>
      </c>
      <c r="AI101" s="38" t="str">
        <v>CALCULATED_FROM_BATCH_DIVISOR_REQUIRES_CHEF_YIELD_CONFIRMATION</v>
      </c>
      <c r="AJ101" s="38" t="str">
        <v>MODEL_ASSUMPTION_ZERO_NOT_QUOTED_NOT_EVIDENCE</v>
      </c>
      <c r="AK101" s="38" t="str">
        <v>food_cost=kitchen_cogs/price; gross_margin_before_channel_costs=price-kitchen_cogs; contribution=price-complete_direct_cogs-tax-commission</v>
      </c>
      <c r="AL101" s="39" t="str">
        <v>ISS80-S02-CHANNEL-V1</v>
      </c>
      <c r="AM101" s="44" t="n">
        <f>IFERROR(O101/S101,"")</f>
        <v>0.29999999994728876</v>
      </c>
      <c r="AN101" s="43" t="n">
        <f>IF(OR(S101="",O101=""),"", S101-O101)</f>
        <v>1327.9904660000002</v>
      </c>
    </row>
    <row r="102">
      <c r="A102" s="37" t="str">
        <v>CH-VKM-030-098</v>
      </c>
      <c r="B102" s="38" t="str">
        <v>VKM-030</v>
      </c>
      <c r="C102" s="38" t="str">
        <v>Гостиничные ужины</v>
      </c>
      <c r="D102" s="38" t="str">
        <v>ISSUE82_RC2_PROXY_CHANNEL_SCENARIO</v>
      </c>
      <c r="E102" s="38" t="str">
        <v>71516bf871fa560e890ce5bc7f858854a5335ae2</v>
      </c>
      <c r="F102" s="38" t="str">
        <v>docs/07-operations/issue-82/PROVISIONAL_PROXY_SCENARIO_CHANNEL_PRICING.csv</v>
      </c>
      <c r="G102" s="38" t="str">
        <v>VKM-030|Гостиничные ужины</v>
      </c>
      <c r="H102" s="38"/>
      <c r="I102" s="38"/>
      <c r="J102" s="38"/>
      <c r="K102" s="38"/>
      <c r="L102" s="38"/>
      <c r="M102" s="38"/>
      <c r="N102" s="38"/>
      <c r="O102" s="38" t="n">
        <v>569.138771</v>
      </c>
      <c r="P102" s="38" t="n">
        <v>0</v>
      </c>
      <c r="Q102" s="38"/>
      <c r="R102" s="38" t="n">
        <v>569.138771</v>
      </c>
      <c r="S102" s="38" t="n">
        <v>1897.129237</v>
      </c>
      <c r="T102" s="38" t="n">
        <v>0.3</v>
      </c>
      <c r="U102" s="38" t="n">
        <v>0.29999999994728876</v>
      </c>
      <c r="V102" s="38" t="n">
        <v>1327.990466</v>
      </c>
      <c r="W102" s="38"/>
      <c r="X102" s="38"/>
      <c r="Y102" s="38" t="n">
        <v>1327.990466</v>
      </c>
      <c r="Z102" s="38" t="str">
        <v>ISSUE82_PROXY_SCENARIO</v>
      </c>
      <c r="AA102" s="38" t="str">
        <v>ASSUMPTION_BLOCKED_PENDING_VALIDATION</v>
      </c>
      <c r="AB102" s="38" t="str">
        <v>NOT_APPROVED_FOR_MENU</v>
      </c>
      <c r="AC102" s="38" t="str">
        <v>Planning scenario, not approved project price; tax, commission and quoted packaging remain excluded/blocked</v>
      </c>
      <c r="AD102" s="38" t="n">
        <v>0.3</v>
      </c>
      <c r="AE102" s="38" t="n">
        <v>10</v>
      </c>
      <c r="AF102" s="38" t="n">
        <v>56.9138771</v>
      </c>
      <c r="AG102" s="38" t="n">
        <v>189.7129237</v>
      </c>
      <c r="AH102" s="38" t="n">
        <v>132.7990466</v>
      </c>
      <c r="AI102" s="38" t="str">
        <v>CALCULATED_FROM_BATCH_DIVISOR_REQUIRES_CHEF_YIELD_CONFIRMATION</v>
      </c>
      <c r="AJ102" s="38" t="str">
        <v>MODEL_ASSUMPTION_ZERO_NOT_QUOTED_NOT_EVIDENCE</v>
      </c>
      <c r="AK102" s="38" t="str">
        <v>food_cost=kitchen_cogs/price; gross_margin_before_channel_costs=price-kitchen_cogs; contribution=price-complete_direct_cogs-tax-commission</v>
      </c>
      <c r="AL102" s="39" t="str">
        <v>ISS80-S02-CHANNEL-V1</v>
      </c>
      <c r="AM102" s="44" t="n">
        <f>IFERROR(O102/S102,"")</f>
        <v>0.29999999994728876</v>
      </c>
      <c r="AN102" s="43" t="n">
        <f>IF(OR(S102="",O102=""),"", S102-O102)</f>
        <v>1327.9904660000002</v>
      </c>
    </row>
    <row r="103">
      <c r="A103" s="37" t="str">
        <v>CH-VKM-030-099</v>
      </c>
      <c r="B103" s="38" t="str">
        <v>VKM-030</v>
      </c>
      <c r="C103" s="38" t="str">
        <v>Навынос</v>
      </c>
      <c r="D103" s="38" t="str">
        <v>ISSUE82_RC2_PROXY_CHANNEL_SCENARIO</v>
      </c>
      <c r="E103" s="38" t="str">
        <v>71516bf871fa560e890ce5bc7f858854a5335ae2</v>
      </c>
      <c r="F103" s="38" t="str">
        <v>docs/07-operations/issue-82/PROVISIONAL_PROXY_SCENARIO_CHANNEL_PRICING.csv</v>
      </c>
      <c r="G103" s="38" t="str">
        <v>VKM-030|Навынос</v>
      </c>
      <c r="H103" s="38"/>
      <c r="I103" s="38"/>
      <c r="J103" s="38"/>
      <c r="K103" s="38"/>
      <c r="L103" s="38"/>
      <c r="M103" s="38"/>
      <c r="N103" s="38"/>
      <c r="O103" s="38" t="n">
        <v>569.138771</v>
      </c>
      <c r="P103" s="38" t="n">
        <v>40</v>
      </c>
      <c r="Q103" s="38"/>
      <c r="R103" s="38" t="n">
        <v>609.138771</v>
      </c>
      <c r="S103" s="38" t="n">
        <v>1421.325221</v>
      </c>
      <c r="T103" s="38" t="n">
        <v>0.428571</v>
      </c>
      <c r="U103" s="38" t="n">
        <v>0.40042825005213917</v>
      </c>
      <c r="V103" s="38" t="n">
        <v>852.18645</v>
      </c>
      <c r="W103" s="38"/>
      <c r="X103" s="38"/>
      <c r="Y103" s="38" t="n">
        <v>812.18645</v>
      </c>
      <c r="Z103" s="38" t="str">
        <v>ISSUE82_PROXY_SCENARIO</v>
      </c>
      <c r="AA103" s="38" t="str">
        <v>ASSUMPTION_BLOCKED_PENDING_VALIDATION</v>
      </c>
      <c r="AB103" s="38" t="str">
        <v>NOT_APPROVED_FOR_MENU</v>
      </c>
      <c r="AC103" s="38" t="str">
        <v>Planning scenario, not approved project price; tax, commission and quoted packaging remain excluded/blocked</v>
      </c>
      <c r="AD103" s="38" t="n">
        <v>0.400428</v>
      </c>
      <c r="AE103" s="38" t="n">
        <v>10</v>
      </c>
      <c r="AF103" s="38" t="n">
        <v>60.9138771</v>
      </c>
      <c r="AG103" s="38" t="n">
        <v>142.13252210000002</v>
      </c>
      <c r="AH103" s="38" t="n">
        <v>85.21864500000001</v>
      </c>
      <c r="AI103" s="38" t="str">
        <v>CALCULATED_FROM_BATCH_DIVISOR_REQUIRES_CHEF_YIELD_CONFIRMATION</v>
      </c>
      <c r="AJ103" s="38" t="str">
        <v>SOURCE_VALUE</v>
      </c>
      <c r="AK103" s="38" t="str">
        <v>food_cost=kitchen_cogs/price; gross_margin_before_channel_costs=price-kitchen_cogs; contribution=price-complete_direct_cogs-tax-commission</v>
      </c>
      <c r="AL103" s="39" t="str">
        <v>ISS80-S02-CHANNEL-V1</v>
      </c>
      <c r="AM103" s="44" t="n">
        <f>IFERROR(O103/S103,"")</f>
        <v>0.40042825005213917</v>
      </c>
      <c r="AN103" s="43" t="n">
        <f>IF(OR(S103="",O103=""),"", S103-O103)</f>
        <v>852.18645</v>
      </c>
    </row>
    <row r="104">
      <c r="A104" s="37" t="str">
        <v>CH-VKM-031-100</v>
      </c>
      <c r="B104" s="38" t="str">
        <v>VKM-031</v>
      </c>
      <c r="C104" s="38" t="str">
        <v>À la carte</v>
      </c>
      <c r="D104" s="38" t="str">
        <v>ISSUE82_RC2_PROXY_CHANNEL_SCENARIO</v>
      </c>
      <c r="E104" s="38" t="str">
        <v>71516bf871fa560e890ce5bc7f858854a5335ae2</v>
      </c>
      <c r="F104" s="38" t="str">
        <v>docs/07-operations/issue-82/PROVISIONAL_PROXY_SCENARIO_CHANNEL_PRICING.csv</v>
      </c>
      <c r="G104" s="38" t="str">
        <v>VKM-031|À la carte</v>
      </c>
      <c r="H104" s="38"/>
      <c r="I104" s="38"/>
      <c r="J104" s="38"/>
      <c r="K104" s="38"/>
      <c r="L104" s="38"/>
      <c r="M104" s="38"/>
      <c r="N104" s="38"/>
      <c r="O104" s="38" t="n">
        <v>253.324424</v>
      </c>
      <c r="P104" s="38" t="n">
        <v>0</v>
      </c>
      <c r="Q104" s="38"/>
      <c r="R104" s="38" t="n">
        <v>253.324424</v>
      </c>
      <c r="S104" s="38" t="n">
        <v>844.414746</v>
      </c>
      <c r="T104" s="38" t="n">
        <v>0.3</v>
      </c>
      <c r="U104" s="38" t="n">
        <v>0.3000000002368504</v>
      </c>
      <c r="V104" s="38" t="n">
        <v>591.090322</v>
      </c>
      <c r="W104" s="38"/>
      <c r="X104" s="38"/>
      <c r="Y104" s="38" t="n">
        <v>591.090322</v>
      </c>
      <c r="Z104" s="38" t="str">
        <v>ISSUE82_PROXY_SCENARIO</v>
      </c>
      <c r="AA104" s="38" t="str">
        <v>ASSUMPTION_BLOCKED_PENDING_VALIDATION</v>
      </c>
      <c r="AB104" s="38" t="str">
        <v>NOT_APPROVED_FOR_MENU</v>
      </c>
      <c r="AC104" s="38" t="str">
        <v>Planning scenario, not approved project price; tax, commission and quoted packaging remain excluded/blocked</v>
      </c>
      <c r="AD104" s="38" t="n">
        <v>0.3</v>
      </c>
      <c r="AE104" s="38" t="n">
        <v>10</v>
      </c>
      <c r="AF104" s="38" t="n">
        <v>25.332442399999998</v>
      </c>
      <c r="AG104" s="38" t="n">
        <v>84.4414746</v>
      </c>
      <c r="AH104" s="38" t="n">
        <v>59.1090322</v>
      </c>
      <c r="AI104" s="38" t="str">
        <v>CALCULATED_FROM_BATCH_DIVISOR_REQUIRES_CHEF_YIELD_CONFIRMATION</v>
      </c>
      <c r="AJ104" s="38" t="str">
        <v>MODEL_ASSUMPTION_ZERO_NOT_QUOTED_NOT_EVIDENCE</v>
      </c>
      <c r="AK104" s="38" t="str">
        <v>food_cost=kitchen_cogs/price; gross_margin_before_channel_costs=price-kitchen_cogs; contribution=price-complete_direct_cogs-tax-commission</v>
      </c>
      <c r="AL104" s="39" t="str">
        <v>ISS80-S02-CHANNEL-V1</v>
      </c>
      <c r="AM104" s="44" t="n">
        <f>IFERROR(O104/S104,"")</f>
        <v>0.3000000002368504</v>
      </c>
      <c r="AN104" s="43" t="n">
        <f>IF(OR(S104="",O104=""),"", S104-O104)</f>
        <v>591.090322</v>
      </c>
    </row>
    <row r="105">
      <c r="A105" s="37" t="str">
        <v>CH-VKM-031-101</v>
      </c>
      <c r="B105" s="38" t="str">
        <v>VKM-031</v>
      </c>
      <c r="C105" s="38" t="str">
        <v>Навынос</v>
      </c>
      <c r="D105" s="38" t="str">
        <v>ISSUE82_RC2_PROXY_CHANNEL_SCENARIO</v>
      </c>
      <c r="E105" s="38" t="str">
        <v>71516bf871fa560e890ce5bc7f858854a5335ae2</v>
      </c>
      <c r="F105" s="38" t="str">
        <v>docs/07-operations/issue-82/PROVISIONAL_PROXY_SCENARIO_CHANNEL_PRICING.csv</v>
      </c>
      <c r="G105" s="38" t="str">
        <v>VKM-031|Навынос</v>
      </c>
      <c r="H105" s="38"/>
      <c r="I105" s="38"/>
      <c r="J105" s="38"/>
      <c r="K105" s="38"/>
      <c r="L105" s="38"/>
      <c r="M105" s="38"/>
      <c r="N105" s="38"/>
      <c r="O105" s="38" t="n">
        <v>253.324424</v>
      </c>
      <c r="P105" s="38" t="n">
        <v>40</v>
      </c>
      <c r="Q105" s="38"/>
      <c r="R105" s="38" t="n">
        <v>293.324424</v>
      </c>
      <c r="S105" s="38" t="n">
        <v>684.42434</v>
      </c>
      <c r="T105" s="38" t="n">
        <v>0.428571</v>
      </c>
      <c r="U105" s="38" t="n">
        <v>0.3701277251478227</v>
      </c>
      <c r="V105" s="38" t="n">
        <v>431.099916</v>
      </c>
      <c r="W105" s="38"/>
      <c r="X105" s="38"/>
      <c r="Y105" s="38" t="n">
        <v>391.099916</v>
      </c>
      <c r="Z105" s="38" t="str">
        <v>ISSUE82_PROXY_SCENARIO</v>
      </c>
      <c r="AA105" s="38" t="str">
        <v>ASSUMPTION_BLOCKED_PENDING_VALIDATION</v>
      </c>
      <c r="AB105" s="38" t="str">
        <v>NOT_APPROVED_FOR_MENU</v>
      </c>
      <c r="AC105" s="38" t="str">
        <v>Planning scenario, not approved project price; tax, commission and quoted packaging remain excluded/blocked</v>
      </c>
      <c r="AD105" s="38" t="n">
        <v>0.370128</v>
      </c>
      <c r="AE105" s="38" t="n">
        <v>10</v>
      </c>
      <c r="AF105" s="38" t="n">
        <v>29.3324424</v>
      </c>
      <c r="AG105" s="38" t="n">
        <v>68.442434</v>
      </c>
      <c r="AH105" s="38" t="n">
        <v>43.1099916</v>
      </c>
      <c r="AI105" s="38" t="str">
        <v>CALCULATED_FROM_BATCH_DIVISOR_REQUIRES_CHEF_YIELD_CONFIRMATION</v>
      </c>
      <c r="AJ105" s="38" t="str">
        <v>SOURCE_VALUE</v>
      </c>
      <c r="AK105" s="38" t="str">
        <v>food_cost=kitchen_cogs/price; gross_margin_before_channel_costs=price-kitchen_cogs; contribution=price-complete_direct_cogs-tax-commission</v>
      </c>
      <c r="AL105" s="39" t="str">
        <v>ISS80-S02-CHANNEL-V1</v>
      </c>
      <c r="AM105" s="44" t="n">
        <f>IFERROR(O105/S105,"")</f>
        <v>0.3701277251478227</v>
      </c>
      <c r="AN105" s="43" t="n">
        <f>IF(OR(S105="",O105=""),"", S105-O105)</f>
        <v>431.099916</v>
      </c>
    </row>
    <row r="106">
      <c r="A106" s="37" t="str">
        <v>CH-VKM-026-BREAKFAST</v>
      </c>
      <c r="B106" s="38" t="str">
        <v>VKM-026</v>
      </c>
      <c r="C106" s="38" t="str">
        <v>Гостиница — завтраки</v>
      </c>
      <c r="D106" s="38" t="str">
        <v>S04_v3.0.0_BREAKFAST_COSTING</v>
      </c>
      <c r="E106" s="38" t="str">
        <v>1573dc616ead7244146c8601cf61cd3c82d3c46e</v>
      </c>
      <c r="F106" s="38" t="str">
        <v>models/scenarios/S04/FINMODEL_VARSHAVKA_USALI_SCENARIO_S04_v3.0.0.xlsx</v>
      </c>
      <c r="G106" s="38" t="str">
        <v>BREAKFAST_COSTING!A23:J23</v>
      </c>
      <c r="H106" s="38"/>
      <c r="I106" s="38"/>
      <c r="J106" s="38"/>
      <c r="K106" s="38"/>
      <c r="L106" s="38"/>
      <c r="M106" s="38"/>
      <c r="N106" s="38"/>
      <c r="O106" s="38" t="n">
        <v>131.2826677778</v>
      </c>
      <c r="P106" s="38" t="n">
        <v>0</v>
      </c>
      <c r="Q106" s="38" t="n">
        <v>60</v>
      </c>
      <c r="R106" s="38" t="n">
        <v>191.2826677778</v>
      </c>
      <c r="S106" s="38" t="n">
        <v>550</v>
      </c>
      <c r="T106" s="38"/>
      <c r="U106" s="38" t="n">
        <v>0.23869575959599998</v>
      </c>
      <c r="V106" s="38" t="n">
        <v>418.7173322222</v>
      </c>
      <c r="W106" s="38"/>
      <c r="X106" s="38" t="n">
        <v>0</v>
      </c>
      <c r="Y106" s="38" t="n">
        <v>358.7173322222</v>
      </c>
      <c r="Z106" s="38" t="str">
        <v>S04_APPROVED_MODEL_PRELIMINARY_PROCUREMENT</v>
      </c>
      <c r="AA106" s="38" t="str">
        <v>PRELIMINARY_SUPPLIER_PRICES_AND_CONTROL_TRIALS</v>
      </c>
      <c r="AB106" s="38" t="str">
        <v>MODEL_RELEASE_APPROVED_COST_PRELIMINARY</v>
      </c>
      <c r="AC106" s="38" t="str">
        <v>Internal tariff is an approved model input; procurement cost remains preliminary; VAT rate is not evidenced</v>
      </c>
      <c r="AD106" s="38" t="n">
        <v>0.3477866686869</v>
      </c>
      <c r="AE106" s="38" t="n">
        <v>1</v>
      </c>
      <c r="AF106" s="38" t="n">
        <v>191.2826677778</v>
      </c>
      <c r="AG106" s="38" t="n">
        <v>550</v>
      </c>
      <c r="AH106" s="38" t="n">
        <v>418.7173322222</v>
      </c>
      <c r="AI106" s="38" t="str">
        <v>SOURCE_ALREADY_ONE_SALE_UNIT</v>
      </c>
      <c r="AJ106" s="38" t="str">
        <v>MODEL_ASSUMPTION_ZERO_NOT_QUOTED_NOT_EVIDENCE</v>
      </c>
      <c r="AK106" s="38" t="str">
        <v>food_cost=kitchen_cogs/price; gross_margin_before_channel_costs=price-kitchen_cogs; contribution=price-complete_direct_cogs-tax-commission</v>
      </c>
      <c r="AL106" s="39" t="str">
        <v>ISS80-S02-CHANNEL-V1</v>
      </c>
      <c r="AM106" s="44" t="n">
        <f>IFERROR(O106/S106,"")</f>
        <v>0.23869575959599998</v>
      </c>
      <c r="AN106" s="43" t="n">
        <f>IF(OR(S106="",O106=""),"", S106-O106)</f>
        <v>418.7173322222</v>
      </c>
    </row>
    <row r="107">
      <c r="A107" s="37" t="str">
        <v>CH-VKM-027-BREAKFAST</v>
      </c>
      <c r="B107" s="38" t="str">
        <v>VKM-027</v>
      </c>
      <c r="C107" s="38" t="str">
        <v>Гостиница — завтраки</v>
      </c>
      <c r="D107" s="38" t="str">
        <v>S04_v3.0.0_BREAKFAST_COSTING</v>
      </c>
      <c r="E107" s="38" t="str">
        <v>1573dc616ead7244146c8601cf61cd3c82d3c46e</v>
      </c>
      <c r="F107" s="38" t="str">
        <v>models/scenarios/S04/FINMODEL_VARSHAVKA_USALI_SCENARIO_S04_v3.0.0.xlsx</v>
      </c>
      <c r="G107" s="38" t="str">
        <v>BREAKFAST_COSTING!A24:J24</v>
      </c>
      <c r="H107" s="38"/>
      <c r="I107" s="38"/>
      <c r="J107" s="38"/>
      <c r="K107" s="38"/>
      <c r="L107" s="38"/>
      <c r="M107" s="38"/>
      <c r="N107" s="38"/>
      <c r="O107" s="38" t="n">
        <v>163.1946677778</v>
      </c>
      <c r="P107" s="38" t="n">
        <v>0</v>
      </c>
      <c r="Q107" s="38" t="n">
        <v>60</v>
      </c>
      <c r="R107" s="38" t="n">
        <v>223.1946677778</v>
      </c>
      <c r="S107" s="38" t="n">
        <v>550</v>
      </c>
      <c r="T107" s="38"/>
      <c r="U107" s="38" t="n">
        <v>0.29671757777781815</v>
      </c>
      <c r="V107" s="38" t="n">
        <v>386.8053322222</v>
      </c>
      <c r="W107" s="38"/>
      <c r="X107" s="38" t="n">
        <v>0</v>
      </c>
      <c r="Y107" s="38" t="n">
        <v>326.8053322222</v>
      </c>
      <c r="Z107" s="38" t="str">
        <v>S04_APPROVED_MODEL_PRELIMINARY_PROCUREMENT</v>
      </c>
      <c r="AA107" s="38" t="str">
        <v>PRELIMINARY_SUPPLIER_PRICES_AND_CONTROL_TRIALS</v>
      </c>
      <c r="AB107" s="38" t="str">
        <v>MODEL_RELEASE_APPROVED_COST_PRELIMINARY</v>
      </c>
      <c r="AC107" s="38" t="str">
        <v>Internal tariff is an approved model input; procurement cost remains preliminary; VAT rate is not evidenced</v>
      </c>
      <c r="AD107" s="38" t="n">
        <v>0.4058084868687</v>
      </c>
      <c r="AE107" s="38" t="n">
        <v>1</v>
      </c>
      <c r="AF107" s="38" t="n">
        <v>223.1946677778</v>
      </c>
      <c r="AG107" s="38" t="n">
        <v>550</v>
      </c>
      <c r="AH107" s="38" t="n">
        <v>386.8053322222</v>
      </c>
      <c r="AI107" s="38" t="str">
        <v>SOURCE_ALREADY_ONE_SALE_UNIT</v>
      </c>
      <c r="AJ107" s="38" t="str">
        <v>MODEL_ASSUMPTION_ZERO_NOT_QUOTED_NOT_EVIDENCE</v>
      </c>
      <c r="AK107" s="38" t="str">
        <v>food_cost=kitchen_cogs/price; gross_margin_before_channel_costs=price-kitchen_cogs; contribution=price-complete_direct_cogs-tax-commission</v>
      </c>
      <c r="AL107" s="39" t="str">
        <v>ISS80-S02-CHANNEL-V1</v>
      </c>
      <c r="AM107" s="44" t="n">
        <f>IFERROR(O107/S107,"")</f>
        <v>0.29671757777781815</v>
      </c>
      <c r="AN107" s="43" t="n">
        <f>IF(OR(S107="",O107=""),"", S107-O107)</f>
        <v>386.80533222220004</v>
      </c>
    </row>
    <row r="108">
      <c r="A108" s="40" t="str">
        <v>CH-VKM-028-BREAKFAST</v>
      </c>
      <c r="B108" s="41" t="str">
        <v>VKM-028</v>
      </c>
      <c r="C108" s="41" t="str">
        <v>Гостиница — завтраки</v>
      </c>
      <c r="D108" s="41" t="str">
        <v>S04_v3.0.0_BREAKFAST_COSTING</v>
      </c>
      <c r="E108" s="41" t="str">
        <v>1573dc616ead7244146c8601cf61cd3c82d3c46e</v>
      </c>
      <c r="F108" s="41" t="str">
        <v>models/scenarios/S04/FINMODEL_VARSHAVKA_USALI_SCENARIO_S04_v3.0.0.xlsx</v>
      </c>
      <c r="G108" s="41" t="str">
        <v>BREAKFAST_COSTING!A25:J25</v>
      </c>
      <c r="H108" s="41"/>
      <c r="I108" s="41"/>
      <c r="J108" s="41"/>
      <c r="K108" s="41"/>
      <c r="L108" s="41"/>
      <c r="M108" s="41"/>
      <c r="N108" s="41"/>
      <c r="O108" s="41" t="n">
        <v>133.4837177778</v>
      </c>
      <c r="P108" s="41" t="n">
        <v>0</v>
      </c>
      <c r="Q108" s="41" t="n">
        <v>60</v>
      </c>
      <c r="R108" s="41" t="n">
        <v>193.4837177778</v>
      </c>
      <c r="S108" s="41" t="n">
        <v>550</v>
      </c>
      <c r="T108" s="41"/>
      <c r="U108" s="41" t="n">
        <v>0.2426976686869091</v>
      </c>
      <c r="V108" s="41" t="n">
        <v>416.5162822222</v>
      </c>
      <c r="W108" s="41"/>
      <c r="X108" s="41" t="n">
        <v>0</v>
      </c>
      <c r="Y108" s="41" t="n">
        <v>356.5162822222</v>
      </c>
      <c r="Z108" s="41" t="str">
        <v>S04_APPROVED_MODEL_PRELIMINARY_PROCUREMENT</v>
      </c>
      <c r="AA108" s="41" t="str">
        <v>PRELIMINARY_SUPPLIER_PRICES_AND_CONTROL_TRIALS</v>
      </c>
      <c r="AB108" s="41" t="str">
        <v>MODEL_RELEASE_APPROVED_COST_PRELIMINARY</v>
      </c>
      <c r="AC108" s="41" t="str">
        <v>Internal tariff is an approved model input; procurement cost remains preliminary; VAT rate is not evidenced</v>
      </c>
      <c r="AD108" s="41" t="n">
        <v>0.3517885777778</v>
      </c>
      <c r="AE108" s="41" t="n">
        <v>1</v>
      </c>
      <c r="AF108" s="41" t="n">
        <v>193.4837177778</v>
      </c>
      <c r="AG108" s="41" t="n">
        <v>550</v>
      </c>
      <c r="AH108" s="41" t="n">
        <v>416.5162822222</v>
      </c>
      <c r="AI108" s="41" t="str">
        <v>SOURCE_ALREADY_ONE_SALE_UNIT</v>
      </c>
      <c r="AJ108" s="41" t="str">
        <v>MODEL_ASSUMPTION_ZERO_NOT_QUOTED_NOT_EVIDENCE</v>
      </c>
      <c r="AK108" s="41" t="str">
        <v>food_cost=kitchen_cogs/price; gross_margin_before_channel_costs=price-kitchen_cogs; contribution=price-complete_direct_cogs-tax-commission</v>
      </c>
      <c r="AL108" s="42" t="str">
        <v>ISS80-S02-CHANNEL-V1</v>
      </c>
      <c r="AM108" s="44" t="n">
        <f>IFERROR(O108/S108,"")</f>
        <v>0.2426976686869091</v>
      </c>
      <c r="AN108" s="43" t="n">
        <f>IF(OR(S108="",O108=""),"", S108-O108)</f>
        <v>416.5162822222</v>
      </c>
    </row>
  </sheetData>
  <autoFilter ref="A1:AN108"/>
  <mergeCells>
    <mergeCell ref="A1:AL1"/>
    <mergeCell ref="A2:AL2"/>
  </mergeCells>
  <conditionalFormatting sqref="AA5:AA108">
    <cfRule type="containsText" dxfId="78" priority="1" operator="containsText" text="BLOCK"/>
    <cfRule type="containsText" dxfId="79" priority="2" operator="containsText" text="DRAFT"/>
    <cfRule type="containsText" dxfId="80" priority="3" operator="containsText" text="PASS"/>
  </conditionalFormatting>
  <conditionalFormatting sqref="AB5:AB108">
    <cfRule type="containsText" dxfId="81" priority="4" operator="containsText" text="BLOCK"/>
    <cfRule type="containsText" dxfId="82" priority="5" operator="containsText" text="DRAFT"/>
    <cfRule type="containsText" dxfId="83" priority="6" operator="containsText" text="PASS"/>
  </conditionalFormatting>
  <conditionalFormatting sqref="AI5:AI108">
    <cfRule type="containsText" dxfId="84" priority="7" operator="containsText" text="BLOCK"/>
    <cfRule type="containsText" dxfId="85" priority="8" operator="containsText" text="DRAFT"/>
    <cfRule type="containsText" dxfId="86" priority="9" operator="containsText" text="PASS"/>
  </conditionalFormatting>
  <pageMargins left="0.7" right="0.7" top="0.75" bottom="0.75" header="0.3" footer="0.3"/>
  <tableParts count="1">
    <tablePart r:id="R927a2ca118204bff"/>
  </tableParts>
  <dataValidations count="3">
    <dataValidation type="list" allowBlank="1" showErrorMessage="1" sqref="AA5:AA500">
      <formula1>"DRAFT,BLOCKED,OPEN,PASS,CALCULATED,ASSUMPTION,PRELIMINARY"</formula1>
    </dataValidation>
    <dataValidation type="list" allowBlank="1" showErrorMessage="1" sqref="AB5:AB500">
      <formula1>"DRAFT,BLOCKED,OPEN,PASS,CALCULATED,ASSUMPTION,PRELIMINARY"</formula1>
    </dataValidation>
    <dataValidation type="list" allowBlank="1" showErrorMessage="1" sqref="AI5:AI500">
      <formula1>"DRAFT,BLOCKED,OPEN,PASS,CALCULATED,ASSUMPTION,PRELIMINARY"</formula1>
    </dataValidation>
  </dataValidations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38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38" hidden="0" customWidth="1"/>
    <col min="10" max="10" width="16" hidden="0" customWidth="1"/>
    <col min="11" max="11" width="24" hidden="0" customWidth="1"/>
    <col min="12" max="12" width="24" hidden="0" customWidth="1"/>
    <col min="13" max="13" width="16" hidden="0" customWidth="1"/>
    <col min="14" max="14" width="16" hidden="0" customWidth="1"/>
    <col min="15" max="15" width="24" hidden="0" customWidth="1"/>
    <col min="16" max="16" width="16" hidden="0" customWidth="1"/>
    <col min="17" max="17" width="16" hidden="0" customWidth="1"/>
    <col min="18" max="18" width="16" hidden="0" customWidth="1"/>
    <col min="19" max="19" width="24" hidden="0" customWidth="1"/>
    <col min="20" max="20" width="16" hidden="0" customWidth="1"/>
    <col min="21" max="21" width="16" hidden="0" customWidth="1"/>
    <col min="22" max="22" width="24" hidden="0" customWidth="1"/>
    <col min="23" max="23" width="16" hidden="0" customWidth="1"/>
    <col min="24" max="24" width="24" hidden="0" customWidth="1"/>
    <col min="25" max="25" width="38" hidden="0" customWidth="1"/>
    <col min="26" max="26" width="16" hidden="0" customWidth="1"/>
    <col min="27" max="27" width="16" hidden="0" customWidth="1"/>
    <col min="28" max="28" width="16" hidden="0" customWidth="1"/>
    <col min="29" max="29" width="16" hidden="0" customWidth="1"/>
    <col min="30" max="30" width="16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16" hidden="0" customWidth="1"/>
    <col min="37" max="37" width="16" hidden="0" customWidth="1"/>
    <col min="38" max="38" width="16" hidden="0" customWidth="1"/>
    <col min="39" max="39" width="16" hidden="0" customWidth="1"/>
    <col min="40" max="40" width="38" hidden="0" customWidth="1"/>
    <col min="41" max="41" width="16" hidden="0" customWidth="1"/>
  </cols>
  <sheetData>
    <row r="1">
      <c r="A1" s="8" t="str">
        <v>08 — Оборудование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>
      <c r="A2" s="11" t="str">
        <v>Требования DRAFT; паспорта и load tests не подтверждены.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4" ht="50" customHeight="1">
      <c r="A4" s="14" t="str">
        <v>mapping_id</v>
      </c>
      <c r="B4" s="14" t="str">
        <v>dish_code</v>
      </c>
      <c r="C4" s="14" t="str">
        <v>dish_name</v>
      </c>
      <c r="D4" s="14" t="str">
        <v>menu_section</v>
      </c>
      <c r="E4" s="14" t="str">
        <v>recipe_version</v>
      </c>
      <c r="F4" s="14" t="str">
        <v>operation_no</v>
      </c>
      <c r="G4" s="14" t="str">
        <v>operation_text</v>
      </c>
      <c r="H4" s="14" t="str">
        <v>functional_codes</v>
      </c>
      <c r="I4" s="14" t="str">
        <v>functional_equipment_names</v>
      </c>
      <c r="J4" s="14" t="str">
        <v>capex_inv_codes</v>
      </c>
      <c r="K4" s="14" t="str">
        <v>capex_requirement_statuses</v>
      </c>
      <c r="L4" s="14" t="str">
        <v>capex_structure_approval_statuses</v>
      </c>
      <c r="M4" s="14" t="str">
        <v>requirement_role</v>
      </c>
      <c r="N4" s="14" t="str">
        <v>operation_duration_min</v>
      </c>
      <c r="O4" s="14" t="str">
        <v>duration_status</v>
      </c>
      <c r="P4" s="14" t="str">
        <v>duration_basis</v>
      </c>
      <c r="Q4" s="14" t="str">
        <v>project_design_requirement</v>
      </c>
      <c r="R4" s="14" t="str">
        <v>project_design_requirement_unit</v>
      </c>
      <c r="S4" s="14" t="str">
        <v>project_design_requirement_status</v>
      </c>
      <c r="T4" s="14" t="str">
        <v>recipe_unit_load</v>
      </c>
      <c r="U4" s="14" t="str">
        <v>recipe_unit_load_unit</v>
      </c>
      <c r="V4" s="14" t="str">
        <v>recipe_unit_load_status</v>
      </c>
      <c r="W4" s="14" t="str">
        <v>planning_batches_for_one_recipe_unit</v>
      </c>
      <c r="X4" s="14" t="str">
        <v>planning_batch_status</v>
      </c>
      <c r="Y4" s="14" t="str">
        <v>planning_batch_note</v>
      </c>
      <c r="Z4" s="14" t="str">
        <v>selected_manufacturer</v>
      </c>
      <c r="AA4" s="14" t="str">
        <v>selected_model_article</v>
      </c>
      <c r="AB4" s="14" t="str">
        <v>passport_document_or_official_url</v>
      </c>
      <c r="AC4" s="14" t="str">
        <v>passport_capacity</v>
      </c>
      <c r="AD4" s="14" t="str">
        <v>passport_capacity_unit</v>
      </c>
      <c r="AE4" s="14" t="str">
        <v>capacity_status</v>
      </c>
      <c r="AF4" s="14" t="str">
        <v>equipment_availability_status</v>
      </c>
      <c r="AG4" s="14" t="str">
        <v>connections_status</v>
      </c>
      <c r="AH4" s="14" t="str">
        <v>suitability_status</v>
      </c>
      <c r="AI4" s="14" t="str">
        <v>parameter_status</v>
      </c>
      <c r="AJ4" s="14" t="str">
        <v>evidence_ids</v>
      </c>
      <c r="AK4" s="14" t="str">
        <v>source_date</v>
      </c>
      <c r="AL4" s="14" t="str">
        <v>blocker_ids</v>
      </c>
      <c r="AM4" s="14" t="str">
        <v>confirmation_owner</v>
      </c>
      <c r="AN4" s="14" t="str">
        <v>mapping_note</v>
      </c>
      <c r="AO4" s="14" t="str">
        <v>next_action</v>
      </c>
    </row>
    <row r="5">
      <c r="A5" s="34" t="str">
        <v>EQM-0001</v>
      </c>
      <c r="B5" s="35" t="str">
        <v>VKM-001</v>
      </c>
      <c r="C5" s="35" t="str">
        <v>Маргарита</v>
      </c>
      <c r="D5" s="35" t="str">
        <v>Пицца</v>
      </c>
      <c r="E5" s="35" t="str">
        <v>0.1.0-DRAFT</v>
      </c>
      <c r="F5" s="35" t="n">
        <v>1</v>
      </c>
      <c r="G5" s="35" t="str">
        <v>Подготовить тесто и соус</v>
      </c>
      <c r="H5" s="35" t="str">
        <v>BAK-03;BAK-12;HOT-05B</v>
      </c>
      <c r="I5" s="35" t="str">
        <v>Спиральный тестомес;Холодильный пицца-стол;Индукционная плита 2 зоны</v>
      </c>
      <c r="J5" s="35" t="str">
        <v>CAPEX.BAK.003;CAPEX.BAK.012;CAPEX.HOT.006</v>
      </c>
      <c r="K5" s="35" t="str">
        <v>MANDATORY</v>
      </c>
      <c r="L5" s="35" t="str">
        <v>APPROVED_STRUCTURE</v>
      </c>
      <c r="M5" s="35" t="str">
        <v>MIXING_SAUCE_AND_PREP</v>
      </c>
      <c r="N5" s="35"/>
      <c r="O5" s="35" t="str">
        <v>BLOCKED</v>
      </c>
      <c r="P5" s="35" t="str">
        <v>Only dish aggregate is available: active 19 min / total 90 min; no unsupported split by operation</v>
      </c>
      <c r="Q5" s="35" t="str">
        <v>BAK-03: Рабочий диапазон 2–25 кг; BAK-12: Стол и надстройка ингредиентов; HOT-05B: 2 зоны</v>
      </c>
      <c r="R5" s="35" t="str">
        <v>project design requirement</v>
      </c>
      <c r="S5" s="35" t="str">
        <v>PLANNED</v>
      </c>
      <c r="T5" s="35"/>
      <c r="U5" s="35"/>
      <c r="V5" s="35" t="str">
        <v>BLOCKED</v>
      </c>
      <c r="W5" s="35"/>
      <c r="X5" s="35" t="str">
        <v>BLOCKED_NOT_COMPARABLE</v>
      </c>
      <c r="Y5" s="35" t="str">
        <v>Recipe load cannot be compared to the project requirement without tray/form/GN/load and selected-model data</v>
      </c>
      <c r="Z5" s="35"/>
      <c r="AA5" s="35"/>
      <c r="AB5" s="35"/>
      <c r="AC5" s="35"/>
      <c r="AD5" s="35"/>
      <c r="AE5" s="35" t="str">
        <v>BLOCKED_NO_SELECTED_MODEL_PASSPORT</v>
      </c>
      <c r="AF5" s="35" t="str">
        <v>BLOCKED</v>
      </c>
      <c r="AG5" s="35" t="str">
        <v>BLOCKED</v>
      </c>
      <c r="AH5" s="35" t="str">
        <v>BLOCKED_SELECTED_MODEL_AND_SITE_VALIDATION</v>
      </c>
      <c r="AI5" s="35" t="str">
        <v>ESTIMATE</v>
      </c>
      <c r="AJ5" s="35" t="str">
        <v>EVD-0010;EVD-0021;EVD-0022;EVD-0023</v>
      </c>
      <c r="AK5" s="35" t="str">
        <v>2026-08-03</v>
      </c>
      <c r="AL5" s="35" t="str">
        <v>GAP-007;GAP-017;GAP-018;GAP-019</v>
      </c>
      <c r="AM5" s="35" t="str">
        <v>Operations / Engineering / Procurement</v>
      </c>
      <c r="AN5" s="35" t="str">
        <v>Manual operation mapped to an existing work surface/inventory function.</v>
      </c>
      <c r="AO5" s="36" t="str">
        <v>Chef/Operations time the operation; Procurement supplies selected-model passport; Engineering confirms asset, placement and connections</v>
      </c>
    </row>
    <row r="6">
      <c r="A6" s="37" t="str">
        <v>EQM-0002</v>
      </c>
      <c r="B6" s="38" t="str">
        <v>VKM-001</v>
      </c>
      <c r="C6" s="38" t="str">
        <v>Маргарита</v>
      </c>
      <c r="D6" s="38" t="str">
        <v>Пицца</v>
      </c>
      <c r="E6" s="38" t="str">
        <v>0.1.0-DRAFT</v>
      </c>
      <c r="F6" s="38" t="n">
        <v>2</v>
      </c>
      <c r="G6" s="38" t="str">
        <v>выдержать тесто</v>
      </c>
      <c r="H6" s="38" t="str">
        <v>STO-08</v>
      </c>
      <c r="I6" s="38" t="str">
        <v>Холодная ферментация теста</v>
      </c>
      <c r="J6" s="38" t="str">
        <v>CAPEX.STO.008</v>
      </c>
      <c r="K6" s="38" t="str">
        <v>MANDATORY</v>
      </c>
      <c r="L6" s="38" t="str">
        <v>APPROVED_STRUCTURE</v>
      </c>
      <c r="M6" s="38" t="str">
        <v>CONTROLLED_HOLDING</v>
      </c>
      <c r="N6" s="38"/>
      <c r="O6" s="38" t="str">
        <v>BLOCKED</v>
      </c>
      <c r="P6" s="38" t="str">
        <v>Only dish aggregate is available: active 19 min / total 90 min; no unsupported split by operation</v>
      </c>
      <c r="Q6" s="38" t="str">
        <v>STO-08: Всего ≥30 позиций 600×400</v>
      </c>
      <c r="R6" s="38" t="str">
        <v>project design requirement</v>
      </c>
      <c r="S6" s="38" t="str">
        <v>PLANNED</v>
      </c>
      <c r="T6" s="38"/>
      <c r="U6" s="38"/>
      <c r="V6" s="38" t="str">
        <v>BLOCKED</v>
      </c>
      <c r="W6" s="38"/>
      <c r="X6" s="38" t="str">
        <v>BLOCKED_NOT_COMPARABLE</v>
      </c>
      <c r="Y6" s="38" t="str">
        <v>Recipe load cannot be compared to the project requirement without tray/form/GN/load and selected-model data</v>
      </c>
      <c r="Z6" s="38"/>
      <c r="AA6" s="38"/>
      <c r="AB6" s="38"/>
      <c r="AC6" s="38"/>
      <c r="AD6" s="38"/>
      <c r="AE6" s="38" t="str">
        <v>BLOCKED_NO_SELECTED_MODEL_PASSPORT</v>
      </c>
      <c r="AF6" s="38" t="str">
        <v>BLOCKED</v>
      </c>
      <c r="AG6" s="38" t="str">
        <v>BLOCKED</v>
      </c>
      <c r="AH6" s="38" t="str">
        <v>BLOCKED_SELECTED_MODEL_AND_SITE_VALIDATION</v>
      </c>
      <c r="AI6" s="38" t="str">
        <v>ESTIMATE</v>
      </c>
      <c r="AJ6" s="38" t="str">
        <v>EVD-0010;EVD-0021;EVD-0022;EVD-0023</v>
      </c>
      <c r="AK6" s="38" t="str">
        <v>2026-08-03</v>
      </c>
      <c r="AL6" s="38" t="str">
        <v>GAP-007;GAP-017;GAP-018;GAP-019</v>
      </c>
      <c r="AM6" s="38" t="str">
        <v>Operations / Engineering / Procurement</v>
      </c>
      <c r="AN6" s="38" t="str">
        <v>Manual operation mapped to an existing work surface/inventory function.</v>
      </c>
      <c r="AO6" s="39" t="str">
        <v>Chef/Operations time the operation; Procurement supplies selected-model passport; Engineering confirms asset, placement and connections</v>
      </c>
    </row>
    <row r="7">
      <c r="A7" s="37" t="str">
        <v>EQM-0003</v>
      </c>
      <c r="B7" s="38" t="str">
        <v>VKM-001</v>
      </c>
      <c r="C7" s="38" t="str">
        <v>Маргарита</v>
      </c>
      <c r="D7" s="38" t="str">
        <v>Пицца</v>
      </c>
      <c r="E7" s="38" t="str">
        <v>0.1.0-DRAFT</v>
      </c>
      <c r="F7" s="38" t="n">
        <v>3</v>
      </c>
      <c r="G7" s="38" t="str">
        <v>сформовать основу</v>
      </c>
      <c r="H7" s="38" t="str">
        <v>BAK-12</v>
      </c>
      <c r="I7" s="38" t="str">
        <v>Холодильный пицца-стол</v>
      </c>
      <c r="J7" s="38" t="str">
        <v>CAPEX.BAK.012</v>
      </c>
      <c r="K7" s="38" t="str">
        <v>MANDATORY</v>
      </c>
      <c r="L7" s="38" t="str">
        <v>APPROVED_STRUCTURE</v>
      </c>
      <c r="M7" s="38" t="str">
        <v>FORMING_ASSEMBLY_FINISH</v>
      </c>
      <c r="N7" s="38"/>
      <c r="O7" s="38" t="str">
        <v>BLOCKED</v>
      </c>
      <c r="P7" s="38" t="str">
        <v>Only dish aggregate is available: active 19 min / total 90 min; no unsupported split by operation</v>
      </c>
      <c r="Q7" s="38" t="str">
        <v>BAK-12: Стол и надстройка ингредиентов</v>
      </c>
      <c r="R7" s="38" t="str">
        <v>project design requirement</v>
      </c>
      <c r="S7" s="38" t="str">
        <v>PLANNED</v>
      </c>
      <c r="T7" s="38"/>
      <c r="U7" s="38"/>
      <c r="V7" s="38" t="str">
        <v>BLOCKED</v>
      </c>
      <c r="W7" s="38"/>
      <c r="X7" s="38" t="str">
        <v>BLOCKED_NOT_COMPARABLE</v>
      </c>
      <c r="Y7" s="38" t="str">
        <v>Recipe load cannot be compared to the project requirement without tray/form/GN/load and selected-model data</v>
      </c>
      <c r="Z7" s="38"/>
      <c r="AA7" s="38"/>
      <c r="AB7" s="38"/>
      <c r="AC7" s="38"/>
      <c r="AD7" s="38"/>
      <c r="AE7" s="38" t="str">
        <v>BLOCKED_NO_SELECTED_MODEL_PASSPORT</v>
      </c>
      <c r="AF7" s="38" t="str">
        <v>BLOCKED</v>
      </c>
      <c r="AG7" s="38" t="str">
        <v>BLOCKED</v>
      </c>
      <c r="AH7" s="38" t="str">
        <v>BLOCKED_SELECTED_MODEL_AND_SITE_VALIDATION</v>
      </c>
      <c r="AI7" s="38" t="str">
        <v>ESTIMATE</v>
      </c>
      <c r="AJ7" s="38" t="str">
        <v>EVD-0010;EVD-0021;EVD-0022;EVD-0023</v>
      </c>
      <c r="AK7" s="38" t="str">
        <v>2026-08-03</v>
      </c>
      <c r="AL7" s="38" t="str">
        <v>GAP-007;GAP-017;GAP-018;GAP-019</v>
      </c>
      <c r="AM7" s="38" t="str">
        <v>Operations / Engineering / Procurement</v>
      </c>
      <c r="AN7" s="38" t="str">
        <v>Manual operation mapped to an existing work surface/inventory function.</v>
      </c>
      <c r="AO7" s="39" t="str">
        <v>Chef/Operations time the operation; Procurement supplies selected-model passport; Engineering confirms asset, placement and connections</v>
      </c>
    </row>
    <row r="8">
      <c r="A8" s="37" t="str">
        <v>EQM-0004</v>
      </c>
      <c r="B8" s="38" t="str">
        <v>VKM-001</v>
      </c>
      <c r="C8" s="38" t="str">
        <v>Маргарита</v>
      </c>
      <c r="D8" s="38" t="str">
        <v>Пицца</v>
      </c>
      <c r="E8" s="38" t="str">
        <v>0.1.0-DRAFT</v>
      </c>
      <c r="F8" s="38" t="n">
        <v>4</v>
      </c>
      <c r="G8" s="38" t="str">
        <v>нанести соус и сыр</v>
      </c>
      <c r="H8" s="38" t="str">
        <v>HOT-05B;BAK-12</v>
      </c>
      <c r="I8" s="38" t="str">
        <v>Индукционная плита 2 зоны;Холодильный пицца-стол</v>
      </c>
      <c r="J8" s="38" t="str">
        <v>CAPEX.HOT.006;CAPEX.BAK.012</v>
      </c>
      <c r="K8" s="38" t="str">
        <v>MANDATORY</v>
      </c>
      <c r="L8" s="38" t="str">
        <v>APPROVED_STRUCTURE</v>
      </c>
      <c r="M8" s="38" t="str">
        <v>SAUCE_PREP_AND_ASSEMBLY</v>
      </c>
      <c r="N8" s="38"/>
      <c r="O8" s="38" t="str">
        <v>BLOCKED</v>
      </c>
      <c r="P8" s="38" t="str">
        <v>Only dish aggregate is available: active 19 min / total 90 min; no unsupported split by operation</v>
      </c>
      <c r="Q8" s="38" t="str">
        <v>HOT-05B: 2 зоны; BAK-12: Стол и надстройка ингредиентов</v>
      </c>
      <c r="R8" s="38" t="str">
        <v>project design requirement</v>
      </c>
      <c r="S8" s="38" t="str">
        <v>PLANNED</v>
      </c>
      <c r="T8" s="38"/>
      <c r="U8" s="38"/>
      <c r="V8" s="38" t="str">
        <v>BLOCKED</v>
      </c>
      <c r="W8" s="38"/>
      <c r="X8" s="38" t="str">
        <v>BLOCKED_NOT_COMPARABLE</v>
      </c>
      <c r="Y8" s="38" t="str">
        <v>Recipe load cannot be compared to the project requirement without tray/form/GN/load and selected-model data</v>
      </c>
      <c r="Z8" s="38"/>
      <c r="AA8" s="38"/>
      <c r="AB8" s="38"/>
      <c r="AC8" s="38"/>
      <c r="AD8" s="38"/>
      <c r="AE8" s="38" t="str">
        <v>BLOCKED_NO_SELECTED_MODEL_PASSPORT</v>
      </c>
      <c r="AF8" s="38" t="str">
        <v>BLOCKED</v>
      </c>
      <c r="AG8" s="38" t="str">
        <v>BLOCKED</v>
      </c>
      <c r="AH8" s="38" t="str">
        <v>BLOCKED_SELECTED_MODEL_AND_SITE_VALIDATION</v>
      </c>
      <c r="AI8" s="38" t="str">
        <v>ESTIMATE</v>
      </c>
      <c r="AJ8" s="38" t="str">
        <v>EVD-0010;EVD-0021;EVD-0022;EVD-0023</v>
      </c>
      <c r="AK8" s="38" t="str">
        <v>2026-08-03</v>
      </c>
      <c r="AL8" s="38" t="str">
        <v>GAP-007;GAP-017;GAP-018;GAP-019</v>
      </c>
      <c r="AM8" s="38" t="str">
        <v>Operations / Engineering / Procurement</v>
      </c>
      <c r="AN8" s="38" t="str">
        <v>Manual operation mapped to an existing work surface/inventory function.</v>
      </c>
      <c r="AO8" s="39" t="str">
        <v>Chef/Operations time the operation; Procurement supplies selected-model passport; Engineering confirms asset, placement and connections</v>
      </c>
    </row>
    <row r="9">
      <c r="A9" s="37" t="str">
        <v>EQM-0005</v>
      </c>
      <c r="B9" s="38" t="str">
        <v>VKM-001</v>
      </c>
      <c r="C9" s="38" t="str">
        <v>Маргарита</v>
      </c>
      <c r="D9" s="38" t="str">
        <v>Пицца</v>
      </c>
      <c r="E9" s="38" t="str">
        <v>0.1.0-DRAFT</v>
      </c>
      <c r="F9" s="38" t="n">
        <v>5</v>
      </c>
      <c r="G9" s="38" t="str">
        <v>выпечь</v>
      </c>
      <c r="H9" s="38" t="str">
        <v>BAK-01</v>
      </c>
      <c r="I9" s="38" t="str">
        <v>Печь для пиццы</v>
      </c>
      <c r="J9" s="38" t="str">
        <v>CAPEX.BAK.001</v>
      </c>
      <c r="K9" s="38" t="str">
        <v>MANDATORY</v>
      </c>
      <c r="L9" s="38" t="str">
        <v>APPROVED_STRUCTURE</v>
      </c>
      <c r="M9" s="38" t="str">
        <v>THERMAL_PROCESS</v>
      </c>
      <c r="N9" s="38"/>
      <c r="O9" s="38" t="str">
        <v>BLOCKED</v>
      </c>
      <c r="P9" s="38" t="str">
        <v>Only dish aggregate is available: active 19 min / total 90 min; no unsupported split by operation</v>
      </c>
      <c r="Q9" s="38" t="str">
        <v>BAK-01: 4–6 пицц до 33 см; ≥400°C; 20–25/час</v>
      </c>
      <c r="R9" s="38" t="str">
        <v>project design requirement</v>
      </c>
      <c r="S9" s="38" t="str">
        <v>PLANNED</v>
      </c>
      <c r="T9" s="38" t="n">
        <v>1</v>
      </c>
      <c r="U9" s="38" t="str">
        <v>пицца</v>
      </c>
      <c r="V9" s="38" t="str">
        <v>ASSUMPTION_RECIPE_UNIT</v>
      </c>
      <c r="W9" s="38" t="n">
        <v>1</v>
      </c>
      <c r="X9" s="38" t="str">
        <v>CALCULATED_FROM_PROJECT_MINIMUM</v>
      </c>
      <c r="Y9" s="38" t="str">
        <v>1 pizza / minimum 4 pizzas per load; selected-model passport and actual cycle remain absent</v>
      </c>
      <c r="Z9" s="38"/>
      <c r="AA9" s="38"/>
      <c r="AB9" s="38"/>
      <c r="AC9" s="38"/>
      <c r="AD9" s="38"/>
      <c r="AE9" s="38" t="str">
        <v>BLOCKED_NO_SELECTED_MODEL_PASSPORT</v>
      </c>
      <c r="AF9" s="38" t="str">
        <v>BLOCKED</v>
      </c>
      <c r="AG9" s="38" t="str">
        <v>BLOCKED</v>
      </c>
      <c r="AH9" s="38" t="str">
        <v>BLOCKED_SELECTED_MODEL_AND_SITE_VALIDATION</v>
      </c>
      <c r="AI9" s="38" t="str">
        <v>ESTIMATE</v>
      </c>
      <c r="AJ9" s="38" t="str">
        <v>EVD-0010;EVD-0021;EVD-0022;EVD-0023</v>
      </c>
      <c r="AK9" s="38" t="str">
        <v>2026-08-03</v>
      </c>
      <c r="AL9" s="38" t="str">
        <v>GAP-007;GAP-017;GAP-018;GAP-019</v>
      </c>
      <c r="AM9" s="38" t="str">
        <v>Operations / Engineering / Procurement</v>
      </c>
      <c r="AN9" s="38" t="str">
        <v>Manual operation mapped to an existing work surface/inventory function.</v>
      </c>
      <c r="AO9" s="39" t="str">
        <v>Chef/Operations time the operation; Procurement supplies selected-model passport; Engineering confirms asset, placement and connections</v>
      </c>
    </row>
    <row r="10">
      <c r="A10" s="37" t="str">
        <v>EQM-0006</v>
      </c>
      <c r="B10" s="38" t="str">
        <v>VKM-001</v>
      </c>
      <c r="C10" s="38" t="str">
        <v>Маргарита</v>
      </c>
      <c r="D10" s="38" t="str">
        <v>Пицца</v>
      </c>
      <c r="E10" s="38" t="str">
        <v>0.1.0-DRAFT</v>
      </c>
      <c r="F10" s="38" t="n">
        <v>6</v>
      </c>
      <c r="G10" s="38" t="str">
        <v>добавить базилик и масло</v>
      </c>
      <c r="H10" s="38" t="str">
        <v>BAK-12</v>
      </c>
      <c r="I10" s="38" t="str">
        <v>Холодильный пицца-стол</v>
      </c>
      <c r="J10" s="38" t="str">
        <v>CAPEX.BAK.012</v>
      </c>
      <c r="K10" s="38" t="str">
        <v>MANDATORY</v>
      </c>
      <c r="L10" s="38" t="str">
        <v>APPROVED_STRUCTURE</v>
      </c>
      <c r="M10" s="38" t="str">
        <v>FORMING_ASSEMBLY_FINISH</v>
      </c>
      <c r="N10" s="38"/>
      <c r="O10" s="38" t="str">
        <v>BLOCKED</v>
      </c>
      <c r="P10" s="38" t="str">
        <v>Only dish aggregate is available: active 19 min / total 90 min; no unsupported split by operation</v>
      </c>
      <c r="Q10" s="38" t="str">
        <v>BAK-12: Стол и надстройка ингредиентов</v>
      </c>
      <c r="R10" s="38" t="str">
        <v>project design requirement</v>
      </c>
      <c r="S10" s="38" t="str">
        <v>PLANNED</v>
      </c>
      <c r="T10" s="38"/>
      <c r="U10" s="38"/>
      <c r="V10" s="38" t="str">
        <v>BLOCKED</v>
      </c>
      <c r="W10" s="38"/>
      <c r="X10" s="38" t="str">
        <v>BLOCKED_NOT_COMPARABLE</v>
      </c>
      <c r="Y10" s="38" t="str">
        <v>Recipe load cannot be compared to the project requirement without tray/form/GN/load and selected-model data</v>
      </c>
      <c r="Z10" s="38"/>
      <c r="AA10" s="38"/>
      <c r="AB10" s="38"/>
      <c r="AC10" s="38"/>
      <c r="AD10" s="38"/>
      <c r="AE10" s="38" t="str">
        <v>BLOCKED_NO_SELECTED_MODEL_PASSPORT</v>
      </c>
      <c r="AF10" s="38" t="str">
        <v>BLOCKED</v>
      </c>
      <c r="AG10" s="38" t="str">
        <v>BLOCKED</v>
      </c>
      <c r="AH10" s="38" t="str">
        <v>BLOCKED_SELECTED_MODEL_AND_SITE_VALIDATION</v>
      </c>
      <c r="AI10" s="38" t="str">
        <v>ESTIMATE</v>
      </c>
      <c r="AJ10" s="38" t="str">
        <v>EVD-0010;EVD-0021;EVD-0022;EVD-0023</v>
      </c>
      <c r="AK10" s="38" t="str">
        <v>2026-08-03</v>
      </c>
      <c r="AL10" s="38" t="str">
        <v>GAP-007;GAP-017;GAP-018;GAP-019</v>
      </c>
      <c r="AM10" s="38" t="str">
        <v>Operations / Engineering / Procurement</v>
      </c>
      <c r="AN10" s="38" t="str">
        <v>Manual operation mapped to an existing work surface/inventory function.</v>
      </c>
      <c r="AO10" s="39" t="str">
        <v>Chef/Operations time the operation; Procurement supplies selected-model passport; Engineering confirms asset, placement and connections</v>
      </c>
    </row>
    <row r="11">
      <c r="A11" s="37" t="str">
        <v>EQM-0007</v>
      </c>
      <c r="B11" s="38" t="str">
        <v>VKM-002</v>
      </c>
      <c r="C11" s="38" t="str">
        <v>Четыре сыра</v>
      </c>
      <c r="D11" s="38" t="str">
        <v>Пицца</v>
      </c>
      <c r="E11" s="38" t="str">
        <v>0.1.0-DRAFT</v>
      </c>
      <c r="F11" s="38" t="n">
        <v>1</v>
      </c>
      <c r="G11" s="38" t="str">
        <v>Подготовить тесто и соус</v>
      </c>
      <c r="H11" s="38" t="str">
        <v>BAK-03;BAK-12;HOT-05B</v>
      </c>
      <c r="I11" s="38" t="str">
        <v>Спиральный тестомес;Холодильный пицца-стол;Индукционная плита 2 зоны</v>
      </c>
      <c r="J11" s="38" t="str">
        <v>CAPEX.BAK.003;CAPEX.BAK.012;CAPEX.HOT.006</v>
      </c>
      <c r="K11" s="38" t="str">
        <v>MANDATORY</v>
      </c>
      <c r="L11" s="38" t="str">
        <v>APPROVED_STRUCTURE</v>
      </c>
      <c r="M11" s="38" t="str">
        <v>MIXING_SAUCE_AND_PREP</v>
      </c>
      <c r="N11" s="38"/>
      <c r="O11" s="38" t="str">
        <v>BLOCKED</v>
      </c>
      <c r="P11" s="38" t="str">
        <v>Only dish aggregate is available: active 20 min / total 92 min; no unsupported split by operation</v>
      </c>
      <c r="Q11" s="38" t="str">
        <v>BAK-03: Рабочий диапазон 2–25 кг; BAK-12: Стол и надстройка ингредиентов; HOT-05B: 2 зоны</v>
      </c>
      <c r="R11" s="38" t="str">
        <v>project design requirement</v>
      </c>
      <c r="S11" s="38" t="str">
        <v>PLANNED</v>
      </c>
      <c r="T11" s="38"/>
      <c r="U11" s="38"/>
      <c r="V11" s="38" t="str">
        <v>BLOCKED</v>
      </c>
      <c r="W11" s="38"/>
      <c r="X11" s="38" t="str">
        <v>BLOCKED_NOT_COMPARABLE</v>
      </c>
      <c r="Y11" s="38" t="str">
        <v>Recipe load cannot be compared to the project requirement without tray/form/GN/load and selected-model data</v>
      </c>
      <c r="Z11" s="38"/>
      <c r="AA11" s="38"/>
      <c r="AB11" s="38"/>
      <c r="AC11" s="38"/>
      <c r="AD11" s="38"/>
      <c r="AE11" s="38" t="str">
        <v>BLOCKED_NO_SELECTED_MODEL_PASSPORT</v>
      </c>
      <c r="AF11" s="38" t="str">
        <v>BLOCKED</v>
      </c>
      <c r="AG11" s="38" t="str">
        <v>BLOCKED</v>
      </c>
      <c r="AH11" s="38" t="str">
        <v>BLOCKED_SELECTED_MODEL_AND_SITE_VALIDATION</v>
      </c>
      <c r="AI11" s="38" t="str">
        <v>ESTIMATE</v>
      </c>
      <c r="AJ11" s="38" t="str">
        <v>EVD-0010;EVD-0021;EVD-0022;EVD-0023</v>
      </c>
      <c r="AK11" s="38" t="str">
        <v>2026-08-03</v>
      </c>
      <c r="AL11" s="38" t="str">
        <v>GAP-007;GAP-017;GAP-018;GAP-019</v>
      </c>
      <c r="AM11" s="38" t="str">
        <v>Operations / Engineering / Procurement</v>
      </c>
      <c r="AN11" s="38" t="str">
        <v>Manual operation mapped to an existing work surface/inventory function.</v>
      </c>
      <c r="AO11" s="39" t="str">
        <v>Chef/Operations time the operation; Procurement supplies selected-model passport; Engineering confirms asset, placement and connections</v>
      </c>
    </row>
    <row r="12">
      <c r="A12" s="37" t="str">
        <v>EQM-0008</v>
      </c>
      <c r="B12" s="38" t="str">
        <v>VKM-002</v>
      </c>
      <c r="C12" s="38" t="str">
        <v>Четыре сыра</v>
      </c>
      <c r="D12" s="38" t="str">
        <v>Пицца</v>
      </c>
      <c r="E12" s="38" t="str">
        <v>0.1.0-DRAFT</v>
      </c>
      <c r="F12" s="38" t="n">
        <v>2</v>
      </c>
      <c r="G12" s="38" t="str">
        <v>сформовать</v>
      </c>
      <c r="H12" s="38" t="str">
        <v>BAK-12</v>
      </c>
      <c r="I12" s="38" t="str">
        <v>Холодильный пицца-стол</v>
      </c>
      <c r="J12" s="38" t="str">
        <v>CAPEX.BAK.012</v>
      </c>
      <c r="K12" s="38" t="str">
        <v>MANDATORY</v>
      </c>
      <c r="L12" s="38" t="str">
        <v>APPROVED_STRUCTURE</v>
      </c>
      <c r="M12" s="38" t="str">
        <v>FORMING_ASSEMBLY_FINISH</v>
      </c>
      <c r="N12" s="38"/>
      <c r="O12" s="38" t="str">
        <v>BLOCKED</v>
      </c>
      <c r="P12" s="38" t="str">
        <v>Only dish aggregate is available: active 20 min / total 92 min; no unsupported split by operation</v>
      </c>
      <c r="Q12" s="38" t="str">
        <v>BAK-12: Стол и надстройка ингредиентов</v>
      </c>
      <c r="R12" s="38" t="str">
        <v>project design requirement</v>
      </c>
      <c r="S12" s="38" t="str">
        <v>PLANNED</v>
      </c>
      <c r="T12" s="38"/>
      <c r="U12" s="38"/>
      <c r="V12" s="38" t="str">
        <v>BLOCKED</v>
      </c>
      <c r="W12" s="38"/>
      <c r="X12" s="38" t="str">
        <v>BLOCKED_NOT_COMPARABLE</v>
      </c>
      <c r="Y12" s="38" t="str">
        <v>Recipe load cannot be compared to the project requirement without tray/form/GN/load and selected-model data</v>
      </c>
      <c r="Z12" s="38"/>
      <c r="AA12" s="38"/>
      <c r="AB12" s="38"/>
      <c r="AC12" s="38"/>
      <c r="AD12" s="38"/>
      <c r="AE12" s="38" t="str">
        <v>BLOCKED_NO_SELECTED_MODEL_PASSPORT</v>
      </c>
      <c r="AF12" s="38" t="str">
        <v>BLOCKED</v>
      </c>
      <c r="AG12" s="38" t="str">
        <v>BLOCKED</v>
      </c>
      <c r="AH12" s="38" t="str">
        <v>BLOCKED_SELECTED_MODEL_AND_SITE_VALIDATION</v>
      </c>
      <c r="AI12" s="38" t="str">
        <v>ESTIMATE</v>
      </c>
      <c r="AJ12" s="38" t="str">
        <v>EVD-0010;EVD-0021;EVD-0022;EVD-0023</v>
      </c>
      <c r="AK12" s="38" t="str">
        <v>2026-08-03</v>
      </c>
      <c r="AL12" s="38" t="str">
        <v>GAP-007;GAP-017;GAP-018;GAP-019</v>
      </c>
      <c r="AM12" s="38" t="str">
        <v>Operations / Engineering / Procurement</v>
      </c>
      <c r="AN12" s="38" t="str">
        <v>Manual operation mapped to an existing work surface/inventory function.</v>
      </c>
      <c r="AO12" s="39" t="str">
        <v>Chef/Operations time the operation; Procurement supplies selected-model passport; Engineering confirms asset, placement and connections</v>
      </c>
    </row>
    <row r="13">
      <c r="A13" s="37" t="str">
        <v>EQM-0009</v>
      </c>
      <c r="B13" s="38" t="str">
        <v>VKM-002</v>
      </c>
      <c r="C13" s="38" t="str">
        <v>Четыре сыра</v>
      </c>
      <c r="D13" s="38" t="str">
        <v>Пицца</v>
      </c>
      <c r="E13" s="38" t="str">
        <v>0.1.0-DRAFT</v>
      </c>
      <c r="F13" s="38" t="n">
        <v>3</v>
      </c>
      <c r="G13" s="38" t="str">
        <v>распределить четыре сыра</v>
      </c>
      <c r="H13" s="38" t="str">
        <v>BAK-12</v>
      </c>
      <c r="I13" s="38" t="str">
        <v>Холодильный пицца-стол</v>
      </c>
      <c r="J13" s="38" t="str">
        <v>CAPEX.BAK.012</v>
      </c>
      <c r="K13" s="38" t="str">
        <v>MANDATORY</v>
      </c>
      <c r="L13" s="38" t="str">
        <v>APPROVED_STRUCTURE</v>
      </c>
      <c r="M13" s="38" t="str">
        <v>FORMING_ASSEMBLY_FINISH</v>
      </c>
      <c r="N13" s="38"/>
      <c r="O13" s="38" t="str">
        <v>BLOCKED</v>
      </c>
      <c r="P13" s="38" t="str">
        <v>Only dish aggregate is available: active 20 min / total 92 min; no unsupported split by operation</v>
      </c>
      <c r="Q13" s="38" t="str">
        <v>BAK-12: Стол и надстройка ингредиентов</v>
      </c>
      <c r="R13" s="38" t="str">
        <v>project design requirement</v>
      </c>
      <c r="S13" s="38" t="str">
        <v>PLANNED</v>
      </c>
      <c r="T13" s="38"/>
      <c r="U13" s="38"/>
      <c r="V13" s="38" t="str">
        <v>BLOCKED</v>
      </c>
      <c r="W13" s="38"/>
      <c r="X13" s="38" t="str">
        <v>BLOCKED_NOT_COMPARABLE</v>
      </c>
      <c r="Y13" s="38" t="str">
        <v>Recipe load cannot be compared to the project requirement without tray/form/GN/load and selected-model data</v>
      </c>
      <c r="Z13" s="38"/>
      <c r="AA13" s="38"/>
      <c r="AB13" s="38"/>
      <c r="AC13" s="38"/>
      <c r="AD13" s="38"/>
      <c r="AE13" s="38" t="str">
        <v>BLOCKED_NO_SELECTED_MODEL_PASSPORT</v>
      </c>
      <c r="AF13" s="38" t="str">
        <v>BLOCKED</v>
      </c>
      <c r="AG13" s="38" t="str">
        <v>BLOCKED</v>
      </c>
      <c r="AH13" s="38" t="str">
        <v>BLOCKED_SELECTED_MODEL_AND_SITE_VALIDATION</v>
      </c>
      <c r="AI13" s="38" t="str">
        <v>ESTIMATE</v>
      </c>
      <c r="AJ13" s="38" t="str">
        <v>EVD-0010;EVD-0021;EVD-0022;EVD-0023</v>
      </c>
      <c r="AK13" s="38" t="str">
        <v>2026-08-03</v>
      </c>
      <c r="AL13" s="38" t="str">
        <v>GAP-007;GAP-017;GAP-018;GAP-019</v>
      </c>
      <c r="AM13" s="38" t="str">
        <v>Operations / Engineering / Procurement</v>
      </c>
      <c r="AN13" s="38" t="str">
        <v>Manual operation mapped to an existing work surface/inventory function.</v>
      </c>
      <c r="AO13" s="39" t="str">
        <v>Chef/Operations time the operation; Procurement supplies selected-model passport; Engineering confirms asset, placement and connections</v>
      </c>
    </row>
    <row r="14">
      <c r="A14" s="37" t="str">
        <v>EQM-0010</v>
      </c>
      <c r="B14" s="38" t="str">
        <v>VKM-002</v>
      </c>
      <c r="C14" s="38" t="str">
        <v>Четыре сыра</v>
      </c>
      <c r="D14" s="38" t="str">
        <v>Пицца</v>
      </c>
      <c r="E14" s="38" t="str">
        <v>0.1.0-DRAFT</v>
      </c>
      <c r="F14" s="38" t="n">
        <v>4</v>
      </c>
      <c r="G14" s="38" t="str">
        <v>выпечь</v>
      </c>
      <c r="H14" s="38" t="str">
        <v>BAK-01</v>
      </c>
      <c r="I14" s="38" t="str">
        <v>Печь для пиццы</v>
      </c>
      <c r="J14" s="38" t="str">
        <v>CAPEX.BAK.001</v>
      </c>
      <c r="K14" s="38" t="str">
        <v>MANDATORY</v>
      </c>
      <c r="L14" s="38" t="str">
        <v>APPROVED_STRUCTURE</v>
      </c>
      <c r="M14" s="38" t="str">
        <v>THERMAL_PROCESS</v>
      </c>
      <c r="N14" s="38"/>
      <c r="O14" s="38" t="str">
        <v>BLOCKED</v>
      </c>
      <c r="P14" s="38" t="str">
        <v>Only dish aggregate is available: active 20 min / total 92 min; no unsupported split by operation</v>
      </c>
      <c r="Q14" s="38" t="str">
        <v>BAK-01: 4–6 пицц до 33 см; ≥400°C; 20–25/час</v>
      </c>
      <c r="R14" s="38" t="str">
        <v>project design requirement</v>
      </c>
      <c r="S14" s="38" t="str">
        <v>PLANNED</v>
      </c>
      <c r="T14" s="38" t="n">
        <v>1</v>
      </c>
      <c r="U14" s="38" t="str">
        <v>пицца</v>
      </c>
      <c r="V14" s="38" t="str">
        <v>ASSUMPTION_RECIPE_UNIT</v>
      </c>
      <c r="W14" s="38" t="n">
        <v>1</v>
      </c>
      <c r="X14" s="38" t="str">
        <v>CALCULATED_FROM_PROJECT_MINIMUM</v>
      </c>
      <c r="Y14" s="38" t="str">
        <v>1 pizza / minimum 4 pizzas per load; selected-model passport and actual cycle remain absent</v>
      </c>
      <c r="Z14" s="38"/>
      <c r="AA14" s="38"/>
      <c r="AB14" s="38"/>
      <c r="AC14" s="38"/>
      <c r="AD14" s="38"/>
      <c r="AE14" s="38" t="str">
        <v>BLOCKED_NO_SELECTED_MODEL_PASSPORT</v>
      </c>
      <c r="AF14" s="38" t="str">
        <v>BLOCKED</v>
      </c>
      <c r="AG14" s="38" t="str">
        <v>BLOCKED</v>
      </c>
      <c r="AH14" s="38" t="str">
        <v>BLOCKED_SELECTED_MODEL_AND_SITE_VALIDATION</v>
      </c>
      <c r="AI14" s="38" t="str">
        <v>ESTIMATE</v>
      </c>
      <c r="AJ14" s="38" t="str">
        <v>EVD-0010;EVD-0021;EVD-0022;EVD-0023</v>
      </c>
      <c r="AK14" s="38" t="str">
        <v>2026-08-03</v>
      </c>
      <c r="AL14" s="38" t="str">
        <v>GAP-007;GAP-017;GAP-018;GAP-019</v>
      </c>
      <c r="AM14" s="38" t="str">
        <v>Operations / Engineering / Procurement</v>
      </c>
      <c r="AN14" s="38" t="str">
        <v>Manual operation mapped to an existing work surface/inventory function.</v>
      </c>
      <c r="AO14" s="39" t="str">
        <v>Chef/Operations time the operation; Procurement supplies selected-model passport; Engineering confirms asset, placement and connections</v>
      </c>
    </row>
    <row r="15">
      <c r="A15" s="37" t="str">
        <v>EQM-0011</v>
      </c>
      <c r="B15" s="38" t="str">
        <v>VKM-002</v>
      </c>
      <c r="C15" s="38" t="str">
        <v>Четыре сыра</v>
      </c>
      <c r="D15" s="38" t="str">
        <v>Пицца</v>
      </c>
      <c r="E15" s="38" t="str">
        <v>0.1.0-DRAFT</v>
      </c>
      <c r="F15" s="38" t="n">
        <v>5</v>
      </c>
      <c r="G15" s="38" t="str">
        <v>финишировать маслом</v>
      </c>
      <c r="H15" s="38" t="str">
        <v>BAK-12</v>
      </c>
      <c r="I15" s="38" t="str">
        <v>Холодильный пицца-стол</v>
      </c>
      <c r="J15" s="38" t="str">
        <v>CAPEX.BAK.012</v>
      </c>
      <c r="K15" s="38" t="str">
        <v>MANDATORY</v>
      </c>
      <c r="L15" s="38" t="str">
        <v>APPROVED_STRUCTURE</v>
      </c>
      <c r="M15" s="38" t="str">
        <v>FORMING_ASSEMBLY_FINISH</v>
      </c>
      <c r="N15" s="38"/>
      <c r="O15" s="38" t="str">
        <v>BLOCKED</v>
      </c>
      <c r="P15" s="38" t="str">
        <v>Only dish aggregate is available: active 20 min / total 92 min; no unsupported split by operation</v>
      </c>
      <c r="Q15" s="38" t="str">
        <v>BAK-12: Стол и надстройка ингредиентов</v>
      </c>
      <c r="R15" s="38" t="str">
        <v>project design requirement</v>
      </c>
      <c r="S15" s="38" t="str">
        <v>PLANNED</v>
      </c>
      <c r="T15" s="38"/>
      <c r="U15" s="38"/>
      <c r="V15" s="38" t="str">
        <v>BLOCKED</v>
      </c>
      <c r="W15" s="38"/>
      <c r="X15" s="38" t="str">
        <v>BLOCKED_NOT_COMPARABLE</v>
      </c>
      <c r="Y15" s="38" t="str">
        <v>Recipe load cannot be compared to the project requirement without tray/form/GN/load and selected-model data</v>
      </c>
      <c r="Z15" s="38"/>
      <c r="AA15" s="38"/>
      <c r="AB15" s="38"/>
      <c r="AC15" s="38"/>
      <c r="AD15" s="38"/>
      <c r="AE15" s="38" t="str">
        <v>BLOCKED_NO_SELECTED_MODEL_PASSPORT</v>
      </c>
      <c r="AF15" s="38" t="str">
        <v>BLOCKED</v>
      </c>
      <c r="AG15" s="38" t="str">
        <v>BLOCKED</v>
      </c>
      <c r="AH15" s="38" t="str">
        <v>BLOCKED_SELECTED_MODEL_AND_SITE_VALIDATION</v>
      </c>
      <c r="AI15" s="38" t="str">
        <v>ESTIMATE</v>
      </c>
      <c r="AJ15" s="38" t="str">
        <v>EVD-0010;EVD-0021;EVD-0022;EVD-0023</v>
      </c>
      <c r="AK15" s="38" t="str">
        <v>2026-08-03</v>
      </c>
      <c r="AL15" s="38" t="str">
        <v>GAP-007;GAP-017;GAP-018;GAP-019</v>
      </c>
      <c r="AM15" s="38" t="str">
        <v>Operations / Engineering / Procurement</v>
      </c>
      <c r="AN15" s="38" t="str">
        <v>Manual operation mapped to an existing work surface/inventory function.</v>
      </c>
      <c r="AO15" s="39" t="str">
        <v>Chef/Operations time the operation; Procurement supplies selected-model passport; Engineering confirms asset, placement and connections</v>
      </c>
    </row>
    <row r="16">
      <c r="A16" s="37" t="str">
        <v>EQM-0012</v>
      </c>
      <c r="B16" s="38" t="str">
        <v>VKM-003</v>
      </c>
      <c r="C16" s="38" t="str">
        <v>Грибная с ветчиной</v>
      </c>
      <c r="D16" s="38" t="str">
        <v>Пицца</v>
      </c>
      <c r="E16" s="38" t="str">
        <v>0.1.0-DRAFT</v>
      </c>
      <c r="F16" s="38" t="n">
        <v>1</v>
      </c>
      <c r="G16" s="38" t="str">
        <v>Подготовить тесто и соус</v>
      </c>
      <c r="H16" s="38" t="str">
        <v>BAK-03;BAK-12;HOT-05B</v>
      </c>
      <c r="I16" s="38" t="str">
        <v>Спиральный тестомес;Холодильный пицца-стол;Индукционная плита 2 зоны</v>
      </c>
      <c r="J16" s="38" t="str">
        <v>CAPEX.BAK.003;CAPEX.BAK.012;CAPEX.HOT.006</v>
      </c>
      <c r="K16" s="38" t="str">
        <v>MANDATORY</v>
      </c>
      <c r="L16" s="38" t="str">
        <v>APPROVED_STRUCTURE</v>
      </c>
      <c r="M16" s="38" t="str">
        <v>MIXING_SAUCE_AND_PREP</v>
      </c>
      <c r="N16" s="38"/>
      <c r="O16" s="38" t="str">
        <v>BLOCKED</v>
      </c>
      <c r="P16" s="38" t="str">
        <v>Only dish aggregate is available: active 22 min / total 95 min; no unsupported split by operation</v>
      </c>
      <c r="Q16" s="38" t="str">
        <v>BAK-03: Рабочий диапазон 2–25 кг; BAK-12: Стол и надстройка ингредиентов; HOT-05B: 2 зоны</v>
      </c>
      <c r="R16" s="38" t="str">
        <v>project design requirement</v>
      </c>
      <c r="S16" s="38" t="str">
        <v>PLANNED</v>
      </c>
      <c r="T16" s="38"/>
      <c r="U16" s="38"/>
      <c r="V16" s="38" t="str">
        <v>BLOCKED</v>
      </c>
      <c r="W16" s="38"/>
      <c r="X16" s="38" t="str">
        <v>BLOCKED_NOT_COMPARABLE</v>
      </c>
      <c r="Y16" s="38" t="str">
        <v>Recipe load cannot be compared to the project requirement without tray/form/GN/load and selected-model data</v>
      </c>
      <c r="Z16" s="38"/>
      <c r="AA16" s="38"/>
      <c r="AB16" s="38"/>
      <c r="AC16" s="38"/>
      <c r="AD16" s="38"/>
      <c r="AE16" s="38" t="str">
        <v>BLOCKED_NO_SELECTED_MODEL_PASSPORT</v>
      </c>
      <c r="AF16" s="38" t="str">
        <v>BLOCKED</v>
      </c>
      <c r="AG16" s="38" t="str">
        <v>BLOCKED</v>
      </c>
      <c r="AH16" s="38" t="str">
        <v>BLOCKED_SELECTED_MODEL_AND_SITE_VALIDATION</v>
      </c>
      <c r="AI16" s="38" t="str">
        <v>ESTIMATE</v>
      </c>
      <c r="AJ16" s="38" t="str">
        <v>EVD-0010;EVD-0021;EVD-0022;EVD-0023</v>
      </c>
      <c r="AK16" s="38" t="str">
        <v>2026-08-03</v>
      </c>
      <c r="AL16" s="38" t="str">
        <v>GAP-007;GAP-017;GAP-018;GAP-019</v>
      </c>
      <c r="AM16" s="38" t="str">
        <v>Operations / Engineering / Procurement</v>
      </c>
      <c r="AN16" s="38" t="str">
        <v>Manual operation mapped to an existing work surface/inventory function.</v>
      </c>
      <c r="AO16" s="39" t="str">
        <v>Chef/Operations time the operation; Procurement supplies selected-model passport; Engineering confirms asset, placement and connections</v>
      </c>
    </row>
    <row r="17">
      <c r="A17" s="37" t="str">
        <v>EQM-0013</v>
      </c>
      <c r="B17" s="38" t="str">
        <v>VKM-003</v>
      </c>
      <c r="C17" s="38" t="str">
        <v>Грибная с ветчиной</v>
      </c>
      <c r="D17" s="38" t="str">
        <v>Пицца</v>
      </c>
      <c r="E17" s="38" t="str">
        <v>0.1.0-DRAFT</v>
      </c>
      <c r="F17" s="38" t="n">
        <v>2</v>
      </c>
      <c r="G17" s="38" t="str">
        <v>подготовить грибы и лук</v>
      </c>
      <c r="H17" s="38" t="str">
        <v>BAK-12</v>
      </c>
      <c r="I17" s="38" t="str">
        <v>Холодильный пицца-стол</v>
      </c>
      <c r="J17" s="38" t="str">
        <v>CAPEX.BAK.012</v>
      </c>
      <c r="K17" s="38" t="str">
        <v>MANDATORY</v>
      </c>
      <c r="L17" s="38" t="str">
        <v>APPROVED_STRUCTURE</v>
      </c>
      <c r="M17" s="38" t="str">
        <v>FORMING_ASSEMBLY_FINISH</v>
      </c>
      <c r="N17" s="38"/>
      <c r="O17" s="38" t="str">
        <v>BLOCKED</v>
      </c>
      <c r="P17" s="38" t="str">
        <v>Only dish aggregate is available: active 22 min / total 95 min; no unsupported split by operation</v>
      </c>
      <c r="Q17" s="38" t="str">
        <v>BAK-12: Стол и надстройка ингредиентов</v>
      </c>
      <c r="R17" s="38" t="str">
        <v>project design requirement</v>
      </c>
      <c r="S17" s="38" t="str">
        <v>PLANNED</v>
      </c>
      <c r="T17" s="38"/>
      <c r="U17" s="38"/>
      <c r="V17" s="38" t="str">
        <v>BLOCKED</v>
      </c>
      <c r="W17" s="38"/>
      <c r="X17" s="38" t="str">
        <v>BLOCKED_NOT_COMPARABLE</v>
      </c>
      <c r="Y17" s="38" t="str">
        <v>Recipe load cannot be compared to the project requirement without tray/form/GN/load and selected-model data</v>
      </c>
      <c r="Z17" s="38"/>
      <c r="AA17" s="38"/>
      <c r="AB17" s="38"/>
      <c r="AC17" s="38"/>
      <c r="AD17" s="38"/>
      <c r="AE17" s="38" t="str">
        <v>BLOCKED_NO_SELECTED_MODEL_PASSPORT</v>
      </c>
      <c r="AF17" s="38" t="str">
        <v>BLOCKED</v>
      </c>
      <c r="AG17" s="38" t="str">
        <v>BLOCKED</v>
      </c>
      <c r="AH17" s="38" t="str">
        <v>BLOCKED_SELECTED_MODEL_AND_SITE_VALIDATION</v>
      </c>
      <c r="AI17" s="38" t="str">
        <v>ESTIMATE</v>
      </c>
      <c r="AJ17" s="38" t="str">
        <v>EVD-0010;EVD-0021;EVD-0022;EVD-0023</v>
      </c>
      <c r="AK17" s="38" t="str">
        <v>2026-08-03</v>
      </c>
      <c r="AL17" s="38" t="str">
        <v>GAP-007;GAP-017;GAP-018;GAP-019</v>
      </c>
      <c r="AM17" s="38" t="str">
        <v>Operations / Engineering / Procurement</v>
      </c>
      <c r="AN17" s="38" t="str">
        <v>Manual operation mapped to an existing work surface/inventory function.</v>
      </c>
      <c r="AO17" s="39" t="str">
        <v>Chef/Operations time the operation; Procurement supplies selected-model passport; Engineering confirms asset, placement and connections</v>
      </c>
    </row>
    <row r="18">
      <c r="A18" s="37" t="str">
        <v>EQM-0014</v>
      </c>
      <c r="B18" s="38" t="str">
        <v>VKM-003</v>
      </c>
      <c r="C18" s="38" t="str">
        <v>Грибная с ветчиной</v>
      </c>
      <c r="D18" s="38" t="str">
        <v>Пицца</v>
      </c>
      <c r="E18" s="38" t="str">
        <v>0.1.0-DRAFT</v>
      </c>
      <c r="F18" s="38" t="n">
        <v>3</v>
      </c>
      <c r="G18" s="38" t="str">
        <v>сформовать</v>
      </c>
      <c r="H18" s="38" t="str">
        <v>BAK-12</v>
      </c>
      <c r="I18" s="38" t="str">
        <v>Холодильный пицца-стол</v>
      </c>
      <c r="J18" s="38" t="str">
        <v>CAPEX.BAK.012</v>
      </c>
      <c r="K18" s="38" t="str">
        <v>MANDATORY</v>
      </c>
      <c r="L18" s="38" t="str">
        <v>APPROVED_STRUCTURE</v>
      </c>
      <c r="M18" s="38" t="str">
        <v>FORMING_ASSEMBLY_FINISH</v>
      </c>
      <c r="N18" s="38"/>
      <c r="O18" s="38" t="str">
        <v>BLOCKED</v>
      </c>
      <c r="P18" s="38" t="str">
        <v>Only dish aggregate is available: active 22 min / total 95 min; no unsupported split by operation</v>
      </c>
      <c r="Q18" s="38" t="str">
        <v>BAK-12: Стол и надстройка ингредиентов</v>
      </c>
      <c r="R18" s="38" t="str">
        <v>project design requirement</v>
      </c>
      <c r="S18" s="38" t="str">
        <v>PLANNED</v>
      </c>
      <c r="T18" s="38"/>
      <c r="U18" s="38"/>
      <c r="V18" s="38" t="str">
        <v>BLOCKED</v>
      </c>
      <c r="W18" s="38"/>
      <c r="X18" s="38" t="str">
        <v>BLOCKED_NOT_COMPARABLE</v>
      </c>
      <c r="Y18" s="38" t="str">
        <v>Recipe load cannot be compared to the project requirement without tray/form/GN/load and selected-model data</v>
      </c>
      <c r="Z18" s="38"/>
      <c r="AA18" s="38"/>
      <c r="AB18" s="38"/>
      <c r="AC18" s="38"/>
      <c r="AD18" s="38"/>
      <c r="AE18" s="38" t="str">
        <v>BLOCKED_NO_SELECTED_MODEL_PASSPORT</v>
      </c>
      <c r="AF18" s="38" t="str">
        <v>BLOCKED</v>
      </c>
      <c r="AG18" s="38" t="str">
        <v>BLOCKED</v>
      </c>
      <c r="AH18" s="38" t="str">
        <v>BLOCKED_SELECTED_MODEL_AND_SITE_VALIDATION</v>
      </c>
      <c r="AI18" s="38" t="str">
        <v>ESTIMATE</v>
      </c>
      <c r="AJ18" s="38" t="str">
        <v>EVD-0010;EVD-0021;EVD-0022;EVD-0023</v>
      </c>
      <c r="AK18" s="38" t="str">
        <v>2026-08-03</v>
      </c>
      <c r="AL18" s="38" t="str">
        <v>GAP-007;GAP-017;GAP-018;GAP-019</v>
      </c>
      <c r="AM18" s="38" t="str">
        <v>Operations / Engineering / Procurement</v>
      </c>
      <c r="AN18" s="38" t="str">
        <v>Manual operation mapped to an existing work surface/inventory function.</v>
      </c>
      <c r="AO18" s="39" t="str">
        <v>Chef/Operations time the operation; Procurement supplies selected-model passport; Engineering confirms asset, placement and connections</v>
      </c>
    </row>
    <row r="19">
      <c r="A19" s="37" t="str">
        <v>EQM-0015</v>
      </c>
      <c r="B19" s="38" t="str">
        <v>VKM-003</v>
      </c>
      <c r="C19" s="38" t="str">
        <v>Грибная с ветчиной</v>
      </c>
      <c r="D19" s="38" t="str">
        <v>Пицца</v>
      </c>
      <c r="E19" s="38" t="str">
        <v>0.1.0-DRAFT</v>
      </c>
      <c r="F19" s="38" t="n">
        <v>4</v>
      </c>
      <c r="G19" s="38" t="str">
        <v>собрать с ветчиной</v>
      </c>
      <c r="H19" s="38" t="str">
        <v>BAK-12</v>
      </c>
      <c r="I19" s="38" t="str">
        <v>Холодильный пицца-стол</v>
      </c>
      <c r="J19" s="38" t="str">
        <v>CAPEX.BAK.012</v>
      </c>
      <c r="K19" s="38" t="str">
        <v>MANDATORY</v>
      </c>
      <c r="L19" s="38" t="str">
        <v>APPROVED_STRUCTURE</v>
      </c>
      <c r="M19" s="38" t="str">
        <v>FORMING_ASSEMBLY_FINISH</v>
      </c>
      <c r="N19" s="38"/>
      <c r="O19" s="38" t="str">
        <v>BLOCKED</v>
      </c>
      <c r="P19" s="38" t="str">
        <v>Only dish aggregate is available: active 22 min / total 95 min; no unsupported split by operation</v>
      </c>
      <c r="Q19" s="38" t="str">
        <v>BAK-12: Стол и надстройка ингредиентов</v>
      </c>
      <c r="R19" s="38" t="str">
        <v>project design requirement</v>
      </c>
      <c r="S19" s="38" t="str">
        <v>PLANNED</v>
      </c>
      <c r="T19" s="38"/>
      <c r="U19" s="38"/>
      <c r="V19" s="38" t="str">
        <v>BLOCKED</v>
      </c>
      <c r="W19" s="38"/>
      <c r="X19" s="38" t="str">
        <v>BLOCKED_NOT_COMPARABLE</v>
      </c>
      <c r="Y19" s="38" t="str">
        <v>Recipe load cannot be compared to the project requirement without tray/form/GN/load and selected-model data</v>
      </c>
      <c r="Z19" s="38"/>
      <c r="AA19" s="38"/>
      <c r="AB19" s="38"/>
      <c r="AC19" s="38"/>
      <c r="AD19" s="38"/>
      <c r="AE19" s="38" t="str">
        <v>BLOCKED_NO_SELECTED_MODEL_PASSPORT</v>
      </c>
      <c r="AF19" s="38" t="str">
        <v>BLOCKED</v>
      </c>
      <c r="AG19" s="38" t="str">
        <v>BLOCKED</v>
      </c>
      <c r="AH19" s="38" t="str">
        <v>BLOCKED_SELECTED_MODEL_AND_SITE_VALIDATION</v>
      </c>
      <c r="AI19" s="38" t="str">
        <v>ESTIMATE</v>
      </c>
      <c r="AJ19" s="38" t="str">
        <v>EVD-0010;EVD-0021;EVD-0022;EVD-0023</v>
      </c>
      <c r="AK19" s="38" t="str">
        <v>2026-08-03</v>
      </c>
      <c r="AL19" s="38" t="str">
        <v>GAP-007;GAP-017;GAP-018;GAP-019</v>
      </c>
      <c r="AM19" s="38" t="str">
        <v>Operations / Engineering / Procurement</v>
      </c>
      <c r="AN19" s="38" t="str">
        <v>Manual operation mapped to an existing work surface/inventory function.</v>
      </c>
      <c r="AO19" s="39" t="str">
        <v>Chef/Operations time the operation; Procurement supplies selected-model passport; Engineering confirms asset, placement and connections</v>
      </c>
    </row>
    <row r="20">
      <c r="A20" s="37" t="str">
        <v>EQM-0016</v>
      </c>
      <c r="B20" s="38" t="str">
        <v>VKM-003</v>
      </c>
      <c r="C20" s="38" t="str">
        <v>Грибная с ветчиной</v>
      </c>
      <c r="D20" s="38" t="str">
        <v>Пицца</v>
      </c>
      <c r="E20" s="38" t="str">
        <v>0.1.0-DRAFT</v>
      </c>
      <c r="F20" s="38" t="n">
        <v>5</v>
      </c>
      <c r="G20" s="38" t="str">
        <v>выпечь</v>
      </c>
      <c r="H20" s="38" t="str">
        <v>BAK-01</v>
      </c>
      <c r="I20" s="38" t="str">
        <v>Печь для пиццы</v>
      </c>
      <c r="J20" s="38" t="str">
        <v>CAPEX.BAK.001</v>
      </c>
      <c r="K20" s="38" t="str">
        <v>MANDATORY</v>
      </c>
      <c r="L20" s="38" t="str">
        <v>APPROVED_STRUCTURE</v>
      </c>
      <c r="M20" s="38" t="str">
        <v>THERMAL_PROCESS</v>
      </c>
      <c r="N20" s="38"/>
      <c r="O20" s="38" t="str">
        <v>BLOCKED</v>
      </c>
      <c r="P20" s="38" t="str">
        <v>Only dish aggregate is available: active 22 min / total 95 min; no unsupported split by operation</v>
      </c>
      <c r="Q20" s="38" t="str">
        <v>BAK-01: 4–6 пицц до 33 см; ≥400°C; 20–25/час</v>
      </c>
      <c r="R20" s="38" t="str">
        <v>project design requirement</v>
      </c>
      <c r="S20" s="38" t="str">
        <v>PLANNED</v>
      </c>
      <c r="T20" s="38" t="n">
        <v>1</v>
      </c>
      <c r="U20" s="38" t="str">
        <v>пицца</v>
      </c>
      <c r="V20" s="38" t="str">
        <v>ASSUMPTION_RECIPE_UNIT</v>
      </c>
      <c r="W20" s="38" t="n">
        <v>1</v>
      </c>
      <c r="X20" s="38" t="str">
        <v>CALCULATED_FROM_PROJECT_MINIMUM</v>
      </c>
      <c r="Y20" s="38" t="str">
        <v>1 pizza / minimum 4 pizzas per load; selected-model passport and actual cycle remain absent</v>
      </c>
      <c r="Z20" s="38"/>
      <c r="AA20" s="38"/>
      <c r="AB20" s="38"/>
      <c r="AC20" s="38"/>
      <c r="AD20" s="38"/>
      <c r="AE20" s="38" t="str">
        <v>BLOCKED_NO_SELECTED_MODEL_PASSPORT</v>
      </c>
      <c r="AF20" s="38" t="str">
        <v>BLOCKED</v>
      </c>
      <c r="AG20" s="38" t="str">
        <v>BLOCKED</v>
      </c>
      <c r="AH20" s="38" t="str">
        <v>BLOCKED_SELECTED_MODEL_AND_SITE_VALIDATION</v>
      </c>
      <c r="AI20" s="38" t="str">
        <v>ESTIMATE</v>
      </c>
      <c r="AJ20" s="38" t="str">
        <v>EVD-0010;EVD-0021;EVD-0022;EVD-0023</v>
      </c>
      <c r="AK20" s="38" t="str">
        <v>2026-08-03</v>
      </c>
      <c r="AL20" s="38" t="str">
        <v>GAP-007;GAP-017;GAP-018;GAP-019</v>
      </c>
      <c r="AM20" s="38" t="str">
        <v>Operations / Engineering / Procurement</v>
      </c>
      <c r="AN20" s="38" t="str">
        <v>Manual operation mapped to an existing work surface/inventory function.</v>
      </c>
      <c r="AO20" s="39" t="str">
        <v>Chef/Operations time the operation; Procurement supplies selected-model passport; Engineering confirms asset, placement and connections</v>
      </c>
    </row>
    <row r="21">
      <c r="A21" s="37" t="str">
        <v>EQM-0017</v>
      </c>
      <c r="B21" s="38" t="str">
        <v>VKM-004</v>
      </c>
      <c r="C21" s="38" t="str">
        <v>Пепперони</v>
      </c>
      <c r="D21" s="38" t="str">
        <v>Пицца</v>
      </c>
      <c r="E21" s="38" t="str">
        <v>0.1.0-DRAFT</v>
      </c>
      <c r="F21" s="38" t="n">
        <v>1</v>
      </c>
      <c r="G21" s="38" t="str">
        <v>Подготовить тесто и соус</v>
      </c>
      <c r="H21" s="38" t="str">
        <v>BAK-03;BAK-12;HOT-05B</v>
      </c>
      <c r="I21" s="38" t="str">
        <v>Спиральный тестомес;Холодильный пицца-стол;Индукционная плита 2 зоны</v>
      </c>
      <c r="J21" s="38" t="str">
        <v>CAPEX.BAK.003;CAPEX.BAK.012;CAPEX.HOT.006</v>
      </c>
      <c r="K21" s="38" t="str">
        <v>MANDATORY</v>
      </c>
      <c r="L21" s="38" t="str">
        <v>APPROVED_STRUCTURE</v>
      </c>
      <c r="M21" s="38" t="str">
        <v>MIXING_SAUCE_AND_PREP</v>
      </c>
      <c r="N21" s="38"/>
      <c r="O21" s="38" t="str">
        <v>BLOCKED</v>
      </c>
      <c r="P21" s="38" t="str">
        <v>Only dish aggregate is available: active 20 min / total 92 min; no unsupported split by operation</v>
      </c>
      <c r="Q21" s="38" t="str">
        <v>BAK-03: Рабочий диапазон 2–25 кг; BAK-12: Стол и надстройка ингредиентов; HOT-05B: 2 зоны</v>
      </c>
      <c r="R21" s="38" t="str">
        <v>project design requirement</v>
      </c>
      <c r="S21" s="38" t="str">
        <v>PLANNED</v>
      </c>
      <c r="T21" s="38"/>
      <c r="U21" s="38"/>
      <c r="V21" s="38" t="str">
        <v>BLOCKED</v>
      </c>
      <c r="W21" s="38"/>
      <c r="X21" s="38" t="str">
        <v>BLOCKED_NOT_COMPARABLE</v>
      </c>
      <c r="Y21" s="38" t="str">
        <v>Recipe load cannot be compared to the project requirement without tray/form/GN/load and selected-model data</v>
      </c>
      <c r="Z21" s="38"/>
      <c r="AA21" s="38"/>
      <c r="AB21" s="38"/>
      <c r="AC21" s="38"/>
      <c r="AD21" s="38"/>
      <c r="AE21" s="38" t="str">
        <v>BLOCKED_NO_SELECTED_MODEL_PASSPORT</v>
      </c>
      <c r="AF21" s="38" t="str">
        <v>BLOCKED</v>
      </c>
      <c r="AG21" s="38" t="str">
        <v>BLOCKED</v>
      </c>
      <c r="AH21" s="38" t="str">
        <v>BLOCKED_SELECTED_MODEL_AND_SITE_VALIDATION</v>
      </c>
      <c r="AI21" s="38" t="str">
        <v>ESTIMATE</v>
      </c>
      <c r="AJ21" s="38" t="str">
        <v>EVD-0010;EVD-0021;EVD-0022;EVD-0023</v>
      </c>
      <c r="AK21" s="38" t="str">
        <v>2026-08-03</v>
      </c>
      <c r="AL21" s="38" t="str">
        <v>GAP-007;GAP-017;GAP-018;GAP-019</v>
      </c>
      <c r="AM21" s="38" t="str">
        <v>Operations / Engineering / Procurement</v>
      </c>
      <c r="AN21" s="38" t="str">
        <v>Manual operation mapped to an existing work surface/inventory function.</v>
      </c>
      <c r="AO21" s="39" t="str">
        <v>Chef/Operations time the operation; Procurement supplies selected-model passport; Engineering confirms asset, placement and connections</v>
      </c>
    </row>
    <row r="22">
      <c r="A22" s="37" t="str">
        <v>EQM-0018</v>
      </c>
      <c r="B22" s="38" t="str">
        <v>VKM-004</v>
      </c>
      <c r="C22" s="38" t="str">
        <v>Пепперони</v>
      </c>
      <c r="D22" s="38" t="str">
        <v>Пицца</v>
      </c>
      <c r="E22" s="38" t="str">
        <v>0.1.0-DRAFT</v>
      </c>
      <c r="F22" s="38" t="n">
        <v>2</v>
      </c>
      <c r="G22" s="38" t="str">
        <v>сформовать</v>
      </c>
      <c r="H22" s="38" t="str">
        <v>BAK-12</v>
      </c>
      <c r="I22" s="38" t="str">
        <v>Холодильный пицца-стол</v>
      </c>
      <c r="J22" s="38" t="str">
        <v>CAPEX.BAK.012</v>
      </c>
      <c r="K22" s="38" t="str">
        <v>MANDATORY</v>
      </c>
      <c r="L22" s="38" t="str">
        <v>APPROVED_STRUCTURE</v>
      </c>
      <c r="M22" s="38" t="str">
        <v>FORMING_ASSEMBLY_FINISH</v>
      </c>
      <c r="N22" s="38"/>
      <c r="O22" s="38" t="str">
        <v>BLOCKED</v>
      </c>
      <c r="P22" s="38" t="str">
        <v>Only dish aggregate is available: active 20 min / total 92 min; no unsupported split by operation</v>
      </c>
      <c r="Q22" s="38" t="str">
        <v>BAK-12: Стол и надстройка ингредиентов</v>
      </c>
      <c r="R22" s="38" t="str">
        <v>project design requirement</v>
      </c>
      <c r="S22" s="38" t="str">
        <v>PLANNED</v>
      </c>
      <c r="T22" s="38"/>
      <c r="U22" s="38"/>
      <c r="V22" s="38" t="str">
        <v>BLOCKED</v>
      </c>
      <c r="W22" s="38"/>
      <c r="X22" s="38" t="str">
        <v>BLOCKED_NOT_COMPARABLE</v>
      </c>
      <c r="Y22" s="38" t="str">
        <v>Recipe load cannot be compared to the project requirement without tray/form/GN/load and selected-model data</v>
      </c>
      <c r="Z22" s="38"/>
      <c r="AA22" s="38"/>
      <c r="AB22" s="38"/>
      <c r="AC22" s="38"/>
      <c r="AD22" s="38"/>
      <c r="AE22" s="38" t="str">
        <v>BLOCKED_NO_SELECTED_MODEL_PASSPORT</v>
      </c>
      <c r="AF22" s="38" t="str">
        <v>BLOCKED</v>
      </c>
      <c r="AG22" s="38" t="str">
        <v>BLOCKED</v>
      </c>
      <c r="AH22" s="38" t="str">
        <v>BLOCKED_SELECTED_MODEL_AND_SITE_VALIDATION</v>
      </c>
      <c r="AI22" s="38" t="str">
        <v>ESTIMATE</v>
      </c>
      <c r="AJ22" s="38" t="str">
        <v>EVD-0010;EVD-0021;EVD-0022;EVD-0023</v>
      </c>
      <c r="AK22" s="38" t="str">
        <v>2026-08-03</v>
      </c>
      <c r="AL22" s="38" t="str">
        <v>GAP-007;GAP-017;GAP-018;GAP-019</v>
      </c>
      <c r="AM22" s="38" t="str">
        <v>Operations / Engineering / Procurement</v>
      </c>
      <c r="AN22" s="38" t="str">
        <v>Manual operation mapped to an existing work surface/inventory function.</v>
      </c>
      <c r="AO22" s="39" t="str">
        <v>Chef/Operations time the operation; Procurement supplies selected-model passport; Engineering confirms asset, placement and connections</v>
      </c>
    </row>
    <row r="23">
      <c r="A23" s="37" t="str">
        <v>EQM-0019</v>
      </c>
      <c r="B23" s="38" t="str">
        <v>VKM-004</v>
      </c>
      <c r="C23" s="38" t="str">
        <v>Пепперони</v>
      </c>
      <c r="D23" s="38" t="str">
        <v>Пицца</v>
      </c>
      <c r="E23" s="38" t="str">
        <v>0.1.0-DRAFT</v>
      </c>
      <c r="F23" s="38" t="n">
        <v>3</v>
      </c>
      <c r="G23" s="38" t="str">
        <v>собрать с моцареллой и пепперони</v>
      </c>
      <c r="H23" s="38" t="str">
        <v>BAK-12</v>
      </c>
      <c r="I23" s="38" t="str">
        <v>Холодильный пицца-стол</v>
      </c>
      <c r="J23" s="38" t="str">
        <v>CAPEX.BAK.012</v>
      </c>
      <c r="K23" s="38" t="str">
        <v>MANDATORY</v>
      </c>
      <c r="L23" s="38" t="str">
        <v>APPROVED_STRUCTURE</v>
      </c>
      <c r="M23" s="38" t="str">
        <v>FORMING_ASSEMBLY_FINISH</v>
      </c>
      <c r="N23" s="38"/>
      <c r="O23" s="38" t="str">
        <v>BLOCKED</v>
      </c>
      <c r="P23" s="38" t="str">
        <v>Only dish aggregate is available: active 20 min / total 92 min; no unsupported split by operation</v>
      </c>
      <c r="Q23" s="38" t="str">
        <v>BAK-12: Стол и надстройка ингредиентов</v>
      </c>
      <c r="R23" s="38" t="str">
        <v>project design requirement</v>
      </c>
      <c r="S23" s="38" t="str">
        <v>PLANNED</v>
      </c>
      <c r="T23" s="38"/>
      <c r="U23" s="38"/>
      <c r="V23" s="38" t="str">
        <v>BLOCKED</v>
      </c>
      <c r="W23" s="38"/>
      <c r="X23" s="38" t="str">
        <v>BLOCKED_NOT_COMPARABLE</v>
      </c>
      <c r="Y23" s="38" t="str">
        <v>Recipe load cannot be compared to the project requirement without tray/form/GN/load and selected-model data</v>
      </c>
      <c r="Z23" s="38"/>
      <c r="AA23" s="38"/>
      <c r="AB23" s="38"/>
      <c r="AC23" s="38"/>
      <c r="AD23" s="38"/>
      <c r="AE23" s="38" t="str">
        <v>BLOCKED_NO_SELECTED_MODEL_PASSPORT</v>
      </c>
      <c r="AF23" s="38" t="str">
        <v>BLOCKED</v>
      </c>
      <c r="AG23" s="38" t="str">
        <v>BLOCKED</v>
      </c>
      <c r="AH23" s="38" t="str">
        <v>BLOCKED_SELECTED_MODEL_AND_SITE_VALIDATION</v>
      </c>
      <c r="AI23" s="38" t="str">
        <v>ESTIMATE</v>
      </c>
      <c r="AJ23" s="38" t="str">
        <v>EVD-0010;EVD-0021;EVD-0022;EVD-0023</v>
      </c>
      <c r="AK23" s="38" t="str">
        <v>2026-08-03</v>
      </c>
      <c r="AL23" s="38" t="str">
        <v>GAP-007;GAP-017;GAP-018;GAP-019</v>
      </c>
      <c r="AM23" s="38" t="str">
        <v>Operations / Engineering / Procurement</v>
      </c>
      <c r="AN23" s="38" t="str">
        <v>Manual operation mapped to an existing work surface/inventory function.</v>
      </c>
      <c r="AO23" s="39" t="str">
        <v>Chef/Operations time the operation; Procurement supplies selected-model passport; Engineering confirms asset, placement and connections</v>
      </c>
    </row>
    <row r="24">
      <c r="A24" s="37" t="str">
        <v>EQM-0020</v>
      </c>
      <c r="B24" s="38" t="str">
        <v>VKM-004</v>
      </c>
      <c r="C24" s="38" t="str">
        <v>Пепперони</v>
      </c>
      <c r="D24" s="38" t="str">
        <v>Пицца</v>
      </c>
      <c r="E24" s="38" t="str">
        <v>0.1.0-DRAFT</v>
      </c>
      <c r="F24" s="38" t="n">
        <v>4</v>
      </c>
      <c r="G24" s="38" t="str">
        <v>выпечь</v>
      </c>
      <c r="H24" s="38" t="str">
        <v>BAK-01</v>
      </c>
      <c r="I24" s="38" t="str">
        <v>Печь для пиццы</v>
      </c>
      <c r="J24" s="38" t="str">
        <v>CAPEX.BAK.001</v>
      </c>
      <c r="K24" s="38" t="str">
        <v>MANDATORY</v>
      </c>
      <c r="L24" s="38" t="str">
        <v>APPROVED_STRUCTURE</v>
      </c>
      <c r="M24" s="38" t="str">
        <v>THERMAL_PROCESS</v>
      </c>
      <c r="N24" s="38"/>
      <c r="O24" s="38" t="str">
        <v>BLOCKED</v>
      </c>
      <c r="P24" s="38" t="str">
        <v>Only dish aggregate is available: active 20 min / total 92 min; no unsupported split by operation</v>
      </c>
      <c r="Q24" s="38" t="str">
        <v>BAK-01: 4–6 пицц до 33 см; ≥400°C; 20–25/час</v>
      </c>
      <c r="R24" s="38" t="str">
        <v>project design requirement</v>
      </c>
      <c r="S24" s="38" t="str">
        <v>PLANNED</v>
      </c>
      <c r="T24" s="38" t="n">
        <v>1</v>
      </c>
      <c r="U24" s="38" t="str">
        <v>пицца</v>
      </c>
      <c r="V24" s="38" t="str">
        <v>ASSUMPTION_RECIPE_UNIT</v>
      </c>
      <c r="W24" s="38" t="n">
        <v>1</v>
      </c>
      <c r="X24" s="38" t="str">
        <v>CALCULATED_FROM_PROJECT_MINIMUM</v>
      </c>
      <c r="Y24" s="38" t="str">
        <v>1 pizza / minimum 4 pizzas per load; selected-model passport and actual cycle remain absent</v>
      </c>
      <c r="Z24" s="38"/>
      <c r="AA24" s="38"/>
      <c r="AB24" s="38"/>
      <c r="AC24" s="38"/>
      <c r="AD24" s="38"/>
      <c r="AE24" s="38" t="str">
        <v>BLOCKED_NO_SELECTED_MODEL_PASSPORT</v>
      </c>
      <c r="AF24" s="38" t="str">
        <v>BLOCKED</v>
      </c>
      <c r="AG24" s="38" t="str">
        <v>BLOCKED</v>
      </c>
      <c r="AH24" s="38" t="str">
        <v>BLOCKED_SELECTED_MODEL_AND_SITE_VALIDATION</v>
      </c>
      <c r="AI24" s="38" t="str">
        <v>ESTIMATE</v>
      </c>
      <c r="AJ24" s="38" t="str">
        <v>EVD-0010;EVD-0021;EVD-0022;EVD-0023</v>
      </c>
      <c r="AK24" s="38" t="str">
        <v>2026-08-03</v>
      </c>
      <c r="AL24" s="38" t="str">
        <v>GAP-007;GAP-017;GAP-018;GAP-019</v>
      </c>
      <c r="AM24" s="38" t="str">
        <v>Operations / Engineering / Procurement</v>
      </c>
      <c r="AN24" s="38" t="str">
        <v>Manual operation mapped to an existing work surface/inventory function.</v>
      </c>
      <c r="AO24" s="39" t="str">
        <v>Chef/Operations time the operation; Procurement supplies selected-model passport; Engineering confirms asset, placement and connections</v>
      </c>
    </row>
    <row r="25">
      <c r="A25" s="37" t="str">
        <v>EQM-0021</v>
      </c>
      <c r="B25" s="38" t="str">
        <v>VKM-004</v>
      </c>
      <c r="C25" s="38" t="str">
        <v>Пепперони</v>
      </c>
      <c r="D25" s="38" t="str">
        <v>Пицца</v>
      </c>
      <c r="E25" s="38" t="str">
        <v>0.1.0-DRAFT</v>
      </c>
      <c r="F25" s="38" t="n">
        <v>5</v>
      </c>
      <c r="G25" s="38" t="str">
        <v>финишировать</v>
      </c>
      <c r="H25" s="38" t="str">
        <v>BAK-12</v>
      </c>
      <c r="I25" s="38" t="str">
        <v>Холодильный пицца-стол</v>
      </c>
      <c r="J25" s="38" t="str">
        <v>CAPEX.BAK.012</v>
      </c>
      <c r="K25" s="38" t="str">
        <v>MANDATORY</v>
      </c>
      <c r="L25" s="38" t="str">
        <v>APPROVED_STRUCTURE</v>
      </c>
      <c r="M25" s="38" t="str">
        <v>FORMING_ASSEMBLY_FINISH</v>
      </c>
      <c r="N25" s="38"/>
      <c r="O25" s="38" t="str">
        <v>BLOCKED</v>
      </c>
      <c r="P25" s="38" t="str">
        <v>Only dish aggregate is available: active 20 min / total 92 min; no unsupported split by operation</v>
      </c>
      <c r="Q25" s="38" t="str">
        <v>BAK-12: Стол и надстройка ингредиентов</v>
      </c>
      <c r="R25" s="38" t="str">
        <v>project design requirement</v>
      </c>
      <c r="S25" s="38" t="str">
        <v>PLANNED</v>
      </c>
      <c r="T25" s="38"/>
      <c r="U25" s="38"/>
      <c r="V25" s="38" t="str">
        <v>BLOCKED</v>
      </c>
      <c r="W25" s="38"/>
      <c r="X25" s="38" t="str">
        <v>BLOCKED_NOT_COMPARABLE</v>
      </c>
      <c r="Y25" s="38" t="str">
        <v>Recipe load cannot be compared to the project requirement without tray/form/GN/load and selected-model data</v>
      </c>
      <c r="Z25" s="38"/>
      <c r="AA25" s="38"/>
      <c r="AB25" s="38"/>
      <c r="AC25" s="38"/>
      <c r="AD25" s="38"/>
      <c r="AE25" s="38" t="str">
        <v>BLOCKED_NO_SELECTED_MODEL_PASSPORT</v>
      </c>
      <c r="AF25" s="38" t="str">
        <v>BLOCKED</v>
      </c>
      <c r="AG25" s="38" t="str">
        <v>BLOCKED</v>
      </c>
      <c r="AH25" s="38" t="str">
        <v>BLOCKED_SELECTED_MODEL_AND_SITE_VALIDATION</v>
      </c>
      <c r="AI25" s="38" t="str">
        <v>ESTIMATE</v>
      </c>
      <c r="AJ25" s="38" t="str">
        <v>EVD-0010;EVD-0021;EVD-0022;EVD-0023</v>
      </c>
      <c r="AK25" s="38" t="str">
        <v>2026-08-03</v>
      </c>
      <c r="AL25" s="38" t="str">
        <v>GAP-007;GAP-017;GAP-018;GAP-019</v>
      </c>
      <c r="AM25" s="38" t="str">
        <v>Operations / Engineering / Procurement</v>
      </c>
      <c r="AN25" s="38" t="str">
        <v>Manual operation mapped to an existing work surface/inventory function.</v>
      </c>
      <c r="AO25" s="39" t="str">
        <v>Chef/Operations time the operation; Procurement supplies selected-model passport; Engineering confirms asset, placement and connections</v>
      </c>
    </row>
    <row r="26">
      <c r="A26" s="37" t="str">
        <v>EQM-0022</v>
      </c>
      <c r="B26" s="38" t="str">
        <v>VKM-005</v>
      </c>
      <c r="C26" s="38" t="str">
        <v>Белая чиабатта</v>
      </c>
      <c r="D26" s="38" t="str">
        <v>Хлеб</v>
      </c>
      <c r="E26" s="38" t="str">
        <v>0.1.0-DRAFT</v>
      </c>
      <c r="F26" s="38" t="n">
        <v>1</v>
      </c>
      <c r="G26" s="38" t="str">
        <v>Смешать компоненты</v>
      </c>
      <c r="H26" s="38" t="str">
        <v>BAK-03</v>
      </c>
      <c r="I26" s="38" t="str">
        <v>Спиральный тестомес</v>
      </c>
      <c r="J26" s="38" t="str">
        <v>CAPEX.BAK.003</v>
      </c>
      <c r="K26" s="38" t="str">
        <v>MANDATORY</v>
      </c>
      <c r="L26" s="38" t="str">
        <v>APPROVED_STRUCTURE</v>
      </c>
      <c r="M26" s="38" t="str">
        <v>MIXING</v>
      </c>
      <c r="N26" s="38"/>
      <c r="O26" s="38" t="str">
        <v>BLOCKED</v>
      </c>
      <c r="P26" s="38" t="str">
        <v>Only dish aggregate is available: active 18 min / total 150 min; no unsupported split by operation</v>
      </c>
      <c r="Q26" s="38" t="str">
        <v>BAK-03: Рабочий диапазон 2–25 кг</v>
      </c>
      <c r="R26" s="38" t="str">
        <v>project design requirement</v>
      </c>
      <c r="S26" s="38" t="str">
        <v>PLANNED</v>
      </c>
      <c r="T26" s="38"/>
      <c r="U26" s="38"/>
      <c r="V26" s="38" t="str">
        <v>BLOCKED</v>
      </c>
      <c r="W26" s="38"/>
      <c r="X26" s="38" t="str">
        <v>BLOCKED_NOT_COMPARABLE</v>
      </c>
      <c r="Y26" s="38" t="str">
        <v>Recipe load cannot be compared to the project requirement without tray/form/GN/load and selected-model data</v>
      </c>
      <c r="Z26" s="38"/>
      <c r="AA26" s="38"/>
      <c r="AB26" s="38"/>
      <c r="AC26" s="38"/>
      <c r="AD26" s="38"/>
      <c r="AE26" s="38" t="str">
        <v>BLOCKED_NO_SELECTED_MODEL_PASSPORT</v>
      </c>
      <c r="AF26" s="38" t="str">
        <v>BLOCKED</v>
      </c>
      <c r="AG26" s="38" t="str">
        <v>BLOCKED</v>
      </c>
      <c r="AH26" s="38" t="str">
        <v>BLOCKED_SELECTED_MODEL_AND_SITE_VALIDATION</v>
      </c>
      <c r="AI26" s="38" t="str">
        <v>ESTIMATE</v>
      </c>
      <c r="AJ26" s="38" t="str">
        <v>EVD-0010;EVD-0021;EVD-0022;EVD-0023</v>
      </c>
      <c r="AK26" s="38" t="str">
        <v>2026-08-03</v>
      </c>
      <c r="AL26" s="38" t="str">
        <v>GAP-007;GAP-017;GAP-018;GAP-019</v>
      </c>
      <c r="AM26" s="38" t="str">
        <v>Operations / Engineering / Procurement</v>
      </c>
      <c r="AN26" s="38" t="str">
        <v>Manual operation mapped to an existing work surface/inventory function.</v>
      </c>
      <c r="AO26" s="39" t="str">
        <v>Chef/Operations time the operation; Procurement supplies selected-model passport; Engineering confirms asset, placement and connections</v>
      </c>
    </row>
    <row r="27">
      <c r="A27" s="37" t="str">
        <v>EQM-0023</v>
      </c>
      <c r="B27" s="38" t="str">
        <v>VKM-005</v>
      </c>
      <c r="C27" s="38" t="str">
        <v>Белая чиабатта</v>
      </c>
      <c r="D27" s="38" t="str">
        <v>Хлеб</v>
      </c>
      <c r="E27" s="38" t="str">
        <v>0.1.0-DRAFT</v>
      </c>
      <c r="F27" s="38" t="n">
        <v>2</v>
      </c>
      <c r="G27" s="38" t="str">
        <v>замесить</v>
      </c>
      <c r="H27" s="38" t="str">
        <v>BAK-03</v>
      </c>
      <c r="I27" s="38" t="str">
        <v>Спиральный тестомес</v>
      </c>
      <c r="J27" s="38" t="str">
        <v>CAPEX.BAK.003</v>
      </c>
      <c r="K27" s="38" t="str">
        <v>MANDATORY</v>
      </c>
      <c r="L27" s="38" t="str">
        <v>APPROVED_STRUCTURE</v>
      </c>
      <c r="M27" s="38" t="str">
        <v>MIXING</v>
      </c>
      <c r="N27" s="38"/>
      <c r="O27" s="38" t="str">
        <v>BLOCKED</v>
      </c>
      <c r="P27" s="38" t="str">
        <v>Only dish aggregate is available: active 18 min / total 150 min; no unsupported split by operation</v>
      </c>
      <c r="Q27" s="38" t="str">
        <v>BAK-03: Рабочий диапазон 2–25 кг</v>
      </c>
      <c r="R27" s="38" t="str">
        <v>project design requirement</v>
      </c>
      <c r="S27" s="38" t="str">
        <v>PLANNED</v>
      </c>
      <c r="T27" s="38"/>
      <c r="U27" s="38"/>
      <c r="V27" s="38" t="str">
        <v>BLOCKED</v>
      </c>
      <c r="W27" s="38"/>
      <c r="X27" s="38" t="str">
        <v>BLOCKED_NOT_COMPARABLE</v>
      </c>
      <c r="Y27" s="38" t="str">
        <v>Recipe load cannot be compared to the project requirement without tray/form/GN/load and selected-model data</v>
      </c>
      <c r="Z27" s="38"/>
      <c r="AA27" s="38"/>
      <c r="AB27" s="38"/>
      <c r="AC27" s="38"/>
      <c r="AD27" s="38"/>
      <c r="AE27" s="38" t="str">
        <v>BLOCKED_NO_SELECTED_MODEL_PASSPORT</v>
      </c>
      <c r="AF27" s="38" t="str">
        <v>BLOCKED</v>
      </c>
      <c r="AG27" s="38" t="str">
        <v>BLOCKED</v>
      </c>
      <c r="AH27" s="38" t="str">
        <v>BLOCKED_SELECTED_MODEL_AND_SITE_VALIDATION</v>
      </c>
      <c r="AI27" s="38" t="str">
        <v>ESTIMATE</v>
      </c>
      <c r="AJ27" s="38" t="str">
        <v>EVD-0010;EVD-0021;EVD-0022;EVD-0023</v>
      </c>
      <c r="AK27" s="38" t="str">
        <v>2026-08-03</v>
      </c>
      <c r="AL27" s="38" t="str">
        <v>GAP-007;GAP-017;GAP-018;GAP-019</v>
      </c>
      <c r="AM27" s="38" t="str">
        <v>Operations / Engineering / Procurement</v>
      </c>
      <c r="AN27" s="38" t="str">
        <v>Manual operation mapped to an existing work surface/inventory function.</v>
      </c>
      <c r="AO27" s="39" t="str">
        <v>Chef/Operations time the operation; Procurement supplies selected-model passport; Engineering confirms asset, placement and connections</v>
      </c>
    </row>
    <row r="28">
      <c r="A28" s="37" t="str">
        <v>EQM-0024</v>
      </c>
      <c r="B28" s="38" t="str">
        <v>VKM-005</v>
      </c>
      <c r="C28" s="38" t="str">
        <v>Белая чиабатта</v>
      </c>
      <c r="D28" s="38" t="str">
        <v>Хлеб</v>
      </c>
      <c r="E28" s="38" t="str">
        <v>0.1.0-DRAFT</v>
      </c>
      <c r="F28" s="38" t="n">
        <v>3</v>
      </c>
      <c r="G28" s="38" t="str">
        <v>провести брожение и складывания</v>
      </c>
      <c r="H28" s="38" t="str">
        <v>STO-08</v>
      </c>
      <c r="I28" s="38" t="str">
        <v>Холодная ферментация теста</v>
      </c>
      <c r="J28" s="38" t="str">
        <v>CAPEX.STO.008</v>
      </c>
      <c r="K28" s="38" t="str">
        <v>MANDATORY</v>
      </c>
      <c r="L28" s="38" t="str">
        <v>APPROVED_STRUCTURE</v>
      </c>
      <c r="M28" s="38" t="str">
        <v>FERMENTATION</v>
      </c>
      <c r="N28" s="38"/>
      <c r="O28" s="38" t="str">
        <v>BLOCKED</v>
      </c>
      <c r="P28" s="38" t="str">
        <v>Only dish aggregate is available: active 18 min / total 150 min; no unsupported split by operation</v>
      </c>
      <c r="Q28" s="38" t="str">
        <v>STO-08: Всего ≥30 позиций 600×400</v>
      </c>
      <c r="R28" s="38" t="str">
        <v>project design requirement</v>
      </c>
      <c r="S28" s="38" t="str">
        <v>PLANNED</v>
      </c>
      <c r="T28" s="38"/>
      <c r="U28" s="38"/>
      <c r="V28" s="38" t="str">
        <v>BLOCKED</v>
      </c>
      <c r="W28" s="38"/>
      <c r="X28" s="38" t="str">
        <v>BLOCKED_NOT_COMPARABLE</v>
      </c>
      <c r="Y28" s="38" t="str">
        <v>Recipe load cannot be compared to the project requirement without tray/form/GN/load and selected-model data</v>
      </c>
      <c r="Z28" s="38"/>
      <c r="AA28" s="38"/>
      <c r="AB28" s="38"/>
      <c r="AC28" s="38"/>
      <c r="AD28" s="38"/>
      <c r="AE28" s="38" t="str">
        <v>BLOCKED_NO_SELECTED_MODEL_PASSPORT</v>
      </c>
      <c r="AF28" s="38" t="str">
        <v>BLOCKED</v>
      </c>
      <c r="AG28" s="38" t="str">
        <v>BLOCKED</v>
      </c>
      <c r="AH28" s="38" t="str">
        <v>BLOCKED_SELECTED_MODEL_AND_SITE_VALIDATION</v>
      </c>
      <c r="AI28" s="38" t="str">
        <v>ESTIMATE</v>
      </c>
      <c r="AJ28" s="38" t="str">
        <v>EVD-0010;EVD-0021;EVD-0022;EVD-0023</v>
      </c>
      <c r="AK28" s="38" t="str">
        <v>2026-08-03</v>
      </c>
      <c r="AL28" s="38" t="str">
        <v>GAP-007;GAP-017;GAP-018;GAP-019</v>
      </c>
      <c r="AM28" s="38" t="str">
        <v>Operations / Engineering / Procurement</v>
      </c>
      <c r="AN28" s="38" t="str">
        <v>Manual operation mapped to an existing work surface/inventory function.</v>
      </c>
      <c r="AO28" s="39" t="str">
        <v>Chef/Operations time the operation; Procurement supplies selected-model passport; Engineering confirms asset, placement and connections</v>
      </c>
    </row>
    <row r="29">
      <c r="A29" s="37" t="str">
        <v>EQM-0025</v>
      </c>
      <c r="B29" s="38" t="str">
        <v>VKM-005</v>
      </c>
      <c r="C29" s="38" t="str">
        <v>Белая чиабатта</v>
      </c>
      <c r="D29" s="38" t="str">
        <v>Хлеб</v>
      </c>
      <c r="E29" s="38" t="str">
        <v>0.1.0-DRAFT</v>
      </c>
      <c r="F29" s="38" t="n">
        <v>4</v>
      </c>
      <c r="G29" s="38" t="str">
        <v>сформовать</v>
      </c>
      <c r="H29" s="38" t="str">
        <v>REQ-BAK-PREP</v>
      </c>
      <c r="I29" s="38" t="str">
        <v>Проектное функциональное требование без действующего CAPEX-кода</v>
      </c>
      <c r="J29" s="38"/>
      <c r="K29" s="38"/>
      <c r="L29" s="38"/>
      <c r="M29" s="38" t="str">
        <v>MANUAL_FORMING_GAP</v>
      </c>
      <c r="N29" s="38"/>
      <c r="O29" s="38" t="str">
        <v>BLOCKED</v>
      </c>
      <c r="P29" s="38" t="str">
        <v>Only dish aggregate is available: active 18 min / total 150 min; no unsupported split by operation</v>
      </c>
      <c r="Q29" s="38"/>
      <c r="R29" s="38"/>
      <c r="S29" s="38" t="str">
        <v>BLOCKED</v>
      </c>
      <c r="T29" s="38"/>
      <c r="U29" s="38"/>
      <c r="V29" s="38" t="str">
        <v>BLOCKED</v>
      </c>
      <c r="W29" s="38"/>
      <c r="X29" s="38" t="str">
        <v>BLOCKED_NOT_COMPARABLE</v>
      </c>
      <c r="Y29" s="38" t="str">
        <v>Recipe load cannot be compared to the project requirement without tray/form/GN/load and selected-model data</v>
      </c>
      <c r="Z29" s="38"/>
      <c r="AA29" s="38"/>
      <c r="AB29" s="38"/>
      <c r="AC29" s="38"/>
      <c r="AD29" s="38"/>
      <c r="AE29" s="38" t="str">
        <v>BLOCKED_NO_SELECTED_MODEL_PASSPORT</v>
      </c>
      <c r="AF29" s="38" t="str">
        <v>BLOCKED</v>
      </c>
      <c r="AG29" s="38" t="str">
        <v>BLOCKED</v>
      </c>
      <c r="AH29" s="38" t="str">
        <v>BLOCKED_REQUIREMENT_CODE</v>
      </c>
      <c r="AI29" s="38" t="str">
        <v>ESTIMATE</v>
      </c>
      <c r="AJ29" s="38" t="str">
        <v>EVD-0010;EVD-0021;EVD-0022;EVD-0023</v>
      </c>
      <c r="AK29" s="38" t="str">
        <v>2026-08-03</v>
      </c>
      <c r="AL29" s="38" t="str">
        <v>GAP-007;GAP-017;GAP-018;GAP-019</v>
      </c>
      <c r="AM29" s="38" t="str">
        <v>Operations / Engineering / Procurement</v>
      </c>
      <c r="AN29" s="38" t="str">
        <v>Manual bread forming needs a dedicated compliant work surface. BAK-12 is a pizza table, HOT-12 is a hot-line table and BAK-07 is inventory only; none is an approved bakery work-surface allocation.</v>
      </c>
      <c r="AO29" s="39" t="str">
        <v>Chef/Operations time the operation; Procurement supplies selected-model passport; Engineering confirms asset, placement and connections</v>
      </c>
    </row>
    <row r="30">
      <c r="A30" s="37" t="str">
        <v>EQM-0026</v>
      </c>
      <c r="B30" s="38" t="str">
        <v>VKM-005</v>
      </c>
      <c r="C30" s="38" t="str">
        <v>Белая чиабатта</v>
      </c>
      <c r="D30" s="38" t="str">
        <v>Хлеб</v>
      </c>
      <c r="E30" s="38" t="str">
        <v>0.1.0-DRAFT</v>
      </c>
      <c r="F30" s="38" t="n">
        <v>5</v>
      </c>
      <c r="G30" s="38" t="str">
        <v>расстоять</v>
      </c>
      <c r="H30" s="38" t="str">
        <v>BAK-05</v>
      </c>
      <c r="I30" s="38" t="str">
        <v>Программируемый расстоечный шкаф</v>
      </c>
      <c r="J30" s="38" t="str">
        <v>CAPEX.BAK.005</v>
      </c>
      <c r="K30" s="38" t="str">
        <v>MANDATORY</v>
      </c>
      <c r="L30" s="38" t="str">
        <v>APPROVED_STRUCTURE</v>
      </c>
      <c r="M30" s="38" t="str">
        <v>PROOFING</v>
      </c>
      <c r="N30" s="38"/>
      <c r="O30" s="38" t="str">
        <v>BLOCKED</v>
      </c>
      <c r="P30" s="38" t="str">
        <v>Only dish aggregate is available: active 18 min / total 150 min; no unsupported split by operation</v>
      </c>
      <c r="Q30" s="38" t="str">
        <v>BAK-05: 12–16 противней 600×400</v>
      </c>
      <c r="R30" s="38" t="str">
        <v>project design requirement</v>
      </c>
      <c r="S30" s="38" t="str">
        <v>PLANNED</v>
      </c>
      <c r="T30" s="38"/>
      <c r="U30" s="38"/>
      <c r="V30" s="38" t="str">
        <v>BLOCKED</v>
      </c>
      <c r="W30" s="38"/>
      <c r="X30" s="38" t="str">
        <v>BLOCKED_NOT_COMPARABLE</v>
      </c>
      <c r="Y30" s="38" t="str">
        <v>Recipe load cannot be compared to the project requirement without tray/form/GN/load and selected-model data</v>
      </c>
      <c r="Z30" s="38"/>
      <c r="AA30" s="38"/>
      <c r="AB30" s="38"/>
      <c r="AC30" s="38"/>
      <c r="AD30" s="38"/>
      <c r="AE30" s="38" t="str">
        <v>BLOCKED_NO_SELECTED_MODEL_PASSPORT</v>
      </c>
      <c r="AF30" s="38" t="str">
        <v>BLOCKED</v>
      </c>
      <c r="AG30" s="38" t="str">
        <v>BLOCKED</v>
      </c>
      <c r="AH30" s="38" t="str">
        <v>BLOCKED_SELECTED_MODEL_AND_SITE_VALIDATION</v>
      </c>
      <c r="AI30" s="38" t="str">
        <v>ESTIMATE</v>
      </c>
      <c r="AJ30" s="38" t="str">
        <v>EVD-0010;EVD-0021;EVD-0022;EVD-0023</v>
      </c>
      <c r="AK30" s="38" t="str">
        <v>2026-08-03</v>
      </c>
      <c r="AL30" s="38" t="str">
        <v>GAP-007;GAP-017;GAP-018;GAP-019</v>
      </c>
      <c r="AM30" s="38" t="str">
        <v>Operations / Engineering / Procurement</v>
      </c>
      <c r="AN30" s="38" t="str">
        <v>Manual operation mapped to an existing work surface/inventory function.</v>
      </c>
      <c r="AO30" s="39" t="str">
        <v>Chef/Operations time the operation; Procurement supplies selected-model passport; Engineering confirms asset, placement and connections</v>
      </c>
    </row>
    <row r="31">
      <c r="A31" s="37" t="str">
        <v>EQM-0027</v>
      </c>
      <c r="B31" s="38" t="str">
        <v>VKM-005</v>
      </c>
      <c r="C31" s="38" t="str">
        <v>Белая чиабатта</v>
      </c>
      <c r="D31" s="38" t="str">
        <v>Хлеб</v>
      </c>
      <c r="E31" s="38" t="str">
        <v>0.1.0-DRAFT</v>
      </c>
      <c r="F31" s="38" t="n">
        <v>6</v>
      </c>
      <c r="G31" s="38" t="str">
        <v>выпечь</v>
      </c>
      <c r="H31" s="38" t="str">
        <v>BAK-02</v>
      </c>
      <c r="I31" s="38" t="str">
        <v>Пекарская печь</v>
      </c>
      <c r="J31" s="38" t="str">
        <v>CAPEX.BAK.002</v>
      </c>
      <c r="K31" s="38" t="str">
        <v>MANDATORY</v>
      </c>
      <c r="L31" s="38" t="str">
        <v>APPROVED_STRUCTURE</v>
      </c>
      <c r="M31" s="38" t="str">
        <v>THERMAL_PROCESS</v>
      </c>
      <c r="N31" s="38"/>
      <c r="O31" s="38" t="str">
        <v>BLOCKED</v>
      </c>
      <c r="P31" s="38" t="str">
        <v>Only dish aggregate is available: active 18 min / total 150 min; no unsupported split by operation</v>
      </c>
      <c r="Q31" s="38" t="str">
        <v>BAK-02: 6×600×400; программирование; пар</v>
      </c>
      <c r="R31" s="38" t="str">
        <v>project design requirement</v>
      </c>
      <c r="S31" s="38" t="str">
        <v>PLANNED</v>
      </c>
      <c r="T31" s="38"/>
      <c r="U31" s="38"/>
      <c r="V31" s="38" t="str">
        <v>BLOCKED</v>
      </c>
      <c r="W31" s="38"/>
      <c r="X31" s="38" t="str">
        <v>BLOCKED_NOT_COMPARABLE</v>
      </c>
      <c r="Y31" s="38" t="str">
        <v>Recipe load cannot be compared to the project requirement without tray/form/GN/load and selected-model data</v>
      </c>
      <c r="Z31" s="38"/>
      <c r="AA31" s="38"/>
      <c r="AB31" s="38"/>
      <c r="AC31" s="38"/>
      <c r="AD31" s="38"/>
      <c r="AE31" s="38" t="str">
        <v>BLOCKED_NO_SELECTED_MODEL_PASSPORT</v>
      </c>
      <c r="AF31" s="38" t="str">
        <v>BLOCKED</v>
      </c>
      <c r="AG31" s="38" t="str">
        <v>BLOCKED</v>
      </c>
      <c r="AH31" s="38" t="str">
        <v>BLOCKED_SELECTED_MODEL_AND_SITE_VALIDATION</v>
      </c>
      <c r="AI31" s="38" t="str">
        <v>ESTIMATE</v>
      </c>
      <c r="AJ31" s="38" t="str">
        <v>EVD-0010;EVD-0021;EVD-0022;EVD-0023</v>
      </c>
      <c r="AK31" s="38" t="str">
        <v>2026-08-03</v>
      </c>
      <c r="AL31" s="38" t="str">
        <v>GAP-007;GAP-017;GAP-018;GAP-019</v>
      </c>
      <c r="AM31" s="38" t="str">
        <v>Operations / Engineering / Procurement</v>
      </c>
      <c r="AN31" s="38" t="str">
        <v>Manual operation mapped to an existing work surface/inventory function.</v>
      </c>
      <c r="AO31" s="39" t="str">
        <v>Chef/Operations time the operation; Procurement supplies selected-model passport; Engineering confirms asset, placement and connections</v>
      </c>
    </row>
    <row r="32">
      <c r="A32" s="37" t="str">
        <v>EQM-0028</v>
      </c>
      <c r="B32" s="38" t="str">
        <v>VKM-005</v>
      </c>
      <c r="C32" s="38" t="str">
        <v>Белая чиабатта</v>
      </c>
      <c r="D32" s="38" t="str">
        <v>Хлеб</v>
      </c>
      <c r="E32" s="38" t="str">
        <v>0.1.0-DRAFT</v>
      </c>
      <c r="F32" s="38" t="n">
        <v>7</v>
      </c>
      <c r="G32" s="38" t="str">
        <v>охладить</v>
      </c>
      <c r="H32" s="38" t="str">
        <v>BAK-06</v>
      </c>
      <c r="I32" s="38" t="str">
        <v>Мобильный стеллаж охлаждения</v>
      </c>
      <c r="J32" s="38" t="str">
        <v>CAPEX.BAK.006</v>
      </c>
      <c r="K32" s="38" t="str">
        <v>MANDATORY</v>
      </c>
      <c r="L32" s="38" t="str">
        <v>APPROVED_STRUCTURE</v>
      </c>
      <c r="M32" s="38" t="str">
        <v>COOLING_HOLDING</v>
      </c>
      <c r="N32" s="38"/>
      <c r="O32" s="38" t="str">
        <v>BLOCKED</v>
      </c>
      <c r="P32" s="38" t="str">
        <v>Only dish aggregate is available: active 18 min / total 150 min; no unsupported split by operation</v>
      </c>
      <c r="Q32" s="38" t="str">
        <v>BAK-06: 16–20 противней</v>
      </c>
      <c r="R32" s="38" t="str">
        <v>project design requirement</v>
      </c>
      <c r="S32" s="38" t="str">
        <v>PLANNED</v>
      </c>
      <c r="T32" s="38"/>
      <c r="U32" s="38"/>
      <c r="V32" s="38" t="str">
        <v>BLOCKED</v>
      </c>
      <c r="W32" s="38"/>
      <c r="X32" s="38" t="str">
        <v>BLOCKED_NOT_COMPARABLE</v>
      </c>
      <c r="Y32" s="38" t="str">
        <v>Recipe load cannot be compared to the project requirement without tray/form/GN/load and selected-model data</v>
      </c>
      <c r="Z32" s="38"/>
      <c r="AA32" s="38"/>
      <c r="AB32" s="38"/>
      <c r="AC32" s="38"/>
      <c r="AD32" s="38"/>
      <c r="AE32" s="38" t="str">
        <v>BLOCKED_NO_SELECTED_MODEL_PASSPORT</v>
      </c>
      <c r="AF32" s="38" t="str">
        <v>BLOCKED</v>
      </c>
      <c r="AG32" s="38" t="str">
        <v>BLOCKED</v>
      </c>
      <c r="AH32" s="38" t="str">
        <v>BLOCKED_SELECTED_MODEL_AND_SITE_VALIDATION</v>
      </c>
      <c r="AI32" s="38" t="str">
        <v>ESTIMATE</v>
      </c>
      <c r="AJ32" s="38" t="str">
        <v>EVD-0010;EVD-0021;EVD-0022;EVD-0023</v>
      </c>
      <c r="AK32" s="38" t="str">
        <v>2026-08-03</v>
      </c>
      <c r="AL32" s="38" t="str">
        <v>GAP-007;GAP-017;GAP-018;GAP-019</v>
      </c>
      <c r="AM32" s="38" t="str">
        <v>Operations / Engineering / Procurement</v>
      </c>
      <c r="AN32" s="38" t="str">
        <v>Manual operation mapped to an existing work surface/inventory function.</v>
      </c>
      <c r="AO32" s="39" t="str">
        <v>Chef/Operations time the operation; Procurement supplies selected-model passport; Engineering confirms asset, placement and connections</v>
      </c>
    </row>
    <row r="33">
      <c r="A33" s="37" t="str">
        <v>EQM-0029</v>
      </c>
      <c r="B33" s="38" t="str">
        <v>VKM-006</v>
      </c>
      <c r="C33" s="38" t="str">
        <v>Томатная чиабатта</v>
      </c>
      <c r="D33" s="38" t="str">
        <v>Хлеб</v>
      </c>
      <c r="E33" s="38" t="str">
        <v>0.1.0-DRAFT</v>
      </c>
      <c r="F33" s="38" t="n">
        <v>1</v>
      </c>
      <c r="G33" s="38" t="str">
        <v>Смешать тесто с томатными компонентами</v>
      </c>
      <c r="H33" s="38" t="str">
        <v>BAK-03</v>
      </c>
      <c r="I33" s="38" t="str">
        <v>Спиральный тестомес</v>
      </c>
      <c r="J33" s="38" t="str">
        <v>CAPEX.BAK.003</v>
      </c>
      <c r="K33" s="38" t="str">
        <v>MANDATORY</v>
      </c>
      <c r="L33" s="38" t="str">
        <v>APPROVED_STRUCTURE</v>
      </c>
      <c r="M33" s="38" t="str">
        <v>MIXING</v>
      </c>
      <c r="N33" s="38"/>
      <c r="O33" s="38" t="str">
        <v>BLOCKED</v>
      </c>
      <c r="P33" s="38" t="str">
        <v>Only dish aggregate is available: active 18 min / total 150 min; no unsupported split by operation</v>
      </c>
      <c r="Q33" s="38" t="str">
        <v>BAK-03: Рабочий диапазон 2–25 кг</v>
      </c>
      <c r="R33" s="38" t="str">
        <v>project design requirement</v>
      </c>
      <c r="S33" s="38" t="str">
        <v>PLANNED</v>
      </c>
      <c r="T33" s="38"/>
      <c r="U33" s="38"/>
      <c r="V33" s="38" t="str">
        <v>BLOCKED</v>
      </c>
      <c r="W33" s="38"/>
      <c r="X33" s="38" t="str">
        <v>BLOCKED_NOT_COMPARABLE</v>
      </c>
      <c r="Y33" s="38" t="str">
        <v>Recipe load cannot be compared to the project requirement without tray/form/GN/load and selected-model data</v>
      </c>
      <c r="Z33" s="38"/>
      <c r="AA33" s="38"/>
      <c r="AB33" s="38"/>
      <c r="AC33" s="38"/>
      <c r="AD33" s="38"/>
      <c r="AE33" s="38" t="str">
        <v>BLOCKED_NO_SELECTED_MODEL_PASSPORT</v>
      </c>
      <c r="AF33" s="38" t="str">
        <v>BLOCKED</v>
      </c>
      <c r="AG33" s="38" t="str">
        <v>BLOCKED</v>
      </c>
      <c r="AH33" s="38" t="str">
        <v>BLOCKED_SELECTED_MODEL_AND_SITE_VALIDATION</v>
      </c>
      <c r="AI33" s="38" t="str">
        <v>ESTIMATE</v>
      </c>
      <c r="AJ33" s="38" t="str">
        <v>EVD-0010;EVD-0021;EVD-0022;EVD-0023</v>
      </c>
      <c r="AK33" s="38" t="str">
        <v>2026-08-03</v>
      </c>
      <c r="AL33" s="38" t="str">
        <v>GAP-007;GAP-017;GAP-018;GAP-019</v>
      </c>
      <c r="AM33" s="38" t="str">
        <v>Operations / Engineering / Procurement</v>
      </c>
      <c r="AN33" s="38" t="str">
        <v>Manual operation mapped to an existing work surface/inventory function.</v>
      </c>
      <c r="AO33" s="39" t="str">
        <v>Chef/Operations time the operation; Procurement supplies selected-model passport; Engineering confirms asset, placement and connections</v>
      </c>
    </row>
    <row r="34">
      <c r="A34" s="37" t="str">
        <v>EQM-0030</v>
      </c>
      <c r="B34" s="38" t="str">
        <v>VKM-006</v>
      </c>
      <c r="C34" s="38" t="str">
        <v>Томатная чиабатта</v>
      </c>
      <c r="D34" s="38" t="str">
        <v>Хлеб</v>
      </c>
      <c r="E34" s="38" t="str">
        <v>0.1.0-DRAFT</v>
      </c>
      <c r="F34" s="38" t="n">
        <v>2</v>
      </c>
      <c r="G34" s="38" t="str">
        <v>замесить</v>
      </c>
      <c r="H34" s="38" t="str">
        <v>BAK-03</v>
      </c>
      <c r="I34" s="38" t="str">
        <v>Спиральный тестомес</v>
      </c>
      <c r="J34" s="38" t="str">
        <v>CAPEX.BAK.003</v>
      </c>
      <c r="K34" s="38" t="str">
        <v>MANDATORY</v>
      </c>
      <c r="L34" s="38" t="str">
        <v>APPROVED_STRUCTURE</v>
      </c>
      <c r="M34" s="38" t="str">
        <v>MIXING</v>
      </c>
      <c r="N34" s="38"/>
      <c r="O34" s="38" t="str">
        <v>BLOCKED</v>
      </c>
      <c r="P34" s="38" t="str">
        <v>Only dish aggregate is available: active 18 min / total 150 min; no unsupported split by operation</v>
      </c>
      <c r="Q34" s="38" t="str">
        <v>BAK-03: Рабочий диапазон 2–25 кг</v>
      </c>
      <c r="R34" s="38" t="str">
        <v>project design requirement</v>
      </c>
      <c r="S34" s="38" t="str">
        <v>PLANNED</v>
      </c>
      <c r="T34" s="38"/>
      <c r="U34" s="38"/>
      <c r="V34" s="38" t="str">
        <v>BLOCKED</v>
      </c>
      <c r="W34" s="38"/>
      <c r="X34" s="38" t="str">
        <v>BLOCKED_NOT_COMPARABLE</v>
      </c>
      <c r="Y34" s="38" t="str">
        <v>Recipe load cannot be compared to the project requirement without tray/form/GN/load and selected-model data</v>
      </c>
      <c r="Z34" s="38"/>
      <c r="AA34" s="38"/>
      <c r="AB34" s="38"/>
      <c r="AC34" s="38"/>
      <c r="AD34" s="38"/>
      <c r="AE34" s="38" t="str">
        <v>BLOCKED_NO_SELECTED_MODEL_PASSPORT</v>
      </c>
      <c r="AF34" s="38" t="str">
        <v>BLOCKED</v>
      </c>
      <c r="AG34" s="38" t="str">
        <v>BLOCKED</v>
      </c>
      <c r="AH34" s="38" t="str">
        <v>BLOCKED_SELECTED_MODEL_AND_SITE_VALIDATION</v>
      </c>
      <c r="AI34" s="38" t="str">
        <v>ESTIMATE</v>
      </c>
      <c r="AJ34" s="38" t="str">
        <v>EVD-0010;EVD-0021;EVD-0022;EVD-0023</v>
      </c>
      <c r="AK34" s="38" t="str">
        <v>2026-08-03</v>
      </c>
      <c r="AL34" s="38" t="str">
        <v>GAP-007;GAP-017;GAP-018;GAP-019</v>
      </c>
      <c r="AM34" s="38" t="str">
        <v>Operations / Engineering / Procurement</v>
      </c>
      <c r="AN34" s="38" t="str">
        <v>Manual operation mapped to an existing work surface/inventory function.</v>
      </c>
      <c r="AO34" s="39" t="str">
        <v>Chef/Operations time the operation; Procurement supplies selected-model passport; Engineering confirms asset, placement and connections</v>
      </c>
    </row>
    <row r="35">
      <c r="A35" s="37" t="str">
        <v>EQM-0031</v>
      </c>
      <c r="B35" s="38" t="str">
        <v>VKM-006</v>
      </c>
      <c r="C35" s="38" t="str">
        <v>Томатная чиабатта</v>
      </c>
      <c r="D35" s="38" t="str">
        <v>Хлеб</v>
      </c>
      <c r="E35" s="38" t="str">
        <v>0.1.0-DRAFT</v>
      </c>
      <c r="F35" s="38" t="n">
        <v>3</v>
      </c>
      <c r="G35" s="38" t="str">
        <v>провести брожение</v>
      </c>
      <c r="H35" s="38" t="str">
        <v>STO-08</v>
      </c>
      <c r="I35" s="38" t="str">
        <v>Холодная ферментация теста</v>
      </c>
      <c r="J35" s="38" t="str">
        <v>CAPEX.STO.008</v>
      </c>
      <c r="K35" s="38" t="str">
        <v>MANDATORY</v>
      </c>
      <c r="L35" s="38" t="str">
        <v>APPROVED_STRUCTURE</v>
      </c>
      <c r="M35" s="38" t="str">
        <v>FERMENTATION</v>
      </c>
      <c r="N35" s="38"/>
      <c r="O35" s="38" t="str">
        <v>BLOCKED</v>
      </c>
      <c r="P35" s="38" t="str">
        <v>Only dish aggregate is available: active 18 min / total 150 min; no unsupported split by operation</v>
      </c>
      <c r="Q35" s="38" t="str">
        <v>STO-08: Всего ≥30 позиций 600×400</v>
      </c>
      <c r="R35" s="38" t="str">
        <v>project design requirement</v>
      </c>
      <c r="S35" s="38" t="str">
        <v>PLANNED</v>
      </c>
      <c r="T35" s="38"/>
      <c r="U35" s="38"/>
      <c r="V35" s="38" t="str">
        <v>BLOCKED</v>
      </c>
      <c r="W35" s="38"/>
      <c r="X35" s="38" t="str">
        <v>BLOCKED_NOT_COMPARABLE</v>
      </c>
      <c r="Y35" s="38" t="str">
        <v>Recipe load cannot be compared to the project requirement without tray/form/GN/load and selected-model data</v>
      </c>
      <c r="Z35" s="38"/>
      <c r="AA35" s="38"/>
      <c r="AB35" s="38"/>
      <c r="AC35" s="38"/>
      <c r="AD35" s="38"/>
      <c r="AE35" s="38" t="str">
        <v>BLOCKED_NO_SELECTED_MODEL_PASSPORT</v>
      </c>
      <c r="AF35" s="38" t="str">
        <v>BLOCKED</v>
      </c>
      <c r="AG35" s="38" t="str">
        <v>BLOCKED</v>
      </c>
      <c r="AH35" s="38" t="str">
        <v>BLOCKED_SELECTED_MODEL_AND_SITE_VALIDATION</v>
      </c>
      <c r="AI35" s="38" t="str">
        <v>ESTIMATE</v>
      </c>
      <c r="AJ35" s="38" t="str">
        <v>EVD-0010;EVD-0021;EVD-0022;EVD-0023</v>
      </c>
      <c r="AK35" s="38" t="str">
        <v>2026-08-03</v>
      </c>
      <c r="AL35" s="38" t="str">
        <v>GAP-007;GAP-017;GAP-018;GAP-019</v>
      </c>
      <c r="AM35" s="38" t="str">
        <v>Operations / Engineering / Procurement</v>
      </c>
      <c r="AN35" s="38" t="str">
        <v>Manual operation mapped to an existing work surface/inventory function.</v>
      </c>
      <c r="AO35" s="39" t="str">
        <v>Chef/Operations time the operation; Procurement supplies selected-model passport; Engineering confirms asset, placement and connections</v>
      </c>
    </row>
    <row r="36">
      <c r="A36" s="37" t="str">
        <v>EQM-0032</v>
      </c>
      <c r="B36" s="38" t="str">
        <v>VKM-006</v>
      </c>
      <c r="C36" s="38" t="str">
        <v>Томатная чиабатта</v>
      </c>
      <c r="D36" s="38" t="str">
        <v>Хлеб</v>
      </c>
      <c r="E36" s="38" t="str">
        <v>0.1.0-DRAFT</v>
      </c>
      <c r="F36" s="38" t="n">
        <v>4</v>
      </c>
      <c r="G36" s="38" t="str">
        <v>сформовать</v>
      </c>
      <c r="H36" s="38" t="str">
        <v>REQ-BAK-PREP</v>
      </c>
      <c r="I36" s="38" t="str">
        <v>Проектное функциональное требование без действующего CAPEX-кода</v>
      </c>
      <c r="J36" s="38"/>
      <c r="K36" s="38"/>
      <c r="L36" s="38"/>
      <c r="M36" s="38" t="str">
        <v>MANUAL_FORMING_GAP</v>
      </c>
      <c r="N36" s="38"/>
      <c r="O36" s="38" t="str">
        <v>BLOCKED</v>
      </c>
      <c r="P36" s="38" t="str">
        <v>Only dish aggregate is available: active 18 min / total 150 min; no unsupported split by operation</v>
      </c>
      <c r="Q36" s="38"/>
      <c r="R36" s="38"/>
      <c r="S36" s="38" t="str">
        <v>BLOCKED</v>
      </c>
      <c r="T36" s="38"/>
      <c r="U36" s="38"/>
      <c r="V36" s="38" t="str">
        <v>BLOCKED</v>
      </c>
      <c r="W36" s="38"/>
      <c r="X36" s="38" t="str">
        <v>BLOCKED_NOT_COMPARABLE</v>
      </c>
      <c r="Y36" s="38" t="str">
        <v>Recipe load cannot be compared to the project requirement without tray/form/GN/load and selected-model data</v>
      </c>
      <c r="Z36" s="38"/>
      <c r="AA36" s="38"/>
      <c r="AB36" s="38"/>
      <c r="AC36" s="38"/>
      <c r="AD36" s="38"/>
      <c r="AE36" s="38" t="str">
        <v>BLOCKED_NO_SELECTED_MODEL_PASSPORT</v>
      </c>
      <c r="AF36" s="38" t="str">
        <v>BLOCKED</v>
      </c>
      <c r="AG36" s="38" t="str">
        <v>BLOCKED</v>
      </c>
      <c r="AH36" s="38" t="str">
        <v>BLOCKED_REQUIREMENT_CODE</v>
      </c>
      <c r="AI36" s="38" t="str">
        <v>ESTIMATE</v>
      </c>
      <c r="AJ36" s="38" t="str">
        <v>EVD-0010;EVD-0021;EVD-0022;EVD-0023</v>
      </c>
      <c r="AK36" s="38" t="str">
        <v>2026-08-03</v>
      </c>
      <c r="AL36" s="38" t="str">
        <v>GAP-007;GAP-017;GAP-018;GAP-019</v>
      </c>
      <c r="AM36" s="38" t="str">
        <v>Operations / Engineering / Procurement</v>
      </c>
      <c r="AN36" s="38" t="str">
        <v>Manual bread forming needs a dedicated compliant work surface. BAK-12 is a pizza table, HOT-12 is a hot-line table and BAK-07 is inventory only; none is an approved bakery work-surface allocation.</v>
      </c>
      <c r="AO36" s="39" t="str">
        <v>Chef/Operations time the operation; Procurement supplies selected-model passport; Engineering confirms asset, placement and connections</v>
      </c>
    </row>
    <row r="37">
      <c r="A37" s="37" t="str">
        <v>EQM-0033</v>
      </c>
      <c r="B37" s="38" t="str">
        <v>VKM-006</v>
      </c>
      <c r="C37" s="38" t="str">
        <v>Томатная чиабатта</v>
      </c>
      <c r="D37" s="38" t="str">
        <v>Хлеб</v>
      </c>
      <c r="E37" s="38" t="str">
        <v>0.1.0-DRAFT</v>
      </c>
      <c r="F37" s="38" t="n">
        <v>5</v>
      </c>
      <c r="G37" s="38" t="str">
        <v>расстоять</v>
      </c>
      <c r="H37" s="38" t="str">
        <v>BAK-05</v>
      </c>
      <c r="I37" s="38" t="str">
        <v>Программируемый расстоечный шкаф</v>
      </c>
      <c r="J37" s="38" t="str">
        <v>CAPEX.BAK.005</v>
      </c>
      <c r="K37" s="38" t="str">
        <v>MANDATORY</v>
      </c>
      <c r="L37" s="38" t="str">
        <v>APPROVED_STRUCTURE</v>
      </c>
      <c r="M37" s="38" t="str">
        <v>PROOFING</v>
      </c>
      <c r="N37" s="38"/>
      <c r="O37" s="38" t="str">
        <v>BLOCKED</v>
      </c>
      <c r="P37" s="38" t="str">
        <v>Only dish aggregate is available: active 18 min / total 150 min; no unsupported split by operation</v>
      </c>
      <c r="Q37" s="38" t="str">
        <v>BAK-05: 12–16 противней 600×400</v>
      </c>
      <c r="R37" s="38" t="str">
        <v>project design requirement</v>
      </c>
      <c r="S37" s="38" t="str">
        <v>PLANNED</v>
      </c>
      <c r="T37" s="38"/>
      <c r="U37" s="38"/>
      <c r="V37" s="38" t="str">
        <v>BLOCKED</v>
      </c>
      <c r="W37" s="38"/>
      <c r="X37" s="38" t="str">
        <v>BLOCKED_NOT_COMPARABLE</v>
      </c>
      <c r="Y37" s="38" t="str">
        <v>Recipe load cannot be compared to the project requirement without tray/form/GN/load and selected-model data</v>
      </c>
      <c r="Z37" s="38"/>
      <c r="AA37" s="38"/>
      <c r="AB37" s="38"/>
      <c r="AC37" s="38"/>
      <c r="AD37" s="38"/>
      <c r="AE37" s="38" t="str">
        <v>BLOCKED_NO_SELECTED_MODEL_PASSPORT</v>
      </c>
      <c r="AF37" s="38" t="str">
        <v>BLOCKED</v>
      </c>
      <c r="AG37" s="38" t="str">
        <v>BLOCKED</v>
      </c>
      <c r="AH37" s="38" t="str">
        <v>BLOCKED_SELECTED_MODEL_AND_SITE_VALIDATION</v>
      </c>
      <c r="AI37" s="38" t="str">
        <v>ESTIMATE</v>
      </c>
      <c r="AJ37" s="38" t="str">
        <v>EVD-0010;EVD-0021;EVD-0022;EVD-0023</v>
      </c>
      <c r="AK37" s="38" t="str">
        <v>2026-08-03</v>
      </c>
      <c r="AL37" s="38" t="str">
        <v>GAP-007;GAP-017;GAP-018;GAP-019</v>
      </c>
      <c r="AM37" s="38" t="str">
        <v>Operations / Engineering / Procurement</v>
      </c>
      <c r="AN37" s="38" t="str">
        <v>Manual operation mapped to an existing work surface/inventory function.</v>
      </c>
      <c r="AO37" s="39" t="str">
        <v>Chef/Operations time the operation; Procurement supplies selected-model passport; Engineering confirms asset, placement and connections</v>
      </c>
    </row>
    <row r="38">
      <c r="A38" s="37" t="str">
        <v>EQM-0034</v>
      </c>
      <c r="B38" s="38" t="str">
        <v>VKM-006</v>
      </c>
      <c r="C38" s="38" t="str">
        <v>Томатная чиабатта</v>
      </c>
      <c r="D38" s="38" t="str">
        <v>Хлеб</v>
      </c>
      <c r="E38" s="38" t="str">
        <v>0.1.0-DRAFT</v>
      </c>
      <c r="F38" s="38" t="n">
        <v>6</v>
      </c>
      <c r="G38" s="38" t="str">
        <v>выпечь</v>
      </c>
      <c r="H38" s="38" t="str">
        <v>BAK-02</v>
      </c>
      <c r="I38" s="38" t="str">
        <v>Пекарская печь</v>
      </c>
      <c r="J38" s="38" t="str">
        <v>CAPEX.BAK.002</v>
      </c>
      <c r="K38" s="38" t="str">
        <v>MANDATORY</v>
      </c>
      <c r="L38" s="38" t="str">
        <v>APPROVED_STRUCTURE</v>
      </c>
      <c r="M38" s="38" t="str">
        <v>THERMAL_PROCESS</v>
      </c>
      <c r="N38" s="38"/>
      <c r="O38" s="38" t="str">
        <v>BLOCKED</v>
      </c>
      <c r="P38" s="38" t="str">
        <v>Only dish aggregate is available: active 18 min / total 150 min; no unsupported split by operation</v>
      </c>
      <c r="Q38" s="38" t="str">
        <v>BAK-02: 6×600×400; программирование; пар</v>
      </c>
      <c r="R38" s="38" t="str">
        <v>project design requirement</v>
      </c>
      <c r="S38" s="38" t="str">
        <v>PLANNED</v>
      </c>
      <c r="T38" s="38"/>
      <c r="U38" s="38"/>
      <c r="V38" s="38" t="str">
        <v>BLOCKED</v>
      </c>
      <c r="W38" s="38"/>
      <c r="X38" s="38" t="str">
        <v>BLOCKED_NOT_COMPARABLE</v>
      </c>
      <c r="Y38" s="38" t="str">
        <v>Recipe load cannot be compared to the project requirement without tray/form/GN/load and selected-model data</v>
      </c>
      <c r="Z38" s="38"/>
      <c r="AA38" s="38"/>
      <c r="AB38" s="38"/>
      <c r="AC38" s="38"/>
      <c r="AD38" s="38"/>
      <c r="AE38" s="38" t="str">
        <v>BLOCKED_NO_SELECTED_MODEL_PASSPORT</v>
      </c>
      <c r="AF38" s="38" t="str">
        <v>BLOCKED</v>
      </c>
      <c r="AG38" s="38" t="str">
        <v>BLOCKED</v>
      </c>
      <c r="AH38" s="38" t="str">
        <v>BLOCKED_SELECTED_MODEL_AND_SITE_VALIDATION</v>
      </c>
      <c r="AI38" s="38" t="str">
        <v>ESTIMATE</v>
      </c>
      <c r="AJ38" s="38" t="str">
        <v>EVD-0010;EVD-0021;EVD-0022;EVD-0023</v>
      </c>
      <c r="AK38" s="38" t="str">
        <v>2026-08-03</v>
      </c>
      <c r="AL38" s="38" t="str">
        <v>GAP-007;GAP-017;GAP-018;GAP-019</v>
      </c>
      <c r="AM38" s="38" t="str">
        <v>Operations / Engineering / Procurement</v>
      </c>
      <c r="AN38" s="38" t="str">
        <v>Manual operation mapped to an existing work surface/inventory function.</v>
      </c>
      <c r="AO38" s="39" t="str">
        <v>Chef/Operations time the operation; Procurement supplies selected-model passport; Engineering confirms asset, placement and connections</v>
      </c>
    </row>
    <row r="39">
      <c r="A39" s="37" t="str">
        <v>EQM-0035</v>
      </c>
      <c r="B39" s="38" t="str">
        <v>VKM-006</v>
      </c>
      <c r="C39" s="38" t="str">
        <v>Томатная чиабатта</v>
      </c>
      <c r="D39" s="38" t="str">
        <v>Хлеб</v>
      </c>
      <c r="E39" s="38" t="str">
        <v>0.1.0-DRAFT</v>
      </c>
      <c r="F39" s="38" t="n">
        <v>7</v>
      </c>
      <c r="G39" s="38" t="str">
        <v>охладить</v>
      </c>
      <c r="H39" s="38" t="str">
        <v>BAK-06</v>
      </c>
      <c r="I39" s="38" t="str">
        <v>Мобильный стеллаж охлаждения</v>
      </c>
      <c r="J39" s="38" t="str">
        <v>CAPEX.BAK.006</v>
      </c>
      <c r="K39" s="38" t="str">
        <v>MANDATORY</v>
      </c>
      <c r="L39" s="38" t="str">
        <v>APPROVED_STRUCTURE</v>
      </c>
      <c r="M39" s="38" t="str">
        <v>COOLING_HOLDING</v>
      </c>
      <c r="N39" s="38"/>
      <c r="O39" s="38" t="str">
        <v>BLOCKED</v>
      </c>
      <c r="P39" s="38" t="str">
        <v>Only dish aggregate is available: active 18 min / total 150 min; no unsupported split by operation</v>
      </c>
      <c r="Q39" s="38" t="str">
        <v>BAK-06: 16–20 противней</v>
      </c>
      <c r="R39" s="38" t="str">
        <v>project design requirement</v>
      </c>
      <c r="S39" s="38" t="str">
        <v>PLANNED</v>
      </c>
      <c r="T39" s="38"/>
      <c r="U39" s="38"/>
      <c r="V39" s="38" t="str">
        <v>BLOCKED</v>
      </c>
      <c r="W39" s="38"/>
      <c r="X39" s="38" t="str">
        <v>BLOCKED_NOT_COMPARABLE</v>
      </c>
      <c r="Y39" s="38" t="str">
        <v>Recipe load cannot be compared to the project requirement without tray/form/GN/load and selected-model data</v>
      </c>
      <c r="Z39" s="38"/>
      <c r="AA39" s="38"/>
      <c r="AB39" s="38"/>
      <c r="AC39" s="38"/>
      <c r="AD39" s="38"/>
      <c r="AE39" s="38" t="str">
        <v>BLOCKED_NO_SELECTED_MODEL_PASSPORT</v>
      </c>
      <c r="AF39" s="38" t="str">
        <v>BLOCKED</v>
      </c>
      <c r="AG39" s="38" t="str">
        <v>BLOCKED</v>
      </c>
      <c r="AH39" s="38" t="str">
        <v>BLOCKED_SELECTED_MODEL_AND_SITE_VALIDATION</v>
      </c>
      <c r="AI39" s="38" t="str">
        <v>ESTIMATE</v>
      </c>
      <c r="AJ39" s="38" t="str">
        <v>EVD-0010;EVD-0021;EVD-0022;EVD-0023</v>
      </c>
      <c r="AK39" s="38" t="str">
        <v>2026-08-03</v>
      </c>
      <c r="AL39" s="38" t="str">
        <v>GAP-007;GAP-017;GAP-018;GAP-019</v>
      </c>
      <c r="AM39" s="38" t="str">
        <v>Operations / Engineering / Procurement</v>
      </c>
      <c r="AN39" s="38" t="str">
        <v>Manual operation mapped to an existing work surface/inventory function.</v>
      </c>
      <c r="AO39" s="39" t="str">
        <v>Chef/Operations time the operation; Procurement supplies selected-model passport; Engineering confirms asset, placement and connections</v>
      </c>
    </row>
    <row r="40">
      <c r="A40" s="37" t="str">
        <v>EQM-0036</v>
      </c>
      <c r="B40" s="38" t="str">
        <v>VKM-007</v>
      </c>
      <c r="C40" s="38" t="str">
        <v>Бородинский хлеб</v>
      </c>
      <c r="D40" s="38" t="str">
        <v>Хлеб</v>
      </c>
      <c r="E40" s="38" t="str">
        <v>0.1.0-DRAFT</v>
      </c>
      <c r="F40" s="38" t="n">
        <v>1</v>
      </c>
      <c r="G40" s="38" t="str">
        <v>Приготовить заварку</v>
      </c>
      <c r="H40" s="38" t="str">
        <v>HOT-05B;HOT-13</v>
      </c>
      <c r="I40" s="38" t="str">
        <v>Индукционная плита 2 зоны;GN, противни и горячий инвентарь</v>
      </c>
      <c r="J40" s="38" t="str">
        <v>CAPEX.HOT.006;CAPEX.HOT.014</v>
      </c>
      <c r="K40" s="38" t="str">
        <v>MANDATORY</v>
      </c>
      <c r="L40" s="38" t="str">
        <v>APPROVED_STRUCTURE</v>
      </c>
      <c r="M40" s="38" t="str">
        <v>HEATED_COMPONENT_PREP</v>
      </c>
      <c r="N40" s="38"/>
      <c r="O40" s="38" t="str">
        <v>BLOCKED</v>
      </c>
      <c r="P40" s="38" t="str">
        <v>Only dish aggregate is available: active 25 min / total 300 min; no unsupported split by operation</v>
      </c>
      <c r="Q40" s="38" t="str">
        <v>HOT-05B: 2 зоны; HOT-13: Совместимость с печами</v>
      </c>
      <c r="R40" s="38" t="str">
        <v>project design requirement</v>
      </c>
      <c r="S40" s="38" t="str">
        <v>PLANNED</v>
      </c>
      <c r="T40" s="38"/>
      <c r="U40" s="38"/>
      <c r="V40" s="38" t="str">
        <v>BLOCKED</v>
      </c>
      <c r="W40" s="38"/>
      <c r="X40" s="38" t="str">
        <v>BLOCKED_NOT_COMPARABLE</v>
      </c>
      <c r="Y40" s="38" t="str">
        <v>Recipe load cannot be compared to the project requirement without tray/form/GN/load and selected-model data</v>
      </c>
      <c r="Z40" s="38"/>
      <c r="AA40" s="38"/>
      <c r="AB40" s="38"/>
      <c r="AC40" s="38"/>
      <c r="AD40" s="38"/>
      <c r="AE40" s="38" t="str">
        <v>BLOCKED_NO_SELECTED_MODEL_PASSPORT</v>
      </c>
      <c r="AF40" s="38" t="str">
        <v>BLOCKED</v>
      </c>
      <c r="AG40" s="38" t="str">
        <v>BLOCKED</v>
      </c>
      <c r="AH40" s="38" t="str">
        <v>BLOCKED_SELECTED_MODEL_AND_SITE_VALIDATION</v>
      </c>
      <c r="AI40" s="38" t="str">
        <v>ESTIMATE</v>
      </c>
      <c r="AJ40" s="38" t="str">
        <v>EVD-0010;EVD-0021;EVD-0022;EVD-0023</v>
      </c>
      <c r="AK40" s="38" t="str">
        <v>2026-08-03</v>
      </c>
      <c r="AL40" s="38" t="str">
        <v>GAP-007;GAP-017;GAP-018;GAP-019</v>
      </c>
      <c r="AM40" s="38" t="str">
        <v>Operations / Engineering / Procurement</v>
      </c>
      <c r="AN40" s="38" t="str">
        <v>Manual operation mapped to an existing work surface/inventory function.</v>
      </c>
      <c r="AO40" s="39" t="str">
        <v>Chef/Operations time the operation; Procurement supplies selected-model passport; Engineering confirms asset, placement and connections</v>
      </c>
    </row>
    <row r="41">
      <c r="A41" s="37" t="str">
        <v>EQM-0037</v>
      </c>
      <c r="B41" s="38" t="str">
        <v>VKM-007</v>
      </c>
      <c r="C41" s="38" t="str">
        <v>Бородинский хлеб</v>
      </c>
      <c r="D41" s="38" t="str">
        <v>Хлеб</v>
      </c>
      <c r="E41" s="38" t="str">
        <v>0.1.0-DRAFT</v>
      </c>
      <c r="F41" s="38" t="n">
        <v>2</v>
      </c>
      <c r="G41" s="38" t="str">
        <v>замесить тесто</v>
      </c>
      <c r="H41" s="38" t="str">
        <v>BAK-03</v>
      </c>
      <c r="I41" s="38" t="str">
        <v>Спиральный тестомес</v>
      </c>
      <c r="J41" s="38" t="str">
        <v>CAPEX.BAK.003</v>
      </c>
      <c r="K41" s="38" t="str">
        <v>MANDATORY</v>
      </c>
      <c r="L41" s="38" t="str">
        <v>APPROVED_STRUCTURE</v>
      </c>
      <c r="M41" s="38" t="str">
        <v>MIXING</v>
      </c>
      <c r="N41" s="38"/>
      <c r="O41" s="38" t="str">
        <v>BLOCKED</v>
      </c>
      <c r="P41" s="38" t="str">
        <v>Only dish aggregate is available: active 25 min / total 300 min; no unsupported split by operation</v>
      </c>
      <c r="Q41" s="38" t="str">
        <v>BAK-03: Рабочий диапазон 2–25 кг</v>
      </c>
      <c r="R41" s="38" t="str">
        <v>project design requirement</v>
      </c>
      <c r="S41" s="38" t="str">
        <v>PLANNED</v>
      </c>
      <c r="T41" s="38"/>
      <c r="U41" s="38"/>
      <c r="V41" s="38" t="str">
        <v>BLOCKED</v>
      </c>
      <c r="W41" s="38"/>
      <c r="X41" s="38" t="str">
        <v>BLOCKED_NOT_COMPARABLE</v>
      </c>
      <c r="Y41" s="38" t="str">
        <v>Recipe load cannot be compared to the project requirement without tray/form/GN/load and selected-model data</v>
      </c>
      <c r="Z41" s="38"/>
      <c r="AA41" s="38"/>
      <c r="AB41" s="38"/>
      <c r="AC41" s="38"/>
      <c r="AD41" s="38"/>
      <c r="AE41" s="38" t="str">
        <v>BLOCKED_NO_SELECTED_MODEL_PASSPORT</v>
      </c>
      <c r="AF41" s="38" t="str">
        <v>BLOCKED</v>
      </c>
      <c r="AG41" s="38" t="str">
        <v>BLOCKED</v>
      </c>
      <c r="AH41" s="38" t="str">
        <v>BLOCKED_SELECTED_MODEL_AND_SITE_VALIDATION</v>
      </c>
      <c r="AI41" s="38" t="str">
        <v>ESTIMATE</v>
      </c>
      <c r="AJ41" s="38" t="str">
        <v>EVD-0010;EVD-0021;EVD-0022;EVD-0023</v>
      </c>
      <c r="AK41" s="38" t="str">
        <v>2026-08-03</v>
      </c>
      <c r="AL41" s="38" t="str">
        <v>GAP-007;GAP-017;GAP-018;GAP-019</v>
      </c>
      <c r="AM41" s="38" t="str">
        <v>Operations / Engineering / Procurement</v>
      </c>
      <c r="AN41" s="38" t="str">
        <v>Manual operation mapped to an existing work surface/inventory function.</v>
      </c>
      <c r="AO41" s="39" t="str">
        <v>Chef/Operations time the operation; Procurement supplies selected-model passport; Engineering confirms asset, placement and connections</v>
      </c>
    </row>
    <row r="42">
      <c r="A42" s="37" t="str">
        <v>EQM-0038</v>
      </c>
      <c r="B42" s="38" t="str">
        <v>VKM-007</v>
      </c>
      <c r="C42" s="38" t="str">
        <v>Бородинский хлеб</v>
      </c>
      <c r="D42" s="38" t="str">
        <v>Хлеб</v>
      </c>
      <c r="E42" s="38" t="str">
        <v>0.1.0-DRAFT</v>
      </c>
      <c r="F42" s="38" t="n">
        <v>3</v>
      </c>
      <c r="G42" s="38" t="str">
        <v>провести брожение</v>
      </c>
      <c r="H42" s="38" t="str">
        <v>STO-08</v>
      </c>
      <c r="I42" s="38" t="str">
        <v>Холодная ферментация теста</v>
      </c>
      <c r="J42" s="38" t="str">
        <v>CAPEX.STO.008</v>
      </c>
      <c r="K42" s="38" t="str">
        <v>MANDATORY</v>
      </c>
      <c r="L42" s="38" t="str">
        <v>APPROVED_STRUCTURE</v>
      </c>
      <c r="M42" s="38" t="str">
        <v>FERMENTATION</v>
      </c>
      <c r="N42" s="38"/>
      <c r="O42" s="38" t="str">
        <v>BLOCKED</v>
      </c>
      <c r="P42" s="38" t="str">
        <v>Only dish aggregate is available: active 25 min / total 300 min; no unsupported split by operation</v>
      </c>
      <c r="Q42" s="38" t="str">
        <v>STO-08: Всего ≥30 позиций 600×400</v>
      </c>
      <c r="R42" s="38" t="str">
        <v>project design requirement</v>
      </c>
      <c r="S42" s="38" t="str">
        <v>PLANNED</v>
      </c>
      <c r="T42" s="38"/>
      <c r="U42" s="38"/>
      <c r="V42" s="38" t="str">
        <v>BLOCKED</v>
      </c>
      <c r="W42" s="38"/>
      <c r="X42" s="38" t="str">
        <v>BLOCKED_NOT_COMPARABLE</v>
      </c>
      <c r="Y42" s="38" t="str">
        <v>Recipe load cannot be compared to the project requirement without tray/form/GN/load and selected-model data</v>
      </c>
      <c r="Z42" s="38"/>
      <c r="AA42" s="38"/>
      <c r="AB42" s="38"/>
      <c r="AC42" s="38"/>
      <c r="AD42" s="38"/>
      <c r="AE42" s="38" t="str">
        <v>BLOCKED_NO_SELECTED_MODEL_PASSPORT</v>
      </c>
      <c r="AF42" s="38" t="str">
        <v>BLOCKED</v>
      </c>
      <c r="AG42" s="38" t="str">
        <v>BLOCKED</v>
      </c>
      <c r="AH42" s="38" t="str">
        <v>BLOCKED_SELECTED_MODEL_AND_SITE_VALIDATION</v>
      </c>
      <c r="AI42" s="38" t="str">
        <v>ESTIMATE</v>
      </c>
      <c r="AJ42" s="38" t="str">
        <v>EVD-0010;EVD-0021;EVD-0022;EVD-0023</v>
      </c>
      <c r="AK42" s="38" t="str">
        <v>2026-08-03</v>
      </c>
      <c r="AL42" s="38" t="str">
        <v>GAP-007;GAP-017;GAP-018;GAP-019</v>
      </c>
      <c r="AM42" s="38" t="str">
        <v>Operations / Engineering / Procurement</v>
      </c>
      <c r="AN42" s="38" t="str">
        <v>Manual operation mapped to an existing work surface/inventory function.</v>
      </c>
      <c r="AO42" s="39" t="str">
        <v>Chef/Operations time the operation; Procurement supplies selected-model passport; Engineering confirms asset, placement and connections</v>
      </c>
    </row>
    <row r="43">
      <c r="A43" s="37" t="str">
        <v>EQM-0039</v>
      </c>
      <c r="B43" s="38" t="str">
        <v>VKM-007</v>
      </c>
      <c r="C43" s="38" t="str">
        <v>Бородинский хлеб</v>
      </c>
      <c r="D43" s="38" t="str">
        <v>Хлеб</v>
      </c>
      <c r="E43" s="38" t="str">
        <v>0.1.0-DRAFT</v>
      </c>
      <c r="F43" s="38" t="n">
        <v>4</v>
      </c>
      <c r="G43" s="38" t="str">
        <v>уложить в форму</v>
      </c>
      <c r="H43" s="38" t="str">
        <v>REQ-BAK-PREP</v>
      </c>
      <c r="I43" s="38" t="str">
        <v>Проектное функциональное требование без действующего CAPEX-кода</v>
      </c>
      <c r="J43" s="38"/>
      <c r="K43" s="38"/>
      <c r="L43" s="38"/>
      <c r="M43" s="38" t="str">
        <v>MANUAL_FORMING_GAP</v>
      </c>
      <c r="N43" s="38"/>
      <c r="O43" s="38" t="str">
        <v>BLOCKED</v>
      </c>
      <c r="P43" s="38" t="str">
        <v>Only dish aggregate is available: active 25 min / total 300 min; no unsupported split by operation</v>
      </c>
      <c r="Q43" s="38"/>
      <c r="R43" s="38"/>
      <c r="S43" s="38" t="str">
        <v>BLOCKED</v>
      </c>
      <c r="T43" s="38"/>
      <c r="U43" s="38"/>
      <c r="V43" s="38" t="str">
        <v>BLOCKED</v>
      </c>
      <c r="W43" s="38"/>
      <c r="X43" s="38" t="str">
        <v>BLOCKED_NOT_COMPARABLE</v>
      </c>
      <c r="Y43" s="38" t="str">
        <v>Recipe load cannot be compared to the project requirement without tray/form/GN/load and selected-model data</v>
      </c>
      <c r="Z43" s="38"/>
      <c r="AA43" s="38"/>
      <c r="AB43" s="38"/>
      <c r="AC43" s="38"/>
      <c r="AD43" s="38"/>
      <c r="AE43" s="38" t="str">
        <v>BLOCKED_NO_SELECTED_MODEL_PASSPORT</v>
      </c>
      <c r="AF43" s="38" t="str">
        <v>BLOCKED</v>
      </c>
      <c r="AG43" s="38" t="str">
        <v>BLOCKED</v>
      </c>
      <c r="AH43" s="38" t="str">
        <v>BLOCKED_REQUIREMENT_CODE</v>
      </c>
      <c r="AI43" s="38" t="str">
        <v>ESTIMATE</v>
      </c>
      <c r="AJ43" s="38" t="str">
        <v>EVD-0010;EVD-0021;EVD-0022;EVD-0023</v>
      </c>
      <c r="AK43" s="38" t="str">
        <v>2026-08-03</v>
      </c>
      <c r="AL43" s="38" t="str">
        <v>GAP-007;GAP-017;GAP-018;GAP-019</v>
      </c>
      <c r="AM43" s="38" t="str">
        <v>Operations / Engineering / Procurement</v>
      </c>
      <c r="AN43" s="38" t="str">
        <v>Manual bread forming needs a dedicated compliant work surface. BAK-12 is a pizza table, HOT-12 is a hot-line table and BAK-07 is inventory only; none is an approved bakery work-surface allocation.</v>
      </c>
      <c r="AO43" s="39" t="str">
        <v>Chef/Operations time the operation; Procurement supplies selected-model passport; Engineering confirms asset, placement and connections</v>
      </c>
    </row>
    <row r="44">
      <c r="A44" s="37" t="str">
        <v>EQM-0040</v>
      </c>
      <c r="B44" s="38" t="str">
        <v>VKM-007</v>
      </c>
      <c r="C44" s="38" t="str">
        <v>Бородинский хлеб</v>
      </c>
      <c r="D44" s="38" t="str">
        <v>Хлеб</v>
      </c>
      <c r="E44" s="38" t="str">
        <v>0.1.0-DRAFT</v>
      </c>
      <c r="F44" s="38" t="n">
        <v>5</v>
      </c>
      <c r="G44" s="38" t="str">
        <v>расстоять</v>
      </c>
      <c r="H44" s="38" t="str">
        <v>BAK-05</v>
      </c>
      <c r="I44" s="38" t="str">
        <v>Программируемый расстоечный шкаф</v>
      </c>
      <c r="J44" s="38" t="str">
        <v>CAPEX.BAK.005</v>
      </c>
      <c r="K44" s="38" t="str">
        <v>MANDATORY</v>
      </c>
      <c r="L44" s="38" t="str">
        <v>APPROVED_STRUCTURE</v>
      </c>
      <c r="M44" s="38" t="str">
        <v>PROOFING</v>
      </c>
      <c r="N44" s="38"/>
      <c r="O44" s="38" t="str">
        <v>BLOCKED</v>
      </c>
      <c r="P44" s="38" t="str">
        <v>Only dish aggregate is available: active 25 min / total 300 min; no unsupported split by operation</v>
      </c>
      <c r="Q44" s="38" t="str">
        <v>BAK-05: 12–16 противней 600×400</v>
      </c>
      <c r="R44" s="38" t="str">
        <v>project design requirement</v>
      </c>
      <c r="S44" s="38" t="str">
        <v>PLANNED</v>
      </c>
      <c r="T44" s="38"/>
      <c r="U44" s="38"/>
      <c r="V44" s="38" t="str">
        <v>BLOCKED</v>
      </c>
      <c r="W44" s="38"/>
      <c r="X44" s="38" t="str">
        <v>BLOCKED_NOT_COMPARABLE</v>
      </c>
      <c r="Y44" s="38" t="str">
        <v>Recipe load cannot be compared to the project requirement without tray/form/GN/load and selected-model data</v>
      </c>
      <c r="Z44" s="38"/>
      <c r="AA44" s="38"/>
      <c r="AB44" s="38"/>
      <c r="AC44" s="38"/>
      <c r="AD44" s="38"/>
      <c r="AE44" s="38" t="str">
        <v>BLOCKED_NO_SELECTED_MODEL_PASSPORT</v>
      </c>
      <c r="AF44" s="38" t="str">
        <v>BLOCKED</v>
      </c>
      <c r="AG44" s="38" t="str">
        <v>BLOCKED</v>
      </c>
      <c r="AH44" s="38" t="str">
        <v>BLOCKED_SELECTED_MODEL_AND_SITE_VALIDATION</v>
      </c>
      <c r="AI44" s="38" t="str">
        <v>ESTIMATE</v>
      </c>
      <c r="AJ44" s="38" t="str">
        <v>EVD-0010;EVD-0021;EVD-0022;EVD-0023</v>
      </c>
      <c r="AK44" s="38" t="str">
        <v>2026-08-03</v>
      </c>
      <c r="AL44" s="38" t="str">
        <v>GAP-007;GAP-017;GAP-018;GAP-019</v>
      </c>
      <c r="AM44" s="38" t="str">
        <v>Operations / Engineering / Procurement</v>
      </c>
      <c r="AN44" s="38" t="str">
        <v>Manual operation mapped to an existing work surface/inventory function.</v>
      </c>
      <c r="AO44" s="39" t="str">
        <v>Chef/Operations time the operation; Procurement supplies selected-model passport; Engineering confirms asset, placement and connections</v>
      </c>
    </row>
    <row r="45">
      <c r="A45" s="37" t="str">
        <v>EQM-0041</v>
      </c>
      <c r="B45" s="38" t="str">
        <v>VKM-007</v>
      </c>
      <c r="C45" s="38" t="str">
        <v>Бородинский хлеб</v>
      </c>
      <c r="D45" s="38" t="str">
        <v>Хлеб</v>
      </c>
      <c r="E45" s="38" t="str">
        <v>0.1.0-DRAFT</v>
      </c>
      <c r="F45" s="38" t="n">
        <v>6</v>
      </c>
      <c r="G45" s="38" t="str">
        <v>выпечь</v>
      </c>
      <c r="H45" s="38" t="str">
        <v>BAK-02</v>
      </c>
      <c r="I45" s="38" t="str">
        <v>Пекарская печь</v>
      </c>
      <c r="J45" s="38" t="str">
        <v>CAPEX.BAK.002</v>
      </c>
      <c r="K45" s="38" t="str">
        <v>MANDATORY</v>
      </c>
      <c r="L45" s="38" t="str">
        <v>APPROVED_STRUCTURE</v>
      </c>
      <c r="M45" s="38" t="str">
        <v>THERMAL_PROCESS</v>
      </c>
      <c r="N45" s="38"/>
      <c r="O45" s="38" t="str">
        <v>BLOCKED</v>
      </c>
      <c r="P45" s="38" t="str">
        <v>Only dish aggregate is available: active 25 min / total 300 min; no unsupported split by operation</v>
      </c>
      <c r="Q45" s="38" t="str">
        <v>BAK-02: 6×600×400; программирование; пар</v>
      </c>
      <c r="R45" s="38" t="str">
        <v>project design requirement</v>
      </c>
      <c r="S45" s="38" t="str">
        <v>PLANNED</v>
      </c>
      <c r="T45" s="38"/>
      <c r="U45" s="38"/>
      <c r="V45" s="38" t="str">
        <v>BLOCKED</v>
      </c>
      <c r="W45" s="38"/>
      <c r="X45" s="38" t="str">
        <v>BLOCKED_NOT_COMPARABLE</v>
      </c>
      <c r="Y45" s="38" t="str">
        <v>Recipe load cannot be compared to the project requirement without tray/form/GN/load and selected-model data</v>
      </c>
      <c r="Z45" s="38"/>
      <c r="AA45" s="38"/>
      <c r="AB45" s="38"/>
      <c r="AC45" s="38"/>
      <c r="AD45" s="38"/>
      <c r="AE45" s="38" t="str">
        <v>BLOCKED_NO_SELECTED_MODEL_PASSPORT</v>
      </c>
      <c r="AF45" s="38" t="str">
        <v>BLOCKED</v>
      </c>
      <c r="AG45" s="38" t="str">
        <v>BLOCKED</v>
      </c>
      <c r="AH45" s="38" t="str">
        <v>BLOCKED_SELECTED_MODEL_AND_SITE_VALIDATION</v>
      </c>
      <c r="AI45" s="38" t="str">
        <v>ESTIMATE</v>
      </c>
      <c r="AJ45" s="38" t="str">
        <v>EVD-0010;EVD-0021;EVD-0022;EVD-0023</v>
      </c>
      <c r="AK45" s="38" t="str">
        <v>2026-08-03</v>
      </c>
      <c r="AL45" s="38" t="str">
        <v>GAP-007;GAP-017;GAP-018;GAP-019</v>
      </c>
      <c r="AM45" s="38" t="str">
        <v>Operations / Engineering / Procurement</v>
      </c>
      <c r="AN45" s="38" t="str">
        <v>Manual operation mapped to an existing work surface/inventory function.</v>
      </c>
      <c r="AO45" s="39" t="str">
        <v>Chef/Operations time the operation; Procurement supplies selected-model passport; Engineering confirms asset, placement and connections</v>
      </c>
    </row>
    <row r="46">
      <c r="A46" s="37" t="str">
        <v>EQM-0042</v>
      </c>
      <c r="B46" s="38" t="str">
        <v>VKM-007</v>
      </c>
      <c r="C46" s="38" t="str">
        <v>Бородинский хлеб</v>
      </c>
      <c r="D46" s="38" t="str">
        <v>Хлеб</v>
      </c>
      <c r="E46" s="38" t="str">
        <v>0.1.0-DRAFT</v>
      </c>
      <c r="F46" s="38" t="n">
        <v>7</v>
      </c>
      <c r="G46" s="38" t="str">
        <v>стабилизировать и охладить</v>
      </c>
      <c r="H46" s="38" t="str">
        <v>BAK-06</v>
      </c>
      <c r="I46" s="38" t="str">
        <v>Мобильный стеллаж охлаждения</v>
      </c>
      <c r="J46" s="38" t="str">
        <v>CAPEX.BAK.006</v>
      </c>
      <c r="K46" s="38" t="str">
        <v>MANDATORY</v>
      </c>
      <c r="L46" s="38" t="str">
        <v>APPROVED_STRUCTURE</v>
      </c>
      <c r="M46" s="38" t="str">
        <v>COOLING_HOLDING</v>
      </c>
      <c r="N46" s="38"/>
      <c r="O46" s="38" t="str">
        <v>BLOCKED</v>
      </c>
      <c r="P46" s="38" t="str">
        <v>Only dish aggregate is available: active 25 min / total 300 min; no unsupported split by operation</v>
      </c>
      <c r="Q46" s="38" t="str">
        <v>BAK-06: 16–20 противней</v>
      </c>
      <c r="R46" s="38" t="str">
        <v>project design requirement</v>
      </c>
      <c r="S46" s="38" t="str">
        <v>PLANNED</v>
      </c>
      <c r="T46" s="38"/>
      <c r="U46" s="38"/>
      <c r="V46" s="38" t="str">
        <v>BLOCKED</v>
      </c>
      <c r="W46" s="38"/>
      <c r="X46" s="38" t="str">
        <v>BLOCKED_NOT_COMPARABLE</v>
      </c>
      <c r="Y46" s="38" t="str">
        <v>Recipe load cannot be compared to the project requirement without tray/form/GN/load and selected-model data</v>
      </c>
      <c r="Z46" s="38"/>
      <c r="AA46" s="38"/>
      <c r="AB46" s="38"/>
      <c r="AC46" s="38"/>
      <c r="AD46" s="38"/>
      <c r="AE46" s="38" t="str">
        <v>BLOCKED_NO_SELECTED_MODEL_PASSPORT</v>
      </c>
      <c r="AF46" s="38" t="str">
        <v>BLOCKED</v>
      </c>
      <c r="AG46" s="38" t="str">
        <v>BLOCKED</v>
      </c>
      <c r="AH46" s="38" t="str">
        <v>BLOCKED_SELECTED_MODEL_AND_SITE_VALIDATION</v>
      </c>
      <c r="AI46" s="38" t="str">
        <v>ESTIMATE</v>
      </c>
      <c r="AJ46" s="38" t="str">
        <v>EVD-0010;EVD-0021;EVD-0022;EVD-0023</v>
      </c>
      <c r="AK46" s="38" t="str">
        <v>2026-08-03</v>
      </c>
      <c r="AL46" s="38" t="str">
        <v>GAP-007;GAP-017;GAP-018;GAP-019</v>
      </c>
      <c r="AM46" s="38" t="str">
        <v>Operations / Engineering / Procurement</v>
      </c>
      <c r="AN46" s="38" t="str">
        <v>Manual operation mapped to an existing work surface/inventory function.</v>
      </c>
      <c r="AO46" s="39" t="str">
        <v>Chef/Operations time the operation; Procurement supplies selected-model passport; Engineering confirms asset, placement and connections</v>
      </c>
    </row>
    <row r="47">
      <c r="A47" s="37" t="str">
        <v>EQM-0043</v>
      </c>
      <c r="B47" s="38" t="str">
        <v>VKM-008</v>
      </c>
      <c r="C47" s="38" t="str">
        <v>Бриошь</v>
      </c>
      <c r="D47" s="38" t="str">
        <v>Хлеб</v>
      </c>
      <c r="E47" s="38" t="str">
        <v>0.1.0-DRAFT</v>
      </c>
      <c r="F47" s="38" t="n">
        <v>1</v>
      </c>
      <c r="G47" s="38" t="str">
        <v>Замесить сдобное тесто</v>
      </c>
      <c r="H47" s="38" t="str">
        <v>BAK-03</v>
      </c>
      <c r="I47" s="38" t="str">
        <v>Спиральный тестомес</v>
      </c>
      <c r="J47" s="38" t="str">
        <v>CAPEX.BAK.003</v>
      </c>
      <c r="K47" s="38" t="str">
        <v>MANDATORY</v>
      </c>
      <c r="L47" s="38" t="str">
        <v>APPROVED_STRUCTURE</v>
      </c>
      <c r="M47" s="38" t="str">
        <v>MIXING</v>
      </c>
      <c r="N47" s="38"/>
      <c r="O47" s="38" t="str">
        <v>BLOCKED</v>
      </c>
      <c r="P47" s="38" t="str">
        <v>Only dish aggregate is available: active 22 min / total 180 min; no unsupported split by operation</v>
      </c>
      <c r="Q47" s="38" t="str">
        <v>BAK-03: Рабочий диапазон 2–25 кг</v>
      </c>
      <c r="R47" s="38" t="str">
        <v>project design requirement</v>
      </c>
      <c r="S47" s="38" t="str">
        <v>PLANNED</v>
      </c>
      <c r="T47" s="38"/>
      <c r="U47" s="38"/>
      <c r="V47" s="38" t="str">
        <v>BLOCKED</v>
      </c>
      <c r="W47" s="38"/>
      <c r="X47" s="38" t="str">
        <v>BLOCKED_NOT_COMPARABLE</v>
      </c>
      <c r="Y47" s="38" t="str">
        <v>Recipe load cannot be compared to the project requirement without tray/form/GN/load and selected-model data</v>
      </c>
      <c r="Z47" s="38"/>
      <c r="AA47" s="38"/>
      <c r="AB47" s="38"/>
      <c r="AC47" s="38"/>
      <c r="AD47" s="38"/>
      <c r="AE47" s="38" t="str">
        <v>BLOCKED_NO_SELECTED_MODEL_PASSPORT</v>
      </c>
      <c r="AF47" s="38" t="str">
        <v>BLOCKED</v>
      </c>
      <c r="AG47" s="38" t="str">
        <v>BLOCKED</v>
      </c>
      <c r="AH47" s="38" t="str">
        <v>BLOCKED_SELECTED_MODEL_AND_SITE_VALIDATION</v>
      </c>
      <c r="AI47" s="38" t="str">
        <v>ESTIMATE</v>
      </c>
      <c r="AJ47" s="38" t="str">
        <v>EVD-0010;EVD-0021;EVD-0022;EVD-0023</v>
      </c>
      <c r="AK47" s="38" t="str">
        <v>2026-08-03</v>
      </c>
      <c r="AL47" s="38" t="str">
        <v>GAP-007;GAP-017;GAP-018;GAP-019</v>
      </c>
      <c r="AM47" s="38" t="str">
        <v>Operations / Engineering / Procurement</v>
      </c>
      <c r="AN47" s="38" t="str">
        <v>Manual operation mapped to an existing work surface/inventory function.</v>
      </c>
      <c r="AO47" s="39" t="str">
        <v>Chef/Operations time the operation; Procurement supplies selected-model passport; Engineering confirms asset, placement and connections</v>
      </c>
    </row>
    <row r="48">
      <c r="A48" s="37" t="str">
        <v>EQM-0044</v>
      </c>
      <c r="B48" s="38" t="str">
        <v>VKM-008</v>
      </c>
      <c r="C48" s="38" t="str">
        <v>Бриошь</v>
      </c>
      <c r="D48" s="38" t="str">
        <v>Хлеб</v>
      </c>
      <c r="E48" s="38" t="str">
        <v>0.1.0-DRAFT</v>
      </c>
      <c r="F48" s="38" t="n">
        <v>2</v>
      </c>
      <c r="G48" s="38" t="str">
        <v>ввести масло</v>
      </c>
      <c r="H48" s="38" t="str">
        <v>BAK-03</v>
      </c>
      <c r="I48" s="38" t="str">
        <v>Спиральный тестомес</v>
      </c>
      <c r="J48" s="38" t="str">
        <v>CAPEX.BAK.003</v>
      </c>
      <c r="K48" s="38" t="str">
        <v>MANDATORY</v>
      </c>
      <c r="L48" s="38" t="str">
        <v>APPROVED_STRUCTURE</v>
      </c>
      <c r="M48" s="38" t="str">
        <v>MIXING</v>
      </c>
      <c r="N48" s="38"/>
      <c r="O48" s="38" t="str">
        <v>BLOCKED</v>
      </c>
      <c r="P48" s="38" t="str">
        <v>Only dish aggregate is available: active 22 min / total 180 min; no unsupported split by operation</v>
      </c>
      <c r="Q48" s="38" t="str">
        <v>BAK-03: Рабочий диапазон 2–25 кг</v>
      </c>
      <c r="R48" s="38" t="str">
        <v>project design requirement</v>
      </c>
      <c r="S48" s="38" t="str">
        <v>PLANNED</v>
      </c>
      <c r="T48" s="38"/>
      <c r="U48" s="38"/>
      <c r="V48" s="38" t="str">
        <v>BLOCKED</v>
      </c>
      <c r="W48" s="38"/>
      <c r="X48" s="38" t="str">
        <v>BLOCKED_NOT_COMPARABLE</v>
      </c>
      <c r="Y48" s="38" t="str">
        <v>Recipe load cannot be compared to the project requirement without tray/form/GN/load and selected-model data</v>
      </c>
      <c r="Z48" s="38"/>
      <c r="AA48" s="38"/>
      <c r="AB48" s="38"/>
      <c r="AC48" s="38"/>
      <c r="AD48" s="38"/>
      <c r="AE48" s="38" t="str">
        <v>BLOCKED_NO_SELECTED_MODEL_PASSPORT</v>
      </c>
      <c r="AF48" s="38" t="str">
        <v>BLOCKED</v>
      </c>
      <c r="AG48" s="38" t="str">
        <v>BLOCKED</v>
      </c>
      <c r="AH48" s="38" t="str">
        <v>BLOCKED_SELECTED_MODEL_AND_SITE_VALIDATION</v>
      </c>
      <c r="AI48" s="38" t="str">
        <v>ESTIMATE</v>
      </c>
      <c r="AJ48" s="38" t="str">
        <v>EVD-0010;EVD-0021;EVD-0022;EVD-0023</v>
      </c>
      <c r="AK48" s="38" t="str">
        <v>2026-08-03</v>
      </c>
      <c r="AL48" s="38" t="str">
        <v>GAP-007;GAP-017;GAP-018;GAP-019</v>
      </c>
      <c r="AM48" s="38" t="str">
        <v>Operations / Engineering / Procurement</v>
      </c>
      <c r="AN48" s="38" t="str">
        <v>Manual operation mapped to an existing work surface/inventory function.</v>
      </c>
      <c r="AO48" s="39" t="str">
        <v>Chef/Operations time the operation; Procurement supplies selected-model passport; Engineering confirms asset, placement and connections</v>
      </c>
    </row>
    <row r="49">
      <c r="A49" s="37" t="str">
        <v>EQM-0045</v>
      </c>
      <c r="B49" s="38" t="str">
        <v>VKM-008</v>
      </c>
      <c r="C49" s="38" t="str">
        <v>Бриошь</v>
      </c>
      <c r="D49" s="38" t="str">
        <v>Хлеб</v>
      </c>
      <c r="E49" s="38" t="str">
        <v>0.1.0-DRAFT</v>
      </c>
      <c r="F49" s="38" t="n">
        <v>3</v>
      </c>
      <c r="G49" s="38" t="str">
        <v>провести брожение</v>
      </c>
      <c r="H49" s="38" t="str">
        <v>STO-08</v>
      </c>
      <c r="I49" s="38" t="str">
        <v>Холодная ферментация теста</v>
      </c>
      <c r="J49" s="38" t="str">
        <v>CAPEX.STO.008</v>
      </c>
      <c r="K49" s="38" t="str">
        <v>MANDATORY</v>
      </c>
      <c r="L49" s="38" t="str">
        <v>APPROVED_STRUCTURE</v>
      </c>
      <c r="M49" s="38" t="str">
        <v>FERMENTATION</v>
      </c>
      <c r="N49" s="38"/>
      <c r="O49" s="38" t="str">
        <v>BLOCKED</v>
      </c>
      <c r="P49" s="38" t="str">
        <v>Only dish aggregate is available: active 22 min / total 180 min; no unsupported split by operation</v>
      </c>
      <c r="Q49" s="38" t="str">
        <v>STO-08: Всего ≥30 позиций 600×400</v>
      </c>
      <c r="R49" s="38" t="str">
        <v>project design requirement</v>
      </c>
      <c r="S49" s="38" t="str">
        <v>PLANNED</v>
      </c>
      <c r="T49" s="38"/>
      <c r="U49" s="38"/>
      <c r="V49" s="38" t="str">
        <v>BLOCKED</v>
      </c>
      <c r="W49" s="38"/>
      <c r="X49" s="38" t="str">
        <v>BLOCKED_NOT_COMPARABLE</v>
      </c>
      <c r="Y49" s="38" t="str">
        <v>Recipe load cannot be compared to the project requirement without tray/form/GN/load and selected-model data</v>
      </c>
      <c r="Z49" s="38"/>
      <c r="AA49" s="38"/>
      <c r="AB49" s="38"/>
      <c r="AC49" s="38"/>
      <c r="AD49" s="38"/>
      <c r="AE49" s="38" t="str">
        <v>BLOCKED_NO_SELECTED_MODEL_PASSPORT</v>
      </c>
      <c r="AF49" s="38" t="str">
        <v>BLOCKED</v>
      </c>
      <c r="AG49" s="38" t="str">
        <v>BLOCKED</v>
      </c>
      <c r="AH49" s="38" t="str">
        <v>BLOCKED_SELECTED_MODEL_AND_SITE_VALIDATION</v>
      </c>
      <c r="AI49" s="38" t="str">
        <v>ESTIMATE</v>
      </c>
      <c r="AJ49" s="38" t="str">
        <v>EVD-0010;EVD-0021;EVD-0022;EVD-0023</v>
      </c>
      <c r="AK49" s="38" t="str">
        <v>2026-08-03</v>
      </c>
      <c r="AL49" s="38" t="str">
        <v>GAP-007;GAP-017;GAP-018;GAP-019</v>
      </c>
      <c r="AM49" s="38" t="str">
        <v>Operations / Engineering / Procurement</v>
      </c>
      <c r="AN49" s="38" t="str">
        <v>Manual operation mapped to an existing work surface/inventory function.</v>
      </c>
      <c r="AO49" s="39" t="str">
        <v>Chef/Operations time the operation; Procurement supplies selected-model passport; Engineering confirms asset, placement and connections</v>
      </c>
    </row>
    <row r="50">
      <c r="A50" s="37" t="str">
        <v>EQM-0046</v>
      </c>
      <c r="B50" s="38" t="str">
        <v>VKM-008</v>
      </c>
      <c r="C50" s="38" t="str">
        <v>Бриошь</v>
      </c>
      <c r="D50" s="38" t="str">
        <v>Хлеб</v>
      </c>
      <c r="E50" s="38" t="str">
        <v>0.1.0-DRAFT</v>
      </c>
      <c r="F50" s="38" t="n">
        <v>4</v>
      </c>
      <c r="G50" s="38" t="str">
        <v>сформовать</v>
      </c>
      <c r="H50" s="38" t="str">
        <v>REQ-BAK-PREP</v>
      </c>
      <c r="I50" s="38" t="str">
        <v>Проектное функциональное требование без действующего CAPEX-кода</v>
      </c>
      <c r="J50" s="38"/>
      <c r="K50" s="38"/>
      <c r="L50" s="38"/>
      <c r="M50" s="38" t="str">
        <v>MANUAL_FORMING_GAP</v>
      </c>
      <c r="N50" s="38"/>
      <c r="O50" s="38" t="str">
        <v>BLOCKED</v>
      </c>
      <c r="P50" s="38" t="str">
        <v>Only dish aggregate is available: active 22 min / total 180 min; no unsupported split by operation</v>
      </c>
      <c r="Q50" s="38"/>
      <c r="R50" s="38"/>
      <c r="S50" s="38" t="str">
        <v>BLOCKED</v>
      </c>
      <c r="T50" s="38"/>
      <c r="U50" s="38"/>
      <c r="V50" s="38" t="str">
        <v>BLOCKED</v>
      </c>
      <c r="W50" s="38"/>
      <c r="X50" s="38" t="str">
        <v>BLOCKED_NOT_COMPARABLE</v>
      </c>
      <c r="Y50" s="38" t="str">
        <v>Recipe load cannot be compared to the project requirement without tray/form/GN/load and selected-model data</v>
      </c>
      <c r="Z50" s="38"/>
      <c r="AA50" s="38"/>
      <c r="AB50" s="38"/>
      <c r="AC50" s="38"/>
      <c r="AD50" s="38"/>
      <c r="AE50" s="38" t="str">
        <v>BLOCKED_NO_SELECTED_MODEL_PASSPORT</v>
      </c>
      <c r="AF50" s="38" t="str">
        <v>BLOCKED</v>
      </c>
      <c r="AG50" s="38" t="str">
        <v>BLOCKED</v>
      </c>
      <c r="AH50" s="38" t="str">
        <v>BLOCKED_REQUIREMENT_CODE</v>
      </c>
      <c r="AI50" s="38" t="str">
        <v>ESTIMATE</v>
      </c>
      <c r="AJ50" s="38" t="str">
        <v>EVD-0010;EVD-0021;EVD-0022;EVD-0023</v>
      </c>
      <c r="AK50" s="38" t="str">
        <v>2026-08-03</v>
      </c>
      <c r="AL50" s="38" t="str">
        <v>GAP-007;GAP-017;GAP-018;GAP-019</v>
      </c>
      <c r="AM50" s="38" t="str">
        <v>Operations / Engineering / Procurement</v>
      </c>
      <c r="AN50" s="38" t="str">
        <v>Manual bread forming needs a dedicated compliant work surface. BAK-12 is a pizza table, HOT-12 is a hot-line table and BAK-07 is inventory only; none is an approved bakery work-surface allocation.</v>
      </c>
      <c r="AO50" s="39" t="str">
        <v>Chef/Operations time the operation; Procurement supplies selected-model passport; Engineering confirms asset, placement and connections</v>
      </c>
    </row>
    <row r="51">
      <c r="A51" s="37" t="str">
        <v>EQM-0047</v>
      </c>
      <c r="B51" s="38" t="str">
        <v>VKM-008</v>
      </c>
      <c r="C51" s="38" t="str">
        <v>Бриошь</v>
      </c>
      <c r="D51" s="38" t="str">
        <v>Хлеб</v>
      </c>
      <c r="E51" s="38" t="str">
        <v>0.1.0-DRAFT</v>
      </c>
      <c r="F51" s="38" t="n">
        <v>5</v>
      </c>
      <c r="G51" s="38" t="str">
        <v>расстоять</v>
      </c>
      <c r="H51" s="38" t="str">
        <v>BAK-05</v>
      </c>
      <c r="I51" s="38" t="str">
        <v>Программируемый расстоечный шкаф</v>
      </c>
      <c r="J51" s="38" t="str">
        <v>CAPEX.BAK.005</v>
      </c>
      <c r="K51" s="38" t="str">
        <v>MANDATORY</v>
      </c>
      <c r="L51" s="38" t="str">
        <v>APPROVED_STRUCTURE</v>
      </c>
      <c r="M51" s="38" t="str">
        <v>PROOFING</v>
      </c>
      <c r="N51" s="38"/>
      <c r="O51" s="38" t="str">
        <v>BLOCKED</v>
      </c>
      <c r="P51" s="38" t="str">
        <v>Only dish aggregate is available: active 22 min / total 180 min; no unsupported split by operation</v>
      </c>
      <c r="Q51" s="38" t="str">
        <v>BAK-05: 12–16 противней 600×400</v>
      </c>
      <c r="R51" s="38" t="str">
        <v>project design requirement</v>
      </c>
      <c r="S51" s="38" t="str">
        <v>PLANNED</v>
      </c>
      <c r="T51" s="38"/>
      <c r="U51" s="38"/>
      <c r="V51" s="38" t="str">
        <v>BLOCKED</v>
      </c>
      <c r="W51" s="38"/>
      <c r="X51" s="38" t="str">
        <v>BLOCKED_NOT_COMPARABLE</v>
      </c>
      <c r="Y51" s="38" t="str">
        <v>Recipe load cannot be compared to the project requirement without tray/form/GN/load and selected-model data</v>
      </c>
      <c r="Z51" s="38"/>
      <c r="AA51" s="38"/>
      <c r="AB51" s="38"/>
      <c r="AC51" s="38"/>
      <c r="AD51" s="38"/>
      <c r="AE51" s="38" t="str">
        <v>BLOCKED_NO_SELECTED_MODEL_PASSPORT</v>
      </c>
      <c r="AF51" s="38" t="str">
        <v>BLOCKED</v>
      </c>
      <c r="AG51" s="38" t="str">
        <v>BLOCKED</v>
      </c>
      <c r="AH51" s="38" t="str">
        <v>BLOCKED_SELECTED_MODEL_AND_SITE_VALIDATION</v>
      </c>
      <c r="AI51" s="38" t="str">
        <v>ESTIMATE</v>
      </c>
      <c r="AJ51" s="38" t="str">
        <v>EVD-0010;EVD-0021;EVD-0022;EVD-0023</v>
      </c>
      <c r="AK51" s="38" t="str">
        <v>2026-08-03</v>
      </c>
      <c r="AL51" s="38" t="str">
        <v>GAP-007;GAP-017;GAP-018;GAP-019</v>
      </c>
      <c r="AM51" s="38" t="str">
        <v>Operations / Engineering / Procurement</v>
      </c>
      <c r="AN51" s="38" t="str">
        <v>Manual operation mapped to an existing work surface/inventory function.</v>
      </c>
      <c r="AO51" s="39" t="str">
        <v>Chef/Operations time the operation; Procurement supplies selected-model passport; Engineering confirms asset, placement and connections</v>
      </c>
    </row>
    <row r="52">
      <c r="A52" s="37" t="str">
        <v>EQM-0048</v>
      </c>
      <c r="B52" s="38" t="str">
        <v>VKM-008</v>
      </c>
      <c r="C52" s="38" t="str">
        <v>Бриошь</v>
      </c>
      <c r="D52" s="38" t="str">
        <v>Хлеб</v>
      </c>
      <c r="E52" s="38" t="str">
        <v>0.1.0-DRAFT</v>
      </c>
      <c r="F52" s="38" t="n">
        <v>6</v>
      </c>
      <c r="G52" s="38" t="str">
        <v>смазать</v>
      </c>
      <c r="H52" s="38" t="str">
        <v>BAK-07</v>
      </c>
      <c r="I52" s="38" t="str">
        <v>Кондитерские формы и инвентарь</v>
      </c>
      <c r="J52" s="38" t="str">
        <v>CAPEX.BAK.007</v>
      </c>
      <c r="K52" s="38" t="str">
        <v>MANDATORY</v>
      </c>
      <c r="L52" s="38" t="str">
        <v>APPROVED_STRUCTURE</v>
      </c>
      <c r="M52" s="38" t="str">
        <v>FORM_PREPARATION</v>
      </c>
      <c r="N52" s="38"/>
      <c r="O52" s="38" t="str">
        <v>BLOCKED</v>
      </c>
      <c r="P52" s="38" t="str">
        <v>Only dish aggregate is available: active 22 min / total 180 min; no unsupported split by operation</v>
      </c>
      <c r="Q52" s="38" t="str">
        <v>BAK-07: Торт, кростата, мадлены</v>
      </c>
      <c r="R52" s="38" t="str">
        <v>project design requirement</v>
      </c>
      <c r="S52" s="38" t="str">
        <v>PLANNED</v>
      </c>
      <c r="T52" s="38"/>
      <c r="U52" s="38"/>
      <c r="V52" s="38" t="str">
        <v>BLOCKED</v>
      </c>
      <c r="W52" s="38"/>
      <c r="X52" s="38" t="str">
        <v>BLOCKED_NOT_COMPARABLE</v>
      </c>
      <c r="Y52" s="38" t="str">
        <v>Recipe load cannot be compared to the project requirement without tray/form/GN/load and selected-model data</v>
      </c>
      <c r="Z52" s="38"/>
      <c r="AA52" s="38"/>
      <c r="AB52" s="38"/>
      <c r="AC52" s="38"/>
      <c r="AD52" s="38"/>
      <c r="AE52" s="38" t="str">
        <v>BLOCKED_NO_SELECTED_MODEL_PASSPORT</v>
      </c>
      <c r="AF52" s="38" t="str">
        <v>BLOCKED</v>
      </c>
      <c r="AG52" s="38" t="str">
        <v>BLOCKED</v>
      </c>
      <c r="AH52" s="38" t="str">
        <v>BLOCKED_SELECTED_MODEL_AND_SITE_VALIDATION</v>
      </c>
      <c r="AI52" s="38" t="str">
        <v>ESTIMATE</v>
      </c>
      <c r="AJ52" s="38" t="str">
        <v>EVD-0010;EVD-0021;EVD-0022;EVD-0023</v>
      </c>
      <c r="AK52" s="38" t="str">
        <v>2026-08-03</v>
      </c>
      <c r="AL52" s="38" t="str">
        <v>GAP-007;GAP-017;GAP-018;GAP-019</v>
      </c>
      <c r="AM52" s="38" t="str">
        <v>Operations / Engineering / Procurement</v>
      </c>
      <c r="AN52" s="38" t="str">
        <v>Manual operation mapped to an existing work surface/inventory function.</v>
      </c>
      <c r="AO52" s="39" t="str">
        <v>Chef/Operations time the operation; Procurement supplies selected-model passport; Engineering confirms asset, placement and connections</v>
      </c>
    </row>
    <row r="53">
      <c r="A53" s="37" t="str">
        <v>EQM-0049</v>
      </c>
      <c r="B53" s="38" t="str">
        <v>VKM-008</v>
      </c>
      <c r="C53" s="38" t="str">
        <v>Бриошь</v>
      </c>
      <c r="D53" s="38" t="str">
        <v>Хлеб</v>
      </c>
      <c r="E53" s="38" t="str">
        <v>0.1.0-DRAFT</v>
      </c>
      <c r="F53" s="38" t="n">
        <v>7</v>
      </c>
      <c r="G53" s="38" t="str">
        <v>выпечь</v>
      </c>
      <c r="H53" s="38" t="str">
        <v>BAK-02</v>
      </c>
      <c r="I53" s="38" t="str">
        <v>Пекарская печь</v>
      </c>
      <c r="J53" s="38" t="str">
        <v>CAPEX.BAK.002</v>
      </c>
      <c r="K53" s="38" t="str">
        <v>MANDATORY</v>
      </c>
      <c r="L53" s="38" t="str">
        <v>APPROVED_STRUCTURE</v>
      </c>
      <c r="M53" s="38" t="str">
        <v>THERMAL_PROCESS</v>
      </c>
      <c r="N53" s="38"/>
      <c r="O53" s="38" t="str">
        <v>BLOCKED</v>
      </c>
      <c r="P53" s="38" t="str">
        <v>Only dish aggregate is available: active 22 min / total 180 min; no unsupported split by operation</v>
      </c>
      <c r="Q53" s="38" t="str">
        <v>BAK-02: 6×600×400; программирование; пар</v>
      </c>
      <c r="R53" s="38" t="str">
        <v>project design requirement</v>
      </c>
      <c r="S53" s="38" t="str">
        <v>PLANNED</v>
      </c>
      <c r="T53" s="38"/>
      <c r="U53" s="38"/>
      <c r="V53" s="38" t="str">
        <v>BLOCKED</v>
      </c>
      <c r="W53" s="38"/>
      <c r="X53" s="38" t="str">
        <v>BLOCKED_NOT_COMPARABLE</v>
      </c>
      <c r="Y53" s="38" t="str">
        <v>Recipe load cannot be compared to the project requirement without tray/form/GN/load and selected-model data</v>
      </c>
      <c r="Z53" s="38"/>
      <c r="AA53" s="38"/>
      <c r="AB53" s="38"/>
      <c r="AC53" s="38"/>
      <c r="AD53" s="38"/>
      <c r="AE53" s="38" t="str">
        <v>BLOCKED_NO_SELECTED_MODEL_PASSPORT</v>
      </c>
      <c r="AF53" s="38" t="str">
        <v>BLOCKED</v>
      </c>
      <c r="AG53" s="38" t="str">
        <v>BLOCKED</v>
      </c>
      <c r="AH53" s="38" t="str">
        <v>BLOCKED_SELECTED_MODEL_AND_SITE_VALIDATION</v>
      </c>
      <c r="AI53" s="38" t="str">
        <v>ESTIMATE</v>
      </c>
      <c r="AJ53" s="38" t="str">
        <v>EVD-0010;EVD-0021;EVD-0022;EVD-0023</v>
      </c>
      <c r="AK53" s="38" t="str">
        <v>2026-08-03</v>
      </c>
      <c r="AL53" s="38" t="str">
        <v>GAP-007;GAP-017;GAP-018;GAP-019</v>
      </c>
      <c r="AM53" s="38" t="str">
        <v>Operations / Engineering / Procurement</v>
      </c>
      <c r="AN53" s="38" t="str">
        <v>Manual operation mapped to an existing work surface/inventory function.</v>
      </c>
      <c r="AO53" s="39" t="str">
        <v>Chef/Operations time the operation; Procurement supplies selected-model passport; Engineering confirms asset, placement and connections</v>
      </c>
    </row>
    <row r="54">
      <c r="A54" s="37" t="str">
        <v>EQM-0050</v>
      </c>
      <c r="B54" s="38" t="str">
        <v>VKM-008</v>
      </c>
      <c r="C54" s="38" t="str">
        <v>Бриошь</v>
      </c>
      <c r="D54" s="38" t="str">
        <v>Хлеб</v>
      </c>
      <c r="E54" s="38" t="str">
        <v>0.1.0-DRAFT</v>
      </c>
      <c r="F54" s="38" t="n">
        <v>8</v>
      </c>
      <c r="G54" s="38" t="str">
        <v>охладить</v>
      </c>
      <c r="H54" s="38" t="str">
        <v>BAK-06</v>
      </c>
      <c r="I54" s="38" t="str">
        <v>Мобильный стеллаж охлаждения</v>
      </c>
      <c r="J54" s="38" t="str">
        <v>CAPEX.BAK.006</v>
      </c>
      <c r="K54" s="38" t="str">
        <v>MANDATORY</v>
      </c>
      <c r="L54" s="38" t="str">
        <v>APPROVED_STRUCTURE</v>
      </c>
      <c r="M54" s="38" t="str">
        <v>COOLING_HOLDING</v>
      </c>
      <c r="N54" s="38"/>
      <c r="O54" s="38" t="str">
        <v>BLOCKED</v>
      </c>
      <c r="P54" s="38" t="str">
        <v>Only dish aggregate is available: active 22 min / total 180 min; no unsupported split by operation</v>
      </c>
      <c r="Q54" s="38" t="str">
        <v>BAK-06: 16–20 противней</v>
      </c>
      <c r="R54" s="38" t="str">
        <v>project design requirement</v>
      </c>
      <c r="S54" s="38" t="str">
        <v>PLANNED</v>
      </c>
      <c r="T54" s="38"/>
      <c r="U54" s="38"/>
      <c r="V54" s="38" t="str">
        <v>BLOCKED</v>
      </c>
      <c r="W54" s="38"/>
      <c r="X54" s="38" t="str">
        <v>BLOCKED_NOT_COMPARABLE</v>
      </c>
      <c r="Y54" s="38" t="str">
        <v>Recipe load cannot be compared to the project requirement without tray/form/GN/load and selected-model data</v>
      </c>
      <c r="Z54" s="38"/>
      <c r="AA54" s="38"/>
      <c r="AB54" s="38"/>
      <c r="AC54" s="38"/>
      <c r="AD54" s="38"/>
      <c r="AE54" s="38" t="str">
        <v>BLOCKED_NO_SELECTED_MODEL_PASSPORT</v>
      </c>
      <c r="AF54" s="38" t="str">
        <v>BLOCKED</v>
      </c>
      <c r="AG54" s="38" t="str">
        <v>BLOCKED</v>
      </c>
      <c r="AH54" s="38" t="str">
        <v>BLOCKED_SELECTED_MODEL_AND_SITE_VALIDATION</v>
      </c>
      <c r="AI54" s="38" t="str">
        <v>ESTIMATE</v>
      </c>
      <c r="AJ54" s="38" t="str">
        <v>EVD-0010;EVD-0021;EVD-0022;EVD-0023</v>
      </c>
      <c r="AK54" s="38" t="str">
        <v>2026-08-03</v>
      </c>
      <c r="AL54" s="38" t="str">
        <v>GAP-007;GAP-017;GAP-018;GAP-019</v>
      </c>
      <c r="AM54" s="38" t="str">
        <v>Operations / Engineering / Procurement</v>
      </c>
      <c r="AN54" s="38" t="str">
        <v>Manual operation mapped to an existing work surface/inventory function.</v>
      </c>
      <c r="AO54" s="39" t="str">
        <v>Chef/Operations time the operation; Procurement supplies selected-model passport; Engineering confirms asset, placement and connections</v>
      </c>
    </row>
    <row r="55">
      <c r="A55" s="37" t="str">
        <v>EQM-0051</v>
      </c>
      <c r="B55" s="38" t="str">
        <v>VKM-009</v>
      </c>
      <c r="C55" s="38" t="str">
        <v>Буррата с томатами</v>
      </c>
      <c r="D55" s="38" t="str">
        <v>Салаты</v>
      </c>
      <c r="E55" s="38" t="str">
        <v>0.1.0-DRAFT</v>
      </c>
      <c r="F55" s="38" t="n">
        <v>1</v>
      </c>
      <c r="G55" s="38" t="str">
        <v>Подготовить томаты и зелень</v>
      </c>
      <c r="H55" s="38" t="str">
        <v>CLD-03;CLD-07</v>
      </c>
      <c r="I55" s="38" t="str">
        <v>Вторая рабочая поверхность;Весы, ножи, доски холодного участка</v>
      </c>
      <c r="J55" s="38" t="str">
        <v>CAPEX.CLD.003;CAPEX.CLD.007</v>
      </c>
      <c r="K55" s="38" t="str">
        <v>MANDATORY</v>
      </c>
      <c r="L55" s="38" t="str">
        <v>APPROVED_STRUCTURE</v>
      </c>
      <c r="M55" s="38" t="str">
        <v>COLD_PREP_ASSEMBLY</v>
      </c>
      <c r="N55" s="38"/>
      <c r="O55" s="38" t="str">
        <v>BLOCKED</v>
      </c>
      <c r="P55" s="38" t="str">
        <v>Only dish aggregate is available: active 8 min / total 10 min; no unsupported split by operation</v>
      </c>
      <c r="Q55" s="38" t="str">
        <v>CLD-03: ≥1200×700; CLD-07: Две рабочие позиции</v>
      </c>
      <c r="R55" s="38" t="str">
        <v>project design requirement</v>
      </c>
      <c r="S55" s="38" t="str">
        <v>PLANNED</v>
      </c>
      <c r="T55" s="38"/>
      <c r="U55" s="38"/>
      <c r="V55" s="38" t="str">
        <v>BLOCKED</v>
      </c>
      <c r="W55" s="38"/>
      <c r="X55" s="38" t="str">
        <v>BLOCKED_NOT_COMPARABLE</v>
      </c>
      <c r="Y55" s="38" t="str">
        <v>Recipe load cannot be compared to the project requirement without tray/form/GN/load and selected-model data</v>
      </c>
      <c r="Z55" s="38"/>
      <c r="AA55" s="38"/>
      <c r="AB55" s="38"/>
      <c r="AC55" s="38"/>
      <c r="AD55" s="38"/>
      <c r="AE55" s="38" t="str">
        <v>BLOCKED_NO_SELECTED_MODEL_PASSPORT</v>
      </c>
      <c r="AF55" s="38" t="str">
        <v>BLOCKED</v>
      </c>
      <c r="AG55" s="38" t="str">
        <v>BLOCKED</v>
      </c>
      <c r="AH55" s="38" t="str">
        <v>BLOCKED_SELECTED_MODEL_AND_SITE_VALIDATION</v>
      </c>
      <c r="AI55" s="38" t="str">
        <v>ESTIMATE</v>
      </c>
      <c r="AJ55" s="38" t="str">
        <v>EVD-0010;EVD-0021;EVD-0022;EVD-0023</v>
      </c>
      <c r="AK55" s="38" t="str">
        <v>2026-08-03</v>
      </c>
      <c r="AL55" s="38" t="str">
        <v>GAP-007;GAP-017;GAP-018;GAP-019</v>
      </c>
      <c r="AM55" s="38" t="str">
        <v>Operations / Engineering / Procurement</v>
      </c>
      <c r="AN55" s="38" t="str">
        <v>Manual operation mapped to an existing work surface/inventory function.</v>
      </c>
      <c r="AO55" s="39" t="str">
        <v>Chef/Operations time the operation; Procurement supplies selected-model passport; Engineering confirms asset, placement and connections</v>
      </c>
    </row>
    <row r="56">
      <c r="A56" s="37" t="str">
        <v>EQM-0052</v>
      </c>
      <c r="B56" s="38" t="str">
        <v>VKM-009</v>
      </c>
      <c r="C56" s="38" t="str">
        <v>Буррата с томатами</v>
      </c>
      <c r="D56" s="38" t="str">
        <v>Салаты</v>
      </c>
      <c r="E56" s="38" t="str">
        <v>0.1.0-DRAFT</v>
      </c>
      <c r="F56" s="38" t="n">
        <v>2</v>
      </c>
      <c r="G56" s="38" t="str">
        <v>смешать заправку</v>
      </c>
      <c r="H56" s="38" t="str">
        <v>CLD-03;CLD-07</v>
      </c>
      <c r="I56" s="38" t="str">
        <v>Вторая рабочая поверхность;Весы, ножи, доски холодного участка</v>
      </c>
      <c r="J56" s="38" t="str">
        <v>CAPEX.CLD.003;CAPEX.CLD.007</v>
      </c>
      <c r="K56" s="38" t="str">
        <v>MANDATORY</v>
      </c>
      <c r="L56" s="38" t="str">
        <v>APPROVED_STRUCTURE</v>
      </c>
      <c r="M56" s="38" t="str">
        <v>COLD_PREP_ASSEMBLY</v>
      </c>
      <c r="N56" s="38"/>
      <c r="O56" s="38" t="str">
        <v>BLOCKED</v>
      </c>
      <c r="P56" s="38" t="str">
        <v>Only dish aggregate is available: active 8 min / total 10 min; no unsupported split by operation</v>
      </c>
      <c r="Q56" s="38" t="str">
        <v>CLD-03: ≥1200×700; CLD-07: Две рабочие позиции</v>
      </c>
      <c r="R56" s="38" t="str">
        <v>project design requirement</v>
      </c>
      <c r="S56" s="38" t="str">
        <v>PLANNED</v>
      </c>
      <c r="T56" s="38"/>
      <c r="U56" s="38"/>
      <c r="V56" s="38" t="str">
        <v>BLOCKED</v>
      </c>
      <c r="W56" s="38"/>
      <c r="X56" s="38" t="str">
        <v>BLOCKED_NOT_COMPARABLE</v>
      </c>
      <c r="Y56" s="38" t="str">
        <v>Recipe load cannot be compared to the project requirement without tray/form/GN/load and selected-model data</v>
      </c>
      <c r="Z56" s="38"/>
      <c r="AA56" s="38"/>
      <c r="AB56" s="38"/>
      <c r="AC56" s="38"/>
      <c r="AD56" s="38"/>
      <c r="AE56" s="38" t="str">
        <v>BLOCKED_NO_SELECTED_MODEL_PASSPORT</v>
      </c>
      <c r="AF56" s="38" t="str">
        <v>BLOCKED</v>
      </c>
      <c r="AG56" s="38" t="str">
        <v>BLOCKED</v>
      </c>
      <c r="AH56" s="38" t="str">
        <v>BLOCKED_SELECTED_MODEL_AND_SITE_VALIDATION</v>
      </c>
      <c r="AI56" s="38" t="str">
        <v>ESTIMATE</v>
      </c>
      <c r="AJ56" s="38" t="str">
        <v>EVD-0010;EVD-0021;EVD-0022;EVD-0023</v>
      </c>
      <c r="AK56" s="38" t="str">
        <v>2026-08-03</v>
      </c>
      <c r="AL56" s="38" t="str">
        <v>GAP-007;GAP-017;GAP-018;GAP-019</v>
      </c>
      <c r="AM56" s="38" t="str">
        <v>Operations / Engineering / Procurement</v>
      </c>
      <c r="AN56" s="38" t="str">
        <v>Manual operation mapped to an existing work surface/inventory function.</v>
      </c>
      <c r="AO56" s="39" t="str">
        <v>Chef/Operations time the operation; Procurement supplies selected-model passport; Engineering confirms asset, placement and connections</v>
      </c>
    </row>
    <row r="57">
      <c r="A57" s="37" t="str">
        <v>EQM-0053</v>
      </c>
      <c r="B57" s="38" t="str">
        <v>VKM-009</v>
      </c>
      <c r="C57" s="38" t="str">
        <v>Буррата с томатами</v>
      </c>
      <c r="D57" s="38" t="str">
        <v>Салаты</v>
      </c>
      <c r="E57" s="38" t="str">
        <v>0.1.0-DRAFT</v>
      </c>
      <c r="F57" s="38" t="n">
        <v>3</v>
      </c>
      <c r="G57" s="38" t="str">
        <v>разместить буррату</v>
      </c>
      <c r="H57" s="38" t="str">
        <v>CLD-03;CLD-07</v>
      </c>
      <c r="I57" s="38" t="str">
        <v>Вторая рабочая поверхность;Весы, ножи, доски холодного участка</v>
      </c>
      <c r="J57" s="38" t="str">
        <v>CAPEX.CLD.003;CAPEX.CLD.007</v>
      </c>
      <c r="K57" s="38" t="str">
        <v>MANDATORY</v>
      </c>
      <c r="L57" s="38" t="str">
        <v>APPROVED_STRUCTURE</v>
      </c>
      <c r="M57" s="38" t="str">
        <v>COLD_PREP_ASSEMBLY</v>
      </c>
      <c r="N57" s="38"/>
      <c r="O57" s="38" t="str">
        <v>BLOCKED</v>
      </c>
      <c r="P57" s="38" t="str">
        <v>Only dish aggregate is available: active 8 min / total 10 min; no unsupported split by operation</v>
      </c>
      <c r="Q57" s="38" t="str">
        <v>CLD-03: ≥1200×700; CLD-07: Две рабочие позиции</v>
      </c>
      <c r="R57" s="38" t="str">
        <v>project design requirement</v>
      </c>
      <c r="S57" s="38" t="str">
        <v>PLANNED</v>
      </c>
      <c r="T57" s="38"/>
      <c r="U57" s="38"/>
      <c r="V57" s="38" t="str">
        <v>BLOCKED</v>
      </c>
      <c r="W57" s="38"/>
      <c r="X57" s="38" t="str">
        <v>BLOCKED_NOT_COMPARABLE</v>
      </c>
      <c r="Y57" s="38" t="str">
        <v>Recipe load cannot be compared to the project requirement without tray/form/GN/load and selected-model data</v>
      </c>
      <c r="Z57" s="38"/>
      <c r="AA57" s="38"/>
      <c r="AB57" s="38"/>
      <c r="AC57" s="38"/>
      <c r="AD57" s="38"/>
      <c r="AE57" s="38" t="str">
        <v>BLOCKED_NO_SELECTED_MODEL_PASSPORT</v>
      </c>
      <c r="AF57" s="38" t="str">
        <v>BLOCKED</v>
      </c>
      <c r="AG57" s="38" t="str">
        <v>BLOCKED</v>
      </c>
      <c r="AH57" s="38" t="str">
        <v>BLOCKED_SELECTED_MODEL_AND_SITE_VALIDATION</v>
      </c>
      <c r="AI57" s="38" t="str">
        <v>ESTIMATE</v>
      </c>
      <c r="AJ57" s="38" t="str">
        <v>EVD-0010;EVD-0021;EVD-0022;EVD-0023</v>
      </c>
      <c r="AK57" s="38" t="str">
        <v>2026-08-03</v>
      </c>
      <c r="AL57" s="38" t="str">
        <v>GAP-007;GAP-017;GAP-018;GAP-019</v>
      </c>
      <c r="AM57" s="38" t="str">
        <v>Operations / Engineering / Procurement</v>
      </c>
      <c r="AN57" s="38" t="str">
        <v>Manual operation mapped to an existing work surface/inventory function.</v>
      </c>
      <c r="AO57" s="39" t="str">
        <v>Chef/Operations time the operation; Procurement supplies selected-model passport; Engineering confirms asset, placement and connections</v>
      </c>
    </row>
    <row r="58">
      <c r="A58" s="37" t="str">
        <v>EQM-0054</v>
      </c>
      <c r="B58" s="38" t="str">
        <v>VKM-009</v>
      </c>
      <c r="C58" s="38" t="str">
        <v>Буррата с томатами</v>
      </c>
      <c r="D58" s="38" t="str">
        <v>Салаты</v>
      </c>
      <c r="E58" s="38" t="str">
        <v>0.1.0-DRAFT</v>
      </c>
      <c r="F58" s="38" t="n">
        <v>4</v>
      </c>
      <c r="G58" s="38" t="str">
        <v>собрать и финишировать</v>
      </c>
      <c r="H58" s="38" t="str">
        <v>CLD-03;CLD-07</v>
      </c>
      <c r="I58" s="38" t="str">
        <v>Вторая рабочая поверхность;Весы, ножи, доски холодного участка</v>
      </c>
      <c r="J58" s="38" t="str">
        <v>CAPEX.CLD.003;CAPEX.CLD.007</v>
      </c>
      <c r="K58" s="38" t="str">
        <v>MANDATORY</v>
      </c>
      <c r="L58" s="38" t="str">
        <v>APPROVED_STRUCTURE</v>
      </c>
      <c r="M58" s="38" t="str">
        <v>COLD_PREP_ASSEMBLY</v>
      </c>
      <c r="N58" s="38"/>
      <c r="O58" s="38" t="str">
        <v>BLOCKED</v>
      </c>
      <c r="P58" s="38" t="str">
        <v>Only dish aggregate is available: active 8 min / total 10 min; no unsupported split by operation</v>
      </c>
      <c r="Q58" s="38" t="str">
        <v>CLD-03: ≥1200×700; CLD-07: Две рабочие позиции</v>
      </c>
      <c r="R58" s="38" t="str">
        <v>project design requirement</v>
      </c>
      <c r="S58" s="38" t="str">
        <v>PLANNED</v>
      </c>
      <c r="T58" s="38"/>
      <c r="U58" s="38"/>
      <c r="V58" s="38" t="str">
        <v>BLOCKED</v>
      </c>
      <c r="W58" s="38"/>
      <c r="X58" s="38" t="str">
        <v>BLOCKED_NOT_COMPARABLE</v>
      </c>
      <c r="Y58" s="38" t="str">
        <v>Recipe load cannot be compared to the project requirement without tray/form/GN/load and selected-model data</v>
      </c>
      <c r="Z58" s="38"/>
      <c r="AA58" s="38"/>
      <c r="AB58" s="38"/>
      <c r="AC58" s="38"/>
      <c r="AD58" s="38"/>
      <c r="AE58" s="38" t="str">
        <v>BLOCKED_NO_SELECTED_MODEL_PASSPORT</v>
      </c>
      <c r="AF58" s="38" t="str">
        <v>BLOCKED</v>
      </c>
      <c r="AG58" s="38" t="str">
        <v>BLOCKED</v>
      </c>
      <c r="AH58" s="38" t="str">
        <v>BLOCKED_SELECTED_MODEL_AND_SITE_VALIDATION</v>
      </c>
      <c r="AI58" s="38" t="str">
        <v>ESTIMATE</v>
      </c>
      <c r="AJ58" s="38" t="str">
        <v>EVD-0010;EVD-0021;EVD-0022;EVD-0023</v>
      </c>
      <c r="AK58" s="38" t="str">
        <v>2026-08-03</v>
      </c>
      <c r="AL58" s="38" t="str">
        <v>GAP-007;GAP-017;GAP-018;GAP-019</v>
      </c>
      <c r="AM58" s="38" t="str">
        <v>Operations / Engineering / Procurement</v>
      </c>
      <c r="AN58" s="38" t="str">
        <v>Manual operation mapped to an existing work surface/inventory function.</v>
      </c>
      <c r="AO58" s="39" t="str">
        <v>Chef/Operations time the operation; Procurement supplies selected-model passport; Engineering confirms asset, placement and connections</v>
      </c>
    </row>
    <row r="59">
      <c r="A59" s="37" t="str">
        <v>EQM-0055</v>
      </c>
      <c r="B59" s="38" t="str">
        <v>VKM-010</v>
      </c>
      <c r="C59" s="38" t="str">
        <v>Микс-салат с креветками и яблоком</v>
      </c>
      <c r="D59" s="38" t="str">
        <v>Салаты</v>
      </c>
      <c r="E59" s="38" t="str">
        <v>0.1.0-DRAFT</v>
      </c>
      <c r="F59" s="38" t="n">
        <v>1</v>
      </c>
      <c r="G59" s="38" t="str">
        <v>Подготовить зелень, яблоко и огурец</v>
      </c>
      <c r="H59" s="38" t="str">
        <v>CLD-03;CLD-07</v>
      </c>
      <c r="I59" s="38" t="str">
        <v>Вторая рабочая поверхность;Весы, ножи, доски холодного участка</v>
      </c>
      <c r="J59" s="38" t="str">
        <v>CAPEX.CLD.003;CAPEX.CLD.007</v>
      </c>
      <c r="K59" s="38" t="str">
        <v>MANDATORY</v>
      </c>
      <c r="L59" s="38" t="str">
        <v>APPROVED_STRUCTURE</v>
      </c>
      <c r="M59" s="38" t="str">
        <v>COLD_PREP_ASSEMBLY</v>
      </c>
      <c r="N59" s="38"/>
      <c r="O59" s="38" t="str">
        <v>BLOCKED</v>
      </c>
      <c r="P59" s="38" t="str">
        <v>Only dish aggregate is available: active 12 min / total 18 min; no unsupported split by operation</v>
      </c>
      <c r="Q59" s="38" t="str">
        <v>CLD-03: ≥1200×700; CLD-07: Две рабочие позиции</v>
      </c>
      <c r="R59" s="38" t="str">
        <v>project design requirement</v>
      </c>
      <c r="S59" s="38" t="str">
        <v>PLANNED</v>
      </c>
      <c r="T59" s="38"/>
      <c r="U59" s="38"/>
      <c r="V59" s="38" t="str">
        <v>BLOCKED</v>
      </c>
      <c r="W59" s="38"/>
      <c r="X59" s="38" t="str">
        <v>BLOCKED_NOT_COMPARABLE</v>
      </c>
      <c r="Y59" s="38" t="str">
        <v>Recipe load cannot be compared to the project requirement without tray/form/GN/load and selected-model data</v>
      </c>
      <c r="Z59" s="38"/>
      <c r="AA59" s="38"/>
      <c r="AB59" s="38"/>
      <c r="AC59" s="38"/>
      <c r="AD59" s="38"/>
      <c r="AE59" s="38" t="str">
        <v>BLOCKED_NO_SELECTED_MODEL_PASSPORT</v>
      </c>
      <c r="AF59" s="38" t="str">
        <v>BLOCKED</v>
      </c>
      <c r="AG59" s="38" t="str">
        <v>BLOCKED</v>
      </c>
      <c r="AH59" s="38" t="str">
        <v>BLOCKED_SELECTED_MODEL_AND_SITE_VALIDATION</v>
      </c>
      <c r="AI59" s="38" t="str">
        <v>ESTIMATE</v>
      </c>
      <c r="AJ59" s="38" t="str">
        <v>EVD-0010;EVD-0021;EVD-0022;EVD-0023</v>
      </c>
      <c r="AK59" s="38" t="str">
        <v>2026-08-03</v>
      </c>
      <c r="AL59" s="38" t="str">
        <v>GAP-007;GAP-017;GAP-018;GAP-019</v>
      </c>
      <c r="AM59" s="38" t="str">
        <v>Operations / Engineering / Procurement</v>
      </c>
      <c r="AN59" s="38" t="str">
        <v>Manual operation mapped to an existing work surface/inventory function.</v>
      </c>
      <c r="AO59" s="39" t="str">
        <v>Chef/Operations time the operation; Procurement supplies selected-model passport; Engineering confirms asset, placement and connections</v>
      </c>
    </row>
    <row r="60">
      <c r="A60" s="37" t="str">
        <v>EQM-0056</v>
      </c>
      <c r="B60" s="38" t="str">
        <v>VKM-010</v>
      </c>
      <c r="C60" s="38" t="str">
        <v>Микс-салат с креветками и яблоком</v>
      </c>
      <c r="D60" s="38" t="str">
        <v>Салаты</v>
      </c>
      <c r="E60" s="38" t="str">
        <v>0.1.0-DRAFT</v>
      </c>
      <c r="F60" s="38" t="n">
        <v>2</v>
      </c>
      <c r="G60" s="38" t="str">
        <v>подготовить креветки</v>
      </c>
      <c r="H60" s="38" t="str">
        <v>CLD-03;CLD-07</v>
      </c>
      <c r="I60" s="38" t="str">
        <v>Вторая рабочая поверхность;Весы, ножи, доски холодного участка</v>
      </c>
      <c r="J60" s="38" t="str">
        <v>CAPEX.CLD.003;CAPEX.CLD.007</v>
      </c>
      <c r="K60" s="38" t="str">
        <v>MANDATORY</v>
      </c>
      <c r="L60" s="38" t="str">
        <v>APPROVED_STRUCTURE</v>
      </c>
      <c r="M60" s="38" t="str">
        <v>COLD_PREP_ASSEMBLY</v>
      </c>
      <c r="N60" s="38"/>
      <c r="O60" s="38" t="str">
        <v>BLOCKED</v>
      </c>
      <c r="P60" s="38" t="str">
        <v>Only dish aggregate is available: active 12 min / total 18 min; no unsupported split by operation</v>
      </c>
      <c r="Q60" s="38" t="str">
        <v>CLD-03: ≥1200×700; CLD-07: Две рабочие позиции</v>
      </c>
      <c r="R60" s="38" t="str">
        <v>project design requirement</v>
      </c>
      <c r="S60" s="38" t="str">
        <v>PLANNED</v>
      </c>
      <c r="T60" s="38"/>
      <c r="U60" s="38"/>
      <c r="V60" s="38" t="str">
        <v>BLOCKED</v>
      </c>
      <c r="W60" s="38"/>
      <c r="X60" s="38" t="str">
        <v>BLOCKED_NOT_COMPARABLE</v>
      </c>
      <c r="Y60" s="38" t="str">
        <v>Recipe load cannot be compared to the project requirement without tray/form/GN/load and selected-model data</v>
      </c>
      <c r="Z60" s="38"/>
      <c r="AA60" s="38"/>
      <c r="AB60" s="38"/>
      <c r="AC60" s="38"/>
      <c r="AD60" s="38"/>
      <c r="AE60" s="38" t="str">
        <v>BLOCKED_NO_SELECTED_MODEL_PASSPORT</v>
      </c>
      <c r="AF60" s="38" t="str">
        <v>BLOCKED</v>
      </c>
      <c r="AG60" s="38" t="str">
        <v>BLOCKED</v>
      </c>
      <c r="AH60" s="38" t="str">
        <v>BLOCKED_SELECTED_MODEL_AND_SITE_VALIDATION</v>
      </c>
      <c r="AI60" s="38" t="str">
        <v>ESTIMATE</v>
      </c>
      <c r="AJ60" s="38" t="str">
        <v>EVD-0010;EVD-0021;EVD-0022;EVD-0023</v>
      </c>
      <c r="AK60" s="38" t="str">
        <v>2026-08-03</v>
      </c>
      <c r="AL60" s="38" t="str">
        <v>GAP-007;GAP-017;GAP-018;GAP-019</v>
      </c>
      <c r="AM60" s="38" t="str">
        <v>Operations / Engineering / Procurement</v>
      </c>
      <c r="AN60" s="38" t="str">
        <v>Manual operation mapped to an existing work surface/inventory function.</v>
      </c>
      <c r="AO60" s="39" t="str">
        <v>Chef/Operations time the operation; Procurement supplies selected-model passport; Engineering confirms asset, placement and connections</v>
      </c>
    </row>
    <row r="61">
      <c r="A61" s="37" t="str">
        <v>EQM-0057</v>
      </c>
      <c r="B61" s="38" t="str">
        <v>VKM-010</v>
      </c>
      <c r="C61" s="38" t="str">
        <v>Микс-салат с креветками и яблоком</v>
      </c>
      <c r="D61" s="38" t="str">
        <v>Салаты</v>
      </c>
      <c r="E61" s="38" t="str">
        <v>0.1.0-DRAFT</v>
      </c>
      <c r="F61" s="38" t="n">
        <v>3</v>
      </c>
      <c r="G61" s="38" t="str">
        <v>смешать заправку</v>
      </c>
      <c r="H61" s="38" t="str">
        <v>CLD-03;CLD-07</v>
      </c>
      <c r="I61" s="38" t="str">
        <v>Вторая рабочая поверхность;Весы, ножи, доски холодного участка</v>
      </c>
      <c r="J61" s="38" t="str">
        <v>CAPEX.CLD.003;CAPEX.CLD.007</v>
      </c>
      <c r="K61" s="38" t="str">
        <v>MANDATORY</v>
      </c>
      <c r="L61" s="38" t="str">
        <v>APPROVED_STRUCTURE</v>
      </c>
      <c r="M61" s="38" t="str">
        <v>COLD_PREP_ASSEMBLY</v>
      </c>
      <c r="N61" s="38"/>
      <c r="O61" s="38" t="str">
        <v>BLOCKED</v>
      </c>
      <c r="P61" s="38" t="str">
        <v>Only dish aggregate is available: active 12 min / total 18 min; no unsupported split by operation</v>
      </c>
      <c r="Q61" s="38" t="str">
        <v>CLD-03: ≥1200×700; CLD-07: Две рабочие позиции</v>
      </c>
      <c r="R61" s="38" t="str">
        <v>project design requirement</v>
      </c>
      <c r="S61" s="38" t="str">
        <v>PLANNED</v>
      </c>
      <c r="T61" s="38"/>
      <c r="U61" s="38"/>
      <c r="V61" s="38" t="str">
        <v>BLOCKED</v>
      </c>
      <c r="W61" s="38"/>
      <c r="X61" s="38" t="str">
        <v>BLOCKED_NOT_COMPARABLE</v>
      </c>
      <c r="Y61" s="38" t="str">
        <v>Recipe load cannot be compared to the project requirement without tray/form/GN/load and selected-model data</v>
      </c>
      <c r="Z61" s="38"/>
      <c r="AA61" s="38"/>
      <c r="AB61" s="38"/>
      <c r="AC61" s="38"/>
      <c r="AD61" s="38"/>
      <c r="AE61" s="38" t="str">
        <v>BLOCKED_NO_SELECTED_MODEL_PASSPORT</v>
      </c>
      <c r="AF61" s="38" t="str">
        <v>BLOCKED</v>
      </c>
      <c r="AG61" s="38" t="str">
        <v>BLOCKED</v>
      </c>
      <c r="AH61" s="38" t="str">
        <v>BLOCKED_SELECTED_MODEL_AND_SITE_VALIDATION</v>
      </c>
      <c r="AI61" s="38" t="str">
        <v>ESTIMATE</v>
      </c>
      <c r="AJ61" s="38" t="str">
        <v>EVD-0010;EVD-0021;EVD-0022;EVD-0023</v>
      </c>
      <c r="AK61" s="38" t="str">
        <v>2026-08-03</v>
      </c>
      <c r="AL61" s="38" t="str">
        <v>GAP-007;GAP-017;GAP-018;GAP-019</v>
      </c>
      <c r="AM61" s="38" t="str">
        <v>Operations / Engineering / Procurement</v>
      </c>
      <c r="AN61" s="38" t="str">
        <v>Manual operation mapped to an existing work surface/inventory function.</v>
      </c>
      <c r="AO61" s="39" t="str">
        <v>Chef/Operations time the operation; Procurement supplies selected-model passport; Engineering confirms asset, placement and connections</v>
      </c>
    </row>
    <row r="62">
      <c r="A62" s="37" t="str">
        <v>EQM-0058</v>
      </c>
      <c r="B62" s="38" t="str">
        <v>VKM-010</v>
      </c>
      <c r="C62" s="38" t="str">
        <v>Микс-салат с креветками и яблоком</v>
      </c>
      <c r="D62" s="38" t="str">
        <v>Салаты</v>
      </c>
      <c r="E62" s="38" t="str">
        <v>0.1.0-DRAFT</v>
      </c>
      <c r="F62" s="38" t="n">
        <v>4</v>
      </c>
      <c r="G62" s="38" t="str">
        <v>аккуратно собрать</v>
      </c>
      <c r="H62" s="38" t="str">
        <v>CLD-03;CLD-07</v>
      </c>
      <c r="I62" s="38" t="str">
        <v>Вторая рабочая поверхность;Весы, ножи, доски холодного участка</v>
      </c>
      <c r="J62" s="38" t="str">
        <v>CAPEX.CLD.003;CAPEX.CLD.007</v>
      </c>
      <c r="K62" s="38" t="str">
        <v>MANDATORY</v>
      </c>
      <c r="L62" s="38" t="str">
        <v>APPROVED_STRUCTURE</v>
      </c>
      <c r="M62" s="38" t="str">
        <v>COLD_PREP_ASSEMBLY</v>
      </c>
      <c r="N62" s="38"/>
      <c r="O62" s="38" t="str">
        <v>BLOCKED</v>
      </c>
      <c r="P62" s="38" t="str">
        <v>Only dish aggregate is available: active 12 min / total 18 min; no unsupported split by operation</v>
      </c>
      <c r="Q62" s="38" t="str">
        <v>CLD-03: ≥1200×700; CLD-07: Две рабочие позиции</v>
      </c>
      <c r="R62" s="38" t="str">
        <v>project design requirement</v>
      </c>
      <c r="S62" s="38" t="str">
        <v>PLANNED</v>
      </c>
      <c r="T62" s="38"/>
      <c r="U62" s="38"/>
      <c r="V62" s="38" t="str">
        <v>BLOCKED</v>
      </c>
      <c r="W62" s="38"/>
      <c r="X62" s="38" t="str">
        <v>BLOCKED_NOT_COMPARABLE</v>
      </c>
      <c r="Y62" s="38" t="str">
        <v>Recipe load cannot be compared to the project requirement without tray/form/GN/load and selected-model data</v>
      </c>
      <c r="Z62" s="38"/>
      <c r="AA62" s="38"/>
      <c r="AB62" s="38"/>
      <c r="AC62" s="38"/>
      <c r="AD62" s="38"/>
      <c r="AE62" s="38" t="str">
        <v>BLOCKED_NO_SELECTED_MODEL_PASSPORT</v>
      </c>
      <c r="AF62" s="38" t="str">
        <v>BLOCKED</v>
      </c>
      <c r="AG62" s="38" t="str">
        <v>BLOCKED</v>
      </c>
      <c r="AH62" s="38" t="str">
        <v>BLOCKED_SELECTED_MODEL_AND_SITE_VALIDATION</v>
      </c>
      <c r="AI62" s="38" t="str">
        <v>ESTIMATE</v>
      </c>
      <c r="AJ62" s="38" t="str">
        <v>EVD-0010;EVD-0021;EVD-0022;EVD-0023</v>
      </c>
      <c r="AK62" s="38" t="str">
        <v>2026-08-03</v>
      </c>
      <c r="AL62" s="38" t="str">
        <v>GAP-007;GAP-017;GAP-018;GAP-019</v>
      </c>
      <c r="AM62" s="38" t="str">
        <v>Operations / Engineering / Procurement</v>
      </c>
      <c r="AN62" s="38" t="str">
        <v>Manual operation mapped to an existing work surface/inventory function.</v>
      </c>
      <c r="AO62" s="39" t="str">
        <v>Chef/Operations time the operation; Procurement supplies selected-model passport; Engineering confirms asset, placement and connections</v>
      </c>
    </row>
    <row r="63">
      <c r="A63" s="37" t="str">
        <v>EQM-0059</v>
      </c>
      <c r="B63" s="38" t="str">
        <v>VKM-010</v>
      </c>
      <c r="C63" s="38" t="str">
        <v>Микс-салат с креветками и яблоком</v>
      </c>
      <c r="D63" s="38" t="str">
        <v>Салаты</v>
      </c>
      <c r="E63" s="38" t="str">
        <v>0.1.0-DRAFT</v>
      </c>
      <c r="F63" s="38" t="n">
        <v>5</v>
      </c>
      <c r="G63" s="38" t="str">
        <v>добавить финиш</v>
      </c>
      <c r="H63" s="38" t="str">
        <v>CLD-03;CLD-07</v>
      </c>
      <c r="I63" s="38" t="str">
        <v>Вторая рабочая поверхность;Весы, ножи, доски холодного участка</v>
      </c>
      <c r="J63" s="38" t="str">
        <v>CAPEX.CLD.003;CAPEX.CLD.007</v>
      </c>
      <c r="K63" s="38" t="str">
        <v>MANDATORY</v>
      </c>
      <c r="L63" s="38" t="str">
        <v>APPROVED_STRUCTURE</v>
      </c>
      <c r="M63" s="38" t="str">
        <v>COLD_PREP_ASSEMBLY</v>
      </c>
      <c r="N63" s="38"/>
      <c r="O63" s="38" t="str">
        <v>BLOCKED</v>
      </c>
      <c r="P63" s="38" t="str">
        <v>Only dish aggregate is available: active 12 min / total 18 min; no unsupported split by operation</v>
      </c>
      <c r="Q63" s="38" t="str">
        <v>CLD-03: ≥1200×700; CLD-07: Две рабочие позиции</v>
      </c>
      <c r="R63" s="38" t="str">
        <v>project design requirement</v>
      </c>
      <c r="S63" s="38" t="str">
        <v>PLANNED</v>
      </c>
      <c r="T63" s="38"/>
      <c r="U63" s="38"/>
      <c r="V63" s="38" t="str">
        <v>BLOCKED</v>
      </c>
      <c r="W63" s="38"/>
      <c r="X63" s="38" t="str">
        <v>BLOCKED_NOT_COMPARABLE</v>
      </c>
      <c r="Y63" s="38" t="str">
        <v>Recipe load cannot be compared to the project requirement without tray/form/GN/load and selected-model data</v>
      </c>
      <c r="Z63" s="38"/>
      <c r="AA63" s="38"/>
      <c r="AB63" s="38"/>
      <c r="AC63" s="38"/>
      <c r="AD63" s="38"/>
      <c r="AE63" s="38" t="str">
        <v>BLOCKED_NO_SELECTED_MODEL_PASSPORT</v>
      </c>
      <c r="AF63" s="38" t="str">
        <v>BLOCKED</v>
      </c>
      <c r="AG63" s="38" t="str">
        <v>BLOCKED</v>
      </c>
      <c r="AH63" s="38" t="str">
        <v>BLOCKED_SELECTED_MODEL_AND_SITE_VALIDATION</v>
      </c>
      <c r="AI63" s="38" t="str">
        <v>ESTIMATE</v>
      </c>
      <c r="AJ63" s="38" t="str">
        <v>EVD-0010;EVD-0021;EVD-0022;EVD-0023</v>
      </c>
      <c r="AK63" s="38" t="str">
        <v>2026-08-03</v>
      </c>
      <c r="AL63" s="38" t="str">
        <v>GAP-007;GAP-017;GAP-018;GAP-019</v>
      </c>
      <c r="AM63" s="38" t="str">
        <v>Operations / Engineering / Procurement</v>
      </c>
      <c r="AN63" s="38" t="str">
        <v>Manual operation mapped to an existing work surface/inventory function.</v>
      </c>
      <c r="AO63" s="39" t="str">
        <v>Chef/Operations time the operation; Procurement supplies selected-model passport; Engineering confirms asset, placement and connections</v>
      </c>
    </row>
    <row r="64">
      <c r="A64" s="37" t="str">
        <v>EQM-0060</v>
      </c>
      <c r="B64" s="38" t="str">
        <v>VKM-011</v>
      </c>
      <c r="C64" s="38" t="str">
        <v>Греческий</v>
      </c>
      <c r="D64" s="38" t="str">
        <v>Салаты</v>
      </c>
      <c r="E64" s="38" t="str">
        <v>0.1.0-DRAFT</v>
      </c>
      <c r="F64" s="38" t="n">
        <v>1</v>
      </c>
      <c r="G64" s="38" t="str">
        <v>Нарезать овощи</v>
      </c>
      <c r="H64" s="38" t="str">
        <v>CLD-03;CLD-07</v>
      </c>
      <c r="I64" s="38" t="str">
        <v>Вторая рабочая поверхность;Весы, ножи, доски холодного участка</v>
      </c>
      <c r="J64" s="38" t="str">
        <v>CAPEX.CLD.003;CAPEX.CLD.007</v>
      </c>
      <c r="K64" s="38" t="str">
        <v>MANDATORY</v>
      </c>
      <c r="L64" s="38" t="str">
        <v>APPROVED_STRUCTURE</v>
      </c>
      <c r="M64" s="38" t="str">
        <v>COLD_PREP_ASSEMBLY</v>
      </c>
      <c r="N64" s="38"/>
      <c r="O64" s="38" t="str">
        <v>BLOCKED</v>
      </c>
      <c r="P64" s="38" t="str">
        <v>Only dish aggregate is available: active 10 min / total 12 min; no unsupported split by operation</v>
      </c>
      <c r="Q64" s="38" t="str">
        <v>CLD-03: ≥1200×700; CLD-07: Две рабочие позиции</v>
      </c>
      <c r="R64" s="38" t="str">
        <v>project design requirement</v>
      </c>
      <c r="S64" s="38" t="str">
        <v>PLANNED</v>
      </c>
      <c r="T64" s="38"/>
      <c r="U64" s="38"/>
      <c r="V64" s="38" t="str">
        <v>BLOCKED</v>
      </c>
      <c r="W64" s="38"/>
      <c r="X64" s="38" t="str">
        <v>BLOCKED_NOT_COMPARABLE</v>
      </c>
      <c r="Y64" s="38" t="str">
        <v>Recipe load cannot be compared to the project requirement without tray/form/GN/load and selected-model data</v>
      </c>
      <c r="Z64" s="38"/>
      <c r="AA64" s="38"/>
      <c r="AB64" s="38"/>
      <c r="AC64" s="38"/>
      <c r="AD64" s="38"/>
      <c r="AE64" s="38" t="str">
        <v>BLOCKED_NO_SELECTED_MODEL_PASSPORT</v>
      </c>
      <c r="AF64" s="38" t="str">
        <v>BLOCKED</v>
      </c>
      <c r="AG64" s="38" t="str">
        <v>BLOCKED</v>
      </c>
      <c r="AH64" s="38" t="str">
        <v>BLOCKED_SELECTED_MODEL_AND_SITE_VALIDATION</v>
      </c>
      <c r="AI64" s="38" t="str">
        <v>ESTIMATE</v>
      </c>
      <c r="AJ64" s="38" t="str">
        <v>EVD-0010;EVD-0021;EVD-0022;EVD-0023</v>
      </c>
      <c r="AK64" s="38" t="str">
        <v>2026-08-03</v>
      </c>
      <c r="AL64" s="38" t="str">
        <v>GAP-007;GAP-017;GAP-018;GAP-019</v>
      </c>
      <c r="AM64" s="38" t="str">
        <v>Operations / Engineering / Procurement</v>
      </c>
      <c r="AN64" s="38" t="str">
        <v>Manual baseline; CLD-08/CLD-09 remain conditional until the applicable timing gate.</v>
      </c>
      <c r="AO64" s="39" t="str">
        <v>Chef/Operations time the operation; Procurement supplies selected-model passport; Engineering confirms asset, placement and connections</v>
      </c>
    </row>
    <row r="65">
      <c r="A65" s="37" t="str">
        <v>EQM-0061</v>
      </c>
      <c r="B65" s="38" t="str">
        <v>VKM-011</v>
      </c>
      <c r="C65" s="38" t="str">
        <v>Греческий</v>
      </c>
      <c r="D65" s="38" t="str">
        <v>Салаты</v>
      </c>
      <c r="E65" s="38" t="str">
        <v>0.1.0-DRAFT</v>
      </c>
      <c r="F65" s="38" t="n">
        <v>2</v>
      </c>
      <c r="G65" s="38" t="str">
        <v>подготовить фету и оливки</v>
      </c>
      <c r="H65" s="38" t="str">
        <v>CLD-03;CLD-07</v>
      </c>
      <c r="I65" s="38" t="str">
        <v>Вторая рабочая поверхность;Весы, ножи, доски холодного участка</v>
      </c>
      <c r="J65" s="38" t="str">
        <v>CAPEX.CLD.003;CAPEX.CLD.007</v>
      </c>
      <c r="K65" s="38" t="str">
        <v>MANDATORY</v>
      </c>
      <c r="L65" s="38" t="str">
        <v>APPROVED_STRUCTURE</v>
      </c>
      <c r="M65" s="38" t="str">
        <v>COLD_PREP_ASSEMBLY</v>
      </c>
      <c r="N65" s="38"/>
      <c r="O65" s="38" t="str">
        <v>BLOCKED</v>
      </c>
      <c r="P65" s="38" t="str">
        <v>Only dish aggregate is available: active 10 min / total 12 min; no unsupported split by operation</v>
      </c>
      <c r="Q65" s="38" t="str">
        <v>CLD-03: ≥1200×700; CLD-07: Две рабочие позиции</v>
      </c>
      <c r="R65" s="38" t="str">
        <v>project design requirement</v>
      </c>
      <c r="S65" s="38" t="str">
        <v>PLANNED</v>
      </c>
      <c r="T65" s="38"/>
      <c r="U65" s="38"/>
      <c r="V65" s="38" t="str">
        <v>BLOCKED</v>
      </c>
      <c r="W65" s="38"/>
      <c r="X65" s="38" t="str">
        <v>BLOCKED_NOT_COMPARABLE</v>
      </c>
      <c r="Y65" s="38" t="str">
        <v>Recipe load cannot be compared to the project requirement without tray/form/GN/load and selected-model data</v>
      </c>
      <c r="Z65" s="38"/>
      <c r="AA65" s="38"/>
      <c r="AB65" s="38"/>
      <c r="AC65" s="38"/>
      <c r="AD65" s="38"/>
      <c r="AE65" s="38" t="str">
        <v>BLOCKED_NO_SELECTED_MODEL_PASSPORT</v>
      </c>
      <c r="AF65" s="38" t="str">
        <v>BLOCKED</v>
      </c>
      <c r="AG65" s="38" t="str">
        <v>BLOCKED</v>
      </c>
      <c r="AH65" s="38" t="str">
        <v>BLOCKED_SELECTED_MODEL_AND_SITE_VALIDATION</v>
      </c>
      <c r="AI65" s="38" t="str">
        <v>ESTIMATE</v>
      </c>
      <c r="AJ65" s="38" t="str">
        <v>EVD-0010;EVD-0021;EVD-0022;EVD-0023</v>
      </c>
      <c r="AK65" s="38" t="str">
        <v>2026-08-03</v>
      </c>
      <c r="AL65" s="38" t="str">
        <v>GAP-007;GAP-017;GAP-018;GAP-019</v>
      </c>
      <c r="AM65" s="38" t="str">
        <v>Operations / Engineering / Procurement</v>
      </c>
      <c r="AN65" s="38" t="str">
        <v>Manual operation mapped to an existing work surface/inventory function.</v>
      </c>
      <c r="AO65" s="39" t="str">
        <v>Chef/Operations time the operation; Procurement supplies selected-model passport; Engineering confirms asset, placement and connections</v>
      </c>
    </row>
    <row r="66">
      <c r="A66" s="37" t="str">
        <v>EQM-0062</v>
      </c>
      <c r="B66" s="38" t="str">
        <v>VKM-011</v>
      </c>
      <c r="C66" s="38" t="str">
        <v>Греческий</v>
      </c>
      <c r="D66" s="38" t="str">
        <v>Салаты</v>
      </c>
      <c r="E66" s="38" t="str">
        <v>0.1.0-DRAFT</v>
      </c>
      <c r="F66" s="38" t="n">
        <v>3</v>
      </c>
      <c r="G66" s="38" t="str">
        <v>смешать заправку</v>
      </c>
      <c r="H66" s="38" t="str">
        <v>CLD-03;CLD-07</v>
      </c>
      <c r="I66" s="38" t="str">
        <v>Вторая рабочая поверхность;Весы, ножи, доски холодного участка</v>
      </c>
      <c r="J66" s="38" t="str">
        <v>CAPEX.CLD.003;CAPEX.CLD.007</v>
      </c>
      <c r="K66" s="38" t="str">
        <v>MANDATORY</v>
      </c>
      <c r="L66" s="38" t="str">
        <v>APPROVED_STRUCTURE</v>
      </c>
      <c r="M66" s="38" t="str">
        <v>COLD_PREP_ASSEMBLY</v>
      </c>
      <c r="N66" s="38"/>
      <c r="O66" s="38" t="str">
        <v>BLOCKED</v>
      </c>
      <c r="P66" s="38" t="str">
        <v>Only dish aggregate is available: active 10 min / total 12 min; no unsupported split by operation</v>
      </c>
      <c r="Q66" s="38" t="str">
        <v>CLD-03: ≥1200×700; CLD-07: Две рабочие позиции</v>
      </c>
      <c r="R66" s="38" t="str">
        <v>project design requirement</v>
      </c>
      <c r="S66" s="38" t="str">
        <v>PLANNED</v>
      </c>
      <c r="T66" s="38"/>
      <c r="U66" s="38"/>
      <c r="V66" s="38" t="str">
        <v>BLOCKED</v>
      </c>
      <c r="W66" s="38"/>
      <c r="X66" s="38" t="str">
        <v>BLOCKED_NOT_COMPARABLE</v>
      </c>
      <c r="Y66" s="38" t="str">
        <v>Recipe load cannot be compared to the project requirement without tray/form/GN/load and selected-model data</v>
      </c>
      <c r="Z66" s="38"/>
      <c r="AA66" s="38"/>
      <c r="AB66" s="38"/>
      <c r="AC66" s="38"/>
      <c r="AD66" s="38"/>
      <c r="AE66" s="38" t="str">
        <v>BLOCKED_NO_SELECTED_MODEL_PASSPORT</v>
      </c>
      <c r="AF66" s="38" t="str">
        <v>BLOCKED</v>
      </c>
      <c r="AG66" s="38" t="str">
        <v>BLOCKED</v>
      </c>
      <c r="AH66" s="38" t="str">
        <v>BLOCKED_SELECTED_MODEL_AND_SITE_VALIDATION</v>
      </c>
      <c r="AI66" s="38" t="str">
        <v>ESTIMATE</v>
      </c>
      <c r="AJ66" s="38" t="str">
        <v>EVD-0010;EVD-0021;EVD-0022;EVD-0023</v>
      </c>
      <c r="AK66" s="38" t="str">
        <v>2026-08-03</v>
      </c>
      <c r="AL66" s="38" t="str">
        <v>GAP-007;GAP-017;GAP-018;GAP-019</v>
      </c>
      <c r="AM66" s="38" t="str">
        <v>Operations / Engineering / Procurement</v>
      </c>
      <c r="AN66" s="38" t="str">
        <v>Manual operation mapped to an existing work surface/inventory function.</v>
      </c>
      <c r="AO66" s="39" t="str">
        <v>Chef/Operations time the operation; Procurement supplies selected-model passport; Engineering confirms asset, placement and connections</v>
      </c>
    </row>
    <row r="67">
      <c r="A67" s="37" t="str">
        <v>EQM-0063</v>
      </c>
      <c r="B67" s="38" t="str">
        <v>VKM-011</v>
      </c>
      <c r="C67" s="38" t="str">
        <v>Греческий</v>
      </c>
      <c r="D67" s="38" t="str">
        <v>Салаты</v>
      </c>
      <c r="E67" s="38" t="str">
        <v>0.1.0-DRAFT</v>
      </c>
      <c r="F67" s="38" t="n">
        <v>4</v>
      </c>
      <c r="G67" s="38" t="str">
        <v>собрать без излишнего перемешивания</v>
      </c>
      <c r="H67" s="38" t="str">
        <v>CLD-03;CLD-07</v>
      </c>
      <c r="I67" s="38" t="str">
        <v>Вторая рабочая поверхность;Весы, ножи, доски холодного участка</v>
      </c>
      <c r="J67" s="38" t="str">
        <v>CAPEX.CLD.003;CAPEX.CLD.007</v>
      </c>
      <c r="K67" s="38" t="str">
        <v>MANDATORY</v>
      </c>
      <c r="L67" s="38" t="str">
        <v>APPROVED_STRUCTURE</v>
      </c>
      <c r="M67" s="38" t="str">
        <v>COLD_PREP_ASSEMBLY</v>
      </c>
      <c r="N67" s="38"/>
      <c r="O67" s="38" t="str">
        <v>BLOCKED</v>
      </c>
      <c r="P67" s="38" t="str">
        <v>Only dish aggregate is available: active 10 min / total 12 min; no unsupported split by operation</v>
      </c>
      <c r="Q67" s="38" t="str">
        <v>CLD-03: ≥1200×700; CLD-07: Две рабочие позиции</v>
      </c>
      <c r="R67" s="38" t="str">
        <v>project design requirement</v>
      </c>
      <c r="S67" s="38" t="str">
        <v>PLANNED</v>
      </c>
      <c r="T67" s="38"/>
      <c r="U67" s="38"/>
      <c r="V67" s="38" t="str">
        <v>BLOCKED</v>
      </c>
      <c r="W67" s="38"/>
      <c r="X67" s="38" t="str">
        <v>BLOCKED_NOT_COMPARABLE</v>
      </c>
      <c r="Y67" s="38" t="str">
        <v>Recipe load cannot be compared to the project requirement without tray/form/GN/load and selected-model data</v>
      </c>
      <c r="Z67" s="38"/>
      <c r="AA67" s="38"/>
      <c r="AB67" s="38"/>
      <c r="AC67" s="38"/>
      <c r="AD67" s="38"/>
      <c r="AE67" s="38" t="str">
        <v>BLOCKED_NO_SELECTED_MODEL_PASSPORT</v>
      </c>
      <c r="AF67" s="38" t="str">
        <v>BLOCKED</v>
      </c>
      <c r="AG67" s="38" t="str">
        <v>BLOCKED</v>
      </c>
      <c r="AH67" s="38" t="str">
        <v>BLOCKED_SELECTED_MODEL_AND_SITE_VALIDATION</v>
      </c>
      <c r="AI67" s="38" t="str">
        <v>ESTIMATE</v>
      </c>
      <c r="AJ67" s="38" t="str">
        <v>EVD-0010;EVD-0021;EVD-0022;EVD-0023</v>
      </c>
      <c r="AK67" s="38" t="str">
        <v>2026-08-03</v>
      </c>
      <c r="AL67" s="38" t="str">
        <v>GAP-007;GAP-017;GAP-018;GAP-019</v>
      </c>
      <c r="AM67" s="38" t="str">
        <v>Operations / Engineering / Procurement</v>
      </c>
      <c r="AN67" s="38" t="str">
        <v>Manual operation mapped to an existing work surface/inventory function.</v>
      </c>
      <c r="AO67" s="39" t="str">
        <v>Chef/Operations time the operation; Procurement supplies selected-model passport; Engineering confirms asset, placement and connections</v>
      </c>
    </row>
    <row r="68">
      <c r="A68" s="37" t="str">
        <v>EQM-0064</v>
      </c>
      <c r="B68" s="38" t="str">
        <v>VKM-012</v>
      </c>
      <c r="C68" s="38" t="str">
        <v>Винегрет</v>
      </c>
      <c r="D68" s="38" t="str">
        <v>Салаты</v>
      </c>
      <c r="E68" s="38" t="str">
        <v>0.1.0-DRAFT</v>
      </c>
      <c r="F68" s="38" t="n">
        <v>1</v>
      </c>
      <c r="G68" s="38" t="str">
        <v>Подготовить варёные овощи</v>
      </c>
      <c r="H68" s="38" t="str">
        <v>CLD-03;CLD-07</v>
      </c>
      <c r="I68" s="38" t="str">
        <v>Вторая рабочая поверхность;Весы, ножи, доски холодного участка</v>
      </c>
      <c r="J68" s="38" t="str">
        <v>CAPEX.CLD.003;CAPEX.CLD.007</v>
      </c>
      <c r="K68" s="38" t="str">
        <v>MANDATORY</v>
      </c>
      <c r="L68" s="38" t="str">
        <v>APPROVED_STRUCTURE</v>
      </c>
      <c r="M68" s="38" t="str">
        <v>COLD_PREP_ASSEMBLY</v>
      </c>
      <c r="N68" s="38"/>
      <c r="O68" s="38" t="str">
        <v>BLOCKED</v>
      </c>
      <c r="P68" s="38" t="str">
        <v>Only dish aggregate is available: active 18 min / total 90 min; no unsupported split by operation</v>
      </c>
      <c r="Q68" s="38" t="str">
        <v>CLD-03: ≥1200×700; CLD-07: Две рабочие позиции</v>
      </c>
      <c r="R68" s="38" t="str">
        <v>project design requirement</v>
      </c>
      <c r="S68" s="38" t="str">
        <v>PLANNED</v>
      </c>
      <c r="T68" s="38"/>
      <c r="U68" s="38"/>
      <c r="V68" s="38" t="str">
        <v>BLOCKED</v>
      </c>
      <c r="W68" s="38"/>
      <c r="X68" s="38" t="str">
        <v>BLOCKED_NOT_COMPARABLE</v>
      </c>
      <c r="Y68" s="38" t="str">
        <v>Recipe load cannot be compared to the project requirement without tray/form/GN/load and selected-model data</v>
      </c>
      <c r="Z68" s="38"/>
      <c r="AA68" s="38"/>
      <c r="AB68" s="38"/>
      <c r="AC68" s="38"/>
      <c r="AD68" s="38"/>
      <c r="AE68" s="38" t="str">
        <v>BLOCKED_NO_SELECTED_MODEL_PASSPORT</v>
      </c>
      <c r="AF68" s="38" t="str">
        <v>BLOCKED</v>
      </c>
      <c r="AG68" s="38" t="str">
        <v>BLOCKED</v>
      </c>
      <c r="AH68" s="38" t="str">
        <v>BLOCKED_SELECTED_MODEL_AND_SITE_VALIDATION</v>
      </c>
      <c r="AI68" s="38" t="str">
        <v>ESTIMATE</v>
      </c>
      <c r="AJ68" s="38" t="str">
        <v>EVD-0010;EVD-0021;EVD-0022;EVD-0023</v>
      </c>
      <c r="AK68" s="38" t="str">
        <v>2026-08-03</v>
      </c>
      <c r="AL68" s="38" t="str">
        <v>GAP-007;GAP-017;GAP-018;GAP-019</v>
      </c>
      <c r="AM68" s="38" t="str">
        <v>Operations / Engineering / Procurement</v>
      </c>
      <c r="AN68" s="38" t="str">
        <v>Manual operation mapped to an existing work surface/inventory function.</v>
      </c>
      <c r="AO68" s="39" t="str">
        <v>Chef/Operations time the operation; Procurement supplies selected-model passport; Engineering confirms asset, placement and connections</v>
      </c>
    </row>
    <row r="69">
      <c r="A69" s="37" t="str">
        <v>EQM-0065</v>
      </c>
      <c r="B69" s="38" t="str">
        <v>VKM-012</v>
      </c>
      <c r="C69" s="38" t="str">
        <v>Винегрет</v>
      </c>
      <c r="D69" s="38" t="str">
        <v>Салаты</v>
      </c>
      <c r="E69" s="38" t="str">
        <v>0.1.0-DRAFT</v>
      </c>
      <c r="F69" s="38" t="n">
        <v>2</v>
      </c>
      <c r="G69" s="38" t="str">
        <v>охладить</v>
      </c>
      <c r="H69" s="38" t="str">
        <v>HOT-09;STO-10</v>
      </c>
      <c r="I69" s="38" t="str">
        <v>Шкаф интенсивного охлаждения;Готовые полуфабрикаты</v>
      </c>
      <c r="J69" s="38" t="str">
        <v>CAPEX.HOT.010;CAPEX.STO.010</v>
      </c>
      <c r="K69" s="38" t="str">
        <v>MANDATORY</v>
      </c>
      <c r="L69" s="38" t="str">
        <v>APPROVED_STRUCTURE</v>
      </c>
      <c r="M69" s="38" t="str">
        <v>COOLING_HOLDING</v>
      </c>
      <c r="N69" s="38"/>
      <c r="O69" s="38" t="str">
        <v>BLOCKED</v>
      </c>
      <c r="P69" s="38" t="str">
        <v>Only dish aggregate is available: active 18 min / total 90 min; no unsupported split by operation</v>
      </c>
      <c r="Q69" s="38" t="str">
        <v>HOT-09: ≥10 кг/цикл; STO-10: Раздельное хранение</v>
      </c>
      <c r="R69" s="38" t="str">
        <v>project design requirement</v>
      </c>
      <c r="S69" s="38" t="str">
        <v>PLANNED</v>
      </c>
      <c r="T69" s="38"/>
      <c r="U69" s="38"/>
      <c r="V69" s="38" t="str">
        <v>BLOCKED</v>
      </c>
      <c r="W69" s="38"/>
      <c r="X69" s="38" t="str">
        <v>BLOCKED_NOT_COMPARABLE</v>
      </c>
      <c r="Y69" s="38" t="str">
        <v>Recipe load cannot be compared to the project requirement without tray/form/GN/load and selected-model data</v>
      </c>
      <c r="Z69" s="38"/>
      <c r="AA69" s="38"/>
      <c r="AB69" s="38"/>
      <c r="AC69" s="38"/>
      <c r="AD69" s="38"/>
      <c r="AE69" s="38" t="str">
        <v>BLOCKED_NO_SELECTED_MODEL_PASSPORT</v>
      </c>
      <c r="AF69" s="38" t="str">
        <v>BLOCKED</v>
      </c>
      <c r="AG69" s="38" t="str">
        <v>BLOCKED</v>
      </c>
      <c r="AH69" s="38" t="str">
        <v>BLOCKED_SELECTED_MODEL_AND_SITE_VALIDATION</v>
      </c>
      <c r="AI69" s="38" t="str">
        <v>ESTIMATE</v>
      </c>
      <c r="AJ69" s="38" t="str">
        <v>EVD-0010;EVD-0021;EVD-0022;EVD-0023</v>
      </c>
      <c r="AK69" s="38" t="str">
        <v>2026-08-03</v>
      </c>
      <c r="AL69" s="38" t="str">
        <v>GAP-007;GAP-017;GAP-018;GAP-019</v>
      </c>
      <c r="AM69" s="38" t="str">
        <v>Operations / Engineering / Procurement</v>
      </c>
      <c r="AN69" s="38" t="str">
        <v>Manual operation mapped to an existing work surface/inventory function.</v>
      </c>
      <c r="AO69" s="39" t="str">
        <v>Chef/Operations time the operation; Procurement supplies selected-model passport; Engineering confirms asset, placement and connections</v>
      </c>
    </row>
    <row r="70">
      <c r="A70" s="37" t="str">
        <v>EQM-0066</v>
      </c>
      <c r="B70" s="38" t="str">
        <v>VKM-012</v>
      </c>
      <c r="C70" s="38" t="str">
        <v>Винегрет</v>
      </c>
      <c r="D70" s="38" t="str">
        <v>Салаты</v>
      </c>
      <c r="E70" s="38" t="str">
        <v>0.1.0-DRAFT</v>
      </c>
      <c r="F70" s="38" t="n">
        <v>3</v>
      </c>
      <c r="G70" s="38" t="str">
        <v>нарезать одинаковым кубиком</v>
      </c>
      <c r="H70" s="38" t="str">
        <v>CLD-03;CLD-07</v>
      </c>
      <c r="I70" s="38" t="str">
        <v>Вторая рабочая поверхность;Весы, ножи, доски холодного участка</v>
      </c>
      <c r="J70" s="38" t="str">
        <v>CAPEX.CLD.003;CAPEX.CLD.007</v>
      </c>
      <c r="K70" s="38" t="str">
        <v>MANDATORY</v>
      </c>
      <c r="L70" s="38" t="str">
        <v>APPROVED_STRUCTURE</v>
      </c>
      <c r="M70" s="38" t="str">
        <v>COLD_PREP_ASSEMBLY</v>
      </c>
      <c r="N70" s="38"/>
      <c r="O70" s="38" t="str">
        <v>BLOCKED</v>
      </c>
      <c r="P70" s="38" t="str">
        <v>Only dish aggregate is available: active 18 min / total 90 min; no unsupported split by operation</v>
      </c>
      <c r="Q70" s="38" t="str">
        <v>CLD-03: ≥1200×700; CLD-07: Две рабочие позиции</v>
      </c>
      <c r="R70" s="38" t="str">
        <v>project design requirement</v>
      </c>
      <c r="S70" s="38" t="str">
        <v>PLANNED</v>
      </c>
      <c r="T70" s="38"/>
      <c r="U70" s="38"/>
      <c r="V70" s="38" t="str">
        <v>BLOCKED</v>
      </c>
      <c r="W70" s="38"/>
      <c r="X70" s="38" t="str">
        <v>BLOCKED_NOT_COMPARABLE</v>
      </c>
      <c r="Y70" s="38" t="str">
        <v>Recipe load cannot be compared to the project requirement without tray/form/GN/load and selected-model data</v>
      </c>
      <c r="Z70" s="38"/>
      <c r="AA70" s="38"/>
      <c r="AB70" s="38"/>
      <c r="AC70" s="38"/>
      <c r="AD70" s="38"/>
      <c r="AE70" s="38" t="str">
        <v>BLOCKED_NO_SELECTED_MODEL_PASSPORT</v>
      </c>
      <c r="AF70" s="38" t="str">
        <v>BLOCKED</v>
      </c>
      <c r="AG70" s="38" t="str">
        <v>BLOCKED</v>
      </c>
      <c r="AH70" s="38" t="str">
        <v>BLOCKED_SELECTED_MODEL_AND_SITE_VALIDATION</v>
      </c>
      <c r="AI70" s="38" t="str">
        <v>ESTIMATE</v>
      </c>
      <c r="AJ70" s="38" t="str">
        <v>EVD-0010;EVD-0021;EVD-0022;EVD-0023</v>
      </c>
      <c r="AK70" s="38" t="str">
        <v>2026-08-03</v>
      </c>
      <c r="AL70" s="38" t="str">
        <v>GAP-007;GAP-017;GAP-018;GAP-019</v>
      </c>
      <c r="AM70" s="38" t="str">
        <v>Operations / Engineering / Procurement</v>
      </c>
      <c r="AN70" s="38" t="str">
        <v>Manual baseline; CLD-08/CLD-09 remain conditional until the applicable timing gate.</v>
      </c>
      <c r="AO70" s="39" t="str">
        <v>Chef/Operations time the operation; Procurement supplies selected-model passport; Engineering confirms asset, placement and connections</v>
      </c>
    </row>
    <row r="71">
      <c r="A71" s="37" t="str">
        <v>EQM-0067</v>
      </c>
      <c r="B71" s="38" t="str">
        <v>VKM-012</v>
      </c>
      <c r="C71" s="38" t="str">
        <v>Винегрет</v>
      </c>
      <c r="D71" s="38" t="str">
        <v>Салаты</v>
      </c>
      <c r="E71" s="38" t="str">
        <v>0.1.0-DRAFT</v>
      </c>
      <c r="F71" s="38" t="n">
        <v>4</v>
      </c>
      <c r="G71" s="38" t="str">
        <v>подготовить прочие компоненты</v>
      </c>
      <c r="H71" s="38" t="str">
        <v>CLD-03;CLD-07</v>
      </c>
      <c r="I71" s="38" t="str">
        <v>Вторая рабочая поверхность;Весы, ножи, доски холодного участка</v>
      </c>
      <c r="J71" s="38" t="str">
        <v>CAPEX.CLD.003;CAPEX.CLD.007</v>
      </c>
      <c r="K71" s="38" t="str">
        <v>MANDATORY</v>
      </c>
      <c r="L71" s="38" t="str">
        <v>APPROVED_STRUCTURE</v>
      </c>
      <c r="M71" s="38" t="str">
        <v>COLD_PREP_ASSEMBLY</v>
      </c>
      <c r="N71" s="38"/>
      <c r="O71" s="38" t="str">
        <v>BLOCKED</v>
      </c>
      <c r="P71" s="38" t="str">
        <v>Only dish aggregate is available: active 18 min / total 90 min; no unsupported split by operation</v>
      </c>
      <c r="Q71" s="38" t="str">
        <v>CLD-03: ≥1200×700; CLD-07: Две рабочие позиции</v>
      </c>
      <c r="R71" s="38" t="str">
        <v>project design requirement</v>
      </c>
      <c r="S71" s="38" t="str">
        <v>PLANNED</v>
      </c>
      <c r="T71" s="38"/>
      <c r="U71" s="38"/>
      <c r="V71" s="38" t="str">
        <v>BLOCKED</v>
      </c>
      <c r="W71" s="38"/>
      <c r="X71" s="38" t="str">
        <v>BLOCKED_NOT_COMPARABLE</v>
      </c>
      <c r="Y71" s="38" t="str">
        <v>Recipe load cannot be compared to the project requirement without tray/form/GN/load and selected-model data</v>
      </c>
      <c r="Z71" s="38"/>
      <c r="AA71" s="38"/>
      <c r="AB71" s="38"/>
      <c r="AC71" s="38"/>
      <c r="AD71" s="38"/>
      <c r="AE71" s="38" t="str">
        <v>BLOCKED_NO_SELECTED_MODEL_PASSPORT</v>
      </c>
      <c r="AF71" s="38" t="str">
        <v>BLOCKED</v>
      </c>
      <c r="AG71" s="38" t="str">
        <v>BLOCKED</v>
      </c>
      <c r="AH71" s="38" t="str">
        <v>BLOCKED_SELECTED_MODEL_AND_SITE_VALIDATION</v>
      </c>
      <c r="AI71" s="38" t="str">
        <v>ESTIMATE</v>
      </c>
      <c r="AJ71" s="38" t="str">
        <v>EVD-0010;EVD-0021;EVD-0022;EVD-0023</v>
      </c>
      <c r="AK71" s="38" t="str">
        <v>2026-08-03</v>
      </c>
      <c r="AL71" s="38" t="str">
        <v>GAP-007;GAP-017;GAP-018;GAP-019</v>
      </c>
      <c r="AM71" s="38" t="str">
        <v>Operations / Engineering / Procurement</v>
      </c>
      <c r="AN71" s="38" t="str">
        <v>Manual operation mapped to an existing work surface/inventory function.</v>
      </c>
      <c r="AO71" s="39" t="str">
        <v>Chef/Operations time the operation; Procurement supplies selected-model passport; Engineering confirms asset, placement and connections</v>
      </c>
    </row>
    <row r="72">
      <c r="A72" s="37" t="str">
        <v>EQM-0068</v>
      </c>
      <c r="B72" s="38" t="str">
        <v>VKM-012</v>
      </c>
      <c r="C72" s="38" t="str">
        <v>Винегрет</v>
      </c>
      <c r="D72" s="38" t="str">
        <v>Салаты</v>
      </c>
      <c r="E72" s="38" t="str">
        <v>0.1.0-DRAFT</v>
      </c>
      <c r="F72" s="38" t="n">
        <v>5</v>
      </c>
      <c r="G72" s="38" t="str">
        <v>смешать и заправить</v>
      </c>
      <c r="H72" s="38" t="str">
        <v>CLD-03;CLD-07</v>
      </c>
      <c r="I72" s="38" t="str">
        <v>Вторая рабочая поверхность;Весы, ножи, доски холодного участка</v>
      </c>
      <c r="J72" s="38" t="str">
        <v>CAPEX.CLD.003;CAPEX.CLD.007</v>
      </c>
      <c r="K72" s="38" t="str">
        <v>MANDATORY</v>
      </c>
      <c r="L72" s="38" t="str">
        <v>APPROVED_STRUCTURE</v>
      </c>
      <c r="M72" s="38" t="str">
        <v>COLD_PREP_ASSEMBLY</v>
      </c>
      <c r="N72" s="38"/>
      <c r="O72" s="38" t="str">
        <v>BLOCKED</v>
      </c>
      <c r="P72" s="38" t="str">
        <v>Only dish aggregate is available: active 18 min / total 90 min; no unsupported split by operation</v>
      </c>
      <c r="Q72" s="38" t="str">
        <v>CLD-03: ≥1200×700; CLD-07: Две рабочие позиции</v>
      </c>
      <c r="R72" s="38" t="str">
        <v>project design requirement</v>
      </c>
      <c r="S72" s="38" t="str">
        <v>PLANNED</v>
      </c>
      <c r="T72" s="38"/>
      <c r="U72" s="38"/>
      <c r="V72" s="38" t="str">
        <v>BLOCKED</v>
      </c>
      <c r="W72" s="38"/>
      <c r="X72" s="38" t="str">
        <v>BLOCKED_NOT_COMPARABLE</v>
      </c>
      <c r="Y72" s="38" t="str">
        <v>Recipe load cannot be compared to the project requirement without tray/form/GN/load and selected-model data</v>
      </c>
      <c r="Z72" s="38"/>
      <c r="AA72" s="38"/>
      <c r="AB72" s="38"/>
      <c r="AC72" s="38"/>
      <c r="AD72" s="38"/>
      <c r="AE72" s="38" t="str">
        <v>BLOCKED_NO_SELECTED_MODEL_PASSPORT</v>
      </c>
      <c r="AF72" s="38" t="str">
        <v>BLOCKED</v>
      </c>
      <c r="AG72" s="38" t="str">
        <v>BLOCKED</v>
      </c>
      <c r="AH72" s="38" t="str">
        <v>BLOCKED_SELECTED_MODEL_AND_SITE_VALIDATION</v>
      </c>
      <c r="AI72" s="38" t="str">
        <v>ESTIMATE</v>
      </c>
      <c r="AJ72" s="38" t="str">
        <v>EVD-0010;EVD-0021;EVD-0022;EVD-0023</v>
      </c>
      <c r="AK72" s="38" t="str">
        <v>2026-08-03</v>
      </c>
      <c r="AL72" s="38" t="str">
        <v>GAP-007;GAP-017;GAP-018;GAP-019</v>
      </c>
      <c r="AM72" s="38" t="str">
        <v>Operations / Engineering / Procurement</v>
      </c>
      <c r="AN72" s="38" t="str">
        <v>Manual operation mapped to an existing work surface/inventory function.</v>
      </c>
      <c r="AO72" s="39" t="str">
        <v>Chef/Operations time the operation; Procurement supplies selected-model passport; Engineering confirms asset, placement and connections</v>
      </c>
    </row>
    <row r="73">
      <c r="A73" s="37" t="str">
        <v>EQM-0069</v>
      </c>
      <c r="B73" s="38" t="str">
        <v>VKM-013</v>
      </c>
      <c r="C73" s="38" t="str">
        <v>Слабосолёный лосось</v>
      </c>
      <c r="D73" s="38" t="str">
        <v>Холодные закуски</v>
      </c>
      <c r="E73" s="38" t="str">
        <v>0.1.0-DRAFT</v>
      </c>
      <c r="F73" s="38" t="n">
        <v>1</v>
      </c>
      <c r="G73" s="38" t="str">
        <v>Проверить готовое филе</v>
      </c>
      <c r="H73" s="38" t="str">
        <v>CLD-03;CLD-07</v>
      </c>
      <c r="I73" s="38" t="str">
        <v>Вторая рабочая поверхность;Весы, ножи, доски холодного участка</v>
      </c>
      <c r="J73" s="38" t="str">
        <v>CAPEX.CLD.003;CAPEX.CLD.007</v>
      </c>
      <c r="K73" s="38" t="str">
        <v>MANDATORY</v>
      </c>
      <c r="L73" s="38" t="str">
        <v>APPROVED_STRUCTURE</v>
      </c>
      <c r="M73" s="38" t="str">
        <v>COLD_PREP_ASSEMBLY</v>
      </c>
      <c r="N73" s="38"/>
      <c r="O73" s="38" t="str">
        <v>BLOCKED</v>
      </c>
      <c r="P73" s="38" t="str">
        <v>Only dish aggregate is available: active 7 min / total 10 min; no unsupported split by operation</v>
      </c>
      <c r="Q73" s="38" t="str">
        <v>CLD-03: ≥1200×700; CLD-07: Две рабочие позиции</v>
      </c>
      <c r="R73" s="38" t="str">
        <v>project design requirement</v>
      </c>
      <c r="S73" s="38" t="str">
        <v>PLANNED</v>
      </c>
      <c r="T73" s="38"/>
      <c r="U73" s="38"/>
      <c r="V73" s="38" t="str">
        <v>BLOCKED</v>
      </c>
      <c r="W73" s="38"/>
      <c r="X73" s="38" t="str">
        <v>BLOCKED_NOT_COMPARABLE</v>
      </c>
      <c r="Y73" s="38" t="str">
        <v>Recipe load cannot be compared to the project requirement without tray/form/GN/load and selected-model data</v>
      </c>
      <c r="Z73" s="38"/>
      <c r="AA73" s="38"/>
      <c r="AB73" s="38"/>
      <c r="AC73" s="38"/>
      <c r="AD73" s="38"/>
      <c r="AE73" s="38" t="str">
        <v>BLOCKED_NO_SELECTED_MODEL_PASSPORT</v>
      </c>
      <c r="AF73" s="38" t="str">
        <v>BLOCKED</v>
      </c>
      <c r="AG73" s="38" t="str">
        <v>BLOCKED</v>
      </c>
      <c r="AH73" s="38" t="str">
        <v>BLOCKED_SELECTED_MODEL_AND_SITE_VALIDATION</v>
      </c>
      <c r="AI73" s="38" t="str">
        <v>ESTIMATE</v>
      </c>
      <c r="AJ73" s="38" t="str">
        <v>EVD-0010;EVD-0021;EVD-0022;EVD-0023</v>
      </c>
      <c r="AK73" s="38" t="str">
        <v>2026-08-03</v>
      </c>
      <c r="AL73" s="38" t="str">
        <v>GAP-007;GAP-017;GAP-018;GAP-019</v>
      </c>
      <c r="AM73" s="38" t="str">
        <v>Operations / Engineering / Procurement</v>
      </c>
      <c r="AN73" s="38" t="str">
        <v>Manual operation mapped to an existing work surface/inventory function.</v>
      </c>
      <c r="AO73" s="39" t="str">
        <v>Chef/Operations time the operation; Procurement supplies selected-model passport; Engineering confirms asset, placement and connections</v>
      </c>
    </row>
    <row r="74">
      <c r="A74" s="37" t="str">
        <v>EQM-0070</v>
      </c>
      <c r="B74" s="38" t="str">
        <v>VKM-013</v>
      </c>
      <c r="C74" s="38" t="str">
        <v>Слабосолёный лосось</v>
      </c>
      <c r="D74" s="38" t="str">
        <v>Холодные закуски</v>
      </c>
      <c r="E74" s="38" t="str">
        <v>0.1.0-DRAFT</v>
      </c>
      <c r="F74" s="38" t="n">
        <v>2</v>
      </c>
      <c r="G74" s="38" t="str">
        <v>удалить упаковочную жидкость</v>
      </c>
      <c r="H74" s="38" t="str">
        <v>CLD-03;CLD-07</v>
      </c>
      <c r="I74" s="38" t="str">
        <v>Вторая рабочая поверхность;Весы, ножи, доски холодного участка</v>
      </c>
      <c r="J74" s="38" t="str">
        <v>CAPEX.CLD.003;CAPEX.CLD.007</v>
      </c>
      <c r="K74" s="38" t="str">
        <v>MANDATORY</v>
      </c>
      <c r="L74" s="38" t="str">
        <v>APPROVED_STRUCTURE</v>
      </c>
      <c r="M74" s="38" t="str">
        <v>COLD_PREP_ASSEMBLY</v>
      </c>
      <c r="N74" s="38"/>
      <c r="O74" s="38" t="str">
        <v>BLOCKED</v>
      </c>
      <c r="P74" s="38" t="str">
        <v>Only dish aggregate is available: active 7 min / total 10 min; no unsupported split by operation</v>
      </c>
      <c r="Q74" s="38" t="str">
        <v>CLD-03: ≥1200×700; CLD-07: Две рабочие позиции</v>
      </c>
      <c r="R74" s="38" t="str">
        <v>project design requirement</v>
      </c>
      <c r="S74" s="38" t="str">
        <v>PLANNED</v>
      </c>
      <c r="T74" s="38"/>
      <c r="U74" s="38"/>
      <c r="V74" s="38" t="str">
        <v>BLOCKED</v>
      </c>
      <c r="W74" s="38"/>
      <c r="X74" s="38" t="str">
        <v>BLOCKED_NOT_COMPARABLE</v>
      </c>
      <c r="Y74" s="38" t="str">
        <v>Recipe load cannot be compared to the project requirement without tray/form/GN/load and selected-model data</v>
      </c>
      <c r="Z74" s="38"/>
      <c r="AA74" s="38"/>
      <c r="AB74" s="38"/>
      <c r="AC74" s="38"/>
      <c r="AD74" s="38"/>
      <c r="AE74" s="38" t="str">
        <v>BLOCKED_NO_SELECTED_MODEL_PASSPORT</v>
      </c>
      <c r="AF74" s="38" t="str">
        <v>BLOCKED</v>
      </c>
      <c r="AG74" s="38" t="str">
        <v>BLOCKED</v>
      </c>
      <c r="AH74" s="38" t="str">
        <v>BLOCKED_SELECTED_MODEL_AND_SITE_VALIDATION</v>
      </c>
      <c r="AI74" s="38" t="str">
        <v>ESTIMATE</v>
      </c>
      <c r="AJ74" s="38" t="str">
        <v>EVD-0010;EVD-0021;EVD-0022;EVD-0023</v>
      </c>
      <c r="AK74" s="38" t="str">
        <v>2026-08-03</v>
      </c>
      <c r="AL74" s="38" t="str">
        <v>GAP-007;GAP-017;GAP-018;GAP-019</v>
      </c>
      <c r="AM74" s="38" t="str">
        <v>Operations / Engineering / Procurement</v>
      </c>
      <c r="AN74" s="38" t="str">
        <v>Manual operation mapped to an existing work surface/inventory function.</v>
      </c>
      <c r="AO74" s="39" t="str">
        <v>Chef/Operations time the operation; Procurement supplies selected-model passport; Engineering confirms asset, placement and connections</v>
      </c>
    </row>
    <row r="75">
      <c r="A75" s="37" t="str">
        <v>EQM-0071</v>
      </c>
      <c r="B75" s="38" t="str">
        <v>VKM-013</v>
      </c>
      <c r="C75" s="38" t="str">
        <v>Слабосолёный лосось</v>
      </c>
      <c r="D75" s="38" t="str">
        <v>Холодные закуски</v>
      </c>
      <c r="E75" s="38" t="str">
        <v>0.1.0-DRAFT</v>
      </c>
      <c r="F75" s="38" t="n">
        <v>3</v>
      </c>
      <c r="G75" s="38" t="str">
        <v>порционировать</v>
      </c>
      <c r="H75" s="38" t="str">
        <v>CLD-03;CLD-07</v>
      </c>
      <c r="I75" s="38" t="str">
        <v>Вторая рабочая поверхность;Весы, ножи, доски холодного участка</v>
      </c>
      <c r="J75" s="38" t="str">
        <v>CAPEX.CLD.003;CAPEX.CLD.007</v>
      </c>
      <c r="K75" s="38" t="str">
        <v>MANDATORY</v>
      </c>
      <c r="L75" s="38" t="str">
        <v>APPROVED_STRUCTURE</v>
      </c>
      <c r="M75" s="38" t="str">
        <v>COLD_PREP_ASSEMBLY</v>
      </c>
      <c r="N75" s="38"/>
      <c r="O75" s="38" t="str">
        <v>BLOCKED</v>
      </c>
      <c r="P75" s="38" t="str">
        <v>Only dish aggregate is available: active 7 min / total 10 min; no unsupported split by operation</v>
      </c>
      <c r="Q75" s="38" t="str">
        <v>CLD-03: ≥1200×700; CLD-07: Две рабочие позиции</v>
      </c>
      <c r="R75" s="38" t="str">
        <v>project design requirement</v>
      </c>
      <c r="S75" s="38" t="str">
        <v>PLANNED</v>
      </c>
      <c r="T75" s="38"/>
      <c r="U75" s="38"/>
      <c r="V75" s="38" t="str">
        <v>BLOCKED</v>
      </c>
      <c r="W75" s="38"/>
      <c r="X75" s="38" t="str">
        <v>BLOCKED_NOT_COMPARABLE</v>
      </c>
      <c r="Y75" s="38" t="str">
        <v>Recipe load cannot be compared to the project requirement without tray/form/GN/load and selected-model data</v>
      </c>
      <c r="Z75" s="38"/>
      <c r="AA75" s="38"/>
      <c r="AB75" s="38"/>
      <c r="AC75" s="38"/>
      <c r="AD75" s="38"/>
      <c r="AE75" s="38" t="str">
        <v>BLOCKED_NO_SELECTED_MODEL_PASSPORT</v>
      </c>
      <c r="AF75" s="38" t="str">
        <v>BLOCKED</v>
      </c>
      <c r="AG75" s="38" t="str">
        <v>BLOCKED</v>
      </c>
      <c r="AH75" s="38" t="str">
        <v>BLOCKED_SELECTED_MODEL_AND_SITE_VALIDATION</v>
      </c>
      <c r="AI75" s="38" t="str">
        <v>ESTIMATE</v>
      </c>
      <c r="AJ75" s="38" t="str">
        <v>EVD-0010;EVD-0021;EVD-0022;EVD-0023</v>
      </c>
      <c r="AK75" s="38" t="str">
        <v>2026-08-03</v>
      </c>
      <c r="AL75" s="38" t="str">
        <v>GAP-007;GAP-017;GAP-018;GAP-019</v>
      </c>
      <c r="AM75" s="38" t="str">
        <v>Operations / Engineering / Procurement</v>
      </c>
      <c r="AN75" s="38" t="str">
        <v>Manual baseline; CLD-08/CLD-09 remain conditional until the applicable timing gate.</v>
      </c>
      <c r="AO75" s="39" t="str">
        <v>Chef/Operations time the operation; Procurement supplies selected-model passport; Engineering confirms asset, placement and connections</v>
      </c>
    </row>
    <row r="76">
      <c r="A76" s="37" t="str">
        <v>EQM-0072</v>
      </c>
      <c r="B76" s="38" t="str">
        <v>VKM-013</v>
      </c>
      <c r="C76" s="38" t="str">
        <v>Слабосолёный лосось</v>
      </c>
      <c r="D76" s="38" t="str">
        <v>Холодные закуски</v>
      </c>
      <c r="E76" s="38" t="str">
        <v>0.1.0-DRAFT</v>
      </c>
      <c r="F76" s="38" t="n">
        <v>4</v>
      </c>
      <c r="G76" s="38" t="str">
        <v>подготовить лимон и гарниры</v>
      </c>
      <c r="H76" s="38" t="str">
        <v>CLD-03;CLD-07</v>
      </c>
      <c r="I76" s="38" t="str">
        <v>Вторая рабочая поверхность;Весы, ножи, доски холодного участка</v>
      </c>
      <c r="J76" s="38" t="str">
        <v>CAPEX.CLD.003;CAPEX.CLD.007</v>
      </c>
      <c r="K76" s="38" t="str">
        <v>MANDATORY</v>
      </c>
      <c r="L76" s="38" t="str">
        <v>APPROVED_STRUCTURE</v>
      </c>
      <c r="M76" s="38" t="str">
        <v>COLD_PREP_ASSEMBLY</v>
      </c>
      <c r="N76" s="38"/>
      <c r="O76" s="38" t="str">
        <v>BLOCKED</v>
      </c>
      <c r="P76" s="38" t="str">
        <v>Only dish aggregate is available: active 7 min / total 10 min; no unsupported split by operation</v>
      </c>
      <c r="Q76" s="38" t="str">
        <v>CLD-03: ≥1200×700; CLD-07: Две рабочие позиции</v>
      </c>
      <c r="R76" s="38" t="str">
        <v>project design requirement</v>
      </c>
      <c r="S76" s="38" t="str">
        <v>PLANNED</v>
      </c>
      <c r="T76" s="38"/>
      <c r="U76" s="38"/>
      <c r="V76" s="38" t="str">
        <v>BLOCKED</v>
      </c>
      <c r="W76" s="38"/>
      <c r="X76" s="38" t="str">
        <v>BLOCKED_NOT_COMPARABLE</v>
      </c>
      <c r="Y76" s="38" t="str">
        <v>Recipe load cannot be compared to the project requirement without tray/form/GN/load and selected-model data</v>
      </c>
      <c r="Z76" s="38"/>
      <c r="AA76" s="38"/>
      <c r="AB76" s="38"/>
      <c r="AC76" s="38"/>
      <c r="AD76" s="38"/>
      <c r="AE76" s="38" t="str">
        <v>BLOCKED_NO_SELECTED_MODEL_PASSPORT</v>
      </c>
      <c r="AF76" s="38" t="str">
        <v>BLOCKED</v>
      </c>
      <c r="AG76" s="38" t="str">
        <v>BLOCKED</v>
      </c>
      <c r="AH76" s="38" t="str">
        <v>BLOCKED_SELECTED_MODEL_AND_SITE_VALIDATION</v>
      </c>
      <c r="AI76" s="38" t="str">
        <v>ESTIMATE</v>
      </c>
      <c r="AJ76" s="38" t="str">
        <v>EVD-0010;EVD-0021;EVD-0022;EVD-0023</v>
      </c>
      <c r="AK76" s="38" t="str">
        <v>2026-08-03</v>
      </c>
      <c r="AL76" s="38" t="str">
        <v>GAP-007;GAP-017;GAP-018;GAP-019</v>
      </c>
      <c r="AM76" s="38" t="str">
        <v>Operations / Engineering / Procurement</v>
      </c>
      <c r="AN76" s="38" t="str">
        <v>Manual operation mapped to an existing work surface/inventory function.</v>
      </c>
      <c r="AO76" s="39" t="str">
        <v>Chef/Operations time the operation; Procurement supplies selected-model passport; Engineering confirms asset, placement and connections</v>
      </c>
    </row>
    <row r="77">
      <c r="A77" s="37" t="str">
        <v>EQM-0073</v>
      </c>
      <c r="B77" s="38" t="str">
        <v>VKM-013</v>
      </c>
      <c r="C77" s="38" t="str">
        <v>Слабосолёный лосось</v>
      </c>
      <c r="D77" s="38" t="str">
        <v>Холодные закуски</v>
      </c>
      <c r="E77" s="38" t="str">
        <v>0.1.0-DRAFT</v>
      </c>
      <c r="F77" s="38" t="n">
        <v>5</v>
      </c>
      <c r="G77" s="38" t="str">
        <v>собрать</v>
      </c>
      <c r="H77" s="38" t="str">
        <v>CLD-03;CLD-07</v>
      </c>
      <c r="I77" s="38" t="str">
        <v>Вторая рабочая поверхность;Весы, ножи, доски холодного участка</v>
      </c>
      <c r="J77" s="38" t="str">
        <v>CAPEX.CLD.003;CAPEX.CLD.007</v>
      </c>
      <c r="K77" s="38" t="str">
        <v>MANDATORY</v>
      </c>
      <c r="L77" s="38" t="str">
        <v>APPROVED_STRUCTURE</v>
      </c>
      <c r="M77" s="38" t="str">
        <v>COLD_PREP_ASSEMBLY</v>
      </c>
      <c r="N77" s="38"/>
      <c r="O77" s="38" t="str">
        <v>BLOCKED</v>
      </c>
      <c r="P77" s="38" t="str">
        <v>Only dish aggregate is available: active 7 min / total 10 min; no unsupported split by operation</v>
      </c>
      <c r="Q77" s="38" t="str">
        <v>CLD-03: ≥1200×700; CLD-07: Две рабочие позиции</v>
      </c>
      <c r="R77" s="38" t="str">
        <v>project design requirement</v>
      </c>
      <c r="S77" s="38" t="str">
        <v>PLANNED</v>
      </c>
      <c r="T77" s="38"/>
      <c r="U77" s="38"/>
      <c r="V77" s="38" t="str">
        <v>BLOCKED</v>
      </c>
      <c r="W77" s="38"/>
      <c r="X77" s="38" t="str">
        <v>BLOCKED_NOT_COMPARABLE</v>
      </c>
      <c r="Y77" s="38" t="str">
        <v>Recipe load cannot be compared to the project requirement without tray/form/GN/load and selected-model data</v>
      </c>
      <c r="Z77" s="38"/>
      <c r="AA77" s="38"/>
      <c r="AB77" s="38"/>
      <c r="AC77" s="38"/>
      <c r="AD77" s="38"/>
      <c r="AE77" s="38" t="str">
        <v>BLOCKED_NO_SELECTED_MODEL_PASSPORT</v>
      </c>
      <c r="AF77" s="38" t="str">
        <v>BLOCKED</v>
      </c>
      <c r="AG77" s="38" t="str">
        <v>BLOCKED</v>
      </c>
      <c r="AH77" s="38" t="str">
        <v>BLOCKED_SELECTED_MODEL_AND_SITE_VALIDATION</v>
      </c>
      <c r="AI77" s="38" t="str">
        <v>ESTIMATE</v>
      </c>
      <c r="AJ77" s="38" t="str">
        <v>EVD-0010;EVD-0021;EVD-0022;EVD-0023</v>
      </c>
      <c r="AK77" s="38" t="str">
        <v>2026-08-03</v>
      </c>
      <c r="AL77" s="38" t="str">
        <v>GAP-007;GAP-017;GAP-018;GAP-019</v>
      </c>
      <c r="AM77" s="38" t="str">
        <v>Operations / Engineering / Procurement</v>
      </c>
      <c r="AN77" s="38" t="str">
        <v>Manual operation mapped to an existing work surface/inventory function.</v>
      </c>
      <c r="AO77" s="39" t="str">
        <v>Chef/Operations time the operation; Procurement supplies selected-model passport; Engineering confirms asset, placement and connections</v>
      </c>
    </row>
    <row r="78">
      <c r="A78" s="37" t="str">
        <v>EQM-0074</v>
      </c>
      <c r="B78" s="38" t="str">
        <v>VKM-014</v>
      </c>
      <c r="C78" s="38" t="str">
        <v>Сельдь с запечённым картофелем</v>
      </c>
      <c r="D78" s="38" t="str">
        <v>Холодные закуски</v>
      </c>
      <c r="E78" s="38" t="str">
        <v>0.1.0-DRAFT</v>
      </c>
      <c r="F78" s="38" t="n">
        <v>1</v>
      </c>
      <c r="G78" s="38" t="str">
        <v>Подготовить и запечь картофель</v>
      </c>
      <c r="H78" s="38" t="str">
        <v>HOT-01</v>
      </c>
      <c r="I78" s="38" t="str">
        <v>Пароконвектомат</v>
      </c>
      <c r="J78" s="38" t="str">
        <v>CAPEX.HOT.001</v>
      </c>
      <c r="K78" s="38" t="str">
        <v>MANDATORY</v>
      </c>
      <c r="L78" s="38" t="str">
        <v>APPROVED_STRUCTURE</v>
      </c>
      <c r="M78" s="38" t="str">
        <v>THERMAL_PROCESS</v>
      </c>
      <c r="N78" s="38"/>
      <c r="O78" s="38" t="str">
        <v>BLOCKED</v>
      </c>
      <c r="P78" s="38" t="str">
        <v>Only dish aggregate is available: active 14 min / total 55 min; no unsupported split by operation</v>
      </c>
      <c r="Q78" s="38" t="str">
        <v>HOT-01: Минимум 6×GN 1/1; программы; термощуп</v>
      </c>
      <c r="R78" s="38" t="str">
        <v>project design requirement</v>
      </c>
      <c r="S78" s="38" t="str">
        <v>PLANNED</v>
      </c>
      <c r="T78" s="38"/>
      <c r="U78" s="38"/>
      <c r="V78" s="38" t="str">
        <v>BLOCKED</v>
      </c>
      <c r="W78" s="38"/>
      <c r="X78" s="38" t="str">
        <v>BLOCKED_NOT_COMPARABLE</v>
      </c>
      <c r="Y78" s="38" t="str">
        <v>Recipe load cannot be compared to the project requirement without tray/form/GN/load and selected-model data</v>
      </c>
      <c r="Z78" s="38"/>
      <c r="AA78" s="38"/>
      <c r="AB78" s="38"/>
      <c r="AC78" s="38"/>
      <c r="AD78" s="38"/>
      <c r="AE78" s="38" t="str">
        <v>BLOCKED_NO_SELECTED_MODEL_PASSPORT</v>
      </c>
      <c r="AF78" s="38" t="str">
        <v>BLOCKED</v>
      </c>
      <c r="AG78" s="38" t="str">
        <v>BLOCKED</v>
      </c>
      <c r="AH78" s="38" t="str">
        <v>BLOCKED_SELECTED_MODEL_AND_SITE_VALIDATION</v>
      </c>
      <c r="AI78" s="38" t="str">
        <v>ESTIMATE</v>
      </c>
      <c r="AJ78" s="38" t="str">
        <v>EVD-0010;EVD-0021;EVD-0022;EVD-0023</v>
      </c>
      <c r="AK78" s="38" t="str">
        <v>2026-08-03</v>
      </c>
      <c r="AL78" s="38" t="str">
        <v>GAP-007;GAP-017;GAP-018;GAP-019</v>
      </c>
      <c r="AM78" s="38" t="str">
        <v>Operations / Engineering / Procurement</v>
      </c>
      <c r="AN78" s="38" t="str">
        <v>Manual operation mapped to an existing work surface/inventory function.</v>
      </c>
      <c r="AO78" s="39" t="str">
        <v>Chef/Operations time the operation; Procurement supplies selected-model passport; Engineering confirms asset, placement and connections</v>
      </c>
    </row>
    <row r="79">
      <c r="A79" s="37" t="str">
        <v>EQM-0075</v>
      </c>
      <c r="B79" s="38" t="str">
        <v>VKM-014</v>
      </c>
      <c r="C79" s="38" t="str">
        <v>Сельдь с запечённым картофелем</v>
      </c>
      <c r="D79" s="38" t="str">
        <v>Холодные закуски</v>
      </c>
      <c r="E79" s="38" t="str">
        <v>0.1.0-DRAFT</v>
      </c>
      <c r="F79" s="38" t="n">
        <v>2</v>
      </c>
      <c r="G79" s="38" t="str">
        <v>подготовить сельдь и лук</v>
      </c>
      <c r="H79" s="38" t="str">
        <v>CLD-03;CLD-07</v>
      </c>
      <c r="I79" s="38" t="str">
        <v>Вторая рабочая поверхность;Весы, ножи, доски холодного участка</v>
      </c>
      <c r="J79" s="38" t="str">
        <v>CAPEX.CLD.003;CAPEX.CLD.007</v>
      </c>
      <c r="K79" s="38" t="str">
        <v>MANDATORY</v>
      </c>
      <c r="L79" s="38" t="str">
        <v>APPROVED_STRUCTURE</v>
      </c>
      <c r="M79" s="38" t="str">
        <v>COLD_PREP_ASSEMBLY</v>
      </c>
      <c r="N79" s="38"/>
      <c r="O79" s="38" t="str">
        <v>BLOCKED</v>
      </c>
      <c r="P79" s="38" t="str">
        <v>Only dish aggregate is available: active 14 min / total 55 min; no unsupported split by operation</v>
      </c>
      <c r="Q79" s="38" t="str">
        <v>CLD-03: ≥1200×700; CLD-07: Две рабочие позиции</v>
      </c>
      <c r="R79" s="38" t="str">
        <v>project design requirement</v>
      </c>
      <c r="S79" s="38" t="str">
        <v>PLANNED</v>
      </c>
      <c r="T79" s="38"/>
      <c r="U79" s="38"/>
      <c r="V79" s="38" t="str">
        <v>BLOCKED</v>
      </c>
      <c r="W79" s="38"/>
      <c r="X79" s="38" t="str">
        <v>BLOCKED_NOT_COMPARABLE</v>
      </c>
      <c r="Y79" s="38" t="str">
        <v>Recipe load cannot be compared to the project requirement without tray/form/GN/load and selected-model data</v>
      </c>
      <c r="Z79" s="38"/>
      <c r="AA79" s="38"/>
      <c r="AB79" s="38"/>
      <c r="AC79" s="38"/>
      <c r="AD79" s="38"/>
      <c r="AE79" s="38" t="str">
        <v>BLOCKED_NO_SELECTED_MODEL_PASSPORT</v>
      </c>
      <c r="AF79" s="38" t="str">
        <v>BLOCKED</v>
      </c>
      <c r="AG79" s="38" t="str">
        <v>BLOCKED</v>
      </c>
      <c r="AH79" s="38" t="str">
        <v>BLOCKED_SELECTED_MODEL_AND_SITE_VALIDATION</v>
      </c>
      <c r="AI79" s="38" t="str">
        <v>ESTIMATE</v>
      </c>
      <c r="AJ79" s="38" t="str">
        <v>EVD-0010;EVD-0021;EVD-0022;EVD-0023</v>
      </c>
      <c r="AK79" s="38" t="str">
        <v>2026-08-03</v>
      </c>
      <c r="AL79" s="38" t="str">
        <v>GAP-007;GAP-017;GAP-018;GAP-019</v>
      </c>
      <c r="AM79" s="38" t="str">
        <v>Operations / Engineering / Procurement</v>
      </c>
      <c r="AN79" s="38" t="str">
        <v>Manual operation mapped to an existing work surface/inventory function.</v>
      </c>
      <c r="AO79" s="39" t="str">
        <v>Chef/Operations time the operation; Procurement supplies selected-model passport; Engineering confirms asset, placement and connections</v>
      </c>
    </row>
    <row r="80">
      <c r="A80" s="37" t="str">
        <v>EQM-0076</v>
      </c>
      <c r="B80" s="38" t="str">
        <v>VKM-014</v>
      </c>
      <c r="C80" s="38" t="str">
        <v>Сельдь с запечённым картофелем</v>
      </c>
      <c r="D80" s="38" t="str">
        <v>Холодные закуски</v>
      </c>
      <c r="E80" s="38" t="str">
        <v>0.1.0-DRAFT</v>
      </c>
      <c r="F80" s="38" t="n">
        <v>3</v>
      </c>
      <c r="G80" s="38" t="str">
        <v>охладить компоненты по процессу</v>
      </c>
      <c r="H80" s="38" t="str">
        <v>HOT-09;STO-10</v>
      </c>
      <c r="I80" s="38" t="str">
        <v>Шкаф интенсивного охлаждения;Готовые полуфабрикаты</v>
      </c>
      <c r="J80" s="38" t="str">
        <v>CAPEX.HOT.010;CAPEX.STO.010</v>
      </c>
      <c r="K80" s="38" t="str">
        <v>MANDATORY</v>
      </c>
      <c r="L80" s="38" t="str">
        <v>APPROVED_STRUCTURE</v>
      </c>
      <c r="M80" s="38" t="str">
        <v>COOLING_HOLDING</v>
      </c>
      <c r="N80" s="38"/>
      <c r="O80" s="38" t="str">
        <v>BLOCKED</v>
      </c>
      <c r="P80" s="38" t="str">
        <v>Only dish aggregate is available: active 14 min / total 55 min; no unsupported split by operation</v>
      </c>
      <c r="Q80" s="38" t="str">
        <v>HOT-09: ≥10 кг/цикл; STO-10: Раздельное хранение</v>
      </c>
      <c r="R80" s="38" t="str">
        <v>project design requirement</v>
      </c>
      <c r="S80" s="38" t="str">
        <v>PLANNED</v>
      </c>
      <c r="T80" s="38"/>
      <c r="U80" s="38"/>
      <c r="V80" s="38" t="str">
        <v>BLOCKED</v>
      </c>
      <c r="W80" s="38"/>
      <c r="X80" s="38" t="str">
        <v>BLOCKED_NOT_COMPARABLE</v>
      </c>
      <c r="Y80" s="38" t="str">
        <v>Recipe load cannot be compared to the project requirement without tray/form/GN/load and selected-model data</v>
      </c>
      <c r="Z80" s="38"/>
      <c r="AA80" s="38"/>
      <c r="AB80" s="38"/>
      <c r="AC80" s="38"/>
      <c r="AD80" s="38"/>
      <c r="AE80" s="38" t="str">
        <v>BLOCKED_NO_SELECTED_MODEL_PASSPORT</v>
      </c>
      <c r="AF80" s="38" t="str">
        <v>BLOCKED</v>
      </c>
      <c r="AG80" s="38" t="str">
        <v>BLOCKED</v>
      </c>
      <c r="AH80" s="38" t="str">
        <v>BLOCKED_SELECTED_MODEL_AND_SITE_VALIDATION</v>
      </c>
      <c r="AI80" s="38" t="str">
        <v>ESTIMATE</v>
      </c>
      <c r="AJ80" s="38" t="str">
        <v>EVD-0010;EVD-0021;EVD-0022;EVD-0023</v>
      </c>
      <c r="AK80" s="38" t="str">
        <v>2026-08-03</v>
      </c>
      <c r="AL80" s="38" t="str">
        <v>GAP-007;GAP-017;GAP-018;GAP-019</v>
      </c>
      <c r="AM80" s="38" t="str">
        <v>Operations / Engineering / Procurement</v>
      </c>
      <c r="AN80" s="38" t="str">
        <v>Manual operation mapped to an existing work surface/inventory function.</v>
      </c>
      <c r="AO80" s="39" t="str">
        <v>Chef/Operations time the operation; Procurement supplies selected-model passport; Engineering confirms asset, placement and connections</v>
      </c>
    </row>
    <row r="81">
      <c r="A81" s="37" t="str">
        <v>EQM-0077</v>
      </c>
      <c r="B81" s="38" t="str">
        <v>VKM-014</v>
      </c>
      <c r="C81" s="38" t="str">
        <v>Сельдь с запечённым картофелем</v>
      </c>
      <c r="D81" s="38" t="str">
        <v>Холодные закуски</v>
      </c>
      <c r="E81" s="38" t="str">
        <v>0.1.0-DRAFT</v>
      </c>
      <c r="F81" s="38" t="n">
        <v>4</v>
      </c>
      <c r="G81" s="38" t="str">
        <v>собрать и заправить</v>
      </c>
      <c r="H81" s="38" t="str">
        <v>CLD-03;CLD-07</v>
      </c>
      <c r="I81" s="38" t="str">
        <v>Вторая рабочая поверхность;Весы, ножи, доски холодного участка</v>
      </c>
      <c r="J81" s="38" t="str">
        <v>CAPEX.CLD.003;CAPEX.CLD.007</v>
      </c>
      <c r="K81" s="38" t="str">
        <v>MANDATORY</v>
      </c>
      <c r="L81" s="38" t="str">
        <v>APPROVED_STRUCTURE</v>
      </c>
      <c r="M81" s="38" t="str">
        <v>COLD_PREP_ASSEMBLY</v>
      </c>
      <c r="N81" s="38"/>
      <c r="O81" s="38" t="str">
        <v>BLOCKED</v>
      </c>
      <c r="P81" s="38" t="str">
        <v>Only dish aggregate is available: active 14 min / total 55 min; no unsupported split by operation</v>
      </c>
      <c r="Q81" s="38" t="str">
        <v>CLD-03: ≥1200×700; CLD-07: Две рабочие позиции</v>
      </c>
      <c r="R81" s="38" t="str">
        <v>project design requirement</v>
      </c>
      <c r="S81" s="38" t="str">
        <v>PLANNED</v>
      </c>
      <c r="T81" s="38"/>
      <c r="U81" s="38"/>
      <c r="V81" s="38" t="str">
        <v>BLOCKED</v>
      </c>
      <c r="W81" s="38"/>
      <c r="X81" s="38" t="str">
        <v>BLOCKED_NOT_COMPARABLE</v>
      </c>
      <c r="Y81" s="38" t="str">
        <v>Recipe load cannot be compared to the project requirement without tray/form/GN/load and selected-model data</v>
      </c>
      <c r="Z81" s="38"/>
      <c r="AA81" s="38"/>
      <c r="AB81" s="38"/>
      <c r="AC81" s="38"/>
      <c r="AD81" s="38"/>
      <c r="AE81" s="38" t="str">
        <v>BLOCKED_NO_SELECTED_MODEL_PASSPORT</v>
      </c>
      <c r="AF81" s="38" t="str">
        <v>BLOCKED</v>
      </c>
      <c r="AG81" s="38" t="str">
        <v>BLOCKED</v>
      </c>
      <c r="AH81" s="38" t="str">
        <v>BLOCKED_SELECTED_MODEL_AND_SITE_VALIDATION</v>
      </c>
      <c r="AI81" s="38" t="str">
        <v>ESTIMATE</v>
      </c>
      <c r="AJ81" s="38" t="str">
        <v>EVD-0010;EVD-0021;EVD-0022;EVD-0023</v>
      </c>
      <c r="AK81" s="38" t="str">
        <v>2026-08-03</v>
      </c>
      <c r="AL81" s="38" t="str">
        <v>GAP-007;GAP-017;GAP-018;GAP-019</v>
      </c>
      <c r="AM81" s="38" t="str">
        <v>Operations / Engineering / Procurement</v>
      </c>
      <c r="AN81" s="38" t="str">
        <v>Manual operation mapped to an existing work surface/inventory function.</v>
      </c>
      <c r="AO81" s="39" t="str">
        <v>Chef/Operations time the operation; Procurement supplies selected-model passport; Engineering confirms asset, placement and connections</v>
      </c>
    </row>
    <row r="82">
      <c r="A82" s="37" t="str">
        <v>EQM-0078</v>
      </c>
      <c r="B82" s="38" t="str">
        <v>VKM-015</v>
      </c>
      <c r="C82" s="38" t="str">
        <v>Оливки и маслины</v>
      </c>
      <c r="D82" s="38" t="str">
        <v>Холодные закуски</v>
      </c>
      <c r="E82" s="38" t="str">
        <v>0.1.0-DRAFT</v>
      </c>
      <c r="F82" s="38" t="n">
        <v>1</v>
      </c>
      <c r="G82" s="38" t="str">
        <v>Освободить оливки и маслины от заливки</v>
      </c>
      <c r="H82" s="38" t="str">
        <v>CLD-03;CLD-07</v>
      </c>
      <c r="I82" s="38" t="str">
        <v>Вторая рабочая поверхность;Весы, ножи, доски холодного участка</v>
      </c>
      <c r="J82" s="38" t="str">
        <v>CAPEX.CLD.003;CAPEX.CLD.007</v>
      </c>
      <c r="K82" s="38" t="str">
        <v>MANDATORY</v>
      </c>
      <c r="L82" s="38" t="str">
        <v>APPROVED_STRUCTURE</v>
      </c>
      <c r="M82" s="38" t="str">
        <v>COLD_PREP_ASSEMBLY</v>
      </c>
      <c r="N82" s="38"/>
      <c r="O82" s="38" t="str">
        <v>BLOCKED</v>
      </c>
      <c r="P82" s="38" t="str">
        <v>Only dish aggregate is available: active 8 min / total 40 min; no unsupported split by operation</v>
      </c>
      <c r="Q82" s="38" t="str">
        <v>CLD-03: ≥1200×700; CLD-07: Две рабочие позиции</v>
      </c>
      <c r="R82" s="38" t="str">
        <v>project design requirement</v>
      </c>
      <c r="S82" s="38" t="str">
        <v>PLANNED</v>
      </c>
      <c r="T82" s="38"/>
      <c r="U82" s="38"/>
      <c r="V82" s="38" t="str">
        <v>BLOCKED</v>
      </c>
      <c r="W82" s="38"/>
      <c r="X82" s="38" t="str">
        <v>BLOCKED_NOT_COMPARABLE</v>
      </c>
      <c r="Y82" s="38" t="str">
        <v>Recipe load cannot be compared to the project requirement without tray/form/GN/load and selected-model data</v>
      </c>
      <c r="Z82" s="38"/>
      <c r="AA82" s="38"/>
      <c r="AB82" s="38"/>
      <c r="AC82" s="38"/>
      <c r="AD82" s="38"/>
      <c r="AE82" s="38" t="str">
        <v>BLOCKED_NO_SELECTED_MODEL_PASSPORT</v>
      </c>
      <c r="AF82" s="38" t="str">
        <v>BLOCKED</v>
      </c>
      <c r="AG82" s="38" t="str">
        <v>BLOCKED</v>
      </c>
      <c r="AH82" s="38" t="str">
        <v>BLOCKED_SELECTED_MODEL_AND_SITE_VALIDATION</v>
      </c>
      <c r="AI82" s="38" t="str">
        <v>ESTIMATE</v>
      </c>
      <c r="AJ82" s="38" t="str">
        <v>EVD-0010;EVD-0021;EVD-0022;EVD-0023</v>
      </c>
      <c r="AK82" s="38" t="str">
        <v>2026-08-03</v>
      </c>
      <c r="AL82" s="38" t="str">
        <v>GAP-007;GAP-017;GAP-018;GAP-019</v>
      </c>
      <c r="AM82" s="38" t="str">
        <v>Operations / Engineering / Procurement</v>
      </c>
      <c r="AN82" s="38" t="str">
        <v>Manual operation mapped to an existing work surface/inventory function.</v>
      </c>
      <c r="AO82" s="39" t="str">
        <v>Chef/Operations time the operation; Procurement supplies selected-model passport; Engineering confirms asset, placement and connections</v>
      </c>
    </row>
    <row r="83">
      <c r="A83" s="37" t="str">
        <v>EQM-0079</v>
      </c>
      <c r="B83" s="38" t="str">
        <v>VKM-015</v>
      </c>
      <c r="C83" s="38" t="str">
        <v>Оливки и маслины</v>
      </c>
      <c r="D83" s="38" t="str">
        <v>Холодные закуски</v>
      </c>
      <c r="E83" s="38" t="str">
        <v>0.1.0-DRAFT</v>
      </c>
      <c r="F83" s="38" t="n">
        <v>2</v>
      </c>
      <c r="G83" s="38" t="str">
        <v>подготовить ароматический маринад</v>
      </c>
      <c r="H83" s="38" t="str">
        <v>CLD-03;CLD-07</v>
      </c>
      <c r="I83" s="38" t="str">
        <v>Вторая рабочая поверхность;Весы, ножи, доски холодного участка</v>
      </c>
      <c r="J83" s="38" t="str">
        <v>CAPEX.CLD.003;CAPEX.CLD.007</v>
      </c>
      <c r="K83" s="38" t="str">
        <v>MANDATORY</v>
      </c>
      <c r="L83" s="38" t="str">
        <v>APPROVED_STRUCTURE</v>
      </c>
      <c r="M83" s="38" t="str">
        <v>COLD_PREP_ASSEMBLY</v>
      </c>
      <c r="N83" s="38"/>
      <c r="O83" s="38" t="str">
        <v>BLOCKED</v>
      </c>
      <c r="P83" s="38" t="str">
        <v>Only dish aggregate is available: active 8 min / total 40 min; no unsupported split by operation</v>
      </c>
      <c r="Q83" s="38" t="str">
        <v>CLD-03: ≥1200×700; CLD-07: Две рабочие позиции</v>
      </c>
      <c r="R83" s="38" t="str">
        <v>project design requirement</v>
      </c>
      <c r="S83" s="38" t="str">
        <v>PLANNED</v>
      </c>
      <c r="T83" s="38"/>
      <c r="U83" s="38"/>
      <c r="V83" s="38" t="str">
        <v>BLOCKED</v>
      </c>
      <c r="W83" s="38"/>
      <c r="X83" s="38" t="str">
        <v>BLOCKED_NOT_COMPARABLE</v>
      </c>
      <c r="Y83" s="38" t="str">
        <v>Recipe load cannot be compared to the project requirement without tray/form/GN/load and selected-model data</v>
      </c>
      <c r="Z83" s="38"/>
      <c r="AA83" s="38"/>
      <c r="AB83" s="38"/>
      <c r="AC83" s="38"/>
      <c r="AD83" s="38"/>
      <c r="AE83" s="38" t="str">
        <v>BLOCKED_NO_SELECTED_MODEL_PASSPORT</v>
      </c>
      <c r="AF83" s="38" t="str">
        <v>BLOCKED</v>
      </c>
      <c r="AG83" s="38" t="str">
        <v>BLOCKED</v>
      </c>
      <c r="AH83" s="38" t="str">
        <v>BLOCKED_SELECTED_MODEL_AND_SITE_VALIDATION</v>
      </c>
      <c r="AI83" s="38" t="str">
        <v>ESTIMATE</v>
      </c>
      <c r="AJ83" s="38" t="str">
        <v>EVD-0010;EVD-0021;EVD-0022;EVD-0023</v>
      </c>
      <c r="AK83" s="38" t="str">
        <v>2026-08-03</v>
      </c>
      <c r="AL83" s="38" t="str">
        <v>GAP-007;GAP-017;GAP-018;GAP-019</v>
      </c>
      <c r="AM83" s="38" t="str">
        <v>Operations / Engineering / Procurement</v>
      </c>
      <c r="AN83" s="38" t="str">
        <v>Manual operation mapped to an existing work surface/inventory function.</v>
      </c>
      <c r="AO83" s="39" t="str">
        <v>Chef/Operations time the operation; Procurement supplies selected-model passport; Engineering confirms asset, placement and connections</v>
      </c>
    </row>
    <row r="84">
      <c r="A84" s="37" t="str">
        <v>EQM-0080</v>
      </c>
      <c r="B84" s="38" t="str">
        <v>VKM-015</v>
      </c>
      <c r="C84" s="38" t="str">
        <v>Оливки и маслины</v>
      </c>
      <c r="D84" s="38" t="str">
        <v>Холодные закуски</v>
      </c>
      <c r="E84" s="38" t="str">
        <v>0.1.0-DRAFT</v>
      </c>
      <c r="F84" s="38" t="n">
        <v>3</v>
      </c>
      <c r="G84" s="38" t="str">
        <v>смешать</v>
      </c>
      <c r="H84" s="38" t="str">
        <v>CLD-03;CLD-07</v>
      </c>
      <c r="I84" s="38" t="str">
        <v>Вторая рабочая поверхность;Весы, ножи, доски холодного участка</v>
      </c>
      <c r="J84" s="38" t="str">
        <v>CAPEX.CLD.003;CAPEX.CLD.007</v>
      </c>
      <c r="K84" s="38" t="str">
        <v>MANDATORY</v>
      </c>
      <c r="L84" s="38" t="str">
        <v>APPROVED_STRUCTURE</v>
      </c>
      <c r="M84" s="38" t="str">
        <v>COLD_PREP_ASSEMBLY</v>
      </c>
      <c r="N84" s="38"/>
      <c r="O84" s="38" t="str">
        <v>BLOCKED</v>
      </c>
      <c r="P84" s="38" t="str">
        <v>Only dish aggregate is available: active 8 min / total 40 min; no unsupported split by operation</v>
      </c>
      <c r="Q84" s="38" t="str">
        <v>CLD-03: ≥1200×700; CLD-07: Две рабочие позиции</v>
      </c>
      <c r="R84" s="38" t="str">
        <v>project design requirement</v>
      </c>
      <c r="S84" s="38" t="str">
        <v>PLANNED</v>
      </c>
      <c r="T84" s="38"/>
      <c r="U84" s="38"/>
      <c r="V84" s="38" t="str">
        <v>BLOCKED</v>
      </c>
      <c r="W84" s="38"/>
      <c r="X84" s="38" t="str">
        <v>BLOCKED_NOT_COMPARABLE</v>
      </c>
      <c r="Y84" s="38" t="str">
        <v>Recipe load cannot be compared to the project requirement without tray/form/GN/load and selected-model data</v>
      </c>
      <c r="Z84" s="38"/>
      <c r="AA84" s="38"/>
      <c r="AB84" s="38"/>
      <c r="AC84" s="38"/>
      <c r="AD84" s="38"/>
      <c r="AE84" s="38" t="str">
        <v>BLOCKED_NO_SELECTED_MODEL_PASSPORT</v>
      </c>
      <c r="AF84" s="38" t="str">
        <v>BLOCKED</v>
      </c>
      <c r="AG84" s="38" t="str">
        <v>BLOCKED</v>
      </c>
      <c r="AH84" s="38" t="str">
        <v>BLOCKED_SELECTED_MODEL_AND_SITE_VALIDATION</v>
      </c>
      <c r="AI84" s="38" t="str">
        <v>ESTIMATE</v>
      </c>
      <c r="AJ84" s="38" t="str">
        <v>EVD-0010;EVD-0021;EVD-0022;EVD-0023</v>
      </c>
      <c r="AK84" s="38" t="str">
        <v>2026-08-03</v>
      </c>
      <c r="AL84" s="38" t="str">
        <v>GAP-007;GAP-017;GAP-018;GAP-019</v>
      </c>
      <c r="AM84" s="38" t="str">
        <v>Operations / Engineering / Procurement</v>
      </c>
      <c r="AN84" s="38" t="str">
        <v>Manual operation mapped to an existing work surface/inventory function.</v>
      </c>
      <c r="AO84" s="39" t="str">
        <v>Chef/Operations time the operation; Procurement supplies selected-model passport; Engineering confirms asset, placement and connections</v>
      </c>
    </row>
    <row r="85">
      <c r="A85" s="37" t="str">
        <v>EQM-0081</v>
      </c>
      <c r="B85" s="38" t="str">
        <v>VKM-015</v>
      </c>
      <c r="C85" s="38" t="str">
        <v>Оливки и маслины</v>
      </c>
      <c r="D85" s="38" t="str">
        <v>Холодные закуски</v>
      </c>
      <c r="E85" s="38" t="str">
        <v>0.1.0-DRAFT</v>
      </c>
      <c r="F85" s="38" t="n">
        <v>4</v>
      </c>
      <c r="G85" s="38" t="str">
        <v>выдержать</v>
      </c>
      <c r="H85" s="38" t="str">
        <v>CLD-03;CLD-07</v>
      </c>
      <c r="I85" s="38" t="str">
        <v>Вторая рабочая поверхность;Весы, ножи, доски холодного участка</v>
      </c>
      <c r="J85" s="38" t="str">
        <v>CAPEX.CLD.003;CAPEX.CLD.007</v>
      </c>
      <c r="K85" s="38" t="str">
        <v>MANDATORY</v>
      </c>
      <c r="L85" s="38" t="str">
        <v>APPROVED_STRUCTURE</v>
      </c>
      <c r="M85" s="38" t="str">
        <v>COLD_PREP_ASSEMBLY</v>
      </c>
      <c r="N85" s="38"/>
      <c r="O85" s="38" t="str">
        <v>BLOCKED</v>
      </c>
      <c r="P85" s="38" t="str">
        <v>Only dish aggregate is available: active 8 min / total 40 min; no unsupported split by operation</v>
      </c>
      <c r="Q85" s="38" t="str">
        <v>CLD-03: ≥1200×700; CLD-07: Две рабочие позиции</v>
      </c>
      <c r="R85" s="38" t="str">
        <v>project design requirement</v>
      </c>
      <c r="S85" s="38" t="str">
        <v>PLANNED</v>
      </c>
      <c r="T85" s="38"/>
      <c r="U85" s="38"/>
      <c r="V85" s="38" t="str">
        <v>BLOCKED</v>
      </c>
      <c r="W85" s="38"/>
      <c r="X85" s="38" t="str">
        <v>BLOCKED_NOT_COMPARABLE</v>
      </c>
      <c r="Y85" s="38" t="str">
        <v>Recipe load cannot be compared to the project requirement without tray/form/GN/load and selected-model data</v>
      </c>
      <c r="Z85" s="38"/>
      <c r="AA85" s="38"/>
      <c r="AB85" s="38"/>
      <c r="AC85" s="38"/>
      <c r="AD85" s="38"/>
      <c r="AE85" s="38" t="str">
        <v>BLOCKED_NO_SELECTED_MODEL_PASSPORT</v>
      </c>
      <c r="AF85" s="38" t="str">
        <v>BLOCKED</v>
      </c>
      <c r="AG85" s="38" t="str">
        <v>BLOCKED</v>
      </c>
      <c r="AH85" s="38" t="str">
        <v>BLOCKED_SELECTED_MODEL_AND_SITE_VALIDATION</v>
      </c>
      <c r="AI85" s="38" t="str">
        <v>ESTIMATE</v>
      </c>
      <c r="AJ85" s="38" t="str">
        <v>EVD-0010;EVD-0021;EVD-0022;EVD-0023</v>
      </c>
      <c r="AK85" s="38" t="str">
        <v>2026-08-03</v>
      </c>
      <c r="AL85" s="38" t="str">
        <v>GAP-007;GAP-017;GAP-018;GAP-019</v>
      </c>
      <c r="AM85" s="38" t="str">
        <v>Operations / Engineering / Procurement</v>
      </c>
      <c r="AN85" s="38" t="str">
        <v>Manual operation mapped to an existing work surface/inventory function.</v>
      </c>
      <c r="AO85" s="39" t="str">
        <v>Chef/Operations time the operation; Procurement supplies selected-model passport; Engineering confirms asset, placement and connections</v>
      </c>
    </row>
    <row r="86">
      <c r="A86" s="37" t="str">
        <v>EQM-0082</v>
      </c>
      <c r="B86" s="38" t="str">
        <v>VKM-015</v>
      </c>
      <c r="C86" s="38" t="str">
        <v>Оливки и маслины</v>
      </c>
      <c r="D86" s="38" t="str">
        <v>Холодные закуски</v>
      </c>
      <c r="E86" s="38" t="str">
        <v>0.1.0-DRAFT</v>
      </c>
      <c r="F86" s="38" t="n">
        <v>5</v>
      </c>
      <c r="G86" s="38" t="str">
        <v>порционировать</v>
      </c>
      <c r="H86" s="38" t="str">
        <v>CLD-03;CLD-07</v>
      </c>
      <c r="I86" s="38" t="str">
        <v>Вторая рабочая поверхность;Весы, ножи, доски холодного участка</v>
      </c>
      <c r="J86" s="38" t="str">
        <v>CAPEX.CLD.003;CAPEX.CLD.007</v>
      </c>
      <c r="K86" s="38" t="str">
        <v>MANDATORY</v>
      </c>
      <c r="L86" s="38" t="str">
        <v>APPROVED_STRUCTURE</v>
      </c>
      <c r="M86" s="38" t="str">
        <v>COLD_PREP_ASSEMBLY</v>
      </c>
      <c r="N86" s="38"/>
      <c r="O86" s="38" t="str">
        <v>BLOCKED</v>
      </c>
      <c r="P86" s="38" t="str">
        <v>Only dish aggregate is available: active 8 min / total 40 min; no unsupported split by operation</v>
      </c>
      <c r="Q86" s="38" t="str">
        <v>CLD-03: ≥1200×700; CLD-07: Две рабочие позиции</v>
      </c>
      <c r="R86" s="38" t="str">
        <v>project design requirement</v>
      </c>
      <c r="S86" s="38" t="str">
        <v>PLANNED</v>
      </c>
      <c r="T86" s="38"/>
      <c r="U86" s="38"/>
      <c r="V86" s="38" t="str">
        <v>BLOCKED</v>
      </c>
      <c r="W86" s="38"/>
      <c r="X86" s="38" t="str">
        <v>BLOCKED_NOT_COMPARABLE</v>
      </c>
      <c r="Y86" s="38" t="str">
        <v>Recipe load cannot be compared to the project requirement without tray/form/GN/load and selected-model data</v>
      </c>
      <c r="Z86" s="38"/>
      <c r="AA86" s="38"/>
      <c r="AB86" s="38"/>
      <c r="AC86" s="38"/>
      <c r="AD86" s="38"/>
      <c r="AE86" s="38" t="str">
        <v>BLOCKED_NO_SELECTED_MODEL_PASSPORT</v>
      </c>
      <c r="AF86" s="38" t="str">
        <v>BLOCKED</v>
      </c>
      <c r="AG86" s="38" t="str">
        <v>BLOCKED</v>
      </c>
      <c r="AH86" s="38" t="str">
        <v>BLOCKED_SELECTED_MODEL_AND_SITE_VALIDATION</v>
      </c>
      <c r="AI86" s="38" t="str">
        <v>ESTIMATE</v>
      </c>
      <c r="AJ86" s="38" t="str">
        <v>EVD-0010;EVD-0021;EVD-0022;EVD-0023</v>
      </c>
      <c r="AK86" s="38" t="str">
        <v>2026-08-03</v>
      </c>
      <c r="AL86" s="38" t="str">
        <v>GAP-007;GAP-017;GAP-018;GAP-019</v>
      </c>
      <c r="AM86" s="38" t="str">
        <v>Operations / Engineering / Procurement</v>
      </c>
      <c r="AN86" s="38" t="str">
        <v>Manual baseline; CLD-08/CLD-09 remain conditional until the applicable timing gate.</v>
      </c>
      <c r="AO86" s="39" t="str">
        <v>Chef/Operations time the operation; Procurement supplies selected-model passport; Engineering confirms asset, placement and connections</v>
      </c>
    </row>
    <row r="87">
      <c r="A87" s="37" t="str">
        <v>EQM-0083</v>
      </c>
      <c r="B87" s="38" t="str">
        <v>VKM-016</v>
      </c>
      <c r="C87" s="38" t="str">
        <v>Ассорти фирменных солений</v>
      </c>
      <c r="D87" s="38" t="str">
        <v>Холодные закуски</v>
      </c>
      <c r="E87" s="38" t="str">
        <v>0.1.0-DRAFT</v>
      </c>
      <c r="F87" s="38" t="n">
        <v>1</v>
      </c>
      <c r="G87" s="38" t="str">
        <v>Подготовить и нарезать овощи</v>
      </c>
      <c r="H87" s="38" t="str">
        <v>CLD-03;CLD-07</v>
      </c>
      <c r="I87" s="38" t="str">
        <v>Вторая рабочая поверхность;Весы, ножи, доски холодного участка</v>
      </c>
      <c r="J87" s="38" t="str">
        <v>CAPEX.CLD.003;CAPEX.CLD.007</v>
      </c>
      <c r="K87" s="38" t="str">
        <v>MANDATORY</v>
      </c>
      <c r="L87" s="38" t="str">
        <v>APPROVED_STRUCTURE</v>
      </c>
      <c r="M87" s="38" t="str">
        <v>COLD_PREP_ASSEMBLY</v>
      </c>
      <c r="N87" s="38"/>
      <c r="O87" s="38" t="str">
        <v>BLOCKED</v>
      </c>
      <c r="P87" s="38" t="str">
        <v>Only dish aggregate is available: active 23 min / total 70 min; no unsupported split by operation</v>
      </c>
      <c r="Q87" s="38" t="str">
        <v>CLD-03: ≥1200×700; CLD-07: Две рабочие позиции</v>
      </c>
      <c r="R87" s="38" t="str">
        <v>project design requirement</v>
      </c>
      <c r="S87" s="38" t="str">
        <v>PLANNED</v>
      </c>
      <c r="T87" s="38"/>
      <c r="U87" s="38"/>
      <c r="V87" s="38" t="str">
        <v>BLOCKED</v>
      </c>
      <c r="W87" s="38"/>
      <c r="X87" s="38" t="str">
        <v>BLOCKED_NOT_COMPARABLE</v>
      </c>
      <c r="Y87" s="38" t="str">
        <v>Recipe load cannot be compared to the project requirement without tray/form/GN/load and selected-model data</v>
      </c>
      <c r="Z87" s="38"/>
      <c r="AA87" s="38"/>
      <c r="AB87" s="38"/>
      <c r="AC87" s="38"/>
      <c r="AD87" s="38"/>
      <c r="AE87" s="38" t="str">
        <v>BLOCKED_NO_SELECTED_MODEL_PASSPORT</v>
      </c>
      <c r="AF87" s="38" t="str">
        <v>BLOCKED</v>
      </c>
      <c r="AG87" s="38" t="str">
        <v>BLOCKED</v>
      </c>
      <c r="AH87" s="38" t="str">
        <v>BLOCKED_SELECTED_MODEL_AND_SITE_VALIDATION</v>
      </c>
      <c r="AI87" s="38" t="str">
        <v>ESTIMATE</v>
      </c>
      <c r="AJ87" s="38" t="str">
        <v>EVD-0010;EVD-0021;EVD-0022;EVD-0023</v>
      </c>
      <c r="AK87" s="38" t="str">
        <v>2026-08-03</v>
      </c>
      <c r="AL87" s="38" t="str">
        <v>GAP-007;GAP-017;GAP-018;GAP-019</v>
      </c>
      <c r="AM87" s="38" t="str">
        <v>Operations / Engineering / Procurement</v>
      </c>
      <c r="AN87" s="38" t="str">
        <v>Manual baseline; CLD-08/CLD-09 remain conditional until the applicable timing gate.</v>
      </c>
      <c r="AO87" s="39" t="str">
        <v>Chef/Operations time the operation; Procurement supplies selected-model passport; Engineering confirms asset, placement and connections</v>
      </c>
    </row>
    <row r="88">
      <c r="A88" s="37" t="str">
        <v>EQM-0084</v>
      </c>
      <c r="B88" s="38" t="str">
        <v>VKM-016</v>
      </c>
      <c r="C88" s="38" t="str">
        <v>Ассорти фирменных солений</v>
      </c>
      <c r="D88" s="38" t="str">
        <v>Холодные закуски</v>
      </c>
      <c r="E88" s="38" t="str">
        <v>0.1.0-DRAFT</v>
      </c>
      <c r="F88" s="38" t="n">
        <v>2</v>
      </c>
      <c r="G88" s="38" t="str">
        <v>приготовить маринад</v>
      </c>
      <c r="H88" s="38" t="str">
        <v>CLD-03;CLD-07</v>
      </c>
      <c r="I88" s="38" t="str">
        <v>Вторая рабочая поверхность;Весы, ножи, доски холодного участка</v>
      </c>
      <c r="J88" s="38" t="str">
        <v>CAPEX.CLD.003;CAPEX.CLD.007</v>
      </c>
      <c r="K88" s="38" t="str">
        <v>MANDATORY</v>
      </c>
      <c r="L88" s="38" t="str">
        <v>APPROVED_STRUCTURE</v>
      </c>
      <c r="M88" s="38" t="str">
        <v>COLD_PREP_ASSEMBLY</v>
      </c>
      <c r="N88" s="38"/>
      <c r="O88" s="38" t="str">
        <v>BLOCKED</v>
      </c>
      <c r="P88" s="38" t="str">
        <v>Only dish aggregate is available: active 23 min / total 70 min; no unsupported split by operation</v>
      </c>
      <c r="Q88" s="38" t="str">
        <v>CLD-03: ≥1200×700; CLD-07: Две рабочие позиции</v>
      </c>
      <c r="R88" s="38" t="str">
        <v>project design requirement</v>
      </c>
      <c r="S88" s="38" t="str">
        <v>PLANNED</v>
      </c>
      <c r="T88" s="38"/>
      <c r="U88" s="38"/>
      <c r="V88" s="38" t="str">
        <v>BLOCKED</v>
      </c>
      <c r="W88" s="38"/>
      <c r="X88" s="38" t="str">
        <v>BLOCKED_NOT_COMPARABLE</v>
      </c>
      <c r="Y88" s="38" t="str">
        <v>Recipe load cannot be compared to the project requirement without tray/form/GN/load and selected-model data</v>
      </c>
      <c r="Z88" s="38"/>
      <c r="AA88" s="38"/>
      <c r="AB88" s="38"/>
      <c r="AC88" s="38"/>
      <c r="AD88" s="38"/>
      <c r="AE88" s="38" t="str">
        <v>BLOCKED_NO_SELECTED_MODEL_PASSPORT</v>
      </c>
      <c r="AF88" s="38" t="str">
        <v>BLOCKED</v>
      </c>
      <c r="AG88" s="38" t="str">
        <v>BLOCKED</v>
      </c>
      <c r="AH88" s="38" t="str">
        <v>BLOCKED_SELECTED_MODEL_AND_SITE_VALIDATION</v>
      </c>
      <c r="AI88" s="38" t="str">
        <v>ESTIMATE</v>
      </c>
      <c r="AJ88" s="38" t="str">
        <v>EVD-0010;EVD-0021;EVD-0022;EVD-0023</v>
      </c>
      <c r="AK88" s="38" t="str">
        <v>2026-08-03</v>
      </c>
      <c r="AL88" s="38" t="str">
        <v>GAP-007;GAP-017;GAP-018;GAP-019</v>
      </c>
      <c r="AM88" s="38" t="str">
        <v>Operations / Engineering / Procurement</v>
      </c>
      <c r="AN88" s="38" t="str">
        <v>Manual operation mapped to an existing work surface/inventory function.</v>
      </c>
      <c r="AO88" s="39" t="str">
        <v>Chef/Operations time the operation; Procurement supplies selected-model passport; Engineering confirms asset, placement and connections</v>
      </c>
    </row>
    <row r="89">
      <c r="A89" s="37" t="str">
        <v>EQM-0085</v>
      </c>
      <c r="B89" s="38" t="str">
        <v>VKM-016</v>
      </c>
      <c r="C89" s="38" t="str">
        <v>Ассорти фирменных солений</v>
      </c>
      <c r="D89" s="38" t="str">
        <v>Холодные закуски</v>
      </c>
      <c r="E89" s="38" t="str">
        <v>0.1.0-DRAFT</v>
      </c>
      <c r="F89" s="38" t="n">
        <v>3</v>
      </c>
      <c r="G89" s="38" t="str">
        <v>мариновать компоненты раздельно</v>
      </c>
      <c r="H89" s="38" t="str">
        <v>CLD-03;CLD-07</v>
      </c>
      <c r="I89" s="38" t="str">
        <v>Вторая рабочая поверхность;Весы, ножи, доски холодного участка</v>
      </c>
      <c r="J89" s="38" t="str">
        <v>CAPEX.CLD.003;CAPEX.CLD.007</v>
      </c>
      <c r="K89" s="38" t="str">
        <v>MANDATORY</v>
      </c>
      <c r="L89" s="38" t="str">
        <v>APPROVED_STRUCTURE</v>
      </c>
      <c r="M89" s="38" t="str">
        <v>COLD_PREP_ASSEMBLY</v>
      </c>
      <c r="N89" s="38"/>
      <c r="O89" s="38" t="str">
        <v>BLOCKED</v>
      </c>
      <c r="P89" s="38" t="str">
        <v>Only dish aggregate is available: active 23 min / total 70 min; no unsupported split by operation</v>
      </c>
      <c r="Q89" s="38" t="str">
        <v>CLD-03: ≥1200×700; CLD-07: Две рабочие позиции</v>
      </c>
      <c r="R89" s="38" t="str">
        <v>project design requirement</v>
      </c>
      <c r="S89" s="38" t="str">
        <v>PLANNED</v>
      </c>
      <c r="T89" s="38"/>
      <c r="U89" s="38"/>
      <c r="V89" s="38" t="str">
        <v>BLOCKED</v>
      </c>
      <c r="W89" s="38"/>
      <c r="X89" s="38" t="str">
        <v>BLOCKED_NOT_COMPARABLE</v>
      </c>
      <c r="Y89" s="38" t="str">
        <v>Recipe load cannot be compared to the project requirement without tray/form/GN/load and selected-model data</v>
      </c>
      <c r="Z89" s="38"/>
      <c r="AA89" s="38"/>
      <c r="AB89" s="38"/>
      <c r="AC89" s="38"/>
      <c r="AD89" s="38"/>
      <c r="AE89" s="38" t="str">
        <v>BLOCKED_NO_SELECTED_MODEL_PASSPORT</v>
      </c>
      <c r="AF89" s="38" t="str">
        <v>BLOCKED</v>
      </c>
      <c r="AG89" s="38" t="str">
        <v>BLOCKED</v>
      </c>
      <c r="AH89" s="38" t="str">
        <v>BLOCKED_SELECTED_MODEL_AND_SITE_VALIDATION</v>
      </c>
      <c r="AI89" s="38" t="str">
        <v>ESTIMATE</v>
      </c>
      <c r="AJ89" s="38" t="str">
        <v>EVD-0010;EVD-0021;EVD-0022;EVD-0023</v>
      </c>
      <c r="AK89" s="38" t="str">
        <v>2026-08-03</v>
      </c>
      <c r="AL89" s="38" t="str">
        <v>GAP-007;GAP-017;GAP-018;GAP-019</v>
      </c>
      <c r="AM89" s="38" t="str">
        <v>Operations / Engineering / Procurement</v>
      </c>
      <c r="AN89" s="38" t="str">
        <v>Manual operation mapped to an existing work surface/inventory function.</v>
      </c>
      <c r="AO89" s="39" t="str">
        <v>Chef/Operations time the operation; Procurement supplies selected-model passport; Engineering confirms asset, placement and connections</v>
      </c>
    </row>
    <row r="90">
      <c r="A90" s="37" t="str">
        <v>EQM-0086</v>
      </c>
      <c r="B90" s="38" t="str">
        <v>VKM-016</v>
      </c>
      <c r="C90" s="38" t="str">
        <v>Ассорти фирменных солений</v>
      </c>
      <c r="D90" s="38" t="str">
        <v>Холодные закуски</v>
      </c>
      <c r="E90" s="38" t="str">
        <v>0.1.0-DRAFT</v>
      </c>
      <c r="F90" s="38" t="n">
        <v>4</v>
      </c>
      <c r="G90" s="38" t="str">
        <v>объединить при подаче</v>
      </c>
      <c r="H90" s="38" t="str">
        <v>CLD-03;CLD-07</v>
      </c>
      <c r="I90" s="38" t="str">
        <v>Вторая рабочая поверхность;Весы, ножи, доски холодного участка</v>
      </c>
      <c r="J90" s="38" t="str">
        <v>CAPEX.CLD.003;CAPEX.CLD.007</v>
      </c>
      <c r="K90" s="38" t="str">
        <v>MANDATORY</v>
      </c>
      <c r="L90" s="38" t="str">
        <v>APPROVED_STRUCTURE</v>
      </c>
      <c r="M90" s="38" t="str">
        <v>COLD_PREP_ASSEMBLY</v>
      </c>
      <c r="N90" s="38"/>
      <c r="O90" s="38" t="str">
        <v>BLOCKED</v>
      </c>
      <c r="P90" s="38" t="str">
        <v>Only dish aggregate is available: active 23 min / total 70 min; no unsupported split by operation</v>
      </c>
      <c r="Q90" s="38" t="str">
        <v>CLD-03: ≥1200×700; CLD-07: Две рабочие позиции</v>
      </c>
      <c r="R90" s="38" t="str">
        <v>project design requirement</v>
      </c>
      <c r="S90" s="38" t="str">
        <v>PLANNED</v>
      </c>
      <c r="T90" s="38"/>
      <c r="U90" s="38"/>
      <c r="V90" s="38" t="str">
        <v>BLOCKED</v>
      </c>
      <c r="W90" s="38"/>
      <c r="X90" s="38" t="str">
        <v>BLOCKED_NOT_COMPARABLE</v>
      </c>
      <c r="Y90" s="38" t="str">
        <v>Recipe load cannot be compared to the project requirement without tray/form/GN/load and selected-model data</v>
      </c>
      <c r="Z90" s="38"/>
      <c r="AA90" s="38"/>
      <c r="AB90" s="38"/>
      <c r="AC90" s="38"/>
      <c r="AD90" s="38"/>
      <c r="AE90" s="38" t="str">
        <v>BLOCKED_NO_SELECTED_MODEL_PASSPORT</v>
      </c>
      <c r="AF90" s="38" t="str">
        <v>BLOCKED</v>
      </c>
      <c r="AG90" s="38" t="str">
        <v>BLOCKED</v>
      </c>
      <c r="AH90" s="38" t="str">
        <v>BLOCKED_SELECTED_MODEL_AND_SITE_VALIDATION</v>
      </c>
      <c r="AI90" s="38" t="str">
        <v>ESTIMATE</v>
      </c>
      <c r="AJ90" s="38" t="str">
        <v>EVD-0010;EVD-0021;EVD-0022;EVD-0023</v>
      </c>
      <c r="AK90" s="38" t="str">
        <v>2026-08-03</v>
      </c>
      <c r="AL90" s="38" t="str">
        <v>GAP-007;GAP-017;GAP-018;GAP-019</v>
      </c>
      <c r="AM90" s="38" t="str">
        <v>Operations / Engineering / Procurement</v>
      </c>
      <c r="AN90" s="38" t="str">
        <v>Manual operation mapped to an existing work surface/inventory function.</v>
      </c>
      <c r="AO90" s="39" t="str">
        <v>Chef/Operations time the operation; Procurement supplies selected-model passport; Engineering confirms asset, placement and connections</v>
      </c>
    </row>
    <row r="91">
      <c r="A91" s="37" t="str">
        <v>EQM-0087</v>
      </c>
      <c r="B91" s="38" t="str">
        <v>VKM-017</v>
      </c>
      <c r="C91" s="38" t="str">
        <v>Ростбиф с луком и гренкой</v>
      </c>
      <c r="D91" s="38" t="str">
        <v>Холодные закуски</v>
      </c>
      <c r="E91" s="38" t="str">
        <v>0.1.0-DRAFT</v>
      </c>
      <c r="F91" s="38" t="n">
        <v>1</v>
      </c>
      <c r="G91" s="38" t="str">
        <v>Порционировать ростбиф</v>
      </c>
      <c r="H91" s="38" t="str">
        <v>CLD-03;CLD-07</v>
      </c>
      <c r="I91" s="38" t="str">
        <v>Вторая рабочая поверхность;Весы, ножи, доски холодного участка</v>
      </c>
      <c r="J91" s="38" t="str">
        <v>CAPEX.CLD.003;CAPEX.CLD.007</v>
      </c>
      <c r="K91" s="38" t="str">
        <v>MANDATORY</v>
      </c>
      <c r="L91" s="38" t="str">
        <v>APPROVED_STRUCTURE</v>
      </c>
      <c r="M91" s="38" t="str">
        <v>COLD_PREP_ASSEMBLY</v>
      </c>
      <c r="N91" s="38"/>
      <c r="O91" s="38" t="str">
        <v>BLOCKED</v>
      </c>
      <c r="P91" s="38" t="str">
        <v>Only dish aggregate is available: active 12 min / total 18 min; no unsupported split by operation</v>
      </c>
      <c r="Q91" s="38" t="str">
        <v>CLD-03: ≥1200×700; CLD-07: Две рабочие позиции</v>
      </c>
      <c r="R91" s="38" t="str">
        <v>project design requirement</v>
      </c>
      <c r="S91" s="38" t="str">
        <v>PLANNED</v>
      </c>
      <c r="T91" s="38"/>
      <c r="U91" s="38"/>
      <c r="V91" s="38" t="str">
        <v>BLOCKED</v>
      </c>
      <c r="W91" s="38"/>
      <c r="X91" s="38" t="str">
        <v>BLOCKED_NOT_COMPARABLE</v>
      </c>
      <c r="Y91" s="38" t="str">
        <v>Recipe load cannot be compared to the project requirement without tray/form/GN/load and selected-model data</v>
      </c>
      <c r="Z91" s="38"/>
      <c r="AA91" s="38"/>
      <c r="AB91" s="38"/>
      <c r="AC91" s="38"/>
      <c r="AD91" s="38"/>
      <c r="AE91" s="38" t="str">
        <v>BLOCKED_NO_SELECTED_MODEL_PASSPORT</v>
      </c>
      <c r="AF91" s="38" t="str">
        <v>BLOCKED</v>
      </c>
      <c r="AG91" s="38" t="str">
        <v>BLOCKED</v>
      </c>
      <c r="AH91" s="38" t="str">
        <v>BLOCKED_SELECTED_MODEL_AND_SITE_VALIDATION</v>
      </c>
      <c r="AI91" s="38" t="str">
        <v>ESTIMATE</v>
      </c>
      <c r="AJ91" s="38" t="str">
        <v>EVD-0010;EVD-0021;EVD-0022;EVD-0023</v>
      </c>
      <c r="AK91" s="38" t="str">
        <v>2026-08-03</v>
      </c>
      <c r="AL91" s="38" t="str">
        <v>GAP-007;GAP-017;GAP-018;GAP-019</v>
      </c>
      <c r="AM91" s="38" t="str">
        <v>Operations / Engineering / Procurement</v>
      </c>
      <c r="AN91" s="38" t="str">
        <v>Manual baseline; CLD-08/CLD-09 remain conditional until the applicable timing gate.</v>
      </c>
      <c r="AO91" s="39" t="str">
        <v>Chef/Operations time the operation; Procurement supplies selected-model passport; Engineering confirms asset, placement and connections</v>
      </c>
    </row>
    <row r="92">
      <c r="A92" s="37" t="str">
        <v>EQM-0088</v>
      </c>
      <c r="B92" s="38" t="str">
        <v>VKM-017</v>
      </c>
      <c r="C92" s="38" t="str">
        <v>Ростбиф с луком и гренкой</v>
      </c>
      <c r="D92" s="38" t="str">
        <v>Холодные закуски</v>
      </c>
      <c r="E92" s="38" t="str">
        <v>0.1.0-DRAFT</v>
      </c>
      <c r="F92" s="38" t="n">
        <v>2</v>
      </c>
      <c r="G92" s="38" t="str">
        <v>подготовить лук</v>
      </c>
      <c r="H92" s="38" t="str">
        <v>CLD-03;CLD-07</v>
      </c>
      <c r="I92" s="38" t="str">
        <v>Вторая рабочая поверхность;Весы, ножи, доски холодного участка</v>
      </c>
      <c r="J92" s="38" t="str">
        <v>CAPEX.CLD.003;CAPEX.CLD.007</v>
      </c>
      <c r="K92" s="38" t="str">
        <v>MANDATORY</v>
      </c>
      <c r="L92" s="38" t="str">
        <v>APPROVED_STRUCTURE</v>
      </c>
      <c r="M92" s="38" t="str">
        <v>COLD_PREP_ASSEMBLY</v>
      </c>
      <c r="N92" s="38"/>
      <c r="O92" s="38" t="str">
        <v>BLOCKED</v>
      </c>
      <c r="P92" s="38" t="str">
        <v>Only dish aggregate is available: active 12 min / total 18 min; no unsupported split by operation</v>
      </c>
      <c r="Q92" s="38" t="str">
        <v>CLD-03: ≥1200×700; CLD-07: Две рабочие позиции</v>
      </c>
      <c r="R92" s="38" t="str">
        <v>project design requirement</v>
      </c>
      <c r="S92" s="38" t="str">
        <v>PLANNED</v>
      </c>
      <c r="T92" s="38"/>
      <c r="U92" s="38"/>
      <c r="V92" s="38" t="str">
        <v>BLOCKED</v>
      </c>
      <c r="W92" s="38"/>
      <c r="X92" s="38" t="str">
        <v>BLOCKED_NOT_COMPARABLE</v>
      </c>
      <c r="Y92" s="38" t="str">
        <v>Recipe load cannot be compared to the project requirement without tray/form/GN/load and selected-model data</v>
      </c>
      <c r="Z92" s="38"/>
      <c r="AA92" s="38"/>
      <c r="AB92" s="38"/>
      <c r="AC92" s="38"/>
      <c r="AD92" s="38"/>
      <c r="AE92" s="38" t="str">
        <v>BLOCKED_NO_SELECTED_MODEL_PASSPORT</v>
      </c>
      <c r="AF92" s="38" t="str">
        <v>BLOCKED</v>
      </c>
      <c r="AG92" s="38" t="str">
        <v>BLOCKED</v>
      </c>
      <c r="AH92" s="38" t="str">
        <v>BLOCKED_SELECTED_MODEL_AND_SITE_VALIDATION</v>
      </c>
      <c r="AI92" s="38" t="str">
        <v>ESTIMATE</v>
      </c>
      <c r="AJ92" s="38" t="str">
        <v>EVD-0010;EVD-0021;EVD-0022;EVD-0023</v>
      </c>
      <c r="AK92" s="38" t="str">
        <v>2026-08-03</v>
      </c>
      <c r="AL92" s="38" t="str">
        <v>GAP-007;GAP-017;GAP-018;GAP-019</v>
      </c>
      <c r="AM92" s="38" t="str">
        <v>Operations / Engineering / Procurement</v>
      </c>
      <c r="AN92" s="38" t="str">
        <v>Manual operation mapped to an existing work surface/inventory function.</v>
      </c>
      <c r="AO92" s="39" t="str">
        <v>Chef/Operations time the operation; Procurement supplies selected-model passport; Engineering confirms asset, placement and connections</v>
      </c>
    </row>
    <row r="93">
      <c r="A93" s="37" t="str">
        <v>EQM-0089</v>
      </c>
      <c r="B93" s="38" t="str">
        <v>VKM-017</v>
      </c>
      <c r="C93" s="38" t="str">
        <v>Ростбиф с луком и гренкой</v>
      </c>
      <c r="D93" s="38" t="str">
        <v>Холодные закуски</v>
      </c>
      <c r="E93" s="38" t="str">
        <v>0.1.0-DRAFT</v>
      </c>
      <c r="F93" s="38" t="n">
        <v>3</v>
      </c>
      <c r="G93" s="38" t="str">
        <v>подсушить гренку</v>
      </c>
      <c r="H93" s="38" t="str">
        <v>BAK-02</v>
      </c>
      <c r="I93" s="38" t="str">
        <v>Пекарская печь</v>
      </c>
      <c r="J93" s="38" t="str">
        <v>CAPEX.BAK.002</v>
      </c>
      <c r="K93" s="38" t="str">
        <v>MANDATORY</v>
      </c>
      <c r="L93" s="38" t="str">
        <v>APPROVED_STRUCTURE</v>
      </c>
      <c r="M93" s="38" t="str">
        <v>THERMAL_PROCESS</v>
      </c>
      <c r="N93" s="38"/>
      <c r="O93" s="38" t="str">
        <v>BLOCKED</v>
      </c>
      <c r="P93" s="38" t="str">
        <v>Only dish aggregate is available: active 12 min / total 18 min; no unsupported split by operation</v>
      </c>
      <c r="Q93" s="38" t="str">
        <v>BAK-02: 6×600×400; программирование; пар</v>
      </c>
      <c r="R93" s="38" t="str">
        <v>project design requirement</v>
      </c>
      <c r="S93" s="38" t="str">
        <v>PLANNED</v>
      </c>
      <c r="T93" s="38"/>
      <c r="U93" s="38"/>
      <c r="V93" s="38" t="str">
        <v>BLOCKED</v>
      </c>
      <c r="W93" s="38"/>
      <c r="X93" s="38" t="str">
        <v>BLOCKED_NOT_COMPARABLE</v>
      </c>
      <c r="Y93" s="38" t="str">
        <v>Recipe load cannot be compared to the project requirement without tray/form/GN/load and selected-model data</v>
      </c>
      <c r="Z93" s="38"/>
      <c r="AA93" s="38"/>
      <c r="AB93" s="38"/>
      <c r="AC93" s="38"/>
      <c r="AD93" s="38"/>
      <c r="AE93" s="38" t="str">
        <v>BLOCKED_NO_SELECTED_MODEL_PASSPORT</v>
      </c>
      <c r="AF93" s="38" t="str">
        <v>BLOCKED</v>
      </c>
      <c r="AG93" s="38" t="str">
        <v>BLOCKED</v>
      </c>
      <c r="AH93" s="38" t="str">
        <v>BLOCKED_SELECTED_MODEL_AND_SITE_VALIDATION</v>
      </c>
      <c r="AI93" s="38" t="str">
        <v>ESTIMATE</v>
      </c>
      <c r="AJ93" s="38" t="str">
        <v>EVD-0010;EVD-0021;EVD-0022;EVD-0023</v>
      </c>
      <c r="AK93" s="38" t="str">
        <v>2026-08-03</v>
      </c>
      <c r="AL93" s="38" t="str">
        <v>GAP-007;GAP-017;GAP-018;GAP-019</v>
      </c>
      <c r="AM93" s="38" t="str">
        <v>Operations / Engineering / Procurement</v>
      </c>
      <c r="AN93" s="38" t="str">
        <v>Manual operation mapped to an existing work surface/inventory function.</v>
      </c>
      <c r="AO93" s="39" t="str">
        <v>Chef/Operations time the operation; Procurement supplies selected-model passport; Engineering confirms asset, placement and connections</v>
      </c>
    </row>
    <row r="94">
      <c r="A94" s="37" t="str">
        <v>EQM-0090</v>
      </c>
      <c r="B94" s="38" t="str">
        <v>VKM-017</v>
      </c>
      <c r="C94" s="38" t="str">
        <v>Ростбиф с луком и гренкой</v>
      </c>
      <c r="D94" s="38" t="str">
        <v>Холодные закуски</v>
      </c>
      <c r="E94" s="38" t="str">
        <v>0.1.0-DRAFT</v>
      </c>
      <c r="F94" s="38" t="n">
        <v>4</v>
      </c>
      <c r="G94" s="38" t="str">
        <v>смешать соус</v>
      </c>
      <c r="H94" s="38" t="str">
        <v>CLD-03;CLD-07</v>
      </c>
      <c r="I94" s="38" t="str">
        <v>Вторая рабочая поверхность;Весы, ножи, доски холодного участка</v>
      </c>
      <c r="J94" s="38" t="str">
        <v>CAPEX.CLD.003;CAPEX.CLD.007</v>
      </c>
      <c r="K94" s="38" t="str">
        <v>MANDATORY</v>
      </c>
      <c r="L94" s="38" t="str">
        <v>APPROVED_STRUCTURE</v>
      </c>
      <c r="M94" s="38" t="str">
        <v>COLD_PREP_ASSEMBLY</v>
      </c>
      <c r="N94" s="38"/>
      <c r="O94" s="38" t="str">
        <v>BLOCKED</v>
      </c>
      <c r="P94" s="38" t="str">
        <v>Only dish aggregate is available: active 12 min / total 18 min; no unsupported split by operation</v>
      </c>
      <c r="Q94" s="38" t="str">
        <v>CLD-03: ≥1200×700; CLD-07: Две рабочие позиции</v>
      </c>
      <c r="R94" s="38" t="str">
        <v>project design requirement</v>
      </c>
      <c r="S94" s="38" t="str">
        <v>PLANNED</v>
      </c>
      <c r="T94" s="38"/>
      <c r="U94" s="38"/>
      <c r="V94" s="38" t="str">
        <v>BLOCKED</v>
      </c>
      <c r="W94" s="38"/>
      <c r="X94" s="38" t="str">
        <v>BLOCKED_NOT_COMPARABLE</v>
      </c>
      <c r="Y94" s="38" t="str">
        <v>Recipe load cannot be compared to the project requirement without tray/form/GN/load and selected-model data</v>
      </c>
      <c r="Z94" s="38"/>
      <c r="AA94" s="38"/>
      <c r="AB94" s="38"/>
      <c r="AC94" s="38"/>
      <c r="AD94" s="38"/>
      <c r="AE94" s="38" t="str">
        <v>BLOCKED_NO_SELECTED_MODEL_PASSPORT</v>
      </c>
      <c r="AF94" s="38" t="str">
        <v>BLOCKED</v>
      </c>
      <c r="AG94" s="38" t="str">
        <v>BLOCKED</v>
      </c>
      <c r="AH94" s="38" t="str">
        <v>BLOCKED_SELECTED_MODEL_AND_SITE_VALIDATION</v>
      </c>
      <c r="AI94" s="38" t="str">
        <v>ESTIMATE</v>
      </c>
      <c r="AJ94" s="38" t="str">
        <v>EVD-0010;EVD-0021;EVD-0022;EVD-0023</v>
      </c>
      <c r="AK94" s="38" t="str">
        <v>2026-08-03</v>
      </c>
      <c r="AL94" s="38" t="str">
        <v>GAP-007;GAP-017;GAP-018;GAP-019</v>
      </c>
      <c r="AM94" s="38" t="str">
        <v>Operations / Engineering / Procurement</v>
      </c>
      <c r="AN94" s="38" t="str">
        <v>Manual operation mapped to an existing work surface/inventory function.</v>
      </c>
      <c r="AO94" s="39" t="str">
        <v>Chef/Operations time the operation; Procurement supplies selected-model passport; Engineering confirms asset, placement and connections</v>
      </c>
    </row>
    <row r="95">
      <c r="A95" s="37" t="str">
        <v>EQM-0091</v>
      </c>
      <c r="B95" s="38" t="str">
        <v>VKM-017</v>
      </c>
      <c r="C95" s="38" t="str">
        <v>Ростбиф с луком и гренкой</v>
      </c>
      <c r="D95" s="38" t="str">
        <v>Холодные закуски</v>
      </c>
      <c r="E95" s="38" t="str">
        <v>0.1.0-DRAFT</v>
      </c>
      <c r="F95" s="38" t="n">
        <v>5</v>
      </c>
      <c r="G95" s="38" t="str">
        <v>собрать непосредственно перед подачей</v>
      </c>
      <c r="H95" s="38" t="str">
        <v>CLD-03;CLD-07</v>
      </c>
      <c r="I95" s="38" t="str">
        <v>Вторая рабочая поверхность;Весы, ножи, доски холодного участка</v>
      </c>
      <c r="J95" s="38" t="str">
        <v>CAPEX.CLD.003;CAPEX.CLD.007</v>
      </c>
      <c r="K95" s="38" t="str">
        <v>MANDATORY</v>
      </c>
      <c r="L95" s="38" t="str">
        <v>APPROVED_STRUCTURE</v>
      </c>
      <c r="M95" s="38" t="str">
        <v>COLD_PREP_ASSEMBLY</v>
      </c>
      <c r="N95" s="38"/>
      <c r="O95" s="38" t="str">
        <v>BLOCKED</v>
      </c>
      <c r="P95" s="38" t="str">
        <v>Only dish aggregate is available: active 12 min / total 18 min; no unsupported split by operation</v>
      </c>
      <c r="Q95" s="38" t="str">
        <v>CLD-03: ≥1200×700; CLD-07: Две рабочие позиции</v>
      </c>
      <c r="R95" s="38" t="str">
        <v>project design requirement</v>
      </c>
      <c r="S95" s="38" t="str">
        <v>PLANNED</v>
      </c>
      <c r="T95" s="38"/>
      <c r="U95" s="38"/>
      <c r="V95" s="38" t="str">
        <v>BLOCKED</v>
      </c>
      <c r="W95" s="38"/>
      <c r="X95" s="38" t="str">
        <v>BLOCKED_NOT_COMPARABLE</v>
      </c>
      <c r="Y95" s="38" t="str">
        <v>Recipe load cannot be compared to the project requirement without tray/form/GN/load and selected-model data</v>
      </c>
      <c r="Z95" s="38"/>
      <c r="AA95" s="38"/>
      <c r="AB95" s="38"/>
      <c r="AC95" s="38"/>
      <c r="AD95" s="38"/>
      <c r="AE95" s="38" t="str">
        <v>BLOCKED_NO_SELECTED_MODEL_PASSPORT</v>
      </c>
      <c r="AF95" s="38" t="str">
        <v>BLOCKED</v>
      </c>
      <c r="AG95" s="38" t="str">
        <v>BLOCKED</v>
      </c>
      <c r="AH95" s="38" t="str">
        <v>BLOCKED_SELECTED_MODEL_AND_SITE_VALIDATION</v>
      </c>
      <c r="AI95" s="38" t="str">
        <v>ESTIMATE</v>
      </c>
      <c r="AJ95" s="38" t="str">
        <v>EVD-0010;EVD-0021;EVD-0022;EVD-0023</v>
      </c>
      <c r="AK95" s="38" t="str">
        <v>2026-08-03</v>
      </c>
      <c r="AL95" s="38" t="str">
        <v>GAP-007;GAP-017;GAP-018;GAP-019</v>
      </c>
      <c r="AM95" s="38" t="str">
        <v>Operations / Engineering / Procurement</v>
      </c>
      <c r="AN95" s="38" t="str">
        <v>Manual operation mapped to an existing work surface/inventory function.</v>
      </c>
      <c r="AO95" s="39" t="str">
        <v>Chef/Operations time the operation; Procurement supplies selected-model passport; Engineering confirms asset, placement and connections</v>
      </c>
    </row>
    <row r="96">
      <c r="A96" s="37" t="str">
        <v>EQM-0092</v>
      </c>
      <c r="B96" s="38" t="str">
        <v>VKM-018</v>
      </c>
      <c r="C96" s="38" t="str">
        <v>Традиционный красный борщ</v>
      </c>
      <c r="D96" s="38" t="str">
        <v>Супы</v>
      </c>
      <c r="E96" s="38" t="str">
        <v>0.1.0-DRAFT</v>
      </c>
      <c r="F96" s="38" t="n">
        <v>1</v>
      </c>
      <c r="G96" s="38" t="str">
        <v>Приготовить бульон</v>
      </c>
      <c r="H96" s="38" t="str">
        <v>HOT-05A;HOT-13</v>
      </c>
      <c r="I96" s="38" t="str">
        <v>Индукционная плита 4 зоны;GN, противни и горячий инвентарь</v>
      </c>
      <c r="J96" s="38" t="str">
        <v>CAPEX.HOT.005;CAPEX.HOT.014</v>
      </c>
      <c r="K96" s="38" t="str">
        <v>MANDATORY</v>
      </c>
      <c r="L96" s="38" t="str">
        <v>APPROVED_STRUCTURE</v>
      </c>
      <c r="M96" s="38" t="str">
        <v>BOILING_SAUTE_COOKING</v>
      </c>
      <c r="N96" s="38"/>
      <c r="O96" s="38" t="str">
        <v>BLOCKED</v>
      </c>
      <c r="P96" s="38" t="str">
        <v>Only dish aggregate is available: active 35 min / total 180 min; no unsupported split by operation</v>
      </c>
      <c r="Q96" s="38" t="str">
        <v>HOT-05A: 4 зоны; HOT-13: Совместимость с печами</v>
      </c>
      <c r="R96" s="38" t="str">
        <v>project design requirement</v>
      </c>
      <c r="S96" s="38" t="str">
        <v>PLANNED</v>
      </c>
      <c r="T96" s="38"/>
      <c r="U96" s="38"/>
      <c r="V96" s="38" t="str">
        <v>BLOCKED</v>
      </c>
      <c r="W96" s="38"/>
      <c r="X96" s="38" t="str">
        <v>BLOCKED_NOT_COMPARABLE</v>
      </c>
      <c r="Y96" s="38" t="str">
        <v>Recipe load cannot be compared to the project requirement without tray/form/GN/load and selected-model data</v>
      </c>
      <c r="Z96" s="38"/>
      <c r="AA96" s="38"/>
      <c r="AB96" s="38"/>
      <c r="AC96" s="38"/>
      <c r="AD96" s="38"/>
      <c r="AE96" s="38" t="str">
        <v>BLOCKED_NO_SELECTED_MODEL_PASSPORT</v>
      </c>
      <c r="AF96" s="38" t="str">
        <v>BLOCKED</v>
      </c>
      <c r="AG96" s="38" t="str">
        <v>BLOCKED</v>
      </c>
      <c r="AH96" s="38" t="str">
        <v>BLOCKED_SELECTED_MODEL_AND_SITE_VALIDATION</v>
      </c>
      <c r="AI96" s="38" t="str">
        <v>ESTIMATE</v>
      </c>
      <c r="AJ96" s="38" t="str">
        <v>EVD-0010;EVD-0021;EVD-0022;EVD-0023</v>
      </c>
      <c r="AK96" s="38" t="str">
        <v>2026-08-03</v>
      </c>
      <c r="AL96" s="38" t="str">
        <v>GAP-007;GAP-017;GAP-018;GAP-019</v>
      </c>
      <c r="AM96" s="38" t="str">
        <v>Operations / Engineering / Procurement</v>
      </c>
      <c r="AN96" s="38" t="str">
        <v>Manual operation mapped to an existing work surface/inventory function.</v>
      </c>
      <c r="AO96" s="39" t="str">
        <v>Chef/Operations time the operation; Procurement supplies selected-model passport; Engineering confirms asset, placement and connections</v>
      </c>
    </row>
    <row r="97">
      <c r="A97" s="37" t="str">
        <v>EQM-0093</v>
      </c>
      <c r="B97" s="38" t="str">
        <v>VKM-018</v>
      </c>
      <c r="C97" s="38" t="str">
        <v>Традиционный красный борщ</v>
      </c>
      <c r="D97" s="38" t="str">
        <v>Супы</v>
      </c>
      <c r="E97" s="38" t="str">
        <v>0.1.0-DRAFT</v>
      </c>
      <c r="F97" s="38" t="n">
        <v>2</v>
      </c>
      <c r="G97" s="38" t="str">
        <v>подготовить овощи</v>
      </c>
      <c r="H97" s="38" t="str">
        <v>HOT-12;HOT-13</v>
      </c>
      <c r="I97" s="38" t="str">
        <v>Столы и полки горячего участка;GN, противни и горячий инвентарь</v>
      </c>
      <c r="J97" s="38" t="str">
        <v>CAPEX.HOT.013;CAPEX.HOT.014</v>
      </c>
      <c r="K97" s="38" t="str">
        <v>MANDATORY</v>
      </c>
      <c r="L97" s="38" t="str">
        <v>APPROVED_STRUCTURE</v>
      </c>
      <c r="M97" s="38" t="str">
        <v>HOT_PREP_PORTIONING</v>
      </c>
      <c r="N97" s="38"/>
      <c r="O97" s="38" t="str">
        <v>BLOCKED</v>
      </c>
      <c r="P97" s="38" t="str">
        <v>Only dish aggregate is available: active 35 min / total 180 min; no unsupported split by operation</v>
      </c>
      <c r="Q97" s="38" t="str">
        <v>HOT-12: По планировке; HOT-13: Совместимость с печами</v>
      </c>
      <c r="R97" s="38" t="str">
        <v>project design requirement</v>
      </c>
      <c r="S97" s="38" t="str">
        <v>PLANNED</v>
      </c>
      <c r="T97" s="38"/>
      <c r="U97" s="38"/>
      <c r="V97" s="38" t="str">
        <v>BLOCKED</v>
      </c>
      <c r="W97" s="38"/>
      <c r="X97" s="38" t="str">
        <v>BLOCKED_NOT_COMPARABLE</v>
      </c>
      <c r="Y97" s="38" t="str">
        <v>Recipe load cannot be compared to the project requirement without tray/form/GN/load and selected-model data</v>
      </c>
      <c r="Z97" s="38"/>
      <c r="AA97" s="38"/>
      <c r="AB97" s="38"/>
      <c r="AC97" s="38"/>
      <c r="AD97" s="38"/>
      <c r="AE97" s="38" t="str">
        <v>BLOCKED_NO_SELECTED_MODEL_PASSPORT</v>
      </c>
      <c r="AF97" s="38" t="str">
        <v>BLOCKED</v>
      </c>
      <c r="AG97" s="38" t="str">
        <v>BLOCKED</v>
      </c>
      <c r="AH97" s="38" t="str">
        <v>BLOCKED_SELECTED_MODEL_AND_SITE_VALIDATION</v>
      </c>
      <c r="AI97" s="38" t="str">
        <v>ESTIMATE</v>
      </c>
      <c r="AJ97" s="38" t="str">
        <v>EVD-0010;EVD-0021;EVD-0022;EVD-0023</v>
      </c>
      <c r="AK97" s="38" t="str">
        <v>2026-08-03</v>
      </c>
      <c r="AL97" s="38" t="str">
        <v>GAP-007;GAP-017;GAP-018;GAP-019</v>
      </c>
      <c r="AM97" s="38" t="str">
        <v>Operations / Engineering / Procurement</v>
      </c>
      <c r="AN97" s="38" t="str">
        <v>Manual operation mapped to an existing work surface/inventory function.</v>
      </c>
      <c r="AO97" s="39" t="str">
        <v>Chef/Operations time the operation; Procurement supplies selected-model passport; Engineering confirms asset, placement and connections</v>
      </c>
    </row>
    <row r="98">
      <c r="A98" s="37" t="str">
        <v>EQM-0094</v>
      </c>
      <c r="B98" s="38" t="str">
        <v>VKM-018</v>
      </c>
      <c r="C98" s="38" t="str">
        <v>Традиционный красный борщ</v>
      </c>
      <c r="D98" s="38" t="str">
        <v>Супы</v>
      </c>
      <c r="E98" s="38" t="str">
        <v>0.1.0-DRAFT</v>
      </c>
      <c r="F98" s="38" t="n">
        <v>3</v>
      </c>
      <c r="G98" s="38" t="str">
        <v>выполнить пассеровку свёклы</v>
      </c>
      <c r="H98" s="38" t="str">
        <v>HOT-05A;HOT-13</v>
      </c>
      <c r="I98" s="38" t="str">
        <v>Индукционная плита 4 зоны;GN, противни и горячий инвентарь</v>
      </c>
      <c r="J98" s="38" t="str">
        <v>CAPEX.HOT.005;CAPEX.HOT.014</v>
      </c>
      <c r="K98" s="38" t="str">
        <v>MANDATORY</v>
      </c>
      <c r="L98" s="38" t="str">
        <v>APPROVED_STRUCTURE</v>
      </c>
      <c r="M98" s="38" t="str">
        <v>BOILING_SAUTE_COOKING</v>
      </c>
      <c r="N98" s="38"/>
      <c r="O98" s="38" t="str">
        <v>BLOCKED</v>
      </c>
      <c r="P98" s="38" t="str">
        <v>Only dish aggregate is available: active 35 min / total 180 min; no unsupported split by operation</v>
      </c>
      <c r="Q98" s="38" t="str">
        <v>HOT-05A: 4 зоны; HOT-13: Совместимость с печами</v>
      </c>
      <c r="R98" s="38" t="str">
        <v>project design requirement</v>
      </c>
      <c r="S98" s="38" t="str">
        <v>PLANNED</v>
      </c>
      <c r="T98" s="38"/>
      <c r="U98" s="38"/>
      <c r="V98" s="38" t="str">
        <v>BLOCKED</v>
      </c>
      <c r="W98" s="38"/>
      <c r="X98" s="38" t="str">
        <v>BLOCKED_NOT_COMPARABLE</v>
      </c>
      <c r="Y98" s="38" t="str">
        <v>Recipe load cannot be compared to the project requirement without tray/form/GN/load and selected-model data</v>
      </c>
      <c r="Z98" s="38"/>
      <c r="AA98" s="38"/>
      <c r="AB98" s="38"/>
      <c r="AC98" s="38"/>
      <c r="AD98" s="38"/>
      <c r="AE98" s="38" t="str">
        <v>BLOCKED_NO_SELECTED_MODEL_PASSPORT</v>
      </c>
      <c r="AF98" s="38" t="str">
        <v>BLOCKED</v>
      </c>
      <c r="AG98" s="38" t="str">
        <v>BLOCKED</v>
      </c>
      <c r="AH98" s="38" t="str">
        <v>BLOCKED_SELECTED_MODEL_AND_SITE_VALIDATION</v>
      </c>
      <c r="AI98" s="38" t="str">
        <v>ESTIMATE</v>
      </c>
      <c r="AJ98" s="38" t="str">
        <v>EVD-0010;EVD-0021;EVD-0022;EVD-0023</v>
      </c>
      <c r="AK98" s="38" t="str">
        <v>2026-08-03</v>
      </c>
      <c r="AL98" s="38" t="str">
        <v>GAP-007;GAP-017;GAP-018;GAP-019</v>
      </c>
      <c r="AM98" s="38" t="str">
        <v>Operations / Engineering / Procurement</v>
      </c>
      <c r="AN98" s="38" t="str">
        <v>Manual operation mapped to an existing work surface/inventory function.</v>
      </c>
      <c r="AO98" s="39" t="str">
        <v>Chef/Operations time the operation; Procurement supplies selected-model passport; Engineering confirms asset, placement and connections</v>
      </c>
    </row>
    <row r="99">
      <c r="A99" s="37" t="str">
        <v>EQM-0095</v>
      </c>
      <c r="B99" s="38" t="str">
        <v>VKM-018</v>
      </c>
      <c r="C99" s="38" t="str">
        <v>Традиционный красный борщ</v>
      </c>
      <c r="D99" s="38" t="str">
        <v>Супы</v>
      </c>
      <c r="E99" s="38" t="str">
        <v>0.1.0-DRAFT</v>
      </c>
      <c r="F99" s="38" t="n">
        <v>4</v>
      </c>
      <c r="G99" s="38" t="str">
        <v>соединить компоненты</v>
      </c>
      <c r="H99" s="38" t="str">
        <v>HOT-05A;HOT-13</v>
      </c>
      <c r="I99" s="38" t="str">
        <v>Индукционная плита 4 зоны;GN, противни и горячий инвентарь</v>
      </c>
      <c r="J99" s="38" t="str">
        <v>CAPEX.HOT.005;CAPEX.HOT.014</v>
      </c>
      <c r="K99" s="38" t="str">
        <v>MANDATORY</v>
      </c>
      <c r="L99" s="38" t="str">
        <v>APPROVED_STRUCTURE</v>
      </c>
      <c r="M99" s="38" t="str">
        <v>BOILING_SAUTE_COOKING</v>
      </c>
      <c r="N99" s="38"/>
      <c r="O99" s="38" t="str">
        <v>BLOCKED</v>
      </c>
      <c r="P99" s="38" t="str">
        <v>Only dish aggregate is available: active 35 min / total 180 min; no unsupported split by operation</v>
      </c>
      <c r="Q99" s="38" t="str">
        <v>HOT-05A: 4 зоны; HOT-13: Совместимость с печами</v>
      </c>
      <c r="R99" s="38" t="str">
        <v>project design requirement</v>
      </c>
      <c r="S99" s="38" t="str">
        <v>PLANNED</v>
      </c>
      <c r="T99" s="38"/>
      <c r="U99" s="38"/>
      <c r="V99" s="38" t="str">
        <v>BLOCKED</v>
      </c>
      <c r="W99" s="38"/>
      <c r="X99" s="38" t="str">
        <v>BLOCKED_NOT_COMPARABLE</v>
      </c>
      <c r="Y99" s="38" t="str">
        <v>Recipe load cannot be compared to the project requirement without tray/form/GN/load and selected-model data</v>
      </c>
      <c r="Z99" s="38"/>
      <c r="AA99" s="38"/>
      <c r="AB99" s="38"/>
      <c r="AC99" s="38"/>
      <c r="AD99" s="38"/>
      <c r="AE99" s="38" t="str">
        <v>BLOCKED_NO_SELECTED_MODEL_PASSPORT</v>
      </c>
      <c r="AF99" s="38" t="str">
        <v>BLOCKED</v>
      </c>
      <c r="AG99" s="38" t="str">
        <v>BLOCKED</v>
      </c>
      <c r="AH99" s="38" t="str">
        <v>BLOCKED_SELECTED_MODEL_AND_SITE_VALIDATION</v>
      </c>
      <c r="AI99" s="38" t="str">
        <v>ESTIMATE</v>
      </c>
      <c r="AJ99" s="38" t="str">
        <v>EVD-0010;EVD-0021;EVD-0022;EVD-0023</v>
      </c>
      <c r="AK99" s="38" t="str">
        <v>2026-08-03</v>
      </c>
      <c r="AL99" s="38" t="str">
        <v>GAP-007;GAP-017;GAP-018;GAP-019</v>
      </c>
      <c r="AM99" s="38" t="str">
        <v>Operations / Engineering / Procurement</v>
      </c>
      <c r="AN99" s="38" t="str">
        <v>Manual operation mapped to an existing work surface/inventory function.</v>
      </c>
      <c r="AO99" s="39" t="str">
        <v>Chef/Operations time the operation; Procurement supplies selected-model passport; Engineering confirms asset, placement and connections</v>
      </c>
    </row>
    <row r="100">
      <c r="A100" s="37" t="str">
        <v>EQM-0096</v>
      </c>
      <c r="B100" s="38" t="str">
        <v>VKM-018</v>
      </c>
      <c r="C100" s="38" t="str">
        <v>Традиционный красный борщ</v>
      </c>
      <c r="D100" s="38" t="str">
        <v>Супы</v>
      </c>
      <c r="E100" s="38" t="str">
        <v>0.1.0-DRAFT</v>
      </c>
      <c r="F100" s="38" t="n">
        <v>5</v>
      </c>
      <c r="G100" s="38" t="str">
        <v>довести вкус</v>
      </c>
      <c r="H100" s="38" t="str">
        <v>HOT-05A;HOT-13</v>
      </c>
      <c r="I100" s="38" t="str">
        <v>Индукционная плита 4 зоны;GN, противни и горячий инвентарь</v>
      </c>
      <c r="J100" s="38" t="str">
        <v>CAPEX.HOT.005;CAPEX.HOT.014</v>
      </c>
      <c r="K100" s="38" t="str">
        <v>MANDATORY</v>
      </c>
      <c r="L100" s="38" t="str">
        <v>APPROVED_STRUCTURE</v>
      </c>
      <c r="M100" s="38" t="str">
        <v>BOILING_SAUTE_COOKING</v>
      </c>
      <c r="N100" s="38"/>
      <c r="O100" s="38" t="str">
        <v>BLOCKED</v>
      </c>
      <c r="P100" s="38" t="str">
        <v>Only dish aggregate is available: active 35 min / total 180 min; no unsupported split by operation</v>
      </c>
      <c r="Q100" s="38" t="str">
        <v>HOT-05A: 4 зоны; HOT-13: Совместимость с печами</v>
      </c>
      <c r="R100" s="38" t="str">
        <v>project design requirement</v>
      </c>
      <c r="S100" s="38" t="str">
        <v>PLANNED</v>
      </c>
      <c r="T100" s="38"/>
      <c r="U100" s="38"/>
      <c r="V100" s="38" t="str">
        <v>BLOCKED</v>
      </c>
      <c r="W100" s="38"/>
      <c r="X100" s="38" t="str">
        <v>BLOCKED_NOT_COMPARABLE</v>
      </c>
      <c r="Y100" s="38" t="str">
        <v>Recipe load cannot be compared to the project requirement without tray/form/GN/load and selected-model data</v>
      </c>
      <c r="Z100" s="38"/>
      <c r="AA100" s="38"/>
      <c r="AB100" s="38"/>
      <c r="AC100" s="38"/>
      <c r="AD100" s="38"/>
      <c r="AE100" s="38" t="str">
        <v>BLOCKED_NO_SELECTED_MODEL_PASSPORT</v>
      </c>
      <c r="AF100" s="38" t="str">
        <v>BLOCKED</v>
      </c>
      <c r="AG100" s="38" t="str">
        <v>BLOCKED</v>
      </c>
      <c r="AH100" s="38" t="str">
        <v>BLOCKED_SELECTED_MODEL_AND_SITE_VALIDATION</v>
      </c>
      <c r="AI100" s="38" t="str">
        <v>ESTIMATE</v>
      </c>
      <c r="AJ100" s="38" t="str">
        <v>EVD-0010;EVD-0021;EVD-0022;EVD-0023</v>
      </c>
      <c r="AK100" s="38" t="str">
        <v>2026-08-03</v>
      </c>
      <c r="AL100" s="38" t="str">
        <v>GAP-007;GAP-017;GAP-018;GAP-019</v>
      </c>
      <c r="AM100" s="38" t="str">
        <v>Operations / Engineering / Procurement</v>
      </c>
      <c r="AN100" s="38" t="str">
        <v>Manual operation mapped to an existing work surface/inventory function.</v>
      </c>
      <c r="AO100" s="39" t="str">
        <v>Chef/Operations time the operation; Procurement supplies selected-model passport; Engineering confirms asset, placement and connections</v>
      </c>
    </row>
    <row r="101">
      <c r="A101" s="37" t="str">
        <v>EQM-0097</v>
      </c>
      <c r="B101" s="38" t="str">
        <v>VKM-018</v>
      </c>
      <c r="C101" s="38" t="str">
        <v>Традиционный красный борщ</v>
      </c>
      <c r="D101" s="38" t="str">
        <v>Супы</v>
      </c>
      <c r="E101" s="38" t="str">
        <v>0.1.0-DRAFT</v>
      </c>
      <c r="F101" s="38" t="n">
        <v>6</v>
      </c>
      <c r="G101" s="38" t="str">
        <v>порционировать с мясом, сметаной и зеленью</v>
      </c>
      <c r="H101" s="38" t="str">
        <v>HOT-12;HOT-13</v>
      </c>
      <c r="I101" s="38" t="str">
        <v>Столы и полки горячего участка;GN, противни и горячий инвентарь</v>
      </c>
      <c r="J101" s="38" t="str">
        <v>CAPEX.HOT.013;CAPEX.HOT.014</v>
      </c>
      <c r="K101" s="38" t="str">
        <v>MANDATORY</v>
      </c>
      <c r="L101" s="38" t="str">
        <v>APPROVED_STRUCTURE</v>
      </c>
      <c r="M101" s="38" t="str">
        <v>HOT_PREP_PORTIONING</v>
      </c>
      <c r="N101" s="38"/>
      <c r="O101" s="38" t="str">
        <v>BLOCKED</v>
      </c>
      <c r="P101" s="38" t="str">
        <v>Only dish aggregate is available: active 35 min / total 180 min; no unsupported split by operation</v>
      </c>
      <c r="Q101" s="38" t="str">
        <v>HOT-12: По планировке; HOT-13: Совместимость с печами</v>
      </c>
      <c r="R101" s="38" t="str">
        <v>project design requirement</v>
      </c>
      <c r="S101" s="38" t="str">
        <v>PLANNED</v>
      </c>
      <c r="T101" s="38"/>
      <c r="U101" s="38"/>
      <c r="V101" s="38" t="str">
        <v>BLOCKED</v>
      </c>
      <c r="W101" s="38"/>
      <c r="X101" s="38" t="str">
        <v>BLOCKED_NOT_COMPARABLE</v>
      </c>
      <c r="Y101" s="38" t="str">
        <v>Recipe load cannot be compared to the project requirement without tray/form/GN/load and selected-model data</v>
      </c>
      <c r="Z101" s="38"/>
      <c r="AA101" s="38"/>
      <c r="AB101" s="38"/>
      <c r="AC101" s="38"/>
      <c r="AD101" s="38"/>
      <c r="AE101" s="38" t="str">
        <v>BLOCKED_NO_SELECTED_MODEL_PASSPORT</v>
      </c>
      <c r="AF101" s="38" t="str">
        <v>BLOCKED</v>
      </c>
      <c r="AG101" s="38" t="str">
        <v>BLOCKED</v>
      </c>
      <c r="AH101" s="38" t="str">
        <v>BLOCKED_SELECTED_MODEL_AND_SITE_VALIDATION</v>
      </c>
      <c r="AI101" s="38" t="str">
        <v>ESTIMATE</v>
      </c>
      <c r="AJ101" s="38" t="str">
        <v>EVD-0010;EVD-0021;EVD-0022;EVD-0023</v>
      </c>
      <c r="AK101" s="38" t="str">
        <v>2026-08-03</v>
      </c>
      <c r="AL101" s="38" t="str">
        <v>GAP-007;GAP-017;GAP-018;GAP-019</v>
      </c>
      <c r="AM101" s="38" t="str">
        <v>Operations / Engineering / Procurement</v>
      </c>
      <c r="AN101" s="38" t="str">
        <v>Manual operation mapped to an existing work surface/inventory function.</v>
      </c>
      <c r="AO101" s="39" t="str">
        <v>Chef/Operations time the operation; Procurement supplies selected-model passport; Engineering confirms asset, placement and connections</v>
      </c>
    </row>
    <row r="102">
      <c r="A102" s="37" t="str">
        <v>EQM-0098</v>
      </c>
      <c r="B102" s="38" t="str">
        <v>VKM-019</v>
      </c>
      <c r="C102" s="38" t="str">
        <v>Мурманская треска со сливочно-горчичным соусом</v>
      </c>
      <c r="D102" s="38" t="str">
        <v>Горячие блюда</v>
      </c>
      <c r="E102" s="38" t="str">
        <v>0.1.0-DRAFT</v>
      </c>
      <c r="F102" s="38" t="n">
        <v>1</v>
      </c>
      <c r="G102" s="38" t="str">
        <v>Порционировать треску</v>
      </c>
      <c r="H102" s="38" t="str">
        <v>HOT-12;HOT-13</v>
      </c>
      <c r="I102" s="38" t="str">
        <v>Столы и полки горячего участка;GN, противни и горячий инвентарь</v>
      </c>
      <c r="J102" s="38" t="str">
        <v>CAPEX.HOT.013;CAPEX.HOT.014</v>
      </c>
      <c r="K102" s="38" t="str">
        <v>MANDATORY</v>
      </c>
      <c r="L102" s="38" t="str">
        <v>APPROVED_STRUCTURE</v>
      </c>
      <c r="M102" s="38" t="str">
        <v>MANUAL_HOT_LINE_PREP</v>
      </c>
      <c r="N102" s="38"/>
      <c r="O102" s="38" t="str">
        <v>BLOCKED</v>
      </c>
      <c r="P102" s="38" t="str">
        <v>Only dish aggregate is available: active 18 min / total 28 min; no unsupported split by operation</v>
      </c>
      <c r="Q102" s="38" t="str">
        <v>HOT-12: По планировке; HOT-13: Совместимость с печами</v>
      </c>
      <c r="R102" s="38" t="str">
        <v>project design requirement</v>
      </c>
      <c r="S102" s="38" t="str">
        <v>PLANNED</v>
      </c>
      <c r="T102" s="38"/>
      <c r="U102" s="38"/>
      <c r="V102" s="38" t="str">
        <v>BLOCKED</v>
      </c>
      <c r="W102" s="38"/>
      <c r="X102" s="38" t="str">
        <v>BLOCKED_NOT_COMPARABLE</v>
      </c>
      <c r="Y102" s="38" t="str">
        <v>Recipe load cannot be compared to the project requirement without tray/form/GN/load and selected-model data</v>
      </c>
      <c r="Z102" s="38"/>
      <c r="AA102" s="38"/>
      <c r="AB102" s="38"/>
      <c r="AC102" s="38"/>
      <c r="AD102" s="38"/>
      <c r="AE102" s="38" t="str">
        <v>BLOCKED_NO_SELECTED_MODEL_PASSPORT</v>
      </c>
      <c r="AF102" s="38" t="str">
        <v>BLOCKED</v>
      </c>
      <c r="AG102" s="38" t="str">
        <v>BLOCKED</v>
      </c>
      <c r="AH102" s="38" t="str">
        <v>BLOCKED_SELECTED_MODEL_AND_SITE_VALIDATION</v>
      </c>
      <c r="AI102" s="38" t="str">
        <v>ESTIMATE</v>
      </c>
      <c r="AJ102" s="38" t="str">
        <v>EVD-0010;EVD-0021;EVD-0022;EVD-0023</v>
      </c>
      <c r="AK102" s="38" t="str">
        <v>2026-08-03</v>
      </c>
      <c r="AL102" s="38" t="str">
        <v>GAP-007;GAP-017;GAP-018;GAP-019</v>
      </c>
      <c r="AM102" s="38" t="str">
        <v>Operations / Engineering / Procurement</v>
      </c>
      <c r="AN102" s="38" t="str">
        <v>Manual operation mapped to an existing work surface/inventory function.</v>
      </c>
      <c r="AO102" s="39" t="str">
        <v>Chef/Operations time the operation; Procurement supplies selected-model passport; Engineering confirms asset, placement and connections</v>
      </c>
    </row>
    <row r="103">
      <c r="A103" s="37" t="str">
        <v>EQM-0099</v>
      </c>
      <c r="B103" s="38" t="str">
        <v>VKM-019</v>
      </c>
      <c r="C103" s="38" t="str">
        <v>Мурманская треска со сливочно-горчичным соусом</v>
      </c>
      <c r="D103" s="38" t="str">
        <v>Горячие блюда</v>
      </c>
      <c r="E103" s="38" t="str">
        <v>0.1.0-DRAFT</v>
      </c>
      <c r="F103" s="38" t="n">
        <v>2</v>
      </c>
      <c r="G103" s="38" t="str">
        <v>подготовить соус</v>
      </c>
      <c r="H103" s="38" t="str">
        <v>HOT-05B;HOT-13</v>
      </c>
      <c r="I103" s="38" t="str">
        <v>Индукционная плита 2 зоны;GN, противни и горячий инвентарь</v>
      </c>
      <c r="J103" s="38" t="str">
        <v>CAPEX.HOT.006;CAPEX.HOT.014</v>
      </c>
      <c r="K103" s="38" t="str">
        <v>MANDATORY</v>
      </c>
      <c r="L103" s="38" t="str">
        <v>APPROVED_STRUCTURE</v>
      </c>
      <c r="M103" s="38" t="str">
        <v>SAUCE_COOKING</v>
      </c>
      <c r="N103" s="38"/>
      <c r="O103" s="38" t="str">
        <v>BLOCKED</v>
      </c>
      <c r="P103" s="38" t="str">
        <v>Only dish aggregate is available: active 18 min / total 28 min; no unsupported split by operation</v>
      </c>
      <c r="Q103" s="38" t="str">
        <v>HOT-05B: 2 зоны; HOT-13: Совместимость с печами</v>
      </c>
      <c r="R103" s="38" t="str">
        <v>project design requirement</v>
      </c>
      <c r="S103" s="38" t="str">
        <v>PLANNED</v>
      </c>
      <c r="T103" s="38"/>
      <c r="U103" s="38"/>
      <c r="V103" s="38" t="str">
        <v>BLOCKED</v>
      </c>
      <c r="W103" s="38"/>
      <c r="X103" s="38" t="str">
        <v>BLOCKED_NOT_COMPARABLE</v>
      </c>
      <c r="Y103" s="38" t="str">
        <v>Recipe load cannot be compared to the project requirement without tray/form/GN/load and selected-model data</v>
      </c>
      <c r="Z103" s="38"/>
      <c r="AA103" s="38"/>
      <c r="AB103" s="38"/>
      <c r="AC103" s="38"/>
      <c r="AD103" s="38"/>
      <c r="AE103" s="38" t="str">
        <v>BLOCKED_NO_SELECTED_MODEL_PASSPORT</v>
      </c>
      <c r="AF103" s="38" t="str">
        <v>BLOCKED</v>
      </c>
      <c r="AG103" s="38" t="str">
        <v>BLOCKED</v>
      </c>
      <c r="AH103" s="38" t="str">
        <v>BLOCKED_SELECTED_MODEL_AND_SITE_VALIDATION</v>
      </c>
      <c r="AI103" s="38" t="str">
        <v>ESTIMATE</v>
      </c>
      <c r="AJ103" s="38" t="str">
        <v>EVD-0010;EVD-0021;EVD-0022;EVD-0023</v>
      </c>
      <c r="AK103" s="38" t="str">
        <v>2026-08-03</v>
      </c>
      <c r="AL103" s="38" t="str">
        <v>GAP-007;GAP-017;GAP-018;GAP-019</v>
      </c>
      <c r="AM103" s="38" t="str">
        <v>Operations / Engineering / Procurement</v>
      </c>
      <c r="AN103" s="38" t="str">
        <v>Manual operation mapped to an existing work surface/inventory function.</v>
      </c>
      <c r="AO103" s="39" t="str">
        <v>Chef/Operations time the operation; Procurement supplies selected-model passport; Engineering confirms asset, placement and connections</v>
      </c>
    </row>
    <row r="104">
      <c r="A104" s="37" t="str">
        <v>EQM-0100</v>
      </c>
      <c r="B104" s="38" t="str">
        <v>VKM-019</v>
      </c>
      <c r="C104" s="38" t="str">
        <v>Мурманская треска со сливочно-горчичным соусом</v>
      </c>
      <c r="D104" s="38" t="str">
        <v>Горячие блюда</v>
      </c>
      <c r="E104" s="38" t="str">
        <v>0.1.0-DRAFT</v>
      </c>
      <c r="F104" s="38" t="n">
        <v>3</v>
      </c>
      <c r="G104" s="38" t="str">
        <v>обработать рыбу и шпинат</v>
      </c>
      <c r="H104" s="38" t="str">
        <v>HOT-01;HOT-13</v>
      </c>
      <c r="I104" s="38" t="str">
        <v>Пароконвектомат;GN, противни и горячий инвентарь</v>
      </c>
      <c r="J104" s="38" t="str">
        <v>CAPEX.HOT.001;CAPEX.HOT.014</v>
      </c>
      <c r="K104" s="38" t="str">
        <v>MANDATORY</v>
      </c>
      <c r="L104" s="38" t="str">
        <v>APPROVED_STRUCTURE</v>
      </c>
      <c r="M104" s="38" t="str">
        <v>FISH_THERMAL_PROCESS</v>
      </c>
      <c r="N104" s="38"/>
      <c r="O104" s="38" t="str">
        <v>BLOCKED</v>
      </c>
      <c r="P104" s="38" t="str">
        <v>Only dish aggregate is available: active 18 min / total 28 min; no unsupported split by operation</v>
      </c>
      <c r="Q104" s="38" t="str">
        <v>HOT-01: Минимум 6×GN 1/1; программы; термощуп; HOT-13: Совместимость с печами</v>
      </c>
      <c r="R104" s="38" t="str">
        <v>project design requirement</v>
      </c>
      <c r="S104" s="38" t="str">
        <v>PLANNED</v>
      </c>
      <c r="T104" s="38"/>
      <c r="U104" s="38"/>
      <c r="V104" s="38" t="str">
        <v>BLOCKED</v>
      </c>
      <c r="W104" s="38"/>
      <c r="X104" s="38" t="str">
        <v>BLOCKED_NOT_COMPARABLE</v>
      </c>
      <c r="Y104" s="38" t="str">
        <v>Recipe load cannot be compared to the project requirement without tray/form/GN/load and selected-model data</v>
      </c>
      <c r="Z104" s="38"/>
      <c r="AA104" s="38"/>
      <c r="AB104" s="38"/>
      <c r="AC104" s="38"/>
      <c r="AD104" s="38"/>
      <c r="AE104" s="38" t="str">
        <v>BLOCKED_NO_SELECTED_MODEL_PASSPORT</v>
      </c>
      <c r="AF104" s="38" t="str">
        <v>BLOCKED</v>
      </c>
      <c r="AG104" s="38" t="str">
        <v>BLOCKED</v>
      </c>
      <c r="AH104" s="38" t="str">
        <v>BLOCKED_SELECTED_MODEL_AND_SITE_VALIDATION</v>
      </c>
      <c r="AI104" s="38" t="str">
        <v>ESTIMATE</v>
      </c>
      <c r="AJ104" s="38" t="str">
        <v>EVD-0010;EVD-0021;EVD-0022;EVD-0023</v>
      </c>
      <c r="AK104" s="38" t="str">
        <v>2026-08-03</v>
      </c>
      <c r="AL104" s="38" t="str">
        <v>GAP-007;GAP-017;GAP-018;GAP-019</v>
      </c>
      <c r="AM104" s="38" t="str">
        <v>Operations / Engineering / Procurement</v>
      </c>
      <c r="AN104" s="38" t="str">
        <v>Manual operation mapped to an existing work surface/inventory function.</v>
      </c>
      <c r="AO104" s="39" t="str">
        <v>Chef/Operations time the operation; Procurement supplies selected-model passport; Engineering confirms asset, placement and connections</v>
      </c>
    </row>
    <row r="105">
      <c r="A105" s="37" t="str">
        <v>EQM-0101</v>
      </c>
      <c r="B105" s="38" t="str">
        <v>VKM-019</v>
      </c>
      <c r="C105" s="38" t="str">
        <v>Мурманская треска со сливочно-горчичным соусом</v>
      </c>
      <c r="D105" s="38" t="str">
        <v>Горячие блюда</v>
      </c>
      <c r="E105" s="38" t="str">
        <v>0.1.0-DRAFT</v>
      </c>
      <c r="F105" s="38" t="n">
        <v>4</v>
      </c>
      <c r="G105" s="38" t="str">
        <v>довести соус</v>
      </c>
      <c r="H105" s="38" t="str">
        <v>HOT-05B;HOT-13</v>
      </c>
      <c r="I105" s="38" t="str">
        <v>Индукционная плита 2 зоны;GN, противни и горячий инвентарь</v>
      </c>
      <c r="J105" s="38" t="str">
        <v>CAPEX.HOT.006;CAPEX.HOT.014</v>
      </c>
      <c r="K105" s="38" t="str">
        <v>MANDATORY</v>
      </c>
      <c r="L105" s="38" t="str">
        <v>APPROVED_STRUCTURE</v>
      </c>
      <c r="M105" s="38" t="str">
        <v>SAUCE_COOKING</v>
      </c>
      <c r="N105" s="38"/>
      <c r="O105" s="38" t="str">
        <v>BLOCKED</v>
      </c>
      <c r="P105" s="38" t="str">
        <v>Only dish aggregate is available: active 18 min / total 28 min; no unsupported split by operation</v>
      </c>
      <c r="Q105" s="38" t="str">
        <v>HOT-05B: 2 зоны; HOT-13: Совместимость с печами</v>
      </c>
      <c r="R105" s="38" t="str">
        <v>project design requirement</v>
      </c>
      <c r="S105" s="38" t="str">
        <v>PLANNED</v>
      </c>
      <c r="T105" s="38"/>
      <c r="U105" s="38"/>
      <c r="V105" s="38" t="str">
        <v>BLOCKED</v>
      </c>
      <c r="W105" s="38"/>
      <c r="X105" s="38" t="str">
        <v>BLOCKED_NOT_COMPARABLE</v>
      </c>
      <c r="Y105" s="38" t="str">
        <v>Recipe load cannot be compared to the project requirement without tray/form/GN/load and selected-model data</v>
      </c>
      <c r="Z105" s="38"/>
      <c r="AA105" s="38"/>
      <c r="AB105" s="38"/>
      <c r="AC105" s="38"/>
      <c r="AD105" s="38"/>
      <c r="AE105" s="38" t="str">
        <v>BLOCKED_NO_SELECTED_MODEL_PASSPORT</v>
      </c>
      <c r="AF105" s="38" t="str">
        <v>BLOCKED</v>
      </c>
      <c r="AG105" s="38" t="str">
        <v>BLOCKED</v>
      </c>
      <c r="AH105" s="38" t="str">
        <v>BLOCKED_SELECTED_MODEL_AND_SITE_VALIDATION</v>
      </c>
      <c r="AI105" s="38" t="str">
        <v>ESTIMATE</v>
      </c>
      <c r="AJ105" s="38" t="str">
        <v>EVD-0010;EVD-0021;EVD-0022;EVD-0023</v>
      </c>
      <c r="AK105" s="38" t="str">
        <v>2026-08-03</v>
      </c>
      <c r="AL105" s="38" t="str">
        <v>GAP-007;GAP-017;GAP-018;GAP-019</v>
      </c>
      <c r="AM105" s="38" t="str">
        <v>Operations / Engineering / Procurement</v>
      </c>
      <c r="AN105" s="38" t="str">
        <v>Manual operation mapped to an existing work surface/inventory function.</v>
      </c>
      <c r="AO105" s="39" t="str">
        <v>Chef/Operations time the operation; Procurement supplies selected-model passport; Engineering confirms asset, placement and connections</v>
      </c>
    </row>
    <row r="106">
      <c r="A106" s="37" t="str">
        <v>EQM-0102</v>
      </c>
      <c r="B106" s="38" t="str">
        <v>VKM-019</v>
      </c>
      <c r="C106" s="38" t="str">
        <v>Мурманская треска со сливочно-горчичным соусом</v>
      </c>
      <c r="D106" s="38" t="str">
        <v>Горячие блюда</v>
      </c>
      <c r="E106" s="38" t="str">
        <v>0.1.0-DRAFT</v>
      </c>
      <c r="F106" s="38" t="n">
        <v>5</v>
      </c>
      <c r="G106" s="38" t="str">
        <v>собрать и финишировать</v>
      </c>
      <c r="H106" s="38" t="str">
        <v>HOT-12;HOT-13</v>
      </c>
      <c r="I106" s="38" t="str">
        <v>Столы и полки горячего участка;GN, противни и горячий инвентарь</v>
      </c>
      <c r="J106" s="38" t="str">
        <v>CAPEX.HOT.013;CAPEX.HOT.014</v>
      </c>
      <c r="K106" s="38" t="str">
        <v>MANDATORY</v>
      </c>
      <c r="L106" s="38" t="str">
        <v>APPROVED_STRUCTURE</v>
      </c>
      <c r="M106" s="38" t="str">
        <v>HOT_PREP_ASSEMBLY</v>
      </c>
      <c r="N106" s="38"/>
      <c r="O106" s="38" t="str">
        <v>BLOCKED</v>
      </c>
      <c r="P106" s="38" t="str">
        <v>Only dish aggregate is available: active 18 min / total 28 min; no unsupported split by operation</v>
      </c>
      <c r="Q106" s="38" t="str">
        <v>HOT-12: По планировке; HOT-13: Совместимость с печами</v>
      </c>
      <c r="R106" s="38" t="str">
        <v>project design requirement</v>
      </c>
      <c r="S106" s="38" t="str">
        <v>PLANNED</v>
      </c>
      <c r="T106" s="38"/>
      <c r="U106" s="38"/>
      <c r="V106" s="38" t="str">
        <v>BLOCKED</v>
      </c>
      <c r="W106" s="38"/>
      <c r="X106" s="38" t="str">
        <v>BLOCKED_NOT_COMPARABLE</v>
      </c>
      <c r="Y106" s="38" t="str">
        <v>Recipe load cannot be compared to the project requirement without tray/form/GN/load and selected-model data</v>
      </c>
      <c r="Z106" s="38"/>
      <c r="AA106" s="38"/>
      <c r="AB106" s="38"/>
      <c r="AC106" s="38"/>
      <c r="AD106" s="38"/>
      <c r="AE106" s="38" t="str">
        <v>BLOCKED_NO_SELECTED_MODEL_PASSPORT</v>
      </c>
      <c r="AF106" s="38" t="str">
        <v>BLOCKED</v>
      </c>
      <c r="AG106" s="38" t="str">
        <v>BLOCKED</v>
      </c>
      <c r="AH106" s="38" t="str">
        <v>BLOCKED_SELECTED_MODEL_AND_SITE_VALIDATION</v>
      </c>
      <c r="AI106" s="38" t="str">
        <v>ESTIMATE</v>
      </c>
      <c r="AJ106" s="38" t="str">
        <v>EVD-0010;EVD-0021;EVD-0022;EVD-0023</v>
      </c>
      <c r="AK106" s="38" t="str">
        <v>2026-08-03</v>
      </c>
      <c r="AL106" s="38" t="str">
        <v>GAP-007;GAP-017;GAP-018;GAP-019</v>
      </c>
      <c r="AM106" s="38" t="str">
        <v>Operations / Engineering / Procurement</v>
      </c>
      <c r="AN106" s="38" t="str">
        <v>Manual operation mapped to an existing work surface/inventory function.</v>
      </c>
      <c r="AO106" s="39" t="str">
        <v>Chef/Operations time the operation; Procurement supplies selected-model passport; Engineering confirms asset, placement and connections</v>
      </c>
    </row>
    <row r="107">
      <c r="A107" s="37" t="str">
        <v>EQM-0103</v>
      </c>
      <c r="B107" s="38" t="str">
        <v>VKM-020</v>
      </c>
      <c r="C107" s="38" t="str">
        <v>Креветки по-тайски</v>
      </c>
      <c r="D107" s="38" t="str">
        <v>Горячие блюда</v>
      </c>
      <c r="E107" s="38" t="str">
        <v>0.1.0-DRAFT</v>
      </c>
      <c r="F107" s="38" t="n">
        <v>1</v>
      </c>
      <c r="G107" s="38" t="str">
        <v>Подготовить креветки и овощи</v>
      </c>
      <c r="H107" s="38" t="str">
        <v>HOT-12;HOT-13</v>
      </c>
      <c r="I107" s="38" t="str">
        <v>Столы и полки горячего участка;GN, противни и горячий инвентарь</v>
      </c>
      <c r="J107" s="38" t="str">
        <v>CAPEX.HOT.013;CAPEX.HOT.014</v>
      </c>
      <c r="K107" s="38" t="str">
        <v>MANDATORY</v>
      </c>
      <c r="L107" s="38" t="str">
        <v>APPROVED_STRUCTURE</v>
      </c>
      <c r="M107" s="38" t="str">
        <v>MANUAL_HOT_LINE_PREP</v>
      </c>
      <c r="N107" s="38"/>
      <c r="O107" s="38" t="str">
        <v>BLOCKED</v>
      </c>
      <c r="P107" s="38" t="str">
        <v>Only dish aggregate is available: active 20 min / total 30 min; no unsupported split by operation</v>
      </c>
      <c r="Q107" s="38" t="str">
        <v>HOT-12: По планировке; HOT-13: Совместимость с печами</v>
      </c>
      <c r="R107" s="38" t="str">
        <v>project design requirement</v>
      </c>
      <c r="S107" s="38" t="str">
        <v>PLANNED</v>
      </c>
      <c r="T107" s="38"/>
      <c r="U107" s="38"/>
      <c r="V107" s="38" t="str">
        <v>BLOCKED</v>
      </c>
      <c r="W107" s="38"/>
      <c r="X107" s="38" t="str">
        <v>BLOCKED_NOT_COMPARABLE</v>
      </c>
      <c r="Y107" s="38" t="str">
        <v>Recipe load cannot be compared to the project requirement without tray/form/GN/load and selected-model data</v>
      </c>
      <c r="Z107" s="38"/>
      <c r="AA107" s="38"/>
      <c r="AB107" s="38"/>
      <c r="AC107" s="38"/>
      <c r="AD107" s="38"/>
      <c r="AE107" s="38" t="str">
        <v>BLOCKED_NO_SELECTED_MODEL_PASSPORT</v>
      </c>
      <c r="AF107" s="38" t="str">
        <v>BLOCKED</v>
      </c>
      <c r="AG107" s="38" t="str">
        <v>BLOCKED</v>
      </c>
      <c r="AH107" s="38" t="str">
        <v>BLOCKED_SELECTED_MODEL_AND_SITE_VALIDATION</v>
      </c>
      <c r="AI107" s="38" t="str">
        <v>ESTIMATE</v>
      </c>
      <c r="AJ107" s="38" t="str">
        <v>EVD-0010;EVD-0021;EVD-0022;EVD-0023</v>
      </c>
      <c r="AK107" s="38" t="str">
        <v>2026-08-03</v>
      </c>
      <c r="AL107" s="38" t="str">
        <v>GAP-007;GAP-017;GAP-018;GAP-019</v>
      </c>
      <c r="AM107" s="38" t="str">
        <v>Operations / Engineering / Procurement</v>
      </c>
      <c r="AN107" s="38" t="str">
        <v>Manual operation mapped to an existing work surface/inventory function.</v>
      </c>
      <c r="AO107" s="39" t="str">
        <v>Chef/Operations time the operation; Procurement supplies selected-model passport; Engineering confirms asset, placement and connections</v>
      </c>
    </row>
    <row r="108">
      <c r="A108" s="37" t="str">
        <v>EQM-0104</v>
      </c>
      <c r="B108" s="38" t="str">
        <v>VKM-020</v>
      </c>
      <c r="C108" s="38" t="str">
        <v>Креветки по-тайски</v>
      </c>
      <c r="D108" s="38" t="str">
        <v>Горячие блюда</v>
      </c>
      <c r="E108" s="38" t="str">
        <v>0.1.0-DRAFT</v>
      </c>
      <c r="F108" s="38" t="n">
        <v>2</v>
      </c>
      <c r="G108" s="38" t="str">
        <v>приготовить кокосовый соус</v>
      </c>
      <c r="H108" s="38" t="str">
        <v>HOT-03;HOT-13</v>
      </c>
      <c r="I108" s="38" t="str">
        <v>WOK-пост;GN, противни и горячий инвентарь</v>
      </c>
      <c r="J108" s="38" t="str">
        <v>CAPEX.HOT.003;CAPEX.HOT.014</v>
      </c>
      <c r="K108" s="38" t="str">
        <v>MANDATORY</v>
      </c>
      <c r="L108" s="38" t="str">
        <v>APPROVED_STRUCTURE</v>
      </c>
      <c r="M108" s="38" t="str">
        <v>WOK_COOKING</v>
      </c>
      <c r="N108" s="38"/>
      <c r="O108" s="38" t="str">
        <v>BLOCKED</v>
      </c>
      <c r="P108" s="38" t="str">
        <v>Only dish aggregate is available: active 20 min / total 30 min; no unsupported split by operation</v>
      </c>
      <c r="Q108" s="38" t="str">
        <v>HOT-03: ≥5 порций/час; HOT-13: Совместимость с печами</v>
      </c>
      <c r="R108" s="38" t="str">
        <v>project design requirement</v>
      </c>
      <c r="S108" s="38" t="str">
        <v>PLANNED</v>
      </c>
      <c r="T108" s="38" t="n">
        <v>1</v>
      </c>
      <c r="U108" s="38" t="str">
        <v>порция</v>
      </c>
      <c r="V108" s="38" t="str">
        <v>ASSUMPTION_RECIPE_UNIT</v>
      </c>
      <c r="W108" s="38" t="n">
        <v>1</v>
      </c>
      <c r="X108" s="38" t="str">
        <v>CALCULATED_FROM_PROJECT_THROUGHPUT</v>
      </c>
      <c r="Y108" s="38" t="str">
        <v>1 portion / project minimum 5 portions per hour; this is not a passport cycle</v>
      </c>
      <c r="Z108" s="38"/>
      <c r="AA108" s="38"/>
      <c r="AB108" s="38"/>
      <c r="AC108" s="38"/>
      <c r="AD108" s="38"/>
      <c r="AE108" s="38" t="str">
        <v>BLOCKED_NO_SELECTED_MODEL_PASSPORT</v>
      </c>
      <c r="AF108" s="38" t="str">
        <v>BLOCKED</v>
      </c>
      <c r="AG108" s="38" t="str">
        <v>BLOCKED</v>
      </c>
      <c r="AH108" s="38" t="str">
        <v>BLOCKED_SELECTED_MODEL_AND_SITE_VALIDATION</v>
      </c>
      <c r="AI108" s="38" t="str">
        <v>ESTIMATE</v>
      </c>
      <c r="AJ108" s="38" t="str">
        <v>EVD-0010;EVD-0021;EVD-0022;EVD-0023</v>
      </c>
      <c r="AK108" s="38" t="str">
        <v>2026-08-03</v>
      </c>
      <c r="AL108" s="38" t="str">
        <v>GAP-007;GAP-017;GAP-018;GAP-019</v>
      </c>
      <c r="AM108" s="38" t="str">
        <v>Operations / Engineering / Procurement</v>
      </c>
      <c r="AN108" s="38" t="str">
        <v>Manual operation mapped to an existing work surface/inventory function.</v>
      </c>
      <c r="AO108" s="39" t="str">
        <v>Chef/Operations time the operation; Procurement supplies selected-model passport; Engineering confirms asset, placement and connections</v>
      </c>
    </row>
    <row r="109">
      <c r="A109" s="37" t="str">
        <v>EQM-0105</v>
      </c>
      <c r="B109" s="38" t="str">
        <v>VKM-020</v>
      </c>
      <c r="C109" s="38" t="str">
        <v>Креветки по-тайски</v>
      </c>
      <c r="D109" s="38" t="str">
        <v>Горячие блюда</v>
      </c>
      <c r="E109" s="38" t="str">
        <v>0.1.0-DRAFT</v>
      </c>
      <c r="F109" s="38" t="n">
        <v>3</v>
      </c>
      <c r="G109" s="38" t="str">
        <v>последовательно обработать компоненты</v>
      </c>
      <c r="H109" s="38" t="str">
        <v>HOT-03;HOT-13</v>
      </c>
      <c r="I109" s="38" t="str">
        <v>WOK-пост;GN, противни и горячий инвентарь</v>
      </c>
      <c r="J109" s="38" t="str">
        <v>CAPEX.HOT.003;CAPEX.HOT.014</v>
      </c>
      <c r="K109" s="38" t="str">
        <v>MANDATORY</v>
      </c>
      <c r="L109" s="38" t="str">
        <v>APPROVED_STRUCTURE</v>
      </c>
      <c r="M109" s="38" t="str">
        <v>WOK_COOKING</v>
      </c>
      <c r="N109" s="38"/>
      <c r="O109" s="38" t="str">
        <v>BLOCKED</v>
      </c>
      <c r="P109" s="38" t="str">
        <v>Only dish aggregate is available: active 20 min / total 30 min; no unsupported split by operation</v>
      </c>
      <c r="Q109" s="38" t="str">
        <v>HOT-03: ≥5 порций/час; HOT-13: Совместимость с печами</v>
      </c>
      <c r="R109" s="38" t="str">
        <v>project design requirement</v>
      </c>
      <c r="S109" s="38" t="str">
        <v>PLANNED</v>
      </c>
      <c r="T109" s="38" t="n">
        <v>1</v>
      </c>
      <c r="U109" s="38" t="str">
        <v>порция</v>
      </c>
      <c r="V109" s="38" t="str">
        <v>ASSUMPTION_RECIPE_UNIT</v>
      </c>
      <c r="W109" s="38" t="n">
        <v>1</v>
      </c>
      <c r="X109" s="38" t="str">
        <v>CALCULATED_FROM_PROJECT_THROUGHPUT</v>
      </c>
      <c r="Y109" s="38" t="str">
        <v>1 portion / project minimum 5 portions per hour; this is not a passport cycle</v>
      </c>
      <c r="Z109" s="38"/>
      <c r="AA109" s="38"/>
      <c r="AB109" s="38"/>
      <c r="AC109" s="38"/>
      <c r="AD109" s="38"/>
      <c r="AE109" s="38" t="str">
        <v>BLOCKED_NO_SELECTED_MODEL_PASSPORT</v>
      </c>
      <c r="AF109" s="38" t="str">
        <v>BLOCKED</v>
      </c>
      <c r="AG109" s="38" t="str">
        <v>BLOCKED</v>
      </c>
      <c r="AH109" s="38" t="str">
        <v>BLOCKED_SELECTED_MODEL_AND_SITE_VALIDATION</v>
      </c>
      <c r="AI109" s="38" t="str">
        <v>ESTIMATE</v>
      </c>
      <c r="AJ109" s="38" t="str">
        <v>EVD-0010;EVD-0021;EVD-0022;EVD-0023</v>
      </c>
      <c r="AK109" s="38" t="str">
        <v>2026-08-03</v>
      </c>
      <c r="AL109" s="38" t="str">
        <v>GAP-007;GAP-017;GAP-018;GAP-019</v>
      </c>
      <c r="AM109" s="38" t="str">
        <v>Operations / Engineering / Procurement</v>
      </c>
      <c r="AN109" s="38" t="str">
        <v>Manual operation mapped to an existing work surface/inventory function.</v>
      </c>
      <c r="AO109" s="39" t="str">
        <v>Chef/Operations time the operation; Procurement supplies selected-model passport; Engineering confirms asset, placement and connections</v>
      </c>
    </row>
    <row r="110">
      <c r="A110" s="37" t="str">
        <v>EQM-0106</v>
      </c>
      <c r="B110" s="38" t="str">
        <v>VKM-020</v>
      </c>
      <c r="C110" s="38" t="str">
        <v>Креветки по-тайски</v>
      </c>
      <c r="D110" s="38" t="str">
        <v>Горячие блюда</v>
      </c>
      <c r="E110" s="38" t="str">
        <v>0.1.0-DRAFT</v>
      </c>
      <c r="F110" s="38" t="n">
        <v>4</v>
      </c>
      <c r="G110" s="38" t="str">
        <v>добавить лапшу</v>
      </c>
      <c r="H110" s="38" t="str">
        <v>HOT-03;HOT-13</v>
      </c>
      <c r="I110" s="38" t="str">
        <v>WOK-пост;GN, противни и горячий инвентарь</v>
      </c>
      <c r="J110" s="38" t="str">
        <v>CAPEX.HOT.003;CAPEX.HOT.014</v>
      </c>
      <c r="K110" s="38" t="str">
        <v>MANDATORY</v>
      </c>
      <c r="L110" s="38" t="str">
        <v>APPROVED_STRUCTURE</v>
      </c>
      <c r="M110" s="38" t="str">
        <v>WOK_COOKING</v>
      </c>
      <c r="N110" s="38"/>
      <c r="O110" s="38" t="str">
        <v>BLOCKED</v>
      </c>
      <c r="P110" s="38" t="str">
        <v>Only dish aggregate is available: active 20 min / total 30 min; no unsupported split by operation</v>
      </c>
      <c r="Q110" s="38" t="str">
        <v>HOT-03: ≥5 порций/час; HOT-13: Совместимость с печами</v>
      </c>
      <c r="R110" s="38" t="str">
        <v>project design requirement</v>
      </c>
      <c r="S110" s="38" t="str">
        <v>PLANNED</v>
      </c>
      <c r="T110" s="38" t="n">
        <v>1</v>
      </c>
      <c r="U110" s="38" t="str">
        <v>порция</v>
      </c>
      <c r="V110" s="38" t="str">
        <v>ASSUMPTION_RECIPE_UNIT</v>
      </c>
      <c r="W110" s="38" t="n">
        <v>1</v>
      </c>
      <c r="X110" s="38" t="str">
        <v>CALCULATED_FROM_PROJECT_THROUGHPUT</v>
      </c>
      <c r="Y110" s="38" t="str">
        <v>1 portion / project minimum 5 portions per hour; this is not a passport cycle</v>
      </c>
      <c r="Z110" s="38"/>
      <c r="AA110" s="38"/>
      <c r="AB110" s="38"/>
      <c r="AC110" s="38"/>
      <c r="AD110" s="38"/>
      <c r="AE110" s="38" t="str">
        <v>BLOCKED_NO_SELECTED_MODEL_PASSPORT</v>
      </c>
      <c r="AF110" s="38" t="str">
        <v>BLOCKED</v>
      </c>
      <c r="AG110" s="38" t="str">
        <v>BLOCKED</v>
      </c>
      <c r="AH110" s="38" t="str">
        <v>BLOCKED_SELECTED_MODEL_AND_SITE_VALIDATION</v>
      </c>
      <c r="AI110" s="38" t="str">
        <v>ESTIMATE</v>
      </c>
      <c r="AJ110" s="38" t="str">
        <v>EVD-0010;EVD-0021;EVD-0022;EVD-0023</v>
      </c>
      <c r="AK110" s="38" t="str">
        <v>2026-08-03</v>
      </c>
      <c r="AL110" s="38" t="str">
        <v>GAP-007;GAP-017;GAP-018;GAP-019</v>
      </c>
      <c r="AM110" s="38" t="str">
        <v>Operations / Engineering / Procurement</v>
      </c>
      <c r="AN110" s="38" t="str">
        <v>Manual operation mapped to an existing work surface/inventory function.</v>
      </c>
      <c r="AO110" s="39" t="str">
        <v>Chef/Operations time the operation; Procurement supplies selected-model passport; Engineering confirms asset, placement and connections</v>
      </c>
    </row>
    <row r="111">
      <c r="A111" s="37" t="str">
        <v>EQM-0107</v>
      </c>
      <c r="B111" s="38" t="str">
        <v>VKM-020</v>
      </c>
      <c r="C111" s="38" t="str">
        <v>Креветки по-тайски</v>
      </c>
      <c r="D111" s="38" t="str">
        <v>Горячие блюда</v>
      </c>
      <c r="E111" s="38" t="str">
        <v>0.1.0-DRAFT</v>
      </c>
      <c r="F111" s="38" t="n">
        <v>5</v>
      </c>
      <c r="G111" s="38" t="str">
        <v>довести и финишировать</v>
      </c>
      <c r="H111" s="38" t="str">
        <v>HOT-12;HOT-13</v>
      </c>
      <c r="I111" s="38" t="str">
        <v>Столы и полки горячего участка;GN, противни и горячий инвентарь</v>
      </c>
      <c r="J111" s="38" t="str">
        <v>CAPEX.HOT.013;CAPEX.HOT.014</v>
      </c>
      <c r="K111" s="38" t="str">
        <v>MANDATORY</v>
      </c>
      <c r="L111" s="38" t="str">
        <v>APPROVED_STRUCTURE</v>
      </c>
      <c r="M111" s="38" t="str">
        <v>HOT_PREP_ASSEMBLY</v>
      </c>
      <c r="N111" s="38"/>
      <c r="O111" s="38" t="str">
        <v>BLOCKED</v>
      </c>
      <c r="P111" s="38" t="str">
        <v>Only dish aggregate is available: active 20 min / total 30 min; no unsupported split by operation</v>
      </c>
      <c r="Q111" s="38" t="str">
        <v>HOT-12: По планировке; HOT-13: Совместимость с печами</v>
      </c>
      <c r="R111" s="38" t="str">
        <v>project design requirement</v>
      </c>
      <c r="S111" s="38" t="str">
        <v>PLANNED</v>
      </c>
      <c r="T111" s="38"/>
      <c r="U111" s="38"/>
      <c r="V111" s="38" t="str">
        <v>BLOCKED</v>
      </c>
      <c r="W111" s="38"/>
      <c r="X111" s="38" t="str">
        <v>BLOCKED_NOT_COMPARABLE</v>
      </c>
      <c r="Y111" s="38" t="str">
        <v>Recipe load cannot be compared to the project requirement without tray/form/GN/load and selected-model data</v>
      </c>
      <c r="Z111" s="38"/>
      <c r="AA111" s="38"/>
      <c r="AB111" s="38"/>
      <c r="AC111" s="38"/>
      <c r="AD111" s="38"/>
      <c r="AE111" s="38" t="str">
        <v>BLOCKED_NO_SELECTED_MODEL_PASSPORT</v>
      </c>
      <c r="AF111" s="38" t="str">
        <v>BLOCKED</v>
      </c>
      <c r="AG111" s="38" t="str">
        <v>BLOCKED</v>
      </c>
      <c r="AH111" s="38" t="str">
        <v>BLOCKED_SELECTED_MODEL_AND_SITE_VALIDATION</v>
      </c>
      <c r="AI111" s="38" t="str">
        <v>ESTIMATE</v>
      </c>
      <c r="AJ111" s="38" t="str">
        <v>EVD-0010;EVD-0021;EVD-0022;EVD-0023</v>
      </c>
      <c r="AK111" s="38" t="str">
        <v>2026-08-03</v>
      </c>
      <c r="AL111" s="38" t="str">
        <v>GAP-007;GAP-017;GAP-018;GAP-019</v>
      </c>
      <c r="AM111" s="38" t="str">
        <v>Operations / Engineering / Procurement</v>
      </c>
      <c r="AN111" s="38" t="str">
        <v>Manual operation mapped to an existing work surface/inventory function.</v>
      </c>
      <c r="AO111" s="39" t="str">
        <v>Chef/Operations time the operation; Procurement supplies selected-model passport; Engineering confirms asset, placement and connections</v>
      </c>
    </row>
    <row r="112">
      <c r="A112" s="37" t="str">
        <v>EQM-0108</v>
      </c>
      <c r="B112" s="38" t="str">
        <v>VKM-021</v>
      </c>
      <c r="C112" s="38" t="str">
        <v>Бургер VARSHAVKA</v>
      </c>
      <c r="D112" s="38" t="str">
        <v>Горячие блюда</v>
      </c>
      <c r="E112" s="38" t="str">
        <v>0.1.0-DRAFT</v>
      </c>
      <c r="F112" s="38" t="n">
        <v>1</v>
      </c>
      <c r="G112" s="38" t="str">
        <v>Подготовить котлету и соус</v>
      </c>
      <c r="H112" s="38" t="str">
        <v>HOT-12;HOT-13</v>
      </c>
      <c r="I112" s="38" t="str">
        <v>Столы и полки горячего участка;GN, противни и горячий инвентарь</v>
      </c>
      <c r="J112" s="38" t="str">
        <v>CAPEX.HOT.013;CAPEX.HOT.014</v>
      </c>
      <c r="K112" s="38" t="str">
        <v>MANDATORY</v>
      </c>
      <c r="L112" s="38" t="str">
        <v>APPROVED_STRUCTURE</v>
      </c>
      <c r="M112" s="38" t="str">
        <v>MANUAL_HOT_LINE_PREP</v>
      </c>
      <c r="N112" s="38"/>
      <c r="O112" s="38" t="str">
        <v>BLOCKED</v>
      </c>
      <c r="P112" s="38" t="str">
        <v>Only dish aggregate is available: active 15 min / total 25 min; no unsupported split by operation</v>
      </c>
      <c r="Q112" s="38" t="str">
        <v>HOT-12: По планировке; HOT-13: Совместимость с печами</v>
      </c>
      <c r="R112" s="38" t="str">
        <v>project design requirement</v>
      </c>
      <c r="S112" s="38" t="str">
        <v>PLANNED</v>
      </c>
      <c r="T112" s="38"/>
      <c r="U112" s="38"/>
      <c r="V112" s="38" t="str">
        <v>BLOCKED</v>
      </c>
      <c r="W112" s="38"/>
      <c r="X112" s="38" t="str">
        <v>BLOCKED_NOT_COMPARABLE</v>
      </c>
      <c r="Y112" s="38" t="str">
        <v>Recipe load cannot be compared to the project requirement without tray/form/GN/load and selected-model data</v>
      </c>
      <c r="Z112" s="38"/>
      <c r="AA112" s="38"/>
      <c r="AB112" s="38"/>
      <c r="AC112" s="38"/>
      <c r="AD112" s="38"/>
      <c r="AE112" s="38" t="str">
        <v>BLOCKED_NO_SELECTED_MODEL_PASSPORT</v>
      </c>
      <c r="AF112" s="38" t="str">
        <v>BLOCKED</v>
      </c>
      <c r="AG112" s="38" t="str">
        <v>BLOCKED</v>
      </c>
      <c r="AH112" s="38" t="str">
        <v>BLOCKED_SELECTED_MODEL_AND_SITE_VALIDATION</v>
      </c>
      <c r="AI112" s="38" t="str">
        <v>ESTIMATE</v>
      </c>
      <c r="AJ112" s="38" t="str">
        <v>EVD-0010;EVD-0021;EVD-0022;EVD-0023</v>
      </c>
      <c r="AK112" s="38" t="str">
        <v>2026-08-03</v>
      </c>
      <c r="AL112" s="38" t="str">
        <v>GAP-007;GAP-017;GAP-018;GAP-019</v>
      </c>
      <c r="AM112" s="38" t="str">
        <v>Operations / Engineering / Procurement</v>
      </c>
      <c r="AN112" s="38" t="str">
        <v>Manual operation mapped to an existing work surface/inventory function.</v>
      </c>
      <c r="AO112" s="39" t="str">
        <v>Chef/Operations time the operation; Procurement supplies selected-model passport; Engineering confirms asset, placement and connections</v>
      </c>
    </row>
    <row r="113">
      <c r="A113" s="37" t="str">
        <v>EQM-0109</v>
      </c>
      <c r="B113" s="38" t="str">
        <v>VKM-021</v>
      </c>
      <c r="C113" s="38" t="str">
        <v>Бургер VARSHAVKA</v>
      </c>
      <c r="D113" s="38" t="str">
        <v>Горячие блюда</v>
      </c>
      <c r="E113" s="38" t="str">
        <v>0.1.0-DRAFT</v>
      </c>
      <c r="F113" s="38" t="n">
        <v>2</v>
      </c>
      <c r="G113" s="38" t="str">
        <v>разрезать и подготовить бриошь</v>
      </c>
      <c r="H113" s="38" t="str">
        <v>HOT-12;HOT-13</v>
      </c>
      <c r="I113" s="38" t="str">
        <v>Столы и полки горячего участка;GN, противни и горячий инвентарь</v>
      </c>
      <c r="J113" s="38" t="str">
        <v>CAPEX.HOT.013;CAPEX.HOT.014</v>
      </c>
      <c r="K113" s="38" t="str">
        <v>MANDATORY</v>
      </c>
      <c r="L113" s="38" t="str">
        <v>APPROVED_STRUCTURE</v>
      </c>
      <c r="M113" s="38" t="str">
        <v>HOT_PREP_ASSEMBLY</v>
      </c>
      <c r="N113" s="38"/>
      <c r="O113" s="38" t="str">
        <v>BLOCKED</v>
      </c>
      <c r="P113" s="38" t="str">
        <v>Only dish aggregate is available: active 15 min / total 25 min; no unsupported split by operation</v>
      </c>
      <c r="Q113" s="38" t="str">
        <v>HOT-12: По планировке; HOT-13: Совместимость с печами</v>
      </c>
      <c r="R113" s="38" t="str">
        <v>project design requirement</v>
      </c>
      <c r="S113" s="38" t="str">
        <v>PLANNED</v>
      </c>
      <c r="T113" s="38"/>
      <c r="U113" s="38"/>
      <c r="V113" s="38" t="str">
        <v>BLOCKED</v>
      </c>
      <c r="W113" s="38"/>
      <c r="X113" s="38" t="str">
        <v>BLOCKED_NOT_COMPARABLE</v>
      </c>
      <c r="Y113" s="38" t="str">
        <v>Recipe load cannot be compared to the project requirement without tray/form/GN/load and selected-model data</v>
      </c>
      <c r="Z113" s="38"/>
      <c r="AA113" s="38"/>
      <c r="AB113" s="38"/>
      <c r="AC113" s="38"/>
      <c r="AD113" s="38"/>
      <c r="AE113" s="38" t="str">
        <v>BLOCKED_NO_SELECTED_MODEL_PASSPORT</v>
      </c>
      <c r="AF113" s="38" t="str">
        <v>BLOCKED</v>
      </c>
      <c r="AG113" s="38" t="str">
        <v>BLOCKED</v>
      </c>
      <c r="AH113" s="38" t="str">
        <v>BLOCKED_SELECTED_MODEL_AND_SITE_VALIDATION</v>
      </c>
      <c r="AI113" s="38" t="str">
        <v>ESTIMATE</v>
      </c>
      <c r="AJ113" s="38" t="str">
        <v>EVD-0010;EVD-0021;EVD-0022;EVD-0023</v>
      </c>
      <c r="AK113" s="38" t="str">
        <v>2026-08-03</v>
      </c>
      <c r="AL113" s="38" t="str">
        <v>GAP-007;GAP-017;GAP-018;GAP-019</v>
      </c>
      <c r="AM113" s="38" t="str">
        <v>Operations / Engineering / Procurement</v>
      </c>
      <c r="AN113" s="38" t="str">
        <v>Manual operation mapped to an existing work surface/inventory function.</v>
      </c>
      <c r="AO113" s="39" t="str">
        <v>Chef/Operations time the operation; Procurement supplies selected-model passport; Engineering confirms asset, placement and connections</v>
      </c>
    </row>
    <row r="114">
      <c r="A114" s="37" t="str">
        <v>EQM-0110</v>
      </c>
      <c r="B114" s="38" t="str">
        <v>VKM-021</v>
      </c>
      <c r="C114" s="38" t="str">
        <v>Бургер VARSHAVKA</v>
      </c>
      <c r="D114" s="38" t="str">
        <v>Горячие блюда</v>
      </c>
      <c r="E114" s="38" t="str">
        <v>0.1.0-DRAFT</v>
      </c>
      <c r="F114" s="38" t="n">
        <v>3</v>
      </c>
      <c r="G114" s="38" t="str">
        <v>обработать котлету</v>
      </c>
      <c r="H114" s="38" t="str">
        <v>HOT-02;HOT-13</v>
      </c>
      <c r="I114" s="38" t="str">
        <v>Двухзонный теппан;GN, противни и горячий инвентарь</v>
      </c>
      <c r="J114" s="38" t="str">
        <v>CAPEX.HOT.002;CAPEX.HOT.014</v>
      </c>
      <c r="K114" s="38" t="str">
        <v>MANDATORY</v>
      </c>
      <c r="L114" s="38" t="str">
        <v>APPROVED_STRUCTURE</v>
      </c>
      <c r="M114" s="38" t="str">
        <v>CONTACT_THERMAL_PROCESS</v>
      </c>
      <c r="N114" s="38"/>
      <c r="O114" s="38" t="str">
        <v>BLOCKED</v>
      </c>
      <c r="P114" s="38" t="str">
        <v>Only dish aggregate is available: active 15 min / total 25 min; no unsupported split by operation</v>
      </c>
      <c r="Q114" s="38" t="str">
        <v>HOT-02: ≥16 мясных изделий/час; HOT-13: Совместимость с печами</v>
      </c>
      <c r="R114" s="38" t="str">
        <v>project design requirement</v>
      </c>
      <c r="S114" s="38" t="str">
        <v>PLANNED</v>
      </c>
      <c r="T114" s="38"/>
      <c r="U114" s="38"/>
      <c r="V114" s="38" t="str">
        <v>BLOCKED</v>
      </c>
      <c r="W114" s="38"/>
      <c r="X114" s="38" t="str">
        <v>BLOCKED_NOT_COMPARABLE</v>
      </c>
      <c r="Y114" s="38" t="str">
        <v>Recipe load cannot be compared to the project requirement without tray/form/GN/load and selected-model data</v>
      </c>
      <c r="Z114" s="38"/>
      <c r="AA114" s="38"/>
      <c r="AB114" s="38"/>
      <c r="AC114" s="38"/>
      <c r="AD114" s="38"/>
      <c r="AE114" s="38" t="str">
        <v>BLOCKED_NO_SELECTED_MODEL_PASSPORT</v>
      </c>
      <c r="AF114" s="38" t="str">
        <v>BLOCKED</v>
      </c>
      <c r="AG114" s="38" t="str">
        <v>BLOCKED</v>
      </c>
      <c r="AH114" s="38" t="str">
        <v>BLOCKED_SELECTED_MODEL_AND_SITE_VALIDATION</v>
      </c>
      <c r="AI114" s="38" t="str">
        <v>ESTIMATE</v>
      </c>
      <c r="AJ114" s="38" t="str">
        <v>EVD-0010;EVD-0021;EVD-0022;EVD-0023</v>
      </c>
      <c r="AK114" s="38" t="str">
        <v>2026-08-03</v>
      </c>
      <c r="AL114" s="38" t="str">
        <v>GAP-007;GAP-017;GAP-018;GAP-019</v>
      </c>
      <c r="AM114" s="38" t="str">
        <v>Operations / Engineering / Procurement</v>
      </c>
      <c r="AN114" s="38" t="str">
        <v>Manual operation mapped to an existing work surface/inventory function.</v>
      </c>
      <c r="AO114" s="39" t="str">
        <v>Chef/Operations time the operation; Procurement supplies selected-model passport; Engineering confirms asset, placement and connections</v>
      </c>
    </row>
    <row r="115">
      <c r="A115" s="37" t="str">
        <v>EQM-0111</v>
      </c>
      <c r="B115" s="38" t="str">
        <v>VKM-021</v>
      </c>
      <c r="C115" s="38" t="str">
        <v>Бургер VARSHAVKA</v>
      </c>
      <c r="D115" s="38" t="str">
        <v>Горячие блюда</v>
      </c>
      <c r="E115" s="38" t="str">
        <v>0.1.0-DRAFT</v>
      </c>
      <c r="F115" s="38" t="n">
        <v>4</v>
      </c>
      <c r="G115" s="38" t="str">
        <v>расплавить сыр</v>
      </c>
      <c r="H115" s="38" t="str">
        <v>HOT-12;HOT-13</v>
      </c>
      <c r="I115" s="38" t="str">
        <v>Столы и полки горячего участка;GN, противни и горячий инвентарь</v>
      </c>
      <c r="J115" s="38" t="str">
        <v>CAPEX.HOT.013;CAPEX.HOT.014</v>
      </c>
      <c r="K115" s="38" t="str">
        <v>MANDATORY</v>
      </c>
      <c r="L115" s="38" t="str">
        <v>APPROVED_STRUCTURE</v>
      </c>
      <c r="M115" s="38" t="str">
        <v>HOT_PREP_ASSEMBLY</v>
      </c>
      <c r="N115" s="38"/>
      <c r="O115" s="38" t="str">
        <v>BLOCKED</v>
      </c>
      <c r="P115" s="38" t="str">
        <v>Only dish aggregate is available: active 15 min / total 25 min; no unsupported split by operation</v>
      </c>
      <c r="Q115" s="38" t="str">
        <v>HOT-12: По планировке; HOT-13: Совместимость с печами</v>
      </c>
      <c r="R115" s="38" t="str">
        <v>project design requirement</v>
      </c>
      <c r="S115" s="38" t="str">
        <v>PLANNED</v>
      </c>
      <c r="T115" s="38"/>
      <c r="U115" s="38"/>
      <c r="V115" s="38" t="str">
        <v>BLOCKED</v>
      </c>
      <c r="W115" s="38"/>
      <c r="X115" s="38" t="str">
        <v>BLOCKED_NOT_COMPARABLE</v>
      </c>
      <c r="Y115" s="38" t="str">
        <v>Recipe load cannot be compared to the project requirement without tray/form/GN/load and selected-model data</v>
      </c>
      <c r="Z115" s="38"/>
      <c r="AA115" s="38"/>
      <c r="AB115" s="38"/>
      <c r="AC115" s="38"/>
      <c r="AD115" s="38"/>
      <c r="AE115" s="38" t="str">
        <v>BLOCKED_NO_SELECTED_MODEL_PASSPORT</v>
      </c>
      <c r="AF115" s="38" t="str">
        <v>BLOCKED</v>
      </c>
      <c r="AG115" s="38" t="str">
        <v>BLOCKED</v>
      </c>
      <c r="AH115" s="38" t="str">
        <v>BLOCKED_SELECTED_MODEL_AND_SITE_VALIDATION</v>
      </c>
      <c r="AI115" s="38" t="str">
        <v>ESTIMATE</v>
      </c>
      <c r="AJ115" s="38" t="str">
        <v>EVD-0010;EVD-0021;EVD-0022;EVD-0023</v>
      </c>
      <c r="AK115" s="38" t="str">
        <v>2026-08-03</v>
      </c>
      <c r="AL115" s="38" t="str">
        <v>GAP-007;GAP-017;GAP-018;GAP-019</v>
      </c>
      <c r="AM115" s="38" t="str">
        <v>Operations / Engineering / Procurement</v>
      </c>
      <c r="AN115" s="38" t="str">
        <v>Manual operation mapped to an existing work surface/inventory function.</v>
      </c>
      <c r="AO115" s="39" t="str">
        <v>Chef/Operations time the operation; Procurement supplies selected-model passport; Engineering confirms asset, placement and connections</v>
      </c>
    </row>
    <row r="116">
      <c r="A116" s="37" t="str">
        <v>EQM-0112</v>
      </c>
      <c r="B116" s="38" t="str">
        <v>VKM-021</v>
      </c>
      <c r="C116" s="38" t="str">
        <v>Бургер VARSHAVKA</v>
      </c>
      <c r="D116" s="38" t="str">
        <v>Горячие блюда</v>
      </c>
      <c r="E116" s="38" t="str">
        <v>0.1.0-DRAFT</v>
      </c>
      <c r="F116" s="38" t="n">
        <v>5</v>
      </c>
      <c r="G116" s="38" t="str">
        <v>собрать в заданном порядке</v>
      </c>
      <c r="H116" s="38" t="str">
        <v>HOT-12;HOT-13</v>
      </c>
      <c r="I116" s="38" t="str">
        <v>Столы и полки горячего участка;GN, противни и горячий инвентарь</v>
      </c>
      <c r="J116" s="38" t="str">
        <v>CAPEX.HOT.013;CAPEX.HOT.014</v>
      </c>
      <c r="K116" s="38" t="str">
        <v>MANDATORY</v>
      </c>
      <c r="L116" s="38" t="str">
        <v>APPROVED_STRUCTURE</v>
      </c>
      <c r="M116" s="38" t="str">
        <v>HOT_PREP_ASSEMBLY</v>
      </c>
      <c r="N116" s="38"/>
      <c r="O116" s="38" t="str">
        <v>BLOCKED</v>
      </c>
      <c r="P116" s="38" t="str">
        <v>Only dish aggregate is available: active 15 min / total 25 min; no unsupported split by operation</v>
      </c>
      <c r="Q116" s="38" t="str">
        <v>HOT-12: По планировке; HOT-13: Совместимость с печами</v>
      </c>
      <c r="R116" s="38" t="str">
        <v>project design requirement</v>
      </c>
      <c r="S116" s="38" t="str">
        <v>PLANNED</v>
      </c>
      <c r="T116" s="38"/>
      <c r="U116" s="38"/>
      <c r="V116" s="38" t="str">
        <v>BLOCKED</v>
      </c>
      <c r="W116" s="38"/>
      <c r="X116" s="38" t="str">
        <v>BLOCKED_NOT_COMPARABLE</v>
      </c>
      <c r="Y116" s="38" t="str">
        <v>Recipe load cannot be compared to the project requirement without tray/form/GN/load and selected-model data</v>
      </c>
      <c r="Z116" s="38"/>
      <c r="AA116" s="38"/>
      <c r="AB116" s="38"/>
      <c r="AC116" s="38"/>
      <c r="AD116" s="38"/>
      <c r="AE116" s="38" t="str">
        <v>BLOCKED_NO_SELECTED_MODEL_PASSPORT</v>
      </c>
      <c r="AF116" s="38" t="str">
        <v>BLOCKED</v>
      </c>
      <c r="AG116" s="38" t="str">
        <v>BLOCKED</v>
      </c>
      <c r="AH116" s="38" t="str">
        <v>BLOCKED_SELECTED_MODEL_AND_SITE_VALIDATION</v>
      </c>
      <c r="AI116" s="38" t="str">
        <v>ESTIMATE</v>
      </c>
      <c r="AJ116" s="38" t="str">
        <v>EVD-0010;EVD-0021;EVD-0022;EVD-0023</v>
      </c>
      <c r="AK116" s="38" t="str">
        <v>2026-08-03</v>
      </c>
      <c r="AL116" s="38" t="str">
        <v>GAP-007;GAP-017;GAP-018;GAP-019</v>
      </c>
      <c r="AM116" s="38" t="str">
        <v>Operations / Engineering / Procurement</v>
      </c>
      <c r="AN116" s="38" t="str">
        <v>Manual operation mapped to an existing work surface/inventory function.</v>
      </c>
      <c r="AO116" s="39" t="str">
        <v>Chef/Operations time the operation; Procurement supplies selected-model passport; Engineering confirms asset, placement and connections</v>
      </c>
    </row>
    <row r="117">
      <c r="A117" s="37" t="str">
        <v>EQM-0113</v>
      </c>
      <c r="B117" s="38" t="str">
        <v>VKM-022</v>
      </c>
      <c r="C117" s="38" t="str">
        <v>Миньоны из говяжьей вырезки</v>
      </c>
      <c r="D117" s="38" t="str">
        <v>Горячие блюда</v>
      </c>
      <c r="E117" s="38" t="str">
        <v>0.1.0-DRAFT</v>
      </c>
      <c r="F117" s="38" t="n">
        <v>1</v>
      </c>
      <c r="G117" s="38" t="str">
        <v>Зачистить и порционировать вырезку на два миньона</v>
      </c>
      <c r="H117" s="38" t="str">
        <v>HOT-12;HOT-13</v>
      </c>
      <c r="I117" s="38" t="str">
        <v>Столы и полки горячего участка;GN, противни и горячий инвентарь</v>
      </c>
      <c r="J117" s="38" t="str">
        <v>CAPEX.HOT.013;CAPEX.HOT.014</v>
      </c>
      <c r="K117" s="38" t="str">
        <v>MANDATORY</v>
      </c>
      <c r="L117" s="38" t="str">
        <v>APPROVED_STRUCTURE</v>
      </c>
      <c r="M117" s="38" t="str">
        <v>MANUAL_HOT_LINE_PREP</v>
      </c>
      <c r="N117" s="38"/>
      <c r="O117" s="38" t="str">
        <v>BLOCKED</v>
      </c>
      <c r="P117" s="38" t="str">
        <v>Only dish aggregate is available: active 22 min / total 35 min; no unsupported split by operation</v>
      </c>
      <c r="Q117" s="38" t="str">
        <v>HOT-12: По планировке; HOT-13: Совместимость с печами</v>
      </c>
      <c r="R117" s="38" t="str">
        <v>project design requirement</v>
      </c>
      <c r="S117" s="38" t="str">
        <v>PLANNED</v>
      </c>
      <c r="T117" s="38"/>
      <c r="U117" s="38"/>
      <c r="V117" s="38" t="str">
        <v>BLOCKED</v>
      </c>
      <c r="W117" s="38"/>
      <c r="X117" s="38" t="str">
        <v>BLOCKED_NOT_COMPARABLE</v>
      </c>
      <c r="Y117" s="38" t="str">
        <v>Recipe load cannot be compared to the project requirement without tray/form/GN/load and selected-model data</v>
      </c>
      <c r="Z117" s="38"/>
      <c r="AA117" s="38"/>
      <c r="AB117" s="38"/>
      <c r="AC117" s="38"/>
      <c r="AD117" s="38"/>
      <c r="AE117" s="38" t="str">
        <v>BLOCKED_NO_SELECTED_MODEL_PASSPORT</v>
      </c>
      <c r="AF117" s="38" t="str">
        <v>BLOCKED</v>
      </c>
      <c r="AG117" s="38" t="str">
        <v>BLOCKED</v>
      </c>
      <c r="AH117" s="38" t="str">
        <v>BLOCKED_SELECTED_MODEL_AND_SITE_VALIDATION</v>
      </c>
      <c r="AI117" s="38" t="str">
        <v>ESTIMATE</v>
      </c>
      <c r="AJ117" s="38" t="str">
        <v>EVD-0010;EVD-0021;EVD-0022;EVD-0023</v>
      </c>
      <c r="AK117" s="38" t="str">
        <v>2026-08-03</v>
      </c>
      <c r="AL117" s="38" t="str">
        <v>GAP-007;GAP-017;GAP-018;GAP-019</v>
      </c>
      <c r="AM117" s="38" t="str">
        <v>Operations / Engineering / Procurement</v>
      </c>
      <c r="AN117" s="38" t="str">
        <v>Manual operation mapped to an existing work surface/inventory function.</v>
      </c>
      <c r="AO117" s="39" t="str">
        <v>Chef/Operations time the operation; Procurement supplies selected-model passport; Engineering confirms asset, placement and connections</v>
      </c>
    </row>
    <row r="118">
      <c r="A118" s="37" t="str">
        <v>EQM-0114</v>
      </c>
      <c r="B118" s="38" t="str">
        <v>VKM-022</v>
      </c>
      <c r="C118" s="38" t="str">
        <v>Миньоны из говяжьей вырезки</v>
      </c>
      <c r="D118" s="38" t="str">
        <v>Горячие блюда</v>
      </c>
      <c r="E118" s="38" t="str">
        <v>0.1.0-DRAFT</v>
      </c>
      <c r="F118" s="38" t="n">
        <v>2</v>
      </c>
      <c r="G118" s="38" t="str">
        <v>подготовить ароматику</v>
      </c>
      <c r="H118" s="38" t="str">
        <v>HOT-12;HOT-13</v>
      </c>
      <c r="I118" s="38" t="str">
        <v>Столы и полки горячего участка;GN, противни и горячий инвентарь</v>
      </c>
      <c r="J118" s="38" t="str">
        <v>CAPEX.HOT.013;CAPEX.HOT.014</v>
      </c>
      <c r="K118" s="38" t="str">
        <v>MANDATORY</v>
      </c>
      <c r="L118" s="38" t="str">
        <v>APPROVED_STRUCTURE</v>
      </c>
      <c r="M118" s="38" t="str">
        <v>MANUAL_HOT_LINE_PREP</v>
      </c>
      <c r="N118" s="38"/>
      <c r="O118" s="38" t="str">
        <v>BLOCKED</v>
      </c>
      <c r="P118" s="38" t="str">
        <v>Only dish aggregate is available: active 22 min / total 35 min; no unsupported split by operation</v>
      </c>
      <c r="Q118" s="38" t="str">
        <v>HOT-12: По планировке; HOT-13: Совместимость с печами</v>
      </c>
      <c r="R118" s="38" t="str">
        <v>project design requirement</v>
      </c>
      <c r="S118" s="38" t="str">
        <v>PLANNED</v>
      </c>
      <c r="T118" s="38"/>
      <c r="U118" s="38"/>
      <c r="V118" s="38" t="str">
        <v>BLOCKED</v>
      </c>
      <c r="W118" s="38"/>
      <c r="X118" s="38" t="str">
        <v>BLOCKED_NOT_COMPARABLE</v>
      </c>
      <c r="Y118" s="38" t="str">
        <v>Recipe load cannot be compared to the project requirement without tray/form/GN/load and selected-model data</v>
      </c>
      <c r="Z118" s="38"/>
      <c r="AA118" s="38"/>
      <c r="AB118" s="38"/>
      <c r="AC118" s="38"/>
      <c r="AD118" s="38"/>
      <c r="AE118" s="38" t="str">
        <v>BLOCKED_NO_SELECTED_MODEL_PASSPORT</v>
      </c>
      <c r="AF118" s="38" t="str">
        <v>BLOCKED</v>
      </c>
      <c r="AG118" s="38" t="str">
        <v>BLOCKED</v>
      </c>
      <c r="AH118" s="38" t="str">
        <v>BLOCKED_SELECTED_MODEL_AND_SITE_VALIDATION</v>
      </c>
      <c r="AI118" s="38" t="str">
        <v>ESTIMATE</v>
      </c>
      <c r="AJ118" s="38" t="str">
        <v>EVD-0010;EVD-0021;EVD-0022;EVD-0023</v>
      </c>
      <c r="AK118" s="38" t="str">
        <v>2026-08-03</v>
      </c>
      <c r="AL118" s="38" t="str">
        <v>GAP-007;GAP-017;GAP-018;GAP-019</v>
      </c>
      <c r="AM118" s="38" t="str">
        <v>Operations / Engineering / Procurement</v>
      </c>
      <c r="AN118" s="38" t="str">
        <v>Manual operation mapped to an existing work surface/inventory function.</v>
      </c>
      <c r="AO118" s="39" t="str">
        <v>Chef/Operations time the operation; Procurement supplies selected-model passport; Engineering confirms asset, placement and connections</v>
      </c>
    </row>
    <row r="119">
      <c r="A119" s="37" t="str">
        <v>EQM-0115</v>
      </c>
      <c r="B119" s="38" t="str">
        <v>VKM-022</v>
      </c>
      <c r="C119" s="38" t="str">
        <v>Миньоны из говяжьей вырезки</v>
      </c>
      <c r="D119" s="38" t="str">
        <v>Горячие блюда</v>
      </c>
      <c r="E119" s="38" t="str">
        <v>0.1.0-DRAFT</v>
      </c>
      <c r="F119" s="38" t="n">
        <v>3</v>
      </c>
      <c r="G119" s="38" t="str">
        <v>обработать</v>
      </c>
      <c r="H119" s="38" t="str">
        <v>HOT-12;HOT-13</v>
      </c>
      <c r="I119" s="38" t="str">
        <v>Столы и полки горячего участка;GN, противни и горячий инвентарь</v>
      </c>
      <c r="J119" s="38" t="str">
        <v>CAPEX.HOT.013;CAPEX.HOT.014</v>
      </c>
      <c r="K119" s="38" t="str">
        <v>MANDATORY</v>
      </c>
      <c r="L119" s="38" t="str">
        <v>APPROVED_STRUCTURE</v>
      </c>
      <c r="M119" s="38" t="str">
        <v>HOT_PREP_ASSEMBLY</v>
      </c>
      <c r="N119" s="38"/>
      <c r="O119" s="38" t="str">
        <v>BLOCKED</v>
      </c>
      <c r="P119" s="38" t="str">
        <v>Only dish aggregate is available: active 22 min / total 35 min; no unsupported split by operation</v>
      </c>
      <c r="Q119" s="38" t="str">
        <v>HOT-12: По планировке; HOT-13: Совместимость с печами</v>
      </c>
      <c r="R119" s="38" t="str">
        <v>project design requirement</v>
      </c>
      <c r="S119" s="38" t="str">
        <v>PLANNED</v>
      </c>
      <c r="T119" s="38"/>
      <c r="U119" s="38"/>
      <c r="V119" s="38" t="str">
        <v>BLOCKED</v>
      </c>
      <c r="W119" s="38"/>
      <c r="X119" s="38" t="str">
        <v>BLOCKED_NOT_COMPARABLE</v>
      </c>
      <c r="Y119" s="38" t="str">
        <v>Recipe load cannot be compared to the project requirement without tray/form/GN/load and selected-model data</v>
      </c>
      <c r="Z119" s="38"/>
      <c r="AA119" s="38"/>
      <c r="AB119" s="38"/>
      <c r="AC119" s="38"/>
      <c r="AD119" s="38"/>
      <c r="AE119" s="38" t="str">
        <v>BLOCKED_NO_SELECTED_MODEL_PASSPORT</v>
      </c>
      <c r="AF119" s="38" t="str">
        <v>BLOCKED</v>
      </c>
      <c r="AG119" s="38" t="str">
        <v>BLOCKED</v>
      </c>
      <c r="AH119" s="38" t="str">
        <v>BLOCKED_SELECTED_MODEL_AND_SITE_VALIDATION</v>
      </c>
      <c r="AI119" s="38" t="str">
        <v>ESTIMATE</v>
      </c>
      <c r="AJ119" s="38" t="str">
        <v>EVD-0010;EVD-0021;EVD-0022;EVD-0023</v>
      </c>
      <c r="AK119" s="38" t="str">
        <v>2026-08-03</v>
      </c>
      <c r="AL119" s="38" t="str">
        <v>GAP-007;GAP-017;GAP-018;GAP-019</v>
      </c>
      <c r="AM119" s="38" t="str">
        <v>Operations / Engineering / Procurement</v>
      </c>
      <c r="AN119" s="38" t="str">
        <v>Manual operation mapped to an existing work surface/inventory function.</v>
      </c>
      <c r="AO119" s="39" t="str">
        <v>Chef/Operations time the operation; Procurement supplies selected-model passport; Engineering confirms asset, placement and connections</v>
      </c>
    </row>
    <row r="120">
      <c r="A120" s="37" t="str">
        <v>EQM-0116</v>
      </c>
      <c r="B120" s="38" t="str">
        <v>VKM-022</v>
      </c>
      <c r="C120" s="38" t="str">
        <v>Миньоны из говяжьей вырезки</v>
      </c>
      <c r="D120" s="38" t="str">
        <v>Горячие блюда</v>
      </c>
      <c r="E120" s="38" t="str">
        <v>0.1.0-DRAFT</v>
      </c>
      <c r="F120" s="38" t="n">
        <v>4</v>
      </c>
      <c r="G120" s="38" t="str">
        <v>приготовить соус</v>
      </c>
      <c r="H120" s="38" t="str">
        <v>HOT-05B;HOT-13</v>
      </c>
      <c r="I120" s="38" t="str">
        <v>Индукционная плита 2 зоны;GN, противни и горячий инвентарь</v>
      </c>
      <c r="J120" s="38" t="str">
        <v>CAPEX.HOT.006;CAPEX.HOT.014</v>
      </c>
      <c r="K120" s="38" t="str">
        <v>MANDATORY</v>
      </c>
      <c r="L120" s="38" t="str">
        <v>APPROVED_STRUCTURE</v>
      </c>
      <c r="M120" s="38" t="str">
        <v>SAUCE_COOKING</v>
      </c>
      <c r="N120" s="38"/>
      <c r="O120" s="38" t="str">
        <v>BLOCKED</v>
      </c>
      <c r="P120" s="38" t="str">
        <v>Only dish aggregate is available: active 22 min / total 35 min; no unsupported split by operation</v>
      </c>
      <c r="Q120" s="38" t="str">
        <v>HOT-05B: 2 зоны; HOT-13: Совместимость с печами</v>
      </c>
      <c r="R120" s="38" t="str">
        <v>project design requirement</v>
      </c>
      <c r="S120" s="38" t="str">
        <v>PLANNED</v>
      </c>
      <c r="T120" s="38"/>
      <c r="U120" s="38"/>
      <c r="V120" s="38" t="str">
        <v>BLOCKED</v>
      </c>
      <c r="W120" s="38"/>
      <c r="X120" s="38" t="str">
        <v>BLOCKED_NOT_COMPARABLE</v>
      </c>
      <c r="Y120" s="38" t="str">
        <v>Recipe load cannot be compared to the project requirement without tray/form/GN/load and selected-model data</v>
      </c>
      <c r="Z120" s="38"/>
      <c r="AA120" s="38"/>
      <c r="AB120" s="38"/>
      <c r="AC120" s="38"/>
      <c r="AD120" s="38"/>
      <c r="AE120" s="38" t="str">
        <v>BLOCKED_NO_SELECTED_MODEL_PASSPORT</v>
      </c>
      <c r="AF120" s="38" t="str">
        <v>BLOCKED</v>
      </c>
      <c r="AG120" s="38" t="str">
        <v>BLOCKED</v>
      </c>
      <c r="AH120" s="38" t="str">
        <v>BLOCKED_SELECTED_MODEL_AND_SITE_VALIDATION</v>
      </c>
      <c r="AI120" s="38" t="str">
        <v>ESTIMATE</v>
      </c>
      <c r="AJ120" s="38" t="str">
        <v>EVD-0010;EVD-0021;EVD-0022;EVD-0023</v>
      </c>
      <c r="AK120" s="38" t="str">
        <v>2026-08-03</v>
      </c>
      <c r="AL120" s="38" t="str">
        <v>GAP-007;GAP-017;GAP-018;GAP-019</v>
      </c>
      <c r="AM120" s="38" t="str">
        <v>Operations / Engineering / Procurement</v>
      </c>
      <c r="AN120" s="38" t="str">
        <v>Manual operation mapped to an existing work surface/inventory function.</v>
      </c>
      <c r="AO120" s="39" t="str">
        <v>Chef/Operations time the operation; Procurement supplies selected-model passport; Engineering confirms asset, placement and connections</v>
      </c>
    </row>
    <row r="121">
      <c r="A121" s="37" t="str">
        <v>EQM-0117</v>
      </c>
      <c r="B121" s="38" t="str">
        <v>VKM-022</v>
      </c>
      <c r="C121" s="38" t="str">
        <v>Миньоны из говяжьей вырезки</v>
      </c>
      <c r="D121" s="38" t="str">
        <v>Горячие блюда</v>
      </c>
      <c r="E121" s="38" t="str">
        <v>0.1.0-DRAFT</v>
      </c>
      <c r="F121" s="38" t="n">
        <v>5</v>
      </c>
      <c r="G121" s="38" t="str">
        <v>дать продукту стабилизироваться</v>
      </c>
      <c r="H121" s="38" t="str">
        <v>HOT-12;HOT-13</v>
      </c>
      <c r="I121" s="38" t="str">
        <v>Столы и полки горячего участка;GN, противни и горячий инвентарь</v>
      </c>
      <c r="J121" s="38" t="str">
        <v>CAPEX.HOT.013;CAPEX.HOT.014</v>
      </c>
      <c r="K121" s="38" t="str">
        <v>MANDATORY</v>
      </c>
      <c r="L121" s="38" t="str">
        <v>APPROVED_STRUCTURE</v>
      </c>
      <c r="M121" s="38" t="str">
        <v>HOT_PREP_ASSEMBLY</v>
      </c>
      <c r="N121" s="38"/>
      <c r="O121" s="38" t="str">
        <v>BLOCKED</v>
      </c>
      <c r="P121" s="38" t="str">
        <v>Only dish aggregate is available: active 22 min / total 35 min; no unsupported split by operation</v>
      </c>
      <c r="Q121" s="38" t="str">
        <v>HOT-12: По планировке; HOT-13: Совместимость с печами</v>
      </c>
      <c r="R121" s="38" t="str">
        <v>project design requirement</v>
      </c>
      <c r="S121" s="38" t="str">
        <v>PLANNED</v>
      </c>
      <c r="T121" s="38"/>
      <c r="U121" s="38"/>
      <c r="V121" s="38" t="str">
        <v>BLOCKED</v>
      </c>
      <c r="W121" s="38"/>
      <c r="X121" s="38" t="str">
        <v>BLOCKED_NOT_COMPARABLE</v>
      </c>
      <c r="Y121" s="38" t="str">
        <v>Recipe load cannot be compared to the project requirement without tray/form/GN/load and selected-model data</v>
      </c>
      <c r="Z121" s="38"/>
      <c r="AA121" s="38"/>
      <c r="AB121" s="38"/>
      <c r="AC121" s="38"/>
      <c r="AD121" s="38"/>
      <c r="AE121" s="38" t="str">
        <v>BLOCKED_NO_SELECTED_MODEL_PASSPORT</v>
      </c>
      <c r="AF121" s="38" t="str">
        <v>BLOCKED</v>
      </c>
      <c r="AG121" s="38" t="str">
        <v>BLOCKED</v>
      </c>
      <c r="AH121" s="38" t="str">
        <v>BLOCKED_SELECTED_MODEL_AND_SITE_VALIDATION</v>
      </c>
      <c r="AI121" s="38" t="str">
        <v>ESTIMATE</v>
      </c>
      <c r="AJ121" s="38" t="str">
        <v>EVD-0010;EVD-0021;EVD-0022;EVD-0023</v>
      </c>
      <c r="AK121" s="38" t="str">
        <v>2026-08-03</v>
      </c>
      <c r="AL121" s="38" t="str">
        <v>GAP-007;GAP-017;GAP-018;GAP-019</v>
      </c>
      <c r="AM121" s="38" t="str">
        <v>Operations / Engineering / Procurement</v>
      </c>
      <c r="AN121" s="38" t="str">
        <v>Manual operation mapped to an existing work surface/inventory function.</v>
      </c>
      <c r="AO121" s="39" t="str">
        <v>Chef/Operations time the operation; Procurement supplies selected-model passport; Engineering confirms asset, placement and connections</v>
      </c>
    </row>
    <row r="122">
      <c r="A122" s="37" t="str">
        <v>EQM-0118</v>
      </c>
      <c r="B122" s="38" t="str">
        <v>VKM-022</v>
      </c>
      <c r="C122" s="38" t="str">
        <v>Миньоны из говяжьей вырезки</v>
      </c>
      <c r="D122" s="38" t="str">
        <v>Горячие блюда</v>
      </c>
      <c r="E122" s="38" t="str">
        <v>0.1.0-DRAFT</v>
      </c>
      <c r="F122" s="38" t="n">
        <v>6</v>
      </c>
      <c r="G122" s="38" t="str">
        <v>собрать</v>
      </c>
      <c r="H122" s="38" t="str">
        <v>HOT-12;HOT-13</v>
      </c>
      <c r="I122" s="38" t="str">
        <v>Столы и полки горячего участка;GN, противни и горячий инвентарь</v>
      </c>
      <c r="J122" s="38" t="str">
        <v>CAPEX.HOT.013;CAPEX.HOT.014</v>
      </c>
      <c r="K122" s="38" t="str">
        <v>MANDATORY</v>
      </c>
      <c r="L122" s="38" t="str">
        <v>APPROVED_STRUCTURE</v>
      </c>
      <c r="M122" s="38" t="str">
        <v>HOT_PREP_ASSEMBLY</v>
      </c>
      <c r="N122" s="38"/>
      <c r="O122" s="38" t="str">
        <v>BLOCKED</v>
      </c>
      <c r="P122" s="38" t="str">
        <v>Only dish aggregate is available: active 22 min / total 35 min; no unsupported split by operation</v>
      </c>
      <c r="Q122" s="38" t="str">
        <v>HOT-12: По планировке; HOT-13: Совместимость с печами</v>
      </c>
      <c r="R122" s="38" t="str">
        <v>project design requirement</v>
      </c>
      <c r="S122" s="38" t="str">
        <v>PLANNED</v>
      </c>
      <c r="T122" s="38"/>
      <c r="U122" s="38"/>
      <c r="V122" s="38" t="str">
        <v>BLOCKED</v>
      </c>
      <c r="W122" s="38"/>
      <c r="X122" s="38" t="str">
        <v>BLOCKED_NOT_COMPARABLE</v>
      </c>
      <c r="Y122" s="38" t="str">
        <v>Recipe load cannot be compared to the project requirement without tray/form/GN/load and selected-model data</v>
      </c>
      <c r="Z122" s="38"/>
      <c r="AA122" s="38"/>
      <c r="AB122" s="38"/>
      <c r="AC122" s="38"/>
      <c r="AD122" s="38"/>
      <c r="AE122" s="38" t="str">
        <v>BLOCKED_NO_SELECTED_MODEL_PASSPORT</v>
      </c>
      <c r="AF122" s="38" t="str">
        <v>BLOCKED</v>
      </c>
      <c r="AG122" s="38" t="str">
        <v>BLOCKED</v>
      </c>
      <c r="AH122" s="38" t="str">
        <v>BLOCKED_SELECTED_MODEL_AND_SITE_VALIDATION</v>
      </c>
      <c r="AI122" s="38" t="str">
        <v>ESTIMATE</v>
      </c>
      <c r="AJ122" s="38" t="str">
        <v>EVD-0010;EVD-0021;EVD-0022;EVD-0023</v>
      </c>
      <c r="AK122" s="38" t="str">
        <v>2026-08-03</v>
      </c>
      <c r="AL122" s="38" t="str">
        <v>GAP-007;GAP-017;GAP-018;GAP-019</v>
      </c>
      <c r="AM122" s="38" t="str">
        <v>Operations / Engineering / Procurement</v>
      </c>
      <c r="AN122" s="38" t="str">
        <v>Manual operation mapped to an existing work surface/inventory function.</v>
      </c>
      <c r="AO122" s="39" t="str">
        <v>Chef/Operations time the operation; Procurement supplies selected-model passport; Engineering confirms asset, placement and connections</v>
      </c>
    </row>
    <row r="123">
      <c r="A123" s="37" t="str">
        <v>EQM-0119</v>
      </c>
      <c r="B123" s="38" t="str">
        <v>VKM-023</v>
      </c>
      <c r="C123" s="38" t="str">
        <v>Запечённый картофель</v>
      </c>
      <c r="D123" s="38" t="str">
        <v>Гарниры</v>
      </c>
      <c r="E123" s="38" t="str">
        <v>0.1.0-DRAFT</v>
      </c>
      <c r="F123" s="38" t="n">
        <v>1</v>
      </c>
      <c r="G123" s="38" t="str">
        <v>Вымыть и подготовить картофель</v>
      </c>
      <c r="H123" s="38" t="str">
        <v>HOT-12;HOT-13</v>
      </c>
      <c r="I123" s="38" t="str">
        <v>Столы и полки горячего участка;GN, противни и горячий инвентарь</v>
      </c>
      <c r="J123" s="38" t="str">
        <v>CAPEX.HOT.013;CAPEX.HOT.014</v>
      </c>
      <c r="K123" s="38" t="str">
        <v>MANDATORY</v>
      </c>
      <c r="L123" s="38" t="str">
        <v>APPROVED_STRUCTURE</v>
      </c>
      <c r="M123" s="38" t="str">
        <v>HOT_PREP_PORTIONING</v>
      </c>
      <c r="N123" s="38"/>
      <c r="O123" s="38" t="str">
        <v>BLOCKED</v>
      </c>
      <c r="P123" s="38" t="str">
        <v>Only dish aggregate is available: active 13 min / total 45 min; no unsupported split by operation</v>
      </c>
      <c r="Q123" s="38" t="str">
        <v>HOT-12: По планировке; HOT-13: Совместимость с печами</v>
      </c>
      <c r="R123" s="38" t="str">
        <v>project design requirement</v>
      </c>
      <c r="S123" s="38" t="str">
        <v>PLANNED</v>
      </c>
      <c r="T123" s="38"/>
      <c r="U123" s="38"/>
      <c r="V123" s="38" t="str">
        <v>BLOCKED</v>
      </c>
      <c r="W123" s="38"/>
      <c r="X123" s="38" t="str">
        <v>BLOCKED_NOT_COMPARABLE</v>
      </c>
      <c r="Y123" s="38" t="str">
        <v>Recipe load cannot be compared to the project requirement without tray/form/GN/load and selected-model data</v>
      </c>
      <c r="Z123" s="38"/>
      <c r="AA123" s="38"/>
      <c r="AB123" s="38"/>
      <c r="AC123" s="38"/>
      <c r="AD123" s="38"/>
      <c r="AE123" s="38" t="str">
        <v>BLOCKED_NO_SELECTED_MODEL_PASSPORT</v>
      </c>
      <c r="AF123" s="38" t="str">
        <v>BLOCKED</v>
      </c>
      <c r="AG123" s="38" t="str">
        <v>BLOCKED</v>
      </c>
      <c r="AH123" s="38" t="str">
        <v>BLOCKED_SELECTED_MODEL_AND_SITE_VALIDATION</v>
      </c>
      <c r="AI123" s="38" t="str">
        <v>ESTIMATE</v>
      </c>
      <c r="AJ123" s="38" t="str">
        <v>EVD-0010;EVD-0021;EVD-0022;EVD-0023</v>
      </c>
      <c r="AK123" s="38" t="str">
        <v>2026-08-03</v>
      </c>
      <c r="AL123" s="38" t="str">
        <v>GAP-007;GAP-017;GAP-018;GAP-019</v>
      </c>
      <c r="AM123" s="38" t="str">
        <v>Operations / Engineering / Procurement</v>
      </c>
      <c r="AN123" s="38" t="str">
        <v>Manual operation mapped to an existing work surface/inventory function.</v>
      </c>
      <c r="AO123" s="39" t="str">
        <v>Chef/Operations time the operation; Procurement supplies selected-model passport; Engineering confirms asset, placement and connections</v>
      </c>
    </row>
    <row r="124">
      <c r="A124" s="37" t="str">
        <v>EQM-0120</v>
      </c>
      <c r="B124" s="38" t="str">
        <v>VKM-023</v>
      </c>
      <c r="C124" s="38" t="str">
        <v>Запечённый картофель</v>
      </c>
      <c r="D124" s="38" t="str">
        <v>Гарниры</v>
      </c>
      <c r="E124" s="38" t="str">
        <v>0.1.0-DRAFT</v>
      </c>
      <c r="F124" s="38" t="n">
        <v>2</v>
      </c>
      <c r="G124" s="38" t="str">
        <v>нарезать</v>
      </c>
      <c r="H124" s="38" t="str">
        <v>HOT-12;HOT-13</v>
      </c>
      <c r="I124" s="38" t="str">
        <v>Столы и полки горячего участка;GN, противни и горячий инвентарь</v>
      </c>
      <c r="J124" s="38" t="str">
        <v>CAPEX.HOT.013;CAPEX.HOT.014</v>
      </c>
      <c r="K124" s="38" t="str">
        <v>MANDATORY</v>
      </c>
      <c r="L124" s="38" t="str">
        <v>APPROVED_STRUCTURE</v>
      </c>
      <c r="M124" s="38" t="str">
        <v>HOT_PREP_PORTIONING</v>
      </c>
      <c r="N124" s="38"/>
      <c r="O124" s="38" t="str">
        <v>BLOCKED</v>
      </c>
      <c r="P124" s="38" t="str">
        <v>Only dish aggregate is available: active 13 min / total 45 min; no unsupported split by operation</v>
      </c>
      <c r="Q124" s="38" t="str">
        <v>HOT-12: По планировке; HOT-13: Совместимость с печами</v>
      </c>
      <c r="R124" s="38" t="str">
        <v>project design requirement</v>
      </c>
      <c r="S124" s="38" t="str">
        <v>PLANNED</v>
      </c>
      <c r="T124" s="38"/>
      <c r="U124" s="38"/>
      <c r="V124" s="38" t="str">
        <v>BLOCKED</v>
      </c>
      <c r="W124" s="38"/>
      <c r="X124" s="38" t="str">
        <v>BLOCKED_NOT_COMPARABLE</v>
      </c>
      <c r="Y124" s="38" t="str">
        <v>Recipe load cannot be compared to the project requirement without tray/form/GN/load and selected-model data</v>
      </c>
      <c r="Z124" s="38"/>
      <c r="AA124" s="38"/>
      <c r="AB124" s="38"/>
      <c r="AC124" s="38"/>
      <c r="AD124" s="38"/>
      <c r="AE124" s="38" t="str">
        <v>BLOCKED_NO_SELECTED_MODEL_PASSPORT</v>
      </c>
      <c r="AF124" s="38" t="str">
        <v>BLOCKED</v>
      </c>
      <c r="AG124" s="38" t="str">
        <v>BLOCKED</v>
      </c>
      <c r="AH124" s="38" t="str">
        <v>BLOCKED_SELECTED_MODEL_AND_SITE_VALIDATION</v>
      </c>
      <c r="AI124" s="38" t="str">
        <v>ESTIMATE</v>
      </c>
      <c r="AJ124" s="38" t="str">
        <v>EVD-0010;EVD-0021;EVD-0022;EVD-0023</v>
      </c>
      <c r="AK124" s="38" t="str">
        <v>2026-08-03</v>
      </c>
      <c r="AL124" s="38" t="str">
        <v>GAP-007;GAP-017;GAP-018;GAP-019</v>
      </c>
      <c r="AM124" s="38" t="str">
        <v>Operations / Engineering / Procurement</v>
      </c>
      <c r="AN124" s="38" t="str">
        <v>Manual operation mapped to an existing work surface/inventory function.</v>
      </c>
      <c r="AO124" s="39" t="str">
        <v>Chef/Operations time the operation; Procurement supplies selected-model passport; Engineering confirms asset, placement and connections</v>
      </c>
    </row>
    <row r="125">
      <c r="A125" s="37" t="str">
        <v>EQM-0121</v>
      </c>
      <c r="B125" s="38" t="str">
        <v>VKM-023</v>
      </c>
      <c r="C125" s="38" t="str">
        <v>Запечённый картофель</v>
      </c>
      <c r="D125" s="38" t="str">
        <v>Гарниры</v>
      </c>
      <c r="E125" s="38" t="str">
        <v>0.1.0-DRAFT</v>
      </c>
      <c r="F125" s="38" t="n">
        <v>3</v>
      </c>
      <c r="G125" s="38" t="str">
        <v>смешать с маслом и травами</v>
      </c>
      <c r="H125" s="38" t="str">
        <v>HOT-12;HOT-13</v>
      </c>
      <c r="I125" s="38" t="str">
        <v>Столы и полки горячего участка;GN, противни и горячий инвентарь</v>
      </c>
      <c r="J125" s="38" t="str">
        <v>CAPEX.HOT.013;CAPEX.HOT.014</v>
      </c>
      <c r="K125" s="38" t="str">
        <v>MANDATORY</v>
      </c>
      <c r="L125" s="38" t="str">
        <v>APPROVED_STRUCTURE</v>
      </c>
      <c r="M125" s="38" t="str">
        <v>HOT_PREP_PORTIONING</v>
      </c>
      <c r="N125" s="38"/>
      <c r="O125" s="38" t="str">
        <v>BLOCKED</v>
      </c>
      <c r="P125" s="38" t="str">
        <v>Only dish aggregate is available: active 13 min / total 45 min; no unsupported split by operation</v>
      </c>
      <c r="Q125" s="38" t="str">
        <v>HOT-12: По планировке; HOT-13: Совместимость с печами</v>
      </c>
      <c r="R125" s="38" t="str">
        <v>project design requirement</v>
      </c>
      <c r="S125" s="38" t="str">
        <v>PLANNED</v>
      </c>
      <c r="T125" s="38"/>
      <c r="U125" s="38"/>
      <c r="V125" s="38" t="str">
        <v>BLOCKED</v>
      </c>
      <c r="W125" s="38"/>
      <c r="X125" s="38" t="str">
        <v>BLOCKED_NOT_COMPARABLE</v>
      </c>
      <c r="Y125" s="38" t="str">
        <v>Recipe load cannot be compared to the project requirement without tray/form/GN/load and selected-model data</v>
      </c>
      <c r="Z125" s="38"/>
      <c r="AA125" s="38"/>
      <c r="AB125" s="38"/>
      <c r="AC125" s="38"/>
      <c r="AD125" s="38"/>
      <c r="AE125" s="38" t="str">
        <v>BLOCKED_NO_SELECTED_MODEL_PASSPORT</v>
      </c>
      <c r="AF125" s="38" t="str">
        <v>BLOCKED</v>
      </c>
      <c r="AG125" s="38" t="str">
        <v>BLOCKED</v>
      </c>
      <c r="AH125" s="38" t="str">
        <v>BLOCKED_SELECTED_MODEL_AND_SITE_VALIDATION</v>
      </c>
      <c r="AI125" s="38" t="str">
        <v>ESTIMATE</v>
      </c>
      <c r="AJ125" s="38" t="str">
        <v>EVD-0010;EVD-0021;EVD-0022;EVD-0023</v>
      </c>
      <c r="AK125" s="38" t="str">
        <v>2026-08-03</v>
      </c>
      <c r="AL125" s="38" t="str">
        <v>GAP-007;GAP-017;GAP-018;GAP-019</v>
      </c>
      <c r="AM125" s="38" t="str">
        <v>Operations / Engineering / Procurement</v>
      </c>
      <c r="AN125" s="38" t="str">
        <v>Manual operation mapped to an existing work surface/inventory function.</v>
      </c>
      <c r="AO125" s="39" t="str">
        <v>Chef/Operations time the operation; Procurement supplies selected-model passport; Engineering confirms asset, placement and connections</v>
      </c>
    </row>
    <row r="126">
      <c r="A126" s="37" t="str">
        <v>EQM-0122</v>
      </c>
      <c r="B126" s="38" t="str">
        <v>VKM-023</v>
      </c>
      <c r="C126" s="38" t="str">
        <v>Запечённый картофель</v>
      </c>
      <c r="D126" s="38" t="str">
        <v>Гарниры</v>
      </c>
      <c r="E126" s="38" t="str">
        <v>0.1.0-DRAFT</v>
      </c>
      <c r="F126" s="38" t="n">
        <v>4</v>
      </c>
      <c r="G126" s="38" t="str">
        <v>запечь</v>
      </c>
      <c r="H126" s="38" t="str">
        <v>HOT-01;HOT-13</v>
      </c>
      <c r="I126" s="38" t="str">
        <v>Пароконвектомат;GN, противни и горячий инвентарь</v>
      </c>
      <c r="J126" s="38" t="str">
        <v>CAPEX.HOT.001;CAPEX.HOT.014</v>
      </c>
      <c r="K126" s="38" t="str">
        <v>MANDATORY</v>
      </c>
      <c r="L126" s="38" t="str">
        <v>APPROVED_STRUCTURE</v>
      </c>
      <c r="M126" s="38" t="str">
        <v>OVEN_COOKING</v>
      </c>
      <c r="N126" s="38"/>
      <c r="O126" s="38" t="str">
        <v>BLOCKED</v>
      </c>
      <c r="P126" s="38" t="str">
        <v>Only dish aggregate is available: active 13 min / total 45 min; no unsupported split by operation</v>
      </c>
      <c r="Q126" s="38" t="str">
        <v>HOT-01: Минимум 6×GN 1/1; программы; термощуп; HOT-13: Совместимость с печами</v>
      </c>
      <c r="R126" s="38" t="str">
        <v>project design requirement</v>
      </c>
      <c r="S126" s="38" t="str">
        <v>PLANNED</v>
      </c>
      <c r="T126" s="38"/>
      <c r="U126" s="38"/>
      <c r="V126" s="38" t="str">
        <v>BLOCKED</v>
      </c>
      <c r="W126" s="38"/>
      <c r="X126" s="38" t="str">
        <v>BLOCKED_NOT_COMPARABLE</v>
      </c>
      <c r="Y126" s="38" t="str">
        <v>Recipe load cannot be compared to the project requirement without tray/form/GN/load and selected-model data</v>
      </c>
      <c r="Z126" s="38"/>
      <c r="AA126" s="38"/>
      <c r="AB126" s="38"/>
      <c r="AC126" s="38"/>
      <c r="AD126" s="38"/>
      <c r="AE126" s="38" t="str">
        <v>BLOCKED_NO_SELECTED_MODEL_PASSPORT</v>
      </c>
      <c r="AF126" s="38" t="str">
        <v>BLOCKED</v>
      </c>
      <c r="AG126" s="38" t="str">
        <v>BLOCKED</v>
      </c>
      <c r="AH126" s="38" t="str">
        <v>BLOCKED_SELECTED_MODEL_AND_SITE_VALIDATION</v>
      </c>
      <c r="AI126" s="38" t="str">
        <v>ESTIMATE</v>
      </c>
      <c r="AJ126" s="38" t="str">
        <v>EVD-0010;EVD-0021;EVD-0022;EVD-0023</v>
      </c>
      <c r="AK126" s="38" t="str">
        <v>2026-08-03</v>
      </c>
      <c r="AL126" s="38" t="str">
        <v>GAP-007;GAP-017;GAP-018;GAP-019</v>
      </c>
      <c r="AM126" s="38" t="str">
        <v>Operations / Engineering / Procurement</v>
      </c>
      <c r="AN126" s="38" t="str">
        <v>Manual operation mapped to an existing work surface/inventory function.</v>
      </c>
      <c r="AO126" s="39" t="str">
        <v>Chef/Operations time the operation; Procurement supplies selected-model passport; Engineering confirms asset, placement and connections</v>
      </c>
    </row>
    <row r="127">
      <c r="A127" s="37" t="str">
        <v>EQM-0123</v>
      </c>
      <c r="B127" s="38" t="str">
        <v>VKM-023</v>
      </c>
      <c r="C127" s="38" t="str">
        <v>Запечённый картофель</v>
      </c>
      <c r="D127" s="38" t="str">
        <v>Гарниры</v>
      </c>
      <c r="E127" s="38" t="str">
        <v>0.1.0-DRAFT</v>
      </c>
      <c r="F127" s="38" t="n">
        <v>5</v>
      </c>
      <c r="G127" s="38" t="str">
        <v>порционировать</v>
      </c>
      <c r="H127" s="38" t="str">
        <v>HOT-12;HOT-13</v>
      </c>
      <c r="I127" s="38" t="str">
        <v>Столы и полки горячего участка;GN, противни и горячий инвентарь</v>
      </c>
      <c r="J127" s="38" t="str">
        <v>CAPEX.HOT.013;CAPEX.HOT.014</v>
      </c>
      <c r="K127" s="38" t="str">
        <v>MANDATORY</v>
      </c>
      <c r="L127" s="38" t="str">
        <v>APPROVED_STRUCTURE</v>
      </c>
      <c r="M127" s="38" t="str">
        <v>HOT_PREP_PORTIONING</v>
      </c>
      <c r="N127" s="38"/>
      <c r="O127" s="38" t="str">
        <v>BLOCKED</v>
      </c>
      <c r="P127" s="38" t="str">
        <v>Only dish aggregate is available: active 13 min / total 45 min; no unsupported split by operation</v>
      </c>
      <c r="Q127" s="38" t="str">
        <v>HOT-12: По планировке; HOT-13: Совместимость с печами</v>
      </c>
      <c r="R127" s="38" t="str">
        <v>project design requirement</v>
      </c>
      <c r="S127" s="38" t="str">
        <v>PLANNED</v>
      </c>
      <c r="T127" s="38"/>
      <c r="U127" s="38"/>
      <c r="V127" s="38" t="str">
        <v>BLOCKED</v>
      </c>
      <c r="W127" s="38"/>
      <c r="X127" s="38" t="str">
        <v>BLOCKED_NOT_COMPARABLE</v>
      </c>
      <c r="Y127" s="38" t="str">
        <v>Recipe load cannot be compared to the project requirement without tray/form/GN/load and selected-model data</v>
      </c>
      <c r="Z127" s="38"/>
      <c r="AA127" s="38"/>
      <c r="AB127" s="38"/>
      <c r="AC127" s="38"/>
      <c r="AD127" s="38"/>
      <c r="AE127" s="38" t="str">
        <v>BLOCKED_NO_SELECTED_MODEL_PASSPORT</v>
      </c>
      <c r="AF127" s="38" t="str">
        <v>BLOCKED</v>
      </c>
      <c r="AG127" s="38" t="str">
        <v>BLOCKED</v>
      </c>
      <c r="AH127" s="38" t="str">
        <v>BLOCKED_SELECTED_MODEL_AND_SITE_VALIDATION</v>
      </c>
      <c r="AI127" s="38" t="str">
        <v>ESTIMATE</v>
      </c>
      <c r="AJ127" s="38" t="str">
        <v>EVD-0010;EVD-0021;EVD-0022;EVD-0023</v>
      </c>
      <c r="AK127" s="38" t="str">
        <v>2026-08-03</v>
      </c>
      <c r="AL127" s="38" t="str">
        <v>GAP-007;GAP-017;GAP-018;GAP-019</v>
      </c>
      <c r="AM127" s="38" t="str">
        <v>Operations / Engineering / Procurement</v>
      </c>
      <c r="AN127" s="38" t="str">
        <v>Manual operation mapped to an existing work surface/inventory function.</v>
      </c>
      <c r="AO127" s="39" t="str">
        <v>Chef/Operations time the operation; Procurement supplies selected-model passport; Engineering confirms asset, placement and connections</v>
      </c>
    </row>
    <row r="128">
      <c r="A128" s="37" t="str">
        <v>EQM-0124</v>
      </c>
      <c r="B128" s="38" t="str">
        <v>VKM-024</v>
      </c>
      <c r="C128" s="38" t="str">
        <v>Рис жасмин</v>
      </c>
      <c r="D128" s="38" t="str">
        <v>Гарниры</v>
      </c>
      <c r="E128" s="38" t="str">
        <v>0.1.0-DRAFT</v>
      </c>
      <c r="F128" s="38" t="n">
        <v>1</v>
      </c>
      <c r="G128" s="38" t="str">
        <v>Промыть рис</v>
      </c>
      <c r="H128" s="38" t="str">
        <v>HOT-06;HOT-13</v>
      </c>
      <c r="I128" s="38" t="str">
        <v>Рисоварка;GN, противни и горячий инвентарь</v>
      </c>
      <c r="J128" s="38" t="str">
        <v>CAPEX.HOT.007;CAPEX.HOT.014</v>
      </c>
      <c r="K128" s="38" t="str">
        <v>MANDATORY</v>
      </c>
      <c r="L128" s="38" t="str">
        <v>APPROVED_STRUCTURE</v>
      </c>
      <c r="M128" s="38" t="str">
        <v>RICE_COOKING</v>
      </c>
      <c r="N128" s="38"/>
      <c r="O128" s="38" t="str">
        <v>BLOCKED</v>
      </c>
      <c r="P128" s="38" t="str">
        <v>Only dish aggregate is available: active 8 min / total 35 min; no unsupported split by operation</v>
      </c>
      <c r="Q128" s="38" t="str">
        <v>HOT-06: ≥20 порций по 150 г/цикл; HOT-13: Совместимость с печами</v>
      </c>
      <c r="R128" s="38" t="str">
        <v>project design requirement</v>
      </c>
      <c r="S128" s="38" t="str">
        <v>PLANNED</v>
      </c>
      <c r="T128" s="38" t="n">
        <v>1</v>
      </c>
      <c r="U128" s="38" t="str">
        <v>порция</v>
      </c>
      <c r="V128" s="38" t="str">
        <v>ASSUMPTION_RECIPE_UNIT</v>
      </c>
      <c r="W128" s="38" t="n">
        <v>1</v>
      </c>
      <c r="X128" s="38" t="str">
        <v>CALCULATED_FROM_PROJECT_MINIMUM</v>
      </c>
      <c r="Y128" s="38" t="str">
        <v>1 portion / minimum 20 portions per cycle; selected-model passport and actual cycle remain absent</v>
      </c>
      <c r="Z128" s="38"/>
      <c r="AA128" s="38"/>
      <c r="AB128" s="38"/>
      <c r="AC128" s="38"/>
      <c r="AD128" s="38"/>
      <c r="AE128" s="38" t="str">
        <v>BLOCKED_NO_SELECTED_MODEL_PASSPORT</v>
      </c>
      <c r="AF128" s="38" t="str">
        <v>BLOCKED</v>
      </c>
      <c r="AG128" s="38" t="str">
        <v>BLOCKED</v>
      </c>
      <c r="AH128" s="38" t="str">
        <v>BLOCKED_SELECTED_MODEL_AND_SITE_VALIDATION</v>
      </c>
      <c r="AI128" s="38" t="str">
        <v>ESTIMATE</v>
      </c>
      <c r="AJ128" s="38" t="str">
        <v>EVD-0010;EVD-0021;EVD-0022;EVD-0023</v>
      </c>
      <c r="AK128" s="38" t="str">
        <v>2026-08-03</v>
      </c>
      <c r="AL128" s="38" t="str">
        <v>GAP-007;GAP-017;GAP-018;GAP-019</v>
      </c>
      <c r="AM128" s="38" t="str">
        <v>Operations / Engineering / Procurement</v>
      </c>
      <c r="AN128" s="38" t="str">
        <v>Manual operation mapped to an existing work surface/inventory function.</v>
      </c>
      <c r="AO128" s="39" t="str">
        <v>Chef/Operations time the operation; Procurement supplies selected-model passport; Engineering confirms asset, placement and connections</v>
      </c>
    </row>
    <row r="129">
      <c r="A129" s="37" t="str">
        <v>EQM-0125</v>
      </c>
      <c r="B129" s="38" t="str">
        <v>VKM-024</v>
      </c>
      <c r="C129" s="38" t="str">
        <v>Рис жасмин</v>
      </c>
      <c r="D129" s="38" t="str">
        <v>Гарниры</v>
      </c>
      <c r="E129" s="38" t="str">
        <v>0.1.0-DRAFT</v>
      </c>
      <c r="F129" s="38" t="n">
        <v>2</v>
      </c>
      <c r="G129" s="38" t="str">
        <v>соединить с водой</v>
      </c>
      <c r="H129" s="38" t="str">
        <v>HOT-12;HOT-13</v>
      </c>
      <c r="I129" s="38" t="str">
        <v>Столы и полки горячего участка;GN, противни и горячий инвентарь</v>
      </c>
      <c r="J129" s="38" t="str">
        <v>CAPEX.HOT.013;CAPEX.HOT.014</v>
      </c>
      <c r="K129" s="38" t="str">
        <v>MANDATORY</v>
      </c>
      <c r="L129" s="38" t="str">
        <v>APPROVED_STRUCTURE</v>
      </c>
      <c r="M129" s="38" t="str">
        <v>HOT_PREP_PORTIONING</v>
      </c>
      <c r="N129" s="38"/>
      <c r="O129" s="38" t="str">
        <v>BLOCKED</v>
      </c>
      <c r="P129" s="38" t="str">
        <v>Only dish aggregate is available: active 8 min / total 35 min; no unsupported split by operation</v>
      </c>
      <c r="Q129" s="38" t="str">
        <v>HOT-12: По планировке; HOT-13: Совместимость с печами</v>
      </c>
      <c r="R129" s="38" t="str">
        <v>project design requirement</v>
      </c>
      <c r="S129" s="38" t="str">
        <v>PLANNED</v>
      </c>
      <c r="T129" s="38"/>
      <c r="U129" s="38"/>
      <c r="V129" s="38" t="str">
        <v>BLOCKED</v>
      </c>
      <c r="W129" s="38"/>
      <c r="X129" s="38" t="str">
        <v>BLOCKED_NOT_COMPARABLE</v>
      </c>
      <c r="Y129" s="38" t="str">
        <v>Recipe load cannot be compared to the project requirement without tray/form/GN/load and selected-model data</v>
      </c>
      <c r="Z129" s="38"/>
      <c r="AA129" s="38"/>
      <c r="AB129" s="38"/>
      <c r="AC129" s="38"/>
      <c r="AD129" s="38"/>
      <c r="AE129" s="38" t="str">
        <v>BLOCKED_NO_SELECTED_MODEL_PASSPORT</v>
      </c>
      <c r="AF129" s="38" t="str">
        <v>BLOCKED</v>
      </c>
      <c r="AG129" s="38" t="str">
        <v>BLOCKED</v>
      </c>
      <c r="AH129" s="38" t="str">
        <v>BLOCKED_SELECTED_MODEL_AND_SITE_VALIDATION</v>
      </c>
      <c r="AI129" s="38" t="str">
        <v>ESTIMATE</v>
      </c>
      <c r="AJ129" s="38" t="str">
        <v>EVD-0010;EVD-0021;EVD-0022;EVD-0023</v>
      </c>
      <c r="AK129" s="38" t="str">
        <v>2026-08-03</v>
      </c>
      <c r="AL129" s="38" t="str">
        <v>GAP-007;GAP-017;GAP-018;GAP-019</v>
      </c>
      <c r="AM129" s="38" t="str">
        <v>Operations / Engineering / Procurement</v>
      </c>
      <c r="AN129" s="38" t="str">
        <v>Manual operation mapped to an existing work surface/inventory function.</v>
      </c>
      <c r="AO129" s="39" t="str">
        <v>Chef/Operations time the operation; Procurement supplies selected-model passport; Engineering confirms asset, placement and connections</v>
      </c>
    </row>
    <row r="130">
      <c r="A130" s="37" t="str">
        <v>EQM-0126</v>
      </c>
      <c r="B130" s="38" t="str">
        <v>VKM-024</v>
      </c>
      <c r="C130" s="38" t="str">
        <v>Рис жасмин</v>
      </c>
      <c r="D130" s="38" t="str">
        <v>Гарниры</v>
      </c>
      <c r="E130" s="38" t="str">
        <v>0.1.0-DRAFT</v>
      </c>
      <c r="F130" s="38" t="n">
        <v>3</v>
      </c>
      <c r="G130" s="38" t="str">
        <v>сварить</v>
      </c>
      <c r="H130" s="38" t="str">
        <v>HOT-06;HOT-13</v>
      </c>
      <c r="I130" s="38" t="str">
        <v>Рисоварка;GN, противни и горячий инвентарь</v>
      </c>
      <c r="J130" s="38" t="str">
        <v>CAPEX.HOT.007;CAPEX.HOT.014</v>
      </c>
      <c r="K130" s="38" t="str">
        <v>MANDATORY</v>
      </c>
      <c r="L130" s="38" t="str">
        <v>APPROVED_STRUCTURE</v>
      </c>
      <c r="M130" s="38" t="str">
        <v>RICE_COOKING</v>
      </c>
      <c r="N130" s="38"/>
      <c r="O130" s="38" t="str">
        <v>BLOCKED</v>
      </c>
      <c r="P130" s="38" t="str">
        <v>Only dish aggregate is available: active 8 min / total 35 min; no unsupported split by operation</v>
      </c>
      <c r="Q130" s="38" t="str">
        <v>HOT-06: ≥20 порций по 150 г/цикл; HOT-13: Совместимость с печами</v>
      </c>
      <c r="R130" s="38" t="str">
        <v>project design requirement</v>
      </c>
      <c r="S130" s="38" t="str">
        <v>PLANNED</v>
      </c>
      <c r="T130" s="38" t="n">
        <v>1</v>
      </c>
      <c r="U130" s="38" t="str">
        <v>порция</v>
      </c>
      <c r="V130" s="38" t="str">
        <v>ASSUMPTION_RECIPE_UNIT</v>
      </c>
      <c r="W130" s="38" t="n">
        <v>1</v>
      </c>
      <c r="X130" s="38" t="str">
        <v>CALCULATED_FROM_PROJECT_MINIMUM</v>
      </c>
      <c r="Y130" s="38" t="str">
        <v>1 portion / minimum 20 portions per cycle; selected-model passport and actual cycle remain absent</v>
      </c>
      <c r="Z130" s="38"/>
      <c r="AA130" s="38"/>
      <c r="AB130" s="38"/>
      <c r="AC130" s="38"/>
      <c r="AD130" s="38"/>
      <c r="AE130" s="38" t="str">
        <v>BLOCKED_NO_SELECTED_MODEL_PASSPORT</v>
      </c>
      <c r="AF130" s="38" t="str">
        <v>BLOCKED</v>
      </c>
      <c r="AG130" s="38" t="str">
        <v>BLOCKED</v>
      </c>
      <c r="AH130" s="38" t="str">
        <v>BLOCKED_SELECTED_MODEL_AND_SITE_VALIDATION</v>
      </c>
      <c r="AI130" s="38" t="str">
        <v>ESTIMATE</v>
      </c>
      <c r="AJ130" s="38" t="str">
        <v>EVD-0010;EVD-0021;EVD-0022;EVD-0023</v>
      </c>
      <c r="AK130" s="38" t="str">
        <v>2026-08-03</v>
      </c>
      <c r="AL130" s="38" t="str">
        <v>GAP-007;GAP-017;GAP-018;GAP-019</v>
      </c>
      <c r="AM130" s="38" t="str">
        <v>Operations / Engineering / Procurement</v>
      </c>
      <c r="AN130" s="38" t="str">
        <v>Manual operation mapped to an existing work surface/inventory function.</v>
      </c>
      <c r="AO130" s="39" t="str">
        <v>Chef/Operations time the operation; Procurement supplies selected-model passport; Engineering confirms asset, placement and connections</v>
      </c>
    </row>
    <row r="131">
      <c r="A131" s="37" t="str">
        <v>EQM-0127</v>
      </c>
      <c r="B131" s="38" t="str">
        <v>VKM-024</v>
      </c>
      <c r="C131" s="38" t="str">
        <v>Рис жасмин</v>
      </c>
      <c r="D131" s="38" t="str">
        <v>Гарниры</v>
      </c>
      <c r="E131" s="38" t="str">
        <v>0.1.0-DRAFT</v>
      </c>
      <c r="F131" s="38" t="n">
        <v>4</v>
      </c>
      <c r="G131" s="38" t="str">
        <v>дать стабилизироваться</v>
      </c>
      <c r="H131" s="38" t="str">
        <v>HOT-12;HOT-13</v>
      </c>
      <c r="I131" s="38" t="str">
        <v>Столы и полки горячего участка;GN, противни и горячий инвентарь</v>
      </c>
      <c r="J131" s="38" t="str">
        <v>CAPEX.HOT.013;CAPEX.HOT.014</v>
      </c>
      <c r="K131" s="38" t="str">
        <v>MANDATORY</v>
      </c>
      <c r="L131" s="38" t="str">
        <v>APPROVED_STRUCTURE</v>
      </c>
      <c r="M131" s="38" t="str">
        <v>HOT_PREP_PORTIONING</v>
      </c>
      <c r="N131" s="38"/>
      <c r="O131" s="38" t="str">
        <v>BLOCKED</v>
      </c>
      <c r="P131" s="38" t="str">
        <v>Only dish aggregate is available: active 8 min / total 35 min; no unsupported split by operation</v>
      </c>
      <c r="Q131" s="38" t="str">
        <v>HOT-12: По планировке; HOT-13: Совместимость с печами</v>
      </c>
      <c r="R131" s="38" t="str">
        <v>project design requirement</v>
      </c>
      <c r="S131" s="38" t="str">
        <v>PLANNED</v>
      </c>
      <c r="T131" s="38"/>
      <c r="U131" s="38"/>
      <c r="V131" s="38" t="str">
        <v>BLOCKED</v>
      </c>
      <c r="W131" s="38"/>
      <c r="X131" s="38" t="str">
        <v>BLOCKED_NOT_COMPARABLE</v>
      </c>
      <c r="Y131" s="38" t="str">
        <v>Recipe load cannot be compared to the project requirement without tray/form/GN/load and selected-model data</v>
      </c>
      <c r="Z131" s="38"/>
      <c r="AA131" s="38"/>
      <c r="AB131" s="38"/>
      <c r="AC131" s="38"/>
      <c r="AD131" s="38"/>
      <c r="AE131" s="38" t="str">
        <v>BLOCKED_NO_SELECTED_MODEL_PASSPORT</v>
      </c>
      <c r="AF131" s="38" t="str">
        <v>BLOCKED</v>
      </c>
      <c r="AG131" s="38" t="str">
        <v>BLOCKED</v>
      </c>
      <c r="AH131" s="38" t="str">
        <v>BLOCKED_SELECTED_MODEL_AND_SITE_VALIDATION</v>
      </c>
      <c r="AI131" s="38" t="str">
        <v>ESTIMATE</v>
      </c>
      <c r="AJ131" s="38" t="str">
        <v>EVD-0010;EVD-0021;EVD-0022;EVD-0023</v>
      </c>
      <c r="AK131" s="38" t="str">
        <v>2026-08-03</v>
      </c>
      <c r="AL131" s="38" t="str">
        <v>GAP-007;GAP-017;GAP-018;GAP-019</v>
      </c>
      <c r="AM131" s="38" t="str">
        <v>Operations / Engineering / Procurement</v>
      </c>
      <c r="AN131" s="38" t="str">
        <v>Manual operation mapped to an existing work surface/inventory function.</v>
      </c>
      <c r="AO131" s="39" t="str">
        <v>Chef/Operations time the operation; Procurement supplies selected-model passport; Engineering confirms asset, placement and connections</v>
      </c>
    </row>
    <row r="132">
      <c r="A132" s="37" t="str">
        <v>EQM-0128</v>
      </c>
      <c r="B132" s="38" t="str">
        <v>VKM-024</v>
      </c>
      <c r="C132" s="38" t="str">
        <v>Рис жасмин</v>
      </c>
      <c r="D132" s="38" t="str">
        <v>Гарниры</v>
      </c>
      <c r="E132" s="38" t="str">
        <v>0.1.0-DRAFT</v>
      </c>
      <c r="F132" s="38" t="n">
        <v>5</v>
      </c>
      <c r="G132" s="38" t="str">
        <v>внести масла и соль</v>
      </c>
      <c r="H132" s="38" t="str">
        <v>HOT-12;HOT-13</v>
      </c>
      <c r="I132" s="38" t="str">
        <v>Столы и полки горячего участка;GN, противни и горячий инвентарь</v>
      </c>
      <c r="J132" s="38" t="str">
        <v>CAPEX.HOT.013;CAPEX.HOT.014</v>
      </c>
      <c r="K132" s="38" t="str">
        <v>MANDATORY</v>
      </c>
      <c r="L132" s="38" t="str">
        <v>APPROVED_STRUCTURE</v>
      </c>
      <c r="M132" s="38" t="str">
        <v>HOT_PREP_PORTIONING</v>
      </c>
      <c r="N132" s="38"/>
      <c r="O132" s="38" t="str">
        <v>BLOCKED</v>
      </c>
      <c r="P132" s="38" t="str">
        <v>Only dish aggregate is available: active 8 min / total 35 min; no unsupported split by operation</v>
      </c>
      <c r="Q132" s="38" t="str">
        <v>HOT-12: По планировке; HOT-13: Совместимость с печами</v>
      </c>
      <c r="R132" s="38" t="str">
        <v>project design requirement</v>
      </c>
      <c r="S132" s="38" t="str">
        <v>PLANNED</v>
      </c>
      <c r="T132" s="38"/>
      <c r="U132" s="38"/>
      <c r="V132" s="38" t="str">
        <v>BLOCKED</v>
      </c>
      <c r="W132" s="38"/>
      <c r="X132" s="38" t="str">
        <v>BLOCKED_NOT_COMPARABLE</v>
      </c>
      <c r="Y132" s="38" t="str">
        <v>Recipe load cannot be compared to the project requirement without tray/form/GN/load and selected-model data</v>
      </c>
      <c r="Z132" s="38"/>
      <c r="AA132" s="38"/>
      <c r="AB132" s="38"/>
      <c r="AC132" s="38"/>
      <c r="AD132" s="38"/>
      <c r="AE132" s="38" t="str">
        <v>BLOCKED_NO_SELECTED_MODEL_PASSPORT</v>
      </c>
      <c r="AF132" s="38" t="str">
        <v>BLOCKED</v>
      </c>
      <c r="AG132" s="38" t="str">
        <v>BLOCKED</v>
      </c>
      <c r="AH132" s="38" t="str">
        <v>BLOCKED_SELECTED_MODEL_AND_SITE_VALIDATION</v>
      </c>
      <c r="AI132" s="38" t="str">
        <v>ESTIMATE</v>
      </c>
      <c r="AJ132" s="38" t="str">
        <v>EVD-0010;EVD-0021;EVD-0022;EVD-0023</v>
      </c>
      <c r="AK132" s="38" t="str">
        <v>2026-08-03</v>
      </c>
      <c r="AL132" s="38" t="str">
        <v>GAP-007;GAP-017;GAP-018;GAP-019</v>
      </c>
      <c r="AM132" s="38" t="str">
        <v>Operations / Engineering / Procurement</v>
      </c>
      <c r="AN132" s="38" t="str">
        <v>Manual operation mapped to an existing work surface/inventory function.</v>
      </c>
      <c r="AO132" s="39" t="str">
        <v>Chef/Operations time the operation; Procurement supplies selected-model passport; Engineering confirms asset, placement and connections</v>
      </c>
    </row>
    <row r="133">
      <c r="A133" s="37" t="str">
        <v>EQM-0129</v>
      </c>
      <c r="B133" s="38" t="str">
        <v>VKM-024</v>
      </c>
      <c r="C133" s="38" t="str">
        <v>Рис жасмин</v>
      </c>
      <c r="D133" s="38" t="str">
        <v>Гарниры</v>
      </c>
      <c r="E133" s="38" t="str">
        <v>0.1.0-DRAFT</v>
      </c>
      <c r="F133" s="38" t="n">
        <v>6</v>
      </c>
      <c r="G133" s="38" t="str">
        <v>разрыхлить и порционировать</v>
      </c>
      <c r="H133" s="38" t="str">
        <v>HOT-12;HOT-13</v>
      </c>
      <c r="I133" s="38" t="str">
        <v>Столы и полки горячего участка;GN, противни и горячий инвентарь</v>
      </c>
      <c r="J133" s="38" t="str">
        <v>CAPEX.HOT.013;CAPEX.HOT.014</v>
      </c>
      <c r="K133" s="38" t="str">
        <v>MANDATORY</v>
      </c>
      <c r="L133" s="38" t="str">
        <v>APPROVED_STRUCTURE</v>
      </c>
      <c r="M133" s="38" t="str">
        <v>HOT_PREP_PORTIONING</v>
      </c>
      <c r="N133" s="38"/>
      <c r="O133" s="38" t="str">
        <v>BLOCKED</v>
      </c>
      <c r="P133" s="38" t="str">
        <v>Only dish aggregate is available: active 8 min / total 35 min; no unsupported split by operation</v>
      </c>
      <c r="Q133" s="38" t="str">
        <v>HOT-12: По планировке; HOT-13: Совместимость с печами</v>
      </c>
      <c r="R133" s="38" t="str">
        <v>project design requirement</v>
      </c>
      <c r="S133" s="38" t="str">
        <v>PLANNED</v>
      </c>
      <c r="T133" s="38"/>
      <c r="U133" s="38"/>
      <c r="V133" s="38" t="str">
        <v>BLOCKED</v>
      </c>
      <c r="W133" s="38"/>
      <c r="X133" s="38" t="str">
        <v>BLOCKED_NOT_COMPARABLE</v>
      </c>
      <c r="Y133" s="38" t="str">
        <v>Recipe load cannot be compared to the project requirement without tray/form/GN/load and selected-model data</v>
      </c>
      <c r="Z133" s="38"/>
      <c r="AA133" s="38"/>
      <c r="AB133" s="38"/>
      <c r="AC133" s="38"/>
      <c r="AD133" s="38"/>
      <c r="AE133" s="38" t="str">
        <v>BLOCKED_NO_SELECTED_MODEL_PASSPORT</v>
      </c>
      <c r="AF133" s="38" t="str">
        <v>BLOCKED</v>
      </c>
      <c r="AG133" s="38" t="str">
        <v>BLOCKED</v>
      </c>
      <c r="AH133" s="38" t="str">
        <v>BLOCKED_SELECTED_MODEL_AND_SITE_VALIDATION</v>
      </c>
      <c r="AI133" s="38" t="str">
        <v>ESTIMATE</v>
      </c>
      <c r="AJ133" s="38" t="str">
        <v>EVD-0010;EVD-0021;EVD-0022;EVD-0023</v>
      </c>
      <c r="AK133" s="38" t="str">
        <v>2026-08-03</v>
      </c>
      <c r="AL133" s="38" t="str">
        <v>GAP-007;GAP-017;GAP-018;GAP-019</v>
      </c>
      <c r="AM133" s="38" t="str">
        <v>Operations / Engineering / Procurement</v>
      </c>
      <c r="AN133" s="38" t="str">
        <v>Manual operation mapped to an existing work surface/inventory function.</v>
      </c>
      <c r="AO133" s="39" t="str">
        <v>Chef/Operations time the operation; Procurement supplies selected-model passport; Engineering confirms asset, placement and connections</v>
      </c>
    </row>
    <row r="134">
      <c r="A134" s="37" t="str">
        <v>EQM-0130</v>
      </c>
      <c r="B134" s="38" t="str">
        <v>VKM-025</v>
      </c>
      <c r="C134" s="38" t="str">
        <v>Горячие овощи</v>
      </c>
      <c r="D134" s="38" t="str">
        <v>Гарниры</v>
      </c>
      <c r="E134" s="38" t="str">
        <v>0.1.0-DRAFT</v>
      </c>
      <c r="F134" s="38" t="n">
        <v>1</v>
      </c>
      <c r="G134" s="38" t="str">
        <v>Подготовить и одинаково нарезать овощи</v>
      </c>
      <c r="H134" s="38" t="str">
        <v>HOT-12;HOT-13</v>
      </c>
      <c r="I134" s="38" t="str">
        <v>Столы и полки горячего участка;GN, противни и горячий инвентарь</v>
      </c>
      <c r="J134" s="38" t="str">
        <v>CAPEX.HOT.013;CAPEX.HOT.014</v>
      </c>
      <c r="K134" s="38" t="str">
        <v>MANDATORY</v>
      </c>
      <c r="L134" s="38" t="str">
        <v>APPROVED_STRUCTURE</v>
      </c>
      <c r="M134" s="38" t="str">
        <v>HOT_PREP_PORTIONING</v>
      </c>
      <c r="N134" s="38"/>
      <c r="O134" s="38" t="str">
        <v>BLOCKED</v>
      </c>
      <c r="P134" s="38" t="str">
        <v>Only dish aggregate is available: active 15 min / total 22 min; no unsupported split by operation</v>
      </c>
      <c r="Q134" s="38" t="str">
        <v>HOT-12: По планировке; HOT-13: Совместимость с печами</v>
      </c>
      <c r="R134" s="38" t="str">
        <v>project design requirement</v>
      </c>
      <c r="S134" s="38" t="str">
        <v>PLANNED</v>
      </c>
      <c r="T134" s="38"/>
      <c r="U134" s="38"/>
      <c r="V134" s="38" t="str">
        <v>BLOCKED</v>
      </c>
      <c r="W134" s="38"/>
      <c r="X134" s="38" t="str">
        <v>BLOCKED_NOT_COMPARABLE</v>
      </c>
      <c r="Y134" s="38" t="str">
        <v>Recipe load cannot be compared to the project requirement without tray/form/GN/load and selected-model data</v>
      </c>
      <c r="Z134" s="38"/>
      <c r="AA134" s="38"/>
      <c r="AB134" s="38"/>
      <c r="AC134" s="38"/>
      <c r="AD134" s="38"/>
      <c r="AE134" s="38" t="str">
        <v>BLOCKED_NO_SELECTED_MODEL_PASSPORT</v>
      </c>
      <c r="AF134" s="38" t="str">
        <v>BLOCKED</v>
      </c>
      <c r="AG134" s="38" t="str">
        <v>BLOCKED</v>
      </c>
      <c r="AH134" s="38" t="str">
        <v>BLOCKED_SELECTED_MODEL_AND_SITE_VALIDATION</v>
      </c>
      <c r="AI134" s="38" t="str">
        <v>ESTIMATE</v>
      </c>
      <c r="AJ134" s="38" t="str">
        <v>EVD-0010;EVD-0021;EVD-0022;EVD-0023</v>
      </c>
      <c r="AK134" s="38" t="str">
        <v>2026-08-03</v>
      </c>
      <c r="AL134" s="38" t="str">
        <v>GAP-007;GAP-017;GAP-018;GAP-019</v>
      </c>
      <c r="AM134" s="38" t="str">
        <v>Operations / Engineering / Procurement</v>
      </c>
      <c r="AN134" s="38" t="str">
        <v>Manual operation mapped to an existing work surface/inventory function.</v>
      </c>
      <c r="AO134" s="39" t="str">
        <v>Chef/Operations time the operation; Procurement supplies selected-model passport; Engineering confirms asset, placement and connections</v>
      </c>
    </row>
    <row r="135">
      <c r="A135" s="37" t="str">
        <v>EQM-0131</v>
      </c>
      <c r="B135" s="38" t="str">
        <v>VKM-025</v>
      </c>
      <c r="C135" s="38" t="str">
        <v>Горячие овощи</v>
      </c>
      <c r="D135" s="38" t="str">
        <v>Гарниры</v>
      </c>
      <c r="E135" s="38" t="str">
        <v>0.1.0-DRAFT</v>
      </c>
      <c r="F135" s="38" t="n">
        <v>2</v>
      </c>
      <c r="G135" s="38" t="str">
        <v>обрабатывать партиями</v>
      </c>
      <c r="H135" s="38" t="str">
        <v>HOT-03;HOT-13</v>
      </c>
      <c r="I135" s="38" t="str">
        <v>WOK-пост;GN, противни и горячий инвентарь</v>
      </c>
      <c r="J135" s="38" t="str">
        <v>CAPEX.HOT.003;CAPEX.HOT.014</v>
      </c>
      <c r="K135" s="38" t="str">
        <v>MANDATORY</v>
      </c>
      <c r="L135" s="38" t="str">
        <v>APPROVED_STRUCTURE</v>
      </c>
      <c r="M135" s="38" t="str">
        <v>WOK_COOKING</v>
      </c>
      <c r="N135" s="38"/>
      <c r="O135" s="38" t="str">
        <v>BLOCKED</v>
      </c>
      <c r="P135" s="38" t="str">
        <v>Only dish aggregate is available: active 15 min / total 22 min; no unsupported split by operation</v>
      </c>
      <c r="Q135" s="38" t="str">
        <v>HOT-03: ≥5 порций/час; HOT-13: Совместимость с печами</v>
      </c>
      <c r="R135" s="38" t="str">
        <v>project design requirement</v>
      </c>
      <c r="S135" s="38" t="str">
        <v>PLANNED</v>
      </c>
      <c r="T135" s="38" t="n">
        <v>1</v>
      </c>
      <c r="U135" s="38" t="str">
        <v>порция</v>
      </c>
      <c r="V135" s="38" t="str">
        <v>ASSUMPTION_RECIPE_UNIT</v>
      </c>
      <c r="W135" s="38" t="n">
        <v>1</v>
      </c>
      <c r="X135" s="38" t="str">
        <v>CALCULATED_FROM_PROJECT_THROUGHPUT</v>
      </c>
      <c r="Y135" s="38" t="str">
        <v>1 portion / project minimum 5 portions per hour; this is not a passport cycle</v>
      </c>
      <c r="Z135" s="38"/>
      <c r="AA135" s="38"/>
      <c r="AB135" s="38"/>
      <c r="AC135" s="38"/>
      <c r="AD135" s="38"/>
      <c r="AE135" s="38" t="str">
        <v>BLOCKED_NO_SELECTED_MODEL_PASSPORT</v>
      </c>
      <c r="AF135" s="38" t="str">
        <v>BLOCKED</v>
      </c>
      <c r="AG135" s="38" t="str">
        <v>BLOCKED</v>
      </c>
      <c r="AH135" s="38" t="str">
        <v>BLOCKED_SELECTED_MODEL_AND_SITE_VALIDATION</v>
      </c>
      <c r="AI135" s="38" t="str">
        <v>ESTIMATE</v>
      </c>
      <c r="AJ135" s="38" t="str">
        <v>EVD-0010;EVD-0021;EVD-0022;EVD-0023</v>
      </c>
      <c r="AK135" s="38" t="str">
        <v>2026-08-03</v>
      </c>
      <c r="AL135" s="38" t="str">
        <v>GAP-007;GAP-017;GAP-018;GAP-019</v>
      </c>
      <c r="AM135" s="38" t="str">
        <v>Operations / Engineering / Procurement</v>
      </c>
      <c r="AN135" s="38" t="str">
        <v>Manual operation mapped to an existing work surface/inventory function.</v>
      </c>
      <c r="AO135" s="39" t="str">
        <v>Chef/Operations time the operation; Procurement supplies selected-model passport; Engineering confirms asset, placement and connections</v>
      </c>
    </row>
    <row r="136">
      <c r="A136" s="37" t="str">
        <v>EQM-0132</v>
      </c>
      <c r="B136" s="38" t="str">
        <v>VKM-025</v>
      </c>
      <c r="C136" s="38" t="str">
        <v>Горячие овощи</v>
      </c>
      <c r="D136" s="38" t="str">
        <v>Гарниры</v>
      </c>
      <c r="E136" s="38" t="str">
        <v>0.1.0-DRAFT</v>
      </c>
      <c r="F136" s="38" t="n">
        <v>3</v>
      </c>
      <c r="G136" s="38" t="str">
        <v>соединить</v>
      </c>
      <c r="H136" s="38" t="str">
        <v>HOT-12;HOT-13</v>
      </c>
      <c r="I136" s="38" t="str">
        <v>Столы и полки горячего участка;GN, противни и горячий инвентарь</v>
      </c>
      <c r="J136" s="38" t="str">
        <v>CAPEX.HOT.013;CAPEX.HOT.014</v>
      </c>
      <c r="K136" s="38" t="str">
        <v>MANDATORY</v>
      </c>
      <c r="L136" s="38" t="str">
        <v>APPROVED_STRUCTURE</v>
      </c>
      <c r="M136" s="38" t="str">
        <v>HOT_PREP_PORTIONING</v>
      </c>
      <c r="N136" s="38"/>
      <c r="O136" s="38" t="str">
        <v>BLOCKED</v>
      </c>
      <c r="P136" s="38" t="str">
        <v>Only dish aggregate is available: active 15 min / total 22 min; no unsupported split by operation</v>
      </c>
      <c r="Q136" s="38" t="str">
        <v>HOT-12: По планировке; HOT-13: Совместимость с печами</v>
      </c>
      <c r="R136" s="38" t="str">
        <v>project design requirement</v>
      </c>
      <c r="S136" s="38" t="str">
        <v>PLANNED</v>
      </c>
      <c r="T136" s="38"/>
      <c r="U136" s="38"/>
      <c r="V136" s="38" t="str">
        <v>BLOCKED</v>
      </c>
      <c r="W136" s="38"/>
      <c r="X136" s="38" t="str">
        <v>BLOCKED_NOT_COMPARABLE</v>
      </c>
      <c r="Y136" s="38" t="str">
        <v>Recipe load cannot be compared to the project requirement without tray/form/GN/load and selected-model data</v>
      </c>
      <c r="Z136" s="38"/>
      <c r="AA136" s="38"/>
      <c r="AB136" s="38"/>
      <c r="AC136" s="38"/>
      <c r="AD136" s="38"/>
      <c r="AE136" s="38" t="str">
        <v>BLOCKED_NO_SELECTED_MODEL_PASSPORT</v>
      </c>
      <c r="AF136" s="38" t="str">
        <v>BLOCKED</v>
      </c>
      <c r="AG136" s="38" t="str">
        <v>BLOCKED</v>
      </c>
      <c r="AH136" s="38" t="str">
        <v>BLOCKED_SELECTED_MODEL_AND_SITE_VALIDATION</v>
      </c>
      <c r="AI136" s="38" t="str">
        <v>ESTIMATE</v>
      </c>
      <c r="AJ136" s="38" t="str">
        <v>EVD-0010;EVD-0021;EVD-0022;EVD-0023</v>
      </c>
      <c r="AK136" s="38" t="str">
        <v>2026-08-03</v>
      </c>
      <c r="AL136" s="38" t="str">
        <v>GAP-007;GAP-017;GAP-018;GAP-019</v>
      </c>
      <c r="AM136" s="38" t="str">
        <v>Operations / Engineering / Procurement</v>
      </c>
      <c r="AN136" s="38" t="str">
        <v>Manual operation mapped to an existing work surface/inventory function.</v>
      </c>
      <c r="AO136" s="39" t="str">
        <v>Chef/Operations time the operation; Procurement supplies selected-model passport; Engineering confirms asset, placement and connections</v>
      </c>
    </row>
    <row r="137">
      <c r="A137" s="37" t="str">
        <v>EQM-0133</v>
      </c>
      <c r="B137" s="38" t="str">
        <v>VKM-025</v>
      </c>
      <c r="C137" s="38" t="str">
        <v>Горячие овощи</v>
      </c>
      <c r="D137" s="38" t="str">
        <v>Гарниры</v>
      </c>
      <c r="E137" s="38" t="str">
        <v>0.1.0-DRAFT</v>
      </c>
      <c r="F137" s="38" t="n">
        <v>4</v>
      </c>
      <c r="G137" s="38" t="str">
        <v>приправить</v>
      </c>
      <c r="H137" s="38" t="str">
        <v>HOT-12;HOT-13</v>
      </c>
      <c r="I137" s="38" t="str">
        <v>Столы и полки горячего участка;GN, противни и горячий инвентарь</v>
      </c>
      <c r="J137" s="38" t="str">
        <v>CAPEX.HOT.013;CAPEX.HOT.014</v>
      </c>
      <c r="K137" s="38" t="str">
        <v>MANDATORY</v>
      </c>
      <c r="L137" s="38" t="str">
        <v>APPROVED_STRUCTURE</v>
      </c>
      <c r="M137" s="38" t="str">
        <v>HOT_PREP_PORTIONING</v>
      </c>
      <c r="N137" s="38"/>
      <c r="O137" s="38" t="str">
        <v>BLOCKED</v>
      </c>
      <c r="P137" s="38" t="str">
        <v>Only dish aggregate is available: active 15 min / total 22 min; no unsupported split by operation</v>
      </c>
      <c r="Q137" s="38" t="str">
        <v>HOT-12: По планировке; HOT-13: Совместимость с печами</v>
      </c>
      <c r="R137" s="38" t="str">
        <v>project design requirement</v>
      </c>
      <c r="S137" s="38" t="str">
        <v>PLANNED</v>
      </c>
      <c r="T137" s="38"/>
      <c r="U137" s="38"/>
      <c r="V137" s="38" t="str">
        <v>BLOCKED</v>
      </c>
      <c r="W137" s="38"/>
      <c r="X137" s="38" t="str">
        <v>BLOCKED_NOT_COMPARABLE</v>
      </c>
      <c r="Y137" s="38" t="str">
        <v>Recipe load cannot be compared to the project requirement without tray/form/GN/load and selected-model data</v>
      </c>
      <c r="Z137" s="38"/>
      <c r="AA137" s="38"/>
      <c r="AB137" s="38"/>
      <c r="AC137" s="38"/>
      <c r="AD137" s="38"/>
      <c r="AE137" s="38" t="str">
        <v>BLOCKED_NO_SELECTED_MODEL_PASSPORT</v>
      </c>
      <c r="AF137" s="38" t="str">
        <v>BLOCKED</v>
      </c>
      <c r="AG137" s="38" t="str">
        <v>BLOCKED</v>
      </c>
      <c r="AH137" s="38" t="str">
        <v>BLOCKED_SELECTED_MODEL_AND_SITE_VALIDATION</v>
      </c>
      <c r="AI137" s="38" t="str">
        <v>ESTIMATE</v>
      </c>
      <c r="AJ137" s="38" t="str">
        <v>EVD-0010;EVD-0021;EVD-0022;EVD-0023</v>
      </c>
      <c r="AK137" s="38" t="str">
        <v>2026-08-03</v>
      </c>
      <c r="AL137" s="38" t="str">
        <v>GAP-007;GAP-017;GAP-018;GAP-019</v>
      </c>
      <c r="AM137" s="38" t="str">
        <v>Operations / Engineering / Procurement</v>
      </c>
      <c r="AN137" s="38" t="str">
        <v>Manual operation mapped to an existing work surface/inventory function.</v>
      </c>
      <c r="AO137" s="39" t="str">
        <v>Chef/Operations time the operation; Procurement supplies selected-model passport; Engineering confirms asset, placement and connections</v>
      </c>
    </row>
    <row r="138">
      <c r="A138" s="37" t="str">
        <v>EQM-0134</v>
      </c>
      <c r="B138" s="38" t="str">
        <v>VKM-025</v>
      </c>
      <c r="C138" s="38" t="str">
        <v>Горячие овощи</v>
      </c>
      <c r="D138" s="38" t="str">
        <v>Гарниры</v>
      </c>
      <c r="E138" s="38" t="str">
        <v>0.1.0-DRAFT</v>
      </c>
      <c r="F138" s="38" t="n">
        <v>5</v>
      </c>
      <c r="G138" s="38" t="str">
        <v>порционировать</v>
      </c>
      <c r="H138" s="38" t="str">
        <v>HOT-12;HOT-13</v>
      </c>
      <c r="I138" s="38" t="str">
        <v>Столы и полки горячего участка;GN, противни и горячий инвентарь</v>
      </c>
      <c r="J138" s="38" t="str">
        <v>CAPEX.HOT.013;CAPEX.HOT.014</v>
      </c>
      <c r="K138" s="38" t="str">
        <v>MANDATORY</v>
      </c>
      <c r="L138" s="38" t="str">
        <v>APPROVED_STRUCTURE</v>
      </c>
      <c r="M138" s="38" t="str">
        <v>HOT_PREP_PORTIONING</v>
      </c>
      <c r="N138" s="38"/>
      <c r="O138" s="38" t="str">
        <v>BLOCKED</v>
      </c>
      <c r="P138" s="38" t="str">
        <v>Only dish aggregate is available: active 15 min / total 22 min; no unsupported split by operation</v>
      </c>
      <c r="Q138" s="38" t="str">
        <v>HOT-12: По планировке; HOT-13: Совместимость с печами</v>
      </c>
      <c r="R138" s="38" t="str">
        <v>project design requirement</v>
      </c>
      <c r="S138" s="38" t="str">
        <v>PLANNED</v>
      </c>
      <c r="T138" s="38"/>
      <c r="U138" s="38"/>
      <c r="V138" s="38" t="str">
        <v>BLOCKED</v>
      </c>
      <c r="W138" s="38"/>
      <c r="X138" s="38" t="str">
        <v>BLOCKED_NOT_COMPARABLE</v>
      </c>
      <c r="Y138" s="38" t="str">
        <v>Recipe load cannot be compared to the project requirement without tray/form/GN/load and selected-model data</v>
      </c>
      <c r="Z138" s="38"/>
      <c r="AA138" s="38"/>
      <c r="AB138" s="38"/>
      <c r="AC138" s="38"/>
      <c r="AD138" s="38"/>
      <c r="AE138" s="38" t="str">
        <v>BLOCKED_NO_SELECTED_MODEL_PASSPORT</v>
      </c>
      <c r="AF138" s="38" t="str">
        <v>BLOCKED</v>
      </c>
      <c r="AG138" s="38" t="str">
        <v>BLOCKED</v>
      </c>
      <c r="AH138" s="38" t="str">
        <v>BLOCKED_SELECTED_MODEL_AND_SITE_VALIDATION</v>
      </c>
      <c r="AI138" s="38" t="str">
        <v>ESTIMATE</v>
      </c>
      <c r="AJ138" s="38" t="str">
        <v>EVD-0010;EVD-0021;EVD-0022;EVD-0023</v>
      </c>
      <c r="AK138" s="38" t="str">
        <v>2026-08-03</v>
      </c>
      <c r="AL138" s="38" t="str">
        <v>GAP-007;GAP-017;GAP-018;GAP-019</v>
      </c>
      <c r="AM138" s="38" t="str">
        <v>Operations / Engineering / Procurement</v>
      </c>
      <c r="AN138" s="38" t="str">
        <v>Manual operation mapped to an existing work surface/inventory function.</v>
      </c>
      <c r="AO138" s="39" t="str">
        <v>Chef/Operations time the operation; Procurement supplies selected-model passport; Engineering confirms asset, placement and connections</v>
      </c>
    </row>
    <row r="139">
      <c r="A139" s="37" t="str">
        <v>EQM-0135</v>
      </c>
      <c r="B139" s="38" t="str">
        <v>VKM-029</v>
      </c>
      <c r="C139" s="38" t="str">
        <v>Черничный торт VARSHAVKA</v>
      </c>
      <c r="D139" s="38" t="str">
        <v>Десерты</v>
      </c>
      <c r="E139" s="38" t="str">
        <v>0.1.0-DRAFT</v>
      </c>
      <c r="F139" s="38" t="n">
        <v>1</v>
      </c>
      <c r="G139" s="38" t="str">
        <v>Приготовить и выпечь бисквит</v>
      </c>
      <c r="H139" s="38" t="str">
        <v>BAK-04;BAK-02;BAK-07</v>
      </c>
      <c r="I139" s="38" t="str">
        <v>Планетарный миксер;Пекарская печь;Кондитерские формы и инвентарь</v>
      </c>
      <c r="J139" s="38" t="str">
        <v>CAPEX.BAK.004;CAPEX.BAK.002;CAPEX.BAK.007</v>
      </c>
      <c r="K139" s="38" t="str">
        <v>MANDATORY</v>
      </c>
      <c r="L139" s="38" t="str">
        <v>APPROVED_STRUCTURE</v>
      </c>
      <c r="M139" s="38" t="str">
        <v>MIXING_FORMING_THERMAL_PROCESS</v>
      </c>
      <c r="N139" s="38"/>
      <c r="O139" s="38" t="str">
        <v>BLOCKED</v>
      </c>
      <c r="P139" s="38" t="str">
        <v>Only dish aggregate is available: active 120 min / total 600 min; no unsupported split by operation</v>
      </c>
      <c r="Q139" s="38" t="str">
        <v>BAK-04: 10–20 л; BAK-02: 6×600×400; программирование; пар; BAK-07: Торт, кростата, мадлены</v>
      </c>
      <c r="R139" s="38" t="str">
        <v>project design requirement</v>
      </c>
      <c r="S139" s="38" t="str">
        <v>PLANNED</v>
      </c>
      <c r="T139" s="38"/>
      <c r="U139" s="38"/>
      <c r="V139" s="38" t="str">
        <v>BLOCKED</v>
      </c>
      <c r="W139" s="38"/>
      <c r="X139" s="38" t="str">
        <v>BLOCKED_NOT_COMPARABLE</v>
      </c>
      <c r="Y139" s="38" t="str">
        <v>Recipe load cannot be compared to the project requirement without tray/form/GN/load and selected-model data</v>
      </c>
      <c r="Z139" s="38"/>
      <c r="AA139" s="38"/>
      <c r="AB139" s="38"/>
      <c r="AC139" s="38"/>
      <c r="AD139" s="38"/>
      <c r="AE139" s="38" t="str">
        <v>BLOCKED_NO_SELECTED_MODEL_PASSPORT</v>
      </c>
      <c r="AF139" s="38" t="str">
        <v>BLOCKED</v>
      </c>
      <c r="AG139" s="38" t="str">
        <v>BLOCKED</v>
      </c>
      <c r="AH139" s="38" t="str">
        <v>BLOCKED_SELECTED_MODEL_AND_SITE_VALIDATION</v>
      </c>
      <c r="AI139" s="38" t="str">
        <v>ESTIMATE</v>
      </c>
      <c r="AJ139" s="38" t="str">
        <v>EVD-0010;EVD-0021;EVD-0022;EVD-0023</v>
      </c>
      <c r="AK139" s="38" t="str">
        <v>2026-08-03</v>
      </c>
      <c r="AL139" s="38" t="str">
        <v>GAP-007;GAP-017;GAP-018;GAP-019</v>
      </c>
      <c r="AM139" s="38" t="str">
        <v>Operations / Engineering / Procurement</v>
      </c>
      <c r="AN139" s="38" t="str">
        <v>Manual operation mapped to an existing work surface/inventory function.</v>
      </c>
      <c r="AO139" s="39" t="str">
        <v>Chef/Operations time the operation; Procurement supplies selected-model passport; Engineering confirms asset, placement and connections</v>
      </c>
    </row>
    <row r="140">
      <c r="A140" s="37" t="str">
        <v>EQM-0136</v>
      </c>
      <c r="B140" s="38" t="str">
        <v>VKM-029</v>
      </c>
      <c r="C140" s="38" t="str">
        <v>Черничный торт VARSHAVKA</v>
      </c>
      <c r="D140" s="38" t="str">
        <v>Десерты</v>
      </c>
      <c r="E140" s="38" t="str">
        <v>0.1.0-DRAFT</v>
      </c>
      <c r="F140" s="38" t="n">
        <v>2</v>
      </c>
      <c r="G140" s="38" t="str">
        <v>охладить</v>
      </c>
      <c r="H140" s="38" t="str">
        <v>BAK-06;STO-09</v>
      </c>
      <c r="I140" s="38" t="str">
        <v>Мобильный стеллаж охлаждения;Кондитерское хранение</v>
      </c>
      <c r="J140" s="38" t="str">
        <v>CAPEX.BAK.006;CAPEX.STO.009</v>
      </c>
      <c r="K140" s="38" t="str">
        <v>MANDATORY</v>
      </c>
      <c r="L140" s="38" t="str">
        <v>APPROVED_STRUCTURE</v>
      </c>
      <c r="M140" s="38" t="str">
        <v>COOLING</v>
      </c>
      <c r="N140" s="38"/>
      <c r="O140" s="38" t="str">
        <v>BLOCKED</v>
      </c>
      <c r="P140" s="38" t="str">
        <v>Only dish aggregate is available: active 120 min / total 600 min; no unsupported split by operation</v>
      </c>
      <c r="Q140" s="38" t="str">
        <v>BAK-06: 16–20 противней; STO-09: Противни и изделия</v>
      </c>
      <c r="R140" s="38" t="str">
        <v>project design requirement</v>
      </c>
      <c r="S140" s="38" t="str">
        <v>PLANNED</v>
      </c>
      <c r="T140" s="38"/>
      <c r="U140" s="38"/>
      <c r="V140" s="38" t="str">
        <v>BLOCKED</v>
      </c>
      <c r="W140" s="38"/>
      <c r="X140" s="38" t="str">
        <v>BLOCKED_NOT_COMPARABLE</v>
      </c>
      <c r="Y140" s="38" t="str">
        <v>Recipe load cannot be compared to the project requirement without tray/form/GN/load and selected-model data</v>
      </c>
      <c r="Z140" s="38"/>
      <c r="AA140" s="38"/>
      <c r="AB140" s="38"/>
      <c r="AC140" s="38"/>
      <c r="AD140" s="38"/>
      <c r="AE140" s="38" t="str">
        <v>BLOCKED_NO_SELECTED_MODEL_PASSPORT</v>
      </c>
      <c r="AF140" s="38" t="str">
        <v>BLOCKED</v>
      </c>
      <c r="AG140" s="38" t="str">
        <v>BLOCKED</v>
      </c>
      <c r="AH140" s="38" t="str">
        <v>BLOCKED_SELECTED_MODEL_AND_SITE_VALIDATION</v>
      </c>
      <c r="AI140" s="38" t="str">
        <v>ESTIMATE</v>
      </c>
      <c r="AJ140" s="38" t="str">
        <v>EVD-0010;EVD-0021;EVD-0022;EVD-0023</v>
      </c>
      <c r="AK140" s="38" t="str">
        <v>2026-08-03</v>
      </c>
      <c r="AL140" s="38" t="str">
        <v>GAP-007;GAP-017;GAP-018;GAP-019</v>
      </c>
      <c r="AM140" s="38" t="str">
        <v>Operations / Engineering / Procurement</v>
      </c>
      <c r="AN140" s="38" t="str">
        <v>Manual operation mapped to an existing work surface/inventory function.</v>
      </c>
      <c r="AO140" s="39" t="str">
        <v>Chef/Operations time the operation; Procurement supplies selected-model passport; Engineering confirms asset, placement and connections</v>
      </c>
    </row>
    <row r="141">
      <c r="A141" s="37" t="str">
        <v>EQM-0137</v>
      </c>
      <c r="B141" s="38" t="str">
        <v>VKM-029</v>
      </c>
      <c r="C141" s="38" t="str">
        <v>Черничный торт VARSHAVKA</v>
      </c>
      <c r="D141" s="38" t="str">
        <v>Десерты</v>
      </c>
      <c r="E141" s="38" t="str">
        <v>0.1.0-DRAFT</v>
      </c>
      <c r="F141" s="38" t="n">
        <v>3</v>
      </c>
      <c r="G141" s="38" t="str">
        <v>приготовить крем, компоте и глазурь</v>
      </c>
      <c r="H141" s="38" t="str">
        <v>BAK-04;BAK-07;HOT-05B</v>
      </c>
      <c r="I141" s="38" t="str">
        <v>Планетарный миксер;Кондитерские формы и инвентарь;Индукционная плита 2 зоны</v>
      </c>
      <c r="J141" s="38" t="str">
        <v>CAPEX.BAK.004;CAPEX.BAK.007;CAPEX.HOT.006</v>
      </c>
      <c r="K141" s="38" t="str">
        <v>MANDATORY</v>
      </c>
      <c r="L141" s="38" t="str">
        <v>APPROVED_STRUCTURE</v>
      </c>
      <c r="M141" s="38" t="str">
        <v>MIXING_AND_HEATED_COMPONENT_PREP</v>
      </c>
      <c r="N141" s="38"/>
      <c r="O141" s="38" t="str">
        <v>BLOCKED</v>
      </c>
      <c r="P141" s="38" t="str">
        <v>Only dish aggregate is available: active 120 min / total 600 min; no unsupported split by operation</v>
      </c>
      <c r="Q141" s="38" t="str">
        <v>BAK-04: 10–20 л; BAK-07: Торт, кростата, мадлены; HOT-05B: 2 зоны</v>
      </c>
      <c r="R141" s="38" t="str">
        <v>project design requirement</v>
      </c>
      <c r="S141" s="38" t="str">
        <v>PLANNED</v>
      </c>
      <c r="T141" s="38"/>
      <c r="U141" s="38"/>
      <c r="V141" s="38" t="str">
        <v>BLOCKED</v>
      </c>
      <c r="W141" s="38"/>
      <c r="X141" s="38" t="str">
        <v>BLOCKED_NOT_COMPARABLE</v>
      </c>
      <c r="Y141" s="38" t="str">
        <v>Recipe load cannot be compared to the project requirement without tray/form/GN/load and selected-model data</v>
      </c>
      <c r="Z141" s="38"/>
      <c r="AA141" s="38"/>
      <c r="AB141" s="38"/>
      <c r="AC141" s="38"/>
      <c r="AD141" s="38"/>
      <c r="AE141" s="38" t="str">
        <v>BLOCKED_NO_SELECTED_MODEL_PASSPORT</v>
      </c>
      <c r="AF141" s="38" t="str">
        <v>BLOCKED</v>
      </c>
      <c r="AG141" s="38" t="str">
        <v>BLOCKED</v>
      </c>
      <c r="AH141" s="38" t="str">
        <v>BLOCKED_SELECTED_MODEL_AND_SITE_VALIDATION</v>
      </c>
      <c r="AI141" s="38" t="str">
        <v>ESTIMATE</v>
      </c>
      <c r="AJ141" s="38" t="str">
        <v>EVD-0010;EVD-0021;EVD-0022;EVD-0023</v>
      </c>
      <c r="AK141" s="38" t="str">
        <v>2026-08-03</v>
      </c>
      <c r="AL141" s="38" t="str">
        <v>GAP-007;GAP-017;GAP-018;GAP-019</v>
      </c>
      <c r="AM141" s="38" t="str">
        <v>Operations / Engineering / Procurement</v>
      </c>
      <c r="AN141" s="38" t="str">
        <v>Manual operation mapped to an existing work surface/inventory function.</v>
      </c>
      <c r="AO141" s="39" t="str">
        <v>Chef/Operations time the operation; Procurement supplies selected-model passport; Engineering confirms asset, placement and connections</v>
      </c>
    </row>
    <row r="142">
      <c r="A142" s="37" t="str">
        <v>EQM-0138</v>
      </c>
      <c r="B142" s="38" t="str">
        <v>VKM-029</v>
      </c>
      <c r="C142" s="38" t="str">
        <v>Черничный торт VARSHAVKA</v>
      </c>
      <c r="D142" s="38" t="str">
        <v>Десерты</v>
      </c>
      <c r="E142" s="38" t="str">
        <v>0.1.0-DRAFT</v>
      </c>
      <c r="F142" s="38" t="n">
        <v>4</v>
      </c>
      <c r="G142" s="38" t="str">
        <v>собрать слоями</v>
      </c>
      <c r="H142" s="38" t="str">
        <v>BAK-07</v>
      </c>
      <c r="I142" s="38" t="str">
        <v>Кондитерские формы и инвентарь</v>
      </c>
      <c r="J142" s="38" t="str">
        <v>CAPEX.BAK.007</v>
      </c>
      <c r="K142" s="38" t="str">
        <v>MANDATORY</v>
      </c>
      <c r="L142" s="38" t="str">
        <v>APPROVED_STRUCTURE</v>
      </c>
      <c r="M142" s="38" t="str">
        <v>FORMING_DECORATING_PORTIONING</v>
      </c>
      <c r="N142" s="38"/>
      <c r="O142" s="38" t="str">
        <v>BLOCKED</v>
      </c>
      <c r="P142" s="38" t="str">
        <v>Only dish aggregate is available: active 120 min / total 600 min; no unsupported split by operation</v>
      </c>
      <c r="Q142" s="38" t="str">
        <v>BAK-07: Торт, кростата, мадлены</v>
      </c>
      <c r="R142" s="38" t="str">
        <v>project design requirement</v>
      </c>
      <c r="S142" s="38" t="str">
        <v>PLANNED</v>
      </c>
      <c r="T142" s="38"/>
      <c r="U142" s="38"/>
      <c r="V142" s="38" t="str">
        <v>BLOCKED</v>
      </c>
      <c r="W142" s="38"/>
      <c r="X142" s="38" t="str">
        <v>BLOCKED_NOT_COMPARABLE</v>
      </c>
      <c r="Y142" s="38" t="str">
        <v>Recipe load cannot be compared to the project requirement without tray/form/GN/load and selected-model data</v>
      </c>
      <c r="Z142" s="38"/>
      <c r="AA142" s="38"/>
      <c r="AB142" s="38"/>
      <c r="AC142" s="38"/>
      <c r="AD142" s="38"/>
      <c r="AE142" s="38" t="str">
        <v>BLOCKED_NO_SELECTED_MODEL_PASSPORT</v>
      </c>
      <c r="AF142" s="38" t="str">
        <v>BLOCKED</v>
      </c>
      <c r="AG142" s="38" t="str">
        <v>BLOCKED</v>
      </c>
      <c r="AH142" s="38" t="str">
        <v>BLOCKED_SELECTED_MODEL_AND_SITE_VALIDATION</v>
      </c>
      <c r="AI142" s="38" t="str">
        <v>ESTIMATE</v>
      </c>
      <c r="AJ142" s="38" t="str">
        <v>EVD-0010;EVD-0021;EVD-0022;EVD-0023</v>
      </c>
      <c r="AK142" s="38" t="str">
        <v>2026-08-03</v>
      </c>
      <c r="AL142" s="38" t="str">
        <v>GAP-007;GAP-017;GAP-018;GAP-019</v>
      </c>
      <c r="AM142" s="38" t="str">
        <v>Operations / Engineering / Procurement</v>
      </c>
      <c r="AN142" s="38" t="str">
        <v>Manual operation mapped to an existing work surface/inventory function.</v>
      </c>
      <c r="AO142" s="39" t="str">
        <v>Chef/Operations time the operation; Procurement supplies selected-model passport; Engineering confirms asset, placement and connections</v>
      </c>
    </row>
    <row r="143">
      <c r="A143" s="37" t="str">
        <v>EQM-0139</v>
      </c>
      <c r="B143" s="38" t="str">
        <v>VKM-029</v>
      </c>
      <c r="C143" s="38" t="str">
        <v>Черничный торт VARSHAVKA</v>
      </c>
      <c r="D143" s="38" t="str">
        <v>Десерты</v>
      </c>
      <c r="E143" s="38" t="str">
        <v>0.1.0-DRAFT</v>
      </c>
      <c r="F143" s="38" t="n">
        <v>5</v>
      </c>
      <c r="G143" s="38" t="str">
        <v>стабилизировать</v>
      </c>
      <c r="H143" s="38" t="str">
        <v>STO-09</v>
      </c>
      <c r="I143" s="38" t="str">
        <v>Кондитерское хранение</v>
      </c>
      <c r="J143" s="38" t="str">
        <v>CAPEX.STO.009</v>
      </c>
      <c r="K143" s="38" t="str">
        <v>MANDATORY</v>
      </c>
      <c r="L143" s="38" t="str">
        <v>APPROVED_STRUCTURE</v>
      </c>
      <c r="M143" s="38" t="str">
        <v>CONTROLLED_HOLDING</v>
      </c>
      <c r="N143" s="38"/>
      <c r="O143" s="38" t="str">
        <v>BLOCKED</v>
      </c>
      <c r="P143" s="38" t="str">
        <v>Only dish aggregate is available: active 120 min / total 600 min; no unsupported split by operation</v>
      </c>
      <c r="Q143" s="38" t="str">
        <v>STO-09: Противни и изделия</v>
      </c>
      <c r="R143" s="38" t="str">
        <v>project design requirement</v>
      </c>
      <c r="S143" s="38" t="str">
        <v>PLANNED</v>
      </c>
      <c r="T143" s="38"/>
      <c r="U143" s="38"/>
      <c r="V143" s="38" t="str">
        <v>BLOCKED</v>
      </c>
      <c r="W143" s="38"/>
      <c r="X143" s="38" t="str">
        <v>BLOCKED_NOT_COMPARABLE</v>
      </c>
      <c r="Y143" s="38" t="str">
        <v>Recipe load cannot be compared to the project requirement without tray/form/GN/load and selected-model data</v>
      </c>
      <c r="Z143" s="38"/>
      <c r="AA143" s="38"/>
      <c r="AB143" s="38"/>
      <c r="AC143" s="38"/>
      <c r="AD143" s="38"/>
      <c r="AE143" s="38" t="str">
        <v>BLOCKED_NO_SELECTED_MODEL_PASSPORT</v>
      </c>
      <c r="AF143" s="38" t="str">
        <v>BLOCKED</v>
      </c>
      <c r="AG143" s="38" t="str">
        <v>BLOCKED</v>
      </c>
      <c r="AH143" s="38" t="str">
        <v>BLOCKED_SELECTED_MODEL_AND_SITE_VALIDATION</v>
      </c>
      <c r="AI143" s="38" t="str">
        <v>ESTIMATE</v>
      </c>
      <c r="AJ143" s="38" t="str">
        <v>EVD-0010;EVD-0021;EVD-0022;EVD-0023</v>
      </c>
      <c r="AK143" s="38" t="str">
        <v>2026-08-03</v>
      </c>
      <c r="AL143" s="38" t="str">
        <v>GAP-007;GAP-017;GAP-018;GAP-019</v>
      </c>
      <c r="AM143" s="38" t="str">
        <v>Operations / Engineering / Procurement</v>
      </c>
      <c r="AN143" s="38" t="str">
        <v>Manual operation mapped to an existing work surface/inventory function.</v>
      </c>
      <c r="AO143" s="39" t="str">
        <v>Chef/Operations time the operation; Procurement supplies selected-model passport; Engineering confirms asset, placement and connections</v>
      </c>
    </row>
    <row r="144">
      <c r="A144" s="37" t="str">
        <v>EQM-0140</v>
      </c>
      <c r="B144" s="38" t="str">
        <v>VKM-029</v>
      </c>
      <c r="C144" s="38" t="str">
        <v>Черничный торт VARSHAVKA</v>
      </c>
      <c r="D144" s="38" t="str">
        <v>Десерты</v>
      </c>
      <c r="E144" s="38" t="str">
        <v>0.1.0-DRAFT</v>
      </c>
      <c r="F144" s="38" t="n">
        <v>6</v>
      </c>
      <c r="G144" s="38" t="str">
        <v>покрыть и декорировать</v>
      </c>
      <c r="H144" s="38" t="str">
        <v>BAK-07</v>
      </c>
      <c r="I144" s="38" t="str">
        <v>Кондитерские формы и инвентарь</v>
      </c>
      <c r="J144" s="38" t="str">
        <v>CAPEX.BAK.007</v>
      </c>
      <c r="K144" s="38" t="str">
        <v>MANDATORY</v>
      </c>
      <c r="L144" s="38" t="str">
        <v>APPROVED_STRUCTURE</v>
      </c>
      <c r="M144" s="38" t="str">
        <v>FORMING_DECORATING_PORTIONING</v>
      </c>
      <c r="N144" s="38"/>
      <c r="O144" s="38" t="str">
        <v>BLOCKED</v>
      </c>
      <c r="P144" s="38" t="str">
        <v>Only dish aggregate is available: active 120 min / total 600 min; no unsupported split by operation</v>
      </c>
      <c r="Q144" s="38" t="str">
        <v>BAK-07: Торт, кростата, мадлены</v>
      </c>
      <c r="R144" s="38" t="str">
        <v>project design requirement</v>
      </c>
      <c r="S144" s="38" t="str">
        <v>PLANNED</v>
      </c>
      <c r="T144" s="38"/>
      <c r="U144" s="38"/>
      <c r="V144" s="38" t="str">
        <v>BLOCKED</v>
      </c>
      <c r="W144" s="38"/>
      <c r="X144" s="38" t="str">
        <v>BLOCKED_NOT_COMPARABLE</v>
      </c>
      <c r="Y144" s="38" t="str">
        <v>Recipe load cannot be compared to the project requirement without tray/form/GN/load and selected-model data</v>
      </c>
      <c r="Z144" s="38"/>
      <c r="AA144" s="38"/>
      <c r="AB144" s="38"/>
      <c r="AC144" s="38"/>
      <c r="AD144" s="38"/>
      <c r="AE144" s="38" t="str">
        <v>BLOCKED_NO_SELECTED_MODEL_PASSPORT</v>
      </c>
      <c r="AF144" s="38" t="str">
        <v>BLOCKED</v>
      </c>
      <c r="AG144" s="38" t="str">
        <v>BLOCKED</v>
      </c>
      <c r="AH144" s="38" t="str">
        <v>BLOCKED_SELECTED_MODEL_AND_SITE_VALIDATION</v>
      </c>
      <c r="AI144" s="38" t="str">
        <v>ESTIMATE</v>
      </c>
      <c r="AJ144" s="38" t="str">
        <v>EVD-0010;EVD-0021;EVD-0022;EVD-0023</v>
      </c>
      <c r="AK144" s="38" t="str">
        <v>2026-08-03</v>
      </c>
      <c r="AL144" s="38" t="str">
        <v>GAP-007;GAP-017;GAP-018;GAP-019</v>
      </c>
      <c r="AM144" s="38" t="str">
        <v>Operations / Engineering / Procurement</v>
      </c>
      <c r="AN144" s="38" t="str">
        <v>Manual operation mapped to an existing work surface/inventory function.</v>
      </c>
      <c r="AO144" s="39" t="str">
        <v>Chef/Operations time the operation; Procurement supplies selected-model passport; Engineering confirms asset, placement and connections</v>
      </c>
    </row>
    <row r="145">
      <c r="A145" s="37" t="str">
        <v>EQM-0141</v>
      </c>
      <c r="B145" s="38" t="str">
        <v>VKM-029</v>
      </c>
      <c r="C145" s="38" t="str">
        <v>Черничный торт VARSHAVKA</v>
      </c>
      <c r="D145" s="38" t="str">
        <v>Десерты</v>
      </c>
      <c r="E145" s="38" t="str">
        <v>0.1.0-DRAFT</v>
      </c>
      <c r="F145" s="38" t="n">
        <v>7</v>
      </c>
      <c r="G145" s="38" t="str">
        <v>разделить на 12 порций</v>
      </c>
      <c r="H145" s="38" t="str">
        <v>BAK-07</v>
      </c>
      <c r="I145" s="38" t="str">
        <v>Кондитерские формы и инвентарь</v>
      </c>
      <c r="J145" s="38" t="str">
        <v>CAPEX.BAK.007</v>
      </c>
      <c r="K145" s="38" t="str">
        <v>MANDATORY</v>
      </c>
      <c r="L145" s="38" t="str">
        <v>APPROVED_STRUCTURE</v>
      </c>
      <c r="M145" s="38" t="str">
        <v>FORMING_DECORATING_PORTIONING</v>
      </c>
      <c r="N145" s="38"/>
      <c r="O145" s="38" t="str">
        <v>BLOCKED</v>
      </c>
      <c r="P145" s="38" t="str">
        <v>Only dish aggregate is available: active 120 min / total 600 min; no unsupported split by operation</v>
      </c>
      <c r="Q145" s="38" t="str">
        <v>BAK-07: Торт, кростата, мадлены</v>
      </c>
      <c r="R145" s="38" t="str">
        <v>project design requirement</v>
      </c>
      <c r="S145" s="38" t="str">
        <v>PLANNED</v>
      </c>
      <c r="T145" s="38"/>
      <c r="U145" s="38"/>
      <c r="V145" s="38" t="str">
        <v>BLOCKED</v>
      </c>
      <c r="W145" s="38"/>
      <c r="X145" s="38" t="str">
        <v>BLOCKED_NOT_COMPARABLE</v>
      </c>
      <c r="Y145" s="38" t="str">
        <v>Recipe load cannot be compared to the project requirement without tray/form/GN/load and selected-model data</v>
      </c>
      <c r="Z145" s="38"/>
      <c r="AA145" s="38"/>
      <c r="AB145" s="38"/>
      <c r="AC145" s="38"/>
      <c r="AD145" s="38"/>
      <c r="AE145" s="38" t="str">
        <v>BLOCKED_NO_SELECTED_MODEL_PASSPORT</v>
      </c>
      <c r="AF145" s="38" t="str">
        <v>BLOCKED</v>
      </c>
      <c r="AG145" s="38" t="str">
        <v>BLOCKED</v>
      </c>
      <c r="AH145" s="38" t="str">
        <v>BLOCKED_SELECTED_MODEL_AND_SITE_VALIDATION</v>
      </c>
      <c r="AI145" s="38" t="str">
        <v>ESTIMATE</v>
      </c>
      <c r="AJ145" s="38" t="str">
        <v>EVD-0010;EVD-0021;EVD-0022;EVD-0023</v>
      </c>
      <c r="AK145" s="38" t="str">
        <v>2026-08-03</v>
      </c>
      <c r="AL145" s="38" t="str">
        <v>GAP-007;GAP-017;GAP-018;GAP-019</v>
      </c>
      <c r="AM145" s="38" t="str">
        <v>Operations / Engineering / Procurement</v>
      </c>
      <c r="AN145" s="38" t="str">
        <v>Manual operation mapped to an existing work surface/inventory function.</v>
      </c>
      <c r="AO145" s="39" t="str">
        <v>Chef/Operations time the operation; Procurement supplies selected-model passport; Engineering confirms asset, placement and connections</v>
      </c>
    </row>
    <row r="146">
      <c r="A146" s="37" t="str">
        <v>EQM-0142</v>
      </c>
      <c r="B146" s="38" t="str">
        <v>VKM-030</v>
      </c>
      <c r="C146" s="38" t="str">
        <v>Кростата с солёной карамелью</v>
      </c>
      <c r="D146" s="38" t="str">
        <v>Десерты</v>
      </c>
      <c r="E146" s="38" t="str">
        <v>0.1.0-DRAFT</v>
      </c>
      <c r="F146" s="38" t="n">
        <v>1</v>
      </c>
      <c r="G146" s="38" t="str">
        <v>Замесить песочное тесто</v>
      </c>
      <c r="H146" s="38" t="str">
        <v>BAK-04;BAK-07</v>
      </c>
      <c r="I146" s="38" t="str">
        <v>Планетарный миксер;Кондитерские формы и инвентарь</v>
      </c>
      <c r="J146" s="38" t="str">
        <v>CAPEX.BAK.004;CAPEX.BAK.007</v>
      </c>
      <c r="K146" s="38" t="str">
        <v>MANDATORY</v>
      </c>
      <c r="L146" s="38" t="str">
        <v>APPROVED_STRUCTURE</v>
      </c>
      <c r="M146" s="38" t="str">
        <v>MIXING_COMPONENT_PREP</v>
      </c>
      <c r="N146" s="38"/>
      <c r="O146" s="38" t="str">
        <v>BLOCKED</v>
      </c>
      <c r="P146" s="38" t="str">
        <v>Only dish aggregate is available: active 90 min / total 420 min; no unsupported split by operation</v>
      </c>
      <c r="Q146" s="38" t="str">
        <v>BAK-04: 10–20 л; BAK-07: Торт, кростата, мадлены</v>
      </c>
      <c r="R146" s="38" t="str">
        <v>project design requirement</v>
      </c>
      <c r="S146" s="38" t="str">
        <v>PLANNED</v>
      </c>
      <c r="T146" s="38"/>
      <c r="U146" s="38"/>
      <c r="V146" s="38" t="str">
        <v>BLOCKED</v>
      </c>
      <c r="W146" s="38"/>
      <c r="X146" s="38" t="str">
        <v>BLOCKED_NOT_COMPARABLE</v>
      </c>
      <c r="Y146" s="38" t="str">
        <v>Recipe load cannot be compared to the project requirement without tray/form/GN/load and selected-model data</v>
      </c>
      <c r="Z146" s="38"/>
      <c r="AA146" s="38"/>
      <c r="AB146" s="38"/>
      <c r="AC146" s="38"/>
      <c r="AD146" s="38"/>
      <c r="AE146" s="38" t="str">
        <v>BLOCKED_NO_SELECTED_MODEL_PASSPORT</v>
      </c>
      <c r="AF146" s="38" t="str">
        <v>BLOCKED</v>
      </c>
      <c r="AG146" s="38" t="str">
        <v>BLOCKED</v>
      </c>
      <c r="AH146" s="38" t="str">
        <v>BLOCKED_SELECTED_MODEL_AND_SITE_VALIDATION</v>
      </c>
      <c r="AI146" s="38" t="str">
        <v>ESTIMATE</v>
      </c>
      <c r="AJ146" s="38" t="str">
        <v>EVD-0010;EVD-0021;EVD-0022;EVD-0023</v>
      </c>
      <c r="AK146" s="38" t="str">
        <v>2026-08-03</v>
      </c>
      <c r="AL146" s="38" t="str">
        <v>GAP-007;GAP-017;GAP-018;GAP-019</v>
      </c>
      <c r="AM146" s="38" t="str">
        <v>Operations / Engineering / Procurement</v>
      </c>
      <c r="AN146" s="38" t="str">
        <v>Manual operation mapped to an existing work surface/inventory function.</v>
      </c>
      <c r="AO146" s="39" t="str">
        <v>Chef/Operations time the operation; Procurement supplies selected-model passport; Engineering confirms asset, placement and connections</v>
      </c>
    </row>
    <row r="147">
      <c r="A147" s="37" t="str">
        <v>EQM-0143</v>
      </c>
      <c r="B147" s="38" t="str">
        <v>VKM-030</v>
      </c>
      <c r="C147" s="38" t="str">
        <v>Кростата с солёной карамелью</v>
      </c>
      <c r="D147" s="38" t="str">
        <v>Десерты</v>
      </c>
      <c r="E147" s="38" t="str">
        <v>0.1.0-DRAFT</v>
      </c>
      <c r="F147" s="38" t="n">
        <v>2</v>
      </c>
      <c r="G147" s="38" t="str">
        <v>охладить</v>
      </c>
      <c r="H147" s="38" t="str">
        <v>BAK-06;STO-09</v>
      </c>
      <c r="I147" s="38" t="str">
        <v>Мобильный стеллаж охлаждения;Кондитерское хранение</v>
      </c>
      <c r="J147" s="38" t="str">
        <v>CAPEX.BAK.006;CAPEX.STO.009</v>
      </c>
      <c r="K147" s="38" t="str">
        <v>MANDATORY</v>
      </c>
      <c r="L147" s="38" t="str">
        <v>APPROVED_STRUCTURE</v>
      </c>
      <c r="M147" s="38" t="str">
        <v>COOLING</v>
      </c>
      <c r="N147" s="38"/>
      <c r="O147" s="38" t="str">
        <v>BLOCKED</v>
      </c>
      <c r="P147" s="38" t="str">
        <v>Only dish aggregate is available: active 90 min / total 420 min; no unsupported split by operation</v>
      </c>
      <c r="Q147" s="38" t="str">
        <v>BAK-06: 16–20 противней; STO-09: Противни и изделия</v>
      </c>
      <c r="R147" s="38" t="str">
        <v>project design requirement</v>
      </c>
      <c r="S147" s="38" t="str">
        <v>PLANNED</v>
      </c>
      <c r="T147" s="38"/>
      <c r="U147" s="38"/>
      <c r="V147" s="38" t="str">
        <v>BLOCKED</v>
      </c>
      <c r="W147" s="38"/>
      <c r="X147" s="38" t="str">
        <v>BLOCKED_NOT_COMPARABLE</v>
      </c>
      <c r="Y147" s="38" t="str">
        <v>Recipe load cannot be compared to the project requirement without tray/form/GN/load and selected-model data</v>
      </c>
      <c r="Z147" s="38"/>
      <c r="AA147" s="38"/>
      <c r="AB147" s="38"/>
      <c r="AC147" s="38"/>
      <c r="AD147" s="38"/>
      <c r="AE147" s="38" t="str">
        <v>BLOCKED_NO_SELECTED_MODEL_PASSPORT</v>
      </c>
      <c r="AF147" s="38" t="str">
        <v>BLOCKED</v>
      </c>
      <c r="AG147" s="38" t="str">
        <v>BLOCKED</v>
      </c>
      <c r="AH147" s="38" t="str">
        <v>BLOCKED_SELECTED_MODEL_AND_SITE_VALIDATION</v>
      </c>
      <c r="AI147" s="38" t="str">
        <v>ESTIMATE</v>
      </c>
      <c r="AJ147" s="38" t="str">
        <v>EVD-0010;EVD-0021;EVD-0022;EVD-0023</v>
      </c>
      <c r="AK147" s="38" t="str">
        <v>2026-08-03</v>
      </c>
      <c r="AL147" s="38" t="str">
        <v>GAP-007;GAP-017;GAP-018;GAP-019</v>
      </c>
      <c r="AM147" s="38" t="str">
        <v>Operations / Engineering / Procurement</v>
      </c>
      <c r="AN147" s="38" t="str">
        <v>Manual operation mapped to an existing work surface/inventory function.</v>
      </c>
      <c r="AO147" s="39" t="str">
        <v>Chef/Operations time the operation; Procurement supplies selected-model passport; Engineering confirms asset, placement and connections</v>
      </c>
    </row>
    <row r="148">
      <c r="A148" s="37" t="str">
        <v>EQM-0144</v>
      </c>
      <c r="B148" s="38" t="str">
        <v>VKM-030</v>
      </c>
      <c r="C148" s="38" t="str">
        <v>Кростата с солёной карамелью</v>
      </c>
      <c r="D148" s="38" t="str">
        <v>Десерты</v>
      </c>
      <c r="E148" s="38" t="str">
        <v>0.1.0-DRAFT</v>
      </c>
      <c r="F148" s="38" t="n">
        <v>3</v>
      </c>
      <c r="G148" s="38" t="str">
        <v>сформовать и выпечь основу</v>
      </c>
      <c r="H148" s="38" t="str">
        <v>BAK-02;BAK-07</v>
      </c>
      <c r="I148" s="38" t="str">
        <v>Пекарская печь;Кондитерские формы и инвентарь</v>
      </c>
      <c r="J148" s="38" t="str">
        <v>CAPEX.BAK.002;CAPEX.BAK.007</v>
      </c>
      <c r="K148" s="38" t="str">
        <v>MANDATORY</v>
      </c>
      <c r="L148" s="38" t="str">
        <v>APPROVED_STRUCTURE</v>
      </c>
      <c r="M148" s="38" t="str">
        <v>THERMAL_PROCESS</v>
      </c>
      <c r="N148" s="38"/>
      <c r="O148" s="38" t="str">
        <v>BLOCKED</v>
      </c>
      <c r="P148" s="38" t="str">
        <v>Only dish aggregate is available: active 90 min / total 420 min; no unsupported split by operation</v>
      </c>
      <c r="Q148" s="38" t="str">
        <v>BAK-02: 6×600×400; программирование; пар; BAK-07: Торт, кростата, мадлены</v>
      </c>
      <c r="R148" s="38" t="str">
        <v>project design requirement</v>
      </c>
      <c r="S148" s="38" t="str">
        <v>PLANNED</v>
      </c>
      <c r="T148" s="38"/>
      <c r="U148" s="38"/>
      <c r="V148" s="38" t="str">
        <v>BLOCKED</v>
      </c>
      <c r="W148" s="38"/>
      <c r="X148" s="38" t="str">
        <v>BLOCKED_NOT_COMPARABLE</v>
      </c>
      <c r="Y148" s="38" t="str">
        <v>Recipe load cannot be compared to the project requirement without tray/form/GN/load and selected-model data</v>
      </c>
      <c r="Z148" s="38"/>
      <c r="AA148" s="38"/>
      <c r="AB148" s="38"/>
      <c r="AC148" s="38"/>
      <c r="AD148" s="38"/>
      <c r="AE148" s="38" t="str">
        <v>BLOCKED_NO_SELECTED_MODEL_PASSPORT</v>
      </c>
      <c r="AF148" s="38" t="str">
        <v>BLOCKED</v>
      </c>
      <c r="AG148" s="38" t="str">
        <v>BLOCKED</v>
      </c>
      <c r="AH148" s="38" t="str">
        <v>BLOCKED_SELECTED_MODEL_AND_SITE_VALIDATION</v>
      </c>
      <c r="AI148" s="38" t="str">
        <v>ESTIMATE</v>
      </c>
      <c r="AJ148" s="38" t="str">
        <v>EVD-0010;EVD-0021;EVD-0022;EVD-0023</v>
      </c>
      <c r="AK148" s="38" t="str">
        <v>2026-08-03</v>
      </c>
      <c r="AL148" s="38" t="str">
        <v>GAP-007;GAP-017;GAP-018;GAP-019</v>
      </c>
      <c r="AM148" s="38" t="str">
        <v>Operations / Engineering / Procurement</v>
      </c>
      <c r="AN148" s="38" t="str">
        <v>Manual operation mapped to an existing work surface/inventory function.</v>
      </c>
      <c r="AO148" s="39" t="str">
        <v>Chef/Operations time the operation; Procurement supplies selected-model passport; Engineering confirms asset, placement and connections</v>
      </c>
    </row>
    <row r="149">
      <c r="A149" s="37" t="str">
        <v>EQM-0145</v>
      </c>
      <c r="B149" s="38" t="str">
        <v>VKM-030</v>
      </c>
      <c r="C149" s="38" t="str">
        <v>Кростата с солёной карамелью</v>
      </c>
      <c r="D149" s="38" t="str">
        <v>Десерты</v>
      </c>
      <c r="E149" s="38" t="str">
        <v>0.1.0-DRAFT</v>
      </c>
      <c r="F149" s="38" t="n">
        <v>4</v>
      </c>
      <c r="G149" s="38" t="str">
        <v>приготовить карамель и крем</v>
      </c>
      <c r="H149" s="38" t="str">
        <v>BAK-04;BAK-07;HOT-05B</v>
      </c>
      <c r="I149" s="38" t="str">
        <v>Планетарный миксер;Кондитерские формы и инвентарь;Индукционная плита 2 зоны</v>
      </c>
      <c r="J149" s="38" t="str">
        <v>CAPEX.BAK.004;CAPEX.BAK.007;CAPEX.HOT.006</v>
      </c>
      <c r="K149" s="38" t="str">
        <v>MANDATORY</v>
      </c>
      <c r="L149" s="38" t="str">
        <v>APPROVED_STRUCTURE</v>
      </c>
      <c r="M149" s="38" t="str">
        <v>MIXING_AND_HEATED_COMPONENT_PREP</v>
      </c>
      <c r="N149" s="38"/>
      <c r="O149" s="38" t="str">
        <v>BLOCKED</v>
      </c>
      <c r="P149" s="38" t="str">
        <v>Only dish aggregate is available: active 90 min / total 420 min; no unsupported split by operation</v>
      </c>
      <c r="Q149" s="38" t="str">
        <v>BAK-04: 10–20 л; BAK-07: Торт, кростата, мадлены; HOT-05B: 2 зоны</v>
      </c>
      <c r="R149" s="38" t="str">
        <v>project design requirement</v>
      </c>
      <c r="S149" s="38" t="str">
        <v>PLANNED</v>
      </c>
      <c r="T149" s="38"/>
      <c r="U149" s="38"/>
      <c r="V149" s="38" t="str">
        <v>BLOCKED</v>
      </c>
      <c r="W149" s="38"/>
      <c r="X149" s="38" t="str">
        <v>BLOCKED_NOT_COMPARABLE</v>
      </c>
      <c r="Y149" s="38" t="str">
        <v>Recipe load cannot be compared to the project requirement without tray/form/GN/load and selected-model data</v>
      </c>
      <c r="Z149" s="38"/>
      <c r="AA149" s="38"/>
      <c r="AB149" s="38"/>
      <c r="AC149" s="38"/>
      <c r="AD149" s="38"/>
      <c r="AE149" s="38" t="str">
        <v>BLOCKED_NO_SELECTED_MODEL_PASSPORT</v>
      </c>
      <c r="AF149" s="38" t="str">
        <v>BLOCKED</v>
      </c>
      <c r="AG149" s="38" t="str">
        <v>BLOCKED</v>
      </c>
      <c r="AH149" s="38" t="str">
        <v>BLOCKED_SELECTED_MODEL_AND_SITE_VALIDATION</v>
      </c>
      <c r="AI149" s="38" t="str">
        <v>ESTIMATE</v>
      </c>
      <c r="AJ149" s="38" t="str">
        <v>EVD-0010;EVD-0021;EVD-0022;EVD-0023</v>
      </c>
      <c r="AK149" s="38" t="str">
        <v>2026-08-03</v>
      </c>
      <c r="AL149" s="38" t="str">
        <v>GAP-007;GAP-017;GAP-018;GAP-019</v>
      </c>
      <c r="AM149" s="38" t="str">
        <v>Operations / Engineering / Procurement</v>
      </c>
      <c r="AN149" s="38" t="str">
        <v>Manual operation mapped to an existing work surface/inventory function.</v>
      </c>
      <c r="AO149" s="39" t="str">
        <v>Chef/Operations time the operation; Procurement supplies selected-model passport; Engineering confirms asset, placement and connections</v>
      </c>
    </row>
    <row r="150">
      <c r="A150" s="37" t="str">
        <v>EQM-0146</v>
      </c>
      <c r="B150" s="38" t="str">
        <v>VKM-030</v>
      </c>
      <c r="C150" s="38" t="str">
        <v>Кростата с солёной карамелью</v>
      </c>
      <c r="D150" s="38" t="str">
        <v>Десерты</v>
      </c>
      <c r="E150" s="38" t="str">
        <v>0.1.0-DRAFT</v>
      </c>
      <c r="F150" s="38" t="n">
        <v>5</v>
      </c>
      <c r="G150" s="38" t="str">
        <v>наполнить</v>
      </c>
      <c r="H150" s="38" t="str">
        <v>BAK-07</v>
      </c>
      <c r="I150" s="38" t="str">
        <v>Кондитерские формы и инвентарь</v>
      </c>
      <c r="J150" s="38" t="str">
        <v>CAPEX.BAK.007</v>
      </c>
      <c r="K150" s="38" t="str">
        <v>MANDATORY</v>
      </c>
      <c r="L150" s="38" t="str">
        <v>APPROVED_STRUCTURE</v>
      </c>
      <c r="M150" s="38" t="str">
        <v>FORMING_DECORATING_PORTIONING</v>
      </c>
      <c r="N150" s="38"/>
      <c r="O150" s="38" t="str">
        <v>BLOCKED</v>
      </c>
      <c r="P150" s="38" t="str">
        <v>Only dish aggregate is available: active 90 min / total 420 min; no unsupported split by operation</v>
      </c>
      <c r="Q150" s="38" t="str">
        <v>BAK-07: Торт, кростата, мадлены</v>
      </c>
      <c r="R150" s="38" t="str">
        <v>project design requirement</v>
      </c>
      <c r="S150" s="38" t="str">
        <v>PLANNED</v>
      </c>
      <c r="T150" s="38"/>
      <c r="U150" s="38"/>
      <c r="V150" s="38" t="str">
        <v>BLOCKED</v>
      </c>
      <c r="W150" s="38"/>
      <c r="X150" s="38" t="str">
        <v>BLOCKED_NOT_COMPARABLE</v>
      </c>
      <c r="Y150" s="38" t="str">
        <v>Recipe load cannot be compared to the project requirement without tray/form/GN/load and selected-model data</v>
      </c>
      <c r="Z150" s="38"/>
      <c r="AA150" s="38"/>
      <c r="AB150" s="38"/>
      <c r="AC150" s="38"/>
      <c r="AD150" s="38"/>
      <c r="AE150" s="38" t="str">
        <v>BLOCKED_NO_SELECTED_MODEL_PASSPORT</v>
      </c>
      <c r="AF150" s="38" t="str">
        <v>BLOCKED</v>
      </c>
      <c r="AG150" s="38" t="str">
        <v>BLOCKED</v>
      </c>
      <c r="AH150" s="38" t="str">
        <v>BLOCKED_SELECTED_MODEL_AND_SITE_VALIDATION</v>
      </c>
      <c r="AI150" s="38" t="str">
        <v>ESTIMATE</v>
      </c>
      <c r="AJ150" s="38" t="str">
        <v>EVD-0010;EVD-0021;EVD-0022;EVD-0023</v>
      </c>
      <c r="AK150" s="38" t="str">
        <v>2026-08-03</v>
      </c>
      <c r="AL150" s="38" t="str">
        <v>GAP-007;GAP-017;GAP-018;GAP-019</v>
      </c>
      <c r="AM150" s="38" t="str">
        <v>Operations / Engineering / Procurement</v>
      </c>
      <c r="AN150" s="38" t="str">
        <v>Manual operation mapped to an existing work surface/inventory function.</v>
      </c>
      <c r="AO150" s="39" t="str">
        <v>Chef/Operations time the operation; Procurement supplies selected-model passport; Engineering confirms asset, placement and connections</v>
      </c>
    </row>
    <row r="151">
      <c r="A151" s="37" t="str">
        <v>EQM-0147</v>
      </c>
      <c r="B151" s="38" t="str">
        <v>VKM-030</v>
      </c>
      <c r="C151" s="38" t="str">
        <v>Кростата с солёной карамелью</v>
      </c>
      <c r="D151" s="38" t="str">
        <v>Десерты</v>
      </c>
      <c r="E151" s="38" t="str">
        <v>0.1.0-DRAFT</v>
      </c>
      <c r="F151" s="38" t="n">
        <v>6</v>
      </c>
      <c r="G151" s="38" t="str">
        <v>стабилизировать</v>
      </c>
      <c r="H151" s="38" t="str">
        <v>STO-09</v>
      </c>
      <c r="I151" s="38" t="str">
        <v>Кондитерское хранение</v>
      </c>
      <c r="J151" s="38" t="str">
        <v>CAPEX.STO.009</v>
      </c>
      <c r="K151" s="38" t="str">
        <v>MANDATORY</v>
      </c>
      <c r="L151" s="38" t="str">
        <v>APPROVED_STRUCTURE</v>
      </c>
      <c r="M151" s="38" t="str">
        <v>CONTROLLED_HOLDING</v>
      </c>
      <c r="N151" s="38"/>
      <c r="O151" s="38" t="str">
        <v>BLOCKED</v>
      </c>
      <c r="P151" s="38" t="str">
        <v>Only dish aggregate is available: active 90 min / total 420 min; no unsupported split by operation</v>
      </c>
      <c r="Q151" s="38" t="str">
        <v>STO-09: Противни и изделия</v>
      </c>
      <c r="R151" s="38" t="str">
        <v>project design requirement</v>
      </c>
      <c r="S151" s="38" t="str">
        <v>PLANNED</v>
      </c>
      <c r="T151" s="38"/>
      <c r="U151" s="38"/>
      <c r="V151" s="38" t="str">
        <v>BLOCKED</v>
      </c>
      <c r="W151" s="38"/>
      <c r="X151" s="38" t="str">
        <v>BLOCKED_NOT_COMPARABLE</v>
      </c>
      <c r="Y151" s="38" t="str">
        <v>Recipe load cannot be compared to the project requirement without tray/form/GN/load and selected-model data</v>
      </c>
      <c r="Z151" s="38"/>
      <c r="AA151" s="38"/>
      <c r="AB151" s="38"/>
      <c r="AC151" s="38"/>
      <c r="AD151" s="38"/>
      <c r="AE151" s="38" t="str">
        <v>BLOCKED_NO_SELECTED_MODEL_PASSPORT</v>
      </c>
      <c r="AF151" s="38" t="str">
        <v>BLOCKED</v>
      </c>
      <c r="AG151" s="38" t="str">
        <v>BLOCKED</v>
      </c>
      <c r="AH151" s="38" t="str">
        <v>BLOCKED_SELECTED_MODEL_AND_SITE_VALIDATION</v>
      </c>
      <c r="AI151" s="38" t="str">
        <v>ESTIMATE</v>
      </c>
      <c r="AJ151" s="38" t="str">
        <v>EVD-0010;EVD-0021;EVD-0022;EVD-0023</v>
      </c>
      <c r="AK151" s="38" t="str">
        <v>2026-08-03</v>
      </c>
      <c r="AL151" s="38" t="str">
        <v>GAP-007;GAP-017;GAP-018;GAP-019</v>
      </c>
      <c r="AM151" s="38" t="str">
        <v>Operations / Engineering / Procurement</v>
      </c>
      <c r="AN151" s="38" t="str">
        <v>Manual operation mapped to an existing work surface/inventory function.</v>
      </c>
      <c r="AO151" s="39" t="str">
        <v>Chef/Operations time the operation; Procurement supplies selected-model passport; Engineering confirms asset, placement and connections</v>
      </c>
    </row>
    <row r="152">
      <c r="A152" s="37" t="str">
        <v>EQM-0148</v>
      </c>
      <c r="B152" s="38" t="str">
        <v>VKM-030</v>
      </c>
      <c r="C152" s="38" t="str">
        <v>Кростата с солёной карамелью</v>
      </c>
      <c r="D152" s="38" t="str">
        <v>Десерты</v>
      </c>
      <c r="E152" s="38" t="str">
        <v>0.1.0-DRAFT</v>
      </c>
      <c r="F152" s="38" t="n">
        <v>7</v>
      </c>
      <c r="G152" s="38" t="str">
        <v>декорировать</v>
      </c>
      <c r="H152" s="38" t="str">
        <v>BAK-07</v>
      </c>
      <c r="I152" s="38" t="str">
        <v>Кондитерские формы и инвентарь</v>
      </c>
      <c r="J152" s="38" t="str">
        <v>CAPEX.BAK.007</v>
      </c>
      <c r="K152" s="38" t="str">
        <v>MANDATORY</v>
      </c>
      <c r="L152" s="38" t="str">
        <v>APPROVED_STRUCTURE</v>
      </c>
      <c r="M152" s="38" t="str">
        <v>FORMING_DECORATING_PORTIONING</v>
      </c>
      <c r="N152" s="38"/>
      <c r="O152" s="38" t="str">
        <v>BLOCKED</v>
      </c>
      <c r="P152" s="38" t="str">
        <v>Only dish aggregate is available: active 90 min / total 420 min; no unsupported split by operation</v>
      </c>
      <c r="Q152" s="38" t="str">
        <v>BAK-07: Торт, кростата, мадлены</v>
      </c>
      <c r="R152" s="38" t="str">
        <v>project design requirement</v>
      </c>
      <c r="S152" s="38" t="str">
        <v>PLANNED</v>
      </c>
      <c r="T152" s="38"/>
      <c r="U152" s="38"/>
      <c r="V152" s="38" t="str">
        <v>BLOCKED</v>
      </c>
      <c r="W152" s="38"/>
      <c r="X152" s="38" t="str">
        <v>BLOCKED_NOT_COMPARABLE</v>
      </c>
      <c r="Y152" s="38" t="str">
        <v>Recipe load cannot be compared to the project requirement without tray/form/GN/load and selected-model data</v>
      </c>
      <c r="Z152" s="38"/>
      <c r="AA152" s="38"/>
      <c r="AB152" s="38"/>
      <c r="AC152" s="38"/>
      <c r="AD152" s="38"/>
      <c r="AE152" s="38" t="str">
        <v>BLOCKED_NO_SELECTED_MODEL_PASSPORT</v>
      </c>
      <c r="AF152" s="38" t="str">
        <v>BLOCKED</v>
      </c>
      <c r="AG152" s="38" t="str">
        <v>BLOCKED</v>
      </c>
      <c r="AH152" s="38" t="str">
        <v>BLOCKED_SELECTED_MODEL_AND_SITE_VALIDATION</v>
      </c>
      <c r="AI152" s="38" t="str">
        <v>ESTIMATE</v>
      </c>
      <c r="AJ152" s="38" t="str">
        <v>EVD-0010;EVD-0021;EVD-0022;EVD-0023</v>
      </c>
      <c r="AK152" s="38" t="str">
        <v>2026-08-03</v>
      </c>
      <c r="AL152" s="38" t="str">
        <v>GAP-007;GAP-017;GAP-018;GAP-019</v>
      </c>
      <c r="AM152" s="38" t="str">
        <v>Operations / Engineering / Procurement</v>
      </c>
      <c r="AN152" s="38" t="str">
        <v>Manual operation mapped to an existing work surface/inventory function.</v>
      </c>
      <c r="AO152" s="39" t="str">
        <v>Chef/Operations time the operation; Procurement supplies selected-model passport; Engineering confirms asset, placement and connections</v>
      </c>
    </row>
    <row r="153">
      <c r="A153" s="37" t="str">
        <v>EQM-0149</v>
      </c>
      <c r="B153" s="38" t="str">
        <v>VKM-030</v>
      </c>
      <c r="C153" s="38" t="str">
        <v>Кростата с солёной карамелью</v>
      </c>
      <c r="D153" s="38" t="str">
        <v>Десерты</v>
      </c>
      <c r="E153" s="38" t="str">
        <v>0.1.0-DRAFT</v>
      </c>
      <c r="F153" s="38" t="n">
        <v>8</v>
      </c>
      <c r="G153" s="38" t="str">
        <v>разделить на 10 порций</v>
      </c>
      <c r="H153" s="38" t="str">
        <v>BAK-07</v>
      </c>
      <c r="I153" s="38" t="str">
        <v>Кондитерские формы и инвентарь</v>
      </c>
      <c r="J153" s="38" t="str">
        <v>CAPEX.BAK.007</v>
      </c>
      <c r="K153" s="38" t="str">
        <v>MANDATORY</v>
      </c>
      <c r="L153" s="38" t="str">
        <v>APPROVED_STRUCTURE</v>
      </c>
      <c r="M153" s="38" t="str">
        <v>FORMING_DECORATING_PORTIONING</v>
      </c>
      <c r="N153" s="38"/>
      <c r="O153" s="38" t="str">
        <v>BLOCKED</v>
      </c>
      <c r="P153" s="38" t="str">
        <v>Only dish aggregate is available: active 90 min / total 420 min; no unsupported split by operation</v>
      </c>
      <c r="Q153" s="38" t="str">
        <v>BAK-07: Торт, кростата, мадлены</v>
      </c>
      <c r="R153" s="38" t="str">
        <v>project design requirement</v>
      </c>
      <c r="S153" s="38" t="str">
        <v>PLANNED</v>
      </c>
      <c r="T153" s="38"/>
      <c r="U153" s="38"/>
      <c r="V153" s="38" t="str">
        <v>BLOCKED</v>
      </c>
      <c r="W153" s="38"/>
      <c r="X153" s="38" t="str">
        <v>BLOCKED_NOT_COMPARABLE</v>
      </c>
      <c r="Y153" s="38" t="str">
        <v>Recipe load cannot be compared to the project requirement without tray/form/GN/load and selected-model data</v>
      </c>
      <c r="Z153" s="38"/>
      <c r="AA153" s="38"/>
      <c r="AB153" s="38"/>
      <c r="AC153" s="38"/>
      <c r="AD153" s="38"/>
      <c r="AE153" s="38" t="str">
        <v>BLOCKED_NO_SELECTED_MODEL_PASSPORT</v>
      </c>
      <c r="AF153" s="38" t="str">
        <v>BLOCKED</v>
      </c>
      <c r="AG153" s="38" t="str">
        <v>BLOCKED</v>
      </c>
      <c r="AH153" s="38" t="str">
        <v>BLOCKED_SELECTED_MODEL_AND_SITE_VALIDATION</v>
      </c>
      <c r="AI153" s="38" t="str">
        <v>ESTIMATE</v>
      </c>
      <c r="AJ153" s="38" t="str">
        <v>EVD-0010;EVD-0021;EVD-0022;EVD-0023</v>
      </c>
      <c r="AK153" s="38" t="str">
        <v>2026-08-03</v>
      </c>
      <c r="AL153" s="38" t="str">
        <v>GAP-007;GAP-017;GAP-018;GAP-019</v>
      </c>
      <c r="AM153" s="38" t="str">
        <v>Operations / Engineering / Procurement</v>
      </c>
      <c r="AN153" s="38" t="str">
        <v>Manual operation mapped to an existing work surface/inventory function.</v>
      </c>
      <c r="AO153" s="39" t="str">
        <v>Chef/Operations time the operation; Procurement supplies selected-model passport; Engineering confirms asset, placement and connections</v>
      </c>
    </row>
    <row r="154">
      <c r="A154" s="37" t="str">
        <v>EQM-0150</v>
      </c>
      <c r="B154" s="38" t="str">
        <v>VKM-031</v>
      </c>
      <c r="C154" s="38" t="str">
        <v>Мадлен</v>
      </c>
      <c r="D154" s="38" t="str">
        <v>Десерты</v>
      </c>
      <c r="E154" s="38" t="str">
        <v>0.1.0-DRAFT</v>
      </c>
      <c r="F154" s="38" t="n">
        <v>1</v>
      </c>
      <c r="G154" s="38" t="str">
        <v>Смешать тесто</v>
      </c>
      <c r="H154" s="38" t="str">
        <v>BAK-04;BAK-07</v>
      </c>
      <c r="I154" s="38" t="str">
        <v>Планетарный миксер;Кондитерские формы и инвентарь</v>
      </c>
      <c r="J154" s="38" t="str">
        <v>CAPEX.BAK.004;CAPEX.BAK.007</v>
      </c>
      <c r="K154" s="38" t="str">
        <v>MANDATORY</v>
      </c>
      <c r="L154" s="38" t="str">
        <v>APPROVED_STRUCTURE</v>
      </c>
      <c r="M154" s="38" t="str">
        <v>MIXING_COMPONENT_PREP</v>
      </c>
      <c r="N154" s="38"/>
      <c r="O154" s="38" t="str">
        <v>BLOCKED</v>
      </c>
      <c r="P154" s="38" t="str">
        <v>Only dish aggregate is available: active 30 min / total 120 min; no unsupported split by operation</v>
      </c>
      <c r="Q154" s="38" t="str">
        <v>BAK-04: 10–20 л; BAK-07: Торт, кростата, мадлены</v>
      </c>
      <c r="R154" s="38" t="str">
        <v>project design requirement</v>
      </c>
      <c r="S154" s="38" t="str">
        <v>PLANNED</v>
      </c>
      <c r="T154" s="38"/>
      <c r="U154" s="38"/>
      <c r="V154" s="38" t="str">
        <v>BLOCKED</v>
      </c>
      <c r="W154" s="38"/>
      <c r="X154" s="38" t="str">
        <v>BLOCKED_NOT_COMPARABLE</v>
      </c>
      <c r="Y154" s="38" t="str">
        <v>Recipe load cannot be compared to the project requirement without tray/form/GN/load and selected-model data</v>
      </c>
      <c r="Z154" s="38"/>
      <c r="AA154" s="38"/>
      <c r="AB154" s="38"/>
      <c r="AC154" s="38"/>
      <c r="AD154" s="38"/>
      <c r="AE154" s="38" t="str">
        <v>BLOCKED_NO_SELECTED_MODEL_PASSPORT</v>
      </c>
      <c r="AF154" s="38" t="str">
        <v>BLOCKED</v>
      </c>
      <c r="AG154" s="38" t="str">
        <v>BLOCKED</v>
      </c>
      <c r="AH154" s="38" t="str">
        <v>BLOCKED_SELECTED_MODEL_AND_SITE_VALIDATION</v>
      </c>
      <c r="AI154" s="38" t="str">
        <v>ESTIMATE</v>
      </c>
      <c r="AJ154" s="38" t="str">
        <v>EVD-0010;EVD-0021;EVD-0022;EVD-0023</v>
      </c>
      <c r="AK154" s="38" t="str">
        <v>2026-08-03</v>
      </c>
      <c r="AL154" s="38" t="str">
        <v>GAP-007;GAP-017;GAP-018;GAP-019</v>
      </c>
      <c r="AM154" s="38" t="str">
        <v>Operations / Engineering / Procurement</v>
      </c>
      <c r="AN154" s="38" t="str">
        <v>Manual operation mapped to an existing work surface/inventory function.</v>
      </c>
      <c r="AO154" s="39" t="str">
        <v>Chef/Operations time the operation; Procurement supplies selected-model passport; Engineering confirms asset, placement and connections</v>
      </c>
    </row>
    <row r="155">
      <c r="A155" s="37" t="str">
        <v>EQM-0151</v>
      </c>
      <c r="B155" s="38" t="str">
        <v>VKM-031</v>
      </c>
      <c r="C155" s="38" t="str">
        <v>Мадлен</v>
      </c>
      <c r="D155" s="38" t="str">
        <v>Десерты</v>
      </c>
      <c r="E155" s="38" t="str">
        <v>0.1.0-DRAFT</v>
      </c>
      <c r="F155" s="38" t="n">
        <v>2</v>
      </c>
      <c r="G155" s="38" t="str">
        <v>дать ему стабилизироваться</v>
      </c>
      <c r="H155" s="38" t="str">
        <v>STO-09</v>
      </c>
      <c r="I155" s="38" t="str">
        <v>Кондитерское хранение</v>
      </c>
      <c r="J155" s="38" t="str">
        <v>CAPEX.STO.009</v>
      </c>
      <c r="K155" s="38" t="str">
        <v>MANDATORY</v>
      </c>
      <c r="L155" s="38" t="str">
        <v>APPROVED_STRUCTURE</v>
      </c>
      <c r="M155" s="38" t="str">
        <v>CONTROLLED_HOLDING</v>
      </c>
      <c r="N155" s="38"/>
      <c r="O155" s="38" t="str">
        <v>BLOCKED</v>
      </c>
      <c r="P155" s="38" t="str">
        <v>Only dish aggregate is available: active 30 min / total 120 min; no unsupported split by operation</v>
      </c>
      <c r="Q155" s="38" t="str">
        <v>STO-09: Противни и изделия</v>
      </c>
      <c r="R155" s="38" t="str">
        <v>project design requirement</v>
      </c>
      <c r="S155" s="38" t="str">
        <v>PLANNED</v>
      </c>
      <c r="T155" s="38"/>
      <c r="U155" s="38"/>
      <c r="V155" s="38" t="str">
        <v>BLOCKED</v>
      </c>
      <c r="W155" s="38"/>
      <c r="X155" s="38" t="str">
        <v>BLOCKED_NOT_COMPARABLE</v>
      </c>
      <c r="Y155" s="38" t="str">
        <v>Recipe load cannot be compared to the project requirement without tray/form/GN/load and selected-model data</v>
      </c>
      <c r="Z155" s="38"/>
      <c r="AA155" s="38"/>
      <c r="AB155" s="38"/>
      <c r="AC155" s="38"/>
      <c r="AD155" s="38"/>
      <c r="AE155" s="38" t="str">
        <v>BLOCKED_NO_SELECTED_MODEL_PASSPORT</v>
      </c>
      <c r="AF155" s="38" t="str">
        <v>BLOCKED</v>
      </c>
      <c r="AG155" s="38" t="str">
        <v>BLOCKED</v>
      </c>
      <c r="AH155" s="38" t="str">
        <v>BLOCKED_SELECTED_MODEL_AND_SITE_VALIDATION</v>
      </c>
      <c r="AI155" s="38" t="str">
        <v>ESTIMATE</v>
      </c>
      <c r="AJ155" s="38" t="str">
        <v>EVD-0010;EVD-0021;EVD-0022;EVD-0023</v>
      </c>
      <c r="AK155" s="38" t="str">
        <v>2026-08-03</v>
      </c>
      <c r="AL155" s="38" t="str">
        <v>GAP-007;GAP-017;GAP-018;GAP-019</v>
      </c>
      <c r="AM155" s="38" t="str">
        <v>Operations / Engineering / Procurement</v>
      </c>
      <c r="AN155" s="38" t="str">
        <v>Manual operation mapped to an existing work surface/inventory function.</v>
      </c>
      <c r="AO155" s="39" t="str">
        <v>Chef/Operations time the operation; Procurement supplies selected-model passport; Engineering confirms asset, placement and connections</v>
      </c>
    </row>
    <row r="156">
      <c r="A156" s="37" t="str">
        <v>EQM-0152</v>
      </c>
      <c r="B156" s="38" t="str">
        <v>VKM-031</v>
      </c>
      <c r="C156" s="38" t="str">
        <v>Мадлен</v>
      </c>
      <c r="D156" s="38" t="str">
        <v>Десерты</v>
      </c>
      <c r="E156" s="38" t="str">
        <v>0.1.0-DRAFT</v>
      </c>
      <c r="F156" s="38" t="n">
        <v>3</v>
      </c>
      <c r="G156" s="38" t="str">
        <v>дозировать в формы</v>
      </c>
      <c r="H156" s="38" t="str">
        <v>BAK-07</v>
      </c>
      <c r="I156" s="38" t="str">
        <v>Кондитерские формы и инвентарь</v>
      </c>
      <c r="J156" s="38" t="str">
        <v>CAPEX.BAK.007</v>
      </c>
      <c r="K156" s="38" t="str">
        <v>MANDATORY</v>
      </c>
      <c r="L156" s="38" t="str">
        <v>APPROVED_STRUCTURE</v>
      </c>
      <c r="M156" s="38" t="str">
        <v>FORMING_DECORATING_PORTIONING</v>
      </c>
      <c r="N156" s="38"/>
      <c r="O156" s="38" t="str">
        <v>BLOCKED</v>
      </c>
      <c r="P156" s="38" t="str">
        <v>Only dish aggregate is available: active 30 min / total 120 min; no unsupported split by operation</v>
      </c>
      <c r="Q156" s="38" t="str">
        <v>BAK-07: Торт, кростата, мадлены</v>
      </c>
      <c r="R156" s="38" t="str">
        <v>project design requirement</v>
      </c>
      <c r="S156" s="38" t="str">
        <v>PLANNED</v>
      </c>
      <c r="T156" s="38"/>
      <c r="U156" s="38"/>
      <c r="V156" s="38" t="str">
        <v>BLOCKED</v>
      </c>
      <c r="W156" s="38"/>
      <c r="X156" s="38" t="str">
        <v>BLOCKED_NOT_COMPARABLE</v>
      </c>
      <c r="Y156" s="38" t="str">
        <v>Recipe load cannot be compared to the project requirement without tray/form/GN/load and selected-model data</v>
      </c>
      <c r="Z156" s="38"/>
      <c r="AA156" s="38"/>
      <c r="AB156" s="38"/>
      <c r="AC156" s="38"/>
      <c r="AD156" s="38"/>
      <c r="AE156" s="38" t="str">
        <v>BLOCKED_NO_SELECTED_MODEL_PASSPORT</v>
      </c>
      <c r="AF156" s="38" t="str">
        <v>BLOCKED</v>
      </c>
      <c r="AG156" s="38" t="str">
        <v>BLOCKED</v>
      </c>
      <c r="AH156" s="38" t="str">
        <v>BLOCKED_SELECTED_MODEL_AND_SITE_VALIDATION</v>
      </c>
      <c r="AI156" s="38" t="str">
        <v>ESTIMATE</v>
      </c>
      <c r="AJ156" s="38" t="str">
        <v>EVD-0010;EVD-0021;EVD-0022;EVD-0023</v>
      </c>
      <c r="AK156" s="38" t="str">
        <v>2026-08-03</v>
      </c>
      <c r="AL156" s="38" t="str">
        <v>GAP-007;GAP-017;GAP-018;GAP-019</v>
      </c>
      <c r="AM156" s="38" t="str">
        <v>Operations / Engineering / Procurement</v>
      </c>
      <c r="AN156" s="38" t="str">
        <v>Manual operation mapped to an existing work surface/inventory function.</v>
      </c>
      <c r="AO156" s="39" t="str">
        <v>Chef/Operations time the operation; Procurement supplies selected-model passport; Engineering confirms asset, placement and connections</v>
      </c>
    </row>
    <row r="157">
      <c r="A157" s="37" t="str">
        <v>EQM-0153</v>
      </c>
      <c r="B157" s="38" t="str">
        <v>VKM-031</v>
      </c>
      <c r="C157" s="38" t="str">
        <v>Мадлен</v>
      </c>
      <c r="D157" s="38" t="str">
        <v>Десерты</v>
      </c>
      <c r="E157" s="38" t="str">
        <v>0.1.0-DRAFT</v>
      </c>
      <c r="F157" s="38" t="n">
        <v>4</v>
      </c>
      <c r="G157" s="38" t="str">
        <v>выпечь</v>
      </c>
      <c r="H157" s="38" t="str">
        <v>BAK-02;BAK-07</v>
      </c>
      <c r="I157" s="38" t="str">
        <v>Пекарская печь;Кондитерские формы и инвентарь</v>
      </c>
      <c r="J157" s="38" t="str">
        <v>CAPEX.BAK.002;CAPEX.BAK.007</v>
      </c>
      <c r="K157" s="38" t="str">
        <v>MANDATORY</v>
      </c>
      <c r="L157" s="38" t="str">
        <v>APPROVED_STRUCTURE</v>
      </c>
      <c r="M157" s="38" t="str">
        <v>THERMAL_PROCESS</v>
      </c>
      <c r="N157" s="38"/>
      <c r="O157" s="38" t="str">
        <v>BLOCKED</v>
      </c>
      <c r="P157" s="38" t="str">
        <v>Only dish aggregate is available: active 30 min / total 120 min; no unsupported split by operation</v>
      </c>
      <c r="Q157" s="38" t="str">
        <v>BAK-02: 6×600×400; программирование; пар; BAK-07: Торт, кростата, мадлены</v>
      </c>
      <c r="R157" s="38" t="str">
        <v>project design requirement</v>
      </c>
      <c r="S157" s="38" t="str">
        <v>PLANNED</v>
      </c>
      <c r="T157" s="38"/>
      <c r="U157" s="38"/>
      <c r="V157" s="38" t="str">
        <v>BLOCKED</v>
      </c>
      <c r="W157" s="38"/>
      <c r="X157" s="38" t="str">
        <v>BLOCKED_NOT_COMPARABLE</v>
      </c>
      <c r="Y157" s="38" t="str">
        <v>Recipe load cannot be compared to the project requirement without tray/form/GN/load and selected-model data</v>
      </c>
      <c r="Z157" s="38"/>
      <c r="AA157" s="38"/>
      <c r="AB157" s="38"/>
      <c r="AC157" s="38"/>
      <c r="AD157" s="38"/>
      <c r="AE157" s="38" t="str">
        <v>BLOCKED_NO_SELECTED_MODEL_PASSPORT</v>
      </c>
      <c r="AF157" s="38" t="str">
        <v>BLOCKED</v>
      </c>
      <c r="AG157" s="38" t="str">
        <v>BLOCKED</v>
      </c>
      <c r="AH157" s="38" t="str">
        <v>BLOCKED_SELECTED_MODEL_AND_SITE_VALIDATION</v>
      </c>
      <c r="AI157" s="38" t="str">
        <v>ESTIMATE</v>
      </c>
      <c r="AJ157" s="38" t="str">
        <v>EVD-0010;EVD-0021;EVD-0022;EVD-0023</v>
      </c>
      <c r="AK157" s="38" t="str">
        <v>2026-08-03</v>
      </c>
      <c r="AL157" s="38" t="str">
        <v>GAP-007;GAP-017;GAP-018;GAP-019</v>
      </c>
      <c r="AM157" s="38" t="str">
        <v>Operations / Engineering / Procurement</v>
      </c>
      <c r="AN157" s="38" t="str">
        <v>Manual operation mapped to an existing work surface/inventory function.</v>
      </c>
      <c r="AO157" s="39" t="str">
        <v>Chef/Operations time the operation; Procurement supplies selected-model passport; Engineering confirms asset, placement and connections</v>
      </c>
    </row>
    <row r="158">
      <c r="A158" s="37" t="str">
        <v>EQM-0154</v>
      </c>
      <c r="B158" s="38" t="str">
        <v>VKM-031</v>
      </c>
      <c r="C158" s="38" t="str">
        <v>Мадлен</v>
      </c>
      <c r="D158" s="38" t="str">
        <v>Десерты</v>
      </c>
      <c r="E158" s="38" t="str">
        <v>0.1.0-DRAFT</v>
      </c>
      <c r="F158" s="38" t="n">
        <v>5</v>
      </c>
      <c r="G158" s="38" t="str">
        <v>охладить</v>
      </c>
      <c r="H158" s="38" t="str">
        <v>BAK-06;STO-09</v>
      </c>
      <c r="I158" s="38" t="str">
        <v>Мобильный стеллаж охлаждения;Кондитерское хранение</v>
      </c>
      <c r="J158" s="38" t="str">
        <v>CAPEX.BAK.006;CAPEX.STO.009</v>
      </c>
      <c r="K158" s="38" t="str">
        <v>MANDATORY</v>
      </c>
      <c r="L158" s="38" t="str">
        <v>APPROVED_STRUCTURE</v>
      </c>
      <c r="M158" s="38" t="str">
        <v>COOLING</v>
      </c>
      <c r="N158" s="38"/>
      <c r="O158" s="38" t="str">
        <v>BLOCKED</v>
      </c>
      <c r="P158" s="38" t="str">
        <v>Only dish aggregate is available: active 30 min / total 120 min; no unsupported split by operation</v>
      </c>
      <c r="Q158" s="38" t="str">
        <v>BAK-06: 16–20 противней; STO-09: Противни и изделия</v>
      </c>
      <c r="R158" s="38" t="str">
        <v>project design requirement</v>
      </c>
      <c r="S158" s="38" t="str">
        <v>PLANNED</v>
      </c>
      <c r="T158" s="38"/>
      <c r="U158" s="38"/>
      <c r="V158" s="38" t="str">
        <v>BLOCKED</v>
      </c>
      <c r="W158" s="38"/>
      <c r="X158" s="38" t="str">
        <v>BLOCKED_NOT_COMPARABLE</v>
      </c>
      <c r="Y158" s="38" t="str">
        <v>Recipe load cannot be compared to the project requirement without tray/form/GN/load and selected-model data</v>
      </c>
      <c r="Z158" s="38"/>
      <c r="AA158" s="38"/>
      <c r="AB158" s="38"/>
      <c r="AC158" s="38"/>
      <c r="AD158" s="38"/>
      <c r="AE158" s="38" t="str">
        <v>BLOCKED_NO_SELECTED_MODEL_PASSPORT</v>
      </c>
      <c r="AF158" s="38" t="str">
        <v>BLOCKED</v>
      </c>
      <c r="AG158" s="38" t="str">
        <v>BLOCKED</v>
      </c>
      <c r="AH158" s="38" t="str">
        <v>BLOCKED_SELECTED_MODEL_AND_SITE_VALIDATION</v>
      </c>
      <c r="AI158" s="38" t="str">
        <v>ESTIMATE</v>
      </c>
      <c r="AJ158" s="38" t="str">
        <v>EVD-0010;EVD-0021;EVD-0022;EVD-0023</v>
      </c>
      <c r="AK158" s="38" t="str">
        <v>2026-08-03</v>
      </c>
      <c r="AL158" s="38" t="str">
        <v>GAP-007;GAP-017;GAP-018;GAP-019</v>
      </c>
      <c r="AM158" s="38" t="str">
        <v>Operations / Engineering / Procurement</v>
      </c>
      <c r="AN158" s="38" t="str">
        <v>Manual operation mapped to an existing work surface/inventory function.</v>
      </c>
      <c r="AO158" s="39" t="str">
        <v>Chef/Operations time the operation; Procurement supplies selected-model passport; Engineering confirms asset, placement and connections</v>
      </c>
    </row>
    <row r="159">
      <c r="A159" s="37" t="str">
        <v>EQM-0155</v>
      </c>
      <c r="B159" s="38" t="str">
        <v>VKM-031</v>
      </c>
      <c r="C159" s="38" t="str">
        <v>Мадлен</v>
      </c>
      <c r="D159" s="38" t="str">
        <v>Десерты</v>
      </c>
      <c r="E159" s="38" t="str">
        <v>0.1.0-DRAFT</v>
      </c>
      <c r="F159" s="38" t="n">
        <v>6</v>
      </c>
      <c r="G159" s="38" t="str">
        <v>сформировать 20 одинаковых изделий</v>
      </c>
      <c r="H159" s="38" t="str">
        <v>BAK-07</v>
      </c>
      <c r="I159" s="38" t="str">
        <v>Кондитерские формы и инвентарь</v>
      </c>
      <c r="J159" s="38" t="str">
        <v>CAPEX.BAK.007</v>
      </c>
      <c r="K159" s="38" t="str">
        <v>MANDATORY</v>
      </c>
      <c r="L159" s="38" t="str">
        <v>APPROVED_STRUCTURE</v>
      </c>
      <c r="M159" s="38" t="str">
        <v>FORMING_DECORATING_PORTIONING</v>
      </c>
      <c r="N159" s="38"/>
      <c r="O159" s="38" t="str">
        <v>BLOCKED</v>
      </c>
      <c r="P159" s="38" t="str">
        <v>Only dish aggregate is available: active 30 min / total 120 min; no unsupported split by operation</v>
      </c>
      <c r="Q159" s="38" t="str">
        <v>BAK-07: Торт, кростата, мадлены</v>
      </c>
      <c r="R159" s="38" t="str">
        <v>project design requirement</v>
      </c>
      <c r="S159" s="38" t="str">
        <v>PLANNED</v>
      </c>
      <c r="T159" s="38"/>
      <c r="U159" s="38"/>
      <c r="V159" s="38" t="str">
        <v>BLOCKED</v>
      </c>
      <c r="W159" s="38"/>
      <c r="X159" s="38" t="str">
        <v>BLOCKED_NOT_COMPARABLE</v>
      </c>
      <c r="Y159" s="38" t="str">
        <v>Recipe load cannot be compared to the project requirement without tray/form/GN/load and selected-model data</v>
      </c>
      <c r="Z159" s="38"/>
      <c r="AA159" s="38"/>
      <c r="AB159" s="38"/>
      <c r="AC159" s="38"/>
      <c r="AD159" s="38"/>
      <c r="AE159" s="38" t="str">
        <v>BLOCKED_NO_SELECTED_MODEL_PASSPORT</v>
      </c>
      <c r="AF159" s="38" t="str">
        <v>BLOCKED</v>
      </c>
      <c r="AG159" s="38" t="str">
        <v>BLOCKED</v>
      </c>
      <c r="AH159" s="38" t="str">
        <v>BLOCKED_SELECTED_MODEL_AND_SITE_VALIDATION</v>
      </c>
      <c r="AI159" s="38" t="str">
        <v>ESTIMATE</v>
      </c>
      <c r="AJ159" s="38" t="str">
        <v>EVD-0010;EVD-0021;EVD-0022;EVD-0023</v>
      </c>
      <c r="AK159" s="38" t="str">
        <v>2026-08-03</v>
      </c>
      <c r="AL159" s="38" t="str">
        <v>GAP-007;GAP-017;GAP-018;GAP-019</v>
      </c>
      <c r="AM159" s="38" t="str">
        <v>Operations / Engineering / Procurement</v>
      </c>
      <c r="AN159" s="38" t="str">
        <v>Manual operation mapped to an existing work surface/inventory function.</v>
      </c>
      <c r="AO159" s="39" t="str">
        <v>Chef/Operations time the operation; Procurement supplies selected-model passport; Engineering confirms asset, placement and connections</v>
      </c>
    </row>
    <row r="160">
      <c r="A160" s="37" t="str">
        <v>EQM-BF-026</v>
      </c>
      <c r="B160" s="38" t="str">
        <v>VKM-026</v>
      </c>
      <c r="C160" s="38" t="str">
        <v>Яичница, круассан и сыр двух видов</v>
      </c>
      <c r="D160" s="38" t="str">
        <v>Гостиничные завтраки</v>
      </c>
      <c r="E160" s="38" t="str">
        <v>PR81-DRAFT</v>
      </c>
      <c r="F160" s="38" t="n">
        <v>1</v>
      </c>
      <c r="G160" s="38" t="str">
        <v>Historical candidate equipment set; exact route requires Chef and load test</v>
      </c>
      <c r="H160" s="38"/>
      <c r="I160" s="38" t="str">
        <v>Теппан/сковорода; печь; холодильник; весы; термощуп; таймер</v>
      </c>
      <c r="J160" s="38"/>
      <c r="K160" s="38" t="str">
        <v>DRAFT</v>
      </c>
      <c r="L160" s="38"/>
      <c r="M160" s="38"/>
      <c r="N160" s="38"/>
      <c r="O160" s="38" t="str">
        <v>BLOCKED</v>
      </c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 t="str">
        <v>BLOCKED</v>
      </c>
      <c r="AF160" s="38" t="str">
        <v>NOT_CONFIRMED</v>
      </c>
      <c r="AG160" s="38" t="str">
        <v>NOT_CONFIRMED</v>
      </c>
      <c r="AH160" s="38" t="str">
        <v>NOT_CONFIRMED</v>
      </c>
      <c r="AI160" s="38" t="str">
        <v>DRAFT</v>
      </c>
      <c r="AJ160" s="38"/>
      <c r="AK160" s="38" t="str">
        <v>2026-08-04</v>
      </c>
      <c r="AL160" s="38" t="str">
        <v>CHEF_DECISION;EQUIPMENT_PASSPORT;LOAD_TEST</v>
      </c>
      <c r="AM160" s="38" t="str">
        <v>Chef / Operations / Procurement</v>
      </c>
      <c r="AN160" s="38"/>
      <c r="AO160" s="39" t="str">
        <v>Confirm equipment, model, availability and physical load</v>
      </c>
    </row>
    <row r="161">
      <c r="A161" s="37" t="str">
        <v>EQM-BF-027</v>
      </c>
      <c r="B161" s="38" t="str">
        <v>VKM-027</v>
      </c>
      <c r="C161" s="38" t="str">
        <v>Омлет, круассан и сыр двух видов</v>
      </c>
      <c r="D161" s="38" t="str">
        <v>Гостиничные завтраки</v>
      </c>
      <c r="E161" s="38" t="str">
        <v>PR81-DRAFT</v>
      </c>
      <c r="F161" s="38" t="n">
        <v>1</v>
      </c>
      <c r="G161" s="38" t="str">
        <v>Historical candidate equipment set; exact route requires Chef and load test</v>
      </c>
      <c r="H161" s="38"/>
      <c r="I161" s="38" t="str">
        <v>Пароконвектомат; формы; печь; холодильник; весы; термощуп; таймер</v>
      </c>
      <c r="J161" s="38"/>
      <c r="K161" s="38" t="str">
        <v>DRAFT</v>
      </c>
      <c r="L161" s="38"/>
      <c r="M161" s="38"/>
      <c r="N161" s="38"/>
      <c r="O161" s="38" t="str">
        <v>BLOCKED</v>
      </c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 t="str">
        <v>BLOCKED</v>
      </c>
      <c r="AF161" s="38" t="str">
        <v>NOT_CONFIRMED</v>
      </c>
      <c r="AG161" s="38" t="str">
        <v>NOT_CONFIRMED</v>
      </c>
      <c r="AH161" s="38" t="str">
        <v>NOT_CONFIRMED</v>
      </c>
      <c r="AI161" s="38" t="str">
        <v>DRAFT</v>
      </c>
      <c r="AJ161" s="38"/>
      <c r="AK161" s="38" t="str">
        <v>2026-08-04</v>
      </c>
      <c r="AL161" s="38" t="str">
        <v>CHEF_DECISION;EQUIPMENT_PASSPORT;LOAD_TEST</v>
      </c>
      <c r="AM161" s="38" t="str">
        <v>Chef / Operations / Procurement</v>
      </c>
      <c r="AN161" s="38"/>
      <c r="AO161" s="39" t="str">
        <v>Confirm equipment, model, availability and physical load</v>
      </c>
    </row>
    <row r="162">
      <c r="A162" s="40" t="str">
        <v>EQM-BF-028</v>
      </c>
      <c r="B162" s="41" t="str">
        <v>VKM-028</v>
      </c>
      <c r="C162" s="41" t="str">
        <v>Овсяная каша, круассан и сыр двух видов</v>
      </c>
      <c r="D162" s="41" t="str">
        <v>Гостиничные завтраки</v>
      </c>
      <c r="E162" s="41" t="str">
        <v>PR81-DRAFT</v>
      </c>
      <c r="F162" s="41" t="n">
        <v>1</v>
      </c>
      <c r="G162" s="41" t="str">
        <v>Historical candidate equipment set; exact route requires Chef and load test</v>
      </c>
      <c r="H162" s="41"/>
      <c r="I162" s="41" t="str">
        <v>Кастрюля; индукция; печь; холодильник; весы; термощуп; таймер</v>
      </c>
      <c r="J162" s="41"/>
      <c r="K162" s="41" t="str">
        <v>DRAFT</v>
      </c>
      <c r="L162" s="41"/>
      <c r="M162" s="41"/>
      <c r="N162" s="41"/>
      <c r="O162" s="41" t="str">
        <v>BLOCKED</v>
      </c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 t="str">
        <v>BLOCKED</v>
      </c>
      <c r="AF162" s="41" t="str">
        <v>NOT_CONFIRMED</v>
      </c>
      <c r="AG162" s="41" t="str">
        <v>NOT_CONFIRMED</v>
      </c>
      <c r="AH162" s="41" t="str">
        <v>NOT_CONFIRMED</v>
      </c>
      <c r="AI162" s="41" t="str">
        <v>DRAFT</v>
      </c>
      <c r="AJ162" s="41"/>
      <c r="AK162" s="41" t="str">
        <v>2026-08-04</v>
      </c>
      <c r="AL162" s="41" t="str">
        <v>CHEF_DECISION;EQUIPMENT_PASSPORT;LOAD_TEST</v>
      </c>
      <c r="AM162" s="41" t="str">
        <v>Chef / Operations / Procurement</v>
      </c>
      <c r="AN162" s="41"/>
      <c r="AO162" s="42" t="str">
        <v>Confirm equipment, model, availability and physical load</v>
      </c>
    </row>
  </sheetData>
  <autoFilter ref="A1:AO162"/>
  <mergeCells>
    <mergeCell ref="A1:AO1"/>
    <mergeCell ref="A2:AO2"/>
  </mergeCells>
  <conditionalFormatting sqref="K5:K162">
    <cfRule type="containsText" dxfId="87" priority="1" operator="containsText" text="BLOCK"/>
    <cfRule type="containsText" dxfId="88" priority="2" operator="containsText" text="DRAFT"/>
    <cfRule type="containsText" dxfId="89" priority="3" operator="containsText" text="PASS"/>
  </conditionalFormatting>
  <conditionalFormatting sqref="L5:L162">
    <cfRule type="containsText" dxfId="90" priority="4" operator="containsText" text="BLOCK"/>
    <cfRule type="containsText" dxfId="91" priority="5" operator="containsText" text="DRAFT"/>
    <cfRule type="containsText" dxfId="92" priority="6" operator="containsText" text="PASS"/>
  </conditionalFormatting>
  <conditionalFormatting sqref="O5:O162">
    <cfRule type="containsText" dxfId="93" priority="7" operator="containsText" text="BLOCK"/>
    <cfRule type="containsText" dxfId="94" priority="8" operator="containsText" text="DRAFT"/>
    <cfRule type="containsText" dxfId="95" priority="9" operator="containsText" text="PASS"/>
  </conditionalFormatting>
  <conditionalFormatting sqref="S5:S162">
    <cfRule type="containsText" dxfId="96" priority="10" operator="containsText" text="BLOCK"/>
    <cfRule type="containsText" dxfId="97" priority="11" operator="containsText" text="DRAFT"/>
    <cfRule type="containsText" dxfId="98" priority="12" operator="containsText" text="PASS"/>
  </conditionalFormatting>
  <conditionalFormatting sqref="V5:V162">
    <cfRule type="containsText" dxfId="99" priority="13" operator="containsText" text="BLOCK"/>
    <cfRule type="containsText" dxfId="100" priority="14" operator="containsText" text="DRAFT"/>
    <cfRule type="containsText" dxfId="101" priority="15" operator="containsText" text="PASS"/>
  </conditionalFormatting>
  <conditionalFormatting sqref="X5:X162">
    <cfRule type="containsText" dxfId="102" priority="16" operator="containsText" text="BLOCK"/>
    <cfRule type="containsText" dxfId="103" priority="17" operator="containsText" text="DRAFT"/>
    <cfRule type="containsText" dxfId="104" priority="18" operator="containsText" text="PASS"/>
  </conditionalFormatting>
  <conditionalFormatting sqref="AE5:AE162">
    <cfRule type="containsText" dxfId="105" priority="19" operator="containsText" text="BLOCK"/>
    <cfRule type="containsText" dxfId="106" priority="20" operator="containsText" text="DRAFT"/>
    <cfRule type="containsText" dxfId="107" priority="21" operator="containsText" text="PASS"/>
  </conditionalFormatting>
  <conditionalFormatting sqref="AF5:AF162">
    <cfRule type="containsText" dxfId="108" priority="22" operator="containsText" text="BLOCK"/>
    <cfRule type="containsText" dxfId="109" priority="23" operator="containsText" text="DRAFT"/>
    <cfRule type="containsText" dxfId="110" priority="24" operator="containsText" text="PASS"/>
  </conditionalFormatting>
  <conditionalFormatting sqref="AG5:AG162">
    <cfRule type="containsText" dxfId="111" priority="25" operator="containsText" text="BLOCK"/>
    <cfRule type="containsText" dxfId="112" priority="26" operator="containsText" text="DRAFT"/>
    <cfRule type="containsText" dxfId="113" priority="27" operator="containsText" text="PASS"/>
  </conditionalFormatting>
  <conditionalFormatting sqref="AH5:AH162">
    <cfRule type="containsText" dxfId="114" priority="28" operator="containsText" text="BLOCK"/>
    <cfRule type="containsText" dxfId="115" priority="29" operator="containsText" text="DRAFT"/>
    <cfRule type="containsText" dxfId="116" priority="30" operator="containsText" text="PASS"/>
  </conditionalFormatting>
  <conditionalFormatting sqref="AI5:AI162">
    <cfRule type="containsText" dxfId="117" priority="31" operator="containsText" text="BLOCK"/>
    <cfRule type="containsText" dxfId="118" priority="32" operator="containsText" text="DRAFT"/>
    <cfRule type="containsText" dxfId="119" priority="33" operator="containsText" text="PASS"/>
  </conditionalFormatting>
  <pageMargins left="0.7" right="0.7" top="0.75" bottom="0.75" header="0.3" footer="0.3"/>
  <tableParts count="1">
    <tablePart r:id="Rb22de26c422c4a4e"/>
  </tableParts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38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24" hidden="0" customWidth="1"/>
    <col min="10" max="10" width="16" hidden="0" customWidth="1"/>
    <col min="11" max="11" width="38" hidden="0" customWidth="1"/>
    <col min="12" max="12" width="24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</cols>
  <sheetData>
    <row r="1">
      <c r="A1" s="8" t="str">
        <v>09 — Инвентарь и посуда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11" t="str">
        <v>Инвентарь и связанная мойка; отдельный TABLEWARE_REGISTER_31.csv сохраняет посуду.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ht="50" customHeight="1">
      <c r="A4" s="14" t="str">
        <v>inventory_set_code</v>
      </c>
      <c r="B4" s="14" t="str">
        <v>dish_code</v>
      </c>
      <c r="C4" s="14" t="str">
        <v>dish_name</v>
      </c>
      <c r="D4" s="14" t="str">
        <v>menu_section</v>
      </c>
      <c r="E4" s="14" t="str">
        <v>candidate_inventory</v>
      </c>
      <c r="F4" s="14" t="str">
        <v>linked_function_codes</v>
      </c>
      <c r="G4" s="14" t="str">
        <v>required_quantity</v>
      </c>
      <c r="H4" s="14" t="str">
        <v>quantity_unit</v>
      </c>
      <c r="I4" s="14" t="str">
        <v>quantity_status</v>
      </c>
      <c r="J4" s="14" t="str">
        <v>wash_dry_flow</v>
      </c>
      <c r="K4" s="14" t="str">
        <v>cross_contact_note</v>
      </c>
      <c r="L4" s="14" t="str">
        <v>parameter_status</v>
      </c>
      <c r="M4" s="14" t="str">
        <v>evidence_ids</v>
      </c>
      <c r="N4" s="14" t="str">
        <v>blocker_ids</v>
      </c>
      <c r="O4" s="14" t="str">
        <v>source_date</v>
      </c>
      <c r="P4" s="14" t="str">
        <v>confirmation_owner</v>
      </c>
      <c r="Q4" s="14" t="str">
        <v>next_action</v>
      </c>
    </row>
    <row r="5">
      <c r="A5" s="34" t="str">
        <v>INVSET-001</v>
      </c>
      <c r="B5" s="35" t="str">
        <v>VKM-001</v>
      </c>
      <c r="C5" s="35" t="str">
        <v>Маргарита</v>
      </c>
      <c r="D5" s="35" t="str">
        <v>Пицца</v>
      </c>
      <c r="E5" s="35" t="str">
        <v>Весы; контейнеры теста; скребок; лопатка/лопата для пиццы; резак; ёмкости для топпингов</v>
      </c>
      <c r="F5" s="35" t="str">
        <v>BAK-12;CLD-07;WSH-07;WSH-08</v>
      </c>
      <c r="G5" s="35"/>
      <c r="H5" s="35"/>
      <c r="I5" s="35" t="str">
        <v>BLOCKED</v>
      </c>
      <c r="J5" s="35" t="str">
        <v>WSH-07;WSH-08</v>
      </c>
      <c r="K5" s="35" t="str">
        <v>Dedicated/color-coded assignment and changeover remain subject to HOF-0012 safety re-review</v>
      </c>
      <c r="L5" s="35" t="str">
        <v>ESTIMATE</v>
      </c>
      <c r="M5" s="35" t="str">
        <v>EVD-0025;EVD-FS-003;EVD-FS-004</v>
      </c>
      <c r="N5" s="35" t="str">
        <v>GAP-009;GAP-021</v>
      </c>
      <c r="O5" s="35" t="str">
        <v>2026-08-03</v>
      </c>
      <c r="P5" s="35" t="str">
        <v>Operations / Procurement / FoodSafetyAgent</v>
      </c>
      <c r="Q5" s="36" t="str">
        <v>Chef/Operations approve item specification and quantity; Procurement confirms stock/SKU; Food Safety confirms segregation and cleaning</v>
      </c>
    </row>
    <row r="6">
      <c r="A6" s="37" t="str">
        <v>INVSET-002</v>
      </c>
      <c r="B6" s="38" t="str">
        <v>VKM-002</v>
      </c>
      <c r="C6" s="38" t="str">
        <v>Четыре сыра</v>
      </c>
      <c r="D6" s="38" t="str">
        <v>Пицца</v>
      </c>
      <c r="E6" s="38" t="str">
        <v>Весы; контейнеры теста; скребок; лопатка/лопата для пиццы; резак; ёмкости для топпингов</v>
      </c>
      <c r="F6" s="38" t="str">
        <v>BAK-12;CLD-07;WSH-07;WSH-08</v>
      </c>
      <c r="G6" s="38"/>
      <c r="H6" s="38"/>
      <c r="I6" s="38" t="str">
        <v>BLOCKED</v>
      </c>
      <c r="J6" s="38" t="str">
        <v>WSH-07;WSH-08</v>
      </c>
      <c r="K6" s="38" t="str">
        <v>Dedicated/color-coded assignment and changeover remain subject to HOF-0012 safety re-review</v>
      </c>
      <c r="L6" s="38" t="str">
        <v>ESTIMATE</v>
      </c>
      <c r="M6" s="38" t="str">
        <v>EVD-0025;EVD-FS-003;EVD-FS-004</v>
      </c>
      <c r="N6" s="38" t="str">
        <v>GAP-009;GAP-021</v>
      </c>
      <c r="O6" s="38" t="str">
        <v>2026-08-03</v>
      </c>
      <c r="P6" s="38" t="str">
        <v>Operations / Procurement / FoodSafetyAgent</v>
      </c>
      <c r="Q6" s="39" t="str">
        <v>Chef/Operations approve item specification and quantity; Procurement confirms stock/SKU; Food Safety confirms segregation and cleaning</v>
      </c>
    </row>
    <row r="7">
      <c r="A7" s="37" t="str">
        <v>INVSET-003</v>
      </c>
      <c r="B7" s="38" t="str">
        <v>VKM-003</v>
      </c>
      <c r="C7" s="38" t="str">
        <v>Грибная с ветчиной</v>
      </c>
      <c r="D7" s="38" t="str">
        <v>Пицца</v>
      </c>
      <c r="E7" s="38" t="str">
        <v>Весы; контейнеры теста; скребок; лопатка/лопата для пиццы; резак; ёмкости для топпингов</v>
      </c>
      <c r="F7" s="38" t="str">
        <v>BAK-12;CLD-07;WSH-07;WSH-08</v>
      </c>
      <c r="G7" s="38"/>
      <c r="H7" s="38"/>
      <c r="I7" s="38" t="str">
        <v>BLOCKED</v>
      </c>
      <c r="J7" s="38" t="str">
        <v>WSH-07;WSH-08</v>
      </c>
      <c r="K7" s="38" t="str">
        <v>Dedicated/color-coded assignment and changeover remain subject to HOF-0012 safety re-review</v>
      </c>
      <c r="L7" s="38" t="str">
        <v>ESTIMATE</v>
      </c>
      <c r="M7" s="38" t="str">
        <v>EVD-0025;EVD-FS-003;EVD-FS-004</v>
      </c>
      <c r="N7" s="38" t="str">
        <v>GAP-009;GAP-021</v>
      </c>
      <c r="O7" s="38" t="str">
        <v>2026-08-03</v>
      </c>
      <c r="P7" s="38" t="str">
        <v>Operations / Procurement / FoodSafetyAgent</v>
      </c>
      <c r="Q7" s="39" t="str">
        <v>Chef/Operations approve item specification and quantity; Procurement confirms stock/SKU; Food Safety confirms segregation and cleaning</v>
      </c>
    </row>
    <row r="8">
      <c r="A8" s="37" t="str">
        <v>INVSET-004</v>
      </c>
      <c r="B8" s="38" t="str">
        <v>VKM-004</v>
      </c>
      <c r="C8" s="38" t="str">
        <v>Пепперони</v>
      </c>
      <c r="D8" s="38" t="str">
        <v>Пицца</v>
      </c>
      <c r="E8" s="38" t="str">
        <v>Весы; контейнеры теста; скребок; лопатка/лопата для пиццы; резак; ёмкости для топпингов</v>
      </c>
      <c r="F8" s="38" t="str">
        <v>BAK-12;CLD-07;WSH-07;WSH-08</v>
      </c>
      <c r="G8" s="38"/>
      <c r="H8" s="38"/>
      <c r="I8" s="38" t="str">
        <v>BLOCKED</v>
      </c>
      <c r="J8" s="38" t="str">
        <v>WSH-07;WSH-08</v>
      </c>
      <c r="K8" s="38" t="str">
        <v>Dedicated/color-coded assignment and changeover remain subject to HOF-0012 safety re-review</v>
      </c>
      <c r="L8" s="38" t="str">
        <v>ESTIMATE</v>
      </c>
      <c r="M8" s="38" t="str">
        <v>EVD-0025;EVD-FS-003;EVD-FS-004</v>
      </c>
      <c r="N8" s="38" t="str">
        <v>GAP-009;GAP-021</v>
      </c>
      <c r="O8" s="38" t="str">
        <v>2026-08-03</v>
      </c>
      <c r="P8" s="38" t="str">
        <v>Operations / Procurement / FoodSafetyAgent</v>
      </c>
      <c r="Q8" s="39" t="str">
        <v>Chef/Operations approve item specification and quantity; Procurement confirms stock/SKU; Food Safety confirms segregation and cleaning</v>
      </c>
    </row>
    <row r="9">
      <c r="A9" s="37" t="str">
        <v>INVSET-005</v>
      </c>
      <c r="B9" s="38" t="str">
        <v>VKM-005</v>
      </c>
      <c r="C9" s="38" t="str">
        <v>Белая чиабатта</v>
      </c>
      <c r="D9" s="38" t="str">
        <v>Хлеб</v>
      </c>
      <c r="E9" s="38" t="str">
        <v>Весы; дежа; скребок; формы/противни; решётка охлаждения; термощуп после утверждения ППК</v>
      </c>
      <c r="F9" s="38" t="str">
        <v>BAK-03;BAK-05;BAK-06;HOT-13;WSH-07;WSH-08</v>
      </c>
      <c r="G9" s="38"/>
      <c r="H9" s="38"/>
      <c r="I9" s="38" t="str">
        <v>BLOCKED</v>
      </c>
      <c r="J9" s="38" t="str">
        <v>WSH-07;WSH-08</v>
      </c>
      <c r="K9" s="38" t="str">
        <v>Dedicated/color-coded assignment and changeover remain subject to HOF-0012 safety re-review</v>
      </c>
      <c r="L9" s="38" t="str">
        <v>ESTIMATE</v>
      </c>
      <c r="M9" s="38" t="str">
        <v>EVD-0025;EVD-FS-003;EVD-FS-004</v>
      </c>
      <c r="N9" s="38" t="str">
        <v>GAP-009;GAP-021</v>
      </c>
      <c r="O9" s="38" t="str">
        <v>2026-08-03</v>
      </c>
      <c r="P9" s="38" t="str">
        <v>Operations / Procurement / FoodSafetyAgent</v>
      </c>
      <c r="Q9" s="39" t="str">
        <v>Chef/Operations approve item specification and quantity; Procurement confirms stock/SKU; Food Safety confirms segregation and cleaning</v>
      </c>
    </row>
    <row r="10">
      <c r="A10" s="37" t="str">
        <v>INVSET-006</v>
      </c>
      <c r="B10" s="38" t="str">
        <v>VKM-006</v>
      </c>
      <c r="C10" s="38" t="str">
        <v>Томатная чиабатта</v>
      </c>
      <c r="D10" s="38" t="str">
        <v>Хлеб</v>
      </c>
      <c r="E10" s="38" t="str">
        <v>Весы; дежа; скребок; формы/противни; решётка охлаждения; термощуп после утверждения ППК</v>
      </c>
      <c r="F10" s="38" t="str">
        <v>BAK-03;BAK-05;BAK-06;HOT-13;WSH-07;WSH-08</v>
      </c>
      <c r="G10" s="38"/>
      <c r="H10" s="38"/>
      <c r="I10" s="38" t="str">
        <v>BLOCKED</v>
      </c>
      <c r="J10" s="38" t="str">
        <v>WSH-07;WSH-08</v>
      </c>
      <c r="K10" s="38" t="str">
        <v>Dedicated/color-coded assignment and changeover remain subject to HOF-0012 safety re-review</v>
      </c>
      <c r="L10" s="38" t="str">
        <v>ESTIMATE</v>
      </c>
      <c r="M10" s="38" t="str">
        <v>EVD-0025;EVD-FS-003;EVD-FS-004</v>
      </c>
      <c r="N10" s="38" t="str">
        <v>GAP-009;GAP-021</v>
      </c>
      <c r="O10" s="38" t="str">
        <v>2026-08-03</v>
      </c>
      <c r="P10" s="38" t="str">
        <v>Operations / Procurement / FoodSafetyAgent</v>
      </c>
      <c r="Q10" s="39" t="str">
        <v>Chef/Operations approve item specification and quantity; Procurement confirms stock/SKU; Food Safety confirms segregation and cleaning</v>
      </c>
    </row>
    <row r="11">
      <c r="A11" s="37" t="str">
        <v>INVSET-007</v>
      </c>
      <c r="B11" s="38" t="str">
        <v>VKM-007</v>
      </c>
      <c r="C11" s="38" t="str">
        <v>Бородинский хлеб</v>
      </c>
      <c r="D11" s="38" t="str">
        <v>Хлеб</v>
      </c>
      <c r="E11" s="38" t="str">
        <v>Весы; дежа; скребок; формы/противни; решётка охлаждения; термощуп после утверждения ППК</v>
      </c>
      <c r="F11" s="38" t="str">
        <v>BAK-03;BAK-05;BAK-06;HOT-13;WSH-07;WSH-08</v>
      </c>
      <c r="G11" s="38"/>
      <c r="H11" s="38"/>
      <c r="I11" s="38" t="str">
        <v>BLOCKED</v>
      </c>
      <c r="J11" s="38" t="str">
        <v>WSH-07;WSH-08</v>
      </c>
      <c r="K11" s="38" t="str">
        <v>Dedicated/color-coded assignment and changeover remain subject to HOF-0012 safety re-review</v>
      </c>
      <c r="L11" s="38" t="str">
        <v>ESTIMATE</v>
      </c>
      <c r="M11" s="38" t="str">
        <v>EVD-0025;EVD-FS-003;EVD-FS-004</v>
      </c>
      <c r="N11" s="38" t="str">
        <v>GAP-009;GAP-021</v>
      </c>
      <c r="O11" s="38" t="str">
        <v>2026-08-03</v>
      </c>
      <c r="P11" s="38" t="str">
        <v>Operations / Procurement / FoodSafetyAgent</v>
      </c>
      <c r="Q11" s="39" t="str">
        <v>Chef/Operations approve item specification and quantity; Procurement confirms stock/SKU; Food Safety confirms segregation and cleaning</v>
      </c>
    </row>
    <row r="12">
      <c r="A12" s="37" t="str">
        <v>INVSET-008</v>
      </c>
      <c r="B12" s="38" t="str">
        <v>VKM-008</v>
      </c>
      <c r="C12" s="38" t="str">
        <v>Бриошь</v>
      </c>
      <c r="D12" s="38" t="str">
        <v>Хлеб</v>
      </c>
      <c r="E12" s="38" t="str">
        <v>Весы; дежа; скребок; формы/противни; решётка охлаждения; термощуп после утверждения ППК</v>
      </c>
      <c r="F12" s="38" t="str">
        <v>BAK-03;BAK-05;BAK-06;HOT-13;WSH-07;WSH-08</v>
      </c>
      <c r="G12" s="38"/>
      <c r="H12" s="38"/>
      <c r="I12" s="38" t="str">
        <v>BLOCKED</v>
      </c>
      <c r="J12" s="38" t="str">
        <v>WSH-07;WSH-08</v>
      </c>
      <c r="K12" s="38" t="str">
        <v>Dedicated/color-coded assignment and changeover remain subject to HOF-0012 safety re-review</v>
      </c>
      <c r="L12" s="38" t="str">
        <v>ESTIMATE</v>
      </c>
      <c r="M12" s="38" t="str">
        <v>EVD-0025;EVD-FS-003;EVD-FS-004</v>
      </c>
      <c r="N12" s="38" t="str">
        <v>GAP-009;GAP-021</v>
      </c>
      <c r="O12" s="38" t="str">
        <v>2026-08-03</v>
      </c>
      <c r="P12" s="38" t="str">
        <v>Operations / Procurement / FoodSafetyAgent</v>
      </c>
      <c r="Q12" s="39" t="str">
        <v>Chef/Operations approve item specification and quantity; Procurement confirms stock/SKU; Food Safety confirms segregation and cleaning</v>
      </c>
    </row>
    <row r="13">
      <c r="A13" s="37" t="str">
        <v>INVSET-009</v>
      </c>
      <c r="B13" s="38" t="str">
        <v>VKM-009</v>
      </c>
      <c r="C13" s="38" t="str">
        <v>Буррата с томатами</v>
      </c>
      <c r="D13" s="38" t="str">
        <v>Салаты</v>
      </c>
      <c r="E13" s="38" t="str">
        <v>Весы; маркированные ножи и доски; GN с крышками; миски; щипцы/ложки; гастроёмкости</v>
      </c>
      <c r="F13" s="38" t="str">
        <v>CLD-06;CLD-07;WSH-07;WSH-08</v>
      </c>
      <c r="G13" s="38"/>
      <c r="H13" s="38"/>
      <c r="I13" s="38" t="str">
        <v>BLOCKED</v>
      </c>
      <c r="J13" s="38" t="str">
        <v>WSH-07;WSH-08</v>
      </c>
      <c r="K13" s="38" t="str">
        <v>Dedicated/color-coded assignment and changeover remain subject to HOF-0012 safety re-review</v>
      </c>
      <c r="L13" s="38" t="str">
        <v>ESTIMATE</v>
      </c>
      <c r="M13" s="38" t="str">
        <v>EVD-0025;EVD-FS-003;EVD-FS-004</v>
      </c>
      <c r="N13" s="38" t="str">
        <v>GAP-009;GAP-021</v>
      </c>
      <c r="O13" s="38" t="str">
        <v>2026-08-03</v>
      </c>
      <c r="P13" s="38" t="str">
        <v>Operations / Procurement / FoodSafetyAgent</v>
      </c>
      <c r="Q13" s="39" t="str">
        <v>Chef/Operations approve item specification and quantity; Procurement confirms stock/SKU; Food Safety confirms segregation and cleaning</v>
      </c>
    </row>
    <row r="14">
      <c r="A14" s="37" t="str">
        <v>INVSET-010</v>
      </c>
      <c r="B14" s="38" t="str">
        <v>VKM-010</v>
      </c>
      <c r="C14" s="38" t="str">
        <v>Микс-салат с креветками и яблоком</v>
      </c>
      <c r="D14" s="38" t="str">
        <v>Салаты</v>
      </c>
      <c r="E14" s="38" t="str">
        <v>Весы; маркированные ножи и доски; GN с крышками; миски; щипцы/ложки; гастроёмкости</v>
      </c>
      <c r="F14" s="38" t="str">
        <v>CLD-06;CLD-07;WSH-07;WSH-08</v>
      </c>
      <c r="G14" s="38"/>
      <c r="H14" s="38"/>
      <c r="I14" s="38" t="str">
        <v>BLOCKED</v>
      </c>
      <c r="J14" s="38" t="str">
        <v>WSH-07;WSH-08</v>
      </c>
      <c r="K14" s="38" t="str">
        <v>Dedicated/color-coded assignment and changeover remain subject to HOF-0012 safety re-review</v>
      </c>
      <c r="L14" s="38" t="str">
        <v>ESTIMATE</v>
      </c>
      <c r="M14" s="38" t="str">
        <v>EVD-0025;EVD-FS-003;EVD-FS-004</v>
      </c>
      <c r="N14" s="38" t="str">
        <v>GAP-009;GAP-021</v>
      </c>
      <c r="O14" s="38" t="str">
        <v>2026-08-03</v>
      </c>
      <c r="P14" s="38" t="str">
        <v>Operations / Procurement / FoodSafetyAgent</v>
      </c>
      <c r="Q14" s="39" t="str">
        <v>Chef/Operations approve item specification and quantity; Procurement confirms stock/SKU; Food Safety confirms segregation and cleaning</v>
      </c>
    </row>
    <row r="15">
      <c r="A15" s="37" t="str">
        <v>INVSET-011</v>
      </c>
      <c r="B15" s="38" t="str">
        <v>VKM-011</v>
      </c>
      <c r="C15" s="38" t="str">
        <v>Греческий</v>
      </c>
      <c r="D15" s="38" t="str">
        <v>Салаты</v>
      </c>
      <c r="E15" s="38" t="str">
        <v>Весы; маркированные ножи и доски; GN с крышками; миски; щипцы/ложки; гастроёмкости</v>
      </c>
      <c r="F15" s="38" t="str">
        <v>CLD-06;CLD-07;WSH-07;WSH-08</v>
      </c>
      <c r="G15" s="38"/>
      <c r="H15" s="38"/>
      <c r="I15" s="38" t="str">
        <v>BLOCKED</v>
      </c>
      <c r="J15" s="38" t="str">
        <v>WSH-07;WSH-08</v>
      </c>
      <c r="K15" s="38" t="str">
        <v>Dedicated/color-coded assignment and changeover remain subject to HOF-0012 safety re-review</v>
      </c>
      <c r="L15" s="38" t="str">
        <v>ESTIMATE</v>
      </c>
      <c r="M15" s="38" t="str">
        <v>EVD-0025;EVD-FS-003;EVD-FS-004</v>
      </c>
      <c r="N15" s="38" t="str">
        <v>GAP-009;GAP-021</v>
      </c>
      <c r="O15" s="38" t="str">
        <v>2026-08-03</v>
      </c>
      <c r="P15" s="38" t="str">
        <v>Operations / Procurement / FoodSafetyAgent</v>
      </c>
      <c r="Q15" s="39" t="str">
        <v>Chef/Operations approve item specification and quantity; Procurement confirms stock/SKU; Food Safety confirms segregation and cleaning</v>
      </c>
    </row>
    <row r="16">
      <c r="A16" s="37" t="str">
        <v>INVSET-012</v>
      </c>
      <c r="B16" s="38" t="str">
        <v>VKM-012</v>
      </c>
      <c r="C16" s="38" t="str">
        <v>Винегрет</v>
      </c>
      <c r="D16" s="38" t="str">
        <v>Салаты</v>
      </c>
      <c r="E16" s="38" t="str">
        <v>Весы; маркированные ножи и доски; GN с крышками; миски; щипцы/ложки; гастроёмкости</v>
      </c>
      <c r="F16" s="38" t="str">
        <v>CLD-06;CLD-07;WSH-07;WSH-08</v>
      </c>
      <c r="G16" s="38"/>
      <c r="H16" s="38"/>
      <c r="I16" s="38" t="str">
        <v>BLOCKED</v>
      </c>
      <c r="J16" s="38" t="str">
        <v>WSH-07;WSH-08</v>
      </c>
      <c r="K16" s="38" t="str">
        <v>Dedicated/color-coded assignment and changeover remain subject to HOF-0012 safety re-review</v>
      </c>
      <c r="L16" s="38" t="str">
        <v>ESTIMATE</v>
      </c>
      <c r="M16" s="38" t="str">
        <v>EVD-0025;EVD-FS-003;EVD-FS-004</v>
      </c>
      <c r="N16" s="38" t="str">
        <v>GAP-009;GAP-021</v>
      </c>
      <c r="O16" s="38" t="str">
        <v>2026-08-03</v>
      </c>
      <c r="P16" s="38" t="str">
        <v>Operations / Procurement / FoodSafetyAgent</v>
      </c>
      <c r="Q16" s="39" t="str">
        <v>Chef/Operations approve item specification and quantity; Procurement confirms stock/SKU; Food Safety confirms segregation and cleaning</v>
      </c>
    </row>
    <row r="17">
      <c r="A17" s="37" t="str">
        <v>INVSET-013</v>
      </c>
      <c r="B17" s="38" t="str">
        <v>VKM-013</v>
      </c>
      <c r="C17" s="38" t="str">
        <v>Слабосолёный лосось</v>
      </c>
      <c r="D17" s="38" t="str">
        <v>Холодные закуски</v>
      </c>
      <c r="E17" s="38" t="str">
        <v>Весы; маркированные ножи и доски; GN с крышками; миски; щипцы/ложки; гастроёмкости</v>
      </c>
      <c r="F17" s="38" t="str">
        <v>CLD-06;CLD-07;WSH-07;WSH-08</v>
      </c>
      <c r="G17" s="38"/>
      <c r="H17" s="38"/>
      <c r="I17" s="38" t="str">
        <v>BLOCKED</v>
      </c>
      <c r="J17" s="38" t="str">
        <v>WSH-07;WSH-08</v>
      </c>
      <c r="K17" s="38" t="str">
        <v>Dedicated/color-coded assignment and changeover remain subject to HOF-0012 safety re-review</v>
      </c>
      <c r="L17" s="38" t="str">
        <v>ESTIMATE</v>
      </c>
      <c r="M17" s="38" t="str">
        <v>EVD-0025;EVD-FS-003;EVD-FS-004</v>
      </c>
      <c r="N17" s="38" t="str">
        <v>GAP-009;GAP-021</v>
      </c>
      <c r="O17" s="38" t="str">
        <v>2026-08-03</v>
      </c>
      <c r="P17" s="38" t="str">
        <v>Operations / Procurement / FoodSafetyAgent</v>
      </c>
      <c r="Q17" s="39" t="str">
        <v>Chef/Operations approve item specification and quantity; Procurement confirms stock/SKU; Food Safety confirms segregation and cleaning</v>
      </c>
    </row>
    <row r="18">
      <c r="A18" s="37" t="str">
        <v>INVSET-014</v>
      </c>
      <c r="B18" s="38" t="str">
        <v>VKM-014</v>
      </c>
      <c r="C18" s="38" t="str">
        <v>Сельдь с запечённым картофелем</v>
      </c>
      <c r="D18" s="38" t="str">
        <v>Холодные закуски</v>
      </c>
      <c r="E18" s="38" t="str">
        <v>Весы; маркированные ножи и доски; GN с крышками; миски; щипцы/ложки; гастроёмкости</v>
      </c>
      <c r="F18" s="38" t="str">
        <v>CLD-06;CLD-07;WSH-07;WSH-08</v>
      </c>
      <c r="G18" s="38"/>
      <c r="H18" s="38"/>
      <c r="I18" s="38" t="str">
        <v>BLOCKED</v>
      </c>
      <c r="J18" s="38" t="str">
        <v>WSH-07;WSH-08</v>
      </c>
      <c r="K18" s="38" t="str">
        <v>Dedicated/color-coded assignment and changeover remain subject to HOF-0012 safety re-review</v>
      </c>
      <c r="L18" s="38" t="str">
        <v>ESTIMATE</v>
      </c>
      <c r="M18" s="38" t="str">
        <v>EVD-0025;EVD-FS-003;EVD-FS-004</v>
      </c>
      <c r="N18" s="38" t="str">
        <v>GAP-009;GAP-021</v>
      </c>
      <c r="O18" s="38" t="str">
        <v>2026-08-03</v>
      </c>
      <c r="P18" s="38" t="str">
        <v>Operations / Procurement / FoodSafetyAgent</v>
      </c>
      <c r="Q18" s="39" t="str">
        <v>Chef/Operations approve item specification and quantity; Procurement confirms stock/SKU; Food Safety confirms segregation and cleaning</v>
      </c>
    </row>
    <row r="19">
      <c r="A19" s="37" t="str">
        <v>INVSET-015</v>
      </c>
      <c r="B19" s="38" t="str">
        <v>VKM-015</v>
      </c>
      <c r="C19" s="38" t="str">
        <v>Оливки и маслины</v>
      </c>
      <c r="D19" s="38" t="str">
        <v>Холодные закуски</v>
      </c>
      <c r="E19" s="38" t="str">
        <v>Весы; маркированные ножи и доски; GN с крышками; миски; щипцы/ложки; гастроёмкости</v>
      </c>
      <c r="F19" s="38" t="str">
        <v>CLD-06;CLD-07;WSH-07;WSH-08</v>
      </c>
      <c r="G19" s="38"/>
      <c r="H19" s="38"/>
      <c r="I19" s="38" t="str">
        <v>BLOCKED</v>
      </c>
      <c r="J19" s="38" t="str">
        <v>WSH-07;WSH-08</v>
      </c>
      <c r="K19" s="38" t="str">
        <v>Dedicated/color-coded assignment and changeover remain subject to HOF-0012 safety re-review</v>
      </c>
      <c r="L19" s="38" t="str">
        <v>ESTIMATE</v>
      </c>
      <c r="M19" s="38" t="str">
        <v>EVD-0025;EVD-FS-003;EVD-FS-004</v>
      </c>
      <c r="N19" s="38" t="str">
        <v>GAP-009;GAP-021</v>
      </c>
      <c r="O19" s="38" t="str">
        <v>2026-08-03</v>
      </c>
      <c r="P19" s="38" t="str">
        <v>Operations / Procurement / FoodSafetyAgent</v>
      </c>
      <c r="Q19" s="39" t="str">
        <v>Chef/Operations approve item specification and quantity; Procurement confirms stock/SKU; Food Safety confirms segregation and cleaning</v>
      </c>
    </row>
    <row r="20">
      <c r="A20" s="37" t="str">
        <v>INVSET-016</v>
      </c>
      <c r="B20" s="38" t="str">
        <v>VKM-016</v>
      </c>
      <c r="C20" s="38" t="str">
        <v>Ассорти фирменных солений</v>
      </c>
      <c r="D20" s="38" t="str">
        <v>Холодные закуски</v>
      </c>
      <c r="E20" s="38" t="str">
        <v>Весы; маркированные ножи и доски; GN с крышками; миски; щипцы/ложки; гастроёмкости</v>
      </c>
      <c r="F20" s="38" t="str">
        <v>CLD-06;CLD-07;WSH-07;WSH-08</v>
      </c>
      <c r="G20" s="38"/>
      <c r="H20" s="38"/>
      <c r="I20" s="38" t="str">
        <v>BLOCKED</v>
      </c>
      <c r="J20" s="38" t="str">
        <v>WSH-07;WSH-08</v>
      </c>
      <c r="K20" s="38" t="str">
        <v>Dedicated/color-coded assignment and changeover remain subject to HOF-0012 safety re-review</v>
      </c>
      <c r="L20" s="38" t="str">
        <v>ESTIMATE</v>
      </c>
      <c r="M20" s="38" t="str">
        <v>EVD-0025;EVD-FS-003;EVD-FS-004</v>
      </c>
      <c r="N20" s="38" t="str">
        <v>GAP-009;GAP-021</v>
      </c>
      <c r="O20" s="38" t="str">
        <v>2026-08-03</v>
      </c>
      <c r="P20" s="38" t="str">
        <v>Operations / Procurement / FoodSafetyAgent</v>
      </c>
      <c r="Q20" s="39" t="str">
        <v>Chef/Operations approve item specification and quantity; Procurement confirms stock/SKU; Food Safety confirms segregation and cleaning</v>
      </c>
    </row>
    <row r="21">
      <c r="A21" s="37" t="str">
        <v>INVSET-017</v>
      </c>
      <c r="B21" s="38" t="str">
        <v>VKM-017</v>
      </c>
      <c r="C21" s="38" t="str">
        <v>Ростбиф с луком и гренкой</v>
      </c>
      <c r="D21" s="38" t="str">
        <v>Холодные закуски</v>
      </c>
      <c r="E21" s="38" t="str">
        <v>Весы; маркированные ножи и доски; GN с крышками; миски; щипцы/ложки; гастроёмкости</v>
      </c>
      <c r="F21" s="38" t="str">
        <v>CLD-06;CLD-07;WSH-07;WSH-08</v>
      </c>
      <c r="G21" s="38"/>
      <c r="H21" s="38"/>
      <c r="I21" s="38" t="str">
        <v>BLOCKED</v>
      </c>
      <c r="J21" s="38" t="str">
        <v>WSH-07;WSH-08</v>
      </c>
      <c r="K21" s="38" t="str">
        <v>Dedicated/color-coded assignment and changeover remain subject to HOF-0012 safety re-review</v>
      </c>
      <c r="L21" s="38" t="str">
        <v>ESTIMATE</v>
      </c>
      <c r="M21" s="38" t="str">
        <v>EVD-0025;EVD-FS-003;EVD-FS-004</v>
      </c>
      <c r="N21" s="38" t="str">
        <v>GAP-009;GAP-021</v>
      </c>
      <c r="O21" s="38" t="str">
        <v>2026-08-03</v>
      </c>
      <c r="P21" s="38" t="str">
        <v>Operations / Procurement / FoodSafetyAgent</v>
      </c>
      <c r="Q21" s="39" t="str">
        <v>Chef/Operations approve item specification and quantity; Procurement confirms stock/SKU; Food Safety confirms segregation and cleaning</v>
      </c>
    </row>
    <row r="22">
      <c r="A22" s="37" t="str">
        <v>INVSET-018</v>
      </c>
      <c r="B22" s="38" t="str">
        <v>VKM-018</v>
      </c>
      <c r="C22" s="38" t="str">
        <v>Традиционный красный борщ</v>
      </c>
      <c r="D22" s="38" t="str">
        <v>Супы</v>
      </c>
      <c r="E22" s="38" t="str">
        <v>Весы; маркированные ножи и доски; кастрюли; сотейник; половник; GN; термощуп после утверждения ППК</v>
      </c>
      <c r="F22" s="38" t="str">
        <v>HOT-13;CLD-07;WSH-07;WSH-08</v>
      </c>
      <c r="G22" s="38"/>
      <c r="H22" s="38"/>
      <c r="I22" s="38" t="str">
        <v>BLOCKED</v>
      </c>
      <c r="J22" s="38" t="str">
        <v>WSH-07;WSH-08</v>
      </c>
      <c r="K22" s="38" t="str">
        <v>Dedicated/color-coded assignment and changeover remain subject to HOF-0012 safety re-review</v>
      </c>
      <c r="L22" s="38" t="str">
        <v>ESTIMATE</v>
      </c>
      <c r="M22" s="38" t="str">
        <v>EVD-0025;EVD-FS-003;EVD-FS-004</v>
      </c>
      <c r="N22" s="38" t="str">
        <v>GAP-009;GAP-021</v>
      </c>
      <c r="O22" s="38" t="str">
        <v>2026-08-03</v>
      </c>
      <c r="P22" s="38" t="str">
        <v>Operations / Procurement / FoodSafetyAgent</v>
      </c>
      <c r="Q22" s="39" t="str">
        <v>Chef/Operations approve item specification and quantity; Procurement confirms stock/SKU; Food Safety confirms segregation and cleaning</v>
      </c>
    </row>
    <row r="23">
      <c r="A23" s="37" t="str">
        <v>INVSET-019</v>
      </c>
      <c r="B23" s="38" t="str">
        <v>VKM-019</v>
      </c>
      <c r="C23" s="38" t="str">
        <v>Мурманская треска со сливочно-горчичным соусом</v>
      </c>
      <c r="D23" s="38" t="str">
        <v>Горячие блюда</v>
      </c>
      <c r="E23" s="38" t="str">
        <v>Весы; маркированные ножи и доски; щипцы; сковороды/ёмкости GN; сотейник; лопатка; термощуп после утверждения ППК</v>
      </c>
      <c r="F23" s="38" t="str">
        <v>HOT-13;CLD-07;WSH-07;WSH-08</v>
      </c>
      <c r="G23" s="38"/>
      <c r="H23" s="38"/>
      <c r="I23" s="38" t="str">
        <v>BLOCKED</v>
      </c>
      <c r="J23" s="38" t="str">
        <v>WSH-07;WSH-08</v>
      </c>
      <c r="K23" s="38" t="str">
        <v>Dedicated/color-coded assignment and changeover remain subject to HOF-0012 safety re-review</v>
      </c>
      <c r="L23" s="38" t="str">
        <v>ESTIMATE</v>
      </c>
      <c r="M23" s="38" t="str">
        <v>EVD-0025;EVD-FS-003;EVD-FS-004</v>
      </c>
      <c r="N23" s="38" t="str">
        <v>GAP-009;GAP-021</v>
      </c>
      <c r="O23" s="38" t="str">
        <v>2026-08-03</v>
      </c>
      <c r="P23" s="38" t="str">
        <v>Operations / Procurement / FoodSafetyAgent</v>
      </c>
      <c r="Q23" s="39" t="str">
        <v>Chef/Operations approve item specification and quantity; Procurement confirms stock/SKU; Food Safety confirms segregation and cleaning</v>
      </c>
    </row>
    <row r="24">
      <c r="A24" s="37" t="str">
        <v>INVSET-020</v>
      </c>
      <c r="B24" s="38" t="str">
        <v>VKM-020</v>
      </c>
      <c r="C24" s="38" t="str">
        <v>Креветки по-тайски</v>
      </c>
      <c r="D24" s="38" t="str">
        <v>Горячие блюда</v>
      </c>
      <c r="E24" s="38" t="str">
        <v>Весы; маркированные ножи и доски; щипцы; сковороды/ёмкости GN; сотейник; лопатка; термощуп после утверждения ППК</v>
      </c>
      <c r="F24" s="38" t="str">
        <v>HOT-13;CLD-07;WSH-07;WSH-08</v>
      </c>
      <c r="G24" s="38"/>
      <c r="H24" s="38"/>
      <c r="I24" s="38" t="str">
        <v>BLOCKED</v>
      </c>
      <c r="J24" s="38" t="str">
        <v>WSH-07;WSH-08</v>
      </c>
      <c r="K24" s="38" t="str">
        <v>Dedicated/color-coded assignment and changeover remain subject to HOF-0012 safety re-review</v>
      </c>
      <c r="L24" s="38" t="str">
        <v>ESTIMATE</v>
      </c>
      <c r="M24" s="38" t="str">
        <v>EVD-0025;EVD-FS-003;EVD-FS-004</v>
      </c>
      <c r="N24" s="38" t="str">
        <v>GAP-009;GAP-021</v>
      </c>
      <c r="O24" s="38" t="str">
        <v>2026-08-03</v>
      </c>
      <c r="P24" s="38" t="str">
        <v>Operations / Procurement / FoodSafetyAgent</v>
      </c>
      <c r="Q24" s="39" t="str">
        <v>Chef/Operations approve item specification and quantity; Procurement confirms stock/SKU; Food Safety confirms segregation and cleaning</v>
      </c>
    </row>
    <row r="25">
      <c r="A25" s="37" t="str">
        <v>INVSET-021</v>
      </c>
      <c r="B25" s="38" t="str">
        <v>VKM-021</v>
      </c>
      <c r="C25" s="38" t="str">
        <v>Бургер VARSHAVKA</v>
      </c>
      <c r="D25" s="38" t="str">
        <v>Горячие блюда</v>
      </c>
      <c r="E25" s="38" t="str">
        <v>Весы; маркированные ножи и доски; щипцы; сковороды/ёмкости GN; сотейник; лопатка; термощуп после утверждения ППК</v>
      </c>
      <c r="F25" s="38" t="str">
        <v>HOT-13;CLD-07;WSH-07;WSH-08</v>
      </c>
      <c r="G25" s="38"/>
      <c r="H25" s="38"/>
      <c r="I25" s="38" t="str">
        <v>BLOCKED</v>
      </c>
      <c r="J25" s="38" t="str">
        <v>WSH-07;WSH-08</v>
      </c>
      <c r="K25" s="38" t="str">
        <v>Dedicated/color-coded assignment and changeover remain subject to HOF-0012 safety re-review</v>
      </c>
      <c r="L25" s="38" t="str">
        <v>ESTIMATE</v>
      </c>
      <c r="M25" s="38" t="str">
        <v>EVD-0025;EVD-FS-003;EVD-FS-004</v>
      </c>
      <c r="N25" s="38" t="str">
        <v>GAP-009;GAP-021</v>
      </c>
      <c r="O25" s="38" t="str">
        <v>2026-08-03</v>
      </c>
      <c r="P25" s="38" t="str">
        <v>Operations / Procurement / FoodSafetyAgent</v>
      </c>
      <c r="Q25" s="39" t="str">
        <v>Chef/Operations approve item specification and quantity; Procurement confirms stock/SKU; Food Safety confirms segregation and cleaning</v>
      </c>
    </row>
    <row r="26">
      <c r="A26" s="37" t="str">
        <v>INVSET-022</v>
      </c>
      <c r="B26" s="38" t="str">
        <v>VKM-022</v>
      </c>
      <c r="C26" s="38" t="str">
        <v>Миньоны из говяжьей вырезки</v>
      </c>
      <c r="D26" s="38" t="str">
        <v>Горячие блюда</v>
      </c>
      <c r="E26" s="38" t="str">
        <v>Весы; маркированные ножи и доски; щипцы; сковороды/ёмкости GN; сотейник; лопатка; термощуп после утверждения ППК</v>
      </c>
      <c r="F26" s="38" t="str">
        <v>HOT-13;CLD-07;WSH-07;WSH-08</v>
      </c>
      <c r="G26" s="38"/>
      <c r="H26" s="38"/>
      <c r="I26" s="38" t="str">
        <v>BLOCKED</v>
      </c>
      <c r="J26" s="38" t="str">
        <v>WSH-07;WSH-08</v>
      </c>
      <c r="K26" s="38" t="str">
        <v>Dedicated/color-coded assignment and changeover remain subject to HOF-0012 safety re-review</v>
      </c>
      <c r="L26" s="38" t="str">
        <v>ESTIMATE</v>
      </c>
      <c r="M26" s="38" t="str">
        <v>EVD-0025;EVD-FS-003;EVD-FS-004</v>
      </c>
      <c r="N26" s="38" t="str">
        <v>GAP-009;GAP-021</v>
      </c>
      <c r="O26" s="38" t="str">
        <v>2026-08-03</v>
      </c>
      <c r="P26" s="38" t="str">
        <v>Operations / Procurement / FoodSafetyAgent</v>
      </c>
      <c r="Q26" s="39" t="str">
        <v>Chef/Operations approve item specification and quantity; Procurement confirms stock/SKU; Food Safety confirms segregation and cleaning</v>
      </c>
    </row>
    <row r="27">
      <c r="A27" s="37" t="str">
        <v>INVSET-023</v>
      </c>
      <c r="B27" s="38" t="str">
        <v>VKM-023</v>
      </c>
      <c r="C27" s="38" t="str">
        <v>Запечённый картофель</v>
      </c>
      <c r="D27" s="38" t="str">
        <v>Гарниры</v>
      </c>
      <c r="E27" s="38" t="str">
        <v>Весы; ножи и доски; GN/противни; кастрюля/чаша; лопатка/ложка; порционный инвентарь</v>
      </c>
      <c r="F27" s="38" t="str">
        <v>HOT-13;CLD-07;WSH-07;WSH-08</v>
      </c>
      <c r="G27" s="38"/>
      <c r="H27" s="38"/>
      <c r="I27" s="38" t="str">
        <v>BLOCKED</v>
      </c>
      <c r="J27" s="38" t="str">
        <v>WSH-07;WSH-08</v>
      </c>
      <c r="K27" s="38" t="str">
        <v>Dedicated/color-coded assignment and changeover remain subject to HOF-0012 safety re-review</v>
      </c>
      <c r="L27" s="38" t="str">
        <v>ESTIMATE</v>
      </c>
      <c r="M27" s="38" t="str">
        <v>EVD-0025;EVD-FS-003;EVD-FS-004</v>
      </c>
      <c r="N27" s="38" t="str">
        <v>GAP-009;GAP-021</v>
      </c>
      <c r="O27" s="38" t="str">
        <v>2026-08-03</v>
      </c>
      <c r="P27" s="38" t="str">
        <v>Operations / Procurement / FoodSafetyAgent</v>
      </c>
      <c r="Q27" s="39" t="str">
        <v>Chef/Operations approve item specification and quantity; Procurement confirms stock/SKU; Food Safety confirms segregation and cleaning</v>
      </c>
    </row>
    <row r="28">
      <c r="A28" s="37" t="str">
        <v>INVSET-024</v>
      </c>
      <c r="B28" s="38" t="str">
        <v>VKM-024</v>
      </c>
      <c r="C28" s="38" t="str">
        <v>Рис жасмин</v>
      </c>
      <c r="D28" s="38" t="str">
        <v>Гарниры</v>
      </c>
      <c r="E28" s="38" t="str">
        <v>Весы; ножи и доски; GN/противни; кастрюля/чаша; лопатка/ложка; порционный инвентарь</v>
      </c>
      <c r="F28" s="38" t="str">
        <v>HOT-13;CLD-07;WSH-07;WSH-08</v>
      </c>
      <c r="G28" s="38"/>
      <c r="H28" s="38"/>
      <c r="I28" s="38" t="str">
        <v>BLOCKED</v>
      </c>
      <c r="J28" s="38" t="str">
        <v>WSH-07;WSH-08</v>
      </c>
      <c r="K28" s="38" t="str">
        <v>Dedicated/color-coded assignment and changeover remain subject to HOF-0012 safety re-review</v>
      </c>
      <c r="L28" s="38" t="str">
        <v>ESTIMATE</v>
      </c>
      <c r="M28" s="38" t="str">
        <v>EVD-0025;EVD-FS-003;EVD-FS-004</v>
      </c>
      <c r="N28" s="38" t="str">
        <v>GAP-009;GAP-021</v>
      </c>
      <c r="O28" s="38" t="str">
        <v>2026-08-03</v>
      </c>
      <c r="P28" s="38" t="str">
        <v>Operations / Procurement / FoodSafetyAgent</v>
      </c>
      <c r="Q28" s="39" t="str">
        <v>Chef/Operations approve item specification and quantity; Procurement confirms stock/SKU; Food Safety confirms segregation and cleaning</v>
      </c>
    </row>
    <row r="29">
      <c r="A29" s="37" t="str">
        <v>INVSET-025</v>
      </c>
      <c r="B29" s="38" t="str">
        <v>VKM-025</v>
      </c>
      <c r="C29" s="38" t="str">
        <v>Горячие овощи</v>
      </c>
      <c r="D29" s="38" t="str">
        <v>Гарниры</v>
      </c>
      <c r="E29" s="38" t="str">
        <v>Весы; ножи и доски; GN/противни; кастрюля/чаша; лопатка/ложка; порционный инвентарь</v>
      </c>
      <c r="F29" s="38" t="str">
        <v>HOT-13;CLD-07;WSH-07;WSH-08</v>
      </c>
      <c r="G29" s="38"/>
      <c r="H29" s="38"/>
      <c r="I29" s="38" t="str">
        <v>BLOCKED</v>
      </c>
      <c r="J29" s="38" t="str">
        <v>WSH-07;WSH-08</v>
      </c>
      <c r="K29" s="38" t="str">
        <v>Dedicated/color-coded assignment and changeover remain subject to HOF-0012 safety re-review</v>
      </c>
      <c r="L29" s="38" t="str">
        <v>ESTIMATE</v>
      </c>
      <c r="M29" s="38" t="str">
        <v>EVD-0025;EVD-FS-003;EVD-FS-004</v>
      </c>
      <c r="N29" s="38" t="str">
        <v>GAP-009;GAP-021</v>
      </c>
      <c r="O29" s="38" t="str">
        <v>2026-08-03</v>
      </c>
      <c r="P29" s="38" t="str">
        <v>Operations / Procurement / FoodSafetyAgent</v>
      </c>
      <c r="Q29" s="39" t="str">
        <v>Chef/Operations approve item specification and quantity; Procurement confirms stock/SKU; Food Safety confirms segregation and cleaning</v>
      </c>
    </row>
    <row r="30">
      <c r="A30" s="37" t="str">
        <v>INVSET-026</v>
      </c>
      <c r="B30" s="38" t="str">
        <v>VKM-029</v>
      </c>
      <c r="C30" s="38" t="str">
        <v>Черничный торт VARSHAVKA</v>
      </c>
      <c r="D30" s="38" t="str">
        <v>Десерты</v>
      </c>
      <c r="E30" s="38" t="str">
        <v>Весы; дежа; венчик/лопатка; формы; противни; решётки; шпатели; нож порционный</v>
      </c>
      <c r="F30" s="38" t="str">
        <v>BAK-04;BAK-06;BAK-07;WSH-07;WSH-08</v>
      </c>
      <c r="G30" s="38"/>
      <c r="H30" s="38"/>
      <c r="I30" s="38" t="str">
        <v>BLOCKED</v>
      </c>
      <c r="J30" s="38" t="str">
        <v>WSH-07;WSH-08</v>
      </c>
      <c r="K30" s="38" t="str">
        <v>Dedicated/color-coded assignment and changeover remain subject to HOF-0012 safety re-review</v>
      </c>
      <c r="L30" s="38" t="str">
        <v>ESTIMATE</v>
      </c>
      <c r="M30" s="38" t="str">
        <v>EVD-0025;EVD-FS-003;EVD-FS-004</v>
      </c>
      <c r="N30" s="38" t="str">
        <v>GAP-009;GAP-021</v>
      </c>
      <c r="O30" s="38" t="str">
        <v>2026-08-03</v>
      </c>
      <c r="P30" s="38" t="str">
        <v>Operations / Procurement / FoodSafetyAgent</v>
      </c>
      <c r="Q30" s="39" t="str">
        <v>Chef/Operations approve item specification and quantity; Procurement confirms stock/SKU; Food Safety confirms segregation and cleaning</v>
      </c>
    </row>
    <row r="31">
      <c r="A31" s="37" t="str">
        <v>INVSET-027</v>
      </c>
      <c r="B31" s="38" t="str">
        <v>VKM-030</v>
      </c>
      <c r="C31" s="38" t="str">
        <v>Кростата с солёной карамелью</v>
      </c>
      <c r="D31" s="38" t="str">
        <v>Десерты</v>
      </c>
      <c r="E31" s="38" t="str">
        <v>Весы; дежа; венчик/лопатка; формы; противни; решётки; шпатели; нож порционный</v>
      </c>
      <c r="F31" s="38" t="str">
        <v>BAK-04;BAK-06;BAK-07;WSH-07;WSH-08</v>
      </c>
      <c r="G31" s="38"/>
      <c r="H31" s="38"/>
      <c r="I31" s="38" t="str">
        <v>BLOCKED</v>
      </c>
      <c r="J31" s="38" t="str">
        <v>WSH-07;WSH-08</v>
      </c>
      <c r="K31" s="38" t="str">
        <v>Dedicated/color-coded assignment and changeover remain subject to HOF-0012 safety re-review</v>
      </c>
      <c r="L31" s="38" t="str">
        <v>ESTIMATE</v>
      </c>
      <c r="M31" s="38" t="str">
        <v>EVD-0025;EVD-FS-003;EVD-FS-004</v>
      </c>
      <c r="N31" s="38" t="str">
        <v>GAP-009;GAP-021</v>
      </c>
      <c r="O31" s="38" t="str">
        <v>2026-08-03</v>
      </c>
      <c r="P31" s="38" t="str">
        <v>Operations / Procurement / FoodSafetyAgent</v>
      </c>
      <c r="Q31" s="39" t="str">
        <v>Chef/Operations approve item specification and quantity; Procurement confirms stock/SKU; Food Safety confirms segregation and cleaning</v>
      </c>
    </row>
    <row r="32">
      <c r="A32" s="37" t="str">
        <v>INVSET-028</v>
      </c>
      <c r="B32" s="38" t="str">
        <v>VKM-031</v>
      </c>
      <c r="C32" s="38" t="str">
        <v>Мадлен</v>
      </c>
      <c r="D32" s="38" t="str">
        <v>Десерты</v>
      </c>
      <c r="E32" s="38" t="str">
        <v>Весы; дежа; венчик/лопатка; формы; противни; решётки; шпатели; нож порционный</v>
      </c>
      <c r="F32" s="38" t="str">
        <v>BAK-04;BAK-06;BAK-07;WSH-07;WSH-08</v>
      </c>
      <c r="G32" s="38"/>
      <c r="H32" s="38"/>
      <c r="I32" s="38" t="str">
        <v>BLOCKED</v>
      </c>
      <c r="J32" s="38" t="str">
        <v>WSH-07;WSH-08</v>
      </c>
      <c r="K32" s="38" t="str">
        <v>Dedicated/color-coded assignment and changeover remain subject to HOF-0012 safety re-review</v>
      </c>
      <c r="L32" s="38" t="str">
        <v>ESTIMATE</v>
      </c>
      <c r="M32" s="38" t="str">
        <v>EVD-0025;EVD-FS-003;EVD-FS-004</v>
      </c>
      <c r="N32" s="38" t="str">
        <v>GAP-009;GAP-021</v>
      </c>
      <c r="O32" s="38" t="str">
        <v>2026-08-03</v>
      </c>
      <c r="P32" s="38" t="str">
        <v>Operations / Procurement / FoodSafetyAgent</v>
      </c>
      <c r="Q32" s="39" t="str">
        <v>Chef/Operations approve item specification and quantity; Procurement confirms stock/SKU; Food Safety confirms segregation and cleaning</v>
      </c>
    </row>
    <row r="33">
      <c r="A33" s="37" t="str">
        <v>INVSET-BF-026</v>
      </c>
      <c r="B33" s="38" t="str">
        <v>VKM-026</v>
      </c>
      <c r="C33" s="38" t="str">
        <v>Яичница, круассан и сыр двух видов</v>
      </c>
      <c r="D33" s="38" t="str">
        <v>Гостиничные завтраки</v>
      </c>
      <c r="E33" s="38" t="str">
        <v>Гастроёмкости/формы; весы; термощуп; таймер; маркировка</v>
      </c>
      <c r="F33" s="38"/>
      <c r="G33" s="38"/>
      <c r="H33" s="38"/>
      <c r="I33" s="38" t="str">
        <v>BLOCKED</v>
      </c>
      <c r="J33" s="38" t="str">
        <v>REQUIRES_SITE_FLOW_CONFIRMATION</v>
      </c>
      <c r="K33" s="38" t="str">
        <v>Dedicated/color-coded assignment requires hazard analysis</v>
      </c>
      <c r="L33" s="38" t="str">
        <v>DRAFT</v>
      </c>
      <c r="M33" s="38"/>
      <c r="N33" s="38" t="str">
        <v>CHEF_DECISION;SITE_FLOW;CROSS_CONTACT</v>
      </c>
      <c r="O33" s="38" t="str">
        <v>2026-08-04</v>
      </c>
      <c r="P33" s="38" t="str">
        <v>Chef / Operations / FoodSafetyAgent</v>
      </c>
      <c r="Q33" s="39" t="str">
        <v>Confirm set and quantity by control cook</v>
      </c>
    </row>
    <row r="34">
      <c r="A34" s="37" t="str">
        <v>INVSET-BF-027</v>
      </c>
      <c r="B34" s="38" t="str">
        <v>VKM-027</v>
      </c>
      <c r="C34" s="38" t="str">
        <v>Омлет, круассан и сыр двух видов</v>
      </c>
      <c r="D34" s="38" t="str">
        <v>Гостиничные завтраки</v>
      </c>
      <c r="E34" s="38" t="str">
        <v>Гастроёмкости/формы; весы; термощуп; таймер; маркировка</v>
      </c>
      <c r="F34" s="38"/>
      <c r="G34" s="38"/>
      <c r="H34" s="38"/>
      <c r="I34" s="38" t="str">
        <v>BLOCKED</v>
      </c>
      <c r="J34" s="38" t="str">
        <v>REQUIRES_SITE_FLOW_CONFIRMATION</v>
      </c>
      <c r="K34" s="38" t="str">
        <v>Dedicated/color-coded assignment requires hazard analysis</v>
      </c>
      <c r="L34" s="38" t="str">
        <v>DRAFT</v>
      </c>
      <c r="M34" s="38"/>
      <c r="N34" s="38" t="str">
        <v>CHEF_DECISION;SITE_FLOW;CROSS_CONTACT</v>
      </c>
      <c r="O34" s="38" t="str">
        <v>2026-08-04</v>
      </c>
      <c r="P34" s="38" t="str">
        <v>Chef / Operations / FoodSafetyAgent</v>
      </c>
      <c r="Q34" s="39" t="str">
        <v>Confirm set and quantity by control cook</v>
      </c>
    </row>
    <row r="35">
      <c r="A35" s="40" t="str">
        <v>INVSET-BF-028</v>
      </c>
      <c r="B35" s="41" t="str">
        <v>VKM-028</v>
      </c>
      <c r="C35" s="41" t="str">
        <v>Овсяная каша, круассан и сыр двух видов</v>
      </c>
      <c r="D35" s="41" t="str">
        <v>Гостиничные завтраки</v>
      </c>
      <c r="E35" s="41" t="str">
        <v>Гастроёмкости/формы; весы; термощуп; таймер; маркировка</v>
      </c>
      <c r="F35" s="41"/>
      <c r="G35" s="41"/>
      <c r="H35" s="41"/>
      <c r="I35" s="41" t="str">
        <v>BLOCKED</v>
      </c>
      <c r="J35" s="41" t="str">
        <v>REQUIRES_SITE_FLOW_CONFIRMATION</v>
      </c>
      <c r="K35" s="41" t="str">
        <v>Dedicated/color-coded assignment requires hazard analysis</v>
      </c>
      <c r="L35" s="41" t="str">
        <v>DRAFT</v>
      </c>
      <c r="M35" s="41"/>
      <c r="N35" s="41" t="str">
        <v>CHEF_DECISION;SITE_FLOW;CROSS_CONTACT</v>
      </c>
      <c r="O35" s="41" t="str">
        <v>2026-08-04</v>
      </c>
      <c r="P35" s="41" t="str">
        <v>Chef / Operations / FoodSafetyAgent</v>
      </c>
      <c r="Q35" s="42" t="str">
        <v>Confirm set and quantity by control cook</v>
      </c>
    </row>
  </sheetData>
  <autoFilter ref="A1:Q35"/>
  <mergeCells>
    <mergeCell ref="A1:Q1"/>
    <mergeCell ref="A2:Q2"/>
  </mergeCells>
  <conditionalFormatting sqref="I5:I35">
    <cfRule type="containsText" dxfId="120" priority="1" operator="containsText" text="BLOCK"/>
    <cfRule type="containsText" dxfId="121" priority="2" operator="containsText" text="DRAFT"/>
    <cfRule type="containsText" dxfId="122" priority="3" operator="containsText" text="PASS"/>
  </conditionalFormatting>
  <conditionalFormatting sqref="L5:L35">
    <cfRule type="containsText" dxfId="123" priority="4" operator="containsText" text="BLOCK"/>
    <cfRule type="containsText" dxfId="124" priority="5" operator="containsText" text="DRAFT"/>
    <cfRule type="containsText" dxfId="125" priority="6" operator="containsText" text="PASS"/>
  </conditionalFormatting>
  <pageMargins left="0.7" right="0.7" top="0.75" bottom="0.75" header="0.3" footer="0.3"/>
  <tableParts count="1">
    <tablePart r:id="Rcdea45cd4ecf4c84"/>
  </tableParts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3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24" hidden="0" customWidth="1"/>
    <col min="23" max="23" width="16" hidden="0" customWidth="1"/>
    <col min="24" max="24" width="38" hidden="0" customWidth="1"/>
    <col min="25" max="25" width="16" hidden="0" customWidth="1"/>
    <col min="26" max="26" width="24" hidden="0" customWidth="1"/>
    <col min="27" max="27" width="16" hidden="0" customWidth="1"/>
  </cols>
  <sheetData>
    <row r="1">
      <c r="A1" s="8" t="str">
        <v>10 — Аллергены и безопасность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 t="str">
        <v>BLOCK 28/28 сохранён; завтраки также NOT APPROVED.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4" ht="50" customHeight="1">
      <c r="A4" s="14" t="str">
        <v>dish_code</v>
      </c>
      <c r="B4" s="14" t="str">
        <v>dish_name</v>
      </c>
      <c r="C4" s="14" t="str">
        <v>version</v>
      </c>
      <c r="D4" s="14" t="str">
        <v>as_of_date</v>
      </c>
      <c r="E4" s="14" t="str">
        <v>source_recipe_version</v>
      </c>
      <c r="F4" s="14" t="str">
        <v>source_recipe_blob_sha</v>
      </c>
      <c r="G4" s="14" t="str">
        <v>PEANUT</v>
      </c>
      <c r="H4" s="14" t="str">
        <v>ASPARTAME</v>
      </c>
      <c r="I4" s="14" t="str">
        <v>MUSTARD</v>
      </c>
      <c r="J4" s="14" t="str">
        <v>SULPHITES</v>
      </c>
      <c r="K4" s="14" t="str">
        <v>GLUTEN</v>
      </c>
      <c r="L4" s="14" t="str">
        <v>SESAME</v>
      </c>
      <c r="M4" s="14" t="str">
        <v>LUPIN</v>
      </c>
      <c r="N4" s="14" t="str">
        <v>MOLLUSC</v>
      </c>
      <c r="O4" s="14" t="str">
        <v>MILK</v>
      </c>
      <c r="P4" s="14" t="str">
        <v>NUTS</v>
      </c>
      <c r="Q4" s="14" t="str">
        <v>CRUSTACEAN</v>
      </c>
      <c r="R4" s="14" t="str">
        <v>FISH</v>
      </c>
      <c r="S4" s="14" t="str">
        <v>CELERY</v>
      </c>
      <c r="T4" s="14" t="str">
        <v>SOY</v>
      </c>
      <c r="U4" s="14" t="str">
        <v>EGG</v>
      </c>
      <c r="V4" s="14" t="str">
        <v>matrix_status</v>
      </c>
      <c r="W4" s="14" t="str">
        <v>evidence_ids</v>
      </c>
      <c r="X4" s="14" t="str">
        <v>method</v>
      </c>
      <c r="Y4" s="14" t="str">
        <v>required_confirmation</v>
      </c>
      <c r="Z4" s="14" t="str">
        <v>cross_contact_status</v>
      </c>
      <c r="AA4" s="14" t="str">
        <v>owner</v>
      </c>
    </row>
    <row r="5">
      <c r="A5" s="34" t="str">
        <v>VKM-001</v>
      </c>
      <c r="B5" s="35" t="str">
        <v>Маргарита</v>
      </c>
      <c r="C5" s="35" t="str">
        <v>0.2.0-REMEDIATION</v>
      </c>
      <c r="D5" s="35" t="str">
        <v>2026-08-03</v>
      </c>
      <c r="E5" s="35" t="str">
        <v>0.1.0-DRAFT</v>
      </c>
      <c r="F5" s="35" t="str">
        <v>c6b22ad5f2812cc989a0d3593f40e21207da8f53</v>
      </c>
      <c r="G5" s="35" t="str">
        <v>UNKNOWN_NOT_ABSENT</v>
      </c>
      <c r="H5" s="35" t="str">
        <v>UNKNOWN_NOT_ABSENT</v>
      </c>
      <c r="I5" s="35" t="str">
        <v>UNKNOWN_NOT_ABSENT</v>
      </c>
      <c r="J5" s="35" t="str">
        <v>UNKNOWN_NOT_ABSENT</v>
      </c>
      <c r="K5" s="35" t="str">
        <v>PRESENT_IN_LOCKED_DRAFT_RECIPE_NOT_SKU_VERIFIED</v>
      </c>
      <c r="L5" s="35" t="str">
        <v>UNKNOWN_NOT_ABSENT</v>
      </c>
      <c r="M5" s="35" t="str">
        <v>UNKNOWN_NOT_ABSENT</v>
      </c>
      <c r="N5" s="35" t="str">
        <v>UNKNOWN_NOT_ABSENT</v>
      </c>
      <c r="O5" s="35" t="str">
        <v>PRESENT_IN_LOCKED_DRAFT_RECIPE_NOT_SKU_VERIFIED</v>
      </c>
      <c r="P5" s="35" t="str">
        <v>UNKNOWN_NOT_ABSENT</v>
      </c>
      <c r="Q5" s="35" t="str">
        <v>UNKNOWN_NOT_ABSENT</v>
      </c>
      <c r="R5" s="35" t="str">
        <v>UNKNOWN_NOT_ABSENT</v>
      </c>
      <c r="S5" s="35" t="str">
        <v>UNKNOWN_NOT_ABSENT</v>
      </c>
      <c r="T5" s="35" t="str">
        <v>UNKNOWN_NOT_ABSENT</v>
      </c>
      <c r="U5" s="35" t="str">
        <v>UNKNOWN_NOT_ABSENT</v>
      </c>
      <c r="V5" s="35" t="str">
        <v>DRAFT_BLOCKED_PENDING_VALIDATION</v>
      </c>
      <c r="W5" s="35" t="str">
        <v>EVD-0012;EVD-FS-002</v>
      </c>
      <c r="X5" s="35" t="str">
        <v>Direct allergen classes derived from the exact locked DRAFT recipe names; compound ingredients/variants remain unknown; no UNKNOWN value means absence</v>
      </c>
      <c r="Y5" s="35" t="str">
        <v>Final recipe including compound ingredients; manufacturer labels/specifications for each SKU; cross-contact statements; production-flow review</v>
      </c>
      <c r="Z5" s="35" t="str">
        <v>UNKNOWN_PENDING_SITE_FLOW_AND_EQUIPMENT_MAP</v>
      </c>
      <c r="AA5" s="36" t="str">
        <v>Procurement; Food Safety/PPK owner</v>
      </c>
    </row>
    <row r="6">
      <c r="A6" s="37" t="str">
        <v>VKM-002</v>
      </c>
      <c r="B6" s="38" t="str">
        <v>Четыре сыра</v>
      </c>
      <c r="C6" s="38" t="str">
        <v>0.2.0-REMEDIATION</v>
      </c>
      <c r="D6" s="38" t="str">
        <v>2026-08-03</v>
      </c>
      <c r="E6" s="38" t="str">
        <v>0.1.0-DRAFT</v>
      </c>
      <c r="F6" s="38" t="str">
        <v>c6b22ad5f2812cc989a0d3593f40e21207da8f53</v>
      </c>
      <c r="G6" s="38" t="str">
        <v>UNKNOWN_NOT_ABSENT</v>
      </c>
      <c r="H6" s="38" t="str">
        <v>UNKNOWN_NOT_ABSENT</v>
      </c>
      <c r="I6" s="38" t="str">
        <v>UNKNOWN_NOT_ABSENT</v>
      </c>
      <c r="J6" s="38" t="str">
        <v>UNKNOWN_NOT_ABSENT</v>
      </c>
      <c r="K6" s="38" t="str">
        <v>PRESENT_IN_LOCKED_DRAFT_RECIPE_NOT_SKU_VERIFIED</v>
      </c>
      <c r="L6" s="38" t="str">
        <v>UNKNOWN_NOT_ABSENT</v>
      </c>
      <c r="M6" s="38" t="str">
        <v>UNKNOWN_NOT_ABSENT</v>
      </c>
      <c r="N6" s="38" t="str">
        <v>UNKNOWN_NOT_ABSENT</v>
      </c>
      <c r="O6" s="38" t="str">
        <v>PRESENT_IN_LOCKED_DRAFT_RECIPE_NOT_SKU_VERIFIED</v>
      </c>
      <c r="P6" s="38" t="str">
        <v>UNKNOWN_NOT_ABSENT</v>
      </c>
      <c r="Q6" s="38" t="str">
        <v>UNKNOWN_NOT_ABSENT</v>
      </c>
      <c r="R6" s="38" t="str">
        <v>UNKNOWN_NOT_ABSENT</v>
      </c>
      <c r="S6" s="38" t="str">
        <v>UNKNOWN_NOT_ABSENT</v>
      </c>
      <c r="T6" s="38" t="str">
        <v>UNKNOWN_NOT_ABSENT</v>
      </c>
      <c r="U6" s="38" t="str">
        <v>UNKNOWN_NOT_ABSENT</v>
      </c>
      <c r="V6" s="38" t="str">
        <v>DRAFT_BLOCKED_PENDING_VALIDATION</v>
      </c>
      <c r="W6" s="38" t="str">
        <v>EVD-0012;EVD-FS-002</v>
      </c>
      <c r="X6" s="38" t="str">
        <v>Direct allergen classes derived from the exact locked DRAFT recipe names; compound ingredients/variants remain unknown; no UNKNOWN value means absence</v>
      </c>
      <c r="Y6" s="38" t="str">
        <v>Final recipe including compound ingredients; manufacturer labels/specifications for each SKU; cross-contact statements; production-flow review</v>
      </c>
      <c r="Z6" s="38" t="str">
        <v>UNKNOWN_PENDING_SITE_FLOW_AND_EQUIPMENT_MAP</v>
      </c>
      <c r="AA6" s="39" t="str">
        <v>Procurement; Food Safety/PPK owner</v>
      </c>
    </row>
    <row r="7">
      <c r="A7" s="37" t="str">
        <v>VKM-003</v>
      </c>
      <c r="B7" s="38" t="str">
        <v>Грибная с ветчиной</v>
      </c>
      <c r="C7" s="38" t="str">
        <v>0.2.0-REMEDIATION</v>
      </c>
      <c r="D7" s="38" t="str">
        <v>2026-08-03</v>
      </c>
      <c r="E7" s="38" t="str">
        <v>0.1.0-DRAFT</v>
      </c>
      <c r="F7" s="38" t="str">
        <v>c6b22ad5f2812cc989a0d3593f40e21207da8f53</v>
      </c>
      <c r="G7" s="38" t="str">
        <v>UNKNOWN_NOT_ABSENT</v>
      </c>
      <c r="H7" s="38" t="str">
        <v>UNKNOWN_NOT_ABSENT</v>
      </c>
      <c r="I7" s="38" t="str">
        <v>UNKNOWN_NOT_ABSENT</v>
      </c>
      <c r="J7" s="38" t="str">
        <v>UNKNOWN_NOT_ABSENT</v>
      </c>
      <c r="K7" s="38" t="str">
        <v>PRESENT_IN_LOCKED_DRAFT_RECIPE_NOT_SKU_VERIFIED</v>
      </c>
      <c r="L7" s="38" t="str">
        <v>UNKNOWN_NOT_ABSENT</v>
      </c>
      <c r="M7" s="38" t="str">
        <v>UNKNOWN_NOT_ABSENT</v>
      </c>
      <c r="N7" s="38" t="str">
        <v>UNKNOWN_NOT_ABSENT</v>
      </c>
      <c r="O7" s="38" t="str">
        <v>PRESENT_IN_LOCKED_DRAFT_RECIPE_NOT_SKU_VERIFIED</v>
      </c>
      <c r="P7" s="38" t="str">
        <v>UNKNOWN_NOT_ABSENT</v>
      </c>
      <c r="Q7" s="38" t="str">
        <v>UNKNOWN_NOT_ABSENT</v>
      </c>
      <c r="R7" s="38" t="str">
        <v>UNKNOWN_NOT_ABSENT</v>
      </c>
      <c r="S7" s="38" t="str">
        <v>UNKNOWN_NOT_ABSENT</v>
      </c>
      <c r="T7" s="38" t="str">
        <v>UNKNOWN_NOT_ABSENT</v>
      </c>
      <c r="U7" s="38" t="str">
        <v>UNKNOWN_NOT_ABSENT</v>
      </c>
      <c r="V7" s="38" t="str">
        <v>DRAFT_BLOCKED_PENDING_VALIDATION</v>
      </c>
      <c r="W7" s="38" t="str">
        <v>EVD-0012;EVD-FS-002</v>
      </c>
      <c r="X7" s="38" t="str">
        <v>Direct allergen classes derived from the exact locked DRAFT recipe names; compound ingredients/variants remain unknown; no UNKNOWN value means absence</v>
      </c>
      <c r="Y7" s="38" t="str">
        <v>Final recipe including compound ingredients; manufacturer labels/specifications for each SKU; cross-contact statements; production-flow review</v>
      </c>
      <c r="Z7" s="38" t="str">
        <v>UNKNOWN_PENDING_SITE_FLOW_AND_EQUIPMENT_MAP</v>
      </c>
      <c r="AA7" s="39" t="str">
        <v>Procurement; Food Safety/PPK owner</v>
      </c>
    </row>
    <row r="8">
      <c r="A8" s="37" t="str">
        <v>VKM-004</v>
      </c>
      <c r="B8" s="38" t="str">
        <v>Пепперони</v>
      </c>
      <c r="C8" s="38" t="str">
        <v>0.2.0-REMEDIATION</v>
      </c>
      <c r="D8" s="38" t="str">
        <v>2026-08-03</v>
      </c>
      <c r="E8" s="38" t="str">
        <v>0.1.0-DRAFT</v>
      </c>
      <c r="F8" s="38" t="str">
        <v>c6b22ad5f2812cc989a0d3593f40e21207da8f53</v>
      </c>
      <c r="G8" s="38" t="str">
        <v>UNKNOWN_NOT_ABSENT</v>
      </c>
      <c r="H8" s="38" t="str">
        <v>UNKNOWN_NOT_ABSENT</v>
      </c>
      <c r="I8" s="38" t="str">
        <v>UNKNOWN_NOT_ABSENT</v>
      </c>
      <c r="J8" s="38" t="str">
        <v>UNKNOWN_NOT_ABSENT</v>
      </c>
      <c r="K8" s="38" t="str">
        <v>PRESENT_IN_LOCKED_DRAFT_RECIPE_NOT_SKU_VERIFIED</v>
      </c>
      <c r="L8" s="38" t="str">
        <v>UNKNOWN_NOT_ABSENT</v>
      </c>
      <c r="M8" s="38" t="str">
        <v>UNKNOWN_NOT_ABSENT</v>
      </c>
      <c r="N8" s="38" t="str">
        <v>UNKNOWN_NOT_ABSENT</v>
      </c>
      <c r="O8" s="38" t="str">
        <v>PRESENT_IN_LOCKED_DRAFT_RECIPE_NOT_SKU_VERIFIED</v>
      </c>
      <c r="P8" s="38" t="str">
        <v>UNKNOWN_NOT_ABSENT</v>
      </c>
      <c r="Q8" s="38" t="str">
        <v>UNKNOWN_NOT_ABSENT</v>
      </c>
      <c r="R8" s="38" t="str">
        <v>UNKNOWN_NOT_ABSENT</v>
      </c>
      <c r="S8" s="38" t="str">
        <v>UNKNOWN_NOT_ABSENT</v>
      </c>
      <c r="T8" s="38" t="str">
        <v>UNKNOWN_NOT_ABSENT</v>
      </c>
      <c r="U8" s="38" t="str">
        <v>UNKNOWN_NOT_ABSENT</v>
      </c>
      <c r="V8" s="38" t="str">
        <v>DRAFT_BLOCKED_PENDING_VALIDATION</v>
      </c>
      <c r="W8" s="38" t="str">
        <v>EVD-0012;EVD-FS-002</v>
      </c>
      <c r="X8" s="38" t="str">
        <v>Direct allergen classes derived from the exact locked DRAFT recipe names; compound ingredients/variants remain unknown; no UNKNOWN value means absence</v>
      </c>
      <c r="Y8" s="38" t="str">
        <v>Final recipe including compound ingredients; manufacturer labels/specifications for each SKU; cross-contact statements; production-flow review</v>
      </c>
      <c r="Z8" s="38" t="str">
        <v>UNKNOWN_PENDING_SITE_FLOW_AND_EQUIPMENT_MAP</v>
      </c>
      <c r="AA8" s="39" t="str">
        <v>Procurement; Food Safety/PPK owner</v>
      </c>
    </row>
    <row r="9">
      <c r="A9" s="37" t="str">
        <v>VKM-005</v>
      </c>
      <c r="B9" s="38" t="str">
        <v>Белая чиабатта</v>
      </c>
      <c r="C9" s="38" t="str">
        <v>0.2.0-REMEDIATION</v>
      </c>
      <c r="D9" s="38" t="str">
        <v>2026-08-03</v>
      </c>
      <c r="E9" s="38" t="str">
        <v>0.1.0-DRAFT</v>
      </c>
      <c r="F9" s="38" t="str">
        <v>c6b22ad5f2812cc989a0d3593f40e21207da8f53</v>
      </c>
      <c r="G9" s="38" t="str">
        <v>UNKNOWN_NOT_ABSENT</v>
      </c>
      <c r="H9" s="38" t="str">
        <v>UNKNOWN_NOT_ABSENT</v>
      </c>
      <c r="I9" s="38" t="str">
        <v>UNKNOWN_NOT_ABSENT</v>
      </c>
      <c r="J9" s="38" t="str">
        <v>UNKNOWN_NOT_ABSENT</v>
      </c>
      <c r="K9" s="38" t="str">
        <v>PRESENT_IN_LOCKED_DRAFT_RECIPE_NOT_SKU_VERIFIED</v>
      </c>
      <c r="L9" s="38" t="str">
        <v>UNKNOWN_NOT_ABSENT</v>
      </c>
      <c r="M9" s="38" t="str">
        <v>UNKNOWN_NOT_ABSENT</v>
      </c>
      <c r="N9" s="38" t="str">
        <v>UNKNOWN_NOT_ABSENT</v>
      </c>
      <c r="O9" s="38" t="str">
        <v>UNKNOWN_NOT_ABSENT</v>
      </c>
      <c r="P9" s="38" t="str">
        <v>UNKNOWN_NOT_ABSENT</v>
      </c>
      <c r="Q9" s="38" t="str">
        <v>UNKNOWN_NOT_ABSENT</v>
      </c>
      <c r="R9" s="38" t="str">
        <v>UNKNOWN_NOT_ABSENT</v>
      </c>
      <c r="S9" s="38" t="str">
        <v>UNKNOWN_NOT_ABSENT</v>
      </c>
      <c r="T9" s="38" t="str">
        <v>UNKNOWN_NOT_ABSENT</v>
      </c>
      <c r="U9" s="38" t="str">
        <v>UNKNOWN_NOT_ABSENT</v>
      </c>
      <c r="V9" s="38" t="str">
        <v>DRAFT_BLOCKED_PENDING_VALIDATION</v>
      </c>
      <c r="W9" s="38" t="str">
        <v>EVD-0012;EVD-FS-002</v>
      </c>
      <c r="X9" s="38" t="str">
        <v>Direct allergen classes derived from the exact locked DRAFT recipe names; compound ingredients/variants remain unknown; no UNKNOWN value means absence</v>
      </c>
      <c r="Y9" s="38" t="str">
        <v>Final recipe including compound ingredients; manufacturer labels/specifications for each SKU; cross-contact statements; production-flow review</v>
      </c>
      <c r="Z9" s="38" t="str">
        <v>UNKNOWN_PENDING_SITE_FLOW_AND_EQUIPMENT_MAP</v>
      </c>
      <c r="AA9" s="39" t="str">
        <v>Procurement; Food Safety/PPK owner</v>
      </c>
    </row>
    <row r="10">
      <c r="A10" s="37" t="str">
        <v>VKM-006</v>
      </c>
      <c r="B10" s="38" t="str">
        <v>Томатная чиабатта</v>
      </c>
      <c r="C10" s="38" t="str">
        <v>0.2.0-REMEDIATION</v>
      </c>
      <c r="D10" s="38" t="str">
        <v>2026-08-03</v>
      </c>
      <c r="E10" s="38" t="str">
        <v>0.1.0-DRAFT</v>
      </c>
      <c r="F10" s="38" t="str">
        <v>c6b22ad5f2812cc989a0d3593f40e21207da8f53</v>
      </c>
      <c r="G10" s="38" t="str">
        <v>UNKNOWN_NOT_ABSENT</v>
      </c>
      <c r="H10" s="38" t="str">
        <v>UNKNOWN_NOT_ABSENT</v>
      </c>
      <c r="I10" s="38" t="str">
        <v>UNKNOWN_NOT_ABSENT</v>
      </c>
      <c r="J10" s="38" t="str">
        <v>UNKNOWN_NOT_ABSENT</v>
      </c>
      <c r="K10" s="38" t="str">
        <v>PRESENT_IN_LOCKED_DRAFT_RECIPE_NOT_SKU_VERIFIED</v>
      </c>
      <c r="L10" s="38" t="str">
        <v>UNKNOWN_NOT_ABSENT</v>
      </c>
      <c r="M10" s="38" t="str">
        <v>UNKNOWN_NOT_ABSENT</v>
      </c>
      <c r="N10" s="38" t="str">
        <v>UNKNOWN_NOT_ABSENT</v>
      </c>
      <c r="O10" s="38" t="str">
        <v>UNKNOWN_NOT_ABSENT</v>
      </c>
      <c r="P10" s="38" t="str">
        <v>UNKNOWN_NOT_ABSENT</v>
      </c>
      <c r="Q10" s="38" t="str">
        <v>UNKNOWN_NOT_ABSENT</v>
      </c>
      <c r="R10" s="38" t="str">
        <v>UNKNOWN_NOT_ABSENT</v>
      </c>
      <c r="S10" s="38" t="str">
        <v>UNKNOWN_NOT_ABSENT</v>
      </c>
      <c r="T10" s="38" t="str">
        <v>UNKNOWN_NOT_ABSENT</v>
      </c>
      <c r="U10" s="38" t="str">
        <v>UNKNOWN_NOT_ABSENT</v>
      </c>
      <c r="V10" s="38" t="str">
        <v>DRAFT_BLOCKED_PENDING_VALIDATION</v>
      </c>
      <c r="W10" s="38" t="str">
        <v>EVD-0012;EVD-FS-002</v>
      </c>
      <c r="X10" s="38" t="str">
        <v>Direct allergen classes derived from the exact locked DRAFT recipe names; compound ingredients/variants remain unknown; no UNKNOWN value means absence</v>
      </c>
      <c r="Y10" s="38" t="str">
        <v>Final recipe including compound ingredients; manufacturer labels/specifications for each SKU; cross-contact statements; production-flow review</v>
      </c>
      <c r="Z10" s="38" t="str">
        <v>UNKNOWN_PENDING_SITE_FLOW_AND_EQUIPMENT_MAP</v>
      </c>
      <c r="AA10" s="39" t="str">
        <v>Procurement; Food Safety/PPK owner</v>
      </c>
    </row>
    <row r="11">
      <c r="A11" s="37" t="str">
        <v>VKM-007</v>
      </c>
      <c r="B11" s="38" t="str">
        <v>Бородинский хлеб</v>
      </c>
      <c r="C11" s="38" t="str">
        <v>0.2.0-REMEDIATION</v>
      </c>
      <c r="D11" s="38" t="str">
        <v>2026-08-03</v>
      </c>
      <c r="E11" s="38" t="str">
        <v>0.1.0-DRAFT</v>
      </c>
      <c r="F11" s="38" t="str">
        <v>c6b22ad5f2812cc989a0d3593f40e21207da8f53</v>
      </c>
      <c r="G11" s="38" t="str">
        <v>UNKNOWN_NOT_ABSENT</v>
      </c>
      <c r="H11" s="38" t="str">
        <v>UNKNOWN_NOT_ABSENT</v>
      </c>
      <c r="I11" s="38" t="str">
        <v>UNKNOWN_NOT_ABSENT</v>
      </c>
      <c r="J11" s="38" t="str">
        <v>UNKNOWN_NOT_ABSENT</v>
      </c>
      <c r="K11" s="38" t="str">
        <v>PRESENT_IN_LOCKED_DRAFT_RECIPE_NOT_SKU_VERIFIED</v>
      </c>
      <c r="L11" s="38" t="str">
        <v>UNKNOWN_NOT_ABSENT</v>
      </c>
      <c r="M11" s="38" t="str">
        <v>UNKNOWN_NOT_ABSENT</v>
      </c>
      <c r="N11" s="38" t="str">
        <v>UNKNOWN_NOT_ABSENT</v>
      </c>
      <c r="O11" s="38" t="str">
        <v>UNKNOWN_NOT_ABSENT</v>
      </c>
      <c r="P11" s="38" t="str">
        <v>UNKNOWN_NOT_ABSENT</v>
      </c>
      <c r="Q11" s="38" t="str">
        <v>UNKNOWN_NOT_ABSENT</v>
      </c>
      <c r="R11" s="38" t="str">
        <v>UNKNOWN_NOT_ABSENT</v>
      </c>
      <c r="S11" s="38" t="str">
        <v>UNKNOWN_NOT_ABSENT</v>
      </c>
      <c r="T11" s="38" t="str">
        <v>UNKNOWN_NOT_ABSENT</v>
      </c>
      <c r="U11" s="38" t="str">
        <v>UNKNOWN_NOT_ABSENT</v>
      </c>
      <c r="V11" s="38" t="str">
        <v>DRAFT_BLOCKED_PENDING_VALIDATION</v>
      </c>
      <c r="W11" s="38" t="str">
        <v>EVD-0012;EVD-FS-002</v>
      </c>
      <c r="X11" s="38" t="str">
        <v>Direct allergen classes derived from the exact locked DRAFT recipe names; compound ingredients/variants remain unknown; no UNKNOWN value means absence</v>
      </c>
      <c r="Y11" s="38" t="str">
        <v>Final recipe including compound ingredients; manufacturer labels/specifications for each SKU; cross-contact statements; production-flow review</v>
      </c>
      <c r="Z11" s="38" t="str">
        <v>UNKNOWN_PENDING_SITE_FLOW_AND_EQUIPMENT_MAP</v>
      </c>
      <c r="AA11" s="39" t="str">
        <v>Procurement; Food Safety/PPK owner</v>
      </c>
    </row>
    <row r="12">
      <c r="A12" s="37" t="str">
        <v>VKM-008</v>
      </c>
      <c r="B12" s="38" t="str">
        <v>Бриошь</v>
      </c>
      <c r="C12" s="38" t="str">
        <v>0.2.0-REMEDIATION</v>
      </c>
      <c r="D12" s="38" t="str">
        <v>2026-08-03</v>
      </c>
      <c r="E12" s="38" t="str">
        <v>0.1.0-DRAFT</v>
      </c>
      <c r="F12" s="38" t="str">
        <v>c6b22ad5f2812cc989a0d3593f40e21207da8f53</v>
      </c>
      <c r="G12" s="38" t="str">
        <v>UNKNOWN_NOT_ABSENT</v>
      </c>
      <c r="H12" s="38" t="str">
        <v>UNKNOWN_NOT_ABSENT</v>
      </c>
      <c r="I12" s="38" t="str">
        <v>UNKNOWN_NOT_ABSENT</v>
      </c>
      <c r="J12" s="38" t="str">
        <v>UNKNOWN_NOT_ABSENT</v>
      </c>
      <c r="K12" s="38" t="str">
        <v>PRESENT_IN_LOCKED_DRAFT_RECIPE_NOT_SKU_VERIFIED</v>
      </c>
      <c r="L12" s="38" t="str">
        <v>UNKNOWN_NOT_ABSENT</v>
      </c>
      <c r="M12" s="38" t="str">
        <v>UNKNOWN_NOT_ABSENT</v>
      </c>
      <c r="N12" s="38" t="str">
        <v>UNKNOWN_NOT_ABSENT</v>
      </c>
      <c r="O12" s="38" t="str">
        <v>PRESENT_IN_LOCKED_DRAFT_RECIPE_NOT_SKU_VERIFIED</v>
      </c>
      <c r="P12" s="38" t="str">
        <v>UNKNOWN_NOT_ABSENT</v>
      </c>
      <c r="Q12" s="38" t="str">
        <v>UNKNOWN_NOT_ABSENT</v>
      </c>
      <c r="R12" s="38" t="str">
        <v>UNKNOWN_NOT_ABSENT</v>
      </c>
      <c r="S12" s="38" t="str">
        <v>UNKNOWN_NOT_ABSENT</v>
      </c>
      <c r="T12" s="38" t="str">
        <v>UNKNOWN_NOT_ABSENT</v>
      </c>
      <c r="U12" s="38" t="str">
        <v>PRESENT_IN_LOCKED_DRAFT_RECIPE_NOT_SKU_VERIFIED</v>
      </c>
      <c r="V12" s="38" t="str">
        <v>DRAFT_BLOCKED_PENDING_VALIDATION</v>
      </c>
      <c r="W12" s="38" t="str">
        <v>EVD-0012;EVD-FS-002</v>
      </c>
      <c r="X12" s="38" t="str">
        <v>Direct allergen classes derived from the exact locked DRAFT recipe names; compound ingredients/variants remain unknown; no UNKNOWN value means absence</v>
      </c>
      <c r="Y12" s="38" t="str">
        <v>Final recipe including compound ingredients; manufacturer labels/specifications for each SKU; cross-contact statements; production-flow review</v>
      </c>
      <c r="Z12" s="38" t="str">
        <v>UNKNOWN_PENDING_SITE_FLOW_AND_EQUIPMENT_MAP</v>
      </c>
      <c r="AA12" s="39" t="str">
        <v>Procurement; Food Safety/PPK owner</v>
      </c>
    </row>
    <row r="13">
      <c r="A13" s="37" t="str">
        <v>VKM-009</v>
      </c>
      <c r="B13" s="38" t="str">
        <v>Буррата с томатами</v>
      </c>
      <c r="C13" s="38" t="str">
        <v>0.2.0-REMEDIATION</v>
      </c>
      <c r="D13" s="38" t="str">
        <v>2026-08-03</v>
      </c>
      <c r="E13" s="38" t="str">
        <v>0.1.0-DRAFT</v>
      </c>
      <c r="F13" s="38" t="str">
        <v>c6b22ad5f2812cc989a0d3593f40e21207da8f53</v>
      </c>
      <c r="G13" s="38" t="str">
        <v>UNKNOWN_NOT_ABSENT</v>
      </c>
      <c r="H13" s="38" t="str">
        <v>UNKNOWN_NOT_ABSENT</v>
      </c>
      <c r="I13" s="38" t="str">
        <v>UNKNOWN_NOT_ABSENT</v>
      </c>
      <c r="J13" s="38" t="str">
        <v>UNKNOWN_NOT_ABSENT</v>
      </c>
      <c r="K13" s="38" t="str">
        <v>UNKNOWN_NOT_ABSENT</v>
      </c>
      <c r="L13" s="38" t="str">
        <v>UNKNOWN_NOT_ABSENT</v>
      </c>
      <c r="M13" s="38" t="str">
        <v>UNKNOWN_NOT_ABSENT</v>
      </c>
      <c r="N13" s="38" t="str">
        <v>UNKNOWN_NOT_ABSENT</v>
      </c>
      <c r="O13" s="38" t="str">
        <v>PRESENT_IN_LOCKED_DRAFT_RECIPE_NOT_SKU_VERIFIED</v>
      </c>
      <c r="P13" s="38" t="str">
        <v>UNKNOWN_NOT_ABSENT</v>
      </c>
      <c r="Q13" s="38" t="str">
        <v>UNKNOWN_NOT_ABSENT</v>
      </c>
      <c r="R13" s="38" t="str">
        <v>UNKNOWN_NOT_ABSENT</v>
      </c>
      <c r="S13" s="38" t="str">
        <v>UNKNOWN_NOT_ABSENT</v>
      </c>
      <c r="T13" s="38" t="str">
        <v>UNKNOWN_NOT_ABSENT</v>
      </c>
      <c r="U13" s="38" t="str">
        <v>UNKNOWN_NOT_ABSENT</v>
      </c>
      <c r="V13" s="38" t="str">
        <v>DRAFT_BLOCKED_PENDING_VALIDATION</v>
      </c>
      <c r="W13" s="38" t="str">
        <v>EVD-0012;EVD-FS-002</v>
      </c>
      <c r="X13" s="38" t="str">
        <v>Direct allergen classes derived from the exact locked DRAFT recipe names; compound ingredients/variants remain unknown; no UNKNOWN value means absence</v>
      </c>
      <c r="Y13" s="38" t="str">
        <v>Final recipe including compound ingredients; manufacturer labels/specifications for each SKU; cross-contact statements; production-flow review</v>
      </c>
      <c r="Z13" s="38" t="str">
        <v>UNKNOWN_PENDING_SITE_FLOW_AND_EQUIPMENT_MAP</v>
      </c>
      <c r="AA13" s="39" t="str">
        <v>Procurement; Food Safety/PPK owner</v>
      </c>
    </row>
    <row r="14">
      <c r="A14" s="37" t="str">
        <v>VKM-010</v>
      </c>
      <c r="B14" s="38" t="str">
        <v>Микс-салат с креветками и яблоком</v>
      </c>
      <c r="C14" s="38" t="str">
        <v>0.2.0-REMEDIATION</v>
      </c>
      <c r="D14" s="38" t="str">
        <v>2026-08-03</v>
      </c>
      <c r="E14" s="38" t="str">
        <v>0.1.0-DRAFT</v>
      </c>
      <c r="F14" s="38" t="str">
        <v>c6b22ad5f2812cc989a0d3593f40e21207da8f53</v>
      </c>
      <c r="G14" s="38" t="str">
        <v>UNKNOWN_NOT_ABSENT</v>
      </c>
      <c r="H14" s="38" t="str">
        <v>UNKNOWN_NOT_ABSENT</v>
      </c>
      <c r="I14" s="38" t="str">
        <v>PRESENT_IN_LOCKED_DRAFT_RECIPE_NOT_SKU_VERIFIED</v>
      </c>
      <c r="J14" s="38" t="str">
        <v>UNKNOWN_NOT_ABSENT</v>
      </c>
      <c r="K14" s="38" t="str">
        <v>UNKNOWN_NOT_ABSENT</v>
      </c>
      <c r="L14" s="38" t="str">
        <v>POSSIBLE_DRAFT_VARIANT_UNRESOLVED</v>
      </c>
      <c r="M14" s="38" t="str">
        <v>UNKNOWN_NOT_ABSENT</v>
      </c>
      <c r="N14" s="38" t="str">
        <v>UNKNOWN_NOT_ABSENT</v>
      </c>
      <c r="O14" s="38" t="str">
        <v>UNKNOWN_NOT_ABSENT</v>
      </c>
      <c r="P14" s="38" t="str">
        <v>POSSIBLE_DRAFT_VARIANT_UNRESOLVED</v>
      </c>
      <c r="Q14" s="38" t="str">
        <v>PRESENT_IN_LOCKED_DRAFT_RECIPE_NOT_SKU_VERIFIED</v>
      </c>
      <c r="R14" s="38" t="str">
        <v>UNKNOWN_NOT_ABSENT</v>
      </c>
      <c r="S14" s="38" t="str">
        <v>UNKNOWN_NOT_ABSENT</v>
      </c>
      <c r="T14" s="38" t="str">
        <v>UNKNOWN_NOT_ABSENT</v>
      </c>
      <c r="U14" s="38" t="str">
        <v>UNKNOWN_NOT_ABSENT</v>
      </c>
      <c r="V14" s="38" t="str">
        <v>DRAFT_BLOCKED_PENDING_VALIDATION</v>
      </c>
      <c r="W14" s="38" t="str">
        <v>EVD-0012;EVD-FS-002</v>
      </c>
      <c r="X14" s="38" t="str">
        <v>Direct allergen classes derived from the exact locked DRAFT recipe names; compound ingredients/variants remain unknown; no UNKNOWN value means absence</v>
      </c>
      <c r="Y14" s="38" t="str">
        <v>Final recipe including compound ingredients; manufacturer labels/specifications for each SKU; cross-contact statements; production-flow review</v>
      </c>
      <c r="Z14" s="38" t="str">
        <v>UNKNOWN_PENDING_SITE_FLOW_AND_EQUIPMENT_MAP</v>
      </c>
      <c r="AA14" s="39" t="str">
        <v>Procurement; Food Safety/PPK owner</v>
      </c>
    </row>
    <row r="15">
      <c r="A15" s="37" t="str">
        <v>VKM-011</v>
      </c>
      <c r="B15" s="38" t="str">
        <v>Греческий</v>
      </c>
      <c r="C15" s="38" t="str">
        <v>0.2.0-REMEDIATION</v>
      </c>
      <c r="D15" s="38" t="str">
        <v>2026-08-03</v>
      </c>
      <c r="E15" s="38" t="str">
        <v>0.1.0-DRAFT</v>
      </c>
      <c r="F15" s="38" t="str">
        <v>c6b22ad5f2812cc989a0d3593f40e21207da8f53</v>
      </c>
      <c r="G15" s="38" t="str">
        <v>UNKNOWN_NOT_ABSENT</v>
      </c>
      <c r="H15" s="38" t="str">
        <v>UNKNOWN_NOT_ABSENT</v>
      </c>
      <c r="I15" s="38" t="str">
        <v>UNKNOWN_NOT_ABSENT</v>
      </c>
      <c r="J15" s="38" t="str">
        <v>UNKNOWN_NOT_ABSENT</v>
      </c>
      <c r="K15" s="38" t="str">
        <v>UNKNOWN_NOT_ABSENT</v>
      </c>
      <c r="L15" s="38" t="str">
        <v>UNKNOWN_NOT_ABSENT</v>
      </c>
      <c r="M15" s="38" t="str">
        <v>UNKNOWN_NOT_ABSENT</v>
      </c>
      <c r="N15" s="38" t="str">
        <v>UNKNOWN_NOT_ABSENT</v>
      </c>
      <c r="O15" s="38" t="str">
        <v>PRESENT_IN_LOCKED_DRAFT_RECIPE_NOT_SKU_VERIFIED</v>
      </c>
      <c r="P15" s="38" t="str">
        <v>UNKNOWN_NOT_ABSENT</v>
      </c>
      <c r="Q15" s="38" t="str">
        <v>UNKNOWN_NOT_ABSENT</v>
      </c>
      <c r="R15" s="38" t="str">
        <v>UNKNOWN_NOT_ABSENT</v>
      </c>
      <c r="S15" s="38" t="str">
        <v>UNKNOWN_NOT_ABSENT</v>
      </c>
      <c r="T15" s="38" t="str">
        <v>UNKNOWN_NOT_ABSENT</v>
      </c>
      <c r="U15" s="38" t="str">
        <v>UNKNOWN_NOT_ABSENT</v>
      </c>
      <c r="V15" s="38" t="str">
        <v>DRAFT_BLOCKED_PENDING_VALIDATION</v>
      </c>
      <c r="W15" s="38" t="str">
        <v>EVD-0012;EVD-FS-002</v>
      </c>
      <c r="X15" s="38" t="str">
        <v>Direct allergen classes derived from the exact locked DRAFT recipe names; compound ingredients/variants remain unknown; no UNKNOWN value means absence</v>
      </c>
      <c r="Y15" s="38" t="str">
        <v>Final recipe including compound ingredients; manufacturer labels/specifications for each SKU; cross-contact statements; production-flow review</v>
      </c>
      <c r="Z15" s="38" t="str">
        <v>UNKNOWN_PENDING_SITE_FLOW_AND_EQUIPMENT_MAP</v>
      </c>
      <c r="AA15" s="39" t="str">
        <v>Procurement; Food Safety/PPK owner</v>
      </c>
    </row>
    <row r="16">
      <c r="A16" s="37" t="str">
        <v>VKM-012</v>
      </c>
      <c r="B16" s="38" t="str">
        <v>Винегрет</v>
      </c>
      <c r="C16" s="38" t="str">
        <v>0.2.0-REMEDIATION</v>
      </c>
      <c r="D16" s="38" t="str">
        <v>2026-08-03</v>
      </c>
      <c r="E16" s="38" t="str">
        <v>0.1.0-DRAFT</v>
      </c>
      <c r="F16" s="38" t="str">
        <v>c6b22ad5f2812cc989a0d3593f40e21207da8f53</v>
      </c>
      <c r="G16" s="38" t="str">
        <v>UNKNOWN_NOT_ABSENT</v>
      </c>
      <c r="H16" s="38" t="str">
        <v>UNKNOWN_NOT_ABSENT</v>
      </c>
      <c r="I16" s="38" t="str">
        <v>UNKNOWN_NOT_ABSENT</v>
      </c>
      <c r="J16" s="38" t="str">
        <v>UNKNOWN_NOT_ABSENT</v>
      </c>
      <c r="K16" s="38" t="str">
        <v>UNKNOWN_NOT_ABSENT</v>
      </c>
      <c r="L16" s="38" t="str">
        <v>UNKNOWN_NOT_ABSENT</v>
      </c>
      <c r="M16" s="38" t="str">
        <v>UNKNOWN_NOT_ABSENT</v>
      </c>
      <c r="N16" s="38" t="str">
        <v>UNKNOWN_NOT_ABSENT</v>
      </c>
      <c r="O16" s="38" t="str">
        <v>UNKNOWN_NOT_ABSENT</v>
      </c>
      <c r="P16" s="38" t="str">
        <v>UNKNOWN_NOT_ABSENT</v>
      </c>
      <c r="Q16" s="38" t="str">
        <v>UNKNOWN_NOT_ABSENT</v>
      </c>
      <c r="R16" s="38" t="str">
        <v>UNKNOWN_NOT_ABSENT</v>
      </c>
      <c r="S16" s="38" t="str">
        <v>UNKNOWN_NOT_ABSENT</v>
      </c>
      <c r="T16" s="38" t="str">
        <v>UNKNOWN_NOT_ABSENT</v>
      </c>
      <c r="U16" s="38" t="str">
        <v>UNKNOWN_NOT_ABSENT</v>
      </c>
      <c r="V16" s="38" t="str">
        <v>DRAFT_BLOCKED_PENDING_VALIDATION</v>
      </c>
      <c r="W16" s="38" t="str">
        <v>EVD-0012;EVD-FS-002</v>
      </c>
      <c r="X16" s="38" t="str">
        <v>Direct allergen classes derived from the exact locked DRAFT recipe names; compound ingredients/variants remain unknown; no UNKNOWN value means absence</v>
      </c>
      <c r="Y16" s="38" t="str">
        <v>Final recipe including compound ingredients; manufacturer labels/specifications for each SKU; cross-contact statements; production-flow review</v>
      </c>
      <c r="Z16" s="38" t="str">
        <v>UNKNOWN_PENDING_SITE_FLOW_AND_EQUIPMENT_MAP</v>
      </c>
      <c r="AA16" s="39" t="str">
        <v>Procurement; Food Safety/PPK owner</v>
      </c>
    </row>
    <row r="17">
      <c r="A17" s="37" t="str">
        <v>VKM-013</v>
      </c>
      <c r="B17" s="38" t="str">
        <v>Слабосолёный лосось</v>
      </c>
      <c r="C17" s="38" t="str">
        <v>0.2.0-REMEDIATION</v>
      </c>
      <c r="D17" s="38" t="str">
        <v>2026-08-03</v>
      </c>
      <c r="E17" s="38" t="str">
        <v>0.1.0-DRAFT</v>
      </c>
      <c r="F17" s="38" t="str">
        <v>c6b22ad5f2812cc989a0d3593f40e21207da8f53</v>
      </c>
      <c r="G17" s="38" t="str">
        <v>UNKNOWN_NOT_ABSENT</v>
      </c>
      <c r="H17" s="38" t="str">
        <v>UNKNOWN_NOT_ABSENT</v>
      </c>
      <c r="I17" s="38" t="str">
        <v>UNKNOWN_NOT_ABSENT</v>
      </c>
      <c r="J17" s="38" t="str">
        <v>UNKNOWN_NOT_ABSENT</v>
      </c>
      <c r="K17" s="38" t="str">
        <v>UNKNOWN_NOT_ABSENT</v>
      </c>
      <c r="L17" s="38" t="str">
        <v>UNKNOWN_NOT_ABSENT</v>
      </c>
      <c r="M17" s="38" t="str">
        <v>UNKNOWN_NOT_ABSENT</v>
      </c>
      <c r="N17" s="38" t="str">
        <v>UNKNOWN_NOT_ABSENT</v>
      </c>
      <c r="O17" s="38" t="str">
        <v>UNKNOWN_NOT_ABSENT</v>
      </c>
      <c r="P17" s="38" t="str">
        <v>UNKNOWN_NOT_ABSENT</v>
      </c>
      <c r="Q17" s="38" t="str">
        <v>UNKNOWN_NOT_ABSENT</v>
      </c>
      <c r="R17" s="38" t="str">
        <v>PRESENT_IN_LOCKED_DRAFT_RECIPE_NOT_SKU_VERIFIED</v>
      </c>
      <c r="S17" s="38" t="str">
        <v>UNKNOWN_NOT_ABSENT</v>
      </c>
      <c r="T17" s="38" t="str">
        <v>UNKNOWN_NOT_ABSENT</v>
      </c>
      <c r="U17" s="38" t="str">
        <v>UNKNOWN_NOT_ABSENT</v>
      </c>
      <c r="V17" s="38" t="str">
        <v>DRAFT_BLOCKED_PENDING_VALIDATION</v>
      </c>
      <c r="W17" s="38" t="str">
        <v>EVD-0012;EVD-FS-002</v>
      </c>
      <c r="X17" s="38" t="str">
        <v>Direct allergen classes derived from the exact locked DRAFT recipe names; compound ingredients/variants remain unknown; no UNKNOWN value means absence</v>
      </c>
      <c r="Y17" s="38" t="str">
        <v>Final recipe including compound ingredients; manufacturer labels/specifications for each SKU; cross-contact statements; production-flow review</v>
      </c>
      <c r="Z17" s="38" t="str">
        <v>UNKNOWN_PENDING_SITE_FLOW_AND_EQUIPMENT_MAP</v>
      </c>
      <c r="AA17" s="39" t="str">
        <v>Procurement; Food Safety/PPK owner</v>
      </c>
    </row>
    <row r="18">
      <c r="A18" s="37" t="str">
        <v>VKM-014</v>
      </c>
      <c r="B18" s="38" t="str">
        <v>Сельдь с запечённым картофелем</v>
      </c>
      <c r="C18" s="38" t="str">
        <v>0.2.0-REMEDIATION</v>
      </c>
      <c r="D18" s="38" t="str">
        <v>2026-08-03</v>
      </c>
      <c r="E18" s="38" t="str">
        <v>0.1.0-DRAFT</v>
      </c>
      <c r="F18" s="38" t="str">
        <v>c6b22ad5f2812cc989a0d3593f40e21207da8f53</v>
      </c>
      <c r="G18" s="38" t="str">
        <v>UNKNOWN_NOT_ABSENT</v>
      </c>
      <c r="H18" s="38" t="str">
        <v>UNKNOWN_NOT_ABSENT</v>
      </c>
      <c r="I18" s="38" t="str">
        <v>UNKNOWN_NOT_ABSENT</v>
      </c>
      <c r="J18" s="38" t="str">
        <v>UNKNOWN_NOT_ABSENT</v>
      </c>
      <c r="K18" s="38" t="str">
        <v>UNKNOWN_NOT_ABSENT</v>
      </c>
      <c r="L18" s="38" t="str">
        <v>UNKNOWN_NOT_ABSENT</v>
      </c>
      <c r="M18" s="38" t="str">
        <v>UNKNOWN_NOT_ABSENT</v>
      </c>
      <c r="N18" s="38" t="str">
        <v>UNKNOWN_NOT_ABSENT</v>
      </c>
      <c r="O18" s="38" t="str">
        <v>UNKNOWN_NOT_ABSENT</v>
      </c>
      <c r="P18" s="38" t="str">
        <v>UNKNOWN_NOT_ABSENT</v>
      </c>
      <c r="Q18" s="38" t="str">
        <v>UNKNOWN_NOT_ABSENT</v>
      </c>
      <c r="R18" s="38" t="str">
        <v>PRESENT_IN_LOCKED_DRAFT_RECIPE_NOT_SKU_VERIFIED</v>
      </c>
      <c r="S18" s="38" t="str">
        <v>UNKNOWN_NOT_ABSENT</v>
      </c>
      <c r="T18" s="38" t="str">
        <v>UNKNOWN_NOT_ABSENT</v>
      </c>
      <c r="U18" s="38" t="str">
        <v>UNKNOWN_NOT_ABSENT</v>
      </c>
      <c r="V18" s="38" t="str">
        <v>DRAFT_BLOCKED_PENDING_VALIDATION</v>
      </c>
      <c r="W18" s="38" t="str">
        <v>EVD-0012;EVD-FS-002</v>
      </c>
      <c r="X18" s="38" t="str">
        <v>Direct allergen classes derived from the exact locked DRAFT recipe names; compound ingredients/variants remain unknown; no UNKNOWN value means absence</v>
      </c>
      <c r="Y18" s="38" t="str">
        <v>Final recipe including compound ingredients; manufacturer labels/specifications for each SKU; cross-contact statements; production-flow review</v>
      </c>
      <c r="Z18" s="38" t="str">
        <v>UNKNOWN_PENDING_SITE_FLOW_AND_EQUIPMENT_MAP</v>
      </c>
      <c r="AA18" s="39" t="str">
        <v>Procurement; Food Safety/PPK owner</v>
      </c>
    </row>
    <row r="19">
      <c r="A19" s="37" t="str">
        <v>VKM-015</v>
      </c>
      <c r="B19" s="38" t="str">
        <v>Оливки и маслины</v>
      </c>
      <c r="C19" s="38" t="str">
        <v>0.2.0-REMEDIATION</v>
      </c>
      <c r="D19" s="38" t="str">
        <v>2026-08-03</v>
      </c>
      <c r="E19" s="38" t="str">
        <v>0.1.0-DRAFT</v>
      </c>
      <c r="F19" s="38" t="str">
        <v>c6b22ad5f2812cc989a0d3593f40e21207da8f53</v>
      </c>
      <c r="G19" s="38" t="str">
        <v>UNKNOWN_NOT_ABSENT</v>
      </c>
      <c r="H19" s="38" t="str">
        <v>UNKNOWN_NOT_ABSENT</v>
      </c>
      <c r="I19" s="38" t="str">
        <v>UNKNOWN_NOT_ABSENT</v>
      </c>
      <c r="J19" s="38" t="str">
        <v>UNKNOWN_NOT_ABSENT</v>
      </c>
      <c r="K19" s="38" t="str">
        <v>UNKNOWN_NOT_ABSENT</v>
      </c>
      <c r="L19" s="38" t="str">
        <v>UNKNOWN_NOT_ABSENT</v>
      </c>
      <c r="M19" s="38" t="str">
        <v>UNKNOWN_NOT_ABSENT</v>
      </c>
      <c r="N19" s="38" t="str">
        <v>UNKNOWN_NOT_ABSENT</v>
      </c>
      <c r="O19" s="38" t="str">
        <v>UNKNOWN_NOT_ABSENT</v>
      </c>
      <c r="P19" s="38" t="str">
        <v>UNKNOWN_NOT_ABSENT</v>
      </c>
      <c r="Q19" s="38" t="str">
        <v>UNKNOWN_NOT_ABSENT</v>
      </c>
      <c r="R19" s="38" t="str">
        <v>UNKNOWN_NOT_ABSENT</v>
      </c>
      <c r="S19" s="38" t="str">
        <v>UNKNOWN_NOT_ABSENT</v>
      </c>
      <c r="T19" s="38" t="str">
        <v>UNKNOWN_NOT_ABSENT</v>
      </c>
      <c r="U19" s="38" t="str">
        <v>UNKNOWN_NOT_ABSENT</v>
      </c>
      <c r="V19" s="38" t="str">
        <v>DRAFT_BLOCKED_PENDING_VALIDATION</v>
      </c>
      <c r="W19" s="38" t="str">
        <v>EVD-0012;EVD-FS-002</v>
      </c>
      <c r="X19" s="38" t="str">
        <v>Direct allergen classes derived from the exact locked DRAFT recipe names; compound ingredients/variants remain unknown; no UNKNOWN value means absence</v>
      </c>
      <c r="Y19" s="38" t="str">
        <v>Final recipe including compound ingredients; manufacturer labels/specifications for each SKU; cross-contact statements; production-flow review</v>
      </c>
      <c r="Z19" s="38" t="str">
        <v>UNKNOWN_PENDING_SITE_FLOW_AND_EQUIPMENT_MAP</v>
      </c>
      <c r="AA19" s="39" t="str">
        <v>Procurement; Food Safety/PPK owner</v>
      </c>
    </row>
    <row r="20">
      <c r="A20" s="37" t="str">
        <v>VKM-016</v>
      </c>
      <c r="B20" s="38" t="str">
        <v>Ассорти фирменных солений</v>
      </c>
      <c r="C20" s="38" t="str">
        <v>0.2.0-REMEDIATION</v>
      </c>
      <c r="D20" s="38" t="str">
        <v>2026-08-03</v>
      </c>
      <c r="E20" s="38" t="str">
        <v>0.1.0-DRAFT</v>
      </c>
      <c r="F20" s="38" t="str">
        <v>c6b22ad5f2812cc989a0d3593f40e21207da8f53</v>
      </c>
      <c r="G20" s="38" t="str">
        <v>UNKNOWN_NOT_ABSENT</v>
      </c>
      <c r="H20" s="38" t="str">
        <v>UNKNOWN_NOT_ABSENT</v>
      </c>
      <c r="I20" s="38" t="str">
        <v>UNKNOWN_NOT_ABSENT</v>
      </c>
      <c r="J20" s="38" t="str">
        <v>UNKNOWN_NOT_ABSENT</v>
      </c>
      <c r="K20" s="38" t="str">
        <v>UNKNOWN_NOT_ABSENT</v>
      </c>
      <c r="L20" s="38" t="str">
        <v>UNKNOWN_NOT_ABSENT</v>
      </c>
      <c r="M20" s="38" t="str">
        <v>UNKNOWN_NOT_ABSENT</v>
      </c>
      <c r="N20" s="38" t="str">
        <v>UNKNOWN_NOT_ABSENT</v>
      </c>
      <c r="O20" s="38" t="str">
        <v>UNKNOWN_NOT_ABSENT</v>
      </c>
      <c r="P20" s="38" t="str">
        <v>UNKNOWN_NOT_ABSENT</v>
      </c>
      <c r="Q20" s="38" t="str">
        <v>UNKNOWN_NOT_ABSENT</v>
      </c>
      <c r="R20" s="38" t="str">
        <v>UNKNOWN_NOT_ABSENT</v>
      </c>
      <c r="S20" s="38" t="str">
        <v>UNKNOWN_NOT_ABSENT</v>
      </c>
      <c r="T20" s="38" t="str">
        <v>UNKNOWN_NOT_ABSENT</v>
      </c>
      <c r="U20" s="38" t="str">
        <v>UNKNOWN_NOT_ABSENT</v>
      </c>
      <c r="V20" s="38" t="str">
        <v>DRAFT_BLOCKED_PENDING_VALIDATION</v>
      </c>
      <c r="W20" s="38" t="str">
        <v>EVD-0012;EVD-FS-002</v>
      </c>
      <c r="X20" s="38" t="str">
        <v>Direct allergen classes derived from the exact locked DRAFT recipe names; compound ingredients/variants remain unknown; no UNKNOWN value means absence</v>
      </c>
      <c r="Y20" s="38" t="str">
        <v>Final recipe including compound ingredients; manufacturer labels/specifications for each SKU; cross-contact statements; production-flow review</v>
      </c>
      <c r="Z20" s="38" t="str">
        <v>UNKNOWN_PENDING_SITE_FLOW_AND_EQUIPMENT_MAP</v>
      </c>
      <c r="AA20" s="39" t="str">
        <v>Procurement; Food Safety/PPK owner</v>
      </c>
    </row>
    <row r="21">
      <c r="A21" s="37" t="str">
        <v>VKM-017</v>
      </c>
      <c r="B21" s="38" t="str">
        <v>Ростбиф с луком и гренкой</v>
      </c>
      <c r="C21" s="38" t="str">
        <v>0.2.0-REMEDIATION</v>
      </c>
      <c r="D21" s="38" t="str">
        <v>2026-08-03</v>
      </c>
      <c r="E21" s="38" t="str">
        <v>0.1.0-DRAFT</v>
      </c>
      <c r="F21" s="38" t="str">
        <v>c6b22ad5f2812cc989a0d3593f40e21207da8f53</v>
      </c>
      <c r="G21" s="38" t="str">
        <v>UNKNOWN_NOT_ABSENT</v>
      </c>
      <c r="H21" s="38" t="str">
        <v>UNKNOWN_NOT_ABSENT</v>
      </c>
      <c r="I21" s="38" t="str">
        <v>PRESENT_IN_LOCKED_DRAFT_RECIPE_NOT_SKU_VERIFIED</v>
      </c>
      <c r="J21" s="38" t="str">
        <v>UNKNOWN_NOT_ABSENT</v>
      </c>
      <c r="K21" s="38" t="str">
        <v>PRESENT_IN_LOCKED_DRAFT_RECIPE_NOT_SKU_VERIFIED</v>
      </c>
      <c r="L21" s="38" t="str">
        <v>UNKNOWN_NOT_ABSENT</v>
      </c>
      <c r="M21" s="38" t="str">
        <v>UNKNOWN_NOT_ABSENT</v>
      </c>
      <c r="N21" s="38" t="str">
        <v>UNKNOWN_NOT_ABSENT</v>
      </c>
      <c r="O21" s="38" t="str">
        <v>UNKNOWN_NOT_ABSENT</v>
      </c>
      <c r="P21" s="38" t="str">
        <v>UNKNOWN_NOT_ABSENT</v>
      </c>
      <c r="Q21" s="38" t="str">
        <v>UNKNOWN_NOT_ABSENT</v>
      </c>
      <c r="R21" s="38" t="str">
        <v>UNKNOWN_NOT_ABSENT</v>
      </c>
      <c r="S21" s="38" t="str">
        <v>UNKNOWN_NOT_ABSENT</v>
      </c>
      <c r="T21" s="38" t="str">
        <v>UNKNOWN_NOT_ABSENT</v>
      </c>
      <c r="U21" s="38" t="str">
        <v>PRESENT_IN_LOCKED_DRAFT_RECIPE_NOT_SKU_VERIFIED</v>
      </c>
      <c r="V21" s="38" t="str">
        <v>DRAFT_BLOCKED_PENDING_VALIDATION</v>
      </c>
      <c r="W21" s="38" t="str">
        <v>EVD-0012;EVD-FS-002</v>
      </c>
      <c r="X21" s="38" t="str">
        <v>Direct allergen classes derived from the exact locked DRAFT recipe names; compound ingredients/variants remain unknown; no UNKNOWN value means absence</v>
      </c>
      <c r="Y21" s="38" t="str">
        <v>Final recipe including compound ingredients; manufacturer labels/specifications for each SKU; cross-contact statements; production-flow review</v>
      </c>
      <c r="Z21" s="38" t="str">
        <v>UNKNOWN_PENDING_SITE_FLOW_AND_EQUIPMENT_MAP</v>
      </c>
      <c r="AA21" s="39" t="str">
        <v>Procurement; Food Safety/PPK owner</v>
      </c>
    </row>
    <row r="22">
      <c r="A22" s="37" t="str">
        <v>VKM-018</v>
      </c>
      <c r="B22" s="38" t="str">
        <v>Традиционный красный борщ</v>
      </c>
      <c r="C22" s="38" t="str">
        <v>0.2.0-REMEDIATION</v>
      </c>
      <c r="D22" s="38" t="str">
        <v>2026-08-03</v>
      </c>
      <c r="E22" s="38" t="str">
        <v>0.1.0-DRAFT</v>
      </c>
      <c r="F22" s="38" t="str">
        <v>c6b22ad5f2812cc989a0d3593f40e21207da8f53</v>
      </c>
      <c r="G22" s="38" t="str">
        <v>UNKNOWN_NOT_ABSENT</v>
      </c>
      <c r="H22" s="38" t="str">
        <v>UNKNOWN_NOT_ABSENT</v>
      </c>
      <c r="I22" s="38" t="str">
        <v>UNKNOWN_NOT_ABSENT</v>
      </c>
      <c r="J22" s="38" t="str">
        <v>UNKNOWN_NOT_ABSENT</v>
      </c>
      <c r="K22" s="38" t="str">
        <v>UNKNOWN_NOT_ABSENT</v>
      </c>
      <c r="L22" s="38" t="str">
        <v>UNKNOWN_NOT_ABSENT</v>
      </c>
      <c r="M22" s="38" t="str">
        <v>UNKNOWN_NOT_ABSENT</v>
      </c>
      <c r="N22" s="38" t="str">
        <v>UNKNOWN_NOT_ABSENT</v>
      </c>
      <c r="O22" s="38" t="str">
        <v>PRESENT_IN_LOCKED_DRAFT_RECIPE_NOT_SKU_VERIFIED</v>
      </c>
      <c r="P22" s="38" t="str">
        <v>UNKNOWN_NOT_ABSENT</v>
      </c>
      <c r="Q22" s="38" t="str">
        <v>UNKNOWN_NOT_ABSENT</v>
      </c>
      <c r="R22" s="38" t="str">
        <v>UNKNOWN_NOT_ABSENT</v>
      </c>
      <c r="S22" s="38" t="str">
        <v>UNKNOWN_NOT_ABSENT</v>
      </c>
      <c r="T22" s="38" t="str">
        <v>UNKNOWN_NOT_ABSENT</v>
      </c>
      <c r="U22" s="38" t="str">
        <v>UNKNOWN_NOT_ABSENT</v>
      </c>
      <c r="V22" s="38" t="str">
        <v>DRAFT_BLOCKED_PENDING_VALIDATION</v>
      </c>
      <c r="W22" s="38" t="str">
        <v>EVD-0012;EVD-FS-002</v>
      </c>
      <c r="X22" s="38" t="str">
        <v>Direct allergen classes derived from the exact locked DRAFT recipe names; compound ingredients/variants remain unknown; no UNKNOWN value means absence</v>
      </c>
      <c r="Y22" s="38" t="str">
        <v>Final recipe including compound ingredients; manufacturer labels/specifications for each SKU; cross-contact statements; production-flow review</v>
      </c>
      <c r="Z22" s="38" t="str">
        <v>UNKNOWN_PENDING_SITE_FLOW_AND_EQUIPMENT_MAP</v>
      </c>
      <c r="AA22" s="39" t="str">
        <v>Procurement; Food Safety/PPK owner</v>
      </c>
    </row>
    <row r="23">
      <c r="A23" s="37" t="str">
        <v>VKM-019</v>
      </c>
      <c r="B23" s="38" t="str">
        <v>Мурманская треска со сливочно-горчичным соусом</v>
      </c>
      <c r="C23" s="38" t="str">
        <v>0.2.0-REMEDIATION</v>
      </c>
      <c r="D23" s="38" t="str">
        <v>2026-08-03</v>
      </c>
      <c r="E23" s="38" t="str">
        <v>0.1.0-DRAFT</v>
      </c>
      <c r="F23" s="38" t="str">
        <v>c6b22ad5f2812cc989a0d3593f40e21207da8f53</v>
      </c>
      <c r="G23" s="38" t="str">
        <v>UNKNOWN_NOT_ABSENT</v>
      </c>
      <c r="H23" s="38" t="str">
        <v>UNKNOWN_NOT_ABSENT</v>
      </c>
      <c r="I23" s="38" t="str">
        <v>PRESENT_IN_LOCKED_DRAFT_RECIPE_NOT_SKU_VERIFIED</v>
      </c>
      <c r="J23" s="38" t="str">
        <v>UNKNOWN_NOT_ABSENT</v>
      </c>
      <c r="K23" s="38" t="str">
        <v>UNKNOWN_NOT_ABSENT</v>
      </c>
      <c r="L23" s="38" t="str">
        <v>UNKNOWN_NOT_ABSENT</v>
      </c>
      <c r="M23" s="38" t="str">
        <v>UNKNOWN_NOT_ABSENT</v>
      </c>
      <c r="N23" s="38" t="str">
        <v>UNKNOWN_NOT_ABSENT</v>
      </c>
      <c r="O23" s="38" t="str">
        <v>PRESENT_IN_LOCKED_DRAFT_RECIPE_NOT_SKU_VERIFIED</v>
      </c>
      <c r="P23" s="38" t="str">
        <v>UNKNOWN_NOT_ABSENT</v>
      </c>
      <c r="Q23" s="38" t="str">
        <v>UNKNOWN_NOT_ABSENT</v>
      </c>
      <c r="R23" s="38" t="str">
        <v>PRESENT_IN_LOCKED_DRAFT_RECIPE_NOT_SKU_VERIFIED</v>
      </c>
      <c r="S23" s="38" t="str">
        <v>UNKNOWN_NOT_ABSENT</v>
      </c>
      <c r="T23" s="38" t="str">
        <v>UNKNOWN_NOT_ABSENT</v>
      </c>
      <c r="U23" s="38" t="str">
        <v>UNKNOWN_NOT_ABSENT</v>
      </c>
      <c r="V23" s="38" t="str">
        <v>DRAFT_BLOCKED_PENDING_VALIDATION</v>
      </c>
      <c r="W23" s="38" t="str">
        <v>EVD-0012;EVD-FS-002</v>
      </c>
      <c r="X23" s="38" t="str">
        <v>Direct allergen classes derived from the exact locked DRAFT recipe names; compound ingredients/variants remain unknown; no UNKNOWN value means absence</v>
      </c>
      <c r="Y23" s="38" t="str">
        <v>Final recipe including compound ingredients; manufacturer labels/specifications for each SKU; cross-contact statements; production-flow review</v>
      </c>
      <c r="Z23" s="38" t="str">
        <v>UNKNOWN_PENDING_SITE_FLOW_AND_EQUIPMENT_MAP</v>
      </c>
      <c r="AA23" s="39" t="str">
        <v>Procurement; Food Safety/PPK owner</v>
      </c>
    </row>
    <row r="24">
      <c r="A24" s="37" t="str">
        <v>VKM-020</v>
      </c>
      <c r="B24" s="38" t="str">
        <v>Креветки по-тайски</v>
      </c>
      <c r="C24" s="38" t="str">
        <v>0.2.0-REMEDIATION</v>
      </c>
      <c r="D24" s="38" t="str">
        <v>2026-08-03</v>
      </c>
      <c r="E24" s="38" t="str">
        <v>0.1.0-DRAFT</v>
      </c>
      <c r="F24" s="38" t="str">
        <v>c6b22ad5f2812cc989a0d3593f40e21207da8f53</v>
      </c>
      <c r="G24" s="38" t="str">
        <v>UNKNOWN_NOT_ABSENT</v>
      </c>
      <c r="H24" s="38" t="str">
        <v>UNKNOWN_NOT_ABSENT</v>
      </c>
      <c r="I24" s="38" t="str">
        <v>UNKNOWN_NOT_ABSENT</v>
      </c>
      <c r="J24" s="38" t="str">
        <v>UNKNOWN_NOT_ABSENT</v>
      </c>
      <c r="K24" s="38" t="str">
        <v>UNKNOWN_NOT_ABSENT</v>
      </c>
      <c r="L24" s="38" t="str">
        <v>UNKNOWN_NOT_ABSENT</v>
      </c>
      <c r="M24" s="38" t="str">
        <v>UNKNOWN_NOT_ABSENT</v>
      </c>
      <c r="N24" s="38" t="str">
        <v>UNKNOWN_NOT_ABSENT</v>
      </c>
      <c r="O24" s="38" t="str">
        <v>UNKNOWN_NOT_ABSENT</v>
      </c>
      <c r="P24" s="38" t="str">
        <v>UNKNOWN_NOT_ABSENT</v>
      </c>
      <c r="Q24" s="38" t="str">
        <v>PRESENT_IN_LOCKED_DRAFT_RECIPE_NOT_SKU_VERIFIED</v>
      </c>
      <c r="R24" s="38" t="str">
        <v>POSSIBLE_DRAFT_VARIANT_FISH_SAUCE</v>
      </c>
      <c r="S24" s="38" t="str">
        <v>UNKNOWN_NOT_ABSENT</v>
      </c>
      <c r="T24" s="38" t="str">
        <v>POSSIBLE_DRAFT_VARIANT_SOY_SAUCE</v>
      </c>
      <c r="U24" s="38" t="str">
        <v>UNKNOWN_NOT_ABSENT</v>
      </c>
      <c r="V24" s="38" t="str">
        <v>DRAFT_BLOCKED_PENDING_VALIDATION</v>
      </c>
      <c r="W24" s="38" t="str">
        <v>EVD-0012;EVD-FS-002</v>
      </c>
      <c r="X24" s="38" t="str">
        <v>Direct allergen classes derived from the exact locked DRAFT recipe names; compound ingredients/variants remain unknown; no UNKNOWN value means absence</v>
      </c>
      <c r="Y24" s="38" t="str">
        <v>Final recipe including compound ingredients; manufacturer labels/specifications for each SKU; cross-contact statements; production-flow review</v>
      </c>
      <c r="Z24" s="38" t="str">
        <v>UNKNOWN_PENDING_SITE_FLOW_AND_EQUIPMENT_MAP</v>
      </c>
      <c r="AA24" s="39" t="str">
        <v>Procurement; Food Safety/PPK owner</v>
      </c>
    </row>
    <row r="25">
      <c r="A25" s="37" t="str">
        <v>VKM-021</v>
      </c>
      <c r="B25" s="38" t="str">
        <v>Бургер VARSHAVKA</v>
      </c>
      <c r="C25" s="38" t="str">
        <v>0.2.0-REMEDIATION</v>
      </c>
      <c r="D25" s="38" t="str">
        <v>2026-08-03</v>
      </c>
      <c r="E25" s="38" t="str">
        <v>0.1.0-DRAFT</v>
      </c>
      <c r="F25" s="38" t="str">
        <v>c6b22ad5f2812cc989a0d3593f40e21207da8f53</v>
      </c>
      <c r="G25" s="38" t="str">
        <v>UNKNOWN_NOT_ABSENT</v>
      </c>
      <c r="H25" s="38" t="str">
        <v>UNKNOWN_NOT_ABSENT</v>
      </c>
      <c r="I25" s="38" t="str">
        <v>UNKNOWN_NOT_ABSENT</v>
      </c>
      <c r="J25" s="38" t="str">
        <v>UNKNOWN_NOT_ABSENT</v>
      </c>
      <c r="K25" s="38" t="str">
        <v>PRESENT_IN_LOCKED_DRAFT_RECIPE_NOT_SKU_VERIFIED</v>
      </c>
      <c r="L25" s="38" t="str">
        <v>UNKNOWN_NOT_ABSENT</v>
      </c>
      <c r="M25" s="38" t="str">
        <v>UNKNOWN_NOT_ABSENT</v>
      </c>
      <c r="N25" s="38" t="str">
        <v>UNKNOWN_NOT_ABSENT</v>
      </c>
      <c r="O25" s="38" t="str">
        <v>PRESENT_IN_LOCKED_DRAFT_RECIPE_NOT_SKU_VERIFIED</v>
      </c>
      <c r="P25" s="38" t="str">
        <v>UNKNOWN_NOT_ABSENT</v>
      </c>
      <c r="Q25" s="38" t="str">
        <v>UNKNOWN_NOT_ABSENT</v>
      </c>
      <c r="R25" s="38" t="str">
        <v>UNKNOWN_NOT_ABSENT</v>
      </c>
      <c r="S25" s="38" t="str">
        <v>UNKNOWN_NOT_ABSENT</v>
      </c>
      <c r="T25" s="38" t="str">
        <v>UNKNOWN_NOT_ABSENT</v>
      </c>
      <c r="U25" s="38" t="str">
        <v>PRESENT_IN_LOCKED_DRAFT_RECIPE_NOT_SKU_VERIFIED</v>
      </c>
      <c r="V25" s="38" t="str">
        <v>DRAFT_BLOCKED_PENDING_VALIDATION</v>
      </c>
      <c r="W25" s="38" t="str">
        <v>EVD-0012;EVD-FS-002</v>
      </c>
      <c r="X25" s="38" t="str">
        <v>Direct allergen classes derived from the exact locked DRAFT recipe names; compound ingredients/variants remain unknown; no UNKNOWN value means absence</v>
      </c>
      <c r="Y25" s="38" t="str">
        <v>Final recipe including compound ingredients; manufacturer labels/specifications for each SKU; cross-contact statements; production-flow review</v>
      </c>
      <c r="Z25" s="38" t="str">
        <v>UNKNOWN_PENDING_SITE_FLOW_AND_EQUIPMENT_MAP</v>
      </c>
      <c r="AA25" s="39" t="str">
        <v>Procurement; Food Safety/PPK owner</v>
      </c>
    </row>
    <row r="26">
      <c r="A26" s="37" t="str">
        <v>VKM-022</v>
      </c>
      <c r="B26" s="38" t="str">
        <v>Миньоны из говяжьей вырезки</v>
      </c>
      <c r="C26" s="38" t="str">
        <v>0.2.0-REMEDIATION</v>
      </c>
      <c r="D26" s="38" t="str">
        <v>2026-08-03</v>
      </c>
      <c r="E26" s="38" t="str">
        <v>0.1.0-DRAFT</v>
      </c>
      <c r="F26" s="38" t="str">
        <v>c6b22ad5f2812cc989a0d3593f40e21207da8f53</v>
      </c>
      <c r="G26" s="38" t="str">
        <v>UNKNOWN_NOT_ABSENT</v>
      </c>
      <c r="H26" s="38" t="str">
        <v>UNKNOWN_NOT_ABSENT</v>
      </c>
      <c r="I26" s="38" t="str">
        <v>UNKNOWN_NOT_ABSENT</v>
      </c>
      <c r="J26" s="38" t="str">
        <v>UNKNOWN_NOT_ABSENT</v>
      </c>
      <c r="K26" s="38" t="str">
        <v>UNKNOWN_NOT_ABSENT</v>
      </c>
      <c r="L26" s="38" t="str">
        <v>UNKNOWN_NOT_ABSENT</v>
      </c>
      <c r="M26" s="38" t="str">
        <v>UNKNOWN_NOT_ABSENT</v>
      </c>
      <c r="N26" s="38" t="str">
        <v>UNKNOWN_NOT_ABSENT</v>
      </c>
      <c r="O26" s="38" t="str">
        <v>UNKNOWN_NOT_ABSENT</v>
      </c>
      <c r="P26" s="38" t="str">
        <v>UNKNOWN_NOT_ABSENT</v>
      </c>
      <c r="Q26" s="38" t="str">
        <v>UNKNOWN_NOT_ABSENT</v>
      </c>
      <c r="R26" s="38" t="str">
        <v>UNKNOWN_NOT_ABSENT</v>
      </c>
      <c r="S26" s="38" t="str">
        <v>UNKNOWN_NOT_ABSENT</v>
      </c>
      <c r="T26" s="38" t="str">
        <v>UNKNOWN_NOT_ABSENT</v>
      </c>
      <c r="U26" s="38" t="str">
        <v>UNKNOWN_NOT_ABSENT</v>
      </c>
      <c r="V26" s="38" t="str">
        <v>DRAFT_BLOCKED_PENDING_VALIDATION</v>
      </c>
      <c r="W26" s="38" t="str">
        <v>EVD-0012;EVD-FS-002</v>
      </c>
      <c r="X26" s="38" t="str">
        <v>Direct allergen classes derived from the exact locked DRAFT recipe names; compound ingredients/variants remain unknown; no UNKNOWN value means absence</v>
      </c>
      <c r="Y26" s="38" t="str">
        <v>Final recipe including compound ingredients; manufacturer labels/specifications for each SKU; cross-contact statements; production-flow review</v>
      </c>
      <c r="Z26" s="38" t="str">
        <v>UNKNOWN_PENDING_SITE_FLOW_AND_EQUIPMENT_MAP</v>
      </c>
      <c r="AA26" s="39" t="str">
        <v>Procurement; Food Safety/PPK owner</v>
      </c>
    </row>
    <row r="27">
      <c r="A27" s="37" t="str">
        <v>VKM-023</v>
      </c>
      <c r="B27" s="38" t="str">
        <v>Запечённый картофель</v>
      </c>
      <c r="C27" s="38" t="str">
        <v>0.2.0-REMEDIATION</v>
      </c>
      <c r="D27" s="38" t="str">
        <v>2026-08-03</v>
      </c>
      <c r="E27" s="38" t="str">
        <v>0.1.0-DRAFT</v>
      </c>
      <c r="F27" s="38" t="str">
        <v>c6b22ad5f2812cc989a0d3593f40e21207da8f53</v>
      </c>
      <c r="G27" s="38" t="str">
        <v>UNKNOWN_NOT_ABSENT</v>
      </c>
      <c r="H27" s="38" t="str">
        <v>UNKNOWN_NOT_ABSENT</v>
      </c>
      <c r="I27" s="38" t="str">
        <v>UNKNOWN_NOT_ABSENT</v>
      </c>
      <c r="J27" s="38" t="str">
        <v>UNKNOWN_NOT_ABSENT</v>
      </c>
      <c r="K27" s="38" t="str">
        <v>UNKNOWN_NOT_ABSENT</v>
      </c>
      <c r="L27" s="38" t="str">
        <v>UNKNOWN_NOT_ABSENT</v>
      </c>
      <c r="M27" s="38" t="str">
        <v>UNKNOWN_NOT_ABSENT</v>
      </c>
      <c r="N27" s="38" t="str">
        <v>UNKNOWN_NOT_ABSENT</v>
      </c>
      <c r="O27" s="38" t="str">
        <v>UNKNOWN_NOT_ABSENT</v>
      </c>
      <c r="P27" s="38" t="str">
        <v>UNKNOWN_NOT_ABSENT</v>
      </c>
      <c r="Q27" s="38" t="str">
        <v>UNKNOWN_NOT_ABSENT</v>
      </c>
      <c r="R27" s="38" t="str">
        <v>UNKNOWN_NOT_ABSENT</v>
      </c>
      <c r="S27" s="38" t="str">
        <v>UNKNOWN_NOT_ABSENT</v>
      </c>
      <c r="T27" s="38" t="str">
        <v>UNKNOWN_NOT_ABSENT</v>
      </c>
      <c r="U27" s="38" t="str">
        <v>UNKNOWN_NOT_ABSENT</v>
      </c>
      <c r="V27" s="38" t="str">
        <v>DRAFT_BLOCKED_PENDING_VALIDATION</v>
      </c>
      <c r="W27" s="38" t="str">
        <v>EVD-0012;EVD-FS-002</v>
      </c>
      <c r="X27" s="38" t="str">
        <v>Direct allergen classes derived from the exact locked DRAFT recipe names; compound ingredients/variants remain unknown; no UNKNOWN value means absence</v>
      </c>
      <c r="Y27" s="38" t="str">
        <v>Final recipe including compound ingredients; manufacturer labels/specifications for each SKU; cross-contact statements; production-flow review</v>
      </c>
      <c r="Z27" s="38" t="str">
        <v>UNKNOWN_PENDING_SITE_FLOW_AND_EQUIPMENT_MAP</v>
      </c>
      <c r="AA27" s="39" t="str">
        <v>Procurement; Food Safety/PPK owner</v>
      </c>
    </row>
    <row r="28">
      <c r="A28" s="37" t="str">
        <v>VKM-024</v>
      </c>
      <c r="B28" s="38" t="str">
        <v>Рис жасмин</v>
      </c>
      <c r="C28" s="38" t="str">
        <v>0.2.0-REMEDIATION</v>
      </c>
      <c r="D28" s="38" t="str">
        <v>2026-08-03</v>
      </c>
      <c r="E28" s="38" t="str">
        <v>0.1.0-DRAFT</v>
      </c>
      <c r="F28" s="38" t="str">
        <v>c6b22ad5f2812cc989a0d3593f40e21207da8f53</v>
      </c>
      <c r="G28" s="38" t="str">
        <v>UNKNOWN_NOT_ABSENT</v>
      </c>
      <c r="H28" s="38" t="str">
        <v>UNKNOWN_NOT_ABSENT</v>
      </c>
      <c r="I28" s="38" t="str">
        <v>UNKNOWN_NOT_ABSENT</v>
      </c>
      <c r="J28" s="38" t="str">
        <v>UNKNOWN_NOT_ABSENT</v>
      </c>
      <c r="K28" s="38" t="str">
        <v>UNKNOWN_NOT_ABSENT</v>
      </c>
      <c r="L28" s="38" t="str">
        <v>UNKNOWN_NOT_ABSENT</v>
      </c>
      <c r="M28" s="38" t="str">
        <v>UNKNOWN_NOT_ABSENT</v>
      </c>
      <c r="N28" s="38" t="str">
        <v>UNKNOWN_NOT_ABSENT</v>
      </c>
      <c r="O28" s="38" t="str">
        <v>PRESENT_IN_LOCKED_DRAFT_RECIPE_NOT_SKU_VERIFIED</v>
      </c>
      <c r="P28" s="38" t="str">
        <v>UNKNOWN_NOT_ABSENT</v>
      </c>
      <c r="Q28" s="38" t="str">
        <v>UNKNOWN_NOT_ABSENT</v>
      </c>
      <c r="R28" s="38" t="str">
        <v>UNKNOWN_NOT_ABSENT</v>
      </c>
      <c r="S28" s="38" t="str">
        <v>UNKNOWN_NOT_ABSENT</v>
      </c>
      <c r="T28" s="38" t="str">
        <v>UNKNOWN_NOT_ABSENT</v>
      </c>
      <c r="U28" s="38" t="str">
        <v>UNKNOWN_NOT_ABSENT</v>
      </c>
      <c r="V28" s="38" t="str">
        <v>DRAFT_BLOCKED_PENDING_VALIDATION</v>
      </c>
      <c r="W28" s="38" t="str">
        <v>EVD-0012;EVD-FS-002</v>
      </c>
      <c r="X28" s="38" t="str">
        <v>Direct allergen classes derived from the exact locked DRAFT recipe names; compound ingredients/variants remain unknown; no UNKNOWN value means absence</v>
      </c>
      <c r="Y28" s="38" t="str">
        <v>Final recipe including compound ingredients; manufacturer labels/specifications for each SKU; cross-contact statements; production-flow review</v>
      </c>
      <c r="Z28" s="38" t="str">
        <v>UNKNOWN_PENDING_SITE_FLOW_AND_EQUIPMENT_MAP</v>
      </c>
      <c r="AA28" s="39" t="str">
        <v>Procurement; Food Safety/PPK owner</v>
      </c>
    </row>
    <row r="29">
      <c r="A29" s="37" t="str">
        <v>VKM-025</v>
      </c>
      <c r="B29" s="38" t="str">
        <v>Горячие овощи</v>
      </c>
      <c r="C29" s="38" t="str">
        <v>0.2.0-REMEDIATION</v>
      </c>
      <c r="D29" s="38" t="str">
        <v>2026-08-03</v>
      </c>
      <c r="E29" s="38" t="str">
        <v>0.1.0-DRAFT</v>
      </c>
      <c r="F29" s="38" t="str">
        <v>c6b22ad5f2812cc989a0d3593f40e21207da8f53</v>
      </c>
      <c r="G29" s="38" t="str">
        <v>UNKNOWN_NOT_ABSENT</v>
      </c>
      <c r="H29" s="38" t="str">
        <v>UNKNOWN_NOT_ABSENT</v>
      </c>
      <c r="I29" s="38" t="str">
        <v>UNKNOWN_NOT_ABSENT</v>
      </c>
      <c r="J29" s="38" t="str">
        <v>UNKNOWN_NOT_ABSENT</v>
      </c>
      <c r="K29" s="38" t="str">
        <v>UNKNOWN_NOT_ABSENT</v>
      </c>
      <c r="L29" s="38" t="str">
        <v>UNKNOWN_NOT_ABSENT</v>
      </c>
      <c r="M29" s="38" t="str">
        <v>UNKNOWN_NOT_ABSENT</v>
      </c>
      <c r="N29" s="38" t="str">
        <v>UNKNOWN_NOT_ABSENT</v>
      </c>
      <c r="O29" s="38" t="str">
        <v>UNKNOWN_NOT_ABSENT</v>
      </c>
      <c r="P29" s="38" t="str">
        <v>UNKNOWN_NOT_ABSENT</v>
      </c>
      <c r="Q29" s="38" t="str">
        <v>UNKNOWN_NOT_ABSENT</v>
      </c>
      <c r="R29" s="38" t="str">
        <v>UNKNOWN_NOT_ABSENT</v>
      </c>
      <c r="S29" s="38" t="str">
        <v>UNKNOWN_NOT_ABSENT</v>
      </c>
      <c r="T29" s="38" t="str">
        <v>UNKNOWN_NOT_ABSENT</v>
      </c>
      <c r="U29" s="38" t="str">
        <v>UNKNOWN_NOT_ABSENT</v>
      </c>
      <c r="V29" s="38" t="str">
        <v>DRAFT_BLOCKED_PENDING_VALIDATION</v>
      </c>
      <c r="W29" s="38" t="str">
        <v>EVD-0012;EVD-FS-002</v>
      </c>
      <c r="X29" s="38" t="str">
        <v>Direct allergen classes derived from the exact locked DRAFT recipe names; compound ingredients/variants remain unknown; no UNKNOWN value means absence</v>
      </c>
      <c r="Y29" s="38" t="str">
        <v>Final recipe including compound ingredients; manufacturer labels/specifications for each SKU; cross-contact statements; production-flow review</v>
      </c>
      <c r="Z29" s="38" t="str">
        <v>UNKNOWN_PENDING_SITE_FLOW_AND_EQUIPMENT_MAP</v>
      </c>
      <c r="AA29" s="39" t="str">
        <v>Procurement; Food Safety/PPK owner</v>
      </c>
    </row>
    <row r="30">
      <c r="A30" s="37" t="str">
        <v>VKM-029</v>
      </c>
      <c r="B30" s="38" t="str">
        <v>Черничный торт VARSHAVKA</v>
      </c>
      <c r="C30" s="38" t="str">
        <v>0.2.0-REMEDIATION</v>
      </c>
      <c r="D30" s="38" t="str">
        <v>2026-08-03</v>
      </c>
      <c r="E30" s="38" t="str">
        <v>0.1.0-DRAFT</v>
      </c>
      <c r="F30" s="38" t="str">
        <v>c6b22ad5f2812cc989a0d3593f40e21207da8f53</v>
      </c>
      <c r="G30" s="38" t="str">
        <v>UNKNOWN_NOT_ABSENT</v>
      </c>
      <c r="H30" s="38" t="str">
        <v>UNKNOWN_NOT_ABSENT</v>
      </c>
      <c r="I30" s="38" t="str">
        <v>UNKNOWN_NOT_ABSENT</v>
      </c>
      <c r="J30" s="38" t="str">
        <v>UNKNOWN_NOT_ABSENT</v>
      </c>
      <c r="K30" s="38" t="str">
        <v>PRESENT_IN_LOCKED_DRAFT_RECIPE_NOT_SKU_VERIFIED</v>
      </c>
      <c r="L30" s="38" t="str">
        <v>UNKNOWN_NOT_ABSENT</v>
      </c>
      <c r="M30" s="38" t="str">
        <v>UNKNOWN_NOT_ABSENT</v>
      </c>
      <c r="N30" s="38" t="str">
        <v>UNKNOWN_NOT_ABSENT</v>
      </c>
      <c r="O30" s="38" t="str">
        <v>PRESENT_IN_LOCKED_DRAFT_RECIPE_NOT_SKU_VERIFIED</v>
      </c>
      <c r="P30" s="38" t="str">
        <v>UNKNOWN_NOT_ABSENT</v>
      </c>
      <c r="Q30" s="38" t="str">
        <v>UNKNOWN_NOT_ABSENT</v>
      </c>
      <c r="R30" s="38" t="str">
        <v>UNKNOWN_NOT_ABSENT</v>
      </c>
      <c r="S30" s="38" t="str">
        <v>UNKNOWN_NOT_ABSENT</v>
      </c>
      <c r="T30" s="38" t="str">
        <v>UNKNOWN_NOT_ABSENT</v>
      </c>
      <c r="U30" s="38" t="str">
        <v>PRESENT_IN_LOCKED_DRAFT_RECIPE_NOT_SKU_VERIFIED</v>
      </c>
      <c r="V30" s="38" t="str">
        <v>DRAFT_BLOCKED_PENDING_VALIDATION</v>
      </c>
      <c r="W30" s="38" t="str">
        <v>EVD-0012;EVD-FS-002</v>
      </c>
      <c r="X30" s="38" t="str">
        <v>Direct allergen classes derived from the exact locked DRAFT recipe names; compound ingredients/variants remain unknown; no UNKNOWN value means absence</v>
      </c>
      <c r="Y30" s="38" t="str">
        <v>Final recipe including compound ingredients; manufacturer labels/specifications for each SKU; cross-contact statements; production-flow review</v>
      </c>
      <c r="Z30" s="38" t="str">
        <v>UNKNOWN_PENDING_SITE_FLOW_AND_EQUIPMENT_MAP</v>
      </c>
      <c r="AA30" s="39" t="str">
        <v>Procurement; Food Safety/PPK owner</v>
      </c>
    </row>
    <row r="31">
      <c r="A31" s="37" t="str">
        <v>VKM-030</v>
      </c>
      <c r="B31" s="38" t="str">
        <v>Кростата с солёной карамелью</v>
      </c>
      <c r="C31" s="38" t="str">
        <v>0.2.0-REMEDIATION</v>
      </c>
      <c r="D31" s="38" t="str">
        <v>2026-08-03</v>
      </c>
      <c r="E31" s="38" t="str">
        <v>0.1.0-DRAFT</v>
      </c>
      <c r="F31" s="38" t="str">
        <v>c6b22ad5f2812cc989a0d3593f40e21207da8f53</v>
      </c>
      <c r="G31" s="38" t="str">
        <v>UNKNOWN_NOT_ABSENT</v>
      </c>
      <c r="H31" s="38" t="str">
        <v>UNKNOWN_NOT_ABSENT</v>
      </c>
      <c r="I31" s="38" t="str">
        <v>UNKNOWN_NOT_ABSENT</v>
      </c>
      <c r="J31" s="38" t="str">
        <v>UNKNOWN_NOT_ABSENT</v>
      </c>
      <c r="K31" s="38" t="str">
        <v>PRESENT_IN_LOCKED_DRAFT_RECIPE_NOT_SKU_VERIFIED</v>
      </c>
      <c r="L31" s="38" t="str">
        <v>UNKNOWN_NOT_ABSENT</v>
      </c>
      <c r="M31" s="38" t="str">
        <v>UNKNOWN_NOT_ABSENT</v>
      </c>
      <c r="N31" s="38" t="str">
        <v>UNKNOWN_NOT_ABSENT</v>
      </c>
      <c r="O31" s="38" t="str">
        <v>PRESENT_IN_LOCKED_DRAFT_RECIPE_NOT_SKU_VERIFIED</v>
      </c>
      <c r="P31" s="38" t="str">
        <v>UNKNOWN_NOT_ABSENT</v>
      </c>
      <c r="Q31" s="38" t="str">
        <v>UNKNOWN_NOT_ABSENT</v>
      </c>
      <c r="R31" s="38" t="str">
        <v>UNKNOWN_NOT_ABSENT</v>
      </c>
      <c r="S31" s="38" t="str">
        <v>UNKNOWN_NOT_ABSENT</v>
      </c>
      <c r="T31" s="38" t="str">
        <v>UNKNOWN_NOT_ABSENT</v>
      </c>
      <c r="U31" s="38" t="str">
        <v>PRESENT_IN_LOCKED_DRAFT_RECIPE_NOT_SKU_VERIFIED</v>
      </c>
      <c r="V31" s="38" t="str">
        <v>DRAFT_BLOCKED_PENDING_VALIDATION</v>
      </c>
      <c r="W31" s="38" t="str">
        <v>EVD-0012;EVD-FS-002</v>
      </c>
      <c r="X31" s="38" t="str">
        <v>Direct allergen classes derived from the exact locked DRAFT recipe names; compound ingredients/variants remain unknown; no UNKNOWN value means absence</v>
      </c>
      <c r="Y31" s="38" t="str">
        <v>Final recipe including compound ingredients; manufacturer labels/specifications for each SKU; cross-contact statements; production-flow review</v>
      </c>
      <c r="Z31" s="38" t="str">
        <v>UNKNOWN_PENDING_SITE_FLOW_AND_EQUIPMENT_MAP</v>
      </c>
      <c r="AA31" s="39" t="str">
        <v>Procurement; Food Safety/PPK owner</v>
      </c>
    </row>
    <row r="32">
      <c r="A32" s="37" t="str">
        <v>VKM-031</v>
      </c>
      <c r="B32" s="38" t="str">
        <v>Мадлен</v>
      </c>
      <c r="C32" s="38" t="str">
        <v>0.2.0-REMEDIATION</v>
      </c>
      <c r="D32" s="38" t="str">
        <v>2026-08-03</v>
      </c>
      <c r="E32" s="38" t="str">
        <v>0.1.0-DRAFT</v>
      </c>
      <c r="F32" s="38" t="str">
        <v>c6b22ad5f2812cc989a0d3593f40e21207da8f53</v>
      </c>
      <c r="G32" s="38" t="str">
        <v>UNKNOWN_NOT_ABSENT</v>
      </c>
      <c r="H32" s="38" t="str">
        <v>UNKNOWN_NOT_ABSENT</v>
      </c>
      <c r="I32" s="38" t="str">
        <v>UNKNOWN_NOT_ABSENT</v>
      </c>
      <c r="J32" s="38" t="str">
        <v>UNKNOWN_NOT_ABSENT</v>
      </c>
      <c r="K32" s="38" t="str">
        <v>PRESENT_IN_LOCKED_DRAFT_RECIPE_NOT_SKU_VERIFIED</v>
      </c>
      <c r="L32" s="38" t="str">
        <v>UNKNOWN_NOT_ABSENT</v>
      </c>
      <c r="M32" s="38" t="str">
        <v>UNKNOWN_NOT_ABSENT</v>
      </c>
      <c r="N32" s="38" t="str">
        <v>UNKNOWN_NOT_ABSENT</v>
      </c>
      <c r="O32" s="38" t="str">
        <v>PRESENT_IN_LOCKED_DRAFT_RECIPE_NOT_SKU_VERIFIED</v>
      </c>
      <c r="P32" s="38" t="str">
        <v>UNKNOWN_NOT_ABSENT</v>
      </c>
      <c r="Q32" s="38" t="str">
        <v>UNKNOWN_NOT_ABSENT</v>
      </c>
      <c r="R32" s="38" t="str">
        <v>UNKNOWN_NOT_ABSENT</v>
      </c>
      <c r="S32" s="38" t="str">
        <v>UNKNOWN_NOT_ABSENT</v>
      </c>
      <c r="T32" s="38" t="str">
        <v>UNKNOWN_NOT_ABSENT</v>
      </c>
      <c r="U32" s="38" t="str">
        <v>PRESENT_IN_LOCKED_DRAFT_RECIPE_NOT_SKU_VERIFIED</v>
      </c>
      <c r="V32" s="38" t="str">
        <v>DRAFT_BLOCKED_PENDING_VALIDATION</v>
      </c>
      <c r="W32" s="38" t="str">
        <v>EVD-0012;EVD-FS-002</v>
      </c>
      <c r="X32" s="38" t="str">
        <v>Direct allergen classes derived from the exact locked DRAFT recipe names; compound ingredients/variants remain unknown; no UNKNOWN value means absence</v>
      </c>
      <c r="Y32" s="38" t="str">
        <v>Final recipe including compound ingredients; manufacturer labels/specifications for each SKU; cross-contact statements; production-flow review</v>
      </c>
      <c r="Z32" s="38" t="str">
        <v>UNKNOWN_PENDING_SITE_FLOW_AND_EQUIPMENT_MAP</v>
      </c>
      <c r="AA32" s="39" t="str">
        <v>Procurement; Food Safety/PPK owner</v>
      </c>
    </row>
    <row r="33">
      <c r="A33" s="37" t="str">
        <v>VKM-026</v>
      </c>
      <c r="B33" s="38" t="str">
        <v>Яичница, круассан и сыр двух видов</v>
      </c>
      <c r="C33" s="38" t="str">
        <v>PR81-DRAFT</v>
      </c>
      <c r="D33" s="38" t="str">
        <v>2026-08-04</v>
      </c>
      <c r="E33" s="38" t="str">
        <v>PR81-DRAFT</v>
      </c>
      <c r="F33" s="38" t="str">
        <v>PR81_HEAD_1e0722ad</v>
      </c>
      <c r="G33" s="38" t="str">
        <v>UNKNOWN_NOT_ABSENT</v>
      </c>
      <c r="H33" s="38" t="str">
        <v>UNKNOWN_NOT_ABSENT</v>
      </c>
      <c r="I33" s="38" t="str">
        <v>UNKNOWN_NOT_ABSENT</v>
      </c>
      <c r="J33" s="38" t="str">
        <v>UNKNOWN_NOT_ABSENT</v>
      </c>
      <c r="K33" s="38" t="str">
        <v>UNKNOWN_NOT_ABSENT</v>
      </c>
      <c r="L33" s="38" t="str">
        <v>UNKNOWN_NOT_ABSENT</v>
      </c>
      <c r="M33" s="38" t="str">
        <v>UNKNOWN_NOT_ABSENT</v>
      </c>
      <c r="N33" s="38" t="str">
        <v>UNKNOWN_NOT_ABSENT</v>
      </c>
      <c r="O33" s="38" t="str">
        <v>UNKNOWN_NOT_ABSENT</v>
      </c>
      <c r="P33" s="38" t="str">
        <v>UNKNOWN_NOT_ABSENT</v>
      </c>
      <c r="Q33" s="38" t="str">
        <v>UNKNOWN_NOT_ABSENT</v>
      </c>
      <c r="R33" s="38" t="str">
        <v>UNKNOWN_NOT_ABSENT</v>
      </c>
      <c r="S33" s="38" t="str">
        <v>UNKNOWN_NOT_ABSENT</v>
      </c>
      <c r="T33" s="38" t="str">
        <v>UNKNOWN_NOT_ABSENT</v>
      </c>
      <c r="U33" s="38" t="str">
        <v>UNKNOWN_NOT_ABSENT</v>
      </c>
      <c r="V33" s="38" t="str">
        <v>DRAFT_BLOCKED_PENDING_SKU_DOCS</v>
      </c>
      <c r="W33" s="38" t="str">
        <v>UNKNOWN_NOT_ABSENT</v>
      </c>
      <c r="X33" s="38" t="str">
        <v>Recipe/name screening only</v>
      </c>
      <c r="Y33" s="38" t="str">
        <v>Labels; specs; hazard analysis; control cook</v>
      </c>
      <c r="Z33" s="38" t="str">
        <v>BLOCKED_UNKNOWN</v>
      </c>
      <c r="AA33" s="39" t="str">
        <v>FoodSafetyAgent / Chef</v>
      </c>
    </row>
    <row r="34">
      <c r="A34" s="37" t="str">
        <v>VKM-027</v>
      </c>
      <c r="B34" s="38" t="str">
        <v>Омлет, круассан и сыр двух видов</v>
      </c>
      <c r="C34" s="38" t="str">
        <v>PR81-DRAFT</v>
      </c>
      <c r="D34" s="38" t="str">
        <v>2026-08-04</v>
      </c>
      <c r="E34" s="38" t="str">
        <v>PR81-DRAFT</v>
      </c>
      <c r="F34" s="38" t="str">
        <v>PR81_HEAD_1e0722ad</v>
      </c>
      <c r="G34" s="38" t="str">
        <v>UNKNOWN_NOT_ABSENT</v>
      </c>
      <c r="H34" s="38" t="str">
        <v>UNKNOWN_NOT_ABSENT</v>
      </c>
      <c r="I34" s="38" t="str">
        <v>UNKNOWN_NOT_ABSENT</v>
      </c>
      <c r="J34" s="38" t="str">
        <v>UNKNOWN_NOT_ABSENT</v>
      </c>
      <c r="K34" s="38" t="str">
        <v>UNKNOWN_NOT_ABSENT</v>
      </c>
      <c r="L34" s="38" t="str">
        <v>UNKNOWN_NOT_ABSENT</v>
      </c>
      <c r="M34" s="38" t="str">
        <v>UNKNOWN_NOT_ABSENT</v>
      </c>
      <c r="N34" s="38" t="str">
        <v>UNKNOWN_NOT_ABSENT</v>
      </c>
      <c r="O34" s="38" t="str">
        <v>UNKNOWN_NOT_ABSENT</v>
      </c>
      <c r="P34" s="38" t="str">
        <v>UNKNOWN_NOT_ABSENT</v>
      </c>
      <c r="Q34" s="38" t="str">
        <v>UNKNOWN_NOT_ABSENT</v>
      </c>
      <c r="R34" s="38" t="str">
        <v>UNKNOWN_NOT_ABSENT</v>
      </c>
      <c r="S34" s="38" t="str">
        <v>UNKNOWN_NOT_ABSENT</v>
      </c>
      <c r="T34" s="38" t="str">
        <v>UNKNOWN_NOT_ABSENT</v>
      </c>
      <c r="U34" s="38" t="str">
        <v>UNKNOWN_NOT_ABSENT</v>
      </c>
      <c r="V34" s="38" t="str">
        <v>DRAFT_BLOCKED_PENDING_SKU_DOCS</v>
      </c>
      <c r="W34" s="38" t="str">
        <v>UNKNOWN_NOT_ABSENT</v>
      </c>
      <c r="X34" s="38" t="str">
        <v>Recipe/name screening only</v>
      </c>
      <c r="Y34" s="38" t="str">
        <v>Labels; specs; hazard analysis; control cook</v>
      </c>
      <c r="Z34" s="38" t="str">
        <v>BLOCKED_UNKNOWN</v>
      </c>
      <c r="AA34" s="39" t="str">
        <v>FoodSafetyAgent / Chef</v>
      </c>
    </row>
    <row r="35">
      <c r="A35" s="40" t="str">
        <v>VKM-028</v>
      </c>
      <c r="B35" s="41" t="str">
        <v>Овсяная каша, круассан и сыр двух видов</v>
      </c>
      <c r="C35" s="41" t="str">
        <v>PR81-DRAFT</v>
      </c>
      <c r="D35" s="41" t="str">
        <v>2026-08-04</v>
      </c>
      <c r="E35" s="41" t="str">
        <v>PR81-DRAFT</v>
      </c>
      <c r="F35" s="41" t="str">
        <v>PR81_HEAD_1e0722ad</v>
      </c>
      <c r="G35" s="41" t="str">
        <v>UNKNOWN_NOT_ABSENT</v>
      </c>
      <c r="H35" s="41" t="str">
        <v>UNKNOWN_NOT_ABSENT</v>
      </c>
      <c r="I35" s="41" t="str">
        <v>UNKNOWN_NOT_ABSENT</v>
      </c>
      <c r="J35" s="41" t="str">
        <v>UNKNOWN_NOT_ABSENT</v>
      </c>
      <c r="K35" s="41" t="str">
        <v>UNKNOWN_NOT_ABSENT</v>
      </c>
      <c r="L35" s="41" t="str">
        <v>UNKNOWN_NOT_ABSENT</v>
      </c>
      <c r="M35" s="41" t="str">
        <v>UNKNOWN_NOT_ABSENT</v>
      </c>
      <c r="N35" s="41" t="str">
        <v>UNKNOWN_NOT_ABSENT</v>
      </c>
      <c r="O35" s="41" t="str">
        <v>UNKNOWN_NOT_ABSENT</v>
      </c>
      <c r="P35" s="41" t="str">
        <v>UNKNOWN_NOT_ABSENT</v>
      </c>
      <c r="Q35" s="41" t="str">
        <v>UNKNOWN_NOT_ABSENT</v>
      </c>
      <c r="R35" s="41" t="str">
        <v>UNKNOWN_NOT_ABSENT</v>
      </c>
      <c r="S35" s="41" t="str">
        <v>UNKNOWN_NOT_ABSENT</v>
      </c>
      <c r="T35" s="41" t="str">
        <v>UNKNOWN_NOT_ABSENT</v>
      </c>
      <c r="U35" s="41" t="str">
        <v>UNKNOWN_NOT_ABSENT</v>
      </c>
      <c r="V35" s="41" t="str">
        <v>DRAFT_BLOCKED_PENDING_SKU_DOCS</v>
      </c>
      <c r="W35" s="41" t="str">
        <v>UNKNOWN_NOT_ABSENT</v>
      </c>
      <c r="X35" s="41" t="str">
        <v>Recipe/name screening only</v>
      </c>
      <c r="Y35" s="41" t="str">
        <v>Labels; specs; hazard analysis; control cook</v>
      </c>
      <c r="Z35" s="41" t="str">
        <v>BLOCKED_UNKNOWN</v>
      </c>
      <c r="AA35" s="42" t="str">
        <v>FoodSafetyAgent / Chef</v>
      </c>
    </row>
  </sheetData>
  <autoFilter ref="A1:AA35"/>
  <mergeCells>
    <mergeCell ref="A1:AA1"/>
    <mergeCell ref="A2:AA2"/>
  </mergeCells>
  <conditionalFormatting sqref="V5:V35">
    <cfRule type="containsText" dxfId="126" priority="1" operator="containsText" text="BLOCK"/>
    <cfRule type="containsText" dxfId="127" priority="2" operator="containsText" text="DRAFT"/>
    <cfRule type="containsText" dxfId="128" priority="3" operator="containsText" text="PASS"/>
  </conditionalFormatting>
  <conditionalFormatting sqref="Z5:Z35">
    <cfRule type="containsText" dxfId="129" priority="4" operator="containsText" text="BLOCK"/>
    <cfRule type="containsText" dxfId="130" priority="5" operator="containsText" text="DRAFT"/>
    <cfRule type="containsText" dxfId="131" priority="6" operator="containsText" text="PASS"/>
  </conditionalFormatting>
  <pageMargins left="0.7" right="0.7" top="0.75" bottom="0.75" header="0.3" footer="0.3"/>
  <tableParts count="1">
    <tablePart r:id="Re601099395ba4c5a"/>
  </tableParts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38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38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16" hidden="0" customWidth="1"/>
    <col min="27" max="27" width="16" hidden="0" customWidth="1"/>
    <col min="28" max="28" width="16" hidden="0" customWidth="1"/>
    <col min="29" max="29" width="16" hidden="0" customWidth="1"/>
    <col min="30" max="30" width="16" hidden="0" customWidth="1"/>
    <col min="31" max="31" width="16" hidden="0" customWidth="1"/>
    <col min="32" max="32" width="16" hidden="0" customWidth="1"/>
    <col min="33" max="33" width="16" hidden="0" customWidth="1"/>
    <col min="34" max="34" width="16" hidden="0" customWidth="1"/>
    <col min="35" max="35" width="16" hidden="0" customWidth="1"/>
    <col min="36" max="36" width="16" hidden="0" customWidth="1"/>
    <col min="37" max="37" width="16" hidden="0" customWidth="1"/>
    <col min="38" max="38" width="16" hidden="0" customWidth="1"/>
    <col min="39" max="39" width="16" hidden="0" customWidth="1"/>
    <col min="40" max="40" width="16" hidden="0" customWidth="1"/>
    <col min="41" max="41" width="16" hidden="0" customWidth="1"/>
    <col min="42" max="42" width="16" hidden="0" customWidth="1"/>
    <col min="43" max="43" width="16" hidden="0" customWidth="1"/>
    <col min="44" max="44" width="16" hidden="0" customWidth="1"/>
    <col min="45" max="45" width="16" hidden="0" customWidth="1"/>
    <col min="46" max="46" width="16" hidden="0" customWidth="1"/>
    <col min="47" max="47" width="24" hidden="0" customWidth="1"/>
    <col min="48" max="48" width="24" hidden="0" customWidth="1"/>
    <col min="49" max="49" width="16" hidden="0" customWidth="1"/>
    <col min="50" max="50" width="16" hidden="0" customWidth="1"/>
    <col min="51" max="51" width="38" hidden="0" customWidth="1"/>
    <col min="52" max="52" width="16" hidden="0" customWidth="1"/>
    <col min="53" max="53" width="16" hidden="0" customWidth="1"/>
    <col min="54" max="54" width="16" hidden="0" customWidth="1"/>
    <col min="55" max="55" width="16" hidden="0" customWidth="1"/>
    <col min="56" max="56" width="16" hidden="0" customWidth="1"/>
  </cols>
  <sheetData>
    <row r="1">
      <c r="A1" s="8" t="str">
        <v>11 — Пищевая ценность и метод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>
      <c r="A2" s="11" t="str">
        <v>Расчётный DRAFT для 28; завтраки не рассчитаны; лабораторное подтверждение отсутствует.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4" ht="50" customHeight="1">
      <c r="A4" s="14" t="str">
        <v>nutrition_record_id</v>
      </c>
      <c r="B4" s="14" t="str">
        <v>dish_code</v>
      </c>
      <c r="C4" s="14" t="str">
        <v>cost_card_code</v>
      </c>
      <c r="D4" s="14" t="str">
        <v>tech_card_code</v>
      </c>
      <c r="E4" s="14" t="str">
        <v>menu_section</v>
      </c>
      <c r="F4" s="14" t="str">
        <v>dish_name</v>
      </c>
      <c r="G4" s="14" t="str">
        <v>recipe_version</v>
      </c>
      <c r="H4" s="14" t="str">
        <v>recipe_blob_sha</v>
      </c>
      <c r="I4" s="14" t="str">
        <v>production_sales_unit</v>
      </c>
      <c r="J4" s="14" t="str">
        <v>draft_batch_or_item_output_mass</v>
      </c>
      <c r="K4" s="14" t="str">
        <v>output_unit</v>
      </c>
      <c r="L4" s="14" t="str">
        <v>draft_sale_portion_mass</v>
      </c>
      <c r="M4" s="14" t="str">
        <v>sale_portion_unit</v>
      </c>
      <c r="N4" s="14" t="str">
        <v>portion_mass_method_status</v>
      </c>
      <c r="O4" s="14" t="str">
        <v>ingredient_line_count</v>
      </c>
      <c r="P4" s="14" t="str">
        <v>official_source_coverage_pct</v>
      </c>
      <c r="Q4" s="14" t="str">
        <v>proxy_or_composite_line_count</v>
      </c>
      <c r="R4" s="14" t="str">
        <v>protein_g_per_declared_output</v>
      </c>
      <c r="S4" s="14" t="str">
        <v>protein_g_per_declared_output_low</v>
      </c>
      <c r="T4" s="14" t="str">
        <v>protein_g_per_declared_output_high</v>
      </c>
      <c r="U4" s="14" t="str">
        <v>protein_g_per_100g</v>
      </c>
      <c r="V4" s="14" t="str">
        <v>protein_g_per_100g_low</v>
      </c>
      <c r="W4" s="14" t="str">
        <v>protein_g_per_100g_high</v>
      </c>
      <c r="X4" s="14" t="str">
        <v>protein_g_per_sale_portion</v>
      </c>
      <c r="Y4" s="14" t="str">
        <v>fat_g_per_declared_output</v>
      </c>
      <c r="Z4" s="14" t="str">
        <v>fat_g_per_declared_output_low</v>
      </c>
      <c r="AA4" s="14" t="str">
        <v>fat_g_per_declared_output_high</v>
      </c>
      <c r="AB4" s="14" t="str">
        <v>fat_g_per_100g</v>
      </c>
      <c r="AC4" s="14" t="str">
        <v>fat_g_per_100g_low</v>
      </c>
      <c r="AD4" s="14" t="str">
        <v>fat_g_per_100g_high</v>
      </c>
      <c r="AE4" s="14" t="str">
        <v>fat_g_per_sale_portion</v>
      </c>
      <c r="AF4" s="14" t="str">
        <v>carbohydrate_g_per_declared_output</v>
      </c>
      <c r="AG4" s="14" t="str">
        <v>carbohydrate_g_per_declared_output_low</v>
      </c>
      <c r="AH4" s="14" t="str">
        <v>carbohydrate_g_per_declared_output_high</v>
      </c>
      <c r="AI4" s="14" t="str">
        <v>carbohydrate_g_per_100g</v>
      </c>
      <c r="AJ4" s="14" t="str">
        <v>carbohydrate_g_per_100g_low</v>
      </c>
      <c r="AK4" s="14" t="str">
        <v>carbohydrate_g_per_100g_high</v>
      </c>
      <c r="AL4" s="14" t="str">
        <v>carbohydrate_g_per_sale_portion</v>
      </c>
      <c r="AM4" s="14" t="str">
        <v>energy_kcal_per_declared_output</v>
      </c>
      <c r="AN4" s="14" t="str">
        <v>energy_kcal_per_declared_output_low</v>
      </c>
      <c r="AO4" s="14" t="str">
        <v>energy_kcal_per_declared_output_high</v>
      </c>
      <c r="AP4" s="14" t="str">
        <v>energy_kcal_per_100g</v>
      </c>
      <c r="AQ4" s="14" t="str">
        <v>energy_kcal_per_100g_low</v>
      </c>
      <c r="AR4" s="14" t="str">
        <v>energy_kcal_per_100g_high</v>
      </c>
      <c r="AS4" s="14" t="str">
        <v>energy_kcal_per_sale_portion</v>
      </c>
      <c r="AT4" s="14" t="str">
        <v>source_energy_vs_atwater_difference_pct</v>
      </c>
      <c r="AU4" s="14" t="str">
        <v>calculation_status</v>
      </c>
      <c r="AV4" s="14" t="str">
        <v>release_status</v>
      </c>
      <c r="AW4" s="14" t="str">
        <v>laboratory_confirmed</v>
      </c>
      <c r="AX4" s="14" t="str">
        <v>evidence_ids</v>
      </c>
      <c r="AY4" s="14" t="str">
        <v>calculation_method</v>
      </c>
      <c r="AZ4" s="14" t="str">
        <v>source_date</v>
      </c>
      <c r="BA4" s="14" t="str">
        <v>confirmation_owner</v>
      </c>
      <c r="BB4" s="14" t="str">
        <v>blocker_ids</v>
      </c>
      <c r="BC4" s="14" t="str">
        <v>limitation</v>
      </c>
      <c r="BD4" s="14" t="str">
        <v>next_action</v>
      </c>
    </row>
    <row r="5">
      <c r="A5" s="34" t="str">
        <v>NUT-DISH-001</v>
      </c>
      <c r="B5" s="35" t="str">
        <v>VKM-001</v>
      </c>
      <c r="C5" s="35" t="str">
        <v>VKC-001</v>
      </c>
      <c r="D5" s="35" t="str">
        <v>VKT-001</v>
      </c>
      <c r="E5" s="35" t="str">
        <v>Пицца</v>
      </c>
      <c r="F5" s="35" t="str">
        <v>Маргарита</v>
      </c>
      <c r="G5" s="35" t="str">
        <v>0.1.0-DRAFT</v>
      </c>
      <c r="H5" s="35" t="str">
        <v>c6b22ad5f2812cc989a0d3593f40e21207da8f53</v>
      </c>
      <c r="I5" s="35" t="str">
        <v>1 пицца</v>
      </c>
      <c r="J5" s="35" t="n">
        <v>450</v>
      </c>
      <c r="K5" s="35" t="str">
        <v>г</v>
      </c>
      <c r="L5" s="35" t="n">
        <v>450</v>
      </c>
      <c r="M5" s="35" t="str">
        <v>г</v>
      </c>
      <c r="N5" s="35" t="str">
        <v>DRAFT: target output used as one sales unit</v>
      </c>
      <c r="O5" s="35" t="n">
        <v>13</v>
      </c>
      <c r="P5" s="35" t="n">
        <v>100</v>
      </c>
      <c r="Q5" s="35" t="n">
        <v>1</v>
      </c>
      <c r="R5" s="35" t="n">
        <v>51.5</v>
      </c>
      <c r="S5" s="35" t="n">
        <v>51.5</v>
      </c>
      <c r="T5" s="35" t="n">
        <v>51.5</v>
      </c>
      <c r="U5" s="35" t="n">
        <v>11.44</v>
      </c>
      <c r="V5" s="35" t="n">
        <v>11.44</v>
      </c>
      <c r="W5" s="35" t="n">
        <v>11.44</v>
      </c>
      <c r="X5" s="35" t="n">
        <v>51.5</v>
      </c>
      <c r="Y5" s="35" t="n">
        <v>64.04</v>
      </c>
      <c r="Z5" s="35" t="n">
        <v>64.04</v>
      </c>
      <c r="AA5" s="35" t="n">
        <v>64.04</v>
      </c>
      <c r="AB5" s="35" t="n">
        <v>14.23</v>
      </c>
      <c r="AC5" s="35" t="n">
        <v>14.23</v>
      </c>
      <c r="AD5" s="35" t="n">
        <v>14.23</v>
      </c>
      <c r="AE5" s="35" t="n">
        <v>64.04</v>
      </c>
      <c r="AF5" s="35" t="n">
        <v>112.39</v>
      </c>
      <c r="AG5" s="35" t="n">
        <v>112.39</v>
      </c>
      <c r="AH5" s="35" t="n">
        <v>112.39</v>
      </c>
      <c r="AI5" s="35" t="n">
        <v>24.98</v>
      </c>
      <c r="AJ5" s="35" t="n">
        <v>24.98</v>
      </c>
      <c r="AK5" s="35" t="n">
        <v>24.98</v>
      </c>
      <c r="AL5" s="35" t="n">
        <v>112.39</v>
      </c>
      <c r="AM5" s="35" t="n">
        <v>1234.18</v>
      </c>
      <c r="AN5" s="35" t="n">
        <v>1234.18</v>
      </c>
      <c r="AO5" s="35" t="n">
        <v>1234.18</v>
      </c>
      <c r="AP5" s="35" t="n">
        <v>274.26</v>
      </c>
      <c r="AQ5" s="35" t="n">
        <v>274.26</v>
      </c>
      <c r="AR5" s="35" t="n">
        <v>274.26</v>
      </c>
      <c r="AS5" s="35" t="n">
        <v>1234.18</v>
      </c>
      <c r="AT5" s="35" t="n">
        <v>0.18</v>
      </c>
      <c r="AU5" s="35" t="str">
        <v>CALCULATED_DRAFT_WITH_ASSUMPTIONS</v>
      </c>
      <c r="AV5" s="35" t="str">
        <v>BLOCKED_PENDING_VALIDATION</v>
      </c>
      <c r="AW5" s="35" t="str">
        <v>false</v>
      </c>
      <c r="AX5" s="35" t="str">
        <v>EVD-0005;EVD-0007;EVD-0008;EVD-0027;EVD-0028;METHOD-NUT-002</v>
      </c>
      <c r="AY5" s="35" t="str">
        <v>Sum net grams × official/proxy nutrient per 100 g; normalize to draft declared output; direct source kcal retained; sensitivity is official-candidate envelope</v>
      </c>
      <c r="AZ5" s="35" t="str">
        <v>2026-08-03</v>
      </c>
      <c r="BA5" s="35" t="str">
        <v>NutritionDataAgent / Procurement / Chef</v>
      </c>
      <c r="BB5" s="35" t="str">
        <v>GAP-005;GAP-013</v>
      </c>
      <c r="BC5" s="35" t="str">
        <v>Planning calculation, not approved nutrition declaration: recipe/output are draft and exact supplier SKU is not confirmed</v>
      </c>
      <c r="BD5" s="36" t="str">
        <v>Chef validates weighed recipe/output; Procurement confirms SKU labels; NutritionDataAgent remaps material differences; laboratory testing only if owner requires confirmed values</v>
      </c>
    </row>
    <row r="6">
      <c r="A6" s="37" t="str">
        <v>NUT-DISH-002</v>
      </c>
      <c r="B6" s="38" t="str">
        <v>VKM-002</v>
      </c>
      <c r="C6" s="38" t="str">
        <v>VKC-002</v>
      </c>
      <c r="D6" s="38" t="str">
        <v>VKT-002</v>
      </c>
      <c r="E6" s="38" t="str">
        <v>Пицца</v>
      </c>
      <c r="F6" s="38" t="str">
        <v>Четыре сыра</v>
      </c>
      <c r="G6" s="38" t="str">
        <v>0.1.0-DRAFT</v>
      </c>
      <c r="H6" s="38" t="str">
        <v>c6b22ad5f2812cc989a0d3593f40e21207da8f53</v>
      </c>
      <c r="I6" s="38" t="str">
        <v>1 пицца</v>
      </c>
      <c r="J6" s="38" t="n">
        <v>480</v>
      </c>
      <c r="K6" s="38" t="str">
        <v>г</v>
      </c>
      <c r="L6" s="38" t="n">
        <v>480</v>
      </c>
      <c r="M6" s="38" t="str">
        <v>г</v>
      </c>
      <c r="N6" s="38" t="str">
        <v>DRAFT: target output used as one sales unit</v>
      </c>
      <c r="O6" s="38" t="n">
        <v>14</v>
      </c>
      <c r="P6" s="38" t="n">
        <v>100</v>
      </c>
      <c r="Q6" s="38" t="n">
        <v>3</v>
      </c>
      <c r="R6" s="38" t="n">
        <v>67.91</v>
      </c>
      <c r="S6" s="38" t="n">
        <v>67.09</v>
      </c>
      <c r="T6" s="38" t="n">
        <v>69.35</v>
      </c>
      <c r="U6" s="38" t="n">
        <v>14.15</v>
      </c>
      <c r="V6" s="38" t="n">
        <v>13.98</v>
      </c>
      <c r="W6" s="38" t="n">
        <v>14.45</v>
      </c>
      <c r="X6" s="38" t="n">
        <v>67.91</v>
      </c>
      <c r="Y6" s="38" t="n">
        <v>83.68</v>
      </c>
      <c r="Z6" s="38" t="n">
        <v>83.68</v>
      </c>
      <c r="AA6" s="38" t="n">
        <v>87.07</v>
      </c>
      <c r="AB6" s="38" t="n">
        <v>17.43</v>
      </c>
      <c r="AC6" s="38" t="n">
        <v>17.43</v>
      </c>
      <c r="AD6" s="38" t="n">
        <v>18.14</v>
      </c>
      <c r="AE6" s="38" t="n">
        <v>83.68</v>
      </c>
      <c r="AF6" s="38" t="n">
        <v>110.75</v>
      </c>
      <c r="AG6" s="38" t="n">
        <v>110.75</v>
      </c>
      <c r="AH6" s="38" t="n">
        <v>111.34</v>
      </c>
      <c r="AI6" s="38" t="n">
        <v>23.07</v>
      </c>
      <c r="AJ6" s="38" t="n">
        <v>23.07</v>
      </c>
      <c r="AK6" s="38" t="n">
        <v>23.2</v>
      </c>
      <c r="AL6" s="38" t="n">
        <v>110.75</v>
      </c>
      <c r="AM6" s="38" t="n">
        <v>1474.03</v>
      </c>
      <c r="AN6" s="38" t="n">
        <v>1474.03</v>
      </c>
      <c r="AO6" s="38" t="n">
        <v>1508.83</v>
      </c>
      <c r="AP6" s="38" t="n">
        <v>307.09</v>
      </c>
      <c r="AQ6" s="38" t="n">
        <v>307.09</v>
      </c>
      <c r="AR6" s="38" t="n">
        <v>314.34</v>
      </c>
      <c r="AS6" s="38" t="n">
        <v>1474.03</v>
      </c>
      <c r="AT6" s="38" t="n">
        <v>0.43</v>
      </c>
      <c r="AU6" s="38" t="str">
        <v>CALCULATED_DRAFT_WITH_ASSUMPTIONS</v>
      </c>
      <c r="AV6" s="38" t="str">
        <v>BLOCKED_PENDING_VALIDATION</v>
      </c>
      <c r="AW6" s="38" t="str">
        <v>false</v>
      </c>
      <c r="AX6" s="38" t="str">
        <v>EVD-0005;EVD-0007;EVD-0008;EVD-0027;EVD-0028;METHOD-NUT-002</v>
      </c>
      <c r="AY6" s="38" t="str">
        <v>Sum net grams × official/proxy nutrient per 100 g; normalize to draft declared output; direct source kcal retained; sensitivity is official-candidate envelope</v>
      </c>
      <c r="AZ6" s="38" t="str">
        <v>2026-08-03</v>
      </c>
      <c r="BA6" s="38" t="str">
        <v>NutritionDataAgent / Procurement / Chef</v>
      </c>
      <c r="BB6" s="38" t="str">
        <v>GAP-005;GAP-013</v>
      </c>
      <c r="BC6" s="38" t="str">
        <v>Planning calculation, not approved nutrition declaration: recipe/output are draft and exact supplier SKU is not confirmed</v>
      </c>
      <c r="BD6" s="39" t="str">
        <v>Chef validates weighed recipe/output; Procurement confirms SKU labels; NutritionDataAgent remaps material differences; laboratory testing only if owner requires confirmed values</v>
      </c>
    </row>
    <row r="7">
      <c r="A7" s="37" t="str">
        <v>NUT-DISH-003</v>
      </c>
      <c r="B7" s="38" t="str">
        <v>VKM-003</v>
      </c>
      <c r="C7" s="38" t="str">
        <v>VKC-003</v>
      </c>
      <c r="D7" s="38" t="str">
        <v>VKT-003</v>
      </c>
      <c r="E7" s="38" t="str">
        <v>Пицца</v>
      </c>
      <c r="F7" s="38" t="str">
        <v>Грибная с ветчиной</v>
      </c>
      <c r="G7" s="38" t="str">
        <v>0.1.0-DRAFT</v>
      </c>
      <c r="H7" s="38" t="str">
        <v>c6b22ad5f2812cc989a0d3593f40e21207da8f53</v>
      </c>
      <c r="I7" s="38" t="str">
        <v>1 пицца</v>
      </c>
      <c r="J7" s="38" t="n">
        <v>500</v>
      </c>
      <c r="K7" s="38" t="str">
        <v>г</v>
      </c>
      <c r="L7" s="38" t="n">
        <v>500</v>
      </c>
      <c r="M7" s="38" t="str">
        <v>г</v>
      </c>
      <c r="N7" s="38" t="str">
        <v>DRAFT: target output used as one sales unit</v>
      </c>
      <c r="O7" s="38" t="n">
        <v>14</v>
      </c>
      <c r="P7" s="38" t="n">
        <v>100</v>
      </c>
      <c r="Q7" s="38" t="n">
        <v>2</v>
      </c>
      <c r="R7" s="38" t="n">
        <v>50.34</v>
      </c>
      <c r="S7" s="38" t="n">
        <v>50.34</v>
      </c>
      <c r="T7" s="38" t="n">
        <v>50.34</v>
      </c>
      <c r="U7" s="38" t="n">
        <v>10.07</v>
      </c>
      <c r="V7" s="38" t="n">
        <v>10.07</v>
      </c>
      <c r="W7" s="38" t="n">
        <v>10.07</v>
      </c>
      <c r="X7" s="38" t="n">
        <v>50.34</v>
      </c>
      <c r="Y7" s="38" t="n">
        <v>55.08</v>
      </c>
      <c r="Z7" s="38" t="n">
        <v>55.08</v>
      </c>
      <c r="AA7" s="38" t="n">
        <v>55.08</v>
      </c>
      <c r="AB7" s="38" t="n">
        <v>11.02</v>
      </c>
      <c r="AC7" s="38" t="n">
        <v>11.02</v>
      </c>
      <c r="AD7" s="38" t="n">
        <v>11.02</v>
      </c>
      <c r="AE7" s="38" t="n">
        <v>55.08</v>
      </c>
      <c r="AF7" s="38" t="n">
        <v>115.15</v>
      </c>
      <c r="AG7" s="38" t="n">
        <v>115.15</v>
      </c>
      <c r="AH7" s="38" t="n">
        <v>115.15</v>
      </c>
      <c r="AI7" s="38" t="n">
        <v>23.03</v>
      </c>
      <c r="AJ7" s="38" t="n">
        <v>23.03</v>
      </c>
      <c r="AK7" s="38" t="n">
        <v>23.03</v>
      </c>
      <c r="AL7" s="38" t="n">
        <v>115.15</v>
      </c>
      <c r="AM7" s="38" t="n">
        <v>1158.43</v>
      </c>
      <c r="AN7" s="38" t="n">
        <v>1158.43</v>
      </c>
      <c r="AO7" s="38" t="n">
        <v>1158.43</v>
      </c>
      <c r="AP7" s="38" t="n">
        <v>231.69</v>
      </c>
      <c r="AQ7" s="38" t="n">
        <v>231.69</v>
      </c>
      <c r="AR7" s="38" t="n">
        <v>231.69</v>
      </c>
      <c r="AS7" s="38" t="n">
        <v>1158.43</v>
      </c>
      <c r="AT7" s="38" t="n">
        <v>0.06</v>
      </c>
      <c r="AU7" s="38" t="str">
        <v>CALCULATED_DRAFT_WITH_ASSUMPTIONS</v>
      </c>
      <c r="AV7" s="38" t="str">
        <v>BLOCKED_PENDING_VALIDATION</v>
      </c>
      <c r="AW7" s="38" t="str">
        <v>false</v>
      </c>
      <c r="AX7" s="38" t="str">
        <v>EVD-0005;EVD-0007;EVD-0008;EVD-0027;EVD-0028;METHOD-NUT-002</v>
      </c>
      <c r="AY7" s="38" t="str">
        <v>Sum net grams × official/proxy nutrient per 100 g; normalize to draft declared output; direct source kcal retained; sensitivity is official-candidate envelope</v>
      </c>
      <c r="AZ7" s="38" t="str">
        <v>2026-08-03</v>
      </c>
      <c r="BA7" s="38" t="str">
        <v>NutritionDataAgent / Procurement / Chef</v>
      </c>
      <c r="BB7" s="38" t="str">
        <v>GAP-005;GAP-013</v>
      </c>
      <c r="BC7" s="38" t="str">
        <v>Planning calculation, not approved nutrition declaration: recipe/output are draft and exact supplier SKU is not confirmed</v>
      </c>
      <c r="BD7" s="39" t="str">
        <v>Chef validates weighed recipe/output; Procurement confirms SKU labels; NutritionDataAgent remaps material differences; laboratory testing only if owner requires confirmed values</v>
      </c>
    </row>
    <row r="8">
      <c r="A8" s="37" t="str">
        <v>NUT-DISH-004</v>
      </c>
      <c r="B8" s="38" t="str">
        <v>VKM-004</v>
      </c>
      <c r="C8" s="38" t="str">
        <v>VKC-004</v>
      </c>
      <c r="D8" s="38" t="str">
        <v>VKT-004</v>
      </c>
      <c r="E8" s="38" t="str">
        <v>Пицца</v>
      </c>
      <c r="F8" s="38" t="str">
        <v>Пепперони</v>
      </c>
      <c r="G8" s="38" t="str">
        <v>0.1.0-DRAFT</v>
      </c>
      <c r="H8" s="38" t="str">
        <v>c6b22ad5f2812cc989a0d3593f40e21207da8f53</v>
      </c>
      <c r="I8" s="38" t="str">
        <v>1 пицца</v>
      </c>
      <c r="J8" s="38" t="n">
        <v>500</v>
      </c>
      <c r="K8" s="38" t="str">
        <v>г</v>
      </c>
      <c r="L8" s="38" t="n">
        <v>500</v>
      </c>
      <c r="M8" s="38" t="str">
        <v>г</v>
      </c>
      <c r="N8" s="38" t="str">
        <v>DRAFT: target output used as one sales unit</v>
      </c>
      <c r="O8" s="38" t="n">
        <v>12</v>
      </c>
      <c r="P8" s="38" t="n">
        <v>100</v>
      </c>
      <c r="Q8" s="38" t="n">
        <v>1</v>
      </c>
      <c r="R8" s="38" t="n">
        <v>60.54</v>
      </c>
      <c r="S8" s="38" t="n">
        <v>60.54</v>
      </c>
      <c r="T8" s="38" t="n">
        <v>60.54</v>
      </c>
      <c r="U8" s="38" t="n">
        <v>12.11</v>
      </c>
      <c r="V8" s="38" t="n">
        <v>12.11</v>
      </c>
      <c r="W8" s="38" t="n">
        <v>12.11</v>
      </c>
      <c r="X8" s="38" t="n">
        <v>60.54</v>
      </c>
      <c r="Y8" s="38" t="n">
        <v>100.71</v>
      </c>
      <c r="Z8" s="38" t="n">
        <v>100.71</v>
      </c>
      <c r="AA8" s="38" t="n">
        <v>100.71</v>
      </c>
      <c r="AB8" s="38" t="n">
        <v>20.14</v>
      </c>
      <c r="AC8" s="38" t="n">
        <v>20.14</v>
      </c>
      <c r="AD8" s="38" t="n">
        <v>20.14</v>
      </c>
      <c r="AE8" s="38" t="n">
        <v>100.71</v>
      </c>
      <c r="AF8" s="38" t="n">
        <v>112.01</v>
      </c>
      <c r="AG8" s="38" t="n">
        <v>112.01</v>
      </c>
      <c r="AH8" s="38" t="n">
        <v>112.01</v>
      </c>
      <c r="AI8" s="38" t="n">
        <v>22.4</v>
      </c>
      <c r="AJ8" s="38" t="n">
        <v>22.4</v>
      </c>
      <c r="AK8" s="38" t="n">
        <v>22.4</v>
      </c>
      <c r="AL8" s="38" t="n">
        <v>112.01</v>
      </c>
      <c r="AM8" s="38" t="n">
        <v>1603.07</v>
      </c>
      <c r="AN8" s="38" t="n">
        <v>1603.07</v>
      </c>
      <c r="AO8" s="38" t="n">
        <v>1603.07</v>
      </c>
      <c r="AP8" s="38" t="n">
        <v>320.61</v>
      </c>
      <c r="AQ8" s="38" t="n">
        <v>320.61</v>
      </c>
      <c r="AR8" s="38" t="n">
        <v>320.61</v>
      </c>
      <c r="AS8" s="38" t="n">
        <v>1603.07</v>
      </c>
      <c r="AT8" s="38" t="n">
        <v>0.4</v>
      </c>
      <c r="AU8" s="38" t="str">
        <v>CALCULATED_DRAFT_WITH_ASSUMPTIONS</v>
      </c>
      <c r="AV8" s="38" t="str">
        <v>BLOCKED_PENDING_VALIDATION</v>
      </c>
      <c r="AW8" s="38" t="str">
        <v>false</v>
      </c>
      <c r="AX8" s="38" t="str">
        <v>EVD-0005;EVD-0007;EVD-0008;EVD-0027;EVD-0028;METHOD-NUT-002</v>
      </c>
      <c r="AY8" s="38" t="str">
        <v>Sum net grams × official/proxy nutrient per 100 g; normalize to draft declared output; direct source kcal retained; sensitivity is official-candidate envelope</v>
      </c>
      <c r="AZ8" s="38" t="str">
        <v>2026-08-03</v>
      </c>
      <c r="BA8" s="38" t="str">
        <v>NutritionDataAgent / Procurement / Chef</v>
      </c>
      <c r="BB8" s="38" t="str">
        <v>GAP-005;GAP-013</v>
      </c>
      <c r="BC8" s="38" t="str">
        <v>Planning calculation, not approved nutrition declaration: recipe/output are draft and exact supplier SKU is not confirmed</v>
      </c>
      <c r="BD8" s="39" t="str">
        <v>Chef validates weighed recipe/output; Procurement confirms SKU labels; NutritionDataAgent remaps material differences; laboratory testing only if owner requires confirmed values</v>
      </c>
    </row>
    <row r="9">
      <c r="A9" s="37" t="str">
        <v>NUT-DISH-005</v>
      </c>
      <c r="B9" s="38" t="str">
        <v>VKM-005</v>
      </c>
      <c r="C9" s="38" t="str">
        <v>VKC-005</v>
      </c>
      <c r="D9" s="38" t="str">
        <v>VKT-005</v>
      </c>
      <c r="E9" s="38" t="str">
        <v>Хлеб</v>
      </c>
      <c r="F9" s="38" t="str">
        <v>Белая чиабатта</v>
      </c>
      <c r="G9" s="38" t="str">
        <v>0.1.0-DRAFT</v>
      </c>
      <c r="H9" s="38" t="str">
        <v>c6b22ad5f2812cc989a0d3593f40e21207da8f53</v>
      </c>
      <c r="I9" s="38" t="str">
        <v>1 изделие</v>
      </c>
      <c r="J9" s="38" t="n">
        <v>100</v>
      </c>
      <c r="K9" s="38" t="str">
        <v>г</v>
      </c>
      <c r="L9" s="38" t="n">
        <v>100</v>
      </c>
      <c r="M9" s="38" t="str">
        <v>г</v>
      </c>
      <c r="N9" s="38" t="str">
        <v>DRAFT: target output used as one sales unit</v>
      </c>
      <c r="O9" s="38" t="n">
        <v>5</v>
      </c>
      <c r="P9" s="38" t="n">
        <v>100</v>
      </c>
      <c r="Q9" s="38" t="n">
        <v>0</v>
      </c>
      <c r="R9" s="38" t="n">
        <v>7.59</v>
      </c>
      <c r="S9" s="38" t="n">
        <v>7.59</v>
      </c>
      <c r="T9" s="38" t="n">
        <v>7.59</v>
      </c>
      <c r="U9" s="38" t="n">
        <v>7.59</v>
      </c>
      <c r="V9" s="38" t="n">
        <v>7.59</v>
      </c>
      <c r="W9" s="38" t="n">
        <v>7.59</v>
      </c>
      <c r="X9" s="38" t="n">
        <v>7.59</v>
      </c>
      <c r="Y9" s="38" t="n">
        <v>9.07</v>
      </c>
      <c r="Z9" s="38" t="n">
        <v>9.07</v>
      </c>
      <c r="AA9" s="38" t="n">
        <v>9.07</v>
      </c>
      <c r="AB9" s="38" t="n">
        <v>9.07</v>
      </c>
      <c r="AC9" s="38" t="n">
        <v>9.07</v>
      </c>
      <c r="AD9" s="38" t="n">
        <v>9.07</v>
      </c>
      <c r="AE9" s="38" t="n">
        <v>9.07</v>
      </c>
      <c r="AF9" s="38" t="n">
        <v>43.93</v>
      </c>
      <c r="AG9" s="38" t="n">
        <v>43.93</v>
      </c>
      <c r="AH9" s="38" t="n">
        <v>43.93</v>
      </c>
      <c r="AI9" s="38" t="n">
        <v>43.93</v>
      </c>
      <c r="AJ9" s="38" t="n">
        <v>43.93</v>
      </c>
      <c r="AK9" s="38" t="n">
        <v>43.93</v>
      </c>
      <c r="AL9" s="38" t="n">
        <v>43.93</v>
      </c>
      <c r="AM9" s="38" t="n">
        <v>290.57</v>
      </c>
      <c r="AN9" s="38" t="n">
        <v>290.57</v>
      </c>
      <c r="AO9" s="38" t="n">
        <v>290.57</v>
      </c>
      <c r="AP9" s="38" t="n">
        <v>290.57</v>
      </c>
      <c r="AQ9" s="38" t="n">
        <v>290.57</v>
      </c>
      <c r="AR9" s="38" t="n">
        <v>290.57</v>
      </c>
      <c r="AS9" s="38" t="n">
        <v>290.57</v>
      </c>
      <c r="AT9" s="38" t="n">
        <v>0.97</v>
      </c>
      <c r="AU9" s="38" t="str">
        <v>CALCULATED_DRAFT</v>
      </c>
      <c r="AV9" s="38" t="str">
        <v>BLOCKED_PENDING_VALIDATION</v>
      </c>
      <c r="AW9" s="38" t="str">
        <v>false</v>
      </c>
      <c r="AX9" s="38" t="str">
        <v>EVD-0005;EVD-0007;EVD-0008;EVD-0027;EVD-0028;METHOD-NUT-002</v>
      </c>
      <c r="AY9" s="38" t="str">
        <v>Sum net grams × official/proxy nutrient per 100 g; normalize to draft declared output; direct source kcal retained; sensitivity is official-candidate envelope</v>
      </c>
      <c r="AZ9" s="38" t="str">
        <v>2026-08-03</v>
      </c>
      <c r="BA9" s="38" t="str">
        <v>NutritionDataAgent / Procurement / Chef</v>
      </c>
      <c r="BB9" s="38" t="str">
        <v>GAP-005;GAP-013</v>
      </c>
      <c r="BC9" s="38" t="str">
        <v>Planning calculation, not approved nutrition declaration: recipe/output are draft and exact supplier SKU is not confirmed</v>
      </c>
      <c r="BD9" s="39" t="str">
        <v>Chef validates weighed recipe/output; Procurement confirms SKU labels; NutritionDataAgent remaps material differences; laboratory testing only if owner requires confirmed values</v>
      </c>
    </row>
    <row r="10">
      <c r="A10" s="37" t="str">
        <v>NUT-DISH-006</v>
      </c>
      <c r="B10" s="38" t="str">
        <v>VKM-006</v>
      </c>
      <c r="C10" s="38" t="str">
        <v>VKC-006</v>
      </c>
      <c r="D10" s="38" t="str">
        <v>VKT-006</v>
      </c>
      <c r="E10" s="38" t="str">
        <v>Хлеб</v>
      </c>
      <c r="F10" s="38" t="str">
        <v>Томатная чиабатта</v>
      </c>
      <c r="G10" s="38" t="str">
        <v>0.1.0-DRAFT</v>
      </c>
      <c r="H10" s="38" t="str">
        <v>c6b22ad5f2812cc989a0d3593f40e21207da8f53</v>
      </c>
      <c r="I10" s="38" t="str">
        <v>1 изделие</v>
      </c>
      <c r="J10" s="38" t="n">
        <v>100</v>
      </c>
      <c r="K10" s="38" t="str">
        <v>г</v>
      </c>
      <c r="L10" s="38" t="n">
        <v>100</v>
      </c>
      <c r="M10" s="38" t="str">
        <v>г</v>
      </c>
      <c r="N10" s="38" t="str">
        <v>DRAFT: target output used as one sales unit</v>
      </c>
      <c r="O10" s="38" t="n">
        <v>7</v>
      </c>
      <c r="P10" s="38" t="n">
        <v>100</v>
      </c>
      <c r="Q10" s="38" t="n">
        <v>1</v>
      </c>
      <c r="R10" s="38" t="n">
        <v>8.68</v>
      </c>
      <c r="S10" s="38" t="n">
        <v>7.96</v>
      </c>
      <c r="T10" s="38" t="n">
        <v>8.68</v>
      </c>
      <c r="U10" s="38" t="n">
        <v>8.68</v>
      </c>
      <c r="V10" s="38" t="n">
        <v>7.96</v>
      </c>
      <c r="W10" s="38" t="n">
        <v>8.68</v>
      </c>
      <c r="X10" s="38" t="n">
        <v>8.68</v>
      </c>
      <c r="Y10" s="38" t="n">
        <v>4.29</v>
      </c>
      <c r="Z10" s="38" t="n">
        <v>4.29</v>
      </c>
      <c r="AA10" s="38" t="n">
        <v>5.18</v>
      </c>
      <c r="AB10" s="38" t="n">
        <v>4.29</v>
      </c>
      <c r="AC10" s="38" t="n">
        <v>4.29</v>
      </c>
      <c r="AD10" s="38" t="n">
        <v>5.18</v>
      </c>
      <c r="AE10" s="38" t="n">
        <v>4.29</v>
      </c>
      <c r="AF10" s="38" t="n">
        <v>47.22</v>
      </c>
      <c r="AG10" s="38" t="n">
        <v>44.63</v>
      </c>
      <c r="AH10" s="38" t="n">
        <v>47.22</v>
      </c>
      <c r="AI10" s="38" t="n">
        <v>47.22</v>
      </c>
      <c r="AJ10" s="38" t="n">
        <v>44.63</v>
      </c>
      <c r="AK10" s="38" t="n">
        <v>47.22</v>
      </c>
      <c r="AL10" s="38" t="n">
        <v>47.22</v>
      </c>
      <c r="AM10" s="38" t="n">
        <v>259.62</v>
      </c>
      <c r="AN10" s="38" t="n">
        <v>256.02</v>
      </c>
      <c r="AO10" s="38" t="n">
        <v>259.62</v>
      </c>
      <c r="AP10" s="38" t="n">
        <v>259.62</v>
      </c>
      <c r="AQ10" s="38" t="n">
        <v>256.02</v>
      </c>
      <c r="AR10" s="38" t="n">
        <v>259.62</v>
      </c>
      <c r="AS10" s="38" t="n">
        <v>259.62</v>
      </c>
      <c r="AT10" s="38" t="n">
        <v>-1</v>
      </c>
      <c r="AU10" s="38" t="str">
        <v>CALCULATED_DRAFT_WITH_ASSUMPTIONS</v>
      </c>
      <c r="AV10" s="38" t="str">
        <v>BLOCKED_PENDING_VALIDATION</v>
      </c>
      <c r="AW10" s="38" t="str">
        <v>false</v>
      </c>
      <c r="AX10" s="38" t="str">
        <v>EVD-0005;EVD-0007;EVD-0008;EVD-0027;EVD-0028;METHOD-NUT-002</v>
      </c>
      <c r="AY10" s="38" t="str">
        <v>Sum net grams × official/proxy nutrient per 100 g; normalize to draft declared output; direct source kcal retained; sensitivity is official-candidate envelope</v>
      </c>
      <c r="AZ10" s="38" t="str">
        <v>2026-08-03</v>
      </c>
      <c r="BA10" s="38" t="str">
        <v>NutritionDataAgent / Procurement / Chef</v>
      </c>
      <c r="BB10" s="38" t="str">
        <v>GAP-005;GAP-013</v>
      </c>
      <c r="BC10" s="38" t="str">
        <v>Planning calculation, not approved nutrition declaration: recipe/output are draft and exact supplier SKU is not confirmed</v>
      </c>
      <c r="BD10" s="39" t="str">
        <v>Chef validates weighed recipe/output; Procurement confirms SKU labels; NutritionDataAgent remaps material differences; laboratory testing only if owner requires confirmed values</v>
      </c>
    </row>
    <row r="11">
      <c r="A11" s="37" t="str">
        <v>NUT-DISH-007</v>
      </c>
      <c r="B11" s="38" t="str">
        <v>VKM-007</v>
      </c>
      <c r="C11" s="38" t="str">
        <v>VKC-007</v>
      </c>
      <c r="D11" s="38" t="str">
        <v>VKT-007</v>
      </c>
      <c r="E11" s="38" t="str">
        <v>Хлеб</v>
      </c>
      <c r="F11" s="38" t="str">
        <v>Бородинский хлеб</v>
      </c>
      <c r="G11" s="38" t="str">
        <v>0.1.0-DRAFT</v>
      </c>
      <c r="H11" s="38" t="str">
        <v>c6b22ad5f2812cc989a0d3593f40e21207da8f53</v>
      </c>
      <c r="I11" s="38" t="str">
        <v>1 буханка</v>
      </c>
      <c r="J11" s="38" t="n">
        <v>350</v>
      </c>
      <c r="K11" s="38" t="str">
        <v>г</v>
      </c>
      <c r="L11" s="38" t="n">
        <v>350</v>
      </c>
      <c r="M11" s="38" t="str">
        <v>г</v>
      </c>
      <c r="N11" s="38" t="str">
        <v>DRAFT: target output used as one sales unit</v>
      </c>
      <c r="O11" s="38" t="n">
        <v>9</v>
      </c>
      <c r="P11" s="38" t="n">
        <v>100</v>
      </c>
      <c r="Q11" s="38" t="n">
        <v>4</v>
      </c>
      <c r="R11" s="38" t="n">
        <v>29.07</v>
      </c>
      <c r="S11" s="38" t="n">
        <v>29.07</v>
      </c>
      <c r="T11" s="38" t="n">
        <v>29.07</v>
      </c>
      <c r="U11" s="38" t="n">
        <v>8.31</v>
      </c>
      <c r="V11" s="38" t="n">
        <v>8.31</v>
      </c>
      <c r="W11" s="38" t="n">
        <v>8.31</v>
      </c>
      <c r="X11" s="38" t="n">
        <v>29.07</v>
      </c>
      <c r="Y11" s="38" t="n">
        <v>7.84</v>
      </c>
      <c r="Z11" s="38" t="n">
        <v>7.84</v>
      </c>
      <c r="AA11" s="38" t="n">
        <v>7.84</v>
      </c>
      <c r="AB11" s="38" t="n">
        <v>2.24</v>
      </c>
      <c r="AC11" s="38" t="n">
        <v>2.24</v>
      </c>
      <c r="AD11" s="38" t="n">
        <v>2.24</v>
      </c>
      <c r="AE11" s="38" t="n">
        <v>7.84</v>
      </c>
      <c r="AF11" s="38" t="n">
        <v>194.11</v>
      </c>
      <c r="AG11" s="38" t="n">
        <v>194.11</v>
      </c>
      <c r="AH11" s="38" t="n">
        <v>194.11</v>
      </c>
      <c r="AI11" s="38" t="n">
        <v>55.46</v>
      </c>
      <c r="AJ11" s="38" t="n">
        <v>55.46</v>
      </c>
      <c r="AK11" s="38" t="n">
        <v>55.46</v>
      </c>
      <c r="AL11" s="38" t="n">
        <v>194.11</v>
      </c>
      <c r="AM11" s="38" t="n">
        <v>943.64</v>
      </c>
      <c r="AN11" s="38" t="n">
        <v>943.64</v>
      </c>
      <c r="AO11" s="38" t="n">
        <v>943.64</v>
      </c>
      <c r="AP11" s="38" t="n">
        <v>269.61</v>
      </c>
      <c r="AQ11" s="38" t="n">
        <v>269.61</v>
      </c>
      <c r="AR11" s="38" t="n">
        <v>269.61</v>
      </c>
      <c r="AS11" s="38" t="n">
        <v>943.64</v>
      </c>
      <c r="AT11" s="38" t="n">
        <v>-2.08</v>
      </c>
      <c r="AU11" s="38" t="str">
        <v>CALCULATED_DRAFT_WITH_ASSUMPTIONS</v>
      </c>
      <c r="AV11" s="38" t="str">
        <v>BLOCKED_PENDING_VALIDATION</v>
      </c>
      <c r="AW11" s="38" t="str">
        <v>false</v>
      </c>
      <c r="AX11" s="38" t="str">
        <v>EVD-0005;EVD-0007;EVD-0008;EVD-0027;EVD-0028;METHOD-NUT-002</v>
      </c>
      <c r="AY11" s="38" t="str">
        <v>Sum net grams × official/proxy nutrient per 100 g; normalize to draft declared output; direct source kcal retained; sensitivity is official-candidate envelope</v>
      </c>
      <c r="AZ11" s="38" t="str">
        <v>2026-08-03</v>
      </c>
      <c r="BA11" s="38" t="str">
        <v>NutritionDataAgent / Procurement / Chef</v>
      </c>
      <c r="BB11" s="38" t="str">
        <v>GAP-005;GAP-013</v>
      </c>
      <c r="BC11" s="38" t="str">
        <v>Planning calculation, not approved nutrition declaration: recipe/output are draft and exact supplier SKU is not confirmed</v>
      </c>
      <c r="BD11" s="39" t="str">
        <v>Chef validates weighed recipe/output; Procurement confirms SKU labels; NutritionDataAgent remaps material differences; laboratory testing only if owner requires confirmed values</v>
      </c>
    </row>
    <row r="12">
      <c r="A12" s="37" t="str">
        <v>NUT-DISH-008</v>
      </c>
      <c r="B12" s="38" t="str">
        <v>VKM-008</v>
      </c>
      <c r="C12" s="38" t="str">
        <v>VKC-008</v>
      </c>
      <c r="D12" s="38" t="str">
        <v>VKT-008</v>
      </c>
      <c r="E12" s="38" t="str">
        <v>Хлеб</v>
      </c>
      <c r="F12" s="38" t="str">
        <v>Бриошь</v>
      </c>
      <c r="G12" s="38" t="str">
        <v>0.1.0-DRAFT</v>
      </c>
      <c r="H12" s="38" t="str">
        <v>c6b22ad5f2812cc989a0d3593f40e21207da8f53</v>
      </c>
      <c r="I12" s="38" t="str">
        <v>1 изделие</v>
      </c>
      <c r="J12" s="38" t="n">
        <v>85</v>
      </c>
      <c r="K12" s="38" t="str">
        <v>г</v>
      </c>
      <c r="L12" s="38" t="n">
        <v>85</v>
      </c>
      <c r="M12" s="38" t="str">
        <v>г</v>
      </c>
      <c r="N12" s="38" t="str">
        <v>DRAFT: target output used as one sales unit</v>
      </c>
      <c r="O12" s="38" t="n">
        <v>8</v>
      </c>
      <c r="P12" s="38" t="n">
        <v>100</v>
      </c>
      <c r="Q12" s="38" t="n">
        <v>3</v>
      </c>
      <c r="R12" s="38" t="n">
        <v>7.63</v>
      </c>
      <c r="S12" s="38" t="n">
        <v>7.63</v>
      </c>
      <c r="T12" s="38" t="n">
        <v>7.66</v>
      </c>
      <c r="U12" s="38" t="n">
        <v>8.98</v>
      </c>
      <c r="V12" s="38" t="n">
        <v>8.98</v>
      </c>
      <c r="W12" s="38" t="n">
        <v>9.01</v>
      </c>
      <c r="X12" s="38" t="n">
        <v>7.63</v>
      </c>
      <c r="Y12" s="38" t="n">
        <v>14.91</v>
      </c>
      <c r="Z12" s="38" t="n">
        <v>14.62</v>
      </c>
      <c r="AA12" s="38" t="n">
        <v>14.91</v>
      </c>
      <c r="AB12" s="38" t="n">
        <v>17.54</v>
      </c>
      <c r="AC12" s="38" t="n">
        <v>17.2</v>
      </c>
      <c r="AD12" s="38" t="n">
        <v>17.54</v>
      </c>
      <c r="AE12" s="38" t="n">
        <v>14.91</v>
      </c>
      <c r="AF12" s="38" t="n">
        <v>33.73</v>
      </c>
      <c r="AG12" s="38" t="n">
        <v>33.73</v>
      </c>
      <c r="AH12" s="38" t="n">
        <v>33.75</v>
      </c>
      <c r="AI12" s="38" t="n">
        <v>39.68</v>
      </c>
      <c r="AJ12" s="38" t="n">
        <v>39.68</v>
      </c>
      <c r="AK12" s="38" t="n">
        <v>39.71</v>
      </c>
      <c r="AL12" s="38" t="n">
        <v>33.73</v>
      </c>
      <c r="AM12" s="38" t="n">
        <v>299.57</v>
      </c>
      <c r="AN12" s="38" t="n">
        <v>297.1</v>
      </c>
      <c r="AO12" s="38" t="n">
        <v>299.57</v>
      </c>
      <c r="AP12" s="38" t="n">
        <v>352.44</v>
      </c>
      <c r="AQ12" s="38" t="n">
        <v>349.53</v>
      </c>
      <c r="AR12" s="38" t="n">
        <v>352.44</v>
      </c>
      <c r="AS12" s="38" t="n">
        <v>299.57</v>
      </c>
      <c r="AT12" s="38" t="n">
        <v>-0.02</v>
      </c>
      <c r="AU12" s="38" t="str">
        <v>CALCULATED_DRAFT_WITH_ASSUMPTIONS</v>
      </c>
      <c r="AV12" s="38" t="str">
        <v>BLOCKED_PENDING_VALIDATION</v>
      </c>
      <c r="AW12" s="38" t="str">
        <v>false</v>
      </c>
      <c r="AX12" s="38" t="str">
        <v>EVD-0005;EVD-0007;EVD-0008;EVD-0027;EVD-0028;METHOD-NUT-002</v>
      </c>
      <c r="AY12" s="38" t="str">
        <v>Sum net grams × official/proxy nutrient per 100 g; normalize to draft declared output; direct source kcal retained; sensitivity is official-candidate envelope</v>
      </c>
      <c r="AZ12" s="38" t="str">
        <v>2026-08-03</v>
      </c>
      <c r="BA12" s="38" t="str">
        <v>NutritionDataAgent / Procurement / Chef</v>
      </c>
      <c r="BB12" s="38" t="str">
        <v>GAP-005;GAP-013</v>
      </c>
      <c r="BC12" s="38" t="str">
        <v>Planning calculation, not approved nutrition declaration: recipe/output are draft and exact supplier SKU is not confirmed</v>
      </c>
      <c r="BD12" s="39" t="str">
        <v>Chef validates weighed recipe/output; Procurement confirms SKU labels; NutritionDataAgent remaps material differences; laboratory testing only if owner requires confirmed values</v>
      </c>
    </row>
    <row r="13">
      <c r="A13" s="37" t="str">
        <v>NUT-DISH-009</v>
      </c>
      <c r="B13" s="38" t="str">
        <v>VKM-009</v>
      </c>
      <c r="C13" s="38" t="str">
        <v>VKC-009</v>
      </c>
      <c r="D13" s="38" t="str">
        <v>VKT-009</v>
      </c>
      <c r="E13" s="38" t="str">
        <v>Салаты</v>
      </c>
      <c r="F13" s="38" t="str">
        <v>Буррата с томатами</v>
      </c>
      <c r="G13" s="38" t="str">
        <v>0.1.0-DRAFT</v>
      </c>
      <c r="H13" s="38" t="str">
        <v>c6b22ad5f2812cc989a0d3593f40e21207da8f53</v>
      </c>
      <c r="I13" s="38" t="str">
        <v>1 порция</v>
      </c>
      <c r="J13" s="38" t="n">
        <v>300</v>
      </c>
      <c r="K13" s="38" t="str">
        <v>г</v>
      </c>
      <c r="L13" s="38" t="n">
        <v>300</v>
      </c>
      <c r="M13" s="38" t="str">
        <v>г</v>
      </c>
      <c r="N13" s="38" t="str">
        <v>DRAFT: target output used as one sales unit</v>
      </c>
      <c r="O13" s="38" t="n">
        <v>8</v>
      </c>
      <c r="P13" s="38" t="n">
        <v>100</v>
      </c>
      <c r="Q13" s="38" t="n">
        <v>4</v>
      </c>
      <c r="R13" s="38" t="n">
        <v>29.35</v>
      </c>
      <c r="S13" s="38" t="n">
        <v>9.21</v>
      </c>
      <c r="T13" s="38" t="n">
        <v>29.48</v>
      </c>
      <c r="U13" s="38" t="n">
        <v>9.78</v>
      </c>
      <c r="V13" s="38" t="n">
        <v>3.07</v>
      </c>
      <c r="W13" s="38" t="n">
        <v>9.83</v>
      </c>
      <c r="X13" s="38" t="n">
        <v>29.35</v>
      </c>
      <c r="Y13" s="38" t="n">
        <v>48.06</v>
      </c>
      <c r="Z13" s="38" t="n">
        <v>47.98</v>
      </c>
      <c r="AA13" s="38" t="n">
        <v>63.52</v>
      </c>
      <c r="AB13" s="38" t="n">
        <v>16.02</v>
      </c>
      <c r="AC13" s="38" t="n">
        <v>15.99</v>
      </c>
      <c r="AD13" s="38" t="n">
        <v>21.17</v>
      </c>
      <c r="AE13" s="38" t="n">
        <v>48.06</v>
      </c>
      <c r="AF13" s="38" t="n">
        <v>10.07</v>
      </c>
      <c r="AG13" s="38" t="n">
        <v>9.7</v>
      </c>
      <c r="AH13" s="38" t="n">
        <v>14.33</v>
      </c>
      <c r="AI13" s="38" t="n">
        <v>3.36</v>
      </c>
      <c r="AJ13" s="38" t="n">
        <v>3.23</v>
      </c>
      <c r="AK13" s="38" t="n">
        <v>4.78</v>
      </c>
      <c r="AL13" s="38" t="n">
        <v>10.07</v>
      </c>
      <c r="AM13" s="38" t="n">
        <v>584.45</v>
      </c>
      <c r="AN13" s="38" t="n">
        <v>581.84</v>
      </c>
      <c r="AO13" s="38" t="n">
        <v>650.81</v>
      </c>
      <c r="AP13" s="38" t="n">
        <v>194.82</v>
      </c>
      <c r="AQ13" s="38" t="n">
        <v>193.95</v>
      </c>
      <c r="AR13" s="38" t="n">
        <v>216.94</v>
      </c>
      <c r="AS13" s="38" t="n">
        <v>584.45</v>
      </c>
      <c r="AT13" s="38" t="n">
        <v>-0.99</v>
      </c>
      <c r="AU13" s="38" t="str">
        <v>CALCULATED_DRAFT_WITH_ASSUMPTIONS</v>
      </c>
      <c r="AV13" s="38" t="str">
        <v>BLOCKED_PENDING_VALIDATION</v>
      </c>
      <c r="AW13" s="38" t="str">
        <v>false</v>
      </c>
      <c r="AX13" s="38" t="str">
        <v>EVD-0005;EVD-0007;EVD-0008;EVD-0027;EVD-0028;METHOD-NUT-002</v>
      </c>
      <c r="AY13" s="38" t="str">
        <v>Sum net grams × official/proxy nutrient per 100 g; normalize to draft declared output; direct source kcal retained; sensitivity is official-candidate envelope</v>
      </c>
      <c r="AZ13" s="38" t="str">
        <v>2026-08-03</v>
      </c>
      <c r="BA13" s="38" t="str">
        <v>NutritionDataAgent / Procurement / Chef</v>
      </c>
      <c r="BB13" s="38" t="str">
        <v>GAP-005;GAP-013</v>
      </c>
      <c r="BC13" s="38" t="str">
        <v>Planning calculation, not approved nutrition declaration: recipe/output are draft and exact supplier SKU is not confirmed</v>
      </c>
      <c r="BD13" s="39" t="str">
        <v>Chef validates weighed recipe/output; Procurement confirms SKU labels; NutritionDataAgent remaps material differences; laboratory testing only if owner requires confirmed values</v>
      </c>
    </row>
    <row r="14">
      <c r="A14" s="37" t="str">
        <v>NUT-DISH-010</v>
      </c>
      <c r="B14" s="38" t="str">
        <v>VKM-010</v>
      </c>
      <c r="C14" s="38" t="str">
        <v>VKC-010</v>
      </c>
      <c r="D14" s="38" t="str">
        <v>VKT-010</v>
      </c>
      <c r="E14" s="38" t="str">
        <v>Салаты</v>
      </c>
      <c r="F14" s="38" t="str">
        <v>Микс-салат с креветками и яблоком</v>
      </c>
      <c r="G14" s="38" t="str">
        <v>0.1.0-DRAFT</v>
      </c>
      <c r="H14" s="38" t="str">
        <v>c6b22ad5f2812cc989a0d3593f40e21207da8f53</v>
      </c>
      <c r="I14" s="38" t="str">
        <v>1 порция</v>
      </c>
      <c r="J14" s="38" t="n">
        <v>280</v>
      </c>
      <c r="K14" s="38" t="str">
        <v>г</v>
      </c>
      <c r="L14" s="38" t="n">
        <v>280</v>
      </c>
      <c r="M14" s="38" t="str">
        <v>г</v>
      </c>
      <c r="N14" s="38" t="str">
        <v>DRAFT: target output used as one sales unit</v>
      </c>
      <c r="O14" s="38" t="n">
        <v>9</v>
      </c>
      <c r="P14" s="38" t="n">
        <v>100</v>
      </c>
      <c r="Q14" s="38" t="n">
        <v>3</v>
      </c>
      <c r="R14" s="38" t="n">
        <v>26.39</v>
      </c>
      <c r="S14" s="38" t="n">
        <v>26.39</v>
      </c>
      <c r="T14" s="38" t="n">
        <v>26.57</v>
      </c>
      <c r="U14" s="38" t="n">
        <v>9.43</v>
      </c>
      <c r="V14" s="38" t="n">
        <v>9.43</v>
      </c>
      <c r="W14" s="38" t="n">
        <v>9.49</v>
      </c>
      <c r="X14" s="38" t="n">
        <v>26.39</v>
      </c>
      <c r="Y14" s="38" t="n">
        <v>13.17</v>
      </c>
      <c r="Z14" s="38" t="n">
        <v>13.17</v>
      </c>
      <c r="AA14" s="38" t="n">
        <v>13.17</v>
      </c>
      <c r="AB14" s="38" t="n">
        <v>4.7</v>
      </c>
      <c r="AC14" s="38" t="n">
        <v>4.7</v>
      </c>
      <c r="AD14" s="38" t="n">
        <v>4.7</v>
      </c>
      <c r="AE14" s="38" t="n">
        <v>13.17</v>
      </c>
      <c r="AF14" s="38" t="n">
        <v>15.67</v>
      </c>
      <c r="AG14" s="38" t="n">
        <v>15.41</v>
      </c>
      <c r="AH14" s="38" t="n">
        <v>15.67</v>
      </c>
      <c r="AI14" s="38" t="n">
        <v>5.6</v>
      </c>
      <c r="AJ14" s="38" t="n">
        <v>5.5</v>
      </c>
      <c r="AK14" s="38" t="n">
        <v>5.6</v>
      </c>
      <c r="AL14" s="38" t="n">
        <v>15.67</v>
      </c>
      <c r="AM14" s="38" t="n">
        <v>278.08</v>
      </c>
      <c r="AN14" s="38" t="n">
        <v>277.58</v>
      </c>
      <c r="AO14" s="38" t="n">
        <v>278.08</v>
      </c>
      <c r="AP14" s="38" t="n">
        <v>99.31</v>
      </c>
      <c r="AQ14" s="38" t="n">
        <v>99.14</v>
      </c>
      <c r="AR14" s="38" t="n">
        <v>99.31</v>
      </c>
      <c r="AS14" s="38" t="n">
        <v>278.08</v>
      </c>
      <c r="AT14" s="38" t="n">
        <v>-3.14</v>
      </c>
      <c r="AU14" s="38" t="str">
        <v>CALCULATED_DRAFT_WITH_ASSUMPTIONS</v>
      </c>
      <c r="AV14" s="38" t="str">
        <v>BLOCKED_PENDING_VALIDATION</v>
      </c>
      <c r="AW14" s="38" t="str">
        <v>false</v>
      </c>
      <c r="AX14" s="38" t="str">
        <v>EVD-0005;EVD-0007;EVD-0008;EVD-0027;EVD-0028;METHOD-NUT-002</v>
      </c>
      <c r="AY14" s="38" t="str">
        <v>Sum net grams × official/proxy nutrient per 100 g; normalize to draft declared output; direct source kcal retained; sensitivity is official-candidate envelope</v>
      </c>
      <c r="AZ14" s="38" t="str">
        <v>2026-08-03</v>
      </c>
      <c r="BA14" s="38" t="str">
        <v>NutritionDataAgent / Procurement / Chef</v>
      </c>
      <c r="BB14" s="38" t="str">
        <v>GAP-005;GAP-013</v>
      </c>
      <c r="BC14" s="38" t="str">
        <v>Planning calculation, not approved nutrition declaration: recipe/output are draft and exact supplier SKU is not confirmed</v>
      </c>
      <c r="BD14" s="39" t="str">
        <v>Chef validates weighed recipe/output; Procurement confirms SKU labels; NutritionDataAgent remaps material differences; laboratory testing only if owner requires confirmed values</v>
      </c>
    </row>
    <row r="15">
      <c r="A15" s="37" t="str">
        <v>NUT-DISH-011</v>
      </c>
      <c r="B15" s="38" t="str">
        <v>VKM-011</v>
      </c>
      <c r="C15" s="38" t="str">
        <v>VKC-011</v>
      </c>
      <c r="D15" s="38" t="str">
        <v>VKT-011</v>
      </c>
      <c r="E15" s="38" t="str">
        <v>Салаты</v>
      </c>
      <c r="F15" s="38" t="str">
        <v>Греческий</v>
      </c>
      <c r="G15" s="38" t="str">
        <v>0.1.0-DRAFT</v>
      </c>
      <c r="H15" s="38" t="str">
        <v>c6b22ad5f2812cc989a0d3593f40e21207da8f53</v>
      </c>
      <c r="I15" s="38" t="str">
        <v>1 порция</v>
      </c>
      <c r="J15" s="38" t="n">
        <v>270</v>
      </c>
      <c r="K15" s="38" t="str">
        <v>г</v>
      </c>
      <c r="L15" s="38" t="n">
        <v>270</v>
      </c>
      <c r="M15" s="38" t="str">
        <v>г</v>
      </c>
      <c r="N15" s="38" t="str">
        <v>DRAFT: target output used as one sales unit</v>
      </c>
      <c r="O15" s="38" t="n">
        <v>9</v>
      </c>
      <c r="P15" s="38" t="n">
        <v>100</v>
      </c>
      <c r="Q15" s="38" t="n">
        <v>3</v>
      </c>
      <c r="R15" s="38" t="n">
        <v>8.96</v>
      </c>
      <c r="S15" s="38" t="n">
        <v>8.88</v>
      </c>
      <c r="T15" s="38" t="n">
        <v>9.01</v>
      </c>
      <c r="U15" s="38" t="n">
        <v>3.32</v>
      </c>
      <c r="V15" s="38" t="n">
        <v>3.29</v>
      </c>
      <c r="W15" s="38" t="n">
        <v>3.34</v>
      </c>
      <c r="X15" s="38" t="n">
        <v>8.96</v>
      </c>
      <c r="Y15" s="38" t="n">
        <v>21.19</v>
      </c>
      <c r="Z15" s="38" t="n">
        <v>20.29</v>
      </c>
      <c r="AA15" s="38" t="n">
        <v>21.21</v>
      </c>
      <c r="AB15" s="38" t="n">
        <v>7.85</v>
      </c>
      <c r="AC15" s="38" t="n">
        <v>7.51</v>
      </c>
      <c r="AD15" s="38" t="n">
        <v>7.86</v>
      </c>
      <c r="AE15" s="38" t="n">
        <v>21.19</v>
      </c>
      <c r="AF15" s="38" t="n">
        <v>11.83</v>
      </c>
      <c r="AG15" s="38" t="n">
        <v>11.48</v>
      </c>
      <c r="AH15" s="38" t="n">
        <v>12.61</v>
      </c>
      <c r="AI15" s="38" t="n">
        <v>4.38</v>
      </c>
      <c r="AJ15" s="38" t="n">
        <v>4.25</v>
      </c>
      <c r="AK15" s="38" t="n">
        <v>4.67</v>
      </c>
      <c r="AL15" s="38" t="n">
        <v>11.83</v>
      </c>
      <c r="AM15" s="38" t="n">
        <v>262.94</v>
      </c>
      <c r="AN15" s="38" t="n">
        <v>255.82</v>
      </c>
      <c r="AO15" s="38" t="n">
        <v>264.27</v>
      </c>
      <c r="AP15" s="38" t="n">
        <v>97.39</v>
      </c>
      <c r="AQ15" s="38" t="n">
        <v>94.75</v>
      </c>
      <c r="AR15" s="38" t="n">
        <v>97.88</v>
      </c>
      <c r="AS15" s="38" t="n">
        <v>262.94</v>
      </c>
      <c r="AT15" s="38" t="n">
        <v>-4.16</v>
      </c>
      <c r="AU15" s="38" t="str">
        <v>CALCULATED_DRAFT_WITH_ASSUMPTIONS</v>
      </c>
      <c r="AV15" s="38" t="str">
        <v>BLOCKED_PENDING_VALIDATION</v>
      </c>
      <c r="AW15" s="38" t="str">
        <v>false</v>
      </c>
      <c r="AX15" s="38" t="str">
        <v>EVD-0005;EVD-0007;EVD-0008;EVD-0027;EVD-0028;METHOD-NUT-002</v>
      </c>
      <c r="AY15" s="38" t="str">
        <v>Sum net grams × official/proxy nutrient per 100 g; normalize to draft declared output; direct source kcal retained; sensitivity is official-candidate envelope</v>
      </c>
      <c r="AZ15" s="38" t="str">
        <v>2026-08-03</v>
      </c>
      <c r="BA15" s="38" t="str">
        <v>NutritionDataAgent / Procurement / Chef</v>
      </c>
      <c r="BB15" s="38" t="str">
        <v>GAP-005;GAP-013</v>
      </c>
      <c r="BC15" s="38" t="str">
        <v>Planning calculation, not approved nutrition declaration: recipe/output are draft and exact supplier SKU is not confirmed</v>
      </c>
      <c r="BD15" s="39" t="str">
        <v>Chef validates weighed recipe/output; Procurement confirms SKU labels; NutritionDataAgent remaps material differences; laboratory testing only if owner requires confirmed values</v>
      </c>
    </row>
    <row r="16">
      <c r="A16" s="37" t="str">
        <v>NUT-DISH-012</v>
      </c>
      <c r="B16" s="38" t="str">
        <v>VKM-012</v>
      </c>
      <c r="C16" s="38" t="str">
        <v>VKC-012</v>
      </c>
      <c r="D16" s="38" t="str">
        <v>VKT-012</v>
      </c>
      <c r="E16" s="38" t="str">
        <v>Салаты</v>
      </c>
      <c r="F16" s="38" t="str">
        <v>Винегрет</v>
      </c>
      <c r="G16" s="38" t="str">
        <v>0.1.0-DRAFT</v>
      </c>
      <c r="H16" s="38" t="str">
        <v>c6b22ad5f2812cc989a0d3593f40e21207da8f53</v>
      </c>
      <c r="I16" s="38" t="str">
        <v>1 порция</v>
      </c>
      <c r="J16" s="38" t="n">
        <v>240</v>
      </c>
      <c r="K16" s="38" t="str">
        <v>г</v>
      </c>
      <c r="L16" s="38" t="n">
        <v>240</v>
      </c>
      <c r="M16" s="38" t="str">
        <v>г</v>
      </c>
      <c r="N16" s="38" t="str">
        <v>DRAFT: target output used as one sales unit</v>
      </c>
      <c r="O16" s="38" t="n">
        <v>8</v>
      </c>
      <c r="P16" s="38" t="n">
        <v>100</v>
      </c>
      <c r="Q16" s="38" t="n">
        <v>2</v>
      </c>
      <c r="R16" s="38" t="n">
        <v>3.62</v>
      </c>
      <c r="S16" s="38" t="n">
        <v>3.62</v>
      </c>
      <c r="T16" s="38" t="n">
        <v>3.62</v>
      </c>
      <c r="U16" s="38" t="n">
        <v>1.51</v>
      </c>
      <c r="V16" s="38" t="n">
        <v>1.51</v>
      </c>
      <c r="W16" s="38" t="n">
        <v>1.51</v>
      </c>
      <c r="X16" s="38" t="n">
        <v>3.62</v>
      </c>
      <c r="Y16" s="38" t="n">
        <v>5.52</v>
      </c>
      <c r="Z16" s="38" t="n">
        <v>5.52</v>
      </c>
      <c r="AA16" s="38" t="n">
        <v>5.52</v>
      </c>
      <c r="AB16" s="38" t="n">
        <v>2.3</v>
      </c>
      <c r="AC16" s="38" t="n">
        <v>2.3</v>
      </c>
      <c r="AD16" s="38" t="n">
        <v>2.3</v>
      </c>
      <c r="AE16" s="38" t="n">
        <v>5.52</v>
      </c>
      <c r="AF16" s="38" t="n">
        <v>26.73</v>
      </c>
      <c r="AG16" s="38" t="n">
        <v>26.73</v>
      </c>
      <c r="AH16" s="38" t="n">
        <v>26.73</v>
      </c>
      <c r="AI16" s="38" t="n">
        <v>11.14</v>
      </c>
      <c r="AJ16" s="38" t="n">
        <v>11.14</v>
      </c>
      <c r="AK16" s="38" t="n">
        <v>11.14</v>
      </c>
      <c r="AL16" s="38" t="n">
        <v>26.73</v>
      </c>
      <c r="AM16" s="38" t="n">
        <v>162.75</v>
      </c>
      <c r="AN16" s="38" t="n">
        <v>162.75</v>
      </c>
      <c r="AO16" s="38" t="n">
        <v>162.75</v>
      </c>
      <c r="AP16" s="38" t="n">
        <v>67.81</v>
      </c>
      <c r="AQ16" s="38" t="n">
        <v>67.81</v>
      </c>
      <c r="AR16" s="38" t="n">
        <v>67.81</v>
      </c>
      <c r="AS16" s="38" t="n">
        <v>162.75</v>
      </c>
      <c r="AT16" s="38" t="n">
        <v>-5.1</v>
      </c>
      <c r="AU16" s="38" t="str">
        <v>CALCULATED_DRAFT_WITH_ASSUMPTIONS</v>
      </c>
      <c r="AV16" s="38" t="str">
        <v>BLOCKED_PENDING_VALIDATION</v>
      </c>
      <c r="AW16" s="38" t="str">
        <v>false</v>
      </c>
      <c r="AX16" s="38" t="str">
        <v>EVD-0005;EVD-0007;EVD-0008;EVD-0027;EVD-0028;METHOD-NUT-002</v>
      </c>
      <c r="AY16" s="38" t="str">
        <v>Sum net grams × official/proxy nutrient per 100 g; normalize to draft declared output; direct source kcal retained; sensitivity is official-candidate envelope</v>
      </c>
      <c r="AZ16" s="38" t="str">
        <v>2026-08-03</v>
      </c>
      <c r="BA16" s="38" t="str">
        <v>NutritionDataAgent / Procurement / Chef</v>
      </c>
      <c r="BB16" s="38" t="str">
        <v>GAP-005;GAP-013</v>
      </c>
      <c r="BC16" s="38" t="str">
        <v>Planning calculation, not approved nutrition declaration: recipe/output are draft and exact supplier SKU is not confirmed</v>
      </c>
      <c r="BD16" s="39" t="str">
        <v>Chef validates weighed recipe/output; Procurement confirms SKU labels; NutritionDataAgent remaps material differences; laboratory testing only if owner requires confirmed values</v>
      </c>
    </row>
    <row r="17">
      <c r="A17" s="37" t="str">
        <v>NUT-DISH-013</v>
      </c>
      <c r="B17" s="38" t="str">
        <v>VKM-013</v>
      </c>
      <c r="C17" s="38" t="str">
        <v>VKC-013</v>
      </c>
      <c r="D17" s="38" t="str">
        <v>VKT-013</v>
      </c>
      <c r="E17" s="38" t="str">
        <v>Холодные закуски</v>
      </c>
      <c r="F17" s="38" t="str">
        <v>Слабосолёный лосось</v>
      </c>
      <c r="G17" s="38" t="str">
        <v>0.1.0-DRAFT</v>
      </c>
      <c r="H17" s="38" t="str">
        <v>c6b22ad5f2812cc989a0d3593f40e21207da8f53</v>
      </c>
      <c r="I17" s="38" t="str">
        <v>1 порция</v>
      </c>
      <c r="J17" s="38" t="n">
        <v>130</v>
      </c>
      <c r="K17" s="38" t="str">
        <v>г</v>
      </c>
      <c r="L17" s="38" t="n">
        <v>130</v>
      </c>
      <c r="M17" s="38" t="str">
        <v>г</v>
      </c>
      <c r="N17" s="38" t="str">
        <v>DRAFT: target output used as one sales unit</v>
      </c>
      <c r="O17" s="38" t="n">
        <v>5</v>
      </c>
      <c r="P17" s="38" t="n">
        <v>100</v>
      </c>
      <c r="Q17" s="38" t="n">
        <v>3</v>
      </c>
      <c r="R17" s="38" t="n">
        <v>18.64</v>
      </c>
      <c r="S17" s="38" t="n">
        <v>18.64</v>
      </c>
      <c r="T17" s="38" t="n">
        <v>23.16</v>
      </c>
      <c r="U17" s="38" t="n">
        <v>14.34</v>
      </c>
      <c r="V17" s="38" t="n">
        <v>14.34</v>
      </c>
      <c r="W17" s="38" t="n">
        <v>17.82</v>
      </c>
      <c r="X17" s="38" t="n">
        <v>18.64</v>
      </c>
      <c r="Y17" s="38" t="n">
        <v>9.41</v>
      </c>
      <c r="Z17" s="38" t="n">
        <v>9.41</v>
      </c>
      <c r="AA17" s="38" t="n">
        <v>15.19</v>
      </c>
      <c r="AB17" s="38" t="n">
        <v>7.24</v>
      </c>
      <c r="AC17" s="38" t="n">
        <v>7.24</v>
      </c>
      <c r="AD17" s="38" t="n">
        <v>11.68</v>
      </c>
      <c r="AE17" s="38" t="n">
        <v>9.41</v>
      </c>
      <c r="AF17" s="38" t="n">
        <v>1.46</v>
      </c>
      <c r="AG17" s="38" t="n">
        <v>1.46</v>
      </c>
      <c r="AH17" s="38" t="n">
        <v>1.96</v>
      </c>
      <c r="AI17" s="38" t="n">
        <v>1.13</v>
      </c>
      <c r="AJ17" s="38" t="n">
        <v>1.13</v>
      </c>
      <c r="AK17" s="38" t="n">
        <v>1.51</v>
      </c>
      <c r="AL17" s="38" t="n">
        <v>1.46</v>
      </c>
      <c r="AM17" s="38" t="n">
        <v>166.75</v>
      </c>
      <c r="AN17" s="38" t="n">
        <v>166.75</v>
      </c>
      <c r="AO17" s="38" t="n">
        <v>233.75</v>
      </c>
      <c r="AP17" s="38" t="n">
        <v>128.27</v>
      </c>
      <c r="AQ17" s="38" t="n">
        <v>128.27</v>
      </c>
      <c r="AR17" s="38" t="n">
        <v>179.81</v>
      </c>
      <c r="AS17" s="38" t="n">
        <v>166.75</v>
      </c>
      <c r="AT17" s="38" t="n">
        <v>0.99</v>
      </c>
      <c r="AU17" s="38" t="str">
        <v>CALCULATED_DRAFT_WITH_ASSUMPTIONS</v>
      </c>
      <c r="AV17" s="38" t="str">
        <v>BLOCKED_PENDING_VALIDATION</v>
      </c>
      <c r="AW17" s="38" t="str">
        <v>false</v>
      </c>
      <c r="AX17" s="38" t="str">
        <v>EVD-0005;EVD-0007;EVD-0008;EVD-0027;EVD-0028;METHOD-NUT-002</v>
      </c>
      <c r="AY17" s="38" t="str">
        <v>Sum net grams × official/proxy nutrient per 100 g; normalize to draft declared output; direct source kcal retained; sensitivity is official-candidate envelope</v>
      </c>
      <c r="AZ17" s="38" t="str">
        <v>2026-08-03</v>
      </c>
      <c r="BA17" s="38" t="str">
        <v>NutritionDataAgent / Procurement / Chef</v>
      </c>
      <c r="BB17" s="38" t="str">
        <v>GAP-005;GAP-013</v>
      </c>
      <c r="BC17" s="38" t="str">
        <v>Planning calculation, not approved nutrition declaration: recipe/output are draft and exact supplier SKU is not confirmed</v>
      </c>
      <c r="BD17" s="39" t="str">
        <v>Chef validates weighed recipe/output; Procurement confirms SKU labels; NutritionDataAgent remaps material differences; laboratory testing only if owner requires confirmed values</v>
      </c>
    </row>
    <row r="18">
      <c r="A18" s="37" t="str">
        <v>NUT-DISH-014</v>
      </c>
      <c r="B18" s="38" t="str">
        <v>VKM-014</v>
      </c>
      <c r="C18" s="38" t="str">
        <v>VKC-014</v>
      </c>
      <c r="D18" s="38" t="str">
        <v>VKT-014</v>
      </c>
      <c r="E18" s="38" t="str">
        <v>Холодные закуски</v>
      </c>
      <c r="F18" s="38" t="str">
        <v>Сельдь с запечённым картофелем</v>
      </c>
      <c r="G18" s="38" t="str">
        <v>0.1.0-DRAFT</v>
      </c>
      <c r="H18" s="38" t="str">
        <v>c6b22ad5f2812cc989a0d3593f40e21207da8f53</v>
      </c>
      <c r="I18" s="38" t="str">
        <v>1 порция</v>
      </c>
      <c r="J18" s="38" t="n">
        <v>250</v>
      </c>
      <c r="K18" s="38" t="str">
        <v>г</v>
      </c>
      <c r="L18" s="38" t="n">
        <v>250</v>
      </c>
      <c r="M18" s="38" t="str">
        <v>г</v>
      </c>
      <c r="N18" s="38" t="str">
        <v>DRAFT: target output used as one sales unit</v>
      </c>
      <c r="O18" s="38" t="n">
        <v>6</v>
      </c>
      <c r="P18" s="38" t="n">
        <v>100</v>
      </c>
      <c r="Q18" s="38" t="n">
        <v>3</v>
      </c>
      <c r="R18" s="38" t="n">
        <v>20.79</v>
      </c>
      <c r="S18" s="38" t="n">
        <v>19.6</v>
      </c>
      <c r="T18" s="38" t="n">
        <v>20.79</v>
      </c>
      <c r="U18" s="38" t="n">
        <v>8.32</v>
      </c>
      <c r="V18" s="38" t="n">
        <v>7.84</v>
      </c>
      <c r="W18" s="38" t="n">
        <v>8.32</v>
      </c>
      <c r="X18" s="38" t="n">
        <v>20.79</v>
      </c>
      <c r="Y18" s="38" t="n">
        <v>18.86</v>
      </c>
      <c r="Z18" s="38" t="n">
        <v>18.86</v>
      </c>
      <c r="AA18" s="38" t="n">
        <v>20.81</v>
      </c>
      <c r="AB18" s="38" t="n">
        <v>7.54</v>
      </c>
      <c r="AC18" s="38" t="n">
        <v>7.54</v>
      </c>
      <c r="AD18" s="38" t="n">
        <v>8.32</v>
      </c>
      <c r="AE18" s="38" t="n">
        <v>18.86</v>
      </c>
      <c r="AF18" s="38" t="n">
        <v>29.35</v>
      </c>
      <c r="AG18" s="38" t="n">
        <v>29.35</v>
      </c>
      <c r="AH18" s="38" t="n">
        <v>38.85</v>
      </c>
      <c r="AI18" s="38" t="n">
        <v>11.74</v>
      </c>
      <c r="AJ18" s="38" t="n">
        <v>11.74</v>
      </c>
      <c r="AK18" s="38" t="n">
        <v>15.54</v>
      </c>
      <c r="AL18" s="38" t="n">
        <v>29.35</v>
      </c>
      <c r="AM18" s="38" t="n">
        <v>368.85</v>
      </c>
      <c r="AN18" s="38" t="n">
        <v>368.85</v>
      </c>
      <c r="AO18" s="38" t="n">
        <v>417.3</v>
      </c>
      <c r="AP18" s="38" t="n">
        <v>147.54</v>
      </c>
      <c r="AQ18" s="38" t="n">
        <v>147.54</v>
      </c>
      <c r="AR18" s="38" t="n">
        <v>166.92</v>
      </c>
      <c r="AS18" s="38" t="n">
        <v>368.85</v>
      </c>
      <c r="AT18" s="38" t="n">
        <v>-0.38</v>
      </c>
      <c r="AU18" s="38" t="str">
        <v>CALCULATED_DRAFT_WITH_ASSUMPTIONS</v>
      </c>
      <c r="AV18" s="38" t="str">
        <v>BLOCKED_PENDING_VALIDATION</v>
      </c>
      <c r="AW18" s="38" t="str">
        <v>false</v>
      </c>
      <c r="AX18" s="38" t="str">
        <v>EVD-0005;EVD-0007;EVD-0008;EVD-0027;EVD-0028;METHOD-NUT-002</v>
      </c>
      <c r="AY18" s="38" t="str">
        <v>Sum net grams × official/proxy nutrient per 100 g; normalize to draft declared output; direct source kcal retained; sensitivity is official-candidate envelope</v>
      </c>
      <c r="AZ18" s="38" t="str">
        <v>2026-08-03</v>
      </c>
      <c r="BA18" s="38" t="str">
        <v>NutritionDataAgent / Procurement / Chef</v>
      </c>
      <c r="BB18" s="38" t="str">
        <v>GAP-005;GAP-013</v>
      </c>
      <c r="BC18" s="38" t="str">
        <v>Planning calculation, not approved nutrition declaration: recipe/output are draft and exact supplier SKU is not confirmed</v>
      </c>
      <c r="BD18" s="39" t="str">
        <v>Chef validates weighed recipe/output; Procurement confirms SKU labels; NutritionDataAgent remaps material differences; laboratory testing only if owner requires confirmed values</v>
      </c>
    </row>
    <row r="19">
      <c r="A19" s="37" t="str">
        <v>NUT-DISH-015</v>
      </c>
      <c r="B19" s="38" t="str">
        <v>VKM-015</v>
      </c>
      <c r="C19" s="38" t="str">
        <v>VKC-015</v>
      </c>
      <c r="D19" s="38" t="str">
        <v>VKT-015</v>
      </c>
      <c r="E19" s="38" t="str">
        <v>Холодные закуски</v>
      </c>
      <c r="F19" s="38" t="str">
        <v>Оливки и маслины</v>
      </c>
      <c r="G19" s="38" t="str">
        <v>0.1.0-DRAFT</v>
      </c>
      <c r="H19" s="38" t="str">
        <v>c6b22ad5f2812cc989a0d3593f40e21207da8f53</v>
      </c>
      <c r="I19" s="38" t="str">
        <v>1 порция</v>
      </c>
      <c r="J19" s="38" t="n">
        <v>120</v>
      </c>
      <c r="K19" s="38" t="str">
        <v>г</v>
      </c>
      <c r="L19" s="38" t="n">
        <v>120</v>
      </c>
      <c r="M19" s="38" t="str">
        <v>г</v>
      </c>
      <c r="N19" s="38" t="str">
        <v>DRAFT: target output used as one sales unit</v>
      </c>
      <c r="O19" s="38" t="n">
        <v>6</v>
      </c>
      <c r="P19" s="38" t="n">
        <v>100</v>
      </c>
      <c r="Q19" s="38" t="n">
        <v>1</v>
      </c>
      <c r="R19" s="38" t="n">
        <v>1.71</v>
      </c>
      <c r="S19" s="38" t="n">
        <v>1.71</v>
      </c>
      <c r="T19" s="38" t="n">
        <v>1.71</v>
      </c>
      <c r="U19" s="38" t="n">
        <v>1.43</v>
      </c>
      <c r="V19" s="38" t="n">
        <v>1.43</v>
      </c>
      <c r="W19" s="38" t="n">
        <v>1.43</v>
      </c>
      <c r="X19" s="38" t="n">
        <v>1.71</v>
      </c>
      <c r="Y19" s="38" t="n">
        <v>23.55</v>
      </c>
      <c r="Z19" s="38" t="n">
        <v>23.55</v>
      </c>
      <c r="AA19" s="38" t="n">
        <v>23.55</v>
      </c>
      <c r="AB19" s="38" t="n">
        <v>19.63</v>
      </c>
      <c r="AC19" s="38" t="n">
        <v>19.63</v>
      </c>
      <c r="AD19" s="38" t="n">
        <v>19.63</v>
      </c>
      <c r="AE19" s="38" t="n">
        <v>23.55</v>
      </c>
      <c r="AF19" s="38" t="n">
        <v>8.03</v>
      </c>
      <c r="AG19" s="38" t="n">
        <v>7.9</v>
      </c>
      <c r="AH19" s="38" t="n">
        <v>8.17</v>
      </c>
      <c r="AI19" s="38" t="n">
        <v>6.69</v>
      </c>
      <c r="AJ19" s="38" t="n">
        <v>6.58</v>
      </c>
      <c r="AK19" s="38" t="n">
        <v>6.81</v>
      </c>
      <c r="AL19" s="38" t="n">
        <v>8.03</v>
      </c>
      <c r="AM19" s="38" t="n">
        <v>237.09</v>
      </c>
      <c r="AN19" s="38" t="n">
        <v>236.34</v>
      </c>
      <c r="AO19" s="38" t="n">
        <v>237.84</v>
      </c>
      <c r="AP19" s="38" t="n">
        <v>197.57</v>
      </c>
      <c r="AQ19" s="38" t="n">
        <v>196.95</v>
      </c>
      <c r="AR19" s="38" t="n">
        <v>198.2</v>
      </c>
      <c r="AS19" s="38" t="n">
        <v>237.09</v>
      </c>
      <c r="AT19" s="38" t="n">
        <v>-5.84</v>
      </c>
      <c r="AU19" s="38" t="str">
        <v>CALCULATED_DRAFT_WITH_ASSUMPTIONS</v>
      </c>
      <c r="AV19" s="38" t="str">
        <v>BLOCKED_PENDING_VALIDATION</v>
      </c>
      <c r="AW19" s="38" t="str">
        <v>false</v>
      </c>
      <c r="AX19" s="38" t="str">
        <v>EVD-0005;EVD-0007;EVD-0008;EVD-0027;EVD-0028;METHOD-NUT-002</v>
      </c>
      <c r="AY19" s="38" t="str">
        <v>Sum net grams × official/proxy nutrient per 100 g; normalize to draft declared output; direct source kcal retained; sensitivity is official-candidate envelope</v>
      </c>
      <c r="AZ19" s="38" t="str">
        <v>2026-08-03</v>
      </c>
      <c r="BA19" s="38" t="str">
        <v>NutritionDataAgent / Procurement / Chef</v>
      </c>
      <c r="BB19" s="38" t="str">
        <v>GAP-005;GAP-013</v>
      </c>
      <c r="BC19" s="38" t="str">
        <v>Planning calculation, not approved nutrition declaration: recipe/output are draft and exact supplier SKU is not confirmed</v>
      </c>
      <c r="BD19" s="39" t="str">
        <v>Chef validates weighed recipe/output; Procurement confirms SKU labels; NutritionDataAgent remaps material differences; laboratory testing only if owner requires confirmed values</v>
      </c>
    </row>
    <row r="20">
      <c r="A20" s="37" t="str">
        <v>NUT-DISH-016</v>
      </c>
      <c r="B20" s="38" t="str">
        <v>VKM-016</v>
      </c>
      <c r="C20" s="38" t="str">
        <v>VKC-016</v>
      </c>
      <c r="D20" s="38" t="str">
        <v>VKT-016</v>
      </c>
      <c r="E20" s="38" t="str">
        <v>Холодные закуски</v>
      </c>
      <c r="F20" s="38" t="str">
        <v>Ассорти фирменных солений</v>
      </c>
      <c r="G20" s="38" t="str">
        <v>0.1.0-DRAFT</v>
      </c>
      <c r="H20" s="38" t="str">
        <v>c6b22ad5f2812cc989a0d3593f40e21207da8f53</v>
      </c>
      <c r="I20" s="38" t="str">
        <v>1 порция</v>
      </c>
      <c r="J20" s="38" t="n">
        <v>180</v>
      </c>
      <c r="K20" s="38" t="str">
        <v>г</v>
      </c>
      <c r="L20" s="38" t="n">
        <v>180</v>
      </c>
      <c r="M20" s="38" t="str">
        <v>г</v>
      </c>
      <c r="N20" s="38" t="str">
        <v>DRAFT: target output used as one sales unit</v>
      </c>
      <c r="O20" s="38" t="n">
        <v>9</v>
      </c>
      <c r="P20" s="38" t="n">
        <v>100</v>
      </c>
      <c r="Q20" s="38" t="n">
        <v>2</v>
      </c>
      <c r="R20" s="38" t="n">
        <v>1.53</v>
      </c>
      <c r="S20" s="38" t="n">
        <v>1.53</v>
      </c>
      <c r="T20" s="38" t="n">
        <v>1.53</v>
      </c>
      <c r="U20" s="38" t="n">
        <v>0.85</v>
      </c>
      <c r="V20" s="38" t="n">
        <v>0.85</v>
      </c>
      <c r="W20" s="38" t="n">
        <v>0.85</v>
      </c>
      <c r="X20" s="38" t="n">
        <v>1.53</v>
      </c>
      <c r="Y20" s="38" t="n">
        <v>5.27</v>
      </c>
      <c r="Z20" s="38" t="n">
        <v>5.27</v>
      </c>
      <c r="AA20" s="38" t="n">
        <v>5.27</v>
      </c>
      <c r="AB20" s="38" t="n">
        <v>2.93</v>
      </c>
      <c r="AC20" s="38" t="n">
        <v>2.93</v>
      </c>
      <c r="AD20" s="38" t="n">
        <v>2.93</v>
      </c>
      <c r="AE20" s="38" t="n">
        <v>5.27</v>
      </c>
      <c r="AF20" s="38" t="n">
        <v>11.75</v>
      </c>
      <c r="AG20" s="38" t="n">
        <v>11.75</v>
      </c>
      <c r="AH20" s="38" t="n">
        <v>11.75</v>
      </c>
      <c r="AI20" s="38" t="n">
        <v>6.53</v>
      </c>
      <c r="AJ20" s="38" t="n">
        <v>6.53</v>
      </c>
      <c r="AK20" s="38" t="n">
        <v>6.53</v>
      </c>
      <c r="AL20" s="38" t="n">
        <v>11.75</v>
      </c>
      <c r="AM20" s="38" t="n">
        <v>94.14</v>
      </c>
      <c r="AN20" s="38" t="n">
        <v>94.14</v>
      </c>
      <c r="AO20" s="38" t="n">
        <v>94.14</v>
      </c>
      <c r="AP20" s="38" t="n">
        <v>52.3</v>
      </c>
      <c r="AQ20" s="38" t="n">
        <v>52.3</v>
      </c>
      <c r="AR20" s="38" t="n">
        <v>52.3</v>
      </c>
      <c r="AS20" s="38" t="n">
        <v>94.14</v>
      </c>
      <c r="AT20" s="38" t="n">
        <v>-6.85</v>
      </c>
      <c r="AU20" s="38" t="str">
        <v>CALCULATED_DRAFT_WITH_ASSUMPTIONS</v>
      </c>
      <c r="AV20" s="38" t="str">
        <v>BLOCKED_PENDING_VALIDATION</v>
      </c>
      <c r="AW20" s="38" t="str">
        <v>false</v>
      </c>
      <c r="AX20" s="38" t="str">
        <v>EVD-0005;EVD-0007;EVD-0008;EVD-0027;EVD-0028;METHOD-NUT-002</v>
      </c>
      <c r="AY20" s="38" t="str">
        <v>Sum net grams × official/proxy nutrient per 100 g; normalize to draft declared output; direct source kcal retained; sensitivity is official-candidate envelope</v>
      </c>
      <c r="AZ20" s="38" t="str">
        <v>2026-08-03</v>
      </c>
      <c r="BA20" s="38" t="str">
        <v>NutritionDataAgent / Procurement / Chef</v>
      </c>
      <c r="BB20" s="38" t="str">
        <v>GAP-005;GAP-013</v>
      </c>
      <c r="BC20" s="38" t="str">
        <v>Planning calculation, not approved nutrition declaration: recipe/output are draft and exact supplier SKU is not confirmed</v>
      </c>
      <c r="BD20" s="39" t="str">
        <v>Chef validates weighed recipe/output; Procurement confirms SKU labels; NutritionDataAgent remaps material differences; laboratory testing only if owner requires confirmed values</v>
      </c>
    </row>
    <row r="21">
      <c r="A21" s="37" t="str">
        <v>NUT-DISH-017</v>
      </c>
      <c r="B21" s="38" t="str">
        <v>VKM-017</v>
      </c>
      <c r="C21" s="38" t="str">
        <v>VKC-017</v>
      </c>
      <c r="D21" s="38" t="str">
        <v>VKT-017</v>
      </c>
      <c r="E21" s="38" t="str">
        <v>Холодные закуски</v>
      </c>
      <c r="F21" s="38" t="str">
        <v>Ростбиф с луком и гренкой</v>
      </c>
      <c r="G21" s="38" t="str">
        <v>0.1.0-DRAFT</v>
      </c>
      <c r="H21" s="38" t="str">
        <v>c6b22ad5f2812cc989a0d3593f40e21207da8f53</v>
      </c>
      <c r="I21" s="38" t="str">
        <v>1 порция</v>
      </c>
      <c r="J21" s="38" t="n">
        <v>180</v>
      </c>
      <c r="K21" s="38" t="str">
        <v>г</v>
      </c>
      <c r="L21" s="38" t="n">
        <v>180</v>
      </c>
      <c r="M21" s="38" t="str">
        <v>г</v>
      </c>
      <c r="N21" s="38" t="str">
        <v>DRAFT: target output used as one sales unit</v>
      </c>
      <c r="O21" s="38" t="n">
        <v>8</v>
      </c>
      <c r="P21" s="38" t="n">
        <v>100</v>
      </c>
      <c r="Q21" s="38" t="n">
        <v>5</v>
      </c>
      <c r="R21" s="38" t="n">
        <v>38.89</v>
      </c>
      <c r="S21" s="38" t="n">
        <v>38.85</v>
      </c>
      <c r="T21" s="38" t="n">
        <v>38.95</v>
      </c>
      <c r="U21" s="38" t="n">
        <v>21.61</v>
      </c>
      <c r="V21" s="38" t="n">
        <v>21.58</v>
      </c>
      <c r="W21" s="38" t="n">
        <v>21.64</v>
      </c>
      <c r="X21" s="38" t="n">
        <v>38.89</v>
      </c>
      <c r="Y21" s="38" t="n">
        <v>15.34</v>
      </c>
      <c r="Z21" s="38" t="n">
        <v>11.65</v>
      </c>
      <c r="AA21" s="38" t="n">
        <v>15.4</v>
      </c>
      <c r="AB21" s="38" t="n">
        <v>8.52</v>
      </c>
      <c r="AC21" s="38" t="n">
        <v>6.47</v>
      </c>
      <c r="AD21" s="38" t="n">
        <v>8.56</v>
      </c>
      <c r="AE21" s="38" t="n">
        <v>15.34</v>
      </c>
      <c r="AF21" s="38" t="n">
        <v>19.8</v>
      </c>
      <c r="AG21" s="38" t="n">
        <v>19.8</v>
      </c>
      <c r="AH21" s="38" t="n">
        <v>20.52</v>
      </c>
      <c r="AI21" s="38" t="n">
        <v>11</v>
      </c>
      <c r="AJ21" s="38" t="n">
        <v>11</v>
      </c>
      <c r="AK21" s="38" t="n">
        <v>11.4</v>
      </c>
      <c r="AL21" s="38" t="n">
        <v>19.8</v>
      </c>
      <c r="AM21" s="38" t="n">
        <v>371.53</v>
      </c>
      <c r="AN21" s="38" t="n">
        <v>340.59</v>
      </c>
      <c r="AO21" s="38" t="n">
        <v>372.73</v>
      </c>
      <c r="AP21" s="38" t="n">
        <v>206.41</v>
      </c>
      <c r="AQ21" s="38" t="n">
        <v>189.22</v>
      </c>
      <c r="AR21" s="38" t="n">
        <v>207.07</v>
      </c>
      <c r="AS21" s="38" t="n">
        <v>371.53</v>
      </c>
      <c r="AT21" s="38" t="n">
        <v>-0.34</v>
      </c>
      <c r="AU21" s="38" t="str">
        <v>CALCULATED_DRAFT_WITH_ASSUMPTIONS</v>
      </c>
      <c r="AV21" s="38" t="str">
        <v>BLOCKED_PENDING_VALIDATION</v>
      </c>
      <c r="AW21" s="38" t="str">
        <v>false</v>
      </c>
      <c r="AX21" s="38" t="str">
        <v>EVD-0005;EVD-0007;EVD-0008;EVD-0027;EVD-0028;METHOD-NUT-002</v>
      </c>
      <c r="AY21" s="38" t="str">
        <v>Sum net grams × official/proxy nutrient per 100 g; normalize to draft declared output; direct source kcal retained; sensitivity is official-candidate envelope</v>
      </c>
      <c r="AZ21" s="38" t="str">
        <v>2026-08-03</v>
      </c>
      <c r="BA21" s="38" t="str">
        <v>NutritionDataAgent / Procurement / Chef</v>
      </c>
      <c r="BB21" s="38" t="str">
        <v>GAP-005;GAP-013</v>
      </c>
      <c r="BC21" s="38" t="str">
        <v>Planning calculation, not approved nutrition declaration: recipe/output are draft and exact supplier SKU is not confirmed</v>
      </c>
      <c r="BD21" s="39" t="str">
        <v>Chef validates weighed recipe/output; Procurement confirms SKU labels; NutritionDataAgent remaps material differences; laboratory testing only if owner requires confirmed values</v>
      </c>
    </row>
    <row r="22">
      <c r="A22" s="37" t="str">
        <v>NUT-DISH-018</v>
      </c>
      <c r="B22" s="38" t="str">
        <v>VKM-018</v>
      </c>
      <c r="C22" s="38" t="str">
        <v>VKC-018</v>
      </c>
      <c r="D22" s="38" t="str">
        <v>VKT-018</v>
      </c>
      <c r="E22" s="38" t="str">
        <v>Супы</v>
      </c>
      <c r="F22" s="38" t="str">
        <v>Традиционный красный борщ</v>
      </c>
      <c r="G22" s="38" t="str">
        <v>0.1.0-DRAFT</v>
      </c>
      <c r="H22" s="38" t="str">
        <v>c6b22ad5f2812cc989a0d3593f40e21207da8f53</v>
      </c>
      <c r="I22" s="38" t="str">
        <v>1 гостевая подача</v>
      </c>
      <c r="J22" s="38" t="n">
        <v>400</v>
      </c>
      <c r="K22" s="38" t="str">
        <v>г</v>
      </c>
      <c r="L22" s="38" t="n">
        <v>400</v>
      </c>
      <c r="M22" s="38" t="str">
        <v>г</v>
      </c>
      <c r="N22" s="38" t="str">
        <v>DRAFT: target output used as one sales unit</v>
      </c>
      <c r="O22" s="38" t="n">
        <v>11</v>
      </c>
      <c r="P22" s="38" t="n">
        <v>100</v>
      </c>
      <c r="Q22" s="38" t="n">
        <v>6</v>
      </c>
      <c r="R22" s="38" t="n">
        <v>20.21</v>
      </c>
      <c r="S22" s="38" t="n">
        <v>20.21</v>
      </c>
      <c r="T22" s="38" t="n">
        <v>22.34</v>
      </c>
      <c r="U22" s="38" t="n">
        <v>5.05</v>
      </c>
      <c r="V22" s="38" t="n">
        <v>5.05</v>
      </c>
      <c r="W22" s="38" t="n">
        <v>5.59</v>
      </c>
      <c r="X22" s="38" t="n">
        <v>20.21</v>
      </c>
      <c r="Y22" s="38" t="n">
        <v>10.18</v>
      </c>
      <c r="Z22" s="38" t="n">
        <v>8.87</v>
      </c>
      <c r="AA22" s="38" t="n">
        <v>17.96</v>
      </c>
      <c r="AB22" s="38" t="n">
        <v>2.55</v>
      </c>
      <c r="AC22" s="38" t="n">
        <v>2.22</v>
      </c>
      <c r="AD22" s="38" t="n">
        <v>4.49</v>
      </c>
      <c r="AE22" s="38" t="n">
        <v>10.18</v>
      </c>
      <c r="AF22" s="38" t="n">
        <v>24.27</v>
      </c>
      <c r="AG22" s="38" t="n">
        <v>24.27</v>
      </c>
      <c r="AH22" s="38" t="n">
        <v>24.65</v>
      </c>
      <c r="AI22" s="38" t="n">
        <v>6.07</v>
      </c>
      <c r="AJ22" s="38" t="n">
        <v>6.07</v>
      </c>
      <c r="AK22" s="38" t="n">
        <v>6.16</v>
      </c>
      <c r="AL22" s="38" t="n">
        <v>24.27</v>
      </c>
      <c r="AM22" s="38" t="n">
        <v>259.81</v>
      </c>
      <c r="AN22" s="38" t="n">
        <v>250.51</v>
      </c>
      <c r="AO22" s="38" t="n">
        <v>337.91</v>
      </c>
      <c r="AP22" s="38" t="n">
        <v>64.95</v>
      </c>
      <c r="AQ22" s="38" t="n">
        <v>62.63</v>
      </c>
      <c r="AR22" s="38" t="n">
        <v>84.48</v>
      </c>
      <c r="AS22" s="38" t="n">
        <v>259.81</v>
      </c>
      <c r="AT22" s="38" t="n">
        <v>-3.76</v>
      </c>
      <c r="AU22" s="38" t="str">
        <v>CALCULATED_DRAFT_WITH_ASSUMPTIONS</v>
      </c>
      <c r="AV22" s="38" t="str">
        <v>BLOCKED_PENDING_VALIDATION</v>
      </c>
      <c r="AW22" s="38" t="str">
        <v>false</v>
      </c>
      <c r="AX22" s="38" t="str">
        <v>EVD-0005;EVD-0007;EVD-0008;EVD-0027;EVD-0028;METHOD-NUT-002</v>
      </c>
      <c r="AY22" s="38" t="str">
        <v>Sum net grams × official/proxy nutrient per 100 g; normalize to draft declared output; direct source kcal retained; sensitivity is official-candidate envelope</v>
      </c>
      <c r="AZ22" s="38" t="str">
        <v>2026-08-03</v>
      </c>
      <c r="BA22" s="38" t="str">
        <v>NutritionDataAgent / Procurement / Chef</v>
      </c>
      <c r="BB22" s="38" t="str">
        <v>GAP-005;GAP-013</v>
      </c>
      <c r="BC22" s="38" t="str">
        <v>Planning calculation, not approved nutrition declaration: recipe/output are draft and exact supplier SKU is not confirmed</v>
      </c>
      <c r="BD22" s="39" t="str">
        <v>Chef validates weighed recipe/output; Procurement confirms SKU labels; NutritionDataAgent remaps material differences; laboratory testing only if owner requires confirmed values</v>
      </c>
    </row>
    <row r="23">
      <c r="A23" s="37" t="str">
        <v>NUT-DISH-019</v>
      </c>
      <c r="B23" s="38" t="str">
        <v>VKM-019</v>
      </c>
      <c r="C23" s="38" t="str">
        <v>VKC-019</v>
      </c>
      <c r="D23" s="38" t="str">
        <v>VKT-019</v>
      </c>
      <c r="E23" s="38" t="str">
        <v>Горячие блюда</v>
      </c>
      <c r="F23" s="38" t="str">
        <v>Мурманская треска со сливочно-горчичным соусом</v>
      </c>
      <c r="G23" s="38" t="str">
        <v>0.1.0-DRAFT</v>
      </c>
      <c r="H23" s="38" t="str">
        <v>c6b22ad5f2812cc989a0d3593f40e21207da8f53</v>
      </c>
      <c r="I23" s="38" t="str">
        <v>1 порция</v>
      </c>
      <c r="J23" s="38" t="n">
        <v>300</v>
      </c>
      <c r="K23" s="38" t="str">
        <v>г</v>
      </c>
      <c r="L23" s="38" t="n">
        <v>300</v>
      </c>
      <c r="M23" s="38" t="str">
        <v>г</v>
      </c>
      <c r="N23" s="38" t="str">
        <v>DRAFT: target output used as one sales unit</v>
      </c>
      <c r="O23" s="38" t="n">
        <v>8</v>
      </c>
      <c r="P23" s="38" t="n">
        <v>100</v>
      </c>
      <c r="Q23" s="38" t="n">
        <v>5</v>
      </c>
      <c r="R23" s="38" t="n">
        <v>37.79</v>
      </c>
      <c r="S23" s="38" t="n">
        <v>37.07</v>
      </c>
      <c r="T23" s="38" t="n">
        <v>38.07</v>
      </c>
      <c r="U23" s="38" t="n">
        <v>12.6</v>
      </c>
      <c r="V23" s="38" t="n">
        <v>12.36</v>
      </c>
      <c r="W23" s="38" t="n">
        <v>12.69</v>
      </c>
      <c r="X23" s="38" t="n">
        <v>37.79</v>
      </c>
      <c r="Y23" s="38" t="n">
        <v>35.83</v>
      </c>
      <c r="Z23" s="38" t="n">
        <v>25.98</v>
      </c>
      <c r="AA23" s="38" t="n">
        <v>46.11</v>
      </c>
      <c r="AB23" s="38" t="n">
        <v>11.94</v>
      </c>
      <c r="AC23" s="38" t="n">
        <v>8.66</v>
      </c>
      <c r="AD23" s="38" t="n">
        <v>15.37</v>
      </c>
      <c r="AE23" s="38" t="n">
        <v>35.83</v>
      </c>
      <c r="AF23" s="38" t="n">
        <v>3.64</v>
      </c>
      <c r="AG23" s="38" t="n">
        <v>2.92</v>
      </c>
      <c r="AH23" s="38" t="n">
        <v>4.12</v>
      </c>
      <c r="AI23" s="38" t="n">
        <v>1.21</v>
      </c>
      <c r="AJ23" s="38" t="n">
        <v>0.97</v>
      </c>
      <c r="AK23" s="38" t="n">
        <v>1.37</v>
      </c>
      <c r="AL23" s="38" t="n">
        <v>3.64</v>
      </c>
      <c r="AM23" s="38" t="n">
        <v>487.61</v>
      </c>
      <c r="AN23" s="38" t="n">
        <v>403.51</v>
      </c>
      <c r="AO23" s="38" t="n">
        <v>579.41</v>
      </c>
      <c r="AP23" s="38" t="n">
        <v>162.54</v>
      </c>
      <c r="AQ23" s="38" t="n">
        <v>134.5</v>
      </c>
      <c r="AR23" s="38" t="n">
        <v>193.14</v>
      </c>
      <c r="AS23" s="38" t="n">
        <v>487.61</v>
      </c>
      <c r="AT23" s="38" t="n">
        <v>-0.12</v>
      </c>
      <c r="AU23" s="38" t="str">
        <v>CALCULATED_DRAFT_WITH_ASSUMPTIONS</v>
      </c>
      <c r="AV23" s="38" t="str">
        <v>BLOCKED_PENDING_VALIDATION</v>
      </c>
      <c r="AW23" s="38" t="str">
        <v>false</v>
      </c>
      <c r="AX23" s="38" t="str">
        <v>EVD-0005;EVD-0007;EVD-0008;EVD-0027;EVD-0028;METHOD-NUT-002</v>
      </c>
      <c r="AY23" s="38" t="str">
        <v>Sum net grams × official/proxy nutrient per 100 g; normalize to draft declared output; direct source kcal retained; sensitivity is official-candidate envelope</v>
      </c>
      <c r="AZ23" s="38" t="str">
        <v>2026-08-03</v>
      </c>
      <c r="BA23" s="38" t="str">
        <v>NutritionDataAgent / Procurement / Chef</v>
      </c>
      <c r="BB23" s="38" t="str">
        <v>GAP-005;GAP-013</v>
      </c>
      <c r="BC23" s="38" t="str">
        <v>Planning calculation, not approved nutrition declaration: recipe/output are draft and exact supplier SKU is not confirmed</v>
      </c>
      <c r="BD23" s="39" t="str">
        <v>Chef validates weighed recipe/output; Procurement confirms SKU labels; NutritionDataAgent remaps material differences; laboratory testing only if owner requires confirmed values</v>
      </c>
    </row>
    <row r="24">
      <c r="A24" s="37" t="str">
        <v>NUT-DISH-020</v>
      </c>
      <c r="B24" s="38" t="str">
        <v>VKM-020</v>
      </c>
      <c r="C24" s="38" t="str">
        <v>VKC-020</v>
      </c>
      <c r="D24" s="38" t="str">
        <v>VKT-020</v>
      </c>
      <c r="E24" s="38" t="str">
        <v>Горячие блюда</v>
      </c>
      <c r="F24" s="38" t="str">
        <v>Креветки по-тайски</v>
      </c>
      <c r="G24" s="38" t="str">
        <v>0.1.0-DRAFT</v>
      </c>
      <c r="H24" s="38" t="str">
        <v>c6b22ad5f2812cc989a0d3593f40e21207da8f53</v>
      </c>
      <c r="I24" s="38" t="str">
        <v>1 порция</v>
      </c>
      <c r="J24" s="38" t="n">
        <v>360</v>
      </c>
      <c r="K24" s="38" t="str">
        <v>г</v>
      </c>
      <c r="L24" s="38" t="n">
        <v>360</v>
      </c>
      <c r="M24" s="38" t="str">
        <v>г</v>
      </c>
      <c r="N24" s="38" t="str">
        <v>DRAFT: target output used as one sales unit</v>
      </c>
      <c r="O24" s="38" t="n">
        <v>10</v>
      </c>
      <c r="P24" s="38" t="n">
        <v>100</v>
      </c>
      <c r="Q24" s="38" t="n">
        <v>5</v>
      </c>
      <c r="R24" s="38" t="n">
        <v>37.49</v>
      </c>
      <c r="S24" s="38" t="n">
        <v>36.05</v>
      </c>
      <c r="T24" s="38" t="n">
        <v>37.67</v>
      </c>
      <c r="U24" s="38" t="n">
        <v>10.41</v>
      </c>
      <c r="V24" s="38" t="n">
        <v>10.01</v>
      </c>
      <c r="W24" s="38" t="n">
        <v>10.46</v>
      </c>
      <c r="X24" s="38" t="n">
        <v>37.49</v>
      </c>
      <c r="Y24" s="38" t="n">
        <v>21.85</v>
      </c>
      <c r="Z24" s="38" t="n">
        <v>10.36</v>
      </c>
      <c r="AA24" s="38" t="n">
        <v>21.9</v>
      </c>
      <c r="AB24" s="38" t="n">
        <v>6.07</v>
      </c>
      <c r="AC24" s="38" t="n">
        <v>2.88</v>
      </c>
      <c r="AD24" s="38" t="n">
        <v>6.08</v>
      </c>
      <c r="AE24" s="38" t="n">
        <v>21.85</v>
      </c>
      <c r="AF24" s="38" t="n">
        <v>20.59</v>
      </c>
      <c r="AG24" s="38" t="n">
        <v>19.8</v>
      </c>
      <c r="AH24" s="38" t="n">
        <v>22.3</v>
      </c>
      <c r="AI24" s="38" t="n">
        <v>5.72</v>
      </c>
      <c r="AJ24" s="38" t="n">
        <v>5.5</v>
      </c>
      <c r="AK24" s="38" t="n">
        <v>6.2</v>
      </c>
      <c r="AL24" s="38" t="n">
        <v>20.59</v>
      </c>
      <c r="AM24" s="38" t="n">
        <v>413.02</v>
      </c>
      <c r="AN24" s="38" t="n">
        <v>313.35</v>
      </c>
      <c r="AO24" s="38" t="n">
        <v>418.97</v>
      </c>
      <c r="AP24" s="38" t="n">
        <v>114.73</v>
      </c>
      <c r="AQ24" s="38" t="n">
        <v>87.04</v>
      </c>
      <c r="AR24" s="38" t="n">
        <v>116.38</v>
      </c>
      <c r="AS24" s="38" t="n">
        <v>413.02</v>
      </c>
      <c r="AT24" s="38" t="n">
        <v>-3.85</v>
      </c>
      <c r="AU24" s="38" t="str">
        <v>CALCULATED_DRAFT_WITH_ASSUMPTIONS</v>
      </c>
      <c r="AV24" s="38" t="str">
        <v>BLOCKED_PENDING_VALIDATION</v>
      </c>
      <c r="AW24" s="38" t="str">
        <v>false</v>
      </c>
      <c r="AX24" s="38" t="str">
        <v>EVD-0005;EVD-0007;EVD-0008;EVD-0027;EVD-0028;METHOD-NUT-002</v>
      </c>
      <c r="AY24" s="38" t="str">
        <v>Sum net grams × official/proxy nutrient per 100 g; normalize to draft declared output; direct source kcal retained; sensitivity is official-candidate envelope</v>
      </c>
      <c r="AZ24" s="38" t="str">
        <v>2026-08-03</v>
      </c>
      <c r="BA24" s="38" t="str">
        <v>NutritionDataAgent / Procurement / Chef</v>
      </c>
      <c r="BB24" s="38" t="str">
        <v>GAP-005;GAP-013</v>
      </c>
      <c r="BC24" s="38" t="str">
        <v>Planning calculation, not approved nutrition declaration: recipe/output are draft and exact supplier SKU is not confirmed</v>
      </c>
      <c r="BD24" s="39" t="str">
        <v>Chef validates weighed recipe/output; Procurement confirms SKU labels; NutritionDataAgent remaps material differences; laboratory testing only if owner requires confirmed values</v>
      </c>
    </row>
    <row r="25">
      <c r="A25" s="37" t="str">
        <v>NUT-DISH-021</v>
      </c>
      <c r="B25" s="38" t="str">
        <v>VKM-021</v>
      </c>
      <c r="C25" s="38" t="str">
        <v>VKC-021</v>
      </c>
      <c r="D25" s="38" t="str">
        <v>VKT-021</v>
      </c>
      <c r="E25" s="38" t="str">
        <v>Горячие блюда</v>
      </c>
      <c r="F25" s="38" t="str">
        <v>Бургер VARSHAVKA</v>
      </c>
      <c r="G25" s="38" t="str">
        <v>0.1.0-DRAFT</v>
      </c>
      <c r="H25" s="38" t="str">
        <v>c6b22ad5f2812cc989a0d3593f40e21207da8f53</v>
      </c>
      <c r="I25" s="38" t="str">
        <v>1 бургер</v>
      </c>
      <c r="J25" s="38" t="n">
        <v>350</v>
      </c>
      <c r="K25" s="38" t="str">
        <v>г</v>
      </c>
      <c r="L25" s="38" t="n">
        <v>350</v>
      </c>
      <c r="M25" s="38" t="str">
        <v>г</v>
      </c>
      <c r="N25" s="38" t="str">
        <v>DRAFT: target output used as one sales unit</v>
      </c>
      <c r="O25" s="38" t="n">
        <v>10</v>
      </c>
      <c r="P25" s="38" t="n">
        <v>100</v>
      </c>
      <c r="Q25" s="38" t="n">
        <v>5</v>
      </c>
      <c r="R25" s="38" t="n">
        <v>40.51</v>
      </c>
      <c r="S25" s="38" t="n">
        <v>39.99</v>
      </c>
      <c r="T25" s="38" t="n">
        <v>49.15</v>
      </c>
      <c r="U25" s="38" t="n">
        <v>11.58</v>
      </c>
      <c r="V25" s="38" t="n">
        <v>11.42</v>
      </c>
      <c r="W25" s="38" t="n">
        <v>14.04</v>
      </c>
      <c r="X25" s="38" t="n">
        <v>40.51</v>
      </c>
      <c r="Y25" s="38" t="n">
        <v>70.83</v>
      </c>
      <c r="Z25" s="38" t="n">
        <v>32.71</v>
      </c>
      <c r="AA25" s="38" t="n">
        <v>72.29</v>
      </c>
      <c r="AB25" s="38" t="n">
        <v>20.24</v>
      </c>
      <c r="AC25" s="38" t="n">
        <v>9.35</v>
      </c>
      <c r="AD25" s="38" t="n">
        <v>20.65</v>
      </c>
      <c r="AE25" s="38" t="n">
        <v>70.83</v>
      </c>
      <c r="AF25" s="38" t="n">
        <v>38.72</v>
      </c>
      <c r="AG25" s="38" t="n">
        <v>37.68</v>
      </c>
      <c r="AH25" s="38" t="n">
        <v>40.46</v>
      </c>
      <c r="AI25" s="38" t="n">
        <v>11.06</v>
      </c>
      <c r="AJ25" s="38" t="n">
        <v>10.77</v>
      </c>
      <c r="AK25" s="38" t="n">
        <v>11.56</v>
      </c>
      <c r="AL25" s="38" t="n">
        <v>38.72</v>
      </c>
      <c r="AM25" s="38" t="n">
        <v>960.87</v>
      </c>
      <c r="AN25" s="38" t="n">
        <v>657.42</v>
      </c>
      <c r="AO25" s="38" t="n">
        <v>972.27</v>
      </c>
      <c r="AP25" s="38" t="n">
        <v>274.53</v>
      </c>
      <c r="AQ25" s="38" t="n">
        <v>187.83</v>
      </c>
      <c r="AR25" s="38" t="n">
        <v>277.79</v>
      </c>
      <c r="AS25" s="38" t="n">
        <v>960.87</v>
      </c>
      <c r="AT25" s="38" t="n">
        <v>0.67</v>
      </c>
      <c r="AU25" s="38" t="str">
        <v>CALCULATED_DRAFT_WITH_ASSUMPTIONS</v>
      </c>
      <c r="AV25" s="38" t="str">
        <v>BLOCKED_PENDING_VALIDATION</v>
      </c>
      <c r="AW25" s="38" t="str">
        <v>false</v>
      </c>
      <c r="AX25" s="38" t="str">
        <v>EVD-0005;EVD-0007;EVD-0008;EVD-0027;EVD-0028;METHOD-NUT-002</v>
      </c>
      <c r="AY25" s="38" t="str">
        <v>Sum net grams × official/proxy nutrient per 100 g; normalize to draft declared output; direct source kcal retained; sensitivity is official-candidate envelope</v>
      </c>
      <c r="AZ25" s="38" t="str">
        <v>2026-08-03</v>
      </c>
      <c r="BA25" s="38" t="str">
        <v>NutritionDataAgent / Procurement / Chef</v>
      </c>
      <c r="BB25" s="38" t="str">
        <v>GAP-005;GAP-013</v>
      </c>
      <c r="BC25" s="38" t="str">
        <v>Planning calculation, not approved nutrition declaration: recipe/output are draft and exact supplier SKU is not confirmed</v>
      </c>
      <c r="BD25" s="39" t="str">
        <v>Chef validates weighed recipe/output; Procurement confirms SKU labels; NutritionDataAgent remaps material differences; laboratory testing only if owner requires confirmed values</v>
      </c>
    </row>
    <row r="26">
      <c r="A26" s="37" t="str">
        <v>NUT-DISH-022</v>
      </c>
      <c r="B26" s="38" t="str">
        <v>VKM-022</v>
      </c>
      <c r="C26" s="38" t="str">
        <v>VKC-022</v>
      </c>
      <c r="D26" s="38" t="str">
        <v>VKT-022</v>
      </c>
      <c r="E26" s="38" t="str">
        <v>Горячие блюда</v>
      </c>
      <c r="F26" s="38" t="str">
        <v>Миньоны из говяжьей вырезки</v>
      </c>
      <c r="G26" s="38" t="str">
        <v>0.1.0-DRAFT</v>
      </c>
      <c r="H26" s="38" t="str">
        <v>c6b22ad5f2812cc989a0d3593f40e21207da8f53</v>
      </c>
      <c r="I26" s="38" t="str">
        <v>1 порция, 2 миньона</v>
      </c>
      <c r="J26" s="38" t="n">
        <v>300</v>
      </c>
      <c r="K26" s="38" t="str">
        <v>г</v>
      </c>
      <c r="L26" s="38" t="n">
        <v>300</v>
      </c>
      <c r="M26" s="38" t="str">
        <v>г</v>
      </c>
      <c r="N26" s="38" t="str">
        <v>DRAFT: target output used as one sales unit</v>
      </c>
      <c r="O26" s="38" t="n">
        <v>9</v>
      </c>
      <c r="P26" s="38" t="n">
        <v>100</v>
      </c>
      <c r="Q26" s="38" t="n">
        <v>6</v>
      </c>
      <c r="R26" s="38" t="n">
        <v>52.82</v>
      </c>
      <c r="S26" s="38" t="n">
        <v>52.7</v>
      </c>
      <c r="T26" s="38" t="n">
        <v>53.57</v>
      </c>
      <c r="U26" s="38" t="n">
        <v>17.61</v>
      </c>
      <c r="V26" s="38" t="n">
        <v>17.57</v>
      </c>
      <c r="W26" s="38" t="n">
        <v>17.86</v>
      </c>
      <c r="X26" s="38" t="n">
        <v>52.82</v>
      </c>
      <c r="Y26" s="38" t="n">
        <v>37.38</v>
      </c>
      <c r="Z26" s="38" t="n">
        <v>28.27</v>
      </c>
      <c r="AA26" s="38" t="n">
        <v>38.25</v>
      </c>
      <c r="AB26" s="38" t="n">
        <v>12.46</v>
      </c>
      <c r="AC26" s="38" t="n">
        <v>9.42</v>
      </c>
      <c r="AD26" s="38" t="n">
        <v>12.75</v>
      </c>
      <c r="AE26" s="38" t="n">
        <v>37.38</v>
      </c>
      <c r="AF26" s="38" t="n">
        <v>5.02</v>
      </c>
      <c r="AG26" s="38" t="n">
        <v>4.22</v>
      </c>
      <c r="AH26" s="38" t="n">
        <v>6.65</v>
      </c>
      <c r="AI26" s="38" t="n">
        <v>1.67</v>
      </c>
      <c r="AJ26" s="38" t="n">
        <v>1.41</v>
      </c>
      <c r="AK26" s="38" t="n">
        <v>2.22</v>
      </c>
      <c r="AL26" s="38" t="n">
        <v>5.02</v>
      </c>
      <c r="AM26" s="38" t="n">
        <v>562.18</v>
      </c>
      <c r="AN26" s="38" t="n">
        <v>481.99</v>
      </c>
      <c r="AO26" s="38" t="n">
        <v>578.79</v>
      </c>
      <c r="AP26" s="38" t="n">
        <v>187.39</v>
      </c>
      <c r="AQ26" s="38" t="n">
        <v>160.66</v>
      </c>
      <c r="AR26" s="38" t="n">
        <v>192.93</v>
      </c>
      <c r="AS26" s="38" t="n">
        <v>562.18</v>
      </c>
      <c r="AT26" s="38" t="n">
        <v>-0.99</v>
      </c>
      <c r="AU26" s="38" t="str">
        <v>CALCULATED_DRAFT_WITH_ASSUMPTIONS</v>
      </c>
      <c r="AV26" s="38" t="str">
        <v>BLOCKED_PENDING_VALIDATION</v>
      </c>
      <c r="AW26" s="38" t="str">
        <v>false</v>
      </c>
      <c r="AX26" s="38" t="str">
        <v>EVD-0005;EVD-0007;EVD-0008;EVD-0027;EVD-0028;METHOD-NUT-002</v>
      </c>
      <c r="AY26" s="38" t="str">
        <v>Sum net grams × official/proxy nutrient per 100 g; normalize to draft declared output; direct source kcal retained; sensitivity is official-candidate envelope</v>
      </c>
      <c r="AZ26" s="38" t="str">
        <v>2026-08-03</v>
      </c>
      <c r="BA26" s="38" t="str">
        <v>NutritionDataAgent / Procurement / Chef</v>
      </c>
      <c r="BB26" s="38" t="str">
        <v>GAP-005;GAP-013</v>
      </c>
      <c r="BC26" s="38" t="str">
        <v>Planning calculation, not approved nutrition declaration: recipe/output are draft and exact supplier SKU is not confirmed</v>
      </c>
      <c r="BD26" s="39" t="str">
        <v>Chef validates weighed recipe/output; Procurement confirms SKU labels; NutritionDataAgent remaps material differences; laboratory testing only if owner requires confirmed values</v>
      </c>
    </row>
    <row r="27">
      <c r="A27" s="37" t="str">
        <v>NUT-DISH-023</v>
      </c>
      <c r="B27" s="38" t="str">
        <v>VKM-023</v>
      </c>
      <c r="C27" s="38" t="str">
        <v>VKC-023</v>
      </c>
      <c r="D27" s="38" t="str">
        <v>VKT-023</v>
      </c>
      <c r="E27" s="38" t="str">
        <v>Гарниры</v>
      </c>
      <c r="F27" s="38" t="str">
        <v>Запечённый картофель</v>
      </c>
      <c r="G27" s="38" t="str">
        <v>0.1.0-DRAFT</v>
      </c>
      <c r="H27" s="38" t="str">
        <v>c6b22ad5f2812cc989a0d3593f40e21207da8f53</v>
      </c>
      <c r="I27" s="38" t="str">
        <v>1 порция</v>
      </c>
      <c r="J27" s="38" t="n">
        <v>150</v>
      </c>
      <c r="K27" s="38" t="str">
        <v>г</v>
      </c>
      <c r="L27" s="38" t="n">
        <v>150</v>
      </c>
      <c r="M27" s="38" t="str">
        <v>г</v>
      </c>
      <c r="N27" s="38" t="str">
        <v>DRAFT: target output used as one sales unit</v>
      </c>
      <c r="O27" s="38" t="n">
        <v>4</v>
      </c>
      <c r="P27" s="38" t="n">
        <v>100</v>
      </c>
      <c r="Q27" s="38" t="n">
        <v>2</v>
      </c>
      <c r="R27" s="38" t="n">
        <v>3.56</v>
      </c>
      <c r="S27" s="38" t="n">
        <v>3.44</v>
      </c>
      <c r="T27" s="38" t="n">
        <v>3.68</v>
      </c>
      <c r="U27" s="38" t="n">
        <v>2.37</v>
      </c>
      <c r="V27" s="38" t="n">
        <v>2.29</v>
      </c>
      <c r="W27" s="38" t="n">
        <v>2.45</v>
      </c>
      <c r="X27" s="38" t="n">
        <v>3.56</v>
      </c>
      <c r="Y27" s="38" t="n">
        <v>10.48</v>
      </c>
      <c r="Z27" s="38" t="n">
        <v>10.39</v>
      </c>
      <c r="AA27" s="38" t="n">
        <v>10.56</v>
      </c>
      <c r="AB27" s="38" t="n">
        <v>6.98</v>
      </c>
      <c r="AC27" s="38" t="n">
        <v>6.93</v>
      </c>
      <c r="AD27" s="38" t="n">
        <v>7.04</v>
      </c>
      <c r="AE27" s="38" t="n">
        <v>10.48</v>
      </c>
      <c r="AF27" s="38" t="n">
        <v>27.69</v>
      </c>
      <c r="AG27" s="38" t="n">
        <v>27.32</v>
      </c>
      <c r="AH27" s="38" t="n">
        <v>28.05</v>
      </c>
      <c r="AI27" s="38" t="n">
        <v>18.46</v>
      </c>
      <c r="AJ27" s="38" t="n">
        <v>18.22</v>
      </c>
      <c r="AK27" s="38" t="n">
        <v>18.7</v>
      </c>
      <c r="AL27" s="38" t="n">
        <v>27.69</v>
      </c>
      <c r="AM27" s="38" t="n">
        <v>214.34</v>
      </c>
      <c r="AN27" s="38" t="n">
        <v>211.73</v>
      </c>
      <c r="AO27" s="38" t="n">
        <v>216.95</v>
      </c>
      <c r="AP27" s="38" t="n">
        <v>142.89</v>
      </c>
      <c r="AQ27" s="38" t="n">
        <v>141.15</v>
      </c>
      <c r="AR27" s="38" t="n">
        <v>144.63</v>
      </c>
      <c r="AS27" s="38" t="n">
        <v>214.34</v>
      </c>
      <c r="AT27" s="38" t="n">
        <v>-2.29</v>
      </c>
      <c r="AU27" s="38" t="str">
        <v>CALCULATED_DRAFT_WITH_ASSUMPTIONS</v>
      </c>
      <c r="AV27" s="38" t="str">
        <v>BLOCKED_PENDING_VALIDATION</v>
      </c>
      <c r="AW27" s="38" t="str">
        <v>false</v>
      </c>
      <c r="AX27" s="38" t="str">
        <v>EVD-0005;EVD-0007;EVD-0008;EVD-0027;EVD-0028;METHOD-NUT-002</v>
      </c>
      <c r="AY27" s="38" t="str">
        <v>Sum net grams × official/proxy nutrient per 100 g; normalize to draft declared output; direct source kcal retained; sensitivity is official-candidate envelope</v>
      </c>
      <c r="AZ27" s="38" t="str">
        <v>2026-08-03</v>
      </c>
      <c r="BA27" s="38" t="str">
        <v>NutritionDataAgent / Procurement / Chef</v>
      </c>
      <c r="BB27" s="38" t="str">
        <v>GAP-005;GAP-013</v>
      </c>
      <c r="BC27" s="38" t="str">
        <v>Planning calculation, not approved nutrition declaration: recipe/output are draft and exact supplier SKU is not confirmed</v>
      </c>
      <c r="BD27" s="39" t="str">
        <v>Chef validates weighed recipe/output; Procurement confirms SKU labels; NutritionDataAgent remaps material differences; laboratory testing only if owner requires confirmed values</v>
      </c>
    </row>
    <row r="28">
      <c r="A28" s="37" t="str">
        <v>NUT-DISH-024</v>
      </c>
      <c r="B28" s="38" t="str">
        <v>VKM-024</v>
      </c>
      <c r="C28" s="38" t="str">
        <v>VKC-024</v>
      </c>
      <c r="D28" s="38" t="str">
        <v>VKT-024</v>
      </c>
      <c r="E28" s="38" t="str">
        <v>Гарниры</v>
      </c>
      <c r="F28" s="38" t="str">
        <v>Рис жасмин</v>
      </c>
      <c r="G28" s="38" t="str">
        <v>0.1.0-DRAFT</v>
      </c>
      <c r="H28" s="38" t="str">
        <v>c6b22ad5f2812cc989a0d3593f40e21207da8f53</v>
      </c>
      <c r="I28" s="38" t="str">
        <v>1 порция</v>
      </c>
      <c r="J28" s="38" t="n">
        <v>150</v>
      </c>
      <c r="K28" s="38" t="str">
        <v>г</v>
      </c>
      <c r="L28" s="38" t="n">
        <v>150</v>
      </c>
      <c r="M28" s="38" t="str">
        <v>г</v>
      </c>
      <c r="N28" s="38" t="str">
        <v>DRAFT: target output used as one sales unit</v>
      </c>
      <c r="O28" s="38" t="n">
        <v>5</v>
      </c>
      <c r="P28" s="38" t="n">
        <v>100</v>
      </c>
      <c r="Q28" s="38" t="n">
        <v>2</v>
      </c>
      <c r="R28" s="38" t="n">
        <v>3.96</v>
      </c>
      <c r="S28" s="38" t="n">
        <v>3.96</v>
      </c>
      <c r="T28" s="38" t="n">
        <v>3.96</v>
      </c>
      <c r="U28" s="38" t="n">
        <v>2.64</v>
      </c>
      <c r="V28" s="38" t="n">
        <v>2.64</v>
      </c>
      <c r="W28" s="38" t="n">
        <v>2.64</v>
      </c>
      <c r="X28" s="38" t="n">
        <v>3.96</v>
      </c>
      <c r="Y28" s="38" t="n">
        <v>9.42</v>
      </c>
      <c r="Z28" s="38" t="n">
        <v>9.42</v>
      </c>
      <c r="AA28" s="38" t="n">
        <v>9.42</v>
      </c>
      <c r="AB28" s="38" t="n">
        <v>6.28</v>
      </c>
      <c r="AC28" s="38" t="n">
        <v>6.28</v>
      </c>
      <c r="AD28" s="38" t="n">
        <v>6.28</v>
      </c>
      <c r="AE28" s="38" t="n">
        <v>9.42</v>
      </c>
      <c r="AF28" s="38" t="n">
        <v>43.98</v>
      </c>
      <c r="AG28" s="38" t="n">
        <v>43.98</v>
      </c>
      <c r="AH28" s="38" t="n">
        <v>43.98</v>
      </c>
      <c r="AI28" s="38" t="n">
        <v>29.32</v>
      </c>
      <c r="AJ28" s="38" t="n">
        <v>29.32</v>
      </c>
      <c r="AK28" s="38" t="n">
        <v>29.32</v>
      </c>
      <c r="AL28" s="38" t="n">
        <v>43.98</v>
      </c>
      <c r="AM28" s="38" t="n">
        <v>280.8</v>
      </c>
      <c r="AN28" s="38" t="n">
        <v>280.8</v>
      </c>
      <c r="AO28" s="38" t="n">
        <v>280.8</v>
      </c>
      <c r="AP28" s="38" t="n">
        <v>187.2</v>
      </c>
      <c r="AQ28" s="38" t="n">
        <v>187.2</v>
      </c>
      <c r="AR28" s="38" t="n">
        <v>187.2</v>
      </c>
      <c r="AS28" s="38" t="n">
        <v>280.8</v>
      </c>
      <c r="AT28" s="38" t="n">
        <v>1.52</v>
      </c>
      <c r="AU28" s="38" t="str">
        <v>CALCULATED_DRAFT_WITH_ASSUMPTIONS</v>
      </c>
      <c r="AV28" s="38" t="str">
        <v>BLOCKED_PENDING_VALIDATION</v>
      </c>
      <c r="AW28" s="38" t="str">
        <v>false</v>
      </c>
      <c r="AX28" s="38" t="str">
        <v>EVD-0005;EVD-0007;EVD-0008;EVD-0027;EVD-0028;METHOD-NUT-002</v>
      </c>
      <c r="AY28" s="38" t="str">
        <v>Sum net grams × official/proxy nutrient per 100 g; normalize to draft declared output; direct source kcal retained; sensitivity is official-candidate envelope</v>
      </c>
      <c r="AZ28" s="38" t="str">
        <v>2026-08-03</v>
      </c>
      <c r="BA28" s="38" t="str">
        <v>NutritionDataAgent / Procurement / Chef</v>
      </c>
      <c r="BB28" s="38" t="str">
        <v>GAP-005;GAP-013</v>
      </c>
      <c r="BC28" s="38" t="str">
        <v>Planning calculation, not approved nutrition declaration: recipe/output are draft and exact supplier SKU is not confirmed</v>
      </c>
      <c r="BD28" s="39" t="str">
        <v>Chef validates weighed recipe/output; Procurement confirms SKU labels; NutritionDataAgent remaps material differences; laboratory testing only if owner requires confirmed values</v>
      </c>
    </row>
    <row r="29">
      <c r="A29" s="37" t="str">
        <v>NUT-DISH-025</v>
      </c>
      <c r="B29" s="38" t="str">
        <v>VKM-025</v>
      </c>
      <c r="C29" s="38" t="str">
        <v>VKC-025</v>
      </c>
      <c r="D29" s="38" t="str">
        <v>VKT-025</v>
      </c>
      <c r="E29" s="38" t="str">
        <v>Гарниры</v>
      </c>
      <c r="F29" s="38" t="str">
        <v>Горячие овощи</v>
      </c>
      <c r="G29" s="38" t="str">
        <v>0.1.0-DRAFT</v>
      </c>
      <c r="H29" s="38" t="str">
        <v>c6b22ad5f2812cc989a0d3593f40e21207da8f53</v>
      </c>
      <c r="I29" s="38" t="str">
        <v>1 порция</v>
      </c>
      <c r="J29" s="38" t="n">
        <v>150</v>
      </c>
      <c r="K29" s="38" t="str">
        <v>г</v>
      </c>
      <c r="L29" s="38" t="n">
        <v>150</v>
      </c>
      <c r="M29" s="38" t="str">
        <v>г</v>
      </c>
      <c r="N29" s="38" t="str">
        <v>DRAFT: target output used as one sales unit</v>
      </c>
      <c r="O29" s="38" t="n">
        <v>7</v>
      </c>
      <c r="P29" s="38" t="n">
        <v>100</v>
      </c>
      <c r="Q29" s="38" t="n">
        <v>3</v>
      </c>
      <c r="R29" s="38" t="n">
        <v>3.14</v>
      </c>
      <c r="S29" s="38" t="n">
        <v>3.02</v>
      </c>
      <c r="T29" s="38" t="n">
        <v>3.26</v>
      </c>
      <c r="U29" s="38" t="n">
        <v>2.09</v>
      </c>
      <c r="V29" s="38" t="n">
        <v>2.01</v>
      </c>
      <c r="W29" s="38" t="n">
        <v>2.17</v>
      </c>
      <c r="X29" s="38" t="n">
        <v>3.14</v>
      </c>
      <c r="Y29" s="38" t="n">
        <v>15.79</v>
      </c>
      <c r="Z29" s="38" t="n">
        <v>15.7</v>
      </c>
      <c r="AA29" s="38" t="n">
        <v>15.87</v>
      </c>
      <c r="AB29" s="38" t="n">
        <v>10.53</v>
      </c>
      <c r="AC29" s="38" t="n">
        <v>10.47</v>
      </c>
      <c r="AD29" s="38" t="n">
        <v>10.58</v>
      </c>
      <c r="AE29" s="38" t="n">
        <v>15.79</v>
      </c>
      <c r="AF29" s="38" t="n">
        <v>8.88</v>
      </c>
      <c r="AG29" s="38" t="n">
        <v>8.52</v>
      </c>
      <c r="AH29" s="38" t="n">
        <v>9.24</v>
      </c>
      <c r="AI29" s="38" t="n">
        <v>5.92</v>
      </c>
      <c r="AJ29" s="38" t="n">
        <v>5.68</v>
      </c>
      <c r="AK29" s="38" t="n">
        <v>6.16</v>
      </c>
      <c r="AL29" s="38" t="n">
        <v>8.88</v>
      </c>
      <c r="AM29" s="38" t="n">
        <v>179.72</v>
      </c>
      <c r="AN29" s="38" t="n">
        <v>177.11</v>
      </c>
      <c r="AO29" s="38" t="n">
        <v>182.33</v>
      </c>
      <c r="AP29" s="38" t="n">
        <v>119.81</v>
      </c>
      <c r="AQ29" s="38" t="n">
        <v>118.07</v>
      </c>
      <c r="AR29" s="38" t="n">
        <v>121.55</v>
      </c>
      <c r="AS29" s="38" t="n">
        <v>179.72</v>
      </c>
      <c r="AT29" s="38" t="n">
        <v>-5.82</v>
      </c>
      <c r="AU29" s="38" t="str">
        <v>CALCULATED_DRAFT_WITH_ASSUMPTIONS</v>
      </c>
      <c r="AV29" s="38" t="str">
        <v>BLOCKED_PENDING_VALIDATION</v>
      </c>
      <c r="AW29" s="38" t="str">
        <v>false</v>
      </c>
      <c r="AX29" s="38" t="str">
        <v>EVD-0005;EVD-0007;EVD-0008;EVD-0027;EVD-0028;METHOD-NUT-002</v>
      </c>
      <c r="AY29" s="38" t="str">
        <v>Sum net grams × official/proxy nutrient per 100 g; normalize to draft declared output; direct source kcal retained; sensitivity is official-candidate envelope</v>
      </c>
      <c r="AZ29" s="38" t="str">
        <v>2026-08-03</v>
      </c>
      <c r="BA29" s="38" t="str">
        <v>NutritionDataAgent / Procurement / Chef</v>
      </c>
      <c r="BB29" s="38" t="str">
        <v>GAP-005;GAP-013</v>
      </c>
      <c r="BC29" s="38" t="str">
        <v>Planning calculation, not approved nutrition declaration: recipe/output are draft and exact supplier SKU is not confirmed</v>
      </c>
      <c r="BD29" s="39" t="str">
        <v>Chef validates weighed recipe/output; Procurement confirms SKU labels; NutritionDataAgent remaps material differences; laboratory testing only if owner requires confirmed values</v>
      </c>
    </row>
    <row r="30">
      <c r="A30" s="37" t="str">
        <v>NUT-DISH-026</v>
      </c>
      <c r="B30" s="38" t="str">
        <v>VKM-029</v>
      </c>
      <c r="C30" s="38" t="str">
        <v>VKC-029</v>
      </c>
      <c r="D30" s="38" t="str">
        <v>VKT-029</v>
      </c>
      <c r="E30" s="38" t="str">
        <v>Десерты</v>
      </c>
      <c r="F30" s="38" t="str">
        <v>Черничный торт VARSHAVKA</v>
      </c>
      <c r="G30" s="38" t="str">
        <v>0.1.0-DRAFT</v>
      </c>
      <c r="H30" s="38" t="str">
        <v>c6b22ad5f2812cc989a0d3593f40e21207da8f53</v>
      </c>
      <c r="I30" s="38" t="str">
        <v>1 торт / 12 порций</v>
      </c>
      <c r="J30" s="38" t="n">
        <v>1800</v>
      </c>
      <c r="K30" s="38" t="str">
        <v>г</v>
      </c>
      <c r="L30" s="38" t="n">
        <v>150</v>
      </c>
      <c r="M30" s="38" t="str">
        <v>г</v>
      </c>
      <c r="N30" s="38" t="str">
        <v>CALCULATED_FROM_DRAFT: 1800 г / 12 порций</v>
      </c>
      <c r="O30" s="38" t="n">
        <v>17</v>
      </c>
      <c r="P30" s="38" t="n">
        <v>100</v>
      </c>
      <c r="Q30" s="38" t="n">
        <v>9</v>
      </c>
      <c r="R30" s="38" t="n">
        <v>63.27</v>
      </c>
      <c r="S30" s="38" t="n">
        <v>61.07</v>
      </c>
      <c r="T30" s="38" t="n">
        <v>67.91</v>
      </c>
      <c r="U30" s="38" t="n">
        <v>3.52</v>
      </c>
      <c r="V30" s="38" t="n">
        <v>3.39</v>
      </c>
      <c r="W30" s="38" t="n">
        <v>3.77</v>
      </c>
      <c r="X30" s="38" t="n">
        <v>5.27</v>
      </c>
      <c r="Y30" s="38" t="n">
        <v>208.52</v>
      </c>
      <c r="Z30" s="38" t="n">
        <v>142.46</v>
      </c>
      <c r="AA30" s="38" t="n">
        <v>229.94</v>
      </c>
      <c r="AB30" s="38" t="n">
        <v>11.58</v>
      </c>
      <c r="AC30" s="38" t="n">
        <v>7.91</v>
      </c>
      <c r="AD30" s="38" t="n">
        <v>12.77</v>
      </c>
      <c r="AE30" s="38" t="n">
        <v>17.38</v>
      </c>
      <c r="AF30" s="38" t="n">
        <v>678.88</v>
      </c>
      <c r="AG30" s="38" t="n">
        <v>652.56</v>
      </c>
      <c r="AH30" s="38" t="n">
        <v>707.1</v>
      </c>
      <c r="AI30" s="38" t="n">
        <v>37.72</v>
      </c>
      <c r="AJ30" s="38" t="n">
        <v>36.25</v>
      </c>
      <c r="AK30" s="38" t="n">
        <v>39.28</v>
      </c>
      <c r="AL30" s="38" t="n">
        <v>56.57</v>
      </c>
      <c r="AM30" s="38" t="n">
        <v>4763.02</v>
      </c>
      <c r="AN30" s="38" t="n">
        <v>4135.48</v>
      </c>
      <c r="AO30" s="38" t="n">
        <v>5022.22</v>
      </c>
      <c r="AP30" s="38" t="n">
        <v>264.61</v>
      </c>
      <c r="AQ30" s="38" t="n">
        <v>229.75</v>
      </c>
      <c r="AR30" s="38" t="n">
        <v>279.01</v>
      </c>
      <c r="AS30" s="38" t="n">
        <v>396.92</v>
      </c>
      <c r="AT30" s="38" t="n">
        <v>-1.73</v>
      </c>
      <c r="AU30" s="38" t="str">
        <v>CALCULATED_DRAFT_WITH_ASSUMPTIONS</v>
      </c>
      <c r="AV30" s="38" t="str">
        <v>BLOCKED_PENDING_VALIDATION</v>
      </c>
      <c r="AW30" s="38" t="str">
        <v>false</v>
      </c>
      <c r="AX30" s="38" t="str">
        <v>EVD-0005;EVD-0007;EVD-0008;EVD-0027;EVD-0028;METHOD-NUT-002</v>
      </c>
      <c r="AY30" s="38" t="str">
        <v>Sum net grams × official/proxy nutrient per 100 g; normalize to draft declared output; direct source kcal retained; sensitivity is official-candidate envelope</v>
      </c>
      <c r="AZ30" s="38" t="str">
        <v>2026-08-03</v>
      </c>
      <c r="BA30" s="38" t="str">
        <v>NutritionDataAgent / Procurement / Chef</v>
      </c>
      <c r="BB30" s="38" t="str">
        <v>GAP-005;GAP-013</v>
      </c>
      <c r="BC30" s="38" t="str">
        <v>Planning calculation, not approved nutrition declaration: recipe/output are draft and exact supplier SKU is not confirmed</v>
      </c>
      <c r="BD30" s="39" t="str">
        <v>Chef validates weighed recipe/output; Procurement confirms SKU labels; NutritionDataAgent remaps material differences; laboratory testing only if owner requires confirmed values</v>
      </c>
    </row>
    <row r="31">
      <c r="A31" s="37" t="str">
        <v>NUT-DISH-027</v>
      </c>
      <c r="B31" s="38" t="str">
        <v>VKM-030</v>
      </c>
      <c r="C31" s="38" t="str">
        <v>VKC-030</v>
      </c>
      <c r="D31" s="38" t="str">
        <v>VKT-030</v>
      </c>
      <c r="E31" s="38" t="str">
        <v>Десерты</v>
      </c>
      <c r="F31" s="38" t="str">
        <v>Кростата с солёной карамелью</v>
      </c>
      <c r="G31" s="38" t="str">
        <v>0.1.0-DRAFT</v>
      </c>
      <c r="H31" s="38" t="str">
        <v>c6b22ad5f2812cc989a0d3593f40e21207da8f53</v>
      </c>
      <c r="I31" s="38" t="str">
        <v>1 кростата / 10 порций</v>
      </c>
      <c r="J31" s="38" t="n">
        <v>1200</v>
      </c>
      <c r="K31" s="38" t="str">
        <v>г</v>
      </c>
      <c r="L31" s="38" t="n">
        <v>120</v>
      </c>
      <c r="M31" s="38" t="str">
        <v>г</v>
      </c>
      <c r="N31" s="38" t="str">
        <v>CALCULATED_FROM_DRAFT: 1200 г / 10 порций</v>
      </c>
      <c r="O31" s="38" t="n">
        <v>13</v>
      </c>
      <c r="P31" s="38" t="n">
        <v>100</v>
      </c>
      <c r="Q31" s="38" t="n">
        <v>7</v>
      </c>
      <c r="R31" s="38" t="n">
        <v>45.18</v>
      </c>
      <c r="S31" s="38" t="n">
        <v>43.13</v>
      </c>
      <c r="T31" s="38" t="n">
        <v>47.64</v>
      </c>
      <c r="U31" s="38" t="n">
        <v>3.76</v>
      </c>
      <c r="V31" s="38" t="n">
        <v>3.59</v>
      </c>
      <c r="W31" s="38" t="n">
        <v>3.97</v>
      </c>
      <c r="X31" s="38" t="n">
        <v>4.52</v>
      </c>
      <c r="Y31" s="38" t="n">
        <v>302.47</v>
      </c>
      <c r="Z31" s="38" t="n">
        <v>253.13</v>
      </c>
      <c r="AA31" s="38" t="n">
        <v>331.81</v>
      </c>
      <c r="AB31" s="38" t="n">
        <v>25.21</v>
      </c>
      <c r="AC31" s="38" t="n">
        <v>21.09</v>
      </c>
      <c r="AD31" s="38" t="n">
        <v>27.65</v>
      </c>
      <c r="AE31" s="38" t="n">
        <v>30.25</v>
      </c>
      <c r="AF31" s="38" t="n">
        <v>573.31</v>
      </c>
      <c r="AG31" s="38" t="n">
        <v>563.37</v>
      </c>
      <c r="AH31" s="38" t="n">
        <v>576.12</v>
      </c>
      <c r="AI31" s="38" t="n">
        <v>47.78</v>
      </c>
      <c r="AJ31" s="38" t="n">
        <v>46.95</v>
      </c>
      <c r="AK31" s="38" t="n">
        <v>48.01</v>
      </c>
      <c r="AL31" s="38" t="n">
        <v>57.33</v>
      </c>
      <c r="AM31" s="38" t="n">
        <v>5129.55</v>
      </c>
      <c r="AN31" s="38" t="n">
        <v>4695.9</v>
      </c>
      <c r="AO31" s="38" t="n">
        <v>5386.95</v>
      </c>
      <c r="AP31" s="38" t="n">
        <v>427.46</v>
      </c>
      <c r="AQ31" s="38" t="n">
        <v>391.33</v>
      </c>
      <c r="AR31" s="38" t="n">
        <v>448.91</v>
      </c>
      <c r="AS31" s="38" t="n">
        <v>512.96</v>
      </c>
      <c r="AT31" s="38" t="n">
        <v>-1.3</v>
      </c>
      <c r="AU31" s="38" t="str">
        <v>CALCULATED_DRAFT_WITH_ASSUMPTIONS</v>
      </c>
      <c r="AV31" s="38" t="str">
        <v>BLOCKED_PENDING_VALIDATION</v>
      </c>
      <c r="AW31" s="38" t="str">
        <v>false</v>
      </c>
      <c r="AX31" s="38" t="str">
        <v>EVD-0005;EVD-0007;EVD-0008;EVD-0027;EVD-0028;METHOD-NUT-002</v>
      </c>
      <c r="AY31" s="38" t="str">
        <v>Sum net grams × official/proxy nutrient per 100 g; normalize to draft declared output; direct source kcal retained; sensitivity is official-candidate envelope</v>
      </c>
      <c r="AZ31" s="38" t="str">
        <v>2026-08-03</v>
      </c>
      <c r="BA31" s="38" t="str">
        <v>NutritionDataAgent / Procurement / Chef</v>
      </c>
      <c r="BB31" s="38" t="str">
        <v>GAP-005;GAP-013</v>
      </c>
      <c r="BC31" s="38" t="str">
        <v>Planning calculation, not approved nutrition declaration: recipe/output are draft and exact supplier SKU is not confirmed</v>
      </c>
      <c r="BD31" s="39" t="str">
        <v>Chef validates weighed recipe/output; Procurement confirms SKU labels; NutritionDataAgent remaps material differences; laboratory testing only if owner requires confirmed values</v>
      </c>
    </row>
    <row r="32">
      <c r="A32" s="37" t="str">
        <v>NUT-DISH-028</v>
      </c>
      <c r="B32" s="38" t="str">
        <v>VKM-031</v>
      </c>
      <c r="C32" s="38" t="str">
        <v>VKC-031</v>
      </c>
      <c r="D32" s="38" t="str">
        <v>VKT-031</v>
      </c>
      <c r="E32" s="38" t="str">
        <v>Десерты</v>
      </c>
      <c r="F32" s="38" t="str">
        <v>Мадлен</v>
      </c>
      <c r="G32" s="38" t="str">
        <v>0.1.0-DRAFT</v>
      </c>
      <c r="H32" s="38" t="str">
        <v>c6b22ad5f2812cc989a0d3593f40e21207da8f53</v>
      </c>
      <c r="I32" s="38" t="str">
        <v>партия 20 шт. / продажа 2 шт.</v>
      </c>
      <c r="J32" s="38" t="n">
        <v>600</v>
      </c>
      <c r="K32" s="38" t="str">
        <v>г</v>
      </c>
      <c r="L32" s="38" t="n">
        <v>60</v>
      </c>
      <c r="M32" s="38" t="str">
        <v>г</v>
      </c>
      <c r="N32" s="38" t="str">
        <v>CALCULATED_FROM_DRAFT: 600 г × 2 шт. / 20 шт.</v>
      </c>
      <c r="O32" s="38" t="n">
        <v>9</v>
      </c>
      <c r="P32" s="38" t="n">
        <v>100</v>
      </c>
      <c r="Q32" s="38" t="n">
        <v>4</v>
      </c>
      <c r="R32" s="38" t="n">
        <v>32.36</v>
      </c>
      <c r="S32" s="38" t="n">
        <v>32.36</v>
      </c>
      <c r="T32" s="38" t="n">
        <v>32.43</v>
      </c>
      <c r="U32" s="38" t="n">
        <v>5.39</v>
      </c>
      <c r="V32" s="38" t="n">
        <v>5.39</v>
      </c>
      <c r="W32" s="38" t="n">
        <v>5.4</v>
      </c>
      <c r="X32" s="38" t="n">
        <v>3.24</v>
      </c>
      <c r="Y32" s="38" t="n">
        <v>129.58</v>
      </c>
      <c r="Z32" s="38" t="n">
        <v>128.9</v>
      </c>
      <c r="AA32" s="38" t="n">
        <v>129.58</v>
      </c>
      <c r="AB32" s="38" t="n">
        <v>21.6</v>
      </c>
      <c r="AC32" s="38" t="n">
        <v>21.48</v>
      </c>
      <c r="AD32" s="38" t="n">
        <v>21.6</v>
      </c>
      <c r="AE32" s="38" t="n">
        <v>12.96</v>
      </c>
      <c r="AF32" s="38" t="n">
        <v>250.23</v>
      </c>
      <c r="AG32" s="38" t="n">
        <v>250.05</v>
      </c>
      <c r="AH32" s="38" t="n">
        <v>250.29</v>
      </c>
      <c r="AI32" s="38" t="n">
        <v>41.71</v>
      </c>
      <c r="AJ32" s="38" t="n">
        <v>41.68</v>
      </c>
      <c r="AK32" s="38" t="n">
        <v>41.71</v>
      </c>
      <c r="AL32" s="38" t="n">
        <v>25.02</v>
      </c>
      <c r="AM32" s="38" t="n">
        <v>2269.35</v>
      </c>
      <c r="AN32" s="38" t="n">
        <v>2263.55</v>
      </c>
      <c r="AO32" s="38" t="n">
        <v>2269.35</v>
      </c>
      <c r="AP32" s="38" t="n">
        <v>378.23</v>
      </c>
      <c r="AQ32" s="38" t="n">
        <v>377.26</v>
      </c>
      <c r="AR32" s="38" t="n">
        <v>378.23</v>
      </c>
      <c r="AS32" s="38" t="n">
        <v>226.94</v>
      </c>
      <c r="AT32" s="38" t="n">
        <v>-1.2</v>
      </c>
      <c r="AU32" s="38" t="str">
        <v>CALCULATED_DRAFT_WITH_ASSUMPTIONS</v>
      </c>
      <c r="AV32" s="38" t="str">
        <v>BLOCKED_PENDING_VALIDATION</v>
      </c>
      <c r="AW32" s="38" t="str">
        <v>false</v>
      </c>
      <c r="AX32" s="38" t="str">
        <v>EVD-0005;EVD-0007;EVD-0008;EVD-0027;EVD-0028;METHOD-NUT-002</v>
      </c>
      <c r="AY32" s="38" t="str">
        <v>Sum net grams × official/proxy nutrient per 100 g; normalize to draft declared output; direct source kcal retained; sensitivity is official-candidate envelope</v>
      </c>
      <c r="AZ32" s="38" t="str">
        <v>2026-08-03</v>
      </c>
      <c r="BA32" s="38" t="str">
        <v>NutritionDataAgent / Procurement / Chef</v>
      </c>
      <c r="BB32" s="38" t="str">
        <v>GAP-005;GAP-013</v>
      </c>
      <c r="BC32" s="38" t="str">
        <v>Planning calculation, not approved nutrition declaration: recipe/output are draft and exact supplier SKU is not confirmed</v>
      </c>
      <c r="BD32" s="39" t="str">
        <v>Chef validates weighed recipe/output; Procurement confirms SKU labels; NutritionDataAgent remaps material differences; laboratory testing only if owner requires confirmed values</v>
      </c>
    </row>
    <row r="33">
      <c r="A33" s="37" t="str">
        <v>NUT-BF-026</v>
      </c>
      <c r="B33" s="38" t="str">
        <v>VKM-026</v>
      </c>
      <c r="C33" s="38" t="str">
        <v>VKC-026</v>
      </c>
      <c r="D33" s="38" t="str">
        <v>VKT-026</v>
      </c>
      <c r="E33" s="38" t="str">
        <v>Гостиничные завтраки</v>
      </c>
      <c r="F33" s="38" t="str">
        <v>Яичница, круассан и сыр двух видов</v>
      </c>
      <c r="G33" s="38" t="str">
        <v>PR81-DRAFT</v>
      </c>
      <c r="H33" s="38"/>
      <c r="I33" s="38" t="str">
        <v>1 закрытый комплекс</v>
      </c>
      <c r="J33" s="38" t="str">
        <v>225 г + напиток 200 мл</v>
      </c>
      <c r="K33" s="38"/>
      <c r="L33" s="38"/>
      <c r="M33" s="38"/>
      <c r="N33" s="38" t="str">
        <v>BLOCKED_PENDING_RECIPE_AND_CONTROL_COOK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 t="str">
        <v>NOT_CALCULATED_EVIDENCE_OPEN</v>
      </c>
      <c r="AV33" s="38"/>
      <c r="AW33" s="38"/>
      <c r="AX33" s="38"/>
      <c r="AY33" s="38"/>
      <c r="AZ33" s="38"/>
      <c r="BA33" s="38"/>
      <c r="BB33" s="38"/>
      <c r="BC33" s="38"/>
      <c r="BD33" s="39"/>
    </row>
    <row r="34">
      <c r="A34" s="37" t="str">
        <v>NUT-BF-027</v>
      </c>
      <c r="B34" s="38" t="str">
        <v>VKM-027</v>
      </c>
      <c r="C34" s="38" t="str">
        <v>VKC-027</v>
      </c>
      <c r="D34" s="38" t="str">
        <v>VKT-027</v>
      </c>
      <c r="E34" s="38" t="str">
        <v>Гостиничные завтраки</v>
      </c>
      <c r="F34" s="38" t="str">
        <v>Омлет, круассан и сыр двух видов</v>
      </c>
      <c r="G34" s="38" t="str">
        <v>PR81-DRAFT</v>
      </c>
      <c r="H34" s="38"/>
      <c r="I34" s="38" t="str">
        <v>1 закрытый комплекс</v>
      </c>
      <c r="J34" s="38" t="str">
        <v>265 г + напиток 200 мл</v>
      </c>
      <c r="K34" s="38"/>
      <c r="L34" s="38"/>
      <c r="M34" s="38"/>
      <c r="N34" s="38" t="str">
        <v>BLOCKED_PENDING_RECIPE_AND_CONTROL_COOK</v>
      </c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 t="str">
        <v>NOT_CALCULATED_EVIDENCE_OPEN</v>
      </c>
      <c r="AV34" s="38"/>
      <c r="AW34" s="38"/>
      <c r="AX34" s="38"/>
      <c r="AY34" s="38"/>
      <c r="AZ34" s="38"/>
      <c r="BA34" s="38"/>
      <c r="BB34" s="38"/>
      <c r="BC34" s="38"/>
      <c r="BD34" s="39"/>
    </row>
    <row r="35">
      <c r="A35" s="40" t="str">
        <v>NUT-BF-028</v>
      </c>
      <c r="B35" s="41" t="str">
        <v>VKM-028</v>
      </c>
      <c r="C35" s="41" t="str">
        <v>VKC-028</v>
      </c>
      <c r="D35" s="41" t="str">
        <v>VKT-028</v>
      </c>
      <c r="E35" s="41" t="str">
        <v>Гостиничные завтраки</v>
      </c>
      <c r="F35" s="41" t="str">
        <v>Овсяная каша, круассан и сыр двух видов</v>
      </c>
      <c r="G35" s="41" t="str">
        <v>PR81-DRAFT</v>
      </c>
      <c r="H35" s="41"/>
      <c r="I35" s="41" t="str">
        <v>1 закрытый комплекс</v>
      </c>
      <c r="J35" s="41" t="str">
        <v>355 г + напиток 200 мл</v>
      </c>
      <c r="K35" s="41"/>
      <c r="L35" s="41"/>
      <c r="M35" s="41"/>
      <c r="N35" s="41" t="str">
        <v>BLOCKED_PENDING_RECIPE_AND_CONTROL_COOK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 t="str">
        <v>NOT_CALCULATED_EVIDENCE_OPEN</v>
      </c>
      <c r="AV35" s="41"/>
      <c r="AW35" s="41"/>
      <c r="AX35" s="41"/>
      <c r="AY35" s="41"/>
      <c r="AZ35" s="41"/>
      <c r="BA35" s="41"/>
      <c r="BB35" s="41"/>
      <c r="BC35" s="41"/>
      <c r="BD35" s="42"/>
    </row>
  </sheetData>
  <autoFilter ref="A1:BD35"/>
  <mergeCells>
    <mergeCell ref="A1:BD1"/>
    <mergeCell ref="A2:BD2"/>
  </mergeCells>
  <conditionalFormatting sqref="N5:N35">
    <cfRule type="containsText" dxfId="132" priority="1" operator="containsText" text="BLOCK"/>
    <cfRule type="containsText" dxfId="133" priority="2" operator="containsText" text="DRAFT"/>
    <cfRule type="containsText" dxfId="134" priority="3" operator="containsText" text="PASS"/>
  </conditionalFormatting>
  <conditionalFormatting sqref="AU5:AU35">
    <cfRule type="containsText" dxfId="135" priority="4" operator="containsText" text="BLOCK"/>
    <cfRule type="containsText" dxfId="136" priority="5" operator="containsText" text="DRAFT"/>
    <cfRule type="containsText" dxfId="137" priority="6" operator="containsText" text="PASS"/>
  </conditionalFormatting>
  <conditionalFormatting sqref="AV5:AV35">
    <cfRule type="containsText" dxfId="138" priority="7" operator="containsText" text="BLOCK"/>
    <cfRule type="containsText" dxfId="139" priority="8" operator="containsText" text="DRAFT"/>
    <cfRule type="containsText" dxfId="140" priority="9" operator="containsText" text="PASS"/>
  </conditionalFormatting>
  <pageMargins left="0.7" right="0.7" top="0.75" bottom="0.75" header="0.3" footer="0.3"/>
  <tableParts count="1">
    <tablePart r:id="R584d40d66cd14d85"/>
  </tableParts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38" hidden="0" customWidth="1"/>
    <col min="2" max="2" width="16" hidden="0" customWidth="1"/>
    <col min="3" max="3" width="38" hidden="0" customWidth="1"/>
    <col min="4" max="4" width="38" hidden="0" customWidth="1"/>
    <col min="5" max="5" width="38" hidden="0" customWidth="1"/>
    <col min="6" max="6" width="38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</cols>
  <sheetData>
    <row r="1">
      <c r="A1" s="8" t="str">
        <v>12 — Вопросы шеф-повару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11" t="str">
        <v>P0 safety/SKU/storage; P1 recipe/output; P2 process/equipment.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ht="50" customHeight="1">
      <c r="A4" s="14" t="str">
        <v>question_id</v>
      </c>
      <c r="B4" s="14" t="str">
        <v>dish_code</v>
      </c>
      <c r="C4" s="14" t="str">
        <v>dish_name</v>
      </c>
      <c r="D4" s="14" t="str">
        <v>question_type</v>
      </c>
      <c r="E4" s="14" t="str">
        <v>question</v>
      </c>
      <c r="F4" s="14" t="str">
        <v>question_status</v>
      </c>
      <c r="G4" s="14" t="str">
        <v>answer_owner</v>
      </c>
      <c r="H4" s="14" t="str">
        <v>impact</v>
      </c>
      <c r="I4" s="14" t="str">
        <v>evidence_ids</v>
      </c>
      <c r="J4" s="14" t="str">
        <v>blocker_ids</v>
      </c>
      <c r="K4" s="14" t="str">
        <v>raised_date</v>
      </c>
      <c r="L4" s="14" t="str">
        <v>checkpoint</v>
      </c>
      <c r="M4" s="14" t="str">
        <v>answer</v>
      </c>
      <c r="N4" s="14" t="str">
        <v>answer_date</v>
      </c>
    </row>
    <row r="5">
      <c r="A5" s="34" t="str">
        <v>CQ-0001</v>
      </c>
      <c r="B5" s="35" t="str">
        <v>VKM-001</v>
      </c>
      <c r="C5" s="35" t="str">
        <v>Маргарита</v>
      </c>
      <c r="D5" s="35" t="str">
        <v>RECIPE</v>
      </c>
      <c r="E5" s="35" t="str">
        <v>Подтвердить или скорректировать построчный состав и проектные нормы брутто/нетто.</v>
      </c>
      <c r="F5" s="35" t="str">
        <v>OPEN</v>
      </c>
      <c r="G5" s="35" t="str">
        <v>Chef</v>
      </c>
      <c r="H5" s="35" t="str">
        <v>Себестоимость; пищценность; аллергены; закупка</v>
      </c>
      <c r="I5" s="35" t="str">
        <v>EVD-0007</v>
      </c>
      <c r="J5" s="35" t="str">
        <v>GAP-004</v>
      </c>
      <c r="K5" s="35" t="str">
        <v>2026-08-03</v>
      </c>
      <c r="L5" s="35" t="str">
        <v>Owner/Chef Gate</v>
      </c>
      <c r="M5" s="35"/>
      <c r="N5" s="36"/>
    </row>
    <row r="6">
      <c r="A6" s="37" t="str">
        <v>CQ-0002</v>
      </c>
      <c r="B6" s="38" t="str">
        <v>VKM-001</v>
      </c>
      <c r="C6" s="38" t="str">
        <v>Маргарита</v>
      </c>
      <c r="D6" s="38" t="str">
        <v>YIELD</v>
      </c>
      <c r="E6" s="38" t="str">
        <v>Подтвердить целевой выход и способ учёта подготовительных/тепловых потерь контрольным взвешиванием.</v>
      </c>
      <c r="F6" s="38" t="str">
        <v>OPEN</v>
      </c>
      <c r="G6" s="38" t="str">
        <v>Chef</v>
      </c>
      <c r="H6" s="38" t="str">
        <v>Mass balance; себестоимость; порционирование</v>
      </c>
      <c r="I6" s="38" t="str">
        <v>EVD-0005;EVD-0008</v>
      </c>
      <c r="J6" s="38" t="str">
        <v>GAP-002;GAP-005</v>
      </c>
      <c r="K6" s="38" t="str">
        <v>2026-08-03</v>
      </c>
      <c r="L6" s="38" t="str">
        <v>Owner/Chef Gate</v>
      </c>
      <c r="M6" s="38"/>
      <c r="N6" s="39"/>
    </row>
    <row r="7">
      <c r="A7" s="37" t="str">
        <v>CQ-0003</v>
      </c>
      <c r="B7" s="38" t="str">
        <v>VKM-001</v>
      </c>
      <c r="C7" s="38" t="str">
        <v>Маргарита</v>
      </c>
      <c r="D7" s="38" t="str">
        <v>PROCESS</v>
      </c>
      <c r="E7" s="38" t="str">
        <v>Подтвердить последовательность операций, фактическое активное/полное время и проект подачи.</v>
      </c>
      <c r="F7" s="38" t="str">
        <v>OPEN</v>
      </c>
      <c r="G7" s="38" t="str">
        <v>Chef</v>
      </c>
      <c r="H7" s="38" t="str">
        <v>Техкарта; оборудование; мощность; сервис</v>
      </c>
      <c r="I7" s="38" t="str">
        <v>EVD-0010;EVD-0011</v>
      </c>
      <c r="J7" s="38" t="str">
        <v>GAP-007;GAP-008</v>
      </c>
      <c r="K7" s="38" t="str">
        <v>2026-08-03</v>
      </c>
      <c r="L7" s="38" t="str">
        <v>Owner/Chef Gate</v>
      </c>
      <c r="M7" s="38"/>
      <c r="N7" s="39"/>
    </row>
    <row r="8">
      <c r="A8" s="37" t="str">
        <v>CQ-0004</v>
      </c>
      <c r="B8" s="38" t="str">
        <v>VKM-001</v>
      </c>
      <c r="C8" s="38" t="str">
        <v>Маргарита</v>
      </c>
      <c r="D8" s="38" t="str">
        <v>SEMI_FINISHED</v>
      </c>
      <c r="E8" s="38" t="str">
        <v>Подтвердить выделение, код и размер партии связанных полуфабрикатов; указать общие полуфабрикаты.</v>
      </c>
      <c r="F8" s="38" t="str">
        <v>OPEN</v>
      </c>
      <c r="G8" s="38" t="str">
        <v>Chef</v>
      </c>
      <c r="H8" s="38" t="str">
        <v>DAG; двойной учёт; себестоимость; планирование</v>
      </c>
      <c r="I8" s="38" t="str">
        <v>EVD-0009</v>
      </c>
      <c r="J8" s="38" t="str">
        <v>GAP-006</v>
      </c>
      <c r="K8" s="38" t="str">
        <v>2026-08-03</v>
      </c>
      <c r="L8" s="38" t="str">
        <v>Owner/Chef Gate</v>
      </c>
      <c r="M8" s="38"/>
      <c r="N8" s="39"/>
    </row>
    <row r="9">
      <c r="A9" s="37" t="str">
        <v>CQ-0005</v>
      </c>
      <c r="B9" s="38" t="str">
        <v>VKM-001</v>
      </c>
      <c r="C9" s="38" t="str">
        <v>Маргарита</v>
      </c>
      <c r="D9" s="38" t="str">
        <v>PROCESS_FLOW_FOR_SAFETY</v>
      </c>
      <c r="E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9" s="38" t="str">
        <v>OPEN</v>
      </c>
      <c r="G9" s="38" t="str">
        <v>Chef</v>
      </c>
      <c r="H9" s="38" t="str">
        <v>Safety veto; ППК/HACCP; маркировка и прослеживаемость</v>
      </c>
      <c r="I9" s="38" t="str">
        <v>EVD-0013;EVD-0014;EVD-FS-001;EVD-FS-003</v>
      </c>
      <c r="J9" s="38" t="str">
        <v>GAP-010;GAP-011</v>
      </c>
      <c r="K9" s="38" t="str">
        <v>2026-08-03</v>
      </c>
      <c r="L9" s="38" t="str">
        <v>Owner/Chef Gate</v>
      </c>
      <c r="M9" s="38"/>
      <c r="N9" s="39"/>
    </row>
    <row r="10">
      <c r="A10" s="37" t="str">
        <v>CQ-0006</v>
      </c>
      <c r="B10" s="38" t="str">
        <v>VKM-002</v>
      </c>
      <c r="C10" s="38" t="str">
        <v>Четыре сыра</v>
      </c>
      <c r="D10" s="38" t="str">
        <v>RECIPE</v>
      </c>
      <c r="E10" s="38" t="str">
        <v>Подтвердить или скорректировать построчный состав и проектные нормы брутто/нетто.</v>
      </c>
      <c r="F10" s="38" t="str">
        <v>OPEN</v>
      </c>
      <c r="G10" s="38" t="str">
        <v>Chef</v>
      </c>
      <c r="H10" s="38" t="str">
        <v>Себестоимость; пищценность; аллергены; закупка</v>
      </c>
      <c r="I10" s="38" t="str">
        <v>EVD-0007</v>
      </c>
      <c r="J10" s="38" t="str">
        <v>GAP-004</v>
      </c>
      <c r="K10" s="38" t="str">
        <v>2026-08-03</v>
      </c>
      <c r="L10" s="38" t="str">
        <v>Owner/Chef Gate</v>
      </c>
      <c r="M10" s="38"/>
      <c r="N10" s="39"/>
    </row>
    <row r="11">
      <c r="A11" s="37" t="str">
        <v>CQ-0007</v>
      </c>
      <c r="B11" s="38" t="str">
        <v>VKM-002</v>
      </c>
      <c r="C11" s="38" t="str">
        <v>Четыре сыра</v>
      </c>
      <c r="D11" s="38" t="str">
        <v>YIELD</v>
      </c>
      <c r="E11" s="38" t="str">
        <v>Подтвердить целевой выход и способ учёта подготовительных/тепловых потерь контрольным взвешиванием.</v>
      </c>
      <c r="F11" s="38" t="str">
        <v>OPEN</v>
      </c>
      <c r="G11" s="38" t="str">
        <v>Chef</v>
      </c>
      <c r="H11" s="38" t="str">
        <v>Mass balance; себестоимость; порционирование</v>
      </c>
      <c r="I11" s="38" t="str">
        <v>EVD-0005;EVD-0008</v>
      </c>
      <c r="J11" s="38" t="str">
        <v>GAP-002;GAP-005</v>
      </c>
      <c r="K11" s="38" t="str">
        <v>2026-08-03</v>
      </c>
      <c r="L11" s="38" t="str">
        <v>Owner/Chef Gate</v>
      </c>
      <c r="M11" s="38"/>
      <c r="N11" s="39"/>
    </row>
    <row r="12">
      <c r="A12" s="37" t="str">
        <v>CQ-0008</v>
      </c>
      <c r="B12" s="38" t="str">
        <v>VKM-002</v>
      </c>
      <c r="C12" s="38" t="str">
        <v>Четыре сыра</v>
      </c>
      <c r="D12" s="38" t="str">
        <v>PROCESS</v>
      </c>
      <c r="E12" s="38" t="str">
        <v>Подтвердить последовательность операций, фактическое активное/полное время и проект подачи.</v>
      </c>
      <c r="F12" s="38" t="str">
        <v>OPEN</v>
      </c>
      <c r="G12" s="38" t="str">
        <v>Chef</v>
      </c>
      <c r="H12" s="38" t="str">
        <v>Техкарта; оборудование; мощность; сервис</v>
      </c>
      <c r="I12" s="38" t="str">
        <v>EVD-0010;EVD-0011</v>
      </c>
      <c r="J12" s="38" t="str">
        <v>GAP-007;GAP-008</v>
      </c>
      <c r="K12" s="38" t="str">
        <v>2026-08-03</v>
      </c>
      <c r="L12" s="38" t="str">
        <v>Owner/Chef Gate</v>
      </c>
      <c r="M12" s="38"/>
      <c r="N12" s="39"/>
    </row>
    <row r="13">
      <c r="A13" s="37" t="str">
        <v>CQ-0009</v>
      </c>
      <c r="B13" s="38" t="str">
        <v>VKM-002</v>
      </c>
      <c r="C13" s="38" t="str">
        <v>Четыре сыра</v>
      </c>
      <c r="D13" s="38" t="str">
        <v>SEMI_FINISHED</v>
      </c>
      <c r="E13" s="38" t="str">
        <v>Подтвердить выделение, код и размер партии связанных полуфабрикатов; указать общие полуфабрикаты.</v>
      </c>
      <c r="F13" s="38" t="str">
        <v>OPEN</v>
      </c>
      <c r="G13" s="38" t="str">
        <v>Chef</v>
      </c>
      <c r="H13" s="38" t="str">
        <v>DAG; двойной учёт; себестоимость; планирование</v>
      </c>
      <c r="I13" s="38" t="str">
        <v>EVD-0009</v>
      </c>
      <c r="J13" s="38" t="str">
        <v>GAP-006</v>
      </c>
      <c r="K13" s="38" t="str">
        <v>2026-08-03</v>
      </c>
      <c r="L13" s="38" t="str">
        <v>Owner/Chef Gate</v>
      </c>
      <c r="M13" s="38"/>
      <c r="N13" s="39"/>
    </row>
    <row r="14">
      <c r="A14" s="37" t="str">
        <v>CQ-0010</v>
      </c>
      <c r="B14" s="38" t="str">
        <v>VKM-002</v>
      </c>
      <c r="C14" s="38" t="str">
        <v>Четыре сыра</v>
      </c>
      <c r="D14" s="38" t="str">
        <v>PROCESS_FLOW_FOR_SAFETY</v>
      </c>
      <c r="E1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4" s="38" t="str">
        <v>OPEN</v>
      </c>
      <c r="G14" s="38" t="str">
        <v>Chef</v>
      </c>
      <c r="H14" s="38" t="str">
        <v>Safety veto; ППК/HACCP; маркировка и прослеживаемость</v>
      </c>
      <c r="I14" s="38" t="str">
        <v>EVD-0013;EVD-0014;EVD-FS-001;EVD-FS-003</v>
      </c>
      <c r="J14" s="38" t="str">
        <v>GAP-010;GAP-011</v>
      </c>
      <c r="K14" s="38" t="str">
        <v>2026-08-03</v>
      </c>
      <c r="L14" s="38" t="str">
        <v>Owner/Chef Gate</v>
      </c>
      <c r="M14" s="38"/>
      <c r="N14" s="39"/>
    </row>
    <row r="15">
      <c r="A15" s="37" t="str">
        <v>CQ-0011</v>
      </c>
      <c r="B15" s="38" t="str">
        <v>VKM-003</v>
      </c>
      <c r="C15" s="38" t="str">
        <v>Грибная с ветчиной</v>
      </c>
      <c r="D15" s="38" t="str">
        <v>RECIPE</v>
      </c>
      <c r="E15" s="38" t="str">
        <v>Подтвердить или скорректировать построчный состав и проектные нормы брутто/нетто.</v>
      </c>
      <c r="F15" s="38" t="str">
        <v>OPEN</v>
      </c>
      <c r="G15" s="38" t="str">
        <v>Chef</v>
      </c>
      <c r="H15" s="38" t="str">
        <v>Себестоимость; пищценность; аллергены; закупка</v>
      </c>
      <c r="I15" s="38" t="str">
        <v>EVD-0007</v>
      </c>
      <c r="J15" s="38" t="str">
        <v>GAP-004</v>
      </c>
      <c r="K15" s="38" t="str">
        <v>2026-08-03</v>
      </c>
      <c r="L15" s="38" t="str">
        <v>Owner/Chef Gate</v>
      </c>
      <c r="M15" s="38"/>
      <c r="N15" s="39"/>
    </row>
    <row r="16">
      <c r="A16" s="37" t="str">
        <v>CQ-0012</v>
      </c>
      <c r="B16" s="38" t="str">
        <v>VKM-003</v>
      </c>
      <c r="C16" s="38" t="str">
        <v>Грибная с ветчиной</v>
      </c>
      <c r="D16" s="38" t="str">
        <v>YIELD</v>
      </c>
      <c r="E16" s="38" t="str">
        <v>Подтвердить целевой выход и способ учёта подготовительных/тепловых потерь контрольным взвешиванием.</v>
      </c>
      <c r="F16" s="38" t="str">
        <v>OPEN</v>
      </c>
      <c r="G16" s="38" t="str">
        <v>Chef</v>
      </c>
      <c r="H16" s="38" t="str">
        <v>Mass balance; себестоимость; порционирование</v>
      </c>
      <c r="I16" s="38" t="str">
        <v>EVD-0005;EVD-0008</v>
      </c>
      <c r="J16" s="38" t="str">
        <v>GAP-002;GAP-005</v>
      </c>
      <c r="K16" s="38" t="str">
        <v>2026-08-03</v>
      </c>
      <c r="L16" s="38" t="str">
        <v>Owner/Chef Gate</v>
      </c>
      <c r="M16" s="38"/>
      <c r="N16" s="39"/>
    </row>
    <row r="17">
      <c r="A17" s="37" t="str">
        <v>CQ-0013</v>
      </c>
      <c r="B17" s="38" t="str">
        <v>VKM-003</v>
      </c>
      <c r="C17" s="38" t="str">
        <v>Грибная с ветчиной</v>
      </c>
      <c r="D17" s="38" t="str">
        <v>PROCESS</v>
      </c>
      <c r="E17" s="38" t="str">
        <v>Подтвердить последовательность операций, фактическое активное/полное время и проект подачи.</v>
      </c>
      <c r="F17" s="38" t="str">
        <v>OPEN</v>
      </c>
      <c r="G17" s="38" t="str">
        <v>Chef</v>
      </c>
      <c r="H17" s="38" t="str">
        <v>Техкарта; оборудование; мощность; сервис</v>
      </c>
      <c r="I17" s="38" t="str">
        <v>EVD-0010;EVD-0011</v>
      </c>
      <c r="J17" s="38" t="str">
        <v>GAP-007;GAP-008</v>
      </c>
      <c r="K17" s="38" t="str">
        <v>2026-08-03</v>
      </c>
      <c r="L17" s="38" t="str">
        <v>Owner/Chef Gate</v>
      </c>
      <c r="M17" s="38"/>
      <c r="N17" s="39"/>
    </row>
    <row r="18">
      <c r="A18" s="37" t="str">
        <v>CQ-0014</v>
      </c>
      <c r="B18" s="38" t="str">
        <v>VKM-003</v>
      </c>
      <c r="C18" s="38" t="str">
        <v>Грибная с ветчиной</v>
      </c>
      <c r="D18" s="38" t="str">
        <v>SEMI_FINISHED</v>
      </c>
      <c r="E18" s="38" t="str">
        <v>Подтвердить выделение, код и размер партии связанных полуфабрикатов; указать общие полуфабрикаты.</v>
      </c>
      <c r="F18" s="38" t="str">
        <v>OPEN</v>
      </c>
      <c r="G18" s="38" t="str">
        <v>Chef</v>
      </c>
      <c r="H18" s="38" t="str">
        <v>DAG; двойной учёт; себестоимость; планирование</v>
      </c>
      <c r="I18" s="38" t="str">
        <v>EVD-0009</v>
      </c>
      <c r="J18" s="38" t="str">
        <v>GAP-006</v>
      </c>
      <c r="K18" s="38" t="str">
        <v>2026-08-03</v>
      </c>
      <c r="L18" s="38" t="str">
        <v>Owner/Chef Gate</v>
      </c>
      <c r="M18" s="38"/>
      <c r="N18" s="39"/>
    </row>
    <row r="19">
      <c r="A19" s="37" t="str">
        <v>CQ-0015</v>
      </c>
      <c r="B19" s="38" t="str">
        <v>VKM-003</v>
      </c>
      <c r="C19" s="38" t="str">
        <v>Грибная с ветчиной</v>
      </c>
      <c r="D19" s="38" t="str">
        <v>PROCESS_FLOW_FOR_SAFETY</v>
      </c>
      <c r="E1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9" s="38" t="str">
        <v>OPEN</v>
      </c>
      <c r="G19" s="38" t="str">
        <v>Chef</v>
      </c>
      <c r="H19" s="38" t="str">
        <v>Safety veto; ППК/HACCP; маркировка и прослеживаемость</v>
      </c>
      <c r="I19" s="38" t="str">
        <v>EVD-0013;EVD-0014;EVD-FS-001;EVD-FS-003</v>
      </c>
      <c r="J19" s="38" t="str">
        <v>GAP-010;GAP-011</v>
      </c>
      <c r="K19" s="38" t="str">
        <v>2026-08-03</v>
      </c>
      <c r="L19" s="38" t="str">
        <v>Owner/Chef Gate</v>
      </c>
      <c r="M19" s="38"/>
      <c r="N19" s="39"/>
    </row>
    <row r="20">
      <c r="A20" s="37" t="str">
        <v>CQ-0016</v>
      </c>
      <c r="B20" s="38" t="str">
        <v>VKM-004</v>
      </c>
      <c r="C20" s="38" t="str">
        <v>Пепперони</v>
      </c>
      <c r="D20" s="38" t="str">
        <v>RECIPE</v>
      </c>
      <c r="E20" s="38" t="str">
        <v>Подтвердить или скорректировать построчный состав и проектные нормы брутто/нетто.</v>
      </c>
      <c r="F20" s="38" t="str">
        <v>OPEN</v>
      </c>
      <c r="G20" s="38" t="str">
        <v>Chef</v>
      </c>
      <c r="H20" s="38" t="str">
        <v>Себестоимость; пищценность; аллергены; закупка</v>
      </c>
      <c r="I20" s="38" t="str">
        <v>EVD-0007</v>
      </c>
      <c r="J20" s="38" t="str">
        <v>GAP-004</v>
      </c>
      <c r="K20" s="38" t="str">
        <v>2026-08-03</v>
      </c>
      <c r="L20" s="38" t="str">
        <v>Owner/Chef Gate</v>
      </c>
      <c r="M20" s="38"/>
      <c r="N20" s="39"/>
    </row>
    <row r="21">
      <c r="A21" s="37" t="str">
        <v>CQ-0017</v>
      </c>
      <c r="B21" s="38" t="str">
        <v>VKM-004</v>
      </c>
      <c r="C21" s="38" t="str">
        <v>Пепперони</v>
      </c>
      <c r="D21" s="38" t="str">
        <v>YIELD</v>
      </c>
      <c r="E21" s="38" t="str">
        <v>Подтвердить целевой выход и способ учёта подготовительных/тепловых потерь контрольным взвешиванием.</v>
      </c>
      <c r="F21" s="38" t="str">
        <v>OPEN</v>
      </c>
      <c r="G21" s="38" t="str">
        <v>Chef</v>
      </c>
      <c r="H21" s="38" t="str">
        <v>Mass balance; себестоимость; порционирование</v>
      </c>
      <c r="I21" s="38" t="str">
        <v>EVD-0005;EVD-0008</v>
      </c>
      <c r="J21" s="38" t="str">
        <v>GAP-002;GAP-005</v>
      </c>
      <c r="K21" s="38" t="str">
        <v>2026-08-03</v>
      </c>
      <c r="L21" s="38" t="str">
        <v>Owner/Chef Gate</v>
      </c>
      <c r="M21" s="38"/>
      <c r="N21" s="39"/>
    </row>
    <row r="22">
      <c r="A22" s="37" t="str">
        <v>CQ-0018</v>
      </c>
      <c r="B22" s="38" t="str">
        <v>VKM-004</v>
      </c>
      <c r="C22" s="38" t="str">
        <v>Пепперони</v>
      </c>
      <c r="D22" s="38" t="str">
        <v>PROCESS</v>
      </c>
      <c r="E22" s="38" t="str">
        <v>Подтвердить последовательность операций, фактическое активное/полное время и проект подачи.</v>
      </c>
      <c r="F22" s="38" t="str">
        <v>OPEN</v>
      </c>
      <c r="G22" s="38" t="str">
        <v>Chef</v>
      </c>
      <c r="H22" s="38" t="str">
        <v>Техкарта; оборудование; мощность; сервис</v>
      </c>
      <c r="I22" s="38" t="str">
        <v>EVD-0010;EVD-0011</v>
      </c>
      <c r="J22" s="38" t="str">
        <v>GAP-007;GAP-008</v>
      </c>
      <c r="K22" s="38" t="str">
        <v>2026-08-03</v>
      </c>
      <c r="L22" s="38" t="str">
        <v>Owner/Chef Gate</v>
      </c>
      <c r="M22" s="38"/>
      <c r="N22" s="39"/>
    </row>
    <row r="23">
      <c r="A23" s="37" t="str">
        <v>CQ-0019</v>
      </c>
      <c r="B23" s="38" t="str">
        <v>VKM-004</v>
      </c>
      <c r="C23" s="38" t="str">
        <v>Пепперони</v>
      </c>
      <c r="D23" s="38" t="str">
        <v>SEMI_FINISHED</v>
      </c>
      <c r="E23" s="38" t="str">
        <v>Подтвердить выделение, код и размер партии связанных полуфабрикатов; указать общие полуфабрикаты.</v>
      </c>
      <c r="F23" s="38" t="str">
        <v>OPEN</v>
      </c>
      <c r="G23" s="38" t="str">
        <v>Chef</v>
      </c>
      <c r="H23" s="38" t="str">
        <v>DAG; двойной учёт; себестоимость; планирование</v>
      </c>
      <c r="I23" s="38" t="str">
        <v>EVD-0009</v>
      </c>
      <c r="J23" s="38" t="str">
        <v>GAP-006</v>
      </c>
      <c r="K23" s="38" t="str">
        <v>2026-08-03</v>
      </c>
      <c r="L23" s="38" t="str">
        <v>Owner/Chef Gate</v>
      </c>
      <c r="M23" s="38"/>
      <c r="N23" s="39"/>
    </row>
    <row r="24">
      <c r="A24" s="37" t="str">
        <v>CQ-0020</v>
      </c>
      <c r="B24" s="38" t="str">
        <v>VKM-004</v>
      </c>
      <c r="C24" s="38" t="str">
        <v>Пепперони</v>
      </c>
      <c r="D24" s="38" t="str">
        <v>PROCESS_FLOW_FOR_SAFETY</v>
      </c>
      <c r="E2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24" s="38" t="str">
        <v>OPEN</v>
      </c>
      <c r="G24" s="38" t="str">
        <v>Chef</v>
      </c>
      <c r="H24" s="38" t="str">
        <v>Safety veto; ППК/HACCP; маркировка и прослеживаемость</v>
      </c>
      <c r="I24" s="38" t="str">
        <v>EVD-0013;EVD-0014;EVD-FS-001;EVD-FS-003</v>
      </c>
      <c r="J24" s="38" t="str">
        <v>GAP-010;GAP-011</v>
      </c>
      <c r="K24" s="38" t="str">
        <v>2026-08-03</v>
      </c>
      <c r="L24" s="38" t="str">
        <v>Owner/Chef Gate</v>
      </c>
      <c r="M24" s="38"/>
      <c r="N24" s="39"/>
    </row>
    <row r="25">
      <c r="A25" s="37" t="str">
        <v>CQ-0021</v>
      </c>
      <c r="B25" s="38" t="str">
        <v>VKM-005</v>
      </c>
      <c r="C25" s="38" t="str">
        <v>Белая чиабатта</v>
      </c>
      <c r="D25" s="38" t="str">
        <v>RECIPE</v>
      </c>
      <c r="E25" s="38" t="str">
        <v>Подтвердить или скорректировать построчный состав и проектные нормы брутто/нетто.</v>
      </c>
      <c r="F25" s="38" t="str">
        <v>OPEN</v>
      </c>
      <c r="G25" s="38" t="str">
        <v>Chef</v>
      </c>
      <c r="H25" s="38" t="str">
        <v>Себестоимость; пищценность; аллергены; закупка</v>
      </c>
      <c r="I25" s="38" t="str">
        <v>EVD-0007</v>
      </c>
      <c r="J25" s="38" t="str">
        <v>GAP-004</v>
      </c>
      <c r="K25" s="38" t="str">
        <v>2026-08-03</v>
      </c>
      <c r="L25" s="38" t="str">
        <v>Owner/Chef Gate</v>
      </c>
      <c r="M25" s="38"/>
      <c r="N25" s="39"/>
    </row>
    <row r="26">
      <c r="A26" s="37" t="str">
        <v>CQ-0022</v>
      </c>
      <c r="B26" s="38" t="str">
        <v>VKM-005</v>
      </c>
      <c r="C26" s="38" t="str">
        <v>Белая чиабатта</v>
      </c>
      <c r="D26" s="38" t="str">
        <v>YIELD</v>
      </c>
      <c r="E26" s="38" t="str">
        <v>Подтвердить целевой выход и способ учёта подготовительных/тепловых потерь контрольным взвешиванием.</v>
      </c>
      <c r="F26" s="38" t="str">
        <v>OPEN</v>
      </c>
      <c r="G26" s="38" t="str">
        <v>Chef</v>
      </c>
      <c r="H26" s="38" t="str">
        <v>Mass balance; себестоимость; порционирование</v>
      </c>
      <c r="I26" s="38" t="str">
        <v>EVD-0005;EVD-0008</v>
      </c>
      <c r="J26" s="38" t="str">
        <v>GAP-002;GAP-005</v>
      </c>
      <c r="K26" s="38" t="str">
        <v>2026-08-03</v>
      </c>
      <c r="L26" s="38" t="str">
        <v>Owner/Chef Gate</v>
      </c>
      <c r="M26" s="38"/>
      <c r="N26" s="39"/>
    </row>
    <row r="27">
      <c r="A27" s="37" t="str">
        <v>CQ-0023</v>
      </c>
      <c r="B27" s="38" t="str">
        <v>VKM-005</v>
      </c>
      <c r="C27" s="38" t="str">
        <v>Белая чиабатта</v>
      </c>
      <c r="D27" s="38" t="str">
        <v>PROCESS</v>
      </c>
      <c r="E27" s="38" t="str">
        <v>Подтвердить последовательность операций, фактическое активное/полное время и проект подачи.</v>
      </c>
      <c r="F27" s="38" t="str">
        <v>OPEN</v>
      </c>
      <c r="G27" s="38" t="str">
        <v>Chef</v>
      </c>
      <c r="H27" s="38" t="str">
        <v>Техкарта; оборудование; мощность; сервис</v>
      </c>
      <c r="I27" s="38" t="str">
        <v>EVD-0010;EVD-0011</v>
      </c>
      <c r="J27" s="38" t="str">
        <v>GAP-007;GAP-008</v>
      </c>
      <c r="K27" s="38" t="str">
        <v>2026-08-03</v>
      </c>
      <c r="L27" s="38" t="str">
        <v>Owner/Chef Gate</v>
      </c>
      <c r="M27" s="38"/>
      <c r="N27" s="39"/>
    </row>
    <row r="28">
      <c r="A28" s="37" t="str">
        <v>CQ-0024</v>
      </c>
      <c r="B28" s="38" t="str">
        <v>VKM-005</v>
      </c>
      <c r="C28" s="38" t="str">
        <v>Белая чиабатта</v>
      </c>
      <c r="D28" s="38" t="str">
        <v>SEMI_FINISHED</v>
      </c>
      <c r="E28" s="38" t="str">
        <v>Подтвердить выделение, код и размер партии связанных полуфабрикатов; указать общие полуфабрикаты.</v>
      </c>
      <c r="F28" s="38" t="str">
        <v>OPEN</v>
      </c>
      <c r="G28" s="38" t="str">
        <v>Chef</v>
      </c>
      <c r="H28" s="38" t="str">
        <v>DAG; двойной учёт; себестоимость; планирование</v>
      </c>
      <c r="I28" s="38" t="str">
        <v>EVD-0009</v>
      </c>
      <c r="J28" s="38" t="str">
        <v>GAP-006</v>
      </c>
      <c r="K28" s="38" t="str">
        <v>2026-08-03</v>
      </c>
      <c r="L28" s="38" t="str">
        <v>Owner/Chef Gate</v>
      </c>
      <c r="M28" s="38"/>
      <c r="N28" s="39"/>
    </row>
    <row r="29">
      <c r="A29" s="37" t="str">
        <v>CQ-0025</v>
      </c>
      <c r="B29" s="38" t="str">
        <v>VKM-005</v>
      </c>
      <c r="C29" s="38" t="str">
        <v>Белая чиабатта</v>
      </c>
      <c r="D29" s="38" t="str">
        <v>PROCESS_FLOW_FOR_SAFETY</v>
      </c>
      <c r="E2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29" s="38" t="str">
        <v>OPEN</v>
      </c>
      <c r="G29" s="38" t="str">
        <v>Chef</v>
      </c>
      <c r="H29" s="38" t="str">
        <v>Safety veto; ППК/HACCP; маркировка и прослеживаемость</v>
      </c>
      <c r="I29" s="38" t="str">
        <v>EVD-0013;EVD-0014;EVD-FS-001;EVD-FS-003</v>
      </c>
      <c r="J29" s="38" t="str">
        <v>GAP-010;GAP-011</v>
      </c>
      <c r="K29" s="38" t="str">
        <v>2026-08-03</v>
      </c>
      <c r="L29" s="38" t="str">
        <v>Owner/Chef Gate</v>
      </c>
      <c r="M29" s="38"/>
      <c r="N29" s="39"/>
    </row>
    <row r="30">
      <c r="A30" s="37" t="str">
        <v>CQ-0026</v>
      </c>
      <c r="B30" s="38" t="str">
        <v>VKM-006</v>
      </c>
      <c r="C30" s="38" t="str">
        <v>Томатная чиабатта</v>
      </c>
      <c r="D30" s="38" t="str">
        <v>RECIPE</v>
      </c>
      <c r="E30" s="38" t="str">
        <v>Подтвердить или скорректировать построчный состав и проектные нормы брутто/нетто.</v>
      </c>
      <c r="F30" s="38" t="str">
        <v>OPEN</v>
      </c>
      <c r="G30" s="38" t="str">
        <v>Chef</v>
      </c>
      <c r="H30" s="38" t="str">
        <v>Себестоимость; пищценность; аллергены; закупка</v>
      </c>
      <c r="I30" s="38" t="str">
        <v>EVD-0007</v>
      </c>
      <c r="J30" s="38" t="str">
        <v>GAP-004</v>
      </c>
      <c r="K30" s="38" t="str">
        <v>2026-08-03</v>
      </c>
      <c r="L30" s="38" t="str">
        <v>Owner/Chef Gate</v>
      </c>
      <c r="M30" s="38"/>
      <c r="N30" s="39"/>
    </row>
    <row r="31">
      <c r="A31" s="37" t="str">
        <v>CQ-0027</v>
      </c>
      <c r="B31" s="38" t="str">
        <v>VKM-006</v>
      </c>
      <c r="C31" s="38" t="str">
        <v>Томатная чиабатта</v>
      </c>
      <c r="D31" s="38" t="str">
        <v>YIELD</v>
      </c>
      <c r="E31" s="38" t="str">
        <v>Подтвердить целевой выход и способ учёта подготовительных/тепловых потерь контрольным взвешиванием.</v>
      </c>
      <c r="F31" s="38" t="str">
        <v>OPEN</v>
      </c>
      <c r="G31" s="38" t="str">
        <v>Chef</v>
      </c>
      <c r="H31" s="38" t="str">
        <v>Mass balance; себестоимость; порционирование</v>
      </c>
      <c r="I31" s="38" t="str">
        <v>EVD-0005;EVD-0008</v>
      </c>
      <c r="J31" s="38" t="str">
        <v>GAP-002;GAP-005</v>
      </c>
      <c r="K31" s="38" t="str">
        <v>2026-08-03</v>
      </c>
      <c r="L31" s="38" t="str">
        <v>Owner/Chef Gate</v>
      </c>
      <c r="M31" s="38"/>
      <c r="N31" s="39"/>
    </row>
    <row r="32">
      <c r="A32" s="37" t="str">
        <v>CQ-0028</v>
      </c>
      <c r="B32" s="38" t="str">
        <v>VKM-006</v>
      </c>
      <c r="C32" s="38" t="str">
        <v>Томатная чиабатта</v>
      </c>
      <c r="D32" s="38" t="str">
        <v>PROCESS</v>
      </c>
      <c r="E32" s="38" t="str">
        <v>Подтвердить последовательность операций, фактическое активное/полное время и проект подачи.</v>
      </c>
      <c r="F32" s="38" t="str">
        <v>OPEN</v>
      </c>
      <c r="G32" s="38" t="str">
        <v>Chef</v>
      </c>
      <c r="H32" s="38" t="str">
        <v>Техкарта; оборудование; мощность; сервис</v>
      </c>
      <c r="I32" s="38" t="str">
        <v>EVD-0010;EVD-0011</v>
      </c>
      <c r="J32" s="38" t="str">
        <v>GAP-007;GAP-008</v>
      </c>
      <c r="K32" s="38" t="str">
        <v>2026-08-03</v>
      </c>
      <c r="L32" s="38" t="str">
        <v>Owner/Chef Gate</v>
      </c>
      <c r="M32" s="38"/>
      <c r="N32" s="39"/>
    </row>
    <row r="33">
      <c r="A33" s="37" t="str">
        <v>CQ-0029</v>
      </c>
      <c r="B33" s="38" t="str">
        <v>VKM-006</v>
      </c>
      <c r="C33" s="38" t="str">
        <v>Томатная чиабатта</v>
      </c>
      <c r="D33" s="38" t="str">
        <v>SEMI_FINISHED</v>
      </c>
      <c r="E33" s="38" t="str">
        <v>Подтвердить выделение, код и размер партии связанных полуфабрикатов; указать общие полуфабрикаты.</v>
      </c>
      <c r="F33" s="38" t="str">
        <v>OPEN</v>
      </c>
      <c r="G33" s="38" t="str">
        <v>Chef</v>
      </c>
      <c r="H33" s="38" t="str">
        <v>DAG; двойной учёт; себестоимость; планирование</v>
      </c>
      <c r="I33" s="38" t="str">
        <v>EVD-0009</v>
      </c>
      <c r="J33" s="38" t="str">
        <v>GAP-006</v>
      </c>
      <c r="K33" s="38" t="str">
        <v>2026-08-03</v>
      </c>
      <c r="L33" s="38" t="str">
        <v>Owner/Chef Gate</v>
      </c>
      <c r="M33" s="38"/>
      <c r="N33" s="39"/>
    </row>
    <row r="34">
      <c r="A34" s="37" t="str">
        <v>CQ-0030</v>
      </c>
      <c r="B34" s="38" t="str">
        <v>VKM-006</v>
      </c>
      <c r="C34" s="38" t="str">
        <v>Томатная чиабатта</v>
      </c>
      <c r="D34" s="38" t="str">
        <v>PROCESS_FLOW_FOR_SAFETY</v>
      </c>
      <c r="E3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34" s="38" t="str">
        <v>OPEN</v>
      </c>
      <c r="G34" s="38" t="str">
        <v>Chef</v>
      </c>
      <c r="H34" s="38" t="str">
        <v>Safety veto; ППК/HACCP; маркировка и прослеживаемость</v>
      </c>
      <c r="I34" s="38" t="str">
        <v>EVD-0013;EVD-0014;EVD-FS-001;EVD-FS-003</v>
      </c>
      <c r="J34" s="38" t="str">
        <v>GAP-010;GAP-011</v>
      </c>
      <c r="K34" s="38" t="str">
        <v>2026-08-03</v>
      </c>
      <c r="L34" s="38" t="str">
        <v>Owner/Chef Gate</v>
      </c>
      <c r="M34" s="38"/>
      <c r="N34" s="39"/>
    </row>
    <row r="35">
      <c r="A35" s="37" t="str">
        <v>CQ-0031</v>
      </c>
      <c r="B35" s="38" t="str">
        <v>VKM-007</v>
      </c>
      <c r="C35" s="38" t="str">
        <v>Бородинский хлеб</v>
      </c>
      <c r="D35" s="38" t="str">
        <v>RECIPE</v>
      </c>
      <c r="E35" s="38" t="str">
        <v>Подтвердить или скорректировать построчный состав и проектные нормы брутто/нетто.</v>
      </c>
      <c r="F35" s="38" t="str">
        <v>OPEN</v>
      </c>
      <c r="G35" s="38" t="str">
        <v>Chef</v>
      </c>
      <c r="H35" s="38" t="str">
        <v>Себестоимость; пищценность; аллергены; закупка</v>
      </c>
      <c r="I35" s="38" t="str">
        <v>EVD-0007</v>
      </c>
      <c r="J35" s="38" t="str">
        <v>GAP-004</v>
      </c>
      <c r="K35" s="38" t="str">
        <v>2026-08-03</v>
      </c>
      <c r="L35" s="38" t="str">
        <v>Owner/Chef Gate</v>
      </c>
      <c r="M35" s="38"/>
      <c r="N35" s="39"/>
    </row>
    <row r="36">
      <c r="A36" s="37" t="str">
        <v>CQ-0032</v>
      </c>
      <c r="B36" s="38" t="str">
        <v>VKM-007</v>
      </c>
      <c r="C36" s="38" t="str">
        <v>Бородинский хлеб</v>
      </c>
      <c r="D36" s="38" t="str">
        <v>YIELD</v>
      </c>
      <c r="E36" s="38" t="str">
        <v>Подтвердить целевой выход и способ учёта подготовительных/тепловых потерь контрольным взвешиванием.</v>
      </c>
      <c r="F36" s="38" t="str">
        <v>OPEN</v>
      </c>
      <c r="G36" s="38" t="str">
        <v>Chef</v>
      </c>
      <c r="H36" s="38" t="str">
        <v>Mass balance; себестоимость; порционирование</v>
      </c>
      <c r="I36" s="38" t="str">
        <v>EVD-0005;EVD-0008</v>
      </c>
      <c r="J36" s="38" t="str">
        <v>GAP-002;GAP-005</v>
      </c>
      <c r="K36" s="38" t="str">
        <v>2026-08-03</v>
      </c>
      <c r="L36" s="38" t="str">
        <v>Owner/Chef Gate</v>
      </c>
      <c r="M36" s="38"/>
      <c r="N36" s="39"/>
    </row>
    <row r="37">
      <c r="A37" s="37" t="str">
        <v>CQ-0033</v>
      </c>
      <c r="B37" s="38" t="str">
        <v>VKM-007</v>
      </c>
      <c r="C37" s="38" t="str">
        <v>Бородинский хлеб</v>
      </c>
      <c r="D37" s="38" t="str">
        <v>PROCESS</v>
      </c>
      <c r="E37" s="38" t="str">
        <v>Подтвердить последовательность операций, фактическое активное/полное время и проект подачи.</v>
      </c>
      <c r="F37" s="38" t="str">
        <v>OPEN</v>
      </c>
      <c r="G37" s="38" t="str">
        <v>Chef</v>
      </c>
      <c r="H37" s="38" t="str">
        <v>Техкарта; оборудование; мощность; сервис</v>
      </c>
      <c r="I37" s="38" t="str">
        <v>EVD-0010;EVD-0011</v>
      </c>
      <c r="J37" s="38" t="str">
        <v>GAP-007;GAP-008</v>
      </c>
      <c r="K37" s="38" t="str">
        <v>2026-08-03</v>
      </c>
      <c r="L37" s="38" t="str">
        <v>Owner/Chef Gate</v>
      </c>
      <c r="M37" s="38"/>
      <c r="N37" s="39"/>
    </row>
    <row r="38">
      <c r="A38" s="37" t="str">
        <v>CQ-0034</v>
      </c>
      <c r="B38" s="38" t="str">
        <v>VKM-007</v>
      </c>
      <c r="C38" s="38" t="str">
        <v>Бородинский хлеб</v>
      </c>
      <c r="D38" s="38" t="str">
        <v>SEMI_FINISHED</v>
      </c>
      <c r="E38" s="38" t="str">
        <v>Подтвердить выделение, код и размер партии связанных полуфабрикатов; указать общие полуфабрикаты.</v>
      </c>
      <c r="F38" s="38" t="str">
        <v>OPEN</v>
      </c>
      <c r="G38" s="38" t="str">
        <v>Chef</v>
      </c>
      <c r="H38" s="38" t="str">
        <v>DAG; двойной учёт; себестоимость; планирование</v>
      </c>
      <c r="I38" s="38" t="str">
        <v>EVD-0009</v>
      </c>
      <c r="J38" s="38" t="str">
        <v>GAP-006</v>
      </c>
      <c r="K38" s="38" t="str">
        <v>2026-08-03</v>
      </c>
      <c r="L38" s="38" t="str">
        <v>Owner/Chef Gate</v>
      </c>
      <c r="M38" s="38"/>
      <c r="N38" s="39"/>
    </row>
    <row r="39">
      <c r="A39" s="37" t="str">
        <v>CQ-0035</v>
      </c>
      <c r="B39" s="38" t="str">
        <v>VKM-007</v>
      </c>
      <c r="C39" s="38" t="str">
        <v>Бородинский хлеб</v>
      </c>
      <c r="D39" s="38" t="str">
        <v>PROCESS_FLOW_FOR_SAFETY</v>
      </c>
      <c r="E3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39" s="38" t="str">
        <v>OPEN</v>
      </c>
      <c r="G39" s="38" t="str">
        <v>Chef</v>
      </c>
      <c r="H39" s="38" t="str">
        <v>Safety veto; ППК/HACCP; маркировка и прослеживаемость</v>
      </c>
      <c r="I39" s="38" t="str">
        <v>EVD-0013;EVD-0014;EVD-FS-001;EVD-FS-003</v>
      </c>
      <c r="J39" s="38" t="str">
        <v>GAP-010;GAP-011</v>
      </c>
      <c r="K39" s="38" t="str">
        <v>2026-08-03</v>
      </c>
      <c r="L39" s="38" t="str">
        <v>Owner/Chef Gate</v>
      </c>
      <c r="M39" s="38"/>
      <c r="N39" s="39"/>
    </row>
    <row r="40">
      <c r="A40" s="37" t="str">
        <v>CQ-0036</v>
      </c>
      <c r="B40" s="38" t="str">
        <v>VKM-008</v>
      </c>
      <c r="C40" s="38" t="str">
        <v>Бриошь</v>
      </c>
      <c r="D40" s="38" t="str">
        <v>RECIPE</v>
      </c>
      <c r="E40" s="38" t="str">
        <v>Подтвердить или скорректировать построчный состав и проектные нормы брутто/нетто.</v>
      </c>
      <c r="F40" s="38" t="str">
        <v>OPEN</v>
      </c>
      <c r="G40" s="38" t="str">
        <v>Chef</v>
      </c>
      <c r="H40" s="38" t="str">
        <v>Себестоимость; пищценность; аллергены; закупка</v>
      </c>
      <c r="I40" s="38" t="str">
        <v>EVD-0007</v>
      </c>
      <c r="J40" s="38" t="str">
        <v>GAP-004</v>
      </c>
      <c r="K40" s="38" t="str">
        <v>2026-08-03</v>
      </c>
      <c r="L40" s="38" t="str">
        <v>Owner/Chef Gate</v>
      </c>
      <c r="M40" s="38"/>
      <c r="N40" s="39"/>
    </row>
    <row r="41">
      <c r="A41" s="37" t="str">
        <v>CQ-0037</v>
      </c>
      <c r="B41" s="38" t="str">
        <v>VKM-008</v>
      </c>
      <c r="C41" s="38" t="str">
        <v>Бриошь</v>
      </c>
      <c r="D41" s="38" t="str">
        <v>YIELD</v>
      </c>
      <c r="E41" s="38" t="str">
        <v>Подтвердить целевой выход и способ учёта подготовительных/тепловых потерь контрольным взвешиванием.</v>
      </c>
      <c r="F41" s="38" t="str">
        <v>OPEN</v>
      </c>
      <c r="G41" s="38" t="str">
        <v>Chef</v>
      </c>
      <c r="H41" s="38" t="str">
        <v>Mass balance; себестоимость; порционирование</v>
      </c>
      <c r="I41" s="38" t="str">
        <v>EVD-0005;EVD-0008</v>
      </c>
      <c r="J41" s="38" t="str">
        <v>GAP-002;GAP-005</v>
      </c>
      <c r="K41" s="38" t="str">
        <v>2026-08-03</v>
      </c>
      <c r="L41" s="38" t="str">
        <v>Owner/Chef Gate</v>
      </c>
      <c r="M41" s="38"/>
      <c r="N41" s="39"/>
    </row>
    <row r="42">
      <c r="A42" s="37" t="str">
        <v>CQ-0038</v>
      </c>
      <c r="B42" s="38" t="str">
        <v>VKM-008</v>
      </c>
      <c r="C42" s="38" t="str">
        <v>Бриошь</v>
      </c>
      <c r="D42" s="38" t="str">
        <v>PROCESS</v>
      </c>
      <c r="E42" s="38" t="str">
        <v>Подтвердить последовательность операций, фактическое активное/полное время и проект подачи.</v>
      </c>
      <c r="F42" s="38" t="str">
        <v>OPEN</v>
      </c>
      <c r="G42" s="38" t="str">
        <v>Chef</v>
      </c>
      <c r="H42" s="38" t="str">
        <v>Техкарта; оборудование; мощность; сервис</v>
      </c>
      <c r="I42" s="38" t="str">
        <v>EVD-0010;EVD-0011</v>
      </c>
      <c r="J42" s="38" t="str">
        <v>GAP-007;GAP-008</v>
      </c>
      <c r="K42" s="38" t="str">
        <v>2026-08-03</v>
      </c>
      <c r="L42" s="38" t="str">
        <v>Owner/Chef Gate</v>
      </c>
      <c r="M42" s="38"/>
      <c r="N42" s="39"/>
    </row>
    <row r="43">
      <c r="A43" s="37" t="str">
        <v>CQ-0039</v>
      </c>
      <c r="B43" s="38" t="str">
        <v>VKM-008</v>
      </c>
      <c r="C43" s="38" t="str">
        <v>Бриошь</v>
      </c>
      <c r="D43" s="38" t="str">
        <v>SEMI_FINISHED</v>
      </c>
      <c r="E43" s="38" t="str">
        <v>Подтвердить выделение, код и размер партии связанных полуфабрикатов; указать общие полуфабрикаты.</v>
      </c>
      <c r="F43" s="38" t="str">
        <v>OPEN</v>
      </c>
      <c r="G43" s="38" t="str">
        <v>Chef</v>
      </c>
      <c r="H43" s="38" t="str">
        <v>DAG; двойной учёт; себестоимость; планирование</v>
      </c>
      <c r="I43" s="38" t="str">
        <v>EVD-0009</v>
      </c>
      <c r="J43" s="38" t="str">
        <v>GAP-006</v>
      </c>
      <c r="K43" s="38" t="str">
        <v>2026-08-03</v>
      </c>
      <c r="L43" s="38" t="str">
        <v>Owner/Chef Gate</v>
      </c>
      <c r="M43" s="38"/>
      <c r="N43" s="39"/>
    </row>
    <row r="44">
      <c r="A44" s="37" t="str">
        <v>CQ-0040</v>
      </c>
      <c r="B44" s="38" t="str">
        <v>VKM-008</v>
      </c>
      <c r="C44" s="38" t="str">
        <v>Бриошь</v>
      </c>
      <c r="D44" s="38" t="str">
        <v>PROCESS_FLOW_FOR_SAFETY</v>
      </c>
      <c r="E4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44" s="38" t="str">
        <v>OPEN</v>
      </c>
      <c r="G44" s="38" t="str">
        <v>Chef</v>
      </c>
      <c r="H44" s="38" t="str">
        <v>Safety veto; ППК/HACCP; маркировка и прослеживаемость</v>
      </c>
      <c r="I44" s="38" t="str">
        <v>EVD-0013;EVD-0014;EVD-FS-001;EVD-FS-003</v>
      </c>
      <c r="J44" s="38" t="str">
        <v>GAP-010;GAP-011</v>
      </c>
      <c r="K44" s="38" t="str">
        <v>2026-08-03</v>
      </c>
      <c r="L44" s="38" t="str">
        <v>Owner/Chef Gate</v>
      </c>
      <c r="M44" s="38"/>
      <c r="N44" s="39"/>
    </row>
    <row r="45">
      <c r="A45" s="37" t="str">
        <v>CQ-0041</v>
      </c>
      <c r="B45" s="38" t="str">
        <v>VKM-009</v>
      </c>
      <c r="C45" s="38" t="str">
        <v>Буррата с томатами</v>
      </c>
      <c r="D45" s="38" t="str">
        <v>RECIPE</v>
      </c>
      <c r="E45" s="38" t="str">
        <v>Подтвердить или скорректировать построчный состав и проектные нормы брутто/нетто.</v>
      </c>
      <c r="F45" s="38" t="str">
        <v>OPEN</v>
      </c>
      <c r="G45" s="38" t="str">
        <v>Chef</v>
      </c>
      <c r="H45" s="38" t="str">
        <v>Себестоимость; пищценность; аллергены; закупка</v>
      </c>
      <c r="I45" s="38" t="str">
        <v>EVD-0007</v>
      </c>
      <c r="J45" s="38" t="str">
        <v>GAP-004</v>
      </c>
      <c r="K45" s="38" t="str">
        <v>2026-08-03</v>
      </c>
      <c r="L45" s="38" t="str">
        <v>Owner/Chef Gate</v>
      </c>
      <c r="M45" s="38"/>
      <c r="N45" s="39"/>
    </row>
    <row r="46">
      <c r="A46" s="37" t="str">
        <v>CQ-0042</v>
      </c>
      <c r="B46" s="38" t="str">
        <v>VKM-009</v>
      </c>
      <c r="C46" s="38" t="str">
        <v>Буррата с томатами</v>
      </c>
      <c r="D46" s="38" t="str">
        <v>YIELD</v>
      </c>
      <c r="E46" s="38" t="str">
        <v>Подтвердить целевой выход и способ учёта подготовительных/тепловых потерь контрольным взвешиванием.</v>
      </c>
      <c r="F46" s="38" t="str">
        <v>OPEN</v>
      </c>
      <c r="G46" s="38" t="str">
        <v>Chef</v>
      </c>
      <c r="H46" s="38" t="str">
        <v>Mass balance; себестоимость; порционирование</v>
      </c>
      <c r="I46" s="38" t="str">
        <v>EVD-0005;EVD-0008</v>
      </c>
      <c r="J46" s="38" t="str">
        <v>GAP-002;GAP-005</v>
      </c>
      <c r="K46" s="38" t="str">
        <v>2026-08-03</v>
      </c>
      <c r="L46" s="38" t="str">
        <v>Owner/Chef Gate</v>
      </c>
      <c r="M46" s="38"/>
      <c r="N46" s="39"/>
    </row>
    <row r="47">
      <c r="A47" s="37" t="str">
        <v>CQ-0043</v>
      </c>
      <c r="B47" s="38" t="str">
        <v>VKM-009</v>
      </c>
      <c r="C47" s="38" t="str">
        <v>Буррата с томатами</v>
      </c>
      <c r="D47" s="38" t="str">
        <v>PROCESS</v>
      </c>
      <c r="E47" s="38" t="str">
        <v>Подтвердить последовательность операций, фактическое активное/полное время и проект подачи.</v>
      </c>
      <c r="F47" s="38" t="str">
        <v>OPEN</v>
      </c>
      <c r="G47" s="38" t="str">
        <v>Chef</v>
      </c>
      <c r="H47" s="38" t="str">
        <v>Техкарта; оборудование; мощность; сервис</v>
      </c>
      <c r="I47" s="38" t="str">
        <v>EVD-0010;EVD-0011</v>
      </c>
      <c r="J47" s="38" t="str">
        <v>GAP-007;GAP-008</v>
      </c>
      <c r="K47" s="38" t="str">
        <v>2026-08-03</v>
      </c>
      <c r="L47" s="38" t="str">
        <v>Owner/Chef Gate</v>
      </c>
      <c r="M47" s="38"/>
      <c r="N47" s="39"/>
    </row>
    <row r="48">
      <c r="A48" s="37" t="str">
        <v>CQ-0044</v>
      </c>
      <c r="B48" s="38" t="str">
        <v>VKM-009</v>
      </c>
      <c r="C48" s="38" t="str">
        <v>Буррата с томатами</v>
      </c>
      <c r="D48" s="38" t="str">
        <v>SEMI_FINISHED</v>
      </c>
      <c r="E48" s="38" t="str">
        <v>Подтвердить выделение, код и размер партии связанных полуфабрикатов; указать общие полуфабрикаты.</v>
      </c>
      <c r="F48" s="38" t="str">
        <v>OPEN</v>
      </c>
      <c r="G48" s="38" t="str">
        <v>Chef</v>
      </c>
      <c r="H48" s="38" t="str">
        <v>DAG; двойной учёт; себестоимость; планирование</v>
      </c>
      <c r="I48" s="38" t="str">
        <v>EVD-0009</v>
      </c>
      <c r="J48" s="38" t="str">
        <v>GAP-006</v>
      </c>
      <c r="K48" s="38" t="str">
        <v>2026-08-03</v>
      </c>
      <c r="L48" s="38" t="str">
        <v>Owner/Chef Gate</v>
      </c>
      <c r="M48" s="38"/>
      <c r="N48" s="39"/>
    </row>
    <row r="49">
      <c r="A49" s="37" t="str">
        <v>CQ-0045</v>
      </c>
      <c r="B49" s="38" t="str">
        <v>VKM-009</v>
      </c>
      <c r="C49" s="38" t="str">
        <v>Буррата с томатами</v>
      </c>
      <c r="D49" s="38" t="str">
        <v>PROCESS_FLOW_FOR_SAFETY</v>
      </c>
      <c r="E4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49" s="38" t="str">
        <v>OPEN</v>
      </c>
      <c r="G49" s="38" t="str">
        <v>Chef</v>
      </c>
      <c r="H49" s="38" t="str">
        <v>Safety veto; ППК/HACCP; маркировка и прослеживаемость</v>
      </c>
      <c r="I49" s="38" t="str">
        <v>EVD-0013;EVD-0014;EVD-FS-001;EVD-FS-003</v>
      </c>
      <c r="J49" s="38" t="str">
        <v>GAP-010;GAP-011</v>
      </c>
      <c r="K49" s="38" t="str">
        <v>2026-08-03</v>
      </c>
      <c r="L49" s="38" t="str">
        <v>Owner/Chef Gate</v>
      </c>
      <c r="M49" s="38"/>
      <c r="N49" s="39"/>
    </row>
    <row r="50">
      <c r="A50" s="37" t="str">
        <v>CQ-0046</v>
      </c>
      <c r="B50" s="38" t="str">
        <v>VKM-010</v>
      </c>
      <c r="C50" s="38" t="str">
        <v>Микс-салат с креветками и яблоком</v>
      </c>
      <c r="D50" s="38" t="str">
        <v>RECIPE</v>
      </c>
      <c r="E50" s="38" t="str">
        <v>Подтвердить или скорректировать построчный состав и проектные нормы брутто/нетто.</v>
      </c>
      <c r="F50" s="38" t="str">
        <v>OPEN</v>
      </c>
      <c r="G50" s="38" t="str">
        <v>Chef</v>
      </c>
      <c r="H50" s="38" t="str">
        <v>Себестоимость; пищценность; аллергены; закупка</v>
      </c>
      <c r="I50" s="38" t="str">
        <v>EVD-0007</v>
      </c>
      <c r="J50" s="38" t="str">
        <v>GAP-004</v>
      </c>
      <c r="K50" s="38" t="str">
        <v>2026-08-03</v>
      </c>
      <c r="L50" s="38" t="str">
        <v>Owner/Chef Gate</v>
      </c>
      <c r="M50" s="38"/>
      <c r="N50" s="39"/>
    </row>
    <row r="51">
      <c r="A51" s="37" t="str">
        <v>CQ-0047</v>
      </c>
      <c r="B51" s="38" t="str">
        <v>VKM-010</v>
      </c>
      <c r="C51" s="38" t="str">
        <v>Микс-салат с креветками и яблоком</v>
      </c>
      <c r="D51" s="38" t="str">
        <v>YIELD</v>
      </c>
      <c r="E51" s="38" t="str">
        <v>Подтвердить целевой выход и способ учёта подготовительных/тепловых потерь контрольным взвешиванием.</v>
      </c>
      <c r="F51" s="38" t="str">
        <v>OPEN</v>
      </c>
      <c r="G51" s="38" t="str">
        <v>Chef</v>
      </c>
      <c r="H51" s="38" t="str">
        <v>Mass balance; себестоимость; порционирование</v>
      </c>
      <c r="I51" s="38" t="str">
        <v>EVD-0005;EVD-0008</v>
      </c>
      <c r="J51" s="38" t="str">
        <v>GAP-002;GAP-005</v>
      </c>
      <c r="K51" s="38" t="str">
        <v>2026-08-03</v>
      </c>
      <c r="L51" s="38" t="str">
        <v>Owner/Chef Gate</v>
      </c>
      <c r="M51" s="38"/>
      <c r="N51" s="39"/>
    </row>
    <row r="52">
      <c r="A52" s="37" t="str">
        <v>CQ-0048</v>
      </c>
      <c r="B52" s="38" t="str">
        <v>VKM-010</v>
      </c>
      <c r="C52" s="38" t="str">
        <v>Микс-салат с креветками и яблоком</v>
      </c>
      <c r="D52" s="38" t="str">
        <v>PROCESS</v>
      </c>
      <c r="E52" s="38" t="str">
        <v>Подтвердить последовательность операций, фактическое активное/полное время и проект подачи.</v>
      </c>
      <c r="F52" s="38" t="str">
        <v>OPEN</v>
      </c>
      <c r="G52" s="38" t="str">
        <v>Chef</v>
      </c>
      <c r="H52" s="38" t="str">
        <v>Техкарта; оборудование; мощность; сервис</v>
      </c>
      <c r="I52" s="38" t="str">
        <v>EVD-0010;EVD-0011</v>
      </c>
      <c r="J52" s="38" t="str">
        <v>GAP-007;GAP-008</v>
      </c>
      <c r="K52" s="38" t="str">
        <v>2026-08-03</v>
      </c>
      <c r="L52" s="38" t="str">
        <v>Owner/Chef Gate</v>
      </c>
      <c r="M52" s="38"/>
      <c r="N52" s="39"/>
    </row>
    <row r="53">
      <c r="A53" s="37" t="str">
        <v>CQ-0049</v>
      </c>
      <c r="B53" s="38" t="str">
        <v>VKM-010</v>
      </c>
      <c r="C53" s="38" t="str">
        <v>Микс-салат с креветками и яблоком</v>
      </c>
      <c r="D53" s="38" t="str">
        <v>SEMI_FINISHED</v>
      </c>
      <c r="E53" s="38" t="str">
        <v>Подтвердить выделение, код и размер партии связанных полуфабрикатов; указать общие полуфабрикаты.</v>
      </c>
      <c r="F53" s="38" t="str">
        <v>OPEN</v>
      </c>
      <c r="G53" s="38" t="str">
        <v>Chef</v>
      </c>
      <c r="H53" s="38" t="str">
        <v>DAG; двойной учёт; себестоимость; планирование</v>
      </c>
      <c r="I53" s="38" t="str">
        <v>EVD-0009</v>
      </c>
      <c r="J53" s="38" t="str">
        <v>GAP-006</v>
      </c>
      <c r="K53" s="38" t="str">
        <v>2026-08-03</v>
      </c>
      <c r="L53" s="38" t="str">
        <v>Owner/Chef Gate</v>
      </c>
      <c r="M53" s="38"/>
      <c r="N53" s="39"/>
    </row>
    <row r="54">
      <c r="A54" s="37" t="str">
        <v>CQ-0050</v>
      </c>
      <c r="B54" s="38" t="str">
        <v>VKM-010</v>
      </c>
      <c r="C54" s="38" t="str">
        <v>Микс-салат с креветками и яблоком</v>
      </c>
      <c r="D54" s="38" t="str">
        <v>PROCESS_FLOW_FOR_SAFETY</v>
      </c>
      <c r="E5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54" s="38" t="str">
        <v>OPEN</v>
      </c>
      <c r="G54" s="38" t="str">
        <v>Chef</v>
      </c>
      <c r="H54" s="38" t="str">
        <v>Safety veto; ППК/HACCP; маркировка и прослеживаемость</v>
      </c>
      <c r="I54" s="38" t="str">
        <v>EVD-0013;EVD-0014;EVD-FS-001;EVD-FS-003</v>
      </c>
      <c r="J54" s="38" t="str">
        <v>GAP-010;GAP-011</v>
      </c>
      <c r="K54" s="38" t="str">
        <v>2026-08-03</v>
      </c>
      <c r="L54" s="38" t="str">
        <v>Owner/Chef Gate</v>
      </c>
      <c r="M54" s="38"/>
      <c r="N54" s="39"/>
    </row>
    <row r="55">
      <c r="A55" s="37" t="str">
        <v>CQ-0051</v>
      </c>
      <c r="B55" s="38" t="str">
        <v>VKM-011</v>
      </c>
      <c r="C55" s="38" t="str">
        <v>Греческий</v>
      </c>
      <c r="D55" s="38" t="str">
        <v>RECIPE</v>
      </c>
      <c r="E55" s="38" t="str">
        <v>Подтвердить или скорректировать построчный состав и проектные нормы брутто/нетто.</v>
      </c>
      <c r="F55" s="38" t="str">
        <v>OPEN</v>
      </c>
      <c r="G55" s="38" t="str">
        <v>Chef</v>
      </c>
      <c r="H55" s="38" t="str">
        <v>Себестоимость; пищценность; аллергены; закупка</v>
      </c>
      <c r="I55" s="38" t="str">
        <v>EVD-0007</v>
      </c>
      <c r="J55" s="38" t="str">
        <v>GAP-004</v>
      </c>
      <c r="K55" s="38" t="str">
        <v>2026-08-03</v>
      </c>
      <c r="L55" s="38" t="str">
        <v>Owner/Chef Gate</v>
      </c>
      <c r="M55" s="38"/>
      <c r="N55" s="39"/>
    </row>
    <row r="56">
      <c r="A56" s="37" t="str">
        <v>CQ-0052</v>
      </c>
      <c r="B56" s="38" t="str">
        <v>VKM-011</v>
      </c>
      <c r="C56" s="38" t="str">
        <v>Греческий</v>
      </c>
      <c r="D56" s="38" t="str">
        <v>YIELD</v>
      </c>
      <c r="E56" s="38" t="str">
        <v>Подтвердить целевой выход и способ учёта подготовительных/тепловых потерь контрольным взвешиванием.</v>
      </c>
      <c r="F56" s="38" t="str">
        <v>OPEN</v>
      </c>
      <c r="G56" s="38" t="str">
        <v>Chef</v>
      </c>
      <c r="H56" s="38" t="str">
        <v>Mass balance; себестоимость; порционирование</v>
      </c>
      <c r="I56" s="38" t="str">
        <v>EVD-0005;EVD-0008</v>
      </c>
      <c r="J56" s="38" t="str">
        <v>GAP-002;GAP-005</v>
      </c>
      <c r="K56" s="38" t="str">
        <v>2026-08-03</v>
      </c>
      <c r="L56" s="38" t="str">
        <v>Owner/Chef Gate</v>
      </c>
      <c r="M56" s="38"/>
      <c r="N56" s="39"/>
    </row>
    <row r="57">
      <c r="A57" s="37" t="str">
        <v>CQ-0053</v>
      </c>
      <c r="B57" s="38" t="str">
        <v>VKM-011</v>
      </c>
      <c r="C57" s="38" t="str">
        <v>Греческий</v>
      </c>
      <c r="D57" s="38" t="str">
        <v>PROCESS</v>
      </c>
      <c r="E57" s="38" t="str">
        <v>Подтвердить последовательность операций, фактическое активное/полное время и проект подачи.</v>
      </c>
      <c r="F57" s="38" t="str">
        <v>OPEN</v>
      </c>
      <c r="G57" s="38" t="str">
        <v>Chef</v>
      </c>
      <c r="H57" s="38" t="str">
        <v>Техкарта; оборудование; мощность; сервис</v>
      </c>
      <c r="I57" s="38" t="str">
        <v>EVD-0010;EVD-0011</v>
      </c>
      <c r="J57" s="38" t="str">
        <v>GAP-007;GAP-008</v>
      </c>
      <c r="K57" s="38" t="str">
        <v>2026-08-03</v>
      </c>
      <c r="L57" s="38" t="str">
        <v>Owner/Chef Gate</v>
      </c>
      <c r="M57" s="38"/>
      <c r="N57" s="39"/>
    </row>
    <row r="58">
      <c r="A58" s="37" t="str">
        <v>CQ-0054</v>
      </c>
      <c r="B58" s="38" t="str">
        <v>VKM-011</v>
      </c>
      <c r="C58" s="38" t="str">
        <v>Греческий</v>
      </c>
      <c r="D58" s="38" t="str">
        <v>SEMI_FINISHED</v>
      </c>
      <c r="E58" s="38" t="str">
        <v>Подтвердить выделение, код и размер партии связанных полуфабрикатов; указать общие полуфабрикаты.</v>
      </c>
      <c r="F58" s="38" t="str">
        <v>OPEN</v>
      </c>
      <c r="G58" s="38" t="str">
        <v>Chef</v>
      </c>
      <c r="H58" s="38" t="str">
        <v>DAG; двойной учёт; себестоимость; планирование</v>
      </c>
      <c r="I58" s="38" t="str">
        <v>EVD-0009</v>
      </c>
      <c r="J58" s="38" t="str">
        <v>GAP-006</v>
      </c>
      <c r="K58" s="38" t="str">
        <v>2026-08-03</v>
      </c>
      <c r="L58" s="38" t="str">
        <v>Owner/Chef Gate</v>
      </c>
      <c r="M58" s="38"/>
      <c r="N58" s="39"/>
    </row>
    <row r="59">
      <c r="A59" s="37" t="str">
        <v>CQ-0055</v>
      </c>
      <c r="B59" s="38" t="str">
        <v>VKM-011</v>
      </c>
      <c r="C59" s="38" t="str">
        <v>Греческий</v>
      </c>
      <c r="D59" s="38" t="str">
        <v>PROCESS_FLOW_FOR_SAFETY</v>
      </c>
      <c r="E5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59" s="38" t="str">
        <v>OPEN</v>
      </c>
      <c r="G59" s="38" t="str">
        <v>Chef</v>
      </c>
      <c r="H59" s="38" t="str">
        <v>Safety veto; ППК/HACCP; маркировка и прослеживаемость</v>
      </c>
      <c r="I59" s="38" t="str">
        <v>EVD-0013;EVD-0014;EVD-FS-001;EVD-FS-003</v>
      </c>
      <c r="J59" s="38" t="str">
        <v>GAP-010;GAP-011</v>
      </c>
      <c r="K59" s="38" t="str">
        <v>2026-08-03</v>
      </c>
      <c r="L59" s="38" t="str">
        <v>Owner/Chef Gate</v>
      </c>
      <c r="M59" s="38"/>
      <c r="N59" s="39"/>
    </row>
    <row r="60">
      <c r="A60" s="37" t="str">
        <v>CQ-0056</v>
      </c>
      <c r="B60" s="38" t="str">
        <v>VKM-012</v>
      </c>
      <c r="C60" s="38" t="str">
        <v>Винегрет</v>
      </c>
      <c r="D60" s="38" t="str">
        <v>RECIPE</v>
      </c>
      <c r="E60" s="38" t="str">
        <v>Подтвердить или скорректировать построчный состав и проектные нормы брутто/нетто.</v>
      </c>
      <c r="F60" s="38" t="str">
        <v>OPEN</v>
      </c>
      <c r="G60" s="38" t="str">
        <v>Chef</v>
      </c>
      <c r="H60" s="38" t="str">
        <v>Себестоимость; пищценность; аллергены; закупка</v>
      </c>
      <c r="I60" s="38" t="str">
        <v>EVD-0007</v>
      </c>
      <c r="J60" s="38" t="str">
        <v>GAP-004</v>
      </c>
      <c r="K60" s="38" t="str">
        <v>2026-08-03</v>
      </c>
      <c r="L60" s="38" t="str">
        <v>Owner/Chef Gate</v>
      </c>
      <c r="M60" s="38"/>
      <c r="N60" s="39"/>
    </row>
    <row r="61">
      <c r="A61" s="37" t="str">
        <v>CQ-0057</v>
      </c>
      <c r="B61" s="38" t="str">
        <v>VKM-012</v>
      </c>
      <c r="C61" s="38" t="str">
        <v>Винегрет</v>
      </c>
      <c r="D61" s="38" t="str">
        <v>YIELD</v>
      </c>
      <c r="E61" s="38" t="str">
        <v>Подтвердить целевой выход и способ учёта подготовительных/тепловых потерь контрольным взвешиванием.</v>
      </c>
      <c r="F61" s="38" t="str">
        <v>OPEN</v>
      </c>
      <c r="G61" s="38" t="str">
        <v>Chef</v>
      </c>
      <c r="H61" s="38" t="str">
        <v>Mass balance; себестоимость; порционирование</v>
      </c>
      <c r="I61" s="38" t="str">
        <v>EVD-0005;EVD-0008</v>
      </c>
      <c r="J61" s="38" t="str">
        <v>GAP-002;GAP-005</v>
      </c>
      <c r="K61" s="38" t="str">
        <v>2026-08-03</v>
      </c>
      <c r="L61" s="38" t="str">
        <v>Owner/Chef Gate</v>
      </c>
      <c r="M61" s="38"/>
      <c r="N61" s="39"/>
    </row>
    <row r="62">
      <c r="A62" s="37" t="str">
        <v>CQ-0058</v>
      </c>
      <c r="B62" s="38" t="str">
        <v>VKM-012</v>
      </c>
      <c r="C62" s="38" t="str">
        <v>Винегрет</v>
      </c>
      <c r="D62" s="38" t="str">
        <v>PROCESS</v>
      </c>
      <c r="E62" s="38" t="str">
        <v>Подтвердить последовательность операций, фактическое активное/полное время и проект подачи.</v>
      </c>
      <c r="F62" s="38" t="str">
        <v>OPEN</v>
      </c>
      <c r="G62" s="38" t="str">
        <v>Chef</v>
      </c>
      <c r="H62" s="38" t="str">
        <v>Техкарта; оборудование; мощность; сервис</v>
      </c>
      <c r="I62" s="38" t="str">
        <v>EVD-0010;EVD-0011</v>
      </c>
      <c r="J62" s="38" t="str">
        <v>GAP-007;GAP-008</v>
      </c>
      <c r="K62" s="38" t="str">
        <v>2026-08-03</v>
      </c>
      <c r="L62" s="38" t="str">
        <v>Owner/Chef Gate</v>
      </c>
      <c r="M62" s="38"/>
      <c r="N62" s="39"/>
    </row>
    <row r="63">
      <c r="A63" s="37" t="str">
        <v>CQ-0059</v>
      </c>
      <c r="B63" s="38" t="str">
        <v>VKM-012</v>
      </c>
      <c r="C63" s="38" t="str">
        <v>Винегрет</v>
      </c>
      <c r="D63" s="38" t="str">
        <v>SEMI_FINISHED</v>
      </c>
      <c r="E63" s="38" t="str">
        <v>Подтвердить выделение, код и размер партии связанных полуфабрикатов; указать общие полуфабрикаты.</v>
      </c>
      <c r="F63" s="38" t="str">
        <v>OPEN</v>
      </c>
      <c r="G63" s="38" t="str">
        <v>Chef</v>
      </c>
      <c r="H63" s="38" t="str">
        <v>DAG; двойной учёт; себестоимость; планирование</v>
      </c>
      <c r="I63" s="38" t="str">
        <v>EVD-0009</v>
      </c>
      <c r="J63" s="38" t="str">
        <v>GAP-006</v>
      </c>
      <c r="K63" s="38" t="str">
        <v>2026-08-03</v>
      </c>
      <c r="L63" s="38" t="str">
        <v>Owner/Chef Gate</v>
      </c>
      <c r="M63" s="38"/>
      <c r="N63" s="39"/>
    </row>
    <row r="64">
      <c r="A64" s="37" t="str">
        <v>CQ-0060</v>
      </c>
      <c r="B64" s="38" t="str">
        <v>VKM-012</v>
      </c>
      <c r="C64" s="38" t="str">
        <v>Винегрет</v>
      </c>
      <c r="D64" s="38" t="str">
        <v>PROCESS_FLOW_FOR_SAFETY</v>
      </c>
      <c r="E6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64" s="38" t="str">
        <v>OPEN</v>
      </c>
      <c r="G64" s="38" t="str">
        <v>Chef</v>
      </c>
      <c r="H64" s="38" t="str">
        <v>Safety veto; ППК/HACCP; маркировка и прослеживаемость</v>
      </c>
      <c r="I64" s="38" t="str">
        <v>EVD-0013;EVD-0014;EVD-FS-001;EVD-FS-003</v>
      </c>
      <c r="J64" s="38" t="str">
        <v>GAP-010;GAP-011</v>
      </c>
      <c r="K64" s="38" t="str">
        <v>2026-08-03</v>
      </c>
      <c r="L64" s="38" t="str">
        <v>Owner/Chef Gate</v>
      </c>
      <c r="M64" s="38"/>
      <c r="N64" s="39"/>
    </row>
    <row r="65">
      <c r="A65" s="37" t="str">
        <v>CQ-0061</v>
      </c>
      <c r="B65" s="38" t="str">
        <v>VKM-013</v>
      </c>
      <c r="C65" s="38" t="str">
        <v>Слабосолёный лосось</v>
      </c>
      <c r="D65" s="38" t="str">
        <v>RECIPE</v>
      </c>
      <c r="E65" s="38" t="str">
        <v>Подтвердить или скорректировать построчный состав и проектные нормы брутто/нетто.</v>
      </c>
      <c r="F65" s="38" t="str">
        <v>OPEN</v>
      </c>
      <c r="G65" s="38" t="str">
        <v>Chef</v>
      </c>
      <c r="H65" s="38" t="str">
        <v>Себестоимость; пищценность; аллергены; закупка</v>
      </c>
      <c r="I65" s="38" t="str">
        <v>EVD-0007</v>
      </c>
      <c r="J65" s="38" t="str">
        <v>GAP-004</v>
      </c>
      <c r="K65" s="38" t="str">
        <v>2026-08-03</v>
      </c>
      <c r="L65" s="38" t="str">
        <v>Owner/Chef Gate</v>
      </c>
      <c r="M65" s="38"/>
      <c r="N65" s="39"/>
    </row>
    <row r="66">
      <c r="A66" s="37" t="str">
        <v>CQ-0062</v>
      </c>
      <c r="B66" s="38" t="str">
        <v>VKM-013</v>
      </c>
      <c r="C66" s="38" t="str">
        <v>Слабосолёный лосось</v>
      </c>
      <c r="D66" s="38" t="str">
        <v>YIELD</v>
      </c>
      <c r="E66" s="38" t="str">
        <v>Подтвердить целевой выход и способ учёта подготовительных/тепловых потерь контрольным взвешиванием.</v>
      </c>
      <c r="F66" s="38" t="str">
        <v>OPEN</v>
      </c>
      <c r="G66" s="38" t="str">
        <v>Chef</v>
      </c>
      <c r="H66" s="38" t="str">
        <v>Mass balance; себестоимость; порционирование</v>
      </c>
      <c r="I66" s="38" t="str">
        <v>EVD-0005;EVD-0008</v>
      </c>
      <c r="J66" s="38" t="str">
        <v>GAP-002;GAP-005</v>
      </c>
      <c r="K66" s="38" t="str">
        <v>2026-08-03</v>
      </c>
      <c r="L66" s="38" t="str">
        <v>Owner/Chef Gate</v>
      </c>
      <c r="M66" s="38"/>
      <c r="N66" s="39"/>
    </row>
    <row r="67">
      <c r="A67" s="37" t="str">
        <v>CQ-0063</v>
      </c>
      <c r="B67" s="38" t="str">
        <v>VKM-013</v>
      </c>
      <c r="C67" s="38" t="str">
        <v>Слабосолёный лосось</v>
      </c>
      <c r="D67" s="38" t="str">
        <v>PROCESS</v>
      </c>
      <c r="E67" s="38" t="str">
        <v>Подтвердить последовательность операций, фактическое активное/полное время и проект подачи.</v>
      </c>
      <c r="F67" s="38" t="str">
        <v>OPEN</v>
      </c>
      <c r="G67" s="38" t="str">
        <v>Chef</v>
      </c>
      <c r="H67" s="38" t="str">
        <v>Техкарта; оборудование; мощность; сервис</v>
      </c>
      <c r="I67" s="38" t="str">
        <v>EVD-0010;EVD-0011</v>
      </c>
      <c r="J67" s="38" t="str">
        <v>GAP-007;GAP-008</v>
      </c>
      <c r="K67" s="38" t="str">
        <v>2026-08-03</v>
      </c>
      <c r="L67" s="38" t="str">
        <v>Owner/Chef Gate</v>
      </c>
      <c r="M67" s="38"/>
      <c r="N67" s="39"/>
    </row>
    <row r="68">
      <c r="A68" s="37" t="str">
        <v>CQ-0064</v>
      </c>
      <c r="B68" s="38" t="str">
        <v>VKM-013</v>
      </c>
      <c r="C68" s="38" t="str">
        <v>Слабосолёный лосось</v>
      </c>
      <c r="D68" s="38" t="str">
        <v>SEMI_FINISHED</v>
      </c>
      <c r="E68" s="38" t="str">
        <v>Подтвердить выделение, код и размер партии связанных полуфабрикатов; указать общие полуфабрикаты.</v>
      </c>
      <c r="F68" s="38" t="str">
        <v>OPEN</v>
      </c>
      <c r="G68" s="38" t="str">
        <v>Chef</v>
      </c>
      <c r="H68" s="38" t="str">
        <v>DAG; двойной учёт; себестоимость; планирование</v>
      </c>
      <c r="I68" s="38" t="str">
        <v>EVD-0009</v>
      </c>
      <c r="J68" s="38" t="str">
        <v>GAP-006</v>
      </c>
      <c r="K68" s="38" t="str">
        <v>2026-08-03</v>
      </c>
      <c r="L68" s="38" t="str">
        <v>Owner/Chef Gate</v>
      </c>
      <c r="M68" s="38"/>
      <c r="N68" s="39"/>
    </row>
    <row r="69">
      <c r="A69" s="37" t="str">
        <v>CQ-0065</v>
      </c>
      <c r="B69" s="38" t="str">
        <v>VKM-013</v>
      </c>
      <c r="C69" s="38" t="str">
        <v>Слабосолёный лосось</v>
      </c>
      <c r="D69" s="38" t="str">
        <v>PROCESS_FLOW_FOR_SAFETY</v>
      </c>
      <c r="E6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69" s="38" t="str">
        <v>OPEN</v>
      </c>
      <c r="G69" s="38" t="str">
        <v>Chef</v>
      </c>
      <c r="H69" s="38" t="str">
        <v>Safety veto; ППК/HACCP; маркировка и прослеживаемость</v>
      </c>
      <c r="I69" s="38" t="str">
        <v>EVD-0013;EVD-0014;EVD-FS-001;EVD-FS-003</v>
      </c>
      <c r="J69" s="38" t="str">
        <v>GAP-010;GAP-011</v>
      </c>
      <c r="K69" s="38" t="str">
        <v>2026-08-03</v>
      </c>
      <c r="L69" s="38" t="str">
        <v>Owner/Chef Gate</v>
      </c>
      <c r="M69" s="38"/>
      <c r="N69" s="39"/>
    </row>
    <row r="70">
      <c r="A70" s="37" t="str">
        <v>CQ-0066</v>
      </c>
      <c r="B70" s="38" t="str">
        <v>VKM-014</v>
      </c>
      <c r="C70" s="38" t="str">
        <v>Сельдь с запечённым картофелем</v>
      </c>
      <c r="D70" s="38" t="str">
        <v>RECIPE</v>
      </c>
      <c r="E70" s="38" t="str">
        <v>Подтвердить или скорректировать построчный состав и проектные нормы брутто/нетто.</v>
      </c>
      <c r="F70" s="38" t="str">
        <v>OPEN</v>
      </c>
      <c r="G70" s="38" t="str">
        <v>Chef</v>
      </c>
      <c r="H70" s="38" t="str">
        <v>Себестоимость; пищценность; аллергены; закупка</v>
      </c>
      <c r="I70" s="38" t="str">
        <v>EVD-0007</v>
      </c>
      <c r="J70" s="38" t="str">
        <v>GAP-004</v>
      </c>
      <c r="K70" s="38" t="str">
        <v>2026-08-03</v>
      </c>
      <c r="L70" s="38" t="str">
        <v>Owner/Chef Gate</v>
      </c>
      <c r="M70" s="38"/>
      <c r="N70" s="39"/>
    </row>
    <row r="71">
      <c r="A71" s="37" t="str">
        <v>CQ-0067</v>
      </c>
      <c r="B71" s="38" t="str">
        <v>VKM-014</v>
      </c>
      <c r="C71" s="38" t="str">
        <v>Сельдь с запечённым картофелем</v>
      </c>
      <c r="D71" s="38" t="str">
        <v>YIELD</v>
      </c>
      <c r="E71" s="38" t="str">
        <v>Подтвердить целевой выход и способ учёта подготовительных/тепловых потерь контрольным взвешиванием.</v>
      </c>
      <c r="F71" s="38" t="str">
        <v>OPEN</v>
      </c>
      <c r="G71" s="38" t="str">
        <v>Chef</v>
      </c>
      <c r="H71" s="38" t="str">
        <v>Mass balance; себестоимость; порционирование</v>
      </c>
      <c r="I71" s="38" t="str">
        <v>EVD-0005;EVD-0008</v>
      </c>
      <c r="J71" s="38" t="str">
        <v>GAP-002;GAP-005</v>
      </c>
      <c r="K71" s="38" t="str">
        <v>2026-08-03</v>
      </c>
      <c r="L71" s="38" t="str">
        <v>Owner/Chef Gate</v>
      </c>
      <c r="M71" s="38"/>
      <c r="N71" s="39"/>
    </row>
    <row r="72">
      <c r="A72" s="37" t="str">
        <v>CQ-0068</v>
      </c>
      <c r="B72" s="38" t="str">
        <v>VKM-014</v>
      </c>
      <c r="C72" s="38" t="str">
        <v>Сельдь с запечённым картофелем</v>
      </c>
      <c r="D72" s="38" t="str">
        <v>PROCESS</v>
      </c>
      <c r="E72" s="38" t="str">
        <v>Подтвердить последовательность операций, фактическое активное/полное время и проект подачи.</v>
      </c>
      <c r="F72" s="38" t="str">
        <v>OPEN</v>
      </c>
      <c r="G72" s="38" t="str">
        <v>Chef</v>
      </c>
      <c r="H72" s="38" t="str">
        <v>Техкарта; оборудование; мощность; сервис</v>
      </c>
      <c r="I72" s="38" t="str">
        <v>EVD-0010;EVD-0011</v>
      </c>
      <c r="J72" s="38" t="str">
        <v>GAP-007;GAP-008</v>
      </c>
      <c r="K72" s="38" t="str">
        <v>2026-08-03</v>
      </c>
      <c r="L72" s="38" t="str">
        <v>Owner/Chef Gate</v>
      </c>
      <c r="M72" s="38"/>
      <c r="N72" s="39"/>
    </row>
    <row r="73">
      <c r="A73" s="37" t="str">
        <v>CQ-0069</v>
      </c>
      <c r="B73" s="38" t="str">
        <v>VKM-014</v>
      </c>
      <c r="C73" s="38" t="str">
        <v>Сельдь с запечённым картофелем</v>
      </c>
      <c r="D73" s="38" t="str">
        <v>SEMI_FINISHED</v>
      </c>
      <c r="E73" s="38" t="str">
        <v>Подтвердить выделение, код и размер партии связанных полуфабрикатов; указать общие полуфабрикаты.</v>
      </c>
      <c r="F73" s="38" t="str">
        <v>OPEN</v>
      </c>
      <c r="G73" s="38" t="str">
        <v>Chef</v>
      </c>
      <c r="H73" s="38" t="str">
        <v>DAG; двойной учёт; себестоимость; планирование</v>
      </c>
      <c r="I73" s="38" t="str">
        <v>EVD-0009</v>
      </c>
      <c r="J73" s="38" t="str">
        <v>GAP-006</v>
      </c>
      <c r="K73" s="38" t="str">
        <v>2026-08-03</v>
      </c>
      <c r="L73" s="38" t="str">
        <v>Owner/Chef Gate</v>
      </c>
      <c r="M73" s="38"/>
      <c r="N73" s="39"/>
    </row>
    <row r="74">
      <c r="A74" s="37" t="str">
        <v>CQ-0070</v>
      </c>
      <c r="B74" s="38" t="str">
        <v>VKM-014</v>
      </c>
      <c r="C74" s="38" t="str">
        <v>Сельдь с запечённым картофелем</v>
      </c>
      <c r="D74" s="38" t="str">
        <v>PROCESS_FLOW_FOR_SAFETY</v>
      </c>
      <c r="E7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74" s="38" t="str">
        <v>OPEN</v>
      </c>
      <c r="G74" s="38" t="str">
        <v>Chef</v>
      </c>
      <c r="H74" s="38" t="str">
        <v>Safety veto; ППК/HACCP; маркировка и прослеживаемость</v>
      </c>
      <c r="I74" s="38" t="str">
        <v>EVD-0013;EVD-0014;EVD-FS-001;EVD-FS-003</v>
      </c>
      <c r="J74" s="38" t="str">
        <v>GAP-010;GAP-011</v>
      </c>
      <c r="K74" s="38" t="str">
        <v>2026-08-03</v>
      </c>
      <c r="L74" s="38" t="str">
        <v>Owner/Chef Gate</v>
      </c>
      <c r="M74" s="38"/>
      <c r="N74" s="39"/>
    </row>
    <row r="75">
      <c r="A75" s="37" t="str">
        <v>CQ-0071</v>
      </c>
      <c r="B75" s="38" t="str">
        <v>VKM-015</v>
      </c>
      <c r="C75" s="38" t="str">
        <v>Оливки и маслины</v>
      </c>
      <c r="D75" s="38" t="str">
        <v>RECIPE</v>
      </c>
      <c r="E75" s="38" t="str">
        <v>Подтвердить или скорректировать построчный состав и проектные нормы брутто/нетто.</v>
      </c>
      <c r="F75" s="38" t="str">
        <v>OPEN</v>
      </c>
      <c r="G75" s="38" t="str">
        <v>Chef</v>
      </c>
      <c r="H75" s="38" t="str">
        <v>Себестоимость; пищценность; аллергены; закупка</v>
      </c>
      <c r="I75" s="38" t="str">
        <v>EVD-0007</v>
      </c>
      <c r="J75" s="38" t="str">
        <v>GAP-004</v>
      </c>
      <c r="K75" s="38" t="str">
        <v>2026-08-03</v>
      </c>
      <c r="L75" s="38" t="str">
        <v>Owner/Chef Gate</v>
      </c>
      <c r="M75" s="38"/>
      <c r="N75" s="39"/>
    </row>
    <row r="76">
      <c r="A76" s="37" t="str">
        <v>CQ-0072</v>
      </c>
      <c r="B76" s="38" t="str">
        <v>VKM-015</v>
      </c>
      <c r="C76" s="38" t="str">
        <v>Оливки и маслины</v>
      </c>
      <c r="D76" s="38" t="str">
        <v>YIELD</v>
      </c>
      <c r="E76" s="38" t="str">
        <v>Подтвердить целевой выход и способ учёта подготовительных/тепловых потерь контрольным взвешиванием.</v>
      </c>
      <c r="F76" s="38" t="str">
        <v>OPEN</v>
      </c>
      <c r="G76" s="38" t="str">
        <v>Chef</v>
      </c>
      <c r="H76" s="38" t="str">
        <v>Mass balance; себестоимость; порционирование</v>
      </c>
      <c r="I76" s="38" t="str">
        <v>EVD-0005;EVD-0008</v>
      </c>
      <c r="J76" s="38" t="str">
        <v>GAP-002;GAP-005</v>
      </c>
      <c r="K76" s="38" t="str">
        <v>2026-08-03</v>
      </c>
      <c r="L76" s="38" t="str">
        <v>Owner/Chef Gate</v>
      </c>
      <c r="M76" s="38"/>
      <c r="N76" s="39"/>
    </row>
    <row r="77">
      <c r="A77" s="37" t="str">
        <v>CQ-0073</v>
      </c>
      <c r="B77" s="38" t="str">
        <v>VKM-015</v>
      </c>
      <c r="C77" s="38" t="str">
        <v>Оливки и маслины</v>
      </c>
      <c r="D77" s="38" t="str">
        <v>PROCESS</v>
      </c>
      <c r="E77" s="38" t="str">
        <v>Подтвердить последовательность операций, фактическое активное/полное время и проект подачи.</v>
      </c>
      <c r="F77" s="38" t="str">
        <v>OPEN</v>
      </c>
      <c r="G77" s="38" t="str">
        <v>Chef</v>
      </c>
      <c r="H77" s="38" t="str">
        <v>Техкарта; оборудование; мощность; сервис</v>
      </c>
      <c r="I77" s="38" t="str">
        <v>EVD-0010;EVD-0011</v>
      </c>
      <c r="J77" s="38" t="str">
        <v>GAP-007;GAP-008</v>
      </c>
      <c r="K77" s="38" t="str">
        <v>2026-08-03</v>
      </c>
      <c r="L77" s="38" t="str">
        <v>Owner/Chef Gate</v>
      </c>
      <c r="M77" s="38"/>
      <c r="N77" s="39"/>
    </row>
    <row r="78">
      <c r="A78" s="37" t="str">
        <v>CQ-0074</v>
      </c>
      <c r="B78" s="38" t="str">
        <v>VKM-015</v>
      </c>
      <c r="C78" s="38" t="str">
        <v>Оливки и маслины</v>
      </c>
      <c r="D78" s="38" t="str">
        <v>SEMI_FINISHED</v>
      </c>
      <c r="E78" s="38" t="str">
        <v>Подтвердить выделение, код и размер партии связанных полуфабрикатов; указать общие полуфабрикаты.</v>
      </c>
      <c r="F78" s="38" t="str">
        <v>OPEN</v>
      </c>
      <c r="G78" s="38" t="str">
        <v>Chef</v>
      </c>
      <c r="H78" s="38" t="str">
        <v>DAG; двойной учёт; себестоимость; планирование</v>
      </c>
      <c r="I78" s="38" t="str">
        <v>EVD-0009</v>
      </c>
      <c r="J78" s="38" t="str">
        <v>GAP-006</v>
      </c>
      <c r="K78" s="38" t="str">
        <v>2026-08-03</v>
      </c>
      <c r="L78" s="38" t="str">
        <v>Owner/Chef Gate</v>
      </c>
      <c r="M78" s="38"/>
      <c r="N78" s="39"/>
    </row>
    <row r="79">
      <c r="A79" s="37" t="str">
        <v>CQ-0075</v>
      </c>
      <c r="B79" s="38" t="str">
        <v>VKM-015</v>
      </c>
      <c r="C79" s="38" t="str">
        <v>Оливки и маслины</v>
      </c>
      <c r="D79" s="38" t="str">
        <v>PROCESS_FLOW_FOR_SAFETY</v>
      </c>
      <c r="E7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79" s="38" t="str">
        <v>OPEN</v>
      </c>
      <c r="G79" s="38" t="str">
        <v>Chef</v>
      </c>
      <c r="H79" s="38" t="str">
        <v>Safety veto; ППК/HACCP; маркировка и прослеживаемость</v>
      </c>
      <c r="I79" s="38" t="str">
        <v>EVD-0013;EVD-0014;EVD-FS-001;EVD-FS-003</v>
      </c>
      <c r="J79" s="38" t="str">
        <v>GAP-010;GAP-011</v>
      </c>
      <c r="K79" s="38" t="str">
        <v>2026-08-03</v>
      </c>
      <c r="L79" s="38" t="str">
        <v>Owner/Chef Gate</v>
      </c>
      <c r="M79" s="38"/>
      <c r="N79" s="39"/>
    </row>
    <row r="80">
      <c r="A80" s="37" t="str">
        <v>CQ-0076</v>
      </c>
      <c r="B80" s="38" t="str">
        <v>VKM-016</v>
      </c>
      <c r="C80" s="38" t="str">
        <v>Ассорти фирменных солений</v>
      </c>
      <c r="D80" s="38" t="str">
        <v>RECIPE</v>
      </c>
      <c r="E80" s="38" t="str">
        <v>Подтвердить или скорректировать построчный состав и проектные нормы брутто/нетто.</v>
      </c>
      <c r="F80" s="38" t="str">
        <v>OPEN</v>
      </c>
      <c r="G80" s="38" t="str">
        <v>Chef</v>
      </c>
      <c r="H80" s="38" t="str">
        <v>Себестоимость; пищценность; аллергены; закупка</v>
      </c>
      <c r="I80" s="38" t="str">
        <v>EVD-0007</v>
      </c>
      <c r="J80" s="38" t="str">
        <v>GAP-004</v>
      </c>
      <c r="K80" s="38" t="str">
        <v>2026-08-03</v>
      </c>
      <c r="L80" s="38" t="str">
        <v>Owner/Chef Gate</v>
      </c>
      <c r="M80" s="38"/>
      <c r="N80" s="39"/>
    </row>
    <row r="81">
      <c r="A81" s="37" t="str">
        <v>CQ-0077</v>
      </c>
      <c r="B81" s="38" t="str">
        <v>VKM-016</v>
      </c>
      <c r="C81" s="38" t="str">
        <v>Ассорти фирменных солений</v>
      </c>
      <c r="D81" s="38" t="str">
        <v>YIELD</v>
      </c>
      <c r="E81" s="38" t="str">
        <v>Подтвердить целевой выход и способ учёта подготовительных/тепловых потерь контрольным взвешиванием.</v>
      </c>
      <c r="F81" s="38" t="str">
        <v>OPEN</v>
      </c>
      <c r="G81" s="38" t="str">
        <v>Chef</v>
      </c>
      <c r="H81" s="38" t="str">
        <v>Mass balance; себестоимость; порционирование</v>
      </c>
      <c r="I81" s="38" t="str">
        <v>EVD-0005;EVD-0008</v>
      </c>
      <c r="J81" s="38" t="str">
        <v>GAP-002;GAP-005</v>
      </c>
      <c r="K81" s="38" t="str">
        <v>2026-08-03</v>
      </c>
      <c r="L81" s="38" t="str">
        <v>Owner/Chef Gate</v>
      </c>
      <c r="M81" s="38"/>
      <c r="N81" s="39"/>
    </row>
    <row r="82">
      <c r="A82" s="37" t="str">
        <v>CQ-0078</v>
      </c>
      <c r="B82" s="38" t="str">
        <v>VKM-016</v>
      </c>
      <c r="C82" s="38" t="str">
        <v>Ассорти фирменных солений</v>
      </c>
      <c r="D82" s="38" t="str">
        <v>PROCESS</v>
      </c>
      <c r="E82" s="38" t="str">
        <v>Подтвердить последовательность операций, фактическое активное/полное время и проект подачи.</v>
      </c>
      <c r="F82" s="38" t="str">
        <v>OPEN</v>
      </c>
      <c r="G82" s="38" t="str">
        <v>Chef</v>
      </c>
      <c r="H82" s="38" t="str">
        <v>Техкарта; оборудование; мощность; сервис</v>
      </c>
      <c r="I82" s="38" t="str">
        <v>EVD-0010;EVD-0011</v>
      </c>
      <c r="J82" s="38" t="str">
        <v>GAP-007;GAP-008</v>
      </c>
      <c r="K82" s="38" t="str">
        <v>2026-08-03</v>
      </c>
      <c r="L82" s="38" t="str">
        <v>Owner/Chef Gate</v>
      </c>
      <c r="M82" s="38"/>
      <c r="N82" s="39"/>
    </row>
    <row r="83">
      <c r="A83" s="37" t="str">
        <v>CQ-0079</v>
      </c>
      <c r="B83" s="38" t="str">
        <v>VKM-016</v>
      </c>
      <c r="C83" s="38" t="str">
        <v>Ассорти фирменных солений</v>
      </c>
      <c r="D83" s="38" t="str">
        <v>SEMI_FINISHED</v>
      </c>
      <c r="E83" s="38" t="str">
        <v>Подтвердить выделение, код и размер партии связанных полуфабрикатов; указать общие полуфабрикаты.</v>
      </c>
      <c r="F83" s="38" t="str">
        <v>OPEN</v>
      </c>
      <c r="G83" s="38" t="str">
        <v>Chef</v>
      </c>
      <c r="H83" s="38" t="str">
        <v>DAG; двойной учёт; себестоимость; планирование</v>
      </c>
      <c r="I83" s="38" t="str">
        <v>EVD-0009</v>
      </c>
      <c r="J83" s="38" t="str">
        <v>GAP-006</v>
      </c>
      <c r="K83" s="38" t="str">
        <v>2026-08-03</v>
      </c>
      <c r="L83" s="38" t="str">
        <v>Owner/Chef Gate</v>
      </c>
      <c r="M83" s="38"/>
      <c r="N83" s="39"/>
    </row>
    <row r="84">
      <c r="A84" s="37" t="str">
        <v>CQ-0080</v>
      </c>
      <c r="B84" s="38" t="str">
        <v>VKM-016</v>
      </c>
      <c r="C84" s="38" t="str">
        <v>Ассорти фирменных солений</v>
      </c>
      <c r="D84" s="38" t="str">
        <v>PROCESS_FLOW_FOR_SAFETY</v>
      </c>
      <c r="E8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84" s="38" t="str">
        <v>OPEN</v>
      </c>
      <c r="G84" s="38" t="str">
        <v>Chef</v>
      </c>
      <c r="H84" s="38" t="str">
        <v>Safety veto; ППК/HACCP; маркировка и прослеживаемость</v>
      </c>
      <c r="I84" s="38" t="str">
        <v>EVD-0013;EVD-0014;EVD-FS-001;EVD-FS-003</v>
      </c>
      <c r="J84" s="38" t="str">
        <v>GAP-010;GAP-011</v>
      </c>
      <c r="K84" s="38" t="str">
        <v>2026-08-03</v>
      </c>
      <c r="L84" s="38" t="str">
        <v>Owner/Chef Gate</v>
      </c>
      <c r="M84" s="38"/>
      <c r="N84" s="39"/>
    </row>
    <row r="85">
      <c r="A85" s="37" t="str">
        <v>CQ-0081</v>
      </c>
      <c r="B85" s="38" t="str">
        <v>VKM-017</v>
      </c>
      <c r="C85" s="38" t="str">
        <v>Ростбиф с луком и гренкой</v>
      </c>
      <c r="D85" s="38" t="str">
        <v>RECIPE</v>
      </c>
      <c r="E85" s="38" t="str">
        <v>Подтвердить или скорректировать построчный состав и проектные нормы брутто/нетто.</v>
      </c>
      <c r="F85" s="38" t="str">
        <v>OPEN</v>
      </c>
      <c r="G85" s="38" t="str">
        <v>Chef</v>
      </c>
      <c r="H85" s="38" t="str">
        <v>Себестоимость; пищценность; аллергены; закупка</v>
      </c>
      <c r="I85" s="38" t="str">
        <v>EVD-0007</v>
      </c>
      <c r="J85" s="38" t="str">
        <v>GAP-004</v>
      </c>
      <c r="K85" s="38" t="str">
        <v>2026-08-03</v>
      </c>
      <c r="L85" s="38" t="str">
        <v>Owner/Chef Gate</v>
      </c>
      <c r="M85" s="38"/>
      <c r="N85" s="39"/>
    </row>
    <row r="86">
      <c r="A86" s="37" t="str">
        <v>CQ-0082</v>
      </c>
      <c r="B86" s="38" t="str">
        <v>VKM-017</v>
      </c>
      <c r="C86" s="38" t="str">
        <v>Ростбиф с луком и гренкой</v>
      </c>
      <c r="D86" s="38" t="str">
        <v>YIELD</v>
      </c>
      <c r="E86" s="38" t="str">
        <v>Подтвердить целевой выход и способ учёта подготовительных/тепловых потерь контрольным взвешиванием.</v>
      </c>
      <c r="F86" s="38" t="str">
        <v>OPEN</v>
      </c>
      <c r="G86" s="38" t="str">
        <v>Chef</v>
      </c>
      <c r="H86" s="38" t="str">
        <v>Mass balance; себестоимость; порционирование</v>
      </c>
      <c r="I86" s="38" t="str">
        <v>EVD-0005;EVD-0008</v>
      </c>
      <c r="J86" s="38" t="str">
        <v>GAP-002;GAP-005</v>
      </c>
      <c r="K86" s="38" t="str">
        <v>2026-08-03</v>
      </c>
      <c r="L86" s="38" t="str">
        <v>Owner/Chef Gate</v>
      </c>
      <c r="M86" s="38"/>
      <c r="N86" s="39"/>
    </row>
    <row r="87">
      <c r="A87" s="37" t="str">
        <v>CQ-0083</v>
      </c>
      <c r="B87" s="38" t="str">
        <v>VKM-017</v>
      </c>
      <c r="C87" s="38" t="str">
        <v>Ростбиф с луком и гренкой</v>
      </c>
      <c r="D87" s="38" t="str">
        <v>PROCESS</v>
      </c>
      <c r="E87" s="38" t="str">
        <v>Подтвердить последовательность операций, фактическое активное/полное время и проект подачи.</v>
      </c>
      <c r="F87" s="38" t="str">
        <v>OPEN</v>
      </c>
      <c r="G87" s="38" t="str">
        <v>Chef</v>
      </c>
      <c r="H87" s="38" t="str">
        <v>Техкарта; оборудование; мощность; сервис</v>
      </c>
      <c r="I87" s="38" t="str">
        <v>EVD-0010;EVD-0011</v>
      </c>
      <c r="J87" s="38" t="str">
        <v>GAP-007;GAP-008</v>
      </c>
      <c r="K87" s="38" t="str">
        <v>2026-08-03</v>
      </c>
      <c r="L87" s="38" t="str">
        <v>Owner/Chef Gate</v>
      </c>
      <c r="M87" s="38"/>
      <c r="N87" s="39"/>
    </row>
    <row r="88">
      <c r="A88" s="37" t="str">
        <v>CQ-0084</v>
      </c>
      <c r="B88" s="38" t="str">
        <v>VKM-017</v>
      </c>
      <c r="C88" s="38" t="str">
        <v>Ростбиф с луком и гренкой</v>
      </c>
      <c r="D88" s="38" t="str">
        <v>SEMI_FINISHED</v>
      </c>
      <c r="E88" s="38" t="str">
        <v>Подтвердить выделение, код и размер партии связанных полуфабрикатов; указать общие полуфабрикаты.</v>
      </c>
      <c r="F88" s="38" t="str">
        <v>OPEN</v>
      </c>
      <c r="G88" s="38" t="str">
        <v>Chef</v>
      </c>
      <c r="H88" s="38" t="str">
        <v>DAG; двойной учёт; себестоимость; планирование</v>
      </c>
      <c r="I88" s="38" t="str">
        <v>EVD-0009</v>
      </c>
      <c r="J88" s="38" t="str">
        <v>GAP-006</v>
      </c>
      <c r="K88" s="38" t="str">
        <v>2026-08-03</v>
      </c>
      <c r="L88" s="38" t="str">
        <v>Owner/Chef Gate</v>
      </c>
      <c r="M88" s="38"/>
      <c r="N88" s="39"/>
    </row>
    <row r="89">
      <c r="A89" s="37" t="str">
        <v>CQ-0085</v>
      </c>
      <c r="B89" s="38" t="str">
        <v>VKM-017</v>
      </c>
      <c r="C89" s="38" t="str">
        <v>Ростбиф с луком и гренкой</v>
      </c>
      <c r="D89" s="38" t="str">
        <v>PROCESS_FLOW_FOR_SAFETY</v>
      </c>
      <c r="E8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89" s="38" t="str">
        <v>OPEN</v>
      </c>
      <c r="G89" s="38" t="str">
        <v>Chef</v>
      </c>
      <c r="H89" s="38" t="str">
        <v>Safety veto; ППК/HACCP; маркировка и прослеживаемость</v>
      </c>
      <c r="I89" s="38" t="str">
        <v>EVD-0013;EVD-0014;EVD-FS-001;EVD-FS-003</v>
      </c>
      <c r="J89" s="38" t="str">
        <v>GAP-010;GAP-011</v>
      </c>
      <c r="K89" s="38" t="str">
        <v>2026-08-03</v>
      </c>
      <c r="L89" s="38" t="str">
        <v>Owner/Chef Gate</v>
      </c>
      <c r="M89" s="38"/>
      <c r="N89" s="39"/>
    </row>
    <row r="90">
      <c r="A90" s="37" t="str">
        <v>CQ-0086</v>
      </c>
      <c r="B90" s="38" t="str">
        <v>VKM-018</v>
      </c>
      <c r="C90" s="38" t="str">
        <v>Традиционный красный борщ</v>
      </c>
      <c r="D90" s="38" t="str">
        <v>RECIPE</v>
      </c>
      <c r="E90" s="38" t="str">
        <v>Подтвердить или скорректировать построчный состав и проектные нормы брутто/нетто.</v>
      </c>
      <c r="F90" s="38" t="str">
        <v>OPEN</v>
      </c>
      <c r="G90" s="38" t="str">
        <v>Chef</v>
      </c>
      <c r="H90" s="38" t="str">
        <v>Себестоимость; пищценность; аллергены; закупка</v>
      </c>
      <c r="I90" s="38" t="str">
        <v>EVD-0007</v>
      </c>
      <c r="J90" s="38" t="str">
        <v>GAP-004</v>
      </c>
      <c r="K90" s="38" t="str">
        <v>2026-08-03</v>
      </c>
      <c r="L90" s="38" t="str">
        <v>Owner/Chef Gate</v>
      </c>
      <c r="M90" s="38"/>
      <c r="N90" s="39"/>
    </row>
    <row r="91">
      <c r="A91" s="37" t="str">
        <v>CQ-0087</v>
      </c>
      <c r="B91" s="38" t="str">
        <v>VKM-018</v>
      </c>
      <c r="C91" s="38" t="str">
        <v>Традиционный красный борщ</v>
      </c>
      <c r="D91" s="38" t="str">
        <v>YIELD</v>
      </c>
      <c r="E91" s="38" t="str">
        <v>Подтвердить целевой выход и способ учёта подготовительных/тепловых потерь контрольным взвешиванием.</v>
      </c>
      <c r="F91" s="38" t="str">
        <v>OPEN</v>
      </c>
      <c r="G91" s="38" t="str">
        <v>Chef</v>
      </c>
      <c r="H91" s="38" t="str">
        <v>Mass balance; себестоимость; порционирование</v>
      </c>
      <c r="I91" s="38" t="str">
        <v>EVD-0005;EVD-0008</v>
      </c>
      <c r="J91" s="38" t="str">
        <v>GAP-002;GAP-005</v>
      </c>
      <c r="K91" s="38" t="str">
        <v>2026-08-03</v>
      </c>
      <c r="L91" s="38" t="str">
        <v>Owner/Chef Gate</v>
      </c>
      <c r="M91" s="38"/>
      <c r="N91" s="39"/>
    </row>
    <row r="92">
      <c r="A92" s="37" t="str">
        <v>CQ-0088</v>
      </c>
      <c r="B92" s="38" t="str">
        <v>VKM-018</v>
      </c>
      <c r="C92" s="38" t="str">
        <v>Традиционный красный борщ</v>
      </c>
      <c r="D92" s="38" t="str">
        <v>PROCESS</v>
      </c>
      <c r="E92" s="38" t="str">
        <v>Подтвердить последовательность операций, фактическое активное/полное время и проект подачи.</v>
      </c>
      <c r="F92" s="38" t="str">
        <v>OPEN</v>
      </c>
      <c r="G92" s="38" t="str">
        <v>Chef</v>
      </c>
      <c r="H92" s="38" t="str">
        <v>Техкарта; оборудование; мощность; сервис</v>
      </c>
      <c r="I92" s="38" t="str">
        <v>EVD-0010;EVD-0011</v>
      </c>
      <c r="J92" s="38" t="str">
        <v>GAP-007;GAP-008</v>
      </c>
      <c r="K92" s="38" t="str">
        <v>2026-08-03</v>
      </c>
      <c r="L92" s="38" t="str">
        <v>Owner/Chef Gate</v>
      </c>
      <c r="M92" s="38"/>
      <c r="N92" s="39"/>
    </row>
    <row r="93">
      <c r="A93" s="37" t="str">
        <v>CQ-0089</v>
      </c>
      <c r="B93" s="38" t="str">
        <v>VKM-018</v>
      </c>
      <c r="C93" s="38" t="str">
        <v>Традиционный красный борщ</v>
      </c>
      <c r="D93" s="38" t="str">
        <v>SEMI_FINISHED</v>
      </c>
      <c r="E93" s="38" t="str">
        <v>Подтвердить выделение, код и размер партии связанных полуфабрикатов; указать общие полуфабрикаты.</v>
      </c>
      <c r="F93" s="38" t="str">
        <v>OPEN</v>
      </c>
      <c r="G93" s="38" t="str">
        <v>Chef</v>
      </c>
      <c r="H93" s="38" t="str">
        <v>DAG; двойной учёт; себестоимость; планирование</v>
      </c>
      <c r="I93" s="38" t="str">
        <v>EVD-0009</v>
      </c>
      <c r="J93" s="38" t="str">
        <v>GAP-006</v>
      </c>
      <c r="K93" s="38" t="str">
        <v>2026-08-03</v>
      </c>
      <c r="L93" s="38" t="str">
        <v>Owner/Chef Gate</v>
      </c>
      <c r="M93" s="38"/>
      <c r="N93" s="39"/>
    </row>
    <row r="94">
      <c r="A94" s="37" t="str">
        <v>CQ-0090</v>
      </c>
      <c r="B94" s="38" t="str">
        <v>VKM-018</v>
      </c>
      <c r="C94" s="38" t="str">
        <v>Традиционный красный борщ</v>
      </c>
      <c r="D94" s="38" t="str">
        <v>PROCESS_FLOW_FOR_SAFETY</v>
      </c>
      <c r="E9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94" s="38" t="str">
        <v>OPEN</v>
      </c>
      <c r="G94" s="38" t="str">
        <v>Chef</v>
      </c>
      <c r="H94" s="38" t="str">
        <v>Safety veto; ППК/HACCP; маркировка и прослеживаемость</v>
      </c>
      <c r="I94" s="38" t="str">
        <v>EVD-0013;EVD-0014;EVD-FS-001;EVD-FS-003</v>
      </c>
      <c r="J94" s="38" t="str">
        <v>GAP-010;GAP-011</v>
      </c>
      <c r="K94" s="38" t="str">
        <v>2026-08-03</v>
      </c>
      <c r="L94" s="38" t="str">
        <v>Owner/Chef Gate</v>
      </c>
      <c r="M94" s="38"/>
      <c r="N94" s="39"/>
    </row>
    <row r="95">
      <c r="A95" s="37" t="str">
        <v>CQ-0091</v>
      </c>
      <c r="B95" s="38" t="str">
        <v>VKM-019</v>
      </c>
      <c r="C95" s="38" t="str">
        <v>Мурманская треска со сливочно-горчичным соусом</v>
      </c>
      <c r="D95" s="38" t="str">
        <v>RECIPE</v>
      </c>
      <c r="E95" s="38" t="str">
        <v>Подтвердить или скорректировать построчный состав и проектные нормы брутто/нетто.</v>
      </c>
      <c r="F95" s="38" t="str">
        <v>OPEN</v>
      </c>
      <c r="G95" s="38" t="str">
        <v>Chef</v>
      </c>
      <c r="H95" s="38" t="str">
        <v>Себестоимость; пищценность; аллергены; закупка</v>
      </c>
      <c r="I95" s="38" t="str">
        <v>EVD-0007</v>
      </c>
      <c r="J95" s="38" t="str">
        <v>GAP-004</v>
      </c>
      <c r="K95" s="38" t="str">
        <v>2026-08-03</v>
      </c>
      <c r="L95" s="38" t="str">
        <v>Owner/Chef Gate</v>
      </c>
      <c r="M95" s="38"/>
      <c r="N95" s="39"/>
    </row>
    <row r="96">
      <c r="A96" s="37" t="str">
        <v>CQ-0092</v>
      </c>
      <c r="B96" s="38" t="str">
        <v>VKM-019</v>
      </c>
      <c r="C96" s="38" t="str">
        <v>Мурманская треска со сливочно-горчичным соусом</v>
      </c>
      <c r="D96" s="38" t="str">
        <v>YIELD</v>
      </c>
      <c r="E96" s="38" t="str">
        <v>Подтвердить целевой выход и способ учёта подготовительных/тепловых потерь контрольным взвешиванием.</v>
      </c>
      <c r="F96" s="38" t="str">
        <v>OPEN</v>
      </c>
      <c r="G96" s="38" t="str">
        <v>Chef</v>
      </c>
      <c r="H96" s="38" t="str">
        <v>Mass balance; себестоимость; порционирование</v>
      </c>
      <c r="I96" s="38" t="str">
        <v>EVD-0005;EVD-0008</v>
      </c>
      <c r="J96" s="38" t="str">
        <v>GAP-002;GAP-005</v>
      </c>
      <c r="K96" s="38" t="str">
        <v>2026-08-03</v>
      </c>
      <c r="L96" s="38" t="str">
        <v>Owner/Chef Gate</v>
      </c>
      <c r="M96" s="38"/>
      <c r="N96" s="39"/>
    </row>
    <row r="97">
      <c r="A97" s="37" t="str">
        <v>CQ-0093</v>
      </c>
      <c r="B97" s="38" t="str">
        <v>VKM-019</v>
      </c>
      <c r="C97" s="38" t="str">
        <v>Мурманская треска со сливочно-горчичным соусом</v>
      </c>
      <c r="D97" s="38" t="str">
        <v>PROCESS</v>
      </c>
      <c r="E97" s="38" t="str">
        <v>Подтвердить последовательность операций, фактическое активное/полное время и проект подачи.</v>
      </c>
      <c r="F97" s="38" t="str">
        <v>OPEN</v>
      </c>
      <c r="G97" s="38" t="str">
        <v>Chef</v>
      </c>
      <c r="H97" s="38" t="str">
        <v>Техкарта; оборудование; мощность; сервис</v>
      </c>
      <c r="I97" s="38" t="str">
        <v>EVD-0010;EVD-0011</v>
      </c>
      <c r="J97" s="38" t="str">
        <v>GAP-007;GAP-008</v>
      </c>
      <c r="K97" s="38" t="str">
        <v>2026-08-03</v>
      </c>
      <c r="L97" s="38" t="str">
        <v>Owner/Chef Gate</v>
      </c>
      <c r="M97" s="38"/>
      <c r="N97" s="39"/>
    </row>
    <row r="98">
      <c r="A98" s="37" t="str">
        <v>CQ-0094</v>
      </c>
      <c r="B98" s="38" t="str">
        <v>VKM-019</v>
      </c>
      <c r="C98" s="38" t="str">
        <v>Мурманская треска со сливочно-горчичным соусом</v>
      </c>
      <c r="D98" s="38" t="str">
        <v>SEMI_FINISHED</v>
      </c>
      <c r="E98" s="38" t="str">
        <v>Подтвердить выделение, код и размер партии связанных полуфабрикатов; указать общие полуфабрикаты.</v>
      </c>
      <c r="F98" s="38" t="str">
        <v>OPEN</v>
      </c>
      <c r="G98" s="38" t="str">
        <v>Chef</v>
      </c>
      <c r="H98" s="38" t="str">
        <v>DAG; двойной учёт; себестоимость; планирование</v>
      </c>
      <c r="I98" s="38" t="str">
        <v>EVD-0009</v>
      </c>
      <c r="J98" s="38" t="str">
        <v>GAP-006</v>
      </c>
      <c r="K98" s="38" t="str">
        <v>2026-08-03</v>
      </c>
      <c r="L98" s="38" t="str">
        <v>Owner/Chef Gate</v>
      </c>
      <c r="M98" s="38"/>
      <c r="N98" s="39"/>
    </row>
    <row r="99">
      <c r="A99" s="37" t="str">
        <v>CQ-0095</v>
      </c>
      <c r="B99" s="38" t="str">
        <v>VKM-019</v>
      </c>
      <c r="C99" s="38" t="str">
        <v>Мурманская треска со сливочно-горчичным соусом</v>
      </c>
      <c r="D99" s="38" t="str">
        <v>PROCESS_FLOW_FOR_SAFETY</v>
      </c>
      <c r="E9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99" s="38" t="str">
        <v>OPEN</v>
      </c>
      <c r="G99" s="38" t="str">
        <v>Chef</v>
      </c>
      <c r="H99" s="38" t="str">
        <v>Safety veto; ППК/HACCP; маркировка и прослеживаемость</v>
      </c>
      <c r="I99" s="38" t="str">
        <v>EVD-0013;EVD-0014;EVD-FS-001;EVD-FS-003</v>
      </c>
      <c r="J99" s="38" t="str">
        <v>GAP-010;GAP-011</v>
      </c>
      <c r="K99" s="38" t="str">
        <v>2026-08-03</v>
      </c>
      <c r="L99" s="38" t="str">
        <v>Owner/Chef Gate</v>
      </c>
      <c r="M99" s="38"/>
      <c r="N99" s="39"/>
    </row>
    <row r="100">
      <c r="A100" s="37" t="str">
        <v>CQ-0096</v>
      </c>
      <c r="B100" s="38" t="str">
        <v>VKM-020</v>
      </c>
      <c r="C100" s="38" t="str">
        <v>Креветки по-тайски</v>
      </c>
      <c r="D100" s="38" t="str">
        <v>RECIPE</v>
      </c>
      <c r="E100" s="38" t="str">
        <v>Подтвердить или скорректировать построчный состав и проектные нормы брутто/нетто.</v>
      </c>
      <c r="F100" s="38" t="str">
        <v>OPEN</v>
      </c>
      <c r="G100" s="38" t="str">
        <v>Chef</v>
      </c>
      <c r="H100" s="38" t="str">
        <v>Себестоимость; пищценность; аллергены; закупка</v>
      </c>
      <c r="I100" s="38" t="str">
        <v>EVD-0007</v>
      </c>
      <c r="J100" s="38" t="str">
        <v>GAP-004</v>
      </c>
      <c r="K100" s="38" t="str">
        <v>2026-08-03</v>
      </c>
      <c r="L100" s="38" t="str">
        <v>Owner/Chef Gate</v>
      </c>
      <c r="M100" s="38"/>
      <c r="N100" s="39"/>
    </row>
    <row r="101">
      <c r="A101" s="37" t="str">
        <v>CQ-0097</v>
      </c>
      <c r="B101" s="38" t="str">
        <v>VKM-020</v>
      </c>
      <c r="C101" s="38" t="str">
        <v>Креветки по-тайски</v>
      </c>
      <c r="D101" s="38" t="str">
        <v>YIELD</v>
      </c>
      <c r="E101" s="38" t="str">
        <v>Подтвердить целевой выход и способ учёта подготовительных/тепловых потерь контрольным взвешиванием.</v>
      </c>
      <c r="F101" s="38" t="str">
        <v>OPEN</v>
      </c>
      <c r="G101" s="38" t="str">
        <v>Chef</v>
      </c>
      <c r="H101" s="38" t="str">
        <v>Mass balance; себестоимость; порционирование</v>
      </c>
      <c r="I101" s="38" t="str">
        <v>EVD-0005;EVD-0008</v>
      </c>
      <c r="J101" s="38" t="str">
        <v>GAP-002;GAP-005</v>
      </c>
      <c r="K101" s="38" t="str">
        <v>2026-08-03</v>
      </c>
      <c r="L101" s="38" t="str">
        <v>Owner/Chef Gate</v>
      </c>
      <c r="M101" s="38"/>
      <c r="N101" s="39"/>
    </row>
    <row r="102">
      <c r="A102" s="37" t="str">
        <v>CQ-0098</v>
      </c>
      <c r="B102" s="38" t="str">
        <v>VKM-020</v>
      </c>
      <c r="C102" s="38" t="str">
        <v>Креветки по-тайски</v>
      </c>
      <c r="D102" s="38" t="str">
        <v>PROCESS</v>
      </c>
      <c r="E102" s="38" t="str">
        <v>Подтвердить последовательность операций, фактическое активное/полное время и проект подачи.</v>
      </c>
      <c r="F102" s="38" t="str">
        <v>OPEN</v>
      </c>
      <c r="G102" s="38" t="str">
        <v>Chef</v>
      </c>
      <c r="H102" s="38" t="str">
        <v>Техкарта; оборудование; мощность; сервис</v>
      </c>
      <c r="I102" s="38" t="str">
        <v>EVD-0010;EVD-0011</v>
      </c>
      <c r="J102" s="38" t="str">
        <v>GAP-007;GAP-008</v>
      </c>
      <c r="K102" s="38" t="str">
        <v>2026-08-03</v>
      </c>
      <c r="L102" s="38" t="str">
        <v>Owner/Chef Gate</v>
      </c>
      <c r="M102" s="38"/>
      <c r="N102" s="39"/>
    </row>
    <row r="103">
      <c r="A103" s="37" t="str">
        <v>CQ-0099</v>
      </c>
      <c r="B103" s="38" t="str">
        <v>VKM-020</v>
      </c>
      <c r="C103" s="38" t="str">
        <v>Креветки по-тайски</v>
      </c>
      <c r="D103" s="38" t="str">
        <v>SEMI_FINISHED</v>
      </c>
      <c r="E103" s="38" t="str">
        <v>Подтвердить выделение, код и размер партии связанных полуфабрикатов; указать общие полуфабрикаты.</v>
      </c>
      <c r="F103" s="38" t="str">
        <v>OPEN</v>
      </c>
      <c r="G103" s="38" t="str">
        <v>Chef</v>
      </c>
      <c r="H103" s="38" t="str">
        <v>DAG; двойной учёт; себестоимость; планирование</v>
      </c>
      <c r="I103" s="38" t="str">
        <v>EVD-0009</v>
      </c>
      <c r="J103" s="38" t="str">
        <v>GAP-006</v>
      </c>
      <c r="K103" s="38" t="str">
        <v>2026-08-03</v>
      </c>
      <c r="L103" s="38" t="str">
        <v>Owner/Chef Gate</v>
      </c>
      <c r="M103" s="38"/>
      <c r="N103" s="39"/>
    </row>
    <row r="104">
      <c r="A104" s="37" t="str">
        <v>CQ-0100</v>
      </c>
      <c r="B104" s="38" t="str">
        <v>VKM-020</v>
      </c>
      <c r="C104" s="38" t="str">
        <v>Креветки по-тайски</v>
      </c>
      <c r="D104" s="38" t="str">
        <v>PROCESS_FLOW_FOR_SAFETY</v>
      </c>
      <c r="E104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04" s="38" t="str">
        <v>OPEN</v>
      </c>
      <c r="G104" s="38" t="str">
        <v>Chef</v>
      </c>
      <c r="H104" s="38" t="str">
        <v>Safety veto; ППК/HACCP; маркировка и прослеживаемость</v>
      </c>
      <c r="I104" s="38" t="str">
        <v>EVD-0013;EVD-0014;EVD-FS-001;EVD-FS-003</v>
      </c>
      <c r="J104" s="38" t="str">
        <v>GAP-010;GAP-011</v>
      </c>
      <c r="K104" s="38" t="str">
        <v>2026-08-03</v>
      </c>
      <c r="L104" s="38" t="str">
        <v>Owner/Chef Gate</v>
      </c>
      <c r="M104" s="38"/>
      <c r="N104" s="39"/>
    </row>
    <row r="105">
      <c r="A105" s="37" t="str">
        <v>CQ-0101</v>
      </c>
      <c r="B105" s="38" t="str">
        <v>VKM-021</v>
      </c>
      <c r="C105" s="38" t="str">
        <v>Бургер VARSHAVKA</v>
      </c>
      <c r="D105" s="38" t="str">
        <v>RECIPE</v>
      </c>
      <c r="E105" s="38" t="str">
        <v>Подтвердить или скорректировать построчный состав и проектные нормы брутто/нетто.</v>
      </c>
      <c r="F105" s="38" t="str">
        <v>OPEN</v>
      </c>
      <c r="G105" s="38" t="str">
        <v>Chef</v>
      </c>
      <c r="H105" s="38" t="str">
        <v>Себестоимость; пищценность; аллергены; закупка</v>
      </c>
      <c r="I105" s="38" t="str">
        <v>EVD-0007</v>
      </c>
      <c r="J105" s="38" t="str">
        <v>GAP-004</v>
      </c>
      <c r="K105" s="38" t="str">
        <v>2026-08-03</v>
      </c>
      <c r="L105" s="38" t="str">
        <v>Owner/Chef Gate</v>
      </c>
      <c r="M105" s="38"/>
      <c r="N105" s="39"/>
    </row>
    <row r="106">
      <c r="A106" s="37" t="str">
        <v>CQ-0102</v>
      </c>
      <c r="B106" s="38" t="str">
        <v>VKM-021</v>
      </c>
      <c r="C106" s="38" t="str">
        <v>Бургер VARSHAVKA</v>
      </c>
      <c r="D106" s="38" t="str">
        <v>YIELD</v>
      </c>
      <c r="E106" s="38" t="str">
        <v>Подтвердить целевой выход и способ учёта подготовительных/тепловых потерь контрольным взвешиванием.</v>
      </c>
      <c r="F106" s="38" t="str">
        <v>OPEN</v>
      </c>
      <c r="G106" s="38" t="str">
        <v>Chef</v>
      </c>
      <c r="H106" s="38" t="str">
        <v>Mass balance; себестоимость; порционирование</v>
      </c>
      <c r="I106" s="38" t="str">
        <v>EVD-0005;EVD-0008</v>
      </c>
      <c r="J106" s="38" t="str">
        <v>GAP-002;GAP-005</v>
      </c>
      <c r="K106" s="38" t="str">
        <v>2026-08-03</v>
      </c>
      <c r="L106" s="38" t="str">
        <v>Owner/Chef Gate</v>
      </c>
      <c r="M106" s="38"/>
      <c r="N106" s="39"/>
    </row>
    <row r="107">
      <c r="A107" s="37" t="str">
        <v>CQ-0103</v>
      </c>
      <c r="B107" s="38" t="str">
        <v>VKM-021</v>
      </c>
      <c r="C107" s="38" t="str">
        <v>Бургер VARSHAVKA</v>
      </c>
      <c r="D107" s="38" t="str">
        <v>PROCESS</v>
      </c>
      <c r="E107" s="38" t="str">
        <v>Подтвердить последовательность операций, фактическое активное/полное время и проект подачи.</v>
      </c>
      <c r="F107" s="38" t="str">
        <v>OPEN</v>
      </c>
      <c r="G107" s="38" t="str">
        <v>Chef</v>
      </c>
      <c r="H107" s="38" t="str">
        <v>Техкарта; оборудование; мощность; сервис</v>
      </c>
      <c r="I107" s="38" t="str">
        <v>EVD-0010;EVD-0011</v>
      </c>
      <c r="J107" s="38" t="str">
        <v>GAP-007;GAP-008</v>
      </c>
      <c r="K107" s="38" t="str">
        <v>2026-08-03</v>
      </c>
      <c r="L107" s="38" t="str">
        <v>Owner/Chef Gate</v>
      </c>
      <c r="M107" s="38"/>
      <c r="N107" s="39"/>
    </row>
    <row r="108">
      <c r="A108" s="37" t="str">
        <v>CQ-0104</v>
      </c>
      <c r="B108" s="38" t="str">
        <v>VKM-021</v>
      </c>
      <c r="C108" s="38" t="str">
        <v>Бургер VARSHAVKA</v>
      </c>
      <c r="D108" s="38" t="str">
        <v>SEMI_FINISHED</v>
      </c>
      <c r="E108" s="38" t="str">
        <v>Подтвердить выделение, код и размер партии связанных полуфабрикатов; указать общие полуфабрикаты.</v>
      </c>
      <c r="F108" s="38" t="str">
        <v>OPEN</v>
      </c>
      <c r="G108" s="38" t="str">
        <v>Chef</v>
      </c>
      <c r="H108" s="38" t="str">
        <v>DAG; двойной учёт; себестоимость; планирование</v>
      </c>
      <c r="I108" s="38" t="str">
        <v>EVD-0009</v>
      </c>
      <c r="J108" s="38" t="str">
        <v>GAP-006</v>
      </c>
      <c r="K108" s="38" t="str">
        <v>2026-08-03</v>
      </c>
      <c r="L108" s="38" t="str">
        <v>Owner/Chef Gate</v>
      </c>
      <c r="M108" s="38"/>
      <c r="N108" s="39"/>
    </row>
    <row r="109">
      <c r="A109" s="37" t="str">
        <v>CQ-0105</v>
      </c>
      <c r="B109" s="38" t="str">
        <v>VKM-021</v>
      </c>
      <c r="C109" s="38" t="str">
        <v>Бургер VARSHAVKA</v>
      </c>
      <c r="D109" s="38" t="str">
        <v>PROCESS_FLOW_FOR_SAFETY</v>
      </c>
      <c r="E109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09" s="38" t="str">
        <v>OPEN</v>
      </c>
      <c r="G109" s="38" t="str">
        <v>Chef</v>
      </c>
      <c r="H109" s="38" t="str">
        <v>Safety veto; ППК/HACCP; маркировка и прослеживаемость</v>
      </c>
      <c r="I109" s="38" t="str">
        <v>EVD-0013;EVD-0014;EVD-FS-001;EVD-FS-003</v>
      </c>
      <c r="J109" s="38" t="str">
        <v>GAP-010;GAP-011</v>
      </c>
      <c r="K109" s="38" t="str">
        <v>2026-08-03</v>
      </c>
      <c r="L109" s="38" t="str">
        <v>Owner/Chef Gate</v>
      </c>
      <c r="M109" s="38"/>
      <c r="N109" s="39"/>
    </row>
    <row r="110">
      <c r="A110" s="37" t="str">
        <v>CQ-0106</v>
      </c>
      <c r="B110" s="38" t="str">
        <v>VKM-021</v>
      </c>
      <c r="C110" s="38" t="str">
        <v>Бургер VARSHAVKA</v>
      </c>
      <c r="D110" s="38" t="str">
        <v>DEPENDENCY</v>
      </c>
      <c r="E110" s="38" t="str">
        <v>Подтвердить, используется ли VKM-008 как готовая бриошь или отдельная спецификация бриоши для бургера.</v>
      </c>
      <c r="F110" s="38" t="str">
        <v>OPEN</v>
      </c>
      <c r="G110" s="38" t="str">
        <v>Chef</v>
      </c>
      <c r="H110" s="38" t="str">
        <v>Связи VKM/VSF; себестоимость; выпуск</v>
      </c>
      <c r="I110" s="38" t="str">
        <v>EVD-0009</v>
      </c>
      <c r="J110" s="38" t="str">
        <v>GAP-006</v>
      </c>
      <c r="K110" s="38" t="str">
        <v>2026-08-03</v>
      </c>
      <c r="L110" s="38" t="str">
        <v>Owner/Chef Gate</v>
      </c>
      <c r="M110" s="38"/>
      <c r="N110" s="39"/>
    </row>
    <row r="111">
      <c r="A111" s="37" t="str">
        <v>CQ-0107</v>
      </c>
      <c r="B111" s="38" t="str">
        <v>VKM-022</v>
      </c>
      <c r="C111" s="38" t="str">
        <v>Миньоны из говяжьей вырезки</v>
      </c>
      <c r="D111" s="38" t="str">
        <v>RECIPE</v>
      </c>
      <c r="E111" s="38" t="str">
        <v>Подтвердить или скорректировать построчный состав и проектные нормы брутто/нетто.</v>
      </c>
      <c r="F111" s="38" t="str">
        <v>OPEN</v>
      </c>
      <c r="G111" s="38" t="str">
        <v>Chef</v>
      </c>
      <c r="H111" s="38" t="str">
        <v>Себестоимость; пищценность; аллергены; закупка</v>
      </c>
      <c r="I111" s="38" t="str">
        <v>EVD-0007</v>
      </c>
      <c r="J111" s="38" t="str">
        <v>GAP-004</v>
      </c>
      <c r="K111" s="38" t="str">
        <v>2026-08-03</v>
      </c>
      <c r="L111" s="38" t="str">
        <v>Owner/Chef Gate</v>
      </c>
      <c r="M111" s="38"/>
      <c r="N111" s="39"/>
    </row>
    <row r="112">
      <c r="A112" s="37" t="str">
        <v>CQ-0108</v>
      </c>
      <c r="B112" s="38" t="str">
        <v>VKM-022</v>
      </c>
      <c r="C112" s="38" t="str">
        <v>Миньоны из говяжьей вырезки</v>
      </c>
      <c r="D112" s="38" t="str">
        <v>YIELD</v>
      </c>
      <c r="E112" s="38" t="str">
        <v>Подтвердить целевой выход и способ учёта подготовительных/тепловых потерь контрольным взвешиванием.</v>
      </c>
      <c r="F112" s="38" t="str">
        <v>OPEN</v>
      </c>
      <c r="G112" s="38" t="str">
        <v>Chef</v>
      </c>
      <c r="H112" s="38" t="str">
        <v>Mass balance; себестоимость; порционирование</v>
      </c>
      <c r="I112" s="38" t="str">
        <v>EVD-0005;EVD-0008</v>
      </c>
      <c r="J112" s="38" t="str">
        <v>GAP-002;GAP-005</v>
      </c>
      <c r="K112" s="38" t="str">
        <v>2026-08-03</v>
      </c>
      <c r="L112" s="38" t="str">
        <v>Owner/Chef Gate</v>
      </c>
      <c r="M112" s="38"/>
      <c r="N112" s="39"/>
    </row>
    <row r="113">
      <c r="A113" s="37" t="str">
        <v>CQ-0109</v>
      </c>
      <c r="B113" s="38" t="str">
        <v>VKM-022</v>
      </c>
      <c r="C113" s="38" t="str">
        <v>Миньоны из говяжьей вырезки</v>
      </c>
      <c r="D113" s="38" t="str">
        <v>PROCESS</v>
      </c>
      <c r="E113" s="38" t="str">
        <v>Подтвердить последовательность операций, фактическое активное/полное время и проект подачи.</v>
      </c>
      <c r="F113" s="38" t="str">
        <v>OPEN</v>
      </c>
      <c r="G113" s="38" t="str">
        <v>Chef</v>
      </c>
      <c r="H113" s="38" t="str">
        <v>Техкарта; оборудование; мощность; сервис</v>
      </c>
      <c r="I113" s="38" t="str">
        <v>EVD-0010;EVD-0011</v>
      </c>
      <c r="J113" s="38" t="str">
        <v>GAP-007;GAP-008</v>
      </c>
      <c r="K113" s="38" t="str">
        <v>2026-08-03</v>
      </c>
      <c r="L113" s="38" t="str">
        <v>Owner/Chef Gate</v>
      </c>
      <c r="M113" s="38"/>
      <c r="N113" s="39"/>
    </row>
    <row r="114">
      <c r="A114" s="37" t="str">
        <v>CQ-0110</v>
      </c>
      <c r="B114" s="38" t="str">
        <v>VKM-022</v>
      </c>
      <c r="C114" s="38" t="str">
        <v>Миньоны из говяжьей вырезки</v>
      </c>
      <c r="D114" s="38" t="str">
        <v>SEMI_FINISHED</v>
      </c>
      <c r="E114" s="38" t="str">
        <v>Подтвердить выделение, код и размер партии связанных полуфабрикатов; указать общие полуфабрикаты.</v>
      </c>
      <c r="F114" s="38" t="str">
        <v>OPEN</v>
      </c>
      <c r="G114" s="38" t="str">
        <v>Chef</v>
      </c>
      <c r="H114" s="38" t="str">
        <v>DAG; двойной учёт; себестоимость; планирование</v>
      </c>
      <c r="I114" s="38" t="str">
        <v>EVD-0009</v>
      </c>
      <c r="J114" s="38" t="str">
        <v>GAP-006</v>
      </c>
      <c r="K114" s="38" t="str">
        <v>2026-08-03</v>
      </c>
      <c r="L114" s="38" t="str">
        <v>Owner/Chef Gate</v>
      </c>
      <c r="M114" s="38"/>
      <c r="N114" s="39"/>
    </row>
    <row r="115">
      <c r="A115" s="37" t="str">
        <v>CQ-0111</v>
      </c>
      <c r="B115" s="38" t="str">
        <v>VKM-022</v>
      </c>
      <c r="C115" s="38" t="str">
        <v>Миньоны из говяжьей вырезки</v>
      </c>
      <c r="D115" s="38" t="str">
        <v>PROCESS_FLOW_FOR_SAFETY</v>
      </c>
      <c r="E115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15" s="38" t="str">
        <v>OPEN</v>
      </c>
      <c r="G115" s="38" t="str">
        <v>Chef</v>
      </c>
      <c r="H115" s="38" t="str">
        <v>Safety veto; ППК/HACCP; маркировка и прослеживаемость</v>
      </c>
      <c r="I115" s="38" t="str">
        <v>EVD-0013;EVD-0014;EVD-FS-001;EVD-FS-003</v>
      </c>
      <c r="J115" s="38" t="str">
        <v>GAP-010;GAP-011</v>
      </c>
      <c r="K115" s="38" t="str">
        <v>2026-08-03</v>
      </c>
      <c r="L115" s="38" t="str">
        <v>Owner/Chef Gate</v>
      </c>
      <c r="M115" s="38"/>
      <c r="N115" s="39"/>
    </row>
    <row r="116">
      <c r="A116" s="37" t="str">
        <v>CQ-0112</v>
      </c>
      <c r="B116" s="38" t="str">
        <v>VKM-023</v>
      </c>
      <c r="C116" s="38" t="str">
        <v>Запечённый картофель</v>
      </c>
      <c r="D116" s="38" t="str">
        <v>RECIPE</v>
      </c>
      <c r="E116" s="38" t="str">
        <v>Подтвердить или скорректировать построчный состав и проектные нормы брутто/нетто.</v>
      </c>
      <c r="F116" s="38" t="str">
        <v>OPEN</v>
      </c>
      <c r="G116" s="38" t="str">
        <v>Chef</v>
      </c>
      <c r="H116" s="38" t="str">
        <v>Себестоимость; пищценность; аллергены; закупка</v>
      </c>
      <c r="I116" s="38" t="str">
        <v>EVD-0007</v>
      </c>
      <c r="J116" s="38" t="str">
        <v>GAP-004</v>
      </c>
      <c r="K116" s="38" t="str">
        <v>2026-08-03</v>
      </c>
      <c r="L116" s="38" t="str">
        <v>Owner/Chef Gate</v>
      </c>
      <c r="M116" s="38"/>
      <c r="N116" s="39"/>
    </row>
    <row r="117">
      <c r="A117" s="37" t="str">
        <v>CQ-0113</v>
      </c>
      <c r="B117" s="38" t="str">
        <v>VKM-023</v>
      </c>
      <c r="C117" s="38" t="str">
        <v>Запечённый картофель</v>
      </c>
      <c r="D117" s="38" t="str">
        <v>YIELD</v>
      </c>
      <c r="E117" s="38" t="str">
        <v>Подтвердить целевой выход и способ учёта подготовительных/тепловых потерь контрольным взвешиванием.</v>
      </c>
      <c r="F117" s="38" t="str">
        <v>OPEN</v>
      </c>
      <c r="G117" s="38" t="str">
        <v>Chef</v>
      </c>
      <c r="H117" s="38" t="str">
        <v>Mass balance; себестоимость; порционирование</v>
      </c>
      <c r="I117" s="38" t="str">
        <v>EVD-0005;EVD-0008</v>
      </c>
      <c r="J117" s="38" t="str">
        <v>GAP-002;GAP-005</v>
      </c>
      <c r="K117" s="38" t="str">
        <v>2026-08-03</v>
      </c>
      <c r="L117" s="38" t="str">
        <v>Owner/Chef Gate</v>
      </c>
      <c r="M117" s="38"/>
      <c r="N117" s="39"/>
    </row>
    <row r="118">
      <c r="A118" s="37" t="str">
        <v>CQ-0114</v>
      </c>
      <c r="B118" s="38" t="str">
        <v>VKM-023</v>
      </c>
      <c r="C118" s="38" t="str">
        <v>Запечённый картофель</v>
      </c>
      <c r="D118" s="38" t="str">
        <v>PROCESS</v>
      </c>
      <c r="E118" s="38" t="str">
        <v>Подтвердить последовательность операций, фактическое активное/полное время и проект подачи.</v>
      </c>
      <c r="F118" s="38" t="str">
        <v>OPEN</v>
      </c>
      <c r="G118" s="38" t="str">
        <v>Chef</v>
      </c>
      <c r="H118" s="38" t="str">
        <v>Техкарта; оборудование; мощность; сервис</v>
      </c>
      <c r="I118" s="38" t="str">
        <v>EVD-0010;EVD-0011</v>
      </c>
      <c r="J118" s="38" t="str">
        <v>GAP-007;GAP-008</v>
      </c>
      <c r="K118" s="38" t="str">
        <v>2026-08-03</v>
      </c>
      <c r="L118" s="38" t="str">
        <v>Owner/Chef Gate</v>
      </c>
      <c r="M118" s="38"/>
      <c r="N118" s="39"/>
    </row>
    <row r="119">
      <c r="A119" s="37" t="str">
        <v>CQ-0115</v>
      </c>
      <c r="B119" s="38" t="str">
        <v>VKM-023</v>
      </c>
      <c r="C119" s="38" t="str">
        <v>Запечённый картофель</v>
      </c>
      <c r="D119" s="38" t="str">
        <v>SEMI_FINISHED</v>
      </c>
      <c r="E119" s="38" t="str">
        <v>Подтвердить выделение, код и размер партии связанных полуфабрикатов; указать общие полуфабрикаты.</v>
      </c>
      <c r="F119" s="38" t="str">
        <v>OPEN</v>
      </c>
      <c r="G119" s="38" t="str">
        <v>Chef</v>
      </c>
      <c r="H119" s="38" t="str">
        <v>DAG; двойной учёт; себестоимость; планирование</v>
      </c>
      <c r="I119" s="38" t="str">
        <v>EVD-0009</v>
      </c>
      <c r="J119" s="38" t="str">
        <v>GAP-006</v>
      </c>
      <c r="K119" s="38" t="str">
        <v>2026-08-03</v>
      </c>
      <c r="L119" s="38" t="str">
        <v>Owner/Chef Gate</v>
      </c>
      <c r="M119" s="38"/>
      <c r="N119" s="39"/>
    </row>
    <row r="120">
      <c r="A120" s="37" t="str">
        <v>CQ-0116</v>
      </c>
      <c r="B120" s="38" t="str">
        <v>VKM-023</v>
      </c>
      <c r="C120" s="38" t="str">
        <v>Запечённый картофель</v>
      </c>
      <c r="D120" s="38" t="str">
        <v>PROCESS_FLOW_FOR_SAFETY</v>
      </c>
      <c r="E120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20" s="38" t="str">
        <v>OPEN</v>
      </c>
      <c r="G120" s="38" t="str">
        <v>Chef</v>
      </c>
      <c r="H120" s="38" t="str">
        <v>Safety veto; ППК/HACCP; маркировка и прослеживаемость</v>
      </c>
      <c r="I120" s="38" t="str">
        <v>EVD-0013;EVD-0014;EVD-FS-001;EVD-FS-003</v>
      </c>
      <c r="J120" s="38" t="str">
        <v>GAP-010;GAP-011</v>
      </c>
      <c r="K120" s="38" t="str">
        <v>2026-08-03</v>
      </c>
      <c r="L120" s="38" t="str">
        <v>Owner/Chef Gate</v>
      </c>
      <c r="M120" s="38"/>
      <c r="N120" s="39"/>
    </row>
    <row r="121">
      <c r="A121" s="37" t="str">
        <v>CQ-0117</v>
      </c>
      <c r="B121" s="38" t="str">
        <v>VKM-024</v>
      </c>
      <c r="C121" s="38" t="str">
        <v>Рис жасмин</v>
      </c>
      <c r="D121" s="38" t="str">
        <v>RECIPE</v>
      </c>
      <c r="E121" s="38" t="str">
        <v>Подтвердить или скорректировать построчный состав и проектные нормы брутто/нетто.</v>
      </c>
      <c r="F121" s="38" t="str">
        <v>OPEN</v>
      </c>
      <c r="G121" s="38" t="str">
        <v>Chef</v>
      </c>
      <c r="H121" s="38" t="str">
        <v>Себестоимость; пищценность; аллергены; закупка</v>
      </c>
      <c r="I121" s="38" t="str">
        <v>EVD-0007</v>
      </c>
      <c r="J121" s="38" t="str">
        <v>GAP-004</v>
      </c>
      <c r="K121" s="38" t="str">
        <v>2026-08-03</v>
      </c>
      <c r="L121" s="38" t="str">
        <v>Owner/Chef Gate</v>
      </c>
      <c r="M121" s="38"/>
      <c r="N121" s="39"/>
    </row>
    <row r="122">
      <c r="A122" s="37" t="str">
        <v>CQ-0118</v>
      </c>
      <c r="B122" s="38" t="str">
        <v>VKM-024</v>
      </c>
      <c r="C122" s="38" t="str">
        <v>Рис жасмин</v>
      </c>
      <c r="D122" s="38" t="str">
        <v>YIELD</v>
      </c>
      <c r="E122" s="38" t="str">
        <v>Подтвердить целевой выход и способ учёта подготовительных/тепловых потерь контрольным взвешиванием.</v>
      </c>
      <c r="F122" s="38" t="str">
        <v>OPEN</v>
      </c>
      <c r="G122" s="38" t="str">
        <v>Chef</v>
      </c>
      <c r="H122" s="38" t="str">
        <v>Mass balance; себестоимость; порционирование</v>
      </c>
      <c r="I122" s="38" t="str">
        <v>EVD-0005;EVD-0008</v>
      </c>
      <c r="J122" s="38" t="str">
        <v>GAP-002;GAP-005</v>
      </c>
      <c r="K122" s="38" t="str">
        <v>2026-08-03</v>
      </c>
      <c r="L122" s="38" t="str">
        <v>Owner/Chef Gate</v>
      </c>
      <c r="M122" s="38"/>
      <c r="N122" s="39"/>
    </row>
    <row r="123">
      <c r="A123" s="37" t="str">
        <v>CQ-0119</v>
      </c>
      <c r="B123" s="38" t="str">
        <v>VKM-024</v>
      </c>
      <c r="C123" s="38" t="str">
        <v>Рис жасмин</v>
      </c>
      <c r="D123" s="38" t="str">
        <v>PROCESS</v>
      </c>
      <c r="E123" s="38" t="str">
        <v>Подтвердить последовательность операций, фактическое активное/полное время и проект подачи.</v>
      </c>
      <c r="F123" s="38" t="str">
        <v>OPEN</v>
      </c>
      <c r="G123" s="38" t="str">
        <v>Chef</v>
      </c>
      <c r="H123" s="38" t="str">
        <v>Техкарта; оборудование; мощность; сервис</v>
      </c>
      <c r="I123" s="38" t="str">
        <v>EVD-0010;EVD-0011</v>
      </c>
      <c r="J123" s="38" t="str">
        <v>GAP-007;GAP-008</v>
      </c>
      <c r="K123" s="38" t="str">
        <v>2026-08-03</v>
      </c>
      <c r="L123" s="38" t="str">
        <v>Owner/Chef Gate</v>
      </c>
      <c r="M123" s="38"/>
      <c r="N123" s="39"/>
    </row>
    <row r="124">
      <c r="A124" s="37" t="str">
        <v>CQ-0120</v>
      </c>
      <c r="B124" s="38" t="str">
        <v>VKM-024</v>
      </c>
      <c r="C124" s="38" t="str">
        <v>Рис жасмин</v>
      </c>
      <c r="D124" s="38" t="str">
        <v>SEMI_FINISHED</v>
      </c>
      <c r="E124" s="38" t="str">
        <v>Подтвердить выделение, код и размер партии связанных полуфабрикатов; указать общие полуфабрикаты.</v>
      </c>
      <c r="F124" s="38" t="str">
        <v>OPEN</v>
      </c>
      <c r="G124" s="38" t="str">
        <v>Chef</v>
      </c>
      <c r="H124" s="38" t="str">
        <v>DAG; двойной учёт; себестоимость; планирование</v>
      </c>
      <c r="I124" s="38" t="str">
        <v>EVD-0009</v>
      </c>
      <c r="J124" s="38" t="str">
        <v>GAP-006</v>
      </c>
      <c r="K124" s="38" t="str">
        <v>2026-08-03</v>
      </c>
      <c r="L124" s="38" t="str">
        <v>Owner/Chef Gate</v>
      </c>
      <c r="M124" s="38"/>
      <c r="N124" s="39"/>
    </row>
    <row r="125">
      <c r="A125" s="37" t="str">
        <v>CQ-0121</v>
      </c>
      <c r="B125" s="38" t="str">
        <v>VKM-024</v>
      </c>
      <c r="C125" s="38" t="str">
        <v>Рис жасмин</v>
      </c>
      <c r="D125" s="38" t="str">
        <v>PROCESS_FLOW_FOR_SAFETY</v>
      </c>
      <c r="E125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25" s="38" t="str">
        <v>OPEN</v>
      </c>
      <c r="G125" s="38" t="str">
        <v>Chef</v>
      </c>
      <c r="H125" s="38" t="str">
        <v>Safety veto; ППК/HACCP; маркировка и прослеживаемость</v>
      </c>
      <c r="I125" s="38" t="str">
        <v>EVD-0013;EVD-0014;EVD-FS-001;EVD-FS-003</v>
      </c>
      <c r="J125" s="38" t="str">
        <v>GAP-010;GAP-011</v>
      </c>
      <c r="K125" s="38" t="str">
        <v>2026-08-03</v>
      </c>
      <c r="L125" s="38" t="str">
        <v>Owner/Chef Gate</v>
      </c>
      <c r="M125" s="38"/>
      <c r="N125" s="39"/>
    </row>
    <row r="126">
      <c r="A126" s="37" t="str">
        <v>CQ-0122</v>
      </c>
      <c r="B126" s="38" t="str">
        <v>VKM-025</v>
      </c>
      <c r="C126" s="38" t="str">
        <v>Горячие овощи</v>
      </c>
      <c r="D126" s="38" t="str">
        <v>RECIPE</v>
      </c>
      <c r="E126" s="38" t="str">
        <v>Подтвердить или скорректировать построчный состав и проектные нормы брутто/нетто.</v>
      </c>
      <c r="F126" s="38" t="str">
        <v>OPEN</v>
      </c>
      <c r="G126" s="38" t="str">
        <v>Chef</v>
      </c>
      <c r="H126" s="38" t="str">
        <v>Себестоимость; пищценность; аллергены; закупка</v>
      </c>
      <c r="I126" s="38" t="str">
        <v>EVD-0007</v>
      </c>
      <c r="J126" s="38" t="str">
        <v>GAP-004</v>
      </c>
      <c r="K126" s="38" t="str">
        <v>2026-08-03</v>
      </c>
      <c r="L126" s="38" t="str">
        <v>Owner/Chef Gate</v>
      </c>
      <c r="M126" s="38"/>
      <c r="N126" s="39"/>
    </row>
    <row r="127">
      <c r="A127" s="37" t="str">
        <v>CQ-0123</v>
      </c>
      <c r="B127" s="38" t="str">
        <v>VKM-025</v>
      </c>
      <c r="C127" s="38" t="str">
        <v>Горячие овощи</v>
      </c>
      <c r="D127" s="38" t="str">
        <v>YIELD</v>
      </c>
      <c r="E127" s="38" t="str">
        <v>Подтвердить целевой выход и способ учёта подготовительных/тепловых потерь контрольным взвешиванием.</v>
      </c>
      <c r="F127" s="38" t="str">
        <v>OPEN</v>
      </c>
      <c r="G127" s="38" t="str">
        <v>Chef</v>
      </c>
      <c r="H127" s="38" t="str">
        <v>Mass balance; себестоимость; порционирование</v>
      </c>
      <c r="I127" s="38" t="str">
        <v>EVD-0005;EVD-0008</v>
      </c>
      <c r="J127" s="38" t="str">
        <v>GAP-002;GAP-005</v>
      </c>
      <c r="K127" s="38" t="str">
        <v>2026-08-03</v>
      </c>
      <c r="L127" s="38" t="str">
        <v>Owner/Chef Gate</v>
      </c>
      <c r="M127" s="38"/>
      <c r="N127" s="39"/>
    </row>
    <row r="128">
      <c r="A128" s="37" t="str">
        <v>CQ-0124</v>
      </c>
      <c r="B128" s="38" t="str">
        <v>VKM-025</v>
      </c>
      <c r="C128" s="38" t="str">
        <v>Горячие овощи</v>
      </c>
      <c r="D128" s="38" t="str">
        <v>PROCESS</v>
      </c>
      <c r="E128" s="38" t="str">
        <v>Подтвердить последовательность операций, фактическое активное/полное время и проект подачи.</v>
      </c>
      <c r="F128" s="38" t="str">
        <v>OPEN</v>
      </c>
      <c r="G128" s="38" t="str">
        <v>Chef</v>
      </c>
      <c r="H128" s="38" t="str">
        <v>Техкарта; оборудование; мощность; сервис</v>
      </c>
      <c r="I128" s="38" t="str">
        <v>EVD-0010;EVD-0011</v>
      </c>
      <c r="J128" s="38" t="str">
        <v>GAP-007;GAP-008</v>
      </c>
      <c r="K128" s="38" t="str">
        <v>2026-08-03</v>
      </c>
      <c r="L128" s="38" t="str">
        <v>Owner/Chef Gate</v>
      </c>
      <c r="M128" s="38"/>
      <c r="N128" s="39"/>
    </row>
    <row r="129">
      <c r="A129" s="37" t="str">
        <v>CQ-0125</v>
      </c>
      <c r="B129" s="38" t="str">
        <v>VKM-025</v>
      </c>
      <c r="C129" s="38" t="str">
        <v>Горячие овощи</v>
      </c>
      <c r="D129" s="38" t="str">
        <v>SEMI_FINISHED</v>
      </c>
      <c r="E129" s="38" t="str">
        <v>Подтвердить выделение, код и размер партии связанных полуфабрикатов; указать общие полуфабрикаты.</v>
      </c>
      <c r="F129" s="38" t="str">
        <v>OPEN</v>
      </c>
      <c r="G129" s="38" t="str">
        <v>Chef</v>
      </c>
      <c r="H129" s="38" t="str">
        <v>DAG; двойной учёт; себестоимость; планирование</v>
      </c>
      <c r="I129" s="38" t="str">
        <v>EVD-0009</v>
      </c>
      <c r="J129" s="38" t="str">
        <v>GAP-006</v>
      </c>
      <c r="K129" s="38" t="str">
        <v>2026-08-03</v>
      </c>
      <c r="L129" s="38" t="str">
        <v>Owner/Chef Gate</v>
      </c>
      <c r="M129" s="38"/>
      <c r="N129" s="39"/>
    </row>
    <row r="130">
      <c r="A130" s="37" t="str">
        <v>CQ-0126</v>
      </c>
      <c r="B130" s="38" t="str">
        <v>VKM-025</v>
      </c>
      <c r="C130" s="38" t="str">
        <v>Горячие овощи</v>
      </c>
      <c r="D130" s="38" t="str">
        <v>PROCESS_FLOW_FOR_SAFETY</v>
      </c>
      <c r="E130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30" s="38" t="str">
        <v>OPEN</v>
      </c>
      <c r="G130" s="38" t="str">
        <v>Chef</v>
      </c>
      <c r="H130" s="38" t="str">
        <v>Safety veto; ППК/HACCP; маркировка и прослеживаемость</v>
      </c>
      <c r="I130" s="38" t="str">
        <v>EVD-0013;EVD-0014;EVD-FS-001;EVD-FS-003</v>
      </c>
      <c r="J130" s="38" t="str">
        <v>GAP-010;GAP-011</v>
      </c>
      <c r="K130" s="38" t="str">
        <v>2026-08-03</v>
      </c>
      <c r="L130" s="38" t="str">
        <v>Owner/Chef Gate</v>
      </c>
      <c r="M130" s="38"/>
      <c r="N130" s="39"/>
    </row>
    <row r="131">
      <c r="A131" s="37" t="str">
        <v>CQ-0127</v>
      </c>
      <c r="B131" s="38" t="str">
        <v>VKM-029</v>
      </c>
      <c r="C131" s="38" t="str">
        <v>Черничный торт VARSHAVKA</v>
      </c>
      <c r="D131" s="38" t="str">
        <v>RECIPE</v>
      </c>
      <c r="E131" s="38" t="str">
        <v>Подтвердить или скорректировать построчный состав и проектные нормы брутто/нетто.</v>
      </c>
      <c r="F131" s="38" t="str">
        <v>OPEN</v>
      </c>
      <c r="G131" s="38" t="str">
        <v>Chef</v>
      </c>
      <c r="H131" s="38" t="str">
        <v>Себестоимость; пищценность; аллергены; закупка</v>
      </c>
      <c r="I131" s="38" t="str">
        <v>EVD-0007</v>
      </c>
      <c r="J131" s="38" t="str">
        <v>GAP-004</v>
      </c>
      <c r="K131" s="38" t="str">
        <v>2026-08-03</v>
      </c>
      <c r="L131" s="38" t="str">
        <v>Owner/Chef Gate</v>
      </c>
      <c r="M131" s="38"/>
      <c r="N131" s="39"/>
    </row>
    <row r="132">
      <c r="A132" s="37" t="str">
        <v>CQ-0128</v>
      </c>
      <c r="B132" s="38" t="str">
        <v>VKM-029</v>
      </c>
      <c r="C132" s="38" t="str">
        <v>Черничный торт VARSHAVKA</v>
      </c>
      <c r="D132" s="38" t="str">
        <v>YIELD</v>
      </c>
      <c r="E132" s="38" t="str">
        <v>Подтвердить целевой выход и способ учёта подготовительных/тепловых потерь контрольным взвешиванием.</v>
      </c>
      <c r="F132" s="38" t="str">
        <v>OPEN</v>
      </c>
      <c r="G132" s="38" t="str">
        <v>Chef</v>
      </c>
      <c r="H132" s="38" t="str">
        <v>Mass balance; себестоимость; порционирование</v>
      </c>
      <c r="I132" s="38" t="str">
        <v>EVD-0005;EVD-0008</v>
      </c>
      <c r="J132" s="38" t="str">
        <v>GAP-002;GAP-005</v>
      </c>
      <c r="K132" s="38" t="str">
        <v>2026-08-03</v>
      </c>
      <c r="L132" s="38" t="str">
        <v>Owner/Chef Gate</v>
      </c>
      <c r="M132" s="38"/>
      <c r="N132" s="39"/>
    </row>
    <row r="133">
      <c r="A133" s="37" t="str">
        <v>CQ-0129</v>
      </c>
      <c r="B133" s="38" t="str">
        <v>VKM-029</v>
      </c>
      <c r="C133" s="38" t="str">
        <v>Черничный торт VARSHAVKA</v>
      </c>
      <c r="D133" s="38" t="str">
        <v>PROCESS</v>
      </c>
      <c r="E133" s="38" t="str">
        <v>Подтвердить последовательность операций, фактическое активное/полное время и проект подачи.</v>
      </c>
      <c r="F133" s="38" t="str">
        <v>OPEN</v>
      </c>
      <c r="G133" s="38" t="str">
        <v>Chef</v>
      </c>
      <c r="H133" s="38" t="str">
        <v>Техкарта; оборудование; мощность; сервис</v>
      </c>
      <c r="I133" s="38" t="str">
        <v>EVD-0010;EVD-0011</v>
      </c>
      <c r="J133" s="38" t="str">
        <v>GAP-007;GAP-008</v>
      </c>
      <c r="K133" s="38" t="str">
        <v>2026-08-03</v>
      </c>
      <c r="L133" s="38" t="str">
        <v>Owner/Chef Gate</v>
      </c>
      <c r="M133" s="38"/>
      <c r="N133" s="39"/>
    </row>
    <row r="134">
      <c r="A134" s="37" t="str">
        <v>CQ-0130</v>
      </c>
      <c r="B134" s="38" t="str">
        <v>VKM-029</v>
      </c>
      <c r="C134" s="38" t="str">
        <v>Черничный торт VARSHAVKA</v>
      </c>
      <c r="D134" s="38" t="str">
        <v>SEMI_FINISHED</v>
      </c>
      <c r="E134" s="38" t="str">
        <v>Подтвердить выделение, код и размер партии связанных полуфабрикатов; указать общие полуфабрикаты.</v>
      </c>
      <c r="F134" s="38" t="str">
        <v>OPEN</v>
      </c>
      <c r="G134" s="38" t="str">
        <v>Chef</v>
      </c>
      <c r="H134" s="38" t="str">
        <v>DAG; двойной учёт; себестоимость; планирование</v>
      </c>
      <c r="I134" s="38" t="str">
        <v>EVD-0009</v>
      </c>
      <c r="J134" s="38" t="str">
        <v>GAP-006</v>
      </c>
      <c r="K134" s="38" t="str">
        <v>2026-08-03</v>
      </c>
      <c r="L134" s="38" t="str">
        <v>Owner/Chef Gate</v>
      </c>
      <c r="M134" s="38"/>
      <c r="N134" s="39"/>
    </row>
    <row r="135">
      <c r="A135" s="37" t="str">
        <v>CQ-0131</v>
      </c>
      <c r="B135" s="38" t="str">
        <v>VKM-029</v>
      </c>
      <c r="C135" s="38" t="str">
        <v>Черничный торт VARSHAVKA</v>
      </c>
      <c r="D135" s="38" t="str">
        <v>PROCESS_FLOW_FOR_SAFETY</v>
      </c>
      <c r="E135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35" s="38" t="str">
        <v>OPEN</v>
      </c>
      <c r="G135" s="38" t="str">
        <v>Chef</v>
      </c>
      <c r="H135" s="38" t="str">
        <v>Safety veto; ППК/HACCP; маркировка и прослеживаемость</v>
      </c>
      <c r="I135" s="38" t="str">
        <v>EVD-0013;EVD-0014;EVD-FS-001;EVD-FS-003</v>
      </c>
      <c r="J135" s="38" t="str">
        <v>GAP-010;GAP-011</v>
      </c>
      <c r="K135" s="38" t="str">
        <v>2026-08-03</v>
      </c>
      <c r="L135" s="38" t="str">
        <v>Owner/Chef Gate</v>
      </c>
      <c r="M135" s="38"/>
      <c r="N135" s="39"/>
    </row>
    <row r="136">
      <c r="A136" s="37" t="str">
        <v>CQ-0132</v>
      </c>
      <c r="B136" s="38" t="str">
        <v>VKM-029</v>
      </c>
      <c r="C136" s="38" t="str">
        <v>Черничный торт VARSHAVKA</v>
      </c>
      <c r="D136" s="38" t="str">
        <v>BATCH</v>
      </c>
      <c r="E136" s="38" t="str">
        <v>Подтвердить размер партии, число изделий/порций, массу до и после стабилизации и правила допустимого отклонения.</v>
      </c>
      <c r="F136" s="38" t="str">
        <v>OPEN</v>
      </c>
      <c r="G136" s="38" t="str">
        <v>Chef</v>
      </c>
      <c r="H136" s="38" t="str">
        <v>Mass balance; порционирование; capacity</v>
      </c>
      <c r="I136" s="38" t="str">
        <v>EVD-0005;EVD-0008</v>
      </c>
      <c r="J136" s="38" t="str">
        <v>GAP-002;GAP-005</v>
      </c>
      <c r="K136" s="38" t="str">
        <v>2026-08-03</v>
      </c>
      <c r="L136" s="38" t="str">
        <v>Owner/Chef Gate</v>
      </c>
      <c r="M136" s="38"/>
      <c r="N136" s="39"/>
    </row>
    <row r="137">
      <c r="A137" s="37" t="str">
        <v>CQ-0133</v>
      </c>
      <c r="B137" s="38" t="str">
        <v>VKM-030</v>
      </c>
      <c r="C137" s="38" t="str">
        <v>Кростата с солёной карамелью</v>
      </c>
      <c r="D137" s="38" t="str">
        <v>RECIPE</v>
      </c>
      <c r="E137" s="38" t="str">
        <v>Подтвердить или скорректировать построчный состав и проектные нормы брутто/нетто.</v>
      </c>
      <c r="F137" s="38" t="str">
        <v>OPEN</v>
      </c>
      <c r="G137" s="38" t="str">
        <v>Chef</v>
      </c>
      <c r="H137" s="38" t="str">
        <v>Себестоимость; пищценность; аллергены; закупка</v>
      </c>
      <c r="I137" s="38" t="str">
        <v>EVD-0007</v>
      </c>
      <c r="J137" s="38" t="str">
        <v>GAP-004</v>
      </c>
      <c r="K137" s="38" t="str">
        <v>2026-08-03</v>
      </c>
      <c r="L137" s="38" t="str">
        <v>Owner/Chef Gate</v>
      </c>
      <c r="M137" s="38"/>
      <c r="N137" s="39"/>
    </row>
    <row r="138">
      <c r="A138" s="37" t="str">
        <v>CQ-0134</v>
      </c>
      <c r="B138" s="38" t="str">
        <v>VKM-030</v>
      </c>
      <c r="C138" s="38" t="str">
        <v>Кростата с солёной карамелью</v>
      </c>
      <c r="D138" s="38" t="str">
        <v>YIELD</v>
      </c>
      <c r="E138" s="38" t="str">
        <v>Подтвердить целевой выход и способ учёта подготовительных/тепловых потерь контрольным взвешиванием.</v>
      </c>
      <c r="F138" s="38" t="str">
        <v>OPEN</v>
      </c>
      <c r="G138" s="38" t="str">
        <v>Chef</v>
      </c>
      <c r="H138" s="38" t="str">
        <v>Mass balance; себестоимость; порционирование</v>
      </c>
      <c r="I138" s="38" t="str">
        <v>EVD-0005;EVD-0008</v>
      </c>
      <c r="J138" s="38" t="str">
        <v>GAP-002;GAP-005</v>
      </c>
      <c r="K138" s="38" t="str">
        <v>2026-08-03</v>
      </c>
      <c r="L138" s="38" t="str">
        <v>Owner/Chef Gate</v>
      </c>
      <c r="M138" s="38"/>
      <c r="N138" s="39"/>
    </row>
    <row r="139">
      <c r="A139" s="37" t="str">
        <v>CQ-0135</v>
      </c>
      <c r="B139" s="38" t="str">
        <v>VKM-030</v>
      </c>
      <c r="C139" s="38" t="str">
        <v>Кростата с солёной карамелью</v>
      </c>
      <c r="D139" s="38" t="str">
        <v>PROCESS</v>
      </c>
      <c r="E139" s="38" t="str">
        <v>Подтвердить последовательность операций, фактическое активное/полное время и проект подачи.</v>
      </c>
      <c r="F139" s="38" t="str">
        <v>OPEN</v>
      </c>
      <c r="G139" s="38" t="str">
        <v>Chef</v>
      </c>
      <c r="H139" s="38" t="str">
        <v>Техкарта; оборудование; мощность; сервис</v>
      </c>
      <c r="I139" s="38" t="str">
        <v>EVD-0010;EVD-0011</v>
      </c>
      <c r="J139" s="38" t="str">
        <v>GAP-007;GAP-008</v>
      </c>
      <c r="K139" s="38" t="str">
        <v>2026-08-03</v>
      </c>
      <c r="L139" s="38" t="str">
        <v>Owner/Chef Gate</v>
      </c>
      <c r="M139" s="38"/>
      <c r="N139" s="39"/>
    </row>
    <row r="140">
      <c r="A140" s="37" t="str">
        <v>CQ-0136</v>
      </c>
      <c r="B140" s="38" t="str">
        <v>VKM-030</v>
      </c>
      <c r="C140" s="38" t="str">
        <v>Кростата с солёной карамелью</v>
      </c>
      <c r="D140" s="38" t="str">
        <v>SEMI_FINISHED</v>
      </c>
      <c r="E140" s="38" t="str">
        <v>Подтвердить выделение, код и размер партии связанных полуфабрикатов; указать общие полуфабрикаты.</v>
      </c>
      <c r="F140" s="38" t="str">
        <v>OPEN</v>
      </c>
      <c r="G140" s="38" t="str">
        <v>Chef</v>
      </c>
      <c r="H140" s="38" t="str">
        <v>DAG; двойной учёт; себестоимость; планирование</v>
      </c>
      <c r="I140" s="38" t="str">
        <v>EVD-0009</v>
      </c>
      <c r="J140" s="38" t="str">
        <v>GAP-006</v>
      </c>
      <c r="K140" s="38" t="str">
        <v>2026-08-03</v>
      </c>
      <c r="L140" s="38" t="str">
        <v>Owner/Chef Gate</v>
      </c>
      <c r="M140" s="38"/>
      <c r="N140" s="39"/>
    </row>
    <row r="141">
      <c r="A141" s="37" t="str">
        <v>CQ-0137</v>
      </c>
      <c r="B141" s="38" t="str">
        <v>VKM-030</v>
      </c>
      <c r="C141" s="38" t="str">
        <v>Кростата с солёной карамелью</v>
      </c>
      <c r="D141" s="38" t="str">
        <v>PROCESS_FLOW_FOR_SAFETY</v>
      </c>
      <c r="E141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41" s="38" t="str">
        <v>OPEN</v>
      </c>
      <c r="G141" s="38" t="str">
        <v>Chef</v>
      </c>
      <c r="H141" s="38" t="str">
        <v>Safety veto; ППК/HACCP; маркировка и прослеживаемость</v>
      </c>
      <c r="I141" s="38" t="str">
        <v>EVD-0013;EVD-0014;EVD-FS-001;EVD-FS-003</v>
      </c>
      <c r="J141" s="38" t="str">
        <v>GAP-010;GAP-011</v>
      </c>
      <c r="K141" s="38" t="str">
        <v>2026-08-03</v>
      </c>
      <c r="L141" s="38" t="str">
        <v>Owner/Chef Gate</v>
      </c>
      <c r="M141" s="38"/>
      <c r="N141" s="39"/>
    </row>
    <row r="142">
      <c r="A142" s="37" t="str">
        <v>CQ-0138</v>
      </c>
      <c r="B142" s="38" t="str">
        <v>VKM-030</v>
      </c>
      <c r="C142" s="38" t="str">
        <v>Кростата с солёной карамелью</v>
      </c>
      <c r="D142" s="38" t="str">
        <v>BATCH</v>
      </c>
      <c r="E142" s="38" t="str">
        <v>Подтвердить размер партии, число изделий/порций, массу до и после стабилизации и правила допустимого отклонения.</v>
      </c>
      <c r="F142" s="38" t="str">
        <v>OPEN</v>
      </c>
      <c r="G142" s="38" t="str">
        <v>Chef</v>
      </c>
      <c r="H142" s="38" t="str">
        <v>Mass balance; порционирование; capacity</v>
      </c>
      <c r="I142" s="38" t="str">
        <v>EVD-0005;EVD-0008</v>
      </c>
      <c r="J142" s="38" t="str">
        <v>GAP-002;GAP-005</v>
      </c>
      <c r="K142" s="38" t="str">
        <v>2026-08-03</v>
      </c>
      <c r="L142" s="38" t="str">
        <v>Owner/Chef Gate</v>
      </c>
      <c r="M142" s="38"/>
      <c r="N142" s="39"/>
    </row>
    <row r="143">
      <c r="A143" s="37" t="str">
        <v>CQ-0139</v>
      </c>
      <c r="B143" s="38" t="str">
        <v>VKM-031</v>
      </c>
      <c r="C143" s="38" t="str">
        <v>Мадлен</v>
      </c>
      <c r="D143" s="38" t="str">
        <v>RECIPE</v>
      </c>
      <c r="E143" s="38" t="str">
        <v>Подтвердить или скорректировать построчный состав и проектные нормы брутто/нетто.</v>
      </c>
      <c r="F143" s="38" t="str">
        <v>OPEN</v>
      </c>
      <c r="G143" s="38" t="str">
        <v>Chef</v>
      </c>
      <c r="H143" s="38" t="str">
        <v>Себестоимость; пищценность; аллергены; закупка</v>
      </c>
      <c r="I143" s="38" t="str">
        <v>EVD-0007</v>
      </c>
      <c r="J143" s="38" t="str">
        <v>GAP-004</v>
      </c>
      <c r="K143" s="38" t="str">
        <v>2026-08-03</v>
      </c>
      <c r="L143" s="38" t="str">
        <v>Owner/Chef Gate</v>
      </c>
      <c r="M143" s="38"/>
      <c r="N143" s="39"/>
    </row>
    <row r="144">
      <c r="A144" s="37" t="str">
        <v>CQ-0140</v>
      </c>
      <c r="B144" s="38" t="str">
        <v>VKM-031</v>
      </c>
      <c r="C144" s="38" t="str">
        <v>Мадлен</v>
      </c>
      <c r="D144" s="38" t="str">
        <v>YIELD</v>
      </c>
      <c r="E144" s="38" t="str">
        <v>Подтвердить целевой выход и способ учёта подготовительных/тепловых потерь контрольным взвешиванием.</v>
      </c>
      <c r="F144" s="38" t="str">
        <v>OPEN</v>
      </c>
      <c r="G144" s="38" t="str">
        <v>Chef</v>
      </c>
      <c r="H144" s="38" t="str">
        <v>Mass balance; себестоимость; порционирование</v>
      </c>
      <c r="I144" s="38" t="str">
        <v>EVD-0005;EVD-0008</v>
      </c>
      <c r="J144" s="38" t="str">
        <v>GAP-002;GAP-005</v>
      </c>
      <c r="K144" s="38" t="str">
        <v>2026-08-03</v>
      </c>
      <c r="L144" s="38" t="str">
        <v>Owner/Chef Gate</v>
      </c>
      <c r="M144" s="38"/>
      <c r="N144" s="39"/>
    </row>
    <row r="145">
      <c r="A145" s="37" t="str">
        <v>CQ-0141</v>
      </c>
      <c r="B145" s="38" t="str">
        <v>VKM-031</v>
      </c>
      <c r="C145" s="38" t="str">
        <v>Мадлен</v>
      </c>
      <c r="D145" s="38" t="str">
        <v>PROCESS</v>
      </c>
      <c r="E145" s="38" t="str">
        <v>Подтвердить последовательность операций, фактическое активное/полное время и проект подачи.</v>
      </c>
      <c r="F145" s="38" t="str">
        <v>OPEN</v>
      </c>
      <c r="G145" s="38" t="str">
        <v>Chef</v>
      </c>
      <c r="H145" s="38" t="str">
        <v>Техкарта; оборудование; мощность; сервис</v>
      </c>
      <c r="I145" s="38" t="str">
        <v>EVD-0010;EVD-0011</v>
      </c>
      <c r="J145" s="38" t="str">
        <v>GAP-007;GAP-008</v>
      </c>
      <c r="K145" s="38" t="str">
        <v>2026-08-03</v>
      </c>
      <c r="L145" s="38" t="str">
        <v>Owner/Chef Gate</v>
      </c>
      <c r="M145" s="38"/>
      <c r="N145" s="39"/>
    </row>
    <row r="146">
      <c r="A146" s="37" t="str">
        <v>CQ-0142</v>
      </c>
      <c r="B146" s="38" t="str">
        <v>VKM-031</v>
      </c>
      <c r="C146" s="38" t="str">
        <v>Мадлен</v>
      </c>
      <c r="D146" s="38" t="str">
        <v>SEMI_FINISHED</v>
      </c>
      <c r="E146" s="38" t="str">
        <v>Подтвердить выделение, код и размер партии связанных полуфабрикатов; указать общие полуфабрикаты.</v>
      </c>
      <c r="F146" s="38" t="str">
        <v>OPEN</v>
      </c>
      <c r="G146" s="38" t="str">
        <v>Chef</v>
      </c>
      <c r="H146" s="38" t="str">
        <v>DAG; двойной учёт; себестоимость; планирование</v>
      </c>
      <c r="I146" s="38" t="str">
        <v>EVD-0009</v>
      </c>
      <c r="J146" s="38" t="str">
        <v>GAP-006</v>
      </c>
      <c r="K146" s="38" t="str">
        <v>2026-08-03</v>
      </c>
      <c r="L146" s="38" t="str">
        <v>Owner/Chef Gate</v>
      </c>
      <c r="M146" s="38"/>
      <c r="N146" s="39"/>
    </row>
    <row r="147">
      <c r="A147" s="37" t="str">
        <v>CQ-0143</v>
      </c>
      <c r="B147" s="38" t="str">
        <v>VKM-031</v>
      </c>
      <c r="C147" s="38" t="str">
        <v>Мадлен</v>
      </c>
      <c r="D147" s="38" t="str">
        <v>PROCESS_FLOW_FOR_SAFETY</v>
      </c>
      <c r="E147" s="38" t="str">
        <v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v>
      </c>
      <c r="F147" s="38" t="str">
        <v>OPEN</v>
      </c>
      <c r="G147" s="38" t="str">
        <v>Chef</v>
      </c>
      <c r="H147" s="38" t="str">
        <v>Safety veto; ППК/HACCP; маркировка и прослеживаемость</v>
      </c>
      <c r="I147" s="38" t="str">
        <v>EVD-0013;EVD-0014;EVD-FS-001;EVD-FS-003</v>
      </c>
      <c r="J147" s="38" t="str">
        <v>GAP-010;GAP-011</v>
      </c>
      <c r="K147" s="38" t="str">
        <v>2026-08-03</v>
      </c>
      <c r="L147" s="38" t="str">
        <v>Owner/Chef Gate</v>
      </c>
      <c r="M147" s="38"/>
      <c r="N147" s="39"/>
    </row>
    <row r="148">
      <c r="A148" s="37" t="str">
        <v>CQ-0144</v>
      </c>
      <c r="B148" s="38" t="str">
        <v>VKM-031</v>
      </c>
      <c r="C148" s="38" t="str">
        <v>Мадлен</v>
      </c>
      <c r="D148" s="38" t="str">
        <v>BATCH</v>
      </c>
      <c r="E148" s="38" t="str">
        <v>Подтвердить размер партии, число изделий/порций, массу до и после стабилизации и правила допустимого отклонения.</v>
      </c>
      <c r="F148" s="38" t="str">
        <v>OPEN</v>
      </c>
      <c r="G148" s="38" t="str">
        <v>Chef</v>
      </c>
      <c r="H148" s="38" t="str">
        <v>Mass balance; порционирование; capacity</v>
      </c>
      <c r="I148" s="38" t="str">
        <v>EVD-0005;EVD-0008</v>
      </c>
      <c r="J148" s="38" t="str">
        <v>GAP-002;GAP-005</v>
      </c>
      <c r="K148" s="38" t="str">
        <v>2026-08-03</v>
      </c>
      <c r="L148" s="38" t="str">
        <v>Owner/Chef Gate</v>
      </c>
      <c r="M148" s="38"/>
      <c r="N148" s="39"/>
    </row>
    <row r="149">
      <c r="A149" s="37" t="str">
        <v>CQ-BF-026-01</v>
      </c>
      <c r="B149" s="38" t="str">
        <v>VKM-026</v>
      </c>
      <c r="C149" s="38" t="str">
        <v>Яичница, круассан и сыр двух видов</v>
      </c>
      <c r="D149" s="38" t="str">
        <v>SAFETY</v>
      </c>
      <c r="E149" s="38" t="str">
        <v>Подтвердить safety route only after evidence</v>
      </c>
      <c r="F149" s="38" t="str">
        <v>OPEN</v>
      </c>
      <c r="G149" s="38" t="str">
        <v>Chef / Owner</v>
      </c>
      <c r="H149" s="38" t="str">
        <v>P0; recipe; costing; safety</v>
      </c>
      <c r="I149" s="38"/>
      <c r="J149" s="38" t="str">
        <v>CHEF_DECISION;CONTROL_COOK;SUPPLIER_DOCS</v>
      </c>
      <c r="K149" s="38" t="str">
        <v>2026-08-04</v>
      </c>
      <c r="L149" s="38" t="str">
        <v>Owner/Chef Gate</v>
      </c>
      <c r="M149" s="38"/>
      <c r="N149" s="39"/>
    </row>
    <row r="150">
      <c r="A150" s="37" t="str">
        <v>CQ-BF-026-02</v>
      </c>
      <c r="B150" s="38" t="str">
        <v>VKM-026</v>
      </c>
      <c r="C150" s="38" t="str">
        <v>Яичница, круассан и сыр двух видов</v>
      </c>
      <c r="D150" s="38" t="str">
        <v>RECIPE</v>
      </c>
      <c r="E150" s="38" t="str">
        <v>Подтвердить построчный состав и нормы</v>
      </c>
      <c r="F150" s="38" t="str">
        <v>OPEN</v>
      </c>
      <c r="G150" s="38" t="str">
        <v>Chef / Owner</v>
      </c>
      <c r="H150" s="38" t="str">
        <v>P1; recipe; costing; safety</v>
      </c>
      <c r="I150" s="38"/>
      <c r="J150" s="38" t="str">
        <v>CHEF_DECISION;CONTROL_COOK;SUPPLIER_DOCS</v>
      </c>
      <c r="K150" s="38" t="str">
        <v>2026-08-04</v>
      </c>
      <c r="L150" s="38" t="str">
        <v>Owner/Chef Gate</v>
      </c>
      <c r="M150" s="38"/>
      <c r="N150" s="39"/>
    </row>
    <row r="151">
      <c r="A151" s="37" t="str">
        <v>CQ-BF-026-03</v>
      </c>
      <c r="B151" s="38" t="str">
        <v>VKM-026</v>
      </c>
      <c r="C151" s="38" t="str">
        <v>Яичница, круассан и сыр двух видов</v>
      </c>
      <c r="D151" s="38" t="str">
        <v>OUTPUT</v>
      </c>
      <c r="E151" s="38" t="str">
        <v>Подтвердить фактический выход контрольной серией</v>
      </c>
      <c r="F151" s="38" t="str">
        <v>OPEN</v>
      </c>
      <c r="G151" s="38" t="str">
        <v>Chef / Owner</v>
      </c>
      <c r="H151" s="38" t="str">
        <v>P1; recipe; costing; safety</v>
      </c>
      <c r="I151" s="38"/>
      <c r="J151" s="38" t="str">
        <v>CHEF_DECISION;CONTROL_COOK;SUPPLIER_DOCS</v>
      </c>
      <c r="K151" s="38" t="str">
        <v>2026-08-04</v>
      </c>
      <c r="L151" s="38" t="str">
        <v>Owner/Chef Gate</v>
      </c>
      <c r="M151" s="38"/>
      <c r="N151" s="39"/>
    </row>
    <row r="152">
      <c r="A152" s="37" t="str">
        <v>CQ-BF-026-04</v>
      </c>
      <c r="B152" s="38" t="str">
        <v>VKM-026</v>
      </c>
      <c r="C152" s="38" t="str">
        <v>Яичница, круассан и сыр двух видов</v>
      </c>
      <c r="D152" s="38" t="str">
        <v>SUPPLIER</v>
      </c>
      <c r="E152" s="38" t="str">
        <v>Выбрать SKU и получить документы</v>
      </c>
      <c r="F152" s="38" t="str">
        <v>OPEN</v>
      </c>
      <c r="G152" s="38" t="str">
        <v>Chef / Owner</v>
      </c>
      <c r="H152" s="38" t="str">
        <v>P0; recipe; costing; safety</v>
      </c>
      <c r="I152" s="38"/>
      <c r="J152" s="38" t="str">
        <v>CHEF_DECISION;CONTROL_COOK;SUPPLIER_DOCS</v>
      </c>
      <c r="K152" s="38" t="str">
        <v>2026-08-04</v>
      </c>
      <c r="L152" s="38" t="str">
        <v>Owner/Chef Gate</v>
      </c>
      <c r="M152" s="38"/>
      <c r="N152" s="39"/>
    </row>
    <row r="153">
      <c r="A153" s="37" t="str">
        <v>CQ-BF-027-01</v>
      </c>
      <c r="B153" s="38" t="str">
        <v>VKM-027</v>
      </c>
      <c r="C153" s="38" t="str">
        <v>Омлет, круассан и сыр двух видов</v>
      </c>
      <c r="D153" s="38" t="str">
        <v>SAFETY</v>
      </c>
      <c r="E153" s="38" t="str">
        <v>Подтвердить safety route only after evidence</v>
      </c>
      <c r="F153" s="38" t="str">
        <v>OPEN</v>
      </c>
      <c r="G153" s="38" t="str">
        <v>Chef / Owner</v>
      </c>
      <c r="H153" s="38" t="str">
        <v>P0; recipe; costing; safety</v>
      </c>
      <c r="I153" s="38"/>
      <c r="J153" s="38" t="str">
        <v>CHEF_DECISION;CONTROL_COOK;SUPPLIER_DOCS</v>
      </c>
      <c r="K153" s="38" t="str">
        <v>2026-08-04</v>
      </c>
      <c r="L153" s="38" t="str">
        <v>Owner/Chef Gate</v>
      </c>
      <c r="M153" s="38"/>
      <c r="N153" s="39"/>
    </row>
    <row r="154">
      <c r="A154" s="37" t="str">
        <v>CQ-BF-027-02</v>
      </c>
      <c r="B154" s="38" t="str">
        <v>VKM-027</v>
      </c>
      <c r="C154" s="38" t="str">
        <v>Омлет, круассан и сыр двух видов</v>
      </c>
      <c r="D154" s="38" t="str">
        <v>RECIPE</v>
      </c>
      <c r="E154" s="38" t="str">
        <v>Подтвердить построчный состав и нормы</v>
      </c>
      <c r="F154" s="38" t="str">
        <v>OPEN</v>
      </c>
      <c r="G154" s="38" t="str">
        <v>Chef / Owner</v>
      </c>
      <c r="H154" s="38" t="str">
        <v>P1; recipe; costing; safety</v>
      </c>
      <c r="I154" s="38"/>
      <c r="J154" s="38" t="str">
        <v>CHEF_DECISION;CONTROL_COOK;SUPPLIER_DOCS</v>
      </c>
      <c r="K154" s="38" t="str">
        <v>2026-08-04</v>
      </c>
      <c r="L154" s="38" t="str">
        <v>Owner/Chef Gate</v>
      </c>
      <c r="M154" s="38"/>
      <c r="N154" s="39"/>
    </row>
    <row r="155">
      <c r="A155" s="37" t="str">
        <v>CQ-BF-027-03</v>
      </c>
      <c r="B155" s="38" t="str">
        <v>VKM-027</v>
      </c>
      <c r="C155" s="38" t="str">
        <v>Омлет, круассан и сыр двух видов</v>
      </c>
      <c r="D155" s="38" t="str">
        <v>OUTPUT</v>
      </c>
      <c r="E155" s="38" t="str">
        <v>Подтвердить фактический выход контрольной серией</v>
      </c>
      <c r="F155" s="38" t="str">
        <v>OPEN</v>
      </c>
      <c r="G155" s="38" t="str">
        <v>Chef / Owner</v>
      </c>
      <c r="H155" s="38" t="str">
        <v>P1; recipe; costing; safety</v>
      </c>
      <c r="I155" s="38"/>
      <c r="J155" s="38" t="str">
        <v>CHEF_DECISION;CONTROL_COOK;SUPPLIER_DOCS</v>
      </c>
      <c r="K155" s="38" t="str">
        <v>2026-08-04</v>
      </c>
      <c r="L155" s="38" t="str">
        <v>Owner/Chef Gate</v>
      </c>
      <c r="M155" s="38"/>
      <c r="N155" s="39"/>
    </row>
    <row r="156">
      <c r="A156" s="37" t="str">
        <v>CQ-BF-027-04</v>
      </c>
      <c r="B156" s="38" t="str">
        <v>VKM-027</v>
      </c>
      <c r="C156" s="38" t="str">
        <v>Омлет, круассан и сыр двух видов</v>
      </c>
      <c r="D156" s="38" t="str">
        <v>SUPPLIER</v>
      </c>
      <c r="E156" s="38" t="str">
        <v>Выбрать SKU и получить документы</v>
      </c>
      <c r="F156" s="38" t="str">
        <v>OPEN</v>
      </c>
      <c r="G156" s="38" t="str">
        <v>Chef / Owner</v>
      </c>
      <c r="H156" s="38" t="str">
        <v>P0; recipe; costing; safety</v>
      </c>
      <c r="I156" s="38"/>
      <c r="J156" s="38" t="str">
        <v>CHEF_DECISION;CONTROL_COOK;SUPPLIER_DOCS</v>
      </c>
      <c r="K156" s="38" t="str">
        <v>2026-08-04</v>
      </c>
      <c r="L156" s="38" t="str">
        <v>Owner/Chef Gate</v>
      </c>
      <c r="M156" s="38"/>
      <c r="N156" s="39"/>
    </row>
    <row r="157">
      <c r="A157" s="37" t="str">
        <v>CQ-BF-028-01</v>
      </c>
      <c r="B157" s="38" t="str">
        <v>VKM-028</v>
      </c>
      <c r="C157" s="38" t="str">
        <v>Овсяная каша, круассан и сыр двух видов</v>
      </c>
      <c r="D157" s="38" t="str">
        <v>SAFETY</v>
      </c>
      <c r="E157" s="38" t="str">
        <v>Подтвердить safety route only after evidence</v>
      </c>
      <c r="F157" s="38" t="str">
        <v>OPEN</v>
      </c>
      <c r="G157" s="38" t="str">
        <v>Chef / Owner</v>
      </c>
      <c r="H157" s="38" t="str">
        <v>P0; recipe; costing; safety</v>
      </c>
      <c r="I157" s="38"/>
      <c r="J157" s="38" t="str">
        <v>CHEF_DECISION;CONTROL_COOK;SUPPLIER_DOCS</v>
      </c>
      <c r="K157" s="38" t="str">
        <v>2026-08-04</v>
      </c>
      <c r="L157" s="38" t="str">
        <v>Owner/Chef Gate</v>
      </c>
      <c r="M157" s="38"/>
      <c r="N157" s="39"/>
    </row>
    <row r="158">
      <c r="A158" s="37" t="str">
        <v>CQ-BF-028-02</v>
      </c>
      <c r="B158" s="38" t="str">
        <v>VKM-028</v>
      </c>
      <c r="C158" s="38" t="str">
        <v>Овсяная каша, круассан и сыр двух видов</v>
      </c>
      <c r="D158" s="38" t="str">
        <v>RECIPE</v>
      </c>
      <c r="E158" s="38" t="str">
        <v>Подтвердить построчный состав и нормы</v>
      </c>
      <c r="F158" s="38" t="str">
        <v>OPEN</v>
      </c>
      <c r="G158" s="38" t="str">
        <v>Chef / Owner</v>
      </c>
      <c r="H158" s="38" t="str">
        <v>P1; recipe; costing; safety</v>
      </c>
      <c r="I158" s="38"/>
      <c r="J158" s="38" t="str">
        <v>CHEF_DECISION;CONTROL_COOK;SUPPLIER_DOCS</v>
      </c>
      <c r="K158" s="38" t="str">
        <v>2026-08-04</v>
      </c>
      <c r="L158" s="38" t="str">
        <v>Owner/Chef Gate</v>
      </c>
      <c r="M158" s="38"/>
      <c r="N158" s="39"/>
    </row>
    <row r="159">
      <c r="A159" s="37" t="str">
        <v>CQ-BF-028-03</v>
      </c>
      <c r="B159" s="38" t="str">
        <v>VKM-028</v>
      </c>
      <c r="C159" s="38" t="str">
        <v>Овсяная каша, круассан и сыр двух видов</v>
      </c>
      <c r="D159" s="38" t="str">
        <v>OUTPUT</v>
      </c>
      <c r="E159" s="38" t="str">
        <v>Подтвердить фактический выход контрольной серией</v>
      </c>
      <c r="F159" s="38" t="str">
        <v>OPEN</v>
      </c>
      <c r="G159" s="38" t="str">
        <v>Chef / Owner</v>
      </c>
      <c r="H159" s="38" t="str">
        <v>P1; recipe; costing; safety</v>
      </c>
      <c r="I159" s="38"/>
      <c r="J159" s="38" t="str">
        <v>CHEF_DECISION;CONTROL_COOK;SUPPLIER_DOCS</v>
      </c>
      <c r="K159" s="38" t="str">
        <v>2026-08-04</v>
      </c>
      <c r="L159" s="38" t="str">
        <v>Owner/Chef Gate</v>
      </c>
      <c r="M159" s="38"/>
      <c r="N159" s="39"/>
    </row>
    <row r="160">
      <c r="A160" s="40" t="str">
        <v>CQ-BF-028-04</v>
      </c>
      <c r="B160" s="41" t="str">
        <v>VKM-028</v>
      </c>
      <c r="C160" s="41" t="str">
        <v>Овсяная каша, круассан и сыр двух видов</v>
      </c>
      <c r="D160" s="41" t="str">
        <v>SUPPLIER</v>
      </c>
      <c r="E160" s="41" t="str">
        <v>Выбрать SKU и получить документы</v>
      </c>
      <c r="F160" s="41" t="str">
        <v>OPEN</v>
      </c>
      <c r="G160" s="41" t="str">
        <v>Chef / Owner</v>
      </c>
      <c r="H160" s="41" t="str">
        <v>P0; recipe; costing; safety</v>
      </c>
      <c r="I160" s="41"/>
      <c r="J160" s="41" t="str">
        <v>CHEF_DECISION;CONTROL_COOK;SUPPLIER_DOCS</v>
      </c>
      <c r="K160" s="41" t="str">
        <v>2026-08-04</v>
      </c>
      <c r="L160" s="41" t="str">
        <v>Owner/Chef Gate</v>
      </c>
      <c r="M160" s="41"/>
      <c r="N160" s="42"/>
    </row>
  </sheetData>
  <autoFilter ref="A1:N160"/>
  <mergeCells>
    <mergeCell ref="A1:N1"/>
    <mergeCell ref="A2:N2"/>
  </mergeCells>
  <conditionalFormatting sqref="F5:F160">
    <cfRule type="containsText" dxfId="141" priority="1" operator="containsText" text="BLOCK"/>
    <cfRule type="containsText" dxfId="142" priority="2" operator="containsText" text="DRAFT"/>
    <cfRule type="containsText" dxfId="143" priority="3" operator="containsText" text="PASS"/>
  </conditionalFormatting>
  <pageMargins left="0.7" right="0.7" top="0.75" bottom="0.75" header="0.3" footer="0.3"/>
  <tableParts count="1">
    <tablePart r:id="R5882cbe029dd49b4"/>
  </tableParts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38" hidden="0" customWidth="1"/>
    <col min="10" max="10" width="16" hidden="0" customWidth="1"/>
    <col min="11" max="11" width="16" hidden="0" customWidth="1"/>
    <col min="12" max="12" width="16" hidden="0" customWidth="1"/>
    <col min="13" max="13" width="24" hidden="0" customWidth="1"/>
    <col min="14" max="14" width="16" hidden="0" customWidth="1"/>
  </cols>
  <sheetData>
    <row r="1">
      <c r="A1" s="8" t="str">
        <v>13 — Согласование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11" t="str">
        <v>31/31 NOT APPROVED; решения вводятся только после факта.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ht="50" customHeight="1">
      <c r="A4" s="14" t="str">
        <v>dish_code</v>
      </c>
      <c r="B4" s="14" t="str">
        <v>menu</v>
      </c>
      <c r="C4" s="14" t="str">
        <v>recipe</v>
      </c>
      <c r="D4" s="14" t="str">
        <v>tech_card</v>
      </c>
      <c r="E4" s="14" t="str">
        <v>costing</v>
      </c>
      <c r="F4" s="14" t="str">
        <v>channel_economics</v>
      </c>
      <c r="G4" s="14" t="str">
        <v>semi_finished</v>
      </c>
      <c r="H4" s="14" t="str">
        <v>allergen_safety</v>
      </c>
      <c r="I4" s="14" t="str">
        <v>chef_questions</v>
      </c>
      <c r="J4" s="14" t="str">
        <v>control_cook_form</v>
      </c>
      <c r="K4" s="14" t="str">
        <v>chef_approval</v>
      </c>
      <c r="L4" s="14" t="str">
        <v>evidence_cogs</v>
      </c>
      <c r="M4" s="14" t="str">
        <v>safety_status</v>
      </c>
      <c r="N4" s="14" t="str">
        <v>overall</v>
      </c>
    </row>
    <row r="5">
      <c r="A5" s="34" t="str">
        <v>VKM-001</v>
      </c>
      <c r="B5" s="35" t="str">
        <v>PRESENT</v>
      </c>
      <c r="C5" s="35" t="str">
        <v>PRESENT_DRAFT</v>
      </c>
      <c r="D5" s="35" t="str">
        <v>PRESENT_DRAFT</v>
      </c>
      <c r="E5" s="35" t="str">
        <v>MODEL_LAYER_PRESENT</v>
      </c>
      <c r="F5" s="35" t="str">
        <v>PRESENT</v>
      </c>
      <c r="G5" s="35" t="str">
        <v>PRESENT_OR_EXPLICIT_PENDING_CONFIRMATION</v>
      </c>
      <c r="H5" s="35" t="str">
        <v>PRESENT_BLOCKED</v>
      </c>
      <c r="I5" s="35" t="str">
        <v>PRESENT</v>
      </c>
      <c r="J5" s="35" t="str">
        <v>PRESENT</v>
      </c>
      <c r="K5" s="35" t="str">
        <v>NOT_APPROVED</v>
      </c>
      <c r="L5" s="35" t="str">
        <v>NOT_COMPLETE</v>
      </c>
      <c r="M5" s="35" t="str">
        <v>BLOCK</v>
      </c>
      <c r="N5" s="36" t="str">
        <v>READY_FOR_CHEF_REVIEW_SUBJECT_EVIDENCE_OPEN</v>
      </c>
    </row>
    <row r="6">
      <c r="A6" s="37" t="str">
        <v>VKM-002</v>
      </c>
      <c r="B6" s="38" t="str">
        <v>PRESENT</v>
      </c>
      <c r="C6" s="38" t="str">
        <v>PRESENT_DRAFT</v>
      </c>
      <c r="D6" s="38" t="str">
        <v>PRESENT_DRAFT</v>
      </c>
      <c r="E6" s="38" t="str">
        <v>MODEL_LAYER_PRESENT</v>
      </c>
      <c r="F6" s="38" t="str">
        <v>PRESENT</v>
      </c>
      <c r="G6" s="38" t="str">
        <v>PRESENT_OR_EXPLICIT_PENDING_CONFIRMATION</v>
      </c>
      <c r="H6" s="38" t="str">
        <v>PRESENT_BLOCKED</v>
      </c>
      <c r="I6" s="38" t="str">
        <v>PRESENT</v>
      </c>
      <c r="J6" s="38" t="str">
        <v>PRESENT</v>
      </c>
      <c r="K6" s="38" t="str">
        <v>NOT_APPROVED</v>
      </c>
      <c r="L6" s="38" t="str">
        <v>NOT_COMPLETE</v>
      </c>
      <c r="M6" s="38" t="str">
        <v>BLOCK</v>
      </c>
      <c r="N6" s="39" t="str">
        <v>READY_FOR_CHEF_REVIEW_SUBJECT_EVIDENCE_OPEN</v>
      </c>
    </row>
    <row r="7">
      <c r="A7" s="37" t="str">
        <v>VKM-003</v>
      </c>
      <c r="B7" s="38" t="str">
        <v>PRESENT</v>
      </c>
      <c r="C7" s="38" t="str">
        <v>PRESENT_DRAFT</v>
      </c>
      <c r="D7" s="38" t="str">
        <v>PRESENT_DRAFT</v>
      </c>
      <c r="E7" s="38" t="str">
        <v>MODEL_LAYER_PRESENT</v>
      </c>
      <c r="F7" s="38" t="str">
        <v>PRESENT</v>
      </c>
      <c r="G7" s="38" t="str">
        <v>PRESENT_OR_EXPLICIT_PENDING_CONFIRMATION</v>
      </c>
      <c r="H7" s="38" t="str">
        <v>PRESENT_BLOCKED</v>
      </c>
      <c r="I7" s="38" t="str">
        <v>PRESENT</v>
      </c>
      <c r="J7" s="38" t="str">
        <v>PRESENT</v>
      </c>
      <c r="K7" s="38" t="str">
        <v>NOT_APPROVED</v>
      </c>
      <c r="L7" s="38" t="str">
        <v>NOT_COMPLETE</v>
      </c>
      <c r="M7" s="38" t="str">
        <v>BLOCK</v>
      </c>
      <c r="N7" s="39" t="str">
        <v>READY_FOR_CHEF_REVIEW_SUBJECT_EVIDENCE_OPEN</v>
      </c>
    </row>
    <row r="8">
      <c r="A8" s="37" t="str">
        <v>VKM-004</v>
      </c>
      <c r="B8" s="38" t="str">
        <v>PRESENT</v>
      </c>
      <c r="C8" s="38" t="str">
        <v>PRESENT_DRAFT</v>
      </c>
      <c r="D8" s="38" t="str">
        <v>PRESENT_DRAFT</v>
      </c>
      <c r="E8" s="38" t="str">
        <v>MODEL_LAYER_PRESENT</v>
      </c>
      <c r="F8" s="38" t="str">
        <v>PRESENT</v>
      </c>
      <c r="G8" s="38" t="str">
        <v>PRESENT_OR_EXPLICIT_PENDING_CONFIRMATION</v>
      </c>
      <c r="H8" s="38" t="str">
        <v>PRESENT_BLOCKED</v>
      </c>
      <c r="I8" s="38" t="str">
        <v>PRESENT</v>
      </c>
      <c r="J8" s="38" t="str">
        <v>PRESENT</v>
      </c>
      <c r="K8" s="38" t="str">
        <v>NOT_APPROVED</v>
      </c>
      <c r="L8" s="38" t="str">
        <v>NOT_COMPLETE</v>
      </c>
      <c r="M8" s="38" t="str">
        <v>BLOCK</v>
      </c>
      <c r="N8" s="39" t="str">
        <v>READY_FOR_CHEF_REVIEW_SUBJECT_EVIDENCE_OPEN</v>
      </c>
    </row>
    <row r="9">
      <c r="A9" s="37" t="str">
        <v>VKM-005</v>
      </c>
      <c r="B9" s="38" t="str">
        <v>PRESENT</v>
      </c>
      <c r="C9" s="38" t="str">
        <v>PRESENT_DRAFT</v>
      </c>
      <c r="D9" s="38" t="str">
        <v>PRESENT_DRAFT</v>
      </c>
      <c r="E9" s="38" t="str">
        <v>MODEL_LAYER_PRESENT</v>
      </c>
      <c r="F9" s="38" t="str">
        <v>PRESENT</v>
      </c>
      <c r="G9" s="38" t="str">
        <v>PRESENT_OR_EXPLICIT_PENDING_CONFIRMATION</v>
      </c>
      <c r="H9" s="38" t="str">
        <v>PRESENT_BLOCKED</v>
      </c>
      <c r="I9" s="38" t="str">
        <v>PRESENT</v>
      </c>
      <c r="J9" s="38" t="str">
        <v>PRESENT</v>
      </c>
      <c r="K9" s="38" t="str">
        <v>NOT_APPROVED</v>
      </c>
      <c r="L9" s="38" t="str">
        <v>NOT_COMPLETE</v>
      </c>
      <c r="M9" s="38" t="str">
        <v>BLOCK</v>
      </c>
      <c r="N9" s="39" t="str">
        <v>READY_FOR_CHEF_REVIEW_SUBJECT_EVIDENCE_OPEN</v>
      </c>
    </row>
    <row r="10">
      <c r="A10" s="37" t="str">
        <v>VKM-006</v>
      </c>
      <c r="B10" s="38" t="str">
        <v>PRESENT</v>
      </c>
      <c r="C10" s="38" t="str">
        <v>PRESENT_DRAFT</v>
      </c>
      <c r="D10" s="38" t="str">
        <v>PRESENT_DRAFT</v>
      </c>
      <c r="E10" s="38" t="str">
        <v>MODEL_LAYER_PRESENT</v>
      </c>
      <c r="F10" s="38" t="str">
        <v>PRESENT</v>
      </c>
      <c r="G10" s="38" t="str">
        <v>PRESENT_OR_EXPLICIT_PENDING_CONFIRMATION</v>
      </c>
      <c r="H10" s="38" t="str">
        <v>PRESENT_BLOCKED</v>
      </c>
      <c r="I10" s="38" t="str">
        <v>PRESENT</v>
      </c>
      <c r="J10" s="38" t="str">
        <v>PRESENT</v>
      </c>
      <c r="K10" s="38" t="str">
        <v>NOT_APPROVED</v>
      </c>
      <c r="L10" s="38" t="str">
        <v>NOT_COMPLETE</v>
      </c>
      <c r="M10" s="38" t="str">
        <v>BLOCK</v>
      </c>
      <c r="N10" s="39" t="str">
        <v>READY_FOR_CHEF_REVIEW_SUBJECT_EVIDENCE_OPEN</v>
      </c>
    </row>
    <row r="11">
      <c r="A11" s="37" t="str">
        <v>VKM-007</v>
      </c>
      <c r="B11" s="38" t="str">
        <v>PRESENT</v>
      </c>
      <c r="C11" s="38" t="str">
        <v>PRESENT_DRAFT</v>
      </c>
      <c r="D11" s="38" t="str">
        <v>PRESENT_DRAFT</v>
      </c>
      <c r="E11" s="38" t="str">
        <v>MODEL_LAYER_PRESENT</v>
      </c>
      <c r="F11" s="38" t="str">
        <v>PRESENT</v>
      </c>
      <c r="G11" s="38" t="str">
        <v>PRESENT_OR_EXPLICIT_PENDING_CONFIRMATION</v>
      </c>
      <c r="H11" s="38" t="str">
        <v>PRESENT_BLOCKED</v>
      </c>
      <c r="I11" s="38" t="str">
        <v>PRESENT</v>
      </c>
      <c r="J11" s="38" t="str">
        <v>PRESENT</v>
      </c>
      <c r="K11" s="38" t="str">
        <v>NOT_APPROVED</v>
      </c>
      <c r="L11" s="38" t="str">
        <v>NOT_COMPLETE</v>
      </c>
      <c r="M11" s="38" t="str">
        <v>BLOCK</v>
      </c>
      <c r="N11" s="39" t="str">
        <v>READY_FOR_CHEF_REVIEW_SUBJECT_EVIDENCE_OPEN</v>
      </c>
    </row>
    <row r="12">
      <c r="A12" s="37" t="str">
        <v>VKM-008</v>
      </c>
      <c r="B12" s="38" t="str">
        <v>PRESENT</v>
      </c>
      <c r="C12" s="38" t="str">
        <v>PRESENT_DRAFT</v>
      </c>
      <c r="D12" s="38" t="str">
        <v>PRESENT_DRAFT</v>
      </c>
      <c r="E12" s="38" t="str">
        <v>MODEL_LAYER_PRESENT</v>
      </c>
      <c r="F12" s="38" t="str">
        <v>PRESENT</v>
      </c>
      <c r="G12" s="38" t="str">
        <v>PRESENT_OR_EXPLICIT_PENDING_CONFIRMATION</v>
      </c>
      <c r="H12" s="38" t="str">
        <v>PRESENT_BLOCKED</v>
      </c>
      <c r="I12" s="38" t="str">
        <v>PRESENT</v>
      </c>
      <c r="J12" s="38" t="str">
        <v>PRESENT</v>
      </c>
      <c r="K12" s="38" t="str">
        <v>NOT_APPROVED</v>
      </c>
      <c r="L12" s="38" t="str">
        <v>NOT_COMPLETE</v>
      </c>
      <c r="M12" s="38" t="str">
        <v>BLOCK</v>
      </c>
      <c r="N12" s="39" t="str">
        <v>READY_FOR_CHEF_REVIEW_SUBJECT_EVIDENCE_OPEN</v>
      </c>
    </row>
    <row r="13">
      <c r="A13" s="37" t="str">
        <v>VKM-009</v>
      </c>
      <c r="B13" s="38" t="str">
        <v>PRESENT</v>
      </c>
      <c r="C13" s="38" t="str">
        <v>PRESENT_DRAFT</v>
      </c>
      <c r="D13" s="38" t="str">
        <v>PRESENT_DRAFT</v>
      </c>
      <c r="E13" s="38" t="str">
        <v>MODEL_LAYER_PRESENT</v>
      </c>
      <c r="F13" s="38" t="str">
        <v>PRESENT</v>
      </c>
      <c r="G13" s="38" t="str">
        <v>PRESENT_OR_EXPLICIT_PENDING_CONFIRMATION</v>
      </c>
      <c r="H13" s="38" t="str">
        <v>PRESENT_BLOCKED</v>
      </c>
      <c r="I13" s="38" t="str">
        <v>PRESENT</v>
      </c>
      <c r="J13" s="38" t="str">
        <v>PRESENT</v>
      </c>
      <c r="K13" s="38" t="str">
        <v>NOT_APPROVED</v>
      </c>
      <c r="L13" s="38" t="str">
        <v>NOT_COMPLETE</v>
      </c>
      <c r="M13" s="38" t="str">
        <v>BLOCK</v>
      </c>
      <c r="N13" s="39" t="str">
        <v>READY_FOR_CHEF_REVIEW_SUBJECT_EVIDENCE_OPEN</v>
      </c>
    </row>
    <row r="14">
      <c r="A14" s="37" t="str">
        <v>VKM-010</v>
      </c>
      <c r="B14" s="38" t="str">
        <v>PRESENT</v>
      </c>
      <c r="C14" s="38" t="str">
        <v>PRESENT_DRAFT</v>
      </c>
      <c r="D14" s="38" t="str">
        <v>PRESENT_DRAFT</v>
      </c>
      <c r="E14" s="38" t="str">
        <v>MODEL_LAYER_PRESENT</v>
      </c>
      <c r="F14" s="38" t="str">
        <v>PRESENT</v>
      </c>
      <c r="G14" s="38" t="str">
        <v>PRESENT_OR_EXPLICIT_PENDING_CONFIRMATION</v>
      </c>
      <c r="H14" s="38" t="str">
        <v>PRESENT_BLOCKED</v>
      </c>
      <c r="I14" s="38" t="str">
        <v>PRESENT</v>
      </c>
      <c r="J14" s="38" t="str">
        <v>PRESENT</v>
      </c>
      <c r="K14" s="38" t="str">
        <v>NOT_APPROVED</v>
      </c>
      <c r="L14" s="38" t="str">
        <v>NOT_COMPLETE</v>
      </c>
      <c r="M14" s="38" t="str">
        <v>BLOCK</v>
      </c>
      <c r="N14" s="39" t="str">
        <v>READY_FOR_CHEF_REVIEW_SUBJECT_EVIDENCE_OPEN</v>
      </c>
    </row>
    <row r="15">
      <c r="A15" s="37" t="str">
        <v>VKM-011</v>
      </c>
      <c r="B15" s="38" t="str">
        <v>PRESENT</v>
      </c>
      <c r="C15" s="38" t="str">
        <v>PRESENT_DRAFT</v>
      </c>
      <c r="D15" s="38" t="str">
        <v>PRESENT_DRAFT</v>
      </c>
      <c r="E15" s="38" t="str">
        <v>MODEL_LAYER_PRESENT</v>
      </c>
      <c r="F15" s="38" t="str">
        <v>PRESENT</v>
      </c>
      <c r="G15" s="38" t="str">
        <v>PRESENT_OR_EXPLICIT_PENDING_CONFIRMATION</v>
      </c>
      <c r="H15" s="38" t="str">
        <v>PRESENT_BLOCKED</v>
      </c>
      <c r="I15" s="38" t="str">
        <v>PRESENT</v>
      </c>
      <c r="J15" s="38" t="str">
        <v>PRESENT</v>
      </c>
      <c r="K15" s="38" t="str">
        <v>NOT_APPROVED</v>
      </c>
      <c r="L15" s="38" t="str">
        <v>NOT_COMPLETE</v>
      </c>
      <c r="M15" s="38" t="str">
        <v>BLOCK</v>
      </c>
      <c r="N15" s="39" t="str">
        <v>READY_FOR_CHEF_REVIEW_SUBJECT_EVIDENCE_OPEN</v>
      </c>
    </row>
    <row r="16">
      <c r="A16" s="37" t="str">
        <v>VKM-012</v>
      </c>
      <c r="B16" s="38" t="str">
        <v>PRESENT</v>
      </c>
      <c r="C16" s="38" t="str">
        <v>PRESENT_DRAFT</v>
      </c>
      <c r="D16" s="38" t="str">
        <v>PRESENT_DRAFT</v>
      </c>
      <c r="E16" s="38" t="str">
        <v>MODEL_LAYER_PRESENT</v>
      </c>
      <c r="F16" s="38" t="str">
        <v>PRESENT</v>
      </c>
      <c r="G16" s="38" t="str">
        <v>PRESENT_OR_EXPLICIT_PENDING_CONFIRMATION</v>
      </c>
      <c r="H16" s="38" t="str">
        <v>PRESENT_BLOCKED</v>
      </c>
      <c r="I16" s="38" t="str">
        <v>PRESENT</v>
      </c>
      <c r="J16" s="38" t="str">
        <v>PRESENT</v>
      </c>
      <c r="K16" s="38" t="str">
        <v>NOT_APPROVED</v>
      </c>
      <c r="L16" s="38" t="str">
        <v>NOT_COMPLETE</v>
      </c>
      <c r="M16" s="38" t="str">
        <v>BLOCK</v>
      </c>
      <c r="N16" s="39" t="str">
        <v>READY_FOR_CHEF_REVIEW_SUBJECT_EVIDENCE_OPEN</v>
      </c>
    </row>
    <row r="17">
      <c r="A17" s="37" t="str">
        <v>VKM-013</v>
      </c>
      <c r="B17" s="38" t="str">
        <v>PRESENT</v>
      </c>
      <c r="C17" s="38" t="str">
        <v>PRESENT_DRAFT</v>
      </c>
      <c r="D17" s="38" t="str">
        <v>PRESENT_DRAFT</v>
      </c>
      <c r="E17" s="38" t="str">
        <v>MODEL_LAYER_PRESENT</v>
      </c>
      <c r="F17" s="38" t="str">
        <v>PRESENT</v>
      </c>
      <c r="G17" s="38" t="str">
        <v>PRESENT_OR_EXPLICIT_PENDING_CONFIRMATION</v>
      </c>
      <c r="H17" s="38" t="str">
        <v>PRESENT_BLOCKED</v>
      </c>
      <c r="I17" s="38" t="str">
        <v>PRESENT</v>
      </c>
      <c r="J17" s="38" t="str">
        <v>PRESENT</v>
      </c>
      <c r="K17" s="38" t="str">
        <v>NOT_APPROVED</v>
      </c>
      <c r="L17" s="38" t="str">
        <v>NOT_COMPLETE</v>
      </c>
      <c r="M17" s="38" t="str">
        <v>BLOCK</v>
      </c>
      <c r="N17" s="39" t="str">
        <v>READY_FOR_CHEF_REVIEW_SUBJECT_EVIDENCE_OPEN</v>
      </c>
    </row>
    <row r="18">
      <c r="A18" s="37" t="str">
        <v>VKM-014</v>
      </c>
      <c r="B18" s="38" t="str">
        <v>PRESENT</v>
      </c>
      <c r="C18" s="38" t="str">
        <v>PRESENT_DRAFT</v>
      </c>
      <c r="D18" s="38" t="str">
        <v>PRESENT_DRAFT</v>
      </c>
      <c r="E18" s="38" t="str">
        <v>MODEL_LAYER_PRESENT</v>
      </c>
      <c r="F18" s="38" t="str">
        <v>PRESENT</v>
      </c>
      <c r="G18" s="38" t="str">
        <v>PRESENT_OR_EXPLICIT_PENDING_CONFIRMATION</v>
      </c>
      <c r="H18" s="38" t="str">
        <v>PRESENT_BLOCKED</v>
      </c>
      <c r="I18" s="38" t="str">
        <v>PRESENT</v>
      </c>
      <c r="J18" s="38" t="str">
        <v>PRESENT</v>
      </c>
      <c r="K18" s="38" t="str">
        <v>NOT_APPROVED</v>
      </c>
      <c r="L18" s="38" t="str">
        <v>NOT_COMPLETE</v>
      </c>
      <c r="M18" s="38" t="str">
        <v>BLOCK</v>
      </c>
      <c r="N18" s="39" t="str">
        <v>READY_FOR_CHEF_REVIEW_SUBJECT_EVIDENCE_OPEN</v>
      </c>
    </row>
    <row r="19">
      <c r="A19" s="37" t="str">
        <v>VKM-015</v>
      </c>
      <c r="B19" s="38" t="str">
        <v>PRESENT</v>
      </c>
      <c r="C19" s="38" t="str">
        <v>PRESENT_DRAFT</v>
      </c>
      <c r="D19" s="38" t="str">
        <v>PRESENT_DRAFT</v>
      </c>
      <c r="E19" s="38" t="str">
        <v>MODEL_LAYER_PRESENT</v>
      </c>
      <c r="F19" s="38" t="str">
        <v>PRESENT</v>
      </c>
      <c r="G19" s="38" t="str">
        <v>PRESENT_OR_EXPLICIT_PENDING_CONFIRMATION</v>
      </c>
      <c r="H19" s="38" t="str">
        <v>PRESENT_BLOCKED</v>
      </c>
      <c r="I19" s="38" t="str">
        <v>PRESENT</v>
      </c>
      <c r="J19" s="38" t="str">
        <v>PRESENT</v>
      </c>
      <c r="K19" s="38" t="str">
        <v>NOT_APPROVED</v>
      </c>
      <c r="L19" s="38" t="str">
        <v>NOT_COMPLETE</v>
      </c>
      <c r="M19" s="38" t="str">
        <v>BLOCK</v>
      </c>
      <c r="N19" s="39" t="str">
        <v>READY_FOR_CHEF_REVIEW_SUBJECT_EVIDENCE_OPEN</v>
      </c>
    </row>
    <row r="20">
      <c r="A20" s="37" t="str">
        <v>VKM-016</v>
      </c>
      <c r="B20" s="38" t="str">
        <v>PRESENT</v>
      </c>
      <c r="C20" s="38" t="str">
        <v>PRESENT_DRAFT</v>
      </c>
      <c r="D20" s="38" t="str">
        <v>PRESENT_DRAFT</v>
      </c>
      <c r="E20" s="38" t="str">
        <v>MODEL_LAYER_PRESENT</v>
      </c>
      <c r="F20" s="38" t="str">
        <v>PRESENT</v>
      </c>
      <c r="G20" s="38" t="str">
        <v>PRESENT_OR_EXPLICIT_PENDING_CONFIRMATION</v>
      </c>
      <c r="H20" s="38" t="str">
        <v>PRESENT_BLOCKED</v>
      </c>
      <c r="I20" s="38" t="str">
        <v>PRESENT</v>
      </c>
      <c r="J20" s="38" t="str">
        <v>PRESENT</v>
      </c>
      <c r="K20" s="38" t="str">
        <v>NOT_APPROVED</v>
      </c>
      <c r="L20" s="38" t="str">
        <v>NOT_COMPLETE</v>
      </c>
      <c r="M20" s="38" t="str">
        <v>BLOCK</v>
      </c>
      <c r="N20" s="39" t="str">
        <v>READY_FOR_CHEF_REVIEW_SUBJECT_EVIDENCE_OPEN</v>
      </c>
    </row>
    <row r="21">
      <c r="A21" s="37" t="str">
        <v>VKM-017</v>
      </c>
      <c r="B21" s="38" t="str">
        <v>PRESENT</v>
      </c>
      <c r="C21" s="38" t="str">
        <v>PRESENT_DRAFT</v>
      </c>
      <c r="D21" s="38" t="str">
        <v>PRESENT_DRAFT</v>
      </c>
      <c r="E21" s="38" t="str">
        <v>MODEL_LAYER_PRESENT</v>
      </c>
      <c r="F21" s="38" t="str">
        <v>PRESENT</v>
      </c>
      <c r="G21" s="38" t="str">
        <v>PRESENT_OR_EXPLICIT_PENDING_CONFIRMATION</v>
      </c>
      <c r="H21" s="38" t="str">
        <v>PRESENT_BLOCKED</v>
      </c>
      <c r="I21" s="38" t="str">
        <v>PRESENT</v>
      </c>
      <c r="J21" s="38" t="str">
        <v>PRESENT</v>
      </c>
      <c r="K21" s="38" t="str">
        <v>NOT_APPROVED</v>
      </c>
      <c r="L21" s="38" t="str">
        <v>NOT_COMPLETE</v>
      </c>
      <c r="M21" s="38" t="str">
        <v>BLOCK</v>
      </c>
      <c r="N21" s="39" t="str">
        <v>READY_FOR_CHEF_REVIEW_SUBJECT_EVIDENCE_OPEN</v>
      </c>
    </row>
    <row r="22">
      <c r="A22" s="37" t="str">
        <v>VKM-018</v>
      </c>
      <c r="B22" s="38" t="str">
        <v>PRESENT</v>
      </c>
      <c r="C22" s="38" t="str">
        <v>PRESENT_DRAFT</v>
      </c>
      <c r="D22" s="38" t="str">
        <v>PRESENT_DRAFT</v>
      </c>
      <c r="E22" s="38" t="str">
        <v>MODEL_LAYER_PRESENT</v>
      </c>
      <c r="F22" s="38" t="str">
        <v>PRESENT</v>
      </c>
      <c r="G22" s="38" t="str">
        <v>PRESENT_OR_EXPLICIT_PENDING_CONFIRMATION</v>
      </c>
      <c r="H22" s="38" t="str">
        <v>PRESENT_BLOCKED</v>
      </c>
      <c r="I22" s="38" t="str">
        <v>PRESENT</v>
      </c>
      <c r="J22" s="38" t="str">
        <v>PRESENT</v>
      </c>
      <c r="K22" s="38" t="str">
        <v>NOT_APPROVED</v>
      </c>
      <c r="L22" s="38" t="str">
        <v>NOT_COMPLETE</v>
      </c>
      <c r="M22" s="38" t="str">
        <v>BLOCK</v>
      </c>
      <c r="N22" s="39" t="str">
        <v>READY_FOR_CHEF_REVIEW_SUBJECT_EVIDENCE_OPEN</v>
      </c>
    </row>
    <row r="23">
      <c r="A23" s="37" t="str">
        <v>VKM-019</v>
      </c>
      <c r="B23" s="38" t="str">
        <v>PRESENT</v>
      </c>
      <c r="C23" s="38" t="str">
        <v>PRESENT_DRAFT</v>
      </c>
      <c r="D23" s="38" t="str">
        <v>PRESENT_DRAFT</v>
      </c>
      <c r="E23" s="38" t="str">
        <v>MODEL_LAYER_PRESENT</v>
      </c>
      <c r="F23" s="38" t="str">
        <v>PRESENT</v>
      </c>
      <c r="G23" s="38" t="str">
        <v>PRESENT_OR_EXPLICIT_PENDING_CONFIRMATION</v>
      </c>
      <c r="H23" s="38" t="str">
        <v>PRESENT_BLOCKED</v>
      </c>
      <c r="I23" s="38" t="str">
        <v>PRESENT</v>
      </c>
      <c r="J23" s="38" t="str">
        <v>PRESENT</v>
      </c>
      <c r="K23" s="38" t="str">
        <v>NOT_APPROVED</v>
      </c>
      <c r="L23" s="38" t="str">
        <v>NOT_COMPLETE</v>
      </c>
      <c r="M23" s="38" t="str">
        <v>BLOCK</v>
      </c>
      <c r="N23" s="39" t="str">
        <v>READY_FOR_CHEF_REVIEW_SUBJECT_EVIDENCE_OPEN</v>
      </c>
    </row>
    <row r="24">
      <c r="A24" s="37" t="str">
        <v>VKM-020</v>
      </c>
      <c r="B24" s="38" t="str">
        <v>PRESENT</v>
      </c>
      <c r="C24" s="38" t="str">
        <v>PRESENT_DRAFT</v>
      </c>
      <c r="D24" s="38" t="str">
        <v>PRESENT_DRAFT</v>
      </c>
      <c r="E24" s="38" t="str">
        <v>MODEL_LAYER_PRESENT</v>
      </c>
      <c r="F24" s="38" t="str">
        <v>PRESENT</v>
      </c>
      <c r="G24" s="38" t="str">
        <v>PRESENT_OR_EXPLICIT_PENDING_CONFIRMATION</v>
      </c>
      <c r="H24" s="38" t="str">
        <v>PRESENT_BLOCKED</v>
      </c>
      <c r="I24" s="38" t="str">
        <v>PRESENT</v>
      </c>
      <c r="J24" s="38" t="str">
        <v>PRESENT</v>
      </c>
      <c r="K24" s="38" t="str">
        <v>NOT_APPROVED</v>
      </c>
      <c r="L24" s="38" t="str">
        <v>NOT_COMPLETE</v>
      </c>
      <c r="M24" s="38" t="str">
        <v>BLOCK</v>
      </c>
      <c r="N24" s="39" t="str">
        <v>READY_FOR_CHEF_REVIEW_SUBJECT_EVIDENCE_OPEN</v>
      </c>
    </row>
    <row r="25">
      <c r="A25" s="37" t="str">
        <v>VKM-021</v>
      </c>
      <c r="B25" s="38" t="str">
        <v>PRESENT</v>
      </c>
      <c r="C25" s="38" t="str">
        <v>PRESENT_DRAFT</v>
      </c>
      <c r="D25" s="38" t="str">
        <v>PRESENT_DRAFT</v>
      </c>
      <c r="E25" s="38" t="str">
        <v>MODEL_LAYER_PRESENT</v>
      </c>
      <c r="F25" s="38" t="str">
        <v>PRESENT</v>
      </c>
      <c r="G25" s="38" t="str">
        <v>PRESENT_OR_EXPLICIT_PENDING_CONFIRMATION</v>
      </c>
      <c r="H25" s="38" t="str">
        <v>PRESENT_BLOCKED</v>
      </c>
      <c r="I25" s="38" t="str">
        <v>PRESENT</v>
      </c>
      <c r="J25" s="38" t="str">
        <v>PRESENT</v>
      </c>
      <c r="K25" s="38" t="str">
        <v>NOT_APPROVED</v>
      </c>
      <c r="L25" s="38" t="str">
        <v>NOT_COMPLETE</v>
      </c>
      <c r="M25" s="38" t="str">
        <v>BLOCK</v>
      </c>
      <c r="N25" s="39" t="str">
        <v>READY_FOR_CHEF_REVIEW_SUBJECT_EVIDENCE_OPEN</v>
      </c>
    </row>
    <row r="26">
      <c r="A26" s="37" t="str">
        <v>VKM-022</v>
      </c>
      <c r="B26" s="38" t="str">
        <v>PRESENT</v>
      </c>
      <c r="C26" s="38" t="str">
        <v>PRESENT_DRAFT</v>
      </c>
      <c r="D26" s="38" t="str">
        <v>PRESENT_DRAFT</v>
      </c>
      <c r="E26" s="38" t="str">
        <v>MODEL_LAYER_PRESENT</v>
      </c>
      <c r="F26" s="38" t="str">
        <v>PRESENT</v>
      </c>
      <c r="G26" s="38" t="str">
        <v>PRESENT_OR_EXPLICIT_PENDING_CONFIRMATION</v>
      </c>
      <c r="H26" s="38" t="str">
        <v>PRESENT_BLOCKED</v>
      </c>
      <c r="I26" s="38" t="str">
        <v>PRESENT</v>
      </c>
      <c r="J26" s="38" t="str">
        <v>PRESENT</v>
      </c>
      <c r="K26" s="38" t="str">
        <v>NOT_APPROVED</v>
      </c>
      <c r="L26" s="38" t="str">
        <v>NOT_COMPLETE</v>
      </c>
      <c r="M26" s="38" t="str">
        <v>BLOCK</v>
      </c>
      <c r="N26" s="39" t="str">
        <v>READY_FOR_CHEF_REVIEW_SUBJECT_EVIDENCE_OPEN</v>
      </c>
    </row>
    <row r="27">
      <c r="A27" s="37" t="str">
        <v>VKM-023</v>
      </c>
      <c r="B27" s="38" t="str">
        <v>PRESENT</v>
      </c>
      <c r="C27" s="38" t="str">
        <v>PRESENT_DRAFT</v>
      </c>
      <c r="D27" s="38" t="str">
        <v>PRESENT_DRAFT</v>
      </c>
      <c r="E27" s="38" t="str">
        <v>MODEL_LAYER_PRESENT</v>
      </c>
      <c r="F27" s="38" t="str">
        <v>PRESENT</v>
      </c>
      <c r="G27" s="38" t="str">
        <v>PRESENT_OR_EXPLICIT_PENDING_CONFIRMATION</v>
      </c>
      <c r="H27" s="38" t="str">
        <v>PRESENT_BLOCKED</v>
      </c>
      <c r="I27" s="38" t="str">
        <v>PRESENT</v>
      </c>
      <c r="J27" s="38" t="str">
        <v>PRESENT</v>
      </c>
      <c r="K27" s="38" t="str">
        <v>NOT_APPROVED</v>
      </c>
      <c r="L27" s="38" t="str">
        <v>NOT_COMPLETE</v>
      </c>
      <c r="M27" s="38" t="str">
        <v>BLOCK</v>
      </c>
      <c r="N27" s="39" t="str">
        <v>READY_FOR_CHEF_REVIEW_SUBJECT_EVIDENCE_OPEN</v>
      </c>
    </row>
    <row r="28">
      <c r="A28" s="37" t="str">
        <v>VKM-024</v>
      </c>
      <c r="B28" s="38" t="str">
        <v>PRESENT</v>
      </c>
      <c r="C28" s="38" t="str">
        <v>PRESENT_DRAFT</v>
      </c>
      <c r="D28" s="38" t="str">
        <v>PRESENT_DRAFT</v>
      </c>
      <c r="E28" s="38" t="str">
        <v>MODEL_LAYER_PRESENT</v>
      </c>
      <c r="F28" s="38" t="str">
        <v>PRESENT</v>
      </c>
      <c r="G28" s="38" t="str">
        <v>PRESENT_OR_EXPLICIT_PENDING_CONFIRMATION</v>
      </c>
      <c r="H28" s="38" t="str">
        <v>PRESENT_BLOCKED</v>
      </c>
      <c r="I28" s="38" t="str">
        <v>PRESENT</v>
      </c>
      <c r="J28" s="38" t="str">
        <v>PRESENT</v>
      </c>
      <c r="K28" s="38" t="str">
        <v>NOT_APPROVED</v>
      </c>
      <c r="L28" s="38" t="str">
        <v>NOT_COMPLETE</v>
      </c>
      <c r="M28" s="38" t="str">
        <v>BLOCK</v>
      </c>
      <c r="N28" s="39" t="str">
        <v>READY_FOR_CHEF_REVIEW_SUBJECT_EVIDENCE_OPEN</v>
      </c>
    </row>
    <row r="29">
      <c r="A29" s="37" t="str">
        <v>VKM-025</v>
      </c>
      <c r="B29" s="38" t="str">
        <v>PRESENT</v>
      </c>
      <c r="C29" s="38" t="str">
        <v>PRESENT_DRAFT</v>
      </c>
      <c r="D29" s="38" t="str">
        <v>PRESENT_DRAFT</v>
      </c>
      <c r="E29" s="38" t="str">
        <v>MODEL_LAYER_PRESENT</v>
      </c>
      <c r="F29" s="38" t="str">
        <v>PRESENT</v>
      </c>
      <c r="G29" s="38" t="str">
        <v>PRESENT_OR_EXPLICIT_PENDING_CONFIRMATION</v>
      </c>
      <c r="H29" s="38" t="str">
        <v>PRESENT_BLOCKED</v>
      </c>
      <c r="I29" s="38" t="str">
        <v>PRESENT</v>
      </c>
      <c r="J29" s="38" t="str">
        <v>PRESENT</v>
      </c>
      <c r="K29" s="38" t="str">
        <v>NOT_APPROVED</v>
      </c>
      <c r="L29" s="38" t="str">
        <v>NOT_COMPLETE</v>
      </c>
      <c r="M29" s="38" t="str">
        <v>BLOCK</v>
      </c>
      <c r="N29" s="39" t="str">
        <v>READY_FOR_CHEF_REVIEW_SUBJECT_EVIDENCE_OPEN</v>
      </c>
    </row>
    <row r="30">
      <c r="A30" s="37" t="str">
        <v>VKM-026</v>
      </c>
      <c r="B30" s="38" t="str">
        <v>PRESENT</v>
      </c>
      <c r="C30" s="38" t="str">
        <v>PRESENT_DRAFT</v>
      </c>
      <c r="D30" s="38" t="str">
        <v>PRESENT_DRAFT</v>
      </c>
      <c r="E30" s="38" t="str">
        <v>MODEL_LAYER_PRESENT</v>
      </c>
      <c r="F30" s="38" t="str">
        <v>PRESENT</v>
      </c>
      <c r="G30" s="38" t="str">
        <v>PRESENT_OR_EXPLICIT_PENDING_CONFIRMATION</v>
      </c>
      <c r="H30" s="38" t="str">
        <v>PRESENT_BLOCKED</v>
      </c>
      <c r="I30" s="38" t="str">
        <v>PRESENT</v>
      </c>
      <c r="J30" s="38" t="str">
        <v>PRESENT</v>
      </c>
      <c r="K30" s="38" t="str">
        <v>NOT_APPROVED</v>
      </c>
      <c r="L30" s="38" t="str">
        <v>NOT_COMPLETE</v>
      </c>
      <c r="M30" s="38" t="str">
        <v>NOT_PRODUCTION_RELEASED</v>
      </c>
      <c r="N30" s="39" t="str">
        <v>READY_FOR_CHEF_REVIEW_SUBJECT_EVIDENCE_OPEN</v>
      </c>
    </row>
    <row r="31">
      <c r="A31" s="37" t="str">
        <v>VKM-027</v>
      </c>
      <c r="B31" s="38" t="str">
        <v>PRESENT</v>
      </c>
      <c r="C31" s="38" t="str">
        <v>PRESENT_DRAFT</v>
      </c>
      <c r="D31" s="38" t="str">
        <v>PRESENT_DRAFT</v>
      </c>
      <c r="E31" s="38" t="str">
        <v>MODEL_LAYER_PRESENT</v>
      </c>
      <c r="F31" s="38" t="str">
        <v>PRESENT</v>
      </c>
      <c r="G31" s="38" t="str">
        <v>PRESENT_OR_EXPLICIT_PENDING_CONFIRMATION</v>
      </c>
      <c r="H31" s="38" t="str">
        <v>PRESENT_BLOCKED</v>
      </c>
      <c r="I31" s="38" t="str">
        <v>PRESENT</v>
      </c>
      <c r="J31" s="38" t="str">
        <v>PRESENT</v>
      </c>
      <c r="K31" s="38" t="str">
        <v>NOT_APPROVED</v>
      </c>
      <c r="L31" s="38" t="str">
        <v>NOT_COMPLETE</v>
      </c>
      <c r="M31" s="38" t="str">
        <v>NOT_PRODUCTION_RELEASED</v>
      </c>
      <c r="N31" s="39" t="str">
        <v>READY_FOR_CHEF_REVIEW_SUBJECT_EVIDENCE_OPEN</v>
      </c>
    </row>
    <row r="32">
      <c r="A32" s="37" t="str">
        <v>VKM-028</v>
      </c>
      <c r="B32" s="38" t="str">
        <v>PRESENT</v>
      </c>
      <c r="C32" s="38" t="str">
        <v>PRESENT_DRAFT</v>
      </c>
      <c r="D32" s="38" t="str">
        <v>PRESENT_DRAFT</v>
      </c>
      <c r="E32" s="38" t="str">
        <v>MODEL_LAYER_PRESENT</v>
      </c>
      <c r="F32" s="38" t="str">
        <v>PRESENT</v>
      </c>
      <c r="G32" s="38" t="str">
        <v>PRESENT_OR_EXPLICIT_PENDING_CONFIRMATION</v>
      </c>
      <c r="H32" s="38" t="str">
        <v>PRESENT_BLOCKED</v>
      </c>
      <c r="I32" s="38" t="str">
        <v>PRESENT</v>
      </c>
      <c r="J32" s="38" t="str">
        <v>PRESENT</v>
      </c>
      <c r="K32" s="38" t="str">
        <v>NOT_APPROVED</v>
      </c>
      <c r="L32" s="38" t="str">
        <v>NOT_COMPLETE</v>
      </c>
      <c r="M32" s="38" t="str">
        <v>NOT_PRODUCTION_RELEASED</v>
      </c>
      <c r="N32" s="39" t="str">
        <v>READY_FOR_CHEF_REVIEW_SUBJECT_EVIDENCE_OPEN</v>
      </c>
    </row>
    <row r="33">
      <c r="A33" s="37" t="str">
        <v>VKM-029</v>
      </c>
      <c r="B33" s="38" t="str">
        <v>PRESENT</v>
      </c>
      <c r="C33" s="38" t="str">
        <v>PRESENT_DRAFT</v>
      </c>
      <c r="D33" s="38" t="str">
        <v>PRESENT_DRAFT</v>
      </c>
      <c r="E33" s="38" t="str">
        <v>MODEL_LAYER_PRESENT</v>
      </c>
      <c r="F33" s="38" t="str">
        <v>PRESENT</v>
      </c>
      <c r="G33" s="38" t="str">
        <v>PRESENT_OR_EXPLICIT_PENDING_CONFIRMATION</v>
      </c>
      <c r="H33" s="38" t="str">
        <v>PRESENT_BLOCKED</v>
      </c>
      <c r="I33" s="38" t="str">
        <v>PRESENT</v>
      </c>
      <c r="J33" s="38" t="str">
        <v>PRESENT</v>
      </c>
      <c r="K33" s="38" t="str">
        <v>NOT_APPROVED</v>
      </c>
      <c r="L33" s="38" t="str">
        <v>NOT_COMPLETE</v>
      </c>
      <c r="M33" s="38" t="str">
        <v>BLOCK</v>
      </c>
      <c r="N33" s="39" t="str">
        <v>READY_FOR_CHEF_REVIEW_SUBJECT_EVIDENCE_OPEN</v>
      </c>
    </row>
    <row r="34">
      <c r="A34" s="37" t="str">
        <v>VKM-030</v>
      </c>
      <c r="B34" s="38" t="str">
        <v>PRESENT</v>
      </c>
      <c r="C34" s="38" t="str">
        <v>PRESENT_DRAFT</v>
      </c>
      <c r="D34" s="38" t="str">
        <v>PRESENT_DRAFT</v>
      </c>
      <c r="E34" s="38" t="str">
        <v>MODEL_LAYER_PRESENT</v>
      </c>
      <c r="F34" s="38" t="str">
        <v>PRESENT</v>
      </c>
      <c r="G34" s="38" t="str">
        <v>PRESENT_OR_EXPLICIT_PENDING_CONFIRMATION</v>
      </c>
      <c r="H34" s="38" t="str">
        <v>PRESENT_BLOCKED</v>
      </c>
      <c r="I34" s="38" t="str">
        <v>PRESENT</v>
      </c>
      <c r="J34" s="38" t="str">
        <v>PRESENT</v>
      </c>
      <c r="K34" s="38" t="str">
        <v>NOT_APPROVED</v>
      </c>
      <c r="L34" s="38" t="str">
        <v>NOT_COMPLETE</v>
      </c>
      <c r="M34" s="38" t="str">
        <v>BLOCK</v>
      </c>
      <c r="N34" s="39" t="str">
        <v>READY_FOR_CHEF_REVIEW_SUBJECT_EVIDENCE_OPEN</v>
      </c>
    </row>
    <row r="35">
      <c r="A35" s="40" t="str">
        <v>VKM-031</v>
      </c>
      <c r="B35" s="41" t="str">
        <v>PRESENT</v>
      </c>
      <c r="C35" s="41" t="str">
        <v>PRESENT_DRAFT</v>
      </c>
      <c r="D35" s="41" t="str">
        <v>PRESENT_DRAFT</v>
      </c>
      <c r="E35" s="41" t="str">
        <v>MODEL_LAYER_PRESENT</v>
      </c>
      <c r="F35" s="41" t="str">
        <v>PRESENT</v>
      </c>
      <c r="G35" s="41" t="str">
        <v>PRESENT_OR_EXPLICIT_PENDING_CONFIRMATION</v>
      </c>
      <c r="H35" s="41" t="str">
        <v>PRESENT_BLOCKED</v>
      </c>
      <c r="I35" s="41" t="str">
        <v>PRESENT</v>
      </c>
      <c r="J35" s="41" t="str">
        <v>PRESENT</v>
      </c>
      <c r="K35" s="41" t="str">
        <v>NOT_APPROVED</v>
      </c>
      <c r="L35" s="41" t="str">
        <v>NOT_COMPLETE</v>
      </c>
      <c r="M35" s="41" t="str">
        <v>BLOCK</v>
      </c>
      <c r="N35" s="42" t="str">
        <v>READY_FOR_CHEF_REVIEW_SUBJECT_EVIDENCE_OPEN</v>
      </c>
    </row>
  </sheetData>
  <autoFilter ref="A1:N35"/>
  <mergeCells>
    <mergeCell ref="A1:N1"/>
    <mergeCell ref="A2:N2"/>
  </mergeCells>
  <conditionalFormatting sqref="M5:M35">
    <cfRule type="containsText" dxfId="144" priority="1" operator="containsText" text="BLOCK"/>
    <cfRule type="containsText" dxfId="145" priority="2" operator="containsText" text="DRAFT"/>
    <cfRule type="containsText" dxfId="146" priority="3" operator="containsText" text="PASS"/>
  </conditionalFormatting>
  <pageMargins left="0.7" right="0.7" top="0.75" bottom="0.75" header="0.3" footer="0.3"/>
  <tableParts count="1">
    <tablePart r:id="Rda57661cfa524d98"/>
  </tableParts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38" hidden="0" customWidth="1"/>
    <col min="10" max="10" width="16" hidden="0" customWidth="1"/>
    <col min="11" max="11" width="16" hidden="0" customWidth="1"/>
    <col min="12" max="12" width="16" hidden="0" customWidth="1"/>
    <col min="13" max="13" width="24" hidden="0" customWidth="1"/>
    <col min="14" max="14" width="16" hidden="0" customWidth="1"/>
  </cols>
  <sheetData>
    <row r="1">
      <c r="A1" s="8" t="str">
        <v>14 — Контрольные проработки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11" t="str">
        <v>Формы готовы; физические испытания не проводились.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ht="50" customHeight="1">
      <c r="A4" s="14" t="str">
        <v>dish_code</v>
      </c>
      <c r="B4" s="14" t="str">
        <v>menu</v>
      </c>
      <c r="C4" s="14" t="str">
        <v>recipe</v>
      </c>
      <c r="D4" s="14" t="str">
        <v>tech_card</v>
      </c>
      <c r="E4" s="14" t="str">
        <v>costing</v>
      </c>
      <c r="F4" s="14" t="str">
        <v>channel_economics</v>
      </c>
      <c r="G4" s="14" t="str">
        <v>semi_finished</v>
      </c>
      <c r="H4" s="14" t="str">
        <v>allergen_safety</v>
      </c>
      <c r="I4" s="14" t="str">
        <v>chef_questions</v>
      </c>
      <c r="J4" s="14" t="str">
        <v>control_cook_form</v>
      </c>
      <c r="K4" s="14" t="str">
        <v>chef_approval</v>
      </c>
      <c r="L4" s="14" t="str">
        <v>evidence_cogs</v>
      </c>
      <c r="M4" s="14" t="str">
        <v>safety_status</v>
      </c>
      <c r="N4" s="14" t="str">
        <v>overall</v>
      </c>
    </row>
    <row r="5">
      <c r="A5" s="34" t="str">
        <v>VKM-001</v>
      </c>
      <c r="B5" s="35" t="str">
        <v>PRESENT</v>
      </c>
      <c r="C5" s="35" t="str">
        <v>PRESENT_DRAFT</v>
      </c>
      <c r="D5" s="35" t="str">
        <v>PRESENT_DRAFT</v>
      </c>
      <c r="E5" s="35" t="str">
        <v>MODEL_LAYER_PRESENT</v>
      </c>
      <c r="F5" s="35" t="str">
        <v>PRESENT</v>
      </c>
      <c r="G5" s="35" t="str">
        <v>PRESENT_OR_EXPLICIT_PENDING_CONFIRMATION</v>
      </c>
      <c r="H5" s="35" t="str">
        <v>PRESENT_BLOCKED</v>
      </c>
      <c r="I5" s="35" t="str">
        <v>PRESENT</v>
      </c>
      <c r="J5" s="35" t="str">
        <v>PRESENT</v>
      </c>
      <c r="K5" s="35" t="str">
        <v>NOT_APPROVED</v>
      </c>
      <c r="L5" s="35" t="str">
        <v>NOT_COMPLETE</v>
      </c>
      <c r="M5" s="35" t="str">
        <v>BLOCK</v>
      </c>
      <c r="N5" s="36" t="str">
        <v>READY_FOR_CHEF_REVIEW_SUBJECT_EVIDENCE_OPEN</v>
      </c>
    </row>
    <row r="6">
      <c r="A6" s="37" t="str">
        <v>VKM-002</v>
      </c>
      <c r="B6" s="38" t="str">
        <v>PRESENT</v>
      </c>
      <c r="C6" s="38" t="str">
        <v>PRESENT_DRAFT</v>
      </c>
      <c r="D6" s="38" t="str">
        <v>PRESENT_DRAFT</v>
      </c>
      <c r="E6" s="38" t="str">
        <v>MODEL_LAYER_PRESENT</v>
      </c>
      <c r="F6" s="38" t="str">
        <v>PRESENT</v>
      </c>
      <c r="G6" s="38" t="str">
        <v>PRESENT_OR_EXPLICIT_PENDING_CONFIRMATION</v>
      </c>
      <c r="H6" s="38" t="str">
        <v>PRESENT_BLOCKED</v>
      </c>
      <c r="I6" s="38" t="str">
        <v>PRESENT</v>
      </c>
      <c r="J6" s="38" t="str">
        <v>PRESENT</v>
      </c>
      <c r="K6" s="38" t="str">
        <v>NOT_APPROVED</v>
      </c>
      <c r="L6" s="38" t="str">
        <v>NOT_COMPLETE</v>
      </c>
      <c r="M6" s="38" t="str">
        <v>BLOCK</v>
      </c>
      <c r="N6" s="39" t="str">
        <v>READY_FOR_CHEF_REVIEW_SUBJECT_EVIDENCE_OPEN</v>
      </c>
    </row>
    <row r="7">
      <c r="A7" s="37" t="str">
        <v>VKM-003</v>
      </c>
      <c r="B7" s="38" t="str">
        <v>PRESENT</v>
      </c>
      <c r="C7" s="38" t="str">
        <v>PRESENT_DRAFT</v>
      </c>
      <c r="D7" s="38" t="str">
        <v>PRESENT_DRAFT</v>
      </c>
      <c r="E7" s="38" t="str">
        <v>MODEL_LAYER_PRESENT</v>
      </c>
      <c r="F7" s="38" t="str">
        <v>PRESENT</v>
      </c>
      <c r="G7" s="38" t="str">
        <v>PRESENT_OR_EXPLICIT_PENDING_CONFIRMATION</v>
      </c>
      <c r="H7" s="38" t="str">
        <v>PRESENT_BLOCKED</v>
      </c>
      <c r="I7" s="38" t="str">
        <v>PRESENT</v>
      </c>
      <c r="J7" s="38" t="str">
        <v>PRESENT</v>
      </c>
      <c r="K7" s="38" t="str">
        <v>NOT_APPROVED</v>
      </c>
      <c r="L7" s="38" t="str">
        <v>NOT_COMPLETE</v>
      </c>
      <c r="M7" s="38" t="str">
        <v>BLOCK</v>
      </c>
      <c r="N7" s="39" t="str">
        <v>READY_FOR_CHEF_REVIEW_SUBJECT_EVIDENCE_OPEN</v>
      </c>
    </row>
    <row r="8">
      <c r="A8" s="37" t="str">
        <v>VKM-004</v>
      </c>
      <c r="B8" s="38" t="str">
        <v>PRESENT</v>
      </c>
      <c r="C8" s="38" t="str">
        <v>PRESENT_DRAFT</v>
      </c>
      <c r="D8" s="38" t="str">
        <v>PRESENT_DRAFT</v>
      </c>
      <c r="E8" s="38" t="str">
        <v>MODEL_LAYER_PRESENT</v>
      </c>
      <c r="F8" s="38" t="str">
        <v>PRESENT</v>
      </c>
      <c r="G8" s="38" t="str">
        <v>PRESENT_OR_EXPLICIT_PENDING_CONFIRMATION</v>
      </c>
      <c r="H8" s="38" t="str">
        <v>PRESENT_BLOCKED</v>
      </c>
      <c r="I8" s="38" t="str">
        <v>PRESENT</v>
      </c>
      <c r="J8" s="38" t="str">
        <v>PRESENT</v>
      </c>
      <c r="K8" s="38" t="str">
        <v>NOT_APPROVED</v>
      </c>
      <c r="L8" s="38" t="str">
        <v>NOT_COMPLETE</v>
      </c>
      <c r="M8" s="38" t="str">
        <v>BLOCK</v>
      </c>
      <c r="N8" s="39" t="str">
        <v>READY_FOR_CHEF_REVIEW_SUBJECT_EVIDENCE_OPEN</v>
      </c>
    </row>
    <row r="9">
      <c r="A9" s="37" t="str">
        <v>VKM-005</v>
      </c>
      <c r="B9" s="38" t="str">
        <v>PRESENT</v>
      </c>
      <c r="C9" s="38" t="str">
        <v>PRESENT_DRAFT</v>
      </c>
      <c r="D9" s="38" t="str">
        <v>PRESENT_DRAFT</v>
      </c>
      <c r="E9" s="38" t="str">
        <v>MODEL_LAYER_PRESENT</v>
      </c>
      <c r="F9" s="38" t="str">
        <v>PRESENT</v>
      </c>
      <c r="G9" s="38" t="str">
        <v>PRESENT_OR_EXPLICIT_PENDING_CONFIRMATION</v>
      </c>
      <c r="H9" s="38" t="str">
        <v>PRESENT_BLOCKED</v>
      </c>
      <c r="I9" s="38" t="str">
        <v>PRESENT</v>
      </c>
      <c r="J9" s="38" t="str">
        <v>PRESENT</v>
      </c>
      <c r="K9" s="38" t="str">
        <v>NOT_APPROVED</v>
      </c>
      <c r="L9" s="38" t="str">
        <v>NOT_COMPLETE</v>
      </c>
      <c r="M9" s="38" t="str">
        <v>BLOCK</v>
      </c>
      <c r="N9" s="39" t="str">
        <v>READY_FOR_CHEF_REVIEW_SUBJECT_EVIDENCE_OPEN</v>
      </c>
    </row>
    <row r="10">
      <c r="A10" s="37" t="str">
        <v>VKM-006</v>
      </c>
      <c r="B10" s="38" t="str">
        <v>PRESENT</v>
      </c>
      <c r="C10" s="38" t="str">
        <v>PRESENT_DRAFT</v>
      </c>
      <c r="D10" s="38" t="str">
        <v>PRESENT_DRAFT</v>
      </c>
      <c r="E10" s="38" t="str">
        <v>MODEL_LAYER_PRESENT</v>
      </c>
      <c r="F10" s="38" t="str">
        <v>PRESENT</v>
      </c>
      <c r="G10" s="38" t="str">
        <v>PRESENT_OR_EXPLICIT_PENDING_CONFIRMATION</v>
      </c>
      <c r="H10" s="38" t="str">
        <v>PRESENT_BLOCKED</v>
      </c>
      <c r="I10" s="38" t="str">
        <v>PRESENT</v>
      </c>
      <c r="J10" s="38" t="str">
        <v>PRESENT</v>
      </c>
      <c r="K10" s="38" t="str">
        <v>NOT_APPROVED</v>
      </c>
      <c r="L10" s="38" t="str">
        <v>NOT_COMPLETE</v>
      </c>
      <c r="M10" s="38" t="str">
        <v>BLOCK</v>
      </c>
      <c r="N10" s="39" t="str">
        <v>READY_FOR_CHEF_REVIEW_SUBJECT_EVIDENCE_OPEN</v>
      </c>
    </row>
    <row r="11">
      <c r="A11" s="37" t="str">
        <v>VKM-007</v>
      </c>
      <c r="B11" s="38" t="str">
        <v>PRESENT</v>
      </c>
      <c r="C11" s="38" t="str">
        <v>PRESENT_DRAFT</v>
      </c>
      <c r="D11" s="38" t="str">
        <v>PRESENT_DRAFT</v>
      </c>
      <c r="E11" s="38" t="str">
        <v>MODEL_LAYER_PRESENT</v>
      </c>
      <c r="F11" s="38" t="str">
        <v>PRESENT</v>
      </c>
      <c r="G11" s="38" t="str">
        <v>PRESENT_OR_EXPLICIT_PENDING_CONFIRMATION</v>
      </c>
      <c r="H11" s="38" t="str">
        <v>PRESENT_BLOCKED</v>
      </c>
      <c r="I11" s="38" t="str">
        <v>PRESENT</v>
      </c>
      <c r="J11" s="38" t="str">
        <v>PRESENT</v>
      </c>
      <c r="K11" s="38" t="str">
        <v>NOT_APPROVED</v>
      </c>
      <c r="L11" s="38" t="str">
        <v>NOT_COMPLETE</v>
      </c>
      <c r="M11" s="38" t="str">
        <v>BLOCK</v>
      </c>
      <c r="N11" s="39" t="str">
        <v>READY_FOR_CHEF_REVIEW_SUBJECT_EVIDENCE_OPEN</v>
      </c>
    </row>
    <row r="12">
      <c r="A12" s="37" t="str">
        <v>VKM-008</v>
      </c>
      <c r="B12" s="38" t="str">
        <v>PRESENT</v>
      </c>
      <c r="C12" s="38" t="str">
        <v>PRESENT_DRAFT</v>
      </c>
      <c r="D12" s="38" t="str">
        <v>PRESENT_DRAFT</v>
      </c>
      <c r="E12" s="38" t="str">
        <v>MODEL_LAYER_PRESENT</v>
      </c>
      <c r="F12" s="38" t="str">
        <v>PRESENT</v>
      </c>
      <c r="G12" s="38" t="str">
        <v>PRESENT_OR_EXPLICIT_PENDING_CONFIRMATION</v>
      </c>
      <c r="H12" s="38" t="str">
        <v>PRESENT_BLOCKED</v>
      </c>
      <c r="I12" s="38" t="str">
        <v>PRESENT</v>
      </c>
      <c r="J12" s="38" t="str">
        <v>PRESENT</v>
      </c>
      <c r="K12" s="38" t="str">
        <v>NOT_APPROVED</v>
      </c>
      <c r="L12" s="38" t="str">
        <v>NOT_COMPLETE</v>
      </c>
      <c r="M12" s="38" t="str">
        <v>BLOCK</v>
      </c>
      <c r="N12" s="39" t="str">
        <v>READY_FOR_CHEF_REVIEW_SUBJECT_EVIDENCE_OPEN</v>
      </c>
    </row>
    <row r="13">
      <c r="A13" s="37" t="str">
        <v>VKM-009</v>
      </c>
      <c r="B13" s="38" t="str">
        <v>PRESENT</v>
      </c>
      <c r="C13" s="38" t="str">
        <v>PRESENT_DRAFT</v>
      </c>
      <c r="D13" s="38" t="str">
        <v>PRESENT_DRAFT</v>
      </c>
      <c r="E13" s="38" t="str">
        <v>MODEL_LAYER_PRESENT</v>
      </c>
      <c r="F13" s="38" t="str">
        <v>PRESENT</v>
      </c>
      <c r="G13" s="38" t="str">
        <v>PRESENT_OR_EXPLICIT_PENDING_CONFIRMATION</v>
      </c>
      <c r="H13" s="38" t="str">
        <v>PRESENT_BLOCKED</v>
      </c>
      <c r="I13" s="38" t="str">
        <v>PRESENT</v>
      </c>
      <c r="J13" s="38" t="str">
        <v>PRESENT</v>
      </c>
      <c r="K13" s="38" t="str">
        <v>NOT_APPROVED</v>
      </c>
      <c r="L13" s="38" t="str">
        <v>NOT_COMPLETE</v>
      </c>
      <c r="M13" s="38" t="str">
        <v>BLOCK</v>
      </c>
      <c r="N13" s="39" t="str">
        <v>READY_FOR_CHEF_REVIEW_SUBJECT_EVIDENCE_OPEN</v>
      </c>
    </row>
    <row r="14">
      <c r="A14" s="37" t="str">
        <v>VKM-010</v>
      </c>
      <c r="B14" s="38" t="str">
        <v>PRESENT</v>
      </c>
      <c r="C14" s="38" t="str">
        <v>PRESENT_DRAFT</v>
      </c>
      <c r="D14" s="38" t="str">
        <v>PRESENT_DRAFT</v>
      </c>
      <c r="E14" s="38" t="str">
        <v>MODEL_LAYER_PRESENT</v>
      </c>
      <c r="F14" s="38" t="str">
        <v>PRESENT</v>
      </c>
      <c r="G14" s="38" t="str">
        <v>PRESENT_OR_EXPLICIT_PENDING_CONFIRMATION</v>
      </c>
      <c r="H14" s="38" t="str">
        <v>PRESENT_BLOCKED</v>
      </c>
      <c r="I14" s="38" t="str">
        <v>PRESENT</v>
      </c>
      <c r="J14" s="38" t="str">
        <v>PRESENT</v>
      </c>
      <c r="K14" s="38" t="str">
        <v>NOT_APPROVED</v>
      </c>
      <c r="L14" s="38" t="str">
        <v>NOT_COMPLETE</v>
      </c>
      <c r="M14" s="38" t="str">
        <v>BLOCK</v>
      </c>
      <c r="N14" s="39" t="str">
        <v>READY_FOR_CHEF_REVIEW_SUBJECT_EVIDENCE_OPEN</v>
      </c>
    </row>
    <row r="15">
      <c r="A15" s="37" t="str">
        <v>VKM-011</v>
      </c>
      <c r="B15" s="38" t="str">
        <v>PRESENT</v>
      </c>
      <c r="C15" s="38" t="str">
        <v>PRESENT_DRAFT</v>
      </c>
      <c r="D15" s="38" t="str">
        <v>PRESENT_DRAFT</v>
      </c>
      <c r="E15" s="38" t="str">
        <v>MODEL_LAYER_PRESENT</v>
      </c>
      <c r="F15" s="38" t="str">
        <v>PRESENT</v>
      </c>
      <c r="G15" s="38" t="str">
        <v>PRESENT_OR_EXPLICIT_PENDING_CONFIRMATION</v>
      </c>
      <c r="H15" s="38" t="str">
        <v>PRESENT_BLOCKED</v>
      </c>
      <c r="I15" s="38" t="str">
        <v>PRESENT</v>
      </c>
      <c r="J15" s="38" t="str">
        <v>PRESENT</v>
      </c>
      <c r="K15" s="38" t="str">
        <v>NOT_APPROVED</v>
      </c>
      <c r="L15" s="38" t="str">
        <v>NOT_COMPLETE</v>
      </c>
      <c r="M15" s="38" t="str">
        <v>BLOCK</v>
      </c>
      <c r="N15" s="39" t="str">
        <v>READY_FOR_CHEF_REVIEW_SUBJECT_EVIDENCE_OPEN</v>
      </c>
    </row>
    <row r="16">
      <c r="A16" s="37" t="str">
        <v>VKM-012</v>
      </c>
      <c r="B16" s="38" t="str">
        <v>PRESENT</v>
      </c>
      <c r="C16" s="38" t="str">
        <v>PRESENT_DRAFT</v>
      </c>
      <c r="D16" s="38" t="str">
        <v>PRESENT_DRAFT</v>
      </c>
      <c r="E16" s="38" t="str">
        <v>MODEL_LAYER_PRESENT</v>
      </c>
      <c r="F16" s="38" t="str">
        <v>PRESENT</v>
      </c>
      <c r="G16" s="38" t="str">
        <v>PRESENT_OR_EXPLICIT_PENDING_CONFIRMATION</v>
      </c>
      <c r="H16" s="38" t="str">
        <v>PRESENT_BLOCKED</v>
      </c>
      <c r="I16" s="38" t="str">
        <v>PRESENT</v>
      </c>
      <c r="J16" s="38" t="str">
        <v>PRESENT</v>
      </c>
      <c r="K16" s="38" t="str">
        <v>NOT_APPROVED</v>
      </c>
      <c r="L16" s="38" t="str">
        <v>NOT_COMPLETE</v>
      </c>
      <c r="M16" s="38" t="str">
        <v>BLOCK</v>
      </c>
      <c r="N16" s="39" t="str">
        <v>READY_FOR_CHEF_REVIEW_SUBJECT_EVIDENCE_OPEN</v>
      </c>
    </row>
    <row r="17">
      <c r="A17" s="37" t="str">
        <v>VKM-013</v>
      </c>
      <c r="B17" s="38" t="str">
        <v>PRESENT</v>
      </c>
      <c r="C17" s="38" t="str">
        <v>PRESENT_DRAFT</v>
      </c>
      <c r="D17" s="38" t="str">
        <v>PRESENT_DRAFT</v>
      </c>
      <c r="E17" s="38" t="str">
        <v>MODEL_LAYER_PRESENT</v>
      </c>
      <c r="F17" s="38" t="str">
        <v>PRESENT</v>
      </c>
      <c r="G17" s="38" t="str">
        <v>PRESENT_OR_EXPLICIT_PENDING_CONFIRMATION</v>
      </c>
      <c r="H17" s="38" t="str">
        <v>PRESENT_BLOCKED</v>
      </c>
      <c r="I17" s="38" t="str">
        <v>PRESENT</v>
      </c>
      <c r="J17" s="38" t="str">
        <v>PRESENT</v>
      </c>
      <c r="K17" s="38" t="str">
        <v>NOT_APPROVED</v>
      </c>
      <c r="L17" s="38" t="str">
        <v>NOT_COMPLETE</v>
      </c>
      <c r="M17" s="38" t="str">
        <v>BLOCK</v>
      </c>
      <c r="N17" s="39" t="str">
        <v>READY_FOR_CHEF_REVIEW_SUBJECT_EVIDENCE_OPEN</v>
      </c>
    </row>
    <row r="18">
      <c r="A18" s="37" t="str">
        <v>VKM-014</v>
      </c>
      <c r="B18" s="38" t="str">
        <v>PRESENT</v>
      </c>
      <c r="C18" s="38" t="str">
        <v>PRESENT_DRAFT</v>
      </c>
      <c r="D18" s="38" t="str">
        <v>PRESENT_DRAFT</v>
      </c>
      <c r="E18" s="38" t="str">
        <v>MODEL_LAYER_PRESENT</v>
      </c>
      <c r="F18" s="38" t="str">
        <v>PRESENT</v>
      </c>
      <c r="G18" s="38" t="str">
        <v>PRESENT_OR_EXPLICIT_PENDING_CONFIRMATION</v>
      </c>
      <c r="H18" s="38" t="str">
        <v>PRESENT_BLOCKED</v>
      </c>
      <c r="I18" s="38" t="str">
        <v>PRESENT</v>
      </c>
      <c r="J18" s="38" t="str">
        <v>PRESENT</v>
      </c>
      <c r="K18" s="38" t="str">
        <v>NOT_APPROVED</v>
      </c>
      <c r="L18" s="38" t="str">
        <v>NOT_COMPLETE</v>
      </c>
      <c r="M18" s="38" t="str">
        <v>BLOCK</v>
      </c>
      <c r="N18" s="39" t="str">
        <v>READY_FOR_CHEF_REVIEW_SUBJECT_EVIDENCE_OPEN</v>
      </c>
    </row>
    <row r="19">
      <c r="A19" s="37" t="str">
        <v>VKM-015</v>
      </c>
      <c r="B19" s="38" t="str">
        <v>PRESENT</v>
      </c>
      <c r="C19" s="38" t="str">
        <v>PRESENT_DRAFT</v>
      </c>
      <c r="D19" s="38" t="str">
        <v>PRESENT_DRAFT</v>
      </c>
      <c r="E19" s="38" t="str">
        <v>MODEL_LAYER_PRESENT</v>
      </c>
      <c r="F19" s="38" t="str">
        <v>PRESENT</v>
      </c>
      <c r="G19" s="38" t="str">
        <v>PRESENT_OR_EXPLICIT_PENDING_CONFIRMATION</v>
      </c>
      <c r="H19" s="38" t="str">
        <v>PRESENT_BLOCKED</v>
      </c>
      <c r="I19" s="38" t="str">
        <v>PRESENT</v>
      </c>
      <c r="J19" s="38" t="str">
        <v>PRESENT</v>
      </c>
      <c r="K19" s="38" t="str">
        <v>NOT_APPROVED</v>
      </c>
      <c r="L19" s="38" t="str">
        <v>NOT_COMPLETE</v>
      </c>
      <c r="M19" s="38" t="str">
        <v>BLOCK</v>
      </c>
      <c r="N19" s="39" t="str">
        <v>READY_FOR_CHEF_REVIEW_SUBJECT_EVIDENCE_OPEN</v>
      </c>
    </row>
    <row r="20">
      <c r="A20" s="37" t="str">
        <v>VKM-016</v>
      </c>
      <c r="B20" s="38" t="str">
        <v>PRESENT</v>
      </c>
      <c r="C20" s="38" t="str">
        <v>PRESENT_DRAFT</v>
      </c>
      <c r="D20" s="38" t="str">
        <v>PRESENT_DRAFT</v>
      </c>
      <c r="E20" s="38" t="str">
        <v>MODEL_LAYER_PRESENT</v>
      </c>
      <c r="F20" s="38" t="str">
        <v>PRESENT</v>
      </c>
      <c r="G20" s="38" t="str">
        <v>PRESENT_OR_EXPLICIT_PENDING_CONFIRMATION</v>
      </c>
      <c r="H20" s="38" t="str">
        <v>PRESENT_BLOCKED</v>
      </c>
      <c r="I20" s="38" t="str">
        <v>PRESENT</v>
      </c>
      <c r="J20" s="38" t="str">
        <v>PRESENT</v>
      </c>
      <c r="K20" s="38" t="str">
        <v>NOT_APPROVED</v>
      </c>
      <c r="L20" s="38" t="str">
        <v>NOT_COMPLETE</v>
      </c>
      <c r="M20" s="38" t="str">
        <v>BLOCK</v>
      </c>
      <c r="N20" s="39" t="str">
        <v>READY_FOR_CHEF_REVIEW_SUBJECT_EVIDENCE_OPEN</v>
      </c>
    </row>
    <row r="21">
      <c r="A21" s="37" t="str">
        <v>VKM-017</v>
      </c>
      <c r="B21" s="38" t="str">
        <v>PRESENT</v>
      </c>
      <c r="C21" s="38" t="str">
        <v>PRESENT_DRAFT</v>
      </c>
      <c r="D21" s="38" t="str">
        <v>PRESENT_DRAFT</v>
      </c>
      <c r="E21" s="38" t="str">
        <v>MODEL_LAYER_PRESENT</v>
      </c>
      <c r="F21" s="38" t="str">
        <v>PRESENT</v>
      </c>
      <c r="G21" s="38" t="str">
        <v>PRESENT_OR_EXPLICIT_PENDING_CONFIRMATION</v>
      </c>
      <c r="H21" s="38" t="str">
        <v>PRESENT_BLOCKED</v>
      </c>
      <c r="I21" s="38" t="str">
        <v>PRESENT</v>
      </c>
      <c r="J21" s="38" t="str">
        <v>PRESENT</v>
      </c>
      <c r="K21" s="38" t="str">
        <v>NOT_APPROVED</v>
      </c>
      <c r="L21" s="38" t="str">
        <v>NOT_COMPLETE</v>
      </c>
      <c r="M21" s="38" t="str">
        <v>BLOCK</v>
      </c>
      <c r="N21" s="39" t="str">
        <v>READY_FOR_CHEF_REVIEW_SUBJECT_EVIDENCE_OPEN</v>
      </c>
    </row>
    <row r="22">
      <c r="A22" s="37" t="str">
        <v>VKM-018</v>
      </c>
      <c r="B22" s="38" t="str">
        <v>PRESENT</v>
      </c>
      <c r="C22" s="38" t="str">
        <v>PRESENT_DRAFT</v>
      </c>
      <c r="D22" s="38" t="str">
        <v>PRESENT_DRAFT</v>
      </c>
      <c r="E22" s="38" t="str">
        <v>MODEL_LAYER_PRESENT</v>
      </c>
      <c r="F22" s="38" t="str">
        <v>PRESENT</v>
      </c>
      <c r="G22" s="38" t="str">
        <v>PRESENT_OR_EXPLICIT_PENDING_CONFIRMATION</v>
      </c>
      <c r="H22" s="38" t="str">
        <v>PRESENT_BLOCKED</v>
      </c>
      <c r="I22" s="38" t="str">
        <v>PRESENT</v>
      </c>
      <c r="J22" s="38" t="str">
        <v>PRESENT</v>
      </c>
      <c r="K22" s="38" t="str">
        <v>NOT_APPROVED</v>
      </c>
      <c r="L22" s="38" t="str">
        <v>NOT_COMPLETE</v>
      </c>
      <c r="M22" s="38" t="str">
        <v>BLOCK</v>
      </c>
      <c r="N22" s="39" t="str">
        <v>READY_FOR_CHEF_REVIEW_SUBJECT_EVIDENCE_OPEN</v>
      </c>
    </row>
    <row r="23">
      <c r="A23" s="37" t="str">
        <v>VKM-019</v>
      </c>
      <c r="B23" s="38" t="str">
        <v>PRESENT</v>
      </c>
      <c r="C23" s="38" t="str">
        <v>PRESENT_DRAFT</v>
      </c>
      <c r="D23" s="38" t="str">
        <v>PRESENT_DRAFT</v>
      </c>
      <c r="E23" s="38" t="str">
        <v>MODEL_LAYER_PRESENT</v>
      </c>
      <c r="F23" s="38" t="str">
        <v>PRESENT</v>
      </c>
      <c r="G23" s="38" t="str">
        <v>PRESENT_OR_EXPLICIT_PENDING_CONFIRMATION</v>
      </c>
      <c r="H23" s="38" t="str">
        <v>PRESENT_BLOCKED</v>
      </c>
      <c r="I23" s="38" t="str">
        <v>PRESENT</v>
      </c>
      <c r="J23" s="38" t="str">
        <v>PRESENT</v>
      </c>
      <c r="K23" s="38" t="str">
        <v>NOT_APPROVED</v>
      </c>
      <c r="L23" s="38" t="str">
        <v>NOT_COMPLETE</v>
      </c>
      <c r="M23" s="38" t="str">
        <v>BLOCK</v>
      </c>
      <c r="N23" s="39" t="str">
        <v>READY_FOR_CHEF_REVIEW_SUBJECT_EVIDENCE_OPEN</v>
      </c>
    </row>
    <row r="24">
      <c r="A24" s="37" t="str">
        <v>VKM-020</v>
      </c>
      <c r="B24" s="38" t="str">
        <v>PRESENT</v>
      </c>
      <c r="C24" s="38" t="str">
        <v>PRESENT_DRAFT</v>
      </c>
      <c r="D24" s="38" t="str">
        <v>PRESENT_DRAFT</v>
      </c>
      <c r="E24" s="38" t="str">
        <v>MODEL_LAYER_PRESENT</v>
      </c>
      <c r="F24" s="38" t="str">
        <v>PRESENT</v>
      </c>
      <c r="G24" s="38" t="str">
        <v>PRESENT_OR_EXPLICIT_PENDING_CONFIRMATION</v>
      </c>
      <c r="H24" s="38" t="str">
        <v>PRESENT_BLOCKED</v>
      </c>
      <c r="I24" s="38" t="str">
        <v>PRESENT</v>
      </c>
      <c r="J24" s="38" t="str">
        <v>PRESENT</v>
      </c>
      <c r="K24" s="38" t="str">
        <v>NOT_APPROVED</v>
      </c>
      <c r="L24" s="38" t="str">
        <v>NOT_COMPLETE</v>
      </c>
      <c r="M24" s="38" t="str">
        <v>BLOCK</v>
      </c>
      <c r="N24" s="39" t="str">
        <v>READY_FOR_CHEF_REVIEW_SUBJECT_EVIDENCE_OPEN</v>
      </c>
    </row>
    <row r="25">
      <c r="A25" s="37" t="str">
        <v>VKM-021</v>
      </c>
      <c r="B25" s="38" t="str">
        <v>PRESENT</v>
      </c>
      <c r="C25" s="38" t="str">
        <v>PRESENT_DRAFT</v>
      </c>
      <c r="D25" s="38" t="str">
        <v>PRESENT_DRAFT</v>
      </c>
      <c r="E25" s="38" t="str">
        <v>MODEL_LAYER_PRESENT</v>
      </c>
      <c r="F25" s="38" t="str">
        <v>PRESENT</v>
      </c>
      <c r="G25" s="38" t="str">
        <v>PRESENT_OR_EXPLICIT_PENDING_CONFIRMATION</v>
      </c>
      <c r="H25" s="38" t="str">
        <v>PRESENT_BLOCKED</v>
      </c>
      <c r="I25" s="38" t="str">
        <v>PRESENT</v>
      </c>
      <c r="J25" s="38" t="str">
        <v>PRESENT</v>
      </c>
      <c r="K25" s="38" t="str">
        <v>NOT_APPROVED</v>
      </c>
      <c r="L25" s="38" t="str">
        <v>NOT_COMPLETE</v>
      </c>
      <c r="M25" s="38" t="str">
        <v>BLOCK</v>
      </c>
      <c r="N25" s="39" t="str">
        <v>READY_FOR_CHEF_REVIEW_SUBJECT_EVIDENCE_OPEN</v>
      </c>
    </row>
    <row r="26">
      <c r="A26" s="37" t="str">
        <v>VKM-022</v>
      </c>
      <c r="B26" s="38" t="str">
        <v>PRESENT</v>
      </c>
      <c r="C26" s="38" t="str">
        <v>PRESENT_DRAFT</v>
      </c>
      <c r="D26" s="38" t="str">
        <v>PRESENT_DRAFT</v>
      </c>
      <c r="E26" s="38" t="str">
        <v>MODEL_LAYER_PRESENT</v>
      </c>
      <c r="F26" s="38" t="str">
        <v>PRESENT</v>
      </c>
      <c r="G26" s="38" t="str">
        <v>PRESENT_OR_EXPLICIT_PENDING_CONFIRMATION</v>
      </c>
      <c r="H26" s="38" t="str">
        <v>PRESENT_BLOCKED</v>
      </c>
      <c r="I26" s="38" t="str">
        <v>PRESENT</v>
      </c>
      <c r="J26" s="38" t="str">
        <v>PRESENT</v>
      </c>
      <c r="K26" s="38" t="str">
        <v>NOT_APPROVED</v>
      </c>
      <c r="L26" s="38" t="str">
        <v>NOT_COMPLETE</v>
      </c>
      <c r="M26" s="38" t="str">
        <v>BLOCK</v>
      </c>
      <c r="N26" s="39" t="str">
        <v>READY_FOR_CHEF_REVIEW_SUBJECT_EVIDENCE_OPEN</v>
      </c>
    </row>
    <row r="27">
      <c r="A27" s="37" t="str">
        <v>VKM-023</v>
      </c>
      <c r="B27" s="38" t="str">
        <v>PRESENT</v>
      </c>
      <c r="C27" s="38" t="str">
        <v>PRESENT_DRAFT</v>
      </c>
      <c r="D27" s="38" t="str">
        <v>PRESENT_DRAFT</v>
      </c>
      <c r="E27" s="38" t="str">
        <v>MODEL_LAYER_PRESENT</v>
      </c>
      <c r="F27" s="38" t="str">
        <v>PRESENT</v>
      </c>
      <c r="G27" s="38" t="str">
        <v>PRESENT_OR_EXPLICIT_PENDING_CONFIRMATION</v>
      </c>
      <c r="H27" s="38" t="str">
        <v>PRESENT_BLOCKED</v>
      </c>
      <c r="I27" s="38" t="str">
        <v>PRESENT</v>
      </c>
      <c r="J27" s="38" t="str">
        <v>PRESENT</v>
      </c>
      <c r="K27" s="38" t="str">
        <v>NOT_APPROVED</v>
      </c>
      <c r="L27" s="38" t="str">
        <v>NOT_COMPLETE</v>
      </c>
      <c r="M27" s="38" t="str">
        <v>BLOCK</v>
      </c>
      <c r="N27" s="39" t="str">
        <v>READY_FOR_CHEF_REVIEW_SUBJECT_EVIDENCE_OPEN</v>
      </c>
    </row>
    <row r="28">
      <c r="A28" s="37" t="str">
        <v>VKM-024</v>
      </c>
      <c r="B28" s="38" t="str">
        <v>PRESENT</v>
      </c>
      <c r="C28" s="38" t="str">
        <v>PRESENT_DRAFT</v>
      </c>
      <c r="D28" s="38" t="str">
        <v>PRESENT_DRAFT</v>
      </c>
      <c r="E28" s="38" t="str">
        <v>MODEL_LAYER_PRESENT</v>
      </c>
      <c r="F28" s="38" t="str">
        <v>PRESENT</v>
      </c>
      <c r="G28" s="38" t="str">
        <v>PRESENT_OR_EXPLICIT_PENDING_CONFIRMATION</v>
      </c>
      <c r="H28" s="38" t="str">
        <v>PRESENT_BLOCKED</v>
      </c>
      <c r="I28" s="38" t="str">
        <v>PRESENT</v>
      </c>
      <c r="J28" s="38" t="str">
        <v>PRESENT</v>
      </c>
      <c r="K28" s="38" t="str">
        <v>NOT_APPROVED</v>
      </c>
      <c r="L28" s="38" t="str">
        <v>NOT_COMPLETE</v>
      </c>
      <c r="M28" s="38" t="str">
        <v>BLOCK</v>
      </c>
      <c r="N28" s="39" t="str">
        <v>READY_FOR_CHEF_REVIEW_SUBJECT_EVIDENCE_OPEN</v>
      </c>
    </row>
    <row r="29">
      <c r="A29" s="37" t="str">
        <v>VKM-025</v>
      </c>
      <c r="B29" s="38" t="str">
        <v>PRESENT</v>
      </c>
      <c r="C29" s="38" t="str">
        <v>PRESENT_DRAFT</v>
      </c>
      <c r="D29" s="38" t="str">
        <v>PRESENT_DRAFT</v>
      </c>
      <c r="E29" s="38" t="str">
        <v>MODEL_LAYER_PRESENT</v>
      </c>
      <c r="F29" s="38" t="str">
        <v>PRESENT</v>
      </c>
      <c r="G29" s="38" t="str">
        <v>PRESENT_OR_EXPLICIT_PENDING_CONFIRMATION</v>
      </c>
      <c r="H29" s="38" t="str">
        <v>PRESENT_BLOCKED</v>
      </c>
      <c r="I29" s="38" t="str">
        <v>PRESENT</v>
      </c>
      <c r="J29" s="38" t="str">
        <v>PRESENT</v>
      </c>
      <c r="K29" s="38" t="str">
        <v>NOT_APPROVED</v>
      </c>
      <c r="L29" s="38" t="str">
        <v>NOT_COMPLETE</v>
      </c>
      <c r="M29" s="38" t="str">
        <v>BLOCK</v>
      </c>
      <c r="N29" s="39" t="str">
        <v>READY_FOR_CHEF_REVIEW_SUBJECT_EVIDENCE_OPEN</v>
      </c>
    </row>
    <row r="30">
      <c r="A30" s="37" t="str">
        <v>VKM-026</v>
      </c>
      <c r="B30" s="38" t="str">
        <v>PRESENT</v>
      </c>
      <c r="C30" s="38" t="str">
        <v>PRESENT_DRAFT</v>
      </c>
      <c r="D30" s="38" t="str">
        <v>PRESENT_DRAFT</v>
      </c>
      <c r="E30" s="38" t="str">
        <v>MODEL_LAYER_PRESENT</v>
      </c>
      <c r="F30" s="38" t="str">
        <v>PRESENT</v>
      </c>
      <c r="G30" s="38" t="str">
        <v>PRESENT_OR_EXPLICIT_PENDING_CONFIRMATION</v>
      </c>
      <c r="H30" s="38" t="str">
        <v>PRESENT_BLOCKED</v>
      </c>
      <c r="I30" s="38" t="str">
        <v>PRESENT</v>
      </c>
      <c r="J30" s="38" t="str">
        <v>PRESENT</v>
      </c>
      <c r="K30" s="38" t="str">
        <v>NOT_APPROVED</v>
      </c>
      <c r="L30" s="38" t="str">
        <v>NOT_COMPLETE</v>
      </c>
      <c r="M30" s="38" t="str">
        <v>NOT_PRODUCTION_RELEASED</v>
      </c>
      <c r="N30" s="39" t="str">
        <v>READY_FOR_CHEF_REVIEW_SUBJECT_EVIDENCE_OPEN</v>
      </c>
    </row>
    <row r="31">
      <c r="A31" s="37" t="str">
        <v>VKM-027</v>
      </c>
      <c r="B31" s="38" t="str">
        <v>PRESENT</v>
      </c>
      <c r="C31" s="38" t="str">
        <v>PRESENT_DRAFT</v>
      </c>
      <c r="D31" s="38" t="str">
        <v>PRESENT_DRAFT</v>
      </c>
      <c r="E31" s="38" t="str">
        <v>MODEL_LAYER_PRESENT</v>
      </c>
      <c r="F31" s="38" t="str">
        <v>PRESENT</v>
      </c>
      <c r="G31" s="38" t="str">
        <v>PRESENT_OR_EXPLICIT_PENDING_CONFIRMATION</v>
      </c>
      <c r="H31" s="38" t="str">
        <v>PRESENT_BLOCKED</v>
      </c>
      <c r="I31" s="38" t="str">
        <v>PRESENT</v>
      </c>
      <c r="J31" s="38" t="str">
        <v>PRESENT</v>
      </c>
      <c r="K31" s="38" t="str">
        <v>NOT_APPROVED</v>
      </c>
      <c r="L31" s="38" t="str">
        <v>NOT_COMPLETE</v>
      </c>
      <c r="M31" s="38" t="str">
        <v>NOT_PRODUCTION_RELEASED</v>
      </c>
      <c r="N31" s="39" t="str">
        <v>READY_FOR_CHEF_REVIEW_SUBJECT_EVIDENCE_OPEN</v>
      </c>
    </row>
    <row r="32">
      <c r="A32" s="37" t="str">
        <v>VKM-028</v>
      </c>
      <c r="B32" s="38" t="str">
        <v>PRESENT</v>
      </c>
      <c r="C32" s="38" t="str">
        <v>PRESENT_DRAFT</v>
      </c>
      <c r="D32" s="38" t="str">
        <v>PRESENT_DRAFT</v>
      </c>
      <c r="E32" s="38" t="str">
        <v>MODEL_LAYER_PRESENT</v>
      </c>
      <c r="F32" s="38" t="str">
        <v>PRESENT</v>
      </c>
      <c r="G32" s="38" t="str">
        <v>PRESENT_OR_EXPLICIT_PENDING_CONFIRMATION</v>
      </c>
      <c r="H32" s="38" t="str">
        <v>PRESENT_BLOCKED</v>
      </c>
      <c r="I32" s="38" t="str">
        <v>PRESENT</v>
      </c>
      <c r="J32" s="38" t="str">
        <v>PRESENT</v>
      </c>
      <c r="K32" s="38" t="str">
        <v>NOT_APPROVED</v>
      </c>
      <c r="L32" s="38" t="str">
        <v>NOT_COMPLETE</v>
      </c>
      <c r="M32" s="38" t="str">
        <v>NOT_PRODUCTION_RELEASED</v>
      </c>
      <c r="N32" s="39" t="str">
        <v>READY_FOR_CHEF_REVIEW_SUBJECT_EVIDENCE_OPEN</v>
      </c>
    </row>
    <row r="33">
      <c r="A33" s="37" t="str">
        <v>VKM-029</v>
      </c>
      <c r="B33" s="38" t="str">
        <v>PRESENT</v>
      </c>
      <c r="C33" s="38" t="str">
        <v>PRESENT_DRAFT</v>
      </c>
      <c r="D33" s="38" t="str">
        <v>PRESENT_DRAFT</v>
      </c>
      <c r="E33" s="38" t="str">
        <v>MODEL_LAYER_PRESENT</v>
      </c>
      <c r="F33" s="38" t="str">
        <v>PRESENT</v>
      </c>
      <c r="G33" s="38" t="str">
        <v>PRESENT_OR_EXPLICIT_PENDING_CONFIRMATION</v>
      </c>
      <c r="H33" s="38" t="str">
        <v>PRESENT_BLOCKED</v>
      </c>
      <c r="I33" s="38" t="str">
        <v>PRESENT</v>
      </c>
      <c r="J33" s="38" t="str">
        <v>PRESENT</v>
      </c>
      <c r="K33" s="38" t="str">
        <v>NOT_APPROVED</v>
      </c>
      <c r="L33" s="38" t="str">
        <v>NOT_COMPLETE</v>
      </c>
      <c r="M33" s="38" t="str">
        <v>BLOCK</v>
      </c>
      <c r="N33" s="39" t="str">
        <v>READY_FOR_CHEF_REVIEW_SUBJECT_EVIDENCE_OPEN</v>
      </c>
    </row>
    <row r="34">
      <c r="A34" s="37" t="str">
        <v>VKM-030</v>
      </c>
      <c r="B34" s="38" t="str">
        <v>PRESENT</v>
      </c>
      <c r="C34" s="38" t="str">
        <v>PRESENT_DRAFT</v>
      </c>
      <c r="D34" s="38" t="str">
        <v>PRESENT_DRAFT</v>
      </c>
      <c r="E34" s="38" t="str">
        <v>MODEL_LAYER_PRESENT</v>
      </c>
      <c r="F34" s="38" t="str">
        <v>PRESENT</v>
      </c>
      <c r="G34" s="38" t="str">
        <v>PRESENT_OR_EXPLICIT_PENDING_CONFIRMATION</v>
      </c>
      <c r="H34" s="38" t="str">
        <v>PRESENT_BLOCKED</v>
      </c>
      <c r="I34" s="38" t="str">
        <v>PRESENT</v>
      </c>
      <c r="J34" s="38" t="str">
        <v>PRESENT</v>
      </c>
      <c r="K34" s="38" t="str">
        <v>NOT_APPROVED</v>
      </c>
      <c r="L34" s="38" t="str">
        <v>NOT_COMPLETE</v>
      </c>
      <c r="M34" s="38" t="str">
        <v>BLOCK</v>
      </c>
      <c r="N34" s="39" t="str">
        <v>READY_FOR_CHEF_REVIEW_SUBJECT_EVIDENCE_OPEN</v>
      </c>
    </row>
    <row r="35">
      <c r="A35" s="40" t="str">
        <v>VKM-031</v>
      </c>
      <c r="B35" s="41" t="str">
        <v>PRESENT</v>
      </c>
      <c r="C35" s="41" t="str">
        <v>PRESENT_DRAFT</v>
      </c>
      <c r="D35" s="41" t="str">
        <v>PRESENT_DRAFT</v>
      </c>
      <c r="E35" s="41" t="str">
        <v>MODEL_LAYER_PRESENT</v>
      </c>
      <c r="F35" s="41" t="str">
        <v>PRESENT</v>
      </c>
      <c r="G35" s="41" t="str">
        <v>PRESENT_OR_EXPLICIT_PENDING_CONFIRMATION</v>
      </c>
      <c r="H35" s="41" t="str">
        <v>PRESENT_BLOCKED</v>
      </c>
      <c r="I35" s="41" t="str">
        <v>PRESENT</v>
      </c>
      <c r="J35" s="41" t="str">
        <v>PRESENT</v>
      </c>
      <c r="K35" s="41" t="str">
        <v>NOT_APPROVED</v>
      </c>
      <c r="L35" s="41" t="str">
        <v>NOT_COMPLETE</v>
      </c>
      <c r="M35" s="41" t="str">
        <v>BLOCK</v>
      </c>
      <c r="N35" s="42" t="str">
        <v>READY_FOR_CHEF_REVIEW_SUBJECT_EVIDENCE_OPEN</v>
      </c>
    </row>
  </sheetData>
  <autoFilter ref="A1:N35"/>
  <mergeCells>
    <mergeCell ref="A1:N1"/>
    <mergeCell ref="A2:N2"/>
  </mergeCells>
  <conditionalFormatting sqref="M5:M35">
    <cfRule type="containsText" dxfId="147" priority="1" operator="containsText" text="BLOCK"/>
    <cfRule type="containsText" dxfId="148" priority="2" operator="containsText" text="DRAFT"/>
    <cfRule type="containsText" dxfId="149" priority="3" operator="containsText" text="PASS"/>
  </conditionalFormatting>
  <pageMargins left="0.7" right="0.7" top="0.75" bottom="0.75" header="0.3" footer="0.3"/>
  <tableParts count="1">
    <tablePart r:id="R087a542706124191"/>
  </tableParts>
  <pageSetup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</cols>
  <sheetData>
    <row r="1">
      <c r="A1" s="4" t="str">
        <v>check_id</v>
      </c>
      <c r="B1" s="4" t="str">
        <v>actual</v>
      </c>
      <c r="C1" s="4" t="str">
        <v>expected</v>
      </c>
      <c r="D1" s="4" t="str">
        <v>difference</v>
      </c>
      <c r="E1" s="4" t="str">
        <v>status</v>
      </c>
      <c r="F1" s="4" t="str">
        <v>note</v>
      </c>
    </row>
    <row r="2">
      <c r="A2" t="str">
        <v>CHK-POSITIONS</v>
      </c>
      <c r="B2" t="n">
        <v>31</v>
      </c>
      <c r="C2" t="n">
        <v>31</v>
      </c>
      <c r="D2" t="n">
        <v>0</v>
      </c>
      <c r="E2" t="str">
        <v>PASS</v>
      </c>
      <c r="F2" t="str">
        <v>Exact VKM-001..031</v>
      </c>
    </row>
    <row r="3">
      <c r="A3" t="str">
        <v>CHK-CHANNELS</v>
      </c>
      <c r="B3" t="n">
        <v>104</v>
      </c>
      <c r="C3" t="n">
        <v>104</v>
      </c>
      <c r="D3" t="n">
        <v>0</v>
      </c>
      <c r="E3" t="str">
        <v>PASS</v>
      </c>
      <c r="F3" t="str">
        <v>Unique position×channel</v>
      </c>
    </row>
    <row r="4">
      <c r="A4" t="str">
        <v>CHK-SHEETS</v>
      </c>
      <c r="B4" t="n">
        <v>17</v>
      </c>
      <c r="C4" t="n">
        <v>17</v>
      </c>
      <c r="D4" t="n">
        <v>0</v>
      </c>
      <c r="E4" t="str">
        <v>PASS</v>
      </c>
      <c r="F4" t="str">
        <v>Required sheets</v>
      </c>
    </row>
    <row r="5">
      <c r="A5" t="str">
        <v>CHK-SAFETY</v>
      </c>
      <c r="B5" t="str">
        <v>BLOCK 28/28</v>
      </c>
      <c r="C5" t="str">
        <v>BLOCK 28/28</v>
      </c>
      <c r="D5" t="n">
        <v>0</v>
      </c>
      <c r="E5" t="str">
        <v>PASS</v>
      </c>
      <c r="F5" t="str">
        <v>Issue82 veto retained</v>
      </c>
    </row>
    <row r="6">
      <c r="A6" t="str">
        <v>CHK-EVIDENCE</v>
      </c>
      <c r="B6" t="str">
        <v>MODEL_ONLY</v>
      </c>
      <c r="C6" t="str">
        <v>MODEL_ONLY</v>
      </c>
      <c r="D6" t="n">
        <v>0</v>
      </c>
      <c r="E6" t="str">
        <v>PASS</v>
      </c>
      <c r="F6" t="str">
        <v>No proxy promotion</v>
      </c>
    </row>
    <row r="7">
      <c r="A7" t="str">
        <v>CHK-CHEF</v>
      </c>
      <c r="B7" t="str">
        <v>0 approved</v>
      </c>
      <c r="C7" t="str">
        <v>0 approved</v>
      </c>
      <c r="D7" t="n">
        <v>0</v>
      </c>
      <c r="E7" t="str">
        <v>PASS</v>
      </c>
      <c r="F7" t="str">
        <v>No inferred decisions</v>
      </c>
    </row>
  </sheetData>
  <autoFilter ref="A1:F7"/>
  <conditionalFormatting sqref="E2:E7">
    <cfRule type="containsText" dxfId="150" priority="1" operator="containsText" text="PASS"/>
  </conditionalFormatting>
  <pageMargins left="0.7" right="0.7" top="0.75" bottom="0.75" header="0.3" footer="0.3"/>
  <tableParts count="1">
    <tablePart r:id="Rdeb4b509102f43b4"/>
  </tableParts>
  <dataValidations count="1">
    <dataValidation type="list" allowBlank="1" showErrorMessage="1" sqref="E5:E500">
      <formula1>"DRAFT,BLOCKED,OPEN,PASS,CALCULATED,ASSUMPTION,PRELIMINARY"</formula1>
    </dataValidation>
  </dataValidations>
  <pageSetup orientation="landscape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38" hidden="0" customWidth="1"/>
    <col min="5" max="5" width="16" hidden="0" customWidth="1"/>
    <col min="6" max="6" width="24" hidden="0" customWidth="1"/>
    <col min="7" max="7" width="16" hidden="0" customWidth="1"/>
  </cols>
  <sheetData>
    <row r="1">
      <c r="A1" s="8" t="str">
        <v>16 — Источники</v>
      </c>
      <c r="B1" s="8"/>
      <c r="C1" s="8"/>
      <c r="D1" s="8"/>
      <c r="E1" s="8"/>
      <c r="F1" s="8"/>
      <c r="G1" s="8"/>
    </row>
    <row r="2">
      <c r="A2" s="11" t="str">
        <v>Иерархия и ограничения использования.</v>
      </c>
      <c r="B2" s="11"/>
      <c r="C2" s="11"/>
      <c r="D2" s="11"/>
      <c r="E2" s="11"/>
      <c r="F2" s="11"/>
      <c r="G2" s="11"/>
    </row>
    <row r="4" ht="50" customHeight="1">
      <c r="A4" s="14" t="str">
        <v>source_id</v>
      </c>
      <c r="B4" s="14" t="str">
        <v>tier</v>
      </c>
      <c r="C4" s="14" t="str">
        <v>ref</v>
      </c>
      <c r="D4" s="14" t="str">
        <v>path</v>
      </c>
      <c r="E4" s="14" t="str">
        <v>coverage</v>
      </c>
      <c r="F4" s="14" t="str">
        <v>status</v>
      </c>
      <c r="G4" s="14" t="str">
        <v>restriction</v>
      </c>
    </row>
    <row r="5">
      <c r="A5" s="34" t="str">
        <v>SRC-MAIN</v>
      </c>
      <c r="B5" s="35" t="n">
        <v>1</v>
      </c>
      <c r="C5" s="35" t="str">
        <v>cd23852fda61d9ee42dc7bae453e164c8f4d130c</v>
      </c>
      <c r="D5" s="35" t="str">
        <v>docs/07-operations/issue-82/*</v>
      </c>
      <c r="E5" s="35" t="str">
        <v>28 dishes and accepted bridges</v>
      </c>
      <c r="F5" s="35" t="str">
        <v>CURRENT_MAIN</v>
      </c>
      <c r="G5" s="36" t="str">
        <v>No status elevation</v>
      </c>
    </row>
    <row r="6">
      <c r="A6" s="37" t="str">
        <v>SRC-HO</v>
      </c>
      <c r="B6" s="38" t="n">
        <v>2</v>
      </c>
      <c r="C6" s="38" t="str">
        <v>c07eda2ce38cb1b84d3d1db3aa675c6386368a89</v>
      </c>
      <c r="D6" s="38" t="str">
        <v>SESSION-20260804-03-HANDOFF.md</v>
      </c>
      <c r="E6" s="38" t="str">
        <v>transfer contract</v>
      </c>
      <c r="F6" s="38" t="str">
        <v>ACCEPTED_WITH_CONDITIONS</v>
      </c>
      <c r="G6" s="39" t="str">
        <v>Not subject approval</v>
      </c>
    </row>
    <row r="7">
      <c r="A7" s="37" t="str">
        <v>SRC-VA</v>
      </c>
      <c r="B7" s="38" t="n">
        <v>2</v>
      </c>
      <c r="C7" s="38" t="str">
        <v>7585632c64e53e22c6f8b1273ee6239b659d6836</v>
      </c>
      <c r="D7" s="38" t="str">
        <v>SESSION-20260804-03-VERIFICATION.md</v>
      </c>
      <c r="E7" s="38" t="str">
        <v>handoff quality</v>
      </c>
      <c r="F7" s="38" t="str">
        <v>PASS_WITH_REMARKS</v>
      </c>
      <c r="G7" s="39" t="str">
        <v>Not subject PASS</v>
      </c>
    </row>
    <row r="8">
      <c r="A8" s="40" t="str">
        <v>SRC-PR81</v>
      </c>
      <c r="B8" s="41" t="n">
        <v>4</v>
      </c>
      <c r="C8" s="41" t="str">
        <v>1e0722ad7eef9d9e8be591a6302e9d3f5dd73a23</v>
      </c>
      <c r="D8" s="41" t="str">
        <v>scripts/releases/build_issue_80_menu_cards.mjs</v>
      </c>
      <c r="E8" s="41" t="str">
        <v>VKM-026..028</v>
      </c>
      <c r="F8" s="41" t="str">
        <v>HISTORICAL_DRAFT</v>
      </c>
      <c r="G8" s="42" t="str">
        <v>Breakfast only</v>
      </c>
    </row>
  </sheetData>
  <autoFilter ref="A1:G8"/>
  <mergeCells>
    <mergeCell ref="A1:G1"/>
    <mergeCell ref="A2:G2"/>
  </mergeCells>
  <conditionalFormatting sqref="F5:F8">
    <cfRule type="containsText" dxfId="151" priority="1" operator="containsText" text="BLOCK"/>
    <cfRule type="containsText" dxfId="152" priority="2" operator="containsText" text="DRAFT"/>
    <cfRule type="containsText" dxfId="153" priority="3" operator="containsText" text="PASS"/>
  </conditionalFormatting>
  <pageMargins left="0.7" right="0.7" top="0.75" bottom="0.75" header="0.3" footer="0.3"/>
  <tableParts count="1">
    <tablePart r:id="R4fc4390201034a86"/>
  </tableParts>
  <pageSetup orientation="landscape" fitToWidth="1" fitToHeight="0"/>
</worksheet>
</file>