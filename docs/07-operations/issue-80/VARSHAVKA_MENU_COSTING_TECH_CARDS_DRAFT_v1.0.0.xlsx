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3b0c011f54e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ПАСПОРТ" sheetId="1" r:id="Rcafff1b0cf7143ba"/>
    <x:sheet xmlns:r="http://schemas.openxmlformats.org/officeDocument/2006/relationships" name="01_МЕНЮ" sheetId="2" r:id="Rf98e7027e2b9447b"/>
    <x:sheet xmlns:r="http://schemas.openxmlformats.org/officeDocument/2006/relationships" name="02_КАЛЬКУЛЯЦИИ" sheetId="3" r:id="R999ba8866e354a1d"/>
    <x:sheet xmlns:r="http://schemas.openxmlformats.org/officeDocument/2006/relationships" name="03_ТЕХКАРТЫ" sheetId="4" r:id="R78d381992afb4812"/>
    <x:sheet xmlns:r="http://schemas.openxmlformats.org/officeDocument/2006/relationships" name="04_СЫРЬЁ_И_ЦЕНЫ" sheetId="5" r:id="R9ce87e3e2c2741ca"/>
    <x:sheet xmlns:r="http://schemas.openxmlformats.org/officeDocument/2006/relationships" name="05_АЛЛЕРГЕНЫ_БЕЗОПАСНОСТЬ" sheetId="6" r:id="R487db05300e64cba"/>
    <x:sheet xmlns:r="http://schemas.openxmlformats.org/officeDocument/2006/relationships" name="06_ВОПРОСЫ_ШЕФУ" sheetId="7" r:id="R2c2536f74dce4e6a"/>
    <x:sheet xmlns:r="http://schemas.openxmlformats.org/officeDocument/2006/relationships" name="07_СОГЛАСОВАНИЕ" sheetId="8" r:id="R9ffc40df6ab24028"/>
    <x:sheet xmlns:r="http://schemas.openxmlformats.org/officeDocument/2006/relationships" name="08_ПРОВЕРКИ" sheetId="9" r:id="R9adf19dc3f884c4a"/>
    <x:sheet xmlns:r="http://schemas.openxmlformats.org/officeDocument/2006/relationships" name="09_ИСТОЧНИКИ" sheetId="10" r:id="Rfe665fb13a6d4334"/>
  </x:sheets>
</x:workbook>
</file>

<file path=xl/comments1.xml><?xml version="1.0" encoding="utf-8"?>
<x:comments xmlns:x="http://schemas.openxmlformats.org/spreadsheetml/2006/main">
  <x:authors>
    <x:author>tc={8E0F6103-A327-DC77-BEE4-E116CFE3F284}</x:author>
  </x:authors>
  <x:commentList>
    <x:comment ref="G3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Внутренний тариф гостиничного завтрака 550 руб. с НДС; DRAFT для данного комплекта, не внешняя цена продажи.</x:t>
        </x:r>
      </x:text>
    </x:comment>
  </x:commentList>
</x:comments>
</file>

<file path=xl/comments2.xml><?xml version="1.0" encoding="utf-8"?>
<x:comments xmlns:x="http://schemas.openxmlformats.org/spreadsheetml/2006/main">
  <x:authors>
    <x:author>tc={D02B4DFD-42B7-3D7D-3290-BA1091155D54}</x:author>
  </x:authors>
  <x:commentList>
    <x:comment ref="E1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1 800 руб./кг — только параметр чувствительности S04; поставщик и закупочная цена не утверждены.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#,##0.0000"/>
    <x:numFmt numFmtId="203" formatCode="0.00%"/>
  </x:numFmts>
  <x:fonts count="5">
    <x:font>
      <x:sz val="11"/>
      <x:name val="Carlito"/>
    </x:font>
    <x:font>
      <x:b/>
      <x:sz val="15"/>
      <x:color rgb="FFFFFFFF"/>
      <x:name val="Arial"/>
    </x:font>
    <x:font>
      <x:i/>
      <x:sz val="11"/>
      <x:color rgb="FF1F1F1F"/>
      <x:name val="Arial"/>
    </x:font>
    <x:font>
      <x:b/>
      <x:sz val="11"/>
      <x:color rgb="FFFFFFFF"/>
      <x:name val="Arial"/>
    </x:font>
    <x:font>
      <x:sz val="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0F6B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1" fontId="4" fillId="0" borderId="8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2" fontId="4" fillId="0" borderId="8" xfId="0" applyNumberFormat="1" applyFont="1" applyFill="1" applyBorder="1" applyAlignment="1">
      <x:alignment vertical="top" wrapText="1"/>
    </x:xf>
    <x:xf numFmtId="203" fontId="4" fillId="0" borderId="2" xfId="0" applyNumberFormat="1" applyFont="1" applyFill="1" applyBorder="1" applyAlignment="1">
      <x:alignment vertical="top" wrapText="1"/>
    </x:xf>
    <x:xf numFmtId="203" fontId="4" fillId="0" borderId="5" xfId="0" applyNumberFormat="1" applyFont="1" applyFill="1" applyBorder="1" applyAlignment="1">
      <x:alignment vertical="top" wrapText="1"/>
    </x:xf>
    <x:xf numFmtId="203" fontId="4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68">
    <x:dxf>
      <x:font>
        <x:b/>
        <x:color rgb="FF1F1F1F"/>
      </x:font>
      <x:fill>
        <x:patternFill patternType="solid">
          <x:bgColor rgb="FFD9EAD3"/>
        </x:patternFill>
      </x:fill>
    </x:dxf>
    <x:dxf>
      <x:font>
        <x:b/>
        <x:color rgb="FF1F1F1F"/>
      </x:font>
      <x:fill>
        <x:patternFill patternType="solid">
          <x:bgColor rgb="FFDDEBF7"/>
        </x:patternFill>
      </x:fill>
    </x:dxf>
    <x:dxf>
      <x:font>
        <x:b/>
        <x:color rgb="FF1F1F1F"/>
      </x:font>
      <x:fill>
        <x:patternFill patternType="solid">
          <x:bgColor rgb="FFFFF2CC"/>
        </x:patternFill>
      </x:fill>
    </x:dxf>
    <x:dxf>
      <x:font>
        <x:b/>
        <x:color rgb="FF1F1F1F"/>
      </x:font>
      <x:fill>
        <x:patternFill patternType="solid">
          <x:bgColor rgb="FFFCE5CD"/>
        </x:patternFill>
      </x:fill>
    </x:dxf>
    <x:dxf>
      <x:font>
        <x:b/>
        <x:color rgb="FF1F1F1F"/>
      </x:font>
      <x:fill>
        <x:patternFill patternType="solid">
          <x:bgColor rgb="FFF4CCCC"/>
        </x:patternFill>
      </x:fill>
    </x:dxf>
    <x:dxf>
      <x:font>
        <x:b/>
        <x:color rgb="FF1F1F1F"/>
      </x:font>
      <x:fill>
        <x:patternFill patternType="solid">
          <x:bgColor rgb="FFE7E6E6"/>
        </x:patternFill>
      </x:fill>
    </x:dxf>
    <x:dxf>
      <x:font>
        <x:b/>
        <x:color rgb="FF1F1F1F"/>
      </x:font>
      <x:fill>
        <x:patternFill patternType="solid">
          <x:bgColor rgb="FFD9EAD3"/>
        </x:patternFill>
      </x:fill>
    </x:dxf>
    <x:dxf>
      <x:font>
        <x:b/>
        <x:color rgb="FF1F1F1F"/>
      </x:font>
      <x:fill>
        <x:patternFill patternType="solid">
          <x:bgColor rgb="FFDDEBF7"/>
        </x:patternFill>
      </x:fill>
    </x:dxf>
    <x:dxf>
      <x:font>
        <x:b/>
        <x:color rgb="FF1F1F1F"/>
      </x:font>
      <x:fill>
        <x:patternFill patternType="solid">
          <x:bgColor rgb="FFFFF2CC"/>
        </x:patternFill>
      </x:fill>
    </x:dxf>
    <x:dxf>
      <x:font>
        <x:b/>
        <x:color rgb="FF1F1F1F"/>
      </x:font>
      <x:fill>
        <x:patternFill patternType="solid">
          <x:bgColor rgb="FFFCE5CD"/>
        </x:patternFill>
      </x:fill>
    </x:dxf>
    <x:dxf>
      <x:font>
        <x:b/>
        <x:color rgb="FF1F1F1F"/>
      </x:font>
      <x:fill>
        <x:patternFill patternType="solid">
          <x:bgColor rgb="FFF4CCCC"/>
        </x:patternFill>
      </x:fill>
    </x:dxf>
    <x:dxf>
      <x:font>
        <x:b/>
        <x:color rgb="FF1F1F1F"/>
      </x:font>
      <x:fill>
        <x:patternFill patternType="solid">
          <x:bgColor rgb="FFE7E6E6"/>
        </x:patternFill>
      </x:fill>
    </x:dxf>
    <x:dxf>
      <x:font>
        <x:b/>
        <x:color rgb="FF1F1F1F"/>
      </x:font>
      <x:fill>
        <x:patternFill patternType="solid">
          <x:bgColor rgb="FFD9EAD3"/>
        </x:patternFill>
      </x:fill>
    </x:dxf>
    <x:dxf>
      <x:font>
        <x:b/>
        <x:color rgb="FF1F1F1F"/>
      </x:font>
      <x:fill>
        <x:patternFill patternType="solid">
          <x:bgColor rgb="FFDDEBF7"/>
        </x:patternFill>
      </x:fill>
    </x:dxf>
    <x:dxf>
      <x:font>
        <x:b/>
        <x:color rgb="FF1F1F1F"/>
      </x:font>
      <x:fill>
        <x:patternFill patternType="solid">
          <x:bgColor rgb="FFFFF2CC"/>
        </x:patternFill>
      </x:fill>
    </x:dxf>
    <x:dxf>
      <x:font>
        <x:b/>
        <x:color rgb="FF1F1F1F"/>
      </x:font>
      <x:fill>
        <x:patternFill patternType="solid">
          <x:bgColor rgb="FFFCE5CD"/>
        </x:patternFill>
      </x:fill>
    </x:dxf>
    <x:dxf>
      <x:font>
        <x:b/>
        <x:color rgb="FF1F1F1F"/>
      </x:font>
      <x:fill>
        <x:patternFill patternType="solid">
          <x:bgColor rgb="FFF4CCCC"/>
        </x:patternFill>
      </x:fill>
    </x:dxf>
    <x:dxf>
      <x:font>
        <x:b/>
        <x:color rgb="FF1F1F1F"/>
      </x:font>
      <x:fill>
        <x:patternFill patternType="solid">
          <x:bgColor rgb="FFE7E6E6"/>
        </x:patternFill>
      </x:fill>
    </x:dxf>
    <x:dxf>
      <x:font>
        <x:b/>
        <x:color rgb="FF1F1F1F"/>
      </x:font>
      <x:fill>
        <x:patternFill patternType="solid">
          <x:bgColor rgb="FFD9EAD3"/>
        </x:patternFill>
      </x:fill>
    </x:dxf>
    <x:dxf>
      <x:font>
        <x:b/>
        <x:color rgb="FF1F1F1F"/>
      </x:font>
      <x:fill>
        <x:patternFill patternType="solid">
          <x:bgColor rgb="FFDDEBF7"/>
        </x:patternFill>
      </x:fill>
    </x:dxf>
    <x:dxf>
      <x:font>
        <x:b/>
        <x:color rgb="FF1F1F1F"/>
      </x:font>
      <x:fill>
        <x:patternFill patternType="solid">
          <x:bgColor rgb="FFFFF2CC"/>
        </x:patternFill>
      </x:fill>
    </x:dxf>
    <x:dxf>
      <x:font>
        <x:b/>
        <x:color rgb="FF1F1F1F"/>
      </x:font>
      <x:fill>
        <x:patternFill patternType="solid">
          <x:bgColor rgb="FFFCE5CD"/>
        </x:patternFill>
      </x:fill>
    </x:dxf>
    <x:dxf>
      <x:font>
        <x:b/>
        <x:color rgb="FF1F1F1F"/>
      </x:font>
      <x:fill>
        <x:patternFill patternType="solid">
          <x:bgColor rgb="FFF4CCCC"/>
        </x:patternFill>
      </x:fill>
    </x:dxf>
    <x:dxf>
      <x:font>
        <x:b/>
        <x:color rgb="FF1F1F1F"/>
      </x:font>
      <x:fill>
        <x:patternFill patternType="solid">
          <x:bgColor rgb="FFE7E6E6"/>
        </x:patternFill>
      </x:fill>
    </x:dxf>
    <x:dxf>
      <x:font>
        <x:b/>
        <x:color rgb="FF1F1F1F"/>
      </x:font>
      <x:fill>
        <x:patternFill patternType="solid">
          <x:bgColor rgb="FFD9EAD3"/>
        </x:patternFill>
      </x:fill>
    </x:dxf>
    <x:dxf>
      <x:font>
        <x:b/>
        <x:color rgb="FF1F1F1F"/>
      </x:font>
      <x:fill>
        <x:patternFill patternType="solid">
          <x:bgColor rgb="FFDDEBF7"/>
        </x:patternFill>
      </x:fill>
    </x:dxf>
    <x:dxf>
      <x:font>
        <x:b/>
        <x:color rgb="FF1F1F1F"/>
      </x:font>
      <x:fill>
        <x:patternFill patternType="solid">
          <x:bgColor rgb="FFFFF2CC"/>
        </x:patternFill>
      </x:fill>
    </x:dxf>
    <x:dxf>
      <x:font>
        <x:b/>
        <x:color rgb="FF1F1F1F"/>
      </x:font>
      <x:fill>
        <x:patternFill patternType="solid">
          <x:bgColor rgb="FFFCE5CD"/>
        </x:patternFill>
      </x:fill>
    </x:dxf>
    <x:dxf>
      <x:font>
        <x:b/>
        <x:color rgb="FF1F1F1F"/>
      </x:font>
      <x:fill>
        <x:patternFill patternType="solid">
          <x:bgColor rgb="FFF4CCCC"/>
        </x:patternFill>
      </x:fill>
    </x:dxf>
    <x:dxf>
      <x:font>
        <x:b/>
        <x:color rgb="FF1F1F1F"/>
      </x:font>
      <x:fill>
        <x:patternFill patternType="solid">
          <x:bgColor rgb="FFE7E6E6"/>
        </x:patternFill>
      </x:fill>
    </x:dxf>
    <x:dxf>
      <x:font>
        <x:b/>
        <x:color rgb="FF1F1F1F"/>
      </x:font>
      <x:fill>
        <x:patternFill patternType="solid">
          <x:bgColor rgb="FFD9EAD3"/>
        </x:patternFill>
      </x:fill>
    </x:dxf>
    <x:dxf>
      <x:font>
        <x:b/>
        <x:color rgb="FF1F1F1F"/>
      </x:font>
      <x:fill>
        <x:patternFill patternType="solid">
          <x:bgColor rgb="FFDDEBF7"/>
        </x:patternFill>
      </x:fill>
    </x:dxf>
    <x:dxf>
      <x:font>
        <x:b/>
        <x:color rgb="FF1F1F1F"/>
      </x:font>
      <x:fill>
        <x:patternFill patternType="solid">
          <x:bgColor rgb="FFFFF2CC"/>
        </x:patternFill>
      </x:fill>
    </x:dxf>
    <x:dxf>
      <x:font>
        <x:b/>
        <x:color rgb="FF1F1F1F"/>
      </x:font>
      <x:fill>
        <x:patternFill patternType="solid">
          <x:bgColor rgb="FFFCE5CD"/>
        </x:patternFill>
      </x:fill>
    </x:dxf>
    <x:dxf>
      <x:font>
        <x:b/>
        <x:color rgb="FF1F1F1F"/>
      </x:font>
      <x:fill>
        <x:patternFill patternType="solid">
          <x:bgColor rgb="FFF4CCCC"/>
        </x:patternFill>
      </x:fill>
    </x:dxf>
    <x:dxf>
      <x:font>
        <x:b/>
        <x:color rgb="FF1F1F1F"/>
      </x:font>
      <x:fill>
        <x:patternFill patternType="solid">
          <x:bgColor rgb="FFE7E6E6"/>
        </x:patternFill>
      </x:fill>
    </x:dxf>
    <x:dxf>
      <x:font>
        <x:b/>
        <x:color rgb="FF1F1F1F"/>
      </x:font>
      <x:fill>
        <x:patternFill patternType="solid">
          <x:bgColor rgb="FFD9EAD3"/>
        </x:patternFill>
      </x:fill>
    </x:dxf>
    <x:dxf>
      <x:font>
        <x:b/>
        <x:color rgb="FF1F1F1F"/>
      </x:font>
      <x:fill>
        <x:patternFill patternType="solid">
          <x:bgColor rgb="FFDDEBF7"/>
        </x:patternFill>
      </x:fill>
    </x:dxf>
    <x:dxf>
      <x:font>
        <x:b/>
        <x:color rgb="FF1F1F1F"/>
      </x:font>
      <x:fill>
        <x:patternFill patternType="solid">
          <x:bgColor rgb="FFFFF2CC"/>
        </x:patternFill>
      </x:fill>
    </x:dxf>
    <x:dxf>
      <x:font>
        <x:b/>
        <x:color rgb="FF1F1F1F"/>
      </x:font>
      <x:fill>
        <x:patternFill patternType="solid">
          <x:bgColor rgb="FFFCE5CD"/>
        </x:patternFill>
      </x:fill>
    </x:dxf>
    <x:dxf>
      <x:font>
        <x:b/>
        <x:color rgb="FF1F1F1F"/>
      </x:font>
      <x:fill>
        <x:patternFill patternType="solid">
          <x:bgColor rgb="FFF4CCCC"/>
        </x:patternFill>
      </x:fill>
    </x:dxf>
    <x:dxf>
      <x:font>
        <x:b/>
        <x:color rgb="FF1F1F1F"/>
      </x:font>
      <x:fill>
        <x:patternFill patternType="solid">
          <x:bgColor rgb="FFE7E6E6"/>
        </x:patternFill>
      </x:fill>
    </x:dxf>
    <x:dxf>
      <x:font>
        <x:b/>
        <x:color rgb="FF1F1F1F"/>
      </x:font>
      <x:fill>
        <x:patternFill patternType="solid">
          <x:bgColor rgb="FFD9EAD3"/>
        </x:patternFill>
      </x:fill>
    </x:dxf>
    <x:dxf>
      <x:font>
        <x:b/>
        <x:color rgb="FF1F1F1F"/>
      </x:font>
      <x:fill>
        <x:patternFill patternType="solid">
          <x:bgColor rgb="FFDDEBF7"/>
        </x:patternFill>
      </x:fill>
    </x:dxf>
    <x:dxf>
      <x:font>
        <x:b/>
        <x:color rgb="FF1F1F1F"/>
      </x:font>
      <x:fill>
        <x:patternFill patternType="solid">
          <x:bgColor rgb="FFFFF2CC"/>
        </x:patternFill>
      </x:fill>
    </x:dxf>
    <x:dxf>
      <x:font>
        <x:b/>
        <x:color rgb="FF1F1F1F"/>
      </x:font>
      <x:fill>
        <x:patternFill patternType="solid">
          <x:bgColor rgb="FFFCE5CD"/>
        </x:patternFill>
      </x:fill>
    </x:dxf>
    <x:dxf>
      <x:font>
        <x:b/>
        <x:color rgb="FF1F1F1F"/>
      </x:font>
      <x:fill>
        <x:patternFill patternType="solid">
          <x:bgColor rgb="FFF4CCCC"/>
        </x:patternFill>
      </x:fill>
    </x:dxf>
    <x:dxf>
      <x:font>
        <x:b/>
        <x:color rgb="FF1F1F1F"/>
      </x:font>
      <x:fill>
        <x:patternFill patternType="solid">
          <x:bgColor rgb="FFE7E6E6"/>
        </x:patternFill>
      </x:fill>
    </x:dxf>
    <x:dxf>
      <x:font>
        <x:b/>
        <x:color rgb="FF1F1F1F"/>
      </x:font>
      <x:fill>
        <x:patternFill patternType="solid">
          <x:bgColor rgb="FFD9EAD3"/>
        </x:patternFill>
      </x:fill>
    </x:dxf>
    <x:dxf>
      <x:font>
        <x:b/>
        <x:color rgb="FF1F1F1F"/>
      </x:font>
      <x:fill>
        <x:patternFill patternType="solid">
          <x:bgColor rgb="FFDDEBF7"/>
        </x:patternFill>
      </x:fill>
    </x:dxf>
    <x:dxf>
      <x:font>
        <x:b/>
        <x:color rgb="FF1F1F1F"/>
      </x:font>
      <x:fill>
        <x:patternFill patternType="solid">
          <x:bgColor rgb="FFFFF2CC"/>
        </x:patternFill>
      </x:fill>
    </x:dxf>
    <x:dxf>
      <x:font>
        <x:b/>
        <x:color rgb="FF1F1F1F"/>
      </x:font>
      <x:fill>
        <x:patternFill patternType="solid">
          <x:bgColor rgb="FFFCE5CD"/>
        </x:patternFill>
      </x:fill>
    </x:dxf>
    <x:dxf>
      <x:font>
        <x:b/>
        <x:color rgb="FF1F1F1F"/>
      </x:font>
      <x:fill>
        <x:patternFill patternType="solid">
          <x:bgColor rgb="FFF4CCCC"/>
        </x:patternFill>
      </x:fill>
    </x:dxf>
    <x:dxf>
      <x:font>
        <x:b/>
        <x:color rgb="FF1F1F1F"/>
      </x:font>
      <x:fill>
        <x:patternFill patternType="solid">
          <x:bgColor rgb="FFE7E6E6"/>
        </x:patternFill>
      </x:fill>
    </x:dxf>
    <x:dxf>
      <x:font>
        <x:b/>
        <x:color rgb="FF1F1F1F"/>
      </x:font>
      <x:fill>
        <x:patternFill patternType="solid">
          <x:bgColor rgb="FFD9EAD3"/>
        </x:patternFill>
      </x:fill>
    </x:dxf>
    <x:dxf>
      <x:font>
        <x:b/>
        <x:color rgb="FF1F1F1F"/>
      </x:font>
      <x:fill>
        <x:patternFill patternType="solid">
          <x:bgColor rgb="FFDDEBF7"/>
        </x:patternFill>
      </x:fill>
    </x:dxf>
    <x:dxf>
      <x:font>
        <x:b/>
        <x:color rgb="FF1F1F1F"/>
      </x:font>
      <x:fill>
        <x:patternFill patternType="solid">
          <x:bgColor rgb="FFFFF2CC"/>
        </x:patternFill>
      </x:fill>
    </x:dxf>
    <x:dxf>
      <x:font>
        <x:b/>
        <x:color rgb="FF1F1F1F"/>
      </x:font>
      <x:fill>
        <x:patternFill patternType="solid">
          <x:bgColor rgb="FFFCE5CD"/>
        </x:patternFill>
      </x:fill>
    </x:dxf>
    <x:dxf>
      <x:font>
        <x:b/>
        <x:color rgb="FF1F1F1F"/>
      </x:font>
      <x:fill>
        <x:patternFill patternType="solid">
          <x:bgColor rgb="FFF4CCCC"/>
        </x:patternFill>
      </x:fill>
    </x:dxf>
    <x:dxf>
      <x:font>
        <x:b/>
        <x:color rgb="FF1F1F1F"/>
      </x:font>
      <x:fill>
        <x:patternFill patternType="solid">
          <x:bgColor rgb="FFE7E6E6"/>
        </x:patternFill>
      </x:fill>
    </x:dxf>
    <x:dxf>
      <x:font>
        <x:b/>
        <x:color rgb="FF1F1F1F"/>
      </x:font>
      <x:fill>
        <x:patternFill patternType="solid">
          <x:bgColor rgb="FFD9EAD3"/>
        </x:patternFill>
      </x:fill>
    </x:dxf>
    <x:dxf>
      <x:font>
        <x:b/>
        <x:color rgb="FF1F1F1F"/>
      </x:font>
      <x:fill>
        <x:patternFill patternType="solid">
          <x:bgColor rgb="FFDDEBF7"/>
        </x:patternFill>
      </x:fill>
    </x:dxf>
    <x:dxf>
      <x:font>
        <x:b/>
        <x:color rgb="FF1F1F1F"/>
      </x:font>
      <x:fill>
        <x:patternFill patternType="solid">
          <x:bgColor rgb="FFFFF2CC"/>
        </x:patternFill>
      </x:fill>
    </x:dxf>
    <x:dxf>
      <x:font>
        <x:b/>
        <x:color rgb="FF1F1F1F"/>
      </x:font>
      <x:fill>
        <x:patternFill patternType="solid">
          <x:bgColor rgb="FFFCE5CD"/>
        </x:patternFill>
      </x:fill>
    </x:dxf>
    <x:dxf>
      <x:font>
        <x:b/>
        <x:color rgb="FF1F1F1F"/>
      </x:font>
      <x:fill>
        <x:patternFill patternType="solid">
          <x:bgColor rgb="FFF4CCCC"/>
        </x:patternFill>
      </x:fill>
    </x:dxf>
    <x:dxf>
      <x:font>
        <x:b/>
        <x:color rgb="FF1F1F1F"/>
      </x:font>
      <x:fill>
        <x:patternFill patternType="solid">
          <x:bgColor rgb="FFE7E6E6"/>
        </x:patternFill>
      </x:fill>
    </x:dxf>
    <x:dxf>
      <x:font>
        <x:b/>
        <x:color rgb="FF1F1F1F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31603055e141ef" /><Relationship Type="http://schemas.openxmlformats.org/officeDocument/2006/relationships/theme" Target="/xl/theme/theme1.xml" Id="Rd34a18a1fa5d477c" /><Relationship Type="http://schemas.openxmlformats.org/officeDocument/2006/relationships/sharedStrings" Target="/xl/sharedStrings.xml" Id="Ra3657c1793684268" /><Relationship Type="http://schemas.openxmlformats.org/officeDocument/2006/relationships/worksheet" Target="/xl/worksheets/sheet1.xml" Id="Rcafff1b0cf7143ba" /><Relationship Type="http://schemas.openxmlformats.org/officeDocument/2006/relationships/worksheet" Target="/xl/worksheets/sheet2.xml" Id="Rf98e7027e2b9447b" /><Relationship Type="http://schemas.openxmlformats.org/officeDocument/2006/relationships/worksheet" Target="/xl/worksheets/sheet3.xml" Id="R999ba8866e354a1d" /><Relationship Type="http://schemas.openxmlformats.org/officeDocument/2006/relationships/worksheet" Target="/xl/worksheets/sheet4.xml" Id="R78d381992afb4812" /><Relationship Type="http://schemas.openxmlformats.org/officeDocument/2006/relationships/worksheet" Target="/xl/worksheets/sheet5.xml" Id="R9ce87e3e2c2741ca" /><Relationship Type="http://schemas.openxmlformats.org/officeDocument/2006/relationships/worksheet" Target="/xl/worksheets/sheet6.xml" Id="R487db05300e64cba" /><Relationship Type="http://schemas.openxmlformats.org/officeDocument/2006/relationships/worksheet" Target="/xl/worksheets/sheet7.xml" Id="R2c2536f74dce4e6a" /><Relationship Type="http://schemas.openxmlformats.org/officeDocument/2006/relationships/worksheet" Target="/xl/worksheets/sheet8.xml" Id="R9ffc40df6ab24028" /><Relationship Type="http://schemas.openxmlformats.org/officeDocument/2006/relationships/worksheet" Target="/xl/worksheets/sheet9.xml" Id="R9adf19dc3f884c4a" /><Relationship Type="http://schemas.openxmlformats.org/officeDocument/2006/relationships/worksheet" Target="/xl/worksheets/sheet10.xml" Id="Rfe665fb13a6d4334" /><Relationship Type="http://schemas.microsoft.com/office/2017/10/relationships/person" Target="/xl/persons/person.xml" Id="Re8fbb32414124f23" /></Relationships>
</file>

<file path=xl/persons/person.xml><?xml version="1.0" encoding="utf-8"?>
<xltc:personList xmlns:xltc="http://schemas.microsoft.com/office/spreadsheetml/2018/threadedcomments">
  <xltc:person displayName="VYACHESLAV" id="{28E1E6D8-24D0-48A6-8387-D7BB9E23DE9A}"/>
</xltc:personList>
</file>

<file path=xl/tables/table1.xml><?xml version="1.0" encoding="utf-8"?>
<x:table xmlns:x="http://schemas.openxmlformats.org/spreadsheetml/2006/main" id="1" name="PassportTable" displayName="PassportTable" ref="A4:F13" headerRowCount="1" totalsRowCount="0" totalsRowShown="0">
  <x:autoFilter ref="A4:F13"/>
  <x:tableColumns count="6">
    <x:tableColumn id="1" name="Параметр"/>
    <x:tableColumn id="2" name="Значение"/>
    <x:tableColumn id="3" name="Статус"/>
    <x:tableColumn id="4" name="Источник"/>
    <x:tableColumn id="5" name="Дата"/>
    <x:tableColumn id="6" name="Комментари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nuTable" displayName="MenuTable" ref="A4:L35" headerRowCount="1" totalsRowCount="0" totalsRowShown="0">
  <x:autoFilter ref="A4:L35"/>
  <x:tableColumns count="12">
    <x:tableColumn id="1" name="Код блюда"/>
    <x:tableColumn id="2" name="Раздел меню"/>
    <x:tableColumn id="3" name="Полное наименование"/>
    <x:tableColumn id="4" name="Направление бизнеса"/>
    <x:tableColumn id="5" name="Единица продажи"/>
    <x:tableColumn id="6" name="Выход порции"/>
    <x:tableColumn id="7" name="Цена продажи / тариф, руб."/>
    <x:tableColumn id="8" name="Статус позиции"/>
    <x:tableColumn id="9" name="Код калькуляционной карты"/>
    <x:tableColumn id="10" name="Код технологической карты"/>
    <x:tableColumn id="11" name="Статус комплектности"/>
    <x:tableColumn id="12" name="Согласование шеф-повар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CostingTable" displayName="CostingTable" ref="A4:R57" headerRowCount="1" totalsRowCount="0" totalsRowShown="0">
  <x:autoFilter ref="A4:R57"/>
  <x:tableColumns count="18">
    <x:tableColumn id="1" name="Код калькуляционной карты"/>
    <x:tableColumn id="2" name="Код блюда"/>
    <x:tableColumn id="3" name="Наименование блюда"/>
    <x:tableColumn id="4" name="Код сырья"/>
    <x:tableColumn id="5" name="Наименование сырья"/>
    <x:tableColumn id="6" name="Ед. изм."/>
    <x:tableColumn id="7" name="Норма брутто"/>
    <x:tableColumn id="8" name="Норма нетто"/>
    <x:tableColumn id="9" name="Технологические потери"/>
    <x:tableColumn id="10" name="Готовый выход компонента, г"/>
    <x:tableColumn id="11" name="Закупочная цена, руб./ед."/>
    <x:tableColumn id="12" name="Стоимость закладки, руб."/>
    <x:tableColumn id="13" name="Себестоимость порции, руб."/>
    <x:tableColumn id="14" name="Цена продажи / тариф, руб."/>
    <x:tableColumn id="15" name="Food cost"/>
    <x:tableColumn id="16" name="Источник цены / дата"/>
    <x:tableColumn id="17" name="Статус данных"/>
    <x:tableColumn id="18" name="Примечание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TechCardsTable" displayName="TechCardsTable" ref="A4:S35" headerRowCount="1" totalsRowCount="0" totalsRowShown="0">
  <x:autoFilter ref="A4:S35"/>
  <x:tableColumns count="19">
    <x:tableColumn id="1" name="Код техкарты"/>
    <x:tableColumn id="2" name="Код блюда"/>
    <x:tableColumn id="3" name="Наименование"/>
    <x:tableColumn id="4" name="Область применения"/>
    <x:tableColumn id="5" name="Состав сырья"/>
    <x:tableColumn id="6" name="Требования к сырью"/>
    <x:tableColumn id="7" name="Подготовительные операции"/>
    <x:tableColumn id="8" name="Последовательность приготовления"/>
    <x:tableColumn id="9" name="Оборудование"/>
    <x:tableColumn id="10" name="Продолжительность операций"/>
    <x:tableColumn id="11" name="Температурные режимы"/>
    <x:tableColumn id="12" name="Выход"/>
    <x:tableColumn id="13" name="Органолептические показатели"/>
    <x:tableColumn id="14" name="Способ подачи"/>
    <x:tableColumn id="15" name="Условия и срок хранения"/>
    <x:tableColumn id="16" name="Аллергены"/>
    <x:tableColumn id="17" name="Контрольные точки"/>
    <x:tableColumn id="18" name="Вопросы контрольной проработки"/>
    <x:tableColumn id="19" name="Статус согласования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PriceTable" displayName="PriceTable" ref="A4:L15" headerRowCount="1" totalsRowCount="0" totalsRowShown="0">
  <x:autoFilter ref="A4:L15"/>
  <x:tableColumns count="12">
    <x:tableColumn id="1" name="Код сырья/цены"/>
    <x:tableColumn id="2" name="Наименование сырья"/>
    <x:tableColumn id="3" name="Единица цены"/>
    <x:tableColumn id="4" name="Количество в упаковке"/>
    <x:tableColumn id="5" name="Цена упаковки с НДС, руб."/>
    <x:tableColumn id="6" name="Цена единицы, руб."/>
    <x:tableColumn id="7" name="Поставщик / источник"/>
    <x:tableColumn id="8" name="Артикул"/>
    <x:tableColumn id="9" name="Дата цены"/>
    <x:tableColumn id="10" name="Ссылка / основание"/>
    <x:tableColumn id="11" name="Статус данных"/>
    <x:tableColumn id="12" name="Комментарий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afetyTable" displayName="SafetyTable" ref="A4:H35" headerRowCount="1" totalsRowCount="0" totalsRowShown="0">
  <x:autoFilter ref="A4:H35"/>
  <x:tableColumns count="8">
    <x:tableColumn id="1" name="Код блюда"/>
    <x:tableColumn id="2" name="Наименование"/>
    <x:tableColumn id="3" name="Аллергены"/>
    <x:tableColumn id="4" name="Перекрёстные риски / маркировка"/>
    <x:tableColumn id="5" name="Температурные ограничения"/>
    <x:tableColumn id="6" name="Условия и срок хранения"/>
    <x:tableColumn id="7" name="Статус"/>
    <x:tableColumn id="8" name="Основание / пробел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hefQuestionsTable" displayName="ChefQuestionsTable" ref="A4:M47" headerRowCount="1" totalsRowCount="0" totalsRowShown="0">
  <x:autoFilter ref="A4:M47"/>
  <x:tableColumns count="13">
    <x:tableColumn id="1" name="Код вопроса"/>
    <x:tableColumn id="2" name="Код блюда"/>
    <x:tableColumn id="3" name="Наименование блюда"/>
    <x:tableColumn id="4" name="Проверяемый параметр"/>
    <x:tableColumn id="5" name="Текущее значение"/>
    <x:tableColumn id="6" name="Статус текущего значения"/>
    <x:tableColumn id="7" name="Источник"/>
    <x:tableColumn id="8" name="Предлагаемое решение"/>
    <x:tableColumn id="9" name="Варианты ответа"/>
    <x:tableColumn id="10" name="Влияние решения"/>
    <x:tableColumn id="11" name="Решение шеф-повара"/>
    <x:tableColumn id="12" name="Дата решения"/>
    <x:tableColumn id="13" name="Комментарий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ignoffTable" displayName="SignoffTable" ref="A4:I35" headerRowCount="1" totalsRowCount="0" totalsRowShown="0">
  <x:autoFilter ref="A4:I35"/>
  <x:tableColumns count="9">
    <x:tableColumn id="1" name="Код блюда"/>
    <x:tableColumn id="2" name="Наименование"/>
    <x:tableColumn id="3" name="Код калькуляции"/>
    <x:tableColumn id="4" name="Код техкарты"/>
    <x:tableColumn id="5" name="Комплектность"/>
    <x:tableColumn id="6" name="Решение шеф-повара"/>
    <x:tableColumn id="7" name="Дата"/>
    <x:tableColumn id="8" name="Комментарий"/>
    <x:tableColumn id="9" name="Подпись / идентификатор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ChecksTable" displayName="ChecksTable" ref="A4:H22" headerRowCount="1" totalsRowCount="0" totalsRowShown="0">
  <x:autoFilter ref="A4:H22"/>
  <x:tableColumns count="8">
    <x:tableColumn id="1" name="Код проверки"/>
    <x:tableColumn id="2" name="Проверка"/>
    <x:tableColumn id="3" name="Факт"/>
    <x:tableColumn id="4" name="Ожидание"/>
    <x:tableColumn id="5" name="Отклонение"/>
    <x:tableColumn id="6" name="Допуск"/>
    <x:tableColumn id="7" name="Статус"/>
    <x:tableColumn id="8" name="Комментарий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SourcesTable" displayName="SourcesTable" ref="A4:G15" headerRowCount="1" totalsRowCount="0" totalsRowShown="0">
  <x:autoFilter ref="A4:G15"/>
  <x:tableColumns count="7">
    <x:tableColumn id="1" name="Код источника"/>
    <x:tableColumn id="2" name="Документ / объект"/>
    <x:tableColumn id="3" name="Версия / дата"/>
    <x:tableColumn id="4" name="Актуальность"/>
    <x:tableColumn id="5" name="Статус"/>
    <x:tableColumn id="6" name="Использование / ограничение"/>
    <x:tableColumn id="7" name="Путь / ссылк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G30" dT="2026-08-03T10:51:19.614" personId="{28E1E6D8-24D0-48A6-8387-D7BB9E23DE9A}" id="{8E0F6103-A327-DC77-BEE4-E116CFE3F284}">
    <xltc:text>Внутренний тариф гостиничного завтрака 550 руб. с НДС; DRAFT для данного комплекта, не внешняя цена продажи.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E14" dT="2026-08-03T10:51:19.615" personId="{28E1E6D8-24D0-48A6-8387-D7BB9E23DE9A}" id="{D02B4DFD-42B7-3D7D-3290-BA1091155D54}">
    <xltc:text>1 800 руб./кг — только параметр чувствительности S04; поставщик и закупочная цена не утверждены.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e42b8c25554e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b0d87a5a03f84148" /><Relationship Type="http://schemas.openxmlformats.org/officeDocument/2006/relationships/vmlDrawing" Target="/xl/drawings/vmldrawing.vml" Id="Re17cc5708c0d46ac" /><Relationship Type="http://schemas.microsoft.com/office/2017/10/relationships/threadedComment" Target="/xl/threadedcomments/threadedcomment.xml" Id="Rb8abc0bc198a4b4d" /><Relationship Type="http://schemas.openxmlformats.org/officeDocument/2006/relationships/table" Target="/xl/tables/table2.xml" Id="R7f5863cb654546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41ed752bf444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0c39c2d12d043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2.xml" Id="R72c225e2462e4929" /><Relationship Type="http://schemas.openxmlformats.org/officeDocument/2006/relationships/vmlDrawing" Target="/xl/drawings/vmldrawing2.vml" Id="Re47e8cd9becf4d92" /><Relationship Type="http://schemas.microsoft.com/office/2017/10/relationships/threadedComment" Target="/xl/threadedcomments/threadedcomment2.xml" Id="R6f90825a80384dc0" /><Relationship Type="http://schemas.openxmlformats.org/officeDocument/2006/relationships/table" Target="/xl/tables/table5.xml" Id="Rddce0f8152ea4b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9374735e39446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502358c35c042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38c95f177bc4b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0d24171574f408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d214e3ece164f3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66" hidden="0" customWidth="1"/>
    <x:col min="3" max="3" width="16" hidden="0" customWidth="1"/>
    <x:col min="4" max="4" width="34" hidden="0" customWidth="1"/>
    <x:col min="5" max="5" width="14" hidden="0" customWidth="1"/>
    <x:col min="6" max="6" width="48" hidden="0" customWidth="1"/>
  </x:cols>
  <x:sheetData>
    <x:row r="1" ht="28" customHeight="1">
      <x:c r="A1" s="3" t="str">
        <x:v>VARSHAVKA — меню, калькуляционные и технологические карты</x:v>
      </x:c>
      <x:c r="B1" s="3"/>
      <x:c r="C1" s="3"/>
      <x:c r="D1" s="3"/>
      <x:c r="E1" s="3"/>
      <x:c r="F1" s="3"/>
    </x:row>
    <x:row r="2" ht="42" customHeight="1">
      <x:c r="A2" s="7" t="str">
        <x:v>DRAFT v1.0.0 для построчного согласования с шеф-поваром. Не является утверждённой рецептурной или санитарно-технологической документацией.</x:v>
      </x:c>
      <x:c r="B2" s="7"/>
      <x:c r="C2" s="7"/>
      <x:c r="D2" s="7"/>
      <x:c r="E2" s="7"/>
      <x:c r="F2" s="7"/>
    </x:row>
    <x:row r="4" ht="54" customHeight="1">
      <x:c r="A4" s="12" t="str">
        <x:v>Параметр</x:v>
      </x:c>
      <x:c r="B4" s="12" t="str">
        <x:v>Значение</x:v>
      </x:c>
      <x:c r="C4" s="12" t="str">
        <x:v>Статус</x:v>
      </x:c>
      <x:c r="D4" s="12" t="str">
        <x:v>Источник</x:v>
      </x:c>
      <x:c r="E4" s="12" t="str">
        <x:v>Дата</x:v>
      </x:c>
      <x:c r="F4" s="12" t="str">
        <x:v>Комментарий</x:v>
      </x:c>
    </x:row>
    <x:row r="5">
      <x:c r="A5" s="32" t="str">
        <x:v>Версия</x:v>
      </x:c>
      <x:c r="B5" s="33" t="str">
        <x:v>1.0.0</x:v>
      </x:c>
      <x:c r="C5" s="33" t="str">
        <x:v>FACT</x:v>
      </x:c>
      <x:c r="D5" s="33" t="str">
        <x:v>Issue #80</x:v>
      </x:c>
      <x:c r="E5" s="41" t="str">
        <x:v>2026-08-03</x:v>
      </x:c>
      <x:c r="F5" s="34" t="str"/>
    </x:row>
    <x:row r="6">
      <x:c r="A6" s="35" t="str">
        <x:v>Активных позиций</x:v>
      </x:c>
      <x:c r="B6" s="36" t="n">
        <x:v>31</x:v>
      </x:c>
      <x:c r="C6" s="36" t="str">
        <x:v>FACT</x:v>
      </x:c>
      <x:c r="D6" s="36" t="str">
        <x:v>KITCHEN_MENU_3.0.0.md</x:v>
      </x:c>
      <x:c r="E6" s="42" t="str">
        <x:v>2026-07-27</x:v>
      </x:c>
      <x:c r="F6" s="37" t="str">
        <x:v>VKM-001…VKM-031</x:v>
      </x:c>
    </x:row>
    <x:row r="7">
      <x:c r="A7" s="35" t="str">
        <x:v>Калькуляционных карт</x:v>
      </x:c>
      <x:c r="B7" s="36" t="n">
        <x:v>31</x:v>
      </x:c>
      <x:c r="C7" s="36" t="str">
        <x:v>FACT</x:v>
      </x:c>
      <x:c r="D7" s="36" t="str">
        <x:v>Этот комплект</x:v>
      </x:c>
      <x:c r="E7" s="42" t="n">
        <x:v>46237</x:v>
      </x:c>
      <x:c r="F7" s="37" t="str">
        <x:v>3 детальные DRAFT; 28 BLOCKED-скелетов</x:v>
      </x:c>
    </x:row>
    <x:row r="8">
      <x:c r="A8" s="35" t="str">
        <x:v>Технологических карт</x:v>
      </x:c>
      <x:c r="B8" s="36" t="n">
        <x:v>31</x:v>
      </x:c>
      <x:c r="C8" s="36" t="str">
        <x:v>FACT</x:v>
      </x:c>
      <x:c r="D8" s="36" t="str">
        <x:v>Этот комплект</x:v>
      </x:c>
      <x:c r="E8" s="42" t="n">
        <x:v>46237</x:v>
      </x:c>
      <x:c r="F8" s="37" t="str">
        <x:v>3 детальные DRAFT; 28 BLOCKED-скелетов</x:v>
      </x:c>
    </x:row>
    <x:row r="9">
      <x:c r="A9" s="35" t="str">
        <x:v>Внутренний тариф завтрака</x:v>
      </x:c>
      <x:c r="B9" s="36" t="n">
        <x:v>550</x:v>
      </x:c>
      <x:c r="C9" s="36" t="str">
        <x:v>DRAFT</x:v>
      </x:c>
      <x:c r="D9" s="36" t="str">
        <x:v>S04 / решение #52</x:v>
      </x:c>
      <x:c r="E9" s="42" t="n">
        <x:v>46230</x:v>
      </x:c>
      <x:c r="F9" s="37" t="str">
        <x:v>руб. с НДС; не внешняя цена продажи</x:v>
      </x:c>
    </x:row>
    <x:row r="10">
      <x:c r="A10" s="35" t="str">
        <x:v>Полное отображаемое имя листа 05</x:v>
      </x:c>
      <x:c r="B10" s="36" t="str">
        <x:v>05_АЛЛЕРГЕНЫ_БЕЗОПАСНОСТЬ</x:v>
      </x:c>
      <x:c r="C10" s="36" t="str">
        <x:v>FACT</x:v>
      </x:c>
      <x:c r="D10" s="36" t="str">
        <x:v>Требование Issue #80</x:v>
      </x:c>
      <x:c r="E10" s="42" t="n">
        <x:v>46237</x:v>
      </x:c>
      <x:c r="F10" s="37" t="str">
        <x:v>Имя укладывается в лимит Excel 31 символ</x:v>
      </x:c>
    </x:row>
    <x:row r="11">
      <x:c r="A11" s="35" t="str">
        <x:v>Архивные позиции</x:v>
      </x:c>
      <x:c r="B11" s="36" t="str">
        <x:v>Яйца Бенедикт с лососем на бриоши; Круассан со слабосолёным лососем</x:v>
      </x:c>
      <x:c r="C11" s="36" t="str">
        <x:v>SUPERSEDED</x:v>
      </x:c>
      <x:c r="D11" s="36" t="str">
        <x:v>KITCHEN_MENU_3.0.0.md</x:v>
      </x:c>
      <x:c r="E11" s="42" t="n">
        <x:v>46230</x:v>
      </x:c>
      <x:c r="F11" s="37" t="str">
        <x:v>Не входят в активное меню</x:v>
      </x:c>
    </x:row>
    <x:row r="12">
      <x:c r="A12" s="35" t="str">
        <x:v>Правило пустых значений</x:v>
      </x:c>
      <x:c r="B12" s="36" t="str">
        <x:v>Пусто означает отсутствие подтверждённых данных; ноль вместо отсутствующих данных не подставляется</x:v>
      </x:c>
      <x:c r="C12" s="36" t="str">
        <x:v>FACT</x:v>
      </x:c>
      <x:c r="D12" s="36" t="str">
        <x:v>Правила Issue #80</x:v>
      </x:c>
      <x:c r="E12" s="42" t="n">
        <x:v>46237</x:v>
      </x:c>
      <x:c r="F12" s="37" t="str"/>
    </x:row>
    <x:row r="13">
      <x:c r="A13" s="38" t="str">
        <x:v>Формульная конвенция</x:v>
      </x:c>
      <x:c r="B13" s="39" t="str">
        <x:v>Стоимость строки = норма брутто × цена единицы с приведением г/мл к кг/л; себестоимость порции = сумма строк карты; food cost = себестоимость / тариф</x:v>
      </x:c>
      <x:c r="C13" s="39" t="str">
        <x:v>FACT</x:v>
      </x:c>
      <x:c r="D13" s="39" t="str">
        <x:v>Этот комплект</x:v>
      </x:c>
      <x:c r="E13" s="43" t="n">
        <x:v>46237</x:v>
      </x:c>
      <x:c r="F13" s="40" t="str">
        <x:v>Все межлистовые ссылки заключены в одинарные кавычки</x:v>
      </x:c>
    </x:row>
  </x:sheetData>
  <x:mergeCells>
    <x:mergeCell ref="A1:F1"/>
    <x:mergeCell ref="A2:F2"/>
  </x:mergeCells>
  <x:conditionalFormatting sqref="C5:C13">
    <x:cfRule type="containsText" dxfId="0" priority="1" operator="containsText" text="FACT"/>
    <x:cfRule type="containsText" dxfId="1" priority="2" operator="containsText" text="CALCULATED"/>
    <x:cfRule type="containsText" dxfId="2" priority="3" operator="containsText" text="ASSUMPTION"/>
    <x:cfRule type="containsText" dxfId="3" priority="4" operator="containsText" text="DRAFT"/>
    <x:cfRule type="containsText" dxfId="4" priority="5" operator="containsText" text="BLOCKED"/>
    <x:cfRule type="containsText" dxfId="5" priority="6" operator="containsText" text="SUPERSEDED"/>
  </x:conditionalFormatting>
  <x:pageMargins left="0.7" right="0.7" top="0.75" bottom="0.75" header="0.3" footer="0.3"/>
  <x:tableParts count="1">
    <x:tablePart xmlns:r="http://schemas.openxmlformats.org/officeDocument/2006/relationships" r:id="R55e42b8c25554e6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44" hidden="0" customWidth="1"/>
    <x:col min="4" max="4" width="44" hidden="0" customWidth="1"/>
    <x:col min="5" max="5" width="26" hidden="0" customWidth="1"/>
    <x:col min="6" max="6" width="24" hidden="0" customWidth="1"/>
    <x:col min="7" max="7" width="20" hidden="0" customWidth="1"/>
    <x:col min="8" max="8" width="16" hidden="0" customWidth="1"/>
    <x:col min="9" max="9" width="16" hidden="0" customWidth="1"/>
    <x:col min="10" max="10" width="16" hidden="0" customWidth="1"/>
    <x:col min="11" max="11" width="20" hidden="0" customWidth="1"/>
    <x:col min="12" max="12" width="22" hidden="0" customWidth="1"/>
  </x:cols>
  <x:sheetData>
    <x:row r="1" ht="28" customHeight="1">
      <x:c r="A1" s="3" t="str">
        <x:v>01 — Активное меню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42" customHeight="1">
      <x:c r="A2" s="7" t="str">
        <x:v>31 активная позиция из KITCHEN_MENU_3.0.0.md. Цена 550 — внутренний тариф завтрака DRAFT; остальные цены BLOCKED.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54" customHeight="1">
      <x:c r="A4" s="12" t="str">
        <x:v>Код блюда</x:v>
      </x:c>
      <x:c r="B4" s="12" t="str">
        <x:v>Раздел меню</x:v>
      </x:c>
      <x:c r="C4" s="12" t="str">
        <x:v>Полное наименование</x:v>
      </x:c>
      <x:c r="D4" s="12" t="str">
        <x:v>Направление бизнеса</x:v>
      </x:c>
      <x:c r="E4" s="12" t="str">
        <x:v>Единица продажи</x:v>
      </x:c>
      <x:c r="F4" s="12" t="str">
        <x:v>Выход порции</x:v>
      </x:c>
      <x:c r="G4" s="12" t="str">
        <x:v>Цена продажи / тариф, руб.</x:v>
      </x:c>
      <x:c r="H4" s="12" t="str">
        <x:v>Статус позиции</x:v>
      </x:c>
      <x:c r="I4" s="12" t="str">
        <x:v>Код калькуляционной карты</x:v>
      </x:c>
      <x:c r="J4" s="12" t="str">
        <x:v>Код технологической карты</x:v>
      </x:c>
      <x:c r="K4" s="12" t="str">
        <x:v>Статус комплектности</x:v>
      </x:c>
      <x:c r="L4" s="12" t="str">
        <x:v>Согласование шеф-повара</x:v>
      </x:c>
    </x:row>
    <x:row r="5">
      <x:c r="A5" s="32" t="str">
        <x:v>VKM-001</x:v>
      </x:c>
      <x:c r="B5" s="33" t="str">
        <x:v>Пицца</x:v>
      </x:c>
      <x:c r="C5" s="33" t="str">
        <x:v>Маргарита</x:v>
      </x:c>
      <x:c r="D5" s="33" t="str">
        <x:v>À la carte; Бизнес-ланч; Гостиничные ужины; Доставка</x:v>
      </x:c>
      <x:c r="E5" s="33" t="str">
        <x:v>1 пицца</x:v>
      </x:c>
      <x:c r="F5" s="33" t="str">
        <x:v>450 г</x:v>
      </x:c>
      <x:c r="G5" s="44"/>
      <x:c r="H5" s="33" t="str">
        <x:v>DRAFT</x:v>
      </x:c>
      <x:c r="I5" s="33" t="str">
        <x:v>VKC-001</x:v>
      </x:c>
      <x:c r="J5" s="33" t="str">
        <x:v>VKT-001</x:v>
      </x:c>
      <x:c r="K5" s="33" t="str">
        <x:v>BLOCKED</x:v>
      </x:c>
      <x:c r="L5" s="34" t="str">
        <x:v>BLOCKED</x:v>
      </x:c>
    </x:row>
    <x:row r="6">
      <x:c r="A6" s="35" t="str">
        <x:v>VKM-002</x:v>
      </x:c>
      <x:c r="B6" s="36" t="str">
        <x:v>Пицца</x:v>
      </x:c>
      <x:c r="C6" s="36" t="str">
        <x:v>Четыре сыра</x:v>
      </x:c>
      <x:c r="D6" s="36" t="str">
        <x:v>À la carte; Бизнес-ланч; Гостиничные ужины; Доставка</x:v>
      </x:c>
      <x:c r="E6" s="36" t="str">
        <x:v>1 пицца</x:v>
      </x:c>
      <x:c r="F6" s="36" t="str">
        <x:v>480 г</x:v>
      </x:c>
      <x:c r="G6" s="45"/>
      <x:c r="H6" s="36" t="str">
        <x:v>DRAFT</x:v>
      </x:c>
      <x:c r="I6" s="36" t="str">
        <x:v>VKC-002</x:v>
      </x:c>
      <x:c r="J6" s="36" t="str">
        <x:v>VKT-002</x:v>
      </x:c>
      <x:c r="K6" s="36" t="str">
        <x:v>BLOCKED</x:v>
      </x:c>
      <x:c r="L6" s="37" t="str">
        <x:v>BLOCKED</x:v>
      </x:c>
    </x:row>
    <x:row r="7">
      <x:c r="A7" s="35" t="str">
        <x:v>VKM-003</x:v>
      </x:c>
      <x:c r="B7" s="36" t="str">
        <x:v>Пицца</x:v>
      </x:c>
      <x:c r="C7" s="36" t="str">
        <x:v>Грибная с ветчиной</x:v>
      </x:c>
      <x:c r="D7" s="36" t="str">
        <x:v>À la carte; Бизнес-ланч; Гостиничные ужины; Доставка</x:v>
      </x:c>
      <x:c r="E7" s="36" t="str">
        <x:v>1 пицца</x:v>
      </x:c>
      <x:c r="F7" s="36" t="str">
        <x:v>500 г</x:v>
      </x:c>
      <x:c r="G7" s="45"/>
      <x:c r="H7" s="36" t="str">
        <x:v>DRAFT</x:v>
      </x:c>
      <x:c r="I7" s="36" t="str">
        <x:v>VKC-003</x:v>
      </x:c>
      <x:c r="J7" s="36" t="str">
        <x:v>VKT-003</x:v>
      </x:c>
      <x:c r="K7" s="36" t="str">
        <x:v>BLOCKED</x:v>
      </x:c>
      <x:c r="L7" s="37" t="str">
        <x:v>BLOCKED</x:v>
      </x:c>
    </x:row>
    <x:row r="8">
      <x:c r="A8" s="35" t="str">
        <x:v>VKM-004</x:v>
      </x:c>
      <x:c r="B8" s="36" t="str">
        <x:v>Пицца</x:v>
      </x:c>
      <x:c r="C8" s="36" t="str">
        <x:v>Пепперони</x:v>
      </x:c>
      <x:c r="D8" s="36" t="str">
        <x:v>À la carte; Бизнес-ланч; Гостиничные ужины; Доставка</x:v>
      </x:c>
      <x:c r="E8" s="36" t="str">
        <x:v>1 пицца</x:v>
      </x:c>
      <x:c r="F8" s="36" t="str">
        <x:v>500 г</x:v>
      </x:c>
      <x:c r="G8" s="45"/>
      <x:c r="H8" s="36" t="str">
        <x:v>DRAFT</x:v>
      </x:c>
      <x:c r="I8" s="36" t="str">
        <x:v>VKC-004</x:v>
      </x:c>
      <x:c r="J8" s="36" t="str">
        <x:v>VKT-004</x:v>
      </x:c>
      <x:c r="K8" s="36" t="str">
        <x:v>BLOCKED</x:v>
      </x:c>
      <x:c r="L8" s="37" t="str">
        <x:v>BLOCKED</x:v>
      </x:c>
    </x:row>
    <x:row r="9">
      <x:c r="A9" s="35" t="str">
        <x:v>VKM-005</x:v>
      </x:c>
      <x:c r="B9" s="36" t="str">
        <x:v>Хлеб</x:v>
      </x:c>
      <x:c r="C9" s="36" t="str">
        <x:v>Белая чиабатта</x:v>
      </x:c>
      <x:c r="D9" s="36" t="str">
        <x:v>Все применимые направления КАФЕ; обязательные компоненты</x:v>
      </x:c>
      <x:c r="E9" s="36" t="str">
        <x:v>1 изделие</x:v>
      </x:c>
      <x:c r="F9" s="36" t="str">
        <x:v>100 г</x:v>
      </x:c>
      <x:c r="G9" s="45"/>
      <x:c r="H9" s="36" t="str">
        <x:v>DRAFT</x:v>
      </x:c>
      <x:c r="I9" s="36" t="str">
        <x:v>VKC-005</x:v>
      </x:c>
      <x:c r="J9" s="36" t="str">
        <x:v>VKT-005</x:v>
      </x:c>
      <x:c r="K9" s="36" t="str">
        <x:v>BLOCKED</x:v>
      </x:c>
      <x:c r="L9" s="37" t="str">
        <x:v>BLOCKED</x:v>
      </x:c>
    </x:row>
    <x:row r="10">
      <x:c r="A10" s="35" t="str">
        <x:v>VKM-006</x:v>
      </x:c>
      <x:c r="B10" s="36" t="str">
        <x:v>Хлеб</x:v>
      </x:c>
      <x:c r="C10" s="36" t="str">
        <x:v>Томатная чиабатта</x:v>
      </x:c>
      <x:c r="D10" s="36" t="str">
        <x:v>Все применимые направления КАФЕ</x:v>
      </x:c>
      <x:c r="E10" s="36" t="str">
        <x:v>1 изделие</x:v>
      </x:c>
      <x:c r="F10" s="36" t="str">
        <x:v>100 г</x:v>
      </x:c>
      <x:c r="G10" s="45"/>
      <x:c r="H10" s="36" t="str">
        <x:v>DRAFT</x:v>
      </x:c>
      <x:c r="I10" s="36" t="str">
        <x:v>VKC-006</x:v>
      </x:c>
      <x:c r="J10" s="36" t="str">
        <x:v>VKT-006</x:v>
      </x:c>
      <x:c r="K10" s="36" t="str">
        <x:v>BLOCKED</x:v>
      </x:c>
      <x:c r="L10" s="37" t="str">
        <x:v>BLOCKED</x:v>
      </x:c>
    </x:row>
    <x:row r="11">
      <x:c r="A11" s="35" t="str">
        <x:v>VKM-007</x:v>
      </x:c>
      <x:c r="B11" s="36" t="str">
        <x:v>Хлеб</x:v>
      </x:c>
      <x:c r="C11" s="36" t="str">
        <x:v>Бородинский хлеб</x:v>
      </x:c>
      <x:c r="D11" s="36" t="str">
        <x:v>Все применимые направления КАФЕ; обязательные компоненты</x:v>
      </x:c>
      <x:c r="E11" s="36" t="str">
        <x:v>1 буханка</x:v>
      </x:c>
      <x:c r="F11" s="36" t="str">
        <x:v>350 г</x:v>
      </x:c>
      <x:c r="G11" s="45"/>
      <x:c r="H11" s="36" t="str">
        <x:v>DRAFT</x:v>
      </x:c>
      <x:c r="I11" s="36" t="str">
        <x:v>VKC-007</x:v>
      </x:c>
      <x:c r="J11" s="36" t="str">
        <x:v>VKT-007</x:v>
      </x:c>
      <x:c r="K11" s="36" t="str">
        <x:v>BLOCKED</x:v>
      </x:c>
      <x:c r="L11" s="37" t="str">
        <x:v>BLOCKED</x:v>
      </x:c>
    </x:row>
    <x:row r="12">
      <x:c r="A12" s="35" t="str">
        <x:v>VKM-008</x:v>
      </x:c>
      <x:c r="B12" s="36" t="str">
        <x:v>Хлеб</x:v>
      </x:c>
      <x:c r="C12" s="36" t="str">
        <x:v>Бриошь</x:v>
      </x:c>
      <x:c r="D12" s="36" t="str">
        <x:v>Все применимые направления КАФЕ; бургер</x:v>
      </x:c>
      <x:c r="E12" s="36" t="str">
        <x:v>1 изделие</x:v>
      </x:c>
      <x:c r="F12" s="36" t="str">
        <x:v>85 г</x:v>
      </x:c>
      <x:c r="G12" s="45"/>
      <x:c r="H12" s="36" t="str">
        <x:v>DRAFT</x:v>
      </x:c>
      <x:c r="I12" s="36" t="str">
        <x:v>VKC-008</x:v>
      </x:c>
      <x:c r="J12" s="36" t="str">
        <x:v>VKT-008</x:v>
      </x:c>
      <x:c r="K12" s="36" t="str">
        <x:v>BLOCKED</x:v>
      </x:c>
      <x:c r="L12" s="37" t="str">
        <x:v>BLOCKED</x:v>
      </x:c>
    </x:row>
    <x:row r="13">
      <x:c r="A13" s="35" t="str">
        <x:v>VKM-009</x:v>
      </x:c>
      <x:c r="B13" s="36" t="str">
        <x:v>Салаты</x:v>
      </x:c>
      <x:c r="C13" s="36" t="str">
        <x:v>Буррата с томатами</x:v>
      </x:c>
      <x:c r="D13" s="36" t="str">
        <x:v>À la carte; Бизнес-ланч; Гостиничные ужины; Доставка</x:v>
      </x:c>
      <x:c r="E13" s="36" t="str">
        <x:v>1 порция</x:v>
      </x:c>
      <x:c r="F13" s="36" t="str">
        <x:v>300 г</x:v>
      </x:c>
      <x:c r="G13" s="45"/>
      <x:c r="H13" s="36" t="str">
        <x:v>DRAFT</x:v>
      </x:c>
      <x:c r="I13" s="36" t="str">
        <x:v>VKC-009</x:v>
      </x:c>
      <x:c r="J13" s="36" t="str">
        <x:v>VKT-009</x:v>
      </x:c>
      <x:c r="K13" s="36" t="str">
        <x:v>BLOCKED</x:v>
      </x:c>
      <x:c r="L13" s="37" t="str">
        <x:v>BLOCKED</x:v>
      </x:c>
    </x:row>
    <x:row r="14">
      <x:c r="A14" s="35" t="str">
        <x:v>VKM-010</x:v>
      </x:c>
      <x:c r="B14" s="36" t="str">
        <x:v>Салаты</x:v>
      </x:c>
      <x:c r="C14" s="36" t="str">
        <x:v>Микс-салат с креветками и яблоком</x:v>
      </x:c>
      <x:c r="D14" s="36" t="str">
        <x:v>À la carte; Бизнес-ланч; Гостиничные ужины; Доставка</x:v>
      </x:c>
      <x:c r="E14" s="36" t="str">
        <x:v>1 порция</x:v>
      </x:c>
      <x:c r="F14" s="36" t="str">
        <x:v>280 г</x:v>
      </x:c>
      <x:c r="G14" s="45"/>
      <x:c r="H14" s="36" t="str">
        <x:v>DRAFT</x:v>
      </x:c>
      <x:c r="I14" s="36" t="str">
        <x:v>VKC-010</x:v>
      </x:c>
      <x:c r="J14" s="36" t="str">
        <x:v>VKT-010</x:v>
      </x:c>
      <x:c r="K14" s="36" t="str">
        <x:v>BLOCKED</x:v>
      </x:c>
      <x:c r="L14" s="37" t="str">
        <x:v>BLOCKED</x:v>
      </x:c>
    </x:row>
    <x:row r="15">
      <x:c r="A15" s="35" t="str">
        <x:v>VKM-011</x:v>
      </x:c>
      <x:c r="B15" s="36" t="str">
        <x:v>Салаты</x:v>
      </x:c>
      <x:c r="C15" s="36" t="str">
        <x:v>Греческий</x:v>
      </x:c>
      <x:c r="D15" s="36" t="str">
        <x:v>À la carte; Бизнес-ланч; Гостиничные ужины; Доставка</x:v>
      </x:c>
      <x:c r="E15" s="36" t="str">
        <x:v>1 порция</x:v>
      </x:c>
      <x:c r="F15" s="36" t="str">
        <x:v>270 г</x:v>
      </x:c>
      <x:c r="G15" s="45"/>
      <x:c r="H15" s="36" t="str">
        <x:v>DRAFT</x:v>
      </x:c>
      <x:c r="I15" s="36" t="str">
        <x:v>VKC-011</x:v>
      </x:c>
      <x:c r="J15" s="36" t="str">
        <x:v>VKT-011</x:v>
      </x:c>
      <x:c r="K15" s="36" t="str">
        <x:v>BLOCKED</x:v>
      </x:c>
      <x:c r="L15" s="37" t="str">
        <x:v>BLOCKED</x:v>
      </x:c>
    </x:row>
    <x:row r="16">
      <x:c r="A16" s="35" t="str">
        <x:v>VKM-012</x:v>
      </x:c>
      <x:c r="B16" s="36" t="str">
        <x:v>Салаты</x:v>
      </x:c>
      <x:c r="C16" s="36" t="str">
        <x:v>Винегрет</x:v>
      </x:c>
      <x:c r="D16" s="36" t="str">
        <x:v>À la carte; Бизнес-ланч; Гостиничные ужины; Доставка</x:v>
      </x:c>
      <x:c r="E16" s="36" t="str">
        <x:v>1 порция</x:v>
      </x:c>
      <x:c r="F16" s="36" t="str">
        <x:v>240 г</x:v>
      </x:c>
      <x:c r="G16" s="45"/>
      <x:c r="H16" s="36" t="str">
        <x:v>DRAFT</x:v>
      </x:c>
      <x:c r="I16" s="36" t="str">
        <x:v>VKC-012</x:v>
      </x:c>
      <x:c r="J16" s="36" t="str">
        <x:v>VKT-012</x:v>
      </x:c>
      <x:c r="K16" s="36" t="str">
        <x:v>BLOCKED</x:v>
      </x:c>
      <x:c r="L16" s="37" t="str">
        <x:v>BLOCKED</x:v>
      </x:c>
    </x:row>
    <x:row r="17">
      <x:c r="A17" s="35" t="str">
        <x:v>VKM-013</x:v>
      </x:c>
      <x:c r="B17" s="36" t="str">
        <x:v>Холодные закуски</x:v>
      </x:c>
      <x:c r="C17" s="36" t="str">
        <x:v>Слабосолёный лосось</x:v>
      </x:c>
      <x:c r="D17" s="36" t="str">
        <x:v>À la carte; Бизнес-ланч; Гостиничные ужины</x:v>
      </x:c>
      <x:c r="E17" s="36" t="str">
        <x:v>1 порция</x:v>
      </x:c>
      <x:c r="F17" s="36" t="str">
        <x:v>130 г</x:v>
      </x:c>
      <x:c r="G17" s="45"/>
      <x:c r="H17" s="36" t="str">
        <x:v>DRAFT</x:v>
      </x:c>
      <x:c r="I17" s="36" t="str">
        <x:v>VKC-013</x:v>
      </x:c>
      <x:c r="J17" s="36" t="str">
        <x:v>VKT-013</x:v>
      </x:c>
      <x:c r="K17" s="36" t="str">
        <x:v>BLOCKED</x:v>
      </x:c>
      <x:c r="L17" s="37" t="str">
        <x:v>BLOCKED</x:v>
      </x:c>
    </x:row>
    <x:row r="18">
      <x:c r="A18" s="35" t="str">
        <x:v>VKM-014</x:v>
      </x:c>
      <x:c r="B18" s="36" t="str">
        <x:v>Холодные закуски</x:v>
      </x:c>
      <x:c r="C18" s="36" t="str">
        <x:v>Сельдь с запечённым картофелем</x:v>
      </x:c>
      <x:c r="D18" s="36" t="str">
        <x:v>À la carte; Бизнес-ланч; Гостиничные ужины</x:v>
      </x:c>
      <x:c r="E18" s="36" t="str">
        <x:v>1 порция</x:v>
      </x:c>
      <x:c r="F18" s="36" t="str">
        <x:v>250 г</x:v>
      </x:c>
      <x:c r="G18" s="45"/>
      <x:c r="H18" s="36" t="str">
        <x:v>DRAFT</x:v>
      </x:c>
      <x:c r="I18" s="36" t="str">
        <x:v>VKC-014</x:v>
      </x:c>
      <x:c r="J18" s="36" t="str">
        <x:v>VKT-014</x:v>
      </x:c>
      <x:c r="K18" s="36" t="str">
        <x:v>BLOCKED</x:v>
      </x:c>
      <x:c r="L18" s="37" t="str">
        <x:v>BLOCKED</x:v>
      </x:c>
    </x:row>
    <x:row r="19">
      <x:c r="A19" s="35" t="str">
        <x:v>VKM-015</x:v>
      </x:c>
      <x:c r="B19" s="36" t="str">
        <x:v>Холодные закуски</x:v>
      </x:c>
      <x:c r="C19" s="36" t="str">
        <x:v>Оливки и маслины</x:v>
      </x:c>
      <x:c r="D19" s="36" t="str">
        <x:v>À la carte; Бизнес-ланч; Гостиничные ужины</x:v>
      </x:c>
      <x:c r="E19" s="36" t="str">
        <x:v>1 порция</x:v>
      </x:c>
      <x:c r="F19" s="36" t="str">
        <x:v>120 г</x:v>
      </x:c>
      <x:c r="G19" s="45"/>
      <x:c r="H19" s="36" t="str">
        <x:v>DRAFT</x:v>
      </x:c>
      <x:c r="I19" s="36" t="str">
        <x:v>VKC-015</x:v>
      </x:c>
      <x:c r="J19" s="36" t="str">
        <x:v>VKT-015</x:v>
      </x:c>
      <x:c r="K19" s="36" t="str">
        <x:v>BLOCKED</x:v>
      </x:c>
      <x:c r="L19" s="37" t="str">
        <x:v>BLOCKED</x:v>
      </x:c>
    </x:row>
    <x:row r="20">
      <x:c r="A20" s="35" t="str">
        <x:v>VKM-016</x:v>
      </x:c>
      <x:c r="B20" s="36" t="str">
        <x:v>Холодные закуски</x:v>
      </x:c>
      <x:c r="C20" s="36" t="str">
        <x:v>Ассорти фирменных солений</x:v>
      </x:c>
      <x:c r="D20" s="36" t="str">
        <x:v>À la carte; Бизнес-ланч; Гостиничные ужины</x:v>
      </x:c>
      <x:c r="E20" s="36" t="str">
        <x:v>1 порция</x:v>
      </x:c>
      <x:c r="F20" s="36" t="str">
        <x:v>180 г</x:v>
      </x:c>
      <x:c r="G20" s="45"/>
      <x:c r="H20" s="36" t="str">
        <x:v>DRAFT</x:v>
      </x:c>
      <x:c r="I20" s="36" t="str">
        <x:v>VKC-016</x:v>
      </x:c>
      <x:c r="J20" s="36" t="str">
        <x:v>VKT-016</x:v>
      </x:c>
      <x:c r="K20" s="36" t="str">
        <x:v>BLOCKED</x:v>
      </x:c>
      <x:c r="L20" s="37" t="str">
        <x:v>BLOCKED</x:v>
      </x:c>
    </x:row>
    <x:row r="21">
      <x:c r="A21" s="35" t="str">
        <x:v>VKM-017</x:v>
      </x:c>
      <x:c r="B21" s="36" t="str">
        <x:v>Холодные закуски</x:v>
      </x:c>
      <x:c r="C21" s="36" t="str">
        <x:v>Ростбиф с луком и гренкой</x:v>
      </x:c>
      <x:c r="D21" s="36" t="str">
        <x:v>À la carte; Бизнес-ланч; Гостиничные ужины</x:v>
      </x:c>
      <x:c r="E21" s="36" t="str">
        <x:v>1 порция</x:v>
      </x:c>
      <x:c r="F21" s="36" t="str">
        <x:v>180 г</x:v>
      </x:c>
      <x:c r="G21" s="45"/>
      <x:c r="H21" s="36" t="str">
        <x:v>DRAFT</x:v>
      </x:c>
      <x:c r="I21" s="36" t="str">
        <x:v>VKC-017</x:v>
      </x:c>
      <x:c r="J21" s="36" t="str">
        <x:v>VKT-017</x:v>
      </x:c>
      <x:c r="K21" s="36" t="str">
        <x:v>BLOCKED</x:v>
      </x:c>
      <x:c r="L21" s="37" t="str">
        <x:v>BLOCKED</x:v>
      </x:c>
    </x:row>
    <x:row r="22">
      <x:c r="A22" s="35" t="str">
        <x:v>VKM-018</x:v>
      </x:c>
      <x:c r="B22" s="36" t="str">
        <x:v>Супы</x:v>
      </x:c>
      <x:c r="C22" s="36" t="str">
        <x:v>Традиционный красный борщ</x:v>
      </x:c>
      <x:c r="D22" s="36" t="str">
        <x:v>À la carte; Бизнес-ланч</x:v>
      </x:c>
      <x:c r="E22" s="36" t="str">
        <x:v>1 гостевая подача</x:v>
      </x:c>
      <x:c r="F22" s="36" t="str">
        <x:v>400 г</x:v>
      </x:c>
      <x:c r="G22" s="45"/>
      <x:c r="H22" s="36" t="str">
        <x:v>DRAFT</x:v>
      </x:c>
      <x:c r="I22" s="36" t="str">
        <x:v>VKC-018</x:v>
      </x:c>
      <x:c r="J22" s="36" t="str">
        <x:v>VKT-018</x:v>
      </x:c>
      <x:c r="K22" s="36" t="str">
        <x:v>BLOCKED</x:v>
      </x:c>
      <x:c r="L22" s="37" t="str">
        <x:v>BLOCKED</x:v>
      </x:c>
    </x:row>
    <x:row r="23">
      <x:c r="A23" s="35" t="str">
        <x:v>VKM-019</x:v>
      </x:c>
      <x:c r="B23" s="36" t="str">
        <x:v>Горячие блюда</x:v>
      </x:c>
      <x:c r="C23" s="36" t="str">
        <x:v>Мурманская треска со сливочно-горчичным соусом</x:v>
      </x:c>
      <x:c r="D23" s="36" t="str">
        <x:v>À la carte; Бизнес-ланч; Гостиничные ужины; Доставка</x:v>
      </x:c>
      <x:c r="E23" s="36" t="str">
        <x:v>1 порция</x:v>
      </x:c>
      <x:c r="F23" s="36" t="str">
        <x:v>300 г</x:v>
      </x:c>
      <x:c r="G23" s="45"/>
      <x:c r="H23" s="36" t="str">
        <x:v>DRAFT</x:v>
      </x:c>
      <x:c r="I23" s="36" t="str">
        <x:v>VKC-019</x:v>
      </x:c>
      <x:c r="J23" s="36" t="str">
        <x:v>VKT-019</x:v>
      </x:c>
      <x:c r="K23" s="36" t="str">
        <x:v>BLOCKED</x:v>
      </x:c>
      <x:c r="L23" s="37" t="str">
        <x:v>BLOCKED</x:v>
      </x:c>
    </x:row>
    <x:row r="24">
      <x:c r="A24" s="35" t="str">
        <x:v>VKM-020</x:v>
      </x:c>
      <x:c r="B24" s="36" t="str">
        <x:v>Горячие блюда</x:v>
      </x:c>
      <x:c r="C24" s="36" t="str">
        <x:v>Креветки по-тайски</x:v>
      </x:c>
      <x:c r="D24" s="36" t="str">
        <x:v>À la carte; Бизнес-ланч; Гостиничные ужины; Доставка</x:v>
      </x:c>
      <x:c r="E24" s="36" t="str">
        <x:v>1 порция</x:v>
      </x:c>
      <x:c r="F24" s="36" t="str">
        <x:v>360 г</x:v>
      </x:c>
      <x:c r="G24" s="45"/>
      <x:c r="H24" s="36" t="str">
        <x:v>DRAFT</x:v>
      </x:c>
      <x:c r="I24" s="36" t="str">
        <x:v>VKC-020</x:v>
      </x:c>
      <x:c r="J24" s="36" t="str">
        <x:v>VKT-020</x:v>
      </x:c>
      <x:c r="K24" s="36" t="str">
        <x:v>BLOCKED</x:v>
      </x:c>
      <x:c r="L24" s="37" t="str">
        <x:v>BLOCKED</x:v>
      </x:c>
    </x:row>
    <x:row r="25">
      <x:c r="A25" s="35" t="str">
        <x:v>VKM-021</x:v>
      </x:c>
      <x:c r="B25" s="36" t="str">
        <x:v>Горячие блюда</x:v>
      </x:c>
      <x:c r="C25" s="36" t="str">
        <x:v>Бургер VARSHAVKA</x:v>
      </x:c>
      <x:c r="D25" s="36" t="str">
        <x:v>À la carte; Бизнес-ланч; Гостиничные ужины; Доставка</x:v>
      </x:c>
      <x:c r="E25" s="36" t="str">
        <x:v>1 бургер</x:v>
      </x:c>
      <x:c r="F25" s="36" t="str">
        <x:v>350 г</x:v>
      </x:c>
      <x:c r="G25" s="45"/>
      <x:c r="H25" s="36" t="str">
        <x:v>DRAFT</x:v>
      </x:c>
      <x:c r="I25" s="36" t="str">
        <x:v>VKC-021</x:v>
      </x:c>
      <x:c r="J25" s="36" t="str">
        <x:v>VKT-021</x:v>
      </x:c>
      <x:c r="K25" s="36" t="str">
        <x:v>BLOCKED</x:v>
      </x:c>
      <x:c r="L25" s="37" t="str">
        <x:v>BLOCKED</x:v>
      </x:c>
    </x:row>
    <x:row r="26">
      <x:c r="A26" s="35" t="str">
        <x:v>VKM-022</x:v>
      </x:c>
      <x:c r="B26" s="36" t="str">
        <x:v>Горячие блюда</x:v>
      </x:c>
      <x:c r="C26" s="36" t="str">
        <x:v>Миньоны из говяжьей вырезки</x:v>
      </x:c>
      <x:c r="D26" s="36" t="str">
        <x:v>À la carte; Бизнес-ланч; Гостиничные ужины; Доставка</x:v>
      </x:c>
      <x:c r="E26" s="36" t="str">
        <x:v>1 порция, 2 миньона</x:v>
      </x:c>
      <x:c r="F26" s="36" t="str">
        <x:v>300 г</x:v>
      </x:c>
      <x:c r="G26" s="45"/>
      <x:c r="H26" s="36" t="str">
        <x:v>DRAFT</x:v>
      </x:c>
      <x:c r="I26" s="36" t="str">
        <x:v>VKC-022</x:v>
      </x:c>
      <x:c r="J26" s="36" t="str">
        <x:v>VKT-022</x:v>
      </x:c>
      <x:c r="K26" s="36" t="str">
        <x:v>BLOCKED</x:v>
      </x:c>
      <x:c r="L26" s="37" t="str">
        <x:v>BLOCKED</x:v>
      </x:c>
    </x:row>
    <x:row r="27">
      <x:c r="A27" s="35" t="str">
        <x:v>VKM-023</x:v>
      </x:c>
      <x:c r="B27" s="36" t="str">
        <x:v>Гарниры</x:v>
      </x:c>
      <x:c r="C27" s="36" t="str">
        <x:v>Запечённый картофель</x:v>
      </x:c>
      <x:c r="D27" s="36" t="str">
        <x:v>À la carte; Бизнес-ланч; Гостиничные ужины</x:v>
      </x:c>
      <x:c r="E27" s="36" t="str">
        <x:v>1 порция</x:v>
      </x:c>
      <x:c r="F27" s="36" t="str">
        <x:v>150 г</x:v>
      </x:c>
      <x:c r="G27" s="45"/>
      <x:c r="H27" s="36" t="str">
        <x:v>DRAFT</x:v>
      </x:c>
      <x:c r="I27" s="36" t="str">
        <x:v>VKC-023</x:v>
      </x:c>
      <x:c r="J27" s="36" t="str">
        <x:v>VKT-023</x:v>
      </x:c>
      <x:c r="K27" s="36" t="str">
        <x:v>BLOCKED</x:v>
      </x:c>
      <x:c r="L27" s="37" t="str">
        <x:v>BLOCKED</x:v>
      </x:c>
    </x:row>
    <x:row r="28">
      <x:c r="A28" s="35" t="str">
        <x:v>VKM-024</x:v>
      </x:c>
      <x:c r="B28" s="36" t="str">
        <x:v>Гарниры</x:v>
      </x:c>
      <x:c r="C28" s="36" t="str">
        <x:v>Рис жасмин</x:v>
      </x:c>
      <x:c r="D28" s="36" t="str">
        <x:v>À la carte; Бизнес-ланч; Гостиничные ужины</x:v>
      </x:c>
      <x:c r="E28" s="36" t="str">
        <x:v>1 порция</x:v>
      </x:c>
      <x:c r="F28" s="36" t="str">
        <x:v>150 г</x:v>
      </x:c>
      <x:c r="G28" s="45"/>
      <x:c r="H28" s="36" t="str">
        <x:v>DRAFT</x:v>
      </x:c>
      <x:c r="I28" s="36" t="str">
        <x:v>VKC-024</x:v>
      </x:c>
      <x:c r="J28" s="36" t="str">
        <x:v>VKT-024</x:v>
      </x:c>
      <x:c r="K28" s="36" t="str">
        <x:v>BLOCKED</x:v>
      </x:c>
      <x:c r="L28" s="37" t="str">
        <x:v>BLOCKED</x:v>
      </x:c>
    </x:row>
    <x:row r="29">
      <x:c r="A29" s="35" t="str">
        <x:v>VKM-025</x:v>
      </x:c>
      <x:c r="B29" s="36" t="str">
        <x:v>Гарниры</x:v>
      </x:c>
      <x:c r="C29" s="36" t="str">
        <x:v>Горячие овощи</x:v>
      </x:c>
      <x:c r="D29" s="36" t="str">
        <x:v>À la carte; Бизнес-ланч; Гостиничные ужины</x:v>
      </x:c>
      <x:c r="E29" s="36" t="str">
        <x:v>1 порция</x:v>
      </x:c>
      <x:c r="F29" s="36" t="str">
        <x:v>150 г</x:v>
      </x:c>
      <x:c r="G29" s="45"/>
      <x:c r="H29" s="36" t="str">
        <x:v>DRAFT</x:v>
      </x:c>
      <x:c r="I29" s="36" t="str">
        <x:v>VKC-025</x:v>
      </x:c>
      <x:c r="J29" s="36" t="str">
        <x:v>VKT-025</x:v>
      </x:c>
      <x:c r="K29" s="36" t="str">
        <x:v>BLOCKED</x:v>
      </x:c>
      <x:c r="L29" s="37" t="str">
        <x:v>BLOCKED</x:v>
      </x:c>
    </x:row>
    <x:row r="30">
      <x:c r="A30" s="35" t="str">
        <x:v>VKM-026</x:v>
      </x:c>
      <x:c r="B30" s="36" t="str">
        <x:v>Гостиничные завтраки</x:v>
      </x:c>
      <x:c r="C30" s="36" t="str">
        <x:v>Яичница, круассан и сыр двух видов</x:v>
      </x:c>
      <x:c r="D30" s="36" t="str">
        <x:v>Гостиница</x:v>
      </x:c>
      <x:c r="E30" s="36" t="str">
        <x:v>1 закрытый комплекс</x:v>
      </x:c>
      <x:c r="F30" s="36" t="str">
        <x:v>225 г + напиток 200 мл</x:v>
      </x:c>
      <x:c r="G30" s="45" t="n">
        <x:v>550</x:v>
      </x:c>
      <x:c r="H30" s="36" t="str">
        <x:v>DRAFT</x:v>
      </x:c>
      <x:c r="I30" s="36" t="str">
        <x:v>VKC-026</x:v>
      </x:c>
      <x:c r="J30" s="36" t="str">
        <x:v>VKT-026</x:v>
      </x:c>
      <x:c r="K30" s="36" t="str">
        <x:v>DRAFT</x:v>
      </x:c>
      <x:c r="L30" s="37" t="str">
        <x:v>BLOCKED</x:v>
      </x:c>
    </x:row>
    <x:row r="31">
      <x:c r="A31" s="35" t="str">
        <x:v>VKM-027</x:v>
      </x:c>
      <x:c r="B31" s="36" t="str">
        <x:v>Гостиничные завтраки</x:v>
      </x:c>
      <x:c r="C31" s="36" t="str">
        <x:v>Омлет, круассан и сыр двух видов</x:v>
      </x:c>
      <x:c r="D31" s="36" t="str">
        <x:v>Гостиница</x:v>
      </x:c>
      <x:c r="E31" s="36" t="str">
        <x:v>1 закрытый комплекс</x:v>
      </x:c>
      <x:c r="F31" s="36" t="str">
        <x:v>265 г + напиток 200 мл</x:v>
      </x:c>
      <x:c r="G31" s="45" t="n">
        <x:v>550</x:v>
      </x:c>
      <x:c r="H31" s="36" t="str">
        <x:v>DRAFT</x:v>
      </x:c>
      <x:c r="I31" s="36" t="str">
        <x:v>VKC-027</x:v>
      </x:c>
      <x:c r="J31" s="36" t="str">
        <x:v>VKT-027</x:v>
      </x:c>
      <x:c r="K31" s="36" t="str">
        <x:v>DRAFT</x:v>
      </x:c>
      <x:c r="L31" s="37" t="str">
        <x:v>BLOCKED</x:v>
      </x:c>
    </x:row>
    <x:row r="32">
      <x:c r="A32" s="35" t="str">
        <x:v>VKM-028</x:v>
      </x:c>
      <x:c r="B32" s="36" t="str">
        <x:v>Гостиничные завтраки</x:v>
      </x:c>
      <x:c r="C32" s="36" t="str">
        <x:v>Овсяная каша, круассан и сыр двух видов</x:v>
      </x:c>
      <x:c r="D32" s="36" t="str">
        <x:v>Гостиница</x:v>
      </x:c>
      <x:c r="E32" s="36" t="str">
        <x:v>1 закрытый комплекс</x:v>
      </x:c>
      <x:c r="F32" s="36" t="str">
        <x:v>355 г + напиток 200 мл</x:v>
      </x:c>
      <x:c r="G32" s="45" t="n">
        <x:v>550</x:v>
      </x:c>
      <x:c r="H32" s="36" t="str">
        <x:v>DRAFT</x:v>
      </x:c>
      <x:c r="I32" s="36" t="str">
        <x:v>VKC-028</x:v>
      </x:c>
      <x:c r="J32" s="36" t="str">
        <x:v>VKT-028</x:v>
      </x:c>
      <x:c r="K32" s="36" t="str">
        <x:v>DRAFT</x:v>
      </x:c>
      <x:c r="L32" s="37" t="str">
        <x:v>BLOCKED</x:v>
      </x:c>
    </x:row>
    <x:row r="33">
      <x:c r="A33" s="35" t="str">
        <x:v>VKM-029</x:v>
      </x:c>
      <x:c r="B33" s="36" t="str">
        <x:v>Десерты</x:v>
      </x:c>
      <x:c r="C33" s="36" t="str">
        <x:v>Черничный торт VARSHAVKA</x:v>
      </x:c>
      <x:c r="D33" s="36" t="str">
        <x:v>À la carte; Навынос</x:v>
      </x:c>
      <x:c r="E33" s="36" t="str">
        <x:v>1 торт / 12 порций</x:v>
      </x:c>
      <x:c r="F33" s="36" t="str">
        <x:v>1 800 г / 150 г</x:v>
      </x:c>
      <x:c r="G33" s="45"/>
      <x:c r="H33" s="36" t="str">
        <x:v>DRAFT</x:v>
      </x:c>
      <x:c r="I33" s="36" t="str">
        <x:v>VKC-029</x:v>
      </x:c>
      <x:c r="J33" s="36" t="str">
        <x:v>VKT-029</x:v>
      </x:c>
      <x:c r="K33" s="36" t="str">
        <x:v>BLOCKED</x:v>
      </x:c>
      <x:c r="L33" s="37" t="str">
        <x:v>BLOCKED</x:v>
      </x:c>
    </x:row>
    <x:row r="34">
      <x:c r="A34" s="35" t="str">
        <x:v>VKM-030</x:v>
      </x:c>
      <x:c r="B34" s="36" t="str">
        <x:v>Десерты</x:v>
      </x:c>
      <x:c r="C34" s="36" t="str">
        <x:v>Кростата с солёной карамелью</x:v>
      </x:c>
      <x:c r="D34" s="36" t="str">
        <x:v>À la carte; Гостиничные ужины; Навынос</x:v>
      </x:c>
      <x:c r="E34" s="36" t="str">
        <x:v>1 кростата / 10 порций</x:v>
      </x:c>
      <x:c r="F34" s="36" t="str">
        <x:v>1 200 г / 120 г</x:v>
      </x:c>
      <x:c r="G34" s="45"/>
      <x:c r="H34" s="36" t="str">
        <x:v>DRAFT</x:v>
      </x:c>
      <x:c r="I34" s="36" t="str">
        <x:v>VKC-030</x:v>
      </x:c>
      <x:c r="J34" s="36" t="str">
        <x:v>VKT-030</x:v>
      </x:c>
      <x:c r="K34" s="36" t="str">
        <x:v>BLOCKED</x:v>
      </x:c>
      <x:c r="L34" s="37" t="str">
        <x:v>BLOCKED</x:v>
      </x:c>
    </x:row>
    <x:row r="35">
      <x:c r="A35" s="38" t="str">
        <x:v>VKM-031</x:v>
      </x:c>
      <x:c r="B35" s="39" t="str">
        <x:v>Десерты</x:v>
      </x:c>
      <x:c r="C35" s="39" t="str">
        <x:v>Мадлен</x:v>
      </x:c>
      <x:c r="D35" s="39" t="str">
        <x:v>À la carte; Навынос</x:v>
      </x:c>
      <x:c r="E35" s="39" t="str">
        <x:v>партия 20 шт. / продажа 2 шт.</x:v>
      </x:c>
      <x:c r="F35" s="39" t="str">
        <x:v>600 г / 60 г</x:v>
      </x:c>
      <x:c r="G35" s="46"/>
      <x:c r="H35" s="39" t="str">
        <x:v>DRAFT</x:v>
      </x:c>
      <x:c r="I35" s="39" t="str">
        <x:v>VKC-031</x:v>
      </x:c>
      <x:c r="J35" s="39" t="str">
        <x:v>VKT-031</x:v>
      </x:c>
      <x:c r="K35" s="39" t="str">
        <x:v>BLOCKED</x:v>
      </x:c>
      <x:c r="L35" s="40" t="str">
        <x:v>BLOCKED</x:v>
      </x:c>
    </x:row>
  </x:sheetData>
  <x:mergeCells>
    <x:mergeCell ref="A1:L1"/>
    <x:mergeCell ref="A2:L2"/>
  </x:mergeCells>
  <x:conditionalFormatting sqref="H5:H35">
    <x:cfRule type="containsText" dxfId="6" priority="1" operator="containsText" text="FACT"/>
    <x:cfRule type="containsText" dxfId="7" priority="2" operator="containsText" text="CALCULATED"/>
    <x:cfRule type="containsText" dxfId="8" priority="3" operator="containsText" text="ASSUMPTION"/>
    <x:cfRule type="containsText" dxfId="9" priority="4" operator="containsText" text="DRAFT"/>
    <x:cfRule type="containsText" dxfId="10" priority="5" operator="containsText" text="BLOCKED"/>
    <x:cfRule type="containsText" dxfId="11" priority="6" operator="containsText" text="SUPERSEDED"/>
  </x:conditionalFormatting>
  <x:conditionalFormatting sqref="K5:L35">
    <x:cfRule type="containsText" dxfId="12" priority="7" operator="containsText" text="FACT"/>
    <x:cfRule type="containsText" dxfId="13" priority="8" operator="containsText" text="CALCULATED"/>
    <x:cfRule type="containsText" dxfId="14" priority="9" operator="containsText" text="ASSUMPTION"/>
    <x:cfRule type="containsText" dxfId="15" priority="10" operator="containsText" text="DRAFT"/>
    <x:cfRule type="containsText" dxfId="16" priority="11" operator="containsText" text="BLOCKED"/>
    <x:cfRule type="containsText" dxfId="17" priority="12" operator="containsText" text="SUPERSEDED"/>
  </x:conditionalFormatting>
  <x:dataValidations count="3">
    <x:dataValidation type="list" sqref="H5:H35">
      <x:formula1>"FACT,CALCULATED,ASSUMPTION,DRAFT,BLOCKED,SUPERSEDED"</x:formula1>
    </x:dataValidation>
    <x:dataValidation type="list" sqref="K5:L35">
      <x:formula1>"FACT,CALCULATED,ASSUMPTION,DRAFT,BLOCKED,SUPERSEDED"</x:formula1>
    </x:dataValidation>
    <x:dataValidation type="decimal" operator="greaterThanOrEqual" sqref="G5:G35">
      <x:formula1>0</x:formula1>
    </x:dataValidation>
  </x:dataValidations>
  <x:pageMargins left="0.7" right="0.7" top="0.75" bottom="0.75" header="0.3" footer="0.3"/>
  <x:legacyDrawing xmlns:r="http://schemas.openxmlformats.org/officeDocument/2006/relationships" r:id="Re17cc5708c0d46ac"/>
  <x:tableParts count="1">
    <x:tablePart xmlns:r="http://schemas.openxmlformats.org/officeDocument/2006/relationships" r:id="R7f5863cb654546e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42" hidden="0" customWidth="1"/>
    <x:col min="4" max="4" width="22" hidden="0" customWidth="1"/>
    <x:col min="5" max="5" width="38" hidden="0" customWidth="1"/>
    <x:col min="6" max="6" width="12" hidden="0" customWidth="1"/>
    <x:col min="7" max="7" width="15" hidden="0" customWidth="1"/>
    <x:col min="8" max="8" width="15" hidden="0" customWidth="1"/>
    <x:col min="9" max="9" width="18" hidden="0" customWidth="1"/>
    <x:col min="10" max="10" width="22" hidden="0" customWidth="1"/>
    <x:col min="11" max="11" width="20" hidden="0" customWidth="1"/>
    <x:col min="12" max="12" width="20" hidden="0" customWidth="1"/>
    <x:col min="13" max="13" width="22" hidden="0" customWidth="1"/>
    <x:col min="14" max="14" width="22" hidden="0" customWidth="1"/>
    <x:col min="15" max="15" width="14" hidden="0" customWidth="1"/>
    <x:col min="16" max="16" width="38" hidden="0" customWidth="1"/>
    <x:col min="17" max="17" width="16" hidden="0" customWidth="1"/>
    <x:col min="18" max="18" width="46" hidden="0" customWidth="1"/>
  </x:cols>
  <x:sheetData>
    <x:row r="1" ht="28" customHeight="1">
      <x:c r="A1" s="3" t="str">
        <x:v>02 — Калькуляционные карты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42" customHeight="1">
      <x:c r="A2" s="7" t="str">
        <x:v>28 карт — BLOCKED-скелеты; 3 карты завтрака — DRAFT по S04. Итоговые поля формульные.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54" customHeight="1">
      <x:c r="A4" s="12" t="str">
        <x:v>Код калькуляционной карты</x:v>
      </x:c>
      <x:c r="B4" s="12" t="str">
        <x:v>Код блюда</x:v>
      </x:c>
      <x:c r="C4" s="12" t="str">
        <x:v>Наименование блюда</x:v>
      </x:c>
      <x:c r="D4" s="12" t="str">
        <x:v>Код сырья</x:v>
      </x:c>
      <x:c r="E4" s="12" t="str">
        <x:v>Наименование сырья</x:v>
      </x:c>
      <x:c r="F4" s="12" t="str">
        <x:v>Ед. изм.</x:v>
      </x:c>
      <x:c r="G4" s="12" t="str">
        <x:v>Норма брутто</x:v>
      </x:c>
      <x:c r="H4" s="12" t="str">
        <x:v>Норма нетто</x:v>
      </x:c>
      <x:c r="I4" s="12" t="str">
        <x:v>Технологические потери</x:v>
      </x:c>
      <x:c r="J4" s="12" t="str">
        <x:v>Готовый выход компонента, г</x:v>
      </x:c>
      <x:c r="K4" s="12" t="str">
        <x:v>Закупочная цена, руб./ед.</x:v>
      </x:c>
      <x:c r="L4" s="12" t="str">
        <x:v>Стоимость закладки, руб.</x:v>
      </x:c>
      <x:c r="M4" s="12" t="str">
        <x:v>Себестоимость порции, руб.</x:v>
      </x:c>
      <x:c r="N4" s="12" t="str">
        <x:v>Цена продажи / тариф, руб.</x:v>
      </x:c>
      <x:c r="O4" s="12" t="str">
        <x:v>Food cost</x:v>
      </x:c>
      <x:c r="P4" s="12" t="str">
        <x:v>Источник цены / дата</x:v>
      </x:c>
      <x:c r="Q4" s="12" t="str">
        <x:v>Статус данных</x:v>
      </x:c>
      <x:c r="R4" s="12" t="str">
        <x:v>Примечание</x:v>
      </x:c>
    </x:row>
    <x:row r="5">
      <x:c r="A5" s="32" t="str">
        <x:v>VKC-001</x:v>
      </x:c>
      <x:c r="B5" s="33" t="str">
        <x:v>VKM-001</x:v>
      </x:c>
      <x:c r="C5" s="33" t="str">
        <x:v>Маргарита</x:v>
      </x:c>
      <x:c r="D5" s="33"/>
      <x:c r="E5" s="33"/>
      <x:c r="F5" s="33"/>
      <x:c r="G5" s="47"/>
      <x:c r="H5" s="47"/>
      <x:c r="I5" s="47" t="str">
        <x:f>IF(OR(G5="",H5="",F5="шт."),"",G5-H5)</x:f>
      </x:c>
      <x:c r="J5" s="47"/>
      <x:c r="K5" s="47" t="str">
        <x:f>IF(D5="","",IFERROR(INDEX('04_СЫРЬЁ_И_ЦЕНЫ'!$F$5:$F$15,MATCH(D5,'04_СЫРЬЁ_И_ЦЕНЫ'!$A$5:$A$15,0)),""))</x:f>
      </x:c>
      <x:c r="L5" s="47" t="str">
        <x:f>IF(OR(G5="",K5=""),"",IF(OR(F5="г",F5="мл"),G5/1000*K5,G5*K5))</x:f>
      </x:c>
      <x:c r="M5" s="47" t="str">
        <x:f>IF(COUNTIFS($B$5:$B$57,B5,$D$5:$D$57,"&lt;&gt;")=0,"",SUMIF($B$5:$B$57,B5,$L$5:$L$57))</x:f>
      </x:c>
      <x:c r="N5" s="47" t="str">
        <x:f>IFERROR(INDEX('01_МЕНЮ'!$G$5:$G$35,MATCH(B5,'01_МЕНЮ'!$A$5:$A$35,0)),"")</x:f>
      </x:c>
      <x:c r="O5" s="50" t="str">
        <x:f>IF(OR(M5="",N5=""),"",M5/N5)</x:f>
      </x:c>
      <x:c r="P5" s="33" t="str">
        <x:f>IF(D5="","",IFERROR(INDEX('04_СЫРЬЁ_И_ЦЕНЫ'!$G$5:$G$15,MATCH(D5,'04_СЫРЬЁ_И_ЦЕНЫ'!$A$5:$A$15,0))&amp;" / "&amp;TEXT(INDEX('04_СЫРЬЁ_И_ЦЕНЫ'!$I$5:$I$15,MATCH(D5,'04_СЫРЬЁ_И_ЦЕНЫ'!$A$5:$A$15,0)),"yyyy-mm-dd"),""))</x:f>
      </x:c>
      <x:c r="Q5" s="33" t="str">
        <x:v>BLOCKED</x:v>
      </x:c>
      <x:c r="R5" s="34" t="str">
        <x:v>Нет подтверждённой рецептуры, норм и цены</x:v>
      </x:c>
    </x:row>
    <x:row r="6">
      <x:c r="A6" s="35" t="str">
        <x:v>VKC-002</x:v>
      </x:c>
      <x:c r="B6" s="36" t="str">
        <x:v>VKM-002</x:v>
      </x:c>
      <x:c r="C6" s="36" t="str">
        <x:v>Четыре сыра</x:v>
      </x:c>
      <x:c r="D6" s="36"/>
      <x:c r="E6" s="36"/>
      <x:c r="F6" s="36"/>
      <x:c r="G6" s="48"/>
      <x:c r="H6" s="48"/>
      <x:c r="I6" s="48" t="str">
        <x:f>IF(OR(G6="",H6="",F6="шт."),"",G6-H6)</x:f>
      </x:c>
      <x:c r="J6" s="48"/>
      <x:c r="K6" s="48" t="str">
        <x:f>IF(D6="","",IFERROR(INDEX('04_СЫРЬЁ_И_ЦЕНЫ'!$F$5:$F$15,MATCH(D6,'04_СЫРЬЁ_И_ЦЕНЫ'!$A$5:$A$15,0)),""))</x:f>
      </x:c>
      <x:c r="L6" s="48" t="str">
        <x:f>IF(OR(G6="",K6=""),"",IF(OR(F6="г",F6="мл"),G6/1000*K6,G6*K6))</x:f>
      </x:c>
      <x:c r="M6" s="48" t="str">
        <x:f>IF(COUNTIFS($B$5:$B$57,B6,$D$5:$D$57,"&lt;&gt;")=0,"",SUMIF($B$5:$B$57,B6,$L$5:$L$57))</x:f>
      </x:c>
      <x:c r="N6" s="48" t="str">
        <x:f>IFERROR(INDEX('01_МЕНЮ'!$G$5:$G$35,MATCH(B6,'01_МЕНЮ'!$A$5:$A$35,0)),"")</x:f>
      </x:c>
      <x:c r="O6" s="51" t="str">
        <x:f>IF(OR(M6="",N6=""),"",M6/N6)</x:f>
      </x:c>
      <x:c r="P6" s="36" t="str">
        <x:f>IF(D6="","",IFERROR(INDEX('04_СЫРЬЁ_И_ЦЕНЫ'!$G$5:$G$15,MATCH(D6,'04_СЫРЬЁ_И_ЦЕНЫ'!$A$5:$A$15,0))&amp;" / "&amp;TEXT(INDEX('04_СЫРЬЁ_И_ЦЕНЫ'!$I$5:$I$15,MATCH(D6,'04_СЫРЬЁ_И_ЦЕНЫ'!$A$5:$A$15,0)),"yyyy-mm-dd"),""))</x:f>
      </x:c>
      <x:c r="Q6" s="36" t="str">
        <x:v>BLOCKED</x:v>
      </x:c>
      <x:c r="R6" s="37" t="str">
        <x:v>Нет подтверждённой рецептуры, норм и цены</x:v>
      </x:c>
    </x:row>
    <x:row r="7">
      <x:c r="A7" s="35" t="str">
        <x:v>VKC-003</x:v>
      </x:c>
      <x:c r="B7" s="36" t="str">
        <x:v>VKM-003</x:v>
      </x:c>
      <x:c r="C7" s="36" t="str">
        <x:v>Грибная с ветчиной</x:v>
      </x:c>
      <x:c r="D7" s="36"/>
      <x:c r="E7" s="36"/>
      <x:c r="F7" s="36"/>
      <x:c r="G7" s="48"/>
      <x:c r="H7" s="48"/>
      <x:c r="I7" s="48" t="str">
        <x:f>IF(OR(G7="",H7="",F7="шт."),"",G7-H7)</x:f>
      </x:c>
      <x:c r="J7" s="48"/>
      <x:c r="K7" s="48" t="str">
        <x:f>IF(D7="","",IFERROR(INDEX('04_СЫРЬЁ_И_ЦЕНЫ'!$F$5:$F$15,MATCH(D7,'04_СЫРЬЁ_И_ЦЕНЫ'!$A$5:$A$15,0)),""))</x:f>
      </x:c>
      <x:c r="L7" s="48" t="str">
        <x:f>IF(OR(G7="",K7=""),"",IF(OR(F7="г",F7="мл"),G7/1000*K7,G7*K7))</x:f>
      </x:c>
      <x:c r="M7" s="48" t="str">
        <x:f>IF(COUNTIFS($B$5:$B$57,B7,$D$5:$D$57,"&lt;&gt;")=0,"",SUMIF($B$5:$B$57,B7,$L$5:$L$57))</x:f>
      </x:c>
      <x:c r="N7" s="48" t="str">
        <x:f>IFERROR(INDEX('01_МЕНЮ'!$G$5:$G$35,MATCH(B7,'01_МЕНЮ'!$A$5:$A$35,0)),"")</x:f>
      </x:c>
      <x:c r="O7" s="51" t="str">
        <x:f>IF(OR(M7="",N7=""),"",M7/N7)</x:f>
      </x:c>
      <x:c r="P7" s="36" t="str">
        <x:f>IF(D7="","",IFERROR(INDEX('04_СЫРЬЁ_И_ЦЕНЫ'!$G$5:$G$15,MATCH(D7,'04_СЫРЬЁ_И_ЦЕНЫ'!$A$5:$A$15,0))&amp;" / "&amp;TEXT(INDEX('04_СЫРЬЁ_И_ЦЕНЫ'!$I$5:$I$15,MATCH(D7,'04_СЫРЬЁ_И_ЦЕНЫ'!$A$5:$A$15,0)),"yyyy-mm-dd"),""))</x:f>
      </x:c>
      <x:c r="Q7" s="36" t="str">
        <x:v>BLOCKED</x:v>
      </x:c>
      <x:c r="R7" s="37" t="str">
        <x:v>Нет подтверждённой рецептуры, норм и цены</x:v>
      </x:c>
    </x:row>
    <x:row r="8">
      <x:c r="A8" s="35" t="str">
        <x:v>VKC-004</x:v>
      </x:c>
      <x:c r="B8" s="36" t="str">
        <x:v>VKM-004</x:v>
      </x:c>
      <x:c r="C8" s="36" t="str">
        <x:v>Пепперони</x:v>
      </x:c>
      <x:c r="D8" s="36"/>
      <x:c r="E8" s="36"/>
      <x:c r="F8" s="36"/>
      <x:c r="G8" s="48"/>
      <x:c r="H8" s="48"/>
      <x:c r="I8" s="48" t="str">
        <x:f>IF(OR(G8="",H8="",F8="шт."),"",G8-H8)</x:f>
      </x:c>
      <x:c r="J8" s="48"/>
      <x:c r="K8" s="48" t="str">
        <x:f>IF(D8="","",IFERROR(INDEX('04_СЫРЬЁ_И_ЦЕНЫ'!$F$5:$F$15,MATCH(D8,'04_СЫРЬЁ_И_ЦЕНЫ'!$A$5:$A$15,0)),""))</x:f>
      </x:c>
      <x:c r="L8" s="48" t="str">
        <x:f>IF(OR(G8="",K8=""),"",IF(OR(F8="г",F8="мл"),G8/1000*K8,G8*K8))</x:f>
      </x:c>
      <x:c r="M8" s="48" t="str">
        <x:f>IF(COUNTIFS($B$5:$B$57,B8,$D$5:$D$57,"&lt;&gt;")=0,"",SUMIF($B$5:$B$57,B8,$L$5:$L$57))</x:f>
      </x:c>
      <x:c r="N8" s="48" t="str">
        <x:f>IFERROR(INDEX('01_МЕНЮ'!$G$5:$G$35,MATCH(B8,'01_МЕНЮ'!$A$5:$A$35,0)),"")</x:f>
      </x:c>
      <x:c r="O8" s="51" t="str">
        <x:f>IF(OR(M8="",N8=""),"",M8/N8)</x:f>
      </x:c>
      <x:c r="P8" s="36" t="str">
        <x:f>IF(D8="","",IFERROR(INDEX('04_СЫРЬЁ_И_ЦЕНЫ'!$G$5:$G$15,MATCH(D8,'04_СЫРЬЁ_И_ЦЕНЫ'!$A$5:$A$15,0))&amp;" / "&amp;TEXT(INDEX('04_СЫРЬЁ_И_ЦЕНЫ'!$I$5:$I$15,MATCH(D8,'04_СЫРЬЁ_И_ЦЕНЫ'!$A$5:$A$15,0)),"yyyy-mm-dd"),""))</x:f>
      </x:c>
      <x:c r="Q8" s="36" t="str">
        <x:v>BLOCKED</x:v>
      </x:c>
      <x:c r="R8" s="37" t="str">
        <x:v>Нет подтверждённой рецептуры, норм и цены</x:v>
      </x:c>
    </x:row>
    <x:row r="9">
      <x:c r="A9" s="35" t="str">
        <x:v>VKC-005</x:v>
      </x:c>
      <x:c r="B9" s="36" t="str">
        <x:v>VKM-005</x:v>
      </x:c>
      <x:c r="C9" s="36" t="str">
        <x:v>Белая чиабатта</x:v>
      </x:c>
      <x:c r="D9" s="36"/>
      <x:c r="E9" s="36"/>
      <x:c r="F9" s="36"/>
      <x:c r="G9" s="48"/>
      <x:c r="H9" s="48"/>
      <x:c r="I9" s="48" t="str">
        <x:f>IF(OR(G9="",H9="",F9="шт."),"",G9-H9)</x:f>
      </x:c>
      <x:c r="J9" s="48"/>
      <x:c r="K9" s="48" t="str">
        <x:f>IF(D9="","",IFERROR(INDEX('04_СЫРЬЁ_И_ЦЕНЫ'!$F$5:$F$15,MATCH(D9,'04_СЫРЬЁ_И_ЦЕНЫ'!$A$5:$A$15,0)),""))</x:f>
      </x:c>
      <x:c r="L9" s="48" t="str">
        <x:f>IF(OR(G9="",K9=""),"",IF(OR(F9="г",F9="мл"),G9/1000*K9,G9*K9))</x:f>
      </x:c>
      <x:c r="M9" s="48" t="str">
        <x:f>IF(COUNTIFS($B$5:$B$57,B9,$D$5:$D$57,"&lt;&gt;")=0,"",SUMIF($B$5:$B$57,B9,$L$5:$L$57))</x:f>
      </x:c>
      <x:c r="N9" s="48" t="str">
        <x:f>IFERROR(INDEX('01_МЕНЮ'!$G$5:$G$35,MATCH(B9,'01_МЕНЮ'!$A$5:$A$35,0)),"")</x:f>
      </x:c>
      <x:c r="O9" s="51" t="str">
        <x:f>IF(OR(M9="",N9=""),"",M9/N9)</x:f>
      </x:c>
      <x:c r="P9" s="36" t="str">
        <x:f>IF(D9="","",IFERROR(INDEX('04_СЫРЬЁ_И_ЦЕНЫ'!$G$5:$G$15,MATCH(D9,'04_СЫРЬЁ_И_ЦЕНЫ'!$A$5:$A$15,0))&amp;" / "&amp;TEXT(INDEX('04_СЫРЬЁ_И_ЦЕНЫ'!$I$5:$I$15,MATCH(D9,'04_СЫРЬЁ_И_ЦЕНЫ'!$A$5:$A$15,0)),"yyyy-mm-dd"),""))</x:f>
      </x:c>
      <x:c r="Q9" s="36" t="str">
        <x:v>BLOCKED</x:v>
      </x:c>
      <x:c r="R9" s="37" t="str">
        <x:v>Нет подтверждённой рецептуры, норм и цены</x:v>
      </x:c>
    </x:row>
    <x:row r="10">
      <x:c r="A10" s="35" t="str">
        <x:v>VKC-006</x:v>
      </x:c>
      <x:c r="B10" s="36" t="str">
        <x:v>VKM-006</x:v>
      </x:c>
      <x:c r="C10" s="36" t="str">
        <x:v>Томатная чиабатта</x:v>
      </x:c>
      <x:c r="D10" s="36"/>
      <x:c r="E10" s="36"/>
      <x:c r="F10" s="36"/>
      <x:c r="G10" s="48"/>
      <x:c r="H10" s="48"/>
      <x:c r="I10" s="48" t="str">
        <x:f>IF(OR(G10="",H10="",F10="шт."),"",G10-H10)</x:f>
      </x:c>
      <x:c r="J10" s="48"/>
      <x:c r="K10" s="48" t="str">
        <x:f>IF(D10="","",IFERROR(INDEX('04_СЫРЬЁ_И_ЦЕНЫ'!$F$5:$F$15,MATCH(D10,'04_СЫРЬЁ_И_ЦЕНЫ'!$A$5:$A$15,0)),""))</x:f>
      </x:c>
      <x:c r="L10" s="48" t="str">
        <x:f>IF(OR(G10="",K10=""),"",IF(OR(F10="г",F10="мл"),G10/1000*K10,G10*K10))</x:f>
      </x:c>
      <x:c r="M10" s="48" t="str">
        <x:f>IF(COUNTIFS($B$5:$B$57,B10,$D$5:$D$57,"&lt;&gt;")=0,"",SUMIF($B$5:$B$57,B10,$L$5:$L$57))</x:f>
      </x:c>
      <x:c r="N10" s="48" t="str">
        <x:f>IFERROR(INDEX('01_МЕНЮ'!$G$5:$G$35,MATCH(B10,'01_МЕНЮ'!$A$5:$A$35,0)),"")</x:f>
      </x:c>
      <x:c r="O10" s="51" t="str">
        <x:f>IF(OR(M10="",N10=""),"",M10/N10)</x:f>
      </x:c>
      <x:c r="P10" s="36" t="str">
        <x:f>IF(D10="","",IFERROR(INDEX('04_СЫРЬЁ_И_ЦЕНЫ'!$G$5:$G$15,MATCH(D10,'04_СЫРЬЁ_И_ЦЕНЫ'!$A$5:$A$15,0))&amp;" / "&amp;TEXT(INDEX('04_СЫРЬЁ_И_ЦЕНЫ'!$I$5:$I$15,MATCH(D10,'04_СЫРЬЁ_И_ЦЕНЫ'!$A$5:$A$15,0)),"yyyy-mm-dd"),""))</x:f>
      </x:c>
      <x:c r="Q10" s="36" t="str">
        <x:v>BLOCKED</x:v>
      </x:c>
      <x:c r="R10" s="37" t="str">
        <x:v>Нет подтверждённой рецептуры, норм и цены</x:v>
      </x:c>
    </x:row>
    <x:row r="11">
      <x:c r="A11" s="35" t="str">
        <x:v>VKC-007</x:v>
      </x:c>
      <x:c r="B11" s="36" t="str">
        <x:v>VKM-007</x:v>
      </x:c>
      <x:c r="C11" s="36" t="str">
        <x:v>Бородинский хлеб</x:v>
      </x:c>
      <x:c r="D11" s="36"/>
      <x:c r="E11" s="36"/>
      <x:c r="F11" s="36"/>
      <x:c r="G11" s="48"/>
      <x:c r="H11" s="48"/>
      <x:c r="I11" s="48" t="str">
        <x:f>IF(OR(G11="",H11="",F11="шт."),"",G11-H11)</x:f>
      </x:c>
      <x:c r="J11" s="48"/>
      <x:c r="K11" s="48" t="str">
        <x:f>IF(D11="","",IFERROR(INDEX('04_СЫРЬЁ_И_ЦЕНЫ'!$F$5:$F$15,MATCH(D11,'04_СЫРЬЁ_И_ЦЕНЫ'!$A$5:$A$15,0)),""))</x:f>
      </x:c>
      <x:c r="L11" s="48" t="str">
        <x:f>IF(OR(G11="",K11=""),"",IF(OR(F11="г",F11="мл"),G11/1000*K11,G11*K11))</x:f>
      </x:c>
      <x:c r="M11" s="48" t="str">
        <x:f>IF(COUNTIFS($B$5:$B$57,B11,$D$5:$D$57,"&lt;&gt;")=0,"",SUMIF($B$5:$B$57,B11,$L$5:$L$57))</x:f>
      </x:c>
      <x:c r="N11" s="48" t="str">
        <x:f>IFERROR(INDEX('01_МЕНЮ'!$G$5:$G$35,MATCH(B11,'01_МЕНЮ'!$A$5:$A$35,0)),"")</x:f>
      </x:c>
      <x:c r="O11" s="51" t="str">
        <x:f>IF(OR(M11="",N11=""),"",M11/N11)</x:f>
      </x:c>
      <x:c r="P11" s="36" t="str">
        <x:f>IF(D11="","",IFERROR(INDEX('04_СЫРЬЁ_И_ЦЕНЫ'!$G$5:$G$15,MATCH(D11,'04_СЫРЬЁ_И_ЦЕНЫ'!$A$5:$A$15,0))&amp;" / "&amp;TEXT(INDEX('04_СЫРЬЁ_И_ЦЕНЫ'!$I$5:$I$15,MATCH(D11,'04_СЫРЬЁ_И_ЦЕНЫ'!$A$5:$A$15,0)),"yyyy-mm-dd"),""))</x:f>
      </x:c>
      <x:c r="Q11" s="36" t="str">
        <x:v>BLOCKED</x:v>
      </x:c>
      <x:c r="R11" s="37" t="str">
        <x:v>Нет подтверждённой рецептуры, норм и цены</x:v>
      </x:c>
    </x:row>
    <x:row r="12">
      <x:c r="A12" s="35" t="str">
        <x:v>VKC-008</x:v>
      </x:c>
      <x:c r="B12" s="36" t="str">
        <x:v>VKM-008</x:v>
      </x:c>
      <x:c r="C12" s="36" t="str">
        <x:v>Бриошь</x:v>
      </x:c>
      <x:c r="D12" s="36"/>
      <x:c r="E12" s="36"/>
      <x:c r="F12" s="36"/>
      <x:c r="G12" s="48"/>
      <x:c r="H12" s="48"/>
      <x:c r="I12" s="48" t="str">
        <x:f>IF(OR(G12="",H12="",F12="шт."),"",G12-H12)</x:f>
      </x:c>
      <x:c r="J12" s="48"/>
      <x:c r="K12" s="48" t="str">
        <x:f>IF(D12="","",IFERROR(INDEX('04_СЫРЬЁ_И_ЦЕНЫ'!$F$5:$F$15,MATCH(D12,'04_СЫРЬЁ_И_ЦЕНЫ'!$A$5:$A$15,0)),""))</x:f>
      </x:c>
      <x:c r="L12" s="48" t="str">
        <x:f>IF(OR(G12="",K12=""),"",IF(OR(F12="г",F12="мл"),G12/1000*K12,G12*K12))</x:f>
      </x:c>
      <x:c r="M12" s="48" t="str">
        <x:f>IF(COUNTIFS($B$5:$B$57,B12,$D$5:$D$57,"&lt;&gt;")=0,"",SUMIF($B$5:$B$57,B12,$L$5:$L$57))</x:f>
      </x:c>
      <x:c r="N12" s="48" t="str">
        <x:f>IFERROR(INDEX('01_МЕНЮ'!$G$5:$G$35,MATCH(B12,'01_МЕНЮ'!$A$5:$A$35,0)),"")</x:f>
      </x:c>
      <x:c r="O12" s="51" t="str">
        <x:f>IF(OR(M12="",N12=""),"",M12/N12)</x:f>
      </x:c>
      <x:c r="P12" s="36" t="str">
        <x:f>IF(D12="","",IFERROR(INDEX('04_СЫРЬЁ_И_ЦЕНЫ'!$G$5:$G$15,MATCH(D12,'04_СЫРЬЁ_И_ЦЕНЫ'!$A$5:$A$15,0))&amp;" / "&amp;TEXT(INDEX('04_СЫРЬЁ_И_ЦЕНЫ'!$I$5:$I$15,MATCH(D12,'04_СЫРЬЁ_И_ЦЕНЫ'!$A$5:$A$15,0)),"yyyy-mm-dd"),""))</x:f>
      </x:c>
      <x:c r="Q12" s="36" t="str">
        <x:v>BLOCKED</x:v>
      </x:c>
      <x:c r="R12" s="37" t="str">
        <x:v>Нет подтверждённой рецептуры, норм и цены</x:v>
      </x:c>
    </x:row>
    <x:row r="13">
      <x:c r="A13" s="35" t="str">
        <x:v>VKC-009</x:v>
      </x:c>
      <x:c r="B13" s="36" t="str">
        <x:v>VKM-009</x:v>
      </x:c>
      <x:c r="C13" s="36" t="str">
        <x:v>Буррата с томатами</x:v>
      </x:c>
      <x:c r="D13" s="36"/>
      <x:c r="E13" s="36"/>
      <x:c r="F13" s="36"/>
      <x:c r="G13" s="48"/>
      <x:c r="H13" s="48"/>
      <x:c r="I13" s="48" t="str">
        <x:f>IF(OR(G13="",H13="",F13="шт."),"",G13-H13)</x:f>
      </x:c>
      <x:c r="J13" s="48"/>
      <x:c r="K13" s="48" t="str">
        <x:f>IF(D13="","",IFERROR(INDEX('04_СЫРЬЁ_И_ЦЕНЫ'!$F$5:$F$15,MATCH(D13,'04_СЫРЬЁ_И_ЦЕНЫ'!$A$5:$A$15,0)),""))</x:f>
      </x:c>
      <x:c r="L13" s="48" t="str">
        <x:f>IF(OR(G13="",K13=""),"",IF(OR(F13="г",F13="мл"),G13/1000*K13,G13*K13))</x:f>
      </x:c>
      <x:c r="M13" s="48" t="str">
        <x:f>IF(COUNTIFS($B$5:$B$57,B13,$D$5:$D$57,"&lt;&gt;")=0,"",SUMIF($B$5:$B$57,B13,$L$5:$L$57))</x:f>
      </x:c>
      <x:c r="N13" s="48" t="str">
        <x:f>IFERROR(INDEX('01_МЕНЮ'!$G$5:$G$35,MATCH(B13,'01_МЕНЮ'!$A$5:$A$35,0)),"")</x:f>
      </x:c>
      <x:c r="O13" s="51" t="str">
        <x:f>IF(OR(M13="",N13=""),"",M13/N13)</x:f>
      </x:c>
      <x:c r="P13" s="36" t="str">
        <x:f>IF(D13="","",IFERROR(INDEX('04_СЫРЬЁ_И_ЦЕНЫ'!$G$5:$G$15,MATCH(D13,'04_СЫРЬЁ_И_ЦЕНЫ'!$A$5:$A$15,0))&amp;" / "&amp;TEXT(INDEX('04_СЫРЬЁ_И_ЦЕНЫ'!$I$5:$I$15,MATCH(D13,'04_СЫРЬЁ_И_ЦЕНЫ'!$A$5:$A$15,0)),"yyyy-mm-dd"),""))</x:f>
      </x:c>
      <x:c r="Q13" s="36" t="str">
        <x:v>BLOCKED</x:v>
      </x:c>
      <x:c r="R13" s="37" t="str">
        <x:v>Нет подтверждённой рецептуры, норм и цены</x:v>
      </x:c>
    </x:row>
    <x:row r="14">
      <x:c r="A14" s="35" t="str">
        <x:v>VKC-010</x:v>
      </x:c>
      <x:c r="B14" s="36" t="str">
        <x:v>VKM-010</x:v>
      </x:c>
      <x:c r="C14" s="36" t="str">
        <x:v>Микс-салат с креветками и яблоком</x:v>
      </x:c>
      <x:c r="D14" s="36"/>
      <x:c r="E14" s="36"/>
      <x:c r="F14" s="36"/>
      <x:c r="G14" s="48"/>
      <x:c r="H14" s="48"/>
      <x:c r="I14" s="48" t="str">
        <x:f>IF(OR(G14="",H14="",F14="шт."),"",G14-H14)</x:f>
      </x:c>
      <x:c r="J14" s="48"/>
      <x:c r="K14" s="48" t="str">
        <x:f>IF(D14="","",IFERROR(INDEX('04_СЫРЬЁ_И_ЦЕНЫ'!$F$5:$F$15,MATCH(D14,'04_СЫРЬЁ_И_ЦЕНЫ'!$A$5:$A$15,0)),""))</x:f>
      </x:c>
      <x:c r="L14" s="48" t="str">
        <x:f>IF(OR(G14="",K14=""),"",IF(OR(F14="г",F14="мл"),G14/1000*K14,G14*K14))</x:f>
      </x:c>
      <x:c r="M14" s="48" t="str">
        <x:f>IF(COUNTIFS($B$5:$B$57,B14,$D$5:$D$57,"&lt;&gt;")=0,"",SUMIF($B$5:$B$57,B14,$L$5:$L$57))</x:f>
      </x:c>
      <x:c r="N14" s="48" t="str">
        <x:f>IFERROR(INDEX('01_МЕНЮ'!$G$5:$G$35,MATCH(B14,'01_МЕНЮ'!$A$5:$A$35,0)),"")</x:f>
      </x:c>
      <x:c r="O14" s="51" t="str">
        <x:f>IF(OR(M14="",N14=""),"",M14/N14)</x:f>
      </x:c>
      <x:c r="P14" s="36" t="str">
        <x:f>IF(D14="","",IFERROR(INDEX('04_СЫРЬЁ_И_ЦЕНЫ'!$G$5:$G$15,MATCH(D14,'04_СЫРЬЁ_И_ЦЕНЫ'!$A$5:$A$15,0))&amp;" / "&amp;TEXT(INDEX('04_СЫРЬЁ_И_ЦЕНЫ'!$I$5:$I$15,MATCH(D14,'04_СЫРЬЁ_И_ЦЕНЫ'!$A$5:$A$15,0)),"yyyy-mm-dd"),""))</x:f>
      </x:c>
      <x:c r="Q14" s="36" t="str">
        <x:v>BLOCKED</x:v>
      </x:c>
      <x:c r="R14" s="37" t="str">
        <x:v>Нет подтверждённой рецептуры, норм и цены</x:v>
      </x:c>
    </x:row>
    <x:row r="15">
      <x:c r="A15" s="35" t="str">
        <x:v>VKC-011</x:v>
      </x:c>
      <x:c r="B15" s="36" t="str">
        <x:v>VKM-011</x:v>
      </x:c>
      <x:c r="C15" s="36" t="str">
        <x:v>Греческий</x:v>
      </x:c>
      <x:c r="D15" s="36"/>
      <x:c r="E15" s="36"/>
      <x:c r="F15" s="36"/>
      <x:c r="G15" s="48"/>
      <x:c r="H15" s="48"/>
      <x:c r="I15" s="48" t="str">
        <x:f>IF(OR(G15="",H15="",F15="шт."),"",G15-H15)</x:f>
      </x:c>
      <x:c r="J15" s="48"/>
      <x:c r="K15" s="48" t="str">
        <x:f>IF(D15="","",IFERROR(INDEX('04_СЫРЬЁ_И_ЦЕНЫ'!$F$5:$F$15,MATCH(D15,'04_СЫРЬЁ_И_ЦЕНЫ'!$A$5:$A$15,0)),""))</x:f>
      </x:c>
      <x:c r="L15" s="48" t="str">
        <x:f>IF(OR(G15="",K15=""),"",IF(OR(F15="г",F15="мл"),G15/1000*K15,G15*K15))</x:f>
      </x:c>
      <x:c r="M15" s="48" t="str">
        <x:f>IF(COUNTIFS($B$5:$B$57,B15,$D$5:$D$57,"&lt;&gt;")=0,"",SUMIF($B$5:$B$57,B15,$L$5:$L$57))</x:f>
      </x:c>
      <x:c r="N15" s="48" t="str">
        <x:f>IFERROR(INDEX('01_МЕНЮ'!$G$5:$G$35,MATCH(B15,'01_МЕНЮ'!$A$5:$A$35,0)),"")</x:f>
      </x:c>
      <x:c r="O15" s="51" t="str">
        <x:f>IF(OR(M15="",N15=""),"",M15/N15)</x:f>
      </x:c>
      <x:c r="P15" s="36" t="str">
        <x:f>IF(D15="","",IFERROR(INDEX('04_СЫРЬЁ_И_ЦЕНЫ'!$G$5:$G$15,MATCH(D15,'04_СЫРЬЁ_И_ЦЕНЫ'!$A$5:$A$15,0))&amp;" / "&amp;TEXT(INDEX('04_СЫРЬЁ_И_ЦЕНЫ'!$I$5:$I$15,MATCH(D15,'04_СЫРЬЁ_И_ЦЕНЫ'!$A$5:$A$15,0)),"yyyy-mm-dd"),""))</x:f>
      </x:c>
      <x:c r="Q15" s="36" t="str">
        <x:v>BLOCKED</x:v>
      </x:c>
      <x:c r="R15" s="37" t="str">
        <x:v>Нет подтверждённой рецептуры, норм и цены</x:v>
      </x:c>
    </x:row>
    <x:row r="16">
      <x:c r="A16" s="35" t="str">
        <x:v>VKC-012</x:v>
      </x:c>
      <x:c r="B16" s="36" t="str">
        <x:v>VKM-012</x:v>
      </x:c>
      <x:c r="C16" s="36" t="str">
        <x:v>Винегрет</x:v>
      </x:c>
      <x:c r="D16" s="36"/>
      <x:c r="E16" s="36"/>
      <x:c r="F16" s="36"/>
      <x:c r="G16" s="48"/>
      <x:c r="H16" s="48"/>
      <x:c r="I16" s="48" t="str">
        <x:f>IF(OR(G16="",H16="",F16="шт."),"",G16-H16)</x:f>
      </x:c>
      <x:c r="J16" s="48"/>
      <x:c r="K16" s="48" t="str">
        <x:f>IF(D16="","",IFERROR(INDEX('04_СЫРЬЁ_И_ЦЕНЫ'!$F$5:$F$15,MATCH(D16,'04_СЫРЬЁ_И_ЦЕНЫ'!$A$5:$A$15,0)),""))</x:f>
      </x:c>
      <x:c r="L16" s="48" t="str">
        <x:f>IF(OR(G16="",K16=""),"",IF(OR(F16="г",F16="мл"),G16/1000*K16,G16*K16))</x:f>
      </x:c>
      <x:c r="M16" s="48" t="str">
        <x:f>IF(COUNTIFS($B$5:$B$57,B16,$D$5:$D$57,"&lt;&gt;")=0,"",SUMIF($B$5:$B$57,B16,$L$5:$L$57))</x:f>
      </x:c>
      <x:c r="N16" s="48" t="str">
        <x:f>IFERROR(INDEX('01_МЕНЮ'!$G$5:$G$35,MATCH(B16,'01_МЕНЮ'!$A$5:$A$35,0)),"")</x:f>
      </x:c>
      <x:c r="O16" s="51" t="str">
        <x:f>IF(OR(M16="",N16=""),"",M16/N16)</x:f>
      </x:c>
      <x:c r="P16" s="36" t="str">
        <x:f>IF(D16="","",IFERROR(INDEX('04_СЫРЬЁ_И_ЦЕНЫ'!$G$5:$G$15,MATCH(D16,'04_СЫРЬЁ_И_ЦЕНЫ'!$A$5:$A$15,0))&amp;" / "&amp;TEXT(INDEX('04_СЫРЬЁ_И_ЦЕНЫ'!$I$5:$I$15,MATCH(D16,'04_СЫРЬЁ_И_ЦЕНЫ'!$A$5:$A$15,0)),"yyyy-mm-dd"),""))</x:f>
      </x:c>
      <x:c r="Q16" s="36" t="str">
        <x:v>BLOCKED</x:v>
      </x:c>
      <x:c r="R16" s="37" t="str">
        <x:v>Нет подтверждённой рецептуры, норм и цены</x:v>
      </x:c>
    </x:row>
    <x:row r="17">
      <x:c r="A17" s="35" t="str">
        <x:v>VKC-013</x:v>
      </x:c>
      <x:c r="B17" s="36" t="str">
        <x:v>VKM-013</x:v>
      </x:c>
      <x:c r="C17" s="36" t="str">
        <x:v>Слабосолёный лосось</x:v>
      </x:c>
      <x:c r="D17" s="36"/>
      <x:c r="E17" s="36"/>
      <x:c r="F17" s="36"/>
      <x:c r="G17" s="48"/>
      <x:c r="H17" s="48"/>
      <x:c r="I17" s="48" t="str">
        <x:f>IF(OR(G17="",H17="",F17="шт."),"",G17-H17)</x:f>
      </x:c>
      <x:c r="J17" s="48"/>
      <x:c r="K17" s="48" t="str">
        <x:f>IF(D17="","",IFERROR(INDEX('04_СЫРЬЁ_И_ЦЕНЫ'!$F$5:$F$15,MATCH(D17,'04_СЫРЬЁ_И_ЦЕНЫ'!$A$5:$A$15,0)),""))</x:f>
      </x:c>
      <x:c r="L17" s="48" t="str">
        <x:f>IF(OR(G17="",K17=""),"",IF(OR(F17="г",F17="мл"),G17/1000*K17,G17*K17))</x:f>
      </x:c>
      <x:c r="M17" s="48" t="str">
        <x:f>IF(COUNTIFS($B$5:$B$57,B17,$D$5:$D$57,"&lt;&gt;")=0,"",SUMIF($B$5:$B$57,B17,$L$5:$L$57))</x:f>
      </x:c>
      <x:c r="N17" s="48" t="str">
        <x:f>IFERROR(INDEX('01_МЕНЮ'!$G$5:$G$35,MATCH(B17,'01_МЕНЮ'!$A$5:$A$35,0)),"")</x:f>
      </x:c>
      <x:c r="O17" s="51" t="str">
        <x:f>IF(OR(M17="",N17=""),"",M17/N17)</x:f>
      </x:c>
      <x:c r="P17" s="36" t="str">
        <x:f>IF(D17="","",IFERROR(INDEX('04_СЫРЬЁ_И_ЦЕНЫ'!$G$5:$G$15,MATCH(D17,'04_СЫРЬЁ_И_ЦЕНЫ'!$A$5:$A$15,0))&amp;" / "&amp;TEXT(INDEX('04_СЫРЬЁ_И_ЦЕНЫ'!$I$5:$I$15,MATCH(D17,'04_СЫРЬЁ_И_ЦЕНЫ'!$A$5:$A$15,0)),"yyyy-mm-dd"),""))</x:f>
      </x:c>
      <x:c r="Q17" s="36" t="str">
        <x:v>BLOCKED</x:v>
      </x:c>
      <x:c r="R17" s="37" t="str">
        <x:v>Нет подтверждённой рецептуры, норм и цены</x:v>
      </x:c>
    </x:row>
    <x:row r="18">
      <x:c r="A18" s="35" t="str">
        <x:v>VKC-014</x:v>
      </x:c>
      <x:c r="B18" s="36" t="str">
        <x:v>VKM-014</x:v>
      </x:c>
      <x:c r="C18" s="36" t="str">
        <x:v>Сельдь с запечённым картофелем</x:v>
      </x:c>
      <x:c r="D18" s="36"/>
      <x:c r="E18" s="36"/>
      <x:c r="F18" s="36"/>
      <x:c r="G18" s="48"/>
      <x:c r="H18" s="48"/>
      <x:c r="I18" s="48" t="str">
        <x:f>IF(OR(G18="",H18="",F18="шт."),"",G18-H18)</x:f>
      </x:c>
      <x:c r="J18" s="48"/>
      <x:c r="K18" s="48" t="str">
        <x:f>IF(D18="","",IFERROR(INDEX('04_СЫРЬЁ_И_ЦЕНЫ'!$F$5:$F$15,MATCH(D18,'04_СЫРЬЁ_И_ЦЕНЫ'!$A$5:$A$15,0)),""))</x:f>
      </x:c>
      <x:c r="L18" s="48" t="str">
        <x:f>IF(OR(G18="",K18=""),"",IF(OR(F18="г",F18="мл"),G18/1000*K18,G18*K18))</x:f>
      </x:c>
      <x:c r="M18" s="48" t="str">
        <x:f>IF(COUNTIFS($B$5:$B$57,B18,$D$5:$D$57,"&lt;&gt;")=0,"",SUMIF($B$5:$B$57,B18,$L$5:$L$57))</x:f>
      </x:c>
      <x:c r="N18" s="48" t="str">
        <x:f>IFERROR(INDEX('01_МЕНЮ'!$G$5:$G$35,MATCH(B18,'01_МЕНЮ'!$A$5:$A$35,0)),"")</x:f>
      </x:c>
      <x:c r="O18" s="51" t="str">
        <x:f>IF(OR(M18="",N18=""),"",M18/N18)</x:f>
      </x:c>
      <x:c r="P18" s="36" t="str">
        <x:f>IF(D18="","",IFERROR(INDEX('04_СЫРЬЁ_И_ЦЕНЫ'!$G$5:$G$15,MATCH(D18,'04_СЫРЬЁ_И_ЦЕНЫ'!$A$5:$A$15,0))&amp;" / "&amp;TEXT(INDEX('04_СЫРЬЁ_И_ЦЕНЫ'!$I$5:$I$15,MATCH(D18,'04_СЫРЬЁ_И_ЦЕНЫ'!$A$5:$A$15,0)),"yyyy-mm-dd"),""))</x:f>
      </x:c>
      <x:c r="Q18" s="36" t="str">
        <x:v>BLOCKED</x:v>
      </x:c>
      <x:c r="R18" s="37" t="str">
        <x:v>Нет подтверждённой рецептуры, норм и цены</x:v>
      </x:c>
    </x:row>
    <x:row r="19">
      <x:c r="A19" s="35" t="str">
        <x:v>VKC-015</x:v>
      </x:c>
      <x:c r="B19" s="36" t="str">
        <x:v>VKM-015</x:v>
      </x:c>
      <x:c r="C19" s="36" t="str">
        <x:v>Оливки и маслины</x:v>
      </x:c>
      <x:c r="D19" s="36"/>
      <x:c r="E19" s="36"/>
      <x:c r="F19" s="36"/>
      <x:c r="G19" s="48"/>
      <x:c r="H19" s="48"/>
      <x:c r="I19" s="48" t="str">
        <x:f>IF(OR(G19="",H19="",F19="шт."),"",G19-H19)</x:f>
      </x:c>
      <x:c r="J19" s="48"/>
      <x:c r="K19" s="48" t="str">
        <x:f>IF(D19="","",IFERROR(INDEX('04_СЫРЬЁ_И_ЦЕНЫ'!$F$5:$F$15,MATCH(D19,'04_СЫРЬЁ_И_ЦЕНЫ'!$A$5:$A$15,0)),""))</x:f>
      </x:c>
      <x:c r="L19" s="48" t="str">
        <x:f>IF(OR(G19="",K19=""),"",IF(OR(F19="г",F19="мл"),G19/1000*K19,G19*K19))</x:f>
      </x:c>
      <x:c r="M19" s="48" t="str">
        <x:f>IF(COUNTIFS($B$5:$B$57,B19,$D$5:$D$57,"&lt;&gt;")=0,"",SUMIF($B$5:$B$57,B19,$L$5:$L$57))</x:f>
      </x:c>
      <x:c r="N19" s="48" t="str">
        <x:f>IFERROR(INDEX('01_МЕНЮ'!$G$5:$G$35,MATCH(B19,'01_МЕНЮ'!$A$5:$A$35,0)),"")</x:f>
      </x:c>
      <x:c r="O19" s="51" t="str">
        <x:f>IF(OR(M19="",N19=""),"",M19/N19)</x:f>
      </x:c>
      <x:c r="P19" s="36" t="str">
        <x:f>IF(D19="","",IFERROR(INDEX('04_СЫРЬЁ_И_ЦЕНЫ'!$G$5:$G$15,MATCH(D19,'04_СЫРЬЁ_И_ЦЕНЫ'!$A$5:$A$15,0))&amp;" / "&amp;TEXT(INDEX('04_СЫРЬЁ_И_ЦЕНЫ'!$I$5:$I$15,MATCH(D19,'04_СЫРЬЁ_И_ЦЕНЫ'!$A$5:$A$15,0)),"yyyy-mm-dd"),""))</x:f>
      </x:c>
      <x:c r="Q19" s="36" t="str">
        <x:v>BLOCKED</x:v>
      </x:c>
      <x:c r="R19" s="37" t="str">
        <x:v>Нет подтверждённой рецептуры, норм и цены</x:v>
      </x:c>
    </x:row>
    <x:row r="20">
      <x:c r="A20" s="35" t="str">
        <x:v>VKC-016</x:v>
      </x:c>
      <x:c r="B20" s="36" t="str">
        <x:v>VKM-016</x:v>
      </x:c>
      <x:c r="C20" s="36" t="str">
        <x:v>Ассорти фирменных солений</x:v>
      </x:c>
      <x:c r="D20" s="36"/>
      <x:c r="E20" s="36"/>
      <x:c r="F20" s="36"/>
      <x:c r="G20" s="48"/>
      <x:c r="H20" s="48"/>
      <x:c r="I20" s="48" t="str">
        <x:f>IF(OR(G20="",H20="",F20="шт."),"",G20-H20)</x:f>
      </x:c>
      <x:c r="J20" s="48"/>
      <x:c r="K20" s="48" t="str">
        <x:f>IF(D20="","",IFERROR(INDEX('04_СЫРЬЁ_И_ЦЕНЫ'!$F$5:$F$15,MATCH(D20,'04_СЫРЬЁ_И_ЦЕНЫ'!$A$5:$A$15,0)),""))</x:f>
      </x:c>
      <x:c r="L20" s="48" t="str">
        <x:f>IF(OR(G20="",K20=""),"",IF(OR(F20="г",F20="мл"),G20/1000*K20,G20*K20))</x:f>
      </x:c>
      <x:c r="M20" s="48" t="str">
        <x:f>IF(COUNTIFS($B$5:$B$57,B20,$D$5:$D$57,"&lt;&gt;")=0,"",SUMIF($B$5:$B$57,B20,$L$5:$L$57))</x:f>
      </x:c>
      <x:c r="N20" s="48" t="str">
        <x:f>IFERROR(INDEX('01_МЕНЮ'!$G$5:$G$35,MATCH(B20,'01_МЕНЮ'!$A$5:$A$35,0)),"")</x:f>
      </x:c>
      <x:c r="O20" s="51" t="str">
        <x:f>IF(OR(M20="",N20=""),"",M20/N20)</x:f>
      </x:c>
      <x:c r="P20" s="36" t="str">
        <x:f>IF(D20="","",IFERROR(INDEX('04_СЫРЬЁ_И_ЦЕНЫ'!$G$5:$G$15,MATCH(D20,'04_СЫРЬЁ_И_ЦЕНЫ'!$A$5:$A$15,0))&amp;" / "&amp;TEXT(INDEX('04_СЫРЬЁ_И_ЦЕНЫ'!$I$5:$I$15,MATCH(D20,'04_СЫРЬЁ_И_ЦЕНЫ'!$A$5:$A$15,0)),"yyyy-mm-dd"),""))</x:f>
      </x:c>
      <x:c r="Q20" s="36" t="str">
        <x:v>BLOCKED</x:v>
      </x:c>
      <x:c r="R20" s="37" t="str">
        <x:v>Нет подтверждённой рецептуры, норм и цены</x:v>
      </x:c>
    </x:row>
    <x:row r="21">
      <x:c r="A21" s="35" t="str">
        <x:v>VKC-017</x:v>
      </x:c>
      <x:c r="B21" s="36" t="str">
        <x:v>VKM-017</x:v>
      </x:c>
      <x:c r="C21" s="36" t="str">
        <x:v>Ростбиф с луком и гренкой</x:v>
      </x:c>
      <x:c r="D21" s="36"/>
      <x:c r="E21" s="36"/>
      <x:c r="F21" s="36"/>
      <x:c r="G21" s="48"/>
      <x:c r="H21" s="48"/>
      <x:c r="I21" s="48" t="str">
        <x:f>IF(OR(G21="",H21="",F21="шт."),"",G21-H21)</x:f>
      </x:c>
      <x:c r="J21" s="48"/>
      <x:c r="K21" s="48" t="str">
        <x:f>IF(D21="","",IFERROR(INDEX('04_СЫРЬЁ_И_ЦЕНЫ'!$F$5:$F$15,MATCH(D21,'04_СЫРЬЁ_И_ЦЕНЫ'!$A$5:$A$15,0)),""))</x:f>
      </x:c>
      <x:c r="L21" s="48" t="str">
        <x:f>IF(OR(G21="",K21=""),"",IF(OR(F21="г",F21="мл"),G21/1000*K21,G21*K21))</x:f>
      </x:c>
      <x:c r="M21" s="48" t="str">
        <x:f>IF(COUNTIFS($B$5:$B$57,B21,$D$5:$D$57,"&lt;&gt;")=0,"",SUMIF($B$5:$B$57,B21,$L$5:$L$57))</x:f>
      </x:c>
      <x:c r="N21" s="48" t="str">
        <x:f>IFERROR(INDEX('01_МЕНЮ'!$G$5:$G$35,MATCH(B21,'01_МЕНЮ'!$A$5:$A$35,0)),"")</x:f>
      </x:c>
      <x:c r="O21" s="51" t="str">
        <x:f>IF(OR(M21="",N21=""),"",M21/N21)</x:f>
      </x:c>
      <x:c r="P21" s="36" t="str">
        <x:f>IF(D21="","",IFERROR(INDEX('04_СЫРЬЁ_И_ЦЕНЫ'!$G$5:$G$15,MATCH(D21,'04_СЫРЬЁ_И_ЦЕНЫ'!$A$5:$A$15,0))&amp;" / "&amp;TEXT(INDEX('04_СЫРЬЁ_И_ЦЕНЫ'!$I$5:$I$15,MATCH(D21,'04_СЫРЬЁ_И_ЦЕНЫ'!$A$5:$A$15,0)),"yyyy-mm-dd"),""))</x:f>
      </x:c>
      <x:c r="Q21" s="36" t="str">
        <x:v>BLOCKED</x:v>
      </x:c>
      <x:c r="R21" s="37" t="str">
        <x:v>Нет подтверждённой рецептуры, норм и цены</x:v>
      </x:c>
    </x:row>
    <x:row r="22">
      <x:c r="A22" s="35" t="str">
        <x:v>VKC-018</x:v>
      </x:c>
      <x:c r="B22" s="36" t="str">
        <x:v>VKM-018</x:v>
      </x:c>
      <x:c r="C22" s="36" t="str">
        <x:v>Традиционный красный борщ</x:v>
      </x:c>
      <x:c r="D22" s="36"/>
      <x:c r="E22" s="36"/>
      <x:c r="F22" s="36"/>
      <x:c r="G22" s="48"/>
      <x:c r="H22" s="48"/>
      <x:c r="I22" s="48" t="str">
        <x:f>IF(OR(G22="",H22="",F22="шт."),"",G22-H22)</x:f>
      </x:c>
      <x:c r="J22" s="48"/>
      <x:c r="K22" s="48" t="str">
        <x:f>IF(D22="","",IFERROR(INDEX('04_СЫРЬЁ_И_ЦЕНЫ'!$F$5:$F$15,MATCH(D22,'04_СЫРЬЁ_И_ЦЕНЫ'!$A$5:$A$15,0)),""))</x:f>
      </x:c>
      <x:c r="L22" s="48" t="str">
        <x:f>IF(OR(G22="",K22=""),"",IF(OR(F22="г",F22="мл"),G22/1000*K22,G22*K22))</x:f>
      </x:c>
      <x:c r="M22" s="48" t="str">
        <x:f>IF(COUNTIFS($B$5:$B$57,B22,$D$5:$D$57,"&lt;&gt;")=0,"",SUMIF($B$5:$B$57,B22,$L$5:$L$57))</x:f>
      </x:c>
      <x:c r="N22" s="48" t="str">
        <x:f>IFERROR(INDEX('01_МЕНЮ'!$G$5:$G$35,MATCH(B22,'01_МЕНЮ'!$A$5:$A$35,0)),"")</x:f>
      </x:c>
      <x:c r="O22" s="51" t="str">
        <x:f>IF(OR(M22="",N22=""),"",M22/N22)</x:f>
      </x:c>
      <x:c r="P22" s="36" t="str">
        <x:f>IF(D22="","",IFERROR(INDEX('04_СЫРЬЁ_И_ЦЕНЫ'!$G$5:$G$15,MATCH(D22,'04_СЫРЬЁ_И_ЦЕНЫ'!$A$5:$A$15,0))&amp;" / "&amp;TEXT(INDEX('04_СЫРЬЁ_И_ЦЕНЫ'!$I$5:$I$15,MATCH(D22,'04_СЫРЬЁ_И_ЦЕНЫ'!$A$5:$A$15,0)),"yyyy-mm-dd"),""))</x:f>
      </x:c>
      <x:c r="Q22" s="36" t="str">
        <x:v>BLOCKED</x:v>
      </x:c>
      <x:c r="R22" s="37" t="str">
        <x:v>Нет подтверждённой рецептуры, норм и цены</x:v>
      </x:c>
    </x:row>
    <x:row r="23">
      <x:c r="A23" s="35" t="str">
        <x:v>VKC-019</x:v>
      </x:c>
      <x:c r="B23" s="36" t="str">
        <x:v>VKM-019</x:v>
      </x:c>
      <x:c r="C23" s="36" t="str">
        <x:v>Мурманская треска со сливочно-горчичным соусом</x:v>
      </x:c>
      <x:c r="D23" s="36"/>
      <x:c r="E23" s="36"/>
      <x:c r="F23" s="36"/>
      <x:c r="G23" s="48"/>
      <x:c r="H23" s="48"/>
      <x:c r="I23" s="48" t="str">
        <x:f>IF(OR(G23="",H23="",F23="шт."),"",G23-H23)</x:f>
      </x:c>
      <x:c r="J23" s="48"/>
      <x:c r="K23" s="48" t="str">
        <x:f>IF(D23="","",IFERROR(INDEX('04_СЫРЬЁ_И_ЦЕНЫ'!$F$5:$F$15,MATCH(D23,'04_СЫРЬЁ_И_ЦЕНЫ'!$A$5:$A$15,0)),""))</x:f>
      </x:c>
      <x:c r="L23" s="48" t="str">
        <x:f>IF(OR(G23="",K23=""),"",IF(OR(F23="г",F23="мл"),G23/1000*K23,G23*K23))</x:f>
      </x:c>
      <x:c r="M23" s="48" t="str">
        <x:f>IF(COUNTIFS($B$5:$B$57,B23,$D$5:$D$57,"&lt;&gt;")=0,"",SUMIF($B$5:$B$57,B23,$L$5:$L$57))</x:f>
      </x:c>
      <x:c r="N23" s="48" t="str">
        <x:f>IFERROR(INDEX('01_МЕНЮ'!$G$5:$G$35,MATCH(B23,'01_МЕНЮ'!$A$5:$A$35,0)),"")</x:f>
      </x:c>
      <x:c r="O23" s="51" t="str">
        <x:f>IF(OR(M23="",N23=""),"",M23/N23)</x:f>
      </x:c>
      <x:c r="P23" s="36" t="str">
        <x:f>IF(D23="","",IFERROR(INDEX('04_СЫРЬЁ_И_ЦЕНЫ'!$G$5:$G$15,MATCH(D23,'04_СЫРЬЁ_И_ЦЕНЫ'!$A$5:$A$15,0))&amp;" / "&amp;TEXT(INDEX('04_СЫРЬЁ_И_ЦЕНЫ'!$I$5:$I$15,MATCH(D23,'04_СЫРЬЁ_И_ЦЕНЫ'!$A$5:$A$15,0)),"yyyy-mm-dd"),""))</x:f>
      </x:c>
      <x:c r="Q23" s="36" t="str">
        <x:v>BLOCKED</x:v>
      </x:c>
      <x:c r="R23" s="37" t="str">
        <x:v>Нет подтверждённой рецептуры, норм и цены</x:v>
      </x:c>
    </x:row>
    <x:row r="24">
      <x:c r="A24" s="35" t="str">
        <x:v>VKC-020</x:v>
      </x:c>
      <x:c r="B24" s="36" t="str">
        <x:v>VKM-020</x:v>
      </x:c>
      <x:c r="C24" s="36" t="str">
        <x:v>Креветки по-тайски</x:v>
      </x:c>
      <x:c r="D24" s="36"/>
      <x:c r="E24" s="36"/>
      <x:c r="F24" s="36"/>
      <x:c r="G24" s="48"/>
      <x:c r="H24" s="48"/>
      <x:c r="I24" s="48" t="str">
        <x:f>IF(OR(G24="",H24="",F24="шт."),"",G24-H24)</x:f>
      </x:c>
      <x:c r="J24" s="48"/>
      <x:c r="K24" s="48" t="str">
        <x:f>IF(D24="","",IFERROR(INDEX('04_СЫРЬЁ_И_ЦЕНЫ'!$F$5:$F$15,MATCH(D24,'04_СЫРЬЁ_И_ЦЕНЫ'!$A$5:$A$15,0)),""))</x:f>
      </x:c>
      <x:c r="L24" s="48" t="str">
        <x:f>IF(OR(G24="",K24=""),"",IF(OR(F24="г",F24="мл"),G24/1000*K24,G24*K24))</x:f>
      </x:c>
      <x:c r="M24" s="48" t="str">
        <x:f>IF(COUNTIFS($B$5:$B$57,B24,$D$5:$D$57,"&lt;&gt;")=0,"",SUMIF($B$5:$B$57,B24,$L$5:$L$57))</x:f>
      </x:c>
      <x:c r="N24" s="48" t="str">
        <x:f>IFERROR(INDEX('01_МЕНЮ'!$G$5:$G$35,MATCH(B24,'01_МЕНЮ'!$A$5:$A$35,0)),"")</x:f>
      </x:c>
      <x:c r="O24" s="51" t="str">
        <x:f>IF(OR(M24="",N24=""),"",M24/N24)</x:f>
      </x:c>
      <x:c r="P24" s="36" t="str">
        <x:f>IF(D24="","",IFERROR(INDEX('04_СЫРЬЁ_И_ЦЕНЫ'!$G$5:$G$15,MATCH(D24,'04_СЫРЬЁ_И_ЦЕНЫ'!$A$5:$A$15,0))&amp;" / "&amp;TEXT(INDEX('04_СЫРЬЁ_И_ЦЕНЫ'!$I$5:$I$15,MATCH(D24,'04_СЫРЬЁ_И_ЦЕНЫ'!$A$5:$A$15,0)),"yyyy-mm-dd"),""))</x:f>
      </x:c>
      <x:c r="Q24" s="36" t="str">
        <x:v>BLOCKED</x:v>
      </x:c>
      <x:c r="R24" s="37" t="str">
        <x:v>Нет подтверждённой рецептуры, норм и цены</x:v>
      </x:c>
    </x:row>
    <x:row r="25">
      <x:c r="A25" s="35" t="str">
        <x:v>VKC-021</x:v>
      </x:c>
      <x:c r="B25" s="36" t="str">
        <x:v>VKM-021</x:v>
      </x:c>
      <x:c r="C25" s="36" t="str">
        <x:v>Бургер VARSHAVKA</x:v>
      </x:c>
      <x:c r="D25" s="36"/>
      <x:c r="E25" s="36"/>
      <x:c r="F25" s="36"/>
      <x:c r="G25" s="48"/>
      <x:c r="H25" s="48"/>
      <x:c r="I25" s="48" t="str">
        <x:f>IF(OR(G25="",H25="",F25="шт."),"",G25-H25)</x:f>
      </x:c>
      <x:c r="J25" s="48"/>
      <x:c r="K25" s="48" t="str">
        <x:f>IF(D25="","",IFERROR(INDEX('04_СЫРЬЁ_И_ЦЕНЫ'!$F$5:$F$15,MATCH(D25,'04_СЫРЬЁ_И_ЦЕНЫ'!$A$5:$A$15,0)),""))</x:f>
      </x:c>
      <x:c r="L25" s="48" t="str">
        <x:f>IF(OR(G25="",K25=""),"",IF(OR(F25="г",F25="мл"),G25/1000*K25,G25*K25))</x:f>
      </x:c>
      <x:c r="M25" s="48" t="str">
        <x:f>IF(COUNTIFS($B$5:$B$57,B25,$D$5:$D$57,"&lt;&gt;")=0,"",SUMIF($B$5:$B$57,B25,$L$5:$L$57))</x:f>
      </x:c>
      <x:c r="N25" s="48" t="str">
        <x:f>IFERROR(INDEX('01_МЕНЮ'!$G$5:$G$35,MATCH(B25,'01_МЕНЮ'!$A$5:$A$35,0)),"")</x:f>
      </x:c>
      <x:c r="O25" s="51" t="str">
        <x:f>IF(OR(M25="",N25=""),"",M25/N25)</x:f>
      </x:c>
      <x:c r="P25" s="36" t="str">
        <x:f>IF(D25="","",IFERROR(INDEX('04_СЫРЬЁ_И_ЦЕНЫ'!$G$5:$G$15,MATCH(D25,'04_СЫРЬЁ_И_ЦЕНЫ'!$A$5:$A$15,0))&amp;" / "&amp;TEXT(INDEX('04_СЫРЬЁ_И_ЦЕНЫ'!$I$5:$I$15,MATCH(D25,'04_СЫРЬЁ_И_ЦЕНЫ'!$A$5:$A$15,0)),"yyyy-mm-dd"),""))</x:f>
      </x:c>
      <x:c r="Q25" s="36" t="str">
        <x:v>BLOCKED</x:v>
      </x:c>
      <x:c r="R25" s="37" t="str">
        <x:v>Нет подтверждённой рецептуры, норм и цены</x:v>
      </x:c>
    </x:row>
    <x:row r="26">
      <x:c r="A26" s="35" t="str">
        <x:v>VKC-022</x:v>
      </x:c>
      <x:c r="B26" s="36" t="str">
        <x:v>VKM-022</x:v>
      </x:c>
      <x:c r="C26" s="36" t="str">
        <x:v>Миньоны из говяжьей вырезки</x:v>
      </x:c>
      <x:c r="D26" s="36"/>
      <x:c r="E26" s="36"/>
      <x:c r="F26" s="36"/>
      <x:c r="G26" s="48"/>
      <x:c r="H26" s="48"/>
      <x:c r="I26" s="48" t="str">
        <x:f>IF(OR(G26="",H26="",F26="шт."),"",G26-H26)</x:f>
      </x:c>
      <x:c r="J26" s="48"/>
      <x:c r="K26" s="48" t="str">
        <x:f>IF(D26="","",IFERROR(INDEX('04_СЫРЬЁ_И_ЦЕНЫ'!$F$5:$F$15,MATCH(D26,'04_СЫРЬЁ_И_ЦЕНЫ'!$A$5:$A$15,0)),""))</x:f>
      </x:c>
      <x:c r="L26" s="48" t="str">
        <x:f>IF(OR(G26="",K26=""),"",IF(OR(F26="г",F26="мл"),G26/1000*K26,G26*K26))</x:f>
      </x:c>
      <x:c r="M26" s="48" t="str">
        <x:f>IF(COUNTIFS($B$5:$B$57,B26,$D$5:$D$57,"&lt;&gt;")=0,"",SUMIF($B$5:$B$57,B26,$L$5:$L$57))</x:f>
      </x:c>
      <x:c r="N26" s="48" t="str">
        <x:f>IFERROR(INDEX('01_МЕНЮ'!$G$5:$G$35,MATCH(B26,'01_МЕНЮ'!$A$5:$A$35,0)),"")</x:f>
      </x:c>
      <x:c r="O26" s="51" t="str">
        <x:f>IF(OR(M26="",N26=""),"",M26/N26)</x:f>
      </x:c>
      <x:c r="P26" s="36" t="str">
        <x:f>IF(D26="","",IFERROR(INDEX('04_СЫРЬЁ_И_ЦЕНЫ'!$G$5:$G$15,MATCH(D26,'04_СЫРЬЁ_И_ЦЕНЫ'!$A$5:$A$15,0))&amp;" / "&amp;TEXT(INDEX('04_СЫРЬЁ_И_ЦЕНЫ'!$I$5:$I$15,MATCH(D26,'04_СЫРЬЁ_И_ЦЕНЫ'!$A$5:$A$15,0)),"yyyy-mm-dd"),""))</x:f>
      </x:c>
      <x:c r="Q26" s="36" t="str">
        <x:v>BLOCKED</x:v>
      </x:c>
      <x:c r="R26" s="37" t="str">
        <x:v>Нет подтверждённой рецептуры, норм и цены</x:v>
      </x:c>
    </x:row>
    <x:row r="27">
      <x:c r="A27" s="35" t="str">
        <x:v>VKC-023</x:v>
      </x:c>
      <x:c r="B27" s="36" t="str">
        <x:v>VKM-023</x:v>
      </x:c>
      <x:c r="C27" s="36" t="str">
        <x:v>Запечённый картофель</x:v>
      </x:c>
      <x:c r="D27" s="36"/>
      <x:c r="E27" s="36"/>
      <x:c r="F27" s="36"/>
      <x:c r="G27" s="48"/>
      <x:c r="H27" s="48"/>
      <x:c r="I27" s="48" t="str">
        <x:f>IF(OR(G27="",H27="",F27="шт."),"",G27-H27)</x:f>
      </x:c>
      <x:c r="J27" s="48"/>
      <x:c r="K27" s="48" t="str">
        <x:f>IF(D27="","",IFERROR(INDEX('04_СЫРЬЁ_И_ЦЕНЫ'!$F$5:$F$15,MATCH(D27,'04_СЫРЬЁ_И_ЦЕНЫ'!$A$5:$A$15,0)),""))</x:f>
      </x:c>
      <x:c r="L27" s="48" t="str">
        <x:f>IF(OR(G27="",K27=""),"",IF(OR(F27="г",F27="мл"),G27/1000*K27,G27*K27))</x:f>
      </x:c>
      <x:c r="M27" s="48" t="str">
        <x:f>IF(COUNTIFS($B$5:$B$57,B27,$D$5:$D$57,"&lt;&gt;")=0,"",SUMIF($B$5:$B$57,B27,$L$5:$L$57))</x:f>
      </x:c>
      <x:c r="N27" s="48" t="str">
        <x:f>IFERROR(INDEX('01_МЕНЮ'!$G$5:$G$35,MATCH(B27,'01_МЕНЮ'!$A$5:$A$35,0)),"")</x:f>
      </x:c>
      <x:c r="O27" s="51" t="str">
        <x:f>IF(OR(M27="",N27=""),"",M27/N27)</x:f>
      </x:c>
      <x:c r="P27" s="36" t="str">
        <x:f>IF(D27="","",IFERROR(INDEX('04_СЫРЬЁ_И_ЦЕНЫ'!$G$5:$G$15,MATCH(D27,'04_СЫРЬЁ_И_ЦЕНЫ'!$A$5:$A$15,0))&amp;" / "&amp;TEXT(INDEX('04_СЫРЬЁ_И_ЦЕНЫ'!$I$5:$I$15,MATCH(D27,'04_СЫРЬЁ_И_ЦЕНЫ'!$A$5:$A$15,0)),"yyyy-mm-dd"),""))</x:f>
      </x:c>
      <x:c r="Q27" s="36" t="str">
        <x:v>BLOCKED</x:v>
      </x:c>
      <x:c r="R27" s="37" t="str">
        <x:v>Нет подтверждённой рецептуры, норм и цены</x:v>
      </x:c>
    </x:row>
    <x:row r="28">
      <x:c r="A28" s="35" t="str">
        <x:v>VKC-024</x:v>
      </x:c>
      <x:c r="B28" s="36" t="str">
        <x:v>VKM-024</x:v>
      </x:c>
      <x:c r="C28" s="36" t="str">
        <x:v>Рис жасмин</x:v>
      </x:c>
      <x:c r="D28" s="36"/>
      <x:c r="E28" s="36"/>
      <x:c r="F28" s="36"/>
      <x:c r="G28" s="48"/>
      <x:c r="H28" s="48"/>
      <x:c r="I28" s="48" t="str">
        <x:f>IF(OR(G28="",H28="",F28="шт."),"",G28-H28)</x:f>
      </x:c>
      <x:c r="J28" s="48"/>
      <x:c r="K28" s="48" t="str">
        <x:f>IF(D28="","",IFERROR(INDEX('04_СЫРЬЁ_И_ЦЕНЫ'!$F$5:$F$15,MATCH(D28,'04_СЫРЬЁ_И_ЦЕНЫ'!$A$5:$A$15,0)),""))</x:f>
      </x:c>
      <x:c r="L28" s="48" t="str">
        <x:f>IF(OR(G28="",K28=""),"",IF(OR(F28="г",F28="мл"),G28/1000*K28,G28*K28))</x:f>
      </x:c>
      <x:c r="M28" s="48" t="str">
        <x:f>IF(COUNTIFS($B$5:$B$57,B28,$D$5:$D$57,"&lt;&gt;")=0,"",SUMIF($B$5:$B$57,B28,$L$5:$L$57))</x:f>
      </x:c>
      <x:c r="N28" s="48" t="str">
        <x:f>IFERROR(INDEX('01_МЕНЮ'!$G$5:$G$35,MATCH(B28,'01_МЕНЮ'!$A$5:$A$35,0)),"")</x:f>
      </x:c>
      <x:c r="O28" s="51" t="str">
        <x:f>IF(OR(M28="",N28=""),"",M28/N28)</x:f>
      </x:c>
      <x:c r="P28" s="36" t="str">
        <x:f>IF(D28="","",IFERROR(INDEX('04_СЫРЬЁ_И_ЦЕНЫ'!$G$5:$G$15,MATCH(D28,'04_СЫРЬЁ_И_ЦЕНЫ'!$A$5:$A$15,0))&amp;" / "&amp;TEXT(INDEX('04_СЫРЬЁ_И_ЦЕНЫ'!$I$5:$I$15,MATCH(D28,'04_СЫРЬЁ_И_ЦЕНЫ'!$A$5:$A$15,0)),"yyyy-mm-dd"),""))</x:f>
      </x:c>
      <x:c r="Q28" s="36" t="str">
        <x:v>BLOCKED</x:v>
      </x:c>
      <x:c r="R28" s="37" t="str">
        <x:v>Нет подтверждённой рецептуры, норм и цены</x:v>
      </x:c>
    </x:row>
    <x:row r="29">
      <x:c r="A29" s="35" t="str">
        <x:v>VKC-025</x:v>
      </x:c>
      <x:c r="B29" s="36" t="str">
        <x:v>VKM-025</x:v>
      </x:c>
      <x:c r="C29" s="36" t="str">
        <x:v>Горячие овощи</x:v>
      </x:c>
      <x:c r="D29" s="36"/>
      <x:c r="E29" s="36"/>
      <x:c r="F29" s="36"/>
      <x:c r="G29" s="48"/>
      <x:c r="H29" s="48"/>
      <x:c r="I29" s="48" t="str">
        <x:f>IF(OR(G29="",H29="",F29="шт."),"",G29-H29)</x:f>
      </x:c>
      <x:c r="J29" s="48"/>
      <x:c r="K29" s="48" t="str">
        <x:f>IF(D29="","",IFERROR(INDEX('04_СЫРЬЁ_И_ЦЕНЫ'!$F$5:$F$15,MATCH(D29,'04_СЫРЬЁ_И_ЦЕНЫ'!$A$5:$A$15,0)),""))</x:f>
      </x:c>
      <x:c r="L29" s="48" t="str">
        <x:f>IF(OR(G29="",K29=""),"",IF(OR(F29="г",F29="мл"),G29/1000*K29,G29*K29))</x:f>
      </x:c>
      <x:c r="M29" s="48" t="str">
        <x:f>IF(COUNTIFS($B$5:$B$57,B29,$D$5:$D$57,"&lt;&gt;")=0,"",SUMIF($B$5:$B$57,B29,$L$5:$L$57))</x:f>
      </x:c>
      <x:c r="N29" s="48" t="str">
        <x:f>IFERROR(INDEX('01_МЕНЮ'!$G$5:$G$35,MATCH(B29,'01_МЕНЮ'!$A$5:$A$35,0)),"")</x:f>
      </x:c>
      <x:c r="O29" s="51" t="str">
        <x:f>IF(OR(M29="",N29=""),"",M29/N29)</x:f>
      </x:c>
      <x:c r="P29" s="36" t="str">
        <x:f>IF(D29="","",IFERROR(INDEX('04_СЫРЬЁ_И_ЦЕНЫ'!$G$5:$G$15,MATCH(D29,'04_СЫРЬЁ_И_ЦЕНЫ'!$A$5:$A$15,0))&amp;" / "&amp;TEXT(INDEX('04_СЫРЬЁ_И_ЦЕНЫ'!$I$5:$I$15,MATCH(D29,'04_СЫРЬЁ_И_ЦЕНЫ'!$A$5:$A$15,0)),"yyyy-mm-dd"),""))</x:f>
      </x:c>
      <x:c r="Q29" s="36" t="str">
        <x:v>BLOCKED</x:v>
      </x:c>
      <x:c r="R29" s="37" t="str">
        <x:v>Нет подтверждённой рецептуры, норм и цены</x:v>
      </x:c>
    </x:row>
    <x:row r="30">
      <x:c r="A30" s="35" t="str">
        <x:v>VKC-026</x:v>
      </x:c>
      <x:c r="B30" s="36" t="str">
        <x:v>VKM-026</x:v>
      </x:c>
      <x:c r="C30" s="36" t="str">
        <x:v>Яичница, круассан и сыр двух видов</x:v>
      </x:c>
      <x:c r="D30" s="36" t="str">
        <x:v>P-EGG-C0</x:v>
      </x:c>
      <x:c r="E30" s="36" t="str">
        <x:v>Яйцо куриное C0</x:v>
      </x:c>
      <x:c r="F30" s="36" t="str">
        <x:v>шт.</x:v>
      </x:c>
      <x:c r="G30" s="48" t="n">
        <x:v>2</x:v>
      </x:c>
      <x:c r="H30" s="48" t="n">
        <x:v>126</x:v>
      </x:c>
      <x:c r="I30" s="48" t="str">
        <x:f>IF(OR(G30="",H30="",F30="шт."),"",G30-H30)</x:f>
      </x:c>
      <x:c r="J30" s="48" t="n">
        <x:v>114</x:v>
      </x:c>
      <x:c r="K30" s="48" t="n">
        <x:f>IF(D30="","",IFERROR(INDEX('04_СЫРЬЁ_И_ЦЕНЫ'!$F$5:$F$15,MATCH(D30,'04_СЫРЬЁ_И_ЦЕНЫ'!$A$5:$A$15,0)),""))</x:f>
        <x:v>12.999</x:v>
      </x:c>
      <x:c r="L30" s="48" t="n">
        <x:f>IF(OR(G30="",K30=""),"",IF(OR(F30="г",F30="мл"),G30/1000*K30,G30*K30))</x:f>
        <x:v>25.998</x:v>
      </x:c>
      <x:c r="M30" s="48" t="n">
        <x:f>IF(COUNTIFS($B$5:$B$57,B30,$D$5:$D$57,"&lt;&gt;")=0,"",SUMIF($B$5:$B$57,B30,$L$5:$L$57))</x:f>
        <x:v>191.2826677777778</x:v>
      </x:c>
      <x:c r="N30" s="48" t="n">
        <x:f>IFERROR(INDEX('01_МЕНЮ'!$G$5:$G$35,MATCH(B30,'01_МЕНЮ'!$A$5:$A$35,0)),"")</x:f>
        <x:v>550</x:v>
      </x:c>
      <x:c r="O30" s="51" t="n">
        <x:f>IF(OR(M30="",N30=""),"",M30/N30)</x:f>
        <x:v>0.3477866686868687</x:v>
      </x:c>
      <x:c r="P30" s="36" t="str">
        <x:f>IF(D30="","",IFERROR(INDEX('04_СЫРЬЁ_И_ЦЕНЫ'!$G$5:$G$15,MATCH(D30,'04_СЫРЬЁ_И_ЦЕНЫ'!$A$5:$A$15,0))&amp;" / "&amp;TEXT(INDEX('04_СЫРЬЁ_И_ЦЕНЫ'!$I$5:$I$15,MATCH(D30,'04_СЫРЬЁ_И_ЦЕНЫ'!$A$5:$A$15,0)),"yyyy-mm-dd"),""))</x:f>
        <x:v>Лента / Дивеевское / 2026-07-27</x:v>
      </x:c>
      <x:c r="Q30" s="36" t="str">
        <x:v>DRAFT</x:v>
      </x:c>
      <x:c r="R30" s="37" t="str">
        <x:v>Основное блюдо</x:v>
      </x:c>
    </x:row>
    <x:row r="31">
      <x:c r="A31" s="35" t="str">
        <x:v>VKC-026</x:v>
      </x:c>
      <x:c r="B31" s="36" t="str">
        <x:v>VKM-026</x:v>
      </x:c>
      <x:c r="C31" s="36" t="str">
        <x:v>Яичница, круассан и сыр двух видов</x:v>
      </x:c>
      <x:c r="D31" s="36" t="str">
        <x:v>P-BUTTER</x:v>
      </x:c>
      <x:c r="E31" s="36" t="str">
        <x:v>Масло сливочное 82,5%</x:v>
      </x:c>
      <x:c r="F31" s="36" t="str">
        <x:v>г</x:v>
      </x:c>
      <x:c r="G31" s="48" t="n">
        <x:v>5</x:v>
      </x:c>
      <x:c r="H31" s="48" t="n">
        <x:v>5</x:v>
      </x:c>
      <x:c r="I31" s="48" t="n">
        <x:f>IF(OR(G31="",H31="",F31="шт."),"",G31-H31)</x:f>
        <x:v>0</x:v>
      </x:c>
      <x:c r="J31" s="48" t="n">
        <x:v>5</x:v>
      </x:c>
      <x:c r="K31" s="48" t="n">
        <x:f>IF(D31="","",IFERROR(INDEX('04_СЫРЬЁ_И_ЦЕНЫ'!$F$5:$F$15,MATCH(D31,'04_СЫРЬЁ_И_ЦЕНЫ'!$A$5:$A$15,0)),""))</x:f>
        <x:v>1111.0555555555557</x:v>
      </x:c>
      <x:c r="L31" s="48" t="n">
        <x:f>IF(OR(G31="",K31=""),"",IF(OR(F31="г",F31="мл"),G31/1000*K31,G31*K31))</x:f>
        <x:v>5.555277777777778</x:v>
      </x:c>
      <x:c r="M31" s="48" t="n">
        <x:f>IF(COUNTIFS($B$5:$B$57,B31,$D$5:$D$57,"&lt;&gt;")=0,"",SUMIF($B$5:$B$57,B31,$L$5:$L$57))</x:f>
        <x:v>191.2826677777778</x:v>
      </x:c>
      <x:c r="N31" s="48" t="n">
        <x:f>IFERROR(INDEX('01_МЕНЮ'!$G$5:$G$35,MATCH(B31,'01_МЕНЮ'!$A$5:$A$35,0)),"")</x:f>
        <x:v>550</x:v>
      </x:c>
      <x:c r="O31" s="51" t="n">
        <x:f>IF(OR(M31="",N31=""),"",M31/N31)</x:f>
        <x:v>0.3477866686868687</x:v>
      </x:c>
      <x:c r="P31" s="36" t="str">
        <x:f>IF(D31="","",IFERROR(INDEX('04_СЫРЬЁ_И_ЦЕНЫ'!$G$5:$G$15,MATCH(D31,'04_СЫРЬЁ_И_ЦЕНЫ'!$A$5:$A$15,0))&amp;" / "&amp;TEXT(INDEX('04_СЫРЬЁ_И_ЦЕНЫ'!$I$5:$I$15,MATCH(D31,'04_СЫРЬЁ_И_ЦЕНЫ'!$A$5:$A$15,0)),"yyyy-mm-dd"),""))</x:f>
        <x:v>Лента / Вкуснотеево / 2026-07-27</x:v>
      </x:c>
      <x:c r="Q31" s="36" t="str">
        <x:v>DRAFT</x:v>
      </x:c>
      <x:c r="R31" s="37" t="str">
        <x:v>Основное блюдо</x:v>
      </x:c>
    </x:row>
    <x:row r="32">
      <x:c r="A32" s="35" t="str">
        <x:v>VKC-026</x:v>
      </x:c>
      <x:c r="B32" s="36" t="str">
        <x:v>VKM-026</x:v>
      </x:c>
      <x:c r="C32" s="36" t="str">
        <x:v>Яичница, круассан и сыр двух видов</x:v>
      </x:c>
      <x:c r="D32" s="36" t="str">
        <x:v>P-SALT</x:v>
      </x:c>
      <x:c r="E32" s="36" t="str">
        <x:v>Соль</x:v>
      </x:c>
      <x:c r="F32" s="36" t="str">
        <x:v>г</x:v>
      </x:c>
      <x:c r="G32" s="48" t="n">
        <x:v>1</x:v>
      </x:c>
      <x:c r="H32" s="48" t="n">
        <x:v>1</x:v>
      </x:c>
      <x:c r="I32" s="48" t="n">
        <x:f>IF(OR(G32="",H32="",F32="шт."),"",G32-H32)</x:f>
        <x:v>0</x:v>
      </x:c>
      <x:c r="J32" s="48" t="n">
        <x:v>1</x:v>
      </x:c>
      <x:c r="K32" s="48" t="n">
        <x:f>IF(D32="","",IFERROR(INDEX('04_СЫРЬЁ_И_ЦЕНЫ'!$F$5:$F$15,MATCH(D32,'04_СЫРЬЁ_И_ЦЕНЫ'!$A$5:$A$15,0)),""))</x:f>
        <x:v>42.99</x:v>
      </x:c>
      <x:c r="L32" s="48" t="n">
        <x:f>IF(OR(G32="",K32=""),"",IF(OR(F32="г",F32="мл"),G32/1000*K32,G32*K32))</x:f>
        <x:v>0.04299</x:v>
      </x:c>
      <x:c r="M32" s="48" t="n">
        <x:f>IF(COUNTIFS($B$5:$B$57,B32,$D$5:$D$57,"&lt;&gt;")=0,"",SUMIF($B$5:$B$57,B32,$L$5:$L$57))</x:f>
        <x:v>191.2826677777778</x:v>
      </x:c>
      <x:c r="N32" s="48" t="n">
        <x:f>IFERROR(INDEX('01_МЕНЮ'!$G$5:$G$35,MATCH(B32,'01_МЕНЮ'!$A$5:$A$35,0)),"")</x:f>
        <x:v>550</x:v>
      </x:c>
      <x:c r="O32" s="51" t="n">
        <x:f>IF(OR(M32="",N32=""),"",M32/N32)</x:f>
        <x:v>0.3477866686868687</x:v>
      </x:c>
      <x:c r="P32" s="36" t="str">
        <x:f>IF(D32="","",IFERROR(INDEX('04_СЫРЬЁ_И_ЦЕНЫ'!$G$5:$G$15,MATCH(D32,'04_СЫРЬЁ_И_ЦЕНЫ'!$A$5:$A$15,0))&amp;" / "&amp;TEXT(INDEX('04_СЫРЬЁ_И_ЦЕНЫ'!$I$5:$I$15,MATCH(D32,'04_СЫРЬЁ_И_ЦЕНЫ'!$A$5:$A$15,0)),"yyyy-mm-dd"),""))</x:f>
        <x:v>Лента / Усольская / 2026-07-27</x:v>
      </x:c>
      <x:c r="Q32" s="36" t="str">
        <x:v>DRAFT</x:v>
      </x:c>
      <x:c r="R32" s="37" t="str">
        <x:v>Основное блюдо</x:v>
      </x:c>
    </x:row>
    <x:row r="33">
      <x:c r="A33" s="35" t="str">
        <x:v>VKC-026</x:v>
      </x:c>
      <x:c r="B33" s="36" t="str">
        <x:v>VKM-026</x:v>
      </x:c>
      <x:c r="C33" s="36" t="str">
        <x:v>Яичница, круассан и сыр двух видов</x:v>
      </x:c>
      <x:c r="D33" s="36" t="str">
        <x:v>P-CROISSANT-80</x:v>
      </x:c>
      <x:c r="E33" s="36" t="str">
        <x:v>Круассан замороженный без начинки 80 г</x:v>
      </x:c>
      <x:c r="F33" s="36" t="str">
        <x:v>шт.</x:v>
      </x:c>
      <x:c r="G33" s="48" t="n">
        <x:v>1</x:v>
      </x:c>
      <x:c r="H33" s="48" t="n">
        <x:v>80</x:v>
      </x:c>
      <x:c r="I33" s="48" t="str">
        <x:f>IF(OR(G33="",H33="",F33="шт."),"",G33-H33)</x:f>
      </x:c>
      <x:c r="J33" s="48" t="n">
        <x:v>65</x:v>
      </x:c>
      <x:c r="K33" s="48" t="n">
        <x:f>IF(D33="","",IFERROR(INDEX('04_СЫРЬЁ_И_ЦЕНЫ'!$F$5:$F$15,MATCH(D33,'04_СЫРЬЁ_И_ЦЕНЫ'!$A$5:$A$15,0)),""))</x:f>
        <x:v>33.888</x:v>
      </x:c>
      <x:c r="L33" s="48" t="n">
        <x:f>IF(OR(G33="",K33=""),"",IF(OR(F33="г",F33="мл"),G33/1000*K33,G33*K33))</x:f>
        <x:v>33.888</x:v>
      </x:c>
      <x:c r="M33" s="48" t="n">
        <x:f>IF(COUNTIFS($B$5:$B$57,B33,$D$5:$D$57,"&lt;&gt;")=0,"",SUMIF($B$5:$B$57,B33,$L$5:$L$57))</x:f>
        <x:v>191.2826677777778</x:v>
      </x:c>
      <x:c r="N33" s="48" t="n">
        <x:f>IFERROR(INDEX('01_МЕНЮ'!$G$5:$G$35,MATCH(B33,'01_МЕНЮ'!$A$5:$A$35,0)),"")</x:f>
        <x:v>550</x:v>
      </x:c>
      <x:c r="O33" s="51" t="n">
        <x:f>IF(OR(M33="",N33=""),"",M33/N33)</x:f>
        <x:v>0.3477866686868687</x:v>
      </x:c>
      <x:c r="P33" s="36" t="str">
        <x:f>IF(D33="","",IFERROR(INDEX('04_СЫРЬЁ_И_ЦЕНЫ'!$G$5:$G$15,MATCH(D33,'04_СЫРЬЁ_И_ЦЕНЫ'!$A$5:$A$15,0))&amp;" / "&amp;TEXT(INDEX('04_СЫРЬЁ_И_ЦЕНЫ'!$I$5:$I$15,MATCH(D33,'04_СЫРЬЁ_И_ЦЕНЫ'!$A$5:$A$15,0)),"yyyy-mm-dd"),""))</x:f>
        <x:v>Supl.biz / 2026-07-27</x:v>
      </x:c>
      <x:c r="Q33" s="36" t="str">
        <x:v>DRAFT</x:v>
      </x:c>
      <x:c r="R33" s="37" t="str">
        <x:v>Общий компонент</x:v>
      </x:c>
    </x:row>
    <x:row r="34">
      <x:c r="A34" s="35" t="str">
        <x:v>VKC-026</x:v>
      </x:c>
      <x:c r="B34" s="36" t="str">
        <x:v>VKM-026</x:v>
      </x:c>
      <x:c r="C34" s="36" t="str">
        <x:v>Яичница, круассан и сыр двух видов</x:v>
      </x:c>
      <x:c r="D34" s="36" t="str">
        <x:v>P-CHEDDAR</x:v>
      </x:c>
      <x:c r="E34" s="36" t="str">
        <x:v>Чеддер, порционный ломтик</x:v>
      </x:c>
      <x:c r="F34" s="36" t="str">
        <x:v>г</x:v>
      </x:c>
      <x:c r="G34" s="48" t="n">
        <x:v>20</x:v>
      </x:c>
      <x:c r="H34" s="48" t="n">
        <x:v>20</x:v>
      </x:c>
      <x:c r="I34" s="48" t="n">
        <x:f>IF(OR(G34="",H34="",F34="шт."),"",G34-H34)</x:f>
        <x:v>0</x:v>
      </x:c>
      <x:c r="J34" s="48" t="n">
        <x:v>20</x:v>
      </x:c>
      <x:c r="K34" s="48" t="n">
        <x:f>IF(D34="","",IFERROR(INDEX('04_СЫРЬЁ_И_ЦЕНЫ'!$F$5:$F$15,MATCH(D34,'04_СЫРЬЁ_И_ЦЕНЫ'!$A$5:$A$15,0)),""))</x:f>
        <x:v>1399.92</x:v>
      </x:c>
      <x:c r="L34" s="48" t="n">
        <x:f>IF(OR(G34="",K34=""),"",IF(OR(F34="г",F34="мл"),G34/1000*K34,G34*K34))</x:f>
        <x:v>27.998400000000004</x:v>
      </x:c>
      <x:c r="M34" s="48" t="n">
        <x:f>IF(COUNTIFS($B$5:$B$57,B34,$D$5:$D$57,"&lt;&gt;")=0,"",SUMIF($B$5:$B$57,B34,$L$5:$L$57))</x:f>
        <x:v>191.2826677777778</x:v>
      </x:c>
      <x:c r="N34" s="48" t="n">
        <x:f>IFERROR(INDEX('01_МЕНЮ'!$G$5:$G$35,MATCH(B34,'01_МЕНЮ'!$A$5:$A$35,0)),"")</x:f>
        <x:v>550</x:v>
      </x:c>
      <x:c r="O34" s="51" t="n">
        <x:f>IF(OR(M34="",N34=""),"",M34/N34)</x:f>
        <x:v>0.3477866686868687</x:v>
      </x:c>
      <x:c r="P34" s="36" t="str">
        <x:f>IF(D34="","",IFERROR(INDEX('04_СЫРЬЁ_И_ЦЕНЫ'!$G$5:$G$15,MATCH(D34,'04_СЫРЬЁ_И_ЦЕНЫ'!$A$5:$A$15,0))&amp;" / "&amp;TEXT(INDEX('04_СЫРЬЁ_И_ЦЕНЫ'!$I$5:$I$15,MATCH(D34,'04_СЫРЬЁ_И_ЦЕНЫ'!$A$5:$A$15,0)),"yyyy-mm-dd"),""))</x:f>
        <x:v>Лента / Schonfeld / 2026-07-27</x:v>
      </x:c>
      <x:c r="Q34" s="36" t="str">
        <x:v>DRAFT</x:v>
      </x:c>
      <x:c r="R34" s="37" t="str">
        <x:v>Общий компонент</x:v>
      </x:c>
    </x:row>
    <x:row r="35">
      <x:c r="A35" s="35" t="str">
        <x:v>VKC-026</x:v>
      </x:c>
      <x:c r="B35" s="36" t="str">
        <x:v>VKM-026</x:v>
      </x:c>
      <x:c r="C35" s="36" t="str">
        <x:v>Яичница, круассан и сыр двух видов</x:v>
      </x:c>
      <x:c r="D35" s="36" t="str">
        <x:v>P-FONTINA</x:v>
      </x:c>
      <x:c r="E35" s="36" t="str">
        <x:v>Fontina DOP / Fontal</x:v>
      </x:c>
      <x:c r="F35" s="36" t="str">
        <x:v>г</x:v>
      </x:c>
      <x:c r="G35" s="48" t="n">
        <x:v>21</x:v>
      </x:c>
      <x:c r="H35" s="48" t="n">
        <x:v>20</x:v>
      </x:c>
      <x:c r="I35" s="48" t="n">
        <x:f>IF(OR(G35="",H35="",F35="шт."),"",G35-H35)</x:f>
        <x:v>1</x:v>
      </x:c>
      <x:c r="J35" s="48" t="n">
        <x:v>20</x:v>
      </x:c>
      <x:c r="K35" s="48" t="n">
        <x:f>IF(D35="","",IFERROR(INDEX('04_СЫРЬЁ_И_ЦЕНЫ'!$F$5:$F$15,MATCH(D35,'04_СЫРЬЁ_И_ЦЕНЫ'!$A$5:$A$15,0)),""))</x:f>
        <x:v>1800</x:v>
      </x:c>
      <x:c r="L35" s="48" t="n">
        <x:f>IF(OR(G35="",K35=""),"",IF(OR(F35="г",F35="мл"),G35/1000*K35,G35*K35))</x:f>
        <x:v>37.800000000000004</x:v>
      </x:c>
      <x:c r="M35" s="48" t="n">
        <x:f>IF(COUNTIFS($B$5:$B$57,B35,$D$5:$D$57,"&lt;&gt;")=0,"",SUMIF($B$5:$B$57,B35,$L$5:$L$57))</x:f>
        <x:v>191.2826677777778</x:v>
      </x:c>
      <x:c r="N35" s="48" t="n">
        <x:f>IFERROR(INDEX('01_МЕНЮ'!$G$5:$G$35,MATCH(B35,'01_МЕНЮ'!$A$5:$A$35,0)),"")</x:f>
        <x:v>550</x:v>
      </x:c>
      <x:c r="O35" s="51" t="n">
        <x:f>IF(OR(M35="",N35=""),"",M35/N35)</x:f>
        <x:v>0.3477866686868687</x:v>
      </x:c>
      <x:c r="P35" s="36" t="str">
        <x:f>IF(D35="","",IFERROR(INDEX('04_СЫРЬЁ_И_ЦЕНЫ'!$G$5:$G$15,MATCH(D35,'04_СЫРЬЁ_И_ЦЕНЫ'!$A$5:$A$15,0))&amp;" / "&amp;TEXT(INDEX('04_СЫРЬЁ_И_ЦЕНЫ'!$I$5:$I$15,MATCH(D35,'04_СЫРЬЁ_И_ЦЕНЫ'!$A$5:$A$15,0)),"yyyy-mm-dd"),""))</x:f>
        <x:v>Поставщик не выбран / 2026-07-27</x:v>
      </x:c>
      <x:c r="Q35" s="36" t="str">
        <x:v>ASSUMPTION</x:v>
      </x:c>
      <x:c r="R35" s="37" t="str">
        <x:v>Общий компонент</x:v>
      </x:c>
    </x:row>
    <x:row r="36">
      <x:c r="A36" s="35" t="str">
        <x:v>VKC-026</x:v>
      </x:c>
      <x:c r="B36" s="36" t="str">
        <x:v>VKM-026</x:v>
      </x:c>
      <x:c r="C36" s="36" t="str">
        <x:v>Яичница, круассан и сыр двух видов</x:v>
      </x:c>
      <x:c r="D36" s="36" t="str">
        <x:v>P-DRINK</x:v>
      </x:c>
      <x:c r="E36" s="36" t="str">
        <x:v>Напиток бариста 200 мл</x:v>
      </x:c>
      <x:c r="F36" s="36" t="str">
        <x:v>шт.</x:v>
      </x:c>
      <x:c r="G36" s="48" t="n">
        <x:v>1</x:v>
      </x:c>
      <x:c r="H36" s="48" t="n">
        <x:v>1</x:v>
      </x:c>
      <x:c r="I36" s="48" t="str">
        <x:f>IF(OR(G36="",H36="",F36="шт."),"",G36-H36)</x:f>
      </x:c>
      <x:c r="J36" s="48"/>
      <x:c r="K36" s="48" t="n">
        <x:f>IF(D36="","",IFERROR(INDEX('04_СЫРЬЁ_И_ЦЕНЫ'!$F$5:$F$15,MATCH(D36,'04_СЫРЬЁ_И_ЦЕНЫ'!$A$5:$A$15,0)),""))</x:f>
        <x:v>60</x:v>
      </x:c>
      <x:c r="L36" s="48" t="n">
        <x:f>IF(OR(G36="",K36=""),"",IF(OR(F36="г",F36="мл"),G36/1000*K36,G36*K36))</x:f>
        <x:v>60</x:v>
      </x:c>
      <x:c r="M36" s="48" t="n">
        <x:f>IF(COUNTIFS($B$5:$B$57,B36,$D$5:$D$57,"&lt;&gt;")=0,"",SUMIF($B$5:$B$57,B36,$L$5:$L$57))</x:f>
        <x:v>191.2826677777778</x:v>
      </x:c>
      <x:c r="N36" s="48" t="n">
        <x:f>IFERROR(INDEX('01_МЕНЮ'!$G$5:$G$35,MATCH(B36,'01_МЕНЮ'!$A$5:$A$35,0)),"")</x:f>
        <x:v>550</x:v>
      </x:c>
      <x:c r="O36" s="51" t="n">
        <x:f>IF(OR(M36="",N36=""),"",M36/N36)</x:f>
        <x:v>0.3477866686868687</x:v>
      </x:c>
      <x:c r="P36" s="36" t="str">
        <x:f>IF(D36="","",IFERROR(INDEX('04_СЫРЬЁ_И_ЦЕНЫ'!$G$5:$G$15,MATCH(D36,'04_СЫРЬЁ_И_ЦЕНЫ'!$A$5:$A$15,0))&amp;" / "&amp;TEXT(INDEX('04_СЫРЬЁ_И_ЦЕНЫ'!$I$5:$I$15,MATCH(D36,'04_СЫРЬЁ_И_ЦЕНЫ'!$A$5:$A$15,0)),"yyyy-mm-dd"),""))</x:f>
        <x:v>VARSHAVKA / Бар / 2026-07-27</x:v>
      </x:c>
      <x:c r="Q36" s="36" t="str">
        <x:v>DRAFT</x:v>
      </x:c>
      <x:c r="R36" s="37" t="str">
        <x:v>Напиток; не входит в массу пищевой части</x:v>
      </x:c>
    </x:row>
    <x:row r="37">
      <x:c r="A37" s="35" t="str">
        <x:v>VKC-027</x:v>
      </x:c>
      <x:c r="B37" s="36" t="str">
        <x:v>VKM-027</x:v>
      </x:c>
      <x:c r="C37" s="36" t="str">
        <x:v>Омлет, круассан и сыр двух видов</x:v>
      </x:c>
      <x:c r="D37" s="36" t="str">
        <x:v>P-MELANGE-GROVO</x:v>
      </x:c>
      <x:c r="E37" s="36" t="str">
        <x:v>Меланж пастеризованный GROVO</x:v>
      </x:c>
      <x:c r="F37" s="36" t="str">
        <x:v>г</x:v>
      </x:c>
      <x:c r="G37" s="48" t="n">
        <x:v>126</x:v>
      </x:c>
      <x:c r="H37" s="48" t="n">
        <x:v>126</x:v>
      </x:c>
      <x:c r="I37" s="48" t="n">
        <x:f>IF(OR(G37="",H37="",F37="шт."),"",G37-H37)</x:f>
        <x:v>0</x:v>
      </x:c>
      <x:c r="J37" s="48" t="n">
        <x:v>111</x:v>
      </x:c>
      <x:c r="K37" s="48" t="n">
        <x:f>IF(D37="","",IFERROR(INDEX('04_СЫРЬЁ_И_ЦЕНЫ'!$F$5:$F$15,MATCH(D37,'04_СЫРЬЁ_И_ЦЕНЫ'!$A$5:$A$15,0)),""))</x:f>
        <x:v>401.66666666666663</x:v>
      </x:c>
      <x:c r="L37" s="48" t="n">
        <x:f>IF(OR(G37="",K37=""),"",IF(OR(F37="г",F37="мл"),G37/1000*K37,G37*K37))</x:f>
        <x:v>50.60999999999999</x:v>
      </x:c>
      <x:c r="M37" s="48" t="n">
        <x:f>IF(COUNTIFS($B$5:$B$57,B37,$D$5:$D$57,"&lt;&gt;")=0,"",SUMIF($B$5:$B$57,B37,$L$5:$L$57))</x:f>
        <x:v>223.1946677777778</x:v>
      </x:c>
      <x:c r="N37" s="48" t="n">
        <x:f>IFERROR(INDEX('01_МЕНЮ'!$G$5:$G$35,MATCH(B37,'01_МЕНЮ'!$A$5:$A$35,0)),"")</x:f>
        <x:v>550</x:v>
      </x:c>
      <x:c r="O37" s="51" t="n">
        <x:f>IF(OR(M37="",N37=""),"",M37/N37)</x:f>
        <x:v>0.4058084868686869</x:v>
      </x:c>
      <x:c r="P37" s="36" t="str">
        <x:f>IF(D37="","",IFERROR(INDEX('04_СЫРЬЁ_И_ЦЕНЫ'!$G$5:$G$15,MATCH(D37,'04_СЫРЬЁ_И_ЦЕНЫ'!$A$5:$A$15,0))&amp;" / "&amp;TEXT(INDEX('04_СЫРЬЁ_И_ЦЕНЫ'!$I$5:$I$15,MATCH(D37,'04_СЫРЬЁ_И_ЦЕНЫ'!$A$5:$A$15,0)),"yyyy-mm-dd"),""))</x:f>
        <x:v>публичная карточка / GROVO / 2026-07-27</x:v>
      </x:c>
      <x:c r="Q37" s="36" t="str">
        <x:v>DRAFT</x:v>
      </x:c>
      <x:c r="R37" s="37" t="str">
        <x:v>Основное блюдо</x:v>
      </x:c>
    </x:row>
    <x:row r="38">
      <x:c r="A38" s="35" t="str">
        <x:v>VKC-027</x:v>
      </x:c>
      <x:c r="B38" s="36" t="str">
        <x:v>VKM-027</x:v>
      </x:c>
      <x:c r="C38" s="36" t="str">
        <x:v>Омлет, круассан и сыр двух видов</x:v>
      </x:c>
      <x:c r="D38" s="36" t="str">
        <x:v>P-MILK-DS</x:v>
      </x:c>
      <x:c r="E38" s="36" t="str">
        <x:v>Молоко «Деловой Стандарт Select» 3,2%</x:v>
      </x:c>
      <x:c r="F38" s="36" t="str">
        <x:v>мл</x:v>
      </x:c>
      <x:c r="G38" s="48" t="n">
        <x:v>50</x:v>
      </x:c>
      <x:c r="H38" s="48" t="n">
        <x:v>50</x:v>
      </x:c>
      <x:c r="I38" s="48" t="n">
        <x:f>IF(OR(G38="",H38="",F38="шт."),"",G38-H38)</x:f>
        <x:v>0</x:v>
      </x:c>
      <x:c r="J38" s="48" t="n">
        <x:v>44</x:v>
      </x:c>
      <x:c r="K38" s="48" t="n">
        <x:f>IF(D38="","",IFERROR(INDEX('04_СЫРЬЁ_И_ЦЕНЫ'!$F$5:$F$15,MATCH(D38,'04_СЫРЬЁ_И_ЦЕНЫ'!$A$5:$A$15,0)),""))</x:f>
        <x:v>146</x:v>
      </x:c>
      <x:c r="L38" s="48" t="n">
        <x:f>IF(OR(G38="",K38=""),"",IF(OR(F38="г",F38="мл"),G38/1000*K38,G38*K38))</x:f>
        <x:v>7.300000000000001</x:v>
      </x:c>
      <x:c r="M38" s="48" t="n">
        <x:f>IF(COUNTIFS($B$5:$B$57,B38,$D$5:$D$57,"&lt;&gt;")=0,"",SUMIF($B$5:$B$57,B38,$L$5:$L$57))</x:f>
        <x:v>223.1946677777778</x:v>
      </x:c>
      <x:c r="N38" s="48" t="n">
        <x:f>IFERROR(INDEX('01_МЕНЮ'!$G$5:$G$35,MATCH(B38,'01_МЕНЮ'!$A$5:$A$35,0)),"")</x:f>
        <x:v>550</x:v>
      </x:c>
      <x:c r="O38" s="51" t="n">
        <x:f>IF(OR(M38="",N38=""),"",M38/N38)</x:f>
        <x:v>0.4058084868686869</x:v>
      </x:c>
      <x:c r="P38" s="36" t="str">
        <x:f>IF(D38="","",IFERROR(INDEX('04_СЫРЬЁ_И_ЦЕНЫ'!$G$5:$G$15,MATCH(D38,'04_СЫРЬЁ_И_ЦЕНЫ'!$A$5:$A$15,0))&amp;" / "&amp;TEXT(INDEX('04_СЫРЬЁ_И_ЦЕНЫ'!$I$5:$I$15,MATCH(D38,'04_СЫРЬЁ_И_ЦЕНЫ'!$A$5:$A$15,0)),"yyyy-mm-dd"),""))</x:f>
        <x:v>Pragmatic / 2026-07-27</x:v>
      </x:c>
      <x:c r="Q38" s="36" t="str">
        <x:v>DRAFT</x:v>
      </x:c>
      <x:c r="R38" s="37" t="str">
        <x:v>Основное блюдо</x:v>
      </x:c>
    </x:row>
    <x:row r="39">
      <x:c r="A39" s="35" t="str">
        <x:v>VKC-027</x:v>
      </x:c>
      <x:c r="B39" s="36" t="str">
        <x:v>VKM-027</x:v>
      </x:c>
      <x:c r="C39" s="36" t="str">
        <x:v>Омлет, круассан и сыр двух видов</x:v>
      </x:c>
      <x:c r="D39" s="36" t="str">
        <x:v>P-BUTTER</x:v>
      </x:c>
      <x:c r="E39" s="36" t="str">
        <x:v>Масло сливочное 82,5%</x:v>
      </x:c>
      <x:c r="F39" s="36" t="str">
        <x:v>г</x:v>
      </x:c>
      <x:c r="G39" s="48" t="n">
        <x:v>5</x:v>
      </x:c>
      <x:c r="H39" s="48" t="n">
        <x:v>5</x:v>
      </x:c>
      <x:c r="I39" s="48" t="n">
        <x:f>IF(OR(G39="",H39="",F39="шт."),"",G39-H39)</x:f>
        <x:v>0</x:v>
      </x:c>
      <x:c r="J39" s="48" t="n">
        <x:v>4</x:v>
      </x:c>
      <x:c r="K39" s="48" t="n">
        <x:f>IF(D39="","",IFERROR(INDEX('04_СЫРЬЁ_И_ЦЕНЫ'!$F$5:$F$15,MATCH(D39,'04_СЫРЬЁ_И_ЦЕНЫ'!$A$5:$A$15,0)),""))</x:f>
        <x:v>1111.0555555555557</x:v>
      </x:c>
      <x:c r="L39" s="48" t="n">
        <x:f>IF(OR(G39="",K39=""),"",IF(OR(F39="г",F39="мл"),G39/1000*K39,G39*K39))</x:f>
        <x:v>5.555277777777778</x:v>
      </x:c>
      <x:c r="M39" s="48" t="n">
        <x:f>IF(COUNTIFS($B$5:$B$57,B39,$D$5:$D$57,"&lt;&gt;")=0,"",SUMIF($B$5:$B$57,B39,$L$5:$L$57))</x:f>
        <x:v>223.1946677777778</x:v>
      </x:c>
      <x:c r="N39" s="48" t="n">
        <x:f>IFERROR(INDEX('01_МЕНЮ'!$G$5:$G$35,MATCH(B39,'01_МЕНЮ'!$A$5:$A$35,0)),"")</x:f>
        <x:v>550</x:v>
      </x:c>
      <x:c r="O39" s="51" t="n">
        <x:f>IF(OR(M39="",N39=""),"",M39/N39)</x:f>
        <x:v>0.4058084868686869</x:v>
      </x:c>
      <x:c r="P39" s="36" t="str">
        <x:f>IF(D39="","",IFERROR(INDEX('04_СЫРЬЁ_И_ЦЕНЫ'!$G$5:$G$15,MATCH(D39,'04_СЫРЬЁ_И_ЦЕНЫ'!$A$5:$A$15,0))&amp;" / "&amp;TEXT(INDEX('04_СЫРЬЁ_И_ЦЕНЫ'!$I$5:$I$15,MATCH(D39,'04_СЫРЬЁ_И_ЦЕНЫ'!$A$5:$A$15,0)),"yyyy-mm-dd"),""))</x:f>
        <x:v>Лента / Вкуснотеево / 2026-07-27</x:v>
      </x:c>
      <x:c r="Q39" s="36" t="str">
        <x:v>DRAFT</x:v>
      </x:c>
      <x:c r="R39" s="37" t="str">
        <x:v>Основное блюдо</x:v>
      </x:c>
    </x:row>
    <x:row r="40">
      <x:c r="A40" s="35" t="str">
        <x:v>VKC-027</x:v>
      </x:c>
      <x:c r="B40" s="36" t="str">
        <x:v>VKM-027</x:v>
      </x:c>
      <x:c r="C40" s="36" t="str">
        <x:v>Омлет, круассан и сыр двух видов</x:v>
      </x:c>
      <x:c r="D40" s="36" t="str">
        <x:v>P-SALT</x:v>
      </x:c>
      <x:c r="E40" s="36" t="str">
        <x:v>Соль</x:v>
      </x:c>
      <x:c r="F40" s="36" t="str">
        <x:v>г</x:v>
      </x:c>
      <x:c r="G40" s="48" t="n">
        <x:v>1</x:v>
      </x:c>
      <x:c r="H40" s="48" t="n">
        <x:v>1</x:v>
      </x:c>
      <x:c r="I40" s="48" t="n">
        <x:f>IF(OR(G40="",H40="",F40="шт."),"",G40-H40)</x:f>
        <x:v>0</x:v>
      </x:c>
      <x:c r="J40" s="48" t="n">
        <x:v>1</x:v>
      </x:c>
      <x:c r="K40" s="48" t="n">
        <x:f>IF(D40="","",IFERROR(INDEX('04_СЫРЬЁ_И_ЦЕНЫ'!$F$5:$F$15,MATCH(D40,'04_СЫРЬЁ_И_ЦЕНЫ'!$A$5:$A$15,0)),""))</x:f>
        <x:v>42.99</x:v>
      </x:c>
      <x:c r="L40" s="48" t="n">
        <x:f>IF(OR(G40="",K40=""),"",IF(OR(F40="г",F40="мл"),G40/1000*K40,G40*K40))</x:f>
        <x:v>0.04299</x:v>
      </x:c>
      <x:c r="M40" s="48" t="n">
        <x:f>IF(COUNTIFS($B$5:$B$57,B40,$D$5:$D$57,"&lt;&gt;")=0,"",SUMIF($B$5:$B$57,B40,$L$5:$L$57))</x:f>
        <x:v>223.1946677777778</x:v>
      </x:c>
      <x:c r="N40" s="48" t="n">
        <x:f>IFERROR(INDEX('01_МЕНЮ'!$G$5:$G$35,MATCH(B40,'01_МЕНЮ'!$A$5:$A$35,0)),"")</x:f>
        <x:v>550</x:v>
      </x:c>
      <x:c r="O40" s="51" t="n">
        <x:f>IF(OR(M40="",N40=""),"",M40/N40)</x:f>
        <x:v>0.4058084868686869</x:v>
      </x:c>
      <x:c r="P40" s="36" t="str">
        <x:f>IF(D40="","",IFERROR(INDEX('04_СЫРЬЁ_И_ЦЕНЫ'!$G$5:$G$15,MATCH(D40,'04_СЫРЬЁ_И_ЦЕНЫ'!$A$5:$A$15,0))&amp;" / "&amp;TEXT(INDEX('04_СЫРЬЁ_И_ЦЕНЫ'!$I$5:$I$15,MATCH(D40,'04_СЫРЬЁ_И_ЦЕНЫ'!$A$5:$A$15,0)),"yyyy-mm-dd"),""))</x:f>
        <x:v>Лента / Усольская / 2026-07-27</x:v>
      </x:c>
      <x:c r="Q40" s="36" t="str">
        <x:v>DRAFT</x:v>
      </x:c>
      <x:c r="R40" s="37" t="str">
        <x:v>Основное блюдо</x:v>
      </x:c>
    </x:row>
    <x:row r="41">
      <x:c r="A41" s="35" t="str">
        <x:v>VKC-027</x:v>
      </x:c>
      <x:c r="B41" s="36" t="str">
        <x:v>VKM-027</x:v>
      </x:c>
      <x:c r="C41" s="36" t="str">
        <x:v>Омлет, круассан и сыр двух видов</x:v>
      </x:c>
      <x:c r="D41" s="36" t="str">
        <x:v>P-CROISSANT-80</x:v>
      </x:c>
      <x:c r="E41" s="36" t="str">
        <x:v>Круассан замороженный без начинки 80 г</x:v>
      </x:c>
      <x:c r="F41" s="36" t="str">
        <x:v>шт.</x:v>
      </x:c>
      <x:c r="G41" s="48" t="n">
        <x:v>1</x:v>
      </x:c>
      <x:c r="H41" s="48" t="n">
        <x:v>80</x:v>
      </x:c>
      <x:c r="I41" s="48" t="str">
        <x:f>IF(OR(G41="",H41="",F41="шт."),"",G41-H41)</x:f>
      </x:c>
      <x:c r="J41" s="48" t="n">
        <x:v>65</x:v>
      </x:c>
      <x:c r="K41" s="48" t="n">
        <x:f>IF(D41="","",IFERROR(INDEX('04_СЫРЬЁ_И_ЦЕНЫ'!$F$5:$F$15,MATCH(D41,'04_СЫРЬЁ_И_ЦЕНЫ'!$A$5:$A$15,0)),""))</x:f>
        <x:v>33.888</x:v>
      </x:c>
      <x:c r="L41" s="48" t="n">
        <x:f>IF(OR(G41="",K41=""),"",IF(OR(F41="г",F41="мл"),G41/1000*K41,G41*K41))</x:f>
        <x:v>33.888</x:v>
      </x:c>
      <x:c r="M41" s="48" t="n">
        <x:f>IF(COUNTIFS($B$5:$B$57,B41,$D$5:$D$57,"&lt;&gt;")=0,"",SUMIF($B$5:$B$57,B41,$L$5:$L$57))</x:f>
        <x:v>223.1946677777778</x:v>
      </x:c>
      <x:c r="N41" s="48" t="n">
        <x:f>IFERROR(INDEX('01_МЕНЮ'!$G$5:$G$35,MATCH(B41,'01_МЕНЮ'!$A$5:$A$35,0)),"")</x:f>
        <x:v>550</x:v>
      </x:c>
      <x:c r="O41" s="51" t="n">
        <x:f>IF(OR(M41="",N41=""),"",M41/N41)</x:f>
        <x:v>0.4058084868686869</x:v>
      </x:c>
      <x:c r="P41" s="36" t="str">
        <x:f>IF(D41="","",IFERROR(INDEX('04_СЫРЬЁ_И_ЦЕНЫ'!$G$5:$G$15,MATCH(D41,'04_СЫРЬЁ_И_ЦЕНЫ'!$A$5:$A$15,0))&amp;" / "&amp;TEXT(INDEX('04_СЫРЬЁ_И_ЦЕНЫ'!$I$5:$I$15,MATCH(D41,'04_СЫРЬЁ_И_ЦЕНЫ'!$A$5:$A$15,0)),"yyyy-mm-dd"),""))</x:f>
        <x:v>Supl.biz / 2026-07-27</x:v>
      </x:c>
      <x:c r="Q41" s="36" t="str">
        <x:v>DRAFT</x:v>
      </x:c>
      <x:c r="R41" s="37" t="str">
        <x:v>Общий компонент</x:v>
      </x:c>
    </x:row>
    <x:row r="42">
      <x:c r="A42" s="35" t="str">
        <x:v>VKC-027</x:v>
      </x:c>
      <x:c r="B42" s="36" t="str">
        <x:v>VKM-027</x:v>
      </x:c>
      <x:c r="C42" s="36" t="str">
        <x:v>Омлет, круассан и сыр двух видов</x:v>
      </x:c>
      <x:c r="D42" s="36" t="str">
        <x:v>P-CHEDDAR</x:v>
      </x:c>
      <x:c r="E42" s="36" t="str">
        <x:v>Чеддер, порционный ломтик</x:v>
      </x:c>
      <x:c r="F42" s="36" t="str">
        <x:v>г</x:v>
      </x:c>
      <x:c r="G42" s="48" t="n">
        <x:v>20</x:v>
      </x:c>
      <x:c r="H42" s="48" t="n">
        <x:v>20</x:v>
      </x:c>
      <x:c r="I42" s="48" t="n">
        <x:f>IF(OR(G42="",H42="",F42="шт."),"",G42-H42)</x:f>
        <x:v>0</x:v>
      </x:c>
      <x:c r="J42" s="48" t="n">
        <x:v>20</x:v>
      </x:c>
      <x:c r="K42" s="48" t="n">
        <x:f>IF(D42="","",IFERROR(INDEX('04_СЫРЬЁ_И_ЦЕНЫ'!$F$5:$F$15,MATCH(D42,'04_СЫРЬЁ_И_ЦЕНЫ'!$A$5:$A$15,0)),""))</x:f>
        <x:v>1399.92</x:v>
      </x:c>
      <x:c r="L42" s="48" t="n">
        <x:f>IF(OR(G42="",K42=""),"",IF(OR(F42="г",F42="мл"),G42/1000*K42,G42*K42))</x:f>
        <x:v>27.998400000000004</x:v>
      </x:c>
      <x:c r="M42" s="48" t="n">
        <x:f>IF(COUNTIFS($B$5:$B$57,B42,$D$5:$D$57,"&lt;&gt;")=0,"",SUMIF($B$5:$B$57,B42,$L$5:$L$57))</x:f>
        <x:v>223.1946677777778</x:v>
      </x:c>
      <x:c r="N42" s="48" t="n">
        <x:f>IFERROR(INDEX('01_МЕНЮ'!$G$5:$G$35,MATCH(B42,'01_МЕНЮ'!$A$5:$A$35,0)),"")</x:f>
        <x:v>550</x:v>
      </x:c>
      <x:c r="O42" s="51" t="n">
        <x:f>IF(OR(M42="",N42=""),"",M42/N42)</x:f>
        <x:v>0.4058084868686869</x:v>
      </x:c>
      <x:c r="P42" s="36" t="str">
        <x:f>IF(D42="","",IFERROR(INDEX('04_СЫРЬЁ_И_ЦЕНЫ'!$G$5:$G$15,MATCH(D42,'04_СЫРЬЁ_И_ЦЕНЫ'!$A$5:$A$15,0))&amp;" / "&amp;TEXT(INDEX('04_СЫРЬЁ_И_ЦЕНЫ'!$I$5:$I$15,MATCH(D42,'04_СЫРЬЁ_И_ЦЕНЫ'!$A$5:$A$15,0)),"yyyy-mm-dd"),""))</x:f>
        <x:v>Лента / Schonfeld / 2026-07-27</x:v>
      </x:c>
      <x:c r="Q42" s="36" t="str">
        <x:v>DRAFT</x:v>
      </x:c>
      <x:c r="R42" s="37" t="str">
        <x:v>Общий компонент</x:v>
      </x:c>
    </x:row>
    <x:row r="43">
      <x:c r="A43" s="35" t="str">
        <x:v>VKC-027</x:v>
      </x:c>
      <x:c r="B43" s="36" t="str">
        <x:v>VKM-027</x:v>
      </x:c>
      <x:c r="C43" s="36" t="str">
        <x:v>Омлет, круассан и сыр двух видов</x:v>
      </x:c>
      <x:c r="D43" s="36" t="str">
        <x:v>P-FONTINA</x:v>
      </x:c>
      <x:c r="E43" s="36" t="str">
        <x:v>Fontina DOP / Fontal</x:v>
      </x:c>
      <x:c r="F43" s="36" t="str">
        <x:v>г</x:v>
      </x:c>
      <x:c r="G43" s="48" t="n">
        <x:v>21</x:v>
      </x:c>
      <x:c r="H43" s="48" t="n">
        <x:v>20</x:v>
      </x:c>
      <x:c r="I43" s="48" t="n">
        <x:f>IF(OR(G43="",H43="",F43="шт."),"",G43-H43)</x:f>
        <x:v>1</x:v>
      </x:c>
      <x:c r="J43" s="48" t="n">
        <x:v>20</x:v>
      </x:c>
      <x:c r="K43" s="48" t="n">
        <x:f>IF(D43="","",IFERROR(INDEX('04_СЫРЬЁ_И_ЦЕНЫ'!$F$5:$F$15,MATCH(D43,'04_СЫРЬЁ_И_ЦЕНЫ'!$A$5:$A$15,0)),""))</x:f>
        <x:v>1800</x:v>
      </x:c>
      <x:c r="L43" s="48" t="n">
        <x:f>IF(OR(G43="",K43=""),"",IF(OR(F43="г",F43="мл"),G43/1000*K43,G43*K43))</x:f>
        <x:v>37.800000000000004</x:v>
      </x:c>
      <x:c r="M43" s="48" t="n">
        <x:f>IF(COUNTIFS($B$5:$B$57,B43,$D$5:$D$57,"&lt;&gt;")=0,"",SUMIF($B$5:$B$57,B43,$L$5:$L$57))</x:f>
        <x:v>223.1946677777778</x:v>
      </x:c>
      <x:c r="N43" s="48" t="n">
        <x:f>IFERROR(INDEX('01_МЕНЮ'!$G$5:$G$35,MATCH(B43,'01_МЕНЮ'!$A$5:$A$35,0)),"")</x:f>
        <x:v>550</x:v>
      </x:c>
      <x:c r="O43" s="51" t="n">
        <x:f>IF(OR(M43="",N43=""),"",M43/N43)</x:f>
        <x:v>0.4058084868686869</x:v>
      </x:c>
      <x:c r="P43" s="36" t="str">
        <x:f>IF(D43="","",IFERROR(INDEX('04_СЫРЬЁ_И_ЦЕНЫ'!$G$5:$G$15,MATCH(D43,'04_СЫРЬЁ_И_ЦЕНЫ'!$A$5:$A$15,0))&amp;" / "&amp;TEXT(INDEX('04_СЫРЬЁ_И_ЦЕНЫ'!$I$5:$I$15,MATCH(D43,'04_СЫРЬЁ_И_ЦЕНЫ'!$A$5:$A$15,0)),"yyyy-mm-dd"),""))</x:f>
        <x:v>Поставщик не выбран / 2026-07-27</x:v>
      </x:c>
      <x:c r="Q43" s="36" t="str">
        <x:v>ASSUMPTION</x:v>
      </x:c>
      <x:c r="R43" s="37" t="str">
        <x:v>Общий компонент</x:v>
      </x:c>
    </x:row>
    <x:row r="44">
      <x:c r="A44" s="35" t="str">
        <x:v>VKC-027</x:v>
      </x:c>
      <x:c r="B44" s="36" t="str">
        <x:v>VKM-027</x:v>
      </x:c>
      <x:c r="C44" s="36" t="str">
        <x:v>Омлет, круассан и сыр двух видов</x:v>
      </x:c>
      <x:c r="D44" s="36" t="str">
        <x:v>P-DRINK</x:v>
      </x:c>
      <x:c r="E44" s="36" t="str">
        <x:v>Напиток бариста 200 мл</x:v>
      </x:c>
      <x:c r="F44" s="36" t="str">
        <x:v>шт.</x:v>
      </x:c>
      <x:c r="G44" s="48" t="n">
        <x:v>1</x:v>
      </x:c>
      <x:c r="H44" s="48" t="n">
        <x:v>1</x:v>
      </x:c>
      <x:c r="I44" s="48" t="str">
        <x:f>IF(OR(G44="",H44="",F44="шт."),"",G44-H44)</x:f>
      </x:c>
      <x:c r="J44" s="48"/>
      <x:c r="K44" s="48" t="n">
        <x:f>IF(D44="","",IFERROR(INDEX('04_СЫРЬЁ_И_ЦЕНЫ'!$F$5:$F$15,MATCH(D44,'04_СЫРЬЁ_И_ЦЕНЫ'!$A$5:$A$15,0)),""))</x:f>
        <x:v>60</x:v>
      </x:c>
      <x:c r="L44" s="48" t="n">
        <x:f>IF(OR(G44="",K44=""),"",IF(OR(F44="г",F44="мл"),G44/1000*K44,G44*K44))</x:f>
        <x:v>60</x:v>
      </x:c>
      <x:c r="M44" s="48" t="n">
        <x:f>IF(COUNTIFS($B$5:$B$57,B44,$D$5:$D$57,"&lt;&gt;")=0,"",SUMIF($B$5:$B$57,B44,$L$5:$L$57))</x:f>
        <x:v>223.1946677777778</x:v>
      </x:c>
      <x:c r="N44" s="48" t="n">
        <x:f>IFERROR(INDEX('01_МЕНЮ'!$G$5:$G$35,MATCH(B44,'01_МЕНЮ'!$A$5:$A$35,0)),"")</x:f>
        <x:v>550</x:v>
      </x:c>
      <x:c r="O44" s="51" t="n">
        <x:f>IF(OR(M44="",N44=""),"",M44/N44)</x:f>
        <x:v>0.4058084868686869</x:v>
      </x:c>
      <x:c r="P44" s="36" t="str">
        <x:f>IF(D44="","",IFERROR(INDEX('04_СЫРЬЁ_И_ЦЕНЫ'!$G$5:$G$15,MATCH(D44,'04_СЫРЬЁ_И_ЦЕНЫ'!$A$5:$A$15,0))&amp;" / "&amp;TEXT(INDEX('04_СЫРЬЁ_И_ЦЕНЫ'!$I$5:$I$15,MATCH(D44,'04_СЫРЬЁ_И_ЦЕНЫ'!$A$5:$A$15,0)),"yyyy-mm-dd"),""))</x:f>
        <x:v>VARSHAVKA / Бар / 2026-07-27</x:v>
      </x:c>
      <x:c r="Q44" s="36" t="str">
        <x:v>DRAFT</x:v>
      </x:c>
      <x:c r="R44" s="37" t="str">
        <x:v>Напиток; не входит в массу пищевой части</x:v>
      </x:c>
    </x:row>
    <x:row r="45">
      <x:c r="A45" s="35" t="str">
        <x:v>VKC-028</x:v>
      </x:c>
      <x:c r="B45" s="36" t="str">
        <x:v>VKM-028</x:v>
      </x:c>
      <x:c r="C45" s="36" t="str">
        <x:v>Овсяная каша, круассан и сыр двух видов</x:v>
      </x:c>
      <x:c r="D45" s="36" t="str">
        <x:v>P-OATS</x:v>
      </x:c>
      <x:c r="E45" s="36" t="str">
        <x:v>Овсяные хлопья длительной варки</x:v>
      </x:c>
      <x:c r="F45" s="36" t="str">
        <x:v>г</x:v>
      </x:c>
      <x:c r="G45" s="48" t="n">
        <x:v>45</x:v>
      </x:c>
      <x:c r="H45" s="48" t="n">
        <x:v>45</x:v>
      </x:c>
      <x:c r="I45" s="48" t="n">
        <x:f>IF(OR(G45="",H45="",F45="шт."),"",G45-H45)</x:f>
        <x:v>0</x:v>
      </x:c>
      <x:c r="J45" s="48" t="n">
        <x:v>45</x:v>
      </x:c>
      <x:c r="K45" s="48" t="n">
        <x:f>IF(D45="","",IFERROR(INDEX('04_СЫРЬЁ_И_ЦЕНЫ'!$F$5:$F$15,MATCH(D45,'04_СЫРЬЁ_И_ЦЕНЫ'!$A$5:$A$15,0)),""))</x:f>
        <x:v>209.98</x:v>
      </x:c>
      <x:c r="L45" s="48" t="n">
        <x:f>IF(OR(G45="",K45=""),"",IF(OR(F45="г",F45="мл"),G45/1000*K45,G45*K45))</x:f>
        <x:v>9.4491</x:v>
      </x:c>
      <x:c r="M45" s="48" t="n">
        <x:f>IF(COUNTIFS($B$5:$B$57,B45,$D$5:$D$57,"&lt;&gt;")=0,"",SUMIF($B$5:$B$57,B45,$L$5:$L$57))</x:f>
        <x:v>193.4837177777778</x:v>
      </x:c>
      <x:c r="N45" s="48" t="n">
        <x:f>IFERROR(INDEX('01_МЕНЮ'!$G$5:$G$35,MATCH(B45,'01_МЕНЮ'!$A$5:$A$35,0)),"")</x:f>
        <x:v>550</x:v>
      </x:c>
      <x:c r="O45" s="51" t="n">
        <x:f>IF(OR(M45="",N45=""),"",M45/N45)</x:f>
        <x:v>0.35178857777777783</x:v>
      </x:c>
      <x:c r="P45" s="36" t="str">
        <x:f>IF(D45="","",IFERROR(INDEX('04_СЫРЬЁ_И_ЦЕНЫ'!$G$5:$G$15,MATCH(D45,'04_СЫРЬЁ_И_ЦЕНЫ'!$A$5:$A$15,0))&amp;" / "&amp;TEXT(INDEX('04_СЫРЬЁ_И_ЦЕНЫ'!$I$5:$I$15,MATCH(D45,'04_СЫРЬЁ_И_ЦЕНЫ'!$A$5:$A$15,0)),"yyyy-mm-dd"),""))</x:f>
        <x:v>Лента / Клинские / 2026-07-27</x:v>
      </x:c>
      <x:c r="Q45" s="36" t="str">
        <x:v>DRAFT</x:v>
      </x:c>
      <x:c r="R45" s="37" t="str">
        <x:v>Основное блюдо</x:v>
      </x:c>
    </x:row>
    <x:row r="46">
      <x:c r="A46" s="35" t="str">
        <x:v>VKC-028</x:v>
      </x:c>
      <x:c r="B46" s="36" t="str">
        <x:v>VKM-028</x:v>
      </x:c>
      <x:c r="C46" s="36" t="str">
        <x:v>Овсяная каша, круассан и сыр двух видов</x:v>
      </x:c>
      <x:c r="D46" s="36" t="str">
        <x:v>P-MILK-DS</x:v>
      </x:c>
      <x:c r="E46" s="36" t="str">
        <x:v>Молоко «Деловой Стандарт Select» 3,2%</x:v>
      </x:c>
      <x:c r="F46" s="36" t="str">
        <x:v>мл</x:v>
      </x:c>
      <x:c r="G46" s="48" t="n">
        <x:v>125</x:v>
      </x:c>
      <x:c r="H46" s="48" t="n">
        <x:v>125</x:v>
      </x:c>
      <x:c r="I46" s="48" t="n">
        <x:f>IF(OR(G46="",H46="",F46="шт."),"",G46-H46)</x:f>
        <x:v>0</x:v>
      </x:c>
      <x:c r="J46" s="48" t="n">
        <x:v>108</x:v>
      </x:c>
      <x:c r="K46" s="48" t="n">
        <x:f>IF(D46="","",IFERROR(INDEX('04_СЫРЬЁ_И_ЦЕНЫ'!$F$5:$F$15,MATCH(D46,'04_СЫРЬЁ_И_ЦЕНЫ'!$A$5:$A$15,0)),""))</x:f>
        <x:v>146</x:v>
      </x:c>
      <x:c r="L46" s="48" t="n">
        <x:f>IF(OR(G46="",K46=""),"",IF(OR(F46="г",F46="мл"),G46/1000*K46,G46*K46))</x:f>
        <x:v>18.25</x:v>
      </x:c>
      <x:c r="M46" s="48" t="n">
        <x:f>IF(COUNTIFS($B$5:$B$57,B46,$D$5:$D$57,"&lt;&gt;")=0,"",SUMIF($B$5:$B$57,B46,$L$5:$L$57))</x:f>
        <x:v>193.4837177777778</x:v>
      </x:c>
      <x:c r="N46" s="48" t="n">
        <x:f>IFERROR(INDEX('01_МЕНЮ'!$G$5:$G$35,MATCH(B46,'01_МЕНЮ'!$A$5:$A$35,0)),"")</x:f>
        <x:v>550</x:v>
      </x:c>
      <x:c r="O46" s="51" t="n">
        <x:f>IF(OR(M46="",N46=""),"",M46/N46)</x:f>
        <x:v>0.35178857777777783</x:v>
      </x:c>
      <x:c r="P46" s="36" t="str">
        <x:f>IF(D46="","",IFERROR(INDEX('04_СЫРЬЁ_И_ЦЕНЫ'!$G$5:$G$15,MATCH(D46,'04_СЫРЬЁ_И_ЦЕНЫ'!$A$5:$A$15,0))&amp;" / "&amp;TEXT(INDEX('04_СЫРЬЁ_И_ЦЕНЫ'!$I$5:$I$15,MATCH(D46,'04_СЫРЬЁ_И_ЦЕНЫ'!$A$5:$A$15,0)),"yyyy-mm-dd"),""))</x:f>
        <x:v>Pragmatic / 2026-07-27</x:v>
      </x:c>
      <x:c r="Q46" s="36" t="str">
        <x:v>DRAFT</x:v>
      </x:c>
      <x:c r="R46" s="37" t="str">
        <x:v>Основное блюдо</x:v>
      </x:c>
    </x:row>
    <x:row r="47">
      <x:c r="A47" s="35" t="str">
        <x:v>VKC-028</x:v>
      </x:c>
      <x:c r="B47" s="36" t="str">
        <x:v>VKM-028</x:v>
      </x:c>
      <x:c r="C47" s="36" t="str">
        <x:v>Овсяная каша, круассан и сыр двух видов</x:v>
      </x:c>
      <x:c r="D47" s="36"/>
      <x:c r="E47" s="36" t="str">
        <x:v>Вода питьевая</x:v>
      </x:c>
      <x:c r="F47" s="36" t="str">
        <x:v>г</x:v>
      </x:c>
      <x:c r="G47" s="48" t="n">
        <x:v>100</x:v>
      </x:c>
      <x:c r="H47" s="48" t="n">
        <x:v>100</x:v>
      </x:c>
      <x:c r="I47" s="48" t="n">
        <x:f>IF(OR(G47="",H47="",F47="шт."),"",G47-H47)</x:f>
        <x:v>0</x:v>
      </x:c>
      <x:c r="J47" s="48" t="n">
        <x:v>86</x:v>
      </x:c>
      <x:c r="K47" s="48" t="str">
        <x:f>IF(D47="","",IFERROR(INDEX('04_СЫРЬЁ_И_ЦЕНЫ'!$F$5:$F$15,MATCH(D47,'04_СЫРЬЁ_И_ЦЕНЫ'!$A$5:$A$15,0)),""))</x:f>
      </x:c>
      <x:c r="L47" s="48" t="str">
        <x:f>IF(OR(G47="",K47=""),"",IF(OR(F47="г",F47="мл"),G47/1000*K47,G47*K47))</x:f>
      </x:c>
      <x:c r="M47" s="48" t="n">
        <x:f>IF(COUNTIFS($B$5:$B$57,B47,$D$5:$D$57,"&lt;&gt;")=0,"",SUMIF($B$5:$B$57,B47,$L$5:$L$57))</x:f>
        <x:v>193.4837177777778</x:v>
      </x:c>
      <x:c r="N47" s="48" t="n">
        <x:f>IFERROR(INDEX('01_МЕНЮ'!$G$5:$G$35,MATCH(B47,'01_МЕНЮ'!$A$5:$A$35,0)),"")</x:f>
        <x:v>550</x:v>
      </x:c>
      <x:c r="O47" s="51" t="n">
        <x:f>IF(OR(M47="",N47=""),"",M47/N47)</x:f>
        <x:v>0.35178857777777783</x:v>
      </x:c>
      <x:c r="P47" s="36" t="str">
        <x:f>IF(D47="","",IFERROR(INDEX('04_СЫРЬЁ_И_ЦЕНЫ'!$G$5:$G$15,MATCH(D47,'04_СЫРЬЁ_И_ЦЕНЫ'!$A$5:$A$15,0))&amp;" / "&amp;TEXT(INDEX('04_СЫРЬЁ_И_ЦЕНЫ'!$I$5:$I$15,MATCH(D47,'04_СЫРЬЁ_И_ЦЕНЫ'!$A$5:$A$15,0)),"yyyy-mm-dd"),""))</x:f>
      </x:c>
      <x:c r="Q47" s="36" t="str">
        <x:v>DRAFT</x:v>
      </x:c>
      <x:c r="R47" s="37" t="str">
        <x:v>Основное блюдо; стоимость относится к OPEX</x:v>
      </x:c>
    </x:row>
    <x:row r="48">
      <x:c r="A48" s="35" t="str">
        <x:v>VKC-028</x:v>
      </x:c>
      <x:c r="B48" s="36" t="str">
        <x:v>VKM-028</x:v>
      </x:c>
      <x:c r="C48" s="36" t="str">
        <x:v>Овсяная каша, круассан и сыр двух видов</x:v>
      </x:c>
      <x:c r="D48" s="36" t="str">
        <x:v>P-SUGAR</x:v>
      </x:c>
      <x:c r="E48" s="36" t="str">
        <x:v>Сахар</x:v>
      </x:c>
      <x:c r="F48" s="36" t="str">
        <x:v>г</x:v>
      </x:c>
      <x:c r="G48" s="48" t="n">
        <x:v>5</x:v>
      </x:c>
      <x:c r="H48" s="48" t="n">
        <x:v>5</x:v>
      </x:c>
      <x:c r="I48" s="48" t="n">
        <x:f>IF(OR(G48="",H48="",F48="шт."),"",G48-H48)</x:f>
        <x:v>0</x:v>
      </x:c>
      <x:c r="J48" s="48" t="n">
        <x:v>5</x:v>
      </x:c>
      <x:c r="K48" s="48" t="n">
        <x:f>IF(D48="","",IFERROR(INDEX('04_СЫРЬЁ_И_ЦЕНЫ'!$F$5:$F$15,MATCH(D48,'04_СЫРЬЁ_И_ЦЕНЫ'!$A$5:$A$15,0)),""))</x:f>
        <x:v>99.99</x:v>
      </x:c>
      <x:c r="L48" s="48" t="n">
        <x:f>IF(OR(G48="",K48=""),"",IF(OR(F48="г",F48="мл"),G48/1000*K48,G48*K48))</x:f>
        <x:v>0.49995</x:v>
      </x:c>
      <x:c r="M48" s="48" t="n">
        <x:f>IF(COUNTIFS($B$5:$B$57,B48,$D$5:$D$57,"&lt;&gt;")=0,"",SUMIF($B$5:$B$57,B48,$L$5:$L$57))</x:f>
        <x:v>193.4837177777778</x:v>
      </x:c>
      <x:c r="N48" s="48" t="n">
        <x:f>IFERROR(INDEX('01_МЕНЮ'!$G$5:$G$35,MATCH(B48,'01_МЕНЮ'!$A$5:$A$35,0)),"")</x:f>
        <x:v>550</x:v>
      </x:c>
      <x:c r="O48" s="51" t="n">
        <x:f>IF(OR(M48="",N48=""),"",M48/N48)</x:f>
        <x:v>0.35178857777777783</x:v>
      </x:c>
      <x:c r="P48" s="36" t="str">
        <x:f>IF(D48="","",IFERROR(INDEX('04_СЫРЬЁ_И_ЦЕНЫ'!$G$5:$G$15,MATCH(D48,'04_СЫРЬЁ_И_ЦЕНЫ'!$A$5:$A$15,0))&amp;" / "&amp;TEXT(INDEX('04_СЫРЬЁ_И_ЦЕНЫ'!$I$5:$I$15,MATCH(D48,'04_СЫРЬЁ_И_ЦЕНЫ'!$A$5:$A$15,0)),"yyyy-mm-dd"),""))</x:f>
        <x:v>Лента / 2026-07-27</x:v>
      </x:c>
      <x:c r="Q48" s="36" t="str">
        <x:v>DRAFT</x:v>
      </x:c>
      <x:c r="R48" s="37" t="str">
        <x:v>Основное блюдо</x:v>
      </x:c>
    </x:row>
    <x:row r="49">
      <x:c r="A49" s="35" t="str">
        <x:v>VKC-028</x:v>
      </x:c>
      <x:c r="B49" s="36" t="str">
        <x:v>VKM-028</x:v>
      </x:c>
      <x:c r="C49" s="36" t="str">
        <x:v>Овсяная каша, круассан и сыр двух видов</x:v>
      </x:c>
      <x:c r="D49" s="36" t="str">
        <x:v>P-BUTTER</x:v>
      </x:c>
      <x:c r="E49" s="36" t="str">
        <x:v>Масло сливочное 82,5%</x:v>
      </x:c>
      <x:c r="F49" s="36" t="str">
        <x:v>г</x:v>
      </x:c>
      <x:c r="G49" s="48" t="n">
        <x:v>5</x:v>
      </x:c>
      <x:c r="H49" s="48" t="n">
        <x:v>5</x:v>
      </x:c>
      <x:c r="I49" s="48" t="n">
        <x:f>IF(OR(G49="",H49="",F49="шт."),"",G49-H49)</x:f>
        <x:v>0</x:v>
      </x:c>
      <x:c r="J49" s="48" t="n">
        <x:v>5</x:v>
      </x:c>
      <x:c r="K49" s="48" t="n">
        <x:f>IF(D49="","",IFERROR(INDEX('04_СЫРЬЁ_И_ЦЕНЫ'!$F$5:$F$15,MATCH(D49,'04_СЫРЬЁ_И_ЦЕНЫ'!$A$5:$A$15,0)),""))</x:f>
        <x:v>1111.0555555555557</x:v>
      </x:c>
      <x:c r="L49" s="48" t="n">
        <x:f>IF(OR(G49="",K49=""),"",IF(OR(F49="г",F49="мл"),G49/1000*K49,G49*K49))</x:f>
        <x:v>5.555277777777778</x:v>
      </x:c>
      <x:c r="M49" s="48" t="n">
        <x:f>IF(COUNTIFS($B$5:$B$57,B49,$D$5:$D$57,"&lt;&gt;")=0,"",SUMIF($B$5:$B$57,B49,$L$5:$L$57))</x:f>
        <x:v>193.4837177777778</x:v>
      </x:c>
      <x:c r="N49" s="48" t="n">
        <x:f>IFERROR(INDEX('01_МЕНЮ'!$G$5:$G$35,MATCH(B49,'01_МЕНЮ'!$A$5:$A$35,0)),"")</x:f>
        <x:v>550</x:v>
      </x:c>
      <x:c r="O49" s="51" t="n">
        <x:f>IF(OR(M49="",N49=""),"",M49/N49)</x:f>
        <x:v>0.35178857777777783</x:v>
      </x:c>
      <x:c r="P49" s="36" t="str">
        <x:f>IF(D49="","",IFERROR(INDEX('04_СЫРЬЁ_И_ЦЕНЫ'!$G$5:$G$15,MATCH(D49,'04_СЫРЬЁ_И_ЦЕНЫ'!$A$5:$A$15,0))&amp;" / "&amp;TEXT(INDEX('04_СЫРЬЁ_И_ЦЕНЫ'!$I$5:$I$15,MATCH(D49,'04_СЫРЬЁ_И_ЦЕНЫ'!$A$5:$A$15,0)),"yyyy-mm-dd"),""))</x:f>
        <x:v>Лента / Вкуснотеево / 2026-07-27</x:v>
      </x:c>
      <x:c r="Q49" s="36" t="str">
        <x:v>DRAFT</x:v>
      </x:c>
      <x:c r="R49" s="37" t="str">
        <x:v>Основное блюдо</x:v>
      </x:c>
    </x:row>
    <x:row r="50">
      <x:c r="A50" s="35" t="str">
        <x:v>VKC-028</x:v>
      </x:c>
      <x:c r="B50" s="36" t="str">
        <x:v>VKM-028</x:v>
      </x:c>
      <x:c r="C50" s="36" t="str">
        <x:v>Овсяная каша, круассан и сыр двух видов</x:v>
      </x:c>
      <x:c r="D50" s="36" t="str">
        <x:v>P-SALT</x:v>
      </x:c>
      <x:c r="E50" s="36" t="str">
        <x:v>Соль</x:v>
      </x:c>
      <x:c r="F50" s="36" t="str">
        <x:v>г</x:v>
      </x:c>
      <x:c r="G50" s="48" t="n">
        <x:v>1</x:v>
      </x:c>
      <x:c r="H50" s="48" t="n">
        <x:v>1</x:v>
      </x:c>
      <x:c r="I50" s="48" t="n">
        <x:f>IF(OR(G50="",H50="",F50="шт."),"",G50-H50)</x:f>
        <x:v>0</x:v>
      </x:c>
      <x:c r="J50" s="48" t="n">
        <x:v>1</x:v>
      </x:c>
      <x:c r="K50" s="48" t="n">
        <x:f>IF(D50="","",IFERROR(INDEX('04_СЫРЬЁ_И_ЦЕНЫ'!$F$5:$F$15,MATCH(D50,'04_СЫРЬЁ_И_ЦЕНЫ'!$A$5:$A$15,0)),""))</x:f>
        <x:v>42.99</x:v>
      </x:c>
      <x:c r="L50" s="48" t="n">
        <x:f>IF(OR(G50="",K50=""),"",IF(OR(F50="г",F50="мл"),G50/1000*K50,G50*K50))</x:f>
        <x:v>0.04299</x:v>
      </x:c>
      <x:c r="M50" s="48" t="n">
        <x:f>IF(COUNTIFS($B$5:$B$57,B50,$D$5:$D$57,"&lt;&gt;")=0,"",SUMIF($B$5:$B$57,B50,$L$5:$L$57))</x:f>
        <x:v>193.4837177777778</x:v>
      </x:c>
      <x:c r="N50" s="48" t="n">
        <x:f>IFERROR(INDEX('01_МЕНЮ'!$G$5:$G$35,MATCH(B50,'01_МЕНЮ'!$A$5:$A$35,0)),"")</x:f>
        <x:v>550</x:v>
      </x:c>
      <x:c r="O50" s="51" t="n">
        <x:f>IF(OR(M50="",N50=""),"",M50/N50)</x:f>
        <x:v>0.35178857777777783</x:v>
      </x:c>
      <x:c r="P50" s="36" t="str">
        <x:f>IF(D50="","",IFERROR(INDEX('04_СЫРЬЁ_И_ЦЕНЫ'!$G$5:$G$15,MATCH(D50,'04_СЫРЬЁ_И_ЦЕНЫ'!$A$5:$A$15,0))&amp;" / "&amp;TEXT(INDEX('04_СЫРЬЁ_И_ЦЕНЫ'!$I$5:$I$15,MATCH(D50,'04_СЫРЬЁ_И_ЦЕНЫ'!$A$5:$A$15,0)),"yyyy-mm-dd"),""))</x:f>
        <x:v>Лента / Усольская / 2026-07-27</x:v>
      </x:c>
      <x:c r="Q50" s="36" t="str">
        <x:v>DRAFT</x:v>
      </x:c>
      <x:c r="R50" s="37" t="str">
        <x:v>Основное блюдо</x:v>
      </x:c>
    </x:row>
    <x:row r="51">
      <x:c r="A51" s="35" t="str">
        <x:v>VKC-028</x:v>
      </x:c>
      <x:c r="B51" s="36" t="str">
        <x:v>VKM-028</x:v>
      </x:c>
      <x:c r="C51" s="36" t="str">
        <x:v>Овсяная каша, круассан и сыр двух видов</x:v>
      </x:c>
      <x:c r="D51" s="36" t="str">
        <x:v>P-CROISSANT-80</x:v>
      </x:c>
      <x:c r="E51" s="36" t="str">
        <x:v>Круассан замороженный без начинки 80 г</x:v>
      </x:c>
      <x:c r="F51" s="36" t="str">
        <x:v>шт.</x:v>
      </x:c>
      <x:c r="G51" s="48" t="n">
        <x:v>1</x:v>
      </x:c>
      <x:c r="H51" s="48" t="n">
        <x:v>80</x:v>
      </x:c>
      <x:c r="I51" s="48" t="str">
        <x:f>IF(OR(G51="",H51="",F51="шт."),"",G51-H51)</x:f>
      </x:c>
      <x:c r="J51" s="48" t="n">
        <x:v>65</x:v>
      </x:c>
      <x:c r="K51" s="48" t="n">
        <x:f>IF(D51="","",IFERROR(INDEX('04_СЫРЬЁ_И_ЦЕНЫ'!$F$5:$F$15,MATCH(D51,'04_СЫРЬЁ_И_ЦЕНЫ'!$A$5:$A$15,0)),""))</x:f>
        <x:v>33.888</x:v>
      </x:c>
      <x:c r="L51" s="48" t="n">
        <x:f>IF(OR(G51="",K51=""),"",IF(OR(F51="г",F51="мл"),G51/1000*K51,G51*K51))</x:f>
        <x:v>33.888</x:v>
      </x:c>
      <x:c r="M51" s="48" t="n">
        <x:f>IF(COUNTIFS($B$5:$B$57,B51,$D$5:$D$57,"&lt;&gt;")=0,"",SUMIF($B$5:$B$57,B51,$L$5:$L$57))</x:f>
        <x:v>193.4837177777778</x:v>
      </x:c>
      <x:c r="N51" s="48" t="n">
        <x:f>IFERROR(INDEX('01_МЕНЮ'!$G$5:$G$35,MATCH(B51,'01_МЕНЮ'!$A$5:$A$35,0)),"")</x:f>
        <x:v>550</x:v>
      </x:c>
      <x:c r="O51" s="51" t="n">
        <x:f>IF(OR(M51="",N51=""),"",M51/N51)</x:f>
        <x:v>0.35178857777777783</x:v>
      </x:c>
      <x:c r="P51" s="36" t="str">
        <x:f>IF(D51="","",IFERROR(INDEX('04_СЫРЬЁ_И_ЦЕНЫ'!$G$5:$G$15,MATCH(D51,'04_СЫРЬЁ_И_ЦЕНЫ'!$A$5:$A$15,0))&amp;" / "&amp;TEXT(INDEX('04_СЫРЬЁ_И_ЦЕНЫ'!$I$5:$I$15,MATCH(D51,'04_СЫРЬЁ_И_ЦЕНЫ'!$A$5:$A$15,0)),"yyyy-mm-dd"),""))</x:f>
        <x:v>Supl.biz / 2026-07-27</x:v>
      </x:c>
      <x:c r="Q51" s="36" t="str">
        <x:v>DRAFT</x:v>
      </x:c>
      <x:c r="R51" s="37" t="str">
        <x:v>Общий компонент</x:v>
      </x:c>
    </x:row>
    <x:row r="52">
      <x:c r="A52" s="35" t="str">
        <x:v>VKC-028</x:v>
      </x:c>
      <x:c r="B52" s="36" t="str">
        <x:v>VKM-028</x:v>
      </x:c>
      <x:c r="C52" s="36" t="str">
        <x:v>Овсяная каша, круассан и сыр двух видов</x:v>
      </x:c>
      <x:c r="D52" s="36" t="str">
        <x:v>P-CHEDDAR</x:v>
      </x:c>
      <x:c r="E52" s="36" t="str">
        <x:v>Чеддер, порционный ломтик</x:v>
      </x:c>
      <x:c r="F52" s="36" t="str">
        <x:v>г</x:v>
      </x:c>
      <x:c r="G52" s="48" t="n">
        <x:v>20</x:v>
      </x:c>
      <x:c r="H52" s="48" t="n">
        <x:v>20</x:v>
      </x:c>
      <x:c r="I52" s="48" t="n">
        <x:f>IF(OR(G52="",H52="",F52="шт."),"",G52-H52)</x:f>
        <x:v>0</x:v>
      </x:c>
      <x:c r="J52" s="48" t="n">
        <x:v>20</x:v>
      </x:c>
      <x:c r="K52" s="48" t="n">
        <x:f>IF(D52="","",IFERROR(INDEX('04_СЫРЬЁ_И_ЦЕНЫ'!$F$5:$F$15,MATCH(D52,'04_СЫРЬЁ_И_ЦЕНЫ'!$A$5:$A$15,0)),""))</x:f>
        <x:v>1399.92</x:v>
      </x:c>
      <x:c r="L52" s="48" t="n">
        <x:f>IF(OR(G52="",K52=""),"",IF(OR(F52="г",F52="мл"),G52/1000*K52,G52*K52))</x:f>
        <x:v>27.998400000000004</x:v>
      </x:c>
      <x:c r="M52" s="48" t="n">
        <x:f>IF(COUNTIFS($B$5:$B$57,B52,$D$5:$D$57,"&lt;&gt;")=0,"",SUMIF($B$5:$B$57,B52,$L$5:$L$57))</x:f>
        <x:v>193.4837177777778</x:v>
      </x:c>
      <x:c r="N52" s="48" t="n">
        <x:f>IFERROR(INDEX('01_МЕНЮ'!$G$5:$G$35,MATCH(B52,'01_МЕНЮ'!$A$5:$A$35,0)),"")</x:f>
        <x:v>550</x:v>
      </x:c>
      <x:c r="O52" s="51" t="n">
        <x:f>IF(OR(M52="",N52=""),"",M52/N52)</x:f>
        <x:v>0.35178857777777783</x:v>
      </x:c>
      <x:c r="P52" s="36" t="str">
        <x:f>IF(D52="","",IFERROR(INDEX('04_СЫРЬЁ_И_ЦЕНЫ'!$G$5:$G$15,MATCH(D52,'04_СЫРЬЁ_И_ЦЕНЫ'!$A$5:$A$15,0))&amp;" / "&amp;TEXT(INDEX('04_СЫРЬЁ_И_ЦЕНЫ'!$I$5:$I$15,MATCH(D52,'04_СЫРЬЁ_И_ЦЕНЫ'!$A$5:$A$15,0)),"yyyy-mm-dd"),""))</x:f>
        <x:v>Лента / Schonfeld / 2026-07-27</x:v>
      </x:c>
      <x:c r="Q52" s="36" t="str">
        <x:v>DRAFT</x:v>
      </x:c>
      <x:c r="R52" s="37" t="str">
        <x:v>Общий компонент</x:v>
      </x:c>
    </x:row>
    <x:row r="53">
      <x:c r="A53" s="35" t="str">
        <x:v>VKC-028</x:v>
      </x:c>
      <x:c r="B53" s="36" t="str">
        <x:v>VKM-028</x:v>
      </x:c>
      <x:c r="C53" s="36" t="str">
        <x:v>Овсяная каша, круассан и сыр двух видов</x:v>
      </x:c>
      <x:c r="D53" s="36" t="str">
        <x:v>P-FONTINA</x:v>
      </x:c>
      <x:c r="E53" s="36" t="str">
        <x:v>Fontina DOP / Fontal</x:v>
      </x:c>
      <x:c r="F53" s="36" t="str">
        <x:v>г</x:v>
      </x:c>
      <x:c r="G53" s="48" t="n">
        <x:v>21</x:v>
      </x:c>
      <x:c r="H53" s="48" t="n">
        <x:v>20</x:v>
      </x:c>
      <x:c r="I53" s="48" t="n">
        <x:f>IF(OR(G53="",H53="",F53="шт."),"",G53-H53)</x:f>
        <x:v>1</x:v>
      </x:c>
      <x:c r="J53" s="48" t="n">
        <x:v>20</x:v>
      </x:c>
      <x:c r="K53" s="48" t="n">
        <x:f>IF(D53="","",IFERROR(INDEX('04_СЫРЬЁ_И_ЦЕНЫ'!$F$5:$F$15,MATCH(D53,'04_СЫРЬЁ_И_ЦЕНЫ'!$A$5:$A$15,0)),""))</x:f>
        <x:v>1800</x:v>
      </x:c>
      <x:c r="L53" s="48" t="n">
        <x:f>IF(OR(G53="",K53=""),"",IF(OR(F53="г",F53="мл"),G53/1000*K53,G53*K53))</x:f>
        <x:v>37.800000000000004</x:v>
      </x:c>
      <x:c r="M53" s="48" t="n">
        <x:f>IF(COUNTIFS($B$5:$B$57,B53,$D$5:$D$57,"&lt;&gt;")=0,"",SUMIF($B$5:$B$57,B53,$L$5:$L$57))</x:f>
        <x:v>193.4837177777778</x:v>
      </x:c>
      <x:c r="N53" s="48" t="n">
        <x:f>IFERROR(INDEX('01_МЕНЮ'!$G$5:$G$35,MATCH(B53,'01_МЕНЮ'!$A$5:$A$35,0)),"")</x:f>
        <x:v>550</x:v>
      </x:c>
      <x:c r="O53" s="51" t="n">
        <x:f>IF(OR(M53="",N53=""),"",M53/N53)</x:f>
        <x:v>0.35178857777777783</x:v>
      </x:c>
      <x:c r="P53" s="36" t="str">
        <x:f>IF(D53="","",IFERROR(INDEX('04_СЫРЬЁ_И_ЦЕНЫ'!$G$5:$G$15,MATCH(D53,'04_СЫРЬЁ_И_ЦЕНЫ'!$A$5:$A$15,0))&amp;" / "&amp;TEXT(INDEX('04_СЫРЬЁ_И_ЦЕНЫ'!$I$5:$I$15,MATCH(D53,'04_СЫРЬЁ_И_ЦЕНЫ'!$A$5:$A$15,0)),"yyyy-mm-dd"),""))</x:f>
        <x:v>Поставщик не выбран / 2026-07-27</x:v>
      </x:c>
      <x:c r="Q53" s="36" t="str">
        <x:v>ASSUMPTION</x:v>
      </x:c>
      <x:c r="R53" s="37" t="str">
        <x:v>Общий компонент</x:v>
      </x:c>
    </x:row>
    <x:row r="54">
      <x:c r="A54" s="35" t="str">
        <x:v>VKC-028</x:v>
      </x:c>
      <x:c r="B54" s="36" t="str">
        <x:v>VKM-028</x:v>
      </x:c>
      <x:c r="C54" s="36" t="str">
        <x:v>Овсяная каша, круассан и сыр двух видов</x:v>
      </x:c>
      <x:c r="D54" s="36" t="str">
        <x:v>P-DRINK</x:v>
      </x:c>
      <x:c r="E54" s="36" t="str">
        <x:v>Напиток бариста 200 мл</x:v>
      </x:c>
      <x:c r="F54" s="36" t="str">
        <x:v>шт.</x:v>
      </x:c>
      <x:c r="G54" s="48" t="n">
        <x:v>1</x:v>
      </x:c>
      <x:c r="H54" s="48" t="n">
        <x:v>1</x:v>
      </x:c>
      <x:c r="I54" s="48" t="str">
        <x:f>IF(OR(G54="",H54="",F54="шт."),"",G54-H54)</x:f>
      </x:c>
      <x:c r="J54" s="48"/>
      <x:c r="K54" s="48" t="n">
        <x:f>IF(D54="","",IFERROR(INDEX('04_СЫРЬЁ_И_ЦЕНЫ'!$F$5:$F$15,MATCH(D54,'04_СЫРЬЁ_И_ЦЕНЫ'!$A$5:$A$15,0)),""))</x:f>
        <x:v>60</x:v>
      </x:c>
      <x:c r="L54" s="48" t="n">
        <x:f>IF(OR(G54="",K54=""),"",IF(OR(F54="г",F54="мл"),G54/1000*K54,G54*K54))</x:f>
        <x:v>60</x:v>
      </x:c>
      <x:c r="M54" s="48" t="n">
        <x:f>IF(COUNTIFS($B$5:$B$57,B54,$D$5:$D$57,"&lt;&gt;")=0,"",SUMIF($B$5:$B$57,B54,$L$5:$L$57))</x:f>
        <x:v>193.4837177777778</x:v>
      </x:c>
      <x:c r="N54" s="48" t="n">
        <x:f>IFERROR(INDEX('01_МЕНЮ'!$G$5:$G$35,MATCH(B54,'01_МЕНЮ'!$A$5:$A$35,0)),"")</x:f>
        <x:v>550</x:v>
      </x:c>
      <x:c r="O54" s="51" t="n">
        <x:f>IF(OR(M54="",N54=""),"",M54/N54)</x:f>
        <x:v>0.35178857777777783</x:v>
      </x:c>
      <x:c r="P54" s="36" t="str">
        <x:f>IF(D54="","",IFERROR(INDEX('04_СЫРЬЁ_И_ЦЕНЫ'!$G$5:$G$15,MATCH(D54,'04_СЫРЬЁ_И_ЦЕНЫ'!$A$5:$A$15,0))&amp;" / "&amp;TEXT(INDEX('04_СЫРЬЁ_И_ЦЕНЫ'!$I$5:$I$15,MATCH(D54,'04_СЫРЬЁ_И_ЦЕНЫ'!$A$5:$A$15,0)),"yyyy-mm-dd"),""))</x:f>
        <x:v>VARSHAVKA / Бар / 2026-07-27</x:v>
      </x:c>
      <x:c r="Q54" s="36" t="str">
        <x:v>DRAFT</x:v>
      </x:c>
      <x:c r="R54" s="37" t="str">
        <x:v>Напиток; не входит в массу пищевой части</x:v>
      </x:c>
    </x:row>
    <x:row r="55">
      <x:c r="A55" s="35" t="str">
        <x:v>VKC-029</x:v>
      </x:c>
      <x:c r="B55" s="36" t="str">
        <x:v>VKM-029</x:v>
      </x:c>
      <x:c r="C55" s="36" t="str">
        <x:v>Черничный торт VARSHAVKA</x:v>
      </x:c>
      <x:c r="D55" s="36"/>
      <x:c r="E55" s="36"/>
      <x:c r="F55" s="36"/>
      <x:c r="G55" s="48"/>
      <x:c r="H55" s="48"/>
      <x:c r="I55" s="48" t="str">
        <x:f>IF(OR(G55="",H55="",F55="шт."),"",G55-H55)</x:f>
      </x:c>
      <x:c r="J55" s="48"/>
      <x:c r="K55" s="48" t="str">
        <x:f>IF(D55="","",IFERROR(INDEX('04_СЫРЬЁ_И_ЦЕНЫ'!$F$5:$F$15,MATCH(D55,'04_СЫРЬЁ_И_ЦЕНЫ'!$A$5:$A$15,0)),""))</x:f>
      </x:c>
      <x:c r="L55" s="48" t="str">
        <x:f>IF(OR(G55="",K55=""),"",IF(OR(F55="г",F55="мл"),G55/1000*K55,G55*K55))</x:f>
      </x:c>
      <x:c r="M55" s="48" t="str">
        <x:f>IF(COUNTIFS($B$5:$B$57,B55,$D$5:$D$57,"&lt;&gt;")=0,"",SUMIF($B$5:$B$57,B55,$L$5:$L$57))</x:f>
      </x:c>
      <x:c r="N55" s="48" t="str">
        <x:f>IFERROR(INDEX('01_МЕНЮ'!$G$5:$G$35,MATCH(B55,'01_МЕНЮ'!$A$5:$A$35,0)),"")</x:f>
      </x:c>
      <x:c r="O55" s="51" t="str">
        <x:f>IF(OR(M55="",N55=""),"",M55/N55)</x:f>
      </x:c>
      <x:c r="P55" s="36" t="str">
        <x:f>IF(D55="","",IFERROR(INDEX('04_СЫРЬЁ_И_ЦЕНЫ'!$G$5:$G$15,MATCH(D55,'04_СЫРЬЁ_И_ЦЕНЫ'!$A$5:$A$15,0))&amp;" / "&amp;TEXT(INDEX('04_СЫРЬЁ_И_ЦЕНЫ'!$I$5:$I$15,MATCH(D55,'04_СЫРЬЁ_И_ЦЕНЫ'!$A$5:$A$15,0)),"yyyy-mm-dd"),""))</x:f>
      </x:c>
      <x:c r="Q55" s="36" t="str">
        <x:v>BLOCKED</x:v>
      </x:c>
      <x:c r="R55" s="37" t="str">
        <x:v>Нет подтверждённой рецептуры, норм и цены</x:v>
      </x:c>
    </x:row>
    <x:row r="56">
      <x:c r="A56" s="35" t="str">
        <x:v>VKC-030</x:v>
      </x:c>
      <x:c r="B56" s="36" t="str">
        <x:v>VKM-030</x:v>
      </x:c>
      <x:c r="C56" s="36" t="str">
        <x:v>Кростата с солёной карамелью</x:v>
      </x:c>
      <x:c r="D56" s="36"/>
      <x:c r="E56" s="36"/>
      <x:c r="F56" s="36"/>
      <x:c r="G56" s="48"/>
      <x:c r="H56" s="48"/>
      <x:c r="I56" s="48" t="str">
        <x:f>IF(OR(G56="",H56="",F56="шт."),"",G56-H56)</x:f>
      </x:c>
      <x:c r="J56" s="48"/>
      <x:c r="K56" s="48" t="str">
        <x:f>IF(D56="","",IFERROR(INDEX('04_СЫРЬЁ_И_ЦЕНЫ'!$F$5:$F$15,MATCH(D56,'04_СЫРЬЁ_И_ЦЕНЫ'!$A$5:$A$15,0)),""))</x:f>
      </x:c>
      <x:c r="L56" s="48" t="str">
        <x:f>IF(OR(G56="",K56=""),"",IF(OR(F56="г",F56="мл"),G56/1000*K56,G56*K56))</x:f>
      </x:c>
      <x:c r="M56" s="48" t="str">
        <x:f>IF(COUNTIFS($B$5:$B$57,B56,$D$5:$D$57,"&lt;&gt;")=0,"",SUMIF($B$5:$B$57,B56,$L$5:$L$57))</x:f>
      </x:c>
      <x:c r="N56" s="48" t="str">
        <x:f>IFERROR(INDEX('01_МЕНЮ'!$G$5:$G$35,MATCH(B56,'01_МЕНЮ'!$A$5:$A$35,0)),"")</x:f>
      </x:c>
      <x:c r="O56" s="51" t="str">
        <x:f>IF(OR(M56="",N56=""),"",M56/N56)</x:f>
      </x:c>
      <x:c r="P56" s="36" t="str">
        <x:f>IF(D56="","",IFERROR(INDEX('04_СЫРЬЁ_И_ЦЕНЫ'!$G$5:$G$15,MATCH(D56,'04_СЫРЬЁ_И_ЦЕНЫ'!$A$5:$A$15,0))&amp;" / "&amp;TEXT(INDEX('04_СЫРЬЁ_И_ЦЕНЫ'!$I$5:$I$15,MATCH(D56,'04_СЫРЬЁ_И_ЦЕНЫ'!$A$5:$A$15,0)),"yyyy-mm-dd"),""))</x:f>
      </x:c>
      <x:c r="Q56" s="36" t="str">
        <x:v>BLOCKED</x:v>
      </x:c>
      <x:c r="R56" s="37" t="str">
        <x:v>Нет подтверждённой рецептуры, норм и цены</x:v>
      </x:c>
    </x:row>
    <x:row r="57">
      <x:c r="A57" s="38" t="str">
        <x:v>VKC-031</x:v>
      </x:c>
      <x:c r="B57" s="39" t="str">
        <x:v>VKM-031</x:v>
      </x:c>
      <x:c r="C57" s="39" t="str">
        <x:v>Мадлен</x:v>
      </x:c>
      <x:c r="D57" s="39"/>
      <x:c r="E57" s="39"/>
      <x:c r="F57" s="39"/>
      <x:c r="G57" s="49"/>
      <x:c r="H57" s="49"/>
      <x:c r="I57" s="49" t="str">
        <x:f>IF(OR(G57="",H57="",F57="шт."),"",G57-H57)</x:f>
      </x:c>
      <x:c r="J57" s="49"/>
      <x:c r="K57" s="49" t="str">
        <x:f>IF(D57="","",IFERROR(INDEX('04_СЫРЬЁ_И_ЦЕНЫ'!$F$5:$F$15,MATCH(D57,'04_СЫРЬЁ_И_ЦЕНЫ'!$A$5:$A$15,0)),""))</x:f>
      </x:c>
      <x:c r="L57" s="49" t="str">
        <x:f>IF(OR(G57="",K57=""),"",IF(OR(F57="г",F57="мл"),G57/1000*K57,G57*K57))</x:f>
      </x:c>
      <x:c r="M57" s="49" t="str">
        <x:f>IF(COUNTIFS($B$5:$B$57,B57,$D$5:$D$57,"&lt;&gt;")=0,"",SUMIF($B$5:$B$57,B57,$L$5:$L$57))</x:f>
      </x:c>
      <x:c r="N57" s="49" t="str">
        <x:f>IFERROR(INDEX('01_МЕНЮ'!$G$5:$G$35,MATCH(B57,'01_МЕНЮ'!$A$5:$A$35,0)),"")</x:f>
      </x:c>
      <x:c r="O57" s="52" t="str">
        <x:f>IF(OR(M57="",N57=""),"",M57/N57)</x:f>
      </x:c>
      <x:c r="P57" s="39" t="str">
        <x:f>IF(D57="","",IFERROR(INDEX('04_СЫРЬЁ_И_ЦЕНЫ'!$G$5:$G$15,MATCH(D57,'04_СЫРЬЁ_И_ЦЕНЫ'!$A$5:$A$15,0))&amp;" / "&amp;TEXT(INDEX('04_СЫРЬЁ_И_ЦЕНЫ'!$I$5:$I$15,MATCH(D57,'04_СЫРЬЁ_И_ЦЕНЫ'!$A$5:$A$15,0)),"yyyy-mm-dd"),""))</x:f>
      </x:c>
      <x:c r="Q57" s="39" t="str">
        <x:v>BLOCKED</x:v>
      </x:c>
      <x:c r="R57" s="40" t="str">
        <x:v>Нет подтверждённой рецептуры, норм и цены</x:v>
      </x:c>
    </x:row>
  </x:sheetData>
  <x:mergeCells>
    <x:mergeCell ref="A1:R1"/>
    <x:mergeCell ref="A2:R2"/>
  </x:mergeCells>
  <x:conditionalFormatting sqref="Q5:Q57">
    <x:cfRule type="containsText" dxfId="24" priority="1" operator="containsText" text="FACT"/>
    <x:cfRule type="containsText" dxfId="25" priority="2" operator="containsText" text="CALCULATED"/>
    <x:cfRule type="containsText" dxfId="26" priority="3" operator="containsText" text="ASSUMPTION"/>
    <x:cfRule type="containsText" dxfId="27" priority="4" operator="containsText" text="DRAFT"/>
    <x:cfRule type="containsText" dxfId="28" priority="5" operator="containsText" text="BLOCKED"/>
    <x:cfRule type="containsText" dxfId="29" priority="6" operator="containsText" text="SUPERSEDED"/>
  </x:conditionalFormatting>
  <x:dataValidations count="3">
    <x:dataValidation type="list" sqref="Q5:Q57">
      <x:formula1>"FACT,CALCULATED,ASSUMPTION,DRAFT,BLOCKED,SUPERSEDED"</x:formula1>
    </x:dataValidation>
    <x:dataValidation type="decimal" operator="greaterThanOrEqual" sqref="G5:H57">
      <x:formula1>0</x:formula1>
    </x:dataValidation>
    <x:dataValidation type="decimal" operator="greaterThanOrEqual" sqref="J5:J57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41ed752bf4440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42" hidden="0" customWidth="1"/>
    <x:col min="4" max="4" width="28" hidden="0" customWidth="1"/>
    <x:col min="5" max="5" width="54" hidden="0" customWidth="1"/>
    <x:col min="6" max="6" width="42" hidden="0" customWidth="1"/>
    <x:col min="7" max="7" width="42" hidden="0" customWidth="1"/>
    <x:col min="8" max="8" width="60" hidden="0" customWidth="1"/>
    <x:col min="9" max="9" width="46" hidden="0" customWidth="1"/>
    <x:col min="10" max="10" width="28" hidden="0" customWidth="1"/>
    <x:col min="11" max="11" width="48" hidden="0" customWidth="1"/>
    <x:col min="12" max="12" width="26" hidden="0" customWidth="1"/>
    <x:col min="13" max="13" width="46" hidden="0" customWidth="1"/>
    <x:col min="14" max="14" width="34" hidden="0" customWidth="1"/>
    <x:col min="15" max="15" width="42" hidden="0" customWidth="1"/>
    <x:col min="16" max="16" width="38" hidden="0" customWidth="1"/>
    <x:col min="17" max="17" width="46" hidden="0" customWidth="1"/>
    <x:col min="18" max="18" width="54" hidden="0" customWidth="1"/>
    <x:col min="19" max="19" width="20" hidden="0" customWidth="1"/>
  </x:cols>
  <x:sheetData>
    <x:row r="1" ht="28" customHeight="1">
      <x:c r="A1" s="3" t="str">
        <x:v>03 — Технологические карты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42" customHeight="1">
      <x:c r="A2" s="7" t="str">
        <x:v>Три завтрака заполнены как DRAFT из S04 и шаблонов Issue #52; остальные 28 строк — BLOCKED.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 ht="54" customHeight="1">
      <x:c r="A4" s="12" t="str">
        <x:v>Код техкарты</x:v>
      </x:c>
      <x:c r="B4" s="12" t="str">
        <x:v>Код блюда</x:v>
      </x:c>
      <x:c r="C4" s="12" t="str">
        <x:v>Наименование</x:v>
      </x:c>
      <x:c r="D4" s="12" t="str">
        <x:v>Область применения</x:v>
      </x:c>
      <x:c r="E4" s="12" t="str">
        <x:v>Состав сырья</x:v>
      </x:c>
      <x:c r="F4" s="12" t="str">
        <x:v>Требования к сырью</x:v>
      </x:c>
      <x:c r="G4" s="12" t="str">
        <x:v>Подготовительные операции</x:v>
      </x:c>
      <x:c r="H4" s="12" t="str">
        <x:v>Последовательность приготовления</x:v>
      </x:c>
      <x:c r="I4" s="12" t="str">
        <x:v>Оборудование</x:v>
      </x:c>
      <x:c r="J4" s="12" t="str">
        <x:v>Продолжительность операций</x:v>
      </x:c>
      <x:c r="K4" s="12" t="str">
        <x:v>Температурные режимы</x:v>
      </x:c>
      <x:c r="L4" s="12" t="str">
        <x:v>Выход</x:v>
      </x:c>
      <x:c r="M4" s="12" t="str">
        <x:v>Органолептические показатели</x:v>
      </x:c>
      <x:c r="N4" s="12" t="str">
        <x:v>Способ подачи</x:v>
      </x:c>
      <x:c r="O4" s="12" t="str">
        <x:v>Условия и срок хранения</x:v>
      </x:c>
      <x:c r="P4" s="12" t="str">
        <x:v>Аллергены</x:v>
      </x:c>
      <x:c r="Q4" s="12" t="str">
        <x:v>Контрольные точки</x:v>
      </x:c>
      <x:c r="R4" s="12" t="str">
        <x:v>Вопросы контрольной проработки</x:v>
      </x:c>
      <x:c r="S4" s="12" t="str">
        <x:v>Статус согласования</x:v>
      </x:c>
    </x:row>
    <x:row r="5">
      <x:c r="A5" s="32" t="str">
        <x:v>VKT-001</x:v>
      </x:c>
      <x:c r="B5" s="33" t="str">
        <x:v>VKM-001</x:v>
      </x:c>
      <x:c r="C5" s="33" t="str">
        <x:v>Маргарита</x:v>
      </x:c>
      <x:c r="D5" s="33" t="str">
        <x:v>BLOCKED</x:v>
      </x:c>
      <x:c r="E5" s="33" t="str">
        <x:v>BLOCKED</x:v>
      </x:c>
      <x:c r="F5" s="33" t="str">
        <x:v>BLOCKED</x:v>
      </x:c>
      <x:c r="G5" s="33" t="str">
        <x:v>BLOCKED</x:v>
      </x:c>
      <x:c r="H5" s="33" t="str">
        <x:v>BLOCKED</x:v>
      </x:c>
      <x:c r="I5" s="33" t="str">
        <x:v>BLOCKED</x:v>
      </x:c>
      <x:c r="J5" s="33" t="str">
        <x:v>BLOCKED</x:v>
      </x:c>
      <x:c r="K5" s="33" t="str">
        <x:v>BLOCKED</x:v>
      </x:c>
      <x:c r="L5" s="33" t="str">
        <x:v>450 г</x:v>
      </x:c>
      <x:c r="M5" s="33" t="str">
        <x:v>BLOCKED</x:v>
      </x:c>
      <x:c r="N5" s="33" t="str">
        <x:v>BLOCKED</x:v>
      </x:c>
      <x:c r="O5" s="33" t="str">
        <x:v>BLOCKED</x:v>
      </x:c>
      <x:c r="P5" s="33" t="str">
        <x:v>BLOCKED</x:v>
      </x:c>
      <x:c r="Q5" s="33" t="str">
        <x:v>BLOCKED</x:v>
      </x:c>
      <x:c r="R5" s="33" t="str">
        <x:v>Согласовать рецептуру, технологию, режимы, хранение и аллергены</x:v>
      </x:c>
      <x:c r="S5" s="34" t="str">
        <x:v>BLOCKED</x:v>
      </x:c>
    </x:row>
    <x:row r="6">
      <x:c r="A6" s="35" t="str">
        <x:v>VKT-002</x:v>
      </x:c>
      <x:c r="B6" s="36" t="str">
        <x:v>VKM-002</x:v>
      </x:c>
      <x:c r="C6" s="36" t="str">
        <x:v>Четыре сыра</x:v>
      </x:c>
      <x:c r="D6" s="36" t="str">
        <x:v>BLOCKED</x:v>
      </x:c>
      <x:c r="E6" s="36" t="str">
        <x:v>BLOCKED</x:v>
      </x:c>
      <x:c r="F6" s="36" t="str">
        <x:v>BLOCKED</x:v>
      </x:c>
      <x:c r="G6" s="36" t="str">
        <x:v>BLOCKED</x:v>
      </x:c>
      <x:c r="H6" s="36" t="str">
        <x:v>BLOCKED</x:v>
      </x:c>
      <x:c r="I6" s="36" t="str">
        <x:v>BLOCKED</x:v>
      </x:c>
      <x:c r="J6" s="36" t="str">
        <x:v>BLOCKED</x:v>
      </x:c>
      <x:c r="K6" s="36" t="str">
        <x:v>BLOCKED</x:v>
      </x:c>
      <x:c r="L6" s="36" t="str">
        <x:v>480 г</x:v>
      </x:c>
      <x:c r="M6" s="36" t="str">
        <x:v>BLOCKED</x:v>
      </x:c>
      <x:c r="N6" s="36" t="str">
        <x:v>BLOCKED</x:v>
      </x:c>
      <x:c r="O6" s="36" t="str">
        <x:v>BLOCKED</x:v>
      </x:c>
      <x:c r="P6" s="36" t="str">
        <x:v>BLOCKED</x:v>
      </x:c>
      <x:c r="Q6" s="36" t="str">
        <x:v>BLOCKED</x:v>
      </x:c>
      <x:c r="R6" s="36" t="str">
        <x:v>Согласовать рецептуру, технологию, режимы, хранение и аллергены</x:v>
      </x:c>
      <x:c r="S6" s="37" t="str">
        <x:v>BLOCKED</x:v>
      </x:c>
    </x:row>
    <x:row r="7">
      <x:c r="A7" s="35" t="str">
        <x:v>VKT-003</x:v>
      </x:c>
      <x:c r="B7" s="36" t="str">
        <x:v>VKM-003</x:v>
      </x:c>
      <x:c r="C7" s="36" t="str">
        <x:v>Грибная с ветчиной</x:v>
      </x:c>
      <x:c r="D7" s="36" t="str">
        <x:v>BLOCKED</x:v>
      </x:c>
      <x:c r="E7" s="36" t="str">
        <x:v>BLOCKED</x:v>
      </x:c>
      <x:c r="F7" s="36" t="str">
        <x:v>BLOCKED</x:v>
      </x:c>
      <x:c r="G7" s="36" t="str">
        <x:v>BLOCKED</x:v>
      </x:c>
      <x:c r="H7" s="36" t="str">
        <x:v>BLOCKED</x:v>
      </x:c>
      <x:c r="I7" s="36" t="str">
        <x:v>BLOCKED</x:v>
      </x:c>
      <x:c r="J7" s="36" t="str">
        <x:v>BLOCKED</x:v>
      </x:c>
      <x:c r="K7" s="36" t="str">
        <x:v>BLOCKED</x:v>
      </x:c>
      <x:c r="L7" s="36" t="str">
        <x:v>500 г</x:v>
      </x:c>
      <x:c r="M7" s="36" t="str">
        <x:v>BLOCKED</x:v>
      </x:c>
      <x:c r="N7" s="36" t="str">
        <x:v>BLOCKED</x:v>
      </x:c>
      <x:c r="O7" s="36" t="str">
        <x:v>BLOCKED</x:v>
      </x:c>
      <x:c r="P7" s="36" t="str">
        <x:v>BLOCKED</x:v>
      </x:c>
      <x:c r="Q7" s="36" t="str">
        <x:v>BLOCKED</x:v>
      </x:c>
      <x:c r="R7" s="36" t="str">
        <x:v>Согласовать рецептуру, технологию, режимы, хранение и аллергены</x:v>
      </x:c>
      <x:c r="S7" s="37" t="str">
        <x:v>BLOCKED</x:v>
      </x:c>
    </x:row>
    <x:row r="8">
      <x:c r="A8" s="35" t="str">
        <x:v>VKT-004</x:v>
      </x:c>
      <x:c r="B8" s="36" t="str">
        <x:v>VKM-004</x:v>
      </x:c>
      <x:c r="C8" s="36" t="str">
        <x:v>Пепперони</x:v>
      </x:c>
      <x:c r="D8" s="36" t="str">
        <x:v>BLOCKED</x:v>
      </x:c>
      <x:c r="E8" s="36" t="str">
        <x:v>BLOCKED</x:v>
      </x:c>
      <x:c r="F8" s="36" t="str">
        <x:v>BLOCKED</x:v>
      </x:c>
      <x:c r="G8" s="36" t="str">
        <x:v>BLOCKED</x:v>
      </x:c>
      <x:c r="H8" s="36" t="str">
        <x:v>BLOCKED</x:v>
      </x:c>
      <x:c r="I8" s="36" t="str">
        <x:v>BLOCKED</x:v>
      </x:c>
      <x:c r="J8" s="36" t="str">
        <x:v>BLOCKED</x:v>
      </x:c>
      <x:c r="K8" s="36" t="str">
        <x:v>BLOCKED</x:v>
      </x:c>
      <x:c r="L8" s="36" t="str">
        <x:v>500 г</x:v>
      </x:c>
      <x:c r="M8" s="36" t="str">
        <x:v>BLOCKED</x:v>
      </x:c>
      <x:c r="N8" s="36" t="str">
        <x:v>BLOCKED</x:v>
      </x:c>
      <x:c r="O8" s="36" t="str">
        <x:v>BLOCKED</x:v>
      </x:c>
      <x:c r="P8" s="36" t="str">
        <x:v>BLOCKED</x:v>
      </x:c>
      <x:c r="Q8" s="36" t="str">
        <x:v>BLOCKED</x:v>
      </x:c>
      <x:c r="R8" s="36" t="str">
        <x:v>Согласовать рецептуру, технологию, режимы, хранение и аллергены</x:v>
      </x:c>
      <x:c r="S8" s="37" t="str">
        <x:v>BLOCKED</x:v>
      </x:c>
    </x:row>
    <x:row r="9">
      <x:c r="A9" s="35" t="str">
        <x:v>VKT-005</x:v>
      </x:c>
      <x:c r="B9" s="36" t="str">
        <x:v>VKM-005</x:v>
      </x:c>
      <x:c r="C9" s="36" t="str">
        <x:v>Белая чиабатта</x:v>
      </x:c>
      <x:c r="D9" s="36" t="str">
        <x:v>BLOCKED</x:v>
      </x:c>
      <x:c r="E9" s="36" t="str">
        <x:v>BLOCKED</x:v>
      </x:c>
      <x:c r="F9" s="36" t="str">
        <x:v>BLOCKED</x:v>
      </x:c>
      <x:c r="G9" s="36" t="str">
        <x:v>BLOCKED</x:v>
      </x:c>
      <x:c r="H9" s="36" t="str">
        <x:v>BLOCKED</x:v>
      </x:c>
      <x:c r="I9" s="36" t="str">
        <x:v>BLOCKED</x:v>
      </x:c>
      <x:c r="J9" s="36" t="str">
        <x:v>BLOCKED</x:v>
      </x:c>
      <x:c r="K9" s="36" t="str">
        <x:v>BLOCKED</x:v>
      </x:c>
      <x:c r="L9" s="36" t="str">
        <x:v>100 г</x:v>
      </x:c>
      <x:c r="M9" s="36" t="str">
        <x:v>BLOCKED</x:v>
      </x:c>
      <x:c r="N9" s="36" t="str">
        <x:v>BLOCKED</x:v>
      </x:c>
      <x:c r="O9" s="36" t="str">
        <x:v>BLOCKED</x:v>
      </x:c>
      <x:c r="P9" s="36" t="str">
        <x:v>BLOCKED</x:v>
      </x:c>
      <x:c r="Q9" s="36" t="str">
        <x:v>BLOCKED</x:v>
      </x:c>
      <x:c r="R9" s="36" t="str">
        <x:v>Согласовать рецептуру, технологию, режимы, хранение и аллергены</x:v>
      </x:c>
      <x:c r="S9" s="37" t="str">
        <x:v>BLOCKED</x:v>
      </x:c>
    </x:row>
    <x:row r="10">
      <x:c r="A10" s="35" t="str">
        <x:v>VKT-006</x:v>
      </x:c>
      <x:c r="B10" s="36" t="str">
        <x:v>VKM-006</x:v>
      </x:c>
      <x:c r="C10" s="36" t="str">
        <x:v>Томатная чиабатта</x:v>
      </x:c>
      <x:c r="D10" s="36" t="str">
        <x:v>BLOCKED</x:v>
      </x:c>
      <x:c r="E10" s="36" t="str">
        <x:v>BLOCKED</x:v>
      </x:c>
      <x:c r="F10" s="36" t="str">
        <x:v>BLOCKED</x:v>
      </x:c>
      <x:c r="G10" s="36" t="str">
        <x:v>BLOCKED</x:v>
      </x:c>
      <x:c r="H10" s="36" t="str">
        <x:v>BLOCKED</x:v>
      </x:c>
      <x:c r="I10" s="36" t="str">
        <x:v>BLOCKED</x:v>
      </x:c>
      <x:c r="J10" s="36" t="str">
        <x:v>BLOCKED</x:v>
      </x:c>
      <x:c r="K10" s="36" t="str">
        <x:v>BLOCKED</x:v>
      </x:c>
      <x:c r="L10" s="36" t="str">
        <x:v>100 г</x:v>
      </x:c>
      <x:c r="M10" s="36" t="str">
        <x:v>BLOCKED</x:v>
      </x:c>
      <x:c r="N10" s="36" t="str">
        <x:v>BLOCKED</x:v>
      </x:c>
      <x:c r="O10" s="36" t="str">
        <x:v>BLOCKED</x:v>
      </x:c>
      <x:c r="P10" s="36" t="str">
        <x:v>BLOCKED</x:v>
      </x:c>
      <x:c r="Q10" s="36" t="str">
        <x:v>BLOCKED</x:v>
      </x:c>
      <x:c r="R10" s="36" t="str">
        <x:v>Согласовать рецептуру, технологию, режимы, хранение и аллергены</x:v>
      </x:c>
      <x:c r="S10" s="37" t="str">
        <x:v>BLOCKED</x:v>
      </x:c>
    </x:row>
    <x:row r="11">
      <x:c r="A11" s="35" t="str">
        <x:v>VKT-007</x:v>
      </x:c>
      <x:c r="B11" s="36" t="str">
        <x:v>VKM-007</x:v>
      </x:c>
      <x:c r="C11" s="36" t="str">
        <x:v>Бородинский хлеб</x:v>
      </x:c>
      <x:c r="D11" s="36" t="str">
        <x:v>BLOCKED</x:v>
      </x:c>
      <x:c r="E11" s="36" t="str">
        <x:v>BLOCKED</x:v>
      </x:c>
      <x:c r="F11" s="36" t="str">
        <x:v>BLOCKED</x:v>
      </x:c>
      <x:c r="G11" s="36" t="str">
        <x:v>BLOCKED</x:v>
      </x:c>
      <x:c r="H11" s="36" t="str">
        <x:v>BLOCKED</x:v>
      </x:c>
      <x:c r="I11" s="36" t="str">
        <x:v>BLOCKED</x:v>
      </x:c>
      <x:c r="J11" s="36" t="str">
        <x:v>BLOCKED</x:v>
      </x:c>
      <x:c r="K11" s="36" t="str">
        <x:v>BLOCKED</x:v>
      </x:c>
      <x:c r="L11" s="36" t="str">
        <x:v>350 г</x:v>
      </x:c>
      <x:c r="M11" s="36" t="str">
        <x:v>BLOCKED</x:v>
      </x:c>
      <x:c r="N11" s="36" t="str">
        <x:v>BLOCKED</x:v>
      </x:c>
      <x:c r="O11" s="36" t="str">
        <x:v>BLOCKED</x:v>
      </x:c>
      <x:c r="P11" s="36" t="str">
        <x:v>BLOCKED</x:v>
      </x:c>
      <x:c r="Q11" s="36" t="str">
        <x:v>BLOCKED</x:v>
      </x:c>
      <x:c r="R11" s="36" t="str">
        <x:v>Согласовать рецептуру, технологию, режимы, хранение и аллергены</x:v>
      </x:c>
      <x:c r="S11" s="37" t="str">
        <x:v>BLOCKED</x:v>
      </x:c>
    </x:row>
    <x:row r="12">
      <x:c r="A12" s="35" t="str">
        <x:v>VKT-008</x:v>
      </x:c>
      <x:c r="B12" s="36" t="str">
        <x:v>VKM-008</x:v>
      </x:c>
      <x:c r="C12" s="36" t="str">
        <x:v>Бриошь</x:v>
      </x:c>
      <x:c r="D12" s="36" t="str">
        <x:v>BLOCKED</x:v>
      </x:c>
      <x:c r="E12" s="36" t="str">
        <x:v>BLOCKED</x:v>
      </x:c>
      <x:c r="F12" s="36" t="str">
        <x:v>BLOCKED</x:v>
      </x:c>
      <x:c r="G12" s="36" t="str">
        <x:v>BLOCKED</x:v>
      </x:c>
      <x:c r="H12" s="36" t="str">
        <x:v>BLOCKED</x:v>
      </x:c>
      <x:c r="I12" s="36" t="str">
        <x:v>BLOCKED</x:v>
      </x:c>
      <x:c r="J12" s="36" t="str">
        <x:v>BLOCKED</x:v>
      </x:c>
      <x:c r="K12" s="36" t="str">
        <x:v>BLOCKED</x:v>
      </x:c>
      <x:c r="L12" s="36" t="str">
        <x:v>85 г</x:v>
      </x:c>
      <x:c r="M12" s="36" t="str">
        <x:v>BLOCKED</x:v>
      </x:c>
      <x:c r="N12" s="36" t="str">
        <x:v>BLOCKED</x:v>
      </x:c>
      <x:c r="O12" s="36" t="str">
        <x:v>BLOCKED</x:v>
      </x:c>
      <x:c r="P12" s="36" t="str">
        <x:v>BLOCKED</x:v>
      </x:c>
      <x:c r="Q12" s="36" t="str">
        <x:v>BLOCKED</x:v>
      </x:c>
      <x:c r="R12" s="36" t="str">
        <x:v>Согласовать рецептуру, технологию, режимы, хранение и аллергены</x:v>
      </x:c>
      <x:c r="S12" s="37" t="str">
        <x:v>BLOCKED</x:v>
      </x:c>
    </x:row>
    <x:row r="13">
      <x:c r="A13" s="35" t="str">
        <x:v>VKT-009</x:v>
      </x:c>
      <x:c r="B13" s="36" t="str">
        <x:v>VKM-009</x:v>
      </x:c>
      <x:c r="C13" s="36" t="str">
        <x:v>Буррата с томатами</x:v>
      </x:c>
      <x:c r="D13" s="36" t="str">
        <x:v>BLOCKED</x:v>
      </x:c>
      <x:c r="E13" s="36" t="str">
        <x:v>BLOCKED</x:v>
      </x:c>
      <x:c r="F13" s="36" t="str">
        <x:v>BLOCKED</x:v>
      </x:c>
      <x:c r="G13" s="36" t="str">
        <x:v>BLOCKED</x:v>
      </x:c>
      <x:c r="H13" s="36" t="str">
        <x:v>BLOCKED</x:v>
      </x:c>
      <x:c r="I13" s="36" t="str">
        <x:v>BLOCKED</x:v>
      </x:c>
      <x:c r="J13" s="36" t="str">
        <x:v>BLOCKED</x:v>
      </x:c>
      <x:c r="K13" s="36" t="str">
        <x:v>BLOCKED</x:v>
      </x:c>
      <x:c r="L13" s="36" t="str">
        <x:v>300 г</x:v>
      </x:c>
      <x:c r="M13" s="36" t="str">
        <x:v>BLOCKED</x:v>
      </x:c>
      <x:c r="N13" s="36" t="str">
        <x:v>BLOCKED</x:v>
      </x:c>
      <x:c r="O13" s="36" t="str">
        <x:v>BLOCKED</x:v>
      </x:c>
      <x:c r="P13" s="36" t="str">
        <x:v>BLOCKED</x:v>
      </x:c>
      <x:c r="Q13" s="36" t="str">
        <x:v>BLOCKED</x:v>
      </x:c>
      <x:c r="R13" s="36" t="str">
        <x:v>Согласовать рецептуру, технологию, режимы, хранение и аллергены</x:v>
      </x:c>
      <x:c r="S13" s="37" t="str">
        <x:v>BLOCKED</x:v>
      </x:c>
    </x:row>
    <x:row r="14">
      <x:c r="A14" s="35" t="str">
        <x:v>VKT-010</x:v>
      </x:c>
      <x:c r="B14" s="36" t="str">
        <x:v>VKM-010</x:v>
      </x:c>
      <x:c r="C14" s="36" t="str">
        <x:v>Микс-салат с креветками и яблоком</x:v>
      </x:c>
      <x:c r="D14" s="36" t="str">
        <x:v>BLOCKED</x:v>
      </x:c>
      <x:c r="E14" s="36" t="str">
        <x:v>BLOCKED</x:v>
      </x:c>
      <x:c r="F14" s="36" t="str">
        <x:v>BLOCKED</x:v>
      </x:c>
      <x:c r="G14" s="36" t="str">
        <x:v>BLOCKED</x:v>
      </x:c>
      <x:c r="H14" s="36" t="str">
        <x:v>BLOCKED</x:v>
      </x:c>
      <x:c r="I14" s="36" t="str">
        <x:v>BLOCKED</x:v>
      </x:c>
      <x:c r="J14" s="36" t="str">
        <x:v>BLOCKED</x:v>
      </x:c>
      <x:c r="K14" s="36" t="str">
        <x:v>BLOCKED</x:v>
      </x:c>
      <x:c r="L14" s="36" t="str">
        <x:v>280 г</x:v>
      </x:c>
      <x:c r="M14" s="36" t="str">
        <x:v>BLOCKED</x:v>
      </x:c>
      <x:c r="N14" s="36" t="str">
        <x:v>BLOCKED</x:v>
      </x:c>
      <x:c r="O14" s="36" t="str">
        <x:v>BLOCKED</x:v>
      </x:c>
      <x:c r="P14" s="36" t="str">
        <x:v>BLOCKED</x:v>
      </x:c>
      <x:c r="Q14" s="36" t="str">
        <x:v>BLOCKED</x:v>
      </x:c>
      <x:c r="R14" s="36" t="str">
        <x:v>Согласовать рецептуру, технологию, режимы, хранение и аллергены</x:v>
      </x:c>
      <x:c r="S14" s="37" t="str">
        <x:v>BLOCKED</x:v>
      </x:c>
    </x:row>
    <x:row r="15">
      <x:c r="A15" s="35" t="str">
        <x:v>VKT-011</x:v>
      </x:c>
      <x:c r="B15" s="36" t="str">
        <x:v>VKM-011</x:v>
      </x:c>
      <x:c r="C15" s="36" t="str">
        <x:v>Греческий</x:v>
      </x:c>
      <x:c r="D15" s="36" t="str">
        <x:v>BLOCKED</x:v>
      </x:c>
      <x:c r="E15" s="36" t="str">
        <x:v>BLOCKED</x:v>
      </x:c>
      <x:c r="F15" s="36" t="str">
        <x:v>BLOCKED</x:v>
      </x:c>
      <x:c r="G15" s="36" t="str">
        <x:v>BLOCKED</x:v>
      </x:c>
      <x:c r="H15" s="36" t="str">
        <x:v>BLOCKED</x:v>
      </x:c>
      <x:c r="I15" s="36" t="str">
        <x:v>BLOCKED</x:v>
      </x:c>
      <x:c r="J15" s="36" t="str">
        <x:v>BLOCKED</x:v>
      </x:c>
      <x:c r="K15" s="36" t="str">
        <x:v>BLOCKED</x:v>
      </x:c>
      <x:c r="L15" s="36" t="str">
        <x:v>270 г</x:v>
      </x:c>
      <x:c r="M15" s="36" t="str">
        <x:v>BLOCKED</x:v>
      </x:c>
      <x:c r="N15" s="36" t="str">
        <x:v>BLOCKED</x:v>
      </x:c>
      <x:c r="O15" s="36" t="str">
        <x:v>BLOCKED</x:v>
      </x:c>
      <x:c r="P15" s="36" t="str">
        <x:v>BLOCKED</x:v>
      </x:c>
      <x:c r="Q15" s="36" t="str">
        <x:v>BLOCKED</x:v>
      </x:c>
      <x:c r="R15" s="36" t="str">
        <x:v>Согласовать рецептуру, технологию, режимы, хранение и аллергены</x:v>
      </x:c>
      <x:c r="S15" s="37" t="str">
        <x:v>BLOCKED</x:v>
      </x:c>
    </x:row>
    <x:row r="16">
      <x:c r="A16" s="35" t="str">
        <x:v>VKT-012</x:v>
      </x:c>
      <x:c r="B16" s="36" t="str">
        <x:v>VKM-012</x:v>
      </x:c>
      <x:c r="C16" s="36" t="str">
        <x:v>Винегрет</x:v>
      </x:c>
      <x:c r="D16" s="36" t="str">
        <x:v>BLOCKED</x:v>
      </x:c>
      <x:c r="E16" s="36" t="str">
        <x:v>BLOCKED</x:v>
      </x:c>
      <x:c r="F16" s="36" t="str">
        <x:v>BLOCKED</x:v>
      </x:c>
      <x:c r="G16" s="36" t="str">
        <x:v>BLOCKED</x:v>
      </x:c>
      <x:c r="H16" s="36" t="str">
        <x:v>BLOCKED</x:v>
      </x:c>
      <x:c r="I16" s="36" t="str">
        <x:v>BLOCKED</x:v>
      </x:c>
      <x:c r="J16" s="36" t="str">
        <x:v>BLOCKED</x:v>
      </x:c>
      <x:c r="K16" s="36" t="str">
        <x:v>BLOCKED</x:v>
      </x:c>
      <x:c r="L16" s="36" t="str">
        <x:v>240 г</x:v>
      </x:c>
      <x:c r="M16" s="36" t="str">
        <x:v>BLOCKED</x:v>
      </x:c>
      <x:c r="N16" s="36" t="str">
        <x:v>BLOCKED</x:v>
      </x:c>
      <x:c r="O16" s="36" t="str">
        <x:v>BLOCKED</x:v>
      </x:c>
      <x:c r="P16" s="36" t="str">
        <x:v>BLOCKED</x:v>
      </x:c>
      <x:c r="Q16" s="36" t="str">
        <x:v>BLOCKED</x:v>
      </x:c>
      <x:c r="R16" s="36" t="str">
        <x:v>Согласовать рецептуру, технологию, режимы, хранение и аллергены</x:v>
      </x:c>
      <x:c r="S16" s="37" t="str">
        <x:v>BLOCKED</x:v>
      </x:c>
    </x:row>
    <x:row r="17">
      <x:c r="A17" s="35" t="str">
        <x:v>VKT-013</x:v>
      </x:c>
      <x:c r="B17" s="36" t="str">
        <x:v>VKM-013</x:v>
      </x:c>
      <x:c r="C17" s="36" t="str">
        <x:v>Слабосолёный лосось</x:v>
      </x:c>
      <x:c r="D17" s="36" t="str">
        <x:v>BLOCKED</x:v>
      </x:c>
      <x:c r="E17" s="36" t="str">
        <x:v>BLOCKED</x:v>
      </x:c>
      <x:c r="F17" s="36" t="str">
        <x:v>BLOCKED</x:v>
      </x:c>
      <x:c r="G17" s="36" t="str">
        <x:v>BLOCKED</x:v>
      </x:c>
      <x:c r="H17" s="36" t="str">
        <x:v>BLOCKED</x:v>
      </x:c>
      <x:c r="I17" s="36" t="str">
        <x:v>BLOCKED</x:v>
      </x:c>
      <x:c r="J17" s="36" t="str">
        <x:v>BLOCKED</x:v>
      </x:c>
      <x:c r="K17" s="36" t="str">
        <x:v>BLOCKED</x:v>
      </x:c>
      <x:c r="L17" s="36" t="str">
        <x:v>130 г</x:v>
      </x:c>
      <x:c r="M17" s="36" t="str">
        <x:v>BLOCKED</x:v>
      </x:c>
      <x:c r="N17" s="36" t="str">
        <x:v>BLOCKED</x:v>
      </x:c>
      <x:c r="O17" s="36" t="str">
        <x:v>BLOCKED</x:v>
      </x:c>
      <x:c r="P17" s="36" t="str">
        <x:v>BLOCKED</x:v>
      </x:c>
      <x:c r="Q17" s="36" t="str">
        <x:v>BLOCKED</x:v>
      </x:c>
      <x:c r="R17" s="36" t="str">
        <x:v>Согласовать рецептуру, технологию, режимы, хранение и аллергены</x:v>
      </x:c>
      <x:c r="S17" s="37" t="str">
        <x:v>BLOCKED</x:v>
      </x:c>
    </x:row>
    <x:row r="18">
      <x:c r="A18" s="35" t="str">
        <x:v>VKT-014</x:v>
      </x:c>
      <x:c r="B18" s="36" t="str">
        <x:v>VKM-014</x:v>
      </x:c>
      <x:c r="C18" s="36" t="str">
        <x:v>Сельдь с запечённым картофелем</x:v>
      </x:c>
      <x:c r="D18" s="36" t="str">
        <x:v>BLOCKED</x:v>
      </x:c>
      <x:c r="E18" s="36" t="str">
        <x:v>BLOCKED</x:v>
      </x:c>
      <x:c r="F18" s="36" t="str">
        <x:v>BLOCKED</x:v>
      </x:c>
      <x:c r="G18" s="36" t="str">
        <x:v>BLOCKED</x:v>
      </x:c>
      <x:c r="H18" s="36" t="str">
        <x:v>BLOCKED</x:v>
      </x:c>
      <x:c r="I18" s="36" t="str">
        <x:v>BLOCKED</x:v>
      </x:c>
      <x:c r="J18" s="36" t="str">
        <x:v>BLOCKED</x:v>
      </x:c>
      <x:c r="K18" s="36" t="str">
        <x:v>BLOCKED</x:v>
      </x:c>
      <x:c r="L18" s="36" t="str">
        <x:v>250 г</x:v>
      </x:c>
      <x:c r="M18" s="36" t="str">
        <x:v>BLOCKED</x:v>
      </x:c>
      <x:c r="N18" s="36" t="str">
        <x:v>BLOCKED</x:v>
      </x:c>
      <x:c r="O18" s="36" t="str">
        <x:v>BLOCKED</x:v>
      </x:c>
      <x:c r="P18" s="36" t="str">
        <x:v>BLOCKED</x:v>
      </x:c>
      <x:c r="Q18" s="36" t="str">
        <x:v>BLOCKED</x:v>
      </x:c>
      <x:c r="R18" s="36" t="str">
        <x:v>Согласовать рецептуру, технологию, режимы, хранение и аллергены</x:v>
      </x:c>
      <x:c r="S18" s="37" t="str">
        <x:v>BLOCKED</x:v>
      </x:c>
    </x:row>
    <x:row r="19">
      <x:c r="A19" s="35" t="str">
        <x:v>VKT-015</x:v>
      </x:c>
      <x:c r="B19" s="36" t="str">
        <x:v>VKM-015</x:v>
      </x:c>
      <x:c r="C19" s="36" t="str">
        <x:v>Оливки и маслины</x:v>
      </x:c>
      <x:c r="D19" s="36" t="str">
        <x:v>BLOCKED</x:v>
      </x:c>
      <x:c r="E19" s="36" t="str">
        <x:v>BLOCKED</x:v>
      </x:c>
      <x:c r="F19" s="36" t="str">
        <x:v>BLOCKED</x:v>
      </x:c>
      <x:c r="G19" s="36" t="str">
        <x:v>BLOCKED</x:v>
      </x:c>
      <x:c r="H19" s="36" t="str">
        <x:v>BLOCKED</x:v>
      </x:c>
      <x:c r="I19" s="36" t="str">
        <x:v>BLOCKED</x:v>
      </x:c>
      <x:c r="J19" s="36" t="str">
        <x:v>BLOCKED</x:v>
      </x:c>
      <x:c r="K19" s="36" t="str">
        <x:v>BLOCKED</x:v>
      </x:c>
      <x:c r="L19" s="36" t="str">
        <x:v>120 г</x:v>
      </x:c>
      <x:c r="M19" s="36" t="str">
        <x:v>BLOCKED</x:v>
      </x:c>
      <x:c r="N19" s="36" t="str">
        <x:v>BLOCKED</x:v>
      </x:c>
      <x:c r="O19" s="36" t="str">
        <x:v>BLOCKED</x:v>
      </x:c>
      <x:c r="P19" s="36" t="str">
        <x:v>BLOCKED</x:v>
      </x:c>
      <x:c r="Q19" s="36" t="str">
        <x:v>BLOCKED</x:v>
      </x:c>
      <x:c r="R19" s="36" t="str">
        <x:v>Согласовать рецептуру, технологию, режимы, хранение и аллергены</x:v>
      </x:c>
      <x:c r="S19" s="37" t="str">
        <x:v>BLOCKED</x:v>
      </x:c>
    </x:row>
    <x:row r="20">
      <x:c r="A20" s="35" t="str">
        <x:v>VKT-016</x:v>
      </x:c>
      <x:c r="B20" s="36" t="str">
        <x:v>VKM-016</x:v>
      </x:c>
      <x:c r="C20" s="36" t="str">
        <x:v>Ассорти фирменных солений</x:v>
      </x:c>
      <x:c r="D20" s="36" t="str">
        <x:v>BLOCKED</x:v>
      </x:c>
      <x:c r="E20" s="36" t="str">
        <x:v>BLOCKED</x:v>
      </x:c>
      <x:c r="F20" s="36" t="str">
        <x:v>BLOCKED</x:v>
      </x:c>
      <x:c r="G20" s="36" t="str">
        <x:v>BLOCKED</x:v>
      </x:c>
      <x:c r="H20" s="36" t="str">
        <x:v>BLOCKED</x:v>
      </x:c>
      <x:c r="I20" s="36" t="str">
        <x:v>BLOCKED</x:v>
      </x:c>
      <x:c r="J20" s="36" t="str">
        <x:v>BLOCKED</x:v>
      </x:c>
      <x:c r="K20" s="36" t="str">
        <x:v>BLOCKED</x:v>
      </x:c>
      <x:c r="L20" s="36" t="str">
        <x:v>180 г</x:v>
      </x:c>
      <x:c r="M20" s="36" t="str">
        <x:v>BLOCKED</x:v>
      </x:c>
      <x:c r="N20" s="36" t="str">
        <x:v>BLOCKED</x:v>
      </x:c>
      <x:c r="O20" s="36" t="str">
        <x:v>BLOCKED</x:v>
      </x:c>
      <x:c r="P20" s="36" t="str">
        <x:v>BLOCKED</x:v>
      </x:c>
      <x:c r="Q20" s="36" t="str">
        <x:v>BLOCKED</x:v>
      </x:c>
      <x:c r="R20" s="36" t="str">
        <x:v>Согласовать рецептуру, технологию, режимы, хранение и аллергены</x:v>
      </x:c>
      <x:c r="S20" s="37" t="str">
        <x:v>BLOCKED</x:v>
      </x:c>
    </x:row>
    <x:row r="21">
      <x:c r="A21" s="35" t="str">
        <x:v>VKT-017</x:v>
      </x:c>
      <x:c r="B21" s="36" t="str">
        <x:v>VKM-017</x:v>
      </x:c>
      <x:c r="C21" s="36" t="str">
        <x:v>Ростбиф с луком и гренкой</x:v>
      </x:c>
      <x:c r="D21" s="36" t="str">
        <x:v>BLOCKED</x:v>
      </x:c>
      <x:c r="E21" s="36" t="str">
        <x:v>BLOCKED</x:v>
      </x:c>
      <x:c r="F21" s="36" t="str">
        <x:v>BLOCKED</x:v>
      </x:c>
      <x:c r="G21" s="36" t="str">
        <x:v>BLOCKED</x:v>
      </x:c>
      <x:c r="H21" s="36" t="str">
        <x:v>BLOCKED</x:v>
      </x:c>
      <x:c r="I21" s="36" t="str">
        <x:v>BLOCKED</x:v>
      </x:c>
      <x:c r="J21" s="36" t="str">
        <x:v>BLOCKED</x:v>
      </x:c>
      <x:c r="K21" s="36" t="str">
        <x:v>BLOCKED</x:v>
      </x:c>
      <x:c r="L21" s="36" t="str">
        <x:v>180 г</x:v>
      </x:c>
      <x:c r="M21" s="36" t="str">
        <x:v>BLOCKED</x:v>
      </x:c>
      <x:c r="N21" s="36" t="str">
        <x:v>BLOCKED</x:v>
      </x:c>
      <x:c r="O21" s="36" t="str">
        <x:v>BLOCKED</x:v>
      </x:c>
      <x:c r="P21" s="36" t="str">
        <x:v>BLOCKED</x:v>
      </x:c>
      <x:c r="Q21" s="36" t="str">
        <x:v>BLOCKED</x:v>
      </x:c>
      <x:c r="R21" s="36" t="str">
        <x:v>Согласовать рецептуру, технологию, режимы, хранение и аллергены</x:v>
      </x:c>
      <x:c r="S21" s="37" t="str">
        <x:v>BLOCKED</x:v>
      </x:c>
    </x:row>
    <x:row r="22">
      <x:c r="A22" s="35" t="str">
        <x:v>VKT-018</x:v>
      </x:c>
      <x:c r="B22" s="36" t="str">
        <x:v>VKM-018</x:v>
      </x:c>
      <x:c r="C22" s="36" t="str">
        <x:v>Традиционный красный борщ</x:v>
      </x:c>
      <x:c r="D22" s="36" t="str">
        <x:v>BLOCKED</x:v>
      </x:c>
      <x:c r="E22" s="36" t="str">
        <x:v>BLOCKED</x:v>
      </x:c>
      <x:c r="F22" s="36" t="str">
        <x:v>BLOCKED</x:v>
      </x:c>
      <x:c r="G22" s="36" t="str">
        <x:v>BLOCKED</x:v>
      </x:c>
      <x:c r="H22" s="36" t="str">
        <x:v>BLOCKED</x:v>
      </x:c>
      <x:c r="I22" s="36" t="str">
        <x:v>BLOCKED</x:v>
      </x:c>
      <x:c r="J22" s="36" t="str">
        <x:v>BLOCKED</x:v>
      </x:c>
      <x:c r="K22" s="36" t="str">
        <x:v>BLOCKED</x:v>
      </x:c>
      <x:c r="L22" s="36" t="str">
        <x:v>400 г</x:v>
      </x:c>
      <x:c r="M22" s="36" t="str">
        <x:v>BLOCKED</x:v>
      </x:c>
      <x:c r="N22" s="36" t="str">
        <x:v>BLOCKED</x:v>
      </x:c>
      <x:c r="O22" s="36" t="str">
        <x:v>BLOCKED</x:v>
      </x:c>
      <x:c r="P22" s="36" t="str">
        <x:v>BLOCKED</x:v>
      </x:c>
      <x:c r="Q22" s="36" t="str">
        <x:v>BLOCKED</x:v>
      </x:c>
      <x:c r="R22" s="36" t="str">
        <x:v>Согласовать рецептуру, технологию, режимы, хранение и аллергены</x:v>
      </x:c>
      <x:c r="S22" s="37" t="str">
        <x:v>BLOCKED</x:v>
      </x:c>
    </x:row>
    <x:row r="23">
      <x:c r="A23" s="35" t="str">
        <x:v>VKT-019</x:v>
      </x:c>
      <x:c r="B23" s="36" t="str">
        <x:v>VKM-019</x:v>
      </x:c>
      <x:c r="C23" s="36" t="str">
        <x:v>Мурманская треска со сливочно-горчичным соусом</x:v>
      </x:c>
      <x:c r="D23" s="36" t="str">
        <x:v>BLOCKED</x:v>
      </x:c>
      <x:c r="E23" s="36" t="str">
        <x:v>BLOCKED</x:v>
      </x:c>
      <x:c r="F23" s="36" t="str">
        <x:v>BLOCKED</x:v>
      </x:c>
      <x:c r="G23" s="36" t="str">
        <x:v>BLOCKED</x:v>
      </x:c>
      <x:c r="H23" s="36" t="str">
        <x:v>BLOCKED</x:v>
      </x:c>
      <x:c r="I23" s="36" t="str">
        <x:v>BLOCKED</x:v>
      </x:c>
      <x:c r="J23" s="36" t="str">
        <x:v>BLOCKED</x:v>
      </x:c>
      <x:c r="K23" s="36" t="str">
        <x:v>BLOCKED</x:v>
      </x:c>
      <x:c r="L23" s="36" t="str">
        <x:v>300 г</x:v>
      </x:c>
      <x:c r="M23" s="36" t="str">
        <x:v>BLOCKED</x:v>
      </x:c>
      <x:c r="N23" s="36" t="str">
        <x:v>BLOCKED</x:v>
      </x:c>
      <x:c r="O23" s="36" t="str">
        <x:v>BLOCKED</x:v>
      </x:c>
      <x:c r="P23" s="36" t="str">
        <x:v>BLOCKED</x:v>
      </x:c>
      <x:c r="Q23" s="36" t="str">
        <x:v>BLOCKED</x:v>
      </x:c>
      <x:c r="R23" s="36" t="str">
        <x:v>Согласовать рецептуру, технологию, режимы, хранение и аллергены</x:v>
      </x:c>
      <x:c r="S23" s="37" t="str">
        <x:v>BLOCKED</x:v>
      </x:c>
    </x:row>
    <x:row r="24">
      <x:c r="A24" s="35" t="str">
        <x:v>VKT-020</x:v>
      </x:c>
      <x:c r="B24" s="36" t="str">
        <x:v>VKM-020</x:v>
      </x:c>
      <x:c r="C24" s="36" t="str">
        <x:v>Креветки по-тайски</x:v>
      </x:c>
      <x:c r="D24" s="36" t="str">
        <x:v>BLOCKED</x:v>
      </x:c>
      <x:c r="E24" s="36" t="str">
        <x:v>BLOCKED</x:v>
      </x:c>
      <x:c r="F24" s="36" t="str">
        <x:v>BLOCKED</x:v>
      </x:c>
      <x:c r="G24" s="36" t="str">
        <x:v>BLOCKED</x:v>
      </x:c>
      <x:c r="H24" s="36" t="str">
        <x:v>BLOCKED</x:v>
      </x:c>
      <x:c r="I24" s="36" t="str">
        <x:v>BLOCKED</x:v>
      </x:c>
      <x:c r="J24" s="36" t="str">
        <x:v>BLOCKED</x:v>
      </x:c>
      <x:c r="K24" s="36" t="str">
        <x:v>BLOCKED</x:v>
      </x:c>
      <x:c r="L24" s="36" t="str">
        <x:v>360 г</x:v>
      </x:c>
      <x:c r="M24" s="36" t="str">
        <x:v>BLOCKED</x:v>
      </x:c>
      <x:c r="N24" s="36" t="str">
        <x:v>BLOCKED</x:v>
      </x:c>
      <x:c r="O24" s="36" t="str">
        <x:v>BLOCKED</x:v>
      </x:c>
      <x:c r="P24" s="36" t="str">
        <x:v>BLOCKED</x:v>
      </x:c>
      <x:c r="Q24" s="36" t="str">
        <x:v>BLOCKED</x:v>
      </x:c>
      <x:c r="R24" s="36" t="str">
        <x:v>Согласовать рецептуру, технологию, режимы, хранение и аллергены</x:v>
      </x:c>
      <x:c r="S24" s="37" t="str">
        <x:v>BLOCKED</x:v>
      </x:c>
    </x:row>
    <x:row r="25">
      <x:c r="A25" s="35" t="str">
        <x:v>VKT-021</x:v>
      </x:c>
      <x:c r="B25" s="36" t="str">
        <x:v>VKM-021</x:v>
      </x:c>
      <x:c r="C25" s="36" t="str">
        <x:v>Бургер VARSHAVKA</x:v>
      </x:c>
      <x:c r="D25" s="36" t="str">
        <x:v>BLOCKED</x:v>
      </x:c>
      <x:c r="E25" s="36" t="str">
        <x:v>BLOCKED</x:v>
      </x:c>
      <x:c r="F25" s="36" t="str">
        <x:v>BLOCKED</x:v>
      </x:c>
      <x:c r="G25" s="36" t="str">
        <x:v>BLOCKED</x:v>
      </x:c>
      <x:c r="H25" s="36" t="str">
        <x:v>BLOCKED</x:v>
      </x:c>
      <x:c r="I25" s="36" t="str">
        <x:v>BLOCKED</x:v>
      </x:c>
      <x:c r="J25" s="36" t="str">
        <x:v>BLOCKED</x:v>
      </x:c>
      <x:c r="K25" s="36" t="str">
        <x:v>BLOCKED</x:v>
      </x:c>
      <x:c r="L25" s="36" t="str">
        <x:v>350 г</x:v>
      </x:c>
      <x:c r="M25" s="36" t="str">
        <x:v>BLOCKED</x:v>
      </x:c>
      <x:c r="N25" s="36" t="str">
        <x:v>BLOCKED</x:v>
      </x:c>
      <x:c r="O25" s="36" t="str">
        <x:v>BLOCKED</x:v>
      </x:c>
      <x:c r="P25" s="36" t="str">
        <x:v>BLOCKED</x:v>
      </x:c>
      <x:c r="Q25" s="36" t="str">
        <x:v>BLOCKED</x:v>
      </x:c>
      <x:c r="R25" s="36" t="str">
        <x:v>Согласовать рецептуру, технологию, режимы, хранение и аллергены</x:v>
      </x:c>
      <x:c r="S25" s="37" t="str">
        <x:v>BLOCKED</x:v>
      </x:c>
    </x:row>
    <x:row r="26">
      <x:c r="A26" s="35" t="str">
        <x:v>VKT-022</x:v>
      </x:c>
      <x:c r="B26" s="36" t="str">
        <x:v>VKM-022</x:v>
      </x:c>
      <x:c r="C26" s="36" t="str">
        <x:v>Миньоны из говяжьей вырезки</x:v>
      </x:c>
      <x:c r="D26" s="36" t="str">
        <x:v>BLOCKED</x:v>
      </x:c>
      <x:c r="E26" s="36" t="str">
        <x:v>BLOCKED</x:v>
      </x:c>
      <x:c r="F26" s="36" t="str">
        <x:v>BLOCKED</x:v>
      </x:c>
      <x:c r="G26" s="36" t="str">
        <x:v>BLOCKED</x:v>
      </x:c>
      <x:c r="H26" s="36" t="str">
        <x:v>BLOCKED</x:v>
      </x:c>
      <x:c r="I26" s="36" t="str">
        <x:v>BLOCKED</x:v>
      </x:c>
      <x:c r="J26" s="36" t="str">
        <x:v>BLOCKED</x:v>
      </x:c>
      <x:c r="K26" s="36" t="str">
        <x:v>BLOCKED</x:v>
      </x:c>
      <x:c r="L26" s="36" t="str">
        <x:v>300 г</x:v>
      </x:c>
      <x:c r="M26" s="36" t="str">
        <x:v>BLOCKED</x:v>
      </x:c>
      <x:c r="N26" s="36" t="str">
        <x:v>BLOCKED</x:v>
      </x:c>
      <x:c r="O26" s="36" t="str">
        <x:v>BLOCKED</x:v>
      </x:c>
      <x:c r="P26" s="36" t="str">
        <x:v>BLOCKED</x:v>
      </x:c>
      <x:c r="Q26" s="36" t="str">
        <x:v>BLOCKED</x:v>
      </x:c>
      <x:c r="R26" s="36" t="str">
        <x:v>Согласовать рецептуру, технологию, режимы, хранение и аллергены</x:v>
      </x:c>
      <x:c r="S26" s="37" t="str">
        <x:v>BLOCKED</x:v>
      </x:c>
    </x:row>
    <x:row r="27">
      <x:c r="A27" s="35" t="str">
        <x:v>VKT-023</x:v>
      </x:c>
      <x:c r="B27" s="36" t="str">
        <x:v>VKM-023</x:v>
      </x:c>
      <x:c r="C27" s="36" t="str">
        <x:v>Запечённый картофель</x:v>
      </x:c>
      <x:c r="D27" s="36" t="str">
        <x:v>BLOCKED</x:v>
      </x:c>
      <x:c r="E27" s="36" t="str">
        <x:v>BLOCKED</x:v>
      </x:c>
      <x:c r="F27" s="36" t="str">
        <x:v>BLOCKED</x:v>
      </x:c>
      <x:c r="G27" s="36" t="str">
        <x:v>BLOCKED</x:v>
      </x:c>
      <x:c r="H27" s="36" t="str">
        <x:v>BLOCKED</x:v>
      </x:c>
      <x:c r="I27" s="36" t="str">
        <x:v>BLOCKED</x:v>
      </x:c>
      <x:c r="J27" s="36" t="str">
        <x:v>BLOCKED</x:v>
      </x:c>
      <x:c r="K27" s="36" t="str">
        <x:v>BLOCKED</x:v>
      </x:c>
      <x:c r="L27" s="36" t="str">
        <x:v>150 г</x:v>
      </x:c>
      <x:c r="M27" s="36" t="str">
        <x:v>BLOCKED</x:v>
      </x:c>
      <x:c r="N27" s="36" t="str">
        <x:v>BLOCKED</x:v>
      </x:c>
      <x:c r="O27" s="36" t="str">
        <x:v>BLOCKED</x:v>
      </x:c>
      <x:c r="P27" s="36" t="str">
        <x:v>BLOCKED</x:v>
      </x:c>
      <x:c r="Q27" s="36" t="str">
        <x:v>BLOCKED</x:v>
      </x:c>
      <x:c r="R27" s="36" t="str">
        <x:v>Согласовать рецептуру, технологию, режимы, хранение и аллергены</x:v>
      </x:c>
      <x:c r="S27" s="37" t="str">
        <x:v>BLOCKED</x:v>
      </x:c>
    </x:row>
    <x:row r="28">
      <x:c r="A28" s="35" t="str">
        <x:v>VKT-024</x:v>
      </x:c>
      <x:c r="B28" s="36" t="str">
        <x:v>VKM-024</x:v>
      </x:c>
      <x:c r="C28" s="36" t="str">
        <x:v>Рис жасмин</x:v>
      </x:c>
      <x:c r="D28" s="36" t="str">
        <x:v>BLOCKED</x:v>
      </x:c>
      <x:c r="E28" s="36" t="str">
        <x:v>BLOCKED</x:v>
      </x:c>
      <x:c r="F28" s="36" t="str">
        <x:v>BLOCKED</x:v>
      </x:c>
      <x:c r="G28" s="36" t="str">
        <x:v>BLOCKED</x:v>
      </x:c>
      <x:c r="H28" s="36" t="str">
        <x:v>BLOCKED</x:v>
      </x:c>
      <x:c r="I28" s="36" t="str">
        <x:v>BLOCKED</x:v>
      </x:c>
      <x:c r="J28" s="36" t="str">
        <x:v>BLOCKED</x:v>
      </x:c>
      <x:c r="K28" s="36" t="str">
        <x:v>BLOCKED</x:v>
      </x:c>
      <x:c r="L28" s="36" t="str">
        <x:v>150 г</x:v>
      </x:c>
      <x:c r="M28" s="36" t="str">
        <x:v>BLOCKED</x:v>
      </x:c>
      <x:c r="N28" s="36" t="str">
        <x:v>BLOCKED</x:v>
      </x:c>
      <x:c r="O28" s="36" t="str">
        <x:v>BLOCKED</x:v>
      </x:c>
      <x:c r="P28" s="36" t="str">
        <x:v>BLOCKED</x:v>
      </x:c>
      <x:c r="Q28" s="36" t="str">
        <x:v>BLOCKED</x:v>
      </x:c>
      <x:c r="R28" s="36" t="str">
        <x:v>Согласовать рецептуру, технологию, режимы, хранение и аллергены</x:v>
      </x:c>
      <x:c r="S28" s="37" t="str">
        <x:v>BLOCKED</x:v>
      </x:c>
    </x:row>
    <x:row r="29">
      <x:c r="A29" s="35" t="str">
        <x:v>VKT-025</x:v>
      </x:c>
      <x:c r="B29" s="36" t="str">
        <x:v>VKM-025</x:v>
      </x:c>
      <x:c r="C29" s="36" t="str">
        <x:v>Горячие овощи</x:v>
      </x:c>
      <x:c r="D29" s="36" t="str">
        <x:v>BLOCKED</x:v>
      </x:c>
      <x:c r="E29" s="36" t="str">
        <x:v>BLOCKED</x:v>
      </x:c>
      <x:c r="F29" s="36" t="str">
        <x:v>BLOCKED</x:v>
      </x:c>
      <x:c r="G29" s="36" t="str">
        <x:v>BLOCKED</x:v>
      </x:c>
      <x:c r="H29" s="36" t="str">
        <x:v>BLOCKED</x:v>
      </x:c>
      <x:c r="I29" s="36" t="str">
        <x:v>BLOCKED</x:v>
      </x:c>
      <x:c r="J29" s="36" t="str">
        <x:v>BLOCKED</x:v>
      </x:c>
      <x:c r="K29" s="36" t="str">
        <x:v>BLOCKED</x:v>
      </x:c>
      <x:c r="L29" s="36" t="str">
        <x:v>150 г</x:v>
      </x:c>
      <x:c r="M29" s="36" t="str">
        <x:v>BLOCKED</x:v>
      </x:c>
      <x:c r="N29" s="36" t="str">
        <x:v>BLOCKED</x:v>
      </x:c>
      <x:c r="O29" s="36" t="str">
        <x:v>BLOCKED</x:v>
      </x:c>
      <x:c r="P29" s="36" t="str">
        <x:v>BLOCKED</x:v>
      </x:c>
      <x:c r="Q29" s="36" t="str">
        <x:v>BLOCKED</x:v>
      </x:c>
      <x:c r="R29" s="36" t="str">
        <x:v>Согласовать рецептуру, технологию, режимы, хранение и аллергены</x:v>
      </x:c>
      <x:c r="S29" s="37" t="str">
        <x:v>BLOCKED</x:v>
      </x:c>
    </x:row>
    <x:row r="30">
      <x:c r="A30" s="35" t="str">
        <x:v>VKT-026</x:v>
      </x:c>
      <x:c r="B30" s="36" t="str">
        <x:v>VKM-026</x:v>
      </x:c>
      <x:c r="C30" s="36" t="str">
        <x:v>Яичница, круассан и сыр двух видов</x:v>
      </x:c>
      <x:c r="D30" s="36" t="str">
        <x:v>Закрытый гостиничный завтрак</x:v>
      </x:c>
      <x:c r="E30" s="36" t="str">
        <x:v>Яйцо C0; масло; соль; круассан; чеддер; Fontina/Fontal; напиток</x:v>
      </x:c>
      <x:c r="F30" s="36" t="str">
        <x:v>Документы поставщиков и маркировка BLOCKED</x:v>
      </x:c>
      <x:c r="G30" s="36" t="str">
        <x:v>Проверка партий; взвешивание; подготовка поверхности</x:v>
      </x:c>
      <x:c r="H30" s="36" t="str">
        <x:v>Яичница порционно; выпечь круассан; нарезать сыр; комплектовать; напиток передать из бара</x:v>
      </x:c>
      <x:c r="I30" s="36" t="str">
        <x:v>Теппан/сковорода; печь; холодильник; весы; термощуп; таймер</x:v>
      </x:c>
      <x:c r="J30" s="36" t="str">
        <x:v>Время фиксируется контрольной серией</x:v>
      </x:c>
      <x:c r="K30" s="36" t="str">
        <x:v>Поверхность 150–165 °C; центр ≥72 °C; выдача ≥65 °C</x:v>
      </x:c>
      <x:c r="L30" s="36" t="str">
        <x:v>225 г + напиток 200 мл</x:v>
      </x:c>
      <x:c r="M30" s="36" t="str">
        <x:v>Готовность белка/желтка; без подгорания и свободного жира</x:v>
      </x:c>
      <x:c r="N30" s="36" t="str">
        <x:v>Порционная выдача закрытого комплекса</x:v>
      </x:c>
      <x:c r="O30" s="36" t="str">
        <x:v>BLOCKED до документа производителя и ППК</x:v>
      </x:c>
      <x:c r="P30" s="36" t="str">
        <x:v>Яйцо; молоко; состав круассана BLOCKED</x:v>
      </x:c>
      <x:c r="Q30" s="36" t="str">
        <x:v>ТП поверхности; ККТ-проект центра; ОКТ выдачи</x:v>
      </x:c>
      <x:c r="R30" s="36" t="str">
        <x:v>Подтвердить выход 120 г основного блюда; время; хранение; маркировку</x:v>
      </x:c>
      <x:c r="S30" s="37" t="str">
        <x:v>DRAFT</x:v>
      </x:c>
    </x:row>
    <x:row r="31">
      <x:c r="A31" s="35" t="str">
        <x:v>VKT-027</x:v>
      </x:c>
      <x:c r="B31" s="36" t="str">
        <x:v>VKM-027</x:v>
      </x:c>
      <x:c r="C31" s="36" t="str">
        <x:v>Омлет, круассан и сыр двух видов</x:v>
      </x:c>
      <x:c r="D31" s="36" t="str">
        <x:v>Закрытый гостиничный завтрак</x:v>
      </x:c>
      <x:c r="E31" s="36" t="str">
        <x:v>Меланж; молоко; масло; соль; круассан; чеддер; Fontina/Fontal; напиток</x:v>
      </x:c>
      <x:c r="F31" s="36" t="str">
        <x:v>Документы поставщиков и маркировка BLOCKED</x:v>
      </x:c>
      <x:c r="G31" s="36" t="str">
        <x:v>Проверка партий; смешивание; подготовка 10 форм</x:v>
      </x:c>
      <x:c r="H31" s="36" t="str">
        <x:v>Смешать; разлить в формы; приготовить в пароконвектомате; выпечь круассан; нарезать сыр; комплектовать</x:v>
      </x:c>
      <x:c r="I31" s="36" t="str">
        <x:v>Пароконвектомат; формы; печь; холодильник; весы; термощуп; таймер</x:v>
      </x:c>
      <x:c r="J31" s="36" t="str">
        <x:v>Время фиксируется контрольной серией</x:v>
      </x:c>
      <x:c r="K31" s="36" t="str">
        <x:v>Камера 150 ±5 °C, RH 20–30%; центр ≥72 °C; выдача ≥65 °C</x:v>
      </x:c>
      <x:c r="L31" s="36" t="str">
        <x:v>265 г + напиток 200 мл</x:v>
      </x:c>
      <x:c r="M31" s="36" t="str">
        <x:v>Однородность; без жидкости, комков и подгорания</x:v>
      </x:c>
      <x:c r="N31" s="36" t="str">
        <x:v>Порционная выдача закрытого комплекса</x:v>
      </x:c>
      <x:c r="O31" s="36" t="str">
        <x:v>BLOCKED до документа производителя и ППК</x:v>
      </x:c>
      <x:c r="P31" s="36" t="str">
        <x:v>Яйцо; молоко; состав круассана BLOCKED</x:v>
      </x:c>
      <x:c r="Q31" s="36" t="str">
        <x:v>ТП камеры; ККТ-проект центра; ОКТ выдачи</x:v>
      </x:c>
      <x:c r="R31" s="36" t="str">
        <x:v>Подтвердить выход 160 г; время; влажность; хранение; маркировку</x:v>
      </x:c>
      <x:c r="S31" s="37" t="str">
        <x:v>DRAFT</x:v>
      </x:c>
    </x:row>
    <x:row r="32">
      <x:c r="A32" s="35" t="str">
        <x:v>VKT-028</x:v>
      </x:c>
      <x:c r="B32" s="36" t="str">
        <x:v>VKM-028</x:v>
      </x:c>
      <x:c r="C32" s="36" t="str">
        <x:v>Овсяная каша, круассан и сыр двух видов</x:v>
      </x:c>
      <x:c r="D32" s="36" t="str">
        <x:v>Закрытый гостиничный завтрак</x:v>
      </x:c>
      <x:c r="E32" s="36" t="str">
        <x:v>Овсяные хлопья; молоко; вода; сахар; масло; соль; круассан; чеддер; Fontina/Fontal; напиток</x:v>
      </x:c>
      <x:c r="F32" s="36" t="str">
        <x:v>Документы поставщиков и маркировка BLOCKED</x:v>
      </x:c>
      <x:c r="G32" s="36" t="str">
        <x:v>Проверка партий; взвешивание; подготовка варочной ёмкости</x:v>
      </x:c>
      <x:c r="H32" s="36" t="str">
        <x:v>Сварить кашу; выдержать; выпечь круассан; нарезать сыр; порционировать и комплектовать</x:v>
      </x:c>
      <x:c r="I32" s="36" t="str">
        <x:v>Кастрюля; индукция; печь; холодильник; весы; термощуп; таймер</x:v>
      </x:c>
      <x:c r="J32" s="36" t="str">
        <x:v>Время фиксируется контрольной варкой</x:v>
      </x:c>
      <x:c r="K32" s="36" t="str">
        <x:v>Окончание ≥90 °C с выдержкой ≥1 мин; выдача ≥65 °C</x:v>
      </x:c>
      <x:c r="L32" s="36" t="str">
        <x:v>355 г + напиток 200 мл</x:v>
      </x:c>
      <x:c r="M32" s="36" t="str">
        <x:v>Без комков и пригорания; хлопья готовы; нормальные вкус и запах</x:v>
      </x:c>
      <x:c r="N32" s="36" t="str">
        <x:v>Порционная выдача закрытого комплекса</x:v>
      </x:c>
      <x:c r="O32" s="36" t="str">
        <x:v>BLOCKED до документа производителя и ППК</x:v>
      </x:c>
      <x:c r="P32" s="36" t="str">
        <x:v>Молоко; овёс и состав круассана BLOCKED по документам SKU</x:v>
      </x:c>
      <x:c r="Q32" s="36" t="str">
        <x:v>ОКТ окончания варки; ОКТ выдачи</x:v>
      </x:c>
      <x:c r="R32" s="36" t="str">
        <x:v>Подтвердить 250 г каши; время; потери; хранение; маркировку</x:v>
      </x:c>
      <x:c r="S32" s="37" t="str">
        <x:v>DRAFT</x:v>
      </x:c>
    </x:row>
    <x:row r="33">
      <x:c r="A33" s="35" t="str">
        <x:v>VKT-029</x:v>
      </x:c>
      <x:c r="B33" s="36" t="str">
        <x:v>VKM-029</x:v>
      </x:c>
      <x:c r="C33" s="36" t="str">
        <x:v>Черничный торт VARSHAVKA</x:v>
      </x:c>
      <x:c r="D33" s="36" t="str">
        <x:v>BLOCKED</x:v>
      </x:c>
      <x:c r="E33" s="36" t="str">
        <x:v>BLOCKED</x:v>
      </x:c>
      <x:c r="F33" s="36" t="str">
        <x:v>BLOCKED</x:v>
      </x:c>
      <x:c r="G33" s="36" t="str">
        <x:v>BLOCKED</x:v>
      </x:c>
      <x:c r="H33" s="36" t="str">
        <x:v>BLOCKED</x:v>
      </x:c>
      <x:c r="I33" s="36" t="str">
        <x:v>BLOCKED</x:v>
      </x:c>
      <x:c r="J33" s="36" t="str">
        <x:v>BLOCKED</x:v>
      </x:c>
      <x:c r="K33" s="36" t="str">
        <x:v>BLOCKED</x:v>
      </x:c>
      <x:c r="L33" s="36" t="str">
        <x:v>1 800 г / 150 г</x:v>
      </x:c>
      <x:c r="M33" s="36" t="str">
        <x:v>BLOCKED</x:v>
      </x:c>
      <x:c r="N33" s="36" t="str">
        <x:v>BLOCKED</x:v>
      </x:c>
      <x:c r="O33" s="36" t="str">
        <x:v>BLOCKED</x:v>
      </x:c>
      <x:c r="P33" s="36" t="str">
        <x:v>BLOCKED</x:v>
      </x:c>
      <x:c r="Q33" s="36" t="str">
        <x:v>BLOCKED</x:v>
      </x:c>
      <x:c r="R33" s="36" t="str">
        <x:v>Согласовать рецептуру, технологию, режимы, хранение и аллергены</x:v>
      </x:c>
      <x:c r="S33" s="37" t="str">
        <x:v>BLOCKED</x:v>
      </x:c>
    </x:row>
    <x:row r="34">
      <x:c r="A34" s="35" t="str">
        <x:v>VKT-030</x:v>
      </x:c>
      <x:c r="B34" s="36" t="str">
        <x:v>VKM-030</x:v>
      </x:c>
      <x:c r="C34" s="36" t="str">
        <x:v>Кростата с солёной карамелью</x:v>
      </x:c>
      <x:c r="D34" s="36" t="str">
        <x:v>BLOCKED</x:v>
      </x:c>
      <x:c r="E34" s="36" t="str">
        <x:v>BLOCKED</x:v>
      </x:c>
      <x:c r="F34" s="36" t="str">
        <x:v>BLOCKED</x:v>
      </x:c>
      <x:c r="G34" s="36" t="str">
        <x:v>BLOCKED</x:v>
      </x:c>
      <x:c r="H34" s="36" t="str">
        <x:v>BLOCKED</x:v>
      </x:c>
      <x:c r="I34" s="36" t="str">
        <x:v>BLOCKED</x:v>
      </x:c>
      <x:c r="J34" s="36" t="str">
        <x:v>BLOCKED</x:v>
      </x:c>
      <x:c r="K34" s="36" t="str">
        <x:v>BLOCKED</x:v>
      </x:c>
      <x:c r="L34" s="36" t="str">
        <x:v>1 200 г / 120 г</x:v>
      </x:c>
      <x:c r="M34" s="36" t="str">
        <x:v>BLOCKED</x:v>
      </x:c>
      <x:c r="N34" s="36" t="str">
        <x:v>BLOCKED</x:v>
      </x:c>
      <x:c r="O34" s="36" t="str">
        <x:v>BLOCKED</x:v>
      </x:c>
      <x:c r="P34" s="36" t="str">
        <x:v>BLOCKED</x:v>
      </x:c>
      <x:c r="Q34" s="36" t="str">
        <x:v>BLOCKED</x:v>
      </x:c>
      <x:c r="R34" s="36" t="str">
        <x:v>Согласовать рецептуру, технологию, режимы, хранение и аллергены</x:v>
      </x:c>
      <x:c r="S34" s="37" t="str">
        <x:v>BLOCKED</x:v>
      </x:c>
    </x:row>
    <x:row r="35">
      <x:c r="A35" s="38" t="str">
        <x:v>VKT-031</x:v>
      </x:c>
      <x:c r="B35" s="39" t="str">
        <x:v>VKM-031</x:v>
      </x:c>
      <x:c r="C35" s="39" t="str">
        <x:v>Мадлен</x:v>
      </x:c>
      <x:c r="D35" s="39" t="str">
        <x:v>BLOCKED</x:v>
      </x:c>
      <x:c r="E35" s="39" t="str">
        <x:v>BLOCKED</x:v>
      </x:c>
      <x:c r="F35" s="39" t="str">
        <x:v>BLOCKED</x:v>
      </x:c>
      <x:c r="G35" s="39" t="str">
        <x:v>BLOCKED</x:v>
      </x:c>
      <x:c r="H35" s="39" t="str">
        <x:v>BLOCKED</x:v>
      </x:c>
      <x:c r="I35" s="39" t="str">
        <x:v>BLOCKED</x:v>
      </x:c>
      <x:c r="J35" s="39" t="str">
        <x:v>BLOCKED</x:v>
      </x:c>
      <x:c r="K35" s="39" t="str">
        <x:v>BLOCKED</x:v>
      </x:c>
      <x:c r="L35" s="39" t="str">
        <x:v>600 г / 60 г</x:v>
      </x:c>
      <x:c r="M35" s="39" t="str">
        <x:v>BLOCKED</x:v>
      </x:c>
      <x:c r="N35" s="39" t="str">
        <x:v>BLOCKED</x:v>
      </x:c>
      <x:c r="O35" s="39" t="str">
        <x:v>BLOCKED</x:v>
      </x:c>
      <x:c r="P35" s="39" t="str">
        <x:v>BLOCKED</x:v>
      </x:c>
      <x:c r="Q35" s="39" t="str">
        <x:v>BLOCKED</x:v>
      </x:c>
      <x:c r="R35" s="39" t="str">
        <x:v>Согласовать рецептуру, технологию, режимы, хранение и аллергены</x:v>
      </x:c>
      <x:c r="S35" s="40" t="str">
        <x:v>BLOCKED</x:v>
      </x:c>
    </x:row>
  </x:sheetData>
  <x:mergeCells>
    <x:mergeCell ref="A1:S1"/>
    <x:mergeCell ref="A2:S2"/>
  </x:mergeCells>
  <x:conditionalFormatting sqref="S5:S35">
    <x:cfRule type="containsText" dxfId="30" priority="1" operator="containsText" text="FACT"/>
    <x:cfRule type="containsText" dxfId="31" priority="2" operator="containsText" text="CALCULATED"/>
    <x:cfRule type="containsText" dxfId="32" priority="3" operator="containsText" text="ASSUMPTION"/>
    <x:cfRule type="containsText" dxfId="33" priority="4" operator="containsText" text="DRAFT"/>
    <x:cfRule type="containsText" dxfId="34" priority="5" operator="containsText" text="BLOCKED"/>
    <x:cfRule type="containsText" dxfId="35" priority="6" operator="containsText" text="SUPERSEDED"/>
  </x:conditionalFormatting>
  <x:dataValidations count="1">
    <x:dataValidation type="list" sqref="S5:S35">
      <x:formula1>"FACT,CALCULATED,ASSUMPTION,DRAFT,BLOCKED,SUPERSEDED"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c39c2d12d0434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8" hidden="0" customWidth="1"/>
    <x:col min="3" max="3" width="14" hidden="0" customWidth="1"/>
    <x:col min="4" max="4" width="18" hidden="0" customWidth="1"/>
    <x:col min="5" max="5" width="22" hidden="0" customWidth="1"/>
    <x:col min="6" max="6" width="18" hidden="0" customWidth="1"/>
    <x:col min="7" max="7" width="30" hidden="0" customWidth="1"/>
    <x:col min="8" max="8" width="18" hidden="0" customWidth="1"/>
    <x:col min="9" max="9" width="14" hidden="0" customWidth="1"/>
    <x:col min="10" max="10" width="54" hidden="0" customWidth="1"/>
    <x:col min="11" max="11" width="18" hidden="0" customWidth="1"/>
    <x:col min="12" max="12" width="42" hidden="0" customWidth="1"/>
  </x:cols>
  <x:sheetData>
    <x:row r="1" ht="28" customHeight="1">
      <x:c r="A1" s="3" t="str">
        <x:v>04 — Сырьё и цены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42" customHeight="1">
      <x:c r="A2" s="7" t="str">
        <x:v>Публичные наблюдения S04 и аналитические параметры. До документов поставщиков значения DRAFT/ASSUMPTION.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54" customHeight="1">
      <x:c r="A4" s="12" t="str">
        <x:v>Код сырья/цены</x:v>
      </x:c>
      <x:c r="B4" s="12" t="str">
        <x:v>Наименование сырья</x:v>
      </x:c>
      <x:c r="C4" s="12" t="str">
        <x:v>Единица цены</x:v>
      </x:c>
      <x:c r="D4" s="12" t="str">
        <x:v>Количество в упаковке</x:v>
      </x:c>
      <x:c r="E4" s="12" t="str">
        <x:v>Цена упаковки с НДС, руб.</x:v>
      </x:c>
      <x:c r="F4" s="12" t="str">
        <x:v>Цена единицы, руб.</x:v>
      </x:c>
      <x:c r="G4" s="12" t="str">
        <x:v>Поставщик / источник</x:v>
      </x:c>
      <x:c r="H4" s="12" t="str">
        <x:v>Артикул</x:v>
      </x:c>
      <x:c r="I4" s="12" t="str">
        <x:v>Дата цены</x:v>
      </x:c>
      <x:c r="J4" s="12" t="str">
        <x:v>Ссылка / основание</x:v>
      </x:c>
      <x:c r="K4" s="12" t="str">
        <x:v>Статус данных</x:v>
      </x:c>
      <x:c r="L4" s="12" t="str">
        <x:v>Комментарий</x:v>
      </x:c>
    </x:row>
    <x:row r="5">
      <x:c r="A5" s="32" t="str">
        <x:v>P-EGG-C0</x:v>
      </x:c>
      <x:c r="B5" s="33" t="str">
        <x:v>Яйцо куриное C0</x:v>
      </x:c>
      <x:c r="C5" s="33" t="str">
        <x:v>шт.</x:v>
      </x:c>
      <x:c r="D5" s="47" t="n">
        <x:v>10</x:v>
      </x:c>
      <x:c r="E5" s="47" t="n">
        <x:v>129.99</x:v>
      </x:c>
      <x:c r="F5" s="47" t="n">
        <x:f>IFERROR(E5/D5,"")</x:f>
        <x:v>12.999</x:v>
      </x:c>
      <x:c r="G5" s="33" t="str">
        <x:v>Лента / Дивеевское</x:v>
      </x:c>
      <x:c r="H5" s="33" t="str">
        <x:v>739866</x:v>
      </x:c>
      <x:c r="I5" s="41" t="n">
        <x:v>46230</x:v>
      </x:c>
      <x:c r="J5" s="33" t="str">
        <x:v>https://lenta.com/product/yajjco-kurinoe-diveevskoe-s0-rossiya-10sht-739866/</x:v>
      </x:c>
      <x:c r="K5" s="33" t="str">
        <x:v>DRAFT</x:v>
      </x:c>
      <x:c r="L5" s="34" t="str">
        <x:v>Нужен документ поставщика</x:v>
      </x:c>
    </x:row>
    <x:row r="6">
      <x:c r="A6" s="35" t="str">
        <x:v>P-MELANGE-GROVO</x:v>
      </x:c>
      <x:c r="B6" s="36" t="str">
        <x:v>Меланж пастеризованный GROVO</x:v>
      </x:c>
      <x:c r="C6" s="36" t="str">
        <x:v>кг</x:v>
      </x:c>
      <x:c r="D6" s="48" t="n">
        <x:v>0.9</x:v>
      </x:c>
      <x:c r="E6" s="48" t="n">
        <x:v>361.5</x:v>
      </x:c>
      <x:c r="F6" s="48" t="n">
        <x:f>IFERROR(E6/D6,"")</x:f>
        <x:v>401.66666666666663</x:v>
      </x:c>
      <x:c r="G6" s="36" t="str">
        <x:v>публичная карточка / GROVO</x:v>
      </x:c>
      <x:c r="H6" s="36" t="str">
        <x:v>не подтверждён</x:v>
      </x:c>
      <x:c r="I6" s="42" t="n">
        <x:v>46230</x:v>
      </x:c>
      <x:c r="J6" s="36" t="str">
        <x:v>https://da-mart.ru/catalog/goods/296776/</x:v>
      </x:c>
      <x:c r="K6" s="36" t="str">
        <x:v>DRAFT</x:v>
      </x:c>
      <x:c r="L6" s="37" t="str">
        <x:v>Масса и цена требуют документа GROVO</x:v>
      </x:c>
    </x:row>
    <x:row r="7">
      <x:c r="A7" s="35" t="str">
        <x:v>P-MILK-DS</x:v>
      </x:c>
      <x:c r="B7" s="36" t="str">
        <x:v>Молоко «Деловой Стандарт Select» 3,2%</x:v>
      </x:c>
      <x:c r="C7" s="36" t="str">
        <x:v>л</x:v>
      </x:c>
      <x:c r="D7" s="48" t="n">
        <x:v>1</x:v>
      </x:c>
      <x:c r="E7" s="48" t="n">
        <x:v>146</x:v>
      </x:c>
      <x:c r="F7" s="48" t="n">
        <x:f>IFERROR(E7/D7,"")</x:f>
        <x:v>146</x:v>
      </x:c>
      <x:c r="G7" s="36" t="str">
        <x:v>Pragmatic</x:v>
      </x:c>
      <x:c r="H7" s="36" t="str">
        <x:v>12106183</x:v>
      </x:c>
      <x:c r="I7" s="42" t="n">
        <x:v>46230</x:v>
      </x:c>
      <x:c r="J7" s="36" t="str">
        <x:v>https://www.pragmatic.ru/product/moloko-delovoy-standart-select-ultrapasterizovannoe-32-1-l</x:v>
      </x:c>
      <x:c r="K7" s="36" t="str">
        <x:v>DRAFT</x:v>
      </x:c>
      <x:c r="L7" s="37" t="str">
        <x:v>Масса нетто требует документа</x:v>
      </x:c>
    </x:row>
    <x:row r="8">
      <x:c r="A8" s="35" t="str">
        <x:v>P-BUTTER</x:v>
      </x:c>
      <x:c r="B8" s="36" t="str">
        <x:v>Масло сливочное 82,5%</x:v>
      </x:c>
      <x:c r="C8" s="36" t="str">
        <x:v>кг</x:v>
      </x:c>
      <x:c r="D8" s="48" t="n">
        <x:v>0.18</x:v>
      </x:c>
      <x:c r="E8" s="48" t="n">
        <x:v>199.99</x:v>
      </x:c>
      <x:c r="F8" s="48" t="n">
        <x:f>IFERROR(E8/D8,"")</x:f>
        <x:v>1111.0555555555557</x:v>
      </x:c>
      <x:c r="G8" s="36" t="str">
        <x:v>Лента / Вкуснотеево</x:v>
      </x:c>
      <x:c r="H8" s="36" t="str">
        <x:v>743324</x:v>
      </x:c>
      <x:c r="I8" s="42" t="n">
        <x:v>46230</x:v>
      </x:c>
      <x:c r="J8" s="36" t="str">
        <x:v>https://lenta.com/product/maslo-slivochnoe-vkusnoteevo-tradicionnoe-825-rossiya-180g-743324/</x:v>
      </x:c>
      <x:c r="K8" s="36" t="str">
        <x:v>DRAFT</x:v>
      </x:c>
      <x:c r="L8" s="37" t="str">
        <x:v>Нужен документ поставщика</x:v>
      </x:c>
    </x:row>
    <x:row r="9">
      <x:c r="A9" s="35" t="str">
        <x:v>P-OATS</x:v>
      </x:c>
      <x:c r="B9" s="36" t="str">
        <x:v>Овсяные хлопья длительной варки</x:v>
      </x:c>
      <x:c r="C9" s="36" t="str">
        <x:v>кг</x:v>
      </x:c>
      <x:c r="D9" s="48" t="n">
        <x:v>0.5</x:v>
      </x:c>
      <x:c r="E9" s="48" t="n">
        <x:v>104.99</x:v>
      </x:c>
      <x:c r="F9" s="48" t="n">
        <x:f>IFERROR(E9/D9,"")</x:f>
        <x:v>209.98</x:v>
      </x:c>
      <x:c r="G9" s="36" t="str">
        <x:v>Лента / Клинские</x:v>
      </x:c>
      <x:c r="H9" s="36" t="str">
        <x:v>627534</x:v>
      </x:c>
      <x:c r="I9" s="42" t="n">
        <x:v>46230</x:v>
      </x:c>
      <x:c r="J9" s="36" t="str">
        <x:v>https://lenta.com/product/khlopya-ovsyanye-klinskie-gerkules-rossiya-500g-627534/</x:v>
      </x:c>
      <x:c r="K9" s="36" t="str">
        <x:v>DRAFT</x:v>
      </x:c>
      <x:c r="L9" s="37" t="str">
        <x:v>Публичная цена</x:v>
      </x:c>
    </x:row>
    <x:row r="10">
      <x:c r="A10" s="35" t="str">
        <x:v>P-SUGAR</x:v>
      </x:c>
      <x:c r="B10" s="36" t="str">
        <x:v>Сахар</x:v>
      </x:c>
      <x:c r="C10" s="36" t="str">
        <x:v>кг</x:v>
      </x:c>
      <x:c r="D10" s="48" t="n">
        <x:v>1</x:v>
      </x:c>
      <x:c r="E10" s="48" t="n">
        <x:v>99.99</x:v>
      </x:c>
      <x:c r="F10" s="48" t="n">
        <x:f>IFERROR(E10/D10,"")</x:f>
        <x:v>99.99</x:v>
      </x:c>
      <x:c r="G10" s="36" t="str">
        <x:v>Лента</x:v>
      </x:c>
      <x:c r="H10" s="36" t="str">
        <x:v>717070</x:v>
      </x:c>
      <x:c r="I10" s="42" t="n">
        <x:v>46230</x:v>
      </x:c>
      <x:c r="J10" s="36" t="str">
        <x:v>https://lenta.com/product/sakhar-pesok-lenta-rossiya-1kg-717070/</x:v>
      </x:c>
      <x:c r="K10" s="36" t="str">
        <x:v>DRAFT</x:v>
      </x:c>
      <x:c r="L10" s="37" t="str">
        <x:v>Публичная цена</x:v>
      </x:c>
    </x:row>
    <x:row r="11">
      <x:c r="A11" s="35" t="str">
        <x:v>P-SALT</x:v>
      </x:c>
      <x:c r="B11" s="36" t="str">
        <x:v>Соль</x:v>
      </x:c>
      <x:c r="C11" s="36" t="str">
        <x:v>кг</x:v>
      </x:c>
      <x:c r="D11" s="48" t="n">
        <x:v>1</x:v>
      </x:c>
      <x:c r="E11" s="48" t="n">
        <x:v>42.99</x:v>
      </x:c>
      <x:c r="F11" s="48" t="n">
        <x:f>IFERROR(E11/D11,"")</x:f>
        <x:v>42.99</x:v>
      </x:c>
      <x:c r="G11" s="36" t="str">
        <x:v>Лента / Усольская</x:v>
      </x:c>
      <x:c r="H11" s="36" t="str">
        <x:v>214838</x:v>
      </x:c>
      <x:c r="I11" s="42" t="n">
        <x:v>46230</x:v>
      </x:c>
      <x:c r="J11" s="36" t="str">
        <x:v>https://lenta.com/product/sol-usolskaya-pishhevaya-vyvarochnaya-jodirovannaya-rossiya-1kg-214838/</x:v>
      </x:c>
      <x:c r="K11" s="36" t="str">
        <x:v>DRAFT</x:v>
      </x:c>
      <x:c r="L11" s="37" t="str">
        <x:v>Публичная цена</x:v>
      </x:c>
    </x:row>
    <x:row r="12">
      <x:c r="A12" s="35" t="str">
        <x:v>P-CROISSANT-80</x:v>
      </x:c>
      <x:c r="B12" s="36" t="str">
        <x:v>Круассан замороженный без начинки 80 г</x:v>
      </x:c>
      <x:c r="C12" s="36" t="str">
        <x:v>шт.</x:v>
      </x:c>
      <x:c r="D12" s="48" t="n">
        <x:v>60</x:v>
      </x:c>
      <x:c r="E12" s="48" t="n">
        <x:v>2033.28</x:v>
      </x:c>
      <x:c r="F12" s="48" t="n">
        <x:f>IFERROR(E12/D12,"")</x:f>
        <x:v>33.888</x:v>
      </x:c>
      <x:c r="G12" s="36" t="str">
        <x:v>Supl.biz</x:v>
      </x:c>
      <x:c r="H12" s="36" t="str">
        <x:v>26840364</x:v>
      </x:c>
      <x:c r="I12" s="42" t="n">
        <x:v>46230</x:v>
      </x:c>
      <x:c r="J12" s="36" t="str">
        <x:v>https://supl.biz/kruassan-60sht-80-g-p26840364/</x:v>
      </x:c>
      <x:c r="K12" s="36" t="str">
        <x:v>DRAFT</x:v>
      </x:c>
      <x:c r="L12" s="37" t="str">
        <x:v>Состав и масло не подтверждены</x:v>
      </x:c>
    </x:row>
    <x:row r="13">
      <x:c r="A13" s="35" t="str">
        <x:v>P-CHEDDAR</x:v>
      </x:c>
      <x:c r="B13" s="36" t="str">
        <x:v>Чеддер, порционный ломтик</x:v>
      </x:c>
      <x:c r="C13" s="36" t="str">
        <x:v>кг</x:v>
      </x:c>
      <x:c r="D13" s="48" t="n">
        <x:v>0.125</x:v>
      </x:c>
      <x:c r="E13" s="48" t="n">
        <x:v>174.99</x:v>
      </x:c>
      <x:c r="F13" s="48" t="n">
        <x:f>IFERROR(E13/D13,"")</x:f>
        <x:v>1399.92</x:v>
      </x:c>
      <x:c r="G13" s="36" t="str">
        <x:v>Лента / Schonfeld</x:v>
      </x:c>
      <x:c r="H13" s="36" t="str">
        <x:v>722806</x:v>
      </x:c>
      <x:c r="I13" s="42" t="n">
        <x:v>46230</x:v>
      </x:c>
      <x:c r="J13" s="36" t="str">
        <x:v>https://lenta.com/product/syr-schonfeld-cheddar-50-narezka-rossiya-125g-722806/</x:v>
      </x:c>
      <x:c r="K13" s="36" t="str">
        <x:v>DRAFT</x:v>
      </x:c>
      <x:c r="L13" s="37" t="str">
        <x:v>Фасовка ломтика требует проверки</x:v>
      </x:c>
    </x:row>
    <x:row r="14">
      <x:c r="A14" s="35" t="str">
        <x:v>P-FONTINA</x:v>
      </x:c>
      <x:c r="B14" s="36" t="str">
        <x:v>Fontina DOP / Fontal</x:v>
      </x:c>
      <x:c r="C14" s="36" t="str">
        <x:v>кг</x:v>
      </x:c>
      <x:c r="D14" s="48" t="n">
        <x:v>1</x:v>
      </x:c>
      <x:c r="E14" s="48" t="n">
        <x:v>1800</x:v>
      </x:c>
      <x:c r="F14" s="48" t="n">
        <x:f>IFERROR(E14/D14,"")</x:f>
        <x:v>1800</x:v>
      </x:c>
      <x:c r="G14" s="36" t="str">
        <x:v>Поставщик не выбран</x:v>
      </x:c>
      <x:c r="H14" s="36" t="str">
        <x:v>нет</x:v>
      </x:c>
      <x:c r="I14" s="42" t="n">
        <x:v>46230</x:v>
      </x:c>
      <x:c r="J14" s="36" t="str">
        <x:v>Решение проекта: параметр чувствительности</x:v>
      </x:c>
      <x:c r="K14" s="36" t="str">
        <x:v>ASSUMPTION</x:v>
      </x:c>
      <x:c r="L14" s="37" t="str">
        <x:v>Не утверждённая закупочная цена</x:v>
      </x:c>
    </x:row>
    <x:row r="15">
      <x:c r="A15" s="38" t="str">
        <x:v>P-DRINK</x:v>
      </x:c>
      <x:c r="B15" s="39" t="str">
        <x:v>Напиток бариста</x:v>
      </x:c>
      <x:c r="C15" s="39" t="str">
        <x:v>шт.</x:v>
      </x:c>
      <x:c r="D15" s="49" t="n">
        <x:v>1</x:v>
      </x:c>
      <x:c r="E15" s="49" t="n">
        <x:v>60</x:v>
      </x:c>
      <x:c r="F15" s="49" t="n">
        <x:f>IFERROR(E15/D15,"")</x:f>
        <x:v>60</x:v>
      </x:c>
      <x:c r="G15" s="39" t="str">
        <x:v>VARSHAVKA / Бар</x:v>
      </x:c>
      <x:c r="H15" s="39" t="str">
        <x:v>внутренний норматив</x:v>
      </x:c>
      <x:c r="I15" s="43" t="n">
        <x:v>46230</x:v>
      </x:c>
      <x:c r="J15" s="39" t="str">
        <x:v>HOTEL_BREAKFAST_DECISION_2026-07-27.md</x:v>
      </x:c>
      <x:c r="K15" s="39" t="str">
        <x:v>DRAFT</x:v>
      </x:c>
      <x:c r="L15" s="40" t="str">
        <x:v>Относится только к Гостинице</x:v>
      </x:c>
    </x:row>
  </x:sheetData>
  <x:mergeCells>
    <x:mergeCell ref="A1:L1"/>
    <x:mergeCell ref="A2:L2"/>
  </x:mergeCells>
  <x:conditionalFormatting sqref="K5:K15">
    <x:cfRule type="containsText" dxfId="18" priority="1" operator="containsText" text="FACT"/>
    <x:cfRule type="containsText" dxfId="19" priority="2" operator="containsText" text="CALCULATED"/>
    <x:cfRule type="containsText" dxfId="20" priority="3" operator="containsText" text="ASSUMPTION"/>
    <x:cfRule type="containsText" dxfId="21" priority="4" operator="containsText" text="DRAFT"/>
    <x:cfRule type="containsText" dxfId="22" priority="5" operator="containsText" text="BLOCKED"/>
    <x:cfRule type="containsText" dxfId="23" priority="6" operator="containsText" text="SUPERSEDED"/>
  </x:conditionalFormatting>
  <x:dataValidations count="3">
    <x:dataValidation type="list" sqref="K5:K15">
      <x:formula1>"FACT,CALCULATED,ASSUMPTION,DRAFT,BLOCKED,SUPERSEDED"</x:formula1>
    </x:dataValidation>
    <x:dataValidation type="decimal" operator="greaterThanOrEqual" sqref="D5:E15">
      <x:formula1>0</x:formula1>
    </x:dataValidation>
    <x:dataValidation type="date" operator="between" sqref="I5:I15">
      <x:formula1>DATE(2020,1,1)</x:formula1>
      <x:formula2>DATE(2035,12,31)</x:formula2>
    </x:dataValidation>
  </x:dataValidations>
  <x:pageMargins left="0.7" right="0.7" top="0.75" bottom="0.75" header="0.3" footer="0.3"/>
  <x:legacyDrawing xmlns:r="http://schemas.openxmlformats.org/officeDocument/2006/relationships" r:id="Re47e8cd9becf4d92"/>
  <x:tableParts count="1">
    <x:tablePart xmlns:r="http://schemas.openxmlformats.org/officeDocument/2006/relationships" r:id="Rddce0f8152ea4ba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42" hidden="0" customWidth="1"/>
    <x:col min="3" max="3" width="34" hidden="0" customWidth="1"/>
    <x:col min="4" max="4" width="48" hidden="0" customWidth="1"/>
    <x:col min="5" max="5" width="42" hidden="0" customWidth="1"/>
    <x:col min="6" max="6" width="48" hidden="0" customWidth="1"/>
    <x:col min="7" max="7" width="16" hidden="0" customWidth="1"/>
    <x:col min="8" max="8" width="50" hidden="0" customWidth="1"/>
  </x:cols>
  <x:sheetData>
    <x:row r="1" ht="28" customHeight="1">
      <x:c r="A1" s="3" t="str">
        <x:v>05 — Аллергены и безопасность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Проектный реестр. Не заменяет утверждённую ППК, маркировку поставщиков или анализ опасностей.</x:v>
      </x:c>
      <x:c r="B2" s="7"/>
      <x:c r="C2" s="7"/>
      <x:c r="D2" s="7"/>
      <x:c r="E2" s="7"/>
      <x:c r="F2" s="7"/>
      <x:c r="G2" s="7"/>
      <x:c r="H2" s="7"/>
    </x:row>
    <x:row r="4" ht="54" customHeight="1">
      <x:c r="A4" s="12" t="str">
        <x:v>Код блюда</x:v>
      </x:c>
      <x:c r="B4" s="12" t="str">
        <x:v>Наименование</x:v>
      </x:c>
      <x:c r="C4" s="12" t="str">
        <x:v>Аллергены</x:v>
      </x:c>
      <x:c r="D4" s="12" t="str">
        <x:v>Перекрёстные риски / маркировка</x:v>
      </x:c>
      <x:c r="E4" s="12" t="str">
        <x:v>Температурные ограничения</x:v>
      </x:c>
      <x:c r="F4" s="12" t="str">
        <x:v>Условия и срок хранения</x:v>
      </x:c>
      <x:c r="G4" s="12" t="str">
        <x:v>Статус</x:v>
      </x:c>
      <x:c r="H4" s="12" t="str">
        <x:v>Основание / пробел</x:v>
      </x:c>
    </x:row>
    <x:row r="5">
      <x:c r="A5" s="32" t="str">
        <x:v>VKM-001</x:v>
      </x:c>
      <x:c r="B5" s="33" t="str">
        <x:v>Маргарита</x:v>
      </x:c>
      <x:c r="C5" s="33" t="str">
        <x:v>BLOCKED</x:v>
      </x:c>
      <x:c r="D5" s="33" t="str">
        <x:v>BLOCKED</x:v>
      </x:c>
      <x:c r="E5" s="33" t="str">
        <x:v>BLOCKED</x:v>
      </x:c>
      <x:c r="F5" s="33" t="str">
        <x:v>BLOCKED</x:v>
      </x:c>
      <x:c r="G5" s="33" t="str">
        <x:v>BLOCKED</x:v>
      </x:c>
      <x:c r="H5" s="34" t="str">
        <x:v>Нет рецептуры и документов сырья</x:v>
      </x:c>
    </x:row>
    <x:row r="6">
      <x:c r="A6" s="35" t="str">
        <x:v>VKM-002</x:v>
      </x:c>
      <x:c r="B6" s="36" t="str">
        <x:v>Четыре сыра</x:v>
      </x:c>
      <x:c r="C6" s="36" t="str">
        <x:v>Молоко</x:v>
      </x:c>
      <x:c r="D6" s="36" t="str">
        <x:v>BLOCKED: состав и маркировка не получены</x:v>
      </x:c>
      <x:c r="E6" s="36" t="str">
        <x:v>BLOCKED</x:v>
      </x:c>
      <x:c r="F6" s="36" t="str">
        <x:v>BLOCKED</x:v>
      </x:c>
      <x:c r="G6" s="36" t="str">
        <x:v>DRAFT</x:v>
      </x:c>
      <x:c r="H6" s="37" t="str">
        <x:v>Аллерген следует только из наименования блюда; полный состав не подтверждён</x:v>
      </x:c>
    </x:row>
    <x:row r="7">
      <x:c r="A7" s="35" t="str">
        <x:v>VKM-003</x:v>
      </x:c>
      <x:c r="B7" s="36" t="str">
        <x:v>Грибная с ветчиной</x:v>
      </x:c>
      <x:c r="C7" s="36" t="str">
        <x:v>BLOCKED</x:v>
      </x:c>
      <x:c r="D7" s="36" t="str">
        <x:v>BLOCKED</x:v>
      </x:c>
      <x:c r="E7" s="36" t="str">
        <x:v>BLOCKED</x:v>
      </x:c>
      <x:c r="F7" s="36" t="str">
        <x:v>BLOCKED</x:v>
      </x:c>
      <x:c r="G7" s="36" t="str">
        <x:v>BLOCKED</x:v>
      </x:c>
      <x:c r="H7" s="37" t="str">
        <x:v>Нет рецептуры и документов сырья</x:v>
      </x:c>
    </x:row>
    <x:row r="8">
      <x:c r="A8" s="35" t="str">
        <x:v>VKM-004</x:v>
      </x:c>
      <x:c r="B8" s="36" t="str">
        <x:v>Пепперони</x:v>
      </x:c>
      <x:c r="C8" s="36" t="str">
        <x:v>BLOCKED</x:v>
      </x:c>
      <x:c r="D8" s="36" t="str">
        <x:v>BLOCKED</x:v>
      </x:c>
      <x:c r="E8" s="36" t="str">
        <x:v>BLOCKED</x:v>
      </x:c>
      <x:c r="F8" s="36" t="str">
        <x:v>BLOCKED</x:v>
      </x:c>
      <x:c r="G8" s="36" t="str">
        <x:v>BLOCKED</x:v>
      </x:c>
      <x:c r="H8" s="37" t="str">
        <x:v>Нет рецептуры и документов сырья</x:v>
      </x:c>
    </x:row>
    <x:row r="9">
      <x:c r="A9" s="35" t="str">
        <x:v>VKM-005</x:v>
      </x:c>
      <x:c r="B9" s="36" t="str">
        <x:v>Белая чиабатта</x:v>
      </x:c>
      <x:c r="C9" s="36" t="str">
        <x:v>BLOCKED</x:v>
      </x:c>
      <x:c r="D9" s="36" t="str">
        <x:v>BLOCKED</x:v>
      </x:c>
      <x:c r="E9" s="36" t="str">
        <x:v>BLOCKED</x:v>
      </x:c>
      <x:c r="F9" s="36" t="str">
        <x:v>BLOCKED</x:v>
      </x:c>
      <x:c r="G9" s="36" t="str">
        <x:v>BLOCKED</x:v>
      </x:c>
      <x:c r="H9" s="37" t="str">
        <x:v>Нет рецептуры и документов сырья</x:v>
      </x:c>
    </x:row>
    <x:row r="10">
      <x:c r="A10" s="35" t="str">
        <x:v>VKM-006</x:v>
      </x:c>
      <x:c r="B10" s="36" t="str">
        <x:v>Томатная чиабатта</x:v>
      </x:c>
      <x:c r="C10" s="36" t="str">
        <x:v>BLOCKED</x:v>
      </x:c>
      <x:c r="D10" s="36" t="str">
        <x:v>BLOCKED</x:v>
      </x:c>
      <x:c r="E10" s="36" t="str">
        <x:v>BLOCKED</x:v>
      </x:c>
      <x:c r="F10" s="36" t="str">
        <x:v>BLOCKED</x:v>
      </x:c>
      <x:c r="G10" s="36" t="str">
        <x:v>BLOCKED</x:v>
      </x:c>
      <x:c r="H10" s="37" t="str">
        <x:v>Нет рецептуры и документов сырья</x:v>
      </x:c>
    </x:row>
    <x:row r="11">
      <x:c r="A11" s="35" t="str">
        <x:v>VKM-007</x:v>
      </x:c>
      <x:c r="B11" s="36" t="str">
        <x:v>Бородинский хлеб</x:v>
      </x:c>
      <x:c r="C11" s="36" t="str">
        <x:v>BLOCKED</x:v>
      </x:c>
      <x:c r="D11" s="36" t="str">
        <x:v>BLOCKED</x:v>
      </x:c>
      <x:c r="E11" s="36" t="str">
        <x:v>BLOCKED</x:v>
      </x:c>
      <x:c r="F11" s="36" t="str">
        <x:v>BLOCKED</x:v>
      </x:c>
      <x:c r="G11" s="36" t="str">
        <x:v>BLOCKED</x:v>
      </x:c>
      <x:c r="H11" s="37" t="str">
        <x:v>Нет рецептуры и документов сырья</x:v>
      </x:c>
    </x:row>
    <x:row r="12">
      <x:c r="A12" s="35" t="str">
        <x:v>VKM-008</x:v>
      </x:c>
      <x:c r="B12" s="36" t="str">
        <x:v>Бриошь</x:v>
      </x:c>
      <x:c r="C12" s="36" t="str">
        <x:v>BLOCKED</x:v>
      </x:c>
      <x:c r="D12" s="36" t="str">
        <x:v>BLOCKED</x:v>
      </x:c>
      <x:c r="E12" s="36" t="str">
        <x:v>BLOCKED</x:v>
      </x:c>
      <x:c r="F12" s="36" t="str">
        <x:v>BLOCKED</x:v>
      </x:c>
      <x:c r="G12" s="36" t="str">
        <x:v>BLOCKED</x:v>
      </x:c>
      <x:c r="H12" s="37" t="str">
        <x:v>Нет рецептуры и документов сырья</x:v>
      </x:c>
    </x:row>
    <x:row r="13">
      <x:c r="A13" s="35" t="str">
        <x:v>VKM-009</x:v>
      </x:c>
      <x:c r="B13" s="36" t="str">
        <x:v>Буррата с томатами</x:v>
      </x:c>
      <x:c r="C13" s="36" t="str">
        <x:v>Молоко</x:v>
      </x:c>
      <x:c r="D13" s="36" t="str">
        <x:v>BLOCKED: состав и маркировка не получены</x:v>
      </x:c>
      <x:c r="E13" s="36" t="str">
        <x:v>BLOCKED</x:v>
      </x:c>
      <x:c r="F13" s="36" t="str">
        <x:v>BLOCKED</x:v>
      </x:c>
      <x:c r="G13" s="36" t="str">
        <x:v>DRAFT</x:v>
      </x:c>
      <x:c r="H13" s="37" t="str">
        <x:v>Аллерген следует только из наименования блюда; полный состав не подтверждён</x:v>
      </x:c>
    </x:row>
    <x:row r="14">
      <x:c r="A14" s="35" t="str">
        <x:v>VKM-010</x:v>
      </x:c>
      <x:c r="B14" s="36" t="str">
        <x:v>Микс-салат с креветками и яблоком</x:v>
      </x:c>
      <x:c r="C14" s="36" t="str">
        <x:v>Ракообразные</x:v>
      </x:c>
      <x:c r="D14" s="36" t="str">
        <x:v>BLOCKED: состав и маркировка не получены</x:v>
      </x:c>
      <x:c r="E14" s="36" t="str">
        <x:v>BLOCKED</x:v>
      </x:c>
      <x:c r="F14" s="36" t="str">
        <x:v>BLOCKED</x:v>
      </x:c>
      <x:c r="G14" s="36" t="str">
        <x:v>DRAFT</x:v>
      </x:c>
      <x:c r="H14" s="37" t="str">
        <x:v>Аллерген следует только из наименования блюда; полный состав не подтверждён</x:v>
      </x:c>
    </x:row>
    <x:row r="15">
      <x:c r="A15" s="35" t="str">
        <x:v>VKM-011</x:v>
      </x:c>
      <x:c r="B15" s="36" t="str">
        <x:v>Греческий</x:v>
      </x:c>
      <x:c r="C15" s="36" t="str">
        <x:v>BLOCKED</x:v>
      </x:c>
      <x:c r="D15" s="36" t="str">
        <x:v>BLOCKED</x:v>
      </x:c>
      <x:c r="E15" s="36" t="str">
        <x:v>BLOCKED</x:v>
      </x:c>
      <x:c r="F15" s="36" t="str">
        <x:v>BLOCKED</x:v>
      </x:c>
      <x:c r="G15" s="36" t="str">
        <x:v>BLOCKED</x:v>
      </x:c>
      <x:c r="H15" s="37" t="str">
        <x:v>Нет рецептуры и документов сырья</x:v>
      </x:c>
    </x:row>
    <x:row r="16">
      <x:c r="A16" s="35" t="str">
        <x:v>VKM-012</x:v>
      </x:c>
      <x:c r="B16" s="36" t="str">
        <x:v>Винегрет</x:v>
      </x:c>
      <x:c r="C16" s="36" t="str">
        <x:v>BLOCKED</x:v>
      </x:c>
      <x:c r="D16" s="36" t="str">
        <x:v>BLOCKED</x:v>
      </x:c>
      <x:c r="E16" s="36" t="str">
        <x:v>BLOCKED</x:v>
      </x:c>
      <x:c r="F16" s="36" t="str">
        <x:v>BLOCKED</x:v>
      </x:c>
      <x:c r="G16" s="36" t="str">
        <x:v>BLOCKED</x:v>
      </x:c>
      <x:c r="H16" s="37" t="str">
        <x:v>Нет рецептуры и документов сырья</x:v>
      </x:c>
    </x:row>
    <x:row r="17">
      <x:c r="A17" s="35" t="str">
        <x:v>VKM-013</x:v>
      </x:c>
      <x:c r="B17" s="36" t="str">
        <x:v>Слабосолёный лосось</x:v>
      </x:c>
      <x:c r="C17" s="36" t="str">
        <x:v>Рыба</x:v>
      </x:c>
      <x:c r="D17" s="36" t="str">
        <x:v>BLOCKED: состав и маркировка не получены</x:v>
      </x:c>
      <x:c r="E17" s="36" t="str">
        <x:v>BLOCKED</x:v>
      </x:c>
      <x:c r="F17" s="36" t="str">
        <x:v>BLOCKED</x:v>
      </x:c>
      <x:c r="G17" s="36" t="str">
        <x:v>DRAFT</x:v>
      </x:c>
      <x:c r="H17" s="37" t="str">
        <x:v>Аллерген следует только из наименования блюда; полный состав не подтверждён</x:v>
      </x:c>
    </x:row>
    <x:row r="18">
      <x:c r="A18" s="35" t="str">
        <x:v>VKM-014</x:v>
      </x:c>
      <x:c r="B18" s="36" t="str">
        <x:v>Сельдь с запечённым картофелем</x:v>
      </x:c>
      <x:c r="C18" s="36" t="str">
        <x:v>Рыба</x:v>
      </x:c>
      <x:c r="D18" s="36" t="str">
        <x:v>BLOCKED: состав и маркировка не получены</x:v>
      </x:c>
      <x:c r="E18" s="36" t="str">
        <x:v>BLOCKED</x:v>
      </x:c>
      <x:c r="F18" s="36" t="str">
        <x:v>BLOCKED</x:v>
      </x:c>
      <x:c r="G18" s="36" t="str">
        <x:v>DRAFT</x:v>
      </x:c>
      <x:c r="H18" s="37" t="str">
        <x:v>Аллерген следует только из наименования блюда; полный состав не подтверждён</x:v>
      </x:c>
    </x:row>
    <x:row r="19">
      <x:c r="A19" s="35" t="str">
        <x:v>VKM-015</x:v>
      </x:c>
      <x:c r="B19" s="36" t="str">
        <x:v>Оливки и маслины</x:v>
      </x:c>
      <x:c r="C19" s="36" t="str">
        <x:v>BLOCKED</x:v>
      </x:c>
      <x:c r="D19" s="36" t="str">
        <x:v>BLOCKED</x:v>
      </x:c>
      <x:c r="E19" s="36" t="str">
        <x:v>BLOCKED</x:v>
      </x:c>
      <x:c r="F19" s="36" t="str">
        <x:v>BLOCKED</x:v>
      </x:c>
      <x:c r="G19" s="36" t="str">
        <x:v>BLOCKED</x:v>
      </x:c>
      <x:c r="H19" s="37" t="str">
        <x:v>Нет рецептуры и документов сырья</x:v>
      </x:c>
    </x:row>
    <x:row r="20">
      <x:c r="A20" s="35" t="str">
        <x:v>VKM-016</x:v>
      </x:c>
      <x:c r="B20" s="36" t="str">
        <x:v>Ассорти фирменных солений</x:v>
      </x:c>
      <x:c r="C20" s="36" t="str">
        <x:v>BLOCKED</x:v>
      </x:c>
      <x:c r="D20" s="36" t="str">
        <x:v>BLOCKED</x:v>
      </x:c>
      <x:c r="E20" s="36" t="str">
        <x:v>BLOCKED</x:v>
      </x:c>
      <x:c r="F20" s="36" t="str">
        <x:v>BLOCKED</x:v>
      </x:c>
      <x:c r="G20" s="36" t="str">
        <x:v>BLOCKED</x:v>
      </x:c>
      <x:c r="H20" s="37" t="str">
        <x:v>Нет рецептуры и документов сырья</x:v>
      </x:c>
    </x:row>
    <x:row r="21">
      <x:c r="A21" s="35" t="str">
        <x:v>VKM-017</x:v>
      </x:c>
      <x:c r="B21" s="36" t="str">
        <x:v>Ростбиф с луком и гренкой</x:v>
      </x:c>
      <x:c r="C21" s="36" t="str">
        <x:v>BLOCKED</x:v>
      </x:c>
      <x:c r="D21" s="36" t="str">
        <x:v>BLOCKED</x:v>
      </x:c>
      <x:c r="E21" s="36" t="str">
        <x:v>BLOCKED</x:v>
      </x:c>
      <x:c r="F21" s="36" t="str">
        <x:v>BLOCKED</x:v>
      </x:c>
      <x:c r="G21" s="36" t="str">
        <x:v>BLOCKED</x:v>
      </x:c>
      <x:c r="H21" s="37" t="str">
        <x:v>Нет рецептуры и документов сырья</x:v>
      </x:c>
    </x:row>
    <x:row r="22">
      <x:c r="A22" s="35" t="str">
        <x:v>VKM-018</x:v>
      </x:c>
      <x:c r="B22" s="36" t="str">
        <x:v>Традиционный красный борщ</x:v>
      </x:c>
      <x:c r="C22" s="36" t="str">
        <x:v>BLOCKED</x:v>
      </x:c>
      <x:c r="D22" s="36" t="str">
        <x:v>BLOCKED</x:v>
      </x:c>
      <x:c r="E22" s="36" t="str">
        <x:v>BLOCKED</x:v>
      </x:c>
      <x:c r="F22" s="36" t="str">
        <x:v>BLOCKED</x:v>
      </x:c>
      <x:c r="G22" s="36" t="str">
        <x:v>BLOCKED</x:v>
      </x:c>
      <x:c r="H22" s="37" t="str">
        <x:v>Нет рецептуры и документов сырья</x:v>
      </x:c>
    </x:row>
    <x:row r="23">
      <x:c r="A23" s="35" t="str">
        <x:v>VKM-019</x:v>
      </x:c>
      <x:c r="B23" s="36" t="str">
        <x:v>Мурманская треска со сливочно-горчичным соусом</x:v>
      </x:c>
      <x:c r="C23" s="36" t="str">
        <x:v>Рыба; молоко; горчица</x:v>
      </x:c>
      <x:c r="D23" s="36" t="str">
        <x:v>BLOCKED: состав и маркировка не получены</x:v>
      </x:c>
      <x:c r="E23" s="36" t="str">
        <x:v>BLOCKED</x:v>
      </x:c>
      <x:c r="F23" s="36" t="str">
        <x:v>BLOCKED</x:v>
      </x:c>
      <x:c r="G23" s="36" t="str">
        <x:v>DRAFT</x:v>
      </x:c>
      <x:c r="H23" s="37" t="str">
        <x:v>Аллерген следует только из наименования блюда; полный состав не подтверждён</x:v>
      </x:c>
    </x:row>
    <x:row r="24">
      <x:c r="A24" s="35" t="str">
        <x:v>VKM-020</x:v>
      </x:c>
      <x:c r="B24" s="36" t="str">
        <x:v>Креветки по-тайски</x:v>
      </x:c>
      <x:c r="C24" s="36" t="str">
        <x:v>Ракообразные</x:v>
      </x:c>
      <x:c r="D24" s="36" t="str">
        <x:v>BLOCKED: состав и маркировка не получены</x:v>
      </x:c>
      <x:c r="E24" s="36" t="str">
        <x:v>BLOCKED</x:v>
      </x:c>
      <x:c r="F24" s="36" t="str">
        <x:v>BLOCKED</x:v>
      </x:c>
      <x:c r="G24" s="36" t="str">
        <x:v>DRAFT</x:v>
      </x:c>
      <x:c r="H24" s="37" t="str">
        <x:v>Аллерген следует только из наименования блюда; полный состав не подтверждён</x:v>
      </x:c>
    </x:row>
    <x:row r="25">
      <x:c r="A25" s="35" t="str">
        <x:v>VKM-021</x:v>
      </x:c>
      <x:c r="B25" s="36" t="str">
        <x:v>Бургер VARSHAVKA</x:v>
      </x:c>
      <x:c r="C25" s="36" t="str">
        <x:v>BLOCKED</x:v>
      </x:c>
      <x:c r="D25" s="36" t="str">
        <x:v>BLOCKED</x:v>
      </x:c>
      <x:c r="E25" s="36" t="str">
        <x:v>BLOCKED</x:v>
      </x:c>
      <x:c r="F25" s="36" t="str">
        <x:v>BLOCKED</x:v>
      </x:c>
      <x:c r="G25" s="36" t="str">
        <x:v>BLOCKED</x:v>
      </x:c>
      <x:c r="H25" s="37" t="str">
        <x:v>Нет рецептуры и документов сырья</x:v>
      </x:c>
    </x:row>
    <x:row r="26">
      <x:c r="A26" s="35" t="str">
        <x:v>VKM-022</x:v>
      </x:c>
      <x:c r="B26" s="36" t="str">
        <x:v>Миньоны из говяжьей вырезки</x:v>
      </x:c>
      <x:c r="C26" s="36" t="str">
        <x:v>BLOCKED</x:v>
      </x:c>
      <x:c r="D26" s="36" t="str">
        <x:v>BLOCKED</x:v>
      </x:c>
      <x:c r="E26" s="36" t="str">
        <x:v>BLOCKED</x:v>
      </x:c>
      <x:c r="F26" s="36" t="str">
        <x:v>BLOCKED</x:v>
      </x:c>
      <x:c r="G26" s="36" t="str">
        <x:v>BLOCKED</x:v>
      </x:c>
      <x:c r="H26" s="37" t="str">
        <x:v>Нет рецептуры и документов сырья</x:v>
      </x:c>
    </x:row>
    <x:row r="27">
      <x:c r="A27" s="35" t="str">
        <x:v>VKM-023</x:v>
      </x:c>
      <x:c r="B27" s="36" t="str">
        <x:v>Запечённый картофель</x:v>
      </x:c>
      <x:c r="C27" s="36" t="str">
        <x:v>BLOCKED</x:v>
      </x:c>
      <x:c r="D27" s="36" t="str">
        <x:v>BLOCKED</x:v>
      </x:c>
      <x:c r="E27" s="36" t="str">
        <x:v>BLOCKED</x:v>
      </x:c>
      <x:c r="F27" s="36" t="str">
        <x:v>BLOCKED</x:v>
      </x:c>
      <x:c r="G27" s="36" t="str">
        <x:v>BLOCKED</x:v>
      </x:c>
      <x:c r="H27" s="37" t="str">
        <x:v>Нет рецептуры и документов сырья</x:v>
      </x:c>
    </x:row>
    <x:row r="28">
      <x:c r="A28" s="35" t="str">
        <x:v>VKM-024</x:v>
      </x:c>
      <x:c r="B28" s="36" t="str">
        <x:v>Рис жасмин</x:v>
      </x:c>
      <x:c r="C28" s="36" t="str">
        <x:v>BLOCKED</x:v>
      </x:c>
      <x:c r="D28" s="36" t="str">
        <x:v>BLOCKED</x:v>
      </x:c>
      <x:c r="E28" s="36" t="str">
        <x:v>BLOCKED</x:v>
      </x:c>
      <x:c r="F28" s="36" t="str">
        <x:v>BLOCKED</x:v>
      </x:c>
      <x:c r="G28" s="36" t="str">
        <x:v>BLOCKED</x:v>
      </x:c>
      <x:c r="H28" s="37" t="str">
        <x:v>Нет рецептуры и документов сырья</x:v>
      </x:c>
    </x:row>
    <x:row r="29">
      <x:c r="A29" s="35" t="str">
        <x:v>VKM-025</x:v>
      </x:c>
      <x:c r="B29" s="36" t="str">
        <x:v>Горячие овощи</x:v>
      </x:c>
      <x:c r="C29" s="36" t="str">
        <x:v>BLOCKED</x:v>
      </x:c>
      <x:c r="D29" s="36" t="str">
        <x:v>BLOCKED</x:v>
      </x:c>
      <x:c r="E29" s="36" t="str">
        <x:v>BLOCKED</x:v>
      </x:c>
      <x:c r="F29" s="36" t="str">
        <x:v>BLOCKED</x:v>
      </x:c>
      <x:c r="G29" s="36" t="str">
        <x:v>BLOCKED</x:v>
      </x:c>
      <x:c r="H29" s="37" t="str">
        <x:v>Нет рецептуры и документов сырья</x:v>
      </x:c>
    </x:row>
    <x:row r="30">
      <x:c r="A30" s="35" t="str">
        <x:v>VKM-026</x:v>
      </x:c>
      <x:c r="B30" s="36" t="str">
        <x:v>Яичница, круассан и сыр двух видов</x:v>
      </x:c>
      <x:c r="C30" s="36" t="str">
        <x:v>Яйцо; молоко; состав круассана BLOCKED</x:v>
      </x:c>
      <x:c r="D30" s="36" t="str">
        <x:v>Маркировка круассана и сыров; перекрёстные следы</x:v>
      </x:c>
      <x:c r="E30" s="36" t="str">
        <x:v>Центр ≥72 °C; выдача ≥65 °C; проект ППК, испытания BLOCKED</x:v>
      </x:c>
      <x:c r="F30" s="36" t="str">
        <x:v>BLOCKED: срок и условия по документам производителя</x:v>
      </x:c>
      <x:c r="G30" s="36" t="str">
        <x:v>DRAFT</x:v>
      </x:c>
      <x:c r="H30" s="37" t="str">
        <x:v>Нужны документы поставщиков, испытания и утверждённый анализ опасностей ППК</x:v>
      </x:c>
    </x:row>
    <x:row r="31">
      <x:c r="A31" s="35" t="str">
        <x:v>VKM-027</x:v>
      </x:c>
      <x:c r="B31" s="36" t="str">
        <x:v>Омлет, круассан и сыр двух видов</x:v>
      </x:c>
      <x:c r="C31" s="36" t="str">
        <x:v>Яйцо; молоко; состав круассана BLOCKED</x:v>
      </x:c>
      <x:c r="D31" s="36" t="str">
        <x:v>Маркировка меланжа, круассана и сыров</x:v>
      </x:c>
      <x:c r="E31" s="36" t="str">
        <x:v>Центр ≥72 °C; выдача ≥65 °C; проект ППК, испытания BLOCKED</x:v>
      </x:c>
      <x:c r="F31" s="36" t="str">
        <x:v>BLOCKED: срок и условия по документам производителя</x:v>
      </x:c>
      <x:c r="G31" s="36" t="str">
        <x:v>DRAFT</x:v>
      </x:c>
      <x:c r="H31" s="37" t="str">
        <x:v>Нужны документы поставщиков, испытания и утверждённый анализ опасностей ППК</x:v>
      </x:c>
    </x:row>
    <x:row r="32">
      <x:c r="A32" s="35" t="str">
        <x:v>VKM-028</x:v>
      </x:c>
      <x:c r="B32" s="36" t="str">
        <x:v>Овсяная каша, круассан и сыр двух видов</x:v>
      </x:c>
      <x:c r="C32" s="36" t="str">
        <x:v>Молоко; овёс и состав круассана BLOCKED по документам SKU</x:v>
      </x:c>
      <x:c r="D32" s="36" t="str">
        <x:v>Маркировка овса, круассана и сыров</x:v>
      </x:c>
      <x:c r="E32" s="36" t="str">
        <x:v>Окончание ≥90 °C/1 мин; выдача ≥65 °C; проект ППК, испытания BLOCKED</x:v>
      </x:c>
      <x:c r="F32" s="36" t="str">
        <x:v>BLOCKED: срок и условия по документам производителя</x:v>
      </x:c>
      <x:c r="G32" s="36" t="str">
        <x:v>DRAFT</x:v>
      </x:c>
      <x:c r="H32" s="37" t="str">
        <x:v>Нужны документы поставщиков, испытания и утверждённый анализ опасностей ППК</x:v>
      </x:c>
    </x:row>
    <x:row r="33">
      <x:c r="A33" s="35" t="str">
        <x:v>VKM-029</x:v>
      </x:c>
      <x:c r="B33" s="36" t="str">
        <x:v>Черничный торт VARSHAVKA</x:v>
      </x:c>
      <x:c r="C33" s="36" t="str">
        <x:v>BLOCKED</x:v>
      </x:c>
      <x:c r="D33" s="36" t="str">
        <x:v>BLOCKED</x:v>
      </x:c>
      <x:c r="E33" s="36" t="str">
        <x:v>BLOCKED</x:v>
      </x:c>
      <x:c r="F33" s="36" t="str">
        <x:v>BLOCKED</x:v>
      </x:c>
      <x:c r="G33" s="36" t="str">
        <x:v>BLOCKED</x:v>
      </x:c>
      <x:c r="H33" s="37" t="str">
        <x:v>Нет рецептуры и документов сырья</x:v>
      </x:c>
    </x:row>
    <x:row r="34">
      <x:c r="A34" s="35" t="str">
        <x:v>VKM-030</x:v>
      </x:c>
      <x:c r="B34" s="36" t="str">
        <x:v>Кростата с солёной карамелью</x:v>
      </x:c>
      <x:c r="C34" s="36" t="str">
        <x:v>BLOCKED</x:v>
      </x:c>
      <x:c r="D34" s="36" t="str">
        <x:v>BLOCKED</x:v>
      </x:c>
      <x:c r="E34" s="36" t="str">
        <x:v>BLOCKED</x:v>
      </x:c>
      <x:c r="F34" s="36" t="str">
        <x:v>BLOCKED</x:v>
      </x:c>
      <x:c r="G34" s="36" t="str">
        <x:v>BLOCKED</x:v>
      </x:c>
      <x:c r="H34" s="37" t="str">
        <x:v>Нет рецептуры и документов сырья</x:v>
      </x:c>
    </x:row>
    <x:row r="35">
      <x:c r="A35" s="38" t="str">
        <x:v>VKM-031</x:v>
      </x:c>
      <x:c r="B35" s="39" t="str">
        <x:v>Мадлен</x:v>
      </x:c>
      <x:c r="C35" s="39" t="str">
        <x:v>BLOCKED</x:v>
      </x:c>
      <x:c r="D35" s="39" t="str">
        <x:v>BLOCKED</x:v>
      </x:c>
      <x:c r="E35" s="39" t="str">
        <x:v>BLOCKED</x:v>
      </x:c>
      <x:c r="F35" s="39" t="str">
        <x:v>BLOCKED</x:v>
      </x:c>
      <x:c r="G35" s="39" t="str">
        <x:v>BLOCKED</x:v>
      </x:c>
      <x:c r="H35" s="40" t="str">
        <x:v>Нет рецептуры и документов сырья</x:v>
      </x:c>
    </x:row>
  </x:sheetData>
  <x:mergeCells>
    <x:mergeCell ref="A1:H1"/>
    <x:mergeCell ref="A2:H2"/>
  </x:mergeCells>
  <x:conditionalFormatting sqref="G5:G35">
    <x:cfRule type="containsText" dxfId="36" priority="1" operator="containsText" text="FACT"/>
    <x:cfRule type="containsText" dxfId="37" priority="2" operator="containsText" text="CALCULATED"/>
    <x:cfRule type="containsText" dxfId="38" priority="3" operator="containsText" text="ASSUMPTION"/>
    <x:cfRule type="containsText" dxfId="39" priority="4" operator="containsText" text="DRAFT"/>
    <x:cfRule type="containsText" dxfId="40" priority="5" operator="containsText" text="BLOCKED"/>
    <x:cfRule type="containsText" dxfId="41" priority="6" operator="containsText" text="SUPERSEDED"/>
  </x:conditionalFormatting>
  <x:dataValidations count="1">
    <x:dataValidation type="list" sqref="G5:G35">
      <x:formula1>"FACT,CALCULATED,ASSUMPTION,DRAFT,BLOCKED,SUPERSEDED"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374735e394466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40" hidden="0" customWidth="1"/>
    <x:col min="4" max="4" width="42" hidden="0" customWidth="1"/>
    <x:col min="5" max="5" width="36" hidden="0" customWidth="1"/>
    <x:col min="6" max="6" width="18" hidden="0" customWidth="1"/>
    <x:col min="7" max="7" width="40" hidden="0" customWidth="1"/>
    <x:col min="8" max="8" width="44" hidden="0" customWidth="1"/>
    <x:col min="9" max="9" width="38" hidden="0" customWidth="1"/>
    <x:col min="10" max="10" width="44" hidden="0" customWidth="1"/>
    <x:col min="11" max="11" width="34" hidden="0" customWidth="1"/>
    <x:col min="12" max="12" width="16" hidden="0" customWidth="1"/>
    <x:col min="13" max="13" width="38" hidden="0" customWidth="1"/>
  </x:cols>
  <x:sheetData>
    <x:row r="1" ht="28" customHeight="1">
      <x:c r="A1" s="3" t="str">
        <x:v>06 — Вопросы шеф-повару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42" customHeight="1">
      <x:c r="A2" s="7" t="str">
        <x:v>Каждая активная позиция покрыта минимум одним вопросом; завтраки дополнены вопросами по выходам, температурам, аллергенам, хранению и сыру.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54" customHeight="1">
      <x:c r="A4" s="12" t="str">
        <x:v>Код вопроса</x:v>
      </x:c>
      <x:c r="B4" s="12" t="str">
        <x:v>Код блюда</x:v>
      </x:c>
      <x:c r="C4" s="12" t="str">
        <x:v>Наименование блюда</x:v>
      </x:c>
      <x:c r="D4" s="12" t="str">
        <x:v>Проверяемый параметр</x:v>
      </x:c>
      <x:c r="E4" s="12" t="str">
        <x:v>Текущее значение</x:v>
      </x:c>
      <x:c r="F4" s="12" t="str">
        <x:v>Статус текущего значения</x:v>
      </x:c>
      <x:c r="G4" s="12" t="str">
        <x:v>Источник</x:v>
      </x:c>
      <x:c r="H4" s="12" t="str">
        <x:v>Предлагаемое решение</x:v>
      </x:c>
      <x:c r="I4" s="12" t="str">
        <x:v>Варианты ответа</x:v>
      </x:c>
      <x:c r="J4" s="12" t="str">
        <x:v>Влияние решения</x:v>
      </x:c>
      <x:c r="K4" s="12" t="str">
        <x:v>Решение шеф-повара</x:v>
      </x:c>
      <x:c r="L4" s="12" t="str">
        <x:v>Дата решения</x:v>
      </x:c>
      <x:c r="M4" s="12" t="str">
        <x:v>Комментарий</x:v>
      </x:c>
    </x:row>
    <x:row r="5">
      <x:c r="A5" s="32" t="str">
        <x:v>Q-001</x:v>
      </x:c>
      <x:c r="B5" s="33" t="str">
        <x:v>VKM-001</x:v>
      </x:c>
      <x:c r="C5" s="33" t="str">
        <x:v>Маргарита</x:v>
      </x:c>
      <x:c r="D5" s="33" t="str">
        <x:v>Полная рецептура, нормы брутто/нетто, выход и технология</x:v>
      </x:c>
      <x:c r="E5" s="33"/>
      <x:c r="F5" s="33" t="str">
        <x:v>BLOCKED</x:v>
      </x:c>
      <x:c r="G5" s="33" t="str">
        <x:v>KITCHEN_MENU_3.0.0.md / S04</x:v>
      </x:c>
      <x:c r="H5" s="33" t="str">
        <x:v>Провести построчное согласование и контрольную проработку</x:v>
      </x:c>
      <x:c r="I5" s="33" t="str">
        <x:v>Подтвердить / Скорректировать / Отклонить</x:v>
      </x:c>
      <x:c r="J5" s="33" t="str">
        <x:v>Определяет себестоимость, повторяемость технологии и безопасность</x:v>
      </x:c>
      <x:c r="K5" s="33"/>
      <x:c r="L5" s="41"/>
      <x:c r="M5" s="34"/>
    </x:row>
    <x:row r="6">
      <x:c r="A6" s="35" t="str">
        <x:v>Q-002</x:v>
      </x:c>
      <x:c r="B6" s="36" t="str">
        <x:v>VKM-002</x:v>
      </x:c>
      <x:c r="C6" s="36" t="str">
        <x:v>Четыре сыра</x:v>
      </x:c>
      <x:c r="D6" s="36" t="str">
        <x:v>Полная рецептура, нормы брутто/нетто, выход и технология</x:v>
      </x:c>
      <x:c r="E6" s="36"/>
      <x:c r="F6" s="36" t="str">
        <x:v>BLOCKED</x:v>
      </x:c>
      <x:c r="G6" s="36" t="str">
        <x:v>KITCHEN_MENU_3.0.0.md / S04</x:v>
      </x:c>
      <x:c r="H6" s="36" t="str">
        <x:v>Провести построчное согласование и контрольную проработку</x:v>
      </x:c>
      <x:c r="I6" s="36" t="str">
        <x:v>Подтвердить / Скорректировать / Отклонить</x:v>
      </x:c>
      <x:c r="J6" s="36" t="str">
        <x:v>Определяет себестоимость, повторяемость технологии и безопасность</x:v>
      </x:c>
      <x:c r="K6" s="36"/>
      <x:c r="L6" s="42"/>
      <x:c r="M6" s="37"/>
    </x:row>
    <x:row r="7">
      <x:c r="A7" s="35" t="str">
        <x:v>Q-003</x:v>
      </x:c>
      <x:c r="B7" s="36" t="str">
        <x:v>VKM-003</x:v>
      </x:c>
      <x:c r="C7" s="36" t="str">
        <x:v>Грибная с ветчиной</x:v>
      </x:c>
      <x:c r="D7" s="36" t="str">
        <x:v>Полная рецептура, нормы брутто/нетто, выход и технология</x:v>
      </x:c>
      <x:c r="E7" s="36"/>
      <x:c r="F7" s="36" t="str">
        <x:v>BLOCKED</x:v>
      </x:c>
      <x:c r="G7" s="36" t="str">
        <x:v>KITCHEN_MENU_3.0.0.md / S04</x:v>
      </x:c>
      <x:c r="H7" s="36" t="str">
        <x:v>Провести построчное согласование и контрольную проработку</x:v>
      </x:c>
      <x:c r="I7" s="36" t="str">
        <x:v>Подтвердить / Скорректировать / Отклонить</x:v>
      </x:c>
      <x:c r="J7" s="36" t="str">
        <x:v>Определяет себестоимость, повторяемость технологии и безопасность</x:v>
      </x:c>
      <x:c r="K7" s="36"/>
      <x:c r="L7" s="42"/>
      <x:c r="M7" s="37"/>
    </x:row>
    <x:row r="8">
      <x:c r="A8" s="35" t="str">
        <x:v>Q-004</x:v>
      </x:c>
      <x:c r="B8" s="36" t="str">
        <x:v>VKM-004</x:v>
      </x:c>
      <x:c r="C8" s="36" t="str">
        <x:v>Пепперони</x:v>
      </x:c>
      <x:c r="D8" s="36" t="str">
        <x:v>Полная рецептура, нормы брутто/нетто, выход и технология</x:v>
      </x:c>
      <x:c r="E8" s="36"/>
      <x:c r="F8" s="36" t="str">
        <x:v>BLOCKED</x:v>
      </x:c>
      <x:c r="G8" s="36" t="str">
        <x:v>KITCHEN_MENU_3.0.0.md / S04</x:v>
      </x:c>
      <x:c r="H8" s="36" t="str">
        <x:v>Провести построчное согласование и контрольную проработку</x:v>
      </x:c>
      <x:c r="I8" s="36" t="str">
        <x:v>Подтвердить / Скорректировать / Отклонить</x:v>
      </x:c>
      <x:c r="J8" s="36" t="str">
        <x:v>Определяет себестоимость, повторяемость технологии и безопасность</x:v>
      </x:c>
      <x:c r="K8" s="36"/>
      <x:c r="L8" s="42"/>
      <x:c r="M8" s="37"/>
    </x:row>
    <x:row r="9">
      <x:c r="A9" s="35" t="str">
        <x:v>Q-005</x:v>
      </x:c>
      <x:c r="B9" s="36" t="str">
        <x:v>VKM-005</x:v>
      </x:c>
      <x:c r="C9" s="36" t="str">
        <x:v>Белая чиабатта</x:v>
      </x:c>
      <x:c r="D9" s="36" t="str">
        <x:v>Полная рецептура, нормы брутто/нетто, выход и технология</x:v>
      </x:c>
      <x:c r="E9" s="36"/>
      <x:c r="F9" s="36" t="str">
        <x:v>BLOCKED</x:v>
      </x:c>
      <x:c r="G9" s="36" t="str">
        <x:v>KITCHEN_MENU_3.0.0.md / S04</x:v>
      </x:c>
      <x:c r="H9" s="36" t="str">
        <x:v>Провести построчное согласование и контрольную проработку</x:v>
      </x:c>
      <x:c r="I9" s="36" t="str">
        <x:v>Подтвердить / Скорректировать / Отклонить</x:v>
      </x:c>
      <x:c r="J9" s="36" t="str">
        <x:v>Определяет себестоимость, повторяемость технологии и безопасность</x:v>
      </x:c>
      <x:c r="K9" s="36"/>
      <x:c r="L9" s="42"/>
      <x:c r="M9" s="37"/>
    </x:row>
    <x:row r="10">
      <x:c r="A10" s="35" t="str">
        <x:v>Q-006</x:v>
      </x:c>
      <x:c r="B10" s="36" t="str">
        <x:v>VKM-006</x:v>
      </x:c>
      <x:c r="C10" s="36" t="str">
        <x:v>Томатная чиабатта</x:v>
      </x:c>
      <x:c r="D10" s="36" t="str">
        <x:v>Полная рецептура, нормы брутто/нетто, выход и технология</x:v>
      </x:c>
      <x:c r="E10" s="36"/>
      <x:c r="F10" s="36" t="str">
        <x:v>BLOCKED</x:v>
      </x:c>
      <x:c r="G10" s="36" t="str">
        <x:v>KITCHEN_MENU_3.0.0.md / S04</x:v>
      </x:c>
      <x:c r="H10" s="36" t="str">
        <x:v>Провести построчное согласование и контрольную проработку</x:v>
      </x:c>
      <x:c r="I10" s="36" t="str">
        <x:v>Подтвердить / Скорректировать / Отклонить</x:v>
      </x:c>
      <x:c r="J10" s="36" t="str">
        <x:v>Определяет себестоимость, повторяемость технологии и безопасность</x:v>
      </x:c>
      <x:c r="K10" s="36"/>
      <x:c r="L10" s="42"/>
      <x:c r="M10" s="37"/>
    </x:row>
    <x:row r="11">
      <x:c r="A11" s="35" t="str">
        <x:v>Q-007</x:v>
      </x:c>
      <x:c r="B11" s="36" t="str">
        <x:v>VKM-007</x:v>
      </x:c>
      <x:c r="C11" s="36" t="str">
        <x:v>Бородинский хлеб</x:v>
      </x:c>
      <x:c r="D11" s="36" t="str">
        <x:v>Полная рецептура, нормы брутто/нетто, выход и технология</x:v>
      </x:c>
      <x:c r="E11" s="36"/>
      <x:c r="F11" s="36" t="str">
        <x:v>BLOCKED</x:v>
      </x:c>
      <x:c r="G11" s="36" t="str">
        <x:v>KITCHEN_MENU_3.0.0.md / S04</x:v>
      </x:c>
      <x:c r="H11" s="36" t="str">
        <x:v>Провести построчное согласование и контрольную проработку</x:v>
      </x:c>
      <x:c r="I11" s="36" t="str">
        <x:v>Подтвердить / Скорректировать / Отклонить</x:v>
      </x:c>
      <x:c r="J11" s="36" t="str">
        <x:v>Определяет себестоимость, повторяемость технологии и безопасность</x:v>
      </x:c>
      <x:c r="K11" s="36"/>
      <x:c r="L11" s="42"/>
      <x:c r="M11" s="37"/>
    </x:row>
    <x:row r="12">
      <x:c r="A12" s="35" t="str">
        <x:v>Q-008</x:v>
      </x:c>
      <x:c r="B12" s="36" t="str">
        <x:v>VKM-008</x:v>
      </x:c>
      <x:c r="C12" s="36" t="str">
        <x:v>Бриошь</x:v>
      </x:c>
      <x:c r="D12" s="36" t="str">
        <x:v>Полная рецептура, нормы брутто/нетто, выход и технология</x:v>
      </x:c>
      <x:c r="E12" s="36"/>
      <x:c r="F12" s="36" t="str">
        <x:v>BLOCKED</x:v>
      </x:c>
      <x:c r="G12" s="36" t="str">
        <x:v>KITCHEN_MENU_3.0.0.md / S04</x:v>
      </x:c>
      <x:c r="H12" s="36" t="str">
        <x:v>Провести построчное согласование и контрольную проработку</x:v>
      </x:c>
      <x:c r="I12" s="36" t="str">
        <x:v>Подтвердить / Скорректировать / Отклонить</x:v>
      </x:c>
      <x:c r="J12" s="36" t="str">
        <x:v>Определяет себестоимость, повторяемость технологии и безопасность</x:v>
      </x:c>
      <x:c r="K12" s="36"/>
      <x:c r="L12" s="42"/>
      <x:c r="M12" s="37"/>
    </x:row>
    <x:row r="13">
      <x:c r="A13" s="35" t="str">
        <x:v>Q-009</x:v>
      </x:c>
      <x:c r="B13" s="36" t="str">
        <x:v>VKM-009</x:v>
      </x:c>
      <x:c r="C13" s="36" t="str">
        <x:v>Буррата с томатами</x:v>
      </x:c>
      <x:c r="D13" s="36" t="str">
        <x:v>Полная рецептура, нормы брутто/нетто, выход и технология</x:v>
      </x:c>
      <x:c r="E13" s="36"/>
      <x:c r="F13" s="36" t="str">
        <x:v>BLOCKED</x:v>
      </x:c>
      <x:c r="G13" s="36" t="str">
        <x:v>KITCHEN_MENU_3.0.0.md / S04</x:v>
      </x:c>
      <x:c r="H13" s="36" t="str">
        <x:v>Провести построчное согласование и контрольную проработку</x:v>
      </x:c>
      <x:c r="I13" s="36" t="str">
        <x:v>Подтвердить / Скорректировать / Отклонить</x:v>
      </x:c>
      <x:c r="J13" s="36" t="str">
        <x:v>Определяет себестоимость, повторяемость технологии и безопасность</x:v>
      </x:c>
      <x:c r="K13" s="36"/>
      <x:c r="L13" s="42"/>
      <x:c r="M13" s="37"/>
    </x:row>
    <x:row r="14">
      <x:c r="A14" s="35" t="str">
        <x:v>Q-010</x:v>
      </x:c>
      <x:c r="B14" s="36" t="str">
        <x:v>VKM-010</x:v>
      </x:c>
      <x:c r="C14" s="36" t="str">
        <x:v>Микс-салат с креветками и яблоком</x:v>
      </x:c>
      <x:c r="D14" s="36" t="str">
        <x:v>Полная рецептура, нормы брутто/нетто, выход и технология</x:v>
      </x:c>
      <x:c r="E14" s="36"/>
      <x:c r="F14" s="36" t="str">
        <x:v>BLOCKED</x:v>
      </x:c>
      <x:c r="G14" s="36" t="str">
        <x:v>KITCHEN_MENU_3.0.0.md / S04</x:v>
      </x:c>
      <x:c r="H14" s="36" t="str">
        <x:v>Провести построчное согласование и контрольную проработку</x:v>
      </x:c>
      <x:c r="I14" s="36" t="str">
        <x:v>Подтвердить / Скорректировать / Отклонить</x:v>
      </x:c>
      <x:c r="J14" s="36" t="str">
        <x:v>Определяет себестоимость, повторяемость технологии и безопасность</x:v>
      </x:c>
      <x:c r="K14" s="36"/>
      <x:c r="L14" s="42"/>
      <x:c r="M14" s="37"/>
    </x:row>
    <x:row r="15">
      <x:c r="A15" s="35" t="str">
        <x:v>Q-011</x:v>
      </x:c>
      <x:c r="B15" s="36" t="str">
        <x:v>VKM-011</x:v>
      </x:c>
      <x:c r="C15" s="36" t="str">
        <x:v>Греческий</x:v>
      </x:c>
      <x:c r="D15" s="36" t="str">
        <x:v>Полная рецептура, нормы брутто/нетто, выход и технология</x:v>
      </x:c>
      <x:c r="E15" s="36"/>
      <x:c r="F15" s="36" t="str">
        <x:v>BLOCKED</x:v>
      </x:c>
      <x:c r="G15" s="36" t="str">
        <x:v>KITCHEN_MENU_3.0.0.md / S04</x:v>
      </x:c>
      <x:c r="H15" s="36" t="str">
        <x:v>Провести построчное согласование и контрольную проработку</x:v>
      </x:c>
      <x:c r="I15" s="36" t="str">
        <x:v>Подтвердить / Скорректировать / Отклонить</x:v>
      </x:c>
      <x:c r="J15" s="36" t="str">
        <x:v>Определяет себестоимость, повторяемость технологии и безопасность</x:v>
      </x:c>
      <x:c r="K15" s="36"/>
      <x:c r="L15" s="42"/>
      <x:c r="M15" s="37"/>
    </x:row>
    <x:row r="16">
      <x:c r="A16" s="35" t="str">
        <x:v>Q-012</x:v>
      </x:c>
      <x:c r="B16" s="36" t="str">
        <x:v>VKM-012</x:v>
      </x:c>
      <x:c r="C16" s="36" t="str">
        <x:v>Винегрет</x:v>
      </x:c>
      <x:c r="D16" s="36" t="str">
        <x:v>Полная рецептура, нормы брутто/нетто, выход и технология</x:v>
      </x:c>
      <x:c r="E16" s="36"/>
      <x:c r="F16" s="36" t="str">
        <x:v>BLOCKED</x:v>
      </x:c>
      <x:c r="G16" s="36" t="str">
        <x:v>KITCHEN_MENU_3.0.0.md / S04</x:v>
      </x:c>
      <x:c r="H16" s="36" t="str">
        <x:v>Провести построчное согласование и контрольную проработку</x:v>
      </x:c>
      <x:c r="I16" s="36" t="str">
        <x:v>Подтвердить / Скорректировать / Отклонить</x:v>
      </x:c>
      <x:c r="J16" s="36" t="str">
        <x:v>Определяет себестоимость, повторяемость технологии и безопасность</x:v>
      </x:c>
      <x:c r="K16" s="36"/>
      <x:c r="L16" s="42"/>
      <x:c r="M16" s="37"/>
    </x:row>
    <x:row r="17">
      <x:c r="A17" s="35" t="str">
        <x:v>Q-013</x:v>
      </x:c>
      <x:c r="B17" s="36" t="str">
        <x:v>VKM-013</x:v>
      </x:c>
      <x:c r="C17" s="36" t="str">
        <x:v>Слабосолёный лосось</x:v>
      </x:c>
      <x:c r="D17" s="36" t="str">
        <x:v>Полная рецептура, нормы брутто/нетто, выход и технология</x:v>
      </x:c>
      <x:c r="E17" s="36"/>
      <x:c r="F17" s="36" t="str">
        <x:v>BLOCKED</x:v>
      </x:c>
      <x:c r="G17" s="36" t="str">
        <x:v>KITCHEN_MENU_3.0.0.md / S04</x:v>
      </x:c>
      <x:c r="H17" s="36" t="str">
        <x:v>Провести построчное согласование и контрольную проработку</x:v>
      </x:c>
      <x:c r="I17" s="36" t="str">
        <x:v>Подтвердить / Скорректировать / Отклонить</x:v>
      </x:c>
      <x:c r="J17" s="36" t="str">
        <x:v>Определяет себестоимость, повторяемость технологии и безопасность</x:v>
      </x:c>
      <x:c r="K17" s="36"/>
      <x:c r="L17" s="42"/>
      <x:c r="M17" s="37"/>
    </x:row>
    <x:row r="18">
      <x:c r="A18" s="35" t="str">
        <x:v>Q-014</x:v>
      </x:c>
      <x:c r="B18" s="36" t="str">
        <x:v>VKM-014</x:v>
      </x:c>
      <x:c r="C18" s="36" t="str">
        <x:v>Сельдь с запечённым картофелем</x:v>
      </x:c>
      <x:c r="D18" s="36" t="str">
        <x:v>Полная рецептура, нормы брутто/нетто, выход и технология</x:v>
      </x:c>
      <x:c r="E18" s="36"/>
      <x:c r="F18" s="36" t="str">
        <x:v>BLOCKED</x:v>
      </x:c>
      <x:c r="G18" s="36" t="str">
        <x:v>KITCHEN_MENU_3.0.0.md / S04</x:v>
      </x:c>
      <x:c r="H18" s="36" t="str">
        <x:v>Провести построчное согласование и контрольную проработку</x:v>
      </x:c>
      <x:c r="I18" s="36" t="str">
        <x:v>Подтвердить / Скорректировать / Отклонить</x:v>
      </x:c>
      <x:c r="J18" s="36" t="str">
        <x:v>Определяет себестоимость, повторяемость технологии и безопасность</x:v>
      </x:c>
      <x:c r="K18" s="36"/>
      <x:c r="L18" s="42"/>
      <x:c r="M18" s="37"/>
    </x:row>
    <x:row r="19">
      <x:c r="A19" s="35" t="str">
        <x:v>Q-015</x:v>
      </x:c>
      <x:c r="B19" s="36" t="str">
        <x:v>VKM-015</x:v>
      </x:c>
      <x:c r="C19" s="36" t="str">
        <x:v>Оливки и маслины</x:v>
      </x:c>
      <x:c r="D19" s="36" t="str">
        <x:v>Полная рецептура, нормы брутто/нетто, выход и технология</x:v>
      </x:c>
      <x:c r="E19" s="36"/>
      <x:c r="F19" s="36" t="str">
        <x:v>BLOCKED</x:v>
      </x:c>
      <x:c r="G19" s="36" t="str">
        <x:v>KITCHEN_MENU_3.0.0.md / S04</x:v>
      </x:c>
      <x:c r="H19" s="36" t="str">
        <x:v>Провести построчное согласование и контрольную проработку</x:v>
      </x:c>
      <x:c r="I19" s="36" t="str">
        <x:v>Подтвердить / Скорректировать / Отклонить</x:v>
      </x:c>
      <x:c r="J19" s="36" t="str">
        <x:v>Определяет себестоимость, повторяемость технологии и безопасность</x:v>
      </x:c>
      <x:c r="K19" s="36"/>
      <x:c r="L19" s="42"/>
      <x:c r="M19" s="37"/>
    </x:row>
    <x:row r="20">
      <x:c r="A20" s="35" t="str">
        <x:v>Q-016</x:v>
      </x:c>
      <x:c r="B20" s="36" t="str">
        <x:v>VKM-016</x:v>
      </x:c>
      <x:c r="C20" s="36" t="str">
        <x:v>Ассорти фирменных солений</x:v>
      </x:c>
      <x:c r="D20" s="36" t="str">
        <x:v>Полная рецептура, нормы брутто/нетто, выход и технология</x:v>
      </x:c>
      <x:c r="E20" s="36"/>
      <x:c r="F20" s="36" t="str">
        <x:v>BLOCKED</x:v>
      </x:c>
      <x:c r="G20" s="36" t="str">
        <x:v>KITCHEN_MENU_3.0.0.md / S04</x:v>
      </x:c>
      <x:c r="H20" s="36" t="str">
        <x:v>Провести построчное согласование и контрольную проработку</x:v>
      </x:c>
      <x:c r="I20" s="36" t="str">
        <x:v>Подтвердить / Скорректировать / Отклонить</x:v>
      </x:c>
      <x:c r="J20" s="36" t="str">
        <x:v>Определяет себестоимость, повторяемость технологии и безопасность</x:v>
      </x:c>
      <x:c r="K20" s="36"/>
      <x:c r="L20" s="42"/>
      <x:c r="M20" s="37"/>
    </x:row>
    <x:row r="21">
      <x:c r="A21" s="35" t="str">
        <x:v>Q-017</x:v>
      </x:c>
      <x:c r="B21" s="36" t="str">
        <x:v>VKM-017</x:v>
      </x:c>
      <x:c r="C21" s="36" t="str">
        <x:v>Ростбиф с луком и гренкой</x:v>
      </x:c>
      <x:c r="D21" s="36" t="str">
        <x:v>Полная рецептура, нормы брутто/нетто, выход и технология</x:v>
      </x:c>
      <x:c r="E21" s="36"/>
      <x:c r="F21" s="36" t="str">
        <x:v>BLOCKED</x:v>
      </x:c>
      <x:c r="G21" s="36" t="str">
        <x:v>KITCHEN_MENU_3.0.0.md / S04</x:v>
      </x:c>
      <x:c r="H21" s="36" t="str">
        <x:v>Провести построчное согласование и контрольную проработку</x:v>
      </x:c>
      <x:c r="I21" s="36" t="str">
        <x:v>Подтвердить / Скорректировать / Отклонить</x:v>
      </x:c>
      <x:c r="J21" s="36" t="str">
        <x:v>Определяет себестоимость, повторяемость технологии и безопасность</x:v>
      </x:c>
      <x:c r="K21" s="36"/>
      <x:c r="L21" s="42"/>
      <x:c r="M21" s="37"/>
    </x:row>
    <x:row r="22">
      <x:c r="A22" s="35" t="str">
        <x:v>Q-018</x:v>
      </x:c>
      <x:c r="B22" s="36" t="str">
        <x:v>VKM-018</x:v>
      </x:c>
      <x:c r="C22" s="36" t="str">
        <x:v>Традиционный красный борщ</x:v>
      </x:c>
      <x:c r="D22" s="36" t="str">
        <x:v>Полная рецептура, нормы брутто/нетто, выход и технология</x:v>
      </x:c>
      <x:c r="E22" s="36"/>
      <x:c r="F22" s="36" t="str">
        <x:v>BLOCKED</x:v>
      </x:c>
      <x:c r="G22" s="36" t="str">
        <x:v>KITCHEN_MENU_3.0.0.md / S04</x:v>
      </x:c>
      <x:c r="H22" s="36" t="str">
        <x:v>Провести построчное согласование и контрольную проработку</x:v>
      </x:c>
      <x:c r="I22" s="36" t="str">
        <x:v>Подтвердить / Скорректировать / Отклонить</x:v>
      </x:c>
      <x:c r="J22" s="36" t="str">
        <x:v>Определяет себестоимость, повторяемость технологии и безопасность</x:v>
      </x:c>
      <x:c r="K22" s="36"/>
      <x:c r="L22" s="42"/>
      <x:c r="M22" s="37"/>
    </x:row>
    <x:row r="23">
      <x:c r="A23" s="35" t="str">
        <x:v>Q-019</x:v>
      </x:c>
      <x:c r="B23" s="36" t="str">
        <x:v>VKM-019</x:v>
      </x:c>
      <x:c r="C23" s="36" t="str">
        <x:v>Мурманская треска со сливочно-горчичным соусом</x:v>
      </x:c>
      <x:c r="D23" s="36" t="str">
        <x:v>Полная рецептура, нормы брутто/нетто, выход и технология</x:v>
      </x:c>
      <x:c r="E23" s="36"/>
      <x:c r="F23" s="36" t="str">
        <x:v>BLOCKED</x:v>
      </x:c>
      <x:c r="G23" s="36" t="str">
        <x:v>KITCHEN_MENU_3.0.0.md / S04</x:v>
      </x:c>
      <x:c r="H23" s="36" t="str">
        <x:v>Провести построчное согласование и контрольную проработку</x:v>
      </x:c>
      <x:c r="I23" s="36" t="str">
        <x:v>Подтвердить / Скорректировать / Отклонить</x:v>
      </x:c>
      <x:c r="J23" s="36" t="str">
        <x:v>Определяет себестоимость, повторяемость технологии и безопасность</x:v>
      </x:c>
      <x:c r="K23" s="36"/>
      <x:c r="L23" s="42"/>
      <x:c r="M23" s="37"/>
    </x:row>
    <x:row r="24">
      <x:c r="A24" s="35" t="str">
        <x:v>Q-020</x:v>
      </x:c>
      <x:c r="B24" s="36" t="str">
        <x:v>VKM-020</x:v>
      </x:c>
      <x:c r="C24" s="36" t="str">
        <x:v>Креветки по-тайски</x:v>
      </x:c>
      <x:c r="D24" s="36" t="str">
        <x:v>Полная рецептура, нормы брутто/нетто, выход и технология</x:v>
      </x:c>
      <x:c r="E24" s="36"/>
      <x:c r="F24" s="36" t="str">
        <x:v>BLOCKED</x:v>
      </x:c>
      <x:c r="G24" s="36" t="str">
        <x:v>KITCHEN_MENU_3.0.0.md / S04</x:v>
      </x:c>
      <x:c r="H24" s="36" t="str">
        <x:v>Провести построчное согласование и контрольную проработку</x:v>
      </x:c>
      <x:c r="I24" s="36" t="str">
        <x:v>Подтвердить / Скорректировать / Отклонить</x:v>
      </x:c>
      <x:c r="J24" s="36" t="str">
        <x:v>Определяет себестоимость, повторяемость технологии и безопасность</x:v>
      </x:c>
      <x:c r="K24" s="36"/>
      <x:c r="L24" s="42"/>
      <x:c r="M24" s="37"/>
    </x:row>
    <x:row r="25">
      <x:c r="A25" s="35" t="str">
        <x:v>Q-021</x:v>
      </x:c>
      <x:c r="B25" s="36" t="str">
        <x:v>VKM-021</x:v>
      </x:c>
      <x:c r="C25" s="36" t="str">
        <x:v>Бургер VARSHAVKA</x:v>
      </x:c>
      <x:c r="D25" s="36" t="str">
        <x:v>Полная рецептура, нормы брутто/нетто, выход и технология</x:v>
      </x:c>
      <x:c r="E25" s="36"/>
      <x:c r="F25" s="36" t="str">
        <x:v>BLOCKED</x:v>
      </x:c>
      <x:c r="G25" s="36" t="str">
        <x:v>KITCHEN_MENU_3.0.0.md / S04</x:v>
      </x:c>
      <x:c r="H25" s="36" t="str">
        <x:v>Провести построчное согласование и контрольную проработку</x:v>
      </x:c>
      <x:c r="I25" s="36" t="str">
        <x:v>Подтвердить / Скорректировать / Отклонить</x:v>
      </x:c>
      <x:c r="J25" s="36" t="str">
        <x:v>Определяет себестоимость, повторяемость технологии и безопасность</x:v>
      </x:c>
      <x:c r="K25" s="36"/>
      <x:c r="L25" s="42"/>
      <x:c r="M25" s="37"/>
    </x:row>
    <x:row r="26">
      <x:c r="A26" s="35" t="str">
        <x:v>Q-022</x:v>
      </x:c>
      <x:c r="B26" s="36" t="str">
        <x:v>VKM-022</x:v>
      </x:c>
      <x:c r="C26" s="36" t="str">
        <x:v>Миньоны из говяжьей вырезки</x:v>
      </x:c>
      <x:c r="D26" s="36" t="str">
        <x:v>Полная рецептура, нормы брутто/нетто, выход и технология</x:v>
      </x:c>
      <x:c r="E26" s="36"/>
      <x:c r="F26" s="36" t="str">
        <x:v>BLOCKED</x:v>
      </x:c>
      <x:c r="G26" s="36" t="str">
        <x:v>KITCHEN_MENU_3.0.0.md / S04</x:v>
      </x:c>
      <x:c r="H26" s="36" t="str">
        <x:v>Провести построчное согласование и контрольную проработку</x:v>
      </x:c>
      <x:c r="I26" s="36" t="str">
        <x:v>Подтвердить / Скорректировать / Отклонить</x:v>
      </x:c>
      <x:c r="J26" s="36" t="str">
        <x:v>Определяет себестоимость, повторяемость технологии и безопасность</x:v>
      </x:c>
      <x:c r="K26" s="36"/>
      <x:c r="L26" s="42"/>
      <x:c r="M26" s="37"/>
    </x:row>
    <x:row r="27">
      <x:c r="A27" s="35" t="str">
        <x:v>Q-023</x:v>
      </x:c>
      <x:c r="B27" s="36" t="str">
        <x:v>VKM-023</x:v>
      </x:c>
      <x:c r="C27" s="36" t="str">
        <x:v>Запечённый картофель</x:v>
      </x:c>
      <x:c r="D27" s="36" t="str">
        <x:v>Полная рецептура, нормы брутто/нетто, выход и технология</x:v>
      </x:c>
      <x:c r="E27" s="36"/>
      <x:c r="F27" s="36" t="str">
        <x:v>BLOCKED</x:v>
      </x:c>
      <x:c r="G27" s="36" t="str">
        <x:v>KITCHEN_MENU_3.0.0.md / S04</x:v>
      </x:c>
      <x:c r="H27" s="36" t="str">
        <x:v>Провести построчное согласование и контрольную проработку</x:v>
      </x:c>
      <x:c r="I27" s="36" t="str">
        <x:v>Подтвердить / Скорректировать / Отклонить</x:v>
      </x:c>
      <x:c r="J27" s="36" t="str">
        <x:v>Определяет себестоимость, повторяемость технологии и безопасность</x:v>
      </x:c>
      <x:c r="K27" s="36"/>
      <x:c r="L27" s="42"/>
      <x:c r="M27" s="37"/>
    </x:row>
    <x:row r="28">
      <x:c r="A28" s="35" t="str">
        <x:v>Q-024</x:v>
      </x:c>
      <x:c r="B28" s="36" t="str">
        <x:v>VKM-024</x:v>
      </x:c>
      <x:c r="C28" s="36" t="str">
        <x:v>Рис жасмин</x:v>
      </x:c>
      <x:c r="D28" s="36" t="str">
        <x:v>Полная рецептура, нормы брутто/нетто, выход и технология</x:v>
      </x:c>
      <x:c r="E28" s="36"/>
      <x:c r="F28" s="36" t="str">
        <x:v>BLOCKED</x:v>
      </x:c>
      <x:c r="G28" s="36" t="str">
        <x:v>KITCHEN_MENU_3.0.0.md / S04</x:v>
      </x:c>
      <x:c r="H28" s="36" t="str">
        <x:v>Провести построчное согласование и контрольную проработку</x:v>
      </x:c>
      <x:c r="I28" s="36" t="str">
        <x:v>Подтвердить / Скорректировать / Отклонить</x:v>
      </x:c>
      <x:c r="J28" s="36" t="str">
        <x:v>Определяет себестоимость, повторяемость технологии и безопасность</x:v>
      </x:c>
      <x:c r="K28" s="36"/>
      <x:c r="L28" s="42"/>
      <x:c r="M28" s="37"/>
    </x:row>
    <x:row r="29">
      <x:c r="A29" s="35" t="str">
        <x:v>Q-025</x:v>
      </x:c>
      <x:c r="B29" s="36" t="str">
        <x:v>VKM-025</x:v>
      </x:c>
      <x:c r="C29" s="36" t="str">
        <x:v>Горячие овощи</x:v>
      </x:c>
      <x:c r="D29" s="36" t="str">
        <x:v>Полная рецептура, нормы брутто/нетто, выход и технология</x:v>
      </x:c>
      <x:c r="E29" s="36"/>
      <x:c r="F29" s="36" t="str">
        <x:v>BLOCKED</x:v>
      </x:c>
      <x:c r="G29" s="36" t="str">
        <x:v>KITCHEN_MENU_3.0.0.md / S04</x:v>
      </x:c>
      <x:c r="H29" s="36" t="str">
        <x:v>Провести построчное согласование и контрольную проработку</x:v>
      </x:c>
      <x:c r="I29" s="36" t="str">
        <x:v>Подтвердить / Скорректировать / Отклонить</x:v>
      </x:c>
      <x:c r="J29" s="36" t="str">
        <x:v>Определяет себестоимость, повторяемость технологии и безопасность</x:v>
      </x:c>
      <x:c r="K29" s="36"/>
      <x:c r="L29" s="42"/>
      <x:c r="M29" s="37"/>
    </x:row>
    <x:row r="30">
      <x:c r="A30" s="35" t="str">
        <x:v>Q-026</x:v>
      </x:c>
      <x:c r="B30" s="36" t="str">
        <x:v>VKM-026</x:v>
      </x:c>
      <x:c r="C30" s="36" t="str">
        <x:v>Яичница, круассан и сыр двух видов</x:v>
      </x:c>
      <x:c r="D30" s="36" t="str">
        <x:v>Полная рецептура, нормы брутто/нетто, выход и технология</x:v>
      </x:c>
      <x:c r="E30" s="36" t="str">
        <x:v>225 г + напиток 200 мл</x:v>
      </x:c>
      <x:c r="F30" s="36" t="str">
        <x:v>DRAFT</x:v>
      </x:c>
      <x:c r="G30" s="36" t="str">
        <x:v>KITCHEN_MENU_3.0.0.md / S04</x:v>
      </x:c>
      <x:c r="H30" s="36" t="str">
        <x:v>Провести построчное согласование и контрольную проработку</x:v>
      </x:c>
      <x:c r="I30" s="36" t="str">
        <x:v>Подтвердить / Скорректировать / Отклонить</x:v>
      </x:c>
      <x:c r="J30" s="36" t="str">
        <x:v>Определяет себестоимость, повторяемость технологии и безопасность</x:v>
      </x:c>
      <x:c r="K30" s="36"/>
      <x:c r="L30" s="42"/>
      <x:c r="M30" s="37"/>
    </x:row>
    <x:row r="31">
      <x:c r="A31" s="35" t="str">
        <x:v>Q-027</x:v>
      </x:c>
      <x:c r="B31" s="36" t="str">
        <x:v>VKM-027</x:v>
      </x:c>
      <x:c r="C31" s="36" t="str">
        <x:v>Омлет, круассан и сыр двух видов</x:v>
      </x:c>
      <x:c r="D31" s="36" t="str">
        <x:v>Полная рецептура, нормы брутто/нетто, выход и технология</x:v>
      </x:c>
      <x:c r="E31" s="36" t="str">
        <x:v>265 г + напиток 200 мл</x:v>
      </x:c>
      <x:c r="F31" s="36" t="str">
        <x:v>DRAFT</x:v>
      </x:c>
      <x:c r="G31" s="36" t="str">
        <x:v>KITCHEN_MENU_3.0.0.md / S04</x:v>
      </x:c>
      <x:c r="H31" s="36" t="str">
        <x:v>Провести построчное согласование и контрольную проработку</x:v>
      </x:c>
      <x:c r="I31" s="36" t="str">
        <x:v>Подтвердить / Скорректировать / Отклонить</x:v>
      </x:c>
      <x:c r="J31" s="36" t="str">
        <x:v>Определяет себестоимость, повторяемость технологии и безопасность</x:v>
      </x:c>
      <x:c r="K31" s="36"/>
      <x:c r="L31" s="42"/>
      <x:c r="M31" s="37"/>
    </x:row>
    <x:row r="32">
      <x:c r="A32" s="35" t="str">
        <x:v>Q-028</x:v>
      </x:c>
      <x:c r="B32" s="36" t="str">
        <x:v>VKM-028</x:v>
      </x:c>
      <x:c r="C32" s="36" t="str">
        <x:v>Овсяная каша, круассан и сыр двух видов</x:v>
      </x:c>
      <x:c r="D32" s="36" t="str">
        <x:v>Полная рецептура, нормы брутто/нетто, выход и технология</x:v>
      </x:c>
      <x:c r="E32" s="36" t="str">
        <x:v>355 г + напиток 200 мл</x:v>
      </x:c>
      <x:c r="F32" s="36" t="str">
        <x:v>DRAFT</x:v>
      </x:c>
      <x:c r="G32" s="36" t="str">
        <x:v>KITCHEN_MENU_3.0.0.md / S04</x:v>
      </x:c>
      <x:c r="H32" s="36" t="str">
        <x:v>Провести построчное согласование и контрольную проработку</x:v>
      </x:c>
      <x:c r="I32" s="36" t="str">
        <x:v>Подтвердить / Скорректировать / Отклонить</x:v>
      </x:c>
      <x:c r="J32" s="36" t="str">
        <x:v>Определяет себестоимость, повторяемость технологии и безопасность</x:v>
      </x:c>
      <x:c r="K32" s="36"/>
      <x:c r="L32" s="42"/>
      <x:c r="M32" s="37"/>
    </x:row>
    <x:row r="33">
      <x:c r="A33" s="35" t="str">
        <x:v>Q-029</x:v>
      </x:c>
      <x:c r="B33" s="36" t="str">
        <x:v>VKM-029</x:v>
      </x:c>
      <x:c r="C33" s="36" t="str">
        <x:v>Черничный торт VARSHAVKA</x:v>
      </x:c>
      <x:c r="D33" s="36" t="str">
        <x:v>Полная рецептура, нормы брутто/нетто, выход и технология</x:v>
      </x:c>
      <x:c r="E33" s="36"/>
      <x:c r="F33" s="36" t="str">
        <x:v>BLOCKED</x:v>
      </x:c>
      <x:c r="G33" s="36" t="str">
        <x:v>KITCHEN_MENU_3.0.0.md / S04</x:v>
      </x:c>
      <x:c r="H33" s="36" t="str">
        <x:v>Провести построчное согласование и контрольную проработку</x:v>
      </x:c>
      <x:c r="I33" s="36" t="str">
        <x:v>Подтвердить / Скорректировать / Отклонить</x:v>
      </x:c>
      <x:c r="J33" s="36" t="str">
        <x:v>Определяет себестоимость, повторяемость технологии и безопасность</x:v>
      </x:c>
      <x:c r="K33" s="36"/>
      <x:c r="L33" s="42"/>
      <x:c r="M33" s="37"/>
    </x:row>
    <x:row r="34">
      <x:c r="A34" s="35" t="str">
        <x:v>Q-030</x:v>
      </x:c>
      <x:c r="B34" s="36" t="str">
        <x:v>VKM-030</x:v>
      </x:c>
      <x:c r="C34" s="36" t="str">
        <x:v>Кростата с солёной карамелью</x:v>
      </x:c>
      <x:c r="D34" s="36" t="str">
        <x:v>Полная рецептура, нормы брутто/нетто, выход и технология</x:v>
      </x:c>
      <x:c r="E34" s="36"/>
      <x:c r="F34" s="36" t="str">
        <x:v>BLOCKED</x:v>
      </x:c>
      <x:c r="G34" s="36" t="str">
        <x:v>KITCHEN_MENU_3.0.0.md / S04</x:v>
      </x:c>
      <x:c r="H34" s="36" t="str">
        <x:v>Провести построчное согласование и контрольную проработку</x:v>
      </x:c>
      <x:c r="I34" s="36" t="str">
        <x:v>Подтвердить / Скорректировать / Отклонить</x:v>
      </x:c>
      <x:c r="J34" s="36" t="str">
        <x:v>Определяет себестоимость, повторяемость технологии и безопасность</x:v>
      </x:c>
      <x:c r="K34" s="36"/>
      <x:c r="L34" s="42"/>
      <x:c r="M34" s="37"/>
    </x:row>
    <x:row r="35">
      <x:c r="A35" s="35" t="str">
        <x:v>Q-031</x:v>
      </x:c>
      <x:c r="B35" s="36" t="str">
        <x:v>VKM-031</x:v>
      </x:c>
      <x:c r="C35" s="36" t="str">
        <x:v>Мадлен</x:v>
      </x:c>
      <x:c r="D35" s="36" t="str">
        <x:v>Полная рецептура, нормы брутто/нетто, выход и технология</x:v>
      </x:c>
      <x:c r="E35" s="36"/>
      <x:c r="F35" s="36" t="str">
        <x:v>BLOCKED</x:v>
      </x:c>
      <x:c r="G35" s="36" t="str">
        <x:v>KITCHEN_MENU_3.0.0.md / S04</x:v>
      </x:c>
      <x:c r="H35" s="36" t="str">
        <x:v>Провести построчное согласование и контрольную проработку</x:v>
      </x:c>
      <x:c r="I35" s="36" t="str">
        <x:v>Подтвердить / Скорректировать / Отклонить</x:v>
      </x:c>
      <x:c r="J35" s="36" t="str">
        <x:v>Определяет себестоимость, повторяемость технологии и безопасность</x:v>
      </x:c>
      <x:c r="K35" s="36"/>
      <x:c r="L35" s="42"/>
      <x:c r="M35" s="37"/>
    </x:row>
    <x:row r="36">
      <x:c r="A36" s="35" t="str">
        <x:v>Q-032</x:v>
      </x:c>
      <x:c r="B36" s="36" t="str">
        <x:v>VKM-026</x:v>
      </x:c>
      <x:c r="C36" s="36" t="str">
        <x:v>Яичница, круассан и сыр двух видов</x:v>
      </x:c>
      <x:c r="D36" s="36" t="str">
        <x:v>Фактический выход яичницы</x:v>
      </x:c>
      <x:c r="E36" s="36" t="str">
        <x:v>120 г основного блюда</x:v>
      </x:c>
      <x:c r="F36" s="36" t="str">
        <x:v>DRAFT</x:v>
      </x:c>
      <x:c r="G36" s="36" t="str">
        <x:v>CONTROL_TRIAL_FRIED_EGGS.md</x:v>
      </x:c>
      <x:c r="H36" s="36" t="str">
        <x:v>Серия 10 порций</x:v>
      </x:c>
      <x:c r="I36" s="36" t="str">
        <x:v>Подтвердить / Скорректировать</x:v>
      </x:c>
      <x:c r="J36" s="36" t="str">
        <x:v>Себестоимость; порционирование</x:v>
      </x:c>
      <x:c r="K36" s="36"/>
      <x:c r="L36" s="42"/>
      <x:c r="M36" s="37" t="str"/>
    </x:row>
    <x:row r="37">
      <x:c r="A37" s="35" t="str">
        <x:v>Q-033</x:v>
      </x:c>
      <x:c r="B37" s="36" t="str">
        <x:v>VKM-026</x:v>
      </x:c>
      <x:c r="C37" s="36" t="str">
        <x:v>Яичница, круассан и сыр двух видов</x:v>
      </x:c>
      <x:c r="D37" s="36" t="str">
        <x:v>Температура центра/выдачи</x:v>
      </x:c>
      <x:c r="E37" s="36" t="str">
        <x:v>≥72 °C / ≥65 °C</x:v>
      </x:c>
      <x:c r="F37" s="36" t="str">
        <x:v>DRAFT</x:v>
      </x:c>
      <x:c r="G37" s="36" t="str">
        <x:v>Проект ППК</x:v>
      </x:c>
      <x:c r="H37" s="36" t="str">
        <x:v>Включить после анализа опасностей</x:v>
      </x:c>
      <x:c r="I37" s="36" t="str">
        <x:v>Подтвердить / Скорректировать класс</x:v>
      </x:c>
      <x:c r="J37" s="36" t="str">
        <x:v>Безопасность</x:v>
      </x:c>
      <x:c r="K37" s="36"/>
      <x:c r="L37" s="42"/>
      <x:c r="M37" s="37" t="str"/>
    </x:row>
    <x:row r="38">
      <x:c r="A38" s="35" t="str">
        <x:v>Q-034</x:v>
      </x:c>
      <x:c r="B38" s="36" t="str">
        <x:v>VKM-026</x:v>
      </x:c>
      <x:c r="C38" s="36" t="str">
        <x:v>Яичница, круассан и сыр двух видов</x:v>
      </x:c>
      <x:c r="D38" s="36" t="str">
        <x:v>Срок хранения и маркировка</x:v>
      </x:c>
      <x:c r="E38" s="36"/>
      <x:c r="F38" s="36" t="str">
        <x:v>BLOCKED</x:v>
      </x:c>
      <x:c r="G38" s="36" t="str">
        <x:v>Документы поставщиков отсутствуют</x:v>
      </x:c>
      <x:c r="H38" s="36" t="str">
        <x:v>Получить документы</x:v>
      </x:c>
      <x:c r="I38" s="36" t="str">
        <x:v>Согласовать после документов</x:v>
      </x:c>
      <x:c r="J38" s="36" t="str">
        <x:v>Безопасность; закупка</x:v>
      </x:c>
      <x:c r="K38" s="36"/>
      <x:c r="L38" s="42"/>
      <x:c r="M38" s="37" t="str"/>
    </x:row>
    <x:row r="39">
      <x:c r="A39" s="35" t="str">
        <x:v>Q-035</x:v>
      </x:c>
      <x:c r="B39" s="36" t="str">
        <x:v>VKM-027</x:v>
      </x:c>
      <x:c r="C39" s="36" t="str">
        <x:v>Омлет, круассан и сыр двух видов</x:v>
      </x:c>
      <x:c r="D39" s="36" t="str">
        <x:v>Фактический выход омлета</x:v>
      </x:c>
      <x:c r="E39" s="36" t="str">
        <x:v>160 г основного блюда</x:v>
      </x:c>
      <x:c r="F39" s="36" t="str">
        <x:v>DRAFT</x:v>
      </x:c>
      <x:c r="G39" s="36" t="str">
        <x:v>CONTROL_TRIAL_OMELET.md</x:v>
      </x:c>
      <x:c r="H39" s="36" t="str">
        <x:v>Серия 10 форм</x:v>
      </x:c>
      <x:c r="I39" s="36" t="str">
        <x:v>Подтвердить / Скорректировать</x:v>
      </x:c>
      <x:c r="J39" s="36" t="str">
        <x:v>Себестоимость; порционирование</x:v>
      </x:c>
      <x:c r="K39" s="36"/>
      <x:c r="L39" s="42"/>
      <x:c r="M39" s="37" t="str"/>
    </x:row>
    <x:row r="40">
      <x:c r="A40" s="35" t="str">
        <x:v>Q-036</x:v>
      </x:c>
      <x:c r="B40" s="36" t="str">
        <x:v>VKM-027</x:v>
      </x:c>
      <x:c r="C40" s="36" t="str">
        <x:v>Омлет, круассан и сыр двух видов</x:v>
      </x:c>
      <x:c r="D40" s="36" t="str">
        <x:v>Камера/центр/выдача</x:v>
      </x:c>
      <x:c r="E40" s="36" t="str">
        <x:v>150 ±5 °C, RH 20–30%; ≥72 °C; ≥65 °C</x:v>
      </x:c>
      <x:c r="F40" s="36" t="str">
        <x:v>DRAFT</x:v>
      </x:c>
      <x:c r="G40" s="36" t="str">
        <x:v>Проект ППК</x:v>
      </x:c>
      <x:c r="H40" s="36" t="str">
        <x:v>Проверить серией</x:v>
      </x:c>
      <x:c r="I40" s="36" t="str">
        <x:v>Подтвердить / Скорректировать</x:v>
      </x:c>
      <x:c r="J40" s="36" t="str">
        <x:v>Технология; безопасность</x:v>
      </x:c>
      <x:c r="K40" s="36"/>
      <x:c r="L40" s="42"/>
      <x:c r="M40" s="37" t="str"/>
    </x:row>
    <x:row r="41">
      <x:c r="A41" s="35" t="str">
        <x:v>Q-037</x:v>
      </x:c>
      <x:c r="B41" s="36" t="str">
        <x:v>VKM-027</x:v>
      </x:c>
      <x:c r="C41" s="36" t="str">
        <x:v>Омлет, круассан и сыр двух видов</x:v>
      </x:c>
      <x:c r="D41" s="36" t="str">
        <x:v>Срок хранения и маркировка</x:v>
      </x:c>
      <x:c r="E41" s="36"/>
      <x:c r="F41" s="36" t="str">
        <x:v>BLOCKED</x:v>
      </x:c>
      <x:c r="G41" s="36" t="str">
        <x:v>Документы поставщиков отсутствуют</x:v>
      </x:c>
      <x:c r="H41" s="36" t="str">
        <x:v>Получить документы</x:v>
      </x:c>
      <x:c r="I41" s="36" t="str">
        <x:v>Согласовать после документов</x:v>
      </x:c>
      <x:c r="J41" s="36" t="str">
        <x:v>Безопасность; закупка</x:v>
      </x:c>
      <x:c r="K41" s="36"/>
      <x:c r="L41" s="42"/>
      <x:c r="M41" s="37" t="str"/>
    </x:row>
    <x:row r="42">
      <x:c r="A42" s="35" t="str">
        <x:v>Q-038</x:v>
      </x:c>
      <x:c r="B42" s="36" t="str">
        <x:v>VKM-028</x:v>
      </x:c>
      <x:c r="C42" s="36" t="str">
        <x:v>Овсяная каша, круассан и сыр двух видов</x:v>
      </x:c>
      <x:c r="D42" s="36" t="str">
        <x:v>Фактический выход каши</x:v>
      </x:c>
      <x:c r="E42" s="36" t="str">
        <x:v>250 г</x:v>
      </x:c>
      <x:c r="F42" s="36" t="str">
        <x:v>DRAFT</x:v>
      </x:c>
      <x:c r="G42" s="36" t="str">
        <x:v>CONTROL_TRIAL_OATMEAL.md</x:v>
      </x:c>
      <x:c r="H42" s="36" t="str">
        <x:v>Контрольная варка 10 порций</x:v>
      </x:c>
      <x:c r="I42" s="36" t="str">
        <x:v>Подтвердить / Скорректировать</x:v>
      </x:c>
      <x:c r="J42" s="36" t="str">
        <x:v>Себестоимость; потери</x:v>
      </x:c>
      <x:c r="K42" s="36"/>
      <x:c r="L42" s="42"/>
      <x:c r="M42" s="37" t="str"/>
    </x:row>
    <x:row r="43">
      <x:c r="A43" s="35" t="str">
        <x:v>Q-039</x:v>
      </x:c>
      <x:c r="B43" s="36" t="str">
        <x:v>VKM-028</x:v>
      </x:c>
      <x:c r="C43" s="36" t="str">
        <x:v>Овсяная каша, круассан и сыр двух видов</x:v>
      </x:c>
      <x:c r="D43" s="36" t="str">
        <x:v>Окончание/выдача</x:v>
      </x:c>
      <x:c r="E43" s="36" t="str">
        <x:v>≥90 °C ≥1 мин; ≥65 °C</x:v>
      </x:c>
      <x:c r="F43" s="36" t="str">
        <x:v>DRAFT</x:v>
      </x:c>
      <x:c r="G43" s="36" t="str">
        <x:v>Проект ППК</x:v>
      </x:c>
      <x:c r="H43" s="36" t="str">
        <x:v>Проверить варкой</x:v>
      </x:c>
      <x:c r="I43" s="36" t="str">
        <x:v>Подтвердить / Скорректировать</x:v>
      </x:c>
      <x:c r="J43" s="36" t="str">
        <x:v>Безопасность</x:v>
      </x:c>
      <x:c r="K43" s="36"/>
      <x:c r="L43" s="42"/>
      <x:c r="M43" s="37" t="str"/>
    </x:row>
    <x:row r="44">
      <x:c r="A44" s="35" t="str">
        <x:v>Q-040</x:v>
      </x:c>
      <x:c r="B44" s="36" t="str">
        <x:v>VKM-028</x:v>
      </x:c>
      <x:c r="C44" s="36" t="str">
        <x:v>Овсяная каша, круассан и сыр двух видов</x:v>
      </x:c>
      <x:c r="D44" s="36" t="str">
        <x:v>Глютен/овёс</x:v>
      </x:c>
      <x:c r="E44" s="36"/>
      <x:c r="F44" s="36" t="str">
        <x:v>BLOCKED</x:v>
      </x:c>
      <x:c r="G44" s="36" t="str">
        <x:v>Маркировка поставщика отсутствует</x:v>
      </x:c>
      <x:c r="H44" s="36" t="str">
        <x:v>Получить спецификацию овса</x:v>
      </x:c>
      <x:c r="I44" s="36" t="str">
        <x:v>Есть / Нет / Возможны следы</x:v>
      </x:c>
      <x:c r="J44" s="36" t="str">
        <x:v>Аллергены; маркировка</x:v>
      </x:c>
      <x:c r="K44" s="36"/>
      <x:c r="L44" s="42"/>
      <x:c r="M44" s="37" t="str"/>
    </x:row>
    <x:row r="45">
      <x:c r="A45" s="35" t="str">
        <x:v>Q-041</x:v>
      </x:c>
      <x:c r="B45" s="36" t="str">
        <x:v>VKM-026</x:v>
      </x:c>
      <x:c r="C45" s="36" t="str">
        <x:v>Яичница, круассан и сыр двух видов</x:v>
      </x:c>
      <x:c r="D45" s="36" t="str">
        <x:v>Fontina или Fontal и цена</x:v>
      </x:c>
      <x:c r="E45" s="36" t="str">
        <x:v>1 800 руб./кг</x:v>
      </x:c>
      <x:c r="F45" s="36" t="str">
        <x:v>ASSUMPTION</x:v>
      </x:c>
      <x:c r="G45" s="36" t="str">
        <x:v>S04 PRICE_REGISTER</x:v>
      </x:c>
      <x:c r="H45" s="36" t="str">
        <x:v>Выбрать продукт после дегустации и КП</x:v>
      </x:c>
      <x:c r="I45" s="36" t="str">
        <x:v>Fontina / Fontal / иной сыр</x:v>
      </x:c>
      <x:c r="J45" s="36" t="str">
        <x:v>Себестоимость; вкус; аллерген</x:v>
      </x:c>
      <x:c r="K45" s="36"/>
      <x:c r="L45" s="42"/>
      <x:c r="M45" s="37" t="str"/>
    </x:row>
    <x:row r="46">
      <x:c r="A46" s="35" t="str">
        <x:v>Q-042</x:v>
      </x:c>
      <x:c r="B46" s="36" t="str">
        <x:v>VKM-027</x:v>
      </x:c>
      <x:c r="C46" s="36" t="str">
        <x:v>Омлет, круассан и сыр двух видов</x:v>
      </x:c>
      <x:c r="D46" s="36" t="str">
        <x:v>Fontina или Fontal и цена</x:v>
      </x:c>
      <x:c r="E46" s="36" t="str">
        <x:v>1 800 руб./кг</x:v>
      </x:c>
      <x:c r="F46" s="36" t="str">
        <x:v>ASSUMPTION</x:v>
      </x:c>
      <x:c r="G46" s="36" t="str">
        <x:v>S04 PRICE_REGISTER</x:v>
      </x:c>
      <x:c r="H46" s="36" t="str">
        <x:v>Выбрать продукт после дегустации и КП</x:v>
      </x:c>
      <x:c r="I46" s="36" t="str">
        <x:v>Fontina / Fontal / иной сыр</x:v>
      </x:c>
      <x:c r="J46" s="36" t="str">
        <x:v>Себестоимость; вкус; аллерген</x:v>
      </x:c>
      <x:c r="K46" s="36"/>
      <x:c r="L46" s="42"/>
      <x:c r="M46" s="37" t="str"/>
    </x:row>
    <x:row r="47">
      <x:c r="A47" s="38" t="str">
        <x:v>Q-043</x:v>
      </x:c>
      <x:c r="B47" s="39" t="str">
        <x:v>VKM-028</x:v>
      </x:c>
      <x:c r="C47" s="39" t="str">
        <x:v>Овсяная каша, круассан и сыр двух видов</x:v>
      </x:c>
      <x:c r="D47" s="39" t="str">
        <x:v>Fontina или Fontal и цена</x:v>
      </x:c>
      <x:c r="E47" s="39" t="str">
        <x:v>1 800 руб./кг</x:v>
      </x:c>
      <x:c r="F47" s="39" t="str">
        <x:v>ASSUMPTION</x:v>
      </x:c>
      <x:c r="G47" s="39" t="str">
        <x:v>S04 PRICE_REGISTER</x:v>
      </x:c>
      <x:c r="H47" s="39" t="str">
        <x:v>Выбрать продукт после дегустации и КП</x:v>
      </x:c>
      <x:c r="I47" s="39" t="str">
        <x:v>Fontina / Fontal / иной сыр</x:v>
      </x:c>
      <x:c r="J47" s="39" t="str">
        <x:v>Себестоимость; вкус; аллерген</x:v>
      </x:c>
      <x:c r="K47" s="39"/>
      <x:c r="L47" s="43"/>
      <x:c r="M47" s="40" t="str"/>
    </x:row>
  </x:sheetData>
  <x:mergeCells>
    <x:mergeCell ref="A1:M1"/>
    <x:mergeCell ref="A2:M2"/>
  </x:mergeCells>
  <x:conditionalFormatting sqref="F5:F47">
    <x:cfRule type="containsText" dxfId="42" priority="1" operator="containsText" text="FACT"/>
    <x:cfRule type="containsText" dxfId="43" priority="2" operator="containsText" text="CALCULATED"/>
    <x:cfRule type="containsText" dxfId="44" priority="3" operator="containsText" text="ASSUMPTION"/>
    <x:cfRule type="containsText" dxfId="45" priority="4" operator="containsText" text="DRAFT"/>
    <x:cfRule type="containsText" dxfId="46" priority="5" operator="containsText" text="BLOCKED"/>
    <x:cfRule type="containsText" dxfId="47" priority="6" operator="containsText" text="SUPERSEDED"/>
  </x:conditionalFormatting>
  <x:dataValidations count="2">
    <x:dataValidation type="list" sqref="F5:F47">
      <x:formula1>"FACT,CALCULATED,ASSUMPTION,DRAFT,BLOCKED,SUPERSEDED"</x:formula1>
    </x:dataValidation>
    <x:dataValidation type="date" operator="between" sqref="L5:L47">
      <x:formula1>DATE(2020,1,1)</x:formula1>
      <x:formula2>DATE(2035,12,31)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502358c35c0423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42" hidden="0" customWidth="1"/>
    <x:col min="3" max="3" width="18" hidden="0" customWidth="1"/>
    <x:col min="4" max="4" width="16" hidden="0" customWidth="1"/>
    <x:col min="5" max="5" width="18" hidden="0" customWidth="1"/>
    <x:col min="6" max="6" width="22" hidden="0" customWidth="1"/>
    <x:col min="7" max="7" width="16" hidden="0" customWidth="1"/>
    <x:col min="8" max="8" width="46" hidden="0" customWidth="1"/>
    <x:col min="9" max="9" width="26" hidden="0" customWidth="1"/>
  </x:cols>
  <x:sheetData>
    <x:row r="1" ht="28" customHeight="1">
      <x:c r="A1" s="3" t="str">
        <x:v>07 — Лист согласования</x:v>
      </x:c>
      <x:c r="B1" s="3"/>
      <x:c r="C1" s="3"/>
      <x:c r="D1" s="3"/>
      <x:c r="E1" s="3"/>
      <x:c r="F1" s="3"/>
      <x:c r="G1" s="3"/>
      <x:c r="H1" s="3"/>
      <x:c r="I1" s="3"/>
    </x:row>
    <x:row r="2" ht="42" customHeight="1">
      <x:c r="A2" s="7" t="str">
        <x:v>Решения шеф-повара не заполнены заранее. Статус меняется только после фактического решения и контрольных проработок.</x:v>
      </x:c>
      <x:c r="B2" s="7"/>
      <x:c r="C2" s="7"/>
      <x:c r="D2" s="7"/>
      <x:c r="E2" s="7"/>
      <x:c r="F2" s="7"/>
      <x:c r="G2" s="7"/>
      <x:c r="H2" s="7"/>
      <x:c r="I2" s="7"/>
    </x:row>
    <x:row r="4" ht="54" customHeight="1">
      <x:c r="A4" s="12" t="str">
        <x:v>Код блюда</x:v>
      </x:c>
      <x:c r="B4" s="12" t="str">
        <x:v>Наименование</x:v>
      </x:c>
      <x:c r="C4" s="12" t="str">
        <x:v>Код калькуляции</x:v>
      </x:c>
      <x:c r="D4" s="12" t="str">
        <x:v>Код техкарты</x:v>
      </x:c>
      <x:c r="E4" s="12" t="str">
        <x:v>Комплектность</x:v>
      </x:c>
      <x:c r="F4" s="12" t="str">
        <x:v>Решение шеф-повара</x:v>
      </x:c>
      <x:c r="G4" s="12" t="str">
        <x:v>Дата</x:v>
      </x:c>
      <x:c r="H4" s="12" t="str">
        <x:v>Комментарий</x:v>
      </x:c>
      <x:c r="I4" s="12" t="str">
        <x:v>Подпись / идентификатор</x:v>
      </x:c>
    </x:row>
    <x:row r="5">
      <x:c r="A5" s="32" t="str">
        <x:v>VKM-001</x:v>
      </x:c>
      <x:c r="B5" s="33" t="str">
        <x:v>Маргарита</x:v>
      </x:c>
      <x:c r="C5" s="33" t="str">
        <x:v>VKC-001</x:v>
      </x:c>
      <x:c r="D5" s="33" t="str">
        <x:v>VKT-001</x:v>
      </x:c>
      <x:c r="E5" s="33" t="str">
        <x:v>BLOCKED</x:v>
      </x:c>
      <x:c r="F5" s="33" t="str">
        <x:v>BLOCKED</x:v>
      </x:c>
      <x:c r="G5" s="41"/>
      <x:c r="H5" s="33"/>
      <x:c r="I5" s="34"/>
    </x:row>
    <x:row r="6">
      <x:c r="A6" s="35" t="str">
        <x:v>VKM-002</x:v>
      </x:c>
      <x:c r="B6" s="36" t="str">
        <x:v>Четыре сыра</x:v>
      </x:c>
      <x:c r="C6" s="36" t="str">
        <x:v>VKC-002</x:v>
      </x:c>
      <x:c r="D6" s="36" t="str">
        <x:v>VKT-002</x:v>
      </x:c>
      <x:c r="E6" s="36" t="str">
        <x:v>BLOCKED</x:v>
      </x:c>
      <x:c r="F6" s="36" t="str">
        <x:v>BLOCKED</x:v>
      </x:c>
      <x:c r="G6" s="42"/>
      <x:c r="H6" s="36"/>
      <x:c r="I6" s="37"/>
    </x:row>
    <x:row r="7">
      <x:c r="A7" s="35" t="str">
        <x:v>VKM-003</x:v>
      </x:c>
      <x:c r="B7" s="36" t="str">
        <x:v>Грибная с ветчиной</x:v>
      </x:c>
      <x:c r="C7" s="36" t="str">
        <x:v>VKC-003</x:v>
      </x:c>
      <x:c r="D7" s="36" t="str">
        <x:v>VKT-003</x:v>
      </x:c>
      <x:c r="E7" s="36" t="str">
        <x:v>BLOCKED</x:v>
      </x:c>
      <x:c r="F7" s="36" t="str">
        <x:v>BLOCKED</x:v>
      </x:c>
      <x:c r="G7" s="42"/>
      <x:c r="H7" s="36"/>
      <x:c r="I7" s="37"/>
    </x:row>
    <x:row r="8">
      <x:c r="A8" s="35" t="str">
        <x:v>VKM-004</x:v>
      </x:c>
      <x:c r="B8" s="36" t="str">
        <x:v>Пепперони</x:v>
      </x:c>
      <x:c r="C8" s="36" t="str">
        <x:v>VKC-004</x:v>
      </x:c>
      <x:c r="D8" s="36" t="str">
        <x:v>VKT-004</x:v>
      </x:c>
      <x:c r="E8" s="36" t="str">
        <x:v>BLOCKED</x:v>
      </x:c>
      <x:c r="F8" s="36" t="str">
        <x:v>BLOCKED</x:v>
      </x:c>
      <x:c r="G8" s="42"/>
      <x:c r="H8" s="36"/>
      <x:c r="I8" s="37"/>
    </x:row>
    <x:row r="9">
      <x:c r="A9" s="35" t="str">
        <x:v>VKM-005</x:v>
      </x:c>
      <x:c r="B9" s="36" t="str">
        <x:v>Белая чиабатта</x:v>
      </x:c>
      <x:c r="C9" s="36" t="str">
        <x:v>VKC-005</x:v>
      </x:c>
      <x:c r="D9" s="36" t="str">
        <x:v>VKT-005</x:v>
      </x:c>
      <x:c r="E9" s="36" t="str">
        <x:v>BLOCKED</x:v>
      </x:c>
      <x:c r="F9" s="36" t="str">
        <x:v>BLOCKED</x:v>
      </x:c>
      <x:c r="G9" s="42"/>
      <x:c r="H9" s="36"/>
      <x:c r="I9" s="37"/>
    </x:row>
    <x:row r="10">
      <x:c r="A10" s="35" t="str">
        <x:v>VKM-006</x:v>
      </x:c>
      <x:c r="B10" s="36" t="str">
        <x:v>Томатная чиабатта</x:v>
      </x:c>
      <x:c r="C10" s="36" t="str">
        <x:v>VKC-006</x:v>
      </x:c>
      <x:c r="D10" s="36" t="str">
        <x:v>VKT-006</x:v>
      </x:c>
      <x:c r="E10" s="36" t="str">
        <x:v>BLOCKED</x:v>
      </x:c>
      <x:c r="F10" s="36" t="str">
        <x:v>BLOCKED</x:v>
      </x:c>
      <x:c r="G10" s="42"/>
      <x:c r="H10" s="36"/>
      <x:c r="I10" s="37"/>
    </x:row>
    <x:row r="11">
      <x:c r="A11" s="35" t="str">
        <x:v>VKM-007</x:v>
      </x:c>
      <x:c r="B11" s="36" t="str">
        <x:v>Бородинский хлеб</x:v>
      </x:c>
      <x:c r="C11" s="36" t="str">
        <x:v>VKC-007</x:v>
      </x:c>
      <x:c r="D11" s="36" t="str">
        <x:v>VKT-007</x:v>
      </x:c>
      <x:c r="E11" s="36" t="str">
        <x:v>BLOCKED</x:v>
      </x:c>
      <x:c r="F11" s="36" t="str">
        <x:v>BLOCKED</x:v>
      </x:c>
      <x:c r="G11" s="42"/>
      <x:c r="H11" s="36"/>
      <x:c r="I11" s="37"/>
    </x:row>
    <x:row r="12">
      <x:c r="A12" s="35" t="str">
        <x:v>VKM-008</x:v>
      </x:c>
      <x:c r="B12" s="36" t="str">
        <x:v>Бриошь</x:v>
      </x:c>
      <x:c r="C12" s="36" t="str">
        <x:v>VKC-008</x:v>
      </x:c>
      <x:c r="D12" s="36" t="str">
        <x:v>VKT-008</x:v>
      </x:c>
      <x:c r="E12" s="36" t="str">
        <x:v>BLOCKED</x:v>
      </x:c>
      <x:c r="F12" s="36" t="str">
        <x:v>BLOCKED</x:v>
      </x:c>
      <x:c r="G12" s="42"/>
      <x:c r="H12" s="36"/>
      <x:c r="I12" s="37"/>
    </x:row>
    <x:row r="13">
      <x:c r="A13" s="35" t="str">
        <x:v>VKM-009</x:v>
      </x:c>
      <x:c r="B13" s="36" t="str">
        <x:v>Буррата с томатами</x:v>
      </x:c>
      <x:c r="C13" s="36" t="str">
        <x:v>VKC-009</x:v>
      </x:c>
      <x:c r="D13" s="36" t="str">
        <x:v>VKT-009</x:v>
      </x:c>
      <x:c r="E13" s="36" t="str">
        <x:v>BLOCKED</x:v>
      </x:c>
      <x:c r="F13" s="36" t="str">
        <x:v>BLOCKED</x:v>
      </x:c>
      <x:c r="G13" s="42"/>
      <x:c r="H13" s="36"/>
      <x:c r="I13" s="37"/>
    </x:row>
    <x:row r="14">
      <x:c r="A14" s="35" t="str">
        <x:v>VKM-010</x:v>
      </x:c>
      <x:c r="B14" s="36" t="str">
        <x:v>Микс-салат с креветками и яблоком</x:v>
      </x:c>
      <x:c r="C14" s="36" t="str">
        <x:v>VKC-010</x:v>
      </x:c>
      <x:c r="D14" s="36" t="str">
        <x:v>VKT-010</x:v>
      </x:c>
      <x:c r="E14" s="36" t="str">
        <x:v>BLOCKED</x:v>
      </x:c>
      <x:c r="F14" s="36" t="str">
        <x:v>BLOCKED</x:v>
      </x:c>
      <x:c r="G14" s="42"/>
      <x:c r="H14" s="36"/>
      <x:c r="I14" s="37"/>
    </x:row>
    <x:row r="15">
      <x:c r="A15" s="35" t="str">
        <x:v>VKM-011</x:v>
      </x:c>
      <x:c r="B15" s="36" t="str">
        <x:v>Греческий</x:v>
      </x:c>
      <x:c r="C15" s="36" t="str">
        <x:v>VKC-011</x:v>
      </x:c>
      <x:c r="D15" s="36" t="str">
        <x:v>VKT-011</x:v>
      </x:c>
      <x:c r="E15" s="36" t="str">
        <x:v>BLOCKED</x:v>
      </x:c>
      <x:c r="F15" s="36" t="str">
        <x:v>BLOCKED</x:v>
      </x:c>
      <x:c r="G15" s="42"/>
      <x:c r="H15" s="36"/>
      <x:c r="I15" s="37"/>
    </x:row>
    <x:row r="16">
      <x:c r="A16" s="35" t="str">
        <x:v>VKM-012</x:v>
      </x:c>
      <x:c r="B16" s="36" t="str">
        <x:v>Винегрет</x:v>
      </x:c>
      <x:c r="C16" s="36" t="str">
        <x:v>VKC-012</x:v>
      </x:c>
      <x:c r="D16" s="36" t="str">
        <x:v>VKT-012</x:v>
      </x:c>
      <x:c r="E16" s="36" t="str">
        <x:v>BLOCKED</x:v>
      </x:c>
      <x:c r="F16" s="36" t="str">
        <x:v>BLOCKED</x:v>
      </x:c>
      <x:c r="G16" s="42"/>
      <x:c r="H16" s="36"/>
      <x:c r="I16" s="37"/>
    </x:row>
    <x:row r="17">
      <x:c r="A17" s="35" t="str">
        <x:v>VKM-013</x:v>
      </x:c>
      <x:c r="B17" s="36" t="str">
        <x:v>Слабосолёный лосось</x:v>
      </x:c>
      <x:c r="C17" s="36" t="str">
        <x:v>VKC-013</x:v>
      </x:c>
      <x:c r="D17" s="36" t="str">
        <x:v>VKT-013</x:v>
      </x:c>
      <x:c r="E17" s="36" t="str">
        <x:v>BLOCKED</x:v>
      </x:c>
      <x:c r="F17" s="36" t="str">
        <x:v>BLOCKED</x:v>
      </x:c>
      <x:c r="G17" s="42"/>
      <x:c r="H17" s="36"/>
      <x:c r="I17" s="37"/>
    </x:row>
    <x:row r="18">
      <x:c r="A18" s="35" t="str">
        <x:v>VKM-014</x:v>
      </x:c>
      <x:c r="B18" s="36" t="str">
        <x:v>Сельдь с запечённым картофелем</x:v>
      </x:c>
      <x:c r="C18" s="36" t="str">
        <x:v>VKC-014</x:v>
      </x:c>
      <x:c r="D18" s="36" t="str">
        <x:v>VKT-014</x:v>
      </x:c>
      <x:c r="E18" s="36" t="str">
        <x:v>BLOCKED</x:v>
      </x:c>
      <x:c r="F18" s="36" t="str">
        <x:v>BLOCKED</x:v>
      </x:c>
      <x:c r="G18" s="42"/>
      <x:c r="H18" s="36"/>
      <x:c r="I18" s="37"/>
    </x:row>
    <x:row r="19">
      <x:c r="A19" s="35" t="str">
        <x:v>VKM-015</x:v>
      </x:c>
      <x:c r="B19" s="36" t="str">
        <x:v>Оливки и маслины</x:v>
      </x:c>
      <x:c r="C19" s="36" t="str">
        <x:v>VKC-015</x:v>
      </x:c>
      <x:c r="D19" s="36" t="str">
        <x:v>VKT-015</x:v>
      </x:c>
      <x:c r="E19" s="36" t="str">
        <x:v>BLOCKED</x:v>
      </x:c>
      <x:c r="F19" s="36" t="str">
        <x:v>BLOCKED</x:v>
      </x:c>
      <x:c r="G19" s="42"/>
      <x:c r="H19" s="36"/>
      <x:c r="I19" s="37"/>
    </x:row>
    <x:row r="20">
      <x:c r="A20" s="35" t="str">
        <x:v>VKM-016</x:v>
      </x:c>
      <x:c r="B20" s="36" t="str">
        <x:v>Ассорти фирменных солений</x:v>
      </x:c>
      <x:c r="C20" s="36" t="str">
        <x:v>VKC-016</x:v>
      </x:c>
      <x:c r="D20" s="36" t="str">
        <x:v>VKT-016</x:v>
      </x:c>
      <x:c r="E20" s="36" t="str">
        <x:v>BLOCKED</x:v>
      </x:c>
      <x:c r="F20" s="36" t="str">
        <x:v>BLOCKED</x:v>
      </x:c>
      <x:c r="G20" s="42"/>
      <x:c r="H20" s="36"/>
      <x:c r="I20" s="37"/>
    </x:row>
    <x:row r="21">
      <x:c r="A21" s="35" t="str">
        <x:v>VKM-017</x:v>
      </x:c>
      <x:c r="B21" s="36" t="str">
        <x:v>Ростбиф с луком и гренкой</x:v>
      </x:c>
      <x:c r="C21" s="36" t="str">
        <x:v>VKC-017</x:v>
      </x:c>
      <x:c r="D21" s="36" t="str">
        <x:v>VKT-017</x:v>
      </x:c>
      <x:c r="E21" s="36" t="str">
        <x:v>BLOCKED</x:v>
      </x:c>
      <x:c r="F21" s="36" t="str">
        <x:v>BLOCKED</x:v>
      </x:c>
      <x:c r="G21" s="42"/>
      <x:c r="H21" s="36"/>
      <x:c r="I21" s="37"/>
    </x:row>
    <x:row r="22">
      <x:c r="A22" s="35" t="str">
        <x:v>VKM-018</x:v>
      </x:c>
      <x:c r="B22" s="36" t="str">
        <x:v>Традиционный красный борщ</x:v>
      </x:c>
      <x:c r="C22" s="36" t="str">
        <x:v>VKC-018</x:v>
      </x:c>
      <x:c r="D22" s="36" t="str">
        <x:v>VKT-018</x:v>
      </x:c>
      <x:c r="E22" s="36" t="str">
        <x:v>BLOCKED</x:v>
      </x:c>
      <x:c r="F22" s="36" t="str">
        <x:v>BLOCKED</x:v>
      </x:c>
      <x:c r="G22" s="42"/>
      <x:c r="H22" s="36"/>
      <x:c r="I22" s="37"/>
    </x:row>
    <x:row r="23">
      <x:c r="A23" s="35" t="str">
        <x:v>VKM-019</x:v>
      </x:c>
      <x:c r="B23" s="36" t="str">
        <x:v>Мурманская треска со сливочно-горчичным соусом</x:v>
      </x:c>
      <x:c r="C23" s="36" t="str">
        <x:v>VKC-019</x:v>
      </x:c>
      <x:c r="D23" s="36" t="str">
        <x:v>VKT-019</x:v>
      </x:c>
      <x:c r="E23" s="36" t="str">
        <x:v>BLOCKED</x:v>
      </x:c>
      <x:c r="F23" s="36" t="str">
        <x:v>BLOCKED</x:v>
      </x:c>
      <x:c r="G23" s="42"/>
      <x:c r="H23" s="36"/>
      <x:c r="I23" s="37"/>
    </x:row>
    <x:row r="24">
      <x:c r="A24" s="35" t="str">
        <x:v>VKM-020</x:v>
      </x:c>
      <x:c r="B24" s="36" t="str">
        <x:v>Креветки по-тайски</x:v>
      </x:c>
      <x:c r="C24" s="36" t="str">
        <x:v>VKC-020</x:v>
      </x:c>
      <x:c r="D24" s="36" t="str">
        <x:v>VKT-020</x:v>
      </x:c>
      <x:c r="E24" s="36" t="str">
        <x:v>BLOCKED</x:v>
      </x:c>
      <x:c r="F24" s="36" t="str">
        <x:v>BLOCKED</x:v>
      </x:c>
      <x:c r="G24" s="42"/>
      <x:c r="H24" s="36"/>
      <x:c r="I24" s="37"/>
    </x:row>
    <x:row r="25">
      <x:c r="A25" s="35" t="str">
        <x:v>VKM-021</x:v>
      </x:c>
      <x:c r="B25" s="36" t="str">
        <x:v>Бургер VARSHAVKA</x:v>
      </x:c>
      <x:c r="C25" s="36" t="str">
        <x:v>VKC-021</x:v>
      </x:c>
      <x:c r="D25" s="36" t="str">
        <x:v>VKT-021</x:v>
      </x:c>
      <x:c r="E25" s="36" t="str">
        <x:v>BLOCKED</x:v>
      </x:c>
      <x:c r="F25" s="36" t="str">
        <x:v>BLOCKED</x:v>
      </x:c>
      <x:c r="G25" s="42"/>
      <x:c r="H25" s="36"/>
      <x:c r="I25" s="37"/>
    </x:row>
    <x:row r="26">
      <x:c r="A26" s="35" t="str">
        <x:v>VKM-022</x:v>
      </x:c>
      <x:c r="B26" s="36" t="str">
        <x:v>Миньоны из говяжьей вырезки</x:v>
      </x:c>
      <x:c r="C26" s="36" t="str">
        <x:v>VKC-022</x:v>
      </x:c>
      <x:c r="D26" s="36" t="str">
        <x:v>VKT-022</x:v>
      </x:c>
      <x:c r="E26" s="36" t="str">
        <x:v>BLOCKED</x:v>
      </x:c>
      <x:c r="F26" s="36" t="str">
        <x:v>BLOCKED</x:v>
      </x:c>
      <x:c r="G26" s="42"/>
      <x:c r="H26" s="36"/>
      <x:c r="I26" s="37"/>
    </x:row>
    <x:row r="27">
      <x:c r="A27" s="35" t="str">
        <x:v>VKM-023</x:v>
      </x:c>
      <x:c r="B27" s="36" t="str">
        <x:v>Запечённый картофель</x:v>
      </x:c>
      <x:c r="C27" s="36" t="str">
        <x:v>VKC-023</x:v>
      </x:c>
      <x:c r="D27" s="36" t="str">
        <x:v>VKT-023</x:v>
      </x:c>
      <x:c r="E27" s="36" t="str">
        <x:v>BLOCKED</x:v>
      </x:c>
      <x:c r="F27" s="36" t="str">
        <x:v>BLOCKED</x:v>
      </x:c>
      <x:c r="G27" s="42"/>
      <x:c r="H27" s="36"/>
      <x:c r="I27" s="37"/>
    </x:row>
    <x:row r="28">
      <x:c r="A28" s="35" t="str">
        <x:v>VKM-024</x:v>
      </x:c>
      <x:c r="B28" s="36" t="str">
        <x:v>Рис жасмин</x:v>
      </x:c>
      <x:c r="C28" s="36" t="str">
        <x:v>VKC-024</x:v>
      </x:c>
      <x:c r="D28" s="36" t="str">
        <x:v>VKT-024</x:v>
      </x:c>
      <x:c r="E28" s="36" t="str">
        <x:v>BLOCKED</x:v>
      </x:c>
      <x:c r="F28" s="36" t="str">
        <x:v>BLOCKED</x:v>
      </x:c>
      <x:c r="G28" s="42"/>
      <x:c r="H28" s="36"/>
      <x:c r="I28" s="37"/>
    </x:row>
    <x:row r="29">
      <x:c r="A29" s="35" t="str">
        <x:v>VKM-025</x:v>
      </x:c>
      <x:c r="B29" s="36" t="str">
        <x:v>Горячие овощи</x:v>
      </x:c>
      <x:c r="C29" s="36" t="str">
        <x:v>VKC-025</x:v>
      </x:c>
      <x:c r="D29" s="36" t="str">
        <x:v>VKT-025</x:v>
      </x:c>
      <x:c r="E29" s="36" t="str">
        <x:v>BLOCKED</x:v>
      </x:c>
      <x:c r="F29" s="36" t="str">
        <x:v>BLOCKED</x:v>
      </x:c>
      <x:c r="G29" s="42"/>
      <x:c r="H29" s="36"/>
      <x:c r="I29" s="37"/>
    </x:row>
    <x:row r="30">
      <x:c r="A30" s="35" t="str">
        <x:v>VKM-026</x:v>
      </x:c>
      <x:c r="B30" s="36" t="str">
        <x:v>Яичница, круассан и сыр двух видов</x:v>
      </x:c>
      <x:c r="C30" s="36" t="str">
        <x:v>VKC-026</x:v>
      </x:c>
      <x:c r="D30" s="36" t="str">
        <x:v>VKT-026</x:v>
      </x:c>
      <x:c r="E30" s="36" t="str">
        <x:v>DRAFT</x:v>
      </x:c>
      <x:c r="F30" s="36" t="str">
        <x:v>BLOCKED</x:v>
      </x:c>
      <x:c r="G30" s="42"/>
      <x:c r="H30" s="36"/>
      <x:c r="I30" s="37"/>
    </x:row>
    <x:row r="31">
      <x:c r="A31" s="35" t="str">
        <x:v>VKM-027</x:v>
      </x:c>
      <x:c r="B31" s="36" t="str">
        <x:v>Омлет, круассан и сыр двух видов</x:v>
      </x:c>
      <x:c r="C31" s="36" t="str">
        <x:v>VKC-027</x:v>
      </x:c>
      <x:c r="D31" s="36" t="str">
        <x:v>VKT-027</x:v>
      </x:c>
      <x:c r="E31" s="36" t="str">
        <x:v>DRAFT</x:v>
      </x:c>
      <x:c r="F31" s="36" t="str">
        <x:v>BLOCKED</x:v>
      </x:c>
      <x:c r="G31" s="42"/>
      <x:c r="H31" s="36"/>
      <x:c r="I31" s="37"/>
    </x:row>
    <x:row r="32">
      <x:c r="A32" s="35" t="str">
        <x:v>VKM-028</x:v>
      </x:c>
      <x:c r="B32" s="36" t="str">
        <x:v>Овсяная каша, круассан и сыр двух видов</x:v>
      </x:c>
      <x:c r="C32" s="36" t="str">
        <x:v>VKC-028</x:v>
      </x:c>
      <x:c r="D32" s="36" t="str">
        <x:v>VKT-028</x:v>
      </x:c>
      <x:c r="E32" s="36" t="str">
        <x:v>DRAFT</x:v>
      </x:c>
      <x:c r="F32" s="36" t="str">
        <x:v>BLOCKED</x:v>
      </x:c>
      <x:c r="G32" s="42"/>
      <x:c r="H32" s="36"/>
      <x:c r="I32" s="37"/>
    </x:row>
    <x:row r="33">
      <x:c r="A33" s="35" t="str">
        <x:v>VKM-029</x:v>
      </x:c>
      <x:c r="B33" s="36" t="str">
        <x:v>Черничный торт VARSHAVKA</x:v>
      </x:c>
      <x:c r="C33" s="36" t="str">
        <x:v>VKC-029</x:v>
      </x:c>
      <x:c r="D33" s="36" t="str">
        <x:v>VKT-029</x:v>
      </x:c>
      <x:c r="E33" s="36" t="str">
        <x:v>BLOCKED</x:v>
      </x:c>
      <x:c r="F33" s="36" t="str">
        <x:v>BLOCKED</x:v>
      </x:c>
      <x:c r="G33" s="42"/>
      <x:c r="H33" s="36"/>
      <x:c r="I33" s="37"/>
    </x:row>
    <x:row r="34">
      <x:c r="A34" s="35" t="str">
        <x:v>VKM-030</x:v>
      </x:c>
      <x:c r="B34" s="36" t="str">
        <x:v>Кростата с солёной карамелью</x:v>
      </x:c>
      <x:c r="C34" s="36" t="str">
        <x:v>VKC-030</x:v>
      </x:c>
      <x:c r="D34" s="36" t="str">
        <x:v>VKT-030</x:v>
      </x:c>
      <x:c r="E34" s="36" t="str">
        <x:v>BLOCKED</x:v>
      </x:c>
      <x:c r="F34" s="36" t="str">
        <x:v>BLOCKED</x:v>
      </x:c>
      <x:c r="G34" s="42"/>
      <x:c r="H34" s="36"/>
      <x:c r="I34" s="37"/>
    </x:row>
    <x:row r="35">
      <x:c r="A35" s="38" t="str">
        <x:v>VKM-031</x:v>
      </x:c>
      <x:c r="B35" s="39" t="str">
        <x:v>Мадлен</x:v>
      </x:c>
      <x:c r="C35" s="39" t="str">
        <x:v>VKC-031</x:v>
      </x:c>
      <x:c r="D35" s="39" t="str">
        <x:v>VKT-031</x:v>
      </x:c>
      <x:c r="E35" s="39" t="str">
        <x:v>BLOCKED</x:v>
      </x:c>
      <x:c r="F35" s="39" t="str">
        <x:v>BLOCKED</x:v>
      </x:c>
      <x:c r="G35" s="43"/>
      <x:c r="H35" s="39"/>
      <x:c r="I35" s="40"/>
    </x:row>
  </x:sheetData>
  <x:mergeCells>
    <x:mergeCell ref="A1:I1"/>
    <x:mergeCell ref="A2:I2"/>
  </x:mergeCells>
  <x:conditionalFormatting sqref="E5:F35">
    <x:cfRule type="containsText" dxfId="48" priority="1" operator="containsText" text="FACT"/>
    <x:cfRule type="containsText" dxfId="49" priority="2" operator="containsText" text="CALCULATED"/>
    <x:cfRule type="containsText" dxfId="50" priority="3" operator="containsText" text="ASSUMPTION"/>
    <x:cfRule type="containsText" dxfId="51" priority="4" operator="containsText" text="DRAFT"/>
    <x:cfRule type="containsText" dxfId="52" priority="5" operator="containsText" text="BLOCKED"/>
    <x:cfRule type="containsText" dxfId="53" priority="6" operator="containsText" text="SUPERSEDED"/>
  </x:conditionalFormatting>
  <x:dataValidations count="2">
    <x:dataValidation type="list" sqref="F5:F35">
      <x:formula1>"BLOCKED,DRAFT,FACT"</x:formula1>
    </x:dataValidation>
    <x:dataValidation type="date" operator="between" sqref="G5:G35">
      <x:formula1>DATE(2020,1,1)</x:formula1>
      <x:formula2>DATE(2035,12,31)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38c95f177bc4b5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6" hidden="0" customWidth="1"/>
    <x:col min="8" max="8" width="48" hidden="0" customWidth="1"/>
  </x:cols>
  <x:sheetData>
    <x:row r="1" ht="28" customHeight="1">
      <x:c r="A1" s="3" t="str">
        <x:v>08 — Структурные и расчётные проверки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Статус PASS означает корректность структуры/формул комплекта, но не утверждение рецептур, цен или безопасности.</x:v>
      </x:c>
      <x:c r="B2" s="7"/>
      <x:c r="C2" s="7"/>
      <x:c r="D2" s="7"/>
      <x:c r="E2" s="7"/>
      <x:c r="F2" s="7"/>
      <x:c r="G2" s="7"/>
      <x:c r="H2" s="7"/>
    </x:row>
    <x:row r="4" ht="54" customHeight="1">
      <x:c r="A4" s="12" t="str">
        <x:v>Код проверки</x:v>
      </x:c>
      <x:c r="B4" s="12" t="str">
        <x:v>Проверка</x:v>
      </x:c>
      <x:c r="C4" s="12" t="str">
        <x:v>Факт</x:v>
      </x:c>
      <x:c r="D4" s="12" t="str">
        <x:v>Ожидание</x:v>
      </x:c>
      <x:c r="E4" s="12" t="str">
        <x:v>Отклонение</x:v>
      </x:c>
      <x:c r="F4" s="12" t="str">
        <x:v>Допуск</x:v>
      </x:c>
      <x:c r="G4" s="12" t="str">
        <x:v>Статус</x:v>
      </x:c>
      <x:c r="H4" s="12" t="str">
        <x:v>Комментарий</x:v>
      </x:c>
    </x:row>
    <x:row r="5">
      <x:c r="A5" s="32" t="str">
        <x:v>CHK.MENU.COUNT</x:v>
      </x:c>
      <x:c r="B5" s="33" t="str">
        <x:v>Активных позиций меню</x:v>
      </x:c>
      <x:c r="C5" s="47" t="n">
        <x:f>COUNTA('01_МЕНЮ'!$A$5:$A$35)</x:f>
        <x:v>31</x:v>
      </x:c>
      <x:c r="D5" s="47" t="n">
        <x:v>31</x:v>
      </x:c>
      <x:c r="E5" s="47" t="n">
        <x:f>C5-D5</x:f>
        <x:v>0</x:v>
      </x:c>
      <x:c r="F5" s="47" t="n">
        <x:v>0</x:v>
      </x:c>
      <x:c r="G5" s="33" t="str">
        <x:f>IF(ABS(E5)&lt;=F5,"PASS","FAIL")</x:f>
        <x:v>PASS</x:v>
      </x:c>
      <x:c r="H5" s="34" t="str">
        <x:v>Должно быть 31</x:v>
      </x:c>
    </x:row>
    <x:row r="6">
      <x:c r="A6" s="35" t="str">
        <x:v>CHK.MENU.DUPLICATES</x:v>
      </x:c>
      <x:c r="B6" s="36" t="str">
        <x:v>Дублирующихся кодов меню</x:v>
      </x:c>
      <x:c r="C6" s="48" t="n">
        <x:f>--(COUNTIF('01_МЕНЮ'!$A$5:$A$35,'01_МЕНЮ'!$A$5)&gt;1)+--(COUNTIF('01_МЕНЮ'!$A$5:$A$35,'01_МЕНЮ'!$A$6)&gt;1)+--(COUNTIF('01_МЕНЮ'!$A$5:$A$35,'01_МЕНЮ'!$A$7)&gt;1)+--(COUNTIF('01_МЕНЮ'!$A$5:$A$35,'01_МЕНЮ'!$A$8)&gt;1)+--(COUNTIF('01_МЕНЮ'!$A$5:$A$35,'01_МЕНЮ'!$A$9)&gt;1)+--(COUNTIF('01_МЕНЮ'!$A$5:$A$35,'01_МЕНЮ'!$A$10)&gt;1)+--(COUNTIF('01_МЕНЮ'!$A$5:$A$35,'01_МЕНЮ'!$A$11)&gt;1)+--(COUNTIF('01_МЕНЮ'!$A$5:$A$35,'01_МЕНЮ'!$A$12)&gt;1)+--(COUNTIF('01_МЕНЮ'!$A$5:$A$35,'01_МЕНЮ'!$A$13)&gt;1)+--(COUNTIF('01_МЕНЮ'!$A$5:$A$35,'01_МЕНЮ'!$A$14)&gt;1)+--(COUNTIF('01_МЕНЮ'!$A$5:$A$35,'01_МЕНЮ'!$A$15)&gt;1)+--(COUNTIF('01_МЕНЮ'!$A$5:$A$35,'01_МЕНЮ'!$A$16)&gt;1)+--(COUNTIF('01_МЕНЮ'!$A$5:$A$35,'01_МЕНЮ'!$A$17)&gt;1)+--(COUNTIF('01_МЕНЮ'!$A$5:$A$35,'01_МЕНЮ'!$A$18)&gt;1)+--(COUNTIF('01_МЕНЮ'!$A$5:$A$35,'01_МЕНЮ'!$A$19)&gt;1)+--(COUNTIF('01_МЕНЮ'!$A$5:$A$35,'01_МЕНЮ'!$A$20)&gt;1)+--(COUNTIF('01_МЕНЮ'!$A$5:$A$35,'01_МЕНЮ'!$A$21)&gt;1)+--(COUNTIF('01_МЕНЮ'!$A$5:$A$35,'01_МЕНЮ'!$A$22)&gt;1)+--(COUNTIF('01_МЕНЮ'!$A$5:$A$35,'01_МЕНЮ'!$A$23)&gt;1)+--(COUNTIF('01_МЕНЮ'!$A$5:$A$35,'01_МЕНЮ'!$A$24)&gt;1)+--(COUNTIF('01_МЕНЮ'!$A$5:$A$35,'01_МЕНЮ'!$A$25)&gt;1)+--(COUNTIF('01_МЕНЮ'!$A$5:$A$35,'01_МЕНЮ'!$A$26)&gt;1)+--(COUNTIF('01_МЕНЮ'!$A$5:$A$35,'01_МЕНЮ'!$A$27)&gt;1)+--(COUNTIF('01_МЕНЮ'!$A$5:$A$35,'01_МЕНЮ'!$A$28)&gt;1)+--(COUNTIF('01_МЕНЮ'!$A$5:$A$35,'01_МЕНЮ'!$A$29)&gt;1)+--(COUNTIF('01_МЕНЮ'!$A$5:$A$35,'01_МЕНЮ'!$A$30)&gt;1)+--(COUNTIF('01_МЕНЮ'!$A$5:$A$35,'01_МЕНЮ'!$A$31)&gt;1)+--(COUNTIF('01_МЕНЮ'!$A$5:$A$35,'01_МЕНЮ'!$A$32)&gt;1)+--(COUNTIF('01_МЕНЮ'!$A$5:$A$35,'01_МЕНЮ'!$A$33)&gt;1)+--(COUNTIF('01_МЕНЮ'!$A$5:$A$35,'01_МЕНЮ'!$A$34)&gt;1)+--(COUNTIF('01_МЕНЮ'!$A$5:$A$35,'01_МЕНЮ'!$A$35)&gt;1)</x:f>
        <x:v>0</x:v>
      </x:c>
      <x:c r="D6" s="48" t="n">
        <x:v>0</x:v>
      </x:c>
      <x:c r="E6" s="48" t="n">
        <x:f>C6-D6</x:f>
        <x:v>0</x:v>
      </x:c>
      <x:c r="F6" s="48" t="n">
        <x:v>0</x:v>
      </x:c>
      <x:c r="G6" s="36" t="str">
        <x:f>IF(ABS(E6)&lt;=F6,"PASS","FAIL")</x:f>
        <x:v>PASS</x:v>
      </x:c>
      <x:c r="H6" s="37" t="str">
        <x:v>Устойчивый контроль несмежных дублей</x:v>
      </x:c>
    </x:row>
    <x:row r="7">
      <x:c r="A7" s="35" t="str">
        <x:v>CHK.COST.DUPLICATES</x:v>
      </x:c>
      <x:c r="B7" s="36" t="str">
        <x:v>Дублирующихся кодов калькуляционных карт</x:v>
      </x:c>
      <x:c r="C7" s="48" t="n">
        <x:f>--(COUNTIF('01_МЕНЮ'!$I$5:$I$35,'01_МЕНЮ'!$I$5)&gt;1)+--(COUNTIF('01_МЕНЮ'!$I$5:$I$35,'01_МЕНЮ'!$I$6)&gt;1)+--(COUNTIF('01_МЕНЮ'!$I$5:$I$35,'01_МЕНЮ'!$I$7)&gt;1)+--(COUNTIF('01_МЕНЮ'!$I$5:$I$35,'01_МЕНЮ'!$I$8)&gt;1)+--(COUNTIF('01_МЕНЮ'!$I$5:$I$35,'01_МЕНЮ'!$I$9)&gt;1)+--(COUNTIF('01_МЕНЮ'!$I$5:$I$35,'01_МЕНЮ'!$I$10)&gt;1)+--(COUNTIF('01_МЕНЮ'!$I$5:$I$35,'01_МЕНЮ'!$I$11)&gt;1)+--(COUNTIF('01_МЕНЮ'!$I$5:$I$35,'01_МЕНЮ'!$I$12)&gt;1)+--(COUNTIF('01_МЕНЮ'!$I$5:$I$35,'01_МЕНЮ'!$I$13)&gt;1)+--(COUNTIF('01_МЕНЮ'!$I$5:$I$35,'01_МЕНЮ'!$I$14)&gt;1)+--(COUNTIF('01_МЕНЮ'!$I$5:$I$35,'01_МЕНЮ'!$I$15)&gt;1)+--(COUNTIF('01_МЕНЮ'!$I$5:$I$35,'01_МЕНЮ'!$I$16)&gt;1)+--(COUNTIF('01_МЕНЮ'!$I$5:$I$35,'01_МЕНЮ'!$I$17)&gt;1)+--(COUNTIF('01_МЕНЮ'!$I$5:$I$35,'01_МЕНЮ'!$I$18)&gt;1)+--(COUNTIF('01_МЕНЮ'!$I$5:$I$35,'01_МЕНЮ'!$I$19)&gt;1)+--(COUNTIF('01_МЕНЮ'!$I$5:$I$35,'01_МЕНЮ'!$I$20)&gt;1)+--(COUNTIF('01_МЕНЮ'!$I$5:$I$35,'01_МЕНЮ'!$I$21)&gt;1)+--(COUNTIF('01_МЕНЮ'!$I$5:$I$35,'01_МЕНЮ'!$I$22)&gt;1)+--(COUNTIF('01_МЕНЮ'!$I$5:$I$35,'01_МЕНЮ'!$I$23)&gt;1)+--(COUNTIF('01_МЕНЮ'!$I$5:$I$35,'01_МЕНЮ'!$I$24)&gt;1)+--(COUNTIF('01_МЕНЮ'!$I$5:$I$35,'01_МЕНЮ'!$I$25)&gt;1)+--(COUNTIF('01_МЕНЮ'!$I$5:$I$35,'01_МЕНЮ'!$I$26)&gt;1)+--(COUNTIF('01_МЕНЮ'!$I$5:$I$35,'01_МЕНЮ'!$I$27)&gt;1)+--(COUNTIF('01_МЕНЮ'!$I$5:$I$35,'01_МЕНЮ'!$I$28)&gt;1)+--(COUNTIF('01_МЕНЮ'!$I$5:$I$35,'01_МЕНЮ'!$I$29)&gt;1)+--(COUNTIF('01_МЕНЮ'!$I$5:$I$35,'01_МЕНЮ'!$I$30)&gt;1)+--(COUNTIF('01_МЕНЮ'!$I$5:$I$35,'01_МЕНЮ'!$I$31)&gt;1)+--(COUNTIF('01_МЕНЮ'!$I$5:$I$35,'01_МЕНЮ'!$I$32)&gt;1)+--(COUNTIF('01_МЕНЮ'!$I$5:$I$35,'01_МЕНЮ'!$I$33)&gt;1)+--(COUNTIF('01_МЕНЮ'!$I$5:$I$35,'01_МЕНЮ'!$I$34)&gt;1)+--(COUNTIF('01_МЕНЮ'!$I$5:$I$35,'01_МЕНЮ'!$I$35)&gt;1)</x:f>
        <x:v>0</x:v>
      </x:c>
      <x:c r="D7" s="48" t="n">
        <x:v>0</x:v>
      </x:c>
      <x:c r="E7" s="48" t="n">
        <x:f>C7-D7</x:f>
        <x:v>0</x:v>
      </x:c>
      <x:c r="F7" s="48" t="n">
        <x:v>0</x:v>
      </x:c>
      <x:c r="G7" s="36" t="str">
        <x:f>IF(ABS(E7)&lt;=F7,"PASS","FAIL")</x:f>
        <x:v>PASS</x:v>
      </x:c>
      <x:c r="H7" s="37" t="str">
        <x:v>Устойчивый контроль несмежных дублей</x:v>
      </x:c>
    </x:row>
    <x:row r="8">
      <x:c r="A8" s="35" t="str">
        <x:v>CHK.TECH.COUNT</x:v>
      </x:c>
      <x:c r="B8" s="36" t="str">
        <x:v>Технологических карт</x:v>
      </x:c>
      <x:c r="C8" s="48" t="n">
        <x:f>COUNTA('03_ТЕХКАРТЫ'!$A$5:$A$35)</x:f>
        <x:v>31</x:v>
      </x:c>
      <x:c r="D8" s="48" t="n">
        <x:v>31</x:v>
      </x:c>
      <x:c r="E8" s="48" t="n">
        <x:f>C8-D8</x:f>
        <x:v>0</x:v>
      </x:c>
      <x:c r="F8" s="48" t="n">
        <x:v>0</x:v>
      </x:c>
      <x:c r="G8" s="36" t="str">
        <x:f>IF(ABS(E8)&lt;=F8,"PASS","FAIL")</x:f>
        <x:v>PASS</x:v>
      </x:c>
      <x:c r="H8" s="37" t="str">
        <x:v>Одна карта на позицию</x:v>
      </x:c>
    </x:row>
    <x:row r="9">
      <x:c r="A9" s="35" t="str">
        <x:v>CHK.LINK.COST</x:v>
      </x:c>
      <x:c r="B9" s="36" t="str">
        <x:v>Меню без калькуляционной карты</x:v>
      </x:c>
      <x:c r="C9" s="48" t="n">
        <x:f>--(COUNTIF('02_КАЛЬКУЛЯЦИИ'!$A$5:$A$57,'01_МЕНЮ'!$I$5)=0)+--(COUNTIF('02_КАЛЬКУЛЯЦИИ'!$A$5:$A$57,'01_МЕНЮ'!$I$6)=0)+--(COUNTIF('02_КАЛЬКУЛЯЦИИ'!$A$5:$A$57,'01_МЕНЮ'!$I$7)=0)+--(COUNTIF('02_КАЛЬКУЛЯЦИИ'!$A$5:$A$57,'01_МЕНЮ'!$I$8)=0)+--(COUNTIF('02_КАЛЬКУЛЯЦИИ'!$A$5:$A$57,'01_МЕНЮ'!$I$9)=0)+--(COUNTIF('02_КАЛЬКУЛЯЦИИ'!$A$5:$A$57,'01_МЕНЮ'!$I$10)=0)+--(COUNTIF('02_КАЛЬКУЛЯЦИИ'!$A$5:$A$57,'01_МЕНЮ'!$I$11)=0)+--(COUNTIF('02_КАЛЬКУЛЯЦИИ'!$A$5:$A$57,'01_МЕНЮ'!$I$12)=0)+--(COUNTIF('02_КАЛЬКУЛЯЦИИ'!$A$5:$A$57,'01_МЕНЮ'!$I$13)=0)+--(COUNTIF('02_КАЛЬКУЛЯЦИИ'!$A$5:$A$57,'01_МЕНЮ'!$I$14)=0)+--(COUNTIF('02_КАЛЬКУЛЯЦИИ'!$A$5:$A$57,'01_МЕНЮ'!$I$15)=0)+--(COUNTIF('02_КАЛЬКУЛЯЦИИ'!$A$5:$A$57,'01_МЕНЮ'!$I$16)=0)+--(COUNTIF('02_КАЛЬКУЛЯЦИИ'!$A$5:$A$57,'01_МЕНЮ'!$I$17)=0)+--(COUNTIF('02_КАЛЬКУЛЯЦИИ'!$A$5:$A$57,'01_МЕНЮ'!$I$18)=0)+--(COUNTIF('02_КАЛЬКУЛЯЦИИ'!$A$5:$A$57,'01_МЕНЮ'!$I$19)=0)+--(COUNTIF('02_КАЛЬКУЛЯЦИИ'!$A$5:$A$57,'01_МЕНЮ'!$I$20)=0)+--(COUNTIF('02_КАЛЬКУЛЯЦИИ'!$A$5:$A$57,'01_МЕНЮ'!$I$21)=0)+--(COUNTIF('02_КАЛЬКУЛЯЦИИ'!$A$5:$A$57,'01_МЕНЮ'!$I$22)=0)+--(COUNTIF('02_КАЛЬКУЛЯЦИИ'!$A$5:$A$57,'01_МЕНЮ'!$I$23)=0)+--(COUNTIF('02_КАЛЬКУЛЯЦИИ'!$A$5:$A$57,'01_МЕНЮ'!$I$24)=0)+--(COUNTIF('02_КАЛЬКУЛЯЦИИ'!$A$5:$A$57,'01_МЕНЮ'!$I$25)=0)+--(COUNTIF('02_КАЛЬКУЛЯЦИИ'!$A$5:$A$57,'01_МЕНЮ'!$I$26)=0)+--(COUNTIF('02_КАЛЬКУЛЯЦИИ'!$A$5:$A$57,'01_МЕНЮ'!$I$27)=0)+--(COUNTIF('02_КАЛЬКУЛЯЦИИ'!$A$5:$A$57,'01_МЕНЮ'!$I$28)=0)+--(COUNTIF('02_КАЛЬКУЛЯЦИИ'!$A$5:$A$57,'01_МЕНЮ'!$I$29)=0)+--(COUNTIF('02_КАЛЬКУЛЯЦИИ'!$A$5:$A$57,'01_МЕНЮ'!$I$30)=0)+--(COUNTIF('02_КАЛЬКУЛЯЦИИ'!$A$5:$A$57,'01_МЕНЮ'!$I$31)=0)+--(COUNTIF('02_КАЛЬКУЛЯЦИИ'!$A$5:$A$57,'01_МЕНЮ'!$I$32)=0)+--(COUNTIF('02_КАЛЬКУЛЯЦИИ'!$A$5:$A$57,'01_МЕНЮ'!$I$33)=0)+--(COUNTIF('02_КАЛЬКУЛЯЦИИ'!$A$5:$A$57,'01_МЕНЮ'!$I$34)=0)+--(COUNTIF('02_КАЛЬКУЛЯЦИИ'!$A$5:$A$57,'01_МЕНЮ'!$I$35)=0)</x:f>
        <x:v>0</x:v>
      </x:c>
      <x:c r="D9" s="48" t="n">
        <x:v>0</x:v>
      </x:c>
      <x:c r="E9" s="48" t="n">
        <x:f>C9-D9</x:f>
        <x:v>0</x:v>
      </x:c>
      <x:c r="F9" s="48" t="n">
        <x:v>0</x:v>
      </x:c>
      <x:c r="G9" s="36" t="str">
        <x:f>IF(ABS(E9)&lt;=F9,"PASS","FAIL")</x:f>
        <x:v>PASS</x:v>
      </x:c>
      <x:c r="H9" s="37" t="str">
        <x:v>Должно быть 0</x:v>
      </x:c>
    </x:row>
    <x:row r="10">
      <x:c r="A10" s="35" t="str">
        <x:v>CHK.LINK.TECH</x:v>
      </x:c>
      <x:c r="B10" s="36" t="str">
        <x:v>Меню без технологической карты</x:v>
      </x:c>
      <x:c r="C10" s="48" t="n">
        <x:f>--(COUNTIF('03_ТЕХКАРТЫ'!$A$5:$A$35,'01_МЕНЮ'!$J$5)=0)+--(COUNTIF('03_ТЕХКАРТЫ'!$A$5:$A$35,'01_МЕНЮ'!$J$6)=0)+--(COUNTIF('03_ТЕХКАРТЫ'!$A$5:$A$35,'01_МЕНЮ'!$J$7)=0)+--(COUNTIF('03_ТЕХКАРТЫ'!$A$5:$A$35,'01_МЕНЮ'!$J$8)=0)+--(COUNTIF('03_ТЕХКАРТЫ'!$A$5:$A$35,'01_МЕНЮ'!$J$9)=0)+--(COUNTIF('03_ТЕХКАРТЫ'!$A$5:$A$35,'01_МЕНЮ'!$J$10)=0)+--(COUNTIF('03_ТЕХКАРТЫ'!$A$5:$A$35,'01_МЕНЮ'!$J$11)=0)+--(COUNTIF('03_ТЕХКАРТЫ'!$A$5:$A$35,'01_МЕНЮ'!$J$12)=0)+--(COUNTIF('03_ТЕХКАРТЫ'!$A$5:$A$35,'01_МЕНЮ'!$J$13)=0)+--(COUNTIF('03_ТЕХКАРТЫ'!$A$5:$A$35,'01_МЕНЮ'!$J$14)=0)+--(COUNTIF('03_ТЕХКАРТЫ'!$A$5:$A$35,'01_МЕНЮ'!$J$15)=0)+--(COUNTIF('03_ТЕХКАРТЫ'!$A$5:$A$35,'01_МЕНЮ'!$J$16)=0)+--(COUNTIF('03_ТЕХКАРТЫ'!$A$5:$A$35,'01_МЕНЮ'!$J$17)=0)+--(COUNTIF('03_ТЕХКАРТЫ'!$A$5:$A$35,'01_МЕНЮ'!$J$18)=0)+--(COUNTIF('03_ТЕХКАРТЫ'!$A$5:$A$35,'01_МЕНЮ'!$J$19)=0)+--(COUNTIF('03_ТЕХКАРТЫ'!$A$5:$A$35,'01_МЕНЮ'!$J$20)=0)+--(COUNTIF('03_ТЕХКАРТЫ'!$A$5:$A$35,'01_МЕНЮ'!$J$21)=0)+--(COUNTIF('03_ТЕХКАРТЫ'!$A$5:$A$35,'01_МЕНЮ'!$J$22)=0)+--(COUNTIF('03_ТЕХКАРТЫ'!$A$5:$A$35,'01_МЕНЮ'!$J$23)=0)+--(COUNTIF('03_ТЕХКАРТЫ'!$A$5:$A$35,'01_МЕНЮ'!$J$24)=0)+--(COUNTIF('03_ТЕХКАРТЫ'!$A$5:$A$35,'01_МЕНЮ'!$J$25)=0)+--(COUNTIF('03_ТЕХКАРТЫ'!$A$5:$A$35,'01_МЕНЮ'!$J$26)=0)+--(COUNTIF('03_ТЕХКАРТЫ'!$A$5:$A$35,'01_МЕНЮ'!$J$27)=0)+--(COUNTIF('03_ТЕХКАРТЫ'!$A$5:$A$35,'01_МЕНЮ'!$J$28)=0)+--(COUNTIF('03_ТЕХКАРТЫ'!$A$5:$A$35,'01_МЕНЮ'!$J$29)=0)+--(COUNTIF('03_ТЕХКАРТЫ'!$A$5:$A$35,'01_МЕНЮ'!$J$30)=0)+--(COUNTIF('03_ТЕХКАРТЫ'!$A$5:$A$35,'01_МЕНЮ'!$J$31)=0)+--(COUNTIF('03_ТЕХКАРТЫ'!$A$5:$A$35,'01_МЕНЮ'!$J$32)=0)+--(COUNTIF('03_ТЕХКАРТЫ'!$A$5:$A$35,'01_МЕНЮ'!$J$33)=0)+--(COUNTIF('03_ТЕХКАРТЫ'!$A$5:$A$35,'01_МЕНЮ'!$J$34)=0)+--(COUNTIF('03_ТЕХКАРТЫ'!$A$5:$A$35,'01_МЕНЮ'!$J$35)=0)</x:f>
        <x:v>0</x:v>
      </x:c>
      <x:c r="D10" s="48" t="n">
        <x:v>0</x:v>
      </x:c>
      <x:c r="E10" s="48" t="n">
        <x:f>C10-D10</x:f>
        <x:v>0</x:v>
      </x:c>
      <x:c r="F10" s="48" t="n">
        <x:v>0</x:v>
      </x:c>
      <x:c r="G10" s="36" t="str">
        <x:f>IF(ABS(E10)&lt;=F10,"PASS","FAIL")</x:f>
        <x:v>PASS</x:v>
      </x:c>
      <x:c r="H10" s="37" t="str">
        <x:v>Должно быть 0</x:v>
      </x:c>
    </x:row>
    <x:row r="11">
      <x:c r="A11" s="35" t="str">
        <x:v>CHK.DETAIL.BREAKFAST</x:v>
      </x:c>
      <x:c r="B11" s="36" t="str">
        <x:v>Детальных DRAFT карт завтрака</x:v>
      </x:c>
      <x:c r="C11" s="48" t="n">
        <x:f>COUNTIFS('01_МЕНЮ'!$A$5:$A$35,"&gt;=VKM-026",'01_МЕНЮ'!$A$5:$A$35,"&lt;=VKM-028",'01_МЕНЮ'!$K$5:$K$35,"DRAFT")</x:f>
        <x:v>3</x:v>
      </x:c>
      <x:c r="D11" s="48" t="n">
        <x:v>3</x:v>
      </x:c>
      <x:c r="E11" s="48" t="n">
        <x:f>C11-D11</x:f>
        <x:v>0</x:v>
      </x:c>
      <x:c r="F11" s="48" t="n">
        <x:v>0</x:v>
      </x:c>
      <x:c r="G11" s="36" t="str">
        <x:f>IF(ABS(E11)&lt;=F11,"PASS","FAIL")</x:f>
        <x:v>PASS</x:v>
      </x:c>
      <x:c r="H11" s="37" t="str">
        <x:v>VKM-026…028</x:v>
      </x:c>
    </x:row>
    <x:row r="12">
      <x:c r="A12" s="35" t="str">
        <x:v>CHK.SKELETON.BLOCKED</x:v>
      </x:c>
      <x:c r="B12" s="36" t="str">
        <x:v>BLOCKED-скелетов</x:v>
      </x:c>
      <x:c r="C12" s="48" t="n">
        <x:f>COUNTIF('01_МЕНЮ'!$K$5:$K$35,"BLOCKED")</x:f>
        <x:v>28</x:v>
      </x:c>
      <x:c r="D12" s="48" t="n">
        <x:v>28</x:v>
      </x:c>
      <x:c r="E12" s="48" t="n">
        <x:f>C12-D12</x:f>
        <x:v>0</x:v>
      </x:c>
      <x:c r="F12" s="48" t="n">
        <x:v>0</x:v>
      </x:c>
      <x:c r="G12" s="36" t="str">
        <x:f>IF(ABS(E12)&lt;=F12,"PASS","FAIL")</x:f>
        <x:v>PASS</x:v>
      </x:c>
      <x:c r="H12" s="37" t="str">
        <x:v>Ожидаемо до получения рецептур</x:v>
      </x:c>
    </x:row>
    <x:row r="13">
      <x:c r="A13" s="35" t="str">
        <x:v>CHK.QUESTIONS.COVER</x:v>
      </x:c>
      <x:c r="B13" s="36" t="str">
        <x:v>Позиций без вопроса шефу</x:v>
      </x:c>
      <x:c r="C13" s="48" t="n">
        <x:f>--(COUNTIF('06_ВОПРОСЫ_ШЕФУ'!$B$5:$B$47,'01_МЕНЮ'!$A$5)=0)+--(COUNTIF('06_ВОПРОСЫ_ШЕФУ'!$B$5:$B$47,'01_МЕНЮ'!$A$6)=0)+--(COUNTIF('06_ВОПРОСЫ_ШЕФУ'!$B$5:$B$47,'01_МЕНЮ'!$A$7)=0)+--(COUNTIF('06_ВОПРОСЫ_ШЕФУ'!$B$5:$B$47,'01_МЕНЮ'!$A$8)=0)+--(COUNTIF('06_ВОПРОСЫ_ШЕФУ'!$B$5:$B$47,'01_МЕНЮ'!$A$9)=0)+--(COUNTIF('06_ВОПРОСЫ_ШЕФУ'!$B$5:$B$47,'01_МЕНЮ'!$A$10)=0)+--(COUNTIF('06_ВОПРОСЫ_ШЕФУ'!$B$5:$B$47,'01_МЕНЮ'!$A$11)=0)+--(COUNTIF('06_ВОПРОСЫ_ШЕФУ'!$B$5:$B$47,'01_МЕНЮ'!$A$12)=0)+--(COUNTIF('06_ВОПРОСЫ_ШЕФУ'!$B$5:$B$47,'01_МЕНЮ'!$A$13)=0)+--(COUNTIF('06_ВОПРОСЫ_ШЕФУ'!$B$5:$B$47,'01_МЕНЮ'!$A$14)=0)+--(COUNTIF('06_ВОПРОСЫ_ШЕФУ'!$B$5:$B$47,'01_МЕНЮ'!$A$15)=0)+--(COUNTIF('06_ВОПРОСЫ_ШЕФУ'!$B$5:$B$47,'01_МЕНЮ'!$A$16)=0)+--(COUNTIF('06_ВОПРОСЫ_ШЕФУ'!$B$5:$B$47,'01_МЕНЮ'!$A$17)=0)+--(COUNTIF('06_ВОПРОСЫ_ШЕФУ'!$B$5:$B$47,'01_МЕНЮ'!$A$18)=0)+--(COUNTIF('06_ВОПРОСЫ_ШЕФУ'!$B$5:$B$47,'01_МЕНЮ'!$A$19)=0)+--(COUNTIF('06_ВОПРОСЫ_ШЕФУ'!$B$5:$B$47,'01_МЕНЮ'!$A$20)=0)+--(COUNTIF('06_ВОПРОСЫ_ШЕФУ'!$B$5:$B$47,'01_МЕНЮ'!$A$21)=0)+--(COUNTIF('06_ВОПРОСЫ_ШЕФУ'!$B$5:$B$47,'01_МЕНЮ'!$A$22)=0)+--(COUNTIF('06_ВОПРОСЫ_ШЕФУ'!$B$5:$B$47,'01_МЕНЮ'!$A$23)=0)+--(COUNTIF('06_ВОПРОСЫ_ШЕФУ'!$B$5:$B$47,'01_МЕНЮ'!$A$24)=0)+--(COUNTIF('06_ВОПРОСЫ_ШЕФУ'!$B$5:$B$47,'01_МЕНЮ'!$A$25)=0)+--(COUNTIF('06_ВОПРОСЫ_ШЕФУ'!$B$5:$B$47,'01_МЕНЮ'!$A$26)=0)+--(COUNTIF('06_ВОПРОСЫ_ШЕФУ'!$B$5:$B$47,'01_МЕНЮ'!$A$27)=0)+--(COUNTIF('06_ВОПРОСЫ_ШЕФУ'!$B$5:$B$47,'01_МЕНЮ'!$A$28)=0)+--(COUNTIF('06_ВОПРОСЫ_ШЕФУ'!$B$5:$B$47,'01_МЕНЮ'!$A$29)=0)+--(COUNTIF('06_ВОПРОСЫ_ШЕФУ'!$B$5:$B$47,'01_МЕНЮ'!$A$30)=0)+--(COUNTIF('06_ВОПРОСЫ_ШЕФУ'!$B$5:$B$47,'01_МЕНЮ'!$A$31)=0)+--(COUNTIF('06_ВОПРОСЫ_ШЕФУ'!$B$5:$B$47,'01_МЕНЮ'!$A$32)=0)+--(COUNTIF('06_ВОПРОСЫ_ШЕФУ'!$B$5:$B$47,'01_МЕНЮ'!$A$33)=0)+--(COUNTIF('06_ВОПРОСЫ_ШЕФУ'!$B$5:$B$47,'01_МЕНЮ'!$A$34)=0)+--(COUNTIF('06_ВОПРОСЫ_ШЕФУ'!$B$5:$B$47,'01_МЕНЮ'!$A$35)=0)</x:f>
        <x:v>0</x:v>
      </x:c>
      <x:c r="D13" s="48" t="n">
        <x:v>0</x:v>
      </x:c>
      <x:c r="E13" s="48" t="n">
        <x:f>C13-D13</x:f>
        <x:v>0</x:v>
      </x:c>
      <x:c r="F13" s="48" t="n">
        <x:v>0</x:v>
      </x:c>
      <x:c r="G13" s="36" t="str">
        <x:f>IF(ABS(E13)&lt;=F13,"PASS","FAIL")</x:f>
        <x:v>PASS</x:v>
      </x:c>
      <x:c r="H13" s="37" t="str">
        <x:v>Должно быть 0</x:v>
      </x:c>
    </x:row>
    <x:row r="14">
      <x:c r="A14" s="35" t="str">
        <x:v>CHK.PRICE.DUPLICATES</x:v>
      </x:c>
      <x:c r="B14" s="36" t="str">
        <x:v>Дублирующихся кодов цены</x:v>
      </x:c>
      <x:c r="C14" s="48" t="n">
        <x:f>--(COUNTIF('04_СЫРЬЁ_И_ЦЕНЫ'!$A$5:$A$15,'04_СЫРЬЁ_И_ЦЕНЫ'!$A$5)&gt;1)+--(COUNTIF('04_СЫРЬЁ_И_ЦЕНЫ'!$A$5:$A$15,'04_СЫРЬЁ_И_ЦЕНЫ'!$A$6)&gt;1)+--(COUNTIF('04_СЫРЬЁ_И_ЦЕНЫ'!$A$5:$A$15,'04_СЫРЬЁ_И_ЦЕНЫ'!$A$7)&gt;1)+--(COUNTIF('04_СЫРЬЁ_И_ЦЕНЫ'!$A$5:$A$15,'04_СЫРЬЁ_И_ЦЕНЫ'!$A$8)&gt;1)+--(COUNTIF('04_СЫРЬЁ_И_ЦЕНЫ'!$A$5:$A$15,'04_СЫРЬЁ_И_ЦЕНЫ'!$A$9)&gt;1)+--(COUNTIF('04_СЫРЬЁ_И_ЦЕНЫ'!$A$5:$A$15,'04_СЫРЬЁ_И_ЦЕНЫ'!$A$10)&gt;1)+--(COUNTIF('04_СЫРЬЁ_И_ЦЕНЫ'!$A$5:$A$15,'04_СЫРЬЁ_И_ЦЕНЫ'!$A$11)&gt;1)+--(COUNTIF('04_СЫРЬЁ_И_ЦЕНЫ'!$A$5:$A$15,'04_СЫРЬЁ_И_ЦЕНЫ'!$A$12)&gt;1)+--(COUNTIF('04_СЫРЬЁ_И_ЦЕНЫ'!$A$5:$A$15,'04_СЫРЬЁ_И_ЦЕНЫ'!$A$13)&gt;1)+--(COUNTIF('04_СЫРЬЁ_И_ЦЕНЫ'!$A$5:$A$15,'04_СЫРЬЁ_И_ЦЕНЫ'!$A$14)&gt;1)+--(COUNTIF('04_СЫРЬЁ_И_ЦЕНЫ'!$A$5:$A$15,'04_СЫРЬЁ_И_ЦЕНЫ'!$A$15)&gt;1)</x:f>
        <x:v>0</x:v>
      </x:c>
      <x:c r="D14" s="48" t="n">
        <x:v>0</x:v>
      </x:c>
      <x:c r="E14" s="48" t="n">
        <x:f>C14-D14</x:f>
        <x:v>0</x:v>
      </x:c>
      <x:c r="F14" s="48" t="n">
        <x:v>0</x:v>
      </x:c>
      <x:c r="G14" s="36" t="str">
        <x:f>IF(ABS(E14)&lt;=F14,"PASS","FAIL")</x:f>
        <x:v>PASS</x:v>
      </x:c>
      <x:c r="H14" s="37" t="str">
        <x:v>Устойчивый контроль несмежных дублей</x:v>
      </x:c>
    </x:row>
    <x:row r="15">
      <x:c r="A15" s="35" t="str">
        <x:v>CHK.EGG.COST</x:v>
      </x:c>
      <x:c r="B15" s="36" t="str">
        <x:v>Себестоимость VKM-026</x:v>
      </x:c>
      <x:c r="C15" s="48" t="n">
        <x:f>SUMIF('02_КАЛЬКУЛЯЦИИ'!$B$5:$B$57,"VKM-026",'02_КАЛЬКУЛЯЦИИ'!$L$5:$L$57)</x:f>
        <x:v>191.2826677777778</x:v>
      </x:c>
      <x:c r="D15" s="48" t="n">
        <x:v>191.282668</x:v>
      </x:c>
      <x:c r="E15" s="48" t="n">
        <x:f>C15-D15</x:f>
        <x:v>-2.222222121872619e-7</x:v>
      </x:c>
      <x:c r="F15" s="48" t="n">
        <x:v>0.001</x:v>
      </x:c>
      <x:c r="G15" s="36" t="str">
        <x:f>IF(ABS(E15)&lt;=F15,"PASS","FAIL")</x:f>
        <x:v>PASS</x:v>
      </x:c>
      <x:c r="H15" s="37" t="str">
        <x:v>Сверка S04</x:v>
      </x:c>
    </x:row>
    <x:row r="16">
      <x:c r="A16" s="35" t="str">
        <x:v>CHK.OMELET.COST</x:v>
      </x:c>
      <x:c r="B16" s="36" t="str">
        <x:v>Себестоимость VKM-027</x:v>
      </x:c>
      <x:c r="C16" s="48" t="n">
        <x:f>SUMIF('02_КАЛЬКУЛЯЦИИ'!$B$5:$B$57,"VKM-027",'02_КАЛЬКУЛЯЦИИ'!$L$5:$L$57)</x:f>
        <x:v>223.1946677777778</x:v>
      </x:c>
      <x:c r="D16" s="48" t="n">
        <x:v>223.194668</x:v>
      </x:c>
      <x:c r="E16" s="48" t="n">
        <x:f>C16-D16</x:f>
        <x:v>-2.222222121872619e-7</x:v>
      </x:c>
      <x:c r="F16" s="48" t="n">
        <x:v>0.001</x:v>
      </x:c>
      <x:c r="G16" s="36" t="str">
        <x:f>IF(ABS(E16)&lt;=F16,"PASS","FAIL")</x:f>
        <x:v>PASS</x:v>
      </x:c>
      <x:c r="H16" s="37" t="str">
        <x:v>Сверка S04</x:v>
      </x:c>
    </x:row>
    <x:row r="17">
      <x:c r="A17" s="35" t="str">
        <x:v>CHK.OAT.COST</x:v>
      </x:c>
      <x:c r="B17" s="36" t="str">
        <x:v>Себестоимость VKM-028</x:v>
      </x:c>
      <x:c r="C17" s="48" t="n">
        <x:f>SUMIF('02_КАЛЬКУЛЯЦИИ'!$B$5:$B$57,"VKM-028",'02_КАЛЬКУЛЯЦИИ'!$L$5:$L$57)</x:f>
        <x:v>193.4837177777778</x:v>
      </x:c>
      <x:c r="D17" s="48" t="n">
        <x:v>193.483718</x:v>
      </x:c>
      <x:c r="E17" s="48" t="n">
        <x:f>C17-D17</x:f>
        <x:v>-2.222222121872619e-7</x:v>
      </x:c>
      <x:c r="F17" s="48" t="n">
        <x:v>0.001</x:v>
      </x:c>
      <x:c r="G17" s="36" t="str">
        <x:f>IF(ABS(E17)&lt;=F17,"PASS","FAIL")</x:f>
        <x:v>PASS</x:v>
      </x:c>
      <x:c r="H17" s="37" t="str">
        <x:v>Сверка S04</x:v>
      </x:c>
    </x:row>
    <x:row r="18">
      <x:c r="A18" s="35" t="str">
        <x:v>CHK.ARCHIVE.EXCLUDED</x:v>
      </x:c>
      <x:c r="B18" s="36" t="str">
        <x:v>Архивные позиции в активном меню</x:v>
      </x:c>
      <x:c r="C18" s="48" t="n">
        <x:f>COUNTIF('01_МЕНЮ'!$C$5:$C$35,"*Бенедикт*")+COUNTIF('01_МЕНЮ'!$C$5:$C$35,"*лососем*")</x:f>
        <x:v>0</x:v>
      </x:c>
      <x:c r="D18" s="48" t="n">
        <x:v>0</x:v>
      </x:c>
      <x:c r="E18" s="48" t="n">
        <x:f>C18-D18</x:f>
        <x:v>0</x:v>
      </x:c>
      <x:c r="F18" s="48" t="n">
        <x:v>0</x:v>
      </x:c>
      <x:c r="G18" s="36" t="str">
        <x:f>IF(ABS(E18)&lt;=F18,"PASS","FAIL")</x:f>
        <x:v>PASS</x:v>
      </x:c>
      <x:c r="H18" s="37" t="str">
        <x:v>Должно быть 0</x:v>
      </x:c>
    </x:row>
    <x:row r="19">
      <x:c r="A19" s="35" t="str">
        <x:v>CHK.BLOCKED.ZERO_COST</x:v>
      </x:c>
      <x:c r="B19" s="36" t="str">
        <x:v>BLOCKED-карты с нулевой себестоимостью</x:v>
      </x:c>
      <x:c r="C19" s="48" t="n">
        <x:f>--(AND('02_КАЛЬКУЛЯЦИИ'!$Q$5="BLOCKED",'02_КАЛЬКУЛЯЦИИ'!$M$5&lt;&gt;"",'02_КАЛЬКУЛЯЦИИ'!$M$5=0))+--(AND('02_КАЛЬКУЛЯЦИИ'!$Q$6="BLOCKED",'02_КАЛЬКУЛЯЦИИ'!$M$6&lt;&gt;"",'02_КАЛЬКУЛЯЦИИ'!$M$6=0))+--(AND('02_КАЛЬКУЛЯЦИИ'!$Q$7="BLOCKED",'02_КАЛЬКУЛЯЦИИ'!$M$7&lt;&gt;"",'02_КАЛЬКУЛЯЦИИ'!$M$7=0))+--(AND('02_КАЛЬКУЛЯЦИИ'!$Q$8="BLOCKED",'02_КАЛЬКУЛЯЦИИ'!$M$8&lt;&gt;"",'02_КАЛЬКУЛЯЦИИ'!$M$8=0))+--(AND('02_КАЛЬКУЛЯЦИИ'!$Q$9="BLOCKED",'02_КАЛЬКУЛЯЦИИ'!$M$9&lt;&gt;"",'02_КАЛЬКУЛЯЦИИ'!$M$9=0))+--(AND('02_КАЛЬКУЛЯЦИИ'!$Q$10="BLOCKED",'02_КАЛЬКУЛЯЦИИ'!$M$10&lt;&gt;"",'02_КАЛЬКУЛЯЦИИ'!$M$10=0))+--(AND('02_КАЛЬКУЛЯЦИИ'!$Q$11="BLOCKED",'02_КАЛЬКУЛЯЦИИ'!$M$11&lt;&gt;"",'02_КАЛЬКУЛЯЦИИ'!$M$11=0))+--(AND('02_КАЛЬКУЛЯЦИИ'!$Q$12="BLOCKED",'02_КАЛЬКУЛЯЦИИ'!$M$12&lt;&gt;"",'02_КАЛЬКУЛЯЦИИ'!$M$12=0))+--(AND('02_КАЛЬКУЛЯЦИИ'!$Q$13="BLOCKED",'02_КАЛЬКУЛЯЦИИ'!$M$13&lt;&gt;"",'02_КАЛЬКУЛЯЦИИ'!$M$13=0))+--(AND('02_КАЛЬКУЛЯЦИИ'!$Q$14="BLOCKED",'02_КАЛЬКУЛЯЦИИ'!$M$14&lt;&gt;"",'02_КАЛЬКУЛЯЦИИ'!$M$14=0))+--(AND('02_КАЛЬКУЛЯЦИИ'!$Q$15="BLOCKED",'02_КАЛЬКУЛЯЦИИ'!$M$15&lt;&gt;"",'02_КАЛЬКУЛЯЦИИ'!$M$15=0))+--(AND('02_КАЛЬКУЛЯЦИИ'!$Q$16="BLOCKED",'02_КАЛЬКУЛЯЦИИ'!$M$16&lt;&gt;"",'02_КАЛЬКУЛЯЦИИ'!$M$16=0))+--(AND('02_КАЛЬКУЛЯЦИИ'!$Q$17="BLOCKED",'02_КАЛЬКУЛЯЦИИ'!$M$17&lt;&gt;"",'02_КАЛЬКУЛЯЦИИ'!$M$17=0))+--(AND('02_КАЛЬКУЛЯЦИИ'!$Q$18="BLOCKED",'02_КАЛЬКУЛЯЦИИ'!$M$18&lt;&gt;"",'02_КАЛЬКУЛЯЦИИ'!$M$18=0))+--(AND('02_КАЛЬКУЛЯЦИИ'!$Q$19="BLOCKED",'02_КАЛЬКУЛЯЦИИ'!$M$19&lt;&gt;"",'02_КАЛЬКУЛЯЦИИ'!$M$19=0))+--(AND('02_КАЛЬКУЛЯЦИИ'!$Q$20="BLOCKED",'02_КАЛЬКУЛЯЦИИ'!$M$20&lt;&gt;"",'02_КАЛЬКУЛЯЦИИ'!$M$20=0))+--(AND('02_КАЛЬКУЛЯЦИИ'!$Q$21="BLOCKED",'02_КАЛЬКУЛЯЦИИ'!$M$21&lt;&gt;"",'02_КАЛЬКУЛЯЦИИ'!$M$21=0))+--(AND('02_КАЛЬКУЛЯЦИИ'!$Q$22="BLOCKED",'02_КАЛЬКУЛЯЦИИ'!$M$22&lt;&gt;"",'02_КАЛЬКУЛЯЦИИ'!$M$22=0))+--(AND('02_КАЛЬКУЛЯЦИИ'!$Q$23="BLOCKED",'02_КАЛЬКУЛЯЦИИ'!$M$23&lt;&gt;"",'02_КАЛЬКУЛЯЦИИ'!$M$23=0))+--(AND('02_КАЛЬКУЛЯЦИИ'!$Q$24="BLOCKED",'02_КАЛЬКУЛЯЦИИ'!$M$24&lt;&gt;"",'02_КАЛЬКУЛЯЦИИ'!$M$24=0))+--(AND('02_КАЛЬКУЛЯЦИИ'!$Q$25="BLOCKED",'02_КАЛЬКУЛЯЦИИ'!$M$25&lt;&gt;"",'02_КАЛЬКУЛЯЦИИ'!$M$25=0))+--(AND('02_КАЛЬКУЛЯЦИИ'!$Q$26="BLOCKED",'02_КАЛЬКУЛЯЦИИ'!$M$26&lt;&gt;"",'02_КАЛЬКУЛЯЦИИ'!$M$26=0))+--(AND('02_КАЛЬКУЛЯЦИИ'!$Q$27="BLOCKED",'02_КАЛЬКУЛЯЦИИ'!$M$27&lt;&gt;"",'02_КАЛЬКУЛЯЦИИ'!$M$27=0))+--(AND('02_КАЛЬКУЛЯЦИИ'!$Q$28="BLOCKED",'02_КАЛЬКУЛЯЦИИ'!$M$28&lt;&gt;"",'02_КАЛЬКУЛЯЦИИ'!$M$28=0))+--(AND('02_КАЛЬКУЛЯЦИИ'!$Q$29="BLOCKED",'02_КАЛЬКУЛЯЦИИ'!$M$29&lt;&gt;"",'02_КАЛЬКУЛЯЦИИ'!$M$29=0))+--(AND('02_КАЛЬКУЛЯЦИИ'!$Q$30="BLOCKED",'02_КАЛЬКУЛЯЦИИ'!$M$30&lt;&gt;"",'02_КАЛЬКУЛЯЦИИ'!$M$30=0))+--(AND('02_КАЛЬКУЛЯЦИИ'!$Q$31="BLOCKED",'02_КАЛЬКУЛЯЦИИ'!$M$31&lt;&gt;"",'02_КАЛЬКУЛЯЦИИ'!$M$31=0))+--(AND('02_КАЛЬКУЛЯЦИИ'!$Q$32="BLOCKED",'02_КАЛЬКУЛЯЦИИ'!$M$32&lt;&gt;"",'02_КАЛЬКУЛЯЦИИ'!$M$32=0))+--(AND('02_КАЛЬКУЛЯЦИИ'!$Q$33="BLOCKED",'02_КАЛЬКУЛЯЦИИ'!$M$33&lt;&gt;"",'02_КАЛЬКУЛЯЦИИ'!$M$33=0))+--(AND('02_КАЛЬКУЛЯЦИИ'!$Q$34="BLOCKED",'02_КАЛЬКУЛЯЦИИ'!$M$34&lt;&gt;"",'02_КАЛЬКУЛЯЦИИ'!$M$34=0))+--(AND('02_КАЛЬКУЛЯЦИИ'!$Q$35="BLOCKED",'02_КАЛЬКУЛЯЦИИ'!$M$35&lt;&gt;"",'02_КАЛЬКУЛЯЦИИ'!$M$35=0))+--(AND('02_КАЛЬКУЛЯЦИИ'!$Q$36="BLOCKED",'02_КАЛЬКУЛЯЦИИ'!$M$36&lt;&gt;"",'02_КАЛЬКУЛЯЦИИ'!$M$36=0))+--(AND('02_КАЛЬКУЛЯЦИИ'!$Q$37="BLOCKED",'02_КАЛЬКУЛЯЦИИ'!$M$37&lt;&gt;"",'02_КАЛЬКУЛЯЦИИ'!$M$37=0))+--(AND('02_КАЛЬКУЛЯЦИИ'!$Q$38="BLOCKED",'02_КАЛЬКУЛЯЦИИ'!$M$38&lt;&gt;"",'02_КАЛЬКУЛЯЦИИ'!$M$38=0))+--(AND('02_КАЛЬКУЛЯЦИИ'!$Q$39="BLOCKED",'02_КАЛЬКУЛЯЦИИ'!$M$39&lt;&gt;"",'02_КАЛЬКУЛЯЦИИ'!$M$39=0))+--(AND('02_КАЛЬКУЛЯЦИИ'!$Q$40="BLOCKED",'02_КАЛЬКУЛЯЦИИ'!$M$40&lt;&gt;"",'02_КАЛЬКУЛЯЦИИ'!$M$40=0))+--(AND('02_КАЛЬКУЛЯЦИИ'!$Q$41="BLOCKED",'02_КАЛЬКУЛЯЦИИ'!$M$41&lt;&gt;"",'02_КАЛЬКУЛЯЦИИ'!$M$41=0))+--(AND('02_КАЛЬКУЛЯЦИИ'!$Q$42="BLOCKED",'02_КАЛЬКУЛЯЦИИ'!$M$42&lt;&gt;"",'02_КАЛЬКУЛЯЦИИ'!$M$42=0))+--(AND('02_КАЛЬКУЛЯЦИИ'!$Q$43="BLOCKED",'02_КАЛЬКУЛЯЦИИ'!$M$43&lt;&gt;"",'02_КАЛЬКУЛЯЦИИ'!$M$43=0))+--(AND('02_КАЛЬКУЛЯЦИИ'!$Q$44="BLOCKED",'02_КАЛЬКУЛЯЦИИ'!$M$44&lt;&gt;"",'02_КАЛЬКУЛЯЦИИ'!$M$44=0))+--(AND('02_КАЛЬКУЛЯЦИИ'!$Q$45="BLOCKED",'02_КАЛЬКУЛЯЦИИ'!$M$45&lt;&gt;"",'02_КАЛЬКУЛЯЦИИ'!$M$45=0))+--(AND('02_КАЛЬКУЛЯЦИИ'!$Q$46="BLOCKED",'02_КАЛЬКУЛЯЦИИ'!$M$46&lt;&gt;"",'02_КАЛЬКУЛЯЦИИ'!$M$46=0))+--(AND('02_КАЛЬКУЛЯЦИИ'!$Q$47="BLOCKED",'02_КАЛЬКУЛЯЦИИ'!$M$47&lt;&gt;"",'02_КАЛЬКУЛЯЦИИ'!$M$47=0))+--(AND('02_КАЛЬКУЛЯЦИИ'!$Q$48="BLOCKED",'02_КАЛЬКУЛЯЦИИ'!$M$48&lt;&gt;"",'02_КАЛЬКУЛЯЦИИ'!$M$48=0))+--(AND('02_КАЛЬКУЛЯЦИИ'!$Q$49="BLOCKED",'02_КАЛЬКУЛЯЦИИ'!$M$49&lt;&gt;"",'02_КАЛЬКУЛЯЦИИ'!$M$49=0))+--(AND('02_КАЛЬКУЛЯЦИИ'!$Q$50="BLOCKED",'02_КАЛЬКУЛЯЦИИ'!$M$50&lt;&gt;"",'02_КАЛЬКУЛЯЦИИ'!$M$50=0))+--(AND('02_КАЛЬКУЛЯЦИИ'!$Q$51="BLOCKED",'02_КАЛЬКУЛЯЦИИ'!$M$51&lt;&gt;"",'02_КАЛЬКУЛЯЦИИ'!$M$51=0))+--(AND('02_КАЛЬКУЛЯЦИИ'!$Q$52="BLOCKED",'02_КАЛЬКУЛЯЦИИ'!$M$52&lt;&gt;"",'02_КАЛЬКУЛЯЦИИ'!$M$52=0))+--(AND('02_КАЛЬКУЛЯЦИИ'!$Q$53="BLOCKED",'02_КАЛЬКУЛЯЦИИ'!$M$53&lt;&gt;"",'02_КАЛЬКУЛЯЦИИ'!$M$53=0))+--(AND('02_КАЛЬКУЛЯЦИИ'!$Q$54="BLOCKED",'02_КАЛЬКУЛЯЦИИ'!$M$54&lt;&gt;"",'02_КАЛЬКУЛЯЦИИ'!$M$54=0))+--(AND('02_КАЛЬКУЛЯЦИИ'!$Q$55="BLOCKED",'02_КАЛЬКУЛЯЦИИ'!$M$55&lt;&gt;"",'02_КАЛЬКУЛЯЦИИ'!$M$55=0))+--(AND('02_КАЛЬКУЛЯЦИИ'!$Q$56="BLOCKED",'02_КАЛЬКУЛЯЦИИ'!$M$56&lt;&gt;"",'02_КАЛЬКУЛЯЦИИ'!$M$56=0))+--(AND('02_КАЛЬКУЛЯЦИИ'!$Q$57="BLOCKED",'02_КАЛЬКУЛЯЦИИ'!$M$57&lt;&gt;"",'02_КАЛЬКУЛЯЦИИ'!$M$57=0))</x:f>
        <x:v>0</x:v>
      </x:c>
      <x:c r="D19" s="48" t="n">
        <x:v>0</x:v>
      </x:c>
      <x:c r="E19" s="48" t="n">
        <x:f>C19-D19</x:f>
        <x:v>0</x:v>
      </x:c>
      <x:c r="F19" s="48" t="n">
        <x:v>0</x:v>
      </x:c>
      <x:c r="G19" s="36" t="str">
        <x:f>IF(ABS(E19)&lt;=F19,"PASS","FAIL")</x:f>
        <x:v>PASS</x:v>
      </x:c>
      <x:c r="H19" s="37" t="str">
        <x:v>Отсутствующая себестоимость должна быть пустой</x:v>
      </x:c>
    </x:row>
    <x:row r="20">
      <x:c r="A20" s="35" t="str">
        <x:v>CHK.LOSS.NEGATIVE</x:v>
      </x:c>
      <x:c r="B20" s="36" t="str">
        <x:v>Отрицательные технологические потери</x:v>
      </x:c>
      <x:c r="C20" s="48" t="n">
        <x:f>COUNTIF('02_КАЛЬКУЛЯЦИИ'!$I$5:$I$57,"&lt;0")</x:f>
        <x:v>0</x:v>
      </x:c>
      <x:c r="D20" s="48" t="n">
        <x:v>0</x:v>
      </x:c>
      <x:c r="E20" s="48" t="n">
        <x:f>C20-D20</x:f>
        <x:v>0</x:v>
      </x:c>
      <x:c r="F20" s="48" t="n">
        <x:v>0</x:v>
      </x:c>
      <x:c r="G20" s="36" t="str">
        <x:f>IF(ABS(E20)&lt;=F20,"PASS","FAIL")</x:f>
        <x:v>PASS</x:v>
      </x:c>
      <x:c r="H20" s="37" t="str">
        <x:v>Потери не могут быть отрицательными</x:v>
      </x:c>
    </x:row>
    <x:row r="21">
      <x:c r="A21" s="35" t="str">
        <x:v>CHK.LOSS.UNIT_MISMATCH</x:v>
      </x:c>
      <x:c r="B21" s="36" t="str">
        <x:v>Потери при единице брутто «шт.»</x:v>
      </x:c>
      <x:c r="C21" s="48" t="n">
        <x:f>--(AND('02_КАЛЬКУЛЯЦИИ'!$F$5="шт.",'02_КАЛЬКУЛЯЦИИ'!$I$5&lt;&gt;""))+--(AND('02_КАЛЬКУЛЯЦИИ'!$F$6="шт.",'02_КАЛЬКУЛЯЦИИ'!$I$6&lt;&gt;""))+--(AND('02_КАЛЬКУЛЯЦИИ'!$F$7="шт.",'02_КАЛЬКУЛЯЦИИ'!$I$7&lt;&gt;""))+--(AND('02_КАЛЬКУЛЯЦИИ'!$F$8="шт.",'02_КАЛЬКУЛЯЦИИ'!$I$8&lt;&gt;""))+--(AND('02_КАЛЬКУЛЯЦИИ'!$F$9="шт.",'02_КАЛЬКУЛЯЦИИ'!$I$9&lt;&gt;""))+--(AND('02_КАЛЬКУЛЯЦИИ'!$F$10="шт.",'02_КАЛЬКУЛЯЦИИ'!$I$10&lt;&gt;""))+--(AND('02_КАЛЬКУЛЯЦИИ'!$F$11="шт.",'02_КАЛЬКУЛЯЦИИ'!$I$11&lt;&gt;""))+--(AND('02_КАЛЬКУЛЯЦИИ'!$F$12="шт.",'02_КАЛЬКУЛЯЦИИ'!$I$12&lt;&gt;""))+--(AND('02_КАЛЬКУЛЯЦИИ'!$F$13="шт.",'02_КАЛЬКУЛЯЦИИ'!$I$13&lt;&gt;""))+--(AND('02_КАЛЬКУЛЯЦИИ'!$F$14="шт.",'02_КАЛЬКУЛЯЦИИ'!$I$14&lt;&gt;""))+--(AND('02_КАЛЬКУЛЯЦИИ'!$F$15="шт.",'02_КАЛЬКУЛЯЦИИ'!$I$15&lt;&gt;""))+--(AND('02_КАЛЬКУЛЯЦИИ'!$F$16="шт.",'02_КАЛЬКУЛЯЦИИ'!$I$16&lt;&gt;""))+--(AND('02_КАЛЬКУЛЯЦИИ'!$F$17="шт.",'02_КАЛЬКУЛЯЦИИ'!$I$17&lt;&gt;""))+--(AND('02_КАЛЬКУЛЯЦИИ'!$F$18="шт.",'02_КАЛЬКУЛЯЦИИ'!$I$18&lt;&gt;""))+--(AND('02_КАЛЬКУЛЯЦИИ'!$F$19="шт.",'02_КАЛЬКУЛЯЦИИ'!$I$19&lt;&gt;""))+--(AND('02_КАЛЬКУЛЯЦИИ'!$F$20="шт.",'02_КАЛЬКУЛЯЦИИ'!$I$20&lt;&gt;""))+--(AND('02_КАЛЬКУЛЯЦИИ'!$F$21="шт.",'02_КАЛЬКУЛЯЦИИ'!$I$21&lt;&gt;""))+--(AND('02_КАЛЬКУЛЯЦИИ'!$F$22="шт.",'02_КАЛЬКУЛЯЦИИ'!$I$22&lt;&gt;""))+--(AND('02_КАЛЬКУЛЯЦИИ'!$F$23="шт.",'02_КАЛЬКУЛЯЦИИ'!$I$23&lt;&gt;""))+--(AND('02_КАЛЬКУЛЯЦИИ'!$F$24="шт.",'02_КАЛЬКУЛЯЦИИ'!$I$24&lt;&gt;""))+--(AND('02_КАЛЬКУЛЯЦИИ'!$F$25="шт.",'02_КАЛЬКУЛЯЦИИ'!$I$25&lt;&gt;""))+--(AND('02_КАЛЬКУЛЯЦИИ'!$F$26="шт.",'02_КАЛЬКУЛЯЦИИ'!$I$26&lt;&gt;""))+--(AND('02_КАЛЬКУЛЯЦИИ'!$F$27="шт.",'02_КАЛЬКУЛЯЦИИ'!$I$27&lt;&gt;""))+--(AND('02_КАЛЬКУЛЯЦИИ'!$F$28="шт.",'02_КАЛЬКУЛЯЦИИ'!$I$28&lt;&gt;""))+--(AND('02_КАЛЬКУЛЯЦИИ'!$F$29="шт.",'02_КАЛЬКУЛЯЦИИ'!$I$29&lt;&gt;""))+--(AND('02_КАЛЬКУЛЯЦИИ'!$F$30="шт.",'02_КАЛЬКУЛЯЦИИ'!$I$30&lt;&gt;""))+--(AND('02_КАЛЬКУЛЯЦИИ'!$F$31="шт.",'02_КАЛЬКУЛЯЦИИ'!$I$31&lt;&gt;""))+--(AND('02_КАЛЬКУЛЯЦИИ'!$F$32="шт.",'02_КАЛЬКУЛЯЦИИ'!$I$32&lt;&gt;""))+--(AND('02_КАЛЬКУЛЯЦИИ'!$F$33="шт.",'02_КАЛЬКУЛЯЦИИ'!$I$33&lt;&gt;""))+--(AND('02_КАЛЬКУЛЯЦИИ'!$F$34="шт.",'02_КАЛЬКУЛЯЦИИ'!$I$34&lt;&gt;""))+--(AND('02_КАЛЬКУЛЯЦИИ'!$F$35="шт.",'02_КАЛЬКУЛЯЦИИ'!$I$35&lt;&gt;""))+--(AND('02_КАЛЬКУЛЯЦИИ'!$F$36="шт.",'02_КАЛЬКУЛЯЦИИ'!$I$36&lt;&gt;""))+--(AND('02_КАЛЬКУЛЯЦИИ'!$F$37="шт.",'02_КАЛЬКУЛЯЦИИ'!$I$37&lt;&gt;""))+--(AND('02_КАЛЬКУЛЯЦИИ'!$F$38="шт.",'02_КАЛЬКУЛЯЦИИ'!$I$38&lt;&gt;""))+--(AND('02_КАЛЬКУЛЯЦИИ'!$F$39="шт.",'02_КАЛЬКУЛЯЦИИ'!$I$39&lt;&gt;""))+--(AND('02_КАЛЬКУЛЯЦИИ'!$F$40="шт.",'02_КАЛЬКУЛЯЦИИ'!$I$40&lt;&gt;""))+--(AND('02_КАЛЬКУЛЯЦИИ'!$F$41="шт.",'02_КАЛЬКУЛЯЦИИ'!$I$41&lt;&gt;""))+--(AND('02_КАЛЬКУЛЯЦИИ'!$F$42="шт.",'02_КАЛЬКУЛЯЦИИ'!$I$42&lt;&gt;""))+--(AND('02_КАЛЬКУЛЯЦИИ'!$F$43="шт.",'02_КАЛЬКУЛЯЦИИ'!$I$43&lt;&gt;""))+--(AND('02_КАЛЬКУЛЯЦИИ'!$F$44="шт.",'02_КАЛЬКУЛЯЦИИ'!$I$44&lt;&gt;""))+--(AND('02_КАЛЬКУЛЯЦИИ'!$F$45="шт.",'02_КАЛЬКУЛЯЦИИ'!$I$45&lt;&gt;""))+--(AND('02_КАЛЬКУЛЯЦИИ'!$F$46="шт.",'02_КАЛЬКУЛЯЦИИ'!$I$46&lt;&gt;""))+--(AND('02_КАЛЬКУЛЯЦИИ'!$F$47="шт.",'02_КАЛЬКУЛЯЦИИ'!$I$47&lt;&gt;""))+--(AND('02_КАЛЬКУЛЯЦИИ'!$F$48="шт.",'02_КАЛЬКУЛЯЦИИ'!$I$48&lt;&gt;""))+--(AND('02_КАЛЬКУЛЯЦИИ'!$F$49="шт.",'02_КАЛЬКУЛЯЦИИ'!$I$49&lt;&gt;""))+--(AND('02_КАЛЬКУЛЯЦИИ'!$F$50="шт.",'02_КАЛЬКУЛЯЦИИ'!$I$50&lt;&gt;""))+--(AND('02_КАЛЬКУЛЯЦИИ'!$F$51="шт.",'02_КАЛЬКУЛЯЦИИ'!$I$51&lt;&gt;""))+--(AND('02_КАЛЬКУЛЯЦИИ'!$F$52="шт.",'02_КАЛЬКУЛЯЦИИ'!$I$52&lt;&gt;""))+--(AND('02_КАЛЬКУЛЯЦИИ'!$F$53="шт.",'02_КАЛЬКУЛЯЦИИ'!$I$53&lt;&gt;""))+--(AND('02_КАЛЬКУЛЯЦИИ'!$F$54="шт.",'02_КАЛЬКУЛЯЦИИ'!$I$54&lt;&gt;""))+--(AND('02_КАЛЬКУЛЯЦИИ'!$F$55="шт.",'02_КАЛЬКУЛЯЦИИ'!$I$55&lt;&gt;""))+--(AND('02_КАЛЬКУЛЯЦИИ'!$F$56="шт.",'02_КАЛЬКУЛЯЦИИ'!$I$56&lt;&gt;""))+--(AND('02_КАЛЬКУЛЯЦИИ'!$F$57="шт.",'02_КАЛЬКУЛЯЦИИ'!$I$57&lt;&gt;""))</x:f>
        <x:v>0</x:v>
      </x:c>
      <x:c r="D21" s="48" t="n">
        <x:v>0</x:v>
      </x:c>
      <x:c r="E21" s="48" t="n">
        <x:f>C21-D21</x:f>
        <x:v>0</x:v>
      </x:c>
      <x:c r="F21" s="48" t="n">
        <x:v>0</x:v>
      </x:c>
      <x:c r="G21" s="36" t="str">
        <x:f>IF(ABS(E21)&lt;=F21,"PASS","FAIL")</x:f>
        <x:v>PASS</x:v>
      </x:c>
      <x:c r="H21" s="37" t="str">
        <x:v>Штуки нельзя вычитать из граммов</x:v>
      </x:c>
    </x:row>
    <x:row r="22">
      <x:c r="A22" s="38" t="str">
        <x:v>CHK.FONTINA.STATUS</x:v>
      </x:c>
      <x:c r="B22" s="39" t="str">
        <x:v>Строки Fontina без статуса ASSUMPTION</x:v>
      </x:c>
      <x:c r="C22" s="49" t="n">
        <x:f>COUNTIFS('02_КАЛЬКУЛЯЦИИ'!$D$5:$D$57,"P-FONTINA",'02_КАЛЬКУЛЯЦИИ'!$Q$5:$Q$57,"&lt;&gt;ASSUMPTION")</x:f>
        <x:v>0</x:v>
      </x:c>
      <x:c r="D22" s="49" t="n">
        <x:v>0</x:v>
      </x:c>
      <x:c r="E22" s="49" t="n">
        <x:f>C22-D22</x:f>
        <x:v>0</x:v>
      </x:c>
      <x:c r="F22" s="49" t="n">
        <x:v>0</x:v>
      </x:c>
      <x:c r="G22" s="39" t="str">
        <x:f>IF(ABS(E22)&lt;=F22,"PASS","FAIL")</x:f>
        <x:v>PASS</x:v>
      </x:c>
      <x:c r="H22" s="40" t="str">
        <x:v>Предположение должно распространяться на калькуляцию</x:v>
      </x:c>
    </x:row>
  </x:sheetData>
  <x:mergeCells>
    <x:mergeCell ref="A1:H1"/>
    <x:mergeCell ref="A2:H2"/>
  </x:mergeCells>
  <x:conditionalFormatting sqref="G5:G22">
    <x:cfRule type="containsText" dxfId="60" priority="1" operator="containsText" text="FACT"/>
    <x:cfRule type="containsText" dxfId="61" priority="2" operator="containsText" text="CALCULATED"/>
    <x:cfRule type="containsText" dxfId="62" priority="3" operator="containsText" text="ASSUMPTION"/>
    <x:cfRule type="containsText" dxfId="63" priority="4" operator="containsText" text="DRAFT"/>
    <x:cfRule type="containsText" dxfId="64" priority="5" operator="containsText" text="BLOCKED"/>
    <x:cfRule type="containsText" dxfId="65" priority="6" operator="containsText" text="SUPERSEDED"/>
    <x:cfRule type="containsText" dxfId="66" priority="7" operator="containsText" text="PASS"/>
    <x:cfRule type="containsText" dxfId="67" priority="8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a0d24171574f408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4" hidden="0" customWidth="1"/>
    <x:col min="3" max="3" width="18" hidden="0" customWidth="1"/>
    <x:col min="4" max="4" width="24" hidden="0" customWidth="1"/>
    <x:col min="5" max="5" width="16" hidden="0" customWidth="1"/>
    <x:col min="6" max="6" width="54" hidden="0" customWidth="1"/>
    <x:col min="7" max="7" width="70" hidden="0" customWidth="1"/>
  </x:cols>
  <x:sheetData>
    <x:row r="1" ht="28" customHeight="1">
      <x:c r="A1" s="3" t="str">
        <x:v>09 — Источники</x:v>
      </x:c>
      <x:c r="B1" s="3"/>
      <x:c r="C1" s="3"/>
      <x:c r="D1" s="3"/>
      <x:c r="E1" s="3"/>
      <x:c r="F1" s="3"/>
      <x:c r="G1" s="3"/>
    </x:row>
    <x:row r="2" ht="42" customHeight="1">
      <x:c r="A2" s="7" t="str">
        <x:v>Реестр использованных действующих источников и архивных позиций. Старые заменённые версии не использованы.</x:v>
      </x:c>
      <x:c r="B2" s="7"/>
      <x:c r="C2" s="7"/>
      <x:c r="D2" s="7"/>
      <x:c r="E2" s="7"/>
      <x:c r="F2" s="7"/>
      <x:c r="G2" s="7"/>
    </x:row>
    <x:row r="4" ht="54" customHeight="1">
      <x:c r="A4" s="12" t="str">
        <x:v>Код источника</x:v>
      </x:c>
      <x:c r="B4" s="12" t="str">
        <x:v>Документ / объект</x:v>
      </x:c>
      <x:c r="C4" s="12" t="str">
        <x:v>Версия / дата</x:v>
      </x:c>
      <x:c r="D4" s="12" t="str">
        <x:v>Актуальность</x:v>
      </x:c>
      <x:c r="E4" s="12" t="str">
        <x:v>Статус</x:v>
      </x:c>
      <x:c r="F4" s="12" t="str">
        <x:v>Использование / ограничение</x:v>
      </x:c>
      <x:c r="G4" s="12" t="str">
        <x:v>Путь / ссылка</x:v>
      </x:c>
    </x:row>
    <x:row r="5">
      <x:c r="A5" s="32" t="str">
        <x:v>SRC-080-001</x:v>
      </x:c>
      <x:c r="B5" s="33" t="str">
        <x:v>KITCHEN_MENU_3.0.0.md</x:v>
      </x:c>
      <x:c r="C5" s="33" t="str">
        <x:v>2026-07-27</x:v>
      </x:c>
      <x:c r="D5" s="33" t="str">
        <x:v>Действующая</x:v>
      </x:c>
      <x:c r="E5" s="33" t="str">
        <x:v>FACT</x:v>
      </x:c>
      <x:c r="F5" s="33" t="str">
        <x:v>31 активная позиция; 2 архивные</x:v>
      </x:c>
      <x:c r="G5" s="34" t="str">
        <x:v>docs/07-operations/KITCHEN_MENU_3.0.0.md</x:v>
      </x:c>
    </x:row>
    <x:row r="6">
      <x:c r="A6" s="35" t="str">
        <x:v>SRC-080-002</x:v>
      </x:c>
      <x:c r="B6" s="36" t="str">
        <x:v>FINMODEL_VARSHAVKA_USALI_SCENARIO_S04_v3.0.0.xlsx</x:v>
      </x:c>
      <x:c r="C6" s="36" t="str">
        <x:v>3.0.0</x:v>
      </x:c>
      <x:c r="D6" s="36" t="str">
        <x:v>Действующая</x:v>
      </x:c>
      <x:c r="E6" s="36" t="str">
        <x:v>FACT</x:v>
      </x:c>
      <x:c r="F6" s="36" t="str">
        <x:v>PRICE_REGISTER; BREAKFAST_RECIPES; BREAKFAST_COSTING</x:v>
      </x:c>
      <x:c r="G6" s="37" t="str">
        <x:v>models/scenarios/S04/FINMODEL_VARSHAVKA_USALI_SCENARIO_S04_v3.0.0.xlsx</x:v>
      </x:c>
    </x:row>
    <x:row r="7">
      <x:c r="A7" s="35" t="str">
        <x:v>SRC-080-003</x:v>
      </x:c>
      <x:c r="B7" s="36" t="str">
        <x:v>HOTEL_BREAKFAST_DECISION_2026-07-27.md</x:v>
      </x:c>
      <x:c r="C7" s="36" t="str">
        <x:v>2026-07-27</x:v>
      </x:c>
      <x:c r="D7" s="36" t="str">
        <x:v>Действующая</x:v>
      </x:c>
      <x:c r="E7" s="36" t="str">
        <x:v>FACT</x:v>
      </x:c>
      <x:c r="F7" s="36" t="str">
        <x:v>Тариф 550; состав выбора; предварительный COGS</x:v>
      </x:c>
      <x:c r="G7" s="37" t="str">
        <x:v>docs/07-operations/HOTEL_BREAKFAST_DECISION_2026-07-27.md</x:v>
      </x:c>
    </x:row>
    <x:row r="8">
      <x:c r="A8" s="35" t="str">
        <x:v>SRC-080-004</x:v>
      </x:c>
      <x:c r="B8" s="36" t="str">
        <x:v>CONTROL_TRIAL_FRIED_EGGS.md</x:v>
      </x:c>
      <x:c r="C8" s="36" t="str">
        <x:v>2026-07-27</x:v>
      </x:c>
      <x:c r="D8" s="36" t="str">
        <x:v>Шаблон не заполнен</x:v>
      </x:c>
      <x:c r="E8" s="36" t="str">
        <x:v>DRAFT</x:v>
      </x:c>
      <x:c r="F8" s="36" t="str">
        <x:v>Матбаланс и контрольные критерии яичницы</x:v>
      </x:c>
      <x:c r="G8" s="37" t="str">
        <x:v>docs/06-validation/issue-52/CONTROL_TRIAL_FRIED_EGGS.md</x:v>
      </x:c>
    </x:row>
    <x:row r="9">
      <x:c r="A9" s="35" t="str">
        <x:v>SRC-080-005</x:v>
      </x:c>
      <x:c r="B9" s="36" t="str">
        <x:v>CONTROL_TRIAL_OMELET.md</x:v>
      </x:c>
      <x:c r="C9" s="36" t="str">
        <x:v>2026-07-27</x:v>
      </x:c>
      <x:c r="D9" s="36" t="str">
        <x:v>Шаблон не заполнен</x:v>
      </x:c>
      <x:c r="E9" s="36" t="str">
        <x:v>DRAFT</x:v>
      </x:c>
      <x:c r="F9" s="36" t="str">
        <x:v>Матбаланс и контрольные критерии омлета</x:v>
      </x:c>
      <x:c r="G9" s="37" t="str">
        <x:v>docs/06-validation/issue-52/CONTROL_TRIAL_OMELET.md</x:v>
      </x:c>
    </x:row>
    <x:row r="10">
      <x:c r="A10" s="35" t="str">
        <x:v>SRC-080-006</x:v>
      </x:c>
      <x:c r="B10" s="36" t="str">
        <x:v>CONTROL_TRIAL_OATMEAL.md</x:v>
      </x:c>
      <x:c r="C10" s="36" t="str">
        <x:v>2026-07-27</x:v>
      </x:c>
      <x:c r="D10" s="36" t="str">
        <x:v>Шаблон не заполнен</x:v>
      </x:c>
      <x:c r="E10" s="36" t="str">
        <x:v>DRAFT</x:v>
      </x:c>
      <x:c r="F10" s="36" t="str">
        <x:v>Матбаланс и контрольные критерии каши</x:v>
      </x:c>
      <x:c r="G10" s="37" t="str">
        <x:v>docs/06-validation/issue-52/CONTROL_TRIAL_OATMEAL.md</x:v>
      </x:c>
    </x:row>
    <x:row r="11">
      <x:c r="A11" s="35" t="str">
        <x:v>SRC-080-007</x:v>
      </x:c>
      <x:c r="B11" s="36" t="str">
        <x:v>PPK_BREAKFAST_TEMPERATURE_CONTROL_DRAFT.md</x:v>
      </x:c>
      <x:c r="C11" s="36" t="str">
        <x:v>2026-07-27</x:v>
      </x:c>
      <x:c r="D11" s="36" t="str">
        <x:v>Проект; не ППК</x:v>
      </x:c>
      <x:c r="E11" s="36" t="str">
        <x:v>DRAFT</x:v>
      </x:c>
      <x:c r="F11" s="36" t="str">
        <x:v>Проектные температурные пределы</x:v>
      </x:c>
      <x:c r="G11" s="37" t="str">
        <x:v>docs/06-validation/issue-52/PPK_BREAKFAST_TEMPERATURE_CONTROL_DRAFT.md</x:v>
      </x:c>
    </x:row>
    <x:row r="12">
      <x:c r="A12" s="35" t="str">
        <x:v>SRC-080-008</x:v>
      </x:c>
      <x:c r="B12" s="36" t="str">
        <x:v>ISSUE_52_CLOSURE_EVIDENCE_MATRIX.md</x:v>
      </x:c>
      <x:c r="C12" s="36" t="str">
        <x:v>2026-07-27</x:v>
      </x:c>
      <x:c r="D12" s="36" t="str">
        <x:v>Действующая</x:v>
      </x:c>
      <x:c r="E12" s="36" t="str">
        <x:v>FACT</x:v>
      </x:c>
      <x:c r="F12" s="36" t="str">
        <x:v>Доказательства не получены; серии не проведены</x:v>
      </x:c>
      <x:c r="G12" s="37" t="str">
        <x:v>docs/06-validation/issue-52/ISSUE_52_CLOSURE_EVIDENCE_MATRIX.md</x:v>
      </x:c>
    </x:row>
    <x:row r="13">
      <x:c r="A13" s="35" t="str">
        <x:v>SRC-080-009</x:v>
      </x:c>
      <x:c r="B13" s="36" t="str">
        <x:v>ISSUE_REGISTER.md</x:v>
      </x:c>
      <x:c r="C13" s="36" t="str">
        <x:v>2026-08-03</x:v>
      </x:c>
      <x:c r="D13" s="36" t="str">
        <x:v>Действующая</x:v>
      </x:c>
      <x:c r="E13" s="36" t="str">
        <x:v>FACT</x:v>
      </x:c>
      <x:c r="F13" s="36" t="str">
        <x:v>V-I-103 и связанные блокеры</x:v>
      </x:c>
      <x:c r="G13" s="37" t="str">
        <x:v>docs/05-data/ISSUE_REGISTER.md</x:v>
      </x:c>
    </x:row>
    <x:row r="14">
      <x:c r="A14" s="35" t="str">
        <x:v>SRC-080-010</x:v>
      </x:c>
      <x:c r="B14" s="36" t="str">
        <x:v>Яйца Бенедикт с лососем на бриоши</x:v>
      </x:c>
      <x:c r="C14" s="36"/>
      <x:c r="D14" s="36" t="str">
        <x:v>Архивная позиция</x:v>
      </x:c>
      <x:c r="E14" s="36" t="str">
        <x:v>SUPERSEDED</x:v>
      </x:c>
      <x:c r="F14" s="36" t="str">
        <x:v>Не входит в активное меню</x:v>
      </x:c>
      <x:c r="G14" s="37" t="str">
        <x:v>KITCHEN_MENU_3.0.0.md</x:v>
      </x:c>
    </x:row>
    <x:row r="15">
      <x:c r="A15" s="38" t="str">
        <x:v>SRC-080-011</x:v>
      </x:c>
      <x:c r="B15" s="39" t="str">
        <x:v>Круассан со слабосолёным лососем</x:v>
      </x:c>
      <x:c r="C15" s="39"/>
      <x:c r="D15" s="39" t="str">
        <x:v>Архивная позиция</x:v>
      </x:c>
      <x:c r="E15" s="39" t="str">
        <x:v>SUPERSEDED</x:v>
      </x:c>
      <x:c r="F15" s="39" t="str">
        <x:v>Не входит в активное меню</x:v>
      </x:c>
      <x:c r="G15" s="40" t="str">
        <x:v>KITCHEN_MENU_3.0.0.md</x:v>
      </x:c>
    </x:row>
  </x:sheetData>
  <x:mergeCells>
    <x:mergeCell ref="A1:G1"/>
    <x:mergeCell ref="A2:G2"/>
  </x:mergeCells>
  <x:conditionalFormatting sqref="E5:E15">
    <x:cfRule type="containsText" dxfId="54" priority="1" operator="containsText" text="FACT"/>
    <x:cfRule type="containsText" dxfId="55" priority="2" operator="containsText" text="CALCULATED"/>
    <x:cfRule type="containsText" dxfId="56" priority="3" operator="containsText" text="ASSUMPTION"/>
    <x:cfRule type="containsText" dxfId="57" priority="4" operator="containsText" text="DRAFT"/>
    <x:cfRule type="containsText" dxfId="58" priority="5" operator="containsText" text="BLOCKED"/>
    <x:cfRule type="containsText" dxfId="59" priority="6" operator="containsText" text="SUPERSEDED"/>
  </x:conditionalFormatting>
  <x:pageMargins left="0.7" right="0.7" top="0.75" bottom="0.75" header="0.3" footer="0.3"/>
  <x:tableParts count="1">
    <x:tablePart xmlns:r="http://schemas.openxmlformats.org/officeDocument/2006/relationships" r:id="Red214e3ece164f35"/>
  </x:tableParts>
</x:worksheet>
</file>